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 xmlns:r="http://schemas.openxmlformats.org/officeDocument/2006/relationships" name="APOYOS" sheetId="2" state="visible" r:id="rId2"/>
    <sheet xmlns:r="http://schemas.openxmlformats.org/officeDocument/2006/relationships" name="CARGAS" sheetId="3" state="visible" r:id="rId3"/>
    <sheet xmlns:r="http://schemas.openxmlformats.org/officeDocument/2006/relationships" name="TABLEROS" sheetId="4" state="visible" r:id="rId4"/>
    <sheet xmlns:r="http://schemas.openxmlformats.org/officeDocument/2006/relationships" name="NERVADURA" sheetId="5" state="visible" r:id="rId5"/>
    <sheet xmlns:r="http://schemas.openxmlformats.org/officeDocument/2006/relationships" name="PRINCIPALES" sheetId="6" state="visible" r:id="rId6"/>
    <sheet xmlns:r="http://schemas.openxmlformats.org/officeDocument/2006/relationships" name="MUROS" sheetId="7" state="visible" r:id="rId7"/>
    <sheet xmlns:r="http://schemas.openxmlformats.org/officeDocument/2006/relationships" name="CROQUIS" sheetId="8" state="visible" r:id="rId8"/>
    <sheet xmlns:r="http://schemas.openxmlformats.org/officeDocument/2006/relationships" name="CUANTIFICACION" sheetId="9" state="visible" r:id="rId9"/>
    <sheet xmlns:r="http://schemas.openxmlformats.org/officeDocument/2006/relationships" name="RESUMEN" sheetId="10" state="visible" r:id="rId10"/>
    <sheet xmlns:r="http://schemas.openxmlformats.org/officeDocument/2006/relationships" name="REFERENCIAS" sheetId="11" state="visible" r:id="rId11"/>
    <sheet xmlns:r="http://schemas.openxmlformats.org/officeDocument/2006/relationships" name="TABLAS" sheetId="12" state="visible" r:id="rId12"/>
    <sheet xmlns:r="http://schemas.openxmlformats.org/officeDocument/2006/relationships" name="TRIB" sheetId="13" state="visible" r:id="rId13"/>
    <sheet xmlns:r="http://schemas.openxmlformats.org/officeDocument/2006/relationships" name="TRANSFER" sheetId="14" state="visible" r:id="rId14"/>
    <sheet xmlns:r="http://schemas.openxmlformats.org/officeDocument/2006/relationships" name="CROQUIS_DATOS" sheetId="15" state="visible" r:id="rId15"/>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000"/>
    <numFmt numFmtId="167" formatCode="0.00000"/>
    <numFmt numFmtId="168" formatCode="#,##0.0"/>
  </numFmts>
  <fonts count="19">
    <font>
      <name val="Calibri"/>
      <family val="2"/>
      <color theme="1"/>
      <sz val="11"/>
      <scheme val="minor"/>
    </font>
    <font>
      <name val="Arial"/>
      <b val="1"/>
      <color rgb="00FFFFFF"/>
      <sz val="13"/>
    </font>
    <font>
      <name val="Arial"/>
      <i val="1"/>
      <color rgb="00595959"/>
      <sz val="9"/>
    </font>
    <font>
      <name val="Arial"/>
      <b val="1"/>
      <color rgb="00843C0C"/>
      <sz val="9"/>
    </font>
    <font>
      <name val="Arial"/>
      <b val="1"/>
      <color rgb="00FFFFFF"/>
      <sz val="10"/>
    </font>
    <font>
      <name val="Arial"/>
      <b val="1"/>
      <color rgb="001F3864"/>
      <sz val="9"/>
    </font>
    <font>
      <name val="Arial"/>
      <color rgb="001A1A1A"/>
      <sz val="10"/>
    </font>
    <font>
      <name val="Arial"/>
      <b val="1"/>
      <color rgb="000000CC"/>
      <sz val="10"/>
    </font>
    <font>
      <name val="Arial"/>
      <color rgb="00595959"/>
      <sz val="9"/>
    </font>
    <font>
      <name val="Arial"/>
      <i val="1"/>
      <color rgb="001F4E79"/>
      <sz val="8"/>
    </font>
    <font>
      <name val="Arial"/>
      <b val="1"/>
      <color rgb="001F3864"/>
      <sz val="10"/>
    </font>
    <font>
      <name val="Arial"/>
      <color rgb="001A1A1A"/>
      <sz val="9"/>
    </font>
    <font>
      <name val="Arial"/>
      <b val="1"/>
      <color rgb="001A1A1A"/>
      <sz val="9"/>
    </font>
    <font>
      <name val="Arial"/>
      <b val="1"/>
      <color rgb="000000CC"/>
      <sz val="9"/>
    </font>
    <font>
      <name val="Arial"/>
      <color rgb="001A1A1A"/>
      <sz val="8"/>
    </font>
    <font>
      <name val="Arial"/>
      <b val="1"/>
      <color rgb="00FFFFFF"/>
      <sz val="9"/>
    </font>
    <font>
      <name val="Arial"/>
      <i val="1"/>
      <color rgb="00595959"/>
      <sz val="8"/>
    </font>
    <font>
      <name val="Arial"/>
      <color rgb="00006100"/>
      <sz val="9"/>
    </font>
    <font>
      <name val="Arial"/>
      <b val="1"/>
      <color rgb="001F3864"/>
      <sz val="12"/>
    </font>
  </fonts>
  <fills count="9">
    <fill>
      <patternFill/>
    </fill>
    <fill>
      <patternFill patternType="gray125"/>
    </fill>
    <fill>
      <patternFill patternType="solid">
        <fgColor rgb="001F3864"/>
      </patternFill>
    </fill>
    <fill>
      <patternFill patternType="solid">
        <fgColor rgb="00FFF0E0"/>
      </patternFill>
    </fill>
    <fill>
      <patternFill patternType="solid">
        <fgColor rgb="002E5C9A"/>
      </patternFill>
    </fill>
    <fill>
      <patternFill patternType="solid">
        <fgColor rgb="00F2F2F2"/>
      </patternFill>
    </fill>
    <fill>
      <patternFill patternType="solid">
        <fgColor rgb="00D9E2F3"/>
      </patternFill>
    </fill>
    <fill>
      <patternFill patternType="solid">
        <fgColor rgb="00FFF2CC"/>
      </patternFill>
    </fill>
    <fill>
      <patternFill patternType="solid">
        <fgColor rgb="00EEF2F9"/>
      </patternFill>
    </fill>
  </fills>
  <borders count="7">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style="thin">
        <color rgb="00A6A6A6"/>
      </top>
      <bottom style="medium">
        <color rgb="001F3864"/>
      </bottom>
    </border>
    <border>
      <left/>
      <right/>
      <top style="thin">
        <color rgb="00A6A6A6"/>
      </top>
      <bottom/>
      <diagonal/>
    </border>
    <border>
      <left/>
      <right style="thin">
        <color rgb="00A6A6A6"/>
      </right>
      <top style="thin">
        <color rgb="00A6A6A6"/>
      </top>
      <bottom/>
      <diagonal/>
    </border>
    <border>
      <left/>
      <right style="thin">
        <color rgb="00A6A6A6"/>
      </right>
      <top style="thin">
        <color rgb="00A6A6A6"/>
      </top>
      <bottom style="medium">
        <color rgb="001F3864"/>
      </bottom>
      <diagonal/>
    </border>
    <border>
      <left/>
      <right/>
      <top style="thin">
        <color rgb="00A6A6A6"/>
      </top>
      <bottom style="medium">
        <color rgb="001F3864"/>
      </bottom>
      <diagonal/>
    </border>
  </borders>
  <cellStyleXfs count="1">
    <xf numFmtId="0" fontId="0" fillId="0" borderId="0"/>
  </cellStyleXfs>
  <cellXfs count="89">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top" wrapText="1"/>
    </xf>
    <xf numFmtId="0" fontId="3" fillId="3" borderId="1" applyAlignment="1" pivotButton="0" quotePrefix="0" xfId="0">
      <alignment horizontal="left" vertical="top" wrapText="1"/>
    </xf>
    <xf numFmtId="0" fontId="0" fillId="3" borderId="1" pivotButton="0" quotePrefix="0" xfId="0"/>
    <xf numFmtId="0" fontId="4" fillId="4" borderId="0" applyAlignment="1" pivotButton="0" quotePrefix="0" xfId="0">
      <alignment horizontal="left" vertical="center"/>
    </xf>
    <xf numFmtId="0" fontId="2" fillId="5" borderId="1" applyAlignment="1" pivotButton="0" quotePrefix="0" xfId="0">
      <alignment horizontal="left" vertical="top" wrapText="1"/>
    </xf>
    <xf numFmtId="0" fontId="0" fillId="5" borderId="1" pivotButton="0" quotePrefix="0" xfId="0"/>
    <xf numFmtId="0" fontId="5" fillId="6" borderId="2" applyAlignment="1" pivotButton="0" quotePrefix="0" xfId="0">
      <alignment horizontal="center" vertical="center" wrapText="1"/>
    </xf>
    <xf numFmtId="0" fontId="6" fillId="0" borderId="1" applyAlignment="1" pivotButton="0" quotePrefix="0" xfId="0">
      <alignment horizontal="left" vertical="center" wrapText="1"/>
    </xf>
    <xf numFmtId="1" fontId="7" fillId="7" borderId="1" applyAlignment="1" pivotButton="0" quotePrefix="0" xfId="0">
      <alignment horizontal="center" vertical="center" wrapText="1"/>
    </xf>
    <xf numFmtId="0" fontId="8" fillId="0" borderId="1" applyAlignment="1" pivotButton="0" quotePrefix="0" xfId="0">
      <alignment horizontal="center" vertical="center"/>
    </xf>
    <xf numFmtId="0" fontId="8" fillId="0" borderId="1" applyAlignment="1" pivotButton="0" quotePrefix="0" xfId="0">
      <alignment horizontal="left" vertical="center" wrapText="1"/>
    </xf>
    <xf numFmtId="0" fontId="9" fillId="0" borderId="1" applyAlignment="1" pivotButton="0" quotePrefix="0" xfId="0">
      <alignment horizontal="left" vertical="center" wrapText="1"/>
    </xf>
    <xf numFmtId="1" fontId="10" fillId="6" borderId="1" applyAlignment="1" pivotButton="0" quotePrefix="0" xfId="0">
      <alignment horizontal="center" vertical="center" wrapText="1"/>
    </xf>
    <xf numFmtId="49" fontId="7" fillId="7" borderId="1" applyAlignment="1" pivotButton="0" quotePrefix="0" xfId="0">
      <alignment horizontal="center" vertical="center" wrapText="1"/>
    </xf>
    <xf numFmtId="164" fontId="10" fillId="6" borderId="1" applyAlignment="1" pivotButton="0" quotePrefix="0" xfId="0">
      <alignment horizontal="center" vertical="center" wrapText="1"/>
    </xf>
    <xf numFmtId="164" fontId="7" fillId="7" borderId="1" applyAlignment="1" pivotButton="0" quotePrefix="0" xfId="0">
      <alignment horizontal="center" vertical="center" wrapText="1"/>
    </xf>
    <xf numFmtId="0"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49"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7" fillId="7" borderId="1" applyAlignment="1" pivotButton="0" quotePrefix="0" xfId="0">
      <alignment horizontal="center" vertical="center" wrapText="1"/>
    </xf>
    <xf numFmtId="3" fontId="6" fillId="0" borderId="1" applyAlignment="1" pivotButton="0" quotePrefix="0" xfId="0">
      <alignment horizontal="center" vertical="center" wrapText="1"/>
    </xf>
    <xf numFmtId="3" fontId="7" fillId="7" borderId="1" applyAlignment="1" pivotButton="0" quotePrefix="0" xfId="0">
      <alignment horizontal="center" vertical="center" wrapText="1"/>
    </xf>
    <xf numFmtId="164" fontId="6" fillId="0" borderId="1" applyAlignment="1" pivotButton="0" quotePrefix="0" xfId="0">
      <alignment horizontal="center" vertical="center" wrapText="1"/>
    </xf>
    <xf numFmtId="166" fontId="6" fillId="0" borderId="1" applyAlignment="1" pivotButton="0" quotePrefix="0" xfId="0">
      <alignment horizontal="center" vertical="center" wrapText="1"/>
    </xf>
    <xf numFmtId="166" fontId="10" fillId="6" borderId="1" applyAlignment="1" pivotButton="0" quotePrefix="0" xfId="0">
      <alignment horizontal="center" vertical="center" wrapText="1"/>
    </xf>
    <xf numFmtId="2" fontId="10" fillId="6" borderId="1" applyAlignment="1" pivotButton="0" quotePrefix="0" xfId="0">
      <alignment horizontal="center" vertical="center" wrapText="1"/>
    </xf>
    <xf numFmtId="167" fontId="6" fillId="0" borderId="1" applyAlignment="1" pivotButton="0" quotePrefix="0" xfId="0">
      <alignment horizontal="center" vertical="center" wrapText="1"/>
    </xf>
    <xf numFmtId="165" fontId="10" fillId="6" borderId="1" applyAlignment="1" pivotButton="0" quotePrefix="0" xfId="0">
      <alignment horizontal="center" vertical="center" wrapText="1"/>
    </xf>
    <xf numFmtId="0" fontId="11" fillId="0" borderId="0" applyAlignment="1" pivotButton="0" quotePrefix="0" xfId="0">
      <alignment horizontal="left" vertical="top" wrapText="1"/>
    </xf>
    <xf numFmtId="0" fontId="0" fillId="0" borderId="5" pivotButton="0" quotePrefix="0" xfId="0"/>
    <xf numFmtId="0" fontId="12" fillId="0" borderId="1" applyAlignment="1" pivotButton="0" quotePrefix="0" xfId="0">
      <alignment horizontal="left" vertical="center"/>
    </xf>
    <xf numFmtId="0" fontId="13" fillId="7" borderId="1" applyAlignment="1" pivotButton="0" quotePrefix="0" xfId="0">
      <alignment horizontal="center" vertical="center"/>
    </xf>
    <xf numFmtId="165" fontId="11" fillId="0" borderId="1" applyAlignment="1" pivotButton="0" quotePrefix="0" xfId="0">
      <alignment horizontal="center" vertical="center"/>
    </xf>
    <xf numFmtId="0" fontId="11" fillId="0" borderId="1" applyAlignment="1" pivotButton="0" quotePrefix="0" xfId="0">
      <alignment horizontal="left" vertical="center"/>
    </xf>
    <xf numFmtId="0" fontId="11" fillId="0" borderId="1" applyAlignment="1" pivotButton="0" quotePrefix="0" xfId="0">
      <alignment horizontal="left" vertical="center" wrapText="1"/>
    </xf>
    <xf numFmtId="0" fontId="14" fillId="0" borderId="1" applyAlignment="1" pivotButton="0" quotePrefix="0" xfId="0">
      <alignment horizontal="left" vertical="center" wrapText="1"/>
    </xf>
    <xf numFmtId="0" fontId="0" fillId="0" borderId="1" pivotButton="0" quotePrefix="0" xfId="0"/>
    <xf numFmtId="0" fontId="11" fillId="0" borderId="1" applyAlignment="1" pivotButton="0" quotePrefix="0" xfId="0">
      <alignment horizontal="center" vertical="center"/>
    </xf>
    <xf numFmtId="9" fontId="11" fillId="0" borderId="1" applyAlignment="1" pivotButton="0" quotePrefix="0" xfId="0">
      <alignment horizontal="center" vertical="center"/>
    </xf>
    <xf numFmtId="2" fontId="11" fillId="0" borderId="1" applyAlignment="1" pivotButton="0" quotePrefix="0" xfId="0">
      <alignment horizontal="center" vertical="center"/>
    </xf>
    <xf numFmtId="0" fontId="14" fillId="0" borderId="1" applyAlignment="1" pivotButton="0" quotePrefix="0" xfId="0">
      <alignment horizontal="left" vertical="center"/>
    </xf>
    <xf numFmtId="1" fontId="6" fillId="0" borderId="1" applyAlignment="1" pivotButton="0" quotePrefix="0" xfId="0">
      <alignment horizontal="center" vertical="center" wrapText="1"/>
    </xf>
    <xf numFmtId="0" fontId="1" fillId="2" borderId="0" applyAlignment="1" pivotButton="0" quotePrefix="0" xfId="0">
      <alignment vertical="center"/>
    </xf>
    <xf numFmtId="0" fontId="2" fillId="0" borderId="0" applyAlignment="1" pivotButton="0" quotePrefix="0" xfId="0">
      <alignment vertical="top" wrapText="1"/>
    </xf>
    <xf numFmtId="0" fontId="3" fillId="3" borderId="0" applyAlignment="1" pivotButton="0" quotePrefix="0" xfId="0">
      <alignment vertical="top" wrapText="1"/>
    </xf>
    <xf numFmtId="0" fontId="15" fillId="4" borderId="0" applyAlignment="1" pivotButton="0" quotePrefix="0" xfId="0">
      <alignment horizontal="center"/>
    </xf>
    <xf numFmtId="0" fontId="16" fillId="8" borderId="1" applyAlignment="1" pivotButton="0" quotePrefix="0" xfId="0">
      <alignment horizontal="center" vertical="center" wrapText="1"/>
    </xf>
    <xf numFmtId="49" fontId="11" fillId="0" borderId="1" applyAlignment="1" pivotButton="0" quotePrefix="0" xfId="0">
      <alignment horizontal="left" vertical="center"/>
    </xf>
    <xf numFmtId="49" fontId="11" fillId="0" borderId="1" applyAlignment="1" pivotButton="0" quotePrefix="0" xfId="0">
      <alignment horizontal="center" vertical="center"/>
    </xf>
    <xf numFmtId="49" fontId="13" fillId="7" borderId="1" applyAlignment="1" pivotButton="0" quotePrefix="0" xfId="0">
      <alignment horizontal="center" vertical="center"/>
    </xf>
    <xf numFmtId="165" fontId="17" fillId="0" borderId="1" applyAlignment="1" pivotButton="0" quotePrefix="0" xfId="0">
      <alignment horizontal="center" vertical="center"/>
    </xf>
    <xf numFmtId="165" fontId="13" fillId="7" borderId="1" applyAlignment="1" pivotButton="0" quotePrefix="0" xfId="0">
      <alignment horizontal="center" vertical="center"/>
    </xf>
    <xf numFmtId="1" fontId="11" fillId="0" borderId="1" applyAlignment="1" pivotButton="0" quotePrefix="0" xfId="0">
      <alignment horizontal="center" vertical="center"/>
    </xf>
    <xf numFmtId="164" fontId="11" fillId="0" borderId="1" applyAlignment="1" pivotButton="0" quotePrefix="0" xfId="0">
      <alignment horizontal="center" vertical="center"/>
    </xf>
    <xf numFmtId="1" fontId="13" fillId="7" borderId="1" applyAlignment="1" pivotButton="0" quotePrefix="0" xfId="0">
      <alignment horizontal="center" vertical="center"/>
    </xf>
    <xf numFmtId="1" fontId="5" fillId="6" borderId="1" applyAlignment="1" pivotButton="0" quotePrefix="0" xfId="0">
      <alignment horizontal="center" vertical="center"/>
    </xf>
    <xf numFmtId="49" fontId="5" fillId="6" borderId="1" applyAlignment="1" pivotButton="0" quotePrefix="0" xfId="0">
      <alignment horizontal="center" vertical="center"/>
    </xf>
    <xf numFmtId="164" fontId="13" fillId="7" borderId="1" applyAlignment="1" pivotButton="0" quotePrefix="0" xfId="0">
      <alignment horizontal="center" vertical="center"/>
    </xf>
    <xf numFmtId="2" fontId="5" fillId="6" borderId="1" applyAlignment="1" pivotButton="0" quotePrefix="0" xfId="0">
      <alignment horizontal="center" vertical="center"/>
    </xf>
    <xf numFmtId="166" fontId="11" fillId="0" borderId="1" applyAlignment="1" pivotButton="0" quotePrefix="0" xfId="0">
      <alignment horizontal="center" vertical="center"/>
    </xf>
    <xf numFmtId="49" fontId="5" fillId="6" borderId="1" applyAlignment="1" pivotButton="0" quotePrefix="0" xfId="0">
      <alignment horizontal="left" vertical="center"/>
    </xf>
    <xf numFmtId="49" fontId="11" fillId="0" borderId="1" applyAlignment="1" pivotButton="0" quotePrefix="0" xfId="0">
      <alignment vertical="center" wrapText="1"/>
    </xf>
    <xf numFmtId="49" fontId="10" fillId="6" borderId="1" applyAlignment="1" pivotButton="0" quotePrefix="0" xfId="0">
      <alignment horizontal="center" vertical="center" wrapText="1"/>
    </xf>
    <xf numFmtId="0" fontId="6" fillId="0" borderId="1" applyAlignment="1" pivotButton="0" quotePrefix="0" xfId="0">
      <alignment horizontal="center" vertical="center" wrapText="1"/>
    </xf>
    <xf numFmtId="0" fontId="1" fillId="2" borderId="0" pivotButton="0" quotePrefix="0" xfId="0"/>
    <xf numFmtId="2" fontId="13" fillId="7" borderId="1" applyAlignment="1" pivotButton="0" quotePrefix="0" xfId="0">
      <alignment horizontal="center" vertical="center"/>
    </xf>
    <xf numFmtId="165" fontId="5" fillId="6" borderId="1" applyAlignment="1" pivotButton="0" quotePrefix="0" xfId="0">
      <alignment horizontal="center" vertical="center"/>
    </xf>
    <xf numFmtId="3" fontId="11" fillId="0" borderId="1" applyAlignment="1" pivotButton="0" quotePrefix="0" xfId="0">
      <alignment horizontal="center" vertical="center"/>
    </xf>
    <xf numFmtId="49" fontId="5" fillId="6" borderId="1" applyAlignment="1" pivotButton="0" quotePrefix="0" xfId="0">
      <alignment vertical="center" wrapText="1"/>
    </xf>
    <xf numFmtId="0" fontId="14" fillId="0" borderId="1" applyAlignment="1" pivotButton="0" quotePrefix="0" xfId="0">
      <alignment horizontal="center" vertical="center"/>
    </xf>
    <xf numFmtId="0" fontId="9" fillId="0" borderId="1" applyAlignment="1" pivotButton="0" quotePrefix="0" xfId="0">
      <alignment horizontal="left" vertical="center"/>
    </xf>
    <xf numFmtId="2" fontId="17" fillId="0" borderId="1" applyAlignment="1" pivotButton="0" quotePrefix="0" xfId="0">
      <alignment horizontal="center" vertical="center"/>
    </xf>
    <xf numFmtId="164" fontId="5" fillId="6" borderId="1" applyAlignment="1" pivotButton="0" quotePrefix="0" xfId="0">
      <alignment horizontal="center" vertical="center"/>
    </xf>
    <xf numFmtId="0" fontId="6" fillId="0" borderId="1" applyAlignment="1" pivotButton="0" quotePrefix="0" xfId="0">
      <alignment horizontal="left" vertical="center"/>
    </xf>
    <xf numFmtId="168" fontId="5" fillId="6" borderId="1" applyAlignment="1" pivotButton="0" quotePrefix="0" xfId="0">
      <alignment horizontal="center" vertical="center"/>
    </xf>
    <xf numFmtId="0" fontId="9" fillId="0" borderId="1" applyAlignment="1" pivotButton="0" quotePrefix="0" xfId="0">
      <alignment horizontal="center" vertical="center"/>
    </xf>
    <xf numFmtId="0" fontId="0" fillId="0" borderId="6" pivotButton="0" quotePrefix="0" xfId="0"/>
    <xf numFmtId="0" fontId="5" fillId="6" borderId="1" applyAlignment="1" pivotButton="0" quotePrefix="0" xfId="0">
      <alignment horizontal="center" vertical="center"/>
    </xf>
    <xf numFmtId="3" fontId="5" fillId="6" borderId="1" applyAlignment="1" pivotButton="0" quotePrefix="0" xfId="0">
      <alignment horizontal="center" vertical="center"/>
    </xf>
    <xf numFmtId="164" fontId="5" fillId="6" borderId="2" applyAlignment="1" pivotButton="0" quotePrefix="0" xfId="0">
      <alignment horizontal="center" vertical="center" wrapText="1"/>
    </xf>
    <xf numFmtId="0" fontId="2" fillId="0" borderId="0" applyAlignment="1" pivotButton="0" quotePrefix="0" xfId="0">
      <alignment wrapText="1"/>
    </xf>
    <xf numFmtId="0" fontId="18" fillId="0" borderId="0" pivotButton="0" quotePrefix="0" xfId="0"/>
    <xf numFmtId="0" fontId="2" fillId="0" borderId="0" pivotButton="0" quotePrefix="0" xfId="0"/>
    <xf numFmtId="0" fontId="10" fillId="0" borderId="0" pivotButton="0" quotePrefix="0" xfId="0"/>
    <xf numFmtId="0" fontId="11" fillId="0" borderId="0" pivotButton="0" quotePrefix="0" xfId="0"/>
  </cellXfs>
  <cellStyles count="1">
    <cellStyle name="Normal" xfId="0" builtinId="0" hidden="0"/>
  </cellStyles>
  <dxfs count="3">
    <dxf>
      <font>
        <b val="1"/>
        <color rgb="00FFFFFF"/>
      </font>
      <fill>
        <patternFill patternType="solid">
          <bgColor rgb="00C00000"/>
        </patternFill>
      </fill>
    </dxf>
    <dxf>
      <font>
        <b val="1"/>
        <color rgb="00FFFFFF"/>
      </font>
      <fill>
        <patternFill patternType="solid">
          <bgColor rgb="0000A650"/>
        </patternFill>
      </fill>
    </dxf>
    <dxf>
      <font>
        <b val="1"/>
        <color rgb="007F4F00"/>
      </font>
      <fill>
        <patternFill patternType="solid">
          <b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PLANTA N+3.00 — APOYOS, PRINCIPALES Y VACÍOS</a:t>
            </a:r>
          </a:p>
        </rich>
      </tx>
    </title>
    <plotArea>
      <scatterChart>
        <scatterStyle val="lineMarker"/>
        <ser>
          <idx val="0"/>
          <order val="0"/>
          <tx>
            <v>Tableros</v>
          </tx>
          <spPr>
            <a:ln xmlns:a="http://schemas.openxmlformats.org/drawingml/2006/main" w="9525">
              <a:solidFill>
                <a:srgbClr val="8EA9DB"/>
              </a:solidFill>
              <a:prstDash val="solid"/>
            </a:ln>
          </spPr>
          <marker>
            <symbol val="none"/>
            <spPr>
              <a:ln xmlns:a="http://schemas.openxmlformats.org/drawingml/2006/main">
                <a:prstDash val="solid"/>
              </a:ln>
            </spPr>
          </marker>
          <xVal>
            <numRef>
              <f>'CROQUIS_DATOS'!$CW$8:$CW$143</f>
            </numRef>
          </xVal>
          <yVal>
            <numRef>
              <f>'CROQUIS_DATOS'!$CX$8:$CX$143</f>
            </numRef>
          </yVal>
          <smooth val="0"/>
        </ser>
        <ser>
          <idx val="1"/>
          <order val="1"/>
          <tx>
            <v>Muros que cargan</v>
          </tx>
          <spPr>
            <a:ln xmlns:a="http://schemas.openxmlformats.org/drawingml/2006/main" w="44450">
              <a:solidFill>
                <a:srgbClr val="7F7F7F"/>
              </a:solidFill>
              <a:prstDash val="solid"/>
            </a:ln>
          </spPr>
          <marker>
            <symbol val="none"/>
            <spPr>
              <a:ln xmlns:a="http://schemas.openxmlformats.org/drawingml/2006/main">
                <a:prstDash val="solid"/>
              </a:ln>
            </spPr>
          </marker>
          <xVal>
            <numRef>
              <f>'CROQUIS_DATOS'!$CY$8:$CY$58</f>
            </numRef>
          </xVal>
          <yVal>
            <numRef>
              <f>'CROQUIS_DATOS'!$CZ$8:$CZ$58</f>
            </numRef>
          </yVal>
          <smooth val="0"/>
        </ser>
        <ser>
          <idx val="2"/>
          <order val="2"/>
          <tx>
            <v>Vacíos</v>
          </tx>
          <spPr>
            <a:ln xmlns:a="http://schemas.openxmlformats.org/drawingml/2006/main" w="12700">
              <a:solidFill>
                <a:srgbClr val="7030A0"/>
              </a:solidFill>
              <a:prstDash val="dash"/>
            </a:ln>
          </spPr>
          <marker>
            <symbol val="none"/>
            <spPr>
              <a:ln xmlns:a="http://schemas.openxmlformats.org/drawingml/2006/main">
                <a:prstDash val="solid"/>
              </a:ln>
            </spPr>
          </marker>
          <xVal>
            <numRef>
              <f>'CROQUIS_DATOS'!$DC$8:$DC$35</f>
            </numRef>
          </xVal>
          <yVal>
            <numRef>
              <f>'CROQUIS_DATOS'!$DD$8:$DD$35</f>
            </numRef>
          </yVal>
          <smooth val="0"/>
        </ser>
        <ser>
          <idx val="3"/>
          <order val="3"/>
          <tx>
            <v>Nervaduras principales sin muro</v>
          </tx>
          <spPr>
            <a:ln xmlns:a="http://schemas.openxmlformats.org/drawingml/2006/main" w="25400">
              <a:solidFill>
                <a:srgbClr val="C00000"/>
              </a:solidFill>
              <a:prstDash val="solid"/>
            </a:ln>
          </spPr>
          <marker>
            <symbol val="none"/>
            <spPr>
              <a:ln xmlns:a="http://schemas.openxmlformats.org/drawingml/2006/main">
                <a:prstDash val="solid"/>
              </a:ln>
            </spPr>
          </marker>
          <xVal>
            <numRef>
              <f>'CROQUIS_DATOS'!$DA$8:$DA$97</f>
            </numRef>
          </xVal>
          <yVal>
            <numRef>
              <f>'CROQUIS_DATOS'!$DB$8:$DB$97</f>
            </numRef>
          </yVal>
          <smooth val="0"/>
        </ser>
        <ser>
          <idx val="4"/>
          <order val="4"/>
          <tx>
            <v>Castillos</v>
          </tx>
          <spPr>
            <a:ln xmlns:a="http://schemas.openxmlformats.org/drawingml/2006/main">
              <a:noFill/>
              <a:prstDash val="solid"/>
            </a:ln>
          </spPr>
          <marker>
            <symbol val="square"/>
            <size val="4"/>
            <spPr>
              <a:solidFill xmlns:a="http://schemas.openxmlformats.org/drawingml/2006/main">
                <a:srgbClr val="000000"/>
              </a:solidFill>
              <a:ln xmlns:a="http://schemas.openxmlformats.org/drawingml/2006/main">
                <a:solidFill>
                  <a:srgbClr val="000000"/>
                </a:solidFill>
                <a:prstDash val="solid"/>
              </a:ln>
            </spPr>
          </marker>
          <xVal>
            <numRef>
              <f>'CROQUIS_DATOS'!$DE$8:$DE$66</f>
            </numRef>
          </xVal>
          <yVal>
            <numRef>
              <f>'CROQUIS_DATOS'!$DF$8:$DF$66</f>
            </numRef>
          </yVal>
          <smooth val="0"/>
        </ser>
        <ser>
          <idx val="5"/>
          <order val="5"/>
          <tx>
            <v>Tablero escogido</v>
          </tx>
          <spPr>
            <a:ln xmlns:a="http://schemas.openxmlformats.org/drawingml/2006/main" w="38100">
              <a:solidFill>
                <a:srgbClr val="0070C0"/>
              </a:solidFill>
              <a:prstDash val="solid"/>
            </a:ln>
          </spPr>
          <marker>
            <symbol val="none"/>
            <spPr>
              <a:ln xmlns:a="http://schemas.openxmlformats.org/drawingml/2006/main">
                <a:prstDash val="solid"/>
              </a:ln>
            </spPr>
          </marker>
          <xVal>
            <numRef>
              <f>'CROQUIS_DATOS'!$FK$8:$FK$25</f>
            </numRef>
          </xVal>
          <yVal>
            <numRef>
              <f>'CROQUIS_DATOS'!$FL$8:$FL$25</f>
            </numRef>
          </yVal>
          <smooth val="0"/>
        </ser>
        <ser>
          <idx val="6"/>
          <order val="6"/>
          <tx>
            <v>Principal escogida</v>
          </tx>
          <spPr>
            <a:ln xmlns:a="http://schemas.openxmlformats.org/drawingml/2006/main" w="57150">
              <a:solidFill>
                <a:srgbClr val="ED7D31"/>
              </a:solidFill>
              <a:prstDash val="solid"/>
            </a:ln>
          </spPr>
          <marker>
            <symbol val="none"/>
            <spPr>
              <a:ln xmlns:a="http://schemas.openxmlformats.org/drawingml/2006/main">
                <a:prstDash val="solid"/>
              </a:ln>
            </spPr>
          </marker>
          <xVal>
            <numRef>
              <f>'CROQUIS_DATOS'!$FM$8:$FM$9</f>
            </numRef>
          </xVal>
          <yVal>
            <numRef>
              <f>'CROQUIS_DATOS'!$FN$8:$FN$9</f>
            </numRef>
          </yVal>
          <smooth val="0"/>
        </ser>
        <ser>
          <idx val="7"/>
          <order val="7"/>
          <tx>
            <strRef>
              <f>CROQUIS_DATOS!$FT$8</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'CROQUIS_DATOS'!$FU$8</f>
            </numRef>
          </xVal>
          <yVal>
            <numRef>
              <f>'CROQUIS_DATOS'!$FV$8</f>
            </numRef>
          </yVal>
          <smooth val="0"/>
        </ser>
        <ser>
          <idx val="8"/>
          <order val="8"/>
          <tx>
            <strRef>
              <f>CROQUIS_DATOS!$FT$9</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'CROQUIS_DATOS'!$FU$9</f>
            </numRef>
          </xVal>
          <yVal>
            <numRef>
              <f>'CROQUIS_DATOS'!$FV$9</f>
            </numRef>
          </yVal>
          <smooth val="0"/>
        </ser>
        <ser>
          <idx val="9"/>
          <order val="9"/>
          <tx>
            <strRef>
              <f>CROQUIS_DATOS!$FT$10</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'CROQUIS_DATOS'!$FU$10</f>
            </numRef>
          </xVal>
          <yVal>
            <numRef>
              <f>'CROQUIS_DATOS'!$FV$10</f>
            </numRef>
          </yVal>
          <smooth val="0"/>
        </ser>
        <ser>
          <idx val="10"/>
          <order val="10"/>
          <tx>
            <strRef>
              <f>CROQUIS_DATOS!$FT$11</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'CROQUIS_DATOS'!$FU$11</f>
            </numRef>
          </xVal>
          <yVal>
            <numRef>
              <f>'CROQUIS_DATOS'!$FV$11</f>
            </numRef>
          </yVal>
          <smooth val="0"/>
        </ser>
        <ser>
          <idx val="11"/>
          <order val="11"/>
          <tx>
            <strRef>
              <f>CROQUIS_DATOS!$FT$12</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'CROQUIS_DATOS'!$FU$12</f>
            </numRef>
          </xVal>
          <yVal>
            <numRef>
              <f>'CROQUIS_DATOS'!$FV$12</f>
            </numRef>
          </yVal>
          <smooth val="0"/>
        </ser>
        <ser>
          <idx val="12"/>
          <order val="12"/>
          <tx>
            <strRef>
              <f>CROQUIS_DATOS!$FT$13</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'CROQUIS_DATOS'!$FU$13</f>
            </numRef>
          </xVal>
          <yVal>
            <numRef>
              <f>'CROQUIS_DATOS'!$FV$13</f>
            </numRef>
          </yVal>
          <smooth val="0"/>
        </ser>
        <ser>
          <idx val="13"/>
          <order val="13"/>
          <tx>
            <strRef>
              <f>CROQUIS_DATOS!$FT$14</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'CROQUIS_DATOS'!$FU$14</f>
            </numRef>
          </xVal>
          <yVal>
            <numRef>
              <f>'CROQUIS_DATOS'!$FV$14</f>
            </numRef>
          </yVal>
          <smooth val="0"/>
        </ser>
        <ser>
          <idx val="14"/>
          <order val="14"/>
          <tx>
            <strRef>
              <f>CROQUIS_DATOS!$FT$15</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'CROQUIS_DATOS'!$FU$15</f>
            </numRef>
          </xVal>
          <yVal>
            <numRef>
              <f>'CROQUIS_DATOS'!$FV$15</f>
            </numRef>
          </yVal>
          <smooth val="0"/>
        </ser>
        <ser>
          <idx val="15"/>
          <order val="15"/>
          <tx>
            <strRef>
              <f>CROQUIS_DATOS!$FT$16</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'CROQUIS_DATOS'!$FU$16</f>
            </numRef>
          </xVal>
          <yVal>
            <numRef>
              <f>'CROQUIS_DATOS'!$FV$16</f>
            </numRef>
          </yVal>
          <smooth val="0"/>
        </ser>
        <ser>
          <idx val="16"/>
          <order val="16"/>
          <tx>
            <strRef>
              <f>CROQUIS_DATOS!$FT$17</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'CROQUIS_DATOS'!$FU$17</f>
            </numRef>
          </xVal>
          <yVal>
            <numRef>
              <f>'CROQUIS_DATOS'!$FV$17</f>
            </numRef>
          </yVal>
          <smooth val="0"/>
        </ser>
        <ser>
          <idx val="17"/>
          <order val="17"/>
          <tx>
            <strRef>
              <f>CROQUIS_DATOS!$FT$18</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'CROQUIS_DATOS'!$FU$18</f>
            </numRef>
          </xVal>
          <yVal>
            <numRef>
              <f>'CROQUIS_DATOS'!$FV$18</f>
            </numRef>
          </yVal>
          <smooth val="0"/>
        </ser>
        <ser>
          <idx val="18"/>
          <order val="18"/>
          <tx>
            <strRef>
              <f>CROQUIS_DATOS!$FT$19</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'CROQUIS_DATOS'!$FU$19</f>
            </numRef>
          </xVal>
          <yVal>
            <numRef>
              <f>'CROQUIS_DATOS'!$FV$19</f>
            </numRef>
          </yVal>
          <smooth val="0"/>
        </ser>
        <ser>
          <idx val="19"/>
          <order val="19"/>
          <tx>
            <strRef>
              <f>CROQUIS_DATOS!$FT$20</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'CROQUIS_DATOS'!$FU$20</f>
            </numRef>
          </xVal>
          <yVal>
            <numRef>
              <f>'CROQUIS_DATOS'!$FV$20</f>
            </numRef>
          </yVal>
          <smooth val="0"/>
        </ser>
        <ser>
          <idx val="20"/>
          <order val="20"/>
          <tx>
            <strRef>
              <f>CROQUIS_DATOS!$FT$21</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'CROQUIS_DATOS'!$FU$21</f>
            </numRef>
          </xVal>
          <yVal>
            <numRef>
              <f>'CROQUIS_DATOS'!$FV$21</f>
            </numRef>
          </yVal>
          <smooth val="0"/>
        </ser>
        <ser>
          <idx val="21"/>
          <order val="21"/>
          <tx>
            <strRef>
              <f>CROQUIS_DATOS!$FT$22</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'CROQUIS_DATOS'!$FU$22</f>
            </numRef>
          </xVal>
          <yVal>
            <numRef>
              <f>'CROQUIS_DATOS'!$FV$22</f>
            </numRef>
          </yVal>
          <smooth val="0"/>
        </ser>
        <ser>
          <idx val="22"/>
          <order val="22"/>
          <tx>
            <strRef>
              <f>CROQUIS_DATOS!$FT$23</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'CROQUIS_DATOS'!$FU$23</f>
            </numRef>
          </xVal>
          <yVal>
            <numRef>
              <f>'CROQUIS_DATOS'!$FV$23</f>
            </numRef>
          </yVal>
          <smooth val="0"/>
        </ser>
        <ser>
          <idx val="23"/>
          <order val="23"/>
          <tx>
            <strRef>
              <f>CROQUIS_DATOS!$FT$24</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'CROQUIS_DATOS'!$FU$24</f>
            </numRef>
          </xVal>
          <yVal>
            <numRef>
              <f>'CROQUIS_DATOS'!$FV$24</f>
            </numRef>
          </yVal>
          <smooth val="0"/>
        </ser>
        <ser>
          <idx val="24"/>
          <order val="24"/>
          <tx>
            <strRef>
              <f>CROQUIS_DATOS!$FT$25</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'CROQUIS_DATOS'!$FU$25</f>
            </numRef>
          </xVal>
          <yVal>
            <numRef>
              <f>'CROQUIS_DATOS'!$FV$25</f>
            </numRef>
          </yVal>
          <smooth val="0"/>
        </ser>
        <ser>
          <idx val="25"/>
          <order val="25"/>
          <tx>
            <strRef>
              <f>CROQUIS_DATOS!$FT$26</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'CROQUIS_DATOS'!$FU$26</f>
            </numRef>
          </xVal>
          <yVal>
            <numRef>
              <f>'CROQUIS_DATOS'!$FV$26</f>
            </numRef>
          </yVal>
          <smooth val="0"/>
        </ser>
        <ser>
          <idx val="26"/>
          <order val="26"/>
          <tx>
            <strRef>
              <f>CROQUIS_DATOS!$FT$27</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'CROQUIS_DATOS'!$FU$27</f>
            </numRef>
          </xVal>
          <yVal>
            <numRef>
              <f>'CROQUIS_DATOS'!$FV$27</f>
            </numRef>
          </yVal>
          <smooth val="0"/>
        </ser>
        <ser>
          <idx val="27"/>
          <order val="27"/>
          <tx>
            <strRef>
              <f>CROQUIS_DATOS!$FX$48</f>
            </strRef>
          </tx>
          <spPr>
            <a:ln xmlns:a="http://schemas.openxmlformats.org/drawingml/2006/main">
              <a:noFill/>
              <a:prstDash val="solid"/>
            </a:ln>
          </spPr>
          <marker>
            <symbol val="diamond"/>
            <size val="9"/>
            <spPr>
              <a:solidFill xmlns:a="http://schemas.openxmlformats.org/drawingml/2006/main">
                <a:srgbClr val="C00000"/>
              </a:solidFill>
              <a:ln xmlns:a="http://schemas.openxmlformats.org/drawingml/2006/main">
                <a:solidFill>
                  <a:srgbClr val="C00000"/>
                </a:solidFill>
                <a:prstDash val="solid"/>
              </a:ln>
            </spPr>
          </marker>
          <dLbls>
            <dLbl>
              <idx val="0"/>
              <dLblPos val="t"/>
              <showLegendKey val="0"/>
              <showVal val="0"/>
              <showCatName val="0"/>
              <showSerName val="1"/>
              <showPercent val="0"/>
            </dLbl>
            <showLegendKey val="0"/>
            <showVal val="0"/>
            <showCatName val="0"/>
            <showSerName val="0"/>
          </dLbls>
          <xVal>
            <numRef>
              <f>'CROQUIS_DATOS'!$FU$48</f>
            </numRef>
          </xVal>
          <yVal>
            <numRef>
              <f>'CROQUIS_DATOS'!$FV$48</f>
            </numRef>
          </yVal>
          <smooth val="0"/>
        </ser>
        <ser>
          <idx val="28"/>
          <order val="28"/>
          <tx>
            <strRef>
              <f>CROQUIS_DATOS!$FX$49</f>
            </strRef>
          </tx>
          <spPr>
            <a:ln xmlns:a="http://schemas.openxmlformats.org/drawingml/2006/main">
              <a:noFill/>
              <a:prstDash val="solid"/>
            </a:ln>
          </spPr>
          <marker>
            <symbol val="diamond"/>
            <size val="9"/>
            <spPr>
              <a:solidFill xmlns:a="http://schemas.openxmlformats.org/drawingml/2006/main">
                <a:srgbClr val="C00000"/>
              </a:solidFill>
              <a:ln xmlns:a="http://schemas.openxmlformats.org/drawingml/2006/main">
                <a:solidFill>
                  <a:srgbClr val="C00000"/>
                </a:solidFill>
                <a:prstDash val="solid"/>
              </a:ln>
            </spPr>
          </marker>
          <dLbls>
            <dLbl>
              <idx val="0"/>
              <dLblPos val="t"/>
              <showLegendKey val="0"/>
              <showVal val="0"/>
              <showCatName val="0"/>
              <showSerName val="1"/>
              <showPercent val="0"/>
            </dLbl>
            <showLegendKey val="0"/>
            <showVal val="0"/>
            <showCatName val="0"/>
            <showSerName val="0"/>
          </dLbls>
          <xVal>
            <numRef>
              <f>'CROQUIS_DATOS'!$FU$49</f>
            </numRef>
          </xVal>
          <yVal>
            <numRef>
              <f>'CROQUIS_DATOS'!$FV$49</f>
            </numRef>
          </yVal>
          <smooth val="0"/>
        </ser>
        <ser>
          <idx val="29"/>
          <order val="29"/>
          <tx>
            <strRef>
              <f>CROQUIS_DATOS!$FX$50</f>
            </strRef>
          </tx>
          <spPr>
            <a:ln xmlns:a="http://schemas.openxmlformats.org/drawingml/2006/main">
              <a:noFill/>
              <a:prstDash val="solid"/>
            </a:ln>
          </spPr>
          <marker>
            <symbol val="diamond"/>
            <size val="9"/>
            <spPr>
              <a:solidFill xmlns:a="http://schemas.openxmlformats.org/drawingml/2006/main">
                <a:srgbClr val="C00000"/>
              </a:solidFill>
              <a:ln xmlns:a="http://schemas.openxmlformats.org/drawingml/2006/main">
                <a:solidFill>
                  <a:srgbClr val="C00000"/>
                </a:solidFill>
                <a:prstDash val="solid"/>
              </a:ln>
            </spPr>
          </marker>
          <dLbls>
            <dLbl>
              <idx val="0"/>
              <dLblPos val="t"/>
              <showLegendKey val="0"/>
              <showVal val="0"/>
              <showCatName val="0"/>
              <showSerName val="1"/>
              <showPercent val="0"/>
            </dLbl>
            <showLegendKey val="0"/>
            <showVal val="0"/>
            <showCatName val="0"/>
            <showSerName val="0"/>
          </dLbls>
          <xVal>
            <numRef>
              <f>'CROQUIS_DATOS'!$FU$50</f>
            </numRef>
          </xVal>
          <yVal>
            <numRef>
              <f>'CROQUIS_DATOS'!$FV$50</f>
            </numRef>
          </yVal>
          <smooth val="0"/>
        </ser>
        <ser>
          <idx val="30"/>
          <order val="30"/>
          <tx>
            <strRef>
              <f>CROQUIS_DATOS!$FX$51</f>
            </strRef>
          </tx>
          <spPr>
            <a:ln xmlns:a="http://schemas.openxmlformats.org/drawingml/2006/main">
              <a:noFill/>
              <a:prstDash val="solid"/>
            </a:ln>
          </spPr>
          <marker>
            <symbol val="diamond"/>
            <size val="9"/>
            <spPr>
              <a:solidFill xmlns:a="http://schemas.openxmlformats.org/drawingml/2006/main">
                <a:srgbClr val="C00000"/>
              </a:solidFill>
              <a:ln xmlns:a="http://schemas.openxmlformats.org/drawingml/2006/main">
                <a:solidFill>
                  <a:srgbClr val="C00000"/>
                </a:solidFill>
                <a:prstDash val="solid"/>
              </a:ln>
            </spPr>
          </marker>
          <dLbls>
            <dLbl>
              <idx val="0"/>
              <dLblPos val="t"/>
              <showLegendKey val="0"/>
              <showVal val="0"/>
              <showCatName val="0"/>
              <showSerName val="1"/>
              <showPercent val="0"/>
            </dLbl>
            <showLegendKey val="0"/>
            <showVal val="0"/>
            <showCatName val="0"/>
            <showSerName val="0"/>
          </dLbls>
          <xVal>
            <numRef>
              <f>'CROQUIS_DATOS'!$FU$51</f>
            </numRef>
          </xVal>
          <yVal>
            <numRef>
              <f>'CROQUIS_DATOS'!$FV$51</f>
            </numRef>
          </yVal>
          <smooth val="0"/>
        </ser>
        <ser>
          <idx val="31"/>
          <order val="31"/>
          <tx>
            <strRef>
              <f>CROQUIS_DATOS!$FX$52</f>
            </strRef>
          </tx>
          <spPr>
            <a:ln xmlns:a="http://schemas.openxmlformats.org/drawingml/2006/main">
              <a:noFill/>
              <a:prstDash val="solid"/>
            </a:ln>
          </spPr>
          <marker>
            <symbol val="diamond"/>
            <size val="9"/>
            <spPr>
              <a:solidFill xmlns:a="http://schemas.openxmlformats.org/drawingml/2006/main">
                <a:srgbClr val="C00000"/>
              </a:solidFill>
              <a:ln xmlns:a="http://schemas.openxmlformats.org/drawingml/2006/main">
                <a:solidFill>
                  <a:srgbClr val="C00000"/>
                </a:solidFill>
                <a:prstDash val="solid"/>
              </a:ln>
            </spPr>
          </marker>
          <dLbls>
            <dLbl>
              <idx val="0"/>
              <dLblPos val="t"/>
              <showLegendKey val="0"/>
              <showVal val="0"/>
              <showCatName val="0"/>
              <showSerName val="1"/>
              <showPercent val="0"/>
            </dLbl>
            <showLegendKey val="0"/>
            <showVal val="0"/>
            <showCatName val="0"/>
            <showSerName val="0"/>
          </dLbls>
          <xVal>
            <numRef>
              <f>'CROQUIS_DATOS'!$FU$52</f>
            </numRef>
          </xVal>
          <yVal>
            <numRef>
              <f>'CROQUIS_DATOS'!$FV$52</f>
            </numRef>
          </yVal>
          <smooth val="0"/>
        </ser>
        <ser>
          <idx val="32"/>
          <order val="32"/>
          <tx>
            <strRef>
              <f>CROQUIS_DATOS!$FX$53</f>
            </strRef>
          </tx>
          <spPr>
            <a:ln xmlns:a="http://schemas.openxmlformats.org/drawingml/2006/main">
              <a:noFill/>
              <a:prstDash val="solid"/>
            </a:ln>
          </spPr>
          <marker>
            <symbol val="diamond"/>
            <size val="9"/>
            <spPr>
              <a:solidFill xmlns:a="http://schemas.openxmlformats.org/drawingml/2006/main">
                <a:srgbClr val="C00000"/>
              </a:solidFill>
              <a:ln xmlns:a="http://schemas.openxmlformats.org/drawingml/2006/main">
                <a:solidFill>
                  <a:srgbClr val="C00000"/>
                </a:solidFill>
                <a:prstDash val="solid"/>
              </a:ln>
            </spPr>
          </marker>
          <dLbls>
            <dLbl>
              <idx val="0"/>
              <dLblPos val="t"/>
              <showLegendKey val="0"/>
              <showVal val="0"/>
              <showCatName val="0"/>
              <showSerName val="1"/>
              <showPercent val="0"/>
            </dLbl>
            <showLegendKey val="0"/>
            <showVal val="0"/>
            <showCatName val="0"/>
            <showSerName val="0"/>
          </dLbls>
          <xVal>
            <numRef>
              <f>'CROQUIS_DATOS'!$FU$53</f>
            </numRef>
          </xVal>
          <yVal>
            <numRef>
              <f>'CROQUIS_DATOS'!$FV$53</f>
            </numRef>
          </yVal>
          <smooth val="0"/>
        </ser>
        <ser>
          <idx val="33"/>
          <order val="33"/>
          <tx>
            <strRef>
              <f>CROQUIS_DATOS!$FX$54</f>
            </strRef>
          </tx>
          <spPr>
            <a:ln xmlns:a="http://schemas.openxmlformats.org/drawingml/2006/main">
              <a:noFill/>
              <a:prstDash val="solid"/>
            </a:ln>
          </spPr>
          <marker>
            <symbol val="diamond"/>
            <size val="9"/>
            <spPr>
              <a:solidFill xmlns:a="http://schemas.openxmlformats.org/drawingml/2006/main">
                <a:srgbClr val="C00000"/>
              </a:solidFill>
              <a:ln xmlns:a="http://schemas.openxmlformats.org/drawingml/2006/main">
                <a:solidFill>
                  <a:srgbClr val="C00000"/>
                </a:solidFill>
                <a:prstDash val="solid"/>
              </a:ln>
            </spPr>
          </marker>
          <dLbls>
            <dLbl>
              <idx val="0"/>
              <dLblPos val="t"/>
              <showLegendKey val="0"/>
              <showVal val="0"/>
              <showCatName val="0"/>
              <showSerName val="1"/>
              <showPercent val="0"/>
            </dLbl>
            <showLegendKey val="0"/>
            <showVal val="0"/>
            <showCatName val="0"/>
            <showSerName val="0"/>
          </dLbls>
          <xVal>
            <numRef>
              <f>'CROQUIS_DATOS'!$FU$54</f>
            </numRef>
          </xVal>
          <yVal>
            <numRef>
              <f>'CROQUIS_DATOS'!$FV$54</f>
            </numRef>
          </yVal>
          <smooth val="0"/>
        </ser>
        <ser>
          <idx val="34"/>
          <order val="34"/>
          <tx>
            <strRef>
              <f>CROQUIS_DATOS!$FX$55</f>
            </strRef>
          </tx>
          <spPr>
            <a:ln xmlns:a="http://schemas.openxmlformats.org/drawingml/2006/main">
              <a:noFill/>
              <a:prstDash val="solid"/>
            </a:ln>
          </spPr>
          <marker>
            <symbol val="diamond"/>
            <size val="9"/>
            <spPr>
              <a:solidFill xmlns:a="http://schemas.openxmlformats.org/drawingml/2006/main">
                <a:srgbClr val="C00000"/>
              </a:solidFill>
              <a:ln xmlns:a="http://schemas.openxmlformats.org/drawingml/2006/main">
                <a:solidFill>
                  <a:srgbClr val="C00000"/>
                </a:solidFill>
                <a:prstDash val="solid"/>
              </a:ln>
            </spPr>
          </marker>
          <dLbls>
            <dLbl>
              <idx val="0"/>
              <dLblPos val="t"/>
              <showLegendKey val="0"/>
              <showVal val="0"/>
              <showCatName val="0"/>
              <showSerName val="1"/>
              <showPercent val="0"/>
            </dLbl>
            <showLegendKey val="0"/>
            <showVal val="0"/>
            <showCatName val="0"/>
            <showSerName val="0"/>
          </dLbls>
          <xVal>
            <numRef>
              <f>'CROQUIS_DATOS'!$FU$55</f>
            </numRef>
          </xVal>
          <yVal>
            <numRef>
              <f>'CROQUIS_DATOS'!$FV$55</f>
            </numRef>
          </yVal>
          <smooth val="0"/>
        </ser>
        <axId val="10"/>
        <axId val="20"/>
      </scatterChart>
      <valAx>
        <axId val="10"/>
        <scaling>
          <orientation val="minMax"/>
          <max val="9.6"/>
          <min val="-2.6"/>
        </scaling>
        <delete val="1"/>
        <axPos val="l"/>
        <majorTickMark val="none"/>
        <minorTickMark val="none"/>
        <crossAx val="20"/>
      </valAx>
      <valAx>
        <axId val="20"/>
        <scaling>
          <orientation val="minMax"/>
          <max val="25"/>
          <min val="-0.6"/>
        </scaling>
        <delete val="1"/>
        <axPos val="l"/>
        <majorTickMark val="none"/>
        <minorTickMark val="none"/>
        <crossAx val="10"/>
      </valAx>
    </plotArea>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PLANTA N+6.00 — APOYOS, PRINCIPALES Y VACÍOS</a:t>
            </a:r>
          </a:p>
        </rich>
      </tx>
    </title>
    <plotArea>
      <scatterChart>
        <scatterStyle val="lineMarker"/>
        <ser>
          <idx val="0"/>
          <order val="0"/>
          <tx>
            <v>Tableros</v>
          </tx>
          <spPr>
            <a:ln xmlns:a="http://schemas.openxmlformats.org/drawingml/2006/main" w="9525">
              <a:solidFill>
                <a:srgbClr val="8EA9DB"/>
              </a:solidFill>
              <a:prstDash val="solid"/>
            </a:ln>
          </spPr>
          <marker>
            <symbol val="none"/>
            <spPr>
              <a:ln xmlns:a="http://schemas.openxmlformats.org/drawingml/2006/main">
                <a:prstDash val="solid"/>
              </a:ln>
            </spPr>
          </marker>
          <xVal>
            <numRef>
              <f>'CROQUIS_DATOS'!$DG$8:$DG$87</f>
            </numRef>
          </xVal>
          <yVal>
            <numRef>
              <f>'CROQUIS_DATOS'!$DH$8:$DH$87</f>
            </numRef>
          </yVal>
          <smooth val="0"/>
        </ser>
        <ser>
          <idx val="1"/>
          <order val="1"/>
          <tx>
            <v>Muros que cargan</v>
          </tx>
          <spPr>
            <a:ln xmlns:a="http://schemas.openxmlformats.org/drawingml/2006/main" w="44450">
              <a:solidFill>
                <a:srgbClr val="7F7F7F"/>
              </a:solidFill>
              <a:prstDash val="solid"/>
            </a:ln>
          </spPr>
          <marker>
            <symbol val="none"/>
            <spPr>
              <a:ln xmlns:a="http://schemas.openxmlformats.org/drawingml/2006/main">
                <a:prstDash val="solid"/>
              </a:ln>
            </spPr>
          </marker>
          <xVal>
            <numRef>
              <f>'CROQUIS_DATOS'!$DI$8:$DI$73</f>
            </numRef>
          </xVal>
          <yVal>
            <numRef>
              <f>'CROQUIS_DATOS'!$DJ$8:$DJ$73</f>
            </numRef>
          </yVal>
          <smooth val="0"/>
        </ser>
        <ser>
          <idx val="2"/>
          <order val="2"/>
          <tx>
            <v>Vacíos</v>
          </tx>
          <spPr>
            <a:ln xmlns:a="http://schemas.openxmlformats.org/drawingml/2006/main" w="12700">
              <a:solidFill>
                <a:srgbClr val="7030A0"/>
              </a:solidFill>
              <a:prstDash val="dash"/>
            </a:ln>
          </spPr>
          <marker>
            <symbol val="none"/>
            <spPr>
              <a:ln xmlns:a="http://schemas.openxmlformats.org/drawingml/2006/main">
                <a:prstDash val="solid"/>
              </a:ln>
            </spPr>
          </marker>
          <xVal>
            <numRef>
              <f>'CROQUIS_DATOS'!$DM$8:$DM$67</f>
            </numRef>
          </xVal>
          <yVal>
            <numRef>
              <f>'CROQUIS_DATOS'!$DN$8:$DN$67</f>
            </numRef>
          </yVal>
          <smooth val="0"/>
        </ser>
        <ser>
          <idx val="3"/>
          <order val="3"/>
          <tx>
            <v>Nervaduras principales sin muro</v>
          </tx>
          <spPr>
            <a:ln xmlns:a="http://schemas.openxmlformats.org/drawingml/2006/main" w="25400">
              <a:solidFill>
                <a:srgbClr val="C00000"/>
              </a:solidFill>
              <a:prstDash val="solid"/>
            </a:ln>
          </spPr>
          <marker>
            <symbol val="none"/>
            <spPr>
              <a:ln xmlns:a="http://schemas.openxmlformats.org/drawingml/2006/main">
                <a:prstDash val="solid"/>
              </a:ln>
            </spPr>
          </marker>
          <xVal>
            <numRef>
              <f>'CROQUIS_DATOS'!$DK$8:$DK$19</f>
            </numRef>
          </xVal>
          <yVal>
            <numRef>
              <f>'CROQUIS_DATOS'!$DL$8:$DL$19</f>
            </numRef>
          </yVal>
          <smooth val="0"/>
        </ser>
        <ser>
          <idx val="4"/>
          <order val="4"/>
          <tx>
            <v>Castillos</v>
          </tx>
          <spPr>
            <a:ln xmlns:a="http://schemas.openxmlformats.org/drawingml/2006/main">
              <a:noFill/>
              <a:prstDash val="solid"/>
            </a:ln>
          </spPr>
          <marker>
            <symbol val="square"/>
            <size val="4"/>
            <spPr>
              <a:solidFill xmlns:a="http://schemas.openxmlformats.org/drawingml/2006/main">
                <a:srgbClr val="000000"/>
              </a:solidFill>
              <a:ln xmlns:a="http://schemas.openxmlformats.org/drawingml/2006/main">
                <a:solidFill>
                  <a:srgbClr val="000000"/>
                </a:solidFill>
                <a:prstDash val="solid"/>
              </a:ln>
            </spPr>
          </marker>
          <xVal>
            <numRef>
              <f>'CROQUIS_DATOS'!$DO$8:$DO$76</f>
            </numRef>
          </xVal>
          <yVal>
            <numRef>
              <f>'CROQUIS_DATOS'!$DP$8:$DP$76</f>
            </numRef>
          </yVal>
          <smooth val="0"/>
        </ser>
        <ser>
          <idx val="5"/>
          <order val="5"/>
          <tx>
            <v>Tablero escogido</v>
          </tx>
          <spPr>
            <a:ln xmlns:a="http://schemas.openxmlformats.org/drawingml/2006/main" w="38100">
              <a:solidFill>
                <a:srgbClr val="0070C0"/>
              </a:solidFill>
              <a:prstDash val="solid"/>
            </a:ln>
          </spPr>
          <marker>
            <symbol val="none"/>
            <spPr>
              <a:ln xmlns:a="http://schemas.openxmlformats.org/drawingml/2006/main">
                <a:prstDash val="solid"/>
              </a:ln>
            </spPr>
          </marker>
          <xVal>
            <numRef>
              <f>'CROQUIS_DATOS'!$FO$8:$FO$25</f>
            </numRef>
          </xVal>
          <yVal>
            <numRef>
              <f>'CROQUIS_DATOS'!$FP$8:$FP$25</f>
            </numRef>
          </yVal>
          <smooth val="0"/>
        </ser>
        <ser>
          <idx val="6"/>
          <order val="6"/>
          <tx>
            <v>Principal escogida</v>
          </tx>
          <spPr>
            <a:ln xmlns:a="http://schemas.openxmlformats.org/drawingml/2006/main" w="57150">
              <a:solidFill>
                <a:srgbClr val="ED7D31"/>
              </a:solidFill>
              <a:prstDash val="solid"/>
            </a:ln>
          </spPr>
          <marker>
            <symbol val="none"/>
            <spPr>
              <a:ln xmlns:a="http://schemas.openxmlformats.org/drawingml/2006/main">
                <a:prstDash val="solid"/>
              </a:ln>
            </spPr>
          </marker>
          <xVal>
            <numRef>
              <f>'CROQUIS_DATOS'!$FQ$8:$FQ$9</f>
            </numRef>
          </xVal>
          <yVal>
            <numRef>
              <f>'CROQUIS_DATOS'!$FR$8:$FR$9</f>
            </numRef>
          </yVal>
          <smooth val="0"/>
        </ser>
        <ser>
          <idx val="7"/>
          <order val="7"/>
          <tx>
            <strRef>
              <f>CROQUIS_DATOS!$FT$28</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'CROQUIS_DATOS'!$FU$28</f>
            </numRef>
          </xVal>
          <yVal>
            <numRef>
              <f>'CROQUIS_DATOS'!$FV$28</f>
            </numRef>
          </yVal>
          <smooth val="0"/>
        </ser>
        <ser>
          <idx val="8"/>
          <order val="8"/>
          <tx>
            <strRef>
              <f>CROQUIS_DATOS!$FT$29</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'CROQUIS_DATOS'!$FU$29</f>
            </numRef>
          </xVal>
          <yVal>
            <numRef>
              <f>'CROQUIS_DATOS'!$FV$29</f>
            </numRef>
          </yVal>
          <smooth val="0"/>
        </ser>
        <ser>
          <idx val="9"/>
          <order val="9"/>
          <tx>
            <strRef>
              <f>CROQUIS_DATOS!$FT$30</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'CROQUIS_DATOS'!$FU$30</f>
            </numRef>
          </xVal>
          <yVal>
            <numRef>
              <f>'CROQUIS_DATOS'!$FV$30</f>
            </numRef>
          </yVal>
          <smooth val="0"/>
        </ser>
        <ser>
          <idx val="10"/>
          <order val="10"/>
          <tx>
            <strRef>
              <f>CROQUIS_DATOS!$FT$31</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'CROQUIS_DATOS'!$FU$31</f>
            </numRef>
          </xVal>
          <yVal>
            <numRef>
              <f>'CROQUIS_DATOS'!$FV$31</f>
            </numRef>
          </yVal>
          <smooth val="0"/>
        </ser>
        <ser>
          <idx val="11"/>
          <order val="11"/>
          <tx>
            <strRef>
              <f>CROQUIS_DATOS!$FT$32</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'CROQUIS_DATOS'!$FU$32</f>
            </numRef>
          </xVal>
          <yVal>
            <numRef>
              <f>'CROQUIS_DATOS'!$FV$32</f>
            </numRef>
          </yVal>
          <smooth val="0"/>
        </ser>
        <ser>
          <idx val="12"/>
          <order val="12"/>
          <tx>
            <strRef>
              <f>CROQUIS_DATOS!$FT$33</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'CROQUIS_DATOS'!$FU$33</f>
            </numRef>
          </xVal>
          <yVal>
            <numRef>
              <f>'CROQUIS_DATOS'!$FV$33</f>
            </numRef>
          </yVal>
          <smooth val="0"/>
        </ser>
        <ser>
          <idx val="13"/>
          <order val="13"/>
          <tx>
            <strRef>
              <f>CROQUIS_DATOS!$FT$34</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'CROQUIS_DATOS'!$FU$34</f>
            </numRef>
          </xVal>
          <yVal>
            <numRef>
              <f>'CROQUIS_DATOS'!$FV$34</f>
            </numRef>
          </yVal>
          <smooth val="0"/>
        </ser>
        <ser>
          <idx val="14"/>
          <order val="14"/>
          <tx>
            <strRef>
              <f>CROQUIS_DATOS!$FT$35</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'CROQUIS_DATOS'!$FU$35</f>
            </numRef>
          </xVal>
          <yVal>
            <numRef>
              <f>'CROQUIS_DATOS'!$FV$35</f>
            </numRef>
          </yVal>
          <smooth val="0"/>
        </ser>
        <ser>
          <idx val="15"/>
          <order val="15"/>
          <tx>
            <strRef>
              <f>CROQUIS_DATOS!$FT$36</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'CROQUIS_DATOS'!$FU$36</f>
            </numRef>
          </xVal>
          <yVal>
            <numRef>
              <f>'CROQUIS_DATOS'!$FV$36</f>
            </numRef>
          </yVal>
          <smooth val="0"/>
        </ser>
        <ser>
          <idx val="16"/>
          <order val="16"/>
          <tx>
            <strRef>
              <f>CROQUIS_DATOS!$FT$37</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'CROQUIS_DATOS'!$FU$37</f>
            </numRef>
          </xVal>
          <yVal>
            <numRef>
              <f>'CROQUIS_DATOS'!$FV$37</f>
            </numRef>
          </yVal>
          <smooth val="0"/>
        </ser>
        <ser>
          <idx val="17"/>
          <order val="17"/>
          <tx>
            <strRef>
              <f>CROQUIS_DATOS!$FT$38</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'CROQUIS_DATOS'!$FU$38</f>
            </numRef>
          </xVal>
          <yVal>
            <numRef>
              <f>'CROQUIS_DATOS'!$FV$38</f>
            </numRef>
          </yVal>
          <smooth val="0"/>
        </ser>
        <ser>
          <idx val="18"/>
          <order val="18"/>
          <tx>
            <strRef>
              <f>CROQUIS_DATOS!$FT$39</f>
            </strRef>
          </tx>
          <spPr>
            <a:ln xmlns:a="http://schemas.openxmlformats.org/drawingml/2006/main">
              <a:noFill/>
              <a:prstDash val="solid"/>
            </a:ln>
          </spPr>
          <marker>
            <symbol val="none"/>
            <size val="7"/>
            <spPr>
              <a:solidFill xmlns:a="http://schemas.openxmlformats.org/drawingml/2006/main">
                <a:srgbClr val="1F3864"/>
              </a:solidFill>
              <a:ln xmlns:a="http://schemas.openxmlformats.org/drawingml/2006/main">
                <a:solidFill>
                  <a:srgbClr val="1F3864"/>
                </a:solidFill>
                <a:prstDash val="solid"/>
              </a:ln>
            </spPr>
          </marker>
          <dLbls>
            <dLbl>
              <idx val="0"/>
              <dLblPos val="t"/>
              <showLegendKey val="0"/>
              <showVal val="0"/>
              <showCatName val="0"/>
              <showSerName val="1"/>
              <showPercent val="0"/>
            </dLbl>
            <showLegendKey val="0"/>
            <showVal val="0"/>
            <showCatName val="0"/>
            <showSerName val="0"/>
          </dLbls>
          <xVal>
            <numRef>
              <f>'CROQUIS_DATOS'!$FU$39</f>
            </numRef>
          </xVal>
          <yVal>
            <numRef>
              <f>'CROQUIS_DATOS'!$FV$39</f>
            </numRef>
          </yVal>
          <smooth val="0"/>
        </ser>
        <axId val="10"/>
        <axId val="20"/>
      </scatterChart>
      <valAx>
        <axId val="10"/>
        <scaling>
          <orientation val="minMax"/>
          <max val="9.6"/>
          <min val="-2.6"/>
        </scaling>
        <delete val="1"/>
        <axPos val="l"/>
        <majorTickMark val="none"/>
        <minorTickMark val="none"/>
        <crossAx val="20"/>
      </valAx>
      <valAx>
        <axId val="20"/>
        <scaling>
          <orientation val="minMax"/>
          <max val="25"/>
          <min val="-0.6"/>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style val="13"/>
  <chart>
    <title>
      <tx>
        <rich>
          <a:bodyPr xmlns:a="http://schemas.openxmlformats.org/drawingml/2006/main"/>
          <a:p xmlns:a="http://schemas.openxmlformats.org/drawingml/2006/main">
            <a:pPr>
              <a:defRPr/>
            </a:pPr>
            <a:r>
              <a:t>PLANTA DEL TABLERO — CASETONES Y NERVADURAS</a:t>
            </a:r>
          </a:p>
        </rich>
      </tx>
    </title>
    <plotArea>
      <scatterChart>
        <scatterStyle val="lineMarker"/>
        <ser>
          <idx val="0"/>
          <order val="0"/>
          <tx>
            <strRef>
              <f>CROQUIS_DATOS!$A$400</f>
            </strRef>
          </tx>
          <spPr>
            <a:ln xmlns:a="http://schemas.openxmlformats.org/drawingml/2006/main" w="27940">
              <a:solidFill>
                <a:srgbClr val="1F3864"/>
              </a:solidFill>
              <a:prstDash val="solid"/>
            </a:ln>
          </spPr>
          <marker>
            <symbol val="none"/>
            <spPr>
              <a:ln xmlns:a="http://schemas.openxmlformats.org/drawingml/2006/main">
                <a:prstDash val="solid"/>
              </a:ln>
            </spPr>
          </marker>
          <xVal>
            <numRef>
              <f>'CROQUIS_DATOS'!$B$8:$B$67</f>
            </numRef>
          </xVal>
          <yVal>
            <numRef>
              <f>'CROQUIS_DATOS'!$C$8:$C$67</f>
            </numRef>
          </yVal>
          <smooth val="0"/>
        </ser>
        <ser>
          <idx val="1"/>
          <order val="1"/>
          <tx>
            <strRef>
              <f>CROQUIS_DATOS!$A$401</f>
            </strRef>
          </tx>
          <spPr>
            <a:ln xmlns:a="http://schemas.openxmlformats.org/drawingml/2006/main" w="12700">
              <a:solidFill>
                <a:srgbClr val="C00000"/>
              </a:solidFill>
              <a:prstDash val="dash"/>
            </a:ln>
          </spPr>
          <marker>
            <symbol val="none"/>
            <spPr>
              <a:ln xmlns:a="http://schemas.openxmlformats.org/drawingml/2006/main">
                <a:prstDash val="solid"/>
              </a:ln>
            </spPr>
          </marker>
          <xVal>
            <numRef>
              <f>'CROQUIS_DATOS'!$D$8:$D$67</f>
            </numRef>
          </xVal>
          <yVal>
            <numRef>
              <f>'CROQUIS_DATOS'!$E$8:$E$67</f>
            </numRef>
          </yVal>
          <smooth val="0"/>
        </ser>
        <ser>
          <idx val="2"/>
          <order val="2"/>
          <tx>
            <strRef>
              <f>CROQUIS_DATOS!$A$402</f>
            </strRef>
          </tx>
          <spPr>
            <a:ln xmlns:a="http://schemas.openxmlformats.org/drawingml/2006/main" w="9525">
              <a:solidFill>
                <a:srgbClr val="A6A6A6"/>
              </a:solidFill>
              <a:prstDash val="solid"/>
            </a:ln>
          </spPr>
          <marker>
            <symbol val="none"/>
            <spPr>
              <a:ln xmlns:a="http://schemas.openxmlformats.org/drawingml/2006/main">
                <a:prstDash val="solid"/>
              </a:ln>
            </spPr>
          </marker>
          <xVal>
            <numRef>
              <f>'CROQUIS_DATOS'!$F$8:$F$67</f>
            </numRef>
          </xVal>
          <yVal>
            <numRef>
              <f>'CROQUIS_DATOS'!$G$8:$G$67</f>
            </numRef>
          </yVal>
          <smooth val="0"/>
        </ser>
        <ser>
          <idx val="3"/>
          <order val="3"/>
          <tx>
            <strRef>
              <f>CROQUIS_DATOS!$A$403</f>
            </strRef>
          </tx>
          <spPr>
            <a:ln xmlns:a="http://schemas.openxmlformats.org/drawingml/2006/main" w="9525">
              <a:solidFill>
                <a:srgbClr val="A6A6A6"/>
              </a:solidFill>
              <a:prstDash val="solid"/>
            </a:ln>
          </spPr>
          <marker>
            <symbol val="none"/>
            <spPr>
              <a:ln xmlns:a="http://schemas.openxmlformats.org/drawingml/2006/main">
                <a:prstDash val="solid"/>
              </a:ln>
            </spPr>
          </marker>
          <xVal>
            <numRef>
              <f>'CROQUIS_DATOS'!$H$8:$H$67</f>
            </numRef>
          </xVal>
          <yVal>
            <numRef>
              <f>'CROQUIS_DATOS'!$I$8:$I$67</f>
            </numRef>
          </yVal>
          <smooth val="0"/>
        </ser>
        <ser>
          <idx val="4"/>
          <order val="4"/>
          <tx>
            <strRef>
              <f>CROQUIS_DATOS!$A$404</f>
            </strRef>
          </tx>
          <spPr>
            <a:ln xmlns:a="http://schemas.openxmlformats.org/drawingml/2006/main" w="31750">
              <a:solidFill>
                <a:srgbClr val="0070C0"/>
              </a:solidFill>
              <a:prstDash val="solid"/>
            </a:ln>
          </spPr>
          <marker>
            <symbol val="none"/>
            <spPr>
              <a:ln xmlns:a="http://schemas.openxmlformats.org/drawingml/2006/main">
                <a:prstDash val="solid"/>
              </a:ln>
            </spPr>
          </marker>
          <xVal>
            <numRef>
              <f>'CROQUIS_DATOS'!$J$8:$J$13</f>
            </numRef>
          </xVal>
          <yVal>
            <numRef>
              <f>'CROQUIS_DATOS'!$K$8:$K$13</f>
            </numRef>
          </yVal>
          <smooth val="0"/>
        </ser>
        <ser>
          <idx val="5"/>
          <order val="5"/>
          <tx>
            <strRef>
              <f>CROQUIS_DATOS!$A$405</f>
            </strRef>
          </tx>
          <spPr>
            <a:ln xmlns:a="http://schemas.openxmlformats.org/drawingml/2006/main" w="19050">
              <a:solidFill>
                <a:srgbClr val="7F4F00"/>
              </a:solidFill>
              <a:prstDash val="solid"/>
            </a:ln>
          </spPr>
          <marker>
            <symbol val="none"/>
            <spPr>
              <a:ln xmlns:a="http://schemas.openxmlformats.org/drawingml/2006/main">
                <a:prstDash val="solid"/>
              </a:ln>
            </spPr>
          </marker>
          <xVal>
            <numRef>
              <f>'CROQUIS_DATOS'!$L$8:$L$13</f>
            </numRef>
          </xVal>
          <yVal>
            <numRef>
              <f>'CROQUIS_DATOS'!$M$8:$M$13</f>
            </numRef>
          </yVal>
          <smooth val="0"/>
        </ser>
        <ser>
          <idx val="6"/>
          <order val="6"/>
          <tx>
            <strRef>
              <f>CROQUIS_DATOS!$A$406</f>
            </strRef>
          </tx>
          <spPr>
            <a:ln xmlns:a="http://schemas.openxmlformats.org/drawingml/2006/main" w="31750">
              <a:solidFill>
                <a:srgbClr val="C00000"/>
              </a:solidFill>
              <a:prstDash val="solid"/>
            </a:ln>
          </spPr>
          <marker>
            <symbol val="none"/>
            <spPr>
              <a:ln xmlns:a="http://schemas.openxmlformats.org/drawingml/2006/main">
                <a:prstDash val="solid"/>
              </a:ln>
            </spPr>
          </marker>
          <xVal>
            <numRef>
              <f>'CROQUIS_DATOS'!$N$8:$N$13</f>
            </numRef>
          </xVal>
          <yVal>
            <numRef>
              <f>'CROQUIS_DATOS'!$O$8:$O$13</f>
            </numRef>
          </yVal>
          <smooth val="0"/>
        </ser>
        <ser>
          <idx val="7"/>
          <order val="7"/>
          <tx>
            <strRef>
              <f>CROQUIS_DATOS!$A$407</f>
            </strRef>
          </tx>
          <spPr>
            <a:ln xmlns:a="http://schemas.openxmlformats.org/drawingml/2006/main" w="31750">
              <a:solidFill>
                <a:srgbClr val="C00000"/>
              </a:solidFill>
              <a:prstDash val="solid"/>
            </a:ln>
          </spPr>
          <marker>
            <symbol val="none"/>
            <spPr>
              <a:ln xmlns:a="http://schemas.openxmlformats.org/drawingml/2006/main">
                <a:prstDash val="solid"/>
              </a:ln>
            </spPr>
          </marker>
          <xVal>
            <numRef>
              <f>'CROQUIS_DATOS'!$P$8:$P$13</f>
            </numRef>
          </xVal>
          <yVal>
            <numRef>
              <f>'CROQUIS_DATOS'!$Q$8:$Q$13</f>
            </numRef>
          </yVal>
          <smooth val="0"/>
        </ser>
        <ser>
          <idx val="8"/>
          <order val="8"/>
          <tx>
            <strRef>
              <f>CROQUIS_DATOS!$A$408</f>
            </strRef>
          </tx>
          <spPr>
            <a:ln xmlns:a="http://schemas.openxmlformats.org/drawingml/2006/main" w="25400">
              <a:solidFill>
                <a:srgbClr val="00B050"/>
              </a:solidFill>
              <a:prstDash val="solid"/>
            </a:ln>
          </spPr>
          <marker>
            <symbol val="none"/>
            <spPr>
              <a:ln xmlns:a="http://schemas.openxmlformats.org/drawingml/2006/main">
                <a:prstDash val="solid"/>
              </a:ln>
            </spPr>
          </marker>
          <xVal>
            <numRef>
              <f>'CROQUIS_DATOS'!$R$8:$R$13</f>
            </numRef>
          </xVal>
          <yVal>
            <numRef>
              <f>'CROQUIS_DATOS'!$S$8:$S$13</f>
            </numRef>
          </yVal>
          <smooth val="0"/>
        </ser>
        <ser>
          <idx val="9"/>
          <order val="9"/>
          <tx>
            <strRef>
              <f>CROQUIS_DATOS!$A$409</f>
            </strRef>
          </tx>
          <spPr>
            <a:ln xmlns:a="http://schemas.openxmlformats.org/drawingml/2006/main" w="19050">
              <a:solidFill>
                <a:srgbClr val="375623"/>
              </a:solidFill>
              <a:prstDash val="solid"/>
            </a:ln>
          </spPr>
          <marker>
            <symbol val="none"/>
            <spPr>
              <a:ln xmlns:a="http://schemas.openxmlformats.org/drawingml/2006/main">
                <a:prstDash val="solid"/>
              </a:ln>
            </spPr>
          </marker>
          <xVal>
            <numRef>
              <f>'CROQUIS_DATOS'!$T$8:$T$13</f>
            </numRef>
          </xVal>
          <yVal>
            <numRef>
              <f>'CROQUIS_DATOS'!$U$8:$U$13</f>
            </numRef>
          </yVal>
          <smooth val="0"/>
        </ser>
        <ser>
          <idx val="10"/>
          <order val="10"/>
          <tx>
            <strRef>
              <f>CROQUIS_DATOS!$A$410</f>
            </strRef>
          </tx>
          <spPr>
            <a:ln xmlns:a="http://schemas.openxmlformats.org/drawingml/2006/main" w="25400">
              <a:solidFill>
                <a:srgbClr val="ED7D31"/>
              </a:solidFill>
              <a:prstDash val="solid"/>
            </a:ln>
          </spPr>
          <marker>
            <symbol val="none"/>
            <spPr>
              <a:ln xmlns:a="http://schemas.openxmlformats.org/drawingml/2006/main">
                <a:prstDash val="solid"/>
              </a:ln>
            </spPr>
          </marker>
          <xVal>
            <numRef>
              <f>'CROQUIS_DATOS'!$V$8:$V$13</f>
            </numRef>
          </xVal>
          <yVal>
            <numRef>
              <f>'CROQUIS_DATOS'!$W$8:$W$13</f>
            </numRef>
          </yVal>
          <smooth val="0"/>
        </ser>
        <ser>
          <idx val="11"/>
          <order val="11"/>
          <tx>
            <strRef>
              <f>CROQUIS_DATOS!$A$411</f>
            </strRef>
          </tx>
          <spPr>
            <a:ln xmlns:a="http://schemas.openxmlformats.org/drawingml/2006/main" w="25400">
              <a:solidFill>
                <a:srgbClr val="ED7D31"/>
              </a:solidFill>
              <a:prstDash val="solid"/>
            </a:ln>
          </spPr>
          <marker>
            <symbol val="none"/>
            <spPr>
              <a:ln xmlns:a="http://schemas.openxmlformats.org/drawingml/2006/main">
                <a:prstDash val="solid"/>
              </a:ln>
            </spPr>
          </marker>
          <xVal>
            <numRef>
              <f>'CROQUIS_DATOS'!$X$8:$X$13</f>
            </numRef>
          </xVal>
          <yVal>
            <numRef>
              <f>'CROQUIS_DATOS'!$Y$8:$Y$13</f>
            </numRef>
          </yVal>
          <smooth val="0"/>
        </ser>
        <ser>
          <idx val="12"/>
          <order val="12"/>
          <tx>
            <strRef>
              <f>CROQUIS_DATOS!$A$412</f>
            </strRef>
          </tx>
          <spPr>
            <a:ln xmlns:a="http://schemas.openxmlformats.org/drawingml/2006/main" w="9525">
              <a:solidFill>
                <a:srgbClr val="7030A0"/>
              </a:solidFill>
              <a:prstDash val="solid"/>
            </a:ln>
          </spPr>
          <marker>
            <symbol val="none"/>
            <spPr>
              <a:ln xmlns:a="http://schemas.openxmlformats.org/drawingml/2006/main">
                <a:prstDash val="solid"/>
              </a:ln>
            </spPr>
          </marker>
          <dLbls>
            <dLbl>
              <idx val="3"/>
              <dLblPos val="t"/>
              <showLegendKey val="0"/>
              <showVal val="0"/>
              <showCatName val="0"/>
              <showSerName val="1"/>
              <showPercent val="0"/>
            </dLbl>
            <showLegendKey val="0"/>
            <showVal val="0"/>
            <showCatName val="0"/>
            <showSerName val="0"/>
          </dLbls>
          <xVal>
            <numRef>
              <f>'CROQUIS_DATOS'!$Z$8:$Z$14</f>
            </numRef>
          </xVal>
          <yVal>
            <numRef>
              <f>'CROQUIS_DATOS'!$AA$8:$AA$14</f>
            </numRef>
          </yVal>
          <smooth val="0"/>
        </ser>
        <ser>
          <idx val="13"/>
          <order val="13"/>
          <tx>
            <strRef>
              <f>CROQUIS_DATOS!$A$413</f>
            </strRef>
          </tx>
          <spPr>
            <a:ln xmlns:a="http://schemas.openxmlformats.org/drawingml/2006/main" w="9525">
              <a:solidFill>
                <a:srgbClr val="7030A0"/>
              </a:solidFill>
              <a:prstDash val="solid"/>
            </a:ln>
          </spPr>
          <marker>
            <symbol val="none"/>
            <spPr>
              <a:ln xmlns:a="http://schemas.openxmlformats.org/drawingml/2006/main">
                <a:prstDash val="solid"/>
              </a:ln>
            </spPr>
          </marker>
          <dLbls>
            <dLbl>
              <idx val="3"/>
              <dLblPos val="t"/>
              <showLegendKey val="0"/>
              <showVal val="0"/>
              <showCatName val="0"/>
              <showSerName val="1"/>
              <showPercent val="0"/>
            </dLbl>
            <showLegendKey val="0"/>
            <showVal val="0"/>
            <showCatName val="0"/>
            <showSerName val="0"/>
          </dLbls>
          <xVal>
            <numRef>
              <f>'CROQUIS_DATOS'!$AB$8:$AB$14</f>
            </numRef>
          </xVal>
          <yVal>
            <numRef>
              <f>'CROQUIS_DATOS'!$AC$8:$AC$14</f>
            </numRef>
          </yVal>
          <smooth val="0"/>
        </ser>
        <ser>
          <idx val="14"/>
          <order val="14"/>
          <tx>
            <strRef>
              <f>CROQUIS_DATOS!$A$414</f>
            </strRef>
          </tx>
          <spPr>
            <a:ln xmlns:a="http://schemas.openxmlformats.org/drawingml/2006/main" w="9525">
              <a:solidFill>
                <a:srgbClr val="7030A0"/>
              </a:solidFill>
              <a:prstDash val="solid"/>
            </a:ln>
          </spPr>
          <marker>
            <symbol val="none"/>
            <spPr>
              <a:ln xmlns:a="http://schemas.openxmlformats.org/drawingml/2006/main">
                <a:prstDash val="solid"/>
              </a:ln>
            </spPr>
          </marker>
          <dLbls>
            <dLbl>
              <idx val="3"/>
              <dLblPos val="t"/>
              <showLegendKey val="0"/>
              <showVal val="0"/>
              <showCatName val="0"/>
              <showSerName val="1"/>
              <showPercent val="0"/>
            </dLbl>
            <showLegendKey val="0"/>
            <showVal val="0"/>
            <showCatName val="0"/>
            <showSerName val="0"/>
          </dLbls>
          <xVal>
            <numRef>
              <f>'CROQUIS_DATOS'!$AD$8:$AD$14</f>
            </numRef>
          </xVal>
          <yVal>
            <numRef>
              <f>'CROQUIS_DATOS'!$AE$8:$AE$14</f>
            </numRef>
          </yVal>
          <smooth val="0"/>
        </ser>
        <axId val="10"/>
        <axId val="20"/>
      </scatterChart>
      <valAx>
        <axId val="10"/>
        <scaling>
          <orientation val="minMax"/>
          <max val="100"/>
          <min val="0"/>
        </scaling>
        <delete val="1"/>
        <axPos val="l"/>
        <majorTickMark val="none"/>
        <minorTickMark val="none"/>
        <crossAx val="20"/>
      </valAx>
      <valAx>
        <axId val="20"/>
        <scaling>
          <orientation val="minMax"/>
          <max val="100"/>
          <min val="0"/>
        </scaling>
        <delete val="1"/>
        <axPos val="l"/>
        <majorTickMark val="none"/>
        <minorTickMark val="none"/>
        <crossAx val="10"/>
      </valAx>
    </plotArea>
    <legend>
      <legendPos val="b"/>
      <legendEntry>
        <idx val="7"/>
        <delete val="1"/>
      </legendEntry>
      <legendEntry>
        <idx val="11"/>
        <delete val="1"/>
      </legendEntry>
    </legend>
    <plotVisOnly val="1"/>
    <dispBlanksAs val="gap"/>
  </chart>
</chartSpace>
</file>

<file path=xl/charts/chart4.xml><?xml version="1.0" encoding="utf-8"?>
<chartSpace xmlns="http://schemas.openxmlformats.org/drawingml/2006/chart">
  <style val="13"/>
  <chart>
    <title>
      <tx>
        <rich>
          <a:bodyPr xmlns:a="http://schemas.openxmlformats.org/drawingml/2006/main"/>
          <a:p xmlns:a="http://schemas.openxmlformats.org/drawingml/2006/main">
            <a:pPr>
              <a:defRPr/>
            </a:pPr>
            <a:r>
              <a:t>CORTE DE LA NERVADURA SECUNDARIA (cm)</a:t>
            </a:r>
          </a:p>
        </rich>
      </tx>
    </title>
    <plotArea>
      <scatterChart>
        <scatterStyle val="lineMarker"/>
        <ser>
          <idx val="0"/>
          <order val="0"/>
          <tx>
            <strRef>
              <f>CROQUIS_DATOS!$A$415</f>
            </strRef>
          </tx>
          <spPr>
            <a:ln xmlns:a="http://schemas.openxmlformats.org/drawingml/2006/main" w="27940">
              <a:solidFill>
                <a:srgbClr val="1F3864"/>
              </a:solidFill>
              <a:prstDash val="solid"/>
            </a:ln>
          </spPr>
          <marker>
            <symbol val="none"/>
            <spPr>
              <a:ln xmlns:a="http://schemas.openxmlformats.org/drawingml/2006/main">
                <a:prstDash val="solid"/>
              </a:ln>
            </spPr>
          </marker>
          <xVal>
            <numRef>
              <f>'CROQUIS_DATOS'!$AF$8:$AF$16</f>
            </numRef>
          </xVal>
          <yVal>
            <numRef>
              <f>'CROQUIS_DATOS'!$AG$8:$AG$16</f>
            </numRef>
          </yVal>
          <smooth val="0"/>
        </ser>
        <ser>
          <idx val="1"/>
          <order val="1"/>
          <tx>
            <strRef>
              <f>CROQUIS_DATOS!$A$416</f>
            </strRef>
          </tx>
          <spPr>
            <a:ln xmlns:a="http://schemas.openxmlformats.org/drawingml/2006/main" w="12700">
              <a:solidFill>
                <a:srgbClr val="A6A6A6"/>
              </a:solidFill>
              <a:prstDash val="dash"/>
            </a:ln>
          </spPr>
          <marker>
            <symbol val="none"/>
            <spPr>
              <a:ln xmlns:a="http://schemas.openxmlformats.org/drawingml/2006/main">
                <a:prstDash val="solid"/>
              </a:ln>
            </spPr>
          </marker>
          <xVal>
            <numRef>
              <f>'CROQUIS_DATOS'!$AH$8:$AH$12</f>
            </numRef>
          </xVal>
          <yVal>
            <numRef>
              <f>'CROQUIS_DATOS'!$AI$8:$AI$12</f>
            </numRef>
          </yVal>
          <smooth val="0"/>
        </ser>
        <ser>
          <idx val="2"/>
          <order val="2"/>
          <tx>
            <strRef>
              <f>CROQUIS_DATOS!$A$417</f>
            </strRef>
          </tx>
          <spPr>
            <a:ln xmlns:a="http://schemas.openxmlformats.org/drawingml/2006/main" w="12700">
              <a:solidFill>
                <a:srgbClr val="A6A6A6"/>
              </a:solidFill>
              <a:prstDash val="dash"/>
            </a:ln>
          </spPr>
          <marker>
            <symbol val="none"/>
            <spPr>
              <a:ln xmlns:a="http://schemas.openxmlformats.org/drawingml/2006/main">
                <a:prstDash val="solid"/>
              </a:ln>
            </spPr>
          </marker>
          <xVal>
            <numRef>
              <f>'CROQUIS_DATOS'!$AJ$8:$AJ$12</f>
            </numRef>
          </xVal>
          <yVal>
            <numRef>
              <f>'CROQUIS_DATOS'!$AK$8:$AK$12</f>
            </numRef>
          </yVal>
          <smooth val="0"/>
        </ser>
        <ser>
          <idx val="3"/>
          <order val="3"/>
          <tx>
            <strRef>
              <f>CROQUIS_DATOS!$A$418</f>
            </strRef>
          </tx>
          <spPr>
            <a:ln xmlns:a="http://schemas.openxmlformats.org/drawingml/2006/main" w="12700">
              <a:solidFill>
                <a:srgbClr val="00B050"/>
              </a:solidFill>
              <a:prstDash val="sysDash"/>
            </a:ln>
          </spPr>
          <marker>
            <symbol val="none"/>
            <spPr>
              <a:ln xmlns:a="http://schemas.openxmlformats.org/drawingml/2006/main">
                <a:prstDash val="solid"/>
              </a:ln>
            </spPr>
          </marker>
          <xVal>
            <numRef>
              <f>'CROQUIS_DATOS'!$AL$8:$AL$9</f>
            </numRef>
          </xVal>
          <yVal>
            <numRef>
              <f>'CROQUIS_DATOS'!$AM$8:$AM$9</f>
            </numRef>
          </yVal>
          <smooth val="0"/>
        </ser>
        <ser>
          <idx val="4"/>
          <order val="4"/>
          <tx>
            <strRef>
              <f>CROQUIS_DATOS!$A$421</f>
            </strRef>
          </tx>
          <spPr>
            <a:ln xmlns:a="http://schemas.openxmlformats.org/drawingml/2006/main" w="12700">
              <a:solidFill>
                <a:srgbClr val="7030A0"/>
              </a:solidFill>
              <a:prstDash val="solid"/>
            </a:ln>
          </spPr>
          <marker>
            <symbol val="none"/>
            <spPr>
              <a:ln xmlns:a="http://schemas.openxmlformats.org/drawingml/2006/main">
                <a:prstDash val="solid"/>
              </a:ln>
            </spPr>
          </marker>
          <xVal>
            <numRef>
              <f>'CROQUIS_DATOS'!$AR$8:$AR$12</f>
            </numRef>
          </xVal>
          <yVal>
            <numRef>
              <f>'CROQUIS_DATOS'!$AS$8:$AS$12</f>
            </numRef>
          </yVal>
          <smooth val="0"/>
        </ser>
        <ser>
          <idx val="5"/>
          <order val="5"/>
          <tx>
            <strRef>
              <f>CROQUIS_DATOS!$A$419</f>
            </strRef>
          </tx>
          <spPr>
            <a:ln xmlns:a="http://schemas.openxmlformats.org/drawingml/2006/main">
              <a:noFill/>
              <a:prstDash val="solid"/>
            </a:ln>
          </spPr>
          <marker>
            <symbol val="circle"/>
            <size val="8"/>
            <spPr>
              <a:solidFill xmlns:a="http://schemas.openxmlformats.org/drawingml/2006/main">
                <a:srgbClr val="0070C0"/>
              </a:solidFill>
              <a:ln xmlns:a="http://schemas.openxmlformats.org/drawingml/2006/main">
                <a:solidFill>
                  <a:srgbClr val="0070C0"/>
                </a:solidFill>
                <a:prstDash val="solid"/>
              </a:ln>
            </spPr>
          </marker>
          <xVal>
            <numRef>
              <f>'CROQUIS_DATOS'!$AN$8:$AN$9</f>
            </numRef>
          </xVal>
          <yVal>
            <numRef>
              <f>'CROQUIS_DATOS'!$AO$8:$AO$9</f>
            </numRef>
          </yVal>
          <smooth val="0"/>
        </ser>
        <ser>
          <idx val="6"/>
          <order val="6"/>
          <tx>
            <strRef>
              <f>CROQUIS_DATOS!$A$420</f>
            </strRef>
          </tx>
          <spPr>
            <a:ln xmlns:a="http://schemas.openxmlformats.org/drawingml/2006/main">
              <a:noFill/>
              <a:prstDash val="solid"/>
            </a:ln>
          </spPr>
          <marker>
            <symbol val="circle"/>
            <size val="8"/>
            <spPr>
              <a:solidFill xmlns:a="http://schemas.openxmlformats.org/drawingml/2006/main">
                <a:srgbClr val="C00000"/>
              </a:solidFill>
              <a:ln xmlns:a="http://schemas.openxmlformats.org/drawingml/2006/main">
                <a:solidFill>
                  <a:srgbClr val="C00000"/>
                </a:solidFill>
                <a:prstDash val="solid"/>
              </a:ln>
            </spPr>
          </marker>
          <xVal>
            <numRef>
              <f>'CROQUIS_DATOS'!$AP$8:$AP$9</f>
            </numRef>
          </xVal>
          <yVal>
            <numRef>
              <f>'CROQUIS_DATOS'!$AQ$8:$AQ$9</f>
            </numRef>
          </yVal>
          <smooth val="0"/>
        </ser>
        <ser>
          <idx val="7"/>
          <order val="7"/>
          <tx>
            <strRef>
              <f>CROQUIS_DATOS!$A$422</f>
            </strRef>
          </tx>
          <spPr>
            <a:ln xmlns:a="http://schemas.openxmlformats.org/drawingml/2006/main" w="9525">
              <a:solidFill>
                <a:srgbClr val="7F7F7F"/>
              </a:solidFill>
              <a:prstDash val="solid"/>
            </a:ln>
          </spPr>
          <marker>
            <symbol val="none"/>
            <spPr>
              <a:ln xmlns:a="http://schemas.openxmlformats.org/drawingml/2006/main">
                <a:prstDash val="solid"/>
              </a:ln>
            </spPr>
          </marker>
          <dLbls>
            <dLbl>
              <idx val="3"/>
              <dLblPos val="t"/>
              <showLegendKey val="0"/>
              <showVal val="0"/>
              <showCatName val="0"/>
              <showSerName val="1"/>
              <showPercent val="0"/>
            </dLbl>
            <showLegendKey val="0"/>
            <showVal val="0"/>
            <showCatName val="0"/>
            <showSerName val="0"/>
          </dLbls>
          <xVal>
            <numRef>
              <f>'CROQUIS_DATOS'!$AT$8:$AT$14</f>
            </numRef>
          </xVal>
          <yVal>
            <numRef>
              <f>'CROQUIS_DATOS'!$AU$8:$AU$14</f>
            </numRef>
          </yVal>
          <smooth val="0"/>
        </ser>
        <ser>
          <idx val="8"/>
          <order val="8"/>
          <tx>
            <strRef>
              <f>CROQUIS_DATOS!$A$423</f>
            </strRef>
          </tx>
          <spPr>
            <a:ln xmlns:a="http://schemas.openxmlformats.org/drawingml/2006/main" w="9525">
              <a:solidFill>
                <a:srgbClr val="7F7F7F"/>
              </a:solidFill>
              <a:prstDash val="solid"/>
            </a:ln>
          </spPr>
          <marker>
            <symbol val="none"/>
            <spPr>
              <a:ln xmlns:a="http://schemas.openxmlformats.org/drawingml/2006/main">
                <a:prstDash val="solid"/>
              </a:ln>
            </spPr>
          </marker>
          <dLbls>
            <dLbl>
              <idx val="3"/>
              <dLblPos val="t"/>
              <showLegendKey val="0"/>
              <showVal val="0"/>
              <showCatName val="0"/>
              <showSerName val="1"/>
              <showPercent val="0"/>
            </dLbl>
            <showLegendKey val="0"/>
            <showVal val="0"/>
            <showCatName val="0"/>
            <showSerName val="0"/>
          </dLbls>
          <xVal>
            <numRef>
              <f>'CROQUIS_DATOS'!$AV$8:$AV$14</f>
            </numRef>
          </xVal>
          <yVal>
            <numRef>
              <f>'CROQUIS_DATOS'!$AW$8:$AW$14</f>
            </numRef>
          </yVal>
          <smooth val="0"/>
        </ser>
        <ser>
          <idx val="9"/>
          <order val="9"/>
          <tx>
            <strRef>
              <f>CROQUIS_DATOS!$A$424</f>
            </strRef>
          </tx>
          <spPr>
            <a:ln xmlns:a="http://schemas.openxmlformats.org/drawingml/2006/main" w="9525">
              <a:solidFill>
                <a:srgbClr val="7F7F7F"/>
              </a:solidFill>
              <a:prstDash val="solid"/>
            </a:ln>
          </spPr>
          <marker>
            <symbol val="none"/>
            <spPr>
              <a:ln xmlns:a="http://schemas.openxmlformats.org/drawingml/2006/main">
                <a:prstDash val="solid"/>
              </a:ln>
            </spPr>
          </marker>
          <dLbls>
            <dLbl>
              <idx val="3"/>
              <dLblPos val="t"/>
              <showLegendKey val="0"/>
              <showVal val="0"/>
              <showCatName val="0"/>
              <showSerName val="1"/>
              <showPercent val="0"/>
            </dLbl>
            <showLegendKey val="0"/>
            <showVal val="0"/>
            <showCatName val="0"/>
            <showSerName val="0"/>
          </dLbls>
          <xVal>
            <numRef>
              <f>'CROQUIS_DATOS'!$AX$8:$AX$14</f>
            </numRef>
          </xVal>
          <yVal>
            <numRef>
              <f>'CROQUIS_DATOS'!$AY$8:$AY$14</f>
            </numRef>
          </yVal>
          <smooth val="0"/>
        </ser>
        <axId val="10"/>
        <axId val="20"/>
      </scatterChart>
      <valAx>
        <axId val="10"/>
        <scaling>
          <orientation val="minMax"/>
          <max val="42"/>
          <min val="-42"/>
        </scaling>
        <delete val="1"/>
        <axPos val="l"/>
        <majorTickMark val="none"/>
        <minorTickMark val="none"/>
        <crossAx val="20"/>
      </valAx>
      <valAx>
        <axId val="20"/>
        <scaling>
          <orientation val="minMax"/>
          <max val="34"/>
          <min val="-10"/>
        </scaling>
        <delete val="1"/>
        <axPos val="l"/>
        <majorTickMark val="none"/>
        <minorTickMark val="none"/>
        <crossAx val="10"/>
      </valAx>
    </plotArea>
    <legend>
      <legendPos val="b"/>
      <legendEntry>
        <idx val="2"/>
        <delete val="1"/>
      </legendEntry>
    </legend>
    <plotVisOnly val="1"/>
    <dispBlanksAs val="gap"/>
  </chart>
</chartSpace>
</file>

<file path=xl/charts/chart5.xml><?xml version="1.0" encoding="utf-8"?>
<chartSpace xmlns="http://schemas.openxmlformats.org/drawingml/2006/chart">
  <style val="13"/>
  <chart>
    <title>
      <tx>
        <rich>
          <a:bodyPr xmlns:a="http://schemas.openxmlformats.org/drawingml/2006/main"/>
          <a:p xmlns:a="http://schemas.openxmlformats.org/drawingml/2006/main">
            <a:pPr>
              <a:defRPr/>
            </a:pPr>
            <a:r>
              <a:t>ALZADO DE LA NERVADURA DEL CLARO CORTO</a:t>
            </a:r>
          </a:p>
        </rich>
      </tx>
    </title>
    <plotArea>
      <scatterChart>
        <scatterStyle val="lineMarker"/>
        <ser>
          <idx val="0"/>
          <order val="0"/>
          <tx>
            <strRef>
              <f>CROQUIS_DATOS!$A$425</f>
            </strRef>
          </tx>
          <spPr>
            <a:ln xmlns:a="http://schemas.openxmlformats.org/drawingml/2006/main" w="25400">
              <a:solidFill>
                <a:srgbClr val="1F3864"/>
              </a:solidFill>
              <a:prstDash val="solid"/>
            </a:ln>
          </spPr>
          <marker>
            <symbol val="none"/>
            <spPr>
              <a:ln xmlns:a="http://schemas.openxmlformats.org/drawingml/2006/main">
                <a:prstDash val="solid"/>
              </a:ln>
            </spPr>
          </marker>
          <xVal>
            <numRef>
              <f>'CROQUIS_DATOS'!$AZ$8:$AZ$12</f>
            </numRef>
          </xVal>
          <yVal>
            <numRef>
              <f>'CROQUIS_DATOS'!$BA$8:$BA$12</f>
            </numRef>
          </yVal>
          <smooth val="0"/>
        </ser>
        <ser>
          <idx val="1"/>
          <order val="1"/>
          <tx>
            <strRef>
              <f>CROQUIS_DATOS!$A$426</f>
            </strRef>
          </tx>
          <spPr>
            <a:ln xmlns:a="http://schemas.openxmlformats.org/drawingml/2006/main" w="31750">
              <a:solidFill>
                <a:srgbClr val="7F7F7F"/>
              </a:solidFill>
              <a:prstDash val="solid"/>
            </a:ln>
          </spPr>
          <marker>
            <symbol val="none"/>
            <spPr>
              <a:ln xmlns:a="http://schemas.openxmlformats.org/drawingml/2006/main">
                <a:prstDash val="solid"/>
              </a:ln>
            </spPr>
          </marker>
          <xVal>
            <numRef>
              <f>'CROQUIS_DATOS'!$BB$8:$BB$12</f>
            </numRef>
          </xVal>
          <yVal>
            <numRef>
              <f>'CROQUIS_DATOS'!$BC$8:$BC$12</f>
            </numRef>
          </yVal>
          <smooth val="0"/>
        </ser>
        <ser>
          <idx val="2"/>
          <order val="2"/>
          <tx>
            <strRef>
              <f>CROQUIS_DATOS!$A$427</f>
            </strRef>
          </tx>
          <spPr>
            <a:ln xmlns:a="http://schemas.openxmlformats.org/drawingml/2006/main" w="31750">
              <a:solidFill>
                <a:srgbClr val="7F7F7F"/>
              </a:solidFill>
              <a:prstDash val="solid"/>
            </a:ln>
          </spPr>
          <marker>
            <symbol val="none"/>
            <spPr>
              <a:ln xmlns:a="http://schemas.openxmlformats.org/drawingml/2006/main">
                <a:prstDash val="solid"/>
              </a:ln>
            </spPr>
          </marker>
          <xVal>
            <numRef>
              <f>'CROQUIS_DATOS'!$BD$8:$BD$12</f>
            </numRef>
          </xVal>
          <yVal>
            <numRef>
              <f>'CROQUIS_DATOS'!$BE$8:$BE$12</f>
            </numRef>
          </yVal>
          <smooth val="0"/>
        </ser>
        <ser>
          <idx val="3"/>
          <order val="3"/>
          <tx>
            <strRef>
              <f>CROQUIS_DATOS!$A$428</f>
            </strRef>
          </tx>
          <spPr>
            <a:ln xmlns:a="http://schemas.openxmlformats.org/drawingml/2006/main" w="31750">
              <a:solidFill>
                <a:srgbClr val="0070C0"/>
              </a:solidFill>
              <a:prstDash val="solid"/>
            </a:ln>
          </spPr>
          <marker>
            <symbol val="none"/>
            <spPr>
              <a:ln xmlns:a="http://schemas.openxmlformats.org/drawingml/2006/main">
                <a:prstDash val="solid"/>
              </a:ln>
            </spPr>
          </marker>
          <xVal>
            <numRef>
              <f>'CROQUIS_DATOS'!$BF$8:$BF$11</f>
            </numRef>
          </xVal>
          <yVal>
            <numRef>
              <f>'CROQUIS_DATOS'!$BG$8:$BG$11</f>
            </numRef>
          </yVal>
          <smooth val="0"/>
        </ser>
        <ser>
          <idx val="4"/>
          <order val="4"/>
          <tx>
            <strRef>
              <f>CROQUIS_DATOS!$A$429</f>
            </strRef>
          </tx>
          <spPr>
            <a:ln xmlns:a="http://schemas.openxmlformats.org/drawingml/2006/main" w="25400">
              <a:solidFill>
                <a:srgbClr val="7F4F00"/>
              </a:solidFill>
              <a:prstDash val="solid"/>
            </a:ln>
          </spPr>
          <marker>
            <symbol val="none"/>
            <spPr>
              <a:ln xmlns:a="http://schemas.openxmlformats.org/drawingml/2006/main">
                <a:prstDash val="solid"/>
              </a:ln>
            </spPr>
          </marker>
          <xVal>
            <numRef>
              <f>'CROQUIS_DATOS'!$BH$8:$BH$11</f>
            </numRef>
          </xVal>
          <yVal>
            <numRef>
              <f>'CROQUIS_DATOS'!$BI$8:$BI$11</f>
            </numRef>
          </yVal>
          <smooth val="0"/>
        </ser>
        <ser>
          <idx val="5"/>
          <order val="5"/>
          <tx>
            <strRef>
              <f>CROQUIS_DATOS!$A$430</f>
            </strRef>
          </tx>
          <spPr>
            <a:ln xmlns:a="http://schemas.openxmlformats.org/drawingml/2006/main" w="31750">
              <a:solidFill>
                <a:srgbClr val="C00000"/>
              </a:solidFill>
              <a:prstDash val="solid"/>
            </a:ln>
          </spPr>
          <marker>
            <symbol val="none"/>
            <spPr>
              <a:ln xmlns:a="http://schemas.openxmlformats.org/drawingml/2006/main">
                <a:prstDash val="solid"/>
              </a:ln>
            </spPr>
          </marker>
          <xVal>
            <numRef>
              <f>'CROQUIS_DATOS'!$BJ$8:$BJ$10</f>
            </numRef>
          </xVal>
          <yVal>
            <numRef>
              <f>'CROQUIS_DATOS'!$BK$8:$BK$10</f>
            </numRef>
          </yVal>
          <smooth val="0"/>
        </ser>
        <ser>
          <idx val="6"/>
          <order val="6"/>
          <tx>
            <strRef>
              <f>CROQUIS_DATOS!$A$431</f>
            </strRef>
          </tx>
          <spPr>
            <a:ln xmlns:a="http://schemas.openxmlformats.org/drawingml/2006/main" w="31750">
              <a:solidFill>
                <a:srgbClr val="C00000"/>
              </a:solidFill>
              <a:prstDash val="solid"/>
            </a:ln>
          </spPr>
          <marker>
            <symbol val="none"/>
            <spPr>
              <a:ln xmlns:a="http://schemas.openxmlformats.org/drawingml/2006/main">
                <a:prstDash val="solid"/>
              </a:ln>
            </spPr>
          </marker>
          <xVal>
            <numRef>
              <f>'CROQUIS_DATOS'!$BL$8:$BL$10</f>
            </numRef>
          </xVal>
          <yVal>
            <numRef>
              <f>'CROQUIS_DATOS'!$BM$8:$BM$10</f>
            </numRef>
          </yVal>
          <smooth val="0"/>
        </ser>
        <ser>
          <idx val="7"/>
          <order val="7"/>
          <tx>
            <strRef>
              <f>CROQUIS_DATOS!$A$432</f>
            </strRef>
          </tx>
          <spPr>
            <a:ln xmlns:a="http://schemas.openxmlformats.org/drawingml/2006/main" w="9525">
              <a:solidFill>
                <a:srgbClr val="7030A0"/>
              </a:solidFill>
              <a:prstDash val="solid"/>
            </a:ln>
          </spPr>
          <marker>
            <symbol val="none"/>
            <spPr>
              <a:ln xmlns:a="http://schemas.openxmlformats.org/drawingml/2006/main">
                <a:prstDash val="solid"/>
              </a:ln>
            </spPr>
          </marker>
          <dLbls>
            <dLbl>
              <idx val="3"/>
              <dLblPos val="t"/>
              <showLegendKey val="0"/>
              <showVal val="0"/>
              <showCatName val="0"/>
              <showSerName val="1"/>
              <showPercent val="0"/>
            </dLbl>
            <showLegendKey val="0"/>
            <showVal val="0"/>
            <showCatName val="0"/>
            <showSerName val="0"/>
          </dLbls>
          <xVal>
            <numRef>
              <f>'CROQUIS_DATOS'!$BN$8:$BN$14</f>
            </numRef>
          </xVal>
          <yVal>
            <numRef>
              <f>'CROQUIS_DATOS'!$BO$8:$BO$14</f>
            </numRef>
          </yVal>
          <smooth val="0"/>
        </ser>
        <axId val="10"/>
        <axId val="20"/>
      </scatterChart>
      <valAx>
        <axId val="10"/>
        <scaling>
          <orientation val="minMax"/>
          <max val="108"/>
          <min val="-8"/>
        </scaling>
        <delete val="1"/>
        <axPos val="l"/>
        <majorTickMark val="none"/>
        <minorTickMark val="none"/>
        <crossAx val="20"/>
      </valAx>
      <valAx>
        <axId val="20"/>
        <scaling>
          <orientation val="minMax"/>
          <max val="20"/>
          <min val="-20"/>
        </scaling>
        <delete val="1"/>
        <axPos val="l"/>
        <majorTickMark val="none"/>
        <minorTickMark val="none"/>
        <crossAx val="10"/>
      </valAx>
    </plotArea>
    <legend>
      <legendPos val="b"/>
      <legendEntry>
        <idx val="2"/>
        <delete val="1"/>
      </legendEntry>
      <legendEntry>
        <idx val="6"/>
        <delete val="1"/>
      </legendEntry>
    </legend>
    <plotVisOnly val="1"/>
    <dispBlanksAs val="gap"/>
  </chart>
</chartSpace>
</file>

<file path=xl/charts/chart6.xml><?xml version="1.0" encoding="utf-8"?>
<chartSpace xmlns="http://schemas.openxmlformats.org/drawingml/2006/chart">
  <style val="13"/>
  <chart>
    <title>
      <tx>
        <rich>
          <a:bodyPr xmlns:a="http://schemas.openxmlformats.org/drawingml/2006/main"/>
          <a:p xmlns:a="http://schemas.openxmlformats.org/drawingml/2006/main">
            <a:pPr>
              <a:defRPr/>
            </a:pPr>
            <a:r>
              <a:t>CORTE DE LA NERVADURA PRINCIPAL ESCOGIDA (cm)</a:t>
            </a:r>
          </a:p>
        </rich>
      </tx>
    </title>
    <plotArea>
      <scatterChart>
        <scatterStyle val="lineMarker"/>
        <ser>
          <idx val="0"/>
          <order val="0"/>
          <tx>
            <strRef>
              <f>CROQUIS_DATOS!$A$433</f>
            </strRef>
          </tx>
          <spPr>
            <a:ln xmlns:a="http://schemas.openxmlformats.org/drawingml/2006/main" w="27940">
              <a:solidFill>
                <a:srgbClr val="1F3864"/>
              </a:solidFill>
              <a:prstDash val="solid"/>
            </a:ln>
          </spPr>
          <marker>
            <symbol val="none"/>
            <spPr>
              <a:ln xmlns:a="http://schemas.openxmlformats.org/drawingml/2006/main">
                <a:prstDash val="solid"/>
              </a:ln>
            </spPr>
          </marker>
          <xVal>
            <numRef>
              <f>'CROQUIS_DATOS'!$BP$8:$BP$16</f>
            </numRef>
          </xVal>
          <yVal>
            <numRef>
              <f>'CROQUIS_DATOS'!$BQ$8:$BQ$16</f>
            </numRef>
          </yVal>
          <smooth val="0"/>
        </ser>
        <ser>
          <idx val="1"/>
          <order val="1"/>
          <tx>
            <strRef>
              <f>CROQUIS_DATOS!$A$434</f>
            </strRef>
          </tx>
          <spPr>
            <a:ln xmlns:a="http://schemas.openxmlformats.org/drawingml/2006/main" w="12700">
              <a:solidFill>
                <a:srgbClr val="A6A6A6"/>
              </a:solidFill>
              <a:prstDash val="dash"/>
            </a:ln>
          </spPr>
          <marker>
            <symbol val="none"/>
            <spPr>
              <a:ln xmlns:a="http://schemas.openxmlformats.org/drawingml/2006/main">
                <a:prstDash val="solid"/>
              </a:ln>
            </spPr>
          </marker>
          <xVal>
            <numRef>
              <f>'CROQUIS_DATOS'!$BR$8:$BR$12</f>
            </numRef>
          </xVal>
          <yVal>
            <numRef>
              <f>'CROQUIS_DATOS'!$BS$8:$BS$12</f>
            </numRef>
          </yVal>
          <smooth val="0"/>
        </ser>
        <ser>
          <idx val="2"/>
          <order val="2"/>
          <tx>
            <strRef>
              <f>CROQUIS_DATOS!$A$435</f>
            </strRef>
          </tx>
          <spPr>
            <a:ln xmlns:a="http://schemas.openxmlformats.org/drawingml/2006/main" w="12700">
              <a:solidFill>
                <a:srgbClr val="A6A6A6"/>
              </a:solidFill>
              <a:prstDash val="dash"/>
            </a:ln>
          </spPr>
          <marker>
            <symbol val="none"/>
            <spPr>
              <a:ln xmlns:a="http://schemas.openxmlformats.org/drawingml/2006/main">
                <a:prstDash val="solid"/>
              </a:ln>
            </spPr>
          </marker>
          <xVal>
            <numRef>
              <f>'CROQUIS_DATOS'!$BT$8:$BT$12</f>
            </numRef>
          </xVal>
          <yVal>
            <numRef>
              <f>'CROQUIS_DATOS'!$BU$8:$BU$12</f>
            </numRef>
          </yVal>
          <smooth val="0"/>
        </ser>
        <ser>
          <idx val="3"/>
          <order val="3"/>
          <tx>
            <strRef>
              <f>CROQUIS_DATOS!$A$436</f>
            </strRef>
          </tx>
          <spPr>
            <a:ln xmlns:a="http://schemas.openxmlformats.org/drawingml/2006/main" w="15875">
              <a:solidFill>
                <a:srgbClr val="7030A0"/>
              </a:solidFill>
              <a:prstDash val="solid"/>
            </a:ln>
          </spPr>
          <marker>
            <symbol val="none"/>
            <spPr>
              <a:ln xmlns:a="http://schemas.openxmlformats.org/drawingml/2006/main">
                <a:prstDash val="solid"/>
              </a:ln>
            </spPr>
          </marker>
          <xVal>
            <numRef>
              <f>'CROQUIS_DATOS'!$BV$8:$BV$12</f>
            </numRef>
          </xVal>
          <yVal>
            <numRef>
              <f>'CROQUIS_DATOS'!$BW$8:$BW$12</f>
            </numRef>
          </yVal>
          <smooth val="0"/>
        </ser>
        <ser>
          <idx val="4"/>
          <order val="4"/>
          <tx>
            <strRef>
              <f>CROQUIS_DATOS!$A$437</f>
            </strRef>
          </tx>
          <spPr>
            <a:ln xmlns:a="http://schemas.openxmlformats.org/drawingml/2006/main">
              <a:noFill/>
              <a:prstDash val="solid"/>
            </a:ln>
          </spPr>
          <marker>
            <symbol val="circle"/>
            <size val="8"/>
            <spPr>
              <a:solidFill xmlns:a="http://schemas.openxmlformats.org/drawingml/2006/main">
                <a:srgbClr val="0070C0"/>
              </a:solidFill>
              <a:ln xmlns:a="http://schemas.openxmlformats.org/drawingml/2006/main">
                <a:solidFill>
                  <a:srgbClr val="0070C0"/>
                </a:solidFill>
                <a:prstDash val="solid"/>
              </a:ln>
            </spPr>
          </marker>
          <xVal>
            <numRef>
              <f>'CROQUIS_DATOS'!$BX$8:$BX$15</f>
            </numRef>
          </xVal>
          <yVal>
            <numRef>
              <f>'CROQUIS_DATOS'!$BY$8:$BY$15</f>
            </numRef>
          </yVal>
          <smooth val="0"/>
        </ser>
        <ser>
          <idx val="5"/>
          <order val="5"/>
          <tx>
            <strRef>
              <f>CROQUIS_DATOS!$A$438</f>
            </strRef>
          </tx>
          <spPr>
            <a:ln xmlns:a="http://schemas.openxmlformats.org/drawingml/2006/main">
              <a:noFill/>
              <a:prstDash val="solid"/>
            </a:ln>
          </spPr>
          <marker>
            <symbol val="circle"/>
            <size val="8"/>
            <spPr>
              <a:solidFill xmlns:a="http://schemas.openxmlformats.org/drawingml/2006/main">
                <a:srgbClr val="C00000"/>
              </a:solidFill>
              <a:ln xmlns:a="http://schemas.openxmlformats.org/drawingml/2006/main">
                <a:solidFill>
                  <a:srgbClr val="C00000"/>
                </a:solidFill>
                <a:prstDash val="solid"/>
              </a:ln>
            </spPr>
          </marker>
          <xVal>
            <numRef>
              <f>'CROQUIS_DATOS'!$BZ$8:$BZ$15</f>
            </numRef>
          </xVal>
          <yVal>
            <numRef>
              <f>'CROQUIS_DATOS'!$CA$8:$CA$15</f>
            </numRef>
          </yVal>
          <smooth val="0"/>
        </ser>
        <ser>
          <idx val="6"/>
          <order val="6"/>
          <tx>
            <strRef>
              <f>CROQUIS_DATOS!$A$439</f>
            </strRef>
          </tx>
          <spPr>
            <a:ln xmlns:a="http://schemas.openxmlformats.org/drawingml/2006/main" w="9525">
              <a:solidFill>
                <a:srgbClr val="7F7F7F"/>
              </a:solidFill>
              <a:prstDash val="solid"/>
            </a:ln>
          </spPr>
          <marker>
            <symbol val="none"/>
            <spPr>
              <a:ln xmlns:a="http://schemas.openxmlformats.org/drawingml/2006/main">
                <a:prstDash val="solid"/>
              </a:ln>
            </spPr>
          </marker>
          <dLbls>
            <dLbl>
              <idx val="3"/>
              <dLblPos val="t"/>
              <showLegendKey val="0"/>
              <showVal val="0"/>
              <showCatName val="0"/>
              <showSerName val="1"/>
              <showPercent val="0"/>
            </dLbl>
            <showLegendKey val="0"/>
            <showVal val="0"/>
            <showCatName val="0"/>
            <showSerName val="0"/>
          </dLbls>
          <xVal>
            <numRef>
              <f>'CROQUIS_DATOS'!$CB$8:$CB$14</f>
            </numRef>
          </xVal>
          <yVal>
            <numRef>
              <f>'CROQUIS_DATOS'!$CC$8:$CC$14</f>
            </numRef>
          </yVal>
          <smooth val="0"/>
        </ser>
        <ser>
          <idx val="7"/>
          <order val="7"/>
          <tx>
            <strRef>
              <f>CROQUIS_DATOS!$A$440</f>
            </strRef>
          </tx>
          <spPr>
            <a:ln xmlns:a="http://schemas.openxmlformats.org/drawingml/2006/main" w="9525">
              <a:solidFill>
                <a:srgbClr val="7F7F7F"/>
              </a:solidFill>
              <a:prstDash val="solid"/>
            </a:ln>
          </spPr>
          <marker>
            <symbol val="none"/>
            <spPr>
              <a:ln xmlns:a="http://schemas.openxmlformats.org/drawingml/2006/main">
                <a:prstDash val="solid"/>
              </a:ln>
            </spPr>
          </marker>
          <dLbls>
            <dLbl>
              <idx val="3"/>
              <dLblPos val="t"/>
              <showLegendKey val="0"/>
              <showVal val="0"/>
              <showCatName val="0"/>
              <showSerName val="1"/>
              <showPercent val="0"/>
            </dLbl>
            <showLegendKey val="0"/>
            <showVal val="0"/>
            <showCatName val="0"/>
            <showSerName val="0"/>
          </dLbls>
          <xVal>
            <numRef>
              <f>'CROQUIS_DATOS'!$CD$8:$CD$14</f>
            </numRef>
          </xVal>
          <yVal>
            <numRef>
              <f>'CROQUIS_DATOS'!$CE$8:$CE$14</f>
            </numRef>
          </yVal>
          <smooth val="0"/>
        </ser>
        <axId val="10"/>
        <axId val="20"/>
      </scatterChart>
      <valAx>
        <axId val="10"/>
        <scaling>
          <orientation val="minMax"/>
          <max val="42"/>
          <min val="-42"/>
        </scaling>
        <delete val="1"/>
        <axPos val="l"/>
        <majorTickMark val="none"/>
        <minorTickMark val="none"/>
        <crossAx val="20"/>
      </valAx>
      <valAx>
        <axId val="20"/>
        <scaling>
          <orientation val="minMax"/>
          <max val="62"/>
          <min val="-10"/>
        </scaling>
        <delete val="1"/>
        <axPos val="l"/>
        <majorTickMark val="none"/>
        <minorTickMark val="none"/>
        <crossAx val="10"/>
      </valAx>
    </plotArea>
    <legend>
      <legendPos val="b"/>
      <legendEntry>
        <idx val="2"/>
        <delete val="1"/>
      </legendEntry>
    </legend>
    <plotVisOnly val="1"/>
    <dispBlanksAs val="gap"/>
  </chart>
</chartSpace>
</file>

<file path=xl/comments/comment1.xml><?xml version="1.0" encoding="utf-8"?>
<comments xmlns="http://schemas.openxmlformats.org/spreadsheetml/2006/main">
  <authors>
    <author>Claude</author>
  </authors>
  <commentList>
    <comment ref="F34" authorId="0" shapeId="0">
      <text>
        <t>Fijado a mano: el tablero es irregular y se usa su rectángulo representativo (ver TABLEROS).</t>
      </text>
    </comment>
    <comment ref="F53" authorId="0" shapeId="0">
      <text>
        <t>Fijado a mano: el tablero es irregular y se usa su rectángulo representativo (ver TABLEROS).</t>
      </text>
    </comment>
    <comment ref="F54" authorId="0" shapeId="0">
      <text>
        <t>Fijado a mano: el tablero es irregular y se usa su rectángulo representativo (ver TABLEROS).</t>
      </text>
    </comment>
    <comment ref="F55" authorId="0" shapeId="0">
      <text>
        <t>Fijado a mano: el tablero es irregular y se usa su rectángulo representativo (ver TABLEROS).</t>
      </text>
    </comment>
    <comment ref="F56" authorId="0" shapeId="0">
      <text>
        <t>Fijado a mano: el tablero es irregular y se usa su rectángulo representativo (ver TABLEROS).</t>
      </text>
    </comment>
    <comment ref="F153" authorId="0" shapeId="0">
      <text>
        <t>Fijado a mano: el tablero es irregular y se usa su rectángulo representativo (ver TABLEROS).</t>
      </text>
    </comment>
    <comment ref="F154" authorId="0" shapeId="0">
      <text>
        <t>Fijado a mano: el tablero es irregular y se usa su rectángulo representativo (ver TABLEROS).</t>
      </text>
    </comment>
    <comment ref="F155" authorId="0" shapeId="0">
      <text>
        <t>Fijado a mano: el tablero es irregular y se usa su rectángulo representativo (ver TABLEROS).</t>
      </text>
    </comment>
    <comment ref="F156" authorId="0" shapeId="0">
      <text>
        <t>Fijado a mano: el tablero es irregular y se usa su rectángulo representativo (ver TABLEROS).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oneCellAnchor>
    <from>
      <col>1</col>
      <colOff>0</colOff>
      <row>42</row>
      <rowOff>0</rowOff>
    </from>
    <ext cx="4140000" cy="81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42</row>
      <rowOff>0</rowOff>
    </from>
    <ext cx="4140000" cy="81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90</row>
      <rowOff>0</rowOff>
    </from>
    <ext cx="6120000" cy="82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4</col>
      <colOff>1284525</colOff>
      <row>90</row>
      <rowOff>0</rowOff>
    </from>
    <ext cx="5400000" cy="48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4</col>
      <colOff>1284525</colOff>
      <row>120</row>
      <rowOff>0</rowOff>
    </from>
    <ext cx="540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col>
      <colOff>0</colOff>
      <row>140</row>
      <rowOff>0</rowOff>
    </from>
    <ext cx="5400000" cy="540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1:F117"/>
  <sheetViews>
    <sheetView showGridLines="0" zoomScale="85" workbookViewId="0">
      <selection activeCell="A1" sqref="A1"/>
    </sheetView>
  </sheetViews>
  <sheetFormatPr baseColWidth="8" defaultRowHeight="15"/>
  <cols>
    <col width="1.78" customWidth="1" min="1" max="1"/>
    <col width="46" customWidth="1" min="2" max="2"/>
    <col width="17" customWidth="1" min="3" max="3"/>
    <col width="9" customWidth="1" min="4" max="4"/>
    <col width="54" customWidth="1" min="5" max="5"/>
    <col width="44" customWidth="1" min="6" max="6"/>
  </cols>
  <sheetData>
    <row r="1" ht="26" customHeight="1">
      <c r="B1" s="1" t="inlineStr">
        <is>
          <t>LOSAS NERVADAS CASA ROCHA — DATOS DE ENTRADA</t>
        </is>
      </c>
    </row>
    <row r="2" ht="30" customHeight="1">
      <c r="B2" s="2" t="inlineStr">
        <is>
          <t>Casa habitación de dos niveles · muros de block de 15 cm confinados con castillos K-15x15 y dalas D-15x20 · losa reticular LR-25 en entrepiso (N+3.00) y azotea (N+6.00). Se diseñan las nervaduras secundarias de cada tablero y las nervaduras principales (dalas que quedan sin muro abajo y trabajan como trabe).</t>
        </is>
      </c>
    </row>
    <row r="3" ht="6" customHeight="1"/>
    <row r="4" ht="42" customHeight="1">
      <c r="B4" s="3" t="inlineStr">
        <is>
          <t>CÓMO SE USA: sólo se tocan las celdas AMARILLAS con número AZUL. Todo lo demás está calculado y se rompe si lo escribes encima. La columna «CÓMO SE CALCULA» dice de dónde sale el número y la columna «REFERENCIA» dice qué documento, norma o archivo lo respalda.</t>
        </is>
      </c>
      <c r="C4" s="4" t="n"/>
      <c r="D4" s="4" t="n"/>
      <c r="E4" s="4" t="n"/>
      <c r="F4" s="4" t="n"/>
    </row>
    <row r="5" ht="42" customHeight="1">
      <c r="B5" s="3" t="inlineStr">
        <is>
          <t>ALCANCE: (1) nervaduras secundarias de 32 tableros con el método de coeficientes de la NTC-Concreto para losas apoyadas en su perímetro; (2) dos tableros en volado (F80012 y F80019); (3) 34 nervaduras principales sin muro abajo diseñadas como trabe, incluida la revisión de muros sobre vigas de la NTC-Mampostería; (4) carga de la losa sobre los muros. NO incluye la escalera, el pergolado de vigas VP-15x40, la revisión de los muros por sismo ni la cimentación.</t>
        </is>
      </c>
      <c r="C5" s="4" t="n"/>
      <c r="D5" s="4" t="n"/>
      <c r="E5" s="4" t="n"/>
      <c r="F5" s="4" t="n"/>
    </row>
    <row r="6" ht="54" customHeight="1">
      <c r="B6" s="3" t="inlineStr">
        <is>
          <t>NORMAS: NTC-Concreto 2023, NTC-Criterios y Acciones 2023 y NTC-Mampostería 2023 (CDMX). Cada fórmula se cotejó contra el texto oficial del compendio NTC 2023 y se cita con su numeral y la página impresa de cada norma (p. ej. «6.7.8.1.4, p. 187»). Los criterios que la norma deja al calculista se marcan como «criterio de esta hoja». ACI 318-19 ya no se usa para nada que la NTC 2023 resuelva.</t>
        </is>
      </c>
      <c r="C6" s="4" t="n"/>
      <c r="D6" s="4" t="n"/>
      <c r="E6" s="4" t="n"/>
      <c r="F6" s="4" t="n"/>
    </row>
    <row r="7" ht="6" customHeight="1"/>
    <row r="8" ht="21" customHeight="1">
      <c r="B8" s="5" t="inlineStr">
        <is>
          <t>1. GEOMETRÍA DE LA LOSA NERVADA LR-25 Y RECUBRIMIENTOS</t>
        </is>
      </c>
    </row>
    <row r="9" ht="30" customHeight="1">
      <c r="B9" s="6" t="inlineStr">
        <is>
          <t>Casetón de poliestireno 60×60×20, nervadura de 10 cm y capa de 5 cm, como dice la nota 2 del plano de cortes. El E2K lo confirma: sus modificadores de la losa LR-25 salen exactos con esta geometría (ver sección 4).</t>
        </is>
      </c>
      <c r="C9" s="7" t="n"/>
      <c r="D9" s="7" t="n"/>
      <c r="E9" s="7" t="n"/>
      <c r="F9" s="7" t="n"/>
    </row>
    <row r="10" ht="30" customHeight="1">
      <c r="B10" s="8" t="inlineStr">
        <is>
          <t>Concepto</t>
        </is>
      </c>
      <c r="C10" s="8" t="inlineStr">
        <is>
          <t>Valor</t>
        </is>
      </c>
      <c r="D10" s="8" t="inlineStr">
        <is>
          <t>Unidad</t>
        </is>
      </c>
      <c r="E10" s="8" t="inlineStr">
        <is>
          <t>Cómo se calcula / de dónde sale</t>
        </is>
      </c>
      <c r="F10" s="8" t="inlineStr">
        <is>
          <t>Referencia</t>
        </is>
      </c>
    </row>
    <row r="11" ht="30" customHeight="1">
      <c r="B11" s="9" t="inlineStr">
        <is>
          <t>a_c — lado del casetón (separación libre entre nervaduras)</t>
        </is>
      </c>
      <c r="C11" s="10" t="n">
        <v>60</v>
      </c>
      <c r="D11" s="11" t="inlineStr">
        <is>
          <t>cm</t>
        </is>
      </c>
      <c r="E11" s="12" t="inlineStr">
        <is>
          <t>CAPTURA. Debe ser ≤ 80 cm y ≤ claro/6 para que la losa cuente como encasetonada (se revisa en TABLEROS).</t>
        </is>
      </c>
      <c r="F11" s="13" t="inlineStr">
        <is>
          <t>001_PLANO_CROCHA_R3.0.dxf · NOTAS DE CORTES, nota 2 · NTC-Concreto 2023 (CDMX) 6.7.8.1.4, p. 187</t>
        </is>
      </c>
    </row>
    <row r="12" ht="19.5" customHeight="1">
      <c r="B12" s="9" t="inlineStr">
        <is>
          <t>h_c — altura del casetón</t>
        </is>
      </c>
      <c r="C12" s="10" t="n">
        <v>20</v>
      </c>
      <c r="D12" s="11" t="inlineStr">
        <is>
          <t>cm</t>
        </is>
      </c>
      <c r="E12" s="12" t="inlineStr">
        <is>
          <t>CAPTURA.</t>
        </is>
      </c>
      <c r="F12" s="13" t="inlineStr">
        <is>
          <t>001_PLANO_CROCHA_R3.0.dxf · NOTAS DE CORTES, nota 2</t>
        </is>
      </c>
    </row>
    <row r="13" ht="30" customHeight="1">
      <c r="B13" s="9" t="inlineStr">
        <is>
          <t>b_w — ancho de la nervadura secundaria</t>
        </is>
      </c>
      <c r="C13" s="10" t="n">
        <v>10</v>
      </c>
      <c r="D13" s="11" t="inlineStr">
        <is>
          <t>cm</t>
        </is>
      </c>
      <c r="E13" s="12" t="inlineStr">
        <is>
          <t>CAPTURA. Mínimo 10 cm en cualquier punto del peralte.</t>
        </is>
      </c>
      <c r="F13" s="13" t="inlineStr">
        <is>
          <t>001_PLANO_CROCHA_R3.0.dxf · nota 2 · NTC-Concreto 2023 (CDMX) 6.7.8.1.2, p. 187</t>
        </is>
      </c>
    </row>
    <row r="14" ht="30" customHeight="1">
      <c r="B14" s="9" t="inlineStr">
        <is>
          <t>t — espesor de la capa de compresión</t>
        </is>
      </c>
      <c r="C14" s="10" t="n">
        <v>5</v>
      </c>
      <c r="D14" s="11" t="inlineStr">
        <is>
          <t>cm</t>
        </is>
      </c>
      <c r="E14" s="12" t="inlineStr">
        <is>
          <t>CAPTURA. Mínimo el mayor de a_c/13 y 5 cm; 6 cm si algún tablero tiene claro ≥ 6 m (diafragma).</t>
        </is>
      </c>
      <c r="F14" s="13" t="inlineStr">
        <is>
          <t>001_PLANO_CROCHA_R3.0.dxf · nota 2 · NTC-Concreto 2023 (CDMX) 6.7.8.3.1, p. 188 y 6.8.3.1.2, p. 189</t>
        </is>
      </c>
    </row>
    <row r="15" ht="43.5" customHeight="1">
      <c r="B15" s="9" t="inlineStr">
        <is>
          <t>h — peralte total de la losa</t>
        </is>
      </c>
      <c r="C15" s="14">
        <f>(DATOS!$C$12+DATOS!$C$14)</f>
        <v>25</v>
      </c>
      <c r="D15" s="11" t="inlineStr">
        <is>
          <t>cm</t>
        </is>
      </c>
      <c r="E15" s="12" t="inlineStr">
        <is>
          <t>CALCULADA = h_c + t. Debe dar 25: es la LR-25 del modelo. Máximo 3.5·b_w.</t>
        </is>
      </c>
      <c r="F15" s="13" t="inlineStr">
        <is>
          <t>001_EST_CROCHA_R3.2.e2k · SHELLPROP "LR-25" SLABTHICKNESS 0.25 · NTC-Concreto 2023 (CDMX) 6.7.8.1.3, p. 187</t>
        </is>
      </c>
    </row>
    <row r="16" ht="30" customHeight="1">
      <c r="B16" s="9" t="inlineStr">
        <is>
          <t>s — separación entre ejes de nervaduras</t>
        </is>
      </c>
      <c r="C16" s="14">
        <f>(DATOS!$C$11+DATOS!$C$13)</f>
        <v>70</v>
      </c>
      <c r="D16" s="11" t="inlineStr">
        <is>
          <t>cm</t>
        </is>
      </c>
      <c r="E16" s="12" t="inlineStr">
        <is>
          <t>CALCULADA = a_c + b_w. Es el ancho tributario de cada nervadura.</t>
        </is>
      </c>
      <c r="F16" s="13" t="inlineStr">
        <is>
          <t>Geometría</t>
        </is>
      </c>
    </row>
    <row r="17" ht="30" customHeight="1">
      <c r="B17" s="9" t="inlineStr">
        <is>
          <t>b_p — ancho de la nervadura principal / dala</t>
        </is>
      </c>
      <c r="C17" s="10" t="n">
        <v>15</v>
      </c>
      <c r="D17" s="11" t="inlineStr">
        <is>
          <t>cm</t>
        </is>
      </c>
      <c r="E17" s="12" t="inlineStr">
        <is>
          <t>CAPTURA. Es el ancho de las dalas D-15x20 del modelo. En PRINCIPALES cada tramo lleva su propia sección propuesta.</t>
        </is>
      </c>
      <c r="F17" s="13" t="inlineStr">
        <is>
          <t>001_EST_CROCHA_R3.2.e2k · FRAMESECTION "002_D-15x20" B 0.15</t>
        </is>
      </c>
    </row>
    <row r="18" ht="84" customHeight="1">
      <c r="B18" s="9" t="inlineStr">
        <is>
          <t>¿Se anotan en planos las precauciones de 3.9.2? (casetón de medida fija que garantiza b_w y silletas que fijan el peralte del lecho superior)</t>
        </is>
      </c>
      <c r="C18" s="15" t="inlineStr">
        <is>
          <t>SÍ</t>
        </is>
      </c>
      <c r="D18" s="11" t="inlineStr">
        <is>
          <t>—</t>
        </is>
      </c>
      <c r="E18" s="12" t="inlineStr">
        <is>
          <t>SELECTOR. b_w = 10 cm &lt; 200 mm y, donde el lecho superior queda con d ≤ 200 mm, la norma pide calcular con 20 mm menos, salvo que se tomen precauciones que garanticen la dimensión y se anoten en planos. Si dices NO, la hoja usa b_w − 2 cm en cortante y en flexión negativa, y d − 2 cm en el lecho superior de cada tablero cuyo d sea ≤ 20 cm.</t>
        </is>
      </c>
      <c r="F18" s="13" t="inlineStr">
        <is>
          <t>NTC-Concreto 2023 (CDMX) 3.9.1 d) y e) y 3.9.2, p. 74 · 6.3.1.2 b), p. 117 (las nervaduras son vigas)</t>
        </is>
      </c>
    </row>
    <row r="19" ht="19.5" customHeight="1">
      <c r="B19" s="9" t="inlineStr">
        <is>
          <t>b_w de cálculo</t>
        </is>
      </c>
      <c r="C19" s="16">
        <f>IF(DATOS!$C$18="SÍ",DATOS!$C$13,DATOS!$C$13-2)</f>
        <v>10</v>
      </c>
      <c r="D19" s="11" t="inlineStr">
        <is>
          <t>cm</t>
        </is>
      </c>
      <c r="E19" s="12" t="inlineStr">
        <is>
          <t>CALCULADA.</t>
        </is>
      </c>
      <c r="F19" s="13" t="inlineStr">
        <is>
          <t>NTC-Concreto 2023 (CDMX) 3.9.1 e), p. 74</t>
        </is>
      </c>
    </row>
    <row r="20" ht="57" customHeight="1">
      <c r="B20" s="9" t="inlineStr">
        <is>
          <t>r — recubrimiento libre en losa y nervaduras secundarias (interior, A1)</t>
        </is>
      </c>
      <c r="C20" s="17" t="n">
        <v>2</v>
      </c>
      <c r="D20" s="11" t="inlineStr">
        <is>
          <t>cm</t>
        </is>
      </c>
      <c r="E20" s="12" t="inlineStr">
        <is>
          <t>CAPTURA. El mayor de: 15 mm (colocación en losas), 0.75 × 25 mm = 19 mm (corrosión A1 con f'c = 250) y 20 mm (losas y viguetas no expuestas). Manda 20 mm.</t>
        </is>
      </c>
      <c r="F20" s="13" t="inlineStr">
        <is>
          <t>NTC-Concreto 2023 (CDMX) 4.13.1.1 y 4.13.2.2 b), p. 83 · Tabla 4.13.3.1 y 4.13.3.2, p. 84 · Tabla 4.14.16.a, p. 85 · Naim — CASA HABITACIÓN, MEMORIA DE CÁLCULO (sep-2024) pág. 13</t>
        </is>
      </c>
    </row>
    <row r="21" ht="57" customHeight="1">
      <c r="B21" s="9" t="inlineStr">
        <is>
          <t>r_ext — recubrimiento de caras expuestas a la intemperie (barras ≤ No. 5)</t>
        </is>
      </c>
      <c r="C21" s="17" t="n">
        <v>4</v>
      </c>
      <c r="D21" s="11" t="inlineStr">
        <is>
          <t>cm</t>
        </is>
      </c>
      <c r="E21" s="12" t="inlineStr">
        <is>
          <t>CAPTURA. Se usa en el lecho inferior de los volados (cara exterior), en su lecho superior si queda a la intemperie (selector de abajo) y en el lecho superior de azotea si la pones como expuesta. Con No. 6 o mayor son 5 cm.</t>
        </is>
      </c>
      <c r="F21" s="13" t="inlineStr">
        <is>
          <t>NTC-Concreto 2023 (CDMX) Tabla 4.14.16.a, p. 85 · Tabla 4.3.1, p. 76</t>
        </is>
      </c>
    </row>
    <row r="22" ht="84" customHeight="1">
      <c r="B22" s="9" t="inlineStr">
        <is>
          <t>r_np — recubrimiento libre de las nervaduras principales que trabajan como trabe</t>
        </is>
      </c>
      <c r="C22" s="17" t="n">
        <v>4</v>
      </c>
      <c r="D22" s="11" t="inlineStr">
        <is>
          <t>cm</t>
        </is>
      </c>
      <c r="E22" s="12" t="inlineStr">
        <is>
          <t>CAPTURA. Para «vigas» no expuestas la tabla pide 40 mm al estribo (las nervaduras ordinarias son «viguetas» y llevan 20 mm). También lo llevan las nervaduras secundarias de los tableros que no cumplen 6.7.8.1.4: esa losa se diseña como losa apoyada en vigas (6.7.8.1.9) y sus nervaduras ya no son «viguetas».</t>
        </is>
      </c>
      <c r="F22" s="13" t="inlineStr">
        <is>
          <t>NTC-Concreto 2023 (CDMX) Tabla 4.14.16.a, p. 85 (vigas: refuerzo principal y estribos, 40 mm) · 6.7.8.1.9 y comentario de 6.7.8, p. 188</t>
        </is>
      </c>
    </row>
    <row r="23" ht="57" customHeight="1">
      <c r="B23" s="9" t="inlineStr">
        <is>
          <t>¿La cara superior de la azotea queda expuesta directo a la intemperie?</t>
        </is>
      </c>
      <c r="C23" s="15" t="inlineStr">
        <is>
          <t>NO</t>
        </is>
      </c>
      <c r="D23" s="11" t="inlineStr">
        <is>
          <t>—</t>
        </is>
      </c>
      <c r="E23" s="12" t="inlineStr">
        <is>
          <t>SELECTOR. Con relleno, entortado e impermeabilizante encima la hoja la toma como protegida (criterio del Responsable: la norma no lo dice expresamente). Si dices SÍ, el lecho superior de azotea usa r_ext.</t>
        </is>
      </c>
      <c r="F23" s="13" t="inlineStr">
        <is>
          <t>NTC-Concreto 2023 (CDMX) 4.3.2 y Tabla 4.3.1, p. 76 · Tabla 4.14.16.a, p. 85</t>
        </is>
      </c>
    </row>
    <row r="24" ht="84" customHeight="1">
      <c r="B24" s="9" t="inlineStr">
        <is>
          <t>¿La cara superior de los volados F80012 y F80019 queda expuesta a la intemperie?</t>
        </is>
      </c>
      <c r="C24" s="15" t="inlineStr">
        <is>
          <t>SÍ</t>
        </is>
      </c>
      <c r="D24" s="11" t="inlineStr">
        <is>
          <t>—</t>
        </is>
      </c>
      <c r="E24" s="12" t="inlineStr">
        <is>
          <t>SELECTOR. Los dos volados del N+3.00 quedan fuera de la azotea (sin techo encima): su cara superior recibe la lluvia directa (exposición A2) y su lecho superior lleva r_ext, igual que la malla. Si dices NO, escribe en planos el criterio de protección del Responsable (piso o impermeabilizante que cubra la losa), como en azotea.</t>
        </is>
      </c>
      <c r="F24" s="13" t="inlineStr">
        <is>
          <t>NTC-Concreto 2023 (CDMX) Tabla 4.3.1 c), p. 76 · 4.3.2, p. 76 · Tabla 4.14.16.a, p. 85</t>
        </is>
      </c>
    </row>
    <row r="25" ht="70.5" customHeight="1">
      <c r="B25" s="9" t="inlineStr">
        <is>
          <t>No. de estribo en la nervadura secundaria (0 = sin estribo)</t>
        </is>
      </c>
      <c r="C25" s="18" t="n">
        <v>0</v>
      </c>
      <c r="D25" s="11" t="inlineStr">
        <is>
          <t>—</t>
        </is>
      </c>
      <c r="E25" s="12" t="inlineStr">
        <is>
          <t>CAPTURA. Las nervaduras de 10 cm no llevan estribo: la fuerza cortante la toma el concreto con la ec. 5.5.3.2.1 y donde no alcanza se maciza junto al apoyo. Si algún día se ponen, deben ser de varilla o alambre CORRUGADO (no alambrón liso).</t>
        </is>
      </c>
      <c r="F25" s="13" t="inlineStr">
        <is>
          <t>NTC-Concreto 2023 (CDMX) 5.5.3.8.1, p. 97 · Tabla 6.3.5.4.1 c), p. 123 · 2.4.2.1.1, p. 43 y Tabla 2.4.2.2.4.a, p. 46</t>
        </is>
      </c>
    </row>
    <row r="26" ht="43.5" customHeight="1">
      <c r="B26" s="9" t="inlineStr">
        <is>
          <t>No. de varilla preferida — lecho INFERIOR de nervaduras secundarias</t>
        </is>
      </c>
      <c r="C26" s="18" t="n">
        <v>4</v>
      </c>
      <c r="D26" s="11" t="inlineStr">
        <is>
          <t>—</t>
        </is>
      </c>
      <c r="E26" s="12" t="inlineStr">
        <is>
          <t>CAPTURA. Mínimo No. 4: toda nervadura lleva al menos 1 No. 4 abajo y 1 No. 4 arriba, corridas. Si con el máximo de varillas no alcanza, la hoja sube sola al siguiente número.</t>
        </is>
      </c>
      <c r="F26" s="13" t="inlineStr">
        <is>
          <t>NTC-Concreto 2023 (CDMX) 6.7.6.1.3, p. 175</t>
        </is>
      </c>
    </row>
    <row r="27" ht="30" customHeight="1">
      <c r="B27" s="9" t="inlineStr">
        <is>
          <t>No. de varilla preferida — lecho SUPERIOR de nervaduras secundarias</t>
        </is>
      </c>
      <c r="C27" s="18" t="n">
        <v>4</v>
      </c>
      <c r="D27" s="11" t="inlineStr">
        <is>
          <t>—</t>
        </is>
      </c>
      <c r="E27" s="12" t="inlineStr">
        <is>
          <t>CAPTURA. Misma regla: una varilla del lecho superior es corrida y las demás son bastones.</t>
        </is>
      </c>
      <c r="F27" s="13" t="inlineStr">
        <is>
          <t>NTC-Concreto 2023 (CDMX) 6.7.6.1.3, p. 175</t>
        </is>
      </c>
    </row>
    <row r="28" ht="30" customHeight="1">
      <c r="B28" s="9" t="inlineStr">
        <is>
          <t>Máximo de varillas por lecho en una nervadura de 10 cm</t>
        </is>
      </c>
      <c r="C28" s="10" t="n">
        <v>2</v>
      </c>
      <c r="D28" s="11" t="inlineStr">
        <is>
          <t>pzas</t>
        </is>
      </c>
      <c r="E28" s="12" t="inlineStr">
        <is>
          <t>CAPTURA. La hoja revisa además que quepan con la separación libre mínima.</t>
        </is>
      </c>
      <c r="F28" s="13" t="inlineStr">
        <is>
          <t>Geometría · NTC-Concreto 2023 (CDMX) 14.2.1, p. 347</t>
        </is>
      </c>
    </row>
    <row r="29" ht="30" customHeight="1">
      <c r="B29" s="9" t="inlineStr">
        <is>
          <t>Mínimo de varillas por lecho y por nervadura</t>
        </is>
      </c>
      <c r="C29" s="10" t="n">
        <v>1</v>
      </c>
      <c r="D29" s="11" t="inlineStr">
        <is>
          <t>pzas</t>
        </is>
      </c>
      <c r="E29" s="12" t="inlineStr">
        <is>
          <t>CAPTURA. 1 No. 4 corrida. Si As colocada &lt; 4/3 de la requerida, la hoja pide 2 varillas y As mín de viga.</t>
        </is>
      </c>
      <c r="F29" s="13" t="inlineStr">
        <is>
          <t>NTC-Concreto 2023 (CDMX) 6.7.6.1.3, p. 175 · 6.3.5.1.1 y 6.3.5.1.3, p. 122</t>
        </is>
      </c>
    </row>
    <row r="30" ht="43.5" customHeight="1">
      <c r="B30" s="9" t="inlineStr">
        <is>
          <t>Tamaño máximo del agregado grueso</t>
        </is>
      </c>
      <c r="C30" s="19" t="n">
        <v>1.27</v>
      </c>
      <c r="D30" s="11" t="inlineStr">
        <is>
          <t>cm</t>
        </is>
      </c>
      <c r="E30" s="12" t="inlineStr">
        <is>
          <t>CAPTURA. 1/2". No más de 2/3 del recubrimiento ni de la separación libre entre barras: con r = 2 cm el máximo es 1.33 cm, así que el de 3/4" NO sirve en esta losa.</t>
        </is>
      </c>
      <c r="F30" s="13" t="inlineStr">
        <is>
          <t>NTC-Concreto 2023 (CDMX) 2.2.5.2.1, p. 32</t>
        </is>
      </c>
    </row>
    <row r="31" ht="30" customHeight="1">
      <c r="B31" s="9" t="inlineStr">
        <is>
          <t>¿El agregado cabe? (≤ 2/3 de r y de la separación libre)</t>
        </is>
      </c>
      <c r="C31" s="20" t="str">
        <f>IF(DATOS!$C$30&lt;=2/3*MIN(DATOS!$C$20,MAX(2.5,1.5*DATOS!$C$30)),"CUMPLE","NO CUMPLE — usa agregado más chico")</f>
        <v>CUMPLE</v>
      </c>
      <c r="D31" s="11" t="inlineStr">
        <is>
          <t>—</t>
        </is>
      </c>
      <c r="E31" s="12" t="inlineStr">
        <is>
          <t>CALCULADA.</t>
        </is>
      </c>
      <c r="F31" s="13" t="inlineStr">
        <is>
          <t>NTC-Concreto 2023 (CDMX) 2.2.5.2.1, p. 32</t>
        </is>
      </c>
    </row>
    <row r="32" ht="30" customHeight="1">
      <c r="B32" s="9" t="inlineStr">
        <is>
          <t>Separación libre mínima entre varillas</t>
        </is>
      </c>
      <c r="C32" s="21">
        <f>MAX(2.5,1.5*DATOS!$C$30)</f>
        <v>2.5</v>
      </c>
      <c r="D32" s="11" t="inlineStr">
        <is>
          <t>cm</t>
        </is>
      </c>
      <c r="E32" s="12" t="inlineStr">
        <is>
          <t>CALCULADA = el mayor de 25 mm, d_b y 1.5·TMA (d_b se revisa barra por barra).</t>
        </is>
      </c>
      <c r="F32" s="13" t="inlineStr">
        <is>
          <t>NTC-Concreto 2023 (CDMX) 14.2.1, p. 347</t>
        </is>
      </c>
    </row>
    <row r="33" ht="70.5" customHeight="1">
      <c r="B33" s="9" t="inlineStr">
        <is>
          <t>Ancho libre para varillas dentro de la nervadura secundaria</t>
        </is>
      </c>
      <c r="C33" s="21">
        <f>DATOS!$C$13-2*DATOS!$C$20-2*IF(DATOS!$C$25=0,0,INDEX(TABLAS!$C$52:$C$58,MATCH(DATOS!$C$25,TABLAS!$B$52:$B$58,0)))</f>
        <v>6</v>
      </c>
      <c r="D33" s="11" t="inlineStr">
        <is>
          <t>cm</t>
        </is>
      </c>
      <c r="E33" s="12" t="inlineStr">
        <is>
          <t>CALCULADA = b_w − 2r − 2·estribo con r = 2 cm (tableros que cumplen 6.7.8.1.4). Informativa: TABLEROS revisa renglón por renglón con su r; con r = 4 cm (tableros que no cumplen 6.7.8.1.4 y volados) quedan 2 cm y cabe una sola varilla de d_b ≤ 2 cm.</t>
        </is>
      </c>
      <c r="F33" s="13" t="inlineStr">
        <is>
          <t>Geometría</t>
        </is>
      </c>
    </row>
    <row r="34" ht="151.5" customHeight="1">
      <c r="B34" s="9" t="inlineStr">
        <is>
          <t>Malla electrosoldada en la capa de compresión</t>
        </is>
      </c>
      <c r="C34" s="15" t="inlineStr">
        <is>
          <t>6x6-6/6</t>
        </is>
      </c>
      <c r="D34" s="11" t="inlineStr">
        <is>
          <t>—</t>
        </is>
      </c>
      <c r="E34" s="12" t="inlineStr">
        <is>
          <t>SELECTOR. La lista está en TABLAS. Debe cubrir: contracción y temperatura (0.0018·t), cortante de diafragma (0.0025·t), flexión de la capa con 1 000 kg entre nervaduras, acero mínimo alrededor de la carga concentrada (6.7.6.1.2) y caber con 2 cm de recubrimiento por cara (r_ext = 4 cm donde la cara superior queda expuesta: azotea o volados según los selectores de arriba) (NERVADURA sección 11). Con capa de 5 cm ninguna malla cumple a la vez diafragma, punzonamiento y acero mínimo junto a la carga (RESUMEN, decisión 3). Con capa de 5 cm la 6x6-6/6 es la que mejor cumple; la 6x6-4/4 ya no cabe con su recubrimiento.</t>
        </is>
      </c>
      <c r="F34" s="13" t="inlineStr">
        <is>
          <t>NTC-Concreto 2023 (CDMX) 13.8.2.1.1, p. 345 · 6.7.8.1.8, p. 188 · 6.8.6.4, p. 196 · 6.7.6.1.2, p. 175 · Tabla 6.7.4.2.2.3, p. 171 · Tabla 4.14.16.a, p. 85 · Naim — CASA HABITACIÓN, PLANOS EST-01 a EST-06 · EST-03 (dice 6x6-10/10)</t>
        </is>
      </c>
    </row>
    <row r="35" ht="43.5" customHeight="1">
      <c r="B35" s="9" t="inlineStr">
        <is>
          <t>Ø del alambre de la malla</t>
        </is>
      </c>
      <c r="C35" s="22">
        <f>INDEX(TABLAS!$C$63:$C$66,MATCH(DATOS!$C$34,TABLAS!$B$63:$B$66,0))/10</f>
        <v>0.488</v>
      </c>
      <c r="D35" s="11" t="inlineStr">
        <is>
          <t>cm</t>
        </is>
      </c>
      <c r="E35" s="12" t="inlineStr">
        <is>
          <t>CALCULADA. La malla va con r = 2 cm a la cara superior y las varillas superiores de las nervaduras pasan DEBAJO de ella: su d pierde 2·Ø.</t>
        </is>
      </c>
      <c r="F35" s="13" t="inlineStr">
        <is>
          <t>TABLAS sección C</t>
        </is>
      </c>
    </row>
    <row r="36" ht="6" customHeight="1"/>
    <row r="37" ht="21" customHeight="1">
      <c r="B37" s="5" t="inlineStr">
        <is>
          <t>2. MATERIALES</t>
        </is>
      </c>
    </row>
    <row r="38" ht="30" customHeight="1">
      <c r="B38" s="8" t="inlineStr">
        <is>
          <t>Concepto</t>
        </is>
      </c>
      <c r="C38" s="8" t="inlineStr">
        <is>
          <t>Valor</t>
        </is>
      </c>
      <c r="D38" s="8" t="inlineStr">
        <is>
          <t>Unidad</t>
        </is>
      </c>
      <c r="E38" s="8" t="inlineStr">
        <is>
          <t>Cómo se calcula / de dónde sale</t>
        </is>
      </c>
      <c r="F38" s="8" t="inlineStr">
        <is>
          <t>Referencia</t>
        </is>
      </c>
    </row>
    <row r="39" ht="57" customHeight="1">
      <c r="B39" s="9" t="inlineStr">
        <is>
          <t>f'c — resistencia del concreto</t>
        </is>
      </c>
      <c r="C39" s="10" t="n">
        <v>250</v>
      </c>
      <c r="D39" s="11" t="inlineStr">
        <is>
          <t>kg/cm²</t>
        </is>
      </c>
      <c r="E39" s="12" t="inlineStr">
        <is>
          <t>CAPTURA. Concreto Clase 1A (250 ≤ f'c &lt; 400). Es también el mínimo para estructuras de ductilidad baja y para exposición A1, A2 y B1.</t>
        </is>
      </c>
      <c r="F39" s="13" t="inlineStr">
        <is>
          <t>001_EST_CROCHA_R3.2.e2k · MATERIAL "Concreto f'c=250kg/cm2. Clase 1A" · NTC-Concreto 2023 (CDMX) 2.2.2 a), p. 30 · Tabla 2.2.6.3, p. 33 · 4.4.1.1 y 4.5.2 a), p. 78</t>
        </is>
      </c>
    </row>
    <row r="40" ht="43.5" customHeight="1">
      <c r="B40" s="9" t="inlineStr">
        <is>
          <t>fy — fluencia de la varilla corrugada</t>
        </is>
      </c>
      <c r="C40" s="10" t="n">
        <v>4200</v>
      </c>
      <c r="D40" s="11" t="inlineStr">
        <is>
          <t>kg/cm²</t>
        </is>
      </c>
      <c r="E40" s="12" t="inlineStr">
        <is>
          <t>CAPTURA. Grado 42, NMX-B-506. Es también el máximo para estribos.</t>
        </is>
      </c>
      <c r="F40" s="13" t="inlineStr">
        <is>
          <t>001_EST_CROCHA_R3.2.e2k · MATERIAL "Fy=4200" · NTC-Concreto 2023 (CDMX) Tabla 2.4.2.1.2.a, p. 43 y Tabla 2.4.2.2.4.a, p. 46</t>
        </is>
      </c>
    </row>
    <row r="41" ht="43.5" customHeight="1">
      <c r="B41" s="9" t="inlineStr">
        <is>
          <t>fy de la malla electrosoldada</t>
        </is>
      </c>
      <c r="C41" s="10" t="n">
        <v>5000</v>
      </c>
      <c r="D41" s="11" t="inlineStr">
        <is>
          <t>kg/cm²</t>
        </is>
      </c>
      <c r="E41" s="12" t="inlineStr">
        <is>
          <t>CAPTURA. Alambre de malla NMX-B-290; en contracción, temperatura y flexión de losas se permite hasta 7 000. En 2023 la cuantía de temperatura ya no depende de fy.</t>
        </is>
      </c>
      <c r="F41" s="13" t="inlineStr">
        <is>
          <t>NTC-Concreto 2023 (CDMX) 2.4.2.1.6 y 2.4.2.1.7, p. 44 · Tabla 2.4.2.2.4.a renglón «Otras», p. 46 · plano EST Casa Yépez (Naim), nota 1.2</t>
        </is>
      </c>
    </row>
    <row r="42" ht="30" customHeight="1">
      <c r="B42" s="9" t="inlineStr">
        <is>
          <t>fy de los estribos de nervaduras principales</t>
        </is>
      </c>
      <c r="C42" s="10" t="n">
        <v>4200</v>
      </c>
      <c r="D42" s="11" t="inlineStr">
        <is>
          <t>kg/cm²</t>
        </is>
      </c>
      <c r="E42" s="12" t="inlineStr">
        <is>
          <t>CAPTURA. Varilla corrugada; para cortante el máximo es 4 200.</t>
        </is>
      </c>
      <c r="F42" s="13" t="inlineStr">
        <is>
          <t>NTC-Concreto 2023 (CDMX) 5.5.2.4.3, p. 94 · Tabla 2.4.2.2.4.a, p. 46</t>
        </is>
      </c>
    </row>
    <row r="43" ht="30" customHeight="1">
      <c r="B43" s="9" t="inlineStr">
        <is>
          <t>γc — peso volumétrico del concreto reforzado</t>
        </is>
      </c>
      <c r="C43" s="19" t="n">
        <v>2.44</v>
      </c>
      <c r="D43" s="11" t="inlineStr">
        <is>
          <t>t/m³</t>
        </is>
      </c>
      <c r="E43" s="12" t="inlineStr">
        <is>
          <t>CAPTURA. El mismo del modelo (valor máximo probable).</t>
        </is>
      </c>
      <c r="F43" s="13" t="inlineStr">
        <is>
          <t>001_EST_CROCHA_R3.2.e2k · WEIGHTPERVOLUME 2440 · NTC-Criterios y Acciones 2023 (CDMX) 5.1.1.2, p. 9</t>
        </is>
      </c>
    </row>
    <row r="44" ht="30" customHeight="1">
      <c r="B44" s="9" t="inlineStr">
        <is>
          <t>γ del casetón de poliestireno</t>
        </is>
      </c>
      <c r="C44" s="23" t="n">
        <v>0.015</v>
      </c>
      <c r="D44" s="11" t="inlineStr">
        <is>
          <t>t/m³</t>
        </is>
      </c>
      <c r="E44" s="12" t="inlineStr">
        <is>
          <t>CAPTURA. Poliestireno expandido. El modelo no lo cuenta; aquí sí.</t>
        </is>
      </c>
      <c r="F44" s="13" t="inlineStr">
        <is>
          <t>001_PLANO_CROCHA_R3.0.dxf · simbología del corte «CASETÓN DE POLIESTIRENO»</t>
        </is>
      </c>
    </row>
    <row r="45" ht="43.5" customHeight="1">
      <c r="B45" s="9" t="inlineStr">
        <is>
          <t>Ec — módulo de elasticidad</t>
        </is>
      </c>
      <c r="C45" s="24">
        <f>14000*SQRT(DATOS!$C$39)</f>
        <v>221359.436211787</v>
      </c>
      <c r="D45" s="11" t="inlineStr">
        <is>
          <t>kg/cm²</t>
        </is>
      </c>
      <c r="E45" s="12" t="inlineStr">
        <is>
          <t>CALCULADA = 14 000·√f'c: Clase 1A con agregado grueso CALIZO (con basalto sería 11 000·√f'c). Especificarlo así en planos.</t>
        </is>
      </c>
      <c r="F45" s="13" t="inlineStr">
        <is>
          <t>001_EST_CROCHA_R3.2.e2k · E 2.2135944E+09 kgf/m² · NTC-Concreto 2023 (CDMX) Tabla 2.2.1, p. 31 y 2.2.8.4, p. 34</t>
        </is>
      </c>
    </row>
    <row r="46" ht="19.5" customHeight="1">
      <c r="B46" s="9" t="inlineStr">
        <is>
          <t>Es — módulo de elasticidad del acero</t>
        </is>
      </c>
      <c r="C46" s="25" t="n">
        <v>2000000</v>
      </c>
      <c r="D46" s="11" t="inlineStr">
        <is>
          <t>kg/cm²</t>
        </is>
      </c>
      <c r="E46" s="12" t="inlineStr">
        <is>
          <t>CAPTURA.</t>
        </is>
      </c>
      <c r="F46" s="13" t="inlineStr">
        <is>
          <t>NTC-Concreto 2023 (CDMX) 2.4.2.2.2, p. 45</t>
        </is>
      </c>
    </row>
    <row r="47" ht="30" customHeight="1">
      <c r="B47" s="9" t="inlineStr">
        <is>
          <t>f̄f — módulo de rotura medio (para el momento de agrietamiento)</t>
        </is>
      </c>
      <c r="C47" s="26">
        <f>2*SQRT(DATOS!$C$39)</f>
        <v>31.6227766016838</v>
      </c>
      <c r="D47" s="11" t="inlineStr">
        <is>
          <t>kg/cm²</t>
        </is>
      </c>
      <c r="E47" s="12" t="inlineStr">
        <is>
          <t>CALCULADA = 2·√f'c (Clase 1A). Se usa sólo en las flechas.</t>
        </is>
      </c>
      <c r="F47" s="13" t="inlineStr">
        <is>
          <t>NTC-Concreto 2023 (CDMX) Tabla 2.2.1, p. 31 · 13.4.3.3, p. 338</t>
        </is>
      </c>
    </row>
    <row r="48" ht="43.5" customHeight="1">
      <c r="B48" s="9" t="inlineStr">
        <is>
          <t>f''c — esfuerzo del bloque equivalente</t>
        </is>
      </c>
      <c r="C48" s="26">
        <f>0.85*DATOS!$C$39</f>
        <v>212.5</v>
      </c>
      <c r="D48" s="11" t="inlineStr">
        <is>
          <t>kg/cm²</t>
        </is>
      </c>
      <c r="E48" s="12" t="inlineStr">
        <is>
          <t>CALCULADA = 0.85·f'c (sin límite de f'c en 2023).</t>
        </is>
      </c>
      <c r="F48" s="13" t="inlineStr">
        <is>
          <t>NTC-Concreto 2023 (CDMX) 3.6.1 e), p. 68 · Naim — CASA HABITACIÓN, MEMORIA DE CÁLCULO (sep-2024) (su MR sale con 0.85 f'c)</t>
        </is>
      </c>
    </row>
    <row r="49" ht="19.5" customHeight="1">
      <c r="B49" s="9" t="inlineStr">
        <is>
          <t>β1 — profundidad del bloque</t>
        </is>
      </c>
      <c r="C49" s="21">
        <f>IF(DATOS!$C$39&lt;=300,0.85,MAX(0.65,1.05-DATOS!$C$39/1400))</f>
        <v>0.85</v>
      </c>
      <c r="D49" s="11" t="inlineStr">
        <is>
          <t>—</t>
        </is>
      </c>
      <c r="E49" s="12" t="inlineStr">
        <is>
          <t>CALCULADA. 0.85 hasta f'c = 300 kg/cm².</t>
        </is>
      </c>
      <c r="F49" s="13" t="inlineStr">
        <is>
          <t>NTC-Concreto 2023 (CDMX) ec. 3.6.1, p. 68</t>
        </is>
      </c>
    </row>
    <row r="50" ht="57" customHeight="1">
      <c r="B50" s="9" t="inlineStr">
        <is>
          <t>f'm — resistencia de diseño a compresión del block</t>
        </is>
      </c>
      <c r="C50" s="10" t="n">
        <v>50</v>
      </c>
      <c r="D50" s="11" t="inlineStr">
        <is>
          <t>kg/cm²</t>
        </is>
      </c>
      <c r="E50" s="12" t="inlineStr">
        <is>
          <t>CAPTURA. Block de concreto f'p = 100 kg/cm² con mortero tipo I. La casa es estructura Tipo I (tiene muros desplantados sobre vigas): no se pueden usar los valores por omisión del Cap. 12.</t>
        </is>
      </c>
      <c r="F50" s="13" t="inlineStr">
        <is>
          <t>001_EST_CROCHA_R3.2.e2k · MATERIAL "f'm=50kg/cm2 (Mortero Tipo I, f'p=100kg/cm2)" · NTC-Mampostería 2023 (CDMX) Tabla 2.8.1.4.1, p. 24 · 1.6.1 c), p. 15 · 1.6.2, p. 16</t>
        </is>
      </c>
    </row>
    <row r="51" ht="30" customHeight="1">
      <c r="B51" s="9" t="inlineStr">
        <is>
          <t>Em — módulo de elasticidad de la mampostería</t>
        </is>
      </c>
      <c r="C51" s="24">
        <f>800*DATOS!$C$50</f>
        <v>40000</v>
      </c>
      <c r="D51" s="11" t="inlineStr">
        <is>
          <t>kg/cm²</t>
        </is>
      </c>
      <c r="E51" s="12" t="inlineStr">
        <is>
          <t>CALCULADA = 800·f'm (block de concreto, cargas de corta duración). El E2K trae 40 000.</t>
        </is>
      </c>
      <c r="F51" s="13" t="inlineStr">
        <is>
          <t>NTC-Mampostería 2023 (CDMX) ec. 2.8.5.4.a, p. 27 · 001_EST_CROCHA_R3.2.e2k E 4.0E+08 kgf/m²</t>
        </is>
      </c>
    </row>
    <row r="52" ht="6" customHeight="1"/>
    <row r="53" ht="21" customHeight="1">
      <c r="B53" s="5" t="inlineStr">
        <is>
          <t>3. FACTORES DE CARGA Y DE RESISTENCIA</t>
        </is>
      </c>
    </row>
    <row r="54" ht="30" customHeight="1">
      <c r="B54" s="8" t="inlineStr">
        <is>
          <t>Concepto</t>
        </is>
      </c>
      <c r="C54" s="8" t="inlineStr">
        <is>
          <t>Valor</t>
        </is>
      </c>
      <c r="D54" s="8" t="inlineStr">
        <is>
          <t>Unidad</t>
        </is>
      </c>
      <c r="E54" s="8" t="inlineStr">
        <is>
          <t>Cómo se calcula / de dónde sale</t>
        </is>
      </c>
      <c r="F54" s="8" t="inlineStr">
        <is>
          <t>Referencia</t>
        </is>
      </c>
    </row>
    <row r="55" ht="57" customHeight="1">
      <c r="B55" s="9" t="inlineStr">
        <is>
          <t>FC_CM — factor de carga muerta</t>
        </is>
      </c>
      <c r="C55" s="19" t="n">
        <v>1.3</v>
      </c>
      <c r="D55" s="11" t="inlineStr">
        <is>
          <t>—</t>
        </is>
      </c>
      <c r="E55" s="12" t="inlineStr">
        <is>
          <t>CAPTURA. Grupo B, cargas permanentes + variables (Grupo A sería 1.5).</t>
        </is>
      </c>
      <c r="F55" s="13" t="inlineStr">
        <is>
          <t>NTC-Criterios y Acciones 2023 (CDMX) 3.4.1 a), p. 7 (combinación 2.3.1 a), p. 5) · Naim — CASA HABITACIÓN, MEMORIA DE CÁLCULO (sep-2024) pág. 8 · 001_EST_CROCHA_R3.2.e2k COMBO "Comb2.2"</t>
        </is>
      </c>
    </row>
    <row r="56" ht="19.5" customHeight="1">
      <c r="B56" s="9" t="inlineStr">
        <is>
          <t>FC_CV — factor de carga viva</t>
        </is>
      </c>
      <c r="C56" s="19" t="n">
        <v>1.5</v>
      </c>
      <c r="D56" s="11" t="inlineStr">
        <is>
          <t>—</t>
        </is>
      </c>
      <c r="E56" s="12" t="inlineStr">
        <is>
          <t>CAPTURA. Grupo B (Grupo A sería 1.7).</t>
        </is>
      </c>
      <c r="F56" s="13" t="inlineStr">
        <is>
          <t>NTC-Criterios y Acciones 2023 (CDMX) 3.4.1 a), p. 7</t>
        </is>
      </c>
    </row>
    <row r="57" ht="30" customHeight="1">
      <c r="B57" s="9" t="inlineStr">
        <is>
          <t>FC_acc — factor de carga en combinaciones con acciones accidentales</t>
        </is>
      </c>
      <c r="C57" s="19" t="n">
        <v>1.1</v>
      </c>
      <c r="D57" s="11" t="inlineStr">
        <is>
          <t>—</t>
        </is>
      </c>
      <c r="E57" s="12" t="inlineStr">
        <is>
          <t>CAPTURA. Se usa en la combinación de granizo en azotea: 1.1·(CM + W_g), sin carga viva.</t>
        </is>
      </c>
      <c r="F57" s="13" t="inlineStr">
        <is>
          <t>NTC-Criterios y Acciones 2023 (CDMX) 3.4.1 b), p. 7 · 7.3.1.3, p. 17</t>
        </is>
      </c>
    </row>
    <row r="58" ht="57" customHeight="1">
      <c r="B58" s="9" t="inlineStr">
        <is>
          <t>F_R — flexión</t>
        </is>
      </c>
      <c r="C58" s="19" t="n">
        <v>0.9</v>
      </c>
      <c r="D58" s="11" t="inlineStr">
        <is>
          <t>—</t>
        </is>
      </c>
      <c r="E58" s="12" t="inlineStr">
        <is>
          <t>CAPTURA. Sólo vale si la sección es controlada por tensión (ε_t ≥ 0.005). Losas y vigas sin presfuerzo tienen que serlo, así que la hoja limita el acero para garantizarlo (p_max, sección 4).</t>
        </is>
      </c>
      <c r="F58" s="13" t="inlineStr">
        <is>
          <t>NTC-Concreto 2023 (CDMX) Tabla 3.8.2.1 a) y Tabla 3.8.2.2, p. 70 · 3.8.2.4, p. 71 · 6.3.3.3.1, p. 121 · 6.7.3.3.1, p. 169</t>
        </is>
      </c>
    </row>
    <row r="59" ht="19.5" customHeight="1">
      <c r="B59" s="9" t="inlineStr">
        <is>
          <t>F_R — cortante</t>
        </is>
      </c>
      <c r="C59" s="19" t="n">
        <v>0.75</v>
      </c>
      <c r="D59" s="11" t="inlineStr">
        <is>
          <t>—</t>
        </is>
      </c>
      <c r="E59" s="12" t="inlineStr">
        <is>
          <t>CAPTURA.</t>
        </is>
      </c>
      <c r="F59" s="13" t="inlineStr">
        <is>
          <t>NTC-Concreto 2023 (CDMX) Tabla 3.8.2.1 b), p. 70</t>
        </is>
      </c>
    </row>
    <row r="60" ht="30" customHeight="1">
      <c r="B60" s="9" t="inlineStr">
        <is>
          <t>F_R — mampostería en compresión</t>
        </is>
      </c>
      <c r="C60" s="19" t="n">
        <v>0.6</v>
      </c>
      <c r="D60" s="11" t="inlineStr">
        <is>
          <t>—</t>
        </is>
      </c>
      <c r="E60" s="12" t="inlineStr">
        <is>
          <t>CAPTURA. Para muros sobre vigas (esfuerzo en los extremos del muro).</t>
        </is>
      </c>
      <c r="F60" s="13" t="inlineStr">
        <is>
          <t>NTC-Mampostería 2023 (CDMX) 4.1.6.2, p. 39 · 4.1.18.2.2, p. 44</t>
        </is>
      </c>
    </row>
    <row r="61" ht="30" customHeight="1">
      <c r="B61" s="9" t="inlineStr">
        <is>
          <t>Fracción de la cuantía balanceada que se permite</t>
        </is>
      </c>
      <c r="C61" s="19" t="n">
        <v>0.9</v>
      </c>
      <c r="D61" s="11" t="inlineStr">
        <is>
          <t>—</t>
        </is>
      </c>
      <c r="E61" s="12" t="inlineStr">
        <is>
          <t>CAPTURA. Tope de vigas de ductilidad baja; en la práctica manda antes ε_t ≥ 0.005.</t>
        </is>
      </c>
      <c r="F61" s="13" t="inlineStr">
        <is>
          <t>NTC-Concreto 2023 (CDMX) 6.3.5.2.1, p. 122</t>
        </is>
      </c>
    </row>
    <row r="62" ht="43.5" customHeight="1">
      <c r="B62" s="9" t="inlineStr">
        <is>
          <t>Incremento de V_cR en losas encasetonadas</t>
        </is>
      </c>
      <c r="C62" s="19" t="n">
        <v>1.1</v>
      </c>
      <c r="D62" s="11" t="inlineStr">
        <is>
          <t>—</t>
        </is>
      </c>
      <c r="E62" s="12" t="inlineStr">
        <is>
          <t>CAPTURA. Sólo se aplica en los tableros que cumplen las limitaciones geométricas de losa encasetonada (claro ≥ 6·a_c en las dos direcciones); en los demás vale 1.0.</t>
        </is>
      </c>
      <c r="F62" s="13" t="inlineStr">
        <is>
          <t>NTC-Concreto 2023 (CDMX) 6.7.8.1.5, p. 187 · 6.7.8.1.9, p. 188</t>
        </is>
      </c>
    </row>
    <row r="63" ht="43.5" customHeight="1">
      <c r="B63" s="9" t="inlineStr">
        <is>
          <t>Incremento de cortante con bordes continuos y discontinuos</t>
        </is>
      </c>
      <c r="C63" s="19" t="n">
        <v>1.15</v>
      </c>
      <c r="D63" s="11" t="inlineStr">
        <is>
          <t>—</t>
        </is>
      </c>
      <c r="E63" s="12" t="inlineStr">
        <is>
          <t>CAPTURA. Parte de la fórmula de cortante de losas perimetralmente apoyadas de la NTC 2017, que la 2023 ya no trae; se conserva como «método reconocido».</t>
        </is>
      </c>
      <c r="F63" s="13" t="inlineStr">
        <is>
          <t>NTC-Concreto 2023 (CDMX) 3.4.1.1, p. 64 (métodos reconocidos) · NTC-Concreto 2017</t>
        </is>
      </c>
    </row>
    <row r="64" ht="43.5" customHeight="1">
      <c r="B64" s="9" t="inlineStr">
        <is>
          <t>Relación M⁻/M⁺ para nervaduras principales apoyadas</t>
        </is>
      </c>
      <c r="C64" s="23" t="n">
        <v>0.667</v>
      </c>
      <c r="D64" s="11" t="inlineStr">
        <is>
          <t>—</t>
        </is>
      </c>
      <c r="E64" s="12" t="inlineStr">
        <is>
          <t>CAPTURA. Equivale a wL²/12 contra wL²/8: arriba se arma para empotramiento, abajo para apoyo simple (envolvente conservadora).</t>
        </is>
      </c>
      <c r="F64" s="13" t="inlineStr">
        <is>
          <t>Criterio de esta hoja — no viene de norma</t>
        </is>
      </c>
    </row>
    <row r="65" ht="6" customHeight="1"/>
    <row r="66" ht="21" customHeight="1">
      <c r="B66" s="5" t="inlineStr">
        <is>
          <t>4. PROPIEDADES DE LA SECCIÓN NERVADA — Y COMPROBACIÓN CONTRA EL MODELO</t>
        </is>
      </c>
    </row>
    <row r="67" ht="30" customHeight="1">
      <c r="B67" s="6" t="inlineStr">
        <is>
          <t>Si estos dos cocientes coinciden con los del E2K, la hoja y el modelo están hablando de la misma losa.</t>
        </is>
      </c>
      <c r="C67" s="7" t="n"/>
      <c r="D67" s="7" t="n"/>
      <c r="E67" s="7" t="n"/>
      <c r="F67" s="7" t="n"/>
    </row>
    <row r="68" ht="30" customHeight="1">
      <c r="B68" s="8" t="inlineStr">
        <is>
          <t>Concepto</t>
        </is>
      </c>
      <c r="C68" s="8" t="inlineStr">
        <is>
          <t>Valor</t>
        </is>
      </c>
      <c r="D68" s="8" t="inlineStr">
        <is>
          <t>Unidad</t>
        </is>
      </c>
      <c r="E68" s="8" t="inlineStr">
        <is>
          <t>Cómo se calcula / de dónde sale</t>
        </is>
      </c>
      <c r="F68" s="8" t="inlineStr">
        <is>
          <t>Referencia</t>
        </is>
      </c>
    </row>
    <row r="69" ht="30" customHeight="1">
      <c r="B69" s="9" t="inlineStr">
        <is>
          <t>Volumen de concreto por m² de losa</t>
        </is>
      </c>
      <c r="C69" s="27">
        <f>(DATOS!$C$15/100-(DATOS!$C$11/100)^2*(DATOS!$C$12/100)/(DATOS!$C$16/100)^2)</f>
        <v>0.103061224489796</v>
      </c>
      <c r="D69" s="11" t="inlineStr">
        <is>
          <t>m³/m²</t>
        </is>
      </c>
      <c r="E69" s="12" t="inlineStr">
        <is>
          <t>CALCULADA = h − a_c²·h_c / s² (lo macizo menos los huecos de casetón).</t>
        </is>
      </c>
      <c r="F69" s="13" t="inlineStr">
        <is>
          <t>Geometría</t>
        </is>
      </c>
    </row>
    <row r="70" ht="30" customHeight="1">
      <c r="B70" s="9" t="inlineStr">
        <is>
          <t>Peso propio geométrico de la losa nervada</t>
        </is>
      </c>
      <c r="C70" s="16">
        <f>(DATOS!$C$69*DATOS!$C$43+(DATOS!$C$11/100)^2*(DATOS!$C$12/100)/(DATOS!$C$16/100)^2*DATOS!$C$44)*1000</f>
        <v>253.673469387755</v>
      </c>
      <c r="D70" s="11" t="inlineStr">
        <is>
          <t>kg/m²</t>
        </is>
      </c>
      <c r="E70" s="12" t="inlineStr">
        <is>
          <t>CALCULADA = V·γc + casetón·γ_pol. A esto se le suma el incremento de la sección 5.</t>
        </is>
      </c>
      <c r="F70" s="13" t="inlineStr">
        <is>
          <t>Geometría</t>
        </is>
      </c>
    </row>
    <row r="71" ht="30" customHeight="1">
      <c r="B71" s="9" t="inlineStr">
        <is>
          <t>Peso propio que trae el modelo</t>
        </is>
      </c>
      <c r="C71" s="26">
        <f>1503.75*0.25*0.6688</f>
        <v>251.427</v>
      </c>
      <c r="D71" s="11" t="inlineStr">
        <is>
          <t>kg/m²</t>
        </is>
      </c>
      <c r="E71" s="12" t="inlineStr">
        <is>
          <t>CALCULADA = 1503.75 kg/m³ × 0.25 m × WMOD 0.6688. Sin casetón: por eso sale 2 kg/m² abajo.</t>
        </is>
      </c>
      <c r="F71" s="13" t="inlineStr">
        <is>
          <t>001_EST_CROCHA_R3.2.e2k · MATERIAL "LR-25 equiv" 1503.75 kg/m³ y SHELLPROP "LR-25" WMOD 0.6688</t>
        </is>
      </c>
    </row>
    <row r="72" ht="19.5" customHeight="1">
      <c r="B72" s="9" t="inlineStr">
        <is>
          <t>A_T — área de la sección T de una nervadura</t>
        </is>
      </c>
      <c r="C72" s="26">
        <f>DATOS!$C$16*DATOS!$C$14+DATOS!$C$13*DATOS!$C$12</f>
        <v>550</v>
      </c>
      <c r="D72" s="11" t="inlineStr">
        <is>
          <t>cm²</t>
        </is>
      </c>
      <c r="E72" s="12" t="inlineStr">
        <is>
          <t>CALCULADA = s·t + b_w·h_c.</t>
        </is>
      </c>
      <c r="F72" s="13" t="inlineStr">
        <is>
          <t>Geometría</t>
        </is>
      </c>
    </row>
    <row r="73" ht="19.5" customHeight="1">
      <c r="B73" s="9" t="inlineStr">
        <is>
          <t>ȳ — centroide medido desde arriba</t>
        </is>
      </c>
      <c r="C73" s="21">
        <f>(DATOS!$C$16*DATOS!$C$14*DATOS!$C$14/2+DATOS!$C$13*DATOS!$C$12*(DATOS!$C$14+DATOS!$C$12/2))/DATOS!$C$72</f>
        <v>7.04545454545455</v>
      </c>
      <c r="D73" s="11" t="inlineStr">
        <is>
          <t>cm</t>
        </is>
      </c>
      <c r="E73" s="12" t="inlineStr">
        <is>
          <t>CALCULADA.</t>
        </is>
      </c>
      <c r="F73" s="13" t="inlineStr">
        <is>
          <t>Geometría</t>
        </is>
      </c>
    </row>
    <row r="74" ht="30" customHeight="1">
      <c r="B74" s="9" t="inlineStr">
        <is>
          <t>I_T — inercia bruta de una nervadura con su patín</t>
        </is>
      </c>
      <c r="C74" s="24">
        <f>DATOS!$C$16*DATOS!$C$14^3/12+DATOS!$C$16*DATOS!$C$14*(DATOS!$C$73-DATOS!$C$14/2)^2+DATOS!$C$13*DATOS!$C$12^3/12+DATOS!$C$13*DATOS!$C$12*(DATOS!$C$14+DATOS!$C$12/2-DATOS!$C$73)^2</f>
        <v>27282.196969697</v>
      </c>
      <c r="D74" s="11" t="inlineStr">
        <is>
          <t>cm⁴</t>
        </is>
      </c>
      <c r="E74" s="12" t="inlineStr">
        <is>
          <t>CALCULADA (Steiner).</t>
        </is>
      </c>
      <c r="F74" s="13" t="inlineStr">
        <is>
          <t>Geometría</t>
        </is>
      </c>
    </row>
    <row r="75" ht="30" customHeight="1">
      <c r="B75" s="9" t="inlineStr">
        <is>
          <t>I_T / I de losa maciza del mismo peralte</t>
        </is>
      </c>
      <c r="C75" s="28">
        <f>DATOS!$C$74/(DATOS!$C$16*DATOS!$C$15^3/12)</f>
        <v>0.299324675324675</v>
      </c>
      <c r="D75" s="11" t="inlineStr">
        <is>
          <t>—</t>
        </is>
      </c>
      <c r="E75" s="12" t="inlineStr">
        <is>
          <t>CALCULADA. Debe coincidir con el modificador de inercia del modelo.</t>
        </is>
      </c>
      <c r="F75" s="13" t="inlineStr">
        <is>
          <t>Geometría</t>
        </is>
      </c>
    </row>
    <row r="76" ht="30" customHeight="1">
      <c r="B76" s="9" t="inlineStr">
        <is>
          <t>Modificador de inercia en el modelo</t>
        </is>
      </c>
      <c r="C76" s="27" t="n">
        <v>0.29914984</v>
      </c>
      <c r="D76" s="11" t="inlineStr">
        <is>
          <t>—</t>
        </is>
      </c>
      <c r="E76" s="12" t="inlineStr">
        <is>
          <t>DATO del modelo. Si difiere de la fila de arriba, la losa del modelo no es la misma.</t>
        </is>
      </c>
      <c r="F76" s="13" t="inlineStr">
        <is>
          <t>001_EST_CROCHA_R3.2.e2k · SHELLPROP "LR-25" M11MOD 0.29914984</t>
        </is>
      </c>
    </row>
    <row r="77" ht="43.5" customHeight="1">
      <c r="B77" s="9" t="inlineStr">
        <is>
          <t>h_eq — espesor de losa maciza con la misma inercia</t>
        </is>
      </c>
      <c r="C77" s="29">
        <f>(12*DATOS!$C$74/DATOS!$C$16)^(1/3)</f>
        <v>16.7232564120244</v>
      </c>
      <c r="D77" s="11" t="inlineStr">
        <is>
          <t>cm</t>
        </is>
      </c>
      <c r="E77" s="12" t="inlineStr">
        <is>
          <t>CALCULADA = ∛(12·I_T / s). La norma no da espesor mínimo especial para encasetonadas: la hoja compara h_eq (no los 25 cm) contra el espesor mínimo, del lado seguro.</t>
        </is>
      </c>
      <c r="F77" s="13" t="inlineStr">
        <is>
          <t>Criterio de esta hoja · NTC-Concreto 2023 (CDMX) 6.7.3.1, p. 167–168</t>
        </is>
      </c>
    </row>
    <row r="78" ht="57" customHeight="1">
      <c r="B78" s="9" t="inlineStr">
        <is>
          <t>d inferior típico (varilla preferida)</t>
        </is>
      </c>
      <c r="C78" s="29">
        <f>DATOS!$C$15-DATOS!$C$20-IF(DATOS!$C$25=0,0,INDEX(TABLAS!$C$52:$C$58,MATCH(DATOS!$C$25,TABLAS!$B$52:$B$58,0)))-INDEX(TABLAS!$C$52:$C$58,MATCH(DATOS!$C$26,TABLAS!$B$52:$B$58,0))/2</f>
        <v>22.365</v>
      </c>
      <c r="D78" s="11" t="inlineStr">
        <is>
          <t>cm</t>
        </is>
      </c>
      <c r="E78" s="12" t="inlineStr">
        <is>
          <t>CALCULADA = h − r − estribo − d_b/2. En TABLEROS se recalcula con la varilla real, la dirección (la del claro largo va encima de la del corto) y el recubrimiento de cada tablero.</t>
        </is>
      </c>
      <c r="F78" s="13" t="inlineStr">
        <is>
          <t>Geometría</t>
        </is>
      </c>
    </row>
    <row r="79" ht="70.5" customHeight="1">
      <c r="B79" s="9" t="inlineStr">
        <is>
          <t>d superior típico (varilla preferida)</t>
        </is>
      </c>
      <c r="C79" s="29">
        <f>DATOS!$C$15-DATOS!$C$20-2*DATOS!$C$35-IF(DATOS!$C$25=0,0,INDEX(TABLAS!$C$52:$C$58,MATCH(DATOS!$C$25,TABLAS!$B$52:$B$58,0)))-INDEX(TABLAS!$C$52:$C$58,MATCH(DATOS!$C$27,TABLAS!$B$52:$B$58,0))/2</f>
        <v>21.389</v>
      </c>
      <c r="D79" s="11" t="inlineStr">
        <is>
          <t>cm</t>
        </is>
      </c>
      <c r="E79" s="12" t="inlineStr">
        <is>
          <t>CALCULADA = h − r − 2·Ø malla − estribo − d_b/2 (la varilla va bajo la malla). La reducción de 20 mm de 3.9.1 d) (d ≤ 200 mm sin la precaución anotada) se revisa renglón por renglón en TABLEROS: con r = 4 cm o con barras más gruesas d baja de 20 cm.</t>
        </is>
      </c>
      <c r="F79" s="13" t="inlineStr">
        <is>
          <t>Geometría · NTC-Concreto 2023 (CDMX) 3.9.1 d) y 3.9.2, p. 74</t>
        </is>
      </c>
    </row>
    <row r="80" ht="19.5" customHeight="1">
      <c r="B80" s="9" t="inlineStr">
        <is>
          <t>p_b — cuantía balanceada</t>
        </is>
      </c>
      <c r="C80" s="27">
        <f>DATOS!$C$48/DATOS!$C$40*6000*DATOS!$C$49/(DATOS!$C$40+6000)</f>
        <v>0.025297619047619</v>
      </c>
      <c r="D80" s="11" t="inlineStr">
        <is>
          <t>—</t>
        </is>
      </c>
      <c r="E80" s="12" t="inlineStr">
        <is>
          <t>CALCULADA = (f''c/fy)·6000β1/(fy + 6000).</t>
        </is>
      </c>
      <c r="F80" s="13" t="inlineStr">
        <is>
          <t>NTC-Concreto 2023 (CDMX) ec. 5.2.1.3.1, p. 88</t>
        </is>
      </c>
    </row>
    <row r="81" ht="30" customHeight="1">
      <c r="B81" s="9" t="inlineStr">
        <is>
          <t>p para ε_t = 0.005 (sección controlada por tensión)</t>
        </is>
      </c>
      <c r="C81" s="27">
        <f>0.375*DATOS!$C$49*DATOS!$C$48/DATOS!$C$40</f>
        <v>0.0161272321428571</v>
      </c>
      <c r="D81" s="11" t="inlineStr">
        <is>
          <t>—</t>
        </is>
      </c>
      <c r="E81" s="12" t="inlineStr">
        <is>
          <t>CALCULADA: c ≤ 0.375·d ⇒ a ≤ 0.375·β1·d ⇒ p ≤ 0.375·β1·f''c/fy, sobre el ancho que trabaja a compresión.</t>
        </is>
      </c>
      <c r="F81" s="13" t="inlineStr">
        <is>
          <t>NTC-Concreto 2023 (CDMX) Tabla 3.8.2.2, p. 70 · 3.8.2.4, p. 71 (ε_ty = 0.002) · 6.3.3.3.1, p. 121</t>
        </is>
      </c>
    </row>
    <row r="82" ht="30" customHeight="1">
      <c r="B82" s="9" t="inlineStr">
        <is>
          <t>p_max — cuantía máxima</t>
        </is>
      </c>
      <c r="C82" s="28">
        <f>MIN(DATOS!$C$61*DATOS!$C$80,DATOS!$C$81)</f>
        <v>0.0161272321428571</v>
      </c>
      <c r="D82" s="11" t="inlineStr">
        <is>
          <t>—</t>
        </is>
      </c>
      <c r="E82" s="12" t="inlineStr">
        <is>
          <t>CALCULADA = el menor de 0.90·p_b y el de ε_t = 0.005 (manda el segundo).</t>
        </is>
      </c>
      <c r="F82" s="13" t="inlineStr">
        <is>
          <t>NTC-Concreto 2023 (CDMX) 6.3.5.2.1, p. 122 · 6.3.3.3.1, p. 121 · 6.7.3.3.1, p. 169</t>
        </is>
      </c>
    </row>
    <row r="83" ht="43.5" customHeight="1">
      <c r="B83" s="9" t="inlineStr">
        <is>
          <t>p_min — cuantía mínima por flexión (vigas y nervaduras)</t>
        </is>
      </c>
      <c r="C83" s="30">
        <f>MAX(0.8*SQRT(DATOS!$C$39),14)/DATOS!$C$40</f>
        <v>0.00333333333333333</v>
      </c>
      <c r="D83" s="11" t="inlineStr">
        <is>
          <t>—</t>
        </is>
      </c>
      <c r="E83" s="12" t="inlineStr">
        <is>
          <t>CALCULADA = el mayor de 0.80·√f'c/fy y 14/fy, sobre b_w·d. Con f'c = 250 manda 14/fy = 0.00333. Se dispensa si la As colocada es ≥ 4/3 de la requerida.</t>
        </is>
      </c>
      <c r="F83" s="13" t="inlineStr">
        <is>
          <t>NTC-Concreto 2023 (CDMX) 6.3.5.1.2 y 6.3.5.1.3, p. 122</t>
        </is>
      </c>
    </row>
    <row r="84" ht="19.5" customHeight="1">
      <c r="B84" s="9" t="inlineStr">
        <is>
          <t>As mín de losa por nervadura = 0.0018·A_g</t>
        </is>
      </c>
      <c r="C84" s="21">
        <f>0.0018*(DATOS!$C$16*DATOS!$C$14+DATOS!$C$13*DATOS!$C$12)</f>
        <v>0.99</v>
      </c>
      <c r="D84" s="11" t="inlineStr">
        <is>
          <t>cm²</t>
        </is>
      </c>
      <c r="E84" s="12" t="inlineStr">
        <is>
          <t>CALCULADA. La cubre de sobra la No. 4 corrida (1.27 cm²).</t>
        </is>
      </c>
      <c r="F84" s="13" t="inlineStr">
        <is>
          <t>NTC-Concreto 2023 (CDMX) 6.7.6.1.1, p. 175</t>
        </is>
      </c>
    </row>
    <row r="85" ht="6" customHeight="1"/>
    <row r="86" ht="21" customHeight="1">
      <c r="B86" s="5" t="inlineStr">
        <is>
          <t>5. CARGAS VIVAS UNITARIAS E INCREMENTOS DE CARGA MUERTA</t>
        </is>
      </c>
    </row>
    <row r="87" ht="30" customHeight="1">
      <c r="B87" s="6" t="inlineStr">
        <is>
          <t>Valores de la tabla de cargas vivas de la NTC. Son los mismos que trae el modelo en cada tablero y los que usa Naim. En TABLEROS cada tablero dice si es HABITACIÓN o AZOTEA y de ahí toma W_m (diseño) y W (flechas diferidas).</t>
        </is>
      </c>
      <c r="C87" s="7" t="n"/>
      <c r="D87" s="7" t="n"/>
      <c r="E87" s="7" t="n"/>
      <c r="F87" s="7" t="n"/>
    </row>
    <row r="88" ht="30" customHeight="1">
      <c r="B88" s="8" t="inlineStr">
        <is>
          <t>Concepto</t>
        </is>
      </c>
      <c r="C88" s="8" t="inlineStr">
        <is>
          <t>Valor</t>
        </is>
      </c>
      <c r="D88" s="8" t="inlineStr">
        <is>
          <t>Unidad</t>
        </is>
      </c>
      <c r="E88" s="8" t="inlineStr">
        <is>
          <t>Cómo se calcula / de dónde sale</t>
        </is>
      </c>
      <c r="F88" s="8" t="inlineStr">
        <is>
          <t>Referencia</t>
        </is>
      </c>
    </row>
    <row r="89" ht="70.5" customHeight="1">
      <c r="B89" s="9" t="inlineStr">
        <is>
          <t>Habitación — W_m (máxima, para diseño por gravedad)</t>
        </is>
      </c>
      <c r="C89" s="10" t="n">
        <v>190</v>
      </c>
      <c r="D89" s="11" t="inlineStr">
        <is>
          <t>kg/m²</t>
        </is>
      </c>
      <c r="E89" s="12" t="inlineStr">
        <is>
          <t>CAPTURA.</t>
        </is>
      </c>
      <c r="F89" s="13" t="inlineStr">
        <is>
          <t>NTC-Criterios y Acciones 2023 (CDMX) Tabla 6.1.2.2 inciso a), p. 11 · 6.1.2.1 a), p. 10 · Naim — CASA HABITACIÓN, MEMORIA DE CÁLCULO (sep-2024) pág. 5 · 001_EST_CROCHA_R3.2.e2k AREALOAD "Carga Viva Máxima" 190</t>
        </is>
      </c>
    </row>
    <row r="90" ht="30" customHeight="1">
      <c r="B90" s="9" t="inlineStr">
        <is>
          <t>Habitación — W_a (instantánea)</t>
        </is>
      </c>
      <c r="C90" s="10" t="n">
        <v>100</v>
      </c>
      <c r="D90" s="11" t="inlineStr">
        <is>
          <t>kg/m²</t>
        </is>
      </c>
      <c r="E90" s="12" t="inlineStr">
        <is>
          <t>CAPTURA. Informativa: no entra en el diseño por gravedad.</t>
        </is>
      </c>
      <c r="F90" s="13" t="inlineStr">
        <is>
          <t>NTC-Criterios y Acciones 2023 (CDMX) Tabla 6.1.2.2 a), p. 11 · 6.1.2.1 b), p. 10</t>
        </is>
      </c>
    </row>
    <row r="91" ht="30" customHeight="1">
      <c r="B91" s="9" t="inlineStr">
        <is>
          <t>Habitación — W (media, para flechas diferidas)</t>
        </is>
      </c>
      <c r="C91" s="10" t="n">
        <v>80</v>
      </c>
      <c r="D91" s="11" t="inlineStr">
        <is>
          <t>kg/m²</t>
        </is>
      </c>
      <c r="E91" s="12" t="inlineStr">
        <is>
          <t>CAPTURA.</t>
        </is>
      </c>
      <c r="F91" s="13" t="inlineStr">
        <is>
          <t>NTC-Criterios y Acciones 2023 (CDMX) Tabla 6.1.2.2 a), p. 11 · 6.1.2.1 c), p. 10</t>
        </is>
      </c>
    </row>
    <row r="92" ht="57" customHeight="1">
      <c r="B92" s="9" t="inlineStr">
        <is>
          <t>Azotea con pendiente ≤ 5% — W_m</t>
        </is>
      </c>
      <c r="C92" s="10" t="n">
        <v>100</v>
      </c>
      <c r="D92" s="11" t="inlineStr">
        <is>
          <t>kg/m²</t>
        </is>
      </c>
      <c r="E92" s="12" t="inlineStr">
        <is>
          <t>CAPTURA.</t>
        </is>
      </c>
      <c r="F92" s="13" t="inlineStr">
        <is>
          <t>NTC-Criterios y Acciones 2023 (CDMX) Tabla 6.1.2.2 inciso h), p. 11 · Naim — CASA HABITACIÓN, MEMORIA DE CÁLCULO (sep-2024) pág. 6 · 001_EST_CROCHA_R3.2.e2k AREALOAD 100</t>
        </is>
      </c>
    </row>
    <row r="93" ht="30" customHeight="1">
      <c r="B93" s="9" t="inlineStr">
        <is>
          <t>Azotea con pendiente ≤ 5% — W_a</t>
        </is>
      </c>
      <c r="C93" s="10" t="n">
        <v>70</v>
      </c>
      <c r="D93" s="11" t="inlineStr">
        <is>
          <t>kg/m²</t>
        </is>
      </c>
      <c r="E93" s="12" t="inlineStr">
        <is>
          <t>CAPTURA. Informativa.</t>
        </is>
      </c>
      <c r="F93" s="13" t="inlineStr">
        <is>
          <t>NTC-Criterios y Acciones 2023 (CDMX) Tabla 6.1.2.2 h), p. 11</t>
        </is>
      </c>
    </row>
    <row r="94" ht="30" customHeight="1">
      <c r="B94" s="9" t="inlineStr">
        <is>
          <t>Azotea con pendiente ≤ 5% — W (media)</t>
        </is>
      </c>
      <c r="C94" s="10" t="n">
        <v>15</v>
      </c>
      <c r="D94" s="11" t="inlineStr">
        <is>
          <t>kg/m²</t>
        </is>
      </c>
      <c r="E94" s="12" t="inlineStr">
        <is>
          <t>CAPTURA.</t>
        </is>
      </c>
      <c r="F94" s="13" t="inlineStr">
        <is>
          <t>NTC-Criterios y Acciones 2023 (CDMX) Tabla 6.1.2.2 h), p. 11</t>
        </is>
      </c>
    </row>
    <row r="95" ht="30" customHeight="1">
      <c r="B95" s="9" t="inlineStr">
        <is>
          <t>Incremento del peso propio por losa colada en el lugar</t>
        </is>
      </c>
      <c r="C95" s="10" t="n">
        <v>20</v>
      </c>
      <c r="D95" s="11" t="inlineStr">
        <is>
          <t>kg/m²</t>
        </is>
      </c>
      <c r="E95" s="12" t="inlineStr">
        <is>
          <t>CAPTURA. Se suma al peso propio geométrico en todos los tableros.</t>
        </is>
      </c>
      <c r="F95" s="13" t="inlineStr">
        <is>
          <t>NTC-Criterios y Acciones 2023 (CDMX) 5.1.2.1, p. 9</t>
        </is>
      </c>
    </row>
    <row r="96" ht="57" customHeight="1">
      <c r="B96" s="9" t="inlineStr">
        <is>
          <t>Incremento por capa de mortero sobre la losa (pegapiso, firme o entortado)</t>
        </is>
      </c>
      <c r="C96" s="10" t="n">
        <v>20</v>
      </c>
      <c r="D96" s="11" t="inlineStr">
        <is>
          <t>kg/m²</t>
        </is>
      </c>
      <c r="E96" s="12" t="inlineStr">
        <is>
          <t>CAPTURA. Si la sobrecarga del modelo ya trae la «carga adicional 0.04 t/m²» de Naim, pon aquí 0 y en la fila de arriba 0 para no contarla dos veces. No se aplica donde la carga muerta es favorable.</t>
        </is>
      </c>
      <c r="F96" s="13" t="inlineStr">
        <is>
          <t>NTC-Criterios y Acciones 2023 (CDMX) 5.1.2.1 y 5.1.2.2, p. 9 · Naim — CASA HABITACIÓN, MEMORIA DE CÁLCULO (sep-2024) pág. 5 (carga adicional 0.04 t/m²)</t>
        </is>
      </c>
    </row>
    <row r="97" ht="30" customHeight="1">
      <c r="B97" s="9" t="inlineStr">
        <is>
          <t>W_g — granizo en azotea (Grupo B, pendiente &lt; 5°)</t>
        </is>
      </c>
      <c r="C97" s="26">
        <f>900*0.125*1</f>
        <v>112.5</v>
      </c>
      <c r="D97" s="11" t="inlineStr">
        <is>
          <t>kg/m²</t>
        </is>
      </c>
      <c r="E97" s="12" t="inlineStr">
        <is>
          <t>CALCULADA = 900·H_s·C_s con H_s = 0.125 m y C_s = 1.0. Va con FC = 1.1 y sin carga viva.</t>
        </is>
      </c>
      <c r="F97" s="13" t="inlineStr">
        <is>
          <t>NTC-Criterios y Acciones 2023 (CDMX) ec. 7.3.2.1, p. 17 · Tablas 7.3.2.2 y 7.3.2.3, p. 18</t>
        </is>
      </c>
    </row>
    <row r="98" ht="6" customHeight="1"/>
    <row r="99" ht="21" customHeight="1">
      <c r="B99" s="5" t="inlineStr">
        <is>
          <t>6. MUROS DE PLANTA ALTA QUE QUEDAN SOBRE LA LOSA</t>
        </is>
      </c>
    </row>
    <row r="100" ht="30" customHeight="1">
      <c r="B100" s="6" t="inlineStr">
        <is>
          <t>Los muros del primer nivel que no tienen muro abajo descargan en las nervaduras principales, con su propio peso y con la azotea que cargan. Su peso por metro sale de aquí.</t>
        </is>
      </c>
      <c r="C100" s="7" t="n"/>
      <c r="D100" s="7" t="n"/>
      <c r="E100" s="7" t="n"/>
      <c r="F100" s="7" t="n"/>
    </row>
    <row r="101" ht="30" customHeight="1">
      <c r="B101" s="8" t="inlineStr">
        <is>
          <t>Concepto</t>
        </is>
      </c>
      <c r="C101" s="8" t="inlineStr">
        <is>
          <t>Valor</t>
        </is>
      </c>
      <c r="D101" s="8" t="inlineStr">
        <is>
          <t>Unidad</t>
        </is>
      </c>
      <c r="E101" s="8" t="inlineStr">
        <is>
          <t>Cómo se calcula / de dónde sale</t>
        </is>
      </c>
      <c r="F101" s="8" t="inlineStr">
        <is>
          <t>Referencia</t>
        </is>
      </c>
    </row>
    <row r="102" ht="30" customHeight="1">
      <c r="B102" s="9" t="inlineStr">
        <is>
          <t>γm — peso volumétrico del block</t>
        </is>
      </c>
      <c r="C102" s="19" t="n">
        <v>1.9</v>
      </c>
      <c r="D102" s="11" t="inlineStr">
        <is>
          <t>t/m³</t>
        </is>
      </c>
      <c r="E102" s="12" t="inlineStr">
        <is>
          <t>CAPTURA. El mismo del modelo.</t>
        </is>
      </c>
      <c r="F102" s="13" t="inlineStr">
        <is>
          <t>001_EST_CROCHA_R3.2.e2k · MATERIAL "f'm=50kg/cm2..." WEIGHTPERVOLUME 1900</t>
        </is>
      </c>
    </row>
    <row r="103" ht="30" customHeight="1">
      <c r="B103" s="9" t="inlineStr">
        <is>
          <t>t_m — espesor del muro</t>
        </is>
      </c>
      <c r="C103" s="19" t="n">
        <v>0.15</v>
      </c>
      <c r="D103" s="11" t="inlineStr">
        <is>
          <t>m</t>
        </is>
      </c>
      <c r="E103" s="12" t="inlineStr">
        <is>
          <t>CAPTURA. Mínimo 120 mm en estructuras Tipo I.</t>
        </is>
      </c>
      <c r="F103" s="13" t="inlineStr">
        <is>
          <t>001_EST_CROCHA_R3.2.e2k · SHELLPROP "Muro 15 cm" · NTC-Mampostería 2023 (CDMX) 6.1.3, p. 60</t>
        </is>
      </c>
    </row>
    <row r="104" ht="19.5" customHeight="1">
      <c r="B104" s="9" t="inlineStr">
        <is>
          <t>Altura de entrepiso</t>
        </is>
      </c>
      <c r="C104" s="19" t="n">
        <v>3</v>
      </c>
      <c r="D104" s="11" t="inlineStr">
        <is>
          <t>m</t>
        </is>
      </c>
      <c r="E104" s="12" t="inlineStr">
        <is>
          <t>CAPTURA.</t>
        </is>
      </c>
      <c r="F104" s="13" t="inlineStr">
        <is>
          <t>001_EST_CROCHA_R3.2.e2k · STORY "N+6.00" HEIGHT 3</t>
        </is>
      </c>
    </row>
    <row r="105" ht="19.5" customHeight="1">
      <c r="B105" s="9" t="inlineStr">
        <is>
          <t>Altura del muro sobre la losa</t>
        </is>
      </c>
      <c r="C105" s="21">
        <f>DATOS!$C$104-DATOS!$C$15/100</f>
        <v>2.75</v>
      </c>
      <c r="D105" s="11" t="inlineStr">
        <is>
          <t>m</t>
        </is>
      </c>
      <c r="E105" s="12" t="inlineStr">
        <is>
          <t>CALCULADA = entrepiso − h. H/t = 18 ≤ 25.</t>
        </is>
      </c>
      <c r="F105" s="13" t="inlineStr">
        <is>
          <t>Geometría · NTC-Mampostería 2023 (CDMX) 6.1.3, p. 60</t>
        </is>
      </c>
    </row>
    <row r="106" ht="19.5" customHeight="1">
      <c r="B106" s="9" t="inlineStr">
        <is>
          <t>Aplanados (las dos caras)</t>
        </is>
      </c>
      <c r="C106" s="19" t="n">
        <v>0.06</v>
      </c>
      <c r="D106" s="11" t="inlineStr">
        <is>
          <t>t/m²</t>
        </is>
      </c>
      <c r="E106" s="12" t="inlineStr">
        <is>
          <t>CAPTURA. 2 cm por cara con mortero de 1.5 t/m³.</t>
        </is>
      </c>
      <c r="F106" s="13" t="inlineStr">
        <is>
          <t>Práctica de ingeniería</t>
        </is>
      </c>
    </row>
    <row r="107" ht="30" customHeight="1">
      <c r="B107" s="9" t="inlineStr">
        <is>
          <t>w_muro — peso del muro por metro lineal (servicio)</t>
        </is>
      </c>
      <c r="C107" s="31">
        <f>(DATOS!$C$102*DATOS!$C$103+DATOS!$C$106)*DATOS!$C$105</f>
        <v>0.94875</v>
      </c>
      <c r="D107" s="11" t="inlineStr">
        <is>
          <t>t/m</t>
        </is>
      </c>
      <c r="E107" s="12" t="inlineStr">
        <is>
          <t>CALCULADA = (γm·t + aplanados)·altura. Los muros divisorios se cuantifican aparte de la carga viva.</t>
        </is>
      </c>
      <c r="F107" s="13" t="inlineStr">
        <is>
          <t>Geometría · NTC-Criterios y Acciones 2023 (CDMX) 6.1.1.2 y 6.1.1.3, p. 10</t>
        </is>
      </c>
    </row>
    <row r="108" ht="6" customHeight="1"/>
    <row r="109" ht="21" customHeight="1">
      <c r="B109" s="5" t="inlineStr">
        <is>
          <t>7. NERVADURAS PRINCIPALES — VALORES POR OMISIÓN</t>
        </is>
      </c>
    </row>
    <row r="110" ht="30" customHeight="1">
      <c r="B110" s="6" t="inlineStr">
        <is>
          <t>Cada tramo de PRINCIPALES arranca con estos valores; ahí mismo se pueden cambiar renglón por renglón.</t>
        </is>
      </c>
      <c r="C110" s="7" t="n"/>
      <c r="D110" s="7" t="n"/>
      <c r="E110" s="7" t="n"/>
      <c r="F110" s="7" t="n"/>
    </row>
    <row r="111" ht="30" customHeight="1">
      <c r="B111" s="8" t="inlineStr">
        <is>
          <t>Concepto</t>
        </is>
      </c>
      <c r="C111" s="8" t="inlineStr">
        <is>
          <t>Valor</t>
        </is>
      </c>
      <c r="D111" s="8" t="inlineStr">
        <is>
          <t>Unidad</t>
        </is>
      </c>
      <c r="E111" s="8" t="inlineStr">
        <is>
          <t>Cómo se calcula / de dónde sale</t>
        </is>
      </c>
      <c r="F111" s="8" t="inlineStr">
        <is>
          <t>Referencia</t>
        </is>
      </c>
    </row>
    <row r="112" ht="30" customHeight="1">
      <c r="B112" s="9" t="inlineStr">
        <is>
          <t>No. de varilla longitudinal preferida</t>
        </is>
      </c>
      <c r="C112" s="18" t="n">
        <v>4</v>
      </c>
      <c r="D112" s="11" t="inlineStr">
        <is>
          <t>—</t>
        </is>
      </c>
      <c r="E112" s="12" t="inlineStr">
        <is>
          <t>CAPTURA. Mínimo 2 No. 4 corridas en cada lecho donde haya tensión. Si no cabe, la hoja sube al siguiente número.</t>
        </is>
      </c>
      <c r="F112" s="13" t="inlineStr">
        <is>
          <t>NTC-Concreto 2023 (CDMX) 6.3.5.1.1, p. 122</t>
        </is>
      </c>
    </row>
    <row r="113" ht="30" customHeight="1">
      <c r="B113" s="9" t="inlineStr">
        <is>
          <t>No. de varilla del estribo</t>
        </is>
      </c>
      <c r="C113" s="18" t="n">
        <v>3</v>
      </c>
      <c r="D113" s="11" t="inlineStr">
        <is>
          <t>—</t>
        </is>
      </c>
      <c r="E113" s="12" t="inlineStr">
        <is>
          <t>CAPTURA. Estribo cerrado mínimo No. 3, con dobleces a 135° y extensión de 6d_b ≥ 8 cm.</t>
        </is>
      </c>
      <c r="F113" s="13" t="inlineStr">
        <is>
          <t>NTC-Concreto 2023 (CDMX) 14.7.3.3 a), p. 375 · 14.3.4 a) y Tabla 14.3.2, p. 350</t>
        </is>
      </c>
    </row>
    <row r="114" ht="30" customHeight="1">
      <c r="B114" s="9" t="inlineStr">
        <is>
          <t>Mínimo de varillas por lecho</t>
        </is>
      </c>
      <c r="C114" s="10" t="n">
        <v>2</v>
      </c>
      <c r="D114" s="11" t="inlineStr">
        <is>
          <t>pzas</t>
        </is>
      </c>
      <c r="E114" s="12" t="inlineStr">
        <is>
          <t>CAPTURA.</t>
        </is>
      </c>
      <c r="F114" s="13" t="inlineStr">
        <is>
          <t>NTC-Concreto 2023 (CDMX) 6.3.5.1.1, p. 122 · 6.3.7.7.1, p. 134</t>
        </is>
      </c>
    </row>
    <row r="115" ht="43.5" customHeight="1">
      <c r="B115" s="9" t="inlineStr">
        <is>
          <t>Separación máxima de estribos (tope de obra)</t>
        </is>
      </c>
      <c r="C115" s="10" t="n">
        <v>20</v>
      </c>
      <c r="D115" s="11" t="inlineStr">
        <is>
          <t>cm</t>
        </is>
      </c>
      <c r="E115" s="12" t="inlineStr">
        <is>
          <t>CAPTURA. Criterio propio. La norma pide d/2 ≤ 60 cm (o d/4 ≤ 30 cm si V_s &gt; 1.1·√f'c·b_w·d); con d &gt; 40 cm manda este tope de 20 cm y con d ≤ 40 cm manda d/2.</t>
        </is>
      </c>
      <c r="F115" s="13" t="inlineStr">
        <is>
          <t>Criterio de esta hoja · NTC-Concreto 2023 (CDMX) Tabla 6.3.7.6.2.2, p. 132</t>
        </is>
      </c>
    </row>
    <row r="116" ht="6" customHeight="1"/>
    <row r="117" ht="78" customHeight="1">
      <c r="B117" s="3" t="inlineStr">
        <is>
          <t>LO QUE QUEDA PENDIENTE DE TU LADO: (1) aceptar o rechazar los castillos que se proponen bajar a cimentación (hoja APOYOS); (2) revisar las secciones propuestas para las nervaduras principales que no pasan con 15×25 (PRINCIPALES, columnas b y h: son trabes descolgadas); (3) corregir en ETABS las secciones de F80032 y F80010 de azotea, que están como «Slab1»; (4) confirmar si la sobrecarga del modelo ya trae los 40 kg/m² de 5.1.2.1; (5) anotar en planos: concreto Clase 1A con agregado calizo de 1/2", las precauciones de 3.9.2 y la malla de la capa; (6) la decisión 3 de RESUMEN (capa de compresión: capa de 6 cm con 6x6-4/4) y las decisiones 7 a 10: tableros que no cumplen 6.7.8.1.4, tableros fuera de 3.4.2.1 c), anclaje en bordes discontinuos y volados.</t>
        </is>
      </c>
      <c r="C117" s="4" t="n"/>
      <c r="D117" s="4" t="n"/>
      <c r="E117" s="4" t="n"/>
      <c r="F117" s="4" t="n"/>
    </row>
  </sheetData>
  <mergeCells count="18">
    <mergeCell ref="B4:F4"/>
    <mergeCell ref="B53:F53"/>
    <mergeCell ref="B109:F109"/>
    <mergeCell ref="B6:F6"/>
    <mergeCell ref="B87:F87"/>
    <mergeCell ref="B2:F2"/>
    <mergeCell ref="B86:F86"/>
    <mergeCell ref="B100:F100"/>
    <mergeCell ref="B117:F117"/>
    <mergeCell ref="B5:F5"/>
    <mergeCell ref="B37:F37"/>
    <mergeCell ref="B66:F66"/>
    <mergeCell ref="B67:F67"/>
    <mergeCell ref="B99:F99"/>
    <mergeCell ref="B1:F1"/>
    <mergeCell ref="B8:F8"/>
    <mergeCell ref="B110:F110"/>
    <mergeCell ref="B9:F9"/>
  </mergeCells>
  <conditionalFormatting sqref="C1:F118">
    <cfRule type="expression" priority="1" dxfId="0" stopIfTrue="1">
      <formula>OR(ISNUMBER(FIND("NO CUMPLE",C1)),ISNUMBER(FIND("REVISAR",C1)),ISNUMBER(FIND("NO CABE",C1)),ISNUMBER(FIND("FUERA",C1)),ISNUMBER(FIND("SIN APOYO",C1)),ISNUMBER(FIND("INSUFICIENTE",C1)),ISNUMBER(FIND("PENDIENTE",C1)))</formula>
    </cfRule>
    <cfRule type="expression" priority="2" dxfId="1" stopIfTrue="1">
      <formula>OR(ISNUMBER(FIND("CUMPLE",C1)),ISNUMBER(FIND("SÍ aplica",C1)),ISNUMBER(FIND("MANDA",C1)))</formula>
    </cfRule>
    <cfRule type="expression" priority="3" dxfId="2" stopIfTrue="1">
      <formula>OR(ISNUMBER(FIND("MACIZAR",C1)),ISNUMBER(FIND("VOLADO",C1)),ISNUMBER(FIND("PROPUESTO",C1)),ISNUMBER(FIND("VER ",C1)))</formula>
    </cfRule>
  </conditionalFormatting>
  <dataValidations count="4">
    <dataValidation sqref="C18" showDropDown="0" showInputMessage="0" showErrorMessage="0" allowBlank="0" errorTitle="Valor no válido" error="Escoge un valor de la lista" type="list">
      <formula1>"SÍ,NO"</formula1>
    </dataValidation>
    <dataValidation sqref="C23" showDropDown="0" showInputMessage="0" showErrorMessage="0" allowBlank="0" errorTitle="Valor no válido" error="Escoge un valor de la lista" type="list">
      <formula1>"SÍ,NO"</formula1>
    </dataValidation>
    <dataValidation sqref="C24" showDropDown="0" showInputMessage="0" showErrorMessage="0" allowBlank="0" errorTitle="Valor no válido" error="Escoge un valor de la lista" type="list">
      <formula1>"SÍ,NO"</formula1>
    </dataValidation>
    <dataValidation sqref="C34" showDropDown="0" showInputMessage="0" showErrorMessage="0" allowBlank="0" errorTitle="Valor no válido" error="Escoge un valor de la lista" type="list">
      <formula1>=TABLAS!$B$63:$B$66</formula1>
    </dataValidation>
  </dataValidations>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B1:I219"/>
  <sheetViews>
    <sheetView showGridLines="0" zoomScale="85" workbookViewId="0">
      <pane xSplit="2" topLeftCell="C1" activePane="topRight" state="frozen"/>
      <selection pane="topRight" activeCell="A1" sqref="A1"/>
    </sheetView>
  </sheetViews>
  <sheetFormatPr baseColWidth="8" defaultRowHeight="15"/>
  <cols>
    <col width="1.78" customWidth="1" min="1" max="1"/>
    <col width="30" customWidth="1" min="2" max="2"/>
    <col width="12" customWidth="1" min="3" max="3"/>
    <col width="9" customWidth="1" min="4" max="4"/>
    <col width="10" customWidth="1" min="5" max="5"/>
    <col width="30" customWidth="1" min="6" max="6"/>
    <col width="15" customWidth="1" min="7" max="7"/>
    <col width="30" customWidth="1" min="8" max="8"/>
    <col width="40" customWidth="1" min="9" max="9"/>
  </cols>
  <sheetData>
    <row r="1" ht="26" customHeight="1">
      <c r="B1" s="1" t="inlineStr">
        <is>
          <t>APOYOS — DÓNDE SE APOYA CADA TABLERO, CUÁLES SON LAS NERVADURAS PRINCIPALES Y DÓNDE HAY VACÍOS</t>
        </is>
      </c>
    </row>
    <row r="2" ht="30" customHeight="1">
      <c r="B2" s="2" t="inlineStr">
        <is>
          <t>Se cruzó el modelo (muros, castillos y dalas por nivel) con el plano arquitectónico (capa 004_Vacios y escalera) y con el DXF de áreas tributarias. Los muros que cargan la losa N+3.00 son los de planta baja; los que cargan la azotea N+6.00 son los del primer nivel.</t>
        </is>
      </c>
    </row>
    <row r="3" ht="6" customHeight="1"/>
    <row r="4" ht="21" customHeight="1">
      <c r="B4" s="5" t="inlineStr">
        <is>
          <t>A. LO QUE SE ENCONTRÓ</t>
        </is>
      </c>
    </row>
    <row r="5" ht="28" customHeight="1">
      <c r="B5" s="32" t="inlineStr">
        <is>
          <t>1) AZOTEA (N+6.00): casi todos los bordes caen sobre muros del primer nivel. Sólo 4 tramos cortos quedan sin muro (bordes de los tragaluces, la ventana del área de tendido y el borde del vacío de la escalera) y todos llegan a muros en sus dos extremos.</t>
        </is>
      </c>
    </row>
    <row r="6" ht="41" customHeight="1">
      <c r="B6" s="32" t="inlineStr">
        <is>
          <t>2) ENTREPISO (N+3.00): en planta baja sólo hay muros en los ejes A y J y en dos núcleos (baño junto a la cochera y servicios atrás). La cochera mide 8.70 m libres y la sala tiene el vacío de doble altura: muchas dalas del modelo quedan sin muro abajo y en realidad son NERVADURAS PRINCIPALES que trabajan como trabe.</t>
        </is>
      </c>
    </row>
    <row r="7" ht="41" customHeight="1">
      <c r="B7" s="32" t="inlineStr">
        <is>
          <t>3) En el modelo tal cual, varias de esas principales rematan en nudos que no tienen nada abajo: las esquinas de la cochera (x = 4.327 y = 1.919; x = 5.923 y = 2.921), las esquinas del vacío (x = 4.327 con y = 7.871 y 14.021), la esquina de la escalera (F-8) y la esquina C-10. Así quedan en volado de 4 a 8 m: con 25 cm de peralte NO funcionan.</t>
        </is>
      </c>
    </row>
    <row r="8" ht="41" customHeight="1">
      <c r="B8" s="32" t="inlineStr">
        <is>
          <t>4) En esos mismos nudos el primer nivel SÍ tiene castillo, pero no baja a planta baja (31 castillos sin continuidad, lista F). La propuesta de esta hoja es bajar 7 de ellos a cimentación y agregar uno nuevo en la llegada de la escalera (lista B). Con eso todas las principales quedan apoyadas en sus dos extremos.</t>
        </is>
      </c>
    </row>
    <row r="9" ht="28" customHeight="1">
      <c r="B9" s="32" t="inlineStr">
        <is>
          <t>5) F80012 (área de tendido, fuera del eje A) y F80019 (terraza entre los ejes 14 y 15) son VOLADOS de 2.00 m. Sus orillas libres llevan nervadura de borde, no trabe. La de F80019 recibe el barandal de 333.7 kg/m que trae el modelo.</t>
        </is>
      </c>
    </row>
    <row r="10" ht="28" customHeight="1">
      <c r="B10" s="32" t="inlineStr">
        <is>
          <t>6) VACÍOS: doble altura de la sala (4.17 × 6.00 m), cubo de la escalera curva, vacío sobre la escalera en azotea y tres tragaluces de 0.30 m en azotea. F80028 y F80029 son prácticamente hueco (quedan 0.60 y 0.53 m² de losa): se tratan como marco de hueco, no como tablero.</t>
        </is>
      </c>
    </row>
    <row r="11" ht="28" customHeight="1">
      <c r="B11" s="32" t="inlineStr">
        <is>
          <t>7) En azotea, F80032 y F80010 están en el modelo como «Slab1» (maciza de 20 cm, concreto 4000 psi), no como LR-25. El plano dice losa reticular: aquí se diseñan como LR-25 y conviene corregirlos en ETABS.</t>
        </is>
      </c>
    </row>
    <row r="12" ht="28" customHeight="1">
      <c r="B12" s="32" t="inlineStr">
        <is>
          <t>8) F2 (azotea, sobre la terraza del frente) no tiene cargas en el modelo. Aquí se le pone la misma sobrecarga que al tablero vecino F80023 (270 kg/m²): REVISAR.</t>
        </is>
      </c>
    </row>
    <row r="13" ht="6" customHeight="1"/>
    <row r="14" ht="21" customHeight="1">
      <c r="B14" s="5" t="inlineStr">
        <is>
          <t>B. CASTILLOS QUE SE PROPONE BAJAR A CIMENTACIÓN — TÚ DECIDES</t>
        </is>
      </c>
    </row>
    <row r="15" ht="42" customHeight="1">
      <c r="B15" s="6" t="inlineStr">
        <is>
          <t>Si pones NO, los tramos que dependen de ese castillo pasan a volado en PRINCIPALES y la hoja te dice si así aguantan. OJO: si rechazas un castillo que parte un tramo en dos (C2, C4), junta a mano los dos renglones de PRINCIPALES en uno solo con el claro completo.</t>
        </is>
      </c>
      <c r="C15" s="7" t="n"/>
      <c r="D15" s="7" t="n"/>
      <c r="E15" s="7" t="n"/>
      <c r="F15" s="7" t="n"/>
      <c r="G15" s="7" t="n"/>
      <c r="H15" s="7" t="n"/>
      <c r="I15" s="7" t="n"/>
    </row>
    <row r="16">
      <c r="B16" s="8" t="inlineStr">
        <is>
          <t>Castillo</t>
        </is>
      </c>
      <c r="C16" s="8" t="inlineStr">
        <is>
          <t>¿Se acepta?</t>
        </is>
      </c>
      <c r="D16" s="8" t="inlineStr">
        <is>
          <t>x (m)</t>
        </is>
      </c>
      <c r="E16" s="8" t="inlineStr">
        <is>
          <t>y (m)</t>
        </is>
      </c>
      <c r="F16" s="8" t="inlineStr">
        <is>
          <t>Ejes</t>
        </is>
      </c>
      <c r="G16" s="8" t="inlineStr">
        <is>
          <t>Tramos que dependen</t>
        </is>
      </c>
      <c r="H16" s="8" t="inlineStr">
        <is>
          <t>Por qué</t>
        </is>
      </c>
      <c r="I16" s="33" t="n"/>
    </row>
    <row r="17" ht="36" customHeight="1">
      <c r="B17" s="34" t="inlineStr">
        <is>
          <t>C1 — PROPUESTO</t>
        </is>
      </c>
      <c r="C17" s="35" t="inlineStr">
        <is>
          <t>SÍ</t>
        </is>
      </c>
      <c r="D17" s="36" t="n">
        <v>4.327</v>
      </c>
      <c r="E17" s="36" t="n">
        <v>1.919</v>
      </c>
      <c r="F17" s="37" t="inlineStr">
        <is>
          <t>x=4.327-2</t>
        </is>
      </c>
      <c r="G17" s="38" t="inlineStr">
        <is>
          <t>NP-01, NP-20</t>
        </is>
      </c>
      <c r="H17" s="39" t="inlineStr">
        <is>
          <t>Esquina libre al frente de la cochera: ahí rematan las nervaduras de y = 1.919 y de x = 4.327. Ya hay castillo en el primer nivel.</t>
        </is>
      </c>
      <c r="I17" s="40" t="n"/>
    </row>
    <row r="18" ht="36" customHeight="1">
      <c r="B18" s="34" t="inlineStr">
        <is>
          <t>C2 — PROPUESTO</t>
        </is>
      </c>
      <c r="C18" s="35" t="inlineStr">
        <is>
          <t>SÍ</t>
        </is>
      </c>
      <c r="D18" s="36" t="n">
        <v>4.327</v>
      </c>
      <c r="E18" s="36" t="n">
        <v>2.921</v>
      </c>
      <c r="F18" s="37" t="inlineStr">
        <is>
          <t>x=4.327-3</t>
        </is>
      </c>
      <c r="G18" s="38" t="inlineStr">
        <is>
          <t>NP-02, NP-03, NP-20, NP-21</t>
        </is>
      </c>
      <c r="H18" s="39" t="inlineStr">
        <is>
          <t>Cochera: cruce de x = 4.327 con y = 2.921, bajo esquina de muro del primer nivel. Ya hay castillo en el primer nivel.</t>
        </is>
      </c>
      <c r="I18" s="40" t="n"/>
    </row>
    <row r="19" ht="36" customHeight="1">
      <c r="B19" s="34" t="inlineStr">
        <is>
          <t>C3 — PROPUESTO</t>
        </is>
      </c>
      <c r="C19" s="35" t="inlineStr">
        <is>
          <t>SÍ</t>
        </is>
      </c>
      <c r="D19" s="36" t="n">
        <v>5.923</v>
      </c>
      <c r="E19" s="36" t="n">
        <v>2.921</v>
      </c>
      <c r="F19" s="37" t="inlineStr">
        <is>
          <t>G-3</t>
        </is>
      </c>
      <c r="G19" s="38" t="inlineStr">
        <is>
          <t>NP-03, NP-29</t>
        </is>
      </c>
      <c r="H19" s="39" t="inlineStr">
        <is>
          <t>Esquina libre de la cochera (lado pickup): ahí rematan y = 2.921 y el eje G. Ya hay castillo en el primer nivel.</t>
        </is>
      </c>
      <c r="I19" s="40" t="n"/>
    </row>
    <row r="20" ht="36" customHeight="1">
      <c r="B20" s="34" t="inlineStr">
        <is>
          <t>C4 — PROPUESTO</t>
        </is>
      </c>
      <c r="C20" s="35" t="inlineStr">
        <is>
          <t>SÍ</t>
        </is>
      </c>
      <c r="D20" s="36" t="n">
        <v>4.327</v>
      </c>
      <c r="E20" s="36" t="n">
        <v>7.871</v>
      </c>
      <c r="F20" s="37" t="inlineStr">
        <is>
          <t>x=4.327-7</t>
        </is>
      </c>
      <c r="G20" s="38" t="inlineStr">
        <is>
          <t>NP-06, NP-22, NP-23</t>
        </is>
      </c>
      <c r="H20" s="39" t="inlineStr">
        <is>
          <t>Esquina sur del vacío de doble altura: recibe la nervadura del eje 7. Ya hay castillo en el primer nivel.</t>
        </is>
      </c>
      <c r="I20" s="40" t="n"/>
    </row>
    <row r="21" ht="36" customHeight="1">
      <c r="B21" s="34" t="inlineStr">
        <is>
          <t>C5 — PROPUESTO</t>
        </is>
      </c>
      <c r="C21" s="35" t="inlineStr">
        <is>
          <t>SÍ</t>
        </is>
      </c>
      <c r="D21" s="36" t="n">
        <v>4.327</v>
      </c>
      <c r="E21" s="36" t="n">
        <v>14.021</v>
      </c>
      <c r="F21" s="37" t="inlineStr">
        <is>
          <t>x=4.327-y=14.021</t>
        </is>
      </c>
      <c r="G21" s="38" t="inlineStr">
        <is>
          <t>NP-10, NP-23</t>
        </is>
      </c>
      <c r="H21" s="39" t="inlineStr">
        <is>
          <t>Esquina norte del vacío de doble altura: sin él x = 4.327 queda en volado de 8 m. Ya hay castillo en el primer nivel.</t>
        </is>
      </c>
      <c r="I21" s="40" t="n"/>
    </row>
    <row r="22" ht="36" customHeight="1">
      <c r="B22" s="34" t="inlineStr">
        <is>
          <t>C6 — PROPUESTO</t>
        </is>
      </c>
      <c r="C22" s="35" t="inlineStr">
        <is>
          <t>SÍ</t>
        </is>
      </c>
      <c r="D22" s="36" t="n">
        <v>5.422</v>
      </c>
      <c r="E22" s="36" t="n">
        <v>9.949999999999999</v>
      </c>
      <c r="F22" s="37" t="inlineStr">
        <is>
          <t>F-8</t>
        </is>
      </c>
      <c r="G22" s="38" t="inlineStr">
        <is>
          <t>NP-08, NP-26</t>
        </is>
      </c>
      <c r="H22" s="39" t="inlineStr">
        <is>
          <t>Esquina escalera/cocina (F-8): recibe la nervadura del eje F que carga muro de planta alta. Ya hay castillo en el primer nivel.</t>
        </is>
      </c>
      <c r="I22" s="40" t="n"/>
    </row>
    <row r="23" ht="36" customHeight="1">
      <c r="B23" s="34" t="inlineStr">
        <is>
          <t>C7 — PROPUESTO</t>
        </is>
      </c>
      <c r="C23" s="35" t="inlineStr">
        <is>
          <t>SÍ</t>
        </is>
      </c>
      <c r="D23" s="36" t="n">
        <v>5.441</v>
      </c>
      <c r="E23" s="36" t="n">
        <v>8.91</v>
      </c>
      <c r="F23" s="37" t="inlineStr">
        <is>
          <t>F-y=8.910</t>
        </is>
      </c>
      <c r="G23" s="38" t="inlineStr">
        <is>
          <t>NP-07, NP-25</t>
        </is>
      </c>
      <c r="H23" s="39" t="inlineStr">
        <is>
          <t>Llegada de la escalera: amarra el anillo x = 5.44 / y = 8.91. NO hay castillo arriba: es propuesta nueva, revisar con arquitectura.</t>
        </is>
      </c>
      <c r="I23" s="40" t="n"/>
    </row>
    <row r="24" ht="36" customHeight="1">
      <c r="B24" s="34" t="inlineStr">
        <is>
          <t>C8 — PROPUESTO</t>
        </is>
      </c>
      <c r="C24" s="35" t="inlineStr">
        <is>
          <t>SÍ</t>
        </is>
      </c>
      <c r="D24" s="36" t="n">
        <v>3.427</v>
      </c>
      <c r="E24" s="36" t="n">
        <v>15.846</v>
      </c>
      <c r="F24" s="37" t="inlineStr">
        <is>
          <t>C-y=15.846</t>
        </is>
      </c>
      <c r="G24" s="38" t="inlineStr">
        <is>
          <t>NP-12, NP-19</t>
        </is>
      </c>
      <c r="H24" s="39" t="inlineStr">
        <is>
          <t>Esquina C-10 (arq.): ahí remata y = 15.846 que carga muro de planta alta. Ya hay castillo en el primer nivel.</t>
        </is>
      </c>
      <c r="I24" s="40" t="n"/>
    </row>
    <row r="25" ht="6" customHeight="1"/>
    <row r="26" ht="21" customHeight="1">
      <c r="B26" s="5" t="inlineStr">
        <is>
          <t>C. BORDES DE CADA TABLERO — APOYO Y CONTINUIDAD</t>
        </is>
      </c>
    </row>
    <row r="27" ht="42" customHeight="1">
      <c r="B27" s="6" t="inlineStr">
        <is>
          <t>«Apoyo» dice qué hay bajo el borde: MURO, una NERVADURA PRINCIPAL (ver PRINCIPALES) o nada (LIBRE). «Continuidad» dice si del otro lado sigue losa: con eso TABLEROS escoge el caso de la tabla de coeficientes. La continuidad es AMARILLA: la puedes cambiar si el criterio automático no te convence.</t>
        </is>
      </c>
      <c r="C27" s="7" t="n"/>
      <c r="D27" s="7" t="n"/>
      <c r="E27" s="7" t="n"/>
      <c r="F27" s="7" t="n"/>
      <c r="G27" s="7" t="n"/>
      <c r="H27" s="7" t="n"/>
      <c r="I27" s="7" t="n"/>
    </row>
    <row r="28">
      <c r="B28" s="8" t="inlineStr">
        <is>
          <t>Tablero</t>
        </is>
      </c>
      <c r="C28" s="8" t="inlineStr">
        <is>
          <t>Lado</t>
        </is>
      </c>
      <c r="D28" s="8" t="inlineStr">
        <is>
          <t>Largo (m)</t>
        </is>
      </c>
      <c r="E28" s="8" t="inlineStr">
        <is>
          <t>% sobre muro</t>
        </is>
      </c>
      <c r="F28" s="8" t="inlineStr">
        <is>
          <t>Apoyo</t>
        </is>
      </c>
      <c r="G28" s="8" t="inlineStr">
        <is>
          <t>Continuidad</t>
        </is>
      </c>
      <c r="H28" s="8" t="inlineStr">
        <is>
          <t>Del otro lado</t>
        </is>
      </c>
      <c r="I28" s="8" t="inlineStr">
        <is>
          <t>Vacío o hueco junto</t>
        </is>
      </c>
    </row>
    <row r="29">
      <c r="B29" s="34" t="inlineStr">
        <is>
          <t>F80001 N+3.00</t>
        </is>
      </c>
      <c r="C29" s="41" t="inlineStr">
        <is>
          <t>inferior</t>
        </is>
      </c>
      <c r="D29" s="36" t="n">
        <v>4.327</v>
      </c>
      <c r="E29" s="42" t="n">
        <v>0.005</v>
      </c>
      <c r="F29" s="38" t="inlineStr">
        <is>
          <t>NERV. PRINCIPAL NP-01</t>
        </is>
      </c>
      <c r="G29" s="35" t="inlineStr">
        <is>
          <t>DISCONTINUO</t>
        </is>
      </c>
      <c r="H29" s="39" t="inlineStr"/>
      <c r="I29" s="39" t="inlineStr"/>
    </row>
    <row r="30">
      <c r="B30" s="37" t="inlineStr">
        <is>
          <t>F80001 N+3.00</t>
        </is>
      </c>
      <c r="C30" s="41" t="inlineStr">
        <is>
          <t>superior</t>
        </is>
      </c>
      <c r="D30" s="36" t="n">
        <v>4.327</v>
      </c>
      <c r="E30" s="42" t="n">
        <v>0.005</v>
      </c>
      <c r="F30" s="38" t="inlineStr">
        <is>
          <t>NERV. PRINCIPAL NP-02</t>
        </is>
      </c>
      <c r="G30" s="35" t="inlineStr">
        <is>
          <t>CONTINUO</t>
        </is>
      </c>
      <c r="H30" s="39" t="inlineStr">
        <is>
          <t>F80003</t>
        </is>
      </c>
      <c r="I30" s="39" t="inlineStr"/>
    </row>
    <row r="31">
      <c r="B31" s="37" t="inlineStr">
        <is>
          <t>F80001 N+3.00</t>
        </is>
      </c>
      <c r="C31" s="41" t="inlineStr">
        <is>
          <t>izquierdo</t>
        </is>
      </c>
      <c r="D31" s="36" t="n">
        <v>1.002</v>
      </c>
      <c r="E31" s="42" t="n">
        <v>1</v>
      </c>
      <c r="F31" s="38" t="inlineStr">
        <is>
          <t>MURO</t>
        </is>
      </c>
      <c r="G31" s="35" t="inlineStr">
        <is>
          <t>DISCONTINUO</t>
        </is>
      </c>
      <c r="H31" s="39" t="inlineStr"/>
      <c r="I31" s="39" t="inlineStr"/>
    </row>
    <row r="32">
      <c r="B32" s="37" t="inlineStr">
        <is>
          <t>F80001 N+3.00</t>
        </is>
      </c>
      <c r="C32" s="41" t="inlineStr">
        <is>
          <t>derecho</t>
        </is>
      </c>
      <c r="D32" s="36" t="n">
        <v>1.002</v>
      </c>
      <c r="E32" s="42" t="n">
        <v>0</v>
      </c>
      <c r="F32" s="38" t="inlineStr">
        <is>
          <t>NERV. PRINCIPAL NP-20</t>
        </is>
      </c>
      <c r="G32" s="35" t="inlineStr">
        <is>
          <t>DISCONTINUO</t>
        </is>
      </c>
      <c r="H32" s="39" t="inlineStr"/>
      <c r="I32" s="39" t="inlineStr"/>
    </row>
    <row r="33">
      <c r="B33" s="34" t="inlineStr">
        <is>
          <t>F80003 N+3.00</t>
        </is>
      </c>
      <c r="C33" s="41" t="inlineStr">
        <is>
          <t>inferior</t>
        </is>
      </c>
      <c r="D33" s="36" t="n">
        <v>4.327</v>
      </c>
      <c r="E33" s="42" t="n">
        <v>0.005</v>
      </c>
      <c r="F33" s="38" t="inlineStr">
        <is>
          <t>NERV. PRINCIPAL NP-02</t>
        </is>
      </c>
      <c r="G33" s="35" t="inlineStr">
        <is>
          <t>CONTINUO</t>
        </is>
      </c>
      <c r="H33" s="39" t="inlineStr">
        <is>
          <t>F80001</t>
        </is>
      </c>
      <c r="I33" s="39" t="inlineStr"/>
    </row>
    <row r="34">
      <c r="B34" s="37" t="inlineStr">
        <is>
          <t>F80003 N+3.00</t>
        </is>
      </c>
      <c r="C34" s="41" t="inlineStr">
        <is>
          <t>superior</t>
        </is>
      </c>
      <c r="D34" s="36" t="n">
        <v>4.327</v>
      </c>
      <c r="E34" s="42" t="n">
        <v>0.333</v>
      </c>
      <c r="F34" s="38" t="inlineStr">
        <is>
          <t>MURO</t>
        </is>
      </c>
      <c r="G34" s="35" t="inlineStr">
        <is>
          <t>CONTINUO</t>
        </is>
      </c>
      <c r="H34" s="39" t="inlineStr">
        <is>
          <t>F80005, F80006</t>
        </is>
      </c>
      <c r="I34" s="39" t="inlineStr"/>
    </row>
    <row r="35">
      <c r="B35" s="37" t="inlineStr">
        <is>
          <t>F80003 N+3.00</t>
        </is>
      </c>
      <c r="C35" s="41" t="inlineStr">
        <is>
          <t>izquierdo</t>
        </is>
      </c>
      <c r="D35" s="36" t="n">
        <v>3.025</v>
      </c>
      <c r="E35" s="42" t="n">
        <v>1</v>
      </c>
      <c r="F35" s="38" t="inlineStr">
        <is>
          <t>MURO</t>
        </is>
      </c>
      <c r="G35" s="35" t="inlineStr">
        <is>
          <t>DISCONTINUO</t>
        </is>
      </c>
      <c r="H35" s="39" t="inlineStr">
        <is>
          <t>F80005</t>
        </is>
      </c>
      <c r="I35" s="39" t="inlineStr"/>
    </row>
    <row r="36">
      <c r="B36" s="37" t="inlineStr">
        <is>
          <t>F80003 N+3.00</t>
        </is>
      </c>
      <c r="C36" s="41" t="inlineStr">
        <is>
          <t>derecho</t>
        </is>
      </c>
      <c r="D36" s="36" t="n">
        <v>3.025</v>
      </c>
      <c r="E36" s="42" t="n">
        <v>0.007</v>
      </c>
      <c r="F36" s="38" t="inlineStr">
        <is>
          <t>NERV. PRINCIPAL NP-21</t>
        </is>
      </c>
      <c r="G36" s="35" t="inlineStr">
        <is>
          <t>CONTINUO</t>
        </is>
      </c>
      <c r="H36" s="39" t="inlineStr">
        <is>
          <t>F80004</t>
        </is>
      </c>
      <c r="I36" s="39" t="inlineStr"/>
    </row>
    <row r="37">
      <c r="B37" s="34" t="inlineStr">
        <is>
          <t>F80004 N+3.00</t>
        </is>
      </c>
      <c r="C37" s="41" t="inlineStr">
        <is>
          <t>inferior</t>
        </is>
      </c>
      <c r="D37" s="36" t="n">
        <v>1.596</v>
      </c>
      <c r="E37" s="42" t="n">
        <v>0</v>
      </c>
      <c r="F37" s="38" t="inlineStr">
        <is>
          <t>NERV. PRINCIPAL NP-03</t>
        </is>
      </c>
      <c r="G37" s="35" t="inlineStr">
        <is>
          <t>DISCONTINUO</t>
        </is>
      </c>
      <c r="H37" s="39" t="inlineStr"/>
      <c r="I37" s="39" t="inlineStr"/>
    </row>
    <row r="38">
      <c r="B38" s="37" t="inlineStr">
        <is>
          <t>F80004 N+3.00</t>
        </is>
      </c>
      <c r="C38" s="41" t="inlineStr">
        <is>
          <t>superior</t>
        </is>
      </c>
      <c r="D38" s="36" t="n">
        <v>1.596</v>
      </c>
      <c r="E38" s="42" t="n">
        <v>1</v>
      </c>
      <c r="F38" s="38" t="inlineStr">
        <is>
          <t>MURO</t>
        </is>
      </c>
      <c r="G38" s="35" t="inlineStr">
        <is>
          <t>CONTINUO</t>
        </is>
      </c>
      <c r="H38" s="39" t="inlineStr">
        <is>
          <t>F80008</t>
        </is>
      </c>
      <c r="I38" s="39" t="inlineStr"/>
    </row>
    <row r="39">
      <c r="B39" s="37" t="inlineStr">
        <is>
          <t>F80004 N+3.00</t>
        </is>
      </c>
      <c r="C39" s="41" t="inlineStr">
        <is>
          <t>izquierdo</t>
        </is>
      </c>
      <c r="D39" s="36" t="n">
        <v>3.025</v>
      </c>
      <c r="E39" s="42" t="n">
        <v>0.007</v>
      </c>
      <c r="F39" s="38" t="inlineStr">
        <is>
          <t>NERV. PRINCIPAL NP-21</t>
        </is>
      </c>
      <c r="G39" s="35" t="inlineStr">
        <is>
          <t>CONTINUO</t>
        </is>
      </c>
      <c r="H39" s="39" t="inlineStr">
        <is>
          <t>F80003</t>
        </is>
      </c>
      <c r="I39" s="39" t="inlineStr"/>
    </row>
    <row r="40">
      <c r="B40" s="37" t="inlineStr">
        <is>
          <t>F80004 N+3.00</t>
        </is>
      </c>
      <c r="C40" s="41" t="inlineStr">
        <is>
          <t>derecho</t>
        </is>
      </c>
      <c r="D40" s="36" t="n">
        <v>3.025</v>
      </c>
      <c r="E40" s="42" t="n">
        <v>0.007</v>
      </c>
      <c r="F40" s="38" t="inlineStr">
        <is>
          <t>NERV. PRINCIPAL NP-29</t>
        </is>
      </c>
      <c r="G40" s="35" t="inlineStr">
        <is>
          <t>DISCONTINUO</t>
        </is>
      </c>
      <c r="H40" s="39" t="inlineStr"/>
      <c r="I40" s="39" t="inlineStr"/>
    </row>
    <row r="41">
      <c r="B41" s="34" t="inlineStr">
        <is>
          <t>F80005 N+3.00</t>
        </is>
      </c>
      <c r="C41" s="41" t="inlineStr">
        <is>
          <t>inferior</t>
        </is>
      </c>
      <c r="D41" s="36" t="n">
        <v>2.925</v>
      </c>
      <c r="E41" s="42" t="n">
        <v>1</v>
      </c>
      <c r="F41" s="38" t="inlineStr">
        <is>
          <t>MURO</t>
        </is>
      </c>
      <c r="G41" s="35" t="inlineStr">
        <is>
          <t>CONTINUO</t>
        </is>
      </c>
      <c r="H41" s="39" t="inlineStr">
        <is>
          <t>F80003</t>
        </is>
      </c>
      <c r="I41" s="39" t="inlineStr"/>
    </row>
    <row r="42">
      <c r="B42" s="37" t="inlineStr">
        <is>
          <t>F80005 N+3.00</t>
        </is>
      </c>
      <c r="C42" s="41" t="inlineStr">
        <is>
          <t>superior</t>
        </is>
      </c>
      <c r="D42" s="36" t="n">
        <v>2.925</v>
      </c>
      <c r="E42" s="42" t="n">
        <v>1</v>
      </c>
      <c r="F42" s="38" t="inlineStr">
        <is>
          <t>MURO</t>
        </is>
      </c>
      <c r="G42" s="35" t="inlineStr">
        <is>
          <t>CONTINUO</t>
        </is>
      </c>
      <c r="H42" s="39" t="inlineStr">
        <is>
          <t>F80007</t>
        </is>
      </c>
      <c r="I42" s="39" t="inlineStr"/>
    </row>
    <row r="43">
      <c r="B43" s="37" t="inlineStr">
        <is>
          <t>F80005 N+3.00</t>
        </is>
      </c>
      <c r="C43" s="41" t="inlineStr">
        <is>
          <t>izquierdo</t>
        </is>
      </c>
      <c r="D43" s="36" t="n">
        <v>1.602</v>
      </c>
      <c r="E43" s="42" t="n">
        <v>1</v>
      </c>
      <c r="F43" s="38" t="inlineStr">
        <is>
          <t>MURO</t>
        </is>
      </c>
      <c r="G43" s="35" t="inlineStr">
        <is>
          <t>DISCONTINUO</t>
        </is>
      </c>
      <c r="H43" s="39" t="inlineStr"/>
      <c r="I43" s="39" t="inlineStr"/>
    </row>
    <row r="44">
      <c r="B44" s="37" t="inlineStr">
        <is>
          <t>F80005 N+3.00</t>
        </is>
      </c>
      <c r="C44" s="41" t="inlineStr">
        <is>
          <t>derecho</t>
        </is>
      </c>
      <c r="D44" s="36" t="n">
        <v>1.602</v>
      </c>
      <c r="E44" s="42" t="n">
        <v>1</v>
      </c>
      <c r="F44" s="38" t="inlineStr">
        <is>
          <t>MURO</t>
        </is>
      </c>
      <c r="G44" s="35" t="inlineStr">
        <is>
          <t>CONTINUO</t>
        </is>
      </c>
      <c r="H44" s="39" t="inlineStr">
        <is>
          <t>F80003, F80006</t>
        </is>
      </c>
      <c r="I44" s="39" t="inlineStr"/>
    </row>
    <row r="45">
      <c r="B45" s="34" t="inlineStr">
        <is>
          <t>F80006 N+3.00</t>
        </is>
      </c>
      <c r="C45" s="41" t="inlineStr">
        <is>
          <t>inferior</t>
        </is>
      </c>
      <c r="D45" s="36" t="n">
        <v>1.402</v>
      </c>
      <c r="E45" s="42" t="n">
        <v>1</v>
      </c>
      <c r="F45" s="38" t="inlineStr">
        <is>
          <t>MURO</t>
        </is>
      </c>
      <c r="G45" s="35" t="inlineStr">
        <is>
          <t>CONTINUO</t>
        </is>
      </c>
      <c r="H45" s="39" t="inlineStr">
        <is>
          <t>F80003</t>
        </is>
      </c>
      <c r="I45" s="39" t="inlineStr"/>
    </row>
    <row r="46">
      <c r="B46" s="37" t="inlineStr">
        <is>
          <t>F80006 N+3.00</t>
        </is>
      </c>
      <c r="C46" s="41" t="inlineStr">
        <is>
          <t>superior</t>
        </is>
      </c>
      <c r="D46" s="36" t="n">
        <v>1.402</v>
      </c>
      <c r="E46" s="42" t="n">
        <v>0.014</v>
      </c>
      <c r="F46" s="38" t="inlineStr">
        <is>
          <t>NERV. PRINCIPAL NP-04</t>
        </is>
      </c>
      <c r="G46" s="35" t="inlineStr">
        <is>
          <t>CONTINUO</t>
        </is>
      </c>
      <c r="H46" s="39" t="inlineStr">
        <is>
          <t>F80007</t>
        </is>
      </c>
      <c r="I46" s="39" t="inlineStr"/>
    </row>
    <row r="47">
      <c r="B47" s="37" t="inlineStr">
        <is>
          <t>F80006 N+3.00</t>
        </is>
      </c>
      <c r="C47" s="41" t="inlineStr">
        <is>
          <t>izquierdo</t>
        </is>
      </c>
      <c r="D47" s="36" t="n">
        <v>1.002</v>
      </c>
      <c r="E47" s="42" t="n">
        <v>1</v>
      </c>
      <c r="F47" s="38" t="inlineStr">
        <is>
          <t>MURO</t>
        </is>
      </c>
      <c r="G47" s="35" t="inlineStr">
        <is>
          <t>CONTINUO</t>
        </is>
      </c>
      <c r="H47" s="39" t="inlineStr">
        <is>
          <t>F80005</t>
        </is>
      </c>
      <c r="I47" s="39" t="inlineStr"/>
    </row>
    <row r="48">
      <c r="B48" s="37" t="inlineStr">
        <is>
          <t>F80006 N+3.00</t>
        </is>
      </c>
      <c r="C48" s="41" t="inlineStr">
        <is>
          <t>derecho</t>
        </is>
      </c>
      <c r="D48" s="36" t="n">
        <v>1.002</v>
      </c>
      <c r="E48" s="42" t="n">
        <v>0.02</v>
      </c>
      <c r="F48" s="38" t="inlineStr">
        <is>
          <t>NERV. PRINCIPAL NP-22</t>
        </is>
      </c>
      <c r="G48" s="35" t="inlineStr">
        <is>
          <t>CONTINUO</t>
        </is>
      </c>
      <c r="H48" s="39" t="inlineStr">
        <is>
          <t>F80008</t>
        </is>
      </c>
      <c r="I48" s="39" t="inlineStr"/>
    </row>
    <row r="49">
      <c r="B49" s="34" t="inlineStr">
        <is>
          <t>F80007 N+3.00</t>
        </is>
      </c>
      <c r="C49" s="41" t="inlineStr">
        <is>
          <t>inferior</t>
        </is>
      </c>
      <c r="D49" s="36" t="n">
        <v>4.327</v>
      </c>
      <c r="E49" s="42" t="n">
        <v>0.681</v>
      </c>
      <c r="F49" s="38" t="inlineStr">
        <is>
          <t>NERV. PRINCIPAL NP-04</t>
        </is>
      </c>
      <c r="G49" s="35" t="inlineStr">
        <is>
          <t>CONTINUO</t>
        </is>
      </c>
      <c r="H49" s="39" t="inlineStr">
        <is>
          <t>F80005, F80006</t>
        </is>
      </c>
      <c r="I49" s="39" t="inlineStr"/>
    </row>
    <row r="50">
      <c r="B50" s="37" t="inlineStr">
        <is>
          <t>F80007 N+3.00</t>
        </is>
      </c>
      <c r="C50" s="41" t="inlineStr">
        <is>
          <t>superior</t>
        </is>
      </c>
      <c r="D50" s="36" t="n">
        <v>4.327</v>
      </c>
      <c r="E50" s="42" t="n">
        <v>0.005</v>
      </c>
      <c r="F50" s="38" t="inlineStr">
        <is>
          <t>NERV. PRINCIPAL NP-06</t>
        </is>
      </c>
      <c r="G50" s="35" t="inlineStr">
        <is>
          <t>DISCONTINUO</t>
        </is>
      </c>
      <c r="H50" s="39" t="inlineStr"/>
      <c r="I50" s="39" t="inlineStr">
        <is>
          <t>Vacío doble altura (sala)</t>
        </is>
      </c>
    </row>
    <row r="51">
      <c r="B51" s="37" t="inlineStr">
        <is>
          <t>F80007 N+3.00</t>
        </is>
      </c>
      <c r="C51" s="41" t="inlineStr">
        <is>
          <t>izquierdo</t>
        </is>
      </c>
      <c r="D51" s="36" t="n">
        <v>0.923</v>
      </c>
      <c r="E51" s="42" t="n">
        <v>1</v>
      </c>
      <c r="F51" s="38" t="inlineStr">
        <is>
          <t>MURO</t>
        </is>
      </c>
      <c r="G51" s="35" t="inlineStr">
        <is>
          <t>DISCONTINUO</t>
        </is>
      </c>
      <c r="H51" s="39" t="inlineStr"/>
      <c r="I51" s="39" t="inlineStr"/>
    </row>
    <row r="52">
      <c r="B52" s="37" t="inlineStr">
        <is>
          <t>F80007 N+3.00</t>
        </is>
      </c>
      <c r="C52" s="41" t="inlineStr">
        <is>
          <t>derecho</t>
        </is>
      </c>
      <c r="D52" s="36" t="n">
        <v>0.923</v>
      </c>
      <c r="E52" s="42" t="n">
        <v>0</v>
      </c>
      <c r="F52" s="38" t="inlineStr">
        <is>
          <t>NERV. PRINCIPAL NP-22</t>
        </is>
      </c>
      <c r="G52" s="35" t="inlineStr">
        <is>
          <t>CONTINUO</t>
        </is>
      </c>
      <c r="H52" s="39" t="inlineStr">
        <is>
          <t>F80008</t>
        </is>
      </c>
      <c r="I52" s="39" t="inlineStr"/>
    </row>
    <row r="53">
      <c r="B53" s="34" t="inlineStr">
        <is>
          <t>F80008 N+3.00</t>
        </is>
      </c>
      <c r="C53" s="41" t="inlineStr">
        <is>
          <t>inferior</t>
        </is>
      </c>
      <c r="D53" s="36" t="n">
        <v>4.321</v>
      </c>
      <c r="E53" s="42" t="n">
        <v>0.674</v>
      </c>
      <c r="F53" s="38" t="inlineStr">
        <is>
          <t>NERV. PRINCIPAL NP-10 / sigue el pasillo</t>
        </is>
      </c>
      <c r="G53" s="35" t="inlineStr">
        <is>
          <t>DISCONTINUO</t>
        </is>
      </c>
      <c r="H53" s="39" t="inlineStr">
        <is>
          <t>F80003, F80004, F80006</t>
        </is>
      </c>
      <c r="I53" s="39" t="inlineStr"/>
    </row>
    <row r="54">
      <c r="B54" s="37" t="inlineStr">
        <is>
          <t>F80008 N+3.00</t>
        </is>
      </c>
      <c r="C54" s="41" t="inlineStr">
        <is>
          <t>superior</t>
        </is>
      </c>
      <c r="D54" s="36" t="n">
        <v>4.321</v>
      </c>
      <c r="E54" s="42" t="n">
        <v>0.5659999999999999</v>
      </c>
      <c r="F54" s="38" t="inlineStr">
        <is>
          <t>NERV. PRINCIPAL NP-15</t>
        </is>
      </c>
      <c r="G54" s="35" t="inlineStr">
        <is>
          <t>CONTINUO</t>
        </is>
      </c>
      <c r="H54" s="39" t="inlineStr">
        <is>
          <t>F80013, F80015, F80016, F80017, F80018</t>
        </is>
      </c>
      <c r="I54" s="39" t="inlineStr"/>
    </row>
    <row r="55">
      <c r="B55" s="37" t="inlineStr">
        <is>
          <t>F80008 N+3.00</t>
        </is>
      </c>
      <c r="C55" s="41" t="inlineStr">
        <is>
          <t>izquierdo</t>
        </is>
      </c>
      <c r="D55" s="36" t="n">
        <v>11.5</v>
      </c>
      <c r="E55" s="42" t="n">
        <v>0.002</v>
      </c>
      <c r="F55" s="38" t="inlineStr">
        <is>
          <t>NERV. PRINCIPAL NP-18, NP-19</t>
        </is>
      </c>
      <c r="G55" s="35" t="inlineStr">
        <is>
          <t>CONTINUO</t>
        </is>
      </c>
      <c r="H55" s="39" t="inlineStr">
        <is>
          <t>F80006, F80007, F80010, F80014</t>
        </is>
      </c>
      <c r="I55" s="39" t="inlineStr">
        <is>
          <t>Vacío doble altura (sala)</t>
        </is>
      </c>
    </row>
    <row r="56">
      <c r="B56" s="37" t="inlineStr">
        <is>
          <t>F80008 N+3.00</t>
        </is>
      </c>
      <c r="C56" s="41" t="inlineStr">
        <is>
          <t>derecho</t>
        </is>
      </c>
      <c r="D56" s="36" t="n">
        <v>11.5</v>
      </c>
      <c r="E56" s="42" t="n">
        <v>0.008999999999999999</v>
      </c>
      <c r="F56" s="38" t="inlineStr">
        <is>
          <t>MURO / NERV. PRINCIPAL NP-26</t>
        </is>
      </c>
      <c r="G56" s="35" t="inlineStr">
        <is>
          <t>CONTINUO</t>
        </is>
      </c>
      <c r="H56" s="39" t="inlineStr">
        <is>
          <t>F80009, F80011, F80015</t>
        </is>
      </c>
      <c r="I56" s="39" t="inlineStr">
        <is>
          <t>Escalera curva (cubo)</t>
        </is>
      </c>
    </row>
    <row r="57">
      <c r="B57" s="34" t="inlineStr">
        <is>
          <t>F80009 N+3.00</t>
        </is>
      </c>
      <c r="C57" s="41" t="inlineStr">
        <is>
          <t>inferior</t>
        </is>
      </c>
      <c r="D57" s="36" t="n">
        <v>3.428</v>
      </c>
      <c r="E57" s="42" t="n">
        <v>0.211</v>
      </c>
      <c r="F57" s="38" t="inlineStr">
        <is>
          <t>NERV. PRINCIPAL NP-08</t>
        </is>
      </c>
      <c r="G57" s="35" t="inlineStr">
        <is>
          <t>CONTINUO</t>
        </is>
      </c>
      <c r="H57" s="39" t="inlineStr">
        <is>
          <t>F80008</t>
        </is>
      </c>
      <c r="I57" s="39" t="inlineStr">
        <is>
          <t>Escalera curva (cubo)</t>
        </is>
      </c>
    </row>
    <row r="58">
      <c r="B58" s="37" t="inlineStr">
        <is>
          <t>F80009 N+3.00</t>
        </is>
      </c>
      <c r="C58" s="41" t="inlineStr">
        <is>
          <t>superior</t>
        </is>
      </c>
      <c r="D58" s="36" t="n">
        <v>3.428</v>
      </c>
      <c r="E58" s="42" t="n">
        <v>1</v>
      </c>
      <c r="F58" s="38" t="inlineStr">
        <is>
          <t>MURO</t>
        </is>
      </c>
      <c r="G58" s="35" t="inlineStr">
        <is>
          <t>CONTINUO</t>
        </is>
      </c>
      <c r="H58" s="39" t="inlineStr">
        <is>
          <t>F80011</t>
        </is>
      </c>
      <c r="I58" s="39" t="inlineStr"/>
    </row>
    <row r="59">
      <c r="B59" s="37" t="inlineStr">
        <is>
          <t>F80009 N+3.00</t>
        </is>
      </c>
      <c r="C59" s="41" t="inlineStr">
        <is>
          <t>izquierdo</t>
        </is>
      </c>
      <c r="D59" s="36" t="n">
        <v>5.497</v>
      </c>
      <c r="E59" s="42" t="n">
        <v>0.004</v>
      </c>
      <c r="F59" s="38" t="inlineStr">
        <is>
          <t>NERV. PRINCIPAL NP-26</t>
        </is>
      </c>
      <c r="G59" s="35" t="inlineStr">
        <is>
          <t>CONTINUO</t>
        </is>
      </c>
      <c r="H59" s="39" t="inlineStr">
        <is>
          <t>F80008</t>
        </is>
      </c>
      <c r="I59" s="39" t="inlineStr">
        <is>
          <t>Escalera curva (cubo)</t>
        </is>
      </c>
    </row>
    <row r="60">
      <c r="B60" s="37" t="inlineStr">
        <is>
          <t>F80009 N+3.00</t>
        </is>
      </c>
      <c r="C60" s="41" t="inlineStr">
        <is>
          <t>derecho</t>
        </is>
      </c>
      <c r="D60" s="36" t="n">
        <v>5.497</v>
      </c>
      <c r="E60" s="42" t="n">
        <v>1</v>
      </c>
      <c r="F60" s="38" t="inlineStr">
        <is>
          <t>MURO</t>
        </is>
      </c>
      <c r="G60" s="35" t="inlineStr">
        <is>
          <t>DISCONTINUO</t>
        </is>
      </c>
      <c r="H60" s="39" t="inlineStr"/>
      <c r="I60" s="39" t="inlineStr">
        <is>
          <t>Escalera curva (cubo)</t>
        </is>
      </c>
    </row>
    <row r="61">
      <c r="B61" s="34" t="inlineStr">
        <is>
          <t>F80010 N+3.00</t>
        </is>
      </c>
      <c r="C61" s="41" t="inlineStr">
        <is>
          <t>inferior</t>
        </is>
      </c>
      <c r="D61" s="36" t="n">
        <v>3.427</v>
      </c>
      <c r="E61" s="42" t="n">
        <v>0.006</v>
      </c>
      <c r="F61" s="38" t="inlineStr">
        <is>
          <t>NERV. PRINCIPAL NP-10</t>
        </is>
      </c>
      <c r="G61" s="35" t="inlineStr">
        <is>
          <t>DISCONTINUO</t>
        </is>
      </c>
      <c r="H61" s="39" t="inlineStr"/>
      <c r="I61" s="39" t="inlineStr">
        <is>
          <t>Vacío doble altura (sala)</t>
        </is>
      </c>
    </row>
    <row r="62">
      <c r="B62" s="37" t="inlineStr">
        <is>
          <t>F80010 N+3.00</t>
        </is>
      </c>
      <c r="C62" s="41" t="inlineStr">
        <is>
          <t>superior</t>
        </is>
      </c>
      <c r="D62" s="36" t="n">
        <v>3.427</v>
      </c>
      <c r="E62" s="42" t="n">
        <v>0.006</v>
      </c>
      <c r="F62" s="38" t="inlineStr">
        <is>
          <t>NERV. PRINCIPAL NP-12</t>
        </is>
      </c>
      <c r="G62" s="35" t="inlineStr">
        <is>
          <t>CONTINUO</t>
        </is>
      </c>
      <c r="H62" s="39" t="inlineStr">
        <is>
          <t>F80008, F80014</t>
        </is>
      </c>
      <c r="I62" s="39" t="inlineStr"/>
    </row>
    <row r="63">
      <c r="B63" s="37" t="inlineStr">
        <is>
          <t>F80010 N+3.00</t>
        </is>
      </c>
      <c r="C63" s="41" t="inlineStr">
        <is>
          <t>izquierdo</t>
        </is>
      </c>
      <c r="D63" s="36" t="n">
        <v>1.825</v>
      </c>
      <c r="E63" s="42" t="n">
        <v>1</v>
      </c>
      <c r="F63" s="38" t="inlineStr">
        <is>
          <t>MURO</t>
        </is>
      </c>
      <c r="G63" s="35" t="inlineStr">
        <is>
          <t>CONTINUO</t>
        </is>
      </c>
      <c r="H63" s="39" t="inlineStr">
        <is>
          <t>F80012</t>
        </is>
      </c>
      <c r="I63" s="39" t="inlineStr"/>
    </row>
    <row r="64">
      <c r="B64" s="37" t="inlineStr">
        <is>
          <t>F80010 N+3.00</t>
        </is>
      </c>
      <c r="C64" s="41" t="inlineStr">
        <is>
          <t>derecho</t>
        </is>
      </c>
      <c r="D64" s="36" t="n">
        <v>1.825</v>
      </c>
      <c r="E64" s="42" t="n">
        <v>0</v>
      </c>
      <c r="F64" s="38" t="inlineStr">
        <is>
          <t>NERV. PRINCIPAL NP-19</t>
        </is>
      </c>
      <c r="G64" s="35" t="inlineStr">
        <is>
          <t>CONTINUO</t>
        </is>
      </c>
      <c r="H64" s="39" t="inlineStr">
        <is>
          <t>F80008</t>
        </is>
      </c>
      <c r="I64" s="39" t="inlineStr"/>
    </row>
    <row r="65">
      <c r="B65" s="34" t="inlineStr">
        <is>
          <t>F80011 N+3.00</t>
        </is>
      </c>
      <c r="C65" s="41" t="inlineStr">
        <is>
          <t>inferior</t>
        </is>
      </c>
      <c r="D65" s="36" t="n">
        <v>3.428</v>
      </c>
      <c r="E65" s="42" t="n">
        <v>1</v>
      </c>
      <c r="F65" s="38" t="inlineStr">
        <is>
          <t>MURO</t>
        </is>
      </c>
      <c r="G65" s="35" t="inlineStr">
        <is>
          <t>CONTINUO</t>
        </is>
      </c>
      <c r="H65" s="39" t="inlineStr">
        <is>
          <t>F80009</t>
        </is>
      </c>
      <c r="I65" s="39" t="inlineStr"/>
    </row>
    <row r="66">
      <c r="B66" s="37" t="inlineStr">
        <is>
          <t>F80011 N+3.00</t>
        </is>
      </c>
      <c r="C66" s="41" t="inlineStr">
        <is>
          <t>superior</t>
        </is>
      </c>
      <c r="D66" s="36" t="n">
        <v>3.428</v>
      </c>
      <c r="E66" s="42" t="n">
        <v>0.006</v>
      </c>
      <c r="F66" s="38" t="inlineStr">
        <is>
          <t>NERV. PRINCIPAL NP-13</t>
        </is>
      </c>
      <c r="G66" s="35" t="inlineStr">
        <is>
          <t>CONTINUO</t>
        </is>
      </c>
      <c r="H66" s="39" t="inlineStr">
        <is>
          <t>F80013, F80015</t>
        </is>
      </c>
      <c r="I66" s="39" t="inlineStr"/>
    </row>
    <row r="67">
      <c r="B67" s="37" t="inlineStr">
        <is>
          <t>F80011 N+3.00</t>
        </is>
      </c>
      <c r="C67" s="41" t="inlineStr">
        <is>
          <t>izquierdo</t>
        </is>
      </c>
      <c r="D67" s="36" t="n">
        <v>0.399</v>
      </c>
      <c r="E67" s="42" t="n">
        <v>0.05</v>
      </c>
      <c r="F67" s="38" t="inlineStr">
        <is>
          <t>NERV. PRINCIPAL NP-27</t>
        </is>
      </c>
      <c r="G67" s="35" t="inlineStr">
        <is>
          <t>CONTINUO</t>
        </is>
      </c>
      <c r="H67" s="39" t="inlineStr">
        <is>
          <t>F80013</t>
        </is>
      </c>
      <c r="I67" s="39" t="inlineStr"/>
    </row>
    <row r="68">
      <c r="B68" s="37" t="inlineStr">
        <is>
          <t>F80011 N+3.00</t>
        </is>
      </c>
      <c r="C68" s="41" t="inlineStr">
        <is>
          <t>derecho</t>
        </is>
      </c>
      <c r="D68" s="36" t="n">
        <v>0.399</v>
      </c>
      <c r="E68" s="42" t="n">
        <v>1</v>
      </c>
      <c r="F68" s="38" t="inlineStr">
        <is>
          <t>MURO</t>
        </is>
      </c>
      <c r="G68" s="35" t="inlineStr">
        <is>
          <t>DISCONTINUO</t>
        </is>
      </c>
      <c r="H68" s="39" t="inlineStr"/>
      <c r="I68" s="39" t="inlineStr"/>
    </row>
    <row r="69">
      <c r="B69" s="34" t="inlineStr">
        <is>
          <t>F80012 N+3.00</t>
        </is>
      </c>
      <c r="C69" s="41" t="inlineStr">
        <is>
          <t>inferior</t>
        </is>
      </c>
      <c r="D69" s="36" t="n">
        <v>2</v>
      </c>
      <c r="E69" s="42" t="n">
        <v>0.01</v>
      </c>
      <c r="F69" s="38" t="inlineStr">
        <is>
          <t>NERV. PRINCIPAL NP-09</t>
        </is>
      </c>
      <c r="G69" s="35" t="inlineStr">
        <is>
          <t>DISCONTINUO</t>
        </is>
      </c>
      <c r="H69" s="39" t="inlineStr"/>
      <c r="I69" s="39" t="inlineStr"/>
    </row>
    <row r="70">
      <c r="B70" s="37" t="inlineStr">
        <is>
          <t>F80012 N+3.00</t>
        </is>
      </c>
      <c r="C70" s="41" t="inlineStr">
        <is>
          <t>superior</t>
        </is>
      </c>
      <c r="D70" s="36" t="n">
        <v>2</v>
      </c>
      <c r="E70" s="42" t="n">
        <v>0.01</v>
      </c>
      <c r="F70" s="38" t="inlineStr">
        <is>
          <t>NERV. PRINCIPAL NP-14</t>
        </is>
      </c>
      <c r="G70" s="35" t="inlineStr">
        <is>
          <t>DISCONTINUO</t>
        </is>
      </c>
      <c r="H70" s="39" t="inlineStr"/>
      <c r="I70" s="39" t="inlineStr"/>
    </row>
    <row r="71">
      <c r="B71" s="37" t="inlineStr">
        <is>
          <t>F80012 N+3.00</t>
        </is>
      </c>
      <c r="C71" s="41" t="inlineStr">
        <is>
          <t>izquierdo</t>
        </is>
      </c>
      <c r="D71" s="36" t="n">
        <v>3.425</v>
      </c>
      <c r="E71" s="42" t="n">
        <v>0</v>
      </c>
      <c r="F71" s="38" t="inlineStr">
        <is>
          <t>NERV. PRINCIPAL NP-17</t>
        </is>
      </c>
      <c r="G71" s="35" t="inlineStr">
        <is>
          <t>DISCONTINUO</t>
        </is>
      </c>
      <c r="H71" s="39" t="inlineStr"/>
      <c r="I71" s="39" t="inlineStr"/>
    </row>
    <row r="72">
      <c r="B72" s="37" t="inlineStr">
        <is>
          <t>F80012 N+3.00</t>
        </is>
      </c>
      <c r="C72" s="41" t="inlineStr">
        <is>
          <t>derecho</t>
        </is>
      </c>
      <c r="D72" s="36" t="n">
        <v>3.425</v>
      </c>
      <c r="E72" s="42" t="n">
        <v>1</v>
      </c>
      <c r="F72" s="38" t="inlineStr">
        <is>
          <t>MURO</t>
        </is>
      </c>
      <c r="G72" s="35" t="inlineStr">
        <is>
          <t>CONTINUO</t>
        </is>
      </c>
      <c r="H72" s="39" t="inlineStr">
        <is>
          <t>F80010, F80014</t>
        </is>
      </c>
      <c r="I72" s="39" t="inlineStr"/>
    </row>
    <row r="73">
      <c r="B73" s="34" t="inlineStr">
        <is>
          <t>F80013 N+3.00</t>
        </is>
      </c>
      <c r="C73" s="41" t="inlineStr">
        <is>
          <t>inferior</t>
        </is>
      </c>
      <c r="D73" s="36" t="n">
        <v>0.897</v>
      </c>
      <c r="E73" s="42" t="n">
        <v>1</v>
      </c>
      <c r="F73" s="38" t="inlineStr">
        <is>
          <t>MURO</t>
        </is>
      </c>
      <c r="G73" s="35" t="inlineStr">
        <is>
          <t>CONTINUO</t>
        </is>
      </c>
      <c r="H73" s="39" t="inlineStr">
        <is>
          <t>F80008, F80009, F80011</t>
        </is>
      </c>
      <c r="I73" s="39" t="inlineStr"/>
    </row>
    <row r="74">
      <c r="B74" s="37" t="inlineStr">
        <is>
          <t>F80013 N+3.00</t>
        </is>
      </c>
      <c r="C74" s="41" t="inlineStr">
        <is>
          <t>superior</t>
        </is>
      </c>
      <c r="D74" s="36" t="n">
        <v>0.897</v>
      </c>
      <c r="E74" s="42" t="n">
        <v>1</v>
      </c>
      <c r="F74" s="38" t="inlineStr">
        <is>
          <t>MURO</t>
        </is>
      </c>
      <c r="G74" s="35" t="inlineStr">
        <is>
          <t>CONTINUO</t>
        </is>
      </c>
      <c r="H74" s="39" t="inlineStr">
        <is>
          <t>F80018</t>
        </is>
      </c>
      <c r="I74" s="39" t="inlineStr"/>
    </row>
    <row r="75">
      <c r="B75" s="37" t="inlineStr">
        <is>
          <t>F80013 N+3.00</t>
        </is>
      </c>
      <c r="C75" s="41" t="inlineStr">
        <is>
          <t>izquierdo</t>
        </is>
      </c>
      <c r="D75" s="36" t="n">
        <v>1.999</v>
      </c>
      <c r="E75" s="42" t="n">
        <v>1</v>
      </c>
      <c r="F75" s="38" t="inlineStr">
        <is>
          <t>MURO</t>
        </is>
      </c>
      <c r="G75" s="35" t="inlineStr">
        <is>
          <t>CONTINUO</t>
        </is>
      </c>
      <c r="H75" s="39" t="inlineStr">
        <is>
          <t>F80008</t>
        </is>
      </c>
      <c r="I75" s="39" t="inlineStr"/>
    </row>
    <row r="76">
      <c r="B76" s="37" t="inlineStr">
        <is>
          <t>F80013 N+3.00</t>
        </is>
      </c>
      <c r="C76" s="41" t="inlineStr">
        <is>
          <t>derecho</t>
        </is>
      </c>
      <c r="D76" s="36" t="n">
        <v>1.999</v>
      </c>
      <c r="E76" s="42" t="n">
        <v>0.02</v>
      </c>
      <c r="F76" s="38" t="inlineStr">
        <is>
          <t>NERV. PRINCIPAL NP-28</t>
        </is>
      </c>
      <c r="G76" s="35" t="inlineStr">
        <is>
          <t>CONTINUO</t>
        </is>
      </c>
      <c r="H76" s="39" t="inlineStr">
        <is>
          <t>F80011, F80015</t>
        </is>
      </c>
      <c r="I76" s="39" t="inlineStr"/>
    </row>
    <row r="77">
      <c r="B77" s="34" t="inlineStr">
        <is>
          <t>F80014 N+3.00</t>
        </is>
      </c>
      <c r="C77" s="41" t="inlineStr">
        <is>
          <t>inferior</t>
        </is>
      </c>
      <c r="D77" s="36" t="n">
        <v>3.029</v>
      </c>
      <c r="E77" s="42" t="n">
        <v>0.007</v>
      </c>
      <c r="F77" s="38" t="inlineStr">
        <is>
          <t>NERV. PRINCIPAL NP-12</t>
        </is>
      </c>
      <c r="G77" s="35" t="inlineStr">
        <is>
          <t>CONTINUO</t>
        </is>
      </c>
      <c r="H77" s="39" t="inlineStr">
        <is>
          <t>F80010</t>
        </is>
      </c>
      <c r="I77" s="39" t="inlineStr"/>
    </row>
    <row r="78">
      <c r="B78" s="37" t="inlineStr">
        <is>
          <t>F80014 N+3.00</t>
        </is>
      </c>
      <c r="C78" s="41" t="inlineStr">
        <is>
          <t>superior</t>
        </is>
      </c>
      <c r="D78" s="36" t="n">
        <v>3.029</v>
      </c>
      <c r="E78" s="42" t="n">
        <v>0.007</v>
      </c>
      <c r="F78" s="38" t="inlineStr">
        <is>
          <t>NERV. PRINCIPAL NP-15</t>
        </is>
      </c>
      <c r="G78" s="35" t="inlineStr">
        <is>
          <t>CONTINUO</t>
        </is>
      </c>
      <c r="H78" s="39" t="inlineStr">
        <is>
          <t>F80016</t>
        </is>
      </c>
      <c r="I78" s="39" t="inlineStr"/>
    </row>
    <row r="79">
      <c r="B79" s="37" t="inlineStr">
        <is>
          <t>F80014 N+3.00</t>
        </is>
      </c>
      <c r="C79" s="41" t="inlineStr">
        <is>
          <t>izquierdo</t>
        </is>
      </c>
      <c r="D79" s="36" t="n">
        <v>1.6</v>
      </c>
      <c r="E79" s="42" t="n">
        <v>1</v>
      </c>
      <c r="F79" s="38" t="inlineStr">
        <is>
          <t>MURO</t>
        </is>
      </c>
      <c r="G79" s="35" t="inlineStr">
        <is>
          <t>CONTINUO</t>
        </is>
      </c>
      <c r="H79" s="39" t="inlineStr">
        <is>
          <t>F80012</t>
        </is>
      </c>
      <c r="I79" s="39" t="inlineStr"/>
    </row>
    <row r="80">
      <c r="B80" s="37" t="inlineStr">
        <is>
          <t>F80014 N+3.00</t>
        </is>
      </c>
      <c r="C80" s="41" t="inlineStr">
        <is>
          <t>derecho</t>
        </is>
      </c>
      <c r="D80" s="36" t="n">
        <v>1.6</v>
      </c>
      <c r="E80" s="42" t="n">
        <v>0</v>
      </c>
      <c r="F80" s="38" t="inlineStr">
        <is>
          <t>NERV. PRINCIPAL NP-18</t>
        </is>
      </c>
      <c r="G80" s="35" t="inlineStr">
        <is>
          <t>CONTINUO</t>
        </is>
      </c>
      <c r="H80" s="39" t="inlineStr">
        <is>
          <t>F80008</t>
        </is>
      </c>
      <c r="I80" s="39" t="inlineStr"/>
    </row>
    <row r="81">
      <c r="B81" s="34" t="inlineStr">
        <is>
          <t>F80015 N+3.00</t>
        </is>
      </c>
      <c r="C81" s="41" t="inlineStr">
        <is>
          <t>inferior</t>
        </is>
      </c>
      <c r="D81" s="36" t="n">
        <v>3.028</v>
      </c>
      <c r="E81" s="42" t="n">
        <v>0.007</v>
      </c>
      <c r="F81" s="38" t="inlineStr">
        <is>
          <t>NERV. PRINCIPAL NP-13</t>
        </is>
      </c>
      <c r="G81" s="35" t="inlineStr">
        <is>
          <t>CONTINUO</t>
        </is>
      </c>
      <c r="H81" s="39" t="inlineStr">
        <is>
          <t>F80011</t>
        </is>
      </c>
      <c r="I81" s="39" t="inlineStr"/>
    </row>
    <row r="82">
      <c r="B82" s="37" t="inlineStr">
        <is>
          <t>F80015 N+3.00</t>
        </is>
      </c>
      <c r="C82" s="41" t="inlineStr">
        <is>
          <t>superior</t>
        </is>
      </c>
      <c r="D82" s="36" t="n">
        <v>3.028</v>
      </c>
      <c r="E82" s="42" t="n">
        <v>1</v>
      </c>
      <c r="F82" s="38" t="inlineStr">
        <is>
          <t>MURO</t>
        </is>
      </c>
      <c r="G82" s="35" t="inlineStr">
        <is>
          <t>CONTINUO</t>
        </is>
      </c>
      <c r="H82" s="39" t="inlineStr">
        <is>
          <t>F80018</t>
        </is>
      </c>
      <c r="I82" s="39" t="inlineStr"/>
    </row>
    <row r="83">
      <c r="B83" s="37" t="inlineStr">
        <is>
          <t>F80015 N+3.00</t>
        </is>
      </c>
      <c r="C83" s="41" t="inlineStr">
        <is>
          <t>izquierdo</t>
        </is>
      </c>
      <c r="D83" s="36" t="n">
        <v>1.6</v>
      </c>
      <c r="E83" s="42" t="n">
        <v>0.012</v>
      </c>
      <c r="F83" s="38" t="inlineStr">
        <is>
          <t>NERV. PRINCIPAL NP-28</t>
        </is>
      </c>
      <c r="G83" s="35" t="inlineStr">
        <is>
          <t>CONTINUO</t>
        </is>
      </c>
      <c r="H83" s="39" t="inlineStr">
        <is>
          <t>F80013</t>
        </is>
      </c>
      <c r="I83" s="39" t="inlineStr"/>
    </row>
    <row r="84">
      <c r="B84" s="37" t="inlineStr">
        <is>
          <t>F80015 N+3.00</t>
        </is>
      </c>
      <c r="C84" s="41" t="inlineStr">
        <is>
          <t>derecho</t>
        </is>
      </c>
      <c r="D84" s="36" t="n">
        <v>1.6</v>
      </c>
      <c r="E84" s="42" t="n">
        <v>1</v>
      </c>
      <c r="F84" s="38" t="inlineStr">
        <is>
          <t>MURO</t>
        </is>
      </c>
      <c r="G84" s="35" t="inlineStr">
        <is>
          <t>DISCONTINUO</t>
        </is>
      </c>
      <c r="H84" s="39" t="inlineStr"/>
      <c r="I84" s="39" t="inlineStr"/>
    </row>
    <row r="85">
      <c r="B85" s="34" t="inlineStr">
        <is>
          <t>F80016 N+3.00</t>
        </is>
      </c>
      <c r="C85" s="41" t="inlineStr">
        <is>
          <t>inferior</t>
        </is>
      </c>
      <c r="D85" s="36" t="n">
        <v>4.426</v>
      </c>
      <c r="E85" s="42" t="n">
        <v>0.005</v>
      </c>
      <c r="F85" s="38" t="inlineStr">
        <is>
          <t>NERV. PRINCIPAL NP-15</t>
        </is>
      </c>
      <c r="G85" s="35" t="inlineStr">
        <is>
          <t>CONTINUO</t>
        </is>
      </c>
      <c r="H85" s="39" t="inlineStr">
        <is>
          <t>F80008, F80014</t>
        </is>
      </c>
      <c r="I85" s="39" t="inlineStr"/>
    </row>
    <row r="86">
      <c r="B86" s="37" t="inlineStr">
        <is>
          <t>F80016 N+3.00</t>
        </is>
      </c>
      <c r="C86" s="41" t="inlineStr">
        <is>
          <t>superior</t>
        </is>
      </c>
      <c r="D86" s="36" t="n">
        <v>4.426</v>
      </c>
      <c r="E86" s="42" t="n">
        <v>1</v>
      </c>
      <c r="F86" s="38" t="inlineStr">
        <is>
          <t>MURO</t>
        </is>
      </c>
      <c r="G86" s="35" t="inlineStr">
        <is>
          <t>CONTINUO</t>
        </is>
      </c>
      <c r="H86" s="39" t="inlineStr">
        <is>
          <t>F80019</t>
        </is>
      </c>
      <c r="I86" s="39" t="inlineStr"/>
    </row>
    <row r="87">
      <c r="B87" s="37" t="inlineStr">
        <is>
          <t>F80016 N+3.00</t>
        </is>
      </c>
      <c r="C87" s="41" t="inlineStr">
        <is>
          <t>izquierdo</t>
        </is>
      </c>
      <c r="D87" s="36" t="n">
        <v>4</v>
      </c>
      <c r="E87" s="42" t="n">
        <v>1</v>
      </c>
      <c r="F87" s="38" t="inlineStr">
        <is>
          <t>MURO</t>
        </is>
      </c>
      <c r="G87" s="35" t="inlineStr">
        <is>
          <t>DISCONTINUO</t>
        </is>
      </c>
      <c r="H87" s="39" t="inlineStr"/>
      <c r="I87" s="39" t="inlineStr"/>
    </row>
    <row r="88">
      <c r="B88" s="37" t="inlineStr">
        <is>
          <t>F80016 N+3.00</t>
        </is>
      </c>
      <c r="C88" s="41" t="inlineStr">
        <is>
          <t>derecho</t>
        </is>
      </c>
      <c r="D88" s="36" t="n">
        <v>4</v>
      </c>
      <c r="E88" s="42" t="n">
        <v>0.005</v>
      </c>
      <c r="F88" s="38" t="inlineStr">
        <is>
          <t>NERV. PRINCIPAL NP-24</t>
        </is>
      </c>
      <c r="G88" s="35" t="inlineStr">
        <is>
          <t>CONTINUO</t>
        </is>
      </c>
      <c r="H88" s="39" t="inlineStr">
        <is>
          <t>F80017</t>
        </is>
      </c>
      <c r="I88" s="39" t="inlineStr"/>
    </row>
    <row r="89">
      <c r="B89" s="34" t="inlineStr">
        <is>
          <t>F80017 N+3.00</t>
        </is>
      </c>
      <c r="C89" s="41" t="inlineStr">
        <is>
          <t>inferior</t>
        </is>
      </c>
      <c r="D89" s="36" t="n">
        <v>0.499</v>
      </c>
      <c r="E89" s="42" t="n">
        <v>0.04</v>
      </c>
      <c r="F89" s="38" t="inlineStr">
        <is>
          <t>NERV. PRINCIPAL NP-15</t>
        </is>
      </c>
      <c r="G89" s="35" t="inlineStr">
        <is>
          <t>CONTINUO</t>
        </is>
      </c>
      <c r="H89" s="39" t="inlineStr">
        <is>
          <t>F80008</t>
        </is>
      </c>
      <c r="I89" s="39" t="inlineStr"/>
    </row>
    <row r="90">
      <c r="B90" s="37" t="inlineStr">
        <is>
          <t>F80017 N+3.00</t>
        </is>
      </c>
      <c r="C90" s="41" t="inlineStr">
        <is>
          <t>superior</t>
        </is>
      </c>
      <c r="D90" s="36" t="n">
        <v>0.499</v>
      </c>
      <c r="E90" s="42" t="n">
        <v>1</v>
      </c>
      <c r="F90" s="38" t="inlineStr">
        <is>
          <t>MURO</t>
        </is>
      </c>
      <c r="G90" s="35" t="inlineStr">
        <is>
          <t>CONTINUO</t>
        </is>
      </c>
      <c r="H90" s="39" t="inlineStr">
        <is>
          <t>F80019</t>
        </is>
      </c>
      <c r="I90" s="39" t="inlineStr"/>
    </row>
    <row r="91">
      <c r="B91" s="37" t="inlineStr">
        <is>
          <t>F80017 N+3.00</t>
        </is>
      </c>
      <c r="C91" s="41" t="inlineStr">
        <is>
          <t>izquierdo</t>
        </is>
      </c>
      <c r="D91" s="36" t="n">
        <v>4</v>
      </c>
      <c r="E91" s="42" t="n">
        <v>0.005</v>
      </c>
      <c r="F91" s="38" t="inlineStr">
        <is>
          <t>NERV. PRINCIPAL NP-24</t>
        </is>
      </c>
      <c r="G91" s="35" t="inlineStr">
        <is>
          <t>CONTINUO</t>
        </is>
      </c>
      <c r="H91" s="39" t="inlineStr">
        <is>
          <t>F80016</t>
        </is>
      </c>
      <c r="I91" s="39" t="inlineStr"/>
    </row>
    <row r="92">
      <c r="B92" s="37" t="inlineStr">
        <is>
          <t>F80017 N+3.00</t>
        </is>
      </c>
      <c r="C92" s="41" t="inlineStr">
        <is>
          <t>derecho</t>
        </is>
      </c>
      <c r="D92" s="36" t="n">
        <v>4</v>
      </c>
      <c r="E92" s="42" t="n">
        <v>1</v>
      </c>
      <c r="F92" s="38" t="inlineStr">
        <is>
          <t>MURO</t>
        </is>
      </c>
      <c r="G92" s="35" t="inlineStr">
        <is>
          <t>CONTINUO</t>
        </is>
      </c>
      <c r="H92" s="39" t="inlineStr">
        <is>
          <t>F80018</t>
        </is>
      </c>
      <c r="I92" s="39" t="inlineStr"/>
    </row>
    <row r="93">
      <c r="B93" s="34" t="inlineStr">
        <is>
          <t>F80018 N+3.00</t>
        </is>
      </c>
      <c r="C93" s="41" t="inlineStr">
        <is>
          <t>inferior</t>
        </is>
      </c>
      <c r="D93" s="36" t="n">
        <v>3.925</v>
      </c>
      <c r="E93" s="42" t="n">
        <v>1</v>
      </c>
      <c r="F93" s="38" t="inlineStr">
        <is>
          <t>MURO</t>
        </is>
      </c>
      <c r="G93" s="35" t="inlineStr">
        <is>
          <t>CONTINUO</t>
        </is>
      </c>
      <c r="H93" s="39" t="inlineStr">
        <is>
          <t>F80013, F80015</t>
        </is>
      </c>
      <c r="I93" s="39" t="inlineStr"/>
    </row>
    <row r="94">
      <c r="B94" s="37" t="inlineStr">
        <is>
          <t>F80018 N+3.00</t>
        </is>
      </c>
      <c r="C94" s="41" t="inlineStr">
        <is>
          <t>superior</t>
        </is>
      </c>
      <c r="D94" s="36" t="n">
        <v>3.925</v>
      </c>
      <c r="E94" s="42" t="n">
        <v>1</v>
      </c>
      <c r="F94" s="38" t="inlineStr">
        <is>
          <t>MURO</t>
        </is>
      </c>
      <c r="G94" s="35" t="inlineStr">
        <is>
          <t>CONTINUO</t>
        </is>
      </c>
      <c r="H94" s="39" t="inlineStr">
        <is>
          <t>F80019, F80020</t>
        </is>
      </c>
      <c r="I94" s="39" t="inlineStr"/>
    </row>
    <row r="95">
      <c r="B95" s="37" t="inlineStr">
        <is>
          <t>F80018 N+3.00</t>
        </is>
      </c>
      <c r="C95" s="41" t="inlineStr">
        <is>
          <t>izquierdo</t>
        </is>
      </c>
      <c r="D95" s="36" t="n">
        <v>4</v>
      </c>
      <c r="E95" s="42" t="n">
        <v>1</v>
      </c>
      <c r="F95" s="38" t="inlineStr">
        <is>
          <t>MURO</t>
        </is>
      </c>
      <c r="G95" s="35" t="inlineStr">
        <is>
          <t>CONTINUO</t>
        </is>
      </c>
      <c r="H95" s="39" t="inlineStr">
        <is>
          <t>F80017</t>
        </is>
      </c>
      <c r="I95" s="39" t="inlineStr"/>
    </row>
    <row r="96">
      <c r="B96" s="37" t="inlineStr">
        <is>
          <t>F80018 N+3.00</t>
        </is>
      </c>
      <c r="C96" s="41" t="inlineStr">
        <is>
          <t>derecho</t>
        </is>
      </c>
      <c r="D96" s="36" t="n">
        <v>4</v>
      </c>
      <c r="E96" s="42" t="n">
        <v>1</v>
      </c>
      <c r="F96" s="38" t="inlineStr">
        <is>
          <t>MURO</t>
        </is>
      </c>
      <c r="G96" s="35" t="inlineStr">
        <is>
          <t>DISCONTINUO</t>
        </is>
      </c>
      <c r="H96" s="39" t="inlineStr"/>
      <c r="I96" s="39" t="inlineStr"/>
    </row>
    <row r="97">
      <c r="B97" s="34" t="inlineStr">
        <is>
          <t>F80019 N+3.00</t>
        </is>
      </c>
      <c r="C97" s="41" t="inlineStr">
        <is>
          <t>inferior</t>
        </is>
      </c>
      <c r="D97" s="36" t="n">
        <v>7.25</v>
      </c>
      <c r="E97" s="42" t="n">
        <v>1</v>
      </c>
      <c r="F97" s="38" t="inlineStr">
        <is>
          <t>MURO</t>
        </is>
      </c>
      <c r="G97" s="35" t="inlineStr">
        <is>
          <t>CONTINUO</t>
        </is>
      </c>
      <c r="H97" s="39" t="inlineStr">
        <is>
          <t>F80016, F80017, F80018</t>
        </is>
      </c>
      <c r="I97" s="39" t="inlineStr"/>
    </row>
    <row r="98">
      <c r="B98" s="37" t="inlineStr">
        <is>
          <t>F80019 N+3.00</t>
        </is>
      </c>
      <c r="C98" s="41" t="inlineStr">
        <is>
          <t>superior</t>
        </is>
      </c>
      <c r="D98" s="36" t="n">
        <v>7.25</v>
      </c>
      <c r="E98" s="42" t="n">
        <v>0.006</v>
      </c>
      <c r="F98" s="38" t="inlineStr">
        <is>
          <t>NERV. PRINCIPAL NP-16</t>
        </is>
      </c>
      <c r="G98" s="35" t="inlineStr">
        <is>
          <t>DISCONTINUO</t>
        </is>
      </c>
      <c r="H98" s="39" t="inlineStr"/>
      <c r="I98" s="39" t="inlineStr"/>
    </row>
    <row r="99">
      <c r="B99" s="37" t="inlineStr">
        <is>
          <t>F80019 N+3.00</t>
        </is>
      </c>
      <c r="C99" s="41" t="inlineStr">
        <is>
          <t>izquierdo</t>
        </is>
      </c>
      <c r="D99" s="36" t="n">
        <v>2</v>
      </c>
      <c r="E99" s="42" t="n">
        <v>1</v>
      </c>
      <c r="F99" s="38" t="inlineStr">
        <is>
          <t>MURO</t>
        </is>
      </c>
      <c r="G99" s="35" t="inlineStr">
        <is>
          <t>CONTINUO</t>
        </is>
      </c>
      <c r="H99" s="39" t="inlineStr">
        <is>
          <t>F80021</t>
        </is>
      </c>
      <c r="I99" s="39" t="inlineStr"/>
    </row>
    <row r="100">
      <c r="B100" s="37" t="inlineStr">
        <is>
          <t>F80019 N+3.00</t>
        </is>
      </c>
      <c r="C100" s="41" t="inlineStr">
        <is>
          <t>derecho</t>
        </is>
      </c>
      <c r="D100" s="36" t="n">
        <v>2</v>
      </c>
      <c r="E100" s="42" t="n">
        <v>1</v>
      </c>
      <c r="F100" s="38" t="inlineStr">
        <is>
          <t>MURO</t>
        </is>
      </c>
      <c r="G100" s="35" t="inlineStr">
        <is>
          <t>CONTINUO</t>
        </is>
      </c>
      <c r="H100" s="39" t="inlineStr">
        <is>
          <t>F80020</t>
        </is>
      </c>
      <c r="I100" s="39" t="inlineStr"/>
    </row>
    <row r="101">
      <c r="B101" s="34" t="inlineStr">
        <is>
          <t>F80020 N+3.00</t>
        </is>
      </c>
      <c r="C101" s="41" t="inlineStr">
        <is>
          <t>inferior</t>
        </is>
      </c>
      <c r="D101" s="36" t="n">
        <v>1.6</v>
      </c>
      <c r="E101" s="42" t="n">
        <v>1</v>
      </c>
      <c r="F101" s="38" t="inlineStr">
        <is>
          <t>MURO</t>
        </is>
      </c>
      <c r="G101" s="35" t="inlineStr">
        <is>
          <t>CONTINUO</t>
        </is>
      </c>
      <c r="H101" s="39" t="inlineStr">
        <is>
          <t>F80018</t>
        </is>
      </c>
      <c r="I101" s="39" t="inlineStr"/>
    </row>
    <row r="102">
      <c r="B102" s="37" t="inlineStr">
        <is>
          <t>F80020 N+3.00</t>
        </is>
      </c>
      <c r="C102" s="41" t="inlineStr">
        <is>
          <t>superior</t>
        </is>
      </c>
      <c r="D102" s="36" t="n">
        <v>1.6</v>
      </c>
      <c r="E102" s="42" t="n">
        <v>1</v>
      </c>
      <c r="F102" s="38" t="inlineStr">
        <is>
          <t>MURO</t>
        </is>
      </c>
      <c r="G102" s="35" t="inlineStr">
        <is>
          <t>DISCONTINUO</t>
        </is>
      </c>
      <c r="H102" s="39" t="inlineStr"/>
      <c r="I102" s="39" t="inlineStr"/>
    </row>
    <row r="103">
      <c r="B103" s="37" t="inlineStr">
        <is>
          <t>F80020 N+3.00</t>
        </is>
      </c>
      <c r="C103" s="41" t="inlineStr">
        <is>
          <t>izquierdo</t>
        </is>
      </c>
      <c r="D103" s="36" t="n">
        <v>2.925</v>
      </c>
      <c r="E103" s="42" t="n">
        <v>1</v>
      </c>
      <c r="F103" s="38" t="inlineStr">
        <is>
          <t>MURO</t>
        </is>
      </c>
      <c r="G103" s="35" t="inlineStr">
        <is>
          <t>CONTINUO</t>
        </is>
      </c>
      <c r="H103" s="39" t="inlineStr">
        <is>
          <t>F80019</t>
        </is>
      </c>
      <c r="I103" s="39" t="inlineStr"/>
    </row>
    <row r="104">
      <c r="B104" s="37" t="inlineStr">
        <is>
          <t>F80020 N+3.00</t>
        </is>
      </c>
      <c r="C104" s="41" t="inlineStr">
        <is>
          <t>derecho</t>
        </is>
      </c>
      <c r="D104" s="36" t="n">
        <v>2.925</v>
      </c>
      <c r="E104" s="42" t="n">
        <v>1</v>
      </c>
      <c r="F104" s="38" t="inlineStr">
        <is>
          <t>MURO</t>
        </is>
      </c>
      <c r="G104" s="35" t="inlineStr">
        <is>
          <t>DISCONTINUO</t>
        </is>
      </c>
      <c r="H104" s="39" t="inlineStr"/>
      <c r="I104" s="39" t="inlineStr"/>
    </row>
    <row r="105">
      <c r="B105" s="34" t="inlineStr">
        <is>
          <t>F80021 N+3.00</t>
        </is>
      </c>
      <c r="C105" s="41" t="inlineStr">
        <is>
          <t>inferior</t>
        </is>
      </c>
      <c r="D105" s="36" t="n">
        <v>1.6</v>
      </c>
      <c r="E105" s="42" t="n">
        <v>1</v>
      </c>
      <c r="F105" s="38" t="inlineStr">
        <is>
          <t>MURO</t>
        </is>
      </c>
      <c r="G105" s="35" t="inlineStr">
        <is>
          <t>DISCONTINUO</t>
        </is>
      </c>
      <c r="H105" s="39" t="inlineStr"/>
      <c r="I105" s="39" t="inlineStr"/>
    </row>
    <row r="106">
      <c r="B106" s="37" t="inlineStr">
        <is>
          <t>F80021 N+3.00</t>
        </is>
      </c>
      <c r="C106" s="41" t="inlineStr">
        <is>
          <t>superior</t>
        </is>
      </c>
      <c r="D106" s="36" t="n">
        <v>1.6</v>
      </c>
      <c r="E106" s="42" t="n">
        <v>1</v>
      </c>
      <c r="F106" s="38" t="inlineStr">
        <is>
          <t>MURO</t>
        </is>
      </c>
      <c r="G106" s="35" t="inlineStr">
        <is>
          <t>DISCONTINUO</t>
        </is>
      </c>
      <c r="H106" s="39" t="inlineStr"/>
      <c r="I106" s="39" t="inlineStr"/>
    </row>
    <row r="107">
      <c r="B107" s="37" t="inlineStr">
        <is>
          <t>F80021 N+3.00</t>
        </is>
      </c>
      <c r="C107" s="41" t="inlineStr">
        <is>
          <t>izquierdo</t>
        </is>
      </c>
      <c r="D107" s="36" t="n">
        <v>2.925</v>
      </c>
      <c r="E107" s="42" t="n">
        <v>1</v>
      </c>
      <c r="F107" s="38" t="inlineStr">
        <is>
          <t>MURO</t>
        </is>
      </c>
      <c r="G107" s="35" t="inlineStr">
        <is>
          <t>DISCONTINUO</t>
        </is>
      </c>
      <c r="H107" s="39" t="inlineStr"/>
      <c r="I107" s="39" t="inlineStr"/>
    </row>
    <row r="108">
      <c r="B108" s="37" t="inlineStr">
        <is>
          <t>F80021 N+3.00</t>
        </is>
      </c>
      <c r="C108" s="41" t="inlineStr">
        <is>
          <t>derecho</t>
        </is>
      </c>
      <c r="D108" s="36" t="n">
        <v>2.925</v>
      </c>
      <c r="E108" s="42" t="n">
        <v>1</v>
      </c>
      <c r="F108" s="38" t="inlineStr">
        <is>
          <t>MURO</t>
        </is>
      </c>
      <c r="G108" s="35" t="inlineStr">
        <is>
          <t>CONTINUO</t>
        </is>
      </c>
      <c r="H108" s="39" t="inlineStr">
        <is>
          <t>F80019</t>
        </is>
      </c>
      <c r="I108" s="39" t="inlineStr"/>
    </row>
    <row r="109">
      <c r="B109" s="34" t="inlineStr">
        <is>
          <t>F2 N+6.00</t>
        </is>
      </c>
      <c r="C109" s="41" t="inlineStr">
        <is>
          <t>inferior</t>
        </is>
      </c>
      <c r="D109" s="36" t="n">
        <v>4.327</v>
      </c>
      <c r="E109" s="42" t="n">
        <v>1</v>
      </c>
      <c r="F109" s="38" t="inlineStr">
        <is>
          <t>MURO</t>
        </is>
      </c>
      <c r="G109" s="35" t="inlineStr">
        <is>
          <t>DISCONTINUO</t>
        </is>
      </c>
      <c r="H109" s="39" t="inlineStr"/>
      <c r="I109" s="39" t="inlineStr"/>
    </row>
    <row r="110">
      <c r="B110" s="37" t="inlineStr">
        <is>
          <t>F2 N+6.00</t>
        </is>
      </c>
      <c r="C110" s="41" t="inlineStr">
        <is>
          <t>superior</t>
        </is>
      </c>
      <c r="D110" s="36" t="n">
        <v>4.327</v>
      </c>
      <c r="E110" s="42" t="n">
        <v>1</v>
      </c>
      <c r="F110" s="38" t="inlineStr">
        <is>
          <t>MURO</t>
        </is>
      </c>
      <c r="G110" s="35" t="inlineStr">
        <is>
          <t>CONTINUO</t>
        </is>
      </c>
      <c r="H110" s="39" t="inlineStr">
        <is>
          <t>F80024</t>
        </is>
      </c>
      <c r="I110" s="39" t="inlineStr"/>
    </row>
    <row r="111">
      <c r="B111" s="37" t="inlineStr">
        <is>
          <t>F2 N+6.00</t>
        </is>
      </c>
      <c r="C111" s="41" t="inlineStr">
        <is>
          <t>izquierdo</t>
        </is>
      </c>
      <c r="D111" s="36" t="n">
        <v>1.002</v>
      </c>
      <c r="E111" s="42" t="n">
        <v>1</v>
      </c>
      <c r="F111" s="38" t="inlineStr">
        <is>
          <t>MURO</t>
        </is>
      </c>
      <c r="G111" s="35" t="inlineStr">
        <is>
          <t>DISCONTINUO</t>
        </is>
      </c>
      <c r="H111" s="39" t="inlineStr"/>
      <c r="I111" s="39" t="inlineStr"/>
    </row>
    <row r="112">
      <c r="B112" s="37" t="inlineStr">
        <is>
          <t>F2 N+6.00</t>
        </is>
      </c>
      <c r="C112" s="41" t="inlineStr">
        <is>
          <t>derecho</t>
        </is>
      </c>
      <c r="D112" s="36" t="n">
        <v>1.002</v>
      </c>
      <c r="E112" s="42" t="n">
        <v>1</v>
      </c>
      <c r="F112" s="38" t="inlineStr">
        <is>
          <t>MURO</t>
        </is>
      </c>
      <c r="G112" s="35" t="inlineStr">
        <is>
          <t>DISCONTINUO</t>
        </is>
      </c>
      <c r="H112" s="39" t="inlineStr"/>
      <c r="I112" s="39" t="inlineStr"/>
    </row>
    <row r="113">
      <c r="B113" s="34" t="inlineStr">
        <is>
          <t>F80010 N+6.00</t>
        </is>
      </c>
      <c r="C113" s="41" t="inlineStr">
        <is>
          <t>inferior</t>
        </is>
      </c>
      <c r="D113" s="36" t="n">
        <v>3.427</v>
      </c>
      <c r="E113" s="42" t="n">
        <v>1</v>
      </c>
      <c r="F113" s="38" t="inlineStr">
        <is>
          <t>MURO</t>
        </is>
      </c>
      <c r="G113" s="35" t="inlineStr">
        <is>
          <t>DISCONTINUO</t>
        </is>
      </c>
      <c r="H113" s="39" t="inlineStr"/>
      <c r="I113" s="39" t="inlineStr">
        <is>
          <t>Pergolado sobre doble altura (vigas VP-15x40 @0.75 + cristal)</t>
        </is>
      </c>
    </row>
    <row r="114">
      <c r="B114" s="37" t="inlineStr">
        <is>
          <t>F80010 N+6.00</t>
        </is>
      </c>
      <c r="C114" s="41" t="inlineStr">
        <is>
          <t>superior</t>
        </is>
      </c>
      <c r="D114" s="36" t="n">
        <v>3.427</v>
      </c>
      <c r="E114" s="42" t="n">
        <v>1</v>
      </c>
      <c r="F114" s="38" t="inlineStr">
        <is>
          <t>MURO</t>
        </is>
      </c>
      <c r="G114" s="35" t="inlineStr">
        <is>
          <t>CONTINUO</t>
        </is>
      </c>
      <c r="H114" s="39" t="inlineStr">
        <is>
          <t>F80027, F80032</t>
        </is>
      </c>
      <c r="I114" s="39" t="inlineStr"/>
    </row>
    <row r="115">
      <c r="B115" s="37" t="inlineStr">
        <is>
          <t>F80010 N+6.00</t>
        </is>
      </c>
      <c r="C115" s="41" t="inlineStr">
        <is>
          <t>izquierdo</t>
        </is>
      </c>
      <c r="D115" s="36" t="n">
        <v>1.825</v>
      </c>
      <c r="E115" s="42" t="n">
        <v>0.022</v>
      </c>
      <c r="F115" s="38" t="inlineStr">
        <is>
          <t>NERV. PRINCIPAL NP-33</t>
        </is>
      </c>
      <c r="G115" s="35" t="inlineStr">
        <is>
          <t>DISCONTINUO</t>
        </is>
      </c>
      <c r="H115" s="39" t="inlineStr"/>
      <c r="I115" s="39" t="inlineStr"/>
    </row>
    <row r="116">
      <c r="B116" s="37" t="inlineStr">
        <is>
          <t>F80010 N+6.00</t>
        </is>
      </c>
      <c r="C116" s="41" t="inlineStr">
        <is>
          <t>derecho</t>
        </is>
      </c>
      <c r="D116" s="36" t="n">
        <v>1.825</v>
      </c>
      <c r="E116" s="42" t="n">
        <v>1</v>
      </c>
      <c r="F116" s="38" t="inlineStr">
        <is>
          <t>MURO</t>
        </is>
      </c>
      <c r="G116" s="35" t="inlineStr">
        <is>
          <t>CONTINUO</t>
        </is>
      </c>
      <c r="H116" s="39" t="inlineStr">
        <is>
          <t>F80032</t>
        </is>
      </c>
      <c r="I116" s="39" t="inlineStr"/>
    </row>
    <row r="117">
      <c r="B117" s="34" t="inlineStr">
        <is>
          <t>F80023 N+6.00</t>
        </is>
      </c>
      <c r="C117" s="41" t="inlineStr">
        <is>
          <t>inferior</t>
        </is>
      </c>
      <c r="D117" s="36" t="n">
        <v>1.596</v>
      </c>
      <c r="E117" s="42" t="n">
        <v>1</v>
      </c>
      <c r="F117" s="38" t="inlineStr">
        <is>
          <t>MURO</t>
        </is>
      </c>
      <c r="G117" s="35" t="inlineStr">
        <is>
          <t>DISCONTINUO</t>
        </is>
      </c>
      <c r="H117" s="39" t="inlineStr"/>
      <c r="I117" s="39" t="inlineStr"/>
    </row>
    <row r="118">
      <c r="B118" s="37" t="inlineStr">
        <is>
          <t>F80023 N+6.00</t>
        </is>
      </c>
      <c r="C118" s="41" t="inlineStr">
        <is>
          <t>superior</t>
        </is>
      </c>
      <c r="D118" s="36" t="n">
        <v>1.596</v>
      </c>
      <c r="E118" s="42" t="n">
        <v>1</v>
      </c>
      <c r="F118" s="38" t="inlineStr">
        <is>
          <t>MURO</t>
        </is>
      </c>
      <c r="G118" s="35" t="inlineStr">
        <is>
          <t>CONTINUO</t>
        </is>
      </c>
      <c r="H118" s="39" t="inlineStr">
        <is>
          <t>F80032</t>
        </is>
      </c>
      <c r="I118" s="39" t="inlineStr"/>
    </row>
    <row r="119">
      <c r="B119" s="37" t="inlineStr">
        <is>
          <t>F80023 N+6.00</t>
        </is>
      </c>
      <c r="C119" s="41" t="inlineStr">
        <is>
          <t>izquierdo</t>
        </is>
      </c>
      <c r="D119" s="36" t="n">
        <v>3.025</v>
      </c>
      <c r="E119" s="42" t="n">
        <v>1</v>
      </c>
      <c r="F119" s="38" t="inlineStr">
        <is>
          <t>MURO</t>
        </is>
      </c>
      <c r="G119" s="35" t="inlineStr">
        <is>
          <t>CONTINUO</t>
        </is>
      </c>
      <c r="H119" s="39" t="inlineStr">
        <is>
          <t>F80024</t>
        </is>
      </c>
      <c r="I119" s="39" t="inlineStr"/>
    </row>
    <row r="120">
      <c r="B120" s="37" t="inlineStr">
        <is>
          <t>F80023 N+6.00</t>
        </is>
      </c>
      <c r="C120" s="41" t="inlineStr">
        <is>
          <t>derecho</t>
        </is>
      </c>
      <c r="D120" s="36" t="n">
        <v>3.025</v>
      </c>
      <c r="E120" s="42" t="n">
        <v>1</v>
      </c>
      <c r="F120" s="38" t="inlineStr">
        <is>
          <t>MURO</t>
        </is>
      </c>
      <c r="G120" s="35" t="inlineStr">
        <is>
          <t>DISCONTINUO</t>
        </is>
      </c>
      <c r="H120" s="39" t="inlineStr"/>
      <c r="I120" s="39" t="inlineStr"/>
    </row>
    <row r="121">
      <c r="B121" s="34" t="inlineStr">
        <is>
          <t>F80024 N+6.00</t>
        </is>
      </c>
      <c r="C121" s="41" t="inlineStr">
        <is>
          <t>inferior</t>
        </is>
      </c>
      <c r="D121" s="36" t="n">
        <v>4.327</v>
      </c>
      <c r="E121" s="42" t="n">
        <v>1</v>
      </c>
      <c r="F121" s="38" t="inlineStr">
        <is>
          <t>MURO</t>
        </is>
      </c>
      <c r="G121" s="35" t="inlineStr">
        <is>
          <t>CONTINUO</t>
        </is>
      </c>
      <c r="H121" s="39" t="inlineStr">
        <is>
          <t>F2</t>
        </is>
      </c>
      <c r="I121" s="39" t="inlineStr"/>
    </row>
    <row r="122">
      <c r="B122" s="37" t="inlineStr">
        <is>
          <t>F80024 N+6.00</t>
        </is>
      </c>
      <c r="C122" s="41" t="inlineStr">
        <is>
          <t>superior</t>
        </is>
      </c>
      <c r="D122" s="36" t="n">
        <v>4.327</v>
      </c>
      <c r="E122" s="42" t="n">
        <v>1</v>
      </c>
      <c r="F122" s="38" t="inlineStr">
        <is>
          <t>MURO</t>
        </is>
      </c>
      <c r="G122" s="35" t="inlineStr">
        <is>
          <t>DISCONTINUO</t>
        </is>
      </c>
      <c r="H122" s="39" t="inlineStr"/>
      <c r="I122" s="39" t="inlineStr">
        <is>
          <t>Pergolado sobre doble altura (vigas VP-15x40 @0.75 + cristal)</t>
        </is>
      </c>
    </row>
    <row r="123">
      <c r="B123" s="37" t="inlineStr">
        <is>
          <t>F80024 N+6.00</t>
        </is>
      </c>
      <c r="C123" s="41" t="inlineStr">
        <is>
          <t>izquierdo</t>
        </is>
      </c>
      <c r="D123" s="36" t="n">
        <v>4.95</v>
      </c>
      <c r="E123" s="42" t="n">
        <v>1</v>
      </c>
      <c r="F123" s="38" t="inlineStr">
        <is>
          <t>MURO</t>
        </is>
      </c>
      <c r="G123" s="35" t="inlineStr">
        <is>
          <t>DISCONTINUO</t>
        </is>
      </c>
      <c r="H123" s="39" t="inlineStr"/>
      <c r="I123" s="39" t="inlineStr"/>
    </row>
    <row r="124">
      <c r="B124" s="37" t="inlineStr">
        <is>
          <t>F80024 N+6.00</t>
        </is>
      </c>
      <c r="C124" s="41" t="inlineStr">
        <is>
          <t>derecho</t>
        </is>
      </c>
      <c r="D124" s="36" t="n">
        <v>4.95</v>
      </c>
      <c r="E124" s="42" t="n">
        <v>1</v>
      </c>
      <c r="F124" s="38" t="inlineStr">
        <is>
          <t>MURO</t>
        </is>
      </c>
      <c r="G124" s="35" t="inlineStr">
        <is>
          <t>CONTINUO</t>
        </is>
      </c>
      <c r="H124" s="39" t="inlineStr">
        <is>
          <t>F80023, F80032</t>
        </is>
      </c>
      <c r="I124" s="39" t="inlineStr"/>
    </row>
    <row r="125">
      <c r="B125" s="34" t="inlineStr">
        <is>
          <t>F80025 N+6.00</t>
        </is>
      </c>
      <c r="C125" s="41" t="inlineStr">
        <is>
          <t>inferior</t>
        </is>
      </c>
      <c r="D125" s="36" t="n">
        <v>3.428</v>
      </c>
      <c r="E125" s="42" t="n">
        <v>1</v>
      </c>
      <c r="F125" s="38" t="inlineStr">
        <is>
          <t>MURO</t>
        </is>
      </c>
      <c r="G125" s="35" t="inlineStr">
        <is>
          <t>DISCONTINUO</t>
        </is>
      </c>
      <c r="H125" s="39" t="inlineStr">
        <is>
          <t>F80032</t>
        </is>
      </c>
      <c r="I125" s="39" t="inlineStr">
        <is>
          <t>Vacío sobre escalera</t>
        </is>
      </c>
    </row>
    <row r="126">
      <c r="B126" s="37" t="inlineStr">
        <is>
          <t>F80025 N+6.00</t>
        </is>
      </c>
      <c r="C126" s="41" t="inlineStr">
        <is>
          <t>superior</t>
        </is>
      </c>
      <c r="D126" s="36" t="n">
        <v>3.428</v>
      </c>
      <c r="E126" s="42" t="n">
        <v>1</v>
      </c>
      <c r="F126" s="38" t="inlineStr">
        <is>
          <t>MURO</t>
        </is>
      </c>
      <c r="G126" s="35" t="inlineStr">
        <is>
          <t>CONTINUO</t>
        </is>
      </c>
      <c r="H126" s="39" t="inlineStr">
        <is>
          <t>F80026, F80032</t>
        </is>
      </c>
      <c r="I126" s="39" t="inlineStr"/>
    </row>
    <row r="127">
      <c r="B127" s="37" t="inlineStr">
        <is>
          <t>F80025 N+6.00</t>
        </is>
      </c>
      <c r="C127" s="41" t="inlineStr">
        <is>
          <t>izquierdo</t>
        </is>
      </c>
      <c r="D127" s="36" t="n">
        <v>5.896</v>
      </c>
      <c r="E127" s="42" t="n">
        <v>1</v>
      </c>
      <c r="F127" s="38" t="inlineStr">
        <is>
          <t>MURO</t>
        </is>
      </c>
      <c r="G127" s="35" t="inlineStr">
        <is>
          <t>CONTINUO</t>
        </is>
      </c>
      <c r="H127" s="39" t="inlineStr">
        <is>
          <t>F80032</t>
        </is>
      </c>
      <c r="I127" s="39" t="inlineStr"/>
    </row>
    <row r="128">
      <c r="B128" s="37" t="inlineStr">
        <is>
          <t>F80025 N+6.00</t>
        </is>
      </c>
      <c r="C128" s="41" t="inlineStr">
        <is>
          <t>derecho</t>
        </is>
      </c>
      <c r="D128" s="36" t="n">
        <v>5.896</v>
      </c>
      <c r="E128" s="42" t="n">
        <v>1</v>
      </c>
      <c r="F128" s="38" t="inlineStr">
        <is>
          <t>MURO</t>
        </is>
      </c>
      <c r="G128" s="35" t="inlineStr">
        <is>
          <t>DISCONTINUO</t>
        </is>
      </c>
      <c r="H128" s="39" t="inlineStr"/>
      <c r="I128" s="39" t="inlineStr"/>
    </row>
    <row r="129">
      <c r="B129" s="34" t="inlineStr">
        <is>
          <t>F80026 N+6.00</t>
        </is>
      </c>
      <c r="C129" s="41" t="inlineStr">
        <is>
          <t>inferior</t>
        </is>
      </c>
      <c r="D129" s="36" t="n">
        <v>3.028</v>
      </c>
      <c r="E129" s="42" t="n">
        <v>1</v>
      </c>
      <c r="F129" s="38" t="inlineStr">
        <is>
          <t>MURO</t>
        </is>
      </c>
      <c r="G129" s="35" t="inlineStr">
        <is>
          <t>CONTINUO</t>
        </is>
      </c>
      <c r="H129" s="39" t="inlineStr">
        <is>
          <t>F80025</t>
        </is>
      </c>
      <c r="I129" s="39" t="inlineStr"/>
    </row>
    <row r="130">
      <c r="B130" s="37" t="inlineStr">
        <is>
          <t>F80026 N+6.00</t>
        </is>
      </c>
      <c r="C130" s="41" t="inlineStr">
        <is>
          <t>superior</t>
        </is>
      </c>
      <c r="D130" s="36" t="n">
        <v>3.028</v>
      </c>
      <c r="E130" s="42" t="n">
        <v>0.013</v>
      </c>
      <c r="F130" s="38" t="inlineStr">
        <is>
          <t>NERV. PRINCIPAL NP-31</t>
        </is>
      </c>
      <c r="G130" s="35" t="inlineStr">
        <is>
          <t>DISCONTINUO</t>
        </is>
      </c>
      <c r="H130" s="39" t="inlineStr"/>
      <c r="I130" s="39" t="inlineStr">
        <is>
          <t>Hueco 0.30 m (tragaluz), Hueco/tragaluz (F80028)</t>
        </is>
      </c>
    </row>
    <row r="131">
      <c r="B131" s="37" t="inlineStr">
        <is>
          <t>F80026 N+6.00</t>
        </is>
      </c>
      <c r="C131" s="41" t="inlineStr">
        <is>
          <t>izquierdo</t>
        </is>
      </c>
      <c r="D131" s="36" t="n">
        <v>0.851</v>
      </c>
      <c r="E131" s="42" t="n">
        <v>1</v>
      </c>
      <c r="F131" s="38" t="inlineStr">
        <is>
          <t>MURO</t>
        </is>
      </c>
      <c r="G131" s="35" t="inlineStr">
        <is>
          <t>CONTINUO</t>
        </is>
      </c>
      <c r="H131" s="39" t="inlineStr">
        <is>
          <t>F80032</t>
        </is>
      </c>
      <c r="I131" s="39" t="inlineStr"/>
    </row>
    <row r="132">
      <c r="B132" s="37" t="inlineStr">
        <is>
          <t>F80026 N+6.00</t>
        </is>
      </c>
      <c r="C132" s="41" t="inlineStr">
        <is>
          <t>derecho</t>
        </is>
      </c>
      <c r="D132" s="36" t="n">
        <v>0.851</v>
      </c>
      <c r="E132" s="42" t="n">
        <v>1</v>
      </c>
      <c r="F132" s="38" t="inlineStr">
        <is>
          <t>MURO</t>
        </is>
      </c>
      <c r="G132" s="35" t="inlineStr">
        <is>
          <t>DISCONTINUO</t>
        </is>
      </c>
      <c r="H132" s="39" t="inlineStr"/>
      <c r="I132" s="39" t="inlineStr"/>
    </row>
    <row r="133">
      <c r="B133" s="34" t="inlineStr">
        <is>
          <t>F80027 N+6.00</t>
        </is>
      </c>
      <c r="C133" s="41" t="inlineStr">
        <is>
          <t>inferior</t>
        </is>
      </c>
      <c r="D133" s="36" t="n">
        <v>3.029</v>
      </c>
      <c r="E133" s="42" t="n">
        <v>1</v>
      </c>
      <c r="F133" s="38" t="inlineStr">
        <is>
          <t>MURO</t>
        </is>
      </c>
      <c r="G133" s="35" t="inlineStr">
        <is>
          <t>CONTINUO</t>
        </is>
      </c>
      <c r="H133" s="39" t="inlineStr">
        <is>
          <t>F80010</t>
        </is>
      </c>
      <c r="I133" s="39" t="inlineStr"/>
    </row>
    <row r="134">
      <c r="B134" s="37" t="inlineStr">
        <is>
          <t>F80027 N+6.00</t>
        </is>
      </c>
      <c r="C134" s="41" t="inlineStr">
        <is>
          <t>superior</t>
        </is>
      </c>
      <c r="D134" s="36" t="n">
        <v>3.029</v>
      </c>
      <c r="E134" s="42" t="n">
        <v>0.013</v>
      </c>
      <c r="F134" s="38" t="inlineStr">
        <is>
          <t>NERV. PRINCIPAL NP-32</t>
        </is>
      </c>
      <c r="G134" s="35" t="inlineStr">
        <is>
          <t>DISCONTINUO</t>
        </is>
      </c>
      <c r="H134" s="39" t="inlineStr"/>
      <c r="I134" s="39" t="inlineStr">
        <is>
          <t>Hueco 0.30 m (tragaluz), Hueco/tragaluz (F80029)</t>
        </is>
      </c>
    </row>
    <row r="135">
      <c r="B135" s="37" t="inlineStr">
        <is>
          <t>F80027 N+6.00</t>
        </is>
      </c>
      <c r="C135" s="41" t="inlineStr">
        <is>
          <t>izquierdo</t>
        </is>
      </c>
      <c r="D135" s="36" t="n">
        <v>1.151</v>
      </c>
      <c r="E135" s="42" t="n">
        <v>1</v>
      </c>
      <c r="F135" s="38" t="inlineStr">
        <is>
          <t>MURO</t>
        </is>
      </c>
      <c r="G135" s="35" t="inlineStr">
        <is>
          <t>DISCONTINUO</t>
        </is>
      </c>
      <c r="H135" s="39" t="inlineStr"/>
      <c r="I135" s="39" t="inlineStr"/>
    </row>
    <row r="136">
      <c r="B136" s="37" t="inlineStr">
        <is>
          <t>F80027 N+6.00</t>
        </is>
      </c>
      <c r="C136" s="41" t="inlineStr">
        <is>
          <t>derecho</t>
        </is>
      </c>
      <c r="D136" s="36" t="n">
        <v>1.151</v>
      </c>
      <c r="E136" s="42" t="n">
        <v>1</v>
      </c>
      <c r="F136" s="38" t="inlineStr">
        <is>
          <t>MURO</t>
        </is>
      </c>
      <c r="G136" s="35" t="inlineStr">
        <is>
          <t>CONTINUO</t>
        </is>
      </c>
      <c r="H136" s="39" t="inlineStr">
        <is>
          <t>F80032</t>
        </is>
      </c>
      <c r="I136" s="39" t="inlineStr"/>
    </row>
    <row r="137">
      <c r="B137" s="34" t="inlineStr">
        <is>
          <t>F80028 N+6.00</t>
        </is>
      </c>
      <c r="C137" s="41" t="inlineStr">
        <is>
          <t>inferior</t>
        </is>
      </c>
      <c r="D137" s="36" t="n">
        <v>3.028</v>
      </c>
      <c r="E137" s="42" t="n">
        <v>0.013</v>
      </c>
      <c r="F137" s="38" t="inlineStr">
        <is>
          <t>NERV. PRINCIPAL NP-31</t>
        </is>
      </c>
      <c r="G137" s="35" t="inlineStr">
        <is>
          <t>CONTINUO</t>
        </is>
      </c>
      <c r="H137" s="39" t="inlineStr">
        <is>
          <t>F80026</t>
        </is>
      </c>
      <c r="I137" s="39" t="inlineStr">
        <is>
          <t>Hueco 0.30 m (tragaluz)</t>
        </is>
      </c>
    </row>
    <row r="138">
      <c r="B138" s="37" t="inlineStr">
        <is>
          <t>F80028 N+6.00</t>
        </is>
      </c>
      <c r="C138" s="41" t="inlineStr">
        <is>
          <t>superior</t>
        </is>
      </c>
      <c r="D138" s="36" t="n">
        <v>3.028</v>
      </c>
      <c r="E138" s="42" t="n">
        <v>1</v>
      </c>
      <c r="F138" s="38" t="inlineStr">
        <is>
          <t>MURO</t>
        </is>
      </c>
      <c r="G138" s="35" t="inlineStr">
        <is>
          <t>CONTINUO</t>
        </is>
      </c>
      <c r="H138" s="39" t="inlineStr">
        <is>
          <t>F80031</t>
        </is>
      </c>
      <c r="I138" s="39" t="inlineStr">
        <is>
          <t>Hueco 0.30 m (tragaluz)</t>
        </is>
      </c>
    </row>
    <row r="139">
      <c r="B139" s="37" t="inlineStr">
        <is>
          <t>F80028 N+6.00</t>
        </is>
      </c>
      <c r="C139" s="41" t="inlineStr">
        <is>
          <t>izquierdo</t>
        </is>
      </c>
      <c r="D139" s="36" t="n">
        <v>0.749</v>
      </c>
      <c r="E139" s="42" t="n">
        <v>1</v>
      </c>
      <c r="F139" s="38" t="inlineStr">
        <is>
          <t>MURO</t>
        </is>
      </c>
      <c r="G139" s="35" t="inlineStr">
        <is>
          <t>CONTINUO</t>
        </is>
      </c>
      <c r="H139" s="39" t="inlineStr">
        <is>
          <t>F80032</t>
        </is>
      </c>
      <c r="I139" s="39" t="inlineStr"/>
    </row>
    <row r="140">
      <c r="B140" s="37" t="inlineStr">
        <is>
          <t>F80028 N+6.00</t>
        </is>
      </c>
      <c r="C140" s="41" t="inlineStr">
        <is>
          <t>derecho</t>
        </is>
      </c>
      <c r="D140" s="36" t="n">
        <v>0.749</v>
      </c>
      <c r="E140" s="42" t="n">
        <v>1</v>
      </c>
      <c r="F140" s="38" t="inlineStr">
        <is>
          <t>MURO</t>
        </is>
      </c>
      <c r="G140" s="35" t="inlineStr">
        <is>
          <t>DISCONTINUO</t>
        </is>
      </c>
      <c r="H140" s="39" t="inlineStr"/>
      <c r="I140" s="39" t="inlineStr">
        <is>
          <t>Hueco 0.30 m (tragaluz)</t>
        </is>
      </c>
    </row>
    <row r="141">
      <c r="B141" s="34" t="inlineStr">
        <is>
          <t>F80029 N+6.00</t>
        </is>
      </c>
      <c r="C141" s="41" t="inlineStr">
        <is>
          <t>inferior</t>
        </is>
      </c>
      <c r="D141" s="36" t="n">
        <v>3.029</v>
      </c>
      <c r="E141" s="42" t="n">
        <v>0.013</v>
      </c>
      <c r="F141" s="38" t="inlineStr">
        <is>
          <t>NERV. PRINCIPAL NP-32</t>
        </is>
      </c>
      <c r="G141" s="35" t="inlineStr">
        <is>
          <t>CONTINUO</t>
        </is>
      </c>
      <c r="H141" s="39" t="inlineStr">
        <is>
          <t>F80027</t>
        </is>
      </c>
      <c r="I141" s="39" t="inlineStr">
        <is>
          <t>Hueco 0.30 m (tragaluz)</t>
        </is>
      </c>
    </row>
    <row r="142">
      <c r="B142" s="37" t="inlineStr">
        <is>
          <t>F80029 N+6.00</t>
        </is>
      </c>
      <c r="C142" s="41" t="inlineStr">
        <is>
          <t>superior</t>
        </is>
      </c>
      <c r="D142" s="36" t="n">
        <v>3.029</v>
      </c>
      <c r="E142" s="42" t="n">
        <v>1</v>
      </c>
      <c r="F142" s="38" t="inlineStr">
        <is>
          <t>MURO</t>
        </is>
      </c>
      <c r="G142" s="35" t="inlineStr">
        <is>
          <t>CONTINUO</t>
        </is>
      </c>
      <c r="H142" s="39" t="inlineStr">
        <is>
          <t>F80030</t>
        </is>
      </c>
      <c r="I142" s="39" t="inlineStr">
        <is>
          <t>Hueco 0.30 m (tragaluz)</t>
        </is>
      </c>
    </row>
    <row r="143">
      <c r="B143" s="37" t="inlineStr">
        <is>
          <t>F80029 N+6.00</t>
        </is>
      </c>
      <c r="C143" s="41" t="inlineStr">
        <is>
          <t>izquierdo</t>
        </is>
      </c>
      <c r="D143" s="36" t="n">
        <v>0.449</v>
      </c>
      <c r="E143" s="42" t="n">
        <v>1</v>
      </c>
      <c r="F143" s="38" t="inlineStr">
        <is>
          <t>MURO</t>
        </is>
      </c>
      <c r="G143" s="35" t="inlineStr">
        <is>
          <t>DISCONTINUO</t>
        </is>
      </c>
      <c r="H143" s="39" t="inlineStr"/>
      <c r="I143" s="39" t="inlineStr">
        <is>
          <t>Hueco 0.30 m (tragaluz)</t>
        </is>
      </c>
    </row>
    <row r="144">
      <c r="B144" s="37" t="inlineStr">
        <is>
          <t>F80029 N+6.00</t>
        </is>
      </c>
      <c r="C144" s="41" t="inlineStr">
        <is>
          <t>derecho</t>
        </is>
      </c>
      <c r="D144" s="36" t="n">
        <v>0.449</v>
      </c>
      <c r="E144" s="42" t="n">
        <v>1</v>
      </c>
      <c r="F144" s="38" t="inlineStr">
        <is>
          <t>MURO</t>
        </is>
      </c>
      <c r="G144" s="35" t="inlineStr">
        <is>
          <t>CONTINUO</t>
        </is>
      </c>
      <c r="H144" s="39" t="inlineStr">
        <is>
          <t>F80032</t>
        </is>
      </c>
      <c r="I144" s="39" t="inlineStr"/>
    </row>
    <row r="145">
      <c r="B145" s="34" t="inlineStr">
        <is>
          <t>F80030 N+6.00</t>
        </is>
      </c>
      <c r="C145" s="41" t="inlineStr">
        <is>
          <t>inferior</t>
        </is>
      </c>
      <c r="D145" s="36" t="n">
        <v>4.426</v>
      </c>
      <c r="E145" s="42" t="n">
        <v>1</v>
      </c>
      <c r="F145" s="38" t="inlineStr">
        <is>
          <t>MURO</t>
        </is>
      </c>
      <c r="G145" s="35" t="inlineStr">
        <is>
          <t>DISCONTINUO</t>
        </is>
      </c>
      <c r="H145" s="39" t="inlineStr">
        <is>
          <t>F80032</t>
        </is>
      </c>
      <c r="I145" s="39" t="inlineStr">
        <is>
          <t>Hueco 0.30 m (tragaluz), Hueco/tragaluz (F80029)</t>
        </is>
      </c>
    </row>
    <row r="146">
      <c r="B146" s="37" t="inlineStr">
        <is>
          <t>F80030 N+6.00</t>
        </is>
      </c>
      <c r="C146" s="41" t="inlineStr">
        <is>
          <t>superior</t>
        </is>
      </c>
      <c r="D146" s="36" t="n">
        <v>4.426</v>
      </c>
      <c r="E146" s="42" t="n">
        <v>1</v>
      </c>
      <c r="F146" s="38" t="inlineStr">
        <is>
          <t>MURO</t>
        </is>
      </c>
      <c r="G146" s="35" t="inlineStr">
        <is>
          <t>DISCONTINUO</t>
        </is>
      </c>
      <c r="H146" s="39" t="inlineStr"/>
      <c r="I146" s="39" t="inlineStr"/>
    </row>
    <row r="147">
      <c r="B147" s="37" t="inlineStr">
        <is>
          <t>F80030 N+6.00</t>
        </is>
      </c>
      <c r="C147" s="41" t="inlineStr">
        <is>
          <t>izquierdo</t>
        </is>
      </c>
      <c r="D147" s="36" t="n">
        <v>4</v>
      </c>
      <c r="E147" s="42" t="n">
        <v>1</v>
      </c>
      <c r="F147" s="38" t="inlineStr">
        <is>
          <t>MURO</t>
        </is>
      </c>
      <c r="G147" s="35" t="inlineStr">
        <is>
          <t>DISCONTINUO</t>
        </is>
      </c>
      <c r="H147" s="39" t="inlineStr"/>
      <c r="I147" s="39" t="inlineStr"/>
    </row>
    <row r="148">
      <c r="B148" s="37" t="inlineStr">
        <is>
          <t>F80030 N+6.00</t>
        </is>
      </c>
      <c r="C148" s="41" t="inlineStr">
        <is>
          <t>derecho</t>
        </is>
      </c>
      <c r="D148" s="36" t="n">
        <v>4</v>
      </c>
      <c r="E148" s="42" t="n">
        <v>1</v>
      </c>
      <c r="F148" s="38" t="inlineStr">
        <is>
          <t>MURO</t>
        </is>
      </c>
      <c r="G148" s="35" t="inlineStr">
        <is>
          <t>CONTINUO</t>
        </is>
      </c>
      <c r="H148" s="39" t="inlineStr">
        <is>
          <t>F80031</t>
        </is>
      </c>
      <c r="I148" s="39" t="inlineStr"/>
    </row>
    <row r="149">
      <c r="B149" s="34" t="inlineStr">
        <is>
          <t>F80031 N+6.00</t>
        </is>
      </c>
      <c r="C149" s="41" t="inlineStr">
        <is>
          <t>inferior</t>
        </is>
      </c>
      <c r="D149" s="36" t="n">
        <v>4.424</v>
      </c>
      <c r="E149" s="42" t="n">
        <v>1</v>
      </c>
      <c r="F149" s="38" t="inlineStr">
        <is>
          <t>MURO</t>
        </is>
      </c>
      <c r="G149" s="35" t="inlineStr">
        <is>
          <t>DISCONTINUO</t>
        </is>
      </c>
      <c r="H149" s="39" t="inlineStr">
        <is>
          <t>F80032</t>
        </is>
      </c>
      <c r="I149" s="39" t="inlineStr">
        <is>
          <t>Hueco 0.30 m (tragaluz), Hueco/tragaluz (F80028)</t>
        </is>
      </c>
    </row>
    <row r="150">
      <c r="B150" s="37" t="inlineStr">
        <is>
          <t>F80031 N+6.00</t>
        </is>
      </c>
      <c r="C150" s="41" t="inlineStr">
        <is>
          <t>superior</t>
        </is>
      </c>
      <c r="D150" s="36" t="n">
        <v>4.424</v>
      </c>
      <c r="E150" s="42" t="n">
        <v>1</v>
      </c>
      <c r="F150" s="38" t="inlineStr">
        <is>
          <t>MURO</t>
        </is>
      </c>
      <c r="G150" s="35" t="inlineStr">
        <is>
          <t>DISCONTINUO</t>
        </is>
      </c>
      <c r="H150" s="39" t="inlineStr"/>
      <c r="I150" s="39" t="inlineStr"/>
    </row>
    <row r="151">
      <c r="B151" s="37" t="inlineStr">
        <is>
          <t>F80031 N+6.00</t>
        </is>
      </c>
      <c r="C151" s="41" t="inlineStr">
        <is>
          <t>izquierdo</t>
        </is>
      </c>
      <c r="D151" s="36" t="n">
        <v>4</v>
      </c>
      <c r="E151" s="42" t="n">
        <v>1</v>
      </c>
      <c r="F151" s="38" t="inlineStr">
        <is>
          <t>MURO</t>
        </is>
      </c>
      <c r="G151" s="35" t="inlineStr">
        <is>
          <t>CONTINUO</t>
        </is>
      </c>
      <c r="H151" s="39" t="inlineStr">
        <is>
          <t>F80030</t>
        </is>
      </c>
      <c r="I151" s="39" t="inlineStr"/>
    </row>
    <row r="152">
      <c r="B152" s="37" t="inlineStr">
        <is>
          <t>F80031 N+6.00</t>
        </is>
      </c>
      <c r="C152" s="41" t="inlineStr">
        <is>
          <t>derecho</t>
        </is>
      </c>
      <c r="D152" s="36" t="n">
        <v>4</v>
      </c>
      <c r="E152" s="42" t="n">
        <v>1</v>
      </c>
      <c r="F152" s="38" t="inlineStr">
        <is>
          <t>MURO</t>
        </is>
      </c>
      <c r="G152" s="35" t="inlineStr">
        <is>
          <t>DISCONTINUO</t>
        </is>
      </c>
      <c r="H152" s="39" t="inlineStr"/>
      <c r="I152" s="39" t="inlineStr"/>
    </row>
    <row r="153">
      <c r="B153" s="34" t="inlineStr">
        <is>
          <t>F80032 N+6.00</t>
        </is>
      </c>
      <c r="C153" s="41" t="inlineStr">
        <is>
          <t>inferior</t>
        </is>
      </c>
      <c r="D153" s="36" t="n">
        <v>2.894</v>
      </c>
      <c r="E153" s="42" t="n">
        <v>0.5580000000000001</v>
      </c>
      <c r="F153" s="38" t="inlineStr">
        <is>
          <t>MURO / vacío del pergolado</t>
        </is>
      </c>
      <c r="G153" s="35" t="inlineStr">
        <is>
          <t>DISCONTINUO</t>
        </is>
      </c>
      <c r="H153" s="39" t="inlineStr">
        <is>
          <t>F80023, F80024</t>
        </is>
      </c>
      <c r="I153" s="39" t="inlineStr"/>
    </row>
    <row r="154">
      <c r="B154" s="37" t="inlineStr">
        <is>
          <t>F80032 N+6.00</t>
        </is>
      </c>
      <c r="C154" s="41" t="inlineStr">
        <is>
          <t>superior</t>
        </is>
      </c>
      <c r="D154" s="36" t="n">
        <v>2.894</v>
      </c>
      <c r="E154" s="42" t="n">
        <v>1</v>
      </c>
      <c r="F154" s="38" t="inlineStr">
        <is>
          <t>MURO</t>
        </is>
      </c>
      <c r="G154" s="35" t="inlineStr">
        <is>
          <t>CONTINUO</t>
        </is>
      </c>
      <c r="H154" s="39" t="inlineStr">
        <is>
          <t>F80030, F80031</t>
        </is>
      </c>
      <c r="I154" s="39" t="inlineStr">
        <is>
          <t>Hueco/tragaluz (F80028)</t>
        </is>
      </c>
    </row>
    <row r="155">
      <c r="B155" s="37" t="inlineStr">
        <is>
          <t>F80032 N+6.00</t>
        </is>
      </c>
      <c r="C155" s="41" t="inlineStr">
        <is>
          <t>izquierdo</t>
        </is>
      </c>
      <c r="D155" s="36" t="n">
        <v>11.5</v>
      </c>
      <c r="E155" s="42" t="n">
        <v>0.148</v>
      </c>
      <c r="F155" s="38" t="inlineStr">
        <is>
          <t>MURO</t>
        </is>
      </c>
      <c r="G155" s="35" t="inlineStr">
        <is>
          <t>CONTINUO</t>
        </is>
      </c>
      <c r="H155" s="39" t="inlineStr">
        <is>
          <t>F80024, F80027, F80010</t>
        </is>
      </c>
      <c r="I155" s="39" t="inlineStr">
        <is>
          <t>Pergolado sobre doble altura (vigas VP-15x40 @0.75 + cristal), Hueco/tragaluz (F80029)</t>
        </is>
      </c>
    </row>
    <row r="156">
      <c r="B156" s="37" t="inlineStr">
        <is>
          <t>F80032 N+6.00</t>
        </is>
      </c>
      <c r="C156" s="41" t="inlineStr">
        <is>
          <t>derecho</t>
        </is>
      </c>
      <c r="D156" s="36" t="n">
        <v>11.5</v>
      </c>
      <c r="E156" s="42" t="n">
        <v>0.098</v>
      </c>
      <c r="F156" s="38" t="inlineStr">
        <is>
          <t>MURO</t>
        </is>
      </c>
      <c r="G156" s="35" t="inlineStr">
        <is>
          <t>CONTINUO</t>
        </is>
      </c>
      <c r="H156" s="39" t="inlineStr">
        <is>
          <t>F80025, F80026</t>
        </is>
      </c>
      <c r="I156" s="39" t="inlineStr">
        <is>
          <t>Vacío sobre escalera, Hueco 0.30 m (tragaluz), Hueco/tragaluz (F80028)</t>
        </is>
      </c>
    </row>
    <row r="157" ht="6" customHeight="1"/>
    <row r="158" ht="21" customHeight="1">
      <c r="B158" s="5" t="inlineStr">
        <is>
          <t>D. VACÍOS Y HUECOS</t>
        </is>
      </c>
    </row>
    <row r="159">
      <c r="B159" s="8" t="inlineStr">
        <is>
          <t>Vacío / hueco</t>
        </is>
      </c>
      <c r="C159" s="8" t="inlineStr">
        <is>
          <t>Nivel</t>
        </is>
      </c>
      <c r="D159" s="8" t="inlineStr">
        <is>
          <t>Ancho X (m)</t>
        </is>
      </c>
      <c r="E159" s="8" t="inlineStr">
        <is>
          <t>Largo Y (m)</t>
        </is>
      </c>
      <c r="F159" s="8" t="inlineStr">
        <is>
          <t>x de – a (m)</t>
        </is>
      </c>
      <c r="G159" s="8" t="inlineStr">
        <is>
          <t>y de – a (m)</t>
        </is>
      </c>
      <c r="H159" s="8" t="inlineStr">
        <is>
          <t>Área (m²)</t>
        </is>
      </c>
      <c r="I159" s="8" t="inlineStr">
        <is>
          <t>Fuente</t>
        </is>
      </c>
    </row>
    <row r="160" ht="30" customHeight="1">
      <c r="B160" s="38" t="inlineStr">
        <is>
          <t>Vacío doble altura (sala)</t>
        </is>
      </c>
      <c r="C160" s="41" t="inlineStr">
        <is>
          <t>N+3.00</t>
        </is>
      </c>
      <c r="D160" s="43" t="n">
        <v>4.172</v>
      </c>
      <c r="E160" s="43" t="n">
        <v>6</v>
      </c>
      <c r="F160" s="41" t="inlineStr">
        <is>
          <t>0.075 – 4.247</t>
        </is>
      </c>
      <c r="G160" s="41" t="inlineStr">
        <is>
          <t>7.946 – 13.946</t>
        </is>
      </c>
      <c r="H160" s="43" t="n">
        <v>25.03</v>
      </c>
      <c r="I160" s="13" t="inlineStr">
        <is>
          <t>001_PLANO_CROCHA_R3.0.dxf capa 004_Vacios, PLANTA PRIMER NIVEL</t>
        </is>
      </c>
    </row>
    <row r="161" ht="30" customHeight="1">
      <c r="B161" s="38" t="inlineStr">
        <is>
          <t>Escalera curva (cubo)</t>
        </is>
      </c>
      <c r="C161" s="41" t="inlineStr">
        <is>
          <t>N+3.00</t>
        </is>
      </c>
      <c r="D161" s="43" t="n">
        <v>3.428</v>
      </c>
      <c r="E161" s="43" t="n">
        <v>3.001999999999999</v>
      </c>
      <c r="F161" s="41" t="inlineStr">
        <is>
          <t>5.422 – 8.850</t>
        </is>
      </c>
      <c r="G161" s="41" t="inlineStr">
        <is>
          <t>6.948 – 9.950</t>
        </is>
      </c>
      <c r="H161" s="43" t="n">
        <v>8.27</v>
      </c>
      <c r="I161" s="13" t="inlineStr">
        <is>
          <t>001_PLANO_CROCHA_R3.0.dxf capa 005_Escalera; hueco sin tablero en el E2K</t>
        </is>
      </c>
    </row>
    <row r="162" ht="30" customHeight="1">
      <c r="B162" s="38" t="inlineStr">
        <is>
          <t>Pergolado sobre doble altura (vigas VP-15x40 @0.75 + cristal)</t>
        </is>
      </c>
      <c r="C162" s="41" t="inlineStr">
        <is>
          <t>N+6.00</t>
        </is>
      </c>
      <c r="D162" s="43" t="n">
        <v>4.351999999999999</v>
      </c>
      <c r="E162" s="43" t="n">
        <v>6</v>
      </c>
      <c r="F162" s="41" t="inlineStr">
        <is>
          <t>0.075 – 4.427</t>
        </is>
      </c>
      <c r="G162" s="41" t="inlineStr">
        <is>
          <t>7.946 – 13.946</t>
        </is>
      </c>
      <c r="H162" s="43" t="n">
        <v>26.11</v>
      </c>
      <c r="I162" s="13" t="inlineStr">
        <is>
          <t>001_PLANO_CROCHA_R3.0.dxf capa 004_Vacios, PLANTA DE AZOTEA; E2K vigas VP-15x40</t>
        </is>
      </c>
    </row>
    <row r="163" ht="30" customHeight="1">
      <c r="B163" s="38" t="inlineStr">
        <is>
          <t>Vacío sobre escalera</t>
        </is>
      </c>
      <c r="C163" s="41" t="inlineStr">
        <is>
          <t>N+6.00</t>
        </is>
      </c>
      <c r="D163" s="43" t="n">
        <v>2.777</v>
      </c>
      <c r="E163" s="43" t="n">
        <v>2.852</v>
      </c>
      <c r="F163" s="41" t="inlineStr">
        <is>
          <t>5.998 – 8.775</t>
        </is>
      </c>
      <c r="G163" s="41" t="inlineStr">
        <is>
          <t>7.023 – 9.875</t>
        </is>
      </c>
      <c r="H163" s="43" t="n">
        <v>7.92</v>
      </c>
      <c r="I163" s="13" t="inlineStr">
        <is>
          <t>001_PLANO_CROCHA_R3.0.dxf capa 004_Vacios, PLANTA DE AZOTEA</t>
        </is>
      </c>
    </row>
    <row r="164" ht="30" customHeight="1">
      <c r="B164" s="38" t="inlineStr">
        <is>
          <t>Hueco 0.30 m (tragaluz)</t>
        </is>
      </c>
      <c r="C164" s="41" t="inlineStr">
        <is>
          <t>N+6.00</t>
        </is>
      </c>
      <c r="D164" s="43" t="n">
        <v>2.777</v>
      </c>
      <c r="E164" s="43" t="n">
        <v>0.3000000000000007</v>
      </c>
      <c r="F164" s="41" t="inlineStr">
        <is>
          <t>5.998 – 8.775</t>
        </is>
      </c>
      <c r="G164" s="41" t="inlineStr">
        <is>
          <t>17.072 – 17.372</t>
        </is>
      </c>
      <c r="H164" s="43" t="n">
        <v>0.83</v>
      </c>
      <c r="I164" s="13" t="inlineStr">
        <is>
          <t>AREAS_TRIBUTARIAS_R3.2.dxf capa TRIB_HUECO / E2K áreas A1-A3</t>
        </is>
      </c>
    </row>
    <row r="165" ht="30" customHeight="1">
      <c r="B165" s="38" t="inlineStr">
        <is>
          <t>Hueco 0.30 m (tragaluz)</t>
        </is>
      </c>
      <c r="C165" s="41" t="inlineStr">
        <is>
          <t>N+6.00</t>
        </is>
      </c>
      <c r="D165" s="43" t="n">
        <v>2.777</v>
      </c>
      <c r="E165" s="43" t="n">
        <v>0.3000000000000007</v>
      </c>
      <c r="F165" s="41" t="inlineStr">
        <is>
          <t>5.998 – 8.775</t>
        </is>
      </c>
      <c r="G165" s="41" t="inlineStr">
        <is>
          <t>16.772 – 17.072</t>
        </is>
      </c>
      <c r="H165" s="43" t="n">
        <v>0.83</v>
      </c>
      <c r="I165" s="13" t="inlineStr">
        <is>
          <t>AREAS_TRIBUTARIAS_R3.2.dxf capa TRIB_HUECO / E2K áreas A1-A3</t>
        </is>
      </c>
    </row>
    <row r="166" ht="30" customHeight="1">
      <c r="B166" s="38" t="inlineStr">
        <is>
          <t>Hueco 0.30 m (tragaluz)</t>
        </is>
      </c>
      <c r="C166" s="41" t="inlineStr">
        <is>
          <t>N+6.00</t>
        </is>
      </c>
      <c r="D166" s="43" t="n">
        <v>2.775</v>
      </c>
      <c r="E166" s="43" t="n">
        <v>0.3000000000000007</v>
      </c>
      <c r="F166" s="41" t="inlineStr">
        <is>
          <t>0.075 – 2.850</t>
        </is>
      </c>
      <c r="G166" s="41" t="inlineStr">
        <is>
          <t>17.072 – 17.372</t>
        </is>
      </c>
      <c r="H166" s="43" t="n">
        <v>0.83</v>
      </c>
      <c r="I166" s="13" t="inlineStr">
        <is>
          <t>AREAS_TRIBUTARIAS_R3.2.dxf capa TRIB_HUECO / E2K áreas A1-A3</t>
        </is>
      </c>
    </row>
    <row r="167" ht="6" customHeight="1"/>
    <row r="168" ht="21" customHeight="1">
      <c r="B168" s="5" t="inlineStr">
        <is>
          <t>E. CÓMO QUEDA SI NO SE BAJA NINGÚN CASTILLO (TAL CUAL EL E2K)</t>
        </is>
      </c>
    </row>
    <row r="169" ht="30" customHeight="1">
      <c r="B169" s="6" t="inlineStr">
        <is>
          <t>Tramos de nervadura principal del N+3.00 que en el modelo actual no tienen apoyo en uno o los dos extremos. Esto es lo que motiva la lista B.</t>
        </is>
      </c>
      <c r="C169" s="7" t="n"/>
      <c r="D169" s="7" t="n"/>
      <c r="E169" s="7" t="n"/>
      <c r="F169" s="7" t="n"/>
      <c r="G169" s="7" t="n"/>
      <c r="H169" s="7" t="n"/>
      <c r="I169" s="7" t="n"/>
    </row>
    <row r="170" ht="15" customHeight="1">
      <c r="B170" s="32" t="inlineStr">
        <is>
          <t>• y = 1.919, de x = 0.000 a 4.327 (4.33 m): VOLADO en el modelo.</t>
        </is>
      </c>
    </row>
    <row r="171" ht="15" customHeight="1">
      <c r="B171" s="32" t="inlineStr">
        <is>
          <t>• y = 2.921, de x = 0.000 a 5.923 (5.92 m): VOLADO en el modelo.</t>
        </is>
      </c>
    </row>
    <row r="172" ht="15" customHeight="1">
      <c r="B172" s="32" t="inlineStr">
        <is>
          <t>• y = 8.910, de x = 5.460 a 7.350 (1.89 m): SIN APOYO en ninguno de sus extremos en el modelo.</t>
        </is>
      </c>
    </row>
    <row r="173" ht="15" customHeight="1">
      <c r="B173" s="32" t="inlineStr">
        <is>
          <t>• y = 9.950, de x = 5.422 a 8.144 (2.72 m): VOLADO en el modelo.</t>
        </is>
      </c>
    </row>
    <row r="174" ht="15" customHeight="1">
      <c r="B174" s="32" t="inlineStr">
        <is>
          <t>• y = 14.021, de x = 0.000 a 4.327 (4.33 m): VOLADO en el modelo.</t>
        </is>
      </c>
    </row>
    <row r="175" ht="15" customHeight="1">
      <c r="B175" s="32" t="inlineStr">
        <is>
          <t>• y = 14.247, de x = 6.247 a 8.850 (2.60 m): VOLADO en el modelo.</t>
        </is>
      </c>
    </row>
    <row r="176" ht="15" customHeight="1">
      <c r="B176" s="32" t="inlineStr">
        <is>
          <t>• y = 15.846, de x = 0.000 a 3.427 (3.43 m): VOLADO en el modelo.</t>
        </is>
      </c>
    </row>
    <row r="177" ht="15" customHeight="1">
      <c r="B177" s="32" t="inlineStr">
        <is>
          <t>• y = 15.846, de x = 5.422 a 8.850 (3.43 m): VOLADO en el modelo.</t>
        </is>
      </c>
    </row>
    <row r="178" ht="15" customHeight="1">
      <c r="B178" s="32" t="inlineStr">
        <is>
          <t>• x = 3.427, de y = 14.021 a 15.846 (1.82 m): VOLADO en el modelo.</t>
        </is>
      </c>
    </row>
    <row r="179" ht="15" customHeight="1">
      <c r="B179" s="32" t="inlineStr">
        <is>
          <t>• x = 4.327, de y = 1.919 a 5.946 (4.03 m): VOLADO en el modelo.</t>
        </is>
      </c>
    </row>
    <row r="180" ht="15" customHeight="1">
      <c r="B180" s="32" t="inlineStr">
        <is>
          <t>• x = 4.327, de y = 5.946 a 14.021 (8.07 m): VOLADO en el modelo.</t>
        </is>
      </c>
    </row>
    <row r="181" ht="15" customHeight="1">
      <c r="B181" s="32" t="inlineStr">
        <is>
          <t>• x = 5.441, de y = 6.948 a 8.910 (1.96 m): SIN APOYO en ninguno de sus extremos en el modelo.</t>
        </is>
      </c>
    </row>
    <row r="182" ht="15" customHeight="1">
      <c r="B182" s="32" t="inlineStr">
        <is>
          <t>• x = 5.441, de y = 9.950 a 15.447 (5.50 m): VOLADO en el modelo.</t>
        </is>
      </c>
    </row>
    <row r="183" ht="15" customHeight="1">
      <c r="B183" s="32" t="inlineStr">
        <is>
          <t>• x = 5.923, de y = 2.921 a 5.946 (3.02 m): VOLADO en el modelo.</t>
        </is>
      </c>
    </row>
    <row r="184" ht="15" customHeight="1">
      <c r="B184" s="32" t="inlineStr">
        <is>
          <t>• x = 7.350, de y = 8.910 a 9.950 (1.04 m): VOLADO en el modelo.</t>
        </is>
      </c>
    </row>
    <row r="185" ht="6" customHeight="1"/>
    <row r="186" ht="21" customHeight="1">
      <c r="B186" s="5" t="inlineStr">
        <is>
          <t>F. CASTILLOS DEL PRIMER NIVEL QUE NO BAJAN A PLANTA BAJA (31)</t>
        </is>
      </c>
    </row>
    <row r="187" ht="30" customHeight="1">
      <c r="B187" s="6" t="inlineStr">
        <is>
          <t>Castillos K-15x15 del primer nivel (entrepiso N+6.00 del E2K) que no tienen castillo ni muro abajo: descargan sobre la losa N+3.00. Los marcados como propuestos están en la lista B.</t>
        </is>
      </c>
      <c r="C187" s="7" t="n"/>
      <c r="D187" s="7" t="n"/>
      <c r="E187" s="7" t="n"/>
      <c r="F187" s="7" t="n"/>
      <c r="G187" s="7" t="n"/>
      <c r="H187" s="7" t="n"/>
      <c r="I187" s="7" t="n"/>
    </row>
    <row r="188">
      <c r="B188" s="8" t="inlineStr">
        <is>
          <t>Ubicación</t>
        </is>
      </c>
      <c r="C188" s="8" t="inlineStr">
        <is>
          <t>x (m)</t>
        </is>
      </c>
      <c r="D188" s="8" t="inlineStr">
        <is>
          <t>y (m)</t>
        </is>
      </c>
      <c r="E188" s="8" t="inlineStr">
        <is>
          <t>¿Propuesto?</t>
        </is>
      </c>
      <c r="F188" s="8" t="inlineStr">
        <is>
          <t>Nota</t>
        </is>
      </c>
      <c r="G188" s="8" t="inlineStr"/>
      <c r="H188" s="8" t="inlineStr"/>
      <c r="I188" s="8" t="inlineStr"/>
    </row>
    <row r="189">
      <c r="B189" s="37" t="inlineStr">
        <is>
          <t>x=0.925-3</t>
        </is>
      </c>
      <c r="C189" s="36" t="n">
        <v>0.925</v>
      </c>
      <c r="D189" s="36" t="n">
        <v>2.921</v>
      </c>
      <c r="E189" s="41" t="inlineStr">
        <is>
          <t>—</t>
        </is>
      </c>
      <c r="F189" s="44" t="inlineStr">
        <is>
          <t>Descarga sobre una nervadura principal o un tablero del N+3.00; su carga ya viene en el muro de arriba (wall load) de PRINCIPALES.</t>
        </is>
      </c>
    </row>
    <row r="190">
      <c r="B190" s="37" t="inlineStr">
        <is>
          <t>x=1.514-y=15.846</t>
        </is>
      </c>
      <c r="C190" s="36" t="n">
        <v>1.514</v>
      </c>
      <c r="D190" s="36" t="n">
        <v>15.846</v>
      </c>
      <c r="E190" s="41" t="inlineStr">
        <is>
          <t>—</t>
        </is>
      </c>
      <c r="F190" s="44" t="inlineStr">
        <is>
          <t>Descarga sobre una nervadura principal o un tablero del N+3.00; su carga ya viene en el muro de arriba (wall load) de PRINCIPALES.</t>
        </is>
      </c>
    </row>
    <row r="191">
      <c r="B191" s="37" t="inlineStr">
        <is>
          <t>x=1.714-y=14.021</t>
        </is>
      </c>
      <c r="C191" s="36" t="n">
        <v>1.714</v>
      </c>
      <c r="D191" s="36" t="n">
        <v>14.021</v>
      </c>
      <c r="E191" s="41" t="inlineStr">
        <is>
          <t>—</t>
        </is>
      </c>
      <c r="F191" s="44" t="inlineStr">
        <is>
          <t>Descarga sobre una nervadura principal o un tablero del N+3.00; su carga ya viene en el muro de arriba (wall load) de PRINCIPALES.</t>
        </is>
      </c>
    </row>
    <row r="192">
      <c r="B192" s="37" t="inlineStr">
        <is>
          <t>x=2.129-12</t>
        </is>
      </c>
      <c r="C192" s="36" t="n">
        <v>2.129</v>
      </c>
      <c r="D192" s="36" t="n">
        <v>17.446</v>
      </c>
      <c r="E192" s="41" t="inlineStr">
        <is>
          <t>—</t>
        </is>
      </c>
      <c r="F192" s="44" t="inlineStr">
        <is>
          <t>Descarga sobre una nervadura principal o un tablero del N+3.00; su carga ya viene en el muro de arriba (wall load) de PRINCIPALES.</t>
        </is>
      </c>
    </row>
    <row r="193">
      <c r="B193" s="37" t="inlineStr">
        <is>
          <t>x=2.163-7</t>
        </is>
      </c>
      <c r="C193" s="36" t="n">
        <v>2.163</v>
      </c>
      <c r="D193" s="36" t="n">
        <v>7.871</v>
      </c>
      <c r="E193" s="41" t="inlineStr">
        <is>
          <t>—</t>
        </is>
      </c>
      <c r="F193" s="44" t="inlineStr">
        <is>
          <t>Descarga sobre una nervadura principal o un tablero del N+3.00; su carga ya viene en el muro de arriba (wall load) de PRINCIPALES.</t>
        </is>
      </c>
    </row>
    <row r="194">
      <c r="B194" s="37" t="inlineStr">
        <is>
          <t>x=3.029-y=15.846</t>
        </is>
      </c>
      <c r="C194" s="36" t="n">
        <v>3.029</v>
      </c>
      <c r="D194" s="36" t="n">
        <v>15.846</v>
      </c>
      <c r="E194" s="41" t="inlineStr">
        <is>
          <t>—</t>
        </is>
      </c>
      <c r="F194" s="44" t="inlineStr">
        <is>
          <t>Descarga sobre una nervadura principal o un tablero del N+3.00; su carga ya viene en el muro de arriba (wall load) de PRINCIPALES.</t>
        </is>
      </c>
    </row>
    <row r="195">
      <c r="B195" s="37" t="inlineStr">
        <is>
          <t>x=3.029-12</t>
        </is>
      </c>
      <c r="C195" s="36" t="n">
        <v>3.029</v>
      </c>
      <c r="D195" s="36" t="n">
        <v>17.446</v>
      </c>
      <c r="E195" s="41" t="inlineStr">
        <is>
          <t>—</t>
        </is>
      </c>
      <c r="F195" s="44" t="inlineStr">
        <is>
          <t>Descarga sobre una nervadura principal o un tablero del N+3.00; su carga ya viene en el muro de arriba (wall load) de PRINCIPALES.</t>
        </is>
      </c>
    </row>
    <row r="196">
      <c r="B196" s="37" t="inlineStr">
        <is>
          <t>C-y=14.021</t>
        </is>
      </c>
      <c r="C196" s="36" t="n">
        <v>3.427</v>
      </c>
      <c r="D196" s="36" t="n">
        <v>14.021</v>
      </c>
      <c r="E196" s="41" t="inlineStr">
        <is>
          <t>—</t>
        </is>
      </c>
      <c r="F196" s="44" t="inlineStr">
        <is>
          <t>Descarga sobre una nervadura principal o un tablero del N+3.00; su carga ya viene en el muro de arriba (wall load) de PRINCIPALES.</t>
        </is>
      </c>
    </row>
    <row r="197">
      <c r="B197" s="37" t="inlineStr">
        <is>
          <t>C-y=14.796</t>
        </is>
      </c>
      <c r="C197" s="36" t="n">
        <v>3.427</v>
      </c>
      <c r="D197" s="36" t="n">
        <v>14.796</v>
      </c>
      <c r="E197" s="41" t="inlineStr">
        <is>
          <t>—</t>
        </is>
      </c>
      <c r="F197" s="44" t="inlineStr">
        <is>
          <t>Descarga sobre una nervadura principal o un tablero del N+3.00; su carga ya viene en el muro de arriba (wall load) de PRINCIPALES.</t>
        </is>
      </c>
    </row>
    <row r="198">
      <c r="B198" s="37" t="inlineStr">
        <is>
          <t>C-y=15.846</t>
        </is>
      </c>
      <c r="C198" s="36" t="n">
        <v>3.427</v>
      </c>
      <c r="D198" s="36" t="n">
        <v>15.846</v>
      </c>
      <c r="E198" s="41" t="inlineStr">
        <is>
          <t>C8 PROPUESTO</t>
        </is>
      </c>
      <c r="F198" s="44" t="inlineStr">
        <is>
          <t>Se propone bajarlo a cimentación.</t>
        </is>
      </c>
    </row>
    <row r="199">
      <c r="B199" s="37" t="inlineStr">
        <is>
          <t>C-12</t>
        </is>
      </c>
      <c r="C199" s="36" t="n">
        <v>3.429</v>
      </c>
      <c r="D199" s="36" t="n">
        <v>17.446</v>
      </c>
      <c r="E199" s="41" t="inlineStr">
        <is>
          <t>—</t>
        </is>
      </c>
      <c r="F199" s="44" t="inlineStr">
        <is>
          <t>Descarga sobre una nervadura principal o un tablero del N+3.00; su carga ya viene en el muro de arriba (wall load) de PRINCIPALES.</t>
        </is>
      </c>
    </row>
    <row r="200">
      <c r="B200" s="37" t="inlineStr">
        <is>
          <t>x=3.575-3</t>
        </is>
      </c>
      <c r="C200" s="36" t="n">
        <v>3.575</v>
      </c>
      <c r="D200" s="36" t="n">
        <v>2.921</v>
      </c>
      <c r="E200" s="41" t="inlineStr">
        <is>
          <t>—</t>
        </is>
      </c>
      <c r="F200" s="44" t="inlineStr">
        <is>
          <t>Descarga sobre una nervadura principal o un tablero del N+3.00; su carga ya viene en el muro de arriba (wall load) de PRINCIPALES.</t>
        </is>
      </c>
    </row>
    <row r="201">
      <c r="B201" s="37" t="inlineStr">
        <is>
          <t>x=4.327-2</t>
        </is>
      </c>
      <c r="C201" s="36" t="n">
        <v>4.327</v>
      </c>
      <c r="D201" s="36" t="n">
        <v>1.919</v>
      </c>
      <c r="E201" s="41" t="inlineStr">
        <is>
          <t>C1 PROPUESTO</t>
        </is>
      </c>
      <c r="F201" s="44" t="inlineStr">
        <is>
          <t>Se propone bajarlo a cimentación.</t>
        </is>
      </c>
    </row>
    <row r="202">
      <c r="B202" s="37" t="inlineStr">
        <is>
          <t>x=4.327-3</t>
        </is>
      </c>
      <c r="C202" s="36" t="n">
        <v>4.327</v>
      </c>
      <c r="D202" s="36" t="n">
        <v>2.921</v>
      </c>
      <c r="E202" s="41" t="inlineStr">
        <is>
          <t>C2 PROPUESTO</t>
        </is>
      </c>
      <c r="F202" s="44" t="inlineStr">
        <is>
          <t>Se propone bajarlo a cimentación.</t>
        </is>
      </c>
    </row>
    <row r="203">
      <c r="B203" s="37" t="inlineStr">
        <is>
          <t>x=4.327-y=5.046</t>
        </is>
      </c>
      <c r="C203" s="36" t="n">
        <v>4.327</v>
      </c>
      <c r="D203" s="36" t="n">
        <v>5.046</v>
      </c>
      <c r="E203" s="41" t="inlineStr">
        <is>
          <t>—</t>
        </is>
      </c>
      <c r="F203" s="44" t="inlineStr">
        <is>
          <t>Descarga sobre una nervadura principal o un tablero del N+3.00; su carga ya viene en el muro de arriba (wall load) de PRINCIPALES.</t>
        </is>
      </c>
    </row>
    <row r="204">
      <c r="B204" s="37" t="inlineStr">
        <is>
          <t>x=4.327-y=6.996</t>
        </is>
      </c>
      <c r="C204" s="36" t="n">
        <v>4.327</v>
      </c>
      <c r="D204" s="36" t="n">
        <v>6.996</v>
      </c>
      <c r="E204" s="41" t="inlineStr">
        <is>
          <t>—</t>
        </is>
      </c>
      <c r="F204" s="44" t="inlineStr">
        <is>
          <t>Descarga sobre una nervadura principal o un tablero del N+3.00; su carga ya viene en el muro de arriba (wall load) de PRINCIPALES.</t>
        </is>
      </c>
    </row>
    <row r="205">
      <c r="B205" s="37" t="inlineStr">
        <is>
          <t>x=4.327-7</t>
        </is>
      </c>
      <c r="C205" s="36" t="n">
        <v>4.327</v>
      </c>
      <c r="D205" s="36" t="n">
        <v>7.871</v>
      </c>
      <c r="E205" s="41" t="inlineStr">
        <is>
          <t>C4 PROPUESTO</t>
        </is>
      </c>
      <c r="F205" s="44" t="inlineStr">
        <is>
          <t>Se propone bajarlo a cimentación.</t>
        </is>
      </c>
    </row>
    <row r="206">
      <c r="B206" s="37" t="inlineStr">
        <is>
          <t>x=4.327-y=14.021</t>
        </is>
      </c>
      <c r="C206" s="36" t="n">
        <v>4.327</v>
      </c>
      <c r="D206" s="36" t="n">
        <v>14.021</v>
      </c>
      <c r="E206" s="41" t="inlineStr">
        <is>
          <t>C5 PROPUESTO</t>
        </is>
      </c>
      <c r="F206" s="44" t="inlineStr">
        <is>
          <t>Se propone bajarlo a cimentación.</t>
        </is>
      </c>
    </row>
    <row r="207">
      <c r="B207" s="37" t="inlineStr">
        <is>
          <t>D-12</t>
        </is>
      </c>
      <c r="C207" s="36" t="n">
        <v>4.426</v>
      </c>
      <c r="D207" s="36" t="n">
        <v>17.446</v>
      </c>
      <c r="E207" s="41" t="inlineStr">
        <is>
          <t>—</t>
        </is>
      </c>
      <c r="F207" s="44" t="inlineStr">
        <is>
          <t>Descarga sobre una nervadura principal o un tablero del N+3.00; su carga ya viene en el muro de arriba (wall load) de PRINCIPALES.</t>
        </is>
      </c>
    </row>
    <row r="208">
      <c r="B208" s="37" t="inlineStr">
        <is>
          <t>D-13</t>
        </is>
      </c>
      <c r="C208" s="36" t="n">
        <v>4.426</v>
      </c>
      <c r="D208" s="36" t="n">
        <v>19.447</v>
      </c>
      <c r="E208" s="41" t="inlineStr">
        <is>
          <t>—</t>
        </is>
      </c>
      <c r="F208" s="44" t="inlineStr">
        <is>
          <t>Descarga sobre una nervadura principal o un tablero del N+3.00; su carga ya viene en el muro de arriba (wall load) de PRINCIPALES.</t>
        </is>
      </c>
    </row>
    <row r="209">
      <c r="B209" s="37" t="inlineStr">
        <is>
          <t>F-8</t>
        </is>
      </c>
      <c r="C209" s="36" t="n">
        <v>5.422</v>
      </c>
      <c r="D209" s="36" t="n">
        <v>9.949999999999999</v>
      </c>
      <c r="E209" s="41" t="inlineStr">
        <is>
          <t>C6 PROPUESTO</t>
        </is>
      </c>
      <c r="F209" s="44" t="inlineStr">
        <is>
          <t>Se propone bajarlo a cimentación.</t>
        </is>
      </c>
    </row>
    <row r="210">
      <c r="B210" s="37" t="inlineStr">
        <is>
          <t>F-y=11.000</t>
        </is>
      </c>
      <c r="C210" s="36" t="n">
        <v>5.422</v>
      </c>
      <c r="D210" s="36" t="n">
        <v>11</v>
      </c>
      <c r="E210" s="41" t="inlineStr">
        <is>
          <t>—</t>
        </is>
      </c>
      <c r="F210" s="44" t="inlineStr">
        <is>
          <t>Descarga sobre una nervadura principal o un tablero del N+3.00; su carga ya viene en el muro de arriba (wall load) de PRINCIPALES.</t>
        </is>
      </c>
    </row>
    <row r="211">
      <c r="B211" s="37" t="inlineStr">
        <is>
          <t>F-y=14.872</t>
        </is>
      </c>
      <c r="C211" s="36" t="n">
        <v>5.422</v>
      </c>
      <c r="D211" s="36" t="n">
        <v>14.872</v>
      </c>
      <c r="E211" s="41" t="inlineStr">
        <is>
          <t>—</t>
        </is>
      </c>
      <c r="F211" s="44" t="inlineStr">
        <is>
          <t>Descarga sobre una nervadura principal o un tablero del N+3.00; su carga ya viene en el muro de arriba (wall load) de PRINCIPALES.</t>
        </is>
      </c>
    </row>
    <row r="212">
      <c r="B212" s="37" t="inlineStr">
        <is>
          <t>F-y=15.846</t>
        </is>
      </c>
      <c r="C212" s="36" t="n">
        <v>5.422</v>
      </c>
      <c r="D212" s="36" t="n">
        <v>15.846</v>
      </c>
      <c r="E212" s="41" t="inlineStr">
        <is>
          <t>—</t>
        </is>
      </c>
      <c r="F212" s="44" t="inlineStr">
        <is>
          <t>Descarga sobre una nervadura principal o un tablero del N+3.00; su carga ya viene en el muro de arriba (wall load) de PRINCIPALES.</t>
        </is>
      </c>
    </row>
    <row r="213">
      <c r="B213" s="37" t="inlineStr">
        <is>
          <t>x=5.822-y=15.846</t>
        </is>
      </c>
      <c r="C213" s="36" t="n">
        <v>5.822</v>
      </c>
      <c r="D213" s="36" t="n">
        <v>15.846</v>
      </c>
      <c r="E213" s="41" t="inlineStr">
        <is>
          <t>—</t>
        </is>
      </c>
      <c r="F213" s="44" t="inlineStr">
        <is>
          <t>Descarga sobre una nervadura principal o un tablero del N+3.00; su carga ya viene en el muro de arriba (wall load) de PRINCIPALES.</t>
        </is>
      </c>
    </row>
    <row r="214">
      <c r="B214" s="37" t="inlineStr">
        <is>
          <t>G-3</t>
        </is>
      </c>
      <c r="C214" s="36" t="n">
        <v>5.923</v>
      </c>
      <c r="D214" s="36" t="n">
        <v>2.921</v>
      </c>
      <c r="E214" s="41" t="inlineStr">
        <is>
          <t>C3 PROPUESTO</t>
        </is>
      </c>
      <c r="F214" s="44" t="inlineStr">
        <is>
          <t>Se propone bajarlo a cimentación.</t>
        </is>
      </c>
    </row>
    <row r="215">
      <c r="B215" s="37" t="inlineStr">
        <is>
          <t>G-y=4.433</t>
        </is>
      </c>
      <c r="C215" s="36" t="n">
        <v>5.923</v>
      </c>
      <c r="D215" s="36" t="n">
        <v>4.433</v>
      </c>
      <c r="E215" s="41" t="inlineStr">
        <is>
          <t>—</t>
        </is>
      </c>
      <c r="F215" s="44" t="inlineStr">
        <is>
          <t>Descarga sobre una nervadura principal o un tablero del N+3.00; su carga ya viene en el muro de arriba (wall load) de PRINCIPALES.</t>
        </is>
      </c>
    </row>
    <row r="216">
      <c r="B216" s="37" t="inlineStr">
        <is>
          <t>x=6.247-y=14.247</t>
        </is>
      </c>
      <c r="C216" s="36" t="n">
        <v>6.247</v>
      </c>
      <c r="D216" s="36" t="n">
        <v>14.247</v>
      </c>
      <c r="E216" s="41" t="inlineStr">
        <is>
          <t>—</t>
        </is>
      </c>
      <c r="F216" s="44" t="inlineStr">
        <is>
          <t>Descarga sobre una nervadura principal o un tablero del N+3.00; su carga ya viene en el muro de arriba (wall load) de PRINCIPALES.</t>
        </is>
      </c>
    </row>
    <row r="217">
      <c r="B217" s="37" t="inlineStr">
        <is>
          <t>x=6.280-8</t>
        </is>
      </c>
      <c r="C217" s="36" t="n">
        <v>6.28</v>
      </c>
      <c r="D217" s="36" t="n">
        <v>9.949999999999999</v>
      </c>
      <c r="E217" s="41" t="inlineStr">
        <is>
          <t>—</t>
        </is>
      </c>
      <c r="F217" s="44" t="inlineStr">
        <is>
          <t>Descarga sobre una nervadura principal o un tablero del N+3.00; su carga ya viene en el muro de arriba (wall load) de PRINCIPALES.</t>
        </is>
      </c>
    </row>
    <row r="218">
      <c r="B218" s="37" t="inlineStr">
        <is>
          <t>x=7.336-y=15.846</t>
        </is>
      </c>
      <c r="C218" s="36" t="n">
        <v>7.336</v>
      </c>
      <c r="D218" s="36" t="n">
        <v>15.846</v>
      </c>
      <c r="E218" s="41" t="inlineStr">
        <is>
          <t>—</t>
        </is>
      </c>
      <c r="F218" s="44" t="inlineStr">
        <is>
          <t>Descarga sobre una nervadura principal o un tablero del N+3.00; su carga ya viene en el muro de arriba (wall load) de PRINCIPALES.</t>
        </is>
      </c>
    </row>
    <row r="219">
      <c r="B219" s="37" t="inlineStr">
        <is>
          <t>x=7.850-8</t>
        </is>
      </c>
      <c r="C219" s="36" t="n">
        <v>7.85</v>
      </c>
      <c r="D219" s="36" t="n">
        <v>9.949999999999999</v>
      </c>
      <c r="E219" s="41" t="inlineStr">
        <is>
          <t>—</t>
        </is>
      </c>
      <c r="F219" s="44" t="inlineStr">
        <is>
          <t>Descarga sobre una nervadura principal o un tablero del N+3.00; su carga ya viene en el muro de arriba (wall load) de PRINCIPALES.</t>
        </is>
      </c>
    </row>
  </sheetData>
  <mergeCells count="75">
    <mergeCell ref="B173:I173"/>
    <mergeCell ref="H20:I20"/>
    <mergeCell ref="F211:I211"/>
    <mergeCell ref="B7:I7"/>
    <mergeCell ref="F210:I210"/>
    <mergeCell ref="F195:I195"/>
    <mergeCell ref="B27:I27"/>
    <mergeCell ref="B184:I184"/>
    <mergeCell ref="B180:I180"/>
    <mergeCell ref="F216:I216"/>
    <mergeCell ref="B12:I12"/>
    <mergeCell ref="F207:I207"/>
    <mergeCell ref="H21:I21"/>
    <mergeCell ref="B176:I176"/>
    <mergeCell ref="F197:I197"/>
    <mergeCell ref="B11:I11"/>
    <mergeCell ref="F206:I206"/>
    <mergeCell ref="B2:I2"/>
    <mergeCell ref="F191:I191"/>
    <mergeCell ref="F218:I218"/>
    <mergeCell ref="B14:I14"/>
    <mergeCell ref="F205:I205"/>
    <mergeCell ref="B181:I181"/>
    <mergeCell ref="F196:I196"/>
    <mergeCell ref="B1:I1"/>
    <mergeCell ref="B8:I8"/>
    <mergeCell ref="B170:I170"/>
    <mergeCell ref="F212:I212"/>
    <mergeCell ref="B179:I179"/>
    <mergeCell ref="H17:I17"/>
    <mergeCell ref="B175:I175"/>
    <mergeCell ref="F202:I202"/>
    <mergeCell ref="F193:I193"/>
    <mergeCell ref="B171:I171"/>
    <mergeCell ref="F199:I199"/>
    <mergeCell ref="F208:I208"/>
    <mergeCell ref="F217:I217"/>
    <mergeCell ref="H16:I16"/>
    <mergeCell ref="B182:I182"/>
    <mergeCell ref="B178:I178"/>
    <mergeCell ref="F192:I192"/>
    <mergeCell ref="B172:I172"/>
    <mergeCell ref="B10:I10"/>
    <mergeCell ref="B174:I174"/>
    <mergeCell ref="B168:I168"/>
    <mergeCell ref="F201:I201"/>
    <mergeCell ref="H19:I19"/>
    <mergeCell ref="F214:I214"/>
    <mergeCell ref="B186:I186"/>
    <mergeCell ref="H22:I22"/>
    <mergeCell ref="F213:I213"/>
    <mergeCell ref="F189:I189"/>
    <mergeCell ref="F204:I204"/>
    <mergeCell ref="B158:I158"/>
    <mergeCell ref="F198:I198"/>
    <mergeCell ref="B9:I9"/>
    <mergeCell ref="B187:I187"/>
    <mergeCell ref="F194:I194"/>
    <mergeCell ref="B183:I183"/>
    <mergeCell ref="F203:I203"/>
    <mergeCell ref="B177:I177"/>
    <mergeCell ref="B15:I15"/>
    <mergeCell ref="F219:I219"/>
    <mergeCell ref="B6:I6"/>
    <mergeCell ref="H24:I24"/>
    <mergeCell ref="F215:I215"/>
    <mergeCell ref="H18:I18"/>
    <mergeCell ref="F200:I200"/>
    <mergeCell ref="B169:I169"/>
    <mergeCell ref="B5:I5"/>
    <mergeCell ref="H23:I23"/>
    <mergeCell ref="F209:I209"/>
    <mergeCell ref="F190:I190"/>
    <mergeCell ref="B4:I4"/>
    <mergeCell ref="B26:I26"/>
  </mergeCells>
  <conditionalFormatting sqref="B14:I220">
    <cfRule type="expression" priority="1" dxfId="0" stopIfTrue="1">
      <formula>OR(ISNUMBER(FIND("NO CUMPLE",B14)),ISNUMBER(FIND("REVISAR",B14)),ISNUMBER(FIND("NO CABE",B14)),ISNUMBER(FIND("FUERA",B14)),ISNUMBER(FIND("SIN APOYO",B14)),ISNUMBER(FIND("INSUFICIENTE",B14)),ISNUMBER(FIND("PENDIENTE",B14)))</formula>
    </cfRule>
    <cfRule type="expression" priority="2" dxfId="1" stopIfTrue="1">
      <formula>OR(ISNUMBER(FIND("CUMPLE",B14)),ISNUMBER(FIND("SÍ aplica",B14)),ISNUMBER(FIND("MANDA",B14)))</formula>
    </cfRule>
    <cfRule type="expression" priority="3" dxfId="2" stopIfTrue="1">
      <formula>OR(ISNUMBER(FIND("MACIZAR",B14)),ISNUMBER(FIND("VOLADO",B14)),ISNUMBER(FIND("PROPUESTO",B14)),ISNUMBER(FIND("VER ",B14)))</formula>
    </cfRule>
  </conditionalFormatting>
  <dataValidations count="136">
    <dataValidation sqref="C17" showDropDown="0" showInputMessage="0" showErrorMessage="0" allowBlank="0" errorTitle="Valor no válido" error="Escoge un valor de la lista" type="list">
      <formula1>"SÍ,NO"</formula1>
    </dataValidation>
    <dataValidation sqref="C18" showDropDown="0" showInputMessage="0" showErrorMessage="0" allowBlank="0" errorTitle="Valor no válido" error="Escoge un valor de la lista" type="list">
      <formula1>"SÍ,NO"</formula1>
    </dataValidation>
    <dataValidation sqref="C19" showDropDown="0" showInputMessage="0" showErrorMessage="0" allowBlank="0" errorTitle="Valor no válido" error="Escoge un valor de la lista" type="list">
      <formula1>"SÍ,NO"</formula1>
    </dataValidation>
    <dataValidation sqref="C20" showDropDown="0" showInputMessage="0" showErrorMessage="0" allowBlank="0" errorTitle="Valor no válido" error="Escoge un valor de la lista" type="list">
      <formula1>"SÍ,NO"</formula1>
    </dataValidation>
    <dataValidation sqref="C21" showDropDown="0" showInputMessage="0" showErrorMessage="0" allowBlank="0" errorTitle="Valor no válido" error="Escoge un valor de la lista" type="list">
      <formula1>"SÍ,NO"</formula1>
    </dataValidation>
    <dataValidation sqref="C22" showDropDown="0" showInputMessage="0" showErrorMessage="0" allowBlank="0" errorTitle="Valor no válido" error="Escoge un valor de la lista" type="list">
      <formula1>"SÍ,NO"</formula1>
    </dataValidation>
    <dataValidation sqref="C23" showDropDown="0" showInputMessage="0" showErrorMessage="0" allowBlank="0" errorTitle="Valor no válido" error="Escoge un valor de la lista" type="list">
      <formula1>"SÍ,NO"</formula1>
    </dataValidation>
    <dataValidation sqref="C24" showDropDown="0" showInputMessage="0" showErrorMessage="0" allowBlank="0" errorTitle="Valor no válido" error="Escoge un valor de la lista" type="list">
      <formula1>"SÍ,NO"</formula1>
    </dataValidation>
    <dataValidation sqref="G29" showDropDown="0" showInputMessage="0" showErrorMessage="0" allowBlank="0" errorTitle="Valor no válido" error="Escoge un valor de la lista" type="list">
      <formula1>"CONTINUO,DISCONTINUO"</formula1>
    </dataValidation>
    <dataValidation sqref="G30" showDropDown="0" showInputMessage="0" showErrorMessage="0" allowBlank="0" errorTitle="Valor no válido" error="Escoge un valor de la lista" type="list">
      <formula1>"CONTINUO,DISCONTINUO"</formula1>
    </dataValidation>
    <dataValidation sqref="G31" showDropDown="0" showInputMessage="0" showErrorMessage="0" allowBlank="0" errorTitle="Valor no válido" error="Escoge un valor de la lista" type="list">
      <formula1>"CONTINUO,DISCONTINUO"</formula1>
    </dataValidation>
    <dataValidation sqref="G32" showDropDown="0" showInputMessage="0" showErrorMessage="0" allowBlank="0" errorTitle="Valor no válido" error="Escoge un valor de la lista" type="list">
      <formula1>"CONTINUO,DISCONTINUO"</formula1>
    </dataValidation>
    <dataValidation sqref="G33" showDropDown="0" showInputMessage="0" showErrorMessage="0" allowBlank="0" errorTitle="Valor no válido" error="Escoge un valor de la lista" type="list">
      <formula1>"CONTINUO,DISCONTINUO"</formula1>
    </dataValidation>
    <dataValidation sqref="G34" showDropDown="0" showInputMessage="0" showErrorMessage="0" allowBlank="0" errorTitle="Valor no válido" error="Escoge un valor de la lista" type="list">
      <formula1>"CONTINUO,DISCONTINUO"</formula1>
    </dataValidation>
    <dataValidation sqref="G35" showDropDown="0" showInputMessage="0" showErrorMessage="0" allowBlank="0" errorTitle="Valor no válido" error="Escoge un valor de la lista" type="list">
      <formula1>"CONTINUO,DISCONTINUO"</formula1>
    </dataValidation>
    <dataValidation sqref="G36" showDropDown="0" showInputMessage="0" showErrorMessage="0" allowBlank="0" errorTitle="Valor no válido" error="Escoge un valor de la lista" type="list">
      <formula1>"CONTINUO,DISCONTINUO"</formula1>
    </dataValidation>
    <dataValidation sqref="G37" showDropDown="0" showInputMessage="0" showErrorMessage="0" allowBlank="0" errorTitle="Valor no válido" error="Escoge un valor de la lista" type="list">
      <formula1>"CONTINUO,DISCONTINUO"</formula1>
    </dataValidation>
    <dataValidation sqref="G38" showDropDown="0" showInputMessage="0" showErrorMessage="0" allowBlank="0" errorTitle="Valor no válido" error="Escoge un valor de la lista" type="list">
      <formula1>"CONTINUO,DISCONTINUO"</formula1>
    </dataValidation>
    <dataValidation sqref="G39" showDropDown="0" showInputMessage="0" showErrorMessage="0" allowBlank="0" errorTitle="Valor no válido" error="Escoge un valor de la lista" type="list">
      <formula1>"CONTINUO,DISCONTINUO"</formula1>
    </dataValidation>
    <dataValidation sqref="G40" showDropDown="0" showInputMessage="0" showErrorMessage="0" allowBlank="0" errorTitle="Valor no válido" error="Escoge un valor de la lista" type="list">
      <formula1>"CONTINUO,DISCONTINUO"</formula1>
    </dataValidation>
    <dataValidation sqref="G41" showDropDown="0" showInputMessage="0" showErrorMessage="0" allowBlank="0" errorTitle="Valor no válido" error="Escoge un valor de la lista" type="list">
      <formula1>"CONTINUO,DISCONTINUO"</formula1>
    </dataValidation>
    <dataValidation sqref="G42" showDropDown="0" showInputMessage="0" showErrorMessage="0" allowBlank="0" errorTitle="Valor no válido" error="Escoge un valor de la lista" type="list">
      <formula1>"CONTINUO,DISCONTINUO"</formula1>
    </dataValidation>
    <dataValidation sqref="G43" showDropDown="0" showInputMessage="0" showErrorMessage="0" allowBlank="0" errorTitle="Valor no válido" error="Escoge un valor de la lista" type="list">
      <formula1>"CONTINUO,DISCONTINUO"</formula1>
    </dataValidation>
    <dataValidation sqref="G44" showDropDown="0" showInputMessage="0" showErrorMessage="0" allowBlank="0" errorTitle="Valor no válido" error="Escoge un valor de la lista" type="list">
      <formula1>"CONTINUO,DISCONTINUO"</formula1>
    </dataValidation>
    <dataValidation sqref="G45" showDropDown="0" showInputMessage="0" showErrorMessage="0" allowBlank="0" errorTitle="Valor no válido" error="Escoge un valor de la lista" type="list">
      <formula1>"CONTINUO,DISCONTINUO"</formula1>
    </dataValidation>
    <dataValidation sqref="G46" showDropDown="0" showInputMessage="0" showErrorMessage="0" allowBlank="0" errorTitle="Valor no válido" error="Escoge un valor de la lista" type="list">
      <formula1>"CONTINUO,DISCONTINUO"</formula1>
    </dataValidation>
    <dataValidation sqref="G47" showDropDown="0" showInputMessage="0" showErrorMessage="0" allowBlank="0" errorTitle="Valor no válido" error="Escoge un valor de la lista" type="list">
      <formula1>"CONTINUO,DISCONTINUO"</formula1>
    </dataValidation>
    <dataValidation sqref="G48" showDropDown="0" showInputMessage="0" showErrorMessage="0" allowBlank="0" errorTitle="Valor no válido" error="Escoge un valor de la lista" type="list">
      <formula1>"CONTINUO,DISCONTINUO"</formula1>
    </dataValidation>
    <dataValidation sqref="G49" showDropDown="0" showInputMessage="0" showErrorMessage="0" allowBlank="0" errorTitle="Valor no válido" error="Escoge un valor de la lista" type="list">
      <formula1>"CONTINUO,DISCONTINUO"</formula1>
    </dataValidation>
    <dataValidation sqref="G50" showDropDown="0" showInputMessage="0" showErrorMessage="0" allowBlank="0" errorTitle="Valor no válido" error="Escoge un valor de la lista" type="list">
      <formula1>"CONTINUO,DISCONTINUO"</formula1>
    </dataValidation>
    <dataValidation sqref="G51" showDropDown="0" showInputMessage="0" showErrorMessage="0" allowBlank="0" errorTitle="Valor no válido" error="Escoge un valor de la lista" type="list">
      <formula1>"CONTINUO,DISCONTINUO"</formula1>
    </dataValidation>
    <dataValidation sqref="G52" showDropDown="0" showInputMessage="0" showErrorMessage="0" allowBlank="0" errorTitle="Valor no válido" error="Escoge un valor de la lista" type="list">
      <formula1>"CONTINUO,DISCONTINUO"</formula1>
    </dataValidation>
    <dataValidation sqref="G53" showDropDown="0" showInputMessage="0" showErrorMessage="0" allowBlank="0" errorTitle="Valor no válido" error="Escoge un valor de la lista" type="list">
      <formula1>"CONTINUO,DISCONTINUO"</formula1>
    </dataValidation>
    <dataValidation sqref="G54" showDropDown="0" showInputMessage="0" showErrorMessage="0" allowBlank="0" errorTitle="Valor no válido" error="Escoge un valor de la lista" type="list">
      <formula1>"CONTINUO,DISCONTINUO"</formula1>
    </dataValidation>
    <dataValidation sqref="G55" showDropDown="0" showInputMessage="0" showErrorMessage="0" allowBlank="0" errorTitle="Valor no válido" error="Escoge un valor de la lista" type="list">
      <formula1>"CONTINUO,DISCONTINUO"</formula1>
    </dataValidation>
    <dataValidation sqref="G56" showDropDown="0" showInputMessage="0" showErrorMessage="0" allowBlank="0" errorTitle="Valor no válido" error="Escoge un valor de la lista" type="list">
      <formula1>"CONTINUO,DISCONTINUO"</formula1>
    </dataValidation>
    <dataValidation sqref="G57" showDropDown="0" showInputMessage="0" showErrorMessage="0" allowBlank="0" errorTitle="Valor no válido" error="Escoge un valor de la lista" type="list">
      <formula1>"CONTINUO,DISCONTINUO"</formula1>
    </dataValidation>
    <dataValidation sqref="G58" showDropDown="0" showInputMessage="0" showErrorMessage="0" allowBlank="0" errorTitle="Valor no válido" error="Escoge un valor de la lista" type="list">
      <formula1>"CONTINUO,DISCONTINUO"</formula1>
    </dataValidation>
    <dataValidation sqref="G59" showDropDown="0" showInputMessage="0" showErrorMessage="0" allowBlank="0" errorTitle="Valor no válido" error="Escoge un valor de la lista" type="list">
      <formula1>"CONTINUO,DISCONTINUO"</formula1>
    </dataValidation>
    <dataValidation sqref="G60" showDropDown="0" showInputMessage="0" showErrorMessage="0" allowBlank="0" errorTitle="Valor no válido" error="Escoge un valor de la lista" type="list">
      <formula1>"CONTINUO,DISCONTINUO"</formula1>
    </dataValidation>
    <dataValidation sqref="G61" showDropDown="0" showInputMessage="0" showErrorMessage="0" allowBlank="0" errorTitle="Valor no válido" error="Escoge un valor de la lista" type="list">
      <formula1>"CONTINUO,DISCONTINUO"</formula1>
    </dataValidation>
    <dataValidation sqref="G62" showDropDown="0" showInputMessage="0" showErrorMessage="0" allowBlank="0" errorTitle="Valor no válido" error="Escoge un valor de la lista" type="list">
      <formula1>"CONTINUO,DISCONTINUO"</formula1>
    </dataValidation>
    <dataValidation sqref="G63" showDropDown="0" showInputMessage="0" showErrorMessage="0" allowBlank="0" errorTitle="Valor no válido" error="Escoge un valor de la lista" type="list">
      <formula1>"CONTINUO,DISCONTINUO"</formula1>
    </dataValidation>
    <dataValidation sqref="G64" showDropDown="0" showInputMessage="0" showErrorMessage="0" allowBlank="0" errorTitle="Valor no válido" error="Escoge un valor de la lista" type="list">
      <formula1>"CONTINUO,DISCONTINUO"</formula1>
    </dataValidation>
    <dataValidation sqref="G65" showDropDown="0" showInputMessage="0" showErrorMessage="0" allowBlank="0" errorTitle="Valor no válido" error="Escoge un valor de la lista" type="list">
      <formula1>"CONTINUO,DISCONTINUO"</formula1>
    </dataValidation>
    <dataValidation sqref="G66" showDropDown="0" showInputMessage="0" showErrorMessage="0" allowBlank="0" errorTitle="Valor no válido" error="Escoge un valor de la lista" type="list">
      <formula1>"CONTINUO,DISCONTINUO"</formula1>
    </dataValidation>
    <dataValidation sqref="G67" showDropDown="0" showInputMessage="0" showErrorMessage="0" allowBlank="0" errorTitle="Valor no válido" error="Escoge un valor de la lista" type="list">
      <formula1>"CONTINUO,DISCONTINUO"</formula1>
    </dataValidation>
    <dataValidation sqref="G68" showDropDown="0" showInputMessage="0" showErrorMessage="0" allowBlank="0" errorTitle="Valor no válido" error="Escoge un valor de la lista" type="list">
      <formula1>"CONTINUO,DISCONTINUO"</formula1>
    </dataValidation>
    <dataValidation sqref="G69" showDropDown="0" showInputMessage="0" showErrorMessage="0" allowBlank="0" errorTitle="Valor no válido" error="Escoge un valor de la lista" type="list">
      <formula1>"CONTINUO,DISCONTINUO"</formula1>
    </dataValidation>
    <dataValidation sqref="G70" showDropDown="0" showInputMessage="0" showErrorMessage="0" allowBlank="0" errorTitle="Valor no válido" error="Escoge un valor de la lista" type="list">
      <formula1>"CONTINUO,DISCONTINUO"</formula1>
    </dataValidation>
    <dataValidation sqref="G71" showDropDown="0" showInputMessage="0" showErrorMessage="0" allowBlank="0" errorTitle="Valor no válido" error="Escoge un valor de la lista" type="list">
      <formula1>"CONTINUO,DISCONTINUO"</formula1>
    </dataValidation>
    <dataValidation sqref="G72" showDropDown="0" showInputMessage="0" showErrorMessage="0" allowBlank="0" errorTitle="Valor no válido" error="Escoge un valor de la lista" type="list">
      <formula1>"CONTINUO,DISCONTINUO"</formula1>
    </dataValidation>
    <dataValidation sqref="G73" showDropDown="0" showInputMessage="0" showErrorMessage="0" allowBlank="0" errorTitle="Valor no válido" error="Escoge un valor de la lista" type="list">
      <formula1>"CONTINUO,DISCONTINUO"</formula1>
    </dataValidation>
    <dataValidation sqref="G74" showDropDown="0" showInputMessage="0" showErrorMessage="0" allowBlank="0" errorTitle="Valor no válido" error="Escoge un valor de la lista" type="list">
      <formula1>"CONTINUO,DISCONTINUO"</formula1>
    </dataValidation>
    <dataValidation sqref="G75" showDropDown="0" showInputMessage="0" showErrorMessage="0" allowBlank="0" errorTitle="Valor no válido" error="Escoge un valor de la lista" type="list">
      <formula1>"CONTINUO,DISCONTINUO"</formula1>
    </dataValidation>
    <dataValidation sqref="G76" showDropDown="0" showInputMessage="0" showErrorMessage="0" allowBlank="0" errorTitle="Valor no válido" error="Escoge un valor de la lista" type="list">
      <formula1>"CONTINUO,DISCONTINUO"</formula1>
    </dataValidation>
    <dataValidation sqref="G77" showDropDown="0" showInputMessage="0" showErrorMessage="0" allowBlank="0" errorTitle="Valor no válido" error="Escoge un valor de la lista" type="list">
      <formula1>"CONTINUO,DISCONTINUO"</formula1>
    </dataValidation>
    <dataValidation sqref="G78" showDropDown="0" showInputMessage="0" showErrorMessage="0" allowBlank="0" errorTitle="Valor no válido" error="Escoge un valor de la lista" type="list">
      <formula1>"CONTINUO,DISCONTINUO"</formula1>
    </dataValidation>
    <dataValidation sqref="G79" showDropDown="0" showInputMessage="0" showErrorMessage="0" allowBlank="0" errorTitle="Valor no válido" error="Escoge un valor de la lista" type="list">
      <formula1>"CONTINUO,DISCONTINUO"</formula1>
    </dataValidation>
    <dataValidation sqref="G80" showDropDown="0" showInputMessage="0" showErrorMessage="0" allowBlank="0" errorTitle="Valor no válido" error="Escoge un valor de la lista" type="list">
      <formula1>"CONTINUO,DISCONTINUO"</formula1>
    </dataValidation>
    <dataValidation sqref="G81" showDropDown="0" showInputMessage="0" showErrorMessage="0" allowBlank="0" errorTitle="Valor no válido" error="Escoge un valor de la lista" type="list">
      <formula1>"CONTINUO,DISCONTINUO"</formula1>
    </dataValidation>
    <dataValidation sqref="G82" showDropDown="0" showInputMessage="0" showErrorMessage="0" allowBlank="0" errorTitle="Valor no válido" error="Escoge un valor de la lista" type="list">
      <formula1>"CONTINUO,DISCONTINUO"</formula1>
    </dataValidation>
    <dataValidation sqref="G83" showDropDown="0" showInputMessage="0" showErrorMessage="0" allowBlank="0" errorTitle="Valor no válido" error="Escoge un valor de la lista" type="list">
      <formula1>"CONTINUO,DISCONTINUO"</formula1>
    </dataValidation>
    <dataValidation sqref="G84" showDropDown="0" showInputMessage="0" showErrorMessage="0" allowBlank="0" errorTitle="Valor no válido" error="Escoge un valor de la lista" type="list">
      <formula1>"CONTINUO,DISCONTINUO"</formula1>
    </dataValidation>
    <dataValidation sqref="G85" showDropDown="0" showInputMessage="0" showErrorMessage="0" allowBlank="0" errorTitle="Valor no válido" error="Escoge un valor de la lista" type="list">
      <formula1>"CONTINUO,DISCONTINUO"</formula1>
    </dataValidation>
    <dataValidation sqref="G86" showDropDown="0" showInputMessage="0" showErrorMessage="0" allowBlank="0" errorTitle="Valor no válido" error="Escoge un valor de la lista" type="list">
      <formula1>"CONTINUO,DISCONTINUO"</formula1>
    </dataValidation>
    <dataValidation sqref="G87" showDropDown="0" showInputMessage="0" showErrorMessage="0" allowBlank="0" errorTitle="Valor no válido" error="Escoge un valor de la lista" type="list">
      <formula1>"CONTINUO,DISCONTINUO"</formula1>
    </dataValidation>
    <dataValidation sqref="G88" showDropDown="0" showInputMessage="0" showErrorMessage="0" allowBlank="0" errorTitle="Valor no válido" error="Escoge un valor de la lista" type="list">
      <formula1>"CONTINUO,DISCONTINUO"</formula1>
    </dataValidation>
    <dataValidation sqref="G89" showDropDown="0" showInputMessage="0" showErrorMessage="0" allowBlank="0" errorTitle="Valor no válido" error="Escoge un valor de la lista" type="list">
      <formula1>"CONTINUO,DISCONTINUO"</formula1>
    </dataValidation>
    <dataValidation sqref="G90" showDropDown="0" showInputMessage="0" showErrorMessage="0" allowBlank="0" errorTitle="Valor no válido" error="Escoge un valor de la lista" type="list">
      <formula1>"CONTINUO,DISCONTINUO"</formula1>
    </dataValidation>
    <dataValidation sqref="G91" showDropDown="0" showInputMessage="0" showErrorMessage="0" allowBlank="0" errorTitle="Valor no válido" error="Escoge un valor de la lista" type="list">
      <formula1>"CONTINUO,DISCONTINUO"</formula1>
    </dataValidation>
    <dataValidation sqref="G92" showDropDown="0" showInputMessage="0" showErrorMessage="0" allowBlank="0" errorTitle="Valor no válido" error="Escoge un valor de la lista" type="list">
      <formula1>"CONTINUO,DISCONTINUO"</formula1>
    </dataValidation>
    <dataValidation sqref="G93" showDropDown="0" showInputMessage="0" showErrorMessage="0" allowBlank="0" errorTitle="Valor no válido" error="Escoge un valor de la lista" type="list">
      <formula1>"CONTINUO,DISCONTINUO"</formula1>
    </dataValidation>
    <dataValidation sqref="G94" showDropDown="0" showInputMessage="0" showErrorMessage="0" allowBlank="0" errorTitle="Valor no válido" error="Escoge un valor de la lista" type="list">
      <formula1>"CONTINUO,DISCONTINUO"</formula1>
    </dataValidation>
    <dataValidation sqref="G95" showDropDown="0" showInputMessage="0" showErrorMessage="0" allowBlank="0" errorTitle="Valor no válido" error="Escoge un valor de la lista" type="list">
      <formula1>"CONTINUO,DISCONTINUO"</formula1>
    </dataValidation>
    <dataValidation sqref="G96" showDropDown="0" showInputMessage="0" showErrorMessage="0" allowBlank="0" errorTitle="Valor no válido" error="Escoge un valor de la lista" type="list">
      <formula1>"CONTINUO,DISCONTINUO"</formula1>
    </dataValidation>
    <dataValidation sqref="G97" showDropDown="0" showInputMessage="0" showErrorMessage="0" allowBlank="0" errorTitle="Valor no válido" error="Escoge un valor de la lista" type="list">
      <formula1>"CONTINUO,DISCONTINUO"</formula1>
    </dataValidation>
    <dataValidation sqref="G98" showDropDown="0" showInputMessage="0" showErrorMessage="0" allowBlank="0" errorTitle="Valor no válido" error="Escoge un valor de la lista" type="list">
      <formula1>"CONTINUO,DISCONTINUO"</formula1>
    </dataValidation>
    <dataValidation sqref="G99" showDropDown="0" showInputMessage="0" showErrorMessage="0" allowBlank="0" errorTitle="Valor no válido" error="Escoge un valor de la lista" type="list">
      <formula1>"CONTINUO,DISCONTINUO"</formula1>
    </dataValidation>
    <dataValidation sqref="G100" showDropDown="0" showInputMessage="0" showErrorMessage="0" allowBlank="0" errorTitle="Valor no válido" error="Escoge un valor de la lista" type="list">
      <formula1>"CONTINUO,DISCONTINUO"</formula1>
    </dataValidation>
    <dataValidation sqref="G101" showDropDown="0" showInputMessage="0" showErrorMessage="0" allowBlank="0" errorTitle="Valor no válido" error="Escoge un valor de la lista" type="list">
      <formula1>"CONTINUO,DISCONTINUO"</formula1>
    </dataValidation>
    <dataValidation sqref="G102" showDropDown="0" showInputMessage="0" showErrorMessage="0" allowBlank="0" errorTitle="Valor no válido" error="Escoge un valor de la lista" type="list">
      <formula1>"CONTINUO,DISCONTINUO"</formula1>
    </dataValidation>
    <dataValidation sqref="G103" showDropDown="0" showInputMessage="0" showErrorMessage="0" allowBlank="0" errorTitle="Valor no válido" error="Escoge un valor de la lista" type="list">
      <formula1>"CONTINUO,DISCONTINUO"</formula1>
    </dataValidation>
    <dataValidation sqref="G104" showDropDown="0" showInputMessage="0" showErrorMessage="0" allowBlank="0" errorTitle="Valor no válido" error="Escoge un valor de la lista" type="list">
      <formula1>"CONTINUO,DISCONTINUO"</formula1>
    </dataValidation>
    <dataValidation sqref="G105" showDropDown="0" showInputMessage="0" showErrorMessage="0" allowBlank="0" errorTitle="Valor no válido" error="Escoge un valor de la lista" type="list">
      <formula1>"CONTINUO,DISCONTINUO"</formula1>
    </dataValidation>
    <dataValidation sqref="G106" showDropDown="0" showInputMessage="0" showErrorMessage="0" allowBlank="0" errorTitle="Valor no válido" error="Escoge un valor de la lista" type="list">
      <formula1>"CONTINUO,DISCONTINUO"</formula1>
    </dataValidation>
    <dataValidation sqref="G107" showDropDown="0" showInputMessage="0" showErrorMessage="0" allowBlank="0" errorTitle="Valor no válido" error="Escoge un valor de la lista" type="list">
      <formula1>"CONTINUO,DISCONTINUO"</formula1>
    </dataValidation>
    <dataValidation sqref="G108" showDropDown="0" showInputMessage="0" showErrorMessage="0" allowBlank="0" errorTitle="Valor no válido" error="Escoge un valor de la lista" type="list">
      <formula1>"CONTINUO,DISCONTINUO"</formula1>
    </dataValidation>
    <dataValidation sqref="G109" showDropDown="0" showInputMessage="0" showErrorMessage="0" allowBlank="0" errorTitle="Valor no válido" error="Escoge un valor de la lista" type="list">
      <formula1>"CONTINUO,DISCONTINUO"</formula1>
    </dataValidation>
    <dataValidation sqref="G110" showDropDown="0" showInputMessage="0" showErrorMessage="0" allowBlank="0" errorTitle="Valor no válido" error="Escoge un valor de la lista" type="list">
      <formula1>"CONTINUO,DISCONTINUO"</formula1>
    </dataValidation>
    <dataValidation sqref="G111" showDropDown="0" showInputMessage="0" showErrorMessage="0" allowBlank="0" errorTitle="Valor no válido" error="Escoge un valor de la lista" type="list">
      <formula1>"CONTINUO,DISCONTINUO"</formula1>
    </dataValidation>
    <dataValidation sqref="G112" showDropDown="0" showInputMessage="0" showErrorMessage="0" allowBlank="0" errorTitle="Valor no válido" error="Escoge un valor de la lista" type="list">
      <formula1>"CONTINUO,DISCONTINUO"</formula1>
    </dataValidation>
    <dataValidation sqref="G113" showDropDown="0" showInputMessage="0" showErrorMessage="0" allowBlank="0" errorTitle="Valor no válido" error="Escoge un valor de la lista" type="list">
      <formula1>"CONTINUO,DISCONTINUO"</formula1>
    </dataValidation>
    <dataValidation sqref="G114" showDropDown="0" showInputMessage="0" showErrorMessage="0" allowBlank="0" errorTitle="Valor no válido" error="Escoge un valor de la lista" type="list">
      <formula1>"CONTINUO,DISCONTINUO"</formula1>
    </dataValidation>
    <dataValidation sqref="G115" showDropDown="0" showInputMessage="0" showErrorMessage="0" allowBlank="0" errorTitle="Valor no válido" error="Escoge un valor de la lista" type="list">
      <formula1>"CONTINUO,DISCONTINUO"</formula1>
    </dataValidation>
    <dataValidation sqref="G116" showDropDown="0" showInputMessage="0" showErrorMessage="0" allowBlank="0" errorTitle="Valor no válido" error="Escoge un valor de la lista" type="list">
      <formula1>"CONTINUO,DISCONTINUO"</formula1>
    </dataValidation>
    <dataValidation sqref="G117" showDropDown="0" showInputMessage="0" showErrorMessage="0" allowBlank="0" errorTitle="Valor no válido" error="Escoge un valor de la lista" type="list">
      <formula1>"CONTINUO,DISCONTINUO"</formula1>
    </dataValidation>
    <dataValidation sqref="G118" showDropDown="0" showInputMessage="0" showErrorMessage="0" allowBlank="0" errorTitle="Valor no válido" error="Escoge un valor de la lista" type="list">
      <formula1>"CONTINUO,DISCONTINUO"</formula1>
    </dataValidation>
    <dataValidation sqref="G119" showDropDown="0" showInputMessage="0" showErrorMessage="0" allowBlank="0" errorTitle="Valor no válido" error="Escoge un valor de la lista" type="list">
      <formula1>"CONTINUO,DISCONTINUO"</formula1>
    </dataValidation>
    <dataValidation sqref="G120" showDropDown="0" showInputMessage="0" showErrorMessage="0" allowBlank="0" errorTitle="Valor no válido" error="Escoge un valor de la lista" type="list">
      <formula1>"CONTINUO,DISCONTINUO"</formula1>
    </dataValidation>
    <dataValidation sqref="G121" showDropDown="0" showInputMessage="0" showErrorMessage="0" allowBlank="0" errorTitle="Valor no válido" error="Escoge un valor de la lista" type="list">
      <formula1>"CONTINUO,DISCONTINUO"</formula1>
    </dataValidation>
    <dataValidation sqref="G122" showDropDown="0" showInputMessage="0" showErrorMessage="0" allowBlank="0" errorTitle="Valor no válido" error="Escoge un valor de la lista" type="list">
      <formula1>"CONTINUO,DISCONTINUO"</formula1>
    </dataValidation>
    <dataValidation sqref="G123" showDropDown="0" showInputMessage="0" showErrorMessage="0" allowBlank="0" errorTitle="Valor no válido" error="Escoge un valor de la lista" type="list">
      <formula1>"CONTINUO,DISCONTINUO"</formula1>
    </dataValidation>
    <dataValidation sqref="G124" showDropDown="0" showInputMessage="0" showErrorMessage="0" allowBlank="0" errorTitle="Valor no válido" error="Escoge un valor de la lista" type="list">
      <formula1>"CONTINUO,DISCONTINUO"</formula1>
    </dataValidation>
    <dataValidation sqref="G125" showDropDown="0" showInputMessage="0" showErrorMessage="0" allowBlank="0" errorTitle="Valor no válido" error="Escoge un valor de la lista" type="list">
      <formula1>"CONTINUO,DISCONTINUO"</formula1>
    </dataValidation>
    <dataValidation sqref="G126" showDropDown="0" showInputMessage="0" showErrorMessage="0" allowBlank="0" errorTitle="Valor no válido" error="Escoge un valor de la lista" type="list">
      <formula1>"CONTINUO,DISCONTINUO"</formula1>
    </dataValidation>
    <dataValidation sqref="G127" showDropDown="0" showInputMessage="0" showErrorMessage="0" allowBlank="0" errorTitle="Valor no válido" error="Escoge un valor de la lista" type="list">
      <formula1>"CONTINUO,DISCONTINUO"</formula1>
    </dataValidation>
    <dataValidation sqref="G128" showDropDown="0" showInputMessage="0" showErrorMessage="0" allowBlank="0" errorTitle="Valor no válido" error="Escoge un valor de la lista" type="list">
      <formula1>"CONTINUO,DISCONTINUO"</formula1>
    </dataValidation>
    <dataValidation sqref="G129" showDropDown="0" showInputMessage="0" showErrorMessage="0" allowBlank="0" errorTitle="Valor no válido" error="Escoge un valor de la lista" type="list">
      <formula1>"CONTINUO,DISCONTINUO"</formula1>
    </dataValidation>
    <dataValidation sqref="G130" showDropDown="0" showInputMessage="0" showErrorMessage="0" allowBlank="0" errorTitle="Valor no válido" error="Escoge un valor de la lista" type="list">
      <formula1>"CONTINUO,DISCONTINUO"</formula1>
    </dataValidation>
    <dataValidation sqref="G131" showDropDown="0" showInputMessage="0" showErrorMessage="0" allowBlank="0" errorTitle="Valor no válido" error="Escoge un valor de la lista" type="list">
      <formula1>"CONTINUO,DISCONTINUO"</formula1>
    </dataValidation>
    <dataValidation sqref="G132" showDropDown="0" showInputMessage="0" showErrorMessage="0" allowBlank="0" errorTitle="Valor no válido" error="Escoge un valor de la lista" type="list">
      <formula1>"CONTINUO,DISCONTINUO"</formula1>
    </dataValidation>
    <dataValidation sqref="G133" showDropDown="0" showInputMessage="0" showErrorMessage="0" allowBlank="0" errorTitle="Valor no válido" error="Escoge un valor de la lista" type="list">
      <formula1>"CONTINUO,DISCONTINUO"</formula1>
    </dataValidation>
    <dataValidation sqref="G134" showDropDown="0" showInputMessage="0" showErrorMessage="0" allowBlank="0" errorTitle="Valor no válido" error="Escoge un valor de la lista" type="list">
      <formula1>"CONTINUO,DISCONTINUO"</formula1>
    </dataValidation>
    <dataValidation sqref="G135" showDropDown="0" showInputMessage="0" showErrorMessage="0" allowBlank="0" errorTitle="Valor no válido" error="Escoge un valor de la lista" type="list">
      <formula1>"CONTINUO,DISCONTINUO"</formula1>
    </dataValidation>
    <dataValidation sqref="G136" showDropDown="0" showInputMessage="0" showErrorMessage="0" allowBlank="0" errorTitle="Valor no válido" error="Escoge un valor de la lista" type="list">
      <formula1>"CONTINUO,DISCONTINUO"</formula1>
    </dataValidation>
    <dataValidation sqref="G137" showDropDown="0" showInputMessage="0" showErrorMessage="0" allowBlank="0" errorTitle="Valor no válido" error="Escoge un valor de la lista" type="list">
      <formula1>"CONTINUO,DISCONTINUO"</formula1>
    </dataValidation>
    <dataValidation sqref="G138" showDropDown="0" showInputMessage="0" showErrorMessage="0" allowBlank="0" errorTitle="Valor no válido" error="Escoge un valor de la lista" type="list">
      <formula1>"CONTINUO,DISCONTINUO"</formula1>
    </dataValidation>
    <dataValidation sqref="G139" showDropDown="0" showInputMessage="0" showErrorMessage="0" allowBlank="0" errorTitle="Valor no válido" error="Escoge un valor de la lista" type="list">
      <formula1>"CONTINUO,DISCONTINUO"</formula1>
    </dataValidation>
    <dataValidation sqref="G140" showDropDown="0" showInputMessage="0" showErrorMessage="0" allowBlank="0" errorTitle="Valor no válido" error="Escoge un valor de la lista" type="list">
      <formula1>"CONTINUO,DISCONTINUO"</formula1>
    </dataValidation>
    <dataValidation sqref="G141" showDropDown="0" showInputMessage="0" showErrorMessage="0" allowBlank="0" errorTitle="Valor no válido" error="Escoge un valor de la lista" type="list">
      <formula1>"CONTINUO,DISCONTINUO"</formula1>
    </dataValidation>
    <dataValidation sqref="G142" showDropDown="0" showInputMessage="0" showErrorMessage="0" allowBlank="0" errorTitle="Valor no válido" error="Escoge un valor de la lista" type="list">
      <formula1>"CONTINUO,DISCONTINUO"</formula1>
    </dataValidation>
    <dataValidation sqref="G143" showDropDown="0" showInputMessage="0" showErrorMessage="0" allowBlank="0" errorTitle="Valor no válido" error="Escoge un valor de la lista" type="list">
      <formula1>"CONTINUO,DISCONTINUO"</formula1>
    </dataValidation>
    <dataValidation sqref="G144" showDropDown="0" showInputMessage="0" showErrorMessage="0" allowBlank="0" errorTitle="Valor no válido" error="Escoge un valor de la lista" type="list">
      <formula1>"CONTINUO,DISCONTINUO"</formula1>
    </dataValidation>
    <dataValidation sqref="G145" showDropDown="0" showInputMessage="0" showErrorMessage="0" allowBlank="0" errorTitle="Valor no válido" error="Escoge un valor de la lista" type="list">
      <formula1>"CONTINUO,DISCONTINUO"</formula1>
    </dataValidation>
    <dataValidation sqref="G146" showDropDown="0" showInputMessage="0" showErrorMessage="0" allowBlank="0" errorTitle="Valor no válido" error="Escoge un valor de la lista" type="list">
      <formula1>"CONTINUO,DISCONTINUO"</formula1>
    </dataValidation>
    <dataValidation sqref="G147" showDropDown="0" showInputMessage="0" showErrorMessage="0" allowBlank="0" errorTitle="Valor no válido" error="Escoge un valor de la lista" type="list">
      <formula1>"CONTINUO,DISCONTINUO"</formula1>
    </dataValidation>
    <dataValidation sqref="G148" showDropDown="0" showInputMessage="0" showErrorMessage="0" allowBlank="0" errorTitle="Valor no válido" error="Escoge un valor de la lista" type="list">
      <formula1>"CONTINUO,DISCONTINUO"</formula1>
    </dataValidation>
    <dataValidation sqref="G149" showDropDown="0" showInputMessage="0" showErrorMessage="0" allowBlank="0" errorTitle="Valor no válido" error="Escoge un valor de la lista" type="list">
      <formula1>"CONTINUO,DISCONTINUO"</formula1>
    </dataValidation>
    <dataValidation sqref="G150" showDropDown="0" showInputMessage="0" showErrorMessage="0" allowBlank="0" errorTitle="Valor no válido" error="Escoge un valor de la lista" type="list">
      <formula1>"CONTINUO,DISCONTINUO"</formula1>
    </dataValidation>
    <dataValidation sqref="G151" showDropDown="0" showInputMessage="0" showErrorMessage="0" allowBlank="0" errorTitle="Valor no válido" error="Escoge un valor de la lista" type="list">
      <formula1>"CONTINUO,DISCONTINUO"</formula1>
    </dataValidation>
    <dataValidation sqref="G152" showDropDown="0" showInputMessage="0" showErrorMessage="0" allowBlank="0" errorTitle="Valor no válido" error="Escoge un valor de la lista" type="list">
      <formula1>"CONTINUO,DISCONTINUO"</formula1>
    </dataValidation>
    <dataValidation sqref="G153" showDropDown="0" showInputMessage="0" showErrorMessage="0" allowBlank="0" errorTitle="Valor no válido" error="Escoge un valor de la lista" type="list">
      <formula1>"CONTINUO,DISCONTINUO"</formula1>
    </dataValidation>
    <dataValidation sqref="G154" showDropDown="0" showInputMessage="0" showErrorMessage="0" allowBlank="0" errorTitle="Valor no válido" error="Escoge un valor de la lista" type="list">
      <formula1>"CONTINUO,DISCONTINUO"</formula1>
    </dataValidation>
    <dataValidation sqref="G155" showDropDown="0" showInputMessage="0" showErrorMessage="0" allowBlank="0" errorTitle="Valor no válido" error="Escoge un valor de la lista" type="list">
      <formula1>"CONTINUO,DISCONTINUO"</formula1>
    </dataValidation>
    <dataValidation sqref="G156" showDropDown="0" showInputMessage="0" showErrorMessage="0" allowBlank="0" errorTitle="Valor no válido" error="Escoge un valor de la lista" type="list">
      <formula1>"CONTINUO,DISCONTINUO"</formula1>
    </dataValidation>
  </dataValidations>
  <pageMargins left="0.75" right="0.75" top="1" bottom="1" header="0.5" footer="0.5"/>
  <pageSetup orientation="landscape" paperSize="1"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B1:F99"/>
  <sheetViews>
    <sheetView showGridLines="0" workbookViewId="0">
      <selection activeCell="A1" sqref="A1"/>
    </sheetView>
  </sheetViews>
  <sheetFormatPr baseColWidth="8" defaultRowHeight="15"/>
  <cols>
    <col width="1.78" customWidth="1" min="1" max="1"/>
    <col width="46" customWidth="1" min="2" max="2"/>
    <col width="17" customWidth="1" min="3" max="3"/>
    <col width="9" customWidth="1" min="4" max="4"/>
    <col width="54" customWidth="1" min="5" max="5"/>
    <col width="44" customWidth="1" min="6" max="6"/>
  </cols>
  <sheetData>
    <row r="1" ht="26" customHeight="1">
      <c r="B1" s="1" t="inlineStr">
        <is>
          <t>CARGAS — PESO PROPIO, SOBRECARGA, CARGA VIVA Y CARGAS LINEALES</t>
        </is>
      </c>
    </row>
    <row r="2" ht="30" customHeight="1">
      <c r="B2" s="2" t="inlineStr">
        <is>
          <t>La sobrecarga de cada tablero se toma del modelo (varía de 160 a 315 kg/m²) y vive en TABLEROS. Aquí está el desglose de referencia de Naim, los incrementos de la NTC y las cargas lineales del modelo.</t>
        </is>
      </c>
    </row>
    <row r="3" ht="6" customHeight="1"/>
    <row r="4" ht="21" customHeight="1">
      <c r="B4" s="5" t="inlineStr">
        <is>
          <t>1. PESO PROPIO DE LA LOSA NERVADA</t>
        </is>
      </c>
    </row>
    <row r="5" ht="30" customHeight="1">
      <c r="B5" s="8" t="inlineStr">
        <is>
          <t>Concepto</t>
        </is>
      </c>
      <c r="C5" s="8" t="inlineStr">
        <is>
          <t>Valor</t>
        </is>
      </c>
      <c r="D5" s="8" t="inlineStr">
        <is>
          <t>Unidad</t>
        </is>
      </c>
      <c r="E5" s="8" t="inlineStr">
        <is>
          <t>Cómo se calcula / de dónde sale</t>
        </is>
      </c>
      <c r="F5" s="8" t="inlineStr">
        <is>
          <t>Referencia</t>
        </is>
      </c>
    </row>
    <row r="6" ht="19.5" customHeight="1">
      <c r="B6" s="9" t="inlineStr">
        <is>
          <t>Peso propio geométrico LR-25 (con casetón)</t>
        </is>
      </c>
      <c r="C6" s="26">
        <f>DATOS!$C$70</f>
        <v>253.673469387755</v>
      </c>
      <c r="D6" s="11" t="inlineStr">
        <is>
          <t>kg/m²</t>
        </is>
      </c>
      <c r="E6" s="12" t="inlineStr">
        <is>
          <t>Enlazado a DATOS sección 4.</t>
        </is>
      </c>
      <c r="F6" s="13" t="inlineStr">
        <is>
          <t>DATOS</t>
        </is>
      </c>
    </row>
    <row r="7" ht="19.5" customHeight="1">
      <c r="B7" s="9" t="inlineStr">
        <is>
          <t>Incremento por losa colada en el lugar</t>
        </is>
      </c>
      <c r="C7" s="45">
        <f>DATOS!$C$95</f>
        <v>20</v>
      </c>
      <c r="D7" s="11" t="inlineStr">
        <is>
          <t>kg/m²</t>
        </is>
      </c>
      <c r="E7" s="12" t="inlineStr">
        <is>
          <t>DATOS sección 5.</t>
        </is>
      </c>
      <c r="F7" s="13" t="inlineStr">
        <is>
          <t>NTC-Criterios y Acciones 2023 (CDMX) 5.1.2.1, p. 9</t>
        </is>
      </c>
    </row>
    <row r="8" ht="30" customHeight="1">
      <c r="B8" s="9" t="inlineStr">
        <is>
          <t>Incremento por capa de mortero</t>
        </is>
      </c>
      <c r="C8" s="45">
        <f>DATOS!$C$96</f>
        <v>20</v>
      </c>
      <c r="D8" s="11" t="inlineStr">
        <is>
          <t>kg/m²</t>
        </is>
      </c>
      <c r="E8" s="12" t="inlineStr">
        <is>
          <t>DATOS sección 5. No se aplica donde la carga muerta es favorable (p. ej. el claro que equilibra un volado).</t>
        </is>
      </c>
      <c r="F8" s="13" t="inlineStr">
        <is>
          <t>NTC-Criterios y Acciones 2023 (CDMX) 5.1.2.1 y 5.1.2.2, p. 9</t>
        </is>
      </c>
    </row>
    <row r="9" ht="19.5" customHeight="1">
      <c r="B9" s="9" t="inlineStr">
        <is>
          <t>Peso propio de diseño</t>
        </is>
      </c>
      <c r="C9" s="16">
        <f>DATOS!$C$70+DATOS!$C$95+DATOS!$C$96</f>
        <v>293.673469387755</v>
      </c>
      <c r="D9" s="11" t="inlineStr">
        <is>
          <t>kg/m²</t>
        </is>
      </c>
      <c r="E9" s="12" t="inlineStr">
        <is>
          <t>Suma de los tres renglones. Es el que usa TABLEROS.</t>
        </is>
      </c>
      <c r="F9" s="13" t="inlineStr">
        <is>
          <t>NTC-Criterios y Acciones 2023 (CDMX) 5.1.2.1, p. 9</t>
        </is>
      </c>
    </row>
    <row r="10" ht="19.5" customHeight="1">
      <c r="B10" s="9" t="inlineStr">
        <is>
          <t>Peso propio que trae el modelo</t>
        </is>
      </c>
      <c r="C10" s="26">
        <f>DATOS!$C$71</f>
        <v>251.427</v>
      </c>
      <c r="D10" s="11" t="inlineStr">
        <is>
          <t>kg/m²</t>
        </is>
      </c>
      <c r="E10" s="12" t="inlineStr">
        <is>
          <t>Enlazado a DATOS sección 4.</t>
        </is>
      </c>
      <c r="F10" s="13" t="inlineStr">
        <is>
          <t>001_EST_CROCHA_R3.2.e2k</t>
        </is>
      </c>
    </row>
    <row r="11" ht="6" customHeight="1"/>
    <row r="12" ht="21" customHeight="1">
      <c r="B12" s="5" t="inlineStr">
        <is>
          <t>2. SOBRECARGA MUERTA — DESGLOSE DE REFERENCIA (NAIM)</t>
        </is>
      </c>
    </row>
    <row r="13" ht="30" customHeight="1">
      <c r="B13" s="6" t="inlineStr">
        <is>
          <t>Sólo de referencia: no entra en ningún cálculo. Sirve para juzgar si las sobrecargas del modelo (columna SCM de TABLEROS) son razonables. Ojo: la «carga adicional 0.04 t/m²» de Naim es el mismo incremento de 40 kg/m² de 5.1.2.1.</t>
        </is>
      </c>
      <c r="C13" s="7" t="n"/>
      <c r="D13" s="7" t="n"/>
      <c r="E13" s="7" t="n"/>
      <c r="F13" s="7" t="n"/>
    </row>
    <row r="14" ht="30" customHeight="1">
      <c r="B14" s="8" t="inlineStr">
        <is>
          <t>Concepto</t>
        </is>
      </c>
      <c r="C14" s="8" t="inlineStr">
        <is>
          <t>Carga</t>
        </is>
      </c>
      <c r="D14" s="8" t="inlineStr">
        <is>
          <t>Unidad</t>
        </is>
      </c>
      <c r="E14" s="8" t="inlineStr">
        <is>
          <t>Cómo se obtiene</t>
        </is>
      </c>
      <c r="F14" s="8" t="inlineStr">
        <is>
          <t>Referencia</t>
        </is>
      </c>
    </row>
    <row r="15" ht="30" customHeight="1">
      <c r="B15" s="9" t="inlineStr">
        <is>
          <t>Entrepiso — relleno 8 cm</t>
        </is>
      </c>
      <c r="C15" s="21" t="n">
        <v>0.13</v>
      </c>
      <c r="D15" s="11" t="inlineStr">
        <is>
          <t>t/m²</t>
        </is>
      </c>
      <c r="E15" s="12" t="inlineStr">
        <is>
          <t>1.60 t/m³ × 0.08 m</t>
        </is>
      </c>
      <c r="F15" s="13" t="inlineStr">
        <is>
          <t>Naim — CASA HABITACIÓN, MEMORIA DE CÁLCULO (sep-2024) · pág. 5, CARGAS DE ENTREPISO</t>
        </is>
      </c>
    </row>
    <row r="16" ht="30" customHeight="1">
      <c r="B16" s="9" t="inlineStr">
        <is>
          <t>Entrepiso — piso 3 cm</t>
        </is>
      </c>
      <c r="C16" s="21" t="n">
        <v>0.06</v>
      </c>
      <c r="D16" s="11" t="inlineStr">
        <is>
          <t>t/m²</t>
        </is>
      </c>
      <c r="E16" s="12" t="inlineStr">
        <is>
          <t>2.00 t/m³ × 0.03 m</t>
        </is>
      </c>
      <c r="F16" s="13" t="inlineStr">
        <is>
          <t>Naim — CASA HABITACIÓN, MEMORIA DE CÁLCULO (sep-2024) · pág. 5, CARGAS DE ENTREPISO</t>
        </is>
      </c>
    </row>
    <row r="17" ht="30" customHeight="1">
      <c r="B17" s="9" t="inlineStr">
        <is>
          <t>Entrepiso — pegapiso 3 cm</t>
        </is>
      </c>
      <c r="C17" s="21" t="n">
        <v>0.05</v>
      </c>
      <c r="D17" s="11" t="inlineStr">
        <is>
          <t>t/m²</t>
        </is>
      </c>
      <c r="E17" s="12" t="inlineStr">
        <is>
          <t>1.50 t/m³ × 0.03 m</t>
        </is>
      </c>
      <c r="F17" s="13" t="inlineStr">
        <is>
          <t>Naim — CASA HABITACIÓN, MEMORIA DE CÁLCULO (sep-2024) · pág. 5, CARGAS DE ENTREPISO</t>
        </is>
      </c>
    </row>
    <row r="18" ht="30" customHeight="1">
      <c r="B18" s="9" t="inlineStr">
        <is>
          <t>Entrepiso — yeso 3 cm</t>
        </is>
      </c>
      <c r="C18" s="21" t="n">
        <v>0.05</v>
      </c>
      <c r="D18" s="11" t="inlineStr">
        <is>
          <t>t/m²</t>
        </is>
      </c>
      <c r="E18" s="12" t="inlineStr">
        <is>
          <t>1.50 t/m³ × 0.03 m</t>
        </is>
      </c>
      <c r="F18" s="13" t="inlineStr">
        <is>
          <t>Naim — CASA HABITACIÓN, MEMORIA DE CÁLCULO (sep-2024) · pág. 5, CARGAS DE ENTREPISO</t>
        </is>
      </c>
    </row>
    <row r="19" ht="30" customHeight="1">
      <c r="B19" s="9" t="inlineStr">
        <is>
          <t>Entrepiso — instalaciones</t>
        </is>
      </c>
      <c r="C19" s="21" t="n">
        <v>0.02</v>
      </c>
      <c r="D19" s="11" t="inlineStr">
        <is>
          <t>t/m²</t>
        </is>
      </c>
      <c r="E19" s="12" t="inlineStr">
        <is>
          <t>—</t>
        </is>
      </c>
      <c r="F19" s="13" t="inlineStr">
        <is>
          <t>Naim — CASA HABITACIÓN, MEMORIA DE CÁLCULO (sep-2024) · pág. 5, CARGAS DE ENTREPISO</t>
        </is>
      </c>
    </row>
    <row r="20" ht="30" customHeight="1">
      <c r="B20" s="9" t="inlineStr">
        <is>
          <t>Entrepiso — carga adicional</t>
        </is>
      </c>
      <c r="C20" s="21" t="n">
        <v>0.04</v>
      </c>
      <c r="D20" s="11" t="inlineStr">
        <is>
          <t>t/m²</t>
        </is>
      </c>
      <c r="E20" s="12" t="inlineStr">
        <is>
          <t>—</t>
        </is>
      </c>
      <c r="F20" s="13" t="inlineStr">
        <is>
          <t>Naim — CASA HABITACIÓN, MEMORIA DE CÁLCULO (sep-2024) · pág. 5, CARGAS DE ENTREPISO</t>
        </is>
      </c>
    </row>
    <row r="21" ht="43.5" customHeight="1">
      <c r="B21" s="9" t="inlineStr">
        <is>
          <t>Entrepiso — TOTAL según Naim</t>
        </is>
      </c>
      <c r="C21" s="29" t="n">
        <v>0.33</v>
      </c>
      <c r="D21" s="11" t="inlineStr">
        <is>
          <t>t/m²</t>
        </is>
      </c>
      <c r="E21" s="12" t="inlineStr">
        <is>
          <t>Naim reporta 0.33 (subtotal 0.29 + carga adicional 0.04); la suma de los renglones de arriba da 0.35 (0.338 sin redondear).</t>
        </is>
      </c>
      <c r="F21" s="13" t="inlineStr">
        <is>
          <t>Naim — CASA HABITACIÓN, MEMORIA DE CÁLCULO (sep-2024) · pág. 5</t>
        </is>
      </c>
    </row>
    <row r="22" ht="30" customHeight="1">
      <c r="B22" s="9" t="inlineStr">
        <is>
          <t>Azotea — relleno 10 cm</t>
        </is>
      </c>
      <c r="C22" s="21" t="n">
        <v>0.16</v>
      </c>
      <c r="D22" s="11" t="inlineStr">
        <is>
          <t>t/m²</t>
        </is>
      </c>
      <c r="E22" s="12" t="inlineStr">
        <is>
          <t>1.60 t/m³ × 0.10 m</t>
        </is>
      </c>
      <c r="F22" s="13" t="inlineStr">
        <is>
          <t>Naim — CASA HABITACIÓN, MEMORIA DE CÁLCULO (sep-2024) · pág. 5, CARGAS DE AZOTEA</t>
        </is>
      </c>
    </row>
    <row r="23" ht="30" customHeight="1">
      <c r="B23" s="9" t="inlineStr">
        <is>
          <t>Azotea — yeso 3 cm</t>
        </is>
      </c>
      <c r="C23" s="21" t="n">
        <v>0.05</v>
      </c>
      <c r="D23" s="11" t="inlineStr">
        <is>
          <t>t/m²</t>
        </is>
      </c>
      <c r="E23" s="12" t="inlineStr">
        <is>
          <t>1.50 t/m³ × 0.03 m</t>
        </is>
      </c>
      <c r="F23" s="13" t="inlineStr">
        <is>
          <t>Naim — CASA HABITACIÓN, MEMORIA DE CÁLCULO (sep-2024) · pág. 5, CARGAS DE AZOTEA</t>
        </is>
      </c>
    </row>
    <row r="24" ht="30" customHeight="1">
      <c r="B24" s="9" t="inlineStr">
        <is>
          <t>Azotea — impermeabilizante</t>
        </is>
      </c>
      <c r="C24" s="21" t="n">
        <v>0.03</v>
      </c>
      <c r="D24" s="11" t="inlineStr">
        <is>
          <t>t/m²</t>
        </is>
      </c>
      <c r="E24" s="12" t="inlineStr">
        <is>
          <t>1.40 t/m³ × 0.02 m</t>
        </is>
      </c>
      <c r="F24" s="13" t="inlineStr">
        <is>
          <t>Naim — CASA HABITACIÓN, MEMORIA DE CÁLCULO (sep-2024) · pág. 5, CARGAS DE AZOTEA</t>
        </is>
      </c>
    </row>
    <row r="25" ht="30" customHeight="1">
      <c r="B25" s="9" t="inlineStr">
        <is>
          <t>Azotea — instalaciones</t>
        </is>
      </c>
      <c r="C25" s="21" t="n">
        <v>0.02</v>
      </c>
      <c r="D25" s="11" t="inlineStr">
        <is>
          <t>t/m²</t>
        </is>
      </c>
      <c r="E25" s="12" t="inlineStr">
        <is>
          <t>—</t>
        </is>
      </c>
      <c r="F25" s="13" t="inlineStr">
        <is>
          <t>Naim — CASA HABITACIÓN, MEMORIA DE CÁLCULO (sep-2024) · pág. 5, CARGAS DE AZOTEA</t>
        </is>
      </c>
    </row>
    <row r="26" ht="30" customHeight="1">
      <c r="B26" s="9" t="inlineStr">
        <is>
          <t>Azotea — carga adicional</t>
        </is>
      </c>
      <c r="C26" s="21" t="n">
        <v>0.04</v>
      </c>
      <c r="D26" s="11" t="inlineStr">
        <is>
          <t>t/m²</t>
        </is>
      </c>
      <c r="E26" s="12" t="inlineStr">
        <is>
          <t>—</t>
        </is>
      </c>
      <c r="F26" s="13" t="inlineStr">
        <is>
          <t>Naim — CASA HABITACIÓN, MEMORIA DE CÁLCULO (sep-2024) · pág. 5, CARGAS DE AZOTEA</t>
        </is>
      </c>
    </row>
    <row r="27" ht="30" customHeight="1">
      <c r="B27" s="9" t="inlineStr">
        <is>
          <t>Azotea — TOTAL según Naim</t>
        </is>
      </c>
      <c r="C27" s="29" t="n">
        <v>0.29</v>
      </c>
      <c r="D27" s="11" t="inlineStr">
        <is>
          <t>t/m²</t>
        </is>
      </c>
      <c r="E27" s="12" t="inlineStr">
        <is>
          <t>Naim reporta 0.29 (la suma de renglones da 0.30).</t>
        </is>
      </c>
      <c r="F27" s="13" t="inlineStr">
        <is>
          <t>Naim — CASA HABITACIÓN, MEMORIA DE CÁLCULO (sep-2024) · pág. 5</t>
        </is>
      </c>
    </row>
    <row r="28" ht="30" customHeight="1">
      <c r="B28" s="9" t="inlineStr">
        <is>
          <t>Sobrecarga del modelo — mínima y máxima en entrepiso</t>
        </is>
      </c>
      <c r="C28" s="20" t="str">
        <f>TEXT(MIN(TABLEROS!$T$9:$T$28),"0")&amp;" a "&amp;TEXT(MAX(TABLEROS!$T$9:$T$28),"0")</f>
        <v>160 a 270</v>
      </c>
      <c r="D28" s="11" t="inlineStr">
        <is>
          <t>kg/m²</t>
        </is>
      </c>
      <c r="E28" s="12" t="inlineStr">
        <is>
          <t>Rango de la columna SCM de TABLEROS para N+3.00.</t>
        </is>
      </c>
      <c r="F28" s="13" t="inlineStr">
        <is>
          <t>001_EST_CROCHA_R3.2.e2k · AREALOAD "Sobrecarga"</t>
        </is>
      </c>
    </row>
    <row r="29" ht="30" customHeight="1">
      <c r="B29" s="9" t="inlineStr">
        <is>
          <t>Sobrecarga del modelo — mínima y máxima en azotea</t>
        </is>
      </c>
      <c r="C29" s="20" t="str">
        <f>TEXT(MIN(TABLEROS!$T$29:$T$40),"0")&amp;" a "&amp;TEXT(MAX(TABLEROS!$T$29:$T$40),"0")</f>
        <v>270 a 315</v>
      </c>
      <c r="D29" s="11" t="inlineStr">
        <is>
          <t>kg/m²</t>
        </is>
      </c>
      <c r="E29" s="12" t="inlineStr">
        <is>
          <t>Rango de la columna SCM de TABLEROS para N+6.00.</t>
        </is>
      </c>
      <c r="F29" s="13" t="inlineStr">
        <is>
          <t>001_EST_CROCHA_R3.2.e2k · AREALOAD "Sobrecarga"</t>
        </is>
      </c>
    </row>
    <row r="30" ht="6" customHeight="1"/>
    <row r="31" ht="21" customHeight="1">
      <c r="B31" s="5" t="inlineStr">
        <is>
          <t>3. COMBINACIONES DE DISEÑO</t>
        </is>
      </c>
    </row>
    <row r="32" ht="30" customHeight="1">
      <c r="B32" s="8" t="inlineStr">
        <is>
          <t>Concepto</t>
        </is>
      </c>
      <c r="C32" s="8" t="inlineStr">
        <is>
          <t>Valor</t>
        </is>
      </c>
      <c r="D32" s="8" t="inlineStr">
        <is>
          <t>Unidad</t>
        </is>
      </c>
      <c r="E32" s="8" t="inlineStr">
        <is>
          <t>Cómo se calcula / de dónde sale</t>
        </is>
      </c>
      <c r="F32" s="8" t="inlineStr">
        <is>
          <t>Referencia</t>
        </is>
      </c>
    </row>
    <row r="33" ht="19.5" customHeight="1">
      <c r="B33" s="9" t="inlineStr">
        <is>
          <t>Carga muerta CM = PP de diseño + SCM</t>
        </is>
      </c>
      <c r="C33" s="20" t="inlineStr">
        <is>
          <t>por tablero</t>
        </is>
      </c>
      <c r="D33" s="11" t="inlineStr">
        <is>
          <t>—</t>
        </is>
      </c>
      <c r="E33" s="12" t="inlineStr">
        <is>
          <t>TABLEROS, columna CM.</t>
        </is>
      </c>
      <c r="F33" s="13" t="inlineStr">
        <is>
          <t>NTC-Criterios y Acciones 2023 (CDMX) 5.1.2.1, p. 9</t>
        </is>
      </c>
    </row>
    <row r="34" ht="43.5" customHeight="1">
      <c r="B34" s="9" t="inlineStr">
        <is>
          <t>w_u gravitacional = 1.3·CM + 1.5·W_m</t>
        </is>
      </c>
      <c r="C34" s="20" t="inlineStr">
        <is>
          <t>por tablero</t>
        </is>
      </c>
      <c r="D34" s="11" t="inlineStr">
        <is>
          <t>—</t>
        </is>
      </c>
      <c r="E34" s="12" t="inlineStr">
        <is>
          <t>TABLEROS, columna w_u. Grupo B. W_m uniforme en todos los tableros a la vez: se permite porque W_m ≤ 0.75·CM.</t>
        </is>
      </c>
      <c r="F34" s="13" t="inlineStr">
        <is>
          <t>NTC-Criterios y Acciones 2023 (CDMX) 2.3.1 a), p. 5 y 3.4.1 a), p. 7 · NTC-Concreto 2023 (CDMX) 3.3.2.2.3, p. 50</t>
        </is>
      </c>
    </row>
    <row r="35" ht="43.5" customHeight="1">
      <c r="B35" s="9" t="inlineStr">
        <is>
          <t>w_u con granizo (sólo azotea) = 1.1·(CM + W_g)</t>
        </is>
      </c>
      <c r="C35" s="45">
        <f>DATOS!$C$57*(CARGAS!$C$9+270+DATOS!$C$97)</f>
        <v>743.790816326531</v>
      </c>
      <c r="D35" s="11" t="inlineStr">
        <is>
          <t>kg/m²</t>
        </is>
      </c>
      <c r="E35" s="12" t="inlineStr">
        <is>
          <t>Ejemplo con SCM = 270 kg/m². En TABLEROS se toma el mayor de las dos combinaciones; en azotea manda la gravitacional.</t>
        </is>
      </c>
      <c r="F35" s="13" t="inlineStr">
        <is>
          <t>NTC-Criterios y Acciones 2023 (CDMX) 3.4.1 b), p. 7 · 7.3.1.1 y 7.3.1.3, p. 17</t>
        </is>
      </c>
    </row>
    <row r="36" ht="30" customHeight="1">
      <c r="B36" s="9" t="inlineStr">
        <is>
          <t>w de servicio = CM + W_m</t>
        </is>
      </c>
      <c r="C36" s="20" t="inlineStr">
        <is>
          <t>por tablero</t>
        </is>
      </c>
      <c r="D36" s="11" t="inlineStr">
        <is>
          <t>—</t>
        </is>
      </c>
      <c r="E36" s="12" t="inlineStr">
        <is>
          <t>TABLEROS, columna w serv. Factor de carga 1.0.</t>
        </is>
      </c>
      <c r="F36" s="13" t="inlineStr">
        <is>
          <t>NTC-Criterios y Acciones 2023 (CDMX) 3.3.2, p. 6 y 3.4.1 d), p. 7</t>
        </is>
      </c>
    </row>
    <row r="37" ht="30" customHeight="1">
      <c r="B37" s="9" t="inlineStr">
        <is>
          <t>Carga sostenida para flechas diferidas = CM + W</t>
        </is>
      </c>
      <c r="C37" s="20" t="inlineStr">
        <is>
          <t>por tramo</t>
        </is>
      </c>
      <c r="D37" s="11" t="inlineStr">
        <is>
          <t>—</t>
        </is>
      </c>
      <c r="E37" s="12" t="inlineStr">
        <is>
          <t>PRINCIPALES, revisión de flechas.</t>
        </is>
      </c>
      <c r="F37" s="13" t="inlineStr">
        <is>
          <t>NTC-Criterios y Acciones 2023 (CDMX) 6.1.2.1 c), p. 10</t>
        </is>
      </c>
    </row>
    <row r="38" ht="6" customHeight="1"/>
    <row r="39" ht="21" customHeight="1">
      <c r="B39" s="5" t="inlineStr">
        <is>
          <t>4. CARGAS CONCENTRADAS QUE PIDE LA NORMA</t>
        </is>
      </c>
    </row>
    <row r="40" ht="30" customHeight="1">
      <c r="B40" s="8" t="inlineStr">
        <is>
          <t>Concepto</t>
        </is>
      </c>
      <c r="C40" s="8" t="inlineStr">
        <is>
          <t>Valor</t>
        </is>
      </c>
      <c r="D40" s="8" t="inlineStr">
        <is>
          <t>Unidad</t>
        </is>
      </c>
      <c r="E40" s="8" t="inlineStr">
        <is>
          <t>Cómo se calcula / de dónde sale</t>
        </is>
      </c>
      <c r="F40" s="8" t="inlineStr">
        <is>
          <t>Referencia</t>
        </is>
      </c>
    </row>
    <row r="41" ht="43.5" customHeight="1">
      <c r="B41" s="9" t="inlineStr">
        <is>
          <t>Capa entre nervaduras: carga concentrada mínima</t>
        </is>
      </c>
      <c r="C41" s="10" t="n">
        <v>1000</v>
      </c>
      <c r="D41" s="11" t="inlineStr">
        <is>
          <t>kg</t>
        </is>
      </c>
      <c r="E41" s="12" t="inlineStr">
        <is>
          <t>En un área de 10 × 10 cm en la posición más desfavorable. Se revisa en NERVADURA sección 11 (flexión, punzonamiento y acero mínimo de la capa).</t>
        </is>
      </c>
      <c r="F41" s="13" t="inlineStr">
        <is>
          <t>NTC-Concreto 2023 (CDMX) 6.7.8.1.6, p. 187 · 6.7.8.1.8, p. 188</t>
        </is>
      </c>
    </row>
    <row r="42" ht="30" customHeight="1">
      <c r="B42" s="9" t="inlineStr">
        <is>
          <t>Habitación: carga en lugar de W_m cuando sea más desfavorable</t>
        </is>
      </c>
      <c r="C42" s="45" t="n">
        <v>500</v>
      </c>
      <c r="D42" s="11" t="inlineStr">
        <is>
          <t>kg</t>
        </is>
      </c>
      <c r="E42" s="12" t="inlineStr">
        <is>
          <t>En 50 × 50 cm. La cubre la revisión de 1 000 kg en 10 × 10 cm.</t>
        </is>
      </c>
      <c r="F42" s="13" t="inlineStr">
        <is>
          <t>NTC-Criterios y Acciones 2023 (CDMX) Tabla 6.1.2.2 nota [1], p. 11</t>
        </is>
      </c>
    </row>
    <row r="43" ht="30" customHeight="1">
      <c r="B43" s="9" t="inlineStr">
        <is>
          <t>Azotea: carga concentrada en la posición más crítica</t>
        </is>
      </c>
      <c r="C43" s="45" t="n">
        <v>100</v>
      </c>
      <c r="D43" s="11" t="inlineStr">
        <is>
          <t>kg</t>
        </is>
      </c>
      <c r="E43" s="12" t="inlineStr">
        <is>
          <t>La cubre la revisión de 1 000 kg. Tinacos y equipos van aparte y deben indicarse en planos.</t>
        </is>
      </c>
      <c r="F43" s="13" t="inlineStr">
        <is>
          <t>NTC-Criterios y Acciones 2023 (CDMX) Tabla 6.1.2.2 notas [7] y [8], p. 12</t>
        </is>
      </c>
    </row>
    <row r="44" ht="43.5" customHeight="1">
      <c r="B44" s="9" t="inlineStr">
        <is>
          <t>Carga transitoria al colar la azotea sobre el entrepiso</t>
        </is>
      </c>
      <c r="C44" s="45" t="n">
        <v>150</v>
      </c>
      <c r="D44" s="11" t="inlineStr">
        <is>
          <t>kg/m²</t>
        </is>
      </c>
      <c r="E44" s="12" t="inlineStr">
        <is>
          <t>Más el peso del colado y la cimbra, y 150 kg concentrados. Indicar en planos el apuntalamiento a planta baja mientras se cuela N+6.00.</t>
        </is>
      </c>
      <c r="F44" s="13" t="inlineStr">
        <is>
          <t>NTC-Criterios y Acciones 2023 (CDMX) 6.1.3.1, p. 10</t>
        </is>
      </c>
    </row>
    <row r="45" ht="43.5" customHeight="1">
      <c r="B45" s="9" t="inlineStr">
        <is>
          <t>Temperatura en la estructura</t>
        </is>
      </c>
      <c r="C45" s="20" t="inlineStr">
        <is>
          <t>se omite</t>
        </is>
      </c>
      <c r="D45" s="11" t="inlineStr">
        <is>
          <t>—</t>
        </is>
      </c>
      <c r="E45" s="12" t="inlineStr">
        <is>
          <t>Dimensiones &lt; 30 m, miembros de ejes rectos y azotea protegida (relleno + impermeabilizante; la norma pide «al menos un enladrillado»: confirmarlo).</t>
        </is>
      </c>
      <c r="F45" s="13" t="inlineStr">
        <is>
          <t>NTC-Criterios y Acciones 2023 (CDMX) 6.2.3.1, p. 13</t>
        </is>
      </c>
    </row>
    <row r="46" ht="6" customHeight="1"/>
    <row r="47" ht="21" customHeight="1">
      <c r="B47" s="5" t="inlineStr">
        <is>
          <t>5. CARGAS LINEALES QUE TRAE EL MODELO (BARANDALES, MUROS BAJOS, PRETILES Y ESCALERA)</t>
        </is>
      </c>
    </row>
    <row r="48" ht="30" customHeight="1">
      <c r="B48" s="6" t="inlineStr">
        <is>
          <t>Se suman a la nervadura principal sobre la que caen (PRINCIPALES, columnas SCM y CV lineal). Las de 333.7 kg/m en las orillas de F80012 y F80019 entran como carga en la orilla del volado.</t>
        </is>
      </c>
      <c r="C48" s="7" t="n"/>
      <c r="D48" s="7" t="n"/>
      <c r="E48" s="7" t="n"/>
      <c r="F48" s="7" t="n"/>
    </row>
    <row r="49" ht="30" customHeight="1">
      <c r="B49" s="8" t="inlineStr">
        <is>
          <t>Viga · nivel · caso</t>
        </is>
      </c>
      <c r="C49" s="8" t="inlineStr">
        <is>
          <t>w</t>
        </is>
      </c>
      <c r="D49" s="8" t="inlineStr">
        <is>
          <t>Unidad</t>
        </is>
      </c>
      <c r="E49" s="8" t="inlineStr">
        <is>
          <t>Dónde (de – a) y largo cargado</t>
        </is>
      </c>
      <c r="F49" s="8" t="inlineStr">
        <is>
          <t>Fuente</t>
        </is>
      </c>
    </row>
    <row r="50" ht="19.5" customHeight="1">
      <c r="B50" s="9" t="inlineStr">
        <is>
          <t>B50063 · N+3.00 · Sobrecarga</t>
        </is>
      </c>
      <c r="C50" s="26" t="n">
        <v>206</v>
      </c>
      <c r="D50" s="11" t="inlineStr">
        <is>
          <t>kg/m</t>
        </is>
      </c>
      <c r="E50" s="12" t="inlineStr">
        <is>
          <t>de (4.327, 5.946) a (5.298, 5.946) · 0.97 m</t>
        </is>
      </c>
      <c r="F50" s="13" t="inlineStr">
        <is>
          <t>001_EST_CROCHA_R3.2.e2k · FRAME OBJECT LOADS</t>
        </is>
      </c>
    </row>
    <row r="51" ht="19.5" customHeight="1">
      <c r="B51" s="9" t="inlineStr">
        <is>
          <t>B50066 · N+3.00 · Sobrecarga</t>
        </is>
      </c>
      <c r="C51" s="26" t="n">
        <v>50</v>
      </c>
      <c r="D51" s="11" t="inlineStr">
        <is>
          <t>kg/m</t>
        </is>
      </c>
      <c r="E51" s="12" t="inlineStr">
        <is>
          <t>de (5.460, 6.948) a (5.923, 6.948) · 0.46 m</t>
        </is>
      </c>
      <c r="F51" s="13" t="inlineStr">
        <is>
          <t>001_EST_CROCHA_R3.2.e2k · FRAME OBJECT LOADS</t>
        </is>
      </c>
    </row>
    <row r="52" ht="19.5" customHeight="1">
      <c r="B52" s="9" t="inlineStr">
        <is>
          <t>B50069 · N+3.00 · Sobrecarga</t>
        </is>
      </c>
      <c r="C52" s="26" t="n">
        <v>50</v>
      </c>
      <c r="D52" s="11" t="inlineStr">
        <is>
          <t>kg/m</t>
        </is>
      </c>
      <c r="E52" s="12" t="inlineStr">
        <is>
          <t>de (5.460, 8.910) a (7.350, 8.910) · 1.89 m</t>
        </is>
      </c>
      <c r="F52" s="13" t="inlineStr">
        <is>
          <t>001_EST_CROCHA_R3.2.e2k · FRAME OBJECT LOADS</t>
        </is>
      </c>
    </row>
    <row r="53" ht="19.5" customHeight="1">
      <c r="B53" s="9" t="inlineStr">
        <is>
          <t>B50069 · N+3.00 · Sobrecarga</t>
        </is>
      </c>
      <c r="C53" s="26" t="n">
        <v>144</v>
      </c>
      <c r="D53" s="11" t="inlineStr">
        <is>
          <t>kg/m</t>
        </is>
      </c>
      <c r="E53" s="12" t="inlineStr">
        <is>
          <t>de (5.495, 8.910) a (7.350, 8.910) · 1.85 m</t>
        </is>
      </c>
      <c r="F53" s="13" t="inlineStr">
        <is>
          <t>001_EST_CROCHA_R3.2.e2k · FRAME OBJECT LOADS</t>
        </is>
      </c>
    </row>
    <row r="54" ht="19.5" customHeight="1">
      <c r="B54" s="9" t="inlineStr">
        <is>
          <t>B50069 · N+3.00 · Carga Viva Máxima</t>
        </is>
      </c>
      <c r="C54" s="26" t="n">
        <v>35.1</v>
      </c>
      <c r="D54" s="11" t="inlineStr">
        <is>
          <t>kg/m</t>
        </is>
      </c>
      <c r="E54" s="12" t="inlineStr">
        <is>
          <t>de (5.495, 8.910) a (7.350, 8.910) · 1.85 m</t>
        </is>
      </c>
      <c r="F54" s="13" t="inlineStr">
        <is>
          <t>001_EST_CROCHA_R3.2.e2k · FRAME OBJECT LOADS</t>
        </is>
      </c>
    </row>
    <row r="55" ht="19.5" customHeight="1">
      <c r="B55" s="9" t="inlineStr">
        <is>
          <t>B50069 · N+3.00 · Carga Viva Instantanea</t>
        </is>
      </c>
      <c r="C55" s="26" t="n">
        <v>18.5</v>
      </c>
      <c r="D55" s="11" t="inlineStr">
        <is>
          <t>kg/m</t>
        </is>
      </c>
      <c r="E55" s="12" t="inlineStr">
        <is>
          <t>de (5.495, 8.910) a (7.350, 8.910) · 1.85 m</t>
        </is>
      </c>
      <c r="F55" s="13" t="inlineStr">
        <is>
          <t>001_EST_CROCHA_R3.2.e2k · FRAME OBJECT LOADS</t>
        </is>
      </c>
    </row>
    <row r="56" ht="19.5" customHeight="1">
      <c r="B56" s="9" t="inlineStr">
        <is>
          <t>B50069 · N+3.00 · Carga Viva Media</t>
        </is>
      </c>
      <c r="C56" s="26" t="n">
        <v>14.8</v>
      </c>
      <c r="D56" s="11" t="inlineStr">
        <is>
          <t>kg/m</t>
        </is>
      </c>
      <c r="E56" s="12" t="inlineStr">
        <is>
          <t>de (5.495, 8.910) a (7.350, 8.910) · 1.85 m</t>
        </is>
      </c>
      <c r="F56" s="13" t="inlineStr">
        <is>
          <t>001_EST_CROCHA_R3.2.e2k · FRAME OBJECT LOADS</t>
        </is>
      </c>
    </row>
    <row r="57" ht="19.5" customHeight="1">
      <c r="B57" s="9" t="inlineStr">
        <is>
          <t>B50071 · N+3.00 · Sobrecarga</t>
        </is>
      </c>
      <c r="C57" s="26" t="n">
        <v>333.7</v>
      </c>
      <c r="D57" s="11" t="inlineStr">
        <is>
          <t>kg/m</t>
        </is>
      </c>
      <c r="E57" s="12" t="inlineStr">
        <is>
          <t>de (-2.000, 14.021) a (0.000, 14.021) · 2.00 m</t>
        </is>
      </c>
      <c r="F57" s="13" t="inlineStr">
        <is>
          <t>001_EST_CROCHA_R3.2.e2k · FRAME OBJECT LOADS</t>
        </is>
      </c>
    </row>
    <row r="58" ht="19.5" customHeight="1">
      <c r="B58" s="9" t="inlineStr">
        <is>
          <t>B50079 · N+3.00 · Sobrecarga</t>
        </is>
      </c>
      <c r="C58" s="26" t="n">
        <v>294</v>
      </c>
      <c r="D58" s="11" t="inlineStr">
        <is>
          <t>kg/m</t>
        </is>
      </c>
      <c r="E58" s="12" t="inlineStr">
        <is>
          <t>de (-0.000, 21.446) a (5.275, 21.446) · 5.28 m</t>
        </is>
      </c>
      <c r="F58" s="13" t="inlineStr">
        <is>
          <t>001_EST_CROCHA_R3.2.e2k · FRAME OBJECT LOADS</t>
        </is>
      </c>
    </row>
    <row r="59" ht="19.5" customHeight="1">
      <c r="B59" s="9" t="inlineStr">
        <is>
          <t>B50079 · N+3.00 · Sobrecarga</t>
        </is>
      </c>
      <c r="C59" s="26" t="n">
        <v>500</v>
      </c>
      <c r="D59" s="11" t="inlineStr">
        <is>
          <t>kg/m</t>
        </is>
      </c>
      <c r="E59" s="12" t="inlineStr">
        <is>
          <t>de (5.275, 21.446) a (7.250, 21.446) · 1.98 m</t>
        </is>
      </c>
      <c r="F59" s="13" t="inlineStr">
        <is>
          <t>001_EST_CROCHA_R3.2.e2k · FRAME OBJECT LOADS</t>
        </is>
      </c>
    </row>
    <row r="60" ht="19.5" customHeight="1">
      <c r="B60" s="9" t="inlineStr">
        <is>
          <t>B50079 · N+3.00 · Sobrecarga</t>
        </is>
      </c>
      <c r="C60" s="26" t="n">
        <v>206</v>
      </c>
      <c r="D60" s="11" t="inlineStr">
        <is>
          <t>kg/m</t>
        </is>
      </c>
      <c r="E60" s="12" t="inlineStr">
        <is>
          <t>de (7.250, 21.446) a (8.146, 21.446) · 0.90 m</t>
        </is>
      </c>
      <c r="F60" s="13" t="inlineStr">
        <is>
          <t>001_EST_CROCHA_R3.2.e2k · FRAME OBJECT LOADS</t>
        </is>
      </c>
    </row>
    <row r="61" ht="19.5" customHeight="1">
      <c r="B61" s="9" t="inlineStr">
        <is>
          <t>B50084 · N+3.00 · Sobrecarga</t>
        </is>
      </c>
      <c r="C61" s="26" t="n">
        <v>333.7</v>
      </c>
      <c r="D61" s="11" t="inlineStr">
        <is>
          <t>kg/m</t>
        </is>
      </c>
      <c r="E61" s="12" t="inlineStr">
        <is>
          <t>de (7.250, 24.371) a (7.479, 24.371) · 0.23 m</t>
        </is>
      </c>
      <c r="F61" s="13" t="inlineStr">
        <is>
          <t>001_EST_CROCHA_R3.2.e2k · FRAME OBJECT LOADS</t>
        </is>
      </c>
    </row>
    <row r="62" ht="19.5" customHeight="1">
      <c r="B62" s="9" t="inlineStr">
        <is>
          <t>B50084 · N+3.00 · Sobrecarga</t>
        </is>
      </c>
      <c r="C62" s="26" t="n">
        <v>539.7</v>
      </c>
      <c r="D62" s="11" t="inlineStr">
        <is>
          <t>kg/m</t>
        </is>
      </c>
      <c r="E62" s="12" t="inlineStr">
        <is>
          <t>de (7.479, 24.371) a (8.701, 24.371) · 1.22 m</t>
        </is>
      </c>
      <c r="F62" s="13" t="inlineStr">
        <is>
          <t>001_EST_CROCHA_R3.2.e2k · FRAME OBJECT LOADS</t>
        </is>
      </c>
    </row>
    <row r="63" ht="19.5" customHeight="1">
      <c r="B63" s="9" t="inlineStr">
        <is>
          <t>B50084 · N+3.00 · Sobrecarga</t>
        </is>
      </c>
      <c r="C63" s="26" t="n">
        <v>333.7</v>
      </c>
      <c r="D63" s="11" t="inlineStr">
        <is>
          <t>kg/m</t>
        </is>
      </c>
      <c r="E63" s="12" t="inlineStr">
        <is>
          <t>de (8.701, 24.371) a (8.850, 24.371) · 0.15 m</t>
        </is>
      </c>
      <c r="F63" s="13" t="inlineStr">
        <is>
          <t>001_EST_CROCHA_R3.2.e2k · FRAME OBJECT LOADS</t>
        </is>
      </c>
    </row>
    <row r="64" ht="19.5" customHeight="1">
      <c r="B64" s="9" t="inlineStr">
        <is>
          <t>B50085 · N+3.00 · Sobrecarga</t>
        </is>
      </c>
      <c r="C64" s="26" t="n">
        <v>333.7</v>
      </c>
      <c r="D64" s="11" t="inlineStr">
        <is>
          <t>kg/m</t>
        </is>
      </c>
      <c r="E64" s="12" t="inlineStr">
        <is>
          <t>de (-2.000, 14.021) a (-2.000, 17.446) · 3.42 m</t>
        </is>
      </c>
      <c r="F64" s="13" t="inlineStr">
        <is>
          <t>001_EST_CROCHA_R3.2.e2k · FRAME OBJECT LOADS</t>
        </is>
      </c>
    </row>
    <row r="65" ht="19.5" customHeight="1">
      <c r="B65" s="9" t="inlineStr">
        <is>
          <t>B50087 · N+3.00 · Sobrecarga</t>
        </is>
      </c>
      <c r="C65" s="26" t="n">
        <v>333.7</v>
      </c>
      <c r="D65" s="11" t="inlineStr">
        <is>
          <t>kg/m</t>
        </is>
      </c>
      <c r="E65" s="12" t="inlineStr">
        <is>
          <t>de (0.000, 21.446) a (0.000, 23.446) · 2.00 m</t>
        </is>
      </c>
      <c r="F65" s="13" t="inlineStr">
        <is>
          <t>001_EST_CROCHA_R3.2.e2k · FRAME OBJECT LOADS</t>
        </is>
      </c>
    </row>
    <row r="66" ht="19.5" customHeight="1">
      <c r="B66" s="9" t="inlineStr">
        <is>
          <t>B50091 · N+3.00 · Sobrecarga</t>
        </is>
      </c>
      <c r="C66" s="26" t="n">
        <v>294</v>
      </c>
      <c r="D66" s="11" t="inlineStr">
        <is>
          <t>kg/m</t>
        </is>
      </c>
      <c r="E66" s="12" t="inlineStr">
        <is>
          <t>de (4.327, 1.919) a (4.327, 2.921) · 1.00 m</t>
        </is>
      </c>
      <c r="F66" s="13" t="inlineStr">
        <is>
          <t>001_EST_CROCHA_R3.2.e2k · FRAME OBJECT LOADS</t>
        </is>
      </c>
    </row>
    <row r="67" ht="19.5" customHeight="1">
      <c r="B67" s="9" t="inlineStr">
        <is>
          <t>B50091 · N+3.00 · Sobrecarga</t>
        </is>
      </c>
      <c r="C67" s="26" t="n">
        <v>50</v>
      </c>
      <c r="D67" s="11" t="inlineStr">
        <is>
          <t>kg/m</t>
        </is>
      </c>
      <c r="E67" s="12" t="inlineStr">
        <is>
          <t>de (4.327, 7.871) a (4.327, 14.021) · 6.15 m</t>
        </is>
      </c>
      <c r="F67" s="13" t="inlineStr">
        <is>
          <t>001_EST_CROCHA_R3.2.e2k · FRAME OBJECT LOADS</t>
        </is>
      </c>
    </row>
    <row r="68" ht="19.5" customHeight="1">
      <c r="B68" s="9" t="inlineStr">
        <is>
          <t>B50093 · N+3.00 · Sobrecarga</t>
        </is>
      </c>
      <c r="C68" s="26" t="n">
        <v>206</v>
      </c>
      <c r="D68" s="11" t="inlineStr">
        <is>
          <t>kg/m</t>
        </is>
      </c>
      <c r="E68" s="12" t="inlineStr">
        <is>
          <t>de (4.925, 16.396) a (4.925, 17.446) · 1.05 m</t>
        </is>
      </c>
      <c r="F68" s="13" t="inlineStr">
        <is>
          <t>001_EST_CROCHA_R3.2.e2k · FRAME OBJECT LOADS</t>
        </is>
      </c>
    </row>
    <row r="69" ht="19.5" customHeight="1">
      <c r="B69" s="9" t="inlineStr">
        <is>
          <t>B50093 · N+3.00 · Sobrecarga</t>
        </is>
      </c>
      <c r="C69" s="26" t="n">
        <v>206</v>
      </c>
      <c r="D69" s="11" t="inlineStr">
        <is>
          <t>kg/m</t>
        </is>
      </c>
      <c r="E69" s="12" t="inlineStr">
        <is>
          <t>de (4.925, 18.146) a (4.925, 19.200) · 1.05 m</t>
        </is>
      </c>
      <c r="F69" s="13" t="inlineStr">
        <is>
          <t>001_EST_CROCHA_R3.2.e2k · FRAME OBJECT LOADS</t>
        </is>
      </c>
    </row>
    <row r="70" ht="19.5" customHeight="1">
      <c r="B70" s="9" t="inlineStr">
        <is>
          <t>B50095 · N+3.00 · Sobrecarga</t>
        </is>
      </c>
      <c r="C70" s="26" t="n">
        <v>50</v>
      </c>
      <c r="D70" s="11" t="inlineStr">
        <is>
          <t>kg/m</t>
        </is>
      </c>
      <c r="E70" s="12" t="inlineStr">
        <is>
          <t>de (5.460, 6.948) a (5.460, 8.910) · 1.96 m</t>
        </is>
      </c>
      <c r="F70" s="13" t="inlineStr">
        <is>
          <t>001_EST_CROCHA_R3.2.e2k · FRAME OBJECT LOADS</t>
        </is>
      </c>
    </row>
    <row r="71" ht="19.5" customHeight="1">
      <c r="B71" s="9" t="inlineStr">
        <is>
          <t>B50098 · N+3.00 · Sobrecarga</t>
        </is>
      </c>
      <c r="C71" s="26" t="n">
        <v>333.7</v>
      </c>
      <c r="D71" s="11" t="inlineStr">
        <is>
          <t>kg/m</t>
        </is>
      </c>
      <c r="E71" s="12" t="inlineStr">
        <is>
          <t>de (7.250, 23.446) a (7.250, 24.371) · 0.93 m</t>
        </is>
      </c>
      <c r="F71" s="13" t="inlineStr">
        <is>
          <t>001_EST_CROCHA_R3.2.e2k · FRAME OBJECT LOADS</t>
        </is>
      </c>
    </row>
    <row r="72" ht="19.5" customHeight="1">
      <c r="B72" s="9" t="inlineStr">
        <is>
          <t>B50099 · N+3.00 · Carga Viva Instantanea</t>
        </is>
      </c>
      <c r="C72" s="26" t="n">
        <v>220</v>
      </c>
      <c r="D72" s="11" t="inlineStr">
        <is>
          <t>kg/m</t>
        </is>
      </c>
      <c r="E72" s="12" t="inlineStr">
        <is>
          <t>de (7.350, 8.910) a (7.350, 9.950) · 1.04 m</t>
        </is>
      </c>
      <c r="F72" s="13" t="inlineStr">
        <is>
          <t>001_EST_CROCHA_R3.2.e2k · FRAME OBJECT LOADS</t>
        </is>
      </c>
    </row>
    <row r="73" ht="19.5" customHeight="1">
      <c r="B73" s="9" t="inlineStr">
        <is>
          <t>B50099 · N+3.00 · Carga Viva Media</t>
        </is>
      </c>
      <c r="C73" s="26" t="n">
        <v>176.842</v>
      </c>
      <c r="D73" s="11" t="inlineStr">
        <is>
          <t>kg/m</t>
        </is>
      </c>
      <c r="E73" s="12" t="inlineStr">
        <is>
          <t>de (7.350, 8.910) a (7.350, 9.950) · 1.04 m</t>
        </is>
      </c>
      <c r="F73" s="13" t="inlineStr">
        <is>
          <t>001_EST_CROCHA_R3.2.e2k · FRAME OBJECT LOADS</t>
        </is>
      </c>
    </row>
    <row r="74" ht="19.5" customHeight="1">
      <c r="B74" s="9" t="inlineStr">
        <is>
          <t>B50099 · N+3.00 · Carga Viva Máxima</t>
        </is>
      </c>
      <c r="C74" s="26" t="n">
        <v>420</v>
      </c>
      <c r="D74" s="11" t="inlineStr">
        <is>
          <t>kg/m</t>
        </is>
      </c>
      <c r="E74" s="12" t="inlineStr">
        <is>
          <t>de (7.350, 8.910) a (7.350, 9.950) · 1.04 m</t>
        </is>
      </c>
      <c r="F74" s="13" t="inlineStr">
        <is>
          <t>001_EST_CROCHA_R3.2.e2k · FRAME OBJECT LOADS</t>
        </is>
      </c>
    </row>
    <row r="75" ht="19.5" customHeight="1">
      <c r="B75" s="9" t="inlineStr">
        <is>
          <t>B50099 · N+3.00 · Sobrecarga</t>
        </is>
      </c>
      <c r="C75" s="26" t="n">
        <v>2290</v>
      </c>
      <c r="D75" s="11" t="inlineStr">
        <is>
          <t>kg/m</t>
        </is>
      </c>
      <c r="E75" s="12" t="inlineStr">
        <is>
          <t>de (7.350, 8.910) a (7.350, 9.950) · 1.04 m</t>
        </is>
      </c>
      <c r="F75" s="13" t="inlineStr">
        <is>
          <t>001_EST_CROCHA_R3.2.e2k · FRAME OBJECT LOADS</t>
        </is>
      </c>
    </row>
    <row r="76" ht="19.5" customHeight="1">
      <c r="B76" s="9" t="inlineStr">
        <is>
          <t>B50068 · N+6.00 · Sobrecarga</t>
        </is>
      </c>
      <c r="C76" s="26" t="n">
        <v>101</v>
      </c>
      <c r="D76" s="11" t="inlineStr">
        <is>
          <t>kg/m</t>
        </is>
      </c>
      <c r="E76" s="12" t="inlineStr">
        <is>
          <t>de (0.000, 7.871) a (4.327, 7.871) · 4.33 m</t>
        </is>
      </c>
      <c r="F76" s="13" t="inlineStr">
        <is>
          <t>001_EST_CROCHA_R3.2.e2k · FRAME OBJECT LOADS</t>
        </is>
      </c>
    </row>
    <row r="77" ht="19.5" customHeight="1">
      <c r="B77" s="9" t="inlineStr">
        <is>
          <t>B50120 · N+6.00 · Sobrecarga</t>
        </is>
      </c>
      <c r="C77" s="26" t="n">
        <v>101</v>
      </c>
      <c r="D77" s="11" t="inlineStr">
        <is>
          <t>kg/m</t>
        </is>
      </c>
      <c r="E77" s="12" t="inlineStr">
        <is>
          <t>de (0.000, 14.021) a (4.327, 14.021) · 4.33 m</t>
        </is>
      </c>
      <c r="F77" s="13" t="inlineStr">
        <is>
          <t>001_EST_CROCHA_R3.2.e2k · FRAME OBJECT LOADS</t>
        </is>
      </c>
    </row>
    <row r="78" ht="19.5" customHeight="1">
      <c r="B78" s="9" t="inlineStr">
        <is>
          <t>B50140 · N+6.00 · Sobrecarga</t>
        </is>
      </c>
      <c r="C78" s="26" t="n">
        <v>101</v>
      </c>
      <c r="D78" s="11" t="inlineStr">
        <is>
          <t>kg/m</t>
        </is>
      </c>
      <c r="E78" s="12" t="inlineStr">
        <is>
          <t>de (4.327, 7.871) a (4.327, 14.021) · 6.15 m</t>
        </is>
      </c>
      <c r="F78" s="13" t="inlineStr">
        <is>
          <t>001_EST_CROCHA_R3.2.e2k · FRAME OBJECT LOADS</t>
        </is>
      </c>
    </row>
    <row r="79" ht="19.5" customHeight="1">
      <c r="B79" s="9" t="inlineStr">
        <is>
          <t>B50058 · N+6.00 · Sobrecarga</t>
        </is>
      </c>
      <c r="C79" s="26" t="n">
        <v>101</v>
      </c>
      <c r="D79" s="11" t="inlineStr">
        <is>
          <t>kg/m</t>
        </is>
      </c>
      <c r="E79" s="12" t="inlineStr">
        <is>
          <t>de (0.000, 1.919) a (4.327, 1.919) · 4.33 m</t>
        </is>
      </c>
      <c r="F79" s="13" t="inlineStr">
        <is>
          <t>001_EST_CROCHA_R3.2.e2k · FRAME OBJECT LOADS</t>
        </is>
      </c>
    </row>
    <row r="80" ht="19.5" customHeight="1">
      <c r="B80" s="9" t="inlineStr">
        <is>
          <t>B10 · N+6.00 · Sobrecarga</t>
        </is>
      </c>
      <c r="C80" s="26" t="n">
        <v>101</v>
      </c>
      <c r="D80" s="11" t="inlineStr">
        <is>
          <t>kg/m</t>
        </is>
      </c>
      <c r="E80" s="12" t="inlineStr">
        <is>
          <t>de (4.327, 1.919) a (4.327, 2.921) · 1.00 m</t>
        </is>
      </c>
      <c r="F80" s="13" t="inlineStr">
        <is>
          <t>001_EST_CROCHA_R3.2.e2k · FRAME OBJECT LOADS</t>
        </is>
      </c>
    </row>
    <row r="81" ht="19.5" customHeight="1">
      <c r="B81" s="9" t="inlineStr">
        <is>
          <t>B13 · N+3.00 · Sobrecarga</t>
        </is>
      </c>
      <c r="C81" s="26" t="n">
        <v>333.7</v>
      </c>
      <c r="D81" s="11" t="inlineStr">
        <is>
          <t>kg/m</t>
        </is>
      </c>
      <c r="E81" s="12" t="inlineStr">
        <is>
          <t>de (-2.000, 17.446) a (0.000, 17.446) · 2.00 m</t>
        </is>
      </c>
      <c r="F81" s="13" t="inlineStr">
        <is>
          <t>001_EST_CROCHA_R3.2.e2k · FRAME OBJECT LOADS</t>
        </is>
      </c>
    </row>
    <row r="82" ht="19.5" customHeight="1">
      <c r="B82" s="9" t="inlineStr">
        <is>
          <t>B24 · N+3.00 · Sobrecarga</t>
        </is>
      </c>
      <c r="C82" s="26" t="n">
        <v>333.7</v>
      </c>
      <c r="D82" s="11" t="inlineStr">
        <is>
          <t>kg/m</t>
        </is>
      </c>
      <c r="E82" s="12" t="inlineStr">
        <is>
          <t>de (0.000, 23.446) a (3.625, 23.446) · 3.62 m</t>
        </is>
      </c>
      <c r="F82" s="13" t="inlineStr">
        <is>
          <t>001_EST_CROCHA_R3.2.e2k · FRAME OBJECT LOADS</t>
        </is>
      </c>
    </row>
    <row r="83" ht="19.5" customHeight="1">
      <c r="B83" s="9" t="inlineStr">
        <is>
          <t>B25 · N+3.00 · Sobrecarga</t>
        </is>
      </c>
      <c r="C83" s="26" t="n">
        <v>333.7</v>
      </c>
      <c r="D83" s="11" t="inlineStr">
        <is>
          <t>kg/m</t>
        </is>
      </c>
      <c r="E83" s="12" t="inlineStr">
        <is>
          <t>de (3.625, 23.446) a (7.250, 23.446) · 3.62 m</t>
        </is>
      </c>
      <c r="F83" s="13" t="inlineStr">
        <is>
          <t>001_EST_CROCHA_R3.2.e2k · FRAME OBJECT LOADS</t>
        </is>
      </c>
    </row>
    <row r="84" ht="19.5" customHeight="1">
      <c r="B84" s="9" t="inlineStr">
        <is>
          <t>B16 · N+6.00 · Sobrecarga</t>
        </is>
      </c>
      <c r="C84" s="26" t="n">
        <v>101</v>
      </c>
      <c r="D84" s="11" t="inlineStr">
        <is>
          <t>kg/m</t>
        </is>
      </c>
      <c r="E84" s="12" t="inlineStr">
        <is>
          <t>de (0.000, 1.919) a (0.000, 2.921) · 1.00 m</t>
        </is>
      </c>
      <c r="F84" s="13" t="inlineStr">
        <is>
          <t>001_EST_CROCHA_R3.2.e2k · FRAME OBJECT LOADS</t>
        </is>
      </c>
    </row>
    <row r="85" ht="19.5" customHeight="1">
      <c r="B85" s="9" t="inlineStr">
        <is>
          <t>B50129 · N+6.00 · Sobrecarga</t>
        </is>
      </c>
      <c r="C85" s="26" t="n">
        <v>101</v>
      </c>
      <c r="D85" s="11" t="inlineStr">
        <is>
          <t>kg/m</t>
        </is>
      </c>
      <c r="E85" s="12" t="inlineStr">
        <is>
          <t>de (0.000, 21.446) a (8.850, 21.446) · 8.85 m</t>
        </is>
      </c>
      <c r="F85" s="13" t="inlineStr">
        <is>
          <t>001_EST_CROCHA_R3.2.e2k · FRAME OBJECT LOADS</t>
        </is>
      </c>
    </row>
    <row r="86" ht="19.5" customHeight="1">
      <c r="B86" s="9" t="inlineStr">
        <is>
          <t>B50129 · N+6.00 · Carga Viva Máxima</t>
        </is>
      </c>
      <c r="C86" s="26" t="n">
        <v>40</v>
      </c>
      <c r="D86" s="11" t="inlineStr">
        <is>
          <t>kg/m</t>
        </is>
      </c>
      <c r="E86" s="12" t="inlineStr">
        <is>
          <t>de (0.000, 21.446) a (7.850, 21.446) · 7.85 m</t>
        </is>
      </c>
      <c r="F86" s="13" t="inlineStr">
        <is>
          <t>001_EST_CROCHA_R3.2.e2k · FRAME OBJECT LOADS</t>
        </is>
      </c>
    </row>
    <row r="87" ht="19.5" customHeight="1">
      <c r="B87" s="9" t="inlineStr">
        <is>
          <t>B50129 · N+6.00 · Carga Viva Instantanea</t>
        </is>
      </c>
      <c r="C87" s="26" t="n">
        <v>20</v>
      </c>
      <c r="D87" s="11" t="inlineStr">
        <is>
          <t>kg/m</t>
        </is>
      </c>
      <c r="E87" s="12" t="inlineStr">
        <is>
          <t>de (0.000, 21.446) a (7.850, 21.446) · 7.85 m</t>
        </is>
      </c>
      <c r="F87" s="13" t="inlineStr">
        <is>
          <t>001_EST_CROCHA_R3.2.e2k · FRAME OBJECT LOADS</t>
        </is>
      </c>
    </row>
    <row r="88" ht="19.5" customHeight="1">
      <c r="B88" s="9" t="inlineStr">
        <is>
          <t>B50129 · N+6.00 · Carga Viva Media</t>
        </is>
      </c>
      <c r="C88" s="26" t="n">
        <v>16.8421</v>
      </c>
      <c r="D88" s="11" t="inlineStr">
        <is>
          <t>kg/m</t>
        </is>
      </c>
      <c r="E88" s="12" t="inlineStr">
        <is>
          <t>de (0.000, 21.446) a (7.850, 21.446) · 7.85 m</t>
        </is>
      </c>
      <c r="F88" s="13" t="inlineStr">
        <is>
          <t>001_EST_CROCHA_R3.2.e2k · FRAME OBJECT LOADS</t>
        </is>
      </c>
    </row>
    <row r="89" ht="19.5" customHeight="1">
      <c r="B89" s="9" t="inlineStr">
        <is>
          <t>B50129 · N+6.00 · Carga Viva Máxima</t>
        </is>
      </c>
      <c r="C89" s="26" t="n">
        <v>40</v>
      </c>
      <c r="D89" s="11" t="inlineStr">
        <is>
          <t>kg/m</t>
        </is>
      </c>
      <c r="E89" s="12" t="inlineStr">
        <is>
          <t>de (7.850, 21.446) a (8.850, 21.446) · 1.00 m</t>
        </is>
      </c>
      <c r="F89" s="13" t="inlineStr">
        <is>
          <t>001_EST_CROCHA_R3.2.e2k · FRAME OBJECT LOADS</t>
        </is>
      </c>
    </row>
    <row r="90" ht="19.5" customHeight="1">
      <c r="B90" s="9" t="inlineStr">
        <is>
          <t>B50129 · N+6.00 · Carga Viva Instantanea</t>
        </is>
      </c>
      <c r="C90" s="26" t="n">
        <v>20</v>
      </c>
      <c r="D90" s="11" t="inlineStr">
        <is>
          <t>kg/m</t>
        </is>
      </c>
      <c r="E90" s="12" t="inlineStr">
        <is>
          <t>de (7.850, 21.446) a (8.850, 21.446) · 1.00 m</t>
        </is>
      </c>
      <c r="F90" s="13" t="inlineStr">
        <is>
          <t>001_EST_CROCHA_R3.2.e2k · FRAME OBJECT LOADS</t>
        </is>
      </c>
    </row>
    <row r="91" ht="19.5" customHeight="1">
      <c r="B91" s="9" t="inlineStr">
        <is>
          <t>B50129 · N+6.00 · Carga Viva Media</t>
        </is>
      </c>
      <c r="C91" s="26" t="n">
        <v>16.8421</v>
      </c>
      <c r="D91" s="11" t="inlineStr">
        <is>
          <t>kg/m</t>
        </is>
      </c>
      <c r="E91" s="12" t="inlineStr">
        <is>
          <t>de (7.850, 21.446) a (8.850, 21.446) · 1.00 m</t>
        </is>
      </c>
      <c r="F91" s="13" t="inlineStr">
        <is>
          <t>001_EST_CROCHA_R3.2.e2k · FRAME OBJECT LOADS</t>
        </is>
      </c>
    </row>
    <row r="92" ht="19.5" customHeight="1">
      <c r="B92" s="9" t="inlineStr">
        <is>
          <t>B4 · N+3.00 · Sobrecarga</t>
        </is>
      </c>
      <c r="C92" s="26" t="n">
        <v>958</v>
      </c>
      <c r="D92" s="11" t="inlineStr">
        <is>
          <t>kg/m</t>
        </is>
      </c>
      <c r="E92" s="12" t="inlineStr">
        <is>
          <t>de (8.850, 21.446) a (8.850, 24.371) · 2.92 m</t>
        </is>
      </c>
      <c r="F92" s="13" t="inlineStr">
        <is>
          <t>001_EST_CROCHA_R3.2.e2k · FRAME OBJECT LOADS</t>
        </is>
      </c>
    </row>
    <row r="93" ht="19.5" customHeight="1">
      <c r="B93" s="9" t="inlineStr">
        <is>
          <t>B2 · N+6.00 · Sobrecarga</t>
        </is>
      </c>
      <c r="C93" s="26" t="n">
        <v>101</v>
      </c>
      <c r="D93" s="11" t="inlineStr">
        <is>
          <t>kg/m</t>
        </is>
      </c>
      <c r="E93" s="12" t="inlineStr">
        <is>
          <t>de (0.000, 14.021) a (0.000, 21.446) · 7.42 m</t>
        </is>
      </c>
      <c r="F93" s="13" t="inlineStr">
        <is>
          <t>001_EST_CROCHA_R3.2.e2k · FRAME OBJECT LOADS</t>
        </is>
      </c>
    </row>
    <row r="94" ht="19.5" customHeight="1">
      <c r="B94" s="9" t="inlineStr">
        <is>
          <t>B6 · N+6.00 · Sobrecarga</t>
        </is>
      </c>
      <c r="C94" s="26" t="n">
        <v>101</v>
      </c>
      <c r="D94" s="11" t="inlineStr">
        <is>
          <t>kg/m</t>
        </is>
      </c>
      <c r="E94" s="12" t="inlineStr">
        <is>
          <t>de (0.000, 1.919) a (0.000, 7.871) · 5.95 m</t>
        </is>
      </c>
      <c r="F94" s="13" t="inlineStr">
        <is>
          <t>001_EST_CROCHA_R3.2.e2k · FRAME OBJECT LOADS</t>
        </is>
      </c>
    </row>
    <row r="95" ht="19.5" customHeight="1">
      <c r="B95" s="9" t="inlineStr">
        <is>
          <t>B17 · N+6.00 · Sobrecarga</t>
        </is>
      </c>
      <c r="C95" s="26" t="n">
        <v>101</v>
      </c>
      <c r="D95" s="11" t="inlineStr">
        <is>
          <t>kg/m</t>
        </is>
      </c>
      <c r="E95" s="12" t="inlineStr">
        <is>
          <t>de (5.923, 2.921) a (5.923, 5.946) · 3.02 m</t>
        </is>
      </c>
      <c r="F95" s="13" t="inlineStr">
        <is>
          <t>001_EST_CROCHA_R3.2.e2k · FRAME OBJECT LOADS</t>
        </is>
      </c>
    </row>
    <row r="96" ht="19.5" customHeight="1">
      <c r="B96" s="9" t="inlineStr">
        <is>
          <t>B18 · N+6.00 · Sobrecarga</t>
        </is>
      </c>
      <c r="C96" s="26" t="n">
        <v>101</v>
      </c>
      <c r="D96" s="11" t="inlineStr">
        <is>
          <t>kg/m</t>
        </is>
      </c>
      <c r="E96" s="12" t="inlineStr">
        <is>
          <t>de (5.923, 5.946) a (5.923, 9.950) · 4.00 m</t>
        </is>
      </c>
      <c r="F96" s="13" t="inlineStr">
        <is>
          <t>001_EST_CROCHA_R3.2.e2k · FRAME OBJECT LOADS</t>
        </is>
      </c>
    </row>
    <row r="97" ht="19.5" customHeight="1">
      <c r="B97" s="9" t="inlineStr">
        <is>
          <t>B23 · N+6.00 · Sobrecarga</t>
        </is>
      </c>
      <c r="C97" s="26" t="n">
        <v>101</v>
      </c>
      <c r="D97" s="11" t="inlineStr">
        <is>
          <t>kg/m</t>
        </is>
      </c>
      <c r="E97" s="12" t="inlineStr">
        <is>
          <t>de (8.850, 9.950) a (8.850, 21.446) · 11.50 m</t>
        </is>
      </c>
      <c r="F97" s="13" t="inlineStr">
        <is>
          <t>001_EST_CROCHA_R3.2.e2k · FRAME OBJECT LOADS</t>
        </is>
      </c>
    </row>
    <row r="98" ht="19.5" customHeight="1">
      <c r="B98" s="9" t="inlineStr">
        <is>
          <t>B27 · N+6.00 · Sobrecarga</t>
        </is>
      </c>
      <c r="C98" s="26" t="n">
        <v>101</v>
      </c>
      <c r="D98" s="11" t="inlineStr">
        <is>
          <t>kg/m</t>
        </is>
      </c>
      <c r="E98" s="12" t="inlineStr">
        <is>
          <t>de (5.923, 9.950) a (8.850, 9.950) · 2.93 m</t>
        </is>
      </c>
      <c r="F98" s="13" t="inlineStr">
        <is>
          <t>001_EST_CROCHA_R3.2.e2k · FRAME OBJECT LOADS</t>
        </is>
      </c>
    </row>
    <row r="99" ht="19.5" customHeight="1">
      <c r="B99" s="9" t="inlineStr">
        <is>
          <t>B29 · N+6.00 · Sobrecarga</t>
        </is>
      </c>
      <c r="C99" s="26" t="n">
        <v>101</v>
      </c>
      <c r="D99" s="11" t="inlineStr">
        <is>
          <t>kg/m</t>
        </is>
      </c>
      <c r="E99" s="12" t="inlineStr">
        <is>
          <t>de (4.327, 2.921) a (5.923, 2.921) · 1.60 m</t>
        </is>
      </c>
      <c r="F99" s="13" t="inlineStr">
        <is>
          <t>001_EST_CROCHA_R3.2.e2k · FRAME OBJECT LOADS</t>
        </is>
      </c>
    </row>
  </sheetData>
  <mergeCells count="9">
    <mergeCell ref="B4:F4"/>
    <mergeCell ref="B12:F12"/>
    <mergeCell ref="B39:F39"/>
    <mergeCell ref="B47:F47"/>
    <mergeCell ref="B2:F2"/>
    <mergeCell ref="B48:F48"/>
    <mergeCell ref="B31:F31"/>
    <mergeCell ref="B1:F1"/>
    <mergeCell ref="B13:F13"/>
  </mergeCells>
  <conditionalFormatting sqref="C1:F100">
    <cfRule type="expression" priority="1" dxfId="0" stopIfTrue="1">
      <formula>OR(ISNUMBER(FIND("NO CUMPLE",C1)),ISNUMBER(FIND("REVISAR",C1)),ISNUMBER(FIND("NO CABE",C1)),ISNUMBER(FIND("FUERA",C1)),ISNUMBER(FIND("SIN APOYO",C1)),ISNUMBER(FIND("INSUFICIENTE",C1)),ISNUMBER(FIND("PENDIENTE",C1)))</formula>
    </cfRule>
    <cfRule type="expression" priority="2" dxfId="1" stopIfTrue="1">
      <formula>OR(ISNUMBER(FIND("CUMPLE",C1)),ISNUMBER(FIND("SÍ aplica",C1)),ISNUMBER(FIND("MANDA",C1)))</formula>
    </cfRule>
    <cfRule type="expression" priority="3" dxfId="2" stopIfTrue="1">
      <formula>OR(ISNUMBER(FIND("MACIZAR",C1)),ISNUMBER(FIND("VOLADO",C1)),ISNUMBER(FIND("PROPUESTO",C1)),ISNUMBER(FIND("VER ",C1)))</formula>
    </cfRule>
  </conditionalFormatting>
  <pageMargins left="0.75" right="0.75" top="1" bottom="1" header="0.5" footer="0.5"/>
  <pageSetup orientation="landscape" paperSize="1" fitToHeight="0" fitToWidth="1"/>
</worksheet>
</file>

<file path=xl/worksheets/sheet4.xml><?xml version="1.0" encoding="utf-8"?>
<worksheet xmlns="http://schemas.openxmlformats.org/spreadsheetml/2006/main">
  <sheetPr>
    <outlinePr summaryBelow="1" summaryRight="1"/>
    <pageSetUpPr fitToPage="1"/>
  </sheetPr>
  <dimension ref="B1:DA40"/>
  <sheetViews>
    <sheetView showGridLines="0" zoomScale="80" workbookViewId="0">
      <pane xSplit="2" ySplit="8" topLeftCell="C9" activePane="bottomRight" state="frozen"/>
      <selection pane="topRight"/>
      <selection pane="bottomLeft"/>
      <selection pane="bottomRight" activeCell="A1" sqref="A1"/>
    </sheetView>
  </sheetViews>
  <sheetFormatPr baseColWidth="8" defaultRowHeight="15"/>
  <cols>
    <col width="1.78" customWidth="1" min="1" max="1"/>
    <col width="15" customWidth="1" min="2" max="2"/>
    <col width="8" customWidth="1" min="3" max="3"/>
    <col width="12" customWidth="1" min="4" max="4"/>
    <col width="12" customWidth="1" min="5" max="5"/>
    <col width="6.5" customWidth="1" min="6" max="6"/>
    <col width="6.5" customWidth="1" min="7" max="7"/>
    <col width="7.5" customWidth="1" min="8" max="8"/>
    <col width="7.5" customWidth="1" min="9" max="9"/>
    <col width="7" customWidth="1" min="10" max="10"/>
    <col width="7" customWidth="1" min="11" max="11"/>
    <col width="7" customWidth="1" min="12" max="12"/>
    <col width="6" customWidth="1" min="13" max="13"/>
    <col width="7" customWidth="1" min="14" max="14"/>
    <col width="7" customWidth="1" min="15" max="15"/>
    <col width="7" customWidth="1" min="16" max="16"/>
    <col width="7" customWidth="1" min="17" max="17"/>
    <col width="6" customWidth="1" min="18" max="18"/>
    <col width="6" customWidth="1" min="19" max="19"/>
    <col width="7" customWidth="1" min="20" max="20"/>
    <col width="7" customWidth="1" min="21" max="21"/>
    <col width="7" customWidth="1" min="22" max="22"/>
    <col width="7" customWidth="1" min="23" max="23"/>
    <col width="7" customWidth="1" min="24" max="24"/>
    <col width="7" customWidth="1" min="25" max="25"/>
    <col width="7.5" customWidth="1" min="26" max="26"/>
    <col width="6.5" customWidth="1" min="27" max="27"/>
    <col width="6.5" customWidth="1" min="28" max="28"/>
    <col width="15" customWidth="1" min="29" max="29"/>
    <col width="12" customWidth="1" min="30" max="30"/>
    <col width="15" customWidth="1" min="31" max="31"/>
    <col width="5" customWidth="1" min="32" max="32"/>
    <col width="6" customWidth="1" min="33" max="33"/>
    <col width="7.5" customWidth="1" min="34" max="34"/>
    <col width="7.5" customWidth="1" min="35" max="35"/>
    <col width="7.5" customWidth="1" min="36" max="36"/>
    <col width="7.5" customWidth="1" min="37" max="37"/>
    <col width="7.5" customWidth="1" min="38" max="38"/>
    <col width="7.5"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14" customWidth="1" min="51" max="51"/>
    <col width="16" customWidth="1" min="52" max="52"/>
    <col width="8.5" customWidth="1" min="53" max="53"/>
    <col width="7.5" customWidth="1" min="54" max="54"/>
    <col width="7.5" customWidth="1" min="55" max="55"/>
    <col width="7.5" customWidth="1" min="56" max="56"/>
    <col width="7.5" customWidth="1" min="57" max="57"/>
    <col width="7" customWidth="1" min="58" max="58"/>
    <col width="7" customWidth="1" min="59" max="59"/>
    <col width="6" customWidth="1" min="60" max="60"/>
    <col width="5.5" customWidth="1" min="61" max="61"/>
    <col width="6" customWidth="1" min="62" max="62"/>
    <col width="7" customWidth="1" min="63" max="63"/>
    <col width="7" customWidth="1" min="64" max="64"/>
    <col width="7" customWidth="1" min="65" max="65"/>
    <col width="7" customWidth="1" min="66" max="66"/>
    <col width="7" customWidth="1" min="67" max="67"/>
    <col width="6" customWidth="1" min="68" max="68"/>
    <col width="5.5" customWidth="1" min="69" max="69"/>
    <col width="6" customWidth="1" min="70" max="70"/>
    <col width="7" customWidth="1" min="71" max="71"/>
    <col width="7" customWidth="1" min="72" max="72"/>
    <col width="7" customWidth="1" min="73" max="73"/>
    <col width="7" customWidth="1" min="74" max="74"/>
    <col width="7" customWidth="1" min="75" max="75"/>
    <col width="6" customWidth="1" min="76" max="76"/>
    <col width="5.5" customWidth="1" min="77" max="77"/>
    <col width="6" customWidth="1" min="78" max="78"/>
    <col width="7" customWidth="1" min="79" max="79"/>
    <col width="7" customWidth="1" min="80" max="80"/>
    <col width="7" customWidth="1" min="81" max="81"/>
    <col width="7" customWidth="1" min="82" max="82"/>
    <col width="7" customWidth="1" min="83" max="83"/>
    <col width="6" customWidth="1" min="84" max="84"/>
    <col width="5.5" customWidth="1" min="85" max="85"/>
    <col width="6" customWidth="1" min="86" max="86"/>
    <col width="7" customWidth="1" min="87" max="87"/>
    <col width="7" customWidth="1" min="88" max="88"/>
    <col width="7" customWidth="1" min="89" max="89"/>
    <col width="8" customWidth="1" min="90" max="90"/>
    <col width="7.5" customWidth="1" min="91" max="91"/>
    <col width="7.5" customWidth="1" min="92" max="92"/>
    <col width="15" customWidth="1" min="93" max="93"/>
    <col width="6.5" customWidth="1" min="94" max="94"/>
    <col width="9" customWidth="1" min="95" max="95"/>
    <col width="7" customWidth="1" min="96" max="96"/>
    <col width="12" customWidth="1" min="97" max="97"/>
    <col width="11" customWidth="1" min="98" max="98"/>
    <col width="8" customWidth="1" min="99" max="99"/>
    <col width="8" customWidth="1" min="100" max="100"/>
    <col width="7.5" customWidth="1" min="101" max="101"/>
    <col width="7.5" customWidth="1" min="102" max="102"/>
    <col width="15" customWidth="1" min="103" max="103"/>
    <col width="26" customWidth="1" min="104" max="104"/>
    <col width="60" customWidth="1" min="105" max="105"/>
  </cols>
  <sheetData>
    <row r="1" ht="26" customHeight="1">
      <c r="B1" s="46" t="inlineStr">
        <is>
          <t>TABLEROS — NERVADURAS SECUNDARIAS DE CADA TABLERO (MÉTODO DE COEFICIENTES, NTC-CONCRETO 2023 TABLA 3.4.2.1)</t>
        </is>
      </c>
    </row>
    <row r="2" ht="30" customHeight="1">
      <c r="B2" s="47" t="inlineStr">
        <is>
          <t>Un renglón por tablero. Momentos = coeficiente × 10⁻⁴ × w_u × a1² por metro; por nervadura × s. Abajo trabaja la sección T con el patín efectivo de la Tabla 5.2.1.4.2; arriba sólo la nervadura (b_w de cálculo). Toda nervadura lleva al menos 1 No. 4 corrida abajo y 1 No. 4 corrida arriba (6.7.6.1.3); arriba, las demás varillas son bastones. Lo AMARILLO se puede cambiar. El detalle paso a paso está en NERVADURA.</t>
        </is>
      </c>
    </row>
    <row r="3" ht="42" customHeight="1">
      <c r="B3" s="48" t="inlineStr">
        <is>
          <t>ESTADO: «CUMPLE» = flexión, ε_t ≥ 0.005, cortante, peralte, capa y apoyos bien. «VER PRINCIPALES» = el tablero pasa pero alguna nervadura principal que lo recibe no. «MACIZAR n hilera(s)» = quitar casetones junto al apoyo por cortante. «6.7.8: NO» = la separación libre a_c pasa de 1/6 del claro corto (6.7.8.1.4): la losa se diseña como losa apoyada en vigas (6.7.8.1.9): nervaduras con recubrimiento de viga (r_np) y sin el ×1.1 de V_cR. «3.4.2.1 c)» = los M⁻ del borde común con un vecino difieren más de 50 % del menor: los coeficientes quedan fuera de su campo y conviene confirmar con el modelo; aun así se distribuye 2/3 del desequilibrio (3.4.3.1).</t>
        </is>
      </c>
    </row>
    <row r="6">
      <c r="B6" s="49" t="inlineStr">
        <is>
          <t>TABLERO</t>
        </is>
      </c>
      <c r="F6" s="49" t="inlineStr">
        <is>
          <t>GEOMETRÍA</t>
        </is>
      </c>
      <c r="T6" s="49" t="inlineStr">
        <is>
          <t>CARGAS (kg/m²)</t>
        </is>
      </c>
      <c r="Z6" s="49" t="inlineStr">
        <is>
          <t>CASO DE LA TABLA</t>
        </is>
      </c>
      <c r="AF6" s="49" t="inlineStr">
        <is>
          <t>COEFICIENTES ×10⁻⁴ (Tabla 3.4.2.1, interpolados en m)</t>
        </is>
      </c>
      <c r="AN6" s="49" t="inlineStr">
        <is>
          <t>DISTRIBUCIÓN CON LOS VECINOS (3.4.3.1) Y 3.4.2.1 c)</t>
        </is>
      </c>
      <c r="BA6" s="49" t="inlineStr">
        <is>
          <t>MOMENTOS POR NERVADURA (t·m)</t>
        </is>
      </c>
      <c r="BF6" s="49" t="inlineStr">
        <is>
          <t>INFERIOR — CLARO CORTO</t>
        </is>
      </c>
      <c r="BN6" s="49" t="inlineStr">
        <is>
          <t>SUPERIOR — CLARO CORTO</t>
        </is>
      </c>
      <c r="BV6" s="49" t="inlineStr">
        <is>
          <t>INFERIOR — CLARO LARGO</t>
        </is>
      </c>
      <c r="CD6" s="49" t="inlineStr">
        <is>
          <t>SUPERIOR — CLARO LARGO</t>
        </is>
      </c>
      <c r="CL6" s="49" t="inlineStr">
        <is>
          <t>CORTANTE</t>
        </is>
      </c>
      <c r="CP6" s="49" t="inlineStr">
        <is>
          <t>PERALTE Y CAPA</t>
        </is>
      </c>
      <c r="CU6" s="49" t="inlineStr">
        <is>
          <t>DETALLE Y RESUMEN</t>
        </is>
      </c>
    </row>
    <row r="7" ht="42" customHeight="1">
      <c r="B7" s="8" t="inlineStr">
        <is>
          <t>Tablero</t>
        </is>
      </c>
      <c r="C7" s="8" t="inlineStr">
        <is>
          <t>Nivel</t>
        </is>
      </c>
      <c r="D7" s="8" t="inlineStr">
        <is>
          <t>Modo</t>
        </is>
      </c>
      <c r="E7" s="8" t="inlineStr">
        <is>
          <t>Destino</t>
        </is>
      </c>
      <c r="F7" s="8" t="inlineStr">
        <is>
          <t>Lx</t>
        </is>
      </c>
      <c r="G7" s="8" t="inlineStr">
        <is>
          <t>Ly</t>
        </is>
      </c>
      <c r="H7" s="8" t="inlineStr">
        <is>
          <t>a_x usado</t>
        </is>
      </c>
      <c r="I7" s="8" t="inlineStr">
        <is>
          <t>a_y usado</t>
        </is>
      </c>
      <c r="J7" s="8" t="inlineStr">
        <is>
          <t>a1 corto</t>
        </is>
      </c>
      <c r="K7" s="8" t="inlineStr">
        <is>
          <t>a2 largo</t>
        </is>
      </c>
      <c r="L7" s="8" t="inlineStr">
        <is>
          <t>m = a1/a2</t>
        </is>
      </c>
      <c r="M7" s="8" t="inlineStr">
        <is>
          <t>Corto ‖</t>
        </is>
      </c>
      <c r="N7" s="8" t="inlineStr">
        <is>
          <t>Claro libre corto</t>
        </is>
      </c>
      <c r="O7" s="8" t="inlineStr">
        <is>
          <t>Claro libre largo</t>
        </is>
      </c>
      <c r="P7" s="8" t="inlineStr">
        <is>
          <t>Patín b_f corto</t>
        </is>
      </c>
      <c r="Q7" s="8" t="inlineStr">
        <is>
          <t>Patín b_f largo</t>
        </is>
      </c>
      <c r="R7" s="8" t="inlineStr">
        <is>
          <t>r inferior</t>
        </is>
      </c>
      <c r="S7" s="8" t="inlineStr">
        <is>
          <t>r superior</t>
        </is>
      </c>
      <c r="T7" s="8" t="inlineStr">
        <is>
          <t>SCM</t>
        </is>
      </c>
      <c r="U7" s="8" t="inlineStr">
        <is>
          <t>CV W_m</t>
        </is>
      </c>
      <c r="V7" s="8" t="inlineStr">
        <is>
          <t>PP diseño</t>
        </is>
      </c>
      <c r="W7" s="8" t="inlineStr">
        <is>
          <t>CM</t>
        </is>
      </c>
      <c r="X7" s="8" t="inlineStr">
        <is>
          <t>w serv.</t>
        </is>
      </c>
      <c r="Y7" s="8" t="inlineStr">
        <is>
          <t>w_u</t>
        </is>
      </c>
      <c r="Z7" s="8" t="inlineStr">
        <is>
          <t>Bordes discont.</t>
        </is>
      </c>
      <c r="AA7" s="8" t="inlineStr">
        <is>
          <t>… cortos</t>
        </is>
      </c>
      <c r="AB7" s="8" t="inlineStr">
        <is>
          <t>… largos</t>
        </is>
      </c>
      <c r="AC7" s="8" t="inlineStr">
        <is>
          <t>Caso automático</t>
        </is>
      </c>
      <c r="AD7" s="8" t="inlineStr">
        <is>
          <t>Forzar caso</t>
        </is>
      </c>
      <c r="AE7" s="8" t="inlineStr">
        <is>
          <t>Caso usado</t>
        </is>
      </c>
      <c r="AF7" s="8" t="inlineStr">
        <is>
          <t>col. m</t>
        </is>
      </c>
      <c r="AG7" s="8" t="inlineStr">
        <is>
          <t>interp.</t>
        </is>
      </c>
      <c r="AH7" s="8" t="inlineStr">
        <is>
          <t>M⁻ cont. corto</t>
        </is>
      </c>
      <c r="AI7" s="8" t="inlineStr">
        <is>
          <t>M⁻ cont. largo</t>
        </is>
      </c>
      <c r="AJ7" s="8" t="inlineStr">
        <is>
          <t>M⁻ disc. corto</t>
        </is>
      </c>
      <c r="AK7" s="8" t="inlineStr">
        <is>
          <t>M⁻ disc. largo</t>
        </is>
      </c>
      <c r="AL7" s="8" t="inlineStr">
        <is>
          <t>M⁺ corto</t>
        </is>
      </c>
      <c r="AM7" s="8" t="inlineStr">
        <is>
          <t>M⁺ largo</t>
        </is>
      </c>
      <c r="AN7" s="8" t="inlineStr">
        <is>
          <t>M⁻ borde inferior por nerv.</t>
        </is>
      </c>
      <c r="AO7" s="8" t="inlineStr">
        <is>
          <t>M⁻ borde superior por nerv.</t>
        </is>
      </c>
      <c r="AP7" s="8" t="inlineStr">
        <is>
          <t>M⁻ borde izquierdo por nerv.</t>
        </is>
      </c>
      <c r="AQ7" s="8" t="inlineStr">
        <is>
          <t>M⁻ borde derecho por nerv.</t>
        </is>
      </c>
      <c r="AR7" s="8" t="inlineStr">
        <is>
          <t>Rigidez d³/a1 ‖X</t>
        </is>
      </c>
      <c r="AS7" s="8" t="inlineStr">
        <is>
          <t>Rigidez d³/a1 ‖Y</t>
        </is>
      </c>
      <c r="AT7" s="8" t="inlineStr">
        <is>
          <t>M⁻ corto que deja el vecino</t>
        </is>
      </c>
      <c r="AU7" s="8" t="inlineStr">
        <is>
          <t>M⁻ largo que deja el vecino</t>
        </is>
      </c>
      <c r="AV7" s="8" t="inlineStr">
        <is>
          <t>ΔM⁺ corto por distribución</t>
        </is>
      </c>
      <c r="AW7" s="8" t="inlineStr">
        <is>
          <t>ΔM⁺ largo por distribución</t>
        </is>
      </c>
      <c r="AX7" s="8" t="inlineStr">
        <is>
          <t>ΔV por volado vecino</t>
        </is>
      </c>
      <c r="AY7" s="8" t="inlineStr">
        <is>
          <t>Vecinos con M⁻ &gt; 50 % distinto</t>
        </is>
      </c>
      <c r="AZ7" s="8" t="inlineStr">
        <is>
          <t>3.4.2.1 c)</t>
        </is>
      </c>
      <c r="BA7" s="8" t="inlineStr">
        <is>
          <t>Carga en orilla de volado</t>
        </is>
      </c>
      <c r="BB7" s="8" t="inlineStr">
        <is>
          <t>M⁺ corto</t>
        </is>
      </c>
      <c r="BC7" s="8" t="inlineStr">
        <is>
          <t>M⁻ corto</t>
        </is>
      </c>
      <c r="BD7" s="8" t="inlineStr">
        <is>
          <t>M⁺ largo</t>
        </is>
      </c>
      <c r="BE7" s="8" t="inlineStr">
        <is>
          <t>M⁻ largo</t>
        </is>
      </c>
      <c r="BF7" s="8" t="inlineStr">
        <is>
          <t>d para As (var. preferida)</t>
        </is>
      </c>
      <c r="BG7" s="8" t="inlineStr">
        <is>
          <t>As req.</t>
        </is>
      </c>
      <c r="BH7" s="8" t="inlineStr">
        <is>
          <t>Var. No.</t>
        </is>
      </c>
      <c r="BI7" s="8" t="inlineStr">
        <is>
          <t>Pzas</t>
        </is>
      </c>
      <c r="BJ7" s="8" t="inlineStr">
        <is>
          <t>d</t>
        </is>
      </c>
      <c r="BK7" s="8" t="inlineStr">
        <is>
          <t>M_R</t>
        </is>
      </c>
      <c r="BL7" s="8" t="inlineStr">
        <is>
          <t>Mu/M_R</t>
        </is>
      </c>
      <c r="BM7" s="8" t="inlineStr">
        <is>
          <t>ε_t</t>
        </is>
      </c>
      <c r="BN7" s="8" t="inlineStr">
        <is>
          <t>d para As (var. preferida)</t>
        </is>
      </c>
      <c r="BO7" s="8" t="inlineStr">
        <is>
          <t>As req.</t>
        </is>
      </c>
      <c r="BP7" s="8" t="inlineStr">
        <is>
          <t>Var. No.</t>
        </is>
      </c>
      <c r="BQ7" s="8" t="inlineStr">
        <is>
          <t>Pzas</t>
        </is>
      </c>
      <c r="BR7" s="8" t="inlineStr">
        <is>
          <t>d</t>
        </is>
      </c>
      <c r="BS7" s="8" t="inlineStr">
        <is>
          <t>M_R</t>
        </is>
      </c>
      <c r="BT7" s="8" t="inlineStr">
        <is>
          <t>Mu/M_R</t>
        </is>
      </c>
      <c r="BU7" s="8" t="inlineStr">
        <is>
          <t>ε_t</t>
        </is>
      </c>
      <c r="BV7" s="8" t="inlineStr">
        <is>
          <t>d para As (var. preferida)</t>
        </is>
      </c>
      <c r="BW7" s="8" t="inlineStr">
        <is>
          <t>As req.</t>
        </is>
      </c>
      <c r="BX7" s="8" t="inlineStr">
        <is>
          <t>Var. No.</t>
        </is>
      </c>
      <c r="BY7" s="8" t="inlineStr">
        <is>
          <t>Pzas</t>
        </is>
      </c>
      <c r="BZ7" s="8" t="inlineStr">
        <is>
          <t>d</t>
        </is>
      </c>
      <c r="CA7" s="8" t="inlineStr">
        <is>
          <t>M_R</t>
        </is>
      </c>
      <c r="CB7" s="8" t="inlineStr">
        <is>
          <t>Mu/M_R</t>
        </is>
      </c>
      <c r="CC7" s="8" t="inlineStr">
        <is>
          <t>ε_t</t>
        </is>
      </c>
      <c r="CD7" s="8" t="inlineStr">
        <is>
          <t>d para As (var. preferida)</t>
        </is>
      </c>
      <c r="CE7" s="8" t="inlineStr">
        <is>
          <t>As req.</t>
        </is>
      </c>
      <c r="CF7" s="8" t="inlineStr">
        <is>
          <t>Var. No.</t>
        </is>
      </c>
      <c r="CG7" s="8" t="inlineStr">
        <is>
          <t>Pzas</t>
        </is>
      </c>
      <c r="CH7" s="8" t="inlineStr">
        <is>
          <t>d</t>
        </is>
      </c>
      <c r="CI7" s="8" t="inlineStr">
        <is>
          <t>M_R</t>
        </is>
      </c>
      <c r="CJ7" s="8" t="inlineStr">
        <is>
          <t>Mu/M_R</t>
        </is>
      </c>
      <c r="CK7" s="8" t="inlineStr">
        <is>
          <t>ε_t</t>
        </is>
      </c>
      <c r="CL7" s="8" t="inlineStr">
        <is>
          <t>6.7.8 cumple</t>
        </is>
      </c>
      <c r="CM7" s="8" t="inlineStr">
        <is>
          <t>V_u por nerv.</t>
        </is>
      </c>
      <c r="CN7" s="8" t="inlineStr">
        <is>
          <t>V_cR</t>
        </is>
      </c>
      <c r="CO7" s="8" t="inlineStr">
        <is>
          <t>Estado</t>
        </is>
      </c>
      <c r="CP7" s="8" t="inlineStr">
        <is>
          <t>α_fm</t>
        </is>
      </c>
      <c r="CQ7" s="8" t="inlineStr">
        <is>
          <t>h mín. Tabla 6.7.3.1.2 / volado L/8</t>
        </is>
      </c>
      <c r="CR7" s="8" t="inlineStr">
        <is>
          <t>h_eq / h</t>
        </is>
      </c>
      <c r="CS7" s="8" t="inlineStr">
        <is>
          <t>Estado</t>
        </is>
      </c>
      <c r="CT7" s="8" t="inlineStr">
        <is>
          <t>Capa (diafragma)</t>
        </is>
      </c>
      <c r="CU7" s="8" t="inlineStr">
        <is>
          <t>Bastón ‖ corto desde paño</t>
        </is>
      </c>
      <c r="CV7" s="8" t="inlineStr">
        <is>
          <t>Bastón ‖ largo desde paño</t>
        </is>
      </c>
      <c r="CW7" s="8" t="inlineStr">
        <is>
          <t>Casetones ‖X</t>
        </is>
      </c>
      <c r="CX7" s="8" t="inlineStr">
        <is>
          <t>Casetones ‖Y</t>
        </is>
      </c>
      <c r="CY7" s="8" t="inlineStr">
        <is>
          <t>Apoyos</t>
        </is>
      </c>
      <c r="CZ7" s="8" t="inlineStr">
        <is>
          <t>ESTADO</t>
        </is>
      </c>
      <c r="DA7" s="8" t="inlineStr">
        <is>
          <t>Nota</t>
        </is>
      </c>
    </row>
    <row r="8">
      <c r="B8" s="50" t="inlineStr"/>
      <c r="C8" s="50" t="inlineStr"/>
      <c r="D8" s="50" t="inlineStr"/>
      <c r="E8" s="50" t="inlineStr"/>
      <c r="F8" s="50" t="inlineStr">
        <is>
          <t>m</t>
        </is>
      </c>
      <c r="G8" s="50" t="inlineStr">
        <is>
          <t>m</t>
        </is>
      </c>
      <c r="H8" s="50" t="inlineStr">
        <is>
          <t>m</t>
        </is>
      </c>
      <c r="I8" s="50" t="inlineStr">
        <is>
          <t>m</t>
        </is>
      </c>
      <c r="J8" s="50" t="inlineStr">
        <is>
          <t>m</t>
        </is>
      </c>
      <c r="K8" s="50" t="inlineStr">
        <is>
          <t>m</t>
        </is>
      </c>
      <c r="L8" s="50" t="inlineStr"/>
      <c r="M8" s="50" t="inlineStr"/>
      <c r="N8" s="50" t="inlineStr">
        <is>
          <t>cm</t>
        </is>
      </c>
      <c r="O8" s="50" t="inlineStr">
        <is>
          <t>cm</t>
        </is>
      </c>
      <c r="P8" s="50" t="inlineStr">
        <is>
          <t>cm</t>
        </is>
      </c>
      <c r="Q8" s="50" t="inlineStr">
        <is>
          <t>cm</t>
        </is>
      </c>
      <c r="R8" s="50" t="inlineStr">
        <is>
          <t>cm</t>
        </is>
      </c>
      <c r="S8" s="50" t="inlineStr">
        <is>
          <t>cm</t>
        </is>
      </c>
      <c r="T8" s="50" t="inlineStr">
        <is>
          <t>kg/m²</t>
        </is>
      </c>
      <c r="U8" s="50" t="inlineStr">
        <is>
          <t>kg/m²</t>
        </is>
      </c>
      <c r="V8" s="50" t="inlineStr">
        <is>
          <t>kg/m²</t>
        </is>
      </c>
      <c r="W8" s="50" t="inlineStr">
        <is>
          <t>kg/m²</t>
        </is>
      </c>
      <c r="X8" s="50" t="inlineStr">
        <is>
          <t>kg/m²</t>
        </is>
      </c>
      <c r="Y8" s="50" t="inlineStr">
        <is>
          <t>kg/m²</t>
        </is>
      </c>
      <c r="Z8" s="50" t="inlineStr"/>
      <c r="AA8" s="50" t="inlineStr"/>
      <c r="AB8" s="50" t="inlineStr"/>
      <c r="AC8" s="50" t="inlineStr"/>
      <c r="AD8" s="50" t="inlineStr"/>
      <c r="AE8" s="50" t="inlineStr"/>
      <c r="AF8" s="50" t="inlineStr"/>
      <c r="AG8" s="50" t="inlineStr"/>
      <c r="AH8" s="50" t="inlineStr"/>
      <c r="AI8" s="50" t="inlineStr"/>
      <c r="AJ8" s="50" t="inlineStr"/>
      <c r="AK8" s="50" t="inlineStr"/>
      <c r="AL8" s="50" t="inlineStr"/>
      <c r="AM8" s="50" t="inlineStr"/>
      <c r="AN8" s="50" t="inlineStr">
        <is>
          <t>t·m</t>
        </is>
      </c>
      <c r="AO8" s="50" t="inlineStr">
        <is>
          <t>t·m</t>
        </is>
      </c>
      <c r="AP8" s="50" t="inlineStr">
        <is>
          <t>t·m</t>
        </is>
      </c>
      <c r="AQ8" s="50" t="inlineStr">
        <is>
          <t>t·m</t>
        </is>
      </c>
      <c r="AR8" s="50" t="inlineStr">
        <is>
          <t>cm²</t>
        </is>
      </c>
      <c r="AS8" s="50" t="inlineStr">
        <is>
          <t>cm²</t>
        </is>
      </c>
      <c r="AT8" s="50" t="inlineStr">
        <is>
          <t>t·m</t>
        </is>
      </c>
      <c r="AU8" s="50" t="inlineStr">
        <is>
          <t>t·m</t>
        </is>
      </c>
      <c r="AV8" s="50" t="inlineStr">
        <is>
          <t>t·m</t>
        </is>
      </c>
      <c r="AW8" s="50" t="inlineStr">
        <is>
          <t>t·m</t>
        </is>
      </c>
      <c r="AX8" s="50" t="inlineStr">
        <is>
          <t>t</t>
        </is>
      </c>
      <c r="AY8" s="50" t="inlineStr"/>
      <c r="AZ8" s="50" t="inlineStr"/>
      <c r="BA8" s="50" t="inlineStr">
        <is>
          <t>kg/m (serv.)</t>
        </is>
      </c>
      <c r="BB8" s="50" t="inlineStr">
        <is>
          <t>t·m</t>
        </is>
      </c>
      <c r="BC8" s="50" t="inlineStr">
        <is>
          <t>t·m</t>
        </is>
      </c>
      <c r="BD8" s="50" t="inlineStr">
        <is>
          <t>t·m</t>
        </is>
      </c>
      <c r="BE8" s="50" t="inlineStr">
        <is>
          <t>t·m</t>
        </is>
      </c>
      <c r="BF8" s="50" t="inlineStr">
        <is>
          <t>cm</t>
        </is>
      </c>
      <c r="BG8" s="50" t="inlineStr">
        <is>
          <t>cm²</t>
        </is>
      </c>
      <c r="BH8" s="50" t="inlineStr"/>
      <c r="BI8" s="50" t="inlineStr"/>
      <c r="BJ8" s="50" t="inlineStr">
        <is>
          <t>cm</t>
        </is>
      </c>
      <c r="BK8" s="50" t="inlineStr">
        <is>
          <t>t·m</t>
        </is>
      </c>
      <c r="BL8" s="50" t="inlineStr"/>
      <c r="BM8" s="50" t="inlineStr">
        <is>
          <t>≥ 0.005</t>
        </is>
      </c>
      <c r="BN8" s="50" t="inlineStr">
        <is>
          <t>cm</t>
        </is>
      </c>
      <c r="BO8" s="50" t="inlineStr">
        <is>
          <t>cm²</t>
        </is>
      </c>
      <c r="BP8" s="50" t="inlineStr"/>
      <c r="BQ8" s="50" t="inlineStr"/>
      <c r="BR8" s="50" t="inlineStr">
        <is>
          <t>cm</t>
        </is>
      </c>
      <c r="BS8" s="50" t="inlineStr">
        <is>
          <t>t·m</t>
        </is>
      </c>
      <c r="BT8" s="50" t="inlineStr"/>
      <c r="BU8" s="50" t="inlineStr">
        <is>
          <t>≥ 0.005</t>
        </is>
      </c>
      <c r="BV8" s="50" t="inlineStr">
        <is>
          <t>cm</t>
        </is>
      </c>
      <c r="BW8" s="50" t="inlineStr">
        <is>
          <t>cm²</t>
        </is>
      </c>
      <c r="BX8" s="50" t="inlineStr"/>
      <c r="BY8" s="50" t="inlineStr"/>
      <c r="BZ8" s="50" t="inlineStr">
        <is>
          <t>cm</t>
        </is>
      </c>
      <c r="CA8" s="50" t="inlineStr">
        <is>
          <t>t·m</t>
        </is>
      </c>
      <c r="CB8" s="50" t="inlineStr"/>
      <c r="CC8" s="50" t="inlineStr">
        <is>
          <t>≥ 0.005</t>
        </is>
      </c>
      <c r="CD8" s="50" t="inlineStr">
        <is>
          <t>cm</t>
        </is>
      </c>
      <c r="CE8" s="50" t="inlineStr">
        <is>
          <t>cm²</t>
        </is>
      </c>
      <c r="CF8" s="50" t="inlineStr"/>
      <c r="CG8" s="50" t="inlineStr"/>
      <c r="CH8" s="50" t="inlineStr">
        <is>
          <t>cm</t>
        </is>
      </c>
      <c r="CI8" s="50" t="inlineStr">
        <is>
          <t>t·m</t>
        </is>
      </c>
      <c r="CJ8" s="50" t="inlineStr"/>
      <c r="CK8" s="50" t="inlineStr">
        <is>
          <t>≥ 0.005</t>
        </is>
      </c>
      <c r="CL8" s="50" t="inlineStr"/>
      <c r="CM8" s="50" t="inlineStr">
        <is>
          <t>t</t>
        </is>
      </c>
      <c r="CN8" s="50" t="inlineStr">
        <is>
          <t>t</t>
        </is>
      </c>
      <c r="CO8" s="50" t="inlineStr"/>
      <c r="CP8" s="50" t="inlineStr"/>
      <c r="CQ8" s="50" t="inlineStr">
        <is>
          <t>cm</t>
        </is>
      </c>
      <c r="CR8" s="50" t="inlineStr">
        <is>
          <t>cm</t>
        </is>
      </c>
      <c r="CS8" s="50" t="inlineStr"/>
      <c r="CT8" s="50" t="inlineStr"/>
      <c r="CU8" s="50" t="inlineStr">
        <is>
          <t>cm</t>
        </is>
      </c>
      <c r="CV8" s="50" t="inlineStr">
        <is>
          <t>cm</t>
        </is>
      </c>
      <c r="CW8" s="50" t="inlineStr"/>
      <c r="CX8" s="50" t="inlineStr"/>
      <c r="CY8" s="50" t="inlineStr"/>
      <c r="CZ8" s="50" t="inlineStr"/>
      <c r="DA8" s="50" t="inlineStr"/>
    </row>
    <row r="9" ht="30" customHeight="1">
      <c r="B9" s="51" t="inlineStr">
        <is>
          <t>F80001 N+3.00</t>
        </is>
      </c>
      <c r="C9" s="52" t="inlineStr">
        <is>
          <t>N+3.00</t>
        </is>
      </c>
      <c r="D9" s="53" t="inlineStr">
        <is>
          <t>PERIMETRAL</t>
        </is>
      </c>
      <c r="E9" s="53" t="inlineStr">
        <is>
          <t>HABITACIÓN</t>
        </is>
      </c>
      <c r="F9" s="54" t="n">
        <v>4.327</v>
      </c>
      <c r="G9" s="54" t="n">
        <v>1.002</v>
      </c>
      <c r="H9" s="55" t="n">
        <v>4.327</v>
      </c>
      <c r="I9" s="55" t="n">
        <v>1.002</v>
      </c>
      <c r="J9" s="36">
        <f>MIN(H9,I9)</f>
        <v>1.002</v>
      </c>
      <c r="K9" s="36">
        <f>MAX(H9,I9)</f>
        <v>4.327</v>
      </c>
      <c r="L9" s="36">
        <f>IF(K9&gt;0,J9/K9,0)</f>
        <v>0.231569216547261</v>
      </c>
      <c r="M9" s="52" t="str">
        <f>IF(H9&lt;=I9,"X","Y")</f>
        <v>Y</v>
      </c>
      <c r="N9" s="56">
        <f>MAX(0,J9*100-IF(D9="VOLADO",DATOS!$C$17/2,DATOS!$C$17))</f>
        <v>85.2</v>
      </c>
      <c r="O9" s="56">
        <f>MAX(0,K9*100-DATOS!$C$17)</f>
        <v>417.7</v>
      </c>
      <c r="P9" s="57">
        <f>MIN(DATOS!$C$16,DATOS!$C$13+2*MIN(8*DATOS!$C$14,DATOS!$C$11/2,N9/8))</f>
        <v>31.3</v>
      </c>
      <c r="Q9" s="57">
        <f>MIN(DATOS!$C$16,DATOS!$C$13+2*MIN(8*DATOS!$C$14,DATOS!$C$11/2,O9/8))</f>
        <v>70</v>
      </c>
      <c r="R9" s="57">
        <f>IF(D9="VOLADO",DATOS!$C$21,IF(CL9="NO",DATOS!$C$22,DATOS!$C$20))</f>
        <v>4</v>
      </c>
      <c r="S9" s="57">
        <f>IF(OR(AND(C9="N+6.00",DATOS!$C$23="SÍ"),AND(D9="VOLADO",DATOS!$C$24="SÍ")),DATOS!$C$21,IF(CL9="NO",DATOS!$C$22,DATOS!$C$20))</f>
        <v>4</v>
      </c>
      <c r="T9" s="58" t="n">
        <v>185</v>
      </c>
      <c r="U9" s="56">
        <f>IF(E9="HABITACIÓN",DATOS!$C$89,DATOS!$C$92)</f>
        <v>190</v>
      </c>
      <c r="V9" s="56">
        <f>CARGAS!$C$9</f>
        <v>293.673469387755</v>
      </c>
      <c r="W9" s="56">
        <f>V9+T9</f>
        <v>478.673469387755</v>
      </c>
      <c r="X9" s="56">
        <f>W9+U9</f>
        <v>668.673469387755</v>
      </c>
      <c r="Y9" s="59">
        <f>MAX(DATOS!$C$55*W9+DATOS!$C$56*U9,IF(E9="AZOTEA",DATOS!$C$57*(W9+DATOS!$C$97),0))</f>
        <v>907.275510204082</v>
      </c>
      <c r="Z9" s="56">
        <f>(APOYOS!$G$29="DISCONTINUO")+(APOYOS!$G$30="DISCONTINUO")+(APOYOS!$G$31="DISCONTINUO")+(APOYOS!$G$32="DISCONTINUO")</f>
        <v>3</v>
      </c>
      <c r="AA9" s="56">
        <f>IF(M9="X",(APOYOS!$G$29="DISCONTINUO")+(APOYOS!$G$30="DISCONTINUO"),(APOYOS!$G$31="DISCONTINUO")+(APOYOS!$G$32="DISCONTINUO"))</f>
        <v>2</v>
      </c>
      <c r="AB9" s="56">
        <f>Z9-AA9</f>
        <v>1</v>
      </c>
      <c r="AC9" s="52" t="str">
        <f>IF(Z9=0,"INTERIOR",IF(Z9=1,IF(AA9=1,"BORDE-CORTO","BORDE-LARGO"),IF(Z9=2,IF(AA9=1,"ESQUINA",IF(AA9=2,"EXTREMO-LARGO","EXTREMO-CORTO")),IF(Z9=3,IF(AA9=2,"EXTREMO-LARGO","EXTREMO-CORTO"),"AISLADO"))))</f>
        <v>EXTREMO-LARGO</v>
      </c>
      <c r="AD9" s="53" t="inlineStr">
        <is>
          <t>AUTO</t>
        </is>
      </c>
      <c r="AE9" s="60" t="str">
        <f>IF(AD9="AUTO",AC9,AD9)</f>
        <v>EXTREMO-LARGO</v>
      </c>
      <c r="AF9" s="56">
        <f>MATCH(L9,TABLAS!$D$5:$J$5,1)</f>
        <v>1</v>
      </c>
      <c r="AG9" s="43">
        <f>IF(AF9&gt;=7,0,(L9-INDEX(TABLAS!$D$5:$J$5,AF9))/(INDEX(TABLAS!$D$5:$J$5,AF9+1)-INDEX(TABLAS!$D$5:$J$5,AF9)))</f>
        <v>0.463138433094523</v>
      </c>
      <c r="AH9" s="56">
        <f>INDEX(TABLAS!$D$6:$J$47,MATCH(AE9&amp;"|NIC",TABLAS!$B$6:$B$47,0),AF9)+AG9*(INDEX(TABLAS!$D$6:$J$47,MATCH(AE9&amp;"|NIC",TABLAS!$B$6:$B$47,0),MIN(AF9+1,7))-INDEX(TABLAS!$D$6:$J$47,MATCH(AE9&amp;"|NIC",TABLAS!$B$6:$B$47,0),AF9))</f>
        <v>1249.88675756875</v>
      </c>
      <c r="AI9" s="56">
        <f>INDEX(TABLAS!$D$6:$J$47,MATCH(AE9&amp;"|NIL",TABLAS!$B$6:$B$47,0),AF9)+AG9*(INDEX(TABLAS!$D$6:$J$47,MATCH(AE9&amp;"|NIL",TABLAS!$B$6:$B$47,0),MIN(AF9+1,7))-INDEX(TABLAS!$D$6:$J$47,MATCH(AE9&amp;"|NIL",TABLAS!$B$6:$B$47,0),AF9))</f>
        <v>0</v>
      </c>
      <c r="AJ9" s="56">
        <f>INDEX(TABLAS!$D$6:$J$47,MATCH(AE9&amp;"|NDC",TABLAS!$B$6:$B$47,0),AF9)+AG9*(INDEX(TABLAS!$D$6:$J$47,MATCH(AE9&amp;"|NDC",TABLAS!$B$6:$B$47,0),MIN(AF9+1,7))-INDEX(TABLAS!$D$6:$J$47,MATCH(AE9&amp;"|NDC",TABLAS!$B$6:$B$47,0),AF9))</f>
        <v>520.858100300439</v>
      </c>
      <c r="AK9" s="56">
        <f>INDEX(TABLAS!$D$6:$J$47,MATCH(AE9&amp;"|NDL",TABLAS!$B$6:$B$47,0),AF9)+AG9*(INDEX(TABLAS!$D$6:$J$47,MATCH(AE9&amp;"|NDL",TABLAS!$B$6:$B$47,0),MIN(AF9+1,7))-INDEX(TABLAS!$D$6:$J$47,MATCH(AE9&amp;"|NDL",TABLAS!$B$6:$B$47,0),AF9))</f>
        <v>285.302519066328</v>
      </c>
      <c r="AL9" s="56">
        <f>INDEX(TABLAS!$D$6:$J$47,MATCH(AE9&amp;"|PC",TABLAS!$B$6:$B$47,0),AF9)+AG9*(INDEX(TABLAS!$D$6:$J$47,MATCH(AE9&amp;"|PC",TABLAS!$B$6:$B$47,0),MIN(AF9+1,7))-INDEX(TABLAS!$D$6:$J$47,MATCH(AE9&amp;"|PC",TABLAS!$B$6:$B$47,0),AF9))</f>
        <v>741.274092905015</v>
      </c>
      <c r="AM9" s="56">
        <f>INDEX(TABLAS!$D$6:$J$47,MATCH(AE9&amp;"|PL",TABLAS!$B$6:$B$47,0),AF9)+AG9*(INDEX(TABLAS!$D$6:$J$47,MATCH(AE9&amp;"|PL",TABLAS!$B$6:$B$47,0),MIN(AF9+1,7))-INDEX(TABLAS!$D$6:$J$47,MATCH(AE9&amp;"|PL",TABLAS!$B$6:$B$47,0),AF9))</f>
        <v>298.468916108158</v>
      </c>
      <c r="AN9" s="36">
        <f>IF(D9="PERIMETRAL",IF(APOYOS!$G$29="CONTINUO",IF(M9="Y",AH9,AI9),IF(M9="Y",AJ9,AK9))*Y9*J9^2*1E-4*DATOS!$C$16/100/1000,0)</f>
        <v>0.0332117755295186</v>
      </c>
      <c r="AO9" s="36">
        <f>IF(D9="PERIMETRAL",IF(APOYOS!$G$30="CONTINUO",IF(M9="Y",AH9,AI9),IF(M9="Y",AJ9,AK9))*Y9*J9^2*1E-4*DATOS!$C$16/100/1000,0)</f>
        <v>0.0796972503753847</v>
      </c>
      <c r="AP9" s="36">
        <f>IF(D9="PERIMETRAL",IF(APOYOS!$G$31="CONTINUO",IF(M9="X",AH9,AI9),IF(M9="X",AJ9,AK9))*Y9*J9^2*1E-4*DATOS!$C$16/100/1000,0)</f>
        <v>0.0181919091126192</v>
      </c>
      <c r="AQ9" s="36">
        <f>IF(D9="PERIMETRAL",IF(APOYOS!$G$32="CONTINUO",IF(M9="X",AH9,AI9),IF(M9="X",AJ9,AK9))*Y9*J9^2*1E-4*DATOS!$C$16/100/1000,0)</f>
        <v>0.0181919091126192</v>
      </c>
      <c r="AR9" s="56">
        <f>IF(D9="PERIMETRAL",IF(M9="X",BN9,CD9)^3/(J9*100),0)</f>
        <v>59.3656125664571</v>
      </c>
      <c r="AS9" s="56">
        <f>IF(D9="PERIMETRAL",IF(M9="Y",BN9,CD9)^3/(J9*100),0)</f>
        <v>72.7442231623653</v>
      </c>
      <c r="AT9" s="36">
        <f>IF(D9="PERIMETRAL",MAX(0,IF(M9="Y",IF(AND(OR(APOYOS!$G$30="CONTINUO",APOYOS!$G$33="CONTINUO"),AO9&gt;0,AN10&gt;0,AN10&gt;AO9),AO9+2/3*(AN10-AO9)*AS9/MAX(AS9+AS10,1E-9),0),0)),0)</f>
        <v>0.260517395265689</v>
      </c>
      <c r="AU9" s="36">
        <f>IF(D9="PERIMETRAL",MAX(0,IF(M9&lt;&gt;"Y",IF(AND(OR(APOYOS!$G$30="CONTINUO",APOYOS!$G$33="CONTINUO"),AO9&gt;0,AN10&gt;0,AN10&gt;AO9),AO9+2/3*(AN10-AO9)*AS9/MAX(AS9+AS10,1E-9),0),0)),0)</f>
        <v>0</v>
      </c>
      <c r="AV9" s="36">
        <f>IF(D9="PERIMETRAL",(IF(M9="Y",IF(AND(OR(APOYOS!$G$30="CONTINUO",APOYOS!$G$33="CONTINUO"),AO9&gt;0,AN10&gt;0,AO9&gt;AN10),2/3*(AO9-AN10)*AS9/MAX(AS9+AS10,1E-9),0),0))/2,0)</f>
        <v>0</v>
      </c>
      <c r="AW9" s="36">
        <f>IF(D9="PERIMETRAL",(IF(M9&lt;&gt;"Y",IF(AND(OR(APOYOS!$G$30="CONTINUO",APOYOS!$G$33="CONTINUO"),AO9&gt;0,AN10&gt;0,AO9&gt;AN10),2/3*(AO9-AN10)*AS9/MAX(AS9+AS10,1E-9),0),0))/2,0)</f>
        <v>0</v>
      </c>
      <c r="AX9" s="36">
        <f>IF(D9="PERIMETRAL",MAX(0,0),0)</f>
        <v>0</v>
      </c>
      <c r="AY9" s="52" t="str">
        <f>IF(D9&lt;&gt;"PERIMETRAL","",IF(AND(OR(APOYOS!$G$30="CONTINUO",APOYOS!$G$33="CONTINUO"),AO9&gt;0,AN10&gt;0,ABS(AO9-AN10)&gt;0.5*MIN(AO9,AN10))," F80003",""))</f>
        <v> F80003</v>
      </c>
      <c r="AZ9" s="52" t="str">
        <f>IF(D9&lt;&gt;"PERIMETRAL","—",IF(AY9="","CUMPLE","FUERA con"&amp;AY9)&amp;IF(AND(D10="PERIMETRAL",APOYOS!$G$30&lt;&gt;APOYOS!$G$33)," · continuidad asimétrica con F80003 (cada uno con su momento; revisar APOYOS)",""))</f>
        <v>FUERA con F80003</v>
      </c>
      <c r="BA9" s="61" t="n">
        <v>0</v>
      </c>
      <c r="BB9" s="36">
        <f>IF(D9="PERIMETRAL",AL9*Y9*J9^2*1E-4*DATOS!$C$16/100/1000+AV9,0)</f>
        <v>0.0472662876226908</v>
      </c>
      <c r="BC9" s="36">
        <f>IF(D9="PERIMETRAL",MAX(MAX(AH9,AJ9)*Y9*J9^2*1E-4*DATOS!$C$16/100/1000,AT9),IF(D9="VOLADO",(Y9*(N9/100)^2/2+DATOS!$C$55*BA9*N9/100)*DATOS!$C$16/100/1000,0))</f>
        <v>0.260517395265689</v>
      </c>
      <c r="BD9" s="36">
        <f>IF(D9="PERIMETRAL",AM9*Y9*J9^2*1E-4*DATOS!$C$16/100/1000+AW9,0)</f>
        <v>0.0190314456828166</v>
      </c>
      <c r="BE9" s="36">
        <f>IF(D9="PERIMETRAL",MAX(MAX(AI9,AK9)*Y9*J9^2*1E-4*DATOS!$C$16/100/1000,AU9),0)</f>
        <v>0.0181919091126192</v>
      </c>
      <c r="BF9" s="43">
        <f>(DATOS!$C$15-R9-IF(DATOS!$C$25=0,0,INDEX(TABLAS!$C$52:$C$58,MATCH(DATOS!$C$25,TABLAS!$B$52:$B$58,0)))-INDEX(TABLAS!$C$52:$C$58,MATCH(DATOS!$C$26,TABLAS!$B$52:$B$58,0))/2)</f>
        <v>20.365</v>
      </c>
      <c r="BG9" s="43">
        <f>IF(D9="HUECO",0,IF(IF(BB9&lt;=0,0,IF((1-2*BB9*1E5/(DATOS!$C$58*P9*BF9^2*DATOS!$C$48))&lt;0,-1,IF((1-SQRT((1-2*BB9*1E5/(DATOS!$C$58*P9*BF9^2*DATOS!$C$48))))*DATOS!$C$48*P9*BF9/DATOS!$C$40&gt;DATOS!$C$82*P9*BF9,-1,(1-SQRT((1-2*BB9*1E5/(DATOS!$C$58*P9*BF9^2*DATOS!$C$48))))*DATOS!$C$48*P9*BF9/DATOS!$C$40)))&lt;0,-1,MAX(IF(BB9&lt;=0,0,IF((1-2*BB9*1E5/(DATOS!$C$58*P9*BF9^2*DATOS!$C$48))&lt;0,-1,IF((1-SQRT((1-2*BB9*1E5/(DATOS!$C$58*P9*BF9^2*DATOS!$C$48))))*DATOS!$C$48*P9*BF9/DATOS!$C$40&gt;DATOS!$C$82*P9*BF9,-1,(1-SQRT((1-2*BB9*1E5/(DATOS!$C$58*P9*BF9^2*DATOS!$C$48))))*DATOS!$C$48*P9*BF9/DATOS!$C$40))),MIN(DATOS!$C$83*DATOS!$C$13*BF9,4/3*IF(BB9&lt;=0,0,IF((1-2*BB9*1E5/(DATOS!$C$58*P9*BF9^2*DATOS!$C$48))&lt;0,-1,IF((1-SQRT((1-2*BB9*1E5/(DATOS!$C$58*P9*BF9^2*DATOS!$C$48))))*DATOS!$C$48*P9*BF9/DATOS!$C$40&gt;DATOS!$C$82*P9*BF9,-1,(1-SQRT((1-2*BB9*1E5/(DATOS!$C$58*P9*BF9^2*DATOS!$C$48))))*DATOS!$C$48*P9*BF9/DATOS!$C$40)))))))</f>
        <v>0.0819460505073273</v>
      </c>
      <c r="BH9" s="41">
        <f>IF(AND(BG9&gt;=0,IF(MAX(DATOS!$C$29,CEILING(BG9/INDEX(TABLAS!$D$52:$D$58,MIN(MATCH(DATOS!$C$26,TABLAS!$B$52:$B$58,0)+0,7)),1))*INDEX(TABLAS!$D$52:$D$58,MIN(MATCH(DATOS!$C$26,TABLAS!$B$52:$B$58,0)+0,7))&gt;=4/3*IF(BB9&lt;=0,0,IF((1-2*BB9*1E5/(DATOS!$C$58*P9*BF9^2*DATOS!$C$48))&lt;0,-1,IF((1-SQRT((1-2*BB9*1E5/(DATOS!$C$58*P9*BF9^2*DATOS!$C$48))))*DATOS!$C$48*P9*BF9/DATOS!$C$40&gt;DATOS!$C$82*P9*BF9,-1,(1-SQRT((1-2*BB9*1E5/(DATOS!$C$58*P9*BF9^2*DATOS!$C$48))))*DATOS!$C$48*P9*BF9/DATOS!$C$40)))-0.0001,MAX(DATOS!$C$29,CEILING(BG9/INDEX(TABLAS!$D$52:$D$58,MIN(MATCH(DATOS!$C$26,TABLAS!$B$52:$B$58,0)+0,7)),1)),MAX(MAX(DATOS!$C$29,CEILING(BG9/INDEX(TABLAS!$D$52:$D$58,MIN(MATCH(DATOS!$C$26,TABLAS!$B$52:$B$58,0)+0,7)),1)),2))&lt;=MIN(DATOS!$C$28,INT(((DATOS!$C$13-2*R9-2*IF(DATOS!$C$25=0,0,INDEX(TABLAS!$C$52:$C$58,MATCH(DATOS!$C$25,TABLAS!$B$52:$B$58,0))))+MAX(DATOS!$C$32,INDEX(TABLAS!$C$52:$C$58,MIN(MATCH(DATOS!$C$26,TABLAS!$B$52:$B$58,0)+0,7))))/(INDEX(TABLAS!$C$52:$C$58,MIN(MATCH(DATOS!$C$26,TABLAS!$B$52:$B$58,0)+0,7))+MAX(DATOS!$C$32,INDEX(TABLAS!$C$52:$C$58,MIN(MATCH(DATOS!$C$26,TABLAS!$B$52:$B$58,0)+0,7))))))),INDEX(TABLAS!$B$52:$B$58,MIN(MATCH(DATOS!$C$26,TABLAS!$B$52:$B$58,0)+0,7)),IF(AND(BG9&gt;=0,IF(MAX(DATOS!$C$29,CEILING(BG9/INDEX(TABLAS!$D$52:$D$58,MIN(MATCH(DATOS!$C$26,TABLAS!$B$52:$B$58,0)+1,7)),1))*INDEX(TABLAS!$D$52:$D$58,MIN(MATCH(DATOS!$C$26,TABLAS!$B$52:$B$58,0)+1,7))&gt;=4/3*IF(BB9&lt;=0,0,IF((1-2*BB9*1E5/(DATOS!$C$58*P9*BF9^2*DATOS!$C$48))&lt;0,-1,IF((1-SQRT((1-2*BB9*1E5/(DATOS!$C$58*P9*BF9^2*DATOS!$C$48))))*DATOS!$C$48*P9*BF9/DATOS!$C$40&gt;DATOS!$C$82*P9*BF9,-1,(1-SQRT((1-2*BB9*1E5/(DATOS!$C$58*P9*BF9^2*DATOS!$C$48))))*DATOS!$C$48*P9*BF9/DATOS!$C$40)))-0.0001,MAX(DATOS!$C$29,CEILING(BG9/INDEX(TABLAS!$D$52:$D$58,MIN(MATCH(DATOS!$C$26,TABLAS!$B$52:$B$58,0)+1,7)),1)),MAX(MAX(DATOS!$C$29,CEILING(BG9/INDEX(TABLAS!$D$52:$D$58,MIN(MATCH(DATOS!$C$26,TABLAS!$B$52:$B$58,0)+1,7)),1)),2))&lt;=MIN(DATOS!$C$28,INT(((DATOS!$C$13-2*R9-2*IF(DATOS!$C$25=0,0,INDEX(TABLAS!$C$52:$C$58,MATCH(DATOS!$C$25,TABLAS!$B$52:$B$58,0))))+MAX(DATOS!$C$32,INDEX(TABLAS!$C$52:$C$58,MIN(MATCH(DATOS!$C$26,TABLAS!$B$52:$B$58,0)+1,7))))/(INDEX(TABLAS!$C$52:$C$58,MIN(MATCH(DATOS!$C$26,TABLAS!$B$52:$B$58,0)+1,7))+MAX(DATOS!$C$32,INDEX(TABLAS!$C$52:$C$58,MIN(MATCH(DATOS!$C$26,TABLAS!$B$52:$B$58,0)+1,7))))))),INDEX(TABLAS!$B$52:$B$58,MIN(MATCH(DATOS!$C$26,TABLAS!$B$52:$B$58,0)+1,7)),IF(AND(BG9&gt;=0,IF(MAX(DATOS!$C$29,CEILING(BG9/INDEX(TABLAS!$D$52:$D$58,MIN(MATCH(DATOS!$C$26,TABLAS!$B$52:$B$58,0)+2,7)),1))*INDEX(TABLAS!$D$52:$D$58,MIN(MATCH(DATOS!$C$26,TABLAS!$B$52:$B$58,0)+2,7))&gt;=4/3*IF(BB9&lt;=0,0,IF((1-2*BB9*1E5/(DATOS!$C$58*P9*BF9^2*DATOS!$C$48))&lt;0,-1,IF((1-SQRT((1-2*BB9*1E5/(DATOS!$C$58*P9*BF9^2*DATOS!$C$48))))*DATOS!$C$48*P9*BF9/DATOS!$C$40&gt;DATOS!$C$82*P9*BF9,-1,(1-SQRT((1-2*BB9*1E5/(DATOS!$C$58*P9*BF9^2*DATOS!$C$48))))*DATOS!$C$48*P9*BF9/DATOS!$C$40)))-0.0001,MAX(DATOS!$C$29,CEILING(BG9/INDEX(TABLAS!$D$52:$D$58,MIN(MATCH(DATOS!$C$26,TABLAS!$B$52:$B$58,0)+2,7)),1)),MAX(MAX(DATOS!$C$29,CEILING(BG9/INDEX(TABLAS!$D$52:$D$58,MIN(MATCH(DATOS!$C$26,TABLAS!$B$52:$B$58,0)+2,7)),1)),2))&lt;=MIN(DATOS!$C$28,INT(((DATOS!$C$13-2*R9-2*IF(DATOS!$C$25=0,0,INDEX(TABLAS!$C$52:$C$58,MATCH(DATOS!$C$25,TABLAS!$B$52:$B$58,0))))+MAX(DATOS!$C$32,INDEX(TABLAS!$C$52:$C$58,MIN(MATCH(DATOS!$C$26,TABLAS!$B$52:$B$58,0)+2,7))))/(INDEX(TABLAS!$C$52:$C$58,MIN(MATCH(DATOS!$C$26,TABLAS!$B$52:$B$58,0)+2,7))+MAX(DATOS!$C$32,INDEX(TABLAS!$C$52:$C$58,MIN(MATCH(DATOS!$C$26,TABLAS!$B$52:$B$58,0)+2,7))))))),INDEX(TABLAS!$B$52:$B$58,MIN(MATCH(DATOS!$C$26,TABLAS!$B$52:$B$58,0)+2,7)),IF(AND(BG9&gt;=0,IF(MAX(DATOS!$C$29,CEILING(BG9/INDEX(TABLAS!$D$52:$D$58,MIN(MATCH(DATOS!$C$26,TABLAS!$B$52:$B$58,0)+3,7)),1))*INDEX(TABLAS!$D$52:$D$58,MIN(MATCH(DATOS!$C$26,TABLAS!$B$52:$B$58,0)+3,7))&gt;=4/3*IF(BB9&lt;=0,0,IF((1-2*BB9*1E5/(DATOS!$C$58*P9*BF9^2*DATOS!$C$48))&lt;0,-1,IF((1-SQRT((1-2*BB9*1E5/(DATOS!$C$58*P9*BF9^2*DATOS!$C$48))))*DATOS!$C$48*P9*BF9/DATOS!$C$40&gt;DATOS!$C$82*P9*BF9,-1,(1-SQRT((1-2*BB9*1E5/(DATOS!$C$58*P9*BF9^2*DATOS!$C$48))))*DATOS!$C$48*P9*BF9/DATOS!$C$40)))-0.0001,MAX(DATOS!$C$29,CEILING(BG9/INDEX(TABLAS!$D$52:$D$58,MIN(MATCH(DATOS!$C$26,TABLAS!$B$52:$B$58,0)+3,7)),1)),MAX(MAX(DATOS!$C$29,CEILING(BG9/INDEX(TABLAS!$D$52:$D$58,MIN(MATCH(DATOS!$C$26,TABLAS!$B$52:$B$58,0)+3,7)),1)),2))&lt;=MIN(DATOS!$C$28,INT(((DATOS!$C$13-2*R9-2*IF(DATOS!$C$25=0,0,INDEX(TABLAS!$C$52:$C$58,MATCH(DATOS!$C$25,TABLAS!$B$52:$B$58,0))))+MAX(DATOS!$C$32,INDEX(TABLAS!$C$52:$C$58,MIN(MATCH(DATOS!$C$26,TABLAS!$B$52:$B$58,0)+3,7))))/(INDEX(TABLAS!$C$52:$C$58,MIN(MATCH(DATOS!$C$26,TABLAS!$B$52:$B$58,0)+3,7))+MAX(DATOS!$C$32,INDEX(TABLAS!$C$52:$C$58,MIN(MATCH(DATOS!$C$26,TABLAS!$B$52:$B$58,0)+3,7))))))),INDEX(TABLAS!$B$52:$B$58,MIN(MATCH(DATOS!$C$26,TABLAS!$B$52:$B$58,0)+3,7)),IF(AND(BG9&gt;=0,IF(MAX(DATOS!$C$29,CEILING(BG9/INDEX(TABLAS!$D$52:$D$58,MIN(MATCH(DATOS!$C$26,TABLAS!$B$52:$B$58,0)+4,7)),1))*INDEX(TABLAS!$D$52:$D$58,MIN(MATCH(DATOS!$C$26,TABLAS!$B$52:$B$58,0)+4,7))&gt;=4/3*IF(BB9&lt;=0,0,IF((1-2*BB9*1E5/(DATOS!$C$58*P9*BF9^2*DATOS!$C$48))&lt;0,-1,IF((1-SQRT((1-2*BB9*1E5/(DATOS!$C$58*P9*BF9^2*DATOS!$C$48))))*DATOS!$C$48*P9*BF9/DATOS!$C$40&gt;DATOS!$C$82*P9*BF9,-1,(1-SQRT((1-2*BB9*1E5/(DATOS!$C$58*P9*BF9^2*DATOS!$C$48))))*DATOS!$C$48*P9*BF9/DATOS!$C$40)))-0.0001,MAX(DATOS!$C$29,CEILING(BG9/INDEX(TABLAS!$D$52:$D$58,MIN(MATCH(DATOS!$C$26,TABLAS!$B$52:$B$58,0)+4,7)),1)),MAX(MAX(DATOS!$C$29,CEILING(BG9/INDEX(TABLAS!$D$52:$D$58,MIN(MATCH(DATOS!$C$26,TABLAS!$B$52:$B$58,0)+4,7)),1)),2))&lt;=MIN(DATOS!$C$28,INT(((DATOS!$C$13-2*R9-2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9" s="56">
        <f>IF(D9="HUECO",0,IF(BG9&lt;0,0,IF(MAX(DATOS!$C$29,CEILING(MAX(BG9,0)/INDEX(TABLAS!$D$52:$D$58,MATCH(BH9,TABLAS!$B$52:$B$58,0)),1))*INDEX(TABLAS!$D$52:$D$58,MATCH(BH9,TABLAS!$B$52:$B$58,0))&gt;=4/3*IF(BB9&lt;=0,0,IF((1-2*BB9*1E5/(DATOS!$C$58*P9*BF9^2*DATOS!$C$48))&lt;0,-1,IF((1-SQRT((1-2*BB9*1E5/(DATOS!$C$58*P9*BF9^2*DATOS!$C$48))))*DATOS!$C$48*P9*BF9/DATOS!$C$40&gt;DATOS!$C$82*P9*BF9,-1,(1-SQRT((1-2*BB9*1E5/(DATOS!$C$58*P9*BF9^2*DATOS!$C$48))))*DATOS!$C$48*P9*BF9/DATOS!$C$40)))-0.0001,MAX(DATOS!$C$29,CEILING(MAX(BG9,0)/INDEX(TABLAS!$D$52:$D$58,MATCH(BH9,TABLAS!$B$52:$B$58,0)),1)),MAX(MAX(DATOS!$C$29,CEILING(MAX(BG9,0)/INDEX(TABLAS!$D$52:$D$58,MATCH(BH9,TABLAS!$B$52:$B$58,0)),1)),2))))</f>
        <v>1</v>
      </c>
      <c r="BJ9" s="43">
        <f>DATOS!$C$15-R9-IF(DATOS!$C$25=0,0,INDEX(TABLAS!$C$52:$C$58,MATCH(DATOS!$C$25,TABLAS!$B$52:$B$58,0)))-INDEX(TABLAS!$C$52:$C$58,MATCH(BH9,TABLAS!$B$52:$B$58,0))/2</f>
        <v>20.365</v>
      </c>
      <c r="BK9" s="36">
        <f>IF(BI9=0,0,DATOS!$C$58*BI9*INDEX(TABLAS!$D$52:$D$58,MATCH(BH9,TABLAS!$B$52:$B$58,0))*DATOS!$C$40*(BJ9-BI9*INDEX(TABLAS!$D$52:$D$58,MATCH(BH9,TABLAS!$B$52:$B$58,0))*DATOS!$C$40/(DATOS!$C$48*P9)/2)/1E5)</f>
        <v>0.95839287566059</v>
      </c>
      <c r="BL9" s="62">
        <f>IF(BG9&lt;0,9.99,IF(BK9&gt;0,BB9/BK9,0))</f>
        <v>0.0493182794061482</v>
      </c>
      <c r="BM9" s="63">
        <f>IF(BI9=0,"—",0.003*(BJ9-(BI9*INDEX(TABLAS!$D$52:$D$58,MATCH(BH9,TABLAS!$B$52:$B$58,0))*DATOS!$C$40/(DATOS!$C$48*P9)/DATOS!$C$49))/(BI9*INDEX(TABLAS!$D$52:$D$58,MATCH(BH9,TABLAS!$B$52:$B$58,0))*DATOS!$C$40/(DATOS!$C$48*P9)/DATOS!$C$49))</f>
        <v>0.0617552307719348</v>
      </c>
      <c r="BN9" s="43">
        <f>((DATOS!$C$15-S9-2*DATOS!$C$35-IF(DATOS!$C$25=0,0,INDEX(TABLAS!$C$52:$C$58,MATCH(DATOS!$C$25,TABLAS!$B$52:$B$58,0)))-INDEX(TABLAS!$C$52:$C$58,MATCH(DATOS!$C$27,TABLAS!$B$52:$B$58,0))/2)-IF(AND((DATOS!$C$15-S9-2*DATOS!$C$35-IF(DATOS!$C$25=0,0,INDEX(TABLAS!$C$52:$C$58,MATCH(DATOS!$C$25,TABLAS!$B$52:$B$58,0)))-INDEX(TABLAS!$C$52:$C$58,MATCH(DATOS!$C$27,TABLAS!$B$52:$B$58,0))/2)&lt;=20,DATOS!$C$18&lt;&gt;"SÍ"),2,0))</f>
        <v>19.389</v>
      </c>
      <c r="BO9" s="43">
        <f>IF(D9="HUECO",0,IF(IF(BC9&lt;=0,0,IF((1-2*BC9*1E5/(DATOS!$C$58*DATOS!$C$19*BN9^2*DATOS!$C$48))&lt;0,-1,IF((1-SQRT((1-2*BC9*1E5/(DATOS!$C$58*DATOS!$C$19*BN9^2*DATOS!$C$48))))*DATOS!$C$48*DATOS!$C$19*BN9/DATOS!$C$40&gt;DATOS!$C$82*DATOS!$C$19*BN9,-1,(1-SQRT((1-2*BC9*1E5/(DATOS!$C$58*DATOS!$C$19*BN9^2*DATOS!$C$48))))*DATOS!$C$48*DATOS!$C$19*BN9/DATOS!$C$40)))&lt;0,-1,MAX(IF(BC9&lt;=0,0,IF((1-2*BC9*1E5/(DATOS!$C$58*DATOS!$C$19*BN9^2*DATOS!$C$48))&lt;0,-1,IF((1-SQRT((1-2*BC9*1E5/(DATOS!$C$58*DATOS!$C$19*BN9^2*DATOS!$C$48))))*DATOS!$C$48*DATOS!$C$19*BN9/DATOS!$C$40&gt;DATOS!$C$82*DATOS!$C$19*BN9,-1,(1-SQRT((1-2*BC9*1E5/(DATOS!$C$58*DATOS!$C$19*BN9^2*DATOS!$C$48))))*DATOS!$C$48*DATOS!$C$19*BN9/DATOS!$C$40))),MIN(DATOS!$C$83*IF(D9="VOLADO",2*DATOS!$C$13,DATOS!$C$13)*BN9,4/3*IF(BC9&lt;=0,0,IF((1-2*BC9*1E5/(DATOS!$C$58*DATOS!$C$19*BN9^2*DATOS!$C$48))&lt;0,-1,IF((1-SQRT((1-2*BC9*1E5/(DATOS!$C$58*DATOS!$C$19*BN9^2*DATOS!$C$48))))*DATOS!$C$48*DATOS!$C$19*BN9/DATOS!$C$40&gt;DATOS!$C$82*DATOS!$C$19*BN9,-1,(1-SQRT((1-2*BC9*1E5/(DATOS!$C$58*DATOS!$C$19*BN9^2*DATOS!$C$48))))*DATOS!$C$48*DATOS!$C$19*BN9/DATOS!$C$40)))))))</f>
        <v>0.482857947175611</v>
      </c>
      <c r="BP9" s="41">
        <f>IF(AND(BO9&gt;=0,IF(MAX(DATOS!$C$29,CEILING(BO9/INDEX(TABLAS!$D$52:$D$58,MIN(MATCH(DATOS!$C$27,TABLAS!$B$52:$B$58,0)+0,7)),1))*INDEX(TABLAS!$D$52:$D$58,MIN(MATCH(DATOS!$C$27,TABLAS!$B$52:$B$58,0)+0,7))&gt;=4/3*IF(BC9&lt;=0,0,IF((1-2*BC9*1E5/(DATOS!$C$58*DATOS!$C$19*BN9^2*DATOS!$C$48))&lt;0,-1,IF((1-SQRT((1-2*BC9*1E5/(DATOS!$C$58*DATOS!$C$19*BN9^2*DATOS!$C$48))))*DATOS!$C$48*DATOS!$C$19*BN9/DATOS!$C$40&gt;DATOS!$C$82*DATOS!$C$19*BN9,-1,(1-SQRT((1-2*BC9*1E5/(DATOS!$C$58*DATOS!$C$19*BN9^2*DATOS!$C$48))))*DATOS!$C$48*DATOS!$C$19*BN9/DATOS!$C$40)))-0.0001,MAX(DATOS!$C$29,CEILING(BO9/INDEX(TABLAS!$D$52:$D$58,MIN(MATCH(DATOS!$C$27,TABLAS!$B$52:$B$58,0)+0,7)),1)),MAX(MAX(DATOS!$C$29,CEILING(BO9/INDEX(TABLAS!$D$52:$D$58,MIN(MATCH(DATOS!$C$27,TABLAS!$B$52:$B$58,0)+0,7)),1)),2))&lt;=MIN(DATOS!$C$28,INT(((DATOS!$C$13-2*S9-2*IF(DATOS!$C$25=0,0,INDEX(TABLAS!$C$52:$C$58,MATCH(DATOS!$C$25,TABLAS!$B$52:$B$58,0))))+MAX(DATOS!$C$32,INDEX(TABLAS!$C$52:$C$58,MIN(MATCH(DATOS!$C$27,TABLAS!$B$52:$B$58,0)+0,7))))/(INDEX(TABLAS!$C$52:$C$58,MIN(MATCH(DATOS!$C$27,TABLAS!$B$52:$B$58,0)+0,7))+MAX(DATOS!$C$32,INDEX(TABLAS!$C$52:$C$58,MIN(MATCH(DATOS!$C$27,TABLAS!$B$52:$B$58,0)+0,7))))))),INDEX(TABLAS!$B$52:$B$58,MIN(MATCH(DATOS!$C$27,TABLAS!$B$52:$B$58,0)+0,7)),IF(AND(BO9&gt;=0,IF(MAX(DATOS!$C$29,CEILING(BO9/INDEX(TABLAS!$D$52:$D$58,MIN(MATCH(DATOS!$C$27,TABLAS!$B$52:$B$58,0)+1,7)),1))*INDEX(TABLAS!$D$52:$D$58,MIN(MATCH(DATOS!$C$27,TABLAS!$B$52:$B$58,0)+1,7))&gt;=4/3*IF(BC9&lt;=0,0,IF((1-2*BC9*1E5/(DATOS!$C$58*DATOS!$C$19*BN9^2*DATOS!$C$48))&lt;0,-1,IF((1-SQRT((1-2*BC9*1E5/(DATOS!$C$58*DATOS!$C$19*BN9^2*DATOS!$C$48))))*DATOS!$C$48*DATOS!$C$19*BN9/DATOS!$C$40&gt;DATOS!$C$82*DATOS!$C$19*BN9,-1,(1-SQRT((1-2*BC9*1E5/(DATOS!$C$58*DATOS!$C$19*BN9^2*DATOS!$C$48))))*DATOS!$C$48*DATOS!$C$19*BN9/DATOS!$C$40)))-0.0001,MAX(DATOS!$C$29,CEILING(BO9/INDEX(TABLAS!$D$52:$D$58,MIN(MATCH(DATOS!$C$27,TABLAS!$B$52:$B$58,0)+1,7)),1)),MAX(MAX(DATOS!$C$29,CEILING(BO9/INDEX(TABLAS!$D$52:$D$58,MIN(MATCH(DATOS!$C$27,TABLAS!$B$52:$B$58,0)+1,7)),1)),2))&lt;=MIN(DATOS!$C$28,INT(((DATOS!$C$13-2*S9-2*IF(DATOS!$C$25=0,0,INDEX(TABLAS!$C$52:$C$58,MATCH(DATOS!$C$25,TABLAS!$B$52:$B$58,0))))+MAX(DATOS!$C$32,INDEX(TABLAS!$C$52:$C$58,MIN(MATCH(DATOS!$C$27,TABLAS!$B$52:$B$58,0)+1,7))))/(INDEX(TABLAS!$C$52:$C$58,MIN(MATCH(DATOS!$C$27,TABLAS!$B$52:$B$58,0)+1,7))+MAX(DATOS!$C$32,INDEX(TABLAS!$C$52:$C$58,MIN(MATCH(DATOS!$C$27,TABLAS!$B$52:$B$58,0)+1,7))))))),INDEX(TABLAS!$B$52:$B$58,MIN(MATCH(DATOS!$C$27,TABLAS!$B$52:$B$58,0)+1,7)),IF(AND(BO9&gt;=0,IF(MAX(DATOS!$C$29,CEILING(BO9/INDEX(TABLAS!$D$52:$D$58,MIN(MATCH(DATOS!$C$27,TABLAS!$B$52:$B$58,0)+2,7)),1))*INDEX(TABLAS!$D$52:$D$58,MIN(MATCH(DATOS!$C$27,TABLAS!$B$52:$B$58,0)+2,7))&gt;=4/3*IF(BC9&lt;=0,0,IF((1-2*BC9*1E5/(DATOS!$C$58*DATOS!$C$19*BN9^2*DATOS!$C$48))&lt;0,-1,IF((1-SQRT((1-2*BC9*1E5/(DATOS!$C$58*DATOS!$C$19*BN9^2*DATOS!$C$48))))*DATOS!$C$48*DATOS!$C$19*BN9/DATOS!$C$40&gt;DATOS!$C$82*DATOS!$C$19*BN9,-1,(1-SQRT((1-2*BC9*1E5/(DATOS!$C$58*DATOS!$C$19*BN9^2*DATOS!$C$48))))*DATOS!$C$48*DATOS!$C$19*BN9/DATOS!$C$40)))-0.0001,MAX(DATOS!$C$29,CEILING(BO9/INDEX(TABLAS!$D$52:$D$58,MIN(MATCH(DATOS!$C$27,TABLAS!$B$52:$B$58,0)+2,7)),1)),MAX(MAX(DATOS!$C$29,CEILING(BO9/INDEX(TABLAS!$D$52:$D$58,MIN(MATCH(DATOS!$C$27,TABLAS!$B$52:$B$58,0)+2,7)),1)),2))&lt;=MIN(DATOS!$C$28,INT(((DATOS!$C$13-2*S9-2*IF(DATOS!$C$25=0,0,INDEX(TABLAS!$C$52:$C$58,MATCH(DATOS!$C$25,TABLAS!$B$52:$B$58,0))))+MAX(DATOS!$C$32,INDEX(TABLAS!$C$52:$C$58,MIN(MATCH(DATOS!$C$27,TABLAS!$B$52:$B$58,0)+2,7))))/(INDEX(TABLAS!$C$52:$C$58,MIN(MATCH(DATOS!$C$27,TABLAS!$B$52:$B$58,0)+2,7))+MAX(DATOS!$C$32,INDEX(TABLAS!$C$52:$C$58,MIN(MATCH(DATOS!$C$27,TABLAS!$B$52:$B$58,0)+2,7))))))),INDEX(TABLAS!$B$52:$B$58,MIN(MATCH(DATOS!$C$27,TABLAS!$B$52:$B$58,0)+2,7)),IF(AND(BO9&gt;=0,IF(MAX(DATOS!$C$29,CEILING(BO9/INDEX(TABLAS!$D$52:$D$58,MIN(MATCH(DATOS!$C$27,TABLAS!$B$52:$B$58,0)+3,7)),1))*INDEX(TABLAS!$D$52:$D$58,MIN(MATCH(DATOS!$C$27,TABLAS!$B$52:$B$58,0)+3,7))&gt;=4/3*IF(BC9&lt;=0,0,IF((1-2*BC9*1E5/(DATOS!$C$58*DATOS!$C$19*BN9^2*DATOS!$C$48))&lt;0,-1,IF((1-SQRT((1-2*BC9*1E5/(DATOS!$C$58*DATOS!$C$19*BN9^2*DATOS!$C$48))))*DATOS!$C$48*DATOS!$C$19*BN9/DATOS!$C$40&gt;DATOS!$C$82*DATOS!$C$19*BN9,-1,(1-SQRT((1-2*BC9*1E5/(DATOS!$C$58*DATOS!$C$19*BN9^2*DATOS!$C$48))))*DATOS!$C$48*DATOS!$C$19*BN9/DATOS!$C$40)))-0.0001,MAX(DATOS!$C$29,CEILING(BO9/INDEX(TABLAS!$D$52:$D$58,MIN(MATCH(DATOS!$C$27,TABLAS!$B$52:$B$58,0)+3,7)),1)),MAX(MAX(DATOS!$C$29,CEILING(BO9/INDEX(TABLAS!$D$52:$D$58,MIN(MATCH(DATOS!$C$27,TABLAS!$B$52:$B$58,0)+3,7)),1)),2))&lt;=MIN(DATOS!$C$28,INT(((DATOS!$C$13-2*S9-2*IF(DATOS!$C$25=0,0,INDEX(TABLAS!$C$52:$C$58,MATCH(DATOS!$C$25,TABLAS!$B$52:$B$58,0))))+MAX(DATOS!$C$32,INDEX(TABLAS!$C$52:$C$58,MIN(MATCH(DATOS!$C$27,TABLAS!$B$52:$B$58,0)+3,7))))/(INDEX(TABLAS!$C$52:$C$58,MIN(MATCH(DATOS!$C$27,TABLAS!$B$52:$B$58,0)+3,7))+MAX(DATOS!$C$32,INDEX(TABLAS!$C$52:$C$58,MIN(MATCH(DATOS!$C$27,TABLAS!$B$52:$B$58,0)+3,7))))))),INDEX(TABLAS!$B$52:$B$58,MIN(MATCH(DATOS!$C$27,TABLAS!$B$52:$B$58,0)+3,7)),IF(AND(BO9&gt;=0,IF(MAX(DATOS!$C$29,CEILING(BO9/INDEX(TABLAS!$D$52:$D$58,MIN(MATCH(DATOS!$C$27,TABLAS!$B$52:$B$58,0)+4,7)),1))*INDEX(TABLAS!$D$52:$D$58,MIN(MATCH(DATOS!$C$27,TABLAS!$B$52:$B$58,0)+4,7))&gt;=4/3*IF(BC9&lt;=0,0,IF((1-2*BC9*1E5/(DATOS!$C$58*DATOS!$C$19*BN9^2*DATOS!$C$48))&lt;0,-1,IF((1-SQRT((1-2*BC9*1E5/(DATOS!$C$58*DATOS!$C$19*BN9^2*DATOS!$C$48))))*DATOS!$C$48*DATOS!$C$19*BN9/DATOS!$C$40&gt;DATOS!$C$82*DATOS!$C$19*BN9,-1,(1-SQRT((1-2*BC9*1E5/(DATOS!$C$58*DATOS!$C$19*BN9^2*DATOS!$C$48))))*DATOS!$C$48*DATOS!$C$19*BN9/DATOS!$C$40)))-0.0001,MAX(DATOS!$C$29,CEILING(BO9/INDEX(TABLAS!$D$52:$D$58,MIN(MATCH(DATOS!$C$27,TABLAS!$B$52:$B$58,0)+4,7)),1)),MAX(MAX(DATOS!$C$29,CEILING(BO9/INDEX(TABLAS!$D$52:$D$58,MIN(MATCH(DATOS!$C$27,TABLAS!$B$52:$B$58,0)+4,7)),1)),2))&lt;=MIN(DATOS!$C$28,INT(((DATOS!$C$13-2*S9-2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9" s="56">
        <f>IF(D9="HUECO",0,IF(BO9&lt;0,0,IF(MAX(DATOS!$C$29,CEILING(MAX(BO9,0)/INDEX(TABLAS!$D$52:$D$58,MATCH(BP9,TABLAS!$B$52:$B$58,0)),1))*INDEX(TABLAS!$D$52:$D$58,MATCH(BP9,TABLAS!$B$52:$B$58,0))&gt;=4/3*IF(BC9&lt;=0,0,IF((1-2*BC9*1E5/(DATOS!$C$58*DATOS!$C$19*BN9^2*DATOS!$C$48))&lt;0,-1,IF((1-SQRT((1-2*BC9*1E5/(DATOS!$C$58*DATOS!$C$19*BN9^2*DATOS!$C$48))))*DATOS!$C$48*DATOS!$C$19*BN9/DATOS!$C$40&gt;DATOS!$C$82*DATOS!$C$19*BN9,-1,(1-SQRT((1-2*BC9*1E5/(DATOS!$C$58*DATOS!$C$19*BN9^2*DATOS!$C$48))))*DATOS!$C$48*DATOS!$C$19*BN9/DATOS!$C$40)))-0.0001,MAX(DATOS!$C$29,CEILING(MAX(BO9,0)/INDEX(TABLAS!$D$52:$D$58,MATCH(BP9,TABLAS!$B$52:$B$58,0)),1)),MAX(MAX(DATOS!$C$29,CEILING(MAX(BO9,0)/INDEX(TABLAS!$D$52:$D$58,MATCH(BP9,TABLAS!$B$52:$B$58,0)),1)),2))))</f>
        <v>1</v>
      </c>
      <c r="BR9" s="43">
        <f>((DATOS!$C$15-S9-2*DATOS!$C$35-IF(DATOS!$C$25=0,0,INDEX(TABLAS!$C$52:$C$58,MATCH(DATOS!$C$25,TABLAS!$B$52:$B$58,0)))-INDEX(TABLAS!$C$52:$C$58,MATCH(BP9,TABLAS!$B$52:$B$58,0))/2)-IF(AND((DATOS!$C$15-S9-2*DATOS!$C$35-IF(DATOS!$C$25=0,0,INDEX(TABLAS!$C$52:$C$58,MATCH(DATOS!$C$25,TABLAS!$B$52:$B$58,0)))-INDEX(TABLAS!$C$52:$C$58,MATCH(BP9,TABLAS!$B$52:$B$58,0))/2)&lt;=20,DATOS!$C$18&lt;&gt;"SÍ"),2,0))</f>
        <v>19.389</v>
      </c>
      <c r="BS9" s="36">
        <f>IF(BQ9=0,0,DATOS!$C$58*BQ9*INDEX(TABLAS!$D$52:$D$58,MATCH(BP9,TABLAS!$B$52:$B$58,0))*DATOS!$C$40*(BR9-BQ9*INDEX(TABLAS!$D$52:$D$58,MATCH(BP9,TABLAS!$B$52:$B$58,0))*DATOS!$C$40/(DATOS!$C$48*DATOS!$C$19)/2)/1E5)</f>
        <v>0.870537980117647</v>
      </c>
      <c r="BT9" s="62">
        <f>IF(BO9&lt;0,9.99,IF(BS9&gt;0,BC9/BS9,0))</f>
        <v>0.29926022897988</v>
      </c>
      <c r="BU9" s="63">
        <f>IF(BQ9=0,"—",0.003*(BR9-(BQ9*INDEX(TABLAS!$D$52:$D$58,MATCH(BP9,TABLAS!$B$52:$B$58,0))*DATOS!$C$40/(DATOS!$C$48*DATOS!$C$19)/DATOS!$C$49))/(BQ9*INDEX(TABLAS!$D$52:$D$58,MATCH(BP9,TABLAS!$B$52:$B$58,0))*DATOS!$C$40/(DATOS!$C$48*DATOS!$C$19)/DATOS!$C$49))</f>
        <v>0.0166970648200225</v>
      </c>
      <c r="BV9" s="43">
        <f>(DATOS!$C$15-R9-IF(DATOS!$C$25=0,0,INDEX(TABLAS!$C$52:$C$58,MATCH(DATOS!$C$25,TABLAS!$B$52:$B$58,0)))-INDEX(TABLAS!$C$52:$C$58,MATCH(DATOS!$C$26,TABLAS!$B$52:$B$58,0))-INDEX(TABLAS!$C$52:$C$58,MATCH(DATOS!$C$26,TABLAS!$B$52:$B$58,0))/2)</f>
        <v>19.095</v>
      </c>
      <c r="BW9" s="43">
        <f>IF(D9="HUECO",0,IF(IF(BD9&lt;=0,0,IF((1-2*BD9*1E5/(DATOS!$C$58*Q9*BV9^2*DATOS!$C$48))&lt;0,-1,IF((1-SQRT((1-2*BD9*1E5/(DATOS!$C$58*Q9*BV9^2*DATOS!$C$48))))*DATOS!$C$48*Q9*BV9/DATOS!$C$40&gt;DATOS!$C$82*Q9*BV9,-1,(1-SQRT((1-2*BD9*1E5/(DATOS!$C$58*Q9*BV9^2*DATOS!$C$48))))*DATOS!$C$48*Q9*BV9/DATOS!$C$40)))&lt;0,-1,MAX(IF(BD9&lt;=0,0,IF((1-2*BD9*1E5/(DATOS!$C$58*Q9*BV9^2*DATOS!$C$48))&lt;0,-1,IF((1-SQRT((1-2*BD9*1E5/(DATOS!$C$58*Q9*BV9^2*DATOS!$C$48))))*DATOS!$C$48*Q9*BV9/DATOS!$C$40&gt;DATOS!$C$82*Q9*BV9,-1,(1-SQRT((1-2*BD9*1E5/(DATOS!$C$58*Q9*BV9^2*DATOS!$C$48))))*DATOS!$C$48*Q9*BV9/DATOS!$C$40))),MIN(DATOS!$C$83*DATOS!$C$13*BV9,4/3*IF(BD9&lt;=0,0,IF((1-2*BD9*1E5/(DATOS!$C$58*Q9*BV9^2*DATOS!$C$48))&lt;0,-1,IF((1-SQRT((1-2*BD9*1E5/(DATOS!$C$58*Q9*BV9^2*DATOS!$C$48))))*DATOS!$C$48*Q9*BV9/DATOS!$C$40&gt;DATOS!$C$82*Q9*BV9,-1,(1-SQRT((1-2*BD9*1E5/(DATOS!$C$58*Q9*BV9^2*DATOS!$C$48))))*DATOS!$C$48*Q9*BV9/DATOS!$C$40)))))))</f>
        <v>0.0351628234714435</v>
      </c>
      <c r="BX9" s="41">
        <f>IF(AND(BW9&gt;=0,IF(MAX(DATOS!$C$29,CEILING(BW9/INDEX(TABLAS!$D$52:$D$58,MIN(MATCH(DATOS!$C$26,TABLAS!$B$52:$B$58,0)+0,7)),1))*INDEX(TABLAS!$D$52:$D$58,MIN(MATCH(DATOS!$C$26,TABLAS!$B$52:$B$58,0)+0,7))&gt;=4/3*IF(BD9&lt;=0,0,IF((1-2*BD9*1E5/(DATOS!$C$58*Q9*BV9^2*DATOS!$C$48))&lt;0,-1,IF((1-SQRT((1-2*BD9*1E5/(DATOS!$C$58*Q9*BV9^2*DATOS!$C$48))))*DATOS!$C$48*Q9*BV9/DATOS!$C$40&gt;DATOS!$C$82*Q9*BV9,-1,(1-SQRT((1-2*BD9*1E5/(DATOS!$C$58*Q9*BV9^2*DATOS!$C$48))))*DATOS!$C$48*Q9*BV9/DATOS!$C$40)))-0.0001,MAX(DATOS!$C$29,CEILING(BW9/INDEX(TABLAS!$D$52:$D$58,MIN(MATCH(DATOS!$C$26,TABLAS!$B$52:$B$58,0)+0,7)),1)),MAX(MAX(DATOS!$C$29,CEILING(BW9/INDEX(TABLAS!$D$52:$D$58,MIN(MATCH(DATOS!$C$26,TABLAS!$B$52:$B$58,0)+0,7)),1)),2))&lt;=MIN(DATOS!$C$28,INT(((DATOS!$C$13-2*R9-2*IF(DATOS!$C$25=0,0,INDEX(TABLAS!$C$52:$C$58,MATCH(DATOS!$C$25,TABLAS!$B$52:$B$58,0))))+MAX(DATOS!$C$32,INDEX(TABLAS!$C$52:$C$58,MIN(MATCH(DATOS!$C$26,TABLAS!$B$52:$B$58,0)+0,7))))/(INDEX(TABLAS!$C$52:$C$58,MIN(MATCH(DATOS!$C$26,TABLAS!$B$52:$B$58,0)+0,7))+MAX(DATOS!$C$32,INDEX(TABLAS!$C$52:$C$58,MIN(MATCH(DATOS!$C$26,TABLAS!$B$52:$B$58,0)+0,7))))))),INDEX(TABLAS!$B$52:$B$58,MIN(MATCH(DATOS!$C$26,TABLAS!$B$52:$B$58,0)+0,7)),IF(AND(BW9&gt;=0,IF(MAX(DATOS!$C$29,CEILING(BW9/INDEX(TABLAS!$D$52:$D$58,MIN(MATCH(DATOS!$C$26,TABLAS!$B$52:$B$58,0)+1,7)),1))*INDEX(TABLAS!$D$52:$D$58,MIN(MATCH(DATOS!$C$26,TABLAS!$B$52:$B$58,0)+1,7))&gt;=4/3*IF(BD9&lt;=0,0,IF((1-2*BD9*1E5/(DATOS!$C$58*Q9*BV9^2*DATOS!$C$48))&lt;0,-1,IF((1-SQRT((1-2*BD9*1E5/(DATOS!$C$58*Q9*BV9^2*DATOS!$C$48))))*DATOS!$C$48*Q9*BV9/DATOS!$C$40&gt;DATOS!$C$82*Q9*BV9,-1,(1-SQRT((1-2*BD9*1E5/(DATOS!$C$58*Q9*BV9^2*DATOS!$C$48))))*DATOS!$C$48*Q9*BV9/DATOS!$C$40)))-0.0001,MAX(DATOS!$C$29,CEILING(BW9/INDEX(TABLAS!$D$52:$D$58,MIN(MATCH(DATOS!$C$26,TABLAS!$B$52:$B$58,0)+1,7)),1)),MAX(MAX(DATOS!$C$29,CEILING(BW9/INDEX(TABLAS!$D$52:$D$58,MIN(MATCH(DATOS!$C$26,TABLAS!$B$52:$B$58,0)+1,7)),1)),2))&lt;=MIN(DATOS!$C$28,INT(((DATOS!$C$13-2*R9-2*IF(DATOS!$C$25=0,0,INDEX(TABLAS!$C$52:$C$58,MATCH(DATOS!$C$25,TABLAS!$B$52:$B$58,0))))+MAX(DATOS!$C$32,INDEX(TABLAS!$C$52:$C$58,MIN(MATCH(DATOS!$C$26,TABLAS!$B$52:$B$58,0)+1,7))))/(INDEX(TABLAS!$C$52:$C$58,MIN(MATCH(DATOS!$C$26,TABLAS!$B$52:$B$58,0)+1,7))+MAX(DATOS!$C$32,INDEX(TABLAS!$C$52:$C$58,MIN(MATCH(DATOS!$C$26,TABLAS!$B$52:$B$58,0)+1,7))))))),INDEX(TABLAS!$B$52:$B$58,MIN(MATCH(DATOS!$C$26,TABLAS!$B$52:$B$58,0)+1,7)),IF(AND(BW9&gt;=0,IF(MAX(DATOS!$C$29,CEILING(BW9/INDEX(TABLAS!$D$52:$D$58,MIN(MATCH(DATOS!$C$26,TABLAS!$B$52:$B$58,0)+2,7)),1))*INDEX(TABLAS!$D$52:$D$58,MIN(MATCH(DATOS!$C$26,TABLAS!$B$52:$B$58,0)+2,7))&gt;=4/3*IF(BD9&lt;=0,0,IF((1-2*BD9*1E5/(DATOS!$C$58*Q9*BV9^2*DATOS!$C$48))&lt;0,-1,IF((1-SQRT((1-2*BD9*1E5/(DATOS!$C$58*Q9*BV9^2*DATOS!$C$48))))*DATOS!$C$48*Q9*BV9/DATOS!$C$40&gt;DATOS!$C$82*Q9*BV9,-1,(1-SQRT((1-2*BD9*1E5/(DATOS!$C$58*Q9*BV9^2*DATOS!$C$48))))*DATOS!$C$48*Q9*BV9/DATOS!$C$40)))-0.0001,MAX(DATOS!$C$29,CEILING(BW9/INDEX(TABLAS!$D$52:$D$58,MIN(MATCH(DATOS!$C$26,TABLAS!$B$52:$B$58,0)+2,7)),1)),MAX(MAX(DATOS!$C$29,CEILING(BW9/INDEX(TABLAS!$D$52:$D$58,MIN(MATCH(DATOS!$C$26,TABLAS!$B$52:$B$58,0)+2,7)),1)),2))&lt;=MIN(DATOS!$C$28,INT(((DATOS!$C$13-2*R9-2*IF(DATOS!$C$25=0,0,INDEX(TABLAS!$C$52:$C$58,MATCH(DATOS!$C$25,TABLAS!$B$52:$B$58,0))))+MAX(DATOS!$C$32,INDEX(TABLAS!$C$52:$C$58,MIN(MATCH(DATOS!$C$26,TABLAS!$B$52:$B$58,0)+2,7))))/(INDEX(TABLAS!$C$52:$C$58,MIN(MATCH(DATOS!$C$26,TABLAS!$B$52:$B$58,0)+2,7))+MAX(DATOS!$C$32,INDEX(TABLAS!$C$52:$C$58,MIN(MATCH(DATOS!$C$26,TABLAS!$B$52:$B$58,0)+2,7))))))),INDEX(TABLAS!$B$52:$B$58,MIN(MATCH(DATOS!$C$26,TABLAS!$B$52:$B$58,0)+2,7)),IF(AND(BW9&gt;=0,IF(MAX(DATOS!$C$29,CEILING(BW9/INDEX(TABLAS!$D$52:$D$58,MIN(MATCH(DATOS!$C$26,TABLAS!$B$52:$B$58,0)+3,7)),1))*INDEX(TABLAS!$D$52:$D$58,MIN(MATCH(DATOS!$C$26,TABLAS!$B$52:$B$58,0)+3,7))&gt;=4/3*IF(BD9&lt;=0,0,IF((1-2*BD9*1E5/(DATOS!$C$58*Q9*BV9^2*DATOS!$C$48))&lt;0,-1,IF((1-SQRT((1-2*BD9*1E5/(DATOS!$C$58*Q9*BV9^2*DATOS!$C$48))))*DATOS!$C$48*Q9*BV9/DATOS!$C$40&gt;DATOS!$C$82*Q9*BV9,-1,(1-SQRT((1-2*BD9*1E5/(DATOS!$C$58*Q9*BV9^2*DATOS!$C$48))))*DATOS!$C$48*Q9*BV9/DATOS!$C$40)))-0.0001,MAX(DATOS!$C$29,CEILING(BW9/INDEX(TABLAS!$D$52:$D$58,MIN(MATCH(DATOS!$C$26,TABLAS!$B$52:$B$58,0)+3,7)),1)),MAX(MAX(DATOS!$C$29,CEILING(BW9/INDEX(TABLAS!$D$52:$D$58,MIN(MATCH(DATOS!$C$26,TABLAS!$B$52:$B$58,0)+3,7)),1)),2))&lt;=MIN(DATOS!$C$28,INT(((DATOS!$C$13-2*R9-2*IF(DATOS!$C$25=0,0,INDEX(TABLAS!$C$52:$C$58,MATCH(DATOS!$C$25,TABLAS!$B$52:$B$58,0))))+MAX(DATOS!$C$32,INDEX(TABLAS!$C$52:$C$58,MIN(MATCH(DATOS!$C$26,TABLAS!$B$52:$B$58,0)+3,7))))/(INDEX(TABLAS!$C$52:$C$58,MIN(MATCH(DATOS!$C$26,TABLAS!$B$52:$B$58,0)+3,7))+MAX(DATOS!$C$32,INDEX(TABLAS!$C$52:$C$58,MIN(MATCH(DATOS!$C$26,TABLAS!$B$52:$B$58,0)+3,7))))))),INDEX(TABLAS!$B$52:$B$58,MIN(MATCH(DATOS!$C$26,TABLAS!$B$52:$B$58,0)+3,7)),IF(AND(BW9&gt;=0,IF(MAX(DATOS!$C$29,CEILING(BW9/INDEX(TABLAS!$D$52:$D$58,MIN(MATCH(DATOS!$C$26,TABLAS!$B$52:$B$58,0)+4,7)),1))*INDEX(TABLAS!$D$52:$D$58,MIN(MATCH(DATOS!$C$26,TABLAS!$B$52:$B$58,0)+4,7))&gt;=4/3*IF(BD9&lt;=0,0,IF((1-2*BD9*1E5/(DATOS!$C$58*Q9*BV9^2*DATOS!$C$48))&lt;0,-1,IF((1-SQRT((1-2*BD9*1E5/(DATOS!$C$58*Q9*BV9^2*DATOS!$C$48))))*DATOS!$C$48*Q9*BV9/DATOS!$C$40&gt;DATOS!$C$82*Q9*BV9,-1,(1-SQRT((1-2*BD9*1E5/(DATOS!$C$58*Q9*BV9^2*DATOS!$C$48))))*DATOS!$C$48*Q9*BV9/DATOS!$C$40)))-0.0001,MAX(DATOS!$C$29,CEILING(BW9/INDEX(TABLAS!$D$52:$D$58,MIN(MATCH(DATOS!$C$26,TABLAS!$B$52:$B$58,0)+4,7)),1)),MAX(MAX(DATOS!$C$29,CEILING(BW9/INDEX(TABLAS!$D$52:$D$58,MIN(MATCH(DATOS!$C$26,TABLAS!$B$52:$B$58,0)+4,7)),1)),2))&lt;=MIN(DATOS!$C$28,INT(((DATOS!$C$13-2*R9-2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9" s="56">
        <f>IF(D9="HUECO",0,IF(BW9&lt;0,0,IF(MAX(DATOS!$C$29,CEILING(MAX(BW9,0)/INDEX(TABLAS!$D$52:$D$58,MATCH(BX9,TABLAS!$B$52:$B$58,0)),1))*INDEX(TABLAS!$D$52:$D$58,MATCH(BX9,TABLAS!$B$52:$B$58,0))&gt;=4/3*IF(BD9&lt;=0,0,IF((1-2*BD9*1E5/(DATOS!$C$58*Q9*BV9^2*DATOS!$C$48))&lt;0,-1,IF((1-SQRT((1-2*BD9*1E5/(DATOS!$C$58*Q9*BV9^2*DATOS!$C$48))))*DATOS!$C$48*Q9*BV9/DATOS!$C$40&gt;DATOS!$C$82*Q9*BV9,-1,(1-SQRT((1-2*BD9*1E5/(DATOS!$C$58*Q9*BV9^2*DATOS!$C$48))))*DATOS!$C$48*Q9*BV9/DATOS!$C$40)))-0.0001,MAX(DATOS!$C$29,CEILING(MAX(BW9,0)/INDEX(TABLAS!$D$52:$D$58,MATCH(BX9,TABLAS!$B$52:$B$58,0)),1)),MAX(MAX(DATOS!$C$29,CEILING(MAX(BW9,0)/INDEX(TABLAS!$D$52:$D$58,MATCH(BX9,TABLAS!$B$52:$B$58,0)),1)),2))))</f>
        <v>1</v>
      </c>
      <c r="BZ9" s="43">
        <f>DATOS!$C$15-R9-IF(DATOS!$C$25=0,0,INDEX(TABLAS!$C$52:$C$58,MATCH(DATOS!$C$25,TABLAS!$B$52:$B$58,0)))-INDEX(TABLAS!$C$52:$C$58,MATCH(BH9,TABLAS!$B$52:$B$58,0))-INDEX(TABLAS!$C$52:$C$58,MATCH(BX9,TABLAS!$B$52:$B$58,0))/2</f>
        <v>19.095</v>
      </c>
      <c r="CA9" s="36">
        <f>IF(BY9=0,0,DATOS!$C$58*BY9*INDEX(TABLAS!$D$52:$D$58,MATCH(BX9,TABLAS!$B$52:$B$58,0))*DATOS!$C$40*(BZ9-BY9*INDEX(TABLAS!$D$52:$D$58,MATCH(BX9,TABLAS!$B$52:$B$58,0))*DATOS!$C$40/(DATOS!$C$48*Q9)/2)/1E5)</f>
        <v>0.908067376588235</v>
      </c>
      <c r="CB9" s="62">
        <f>IF(BW9&lt;0,9.99,IF(CA9&gt;0,BD9/CA9,0))</f>
        <v>0.0209581867749958</v>
      </c>
      <c r="CC9" s="63">
        <f>IF(BY9=0,"—",0.003*(BZ9-(BY9*INDEX(TABLAS!$D$52:$D$58,MATCH(BX9,TABLAS!$B$52:$B$58,0))*DATOS!$C$40/(DATOS!$C$48*Q9)/DATOS!$C$49))/(BY9*INDEX(TABLAS!$D$52:$D$58,MATCH(BX9,TABLAS!$B$52:$B$58,0))*DATOS!$C$40/(DATOS!$C$48*Q9)/DATOS!$C$49))</f>
        <v>0.13278875492126</v>
      </c>
      <c r="CD9" s="43">
        <f>((DATOS!$C$15-S9-2*DATOS!$C$35-IF(DATOS!$C$25=0,0,INDEX(TABLAS!$C$52:$C$58,MATCH(DATOS!$C$25,TABLAS!$B$52:$B$58,0)))-INDEX(TABLAS!$C$52:$C$58,MATCH(DATOS!$C$27,TABLAS!$B$52:$B$58,0))-INDEX(TABLAS!$C$52:$C$58,MATCH(DATOS!$C$27,TABLAS!$B$52:$B$58,0))/2)-IF(AND((DATOS!$C$15-S9-2*DATOS!$C$35-IF(DATOS!$C$25=0,0,INDEX(TABLAS!$C$52:$C$58,MATCH(DATOS!$C$25,TABLAS!$B$52:$B$58,0)))-INDEX(TABLAS!$C$52:$C$58,MATCH(DATOS!$C$27,TABLAS!$B$52:$B$58,0))-INDEX(TABLAS!$C$52:$C$58,MATCH(DATOS!$C$27,TABLAS!$B$52:$B$58,0))/2)&lt;=20,DATOS!$C$18&lt;&gt;"SÍ"),2,0))</f>
        <v>18.119</v>
      </c>
      <c r="CE9" s="43">
        <f>IF(D9="HUECO",0,IF(IF(BE9&lt;=0,0,IF((1-2*BE9*1E5/(DATOS!$C$58*DATOS!$C$19*CD9^2*DATOS!$C$48))&lt;0,-1,IF((1-SQRT((1-2*BE9*1E5/(DATOS!$C$58*DATOS!$C$19*CD9^2*DATOS!$C$48))))*DATOS!$C$48*DATOS!$C$19*CD9/DATOS!$C$40&gt;DATOS!$C$82*DATOS!$C$19*CD9,-1,(1-SQRT((1-2*BE9*1E5/(DATOS!$C$58*DATOS!$C$19*CD9^2*DATOS!$C$48))))*DATOS!$C$48*DATOS!$C$19*CD9/DATOS!$C$40)))&lt;0,-1,MAX(IF(BE9&lt;=0,0,IF((1-2*BE9*1E5/(DATOS!$C$58*DATOS!$C$19*CD9^2*DATOS!$C$48))&lt;0,-1,IF((1-SQRT((1-2*BE9*1E5/(DATOS!$C$58*DATOS!$C$19*CD9^2*DATOS!$C$48))))*DATOS!$C$48*DATOS!$C$19*CD9/DATOS!$C$40&gt;DATOS!$C$82*DATOS!$C$19*CD9,-1,(1-SQRT((1-2*BE9*1E5/(DATOS!$C$58*DATOS!$C$19*CD9^2*DATOS!$C$48))))*DATOS!$C$48*DATOS!$C$19*CD9/DATOS!$C$40))),MIN(DATOS!$C$83*DATOS!$C$13*CD9,4/3*IF(BE9&lt;=0,0,IF((1-2*BE9*1E5/(DATOS!$C$58*DATOS!$C$19*CD9^2*DATOS!$C$48))&lt;0,-1,IF((1-SQRT((1-2*BE9*1E5/(DATOS!$C$58*DATOS!$C$19*CD9^2*DATOS!$C$48))))*DATOS!$C$48*DATOS!$C$19*CD9/DATOS!$C$40&gt;DATOS!$C$82*DATOS!$C$19*CD9,-1,(1-SQRT((1-2*BE9*1E5/(DATOS!$C$58*DATOS!$C$19*CD9^2*DATOS!$C$48))))*DATOS!$C$48*DATOS!$C$19*CD9/DATOS!$C$40)))))))</f>
        <v>0.0354667605872162</v>
      </c>
      <c r="CF9" s="41">
        <f>IF(AND(CE9&gt;=0,IF(MAX(DATOS!$C$29,CEILING(CE9/INDEX(TABLAS!$D$52:$D$58,MIN(MATCH(DATOS!$C$27,TABLAS!$B$52:$B$58,0)+0,7)),1))*INDEX(TABLAS!$D$52:$D$58,MIN(MATCH(DATOS!$C$27,TABLAS!$B$52:$B$58,0)+0,7))&gt;=4/3*IF(BE9&lt;=0,0,IF((1-2*BE9*1E5/(DATOS!$C$58*DATOS!$C$19*CD9^2*DATOS!$C$48))&lt;0,-1,IF((1-SQRT((1-2*BE9*1E5/(DATOS!$C$58*DATOS!$C$19*CD9^2*DATOS!$C$48))))*DATOS!$C$48*DATOS!$C$19*CD9/DATOS!$C$40&gt;DATOS!$C$82*DATOS!$C$19*CD9,-1,(1-SQRT((1-2*BE9*1E5/(DATOS!$C$58*DATOS!$C$19*CD9^2*DATOS!$C$48))))*DATOS!$C$48*DATOS!$C$19*CD9/DATOS!$C$40)))-0.0001,MAX(DATOS!$C$29,CEILING(CE9/INDEX(TABLAS!$D$52:$D$58,MIN(MATCH(DATOS!$C$27,TABLAS!$B$52:$B$58,0)+0,7)),1)),MAX(MAX(DATOS!$C$29,CEILING(CE9/INDEX(TABLAS!$D$52:$D$58,MIN(MATCH(DATOS!$C$27,TABLAS!$B$52:$B$58,0)+0,7)),1)),2))&lt;=MIN(DATOS!$C$28,INT(((DATOS!$C$13-2*S9-2*IF(DATOS!$C$25=0,0,INDEX(TABLAS!$C$52:$C$58,MATCH(DATOS!$C$25,TABLAS!$B$52:$B$58,0))))+MAX(DATOS!$C$32,INDEX(TABLAS!$C$52:$C$58,MIN(MATCH(DATOS!$C$27,TABLAS!$B$52:$B$58,0)+0,7))))/(INDEX(TABLAS!$C$52:$C$58,MIN(MATCH(DATOS!$C$27,TABLAS!$B$52:$B$58,0)+0,7))+MAX(DATOS!$C$32,INDEX(TABLAS!$C$52:$C$58,MIN(MATCH(DATOS!$C$27,TABLAS!$B$52:$B$58,0)+0,7))))))),INDEX(TABLAS!$B$52:$B$58,MIN(MATCH(DATOS!$C$27,TABLAS!$B$52:$B$58,0)+0,7)),IF(AND(CE9&gt;=0,IF(MAX(DATOS!$C$29,CEILING(CE9/INDEX(TABLAS!$D$52:$D$58,MIN(MATCH(DATOS!$C$27,TABLAS!$B$52:$B$58,0)+1,7)),1))*INDEX(TABLAS!$D$52:$D$58,MIN(MATCH(DATOS!$C$27,TABLAS!$B$52:$B$58,0)+1,7))&gt;=4/3*IF(BE9&lt;=0,0,IF((1-2*BE9*1E5/(DATOS!$C$58*DATOS!$C$19*CD9^2*DATOS!$C$48))&lt;0,-1,IF((1-SQRT((1-2*BE9*1E5/(DATOS!$C$58*DATOS!$C$19*CD9^2*DATOS!$C$48))))*DATOS!$C$48*DATOS!$C$19*CD9/DATOS!$C$40&gt;DATOS!$C$82*DATOS!$C$19*CD9,-1,(1-SQRT((1-2*BE9*1E5/(DATOS!$C$58*DATOS!$C$19*CD9^2*DATOS!$C$48))))*DATOS!$C$48*DATOS!$C$19*CD9/DATOS!$C$40)))-0.0001,MAX(DATOS!$C$29,CEILING(CE9/INDEX(TABLAS!$D$52:$D$58,MIN(MATCH(DATOS!$C$27,TABLAS!$B$52:$B$58,0)+1,7)),1)),MAX(MAX(DATOS!$C$29,CEILING(CE9/INDEX(TABLAS!$D$52:$D$58,MIN(MATCH(DATOS!$C$27,TABLAS!$B$52:$B$58,0)+1,7)),1)),2))&lt;=MIN(DATOS!$C$28,INT(((DATOS!$C$13-2*S9-2*IF(DATOS!$C$25=0,0,INDEX(TABLAS!$C$52:$C$58,MATCH(DATOS!$C$25,TABLAS!$B$52:$B$58,0))))+MAX(DATOS!$C$32,INDEX(TABLAS!$C$52:$C$58,MIN(MATCH(DATOS!$C$27,TABLAS!$B$52:$B$58,0)+1,7))))/(INDEX(TABLAS!$C$52:$C$58,MIN(MATCH(DATOS!$C$27,TABLAS!$B$52:$B$58,0)+1,7))+MAX(DATOS!$C$32,INDEX(TABLAS!$C$52:$C$58,MIN(MATCH(DATOS!$C$27,TABLAS!$B$52:$B$58,0)+1,7))))))),INDEX(TABLAS!$B$52:$B$58,MIN(MATCH(DATOS!$C$27,TABLAS!$B$52:$B$58,0)+1,7)),IF(AND(CE9&gt;=0,IF(MAX(DATOS!$C$29,CEILING(CE9/INDEX(TABLAS!$D$52:$D$58,MIN(MATCH(DATOS!$C$27,TABLAS!$B$52:$B$58,0)+2,7)),1))*INDEX(TABLAS!$D$52:$D$58,MIN(MATCH(DATOS!$C$27,TABLAS!$B$52:$B$58,0)+2,7))&gt;=4/3*IF(BE9&lt;=0,0,IF((1-2*BE9*1E5/(DATOS!$C$58*DATOS!$C$19*CD9^2*DATOS!$C$48))&lt;0,-1,IF((1-SQRT((1-2*BE9*1E5/(DATOS!$C$58*DATOS!$C$19*CD9^2*DATOS!$C$48))))*DATOS!$C$48*DATOS!$C$19*CD9/DATOS!$C$40&gt;DATOS!$C$82*DATOS!$C$19*CD9,-1,(1-SQRT((1-2*BE9*1E5/(DATOS!$C$58*DATOS!$C$19*CD9^2*DATOS!$C$48))))*DATOS!$C$48*DATOS!$C$19*CD9/DATOS!$C$40)))-0.0001,MAX(DATOS!$C$29,CEILING(CE9/INDEX(TABLAS!$D$52:$D$58,MIN(MATCH(DATOS!$C$27,TABLAS!$B$52:$B$58,0)+2,7)),1)),MAX(MAX(DATOS!$C$29,CEILING(CE9/INDEX(TABLAS!$D$52:$D$58,MIN(MATCH(DATOS!$C$27,TABLAS!$B$52:$B$58,0)+2,7)),1)),2))&lt;=MIN(DATOS!$C$28,INT(((DATOS!$C$13-2*S9-2*IF(DATOS!$C$25=0,0,INDEX(TABLAS!$C$52:$C$58,MATCH(DATOS!$C$25,TABLAS!$B$52:$B$58,0))))+MAX(DATOS!$C$32,INDEX(TABLAS!$C$52:$C$58,MIN(MATCH(DATOS!$C$27,TABLAS!$B$52:$B$58,0)+2,7))))/(INDEX(TABLAS!$C$52:$C$58,MIN(MATCH(DATOS!$C$27,TABLAS!$B$52:$B$58,0)+2,7))+MAX(DATOS!$C$32,INDEX(TABLAS!$C$52:$C$58,MIN(MATCH(DATOS!$C$27,TABLAS!$B$52:$B$58,0)+2,7))))))),INDEX(TABLAS!$B$52:$B$58,MIN(MATCH(DATOS!$C$27,TABLAS!$B$52:$B$58,0)+2,7)),IF(AND(CE9&gt;=0,IF(MAX(DATOS!$C$29,CEILING(CE9/INDEX(TABLAS!$D$52:$D$58,MIN(MATCH(DATOS!$C$27,TABLAS!$B$52:$B$58,0)+3,7)),1))*INDEX(TABLAS!$D$52:$D$58,MIN(MATCH(DATOS!$C$27,TABLAS!$B$52:$B$58,0)+3,7))&gt;=4/3*IF(BE9&lt;=0,0,IF((1-2*BE9*1E5/(DATOS!$C$58*DATOS!$C$19*CD9^2*DATOS!$C$48))&lt;0,-1,IF((1-SQRT((1-2*BE9*1E5/(DATOS!$C$58*DATOS!$C$19*CD9^2*DATOS!$C$48))))*DATOS!$C$48*DATOS!$C$19*CD9/DATOS!$C$40&gt;DATOS!$C$82*DATOS!$C$19*CD9,-1,(1-SQRT((1-2*BE9*1E5/(DATOS!$C$58*DATOS!$C$19*CD9^2*DATOS!$C$48))))*DATOS!$C$48*DATOS!$C$19*CD9/DATOS!$C$40)))-0.0001,MAX(DATOS!$C$29,CEILING(CE9/INDEX(TABLAS!$D$52:$D$58,MIN(MATCH(DATOS!$C$27,TABLAS!$B$52:$B$58,0)+3,7)),1)),MAX(MAX(DATOS!$C$29,CEILING(CE9/INDEX(TABLAS!$D$52:$D$58,MIN(MATCH(DATOS!$C$27,TABLAS!$B$52:$B$58,0)+3,7)),1)),2))&lt;=MIN(DATOS!$C$28,INT(((DATOS!$C$13-2*S9-2*IF(DATOS!$C$25=0,0,INDEX(TABLAS!$C$52:$C$58,MATCH(DATOS!$C$25,TABLAS!$B$52:$B$58,0))))+MAX(DATOS!$C$32,INDEX(TABLAS!$C$52:$C$58,MIN(MATCH(DATOS!$C$27,TABLAS!$B$52:$B$58,0)+3,7))))/(INDEX(TABLAS!$C$52:$C$58,MIN(MATCH(DATOS!$C$27,TABLAS!$B$52:$B$58,0)+3,7))+MAX(DATOS!$C$32,INDEX(TABLAS!$C$52:$C$58,MIN(MATCH(DATOS!$C$27,TABLAS!$B$52:$B$58,0)+3,7))))))),INDEX(TABLAS!$B$52:$B$58,MIN(MATCH(DATOS!$C$27,TABLAS!$B$52:$B$58,0)+3,7)),IF(AND(CE9&gt;=0,IF(MAX(DATOS!$C$29,CEILING(CE9/INDEX(TABLAS!$D$52:$D$58,MIN(MATCH(DATOS!$C$27,TABLAS!$B$52:$B$58,0)+4,7)),1))*INDEX(TABLAS!$D$52:$D$58,MIN(MATCH(DATOS!$C$27,TABLAS!$B$52:$B$58,0)+4,7))&gt;=4/3*IF(BE9&lt;=0,0,IF((1-2*BE9*1E5/(DATOS!$C$58*DATOS!$C$19*CD9^2*DATOS!$C$48))&lt;0,-1,IF((1-SQRT((1-2*BE9*1E5/(DATOS!$C$58*DATOS!$C$19*CD9^2*DATOS!$C$48))))*DATOS!$C$48*DATOS!$C$19*CD9/DATOS!$C$40&gt;DATOS!$C$82*DATOS!$C$19*CD9,-1,(1-SQRT((1-2*BE9*1E5/(DATOS!$C$58*DATOS!$C$19*CD9^2*DATOS!$C$48))))*DATOS!$C$48*DATOS!$C$19*CD9/DATOS!$C$40)))-0.0001,MAX(DATOS!$C$29,CEILING(CE9/INDEX(TABLAS!$D$52:$D$58,MIN(MATCH(DATOS!$C$27,TABLAS!$B$52:$B$58,0)+4,7)),1)),MAX(MAX(DATOS!$C$29,CEILING(CE9/INDEX(TABLAS!$D$52:$D$58,MIN(MATCH(DATOS!$C$27,TABLAS!$B$52:$B$58,0)+4,7)),1)),2))&lt;=MIN(DATOS!$C$28,INT(((DATOS!$C$13-2*S9-2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9" s="56">
        <f>IF(D9="HUECO",0,IF(CE9&lt;0,0,IF(MAX(DATOS!$C$29,CEILING(MAX(CE9,0)/INDEX(TABLAS!$D$52:$D$58,MATCH(CF9,TABLAS!$B$52:$B$58,0)),1))*INDEX(TABLAS!$D$52:$D$58,MATCH(CF9,TABLAS!$B$52:$B$58,0))&gt;=4/3*IF(BE9&lt;=0,0,IF((1-2*BE9*1E5/(DATOS!$C$58*DATOS!$C$19*CD9^2*DATOS!$C$48))&lt;0,-1,IF((1-SQRT((1-2*BE9*1E5/(DATOS!$C$58*DATOS!$C$19*CD9^2*DATOS!$C$48))))*DATOS!$C$48*DATOS!$C$19*CD9/DATOS!$C$40&gt;DATOS!$C$82*DATOS!$C$19*CD9,-1,(1-SQRT((1-2*BE9*1E5/(DATOS!$C$58*DATOS!$C$19*CD9^2*DATOS!$C$48))))*DATOS!$C$48*DATOS!$C$19*CD9/DATOS!$C$40)))-0.0001,MAX(DATOS!$C$29,CEILING(MAX(CE9,0)/INDEX(TABLAS!$D$52:$D$58,MATCH(CF9,TABLAS!$B$52:$B$58,0)),1)),MAX(MAX(DATOS!$C$29,CEILING(MAX(CE9,0)/INDEX(TABLAS!$D$52:$D$58,MATCH(CF9,TABLAS!$B$52:$B$58,0)),1)),2))))</f>
        <v>1</v>
      </c>
      <c r="CH9" s="43">
        <f>((DATOS!$C$15-S9-2*DATOS!$C$35-IF(DATOS!$C$25=0,0,INDEX(TABLAS!$C$52:$C$58,MATCH(DATOS!$C$25,TABLAS!$B$52:$B$58,0)))-INDEX(TABLAS!$C$52:$C$58,MATCH(BP9,TABLAS!$B$52:$B$58,0))-INDEX(TABLAS!$C$52:$C$58,MATCH(CF9,TABLAS!$B$52:$B$58,0))/2)-IF(AND((DATOS!$C$15-S9-2*DATOS!$C$35-IF(DATOS!$C$25=0,0,INDEX(TABLAS!$C$52:$C$58,MATCH(DATOS!$C$25,TABLAS!$B$52:$B$58,0)))-INDEX(TABLAS!$C$52:$C$58,MATCH(BP9,TABLAS!$B$52:$B$58,0))-INDEX(TABLAS!$C$52:$C$58,MATCH(CF9,TABLAS!$B$52:$B$58,0))/2)&lt;=20,DATOS!$C$18&lt;&gt;"SÍ"),2,0))</f>
        <v>18.119</v>
      </c>
      <c r="CI9" s="36">
        <f>IF(CG9=0,0,DATOS!$C$58*CG9*INDEX(TABLAS!$D$52:$D$58,MATCH(CF9,TABLAS!$B$52:$B$58,0))*DATOS!$C$40*(CH9-CG9*INDEX(TABLAS!$D$52:$D$58,MATCH(CF9,TABLAS!$B$52:$B$58,0))*DATOS!$C$40/(DATOS!$C$48*DATOS!$C$19)/2)/1E5)</f>
        <v>0.809570360117647</v>
      </c>
      <c r="CJ9" s="62">
        <f>IF(CE9&lt;0,9.99,IF(CI9&gt;0,BE9/CI9,0))</f>
        <v>0.0224710661467096</v>
      </c>
      <c r="CK9" s="63">
        <f>IF(CG9=0,"—",0.003*(CH9-(CG9*INDEX(TABLAS!$D$52:$D$58,MATCH(CF9,TABLAS!$B$52:$B$58,0))*DATOS!$C$40/(DATOS!$C$48*DATOS!$C$19)/DATOS!$C$49))/(CG9*INDEX(TABLAS!$D$52:$D$58,MATCH(CF9,TABLAS!$B$52:$B$58,0))*DATOS!$C$40/(DATOS!$C$48*DATOS!$C$19)/DATOS!$C$49))</f>
        <v>0.0154068862485939</v>
      </c>
      <c r="CL9" s="52" t="str">
        <f>IF(D9="HUECO","—",IF(AND(D9="PERIMETRAL",J9*100&gt;=6*DATOS!$C$11,DATOS!$C$11&lt;=80,DATOS!$C$13&gt;=10,DATOS!$C$15&lt;=3.5*DATOS!$C$13,DATOS!$C$14&gt;=MAX(DATOS!$C$11/13,5)),"SÍ","NO"))</f>
        <v>NO</v>
      </c>
      <c r="CM9" s="36">
        <f>IF(D9="PERIMETRAL",MAX(0,(N9/2-BR9)/100)*(0.95-0.5*L9)*Y9*IF(AND(Z9&gt;0,Z9&lt;4),DATOS!$C$63,1)*DATOS!$C$16/100/1000+AX9,IF(D9="VOLADO",(Y9*MAX(0,N9-BR9)/100+DATOS!$C$55*BA9)*DATOS!$C$16/100/1000,0))</f>
        <v>0.14141879056189</v>
      </c>
      <c r="CN9" s="36">
        <f>IF(D9="HUECO",0,DATOS!$C$59*2*MIN(1,SQRT(2/(1+0.04*BR9)))*(BQ9*INDEX(TABLAS!$D$52:$D$58,MATCH(BP9,TABLAS!$B$52:$B$58,0))/(DATOS!$C$19*BR9))^(1/3)*SQRT(DATOS!$C$39)*DATOS!$C$19*BR9*IF(CL9="SÍ",DATOS!$C$62,1)/1000)</f>
        <v>0.860398102904257</v>
      </c>
      <c r="CO9" s="51" t="str">
        <f>IF(D9="HUECO","—",IF(CM9&lt;=CN9,"CUMPLE",IF(MAX(0,CEILING((IF(D9="VOLADO",(N9-(CN9*1E5/DATOS!$C$16-DATOS!$C$55*BA9)*100/Y9),IF(CN9&lt;=AX9,N9,N9/2-(CN9-AX9)/MAX(CM9-AX9,1E-9)*(N9/2-BR9)))-IF(INT((J9*100-DATOS!$C$17+DATOS!$C$13)/DATOS!$C$16)&gt;0,(J9*100-DATOS!$C$17-(INT((J9*100-DATOS!$C$17+DATOS!$C$13)/DATOS!$C$16)*DATOS!$C$11+(INT((J9*100-DATOS!$C$17+DATOS!$C$13)/DATOS!$C$16)-1)*DATOS!$C$13))/2,J9*100/2))/DATOS!$C$16,1))&lt;=0,"CUMPLE (basta el macizo de orilla)","MACIZAR "&amp;MAX(0,CEILING((IF(D9="VOLADO",(N9-(CN9*1E5/DATOS!$C$16-DATOS!$C$55*BA9)*100/Y9),IF(CN9&lt;=AX9,N9,N9/2-(CN9-AX9)/MAX(CM9-AX9,1E-9)*(N9/2-BR9)))-IF(INT((J9*100-DATOS!$C$17+DATOS!$C$13)/DATOS!$C$16)&gt;0,(J9*100-DATOS!$C$17-(INT((J9*100-DATOS!$C$17+DATOS!$C$13)/DATOS!$C$16)*DATOS!$C$11+(INT((J9*100-DATOS!$C$17+DATOS!$C$13)/DATOS!$C$16)-1)*DATOS!$C$13))/2,J9*100/2))/DATOS!$C$16,1))&amp;" hilera(s)")))</f>
        <v>CUMPLE</v>
      </c>
      <c r="CP9" s="43">
        <f>IF(D9="PERIMETRAL",((PRINCIPALES!$N$9*PRINCIPALES!$O$9^3/12/(1.002*100*IF(APOYOS!$G$29="CONTINUO",1,0.5)*DATOS!$C$77^3/12))+(PRINCIPALES!$N$10*PRINCIPALES!$O$10^3/12/(1.002*100*IF(APOYOS!$G$30="CONTINUO",1,0.5)*DATOS!$C$77^3/12))+99+(PRINCIPALES!$N$28*PRINCIPALES!$O$28^3/12/(4.327*100*IF(APOYOS!$G$32="CONTINUO",1,0.5)*DATOS!$C$77^3/12)))/4,0)</f>
        <v>30.6627368408601</v>
      </c>
      <c r="CQ9" s="57">
        <f>IF(D9="PERIMETRAL",IF(CP9&gt;2,MAX(9,O9*(0.8+DATOS!$C$40/14000)/(36+9*(O9/MAX(N9,1)))),IF(CP9&gt;0.2,MAX(13,O9*(0.8+DATOS!$C$40/14000)/(36+5*(O9/MAX(N9,1))*(CP9-0.2))),MAX(13,O9/IF(Z9&gt;0,30,33))))*IF(AND(CP9&gt;0.2,OR(AND((APOYOS!$G$29="DISCONTINUO"),(PRINCIPALES!$N$9*PRINCIPALES!$O$9^3/12/(1.002*100*IF(APOYOS!$G$29="CONTINUO",1,0.5)*DATOS!$C$77^3/12))&lt;0.8),AND((APOYOS!$G$30="DISCONTINUO"),(PRINCIPALES!$N$10*PRINCIPALES!$O$10^3/12/(1.002*100*IF(APOYOS!$G$30="CONTINUO",1,0.5)*DATOS!$C$77^3/12))&lt;0.8),AND((APOYOS!$G$31="DISCONTINUO"),99&lt;0.8),AND((APOYOS!$G$32="DISCONTINUO"),(PRINCIPALES!$N$28*PRINCIPALES!$O$28^3/12/(4.327*100*IF(APOYOS!$G$32="CONTINUO",1,0.5)*DATOS!$C$77^3/12))&lt;0.8))),1.1,1),IF(D9="VOLADO",MAX(25,J9*100/8),0))</f>
        <v>9.9</v>
      </c>
      <c r="CR9" s="57">
        <f>IF(D9="VOLADO",DATOS!$C$15,DATOS!$C$77)</f>
        <v>16.7232564120244</v>
      </c>
      <c r="CS9" s="52" t="str">
        <f>IF(D9="HUECO","—",IF(CR9&gt;=CQ9,"CUMPLE",IF(D9="VOLADO","NO CUMPLE","CALCULAR FLECHA")))</f>
        <v>CUMPLE</v>
      </c>
      <c r="CT9" s="52" t="str">
        <f>IF(D9="HUECO","—",IF(DATOS!$C$14&gt;=IF(IF(D9="VOLADO",J9,K9)&gt;=6,6,5),"CUMPLE","CAPA ≥ 6 cm"))</f>
        <v>CUMPLE</v>
      </c>
      <c r="CU9" s="59">
        <f>IF(D9="HUECO",0,IF(((4*((AL9*Y9*J9^2*1E-4*DATOS!$C$16/100/1000)+((MAX(AH9,AJ9)*Y9*J9^2*1E-4*DATOS!$C$16/100/1000)+(IF(AND(AH9&gt;0,AJ9&gt;0),MIN(AH9,AJ9),MAX(AH9,AJ9))*Y9*J9^2*1E-4*DATOS!$C$16/100/1000))/2)+BC9-(IF(AND(AH9&gt;0,AJ9&gt;0),MIN(AH9,AJ9),MAX(AH9,AJ9))*Y9*J9^2*1E-4*DATOS!$C$16/100/1000))^2-16*((AL9*Y9*J9^2*1E-4*DATOS!$C$16/100/1000)+((MAX(AH9,AJ9)*Y9*J9^2*1E-4*DATOS!$C$16/100/1000)+(IF(AND(AH9&gt;0,AJ9&gt;0),MIN(AH9,AJ9),MAX(AH9,AJ9))*Y9*J9^2*1E-4*DATOS!$C$16/100/1000))/2)*BC9)&lt;0,CEILING(N9,5),CEILING(MAX(N9*((4*((AL9*Y9*J9^2*1E-4*DATOS!$C$16/100/1000)+((MAX(AH9,AJ9)*Y9*J9^2*1E-4*DATOS!$C$16/100/1000)+(IF(AND(AH9&gt;0,AJ9&gt;0),MIN(AH9,AJ9),MAX(AH9,AJ9))*Y9*J9^2*1E-4*DATOS!$C$16/100/1000))/2)+BC9-(IF(AND(AH9&gt;0,AJ9&gt;0),MIN(AH9,AJ9),MAX(AH9,AJ9))*Y9*J9^2*1E-4*DATOS!$C$16/100/1000))-SQRT(MAX(0,((4*((AL9*Y9*J9^2*1E-4*DATOS!$C$16/100/1000)+((MAX(AH9,AJ9)*Y9*J9^2*1E-4*DATOS!$C$16/100/1000)+(IF(AND(AH9&gt;0,AJ9&gt;0),MIN(AH9,AJ9),MAX(AH9,AJ9))*Y9*J9^2*1E-4*DATOS!$C$16/100/1000))/2)+BC9-(IF(AND(AH9&gt;0,AJ9&gt;0),MIN(AH9,AJ9),MAX(AH9,AJ9))*Y9*J9^2*1E-4*DATOS!$C$16/100/1000))^2-16*((AL9*Y9*J9^2*1E-4*DATOS!$C$16/100/1000)+((MAX(AH9,AJ9)*Y9*J9^2*1E-4*DATOS!$C$16/100/1000)+(IF(AND(AH9&gt;0,AJ9&gt;0),MIN(AH9,AJ9),MAX(AH9,AJ9))*Y9*J9^2*1E-4*DATOS!$C$16/100/1000))/2)*BC9))))/(8*MAX(((AL9*Y9*J9^2*1E-4*DATOS!$C$16/100/1000)+((MAX(AH9,AJ9)*Y9*J9^2*1E-4*DATOS!$C$16/100/1000)+(IF(AND(AH9&gt;0,AJ9&gt;0),MIN(AH9,AJ9),MAX(AH9,AJ9))*Y9*J9^2*1E-4*DATOS!$C$16/100/1000))/2),1E-9))+MAX(BR9,12*INDEX(TABLAS!$C$52:$C$58,MATCH(BP9,TABLAS!$B$52:$B$58,0)),N9/16),IF(OR(S9&lt;INDEX(TABLAS!$C$52:$C$58,MATCH(BP9,TABLAS!$B$52:$B$58,0)),AND(BQ9&gt;=2,(DATOS!$C$13-2*S9-2*IF(DATOS!$C$25=0,0,INDEX(TABLAS!$C$52:$C$58,MATCH(DATOS!$C$25,TABLAS!$B$52:$B$58,0)))-BQ9*INDEX(TABLAS!$C$52:$C$58,MATCH(BP9,TABLAS!$B$52:$B$58,0)))/MAX(BQ9-1,1)&lt;2*INDEX(TABLAS!$C$52:$C$58,MATCH(BP9,TABLAS!$B$52:$B$58,0)))),INDEX(TABLAS!$I$52:$I$58,MATCH(BP9,TABLAS!$B$52:$B$58,0)),INDEX(TABLAS!$F$52:$F$58,MATCH(BP9,TABLAS!$B$52:$B$58,0)))),5)))</f>
        <v>90</v>
      </c>
      <c r="CV9" s="59">
        <f>IF(D9="HUECO",0,IF(((4*((AM9*Y9*J9^2*1E-4*DATOS!$C$16/100/1000)+((MAX(AI9,AK9)*Y9*J9^2*1E-4*DATOS!$C$16/100/1000)+(IF(AND(AI9&gt;0,AK9&gt;0),MIN(AI9,AK9),MAX(AI9,AK9))*Y9*J9^2*1E-4*DATOS!$C$16/100/1000))/2)+BE9-(IF(AND(AI9&gt;0,AK9&gt;0),MIN(AI9,AK9),MAX(AI9,AK9))*Y9*J9^2*1E-4*DATOS!$C$16/100/1000))^2-16*((AM9*Y9*J9^2*1E-4*DATOS!$C$16/100/1000)+((MAX(AI9,AK9)*Y9*J9^2*1E-4*DATOS!$C$16/100/1000)+(IF(AND(AI9&gt;0,AK9&gt;0),MIN(AI9,AK9),MAX(AI9,AK9))*Y9*J9^2*1E-4*DATOS!$C$16/100/1000))/2)*BE9)&lt;0,CEILING(O9,5),CEILING(MAX(O9*((4*((AM9*Y9*J9^2*1E-4*DATOS!$C$16/100/1000)+((MAX(AI9,AK9)*Y9*J9^2*1E-4*DATOS!$C$16/100/1000)+(IF(AND(AI9&gt;0,AK9&gt;0),MIN(AI9,AK9),MAX(AI9,AK9))*Y9*J9^2*1E-4*DATOS!$C$16/100/1000))/2)+BE9-(IF(AND(AI9&gt;0,AK9&gt;0),MIN(AI9,AK9),MAX(AI9,AK9))*Y9*J9^2*1E-4*DATOS!$C$16/100/1000))-SQRT(MAX(0,((4*((AM9*Y9*J9^2*1E-4*DATOS!$C$16/100/1000)+((MAX(AI9,AK9)*Y9*J9^2*1E-4*DATOS!$C$16/100/1000)+(IF(AND(AI9&gt;0,AK9&gt;0),MIN(AI9,AK9),MAX(AI9,AK9))*Y9*J9^2*1E-4*DATOS!$C$16/100/1000))/2)+BE9-(IF(AND(AI9&gt;0,AK9&gt;0),MIN(AI9,AK9),MAX(AI9,AK9))*Y9*J9^2*1E-4*DATOS!$C$16/100/1000))^2-16*((AM9*Y9*J9^2*1E-4*DATOS!$C$16/100/1000)+((MAX(AI9,AK9)*Y9*J9^2*1E-4*DATOS!$C$16/100/1000)+(IF(AND(AI9&gt;0,AK9&gt;0),MIN(AI9,AK9),MAX(AI9,AK9))*Y9*J9^2*1E-4*DATOS!$C$16/100/1000))/2)*BE9))))/(8*MAX(((AM9*Y9*J9^2*1E-4*DATOS!$C$16/100/1000)+((MAX(AI9,AK9)*Y9*J9^2*1E-4*DATOS!$C$16/100/1000)+(IF(AND(AI9&gt;0,AK9&gt;0),MIN(AI9,AK9),MAX(AI9,AK9))*Y9*J9^2*1E-4*DATOS!$C$16/100/1000))/2),1E-9))+MAX(CH9,12*INDEX(TABLAS!$C$52:$C$58,MATCH(CF9,TABLAS!$B$52:$B$58,0)),O9/16),IF(OR(S9&lt;INDEX(TABLAS!$C$52:$C$58,MATCH(CF9,TABLAS!$B$52:$B$58,0)),AND(CG9&gt;=2,(DATOS!$C$13-2*S9-2*IF(DATOS!$C$25=0,0,INDEX(TABLAS!$C$52:$C$58,MATCH(DATOS!$C$25,TABLAS!$B$52:$B$58,0)))-CG9*INDEX(TABLAS!$C$52:$C$58,MATCH(CF9,TABLAS!$B$52:$B$58,0)))/MAX(CG9-1,1)&lt;2*INDEX(TABLAS!$C$52:$C$58,MATCH(CF9,TABLAS!$B$52:$B$58,0)))),INDEX(TABLAS!$I$52:$I$58,MATCH(CF9,TABLAS!$B$52:$B$58,0)),INDEX(TABLAS!$F$52:$F$58,MATCH(CF9,TABLAS!$B$52:$B$58,0)))),5)))</f>
        <v>90</v>
      </c>
      <c r="CW9" s="56">
        <f>MAX(0,INT((F9*100-DATOS!$C$17+DATOS!$C$13)/DATOS!$C$16))</f>
        <v>6</v>
      </c>
      <c r="CX9" s="56">
        <f>MAX(0,INT((G9*100-DATOS!$C$17+DATOS!$C$13)/DATOS!$C$16))</f>
        <v>1</v>
      </c>
      <c r="CY9" s="51" t="str">
        <f>IF(COUNTIFS(TRIB!$C$6:$C$255,B9,TRIB!$K$6:$K$255,"NO CUMPLE*")+COUNTIFS(TRIB!$C$6:$C$255,B9,TRIB!$K$6:$K$255,"SIN APOYO*")&gt;0,"VER PRINCIPALES",IF((APOYOS!$F$29="LIBRE")+(APOYOS!$F$30="LIBRE")+(APOYOS!$F$31="LIBRE")+(APOYOS!$F$32="LIBRE")&gt;0,"REVISAR: borde libre","OK"))</f>
        <v>OK</v>
      </c>
      <c r="CZ9" s="64" t="str">
        <f>IF(D9="HUECO","HUECO — marco de nervaduras principales",IF(AND(MAX(BL9,BT9,CB9,CJ9)&lt;=1,NOT(OR(BI9&gt;MIN(DATOS!$C$28,INT(((DATOS!$C$13-2*R9-2*IF(DATOS!$C$25=0,0,INDEX(TABLAS!$C$52:$C$58,MATCH(DATOS!$C$25,TABLAS!$B$52:$B$58,0))))+DATOS!$C$32)/(INDEX(TABLAS!$C$52:$C$58,MATCH(BH9,TABLAS!$B$52:$B$58,0))+DATOS!$C$32))),BQ9&gt;MIN(DATOS!$C$28,INT(((DATOS!$C$13-2*S9-2*IF(DATOS!$C$25=0,0,INDEX(TABLAS!$C$52:$C$58,MATCH(DATOS!$C$25,TABLAS!$B$52:$B$58,0))))+DATOS!$C$32)/(INDEX(TABLAS!$C$52:$C$58,MATCH(BP9,TABLAS!$B$52:$B$58,0))+DATOS!$C$32))),BY9&gt;MIN(DATOS!$C$28,INT(((DATOS!$C$13-2*R9-2*IF(DATOS!$C$25=0,0,INDEX(TABLAS!$C$52:$C$58,MATCH(DATOS!$C$25,TABLAS!$B$52:$B$58,0))))+DATOS!$C$32)/(INDEX(TABLAS!$C$52:$C$58,MATCH(BX9,TABLAS!$B$52:$B$58,0))+DATOS!$C$32))),CG9&gt;MIN(DATOS!$C$28,INT(((DATOS!$C$13-2*S9-2*IF(DATOS!$C$25=0,0,INDEX(TABLAS!$C$52:$C$58,MATCH(DATOS!$C$25,TABLAS!$B$52:$B$58,0))))+DATOS!$C$32)/(INDEX(TABLAS!$C$52:$C$58,MATCH(CF9,TABLAS!$B$52:$B$58,0))+DATOS!$C$32))))),NOT(OR(AND(ISNUMBER(BM9),BM9&lt;0.005),AND(ISNUMBER(BU9),BU9&lt;0.005),AND(ISNUMBER(CC9),CC9&lt;0.005),AND(ISNUMBER(CK9),CK9&lt;0.005))),CS9="CUMPLE",CT9="CUMPLE"),IF(CY9="OK",IF(LEFT(CO9,6)="CUMPLE","CUMPLE","CUMPLE — "&amp;CO9)&amp;IF(LEFT(AZ9,5)="FUERA"," · fuera de 3.4.2.1 c)",""),IF(CY9="VER PRINCIPALES","VER PRINCIPALES","REVISAR APOYOS")),IF(AND(MAX(BL9,BT9,CB9,CJ9)&lt;=1,NOT(OR(BI9&gt;MIN(DATOS!$C$28,INT(((DATOS!$C$13-2*R9-2*IF(DATOS!$C$25=0,0,INDEX(TABLAS!$C$52:$C$58,MATCH(DATOS!$C$25,TABLAS!$B$52:$B$58,0))))+DATOS!$C$32)/(INDEX(TABLAS!$C$52:$C$58,MATCH(BH9,TABLAS!$B$52:$B$58,0))+DATOS!$C$32))),BQ9&gt;MIN(DATOS!$C$28,INT(((DATOS!$C$13-2*S9-2*IF(DATOS!$C$25=0,0,INDEX(TABLAS!$C$52:$C$58,MATCH(DATOS!$C$25,TABLAS!$B$52:$B$58,0))))+DATOS!$C$32)/(INDEX(TABLAS!$C$52:$C$58,MATCH(BP9,TABLAS!$B$52:$B$58,0))+DATOS!$C$32))),BY9&gt;MIN(DATOS!$C$28,INT(((DATOS!$C$13-2*R9-2*IF(DATOS!$C$25=0,0,INDEX(TABLAS!$C$52:$C$58,MATCH(DATOS!$C$25,TABLAS!$B$52:$B$58,0))))+DATOS!$C$32)/(INDEX(TABLAS!$C$52:$C$58,MATCH(BX9,TABLAS!$B$52:$B$58,0))+DATOS!$C$32))),CG9&gt;MIN(DATOS!$C$28,INT(((DATOS!$C$13-2*S9-2*IF(DATOS!$C$25=0,0,INDEX(TABLAS!$C$52:$C$58,MATCH(DATOS!$C$25,TABLAS!$B$52:$B$58,0))))+DATOS!$C$32)/(INDEX(TABLAS!$C$52:$C$58,MATCH(CF9,TABLAS!$B$52:$B$58,0))+DATOS!$C$32))))),NOT(OR(AND(ISNUMBER(BM9),BM9&lt;0.005),AND(ISNUMBER(BU9),BU9&lt;0.005),AND(ISNUMBER(CC9),CC9&lt;0.005),AND(ISNUMBER(CK9),CK9&lt;0.005))),CS9="CALCULAR FLECHA"),"REVISAR: calcular flecha (h_eq &lt; h mín.)","NO CUMPLE: "&amp;IF(MAX(BL9,BT9,CB9,CJ9)&gt;1,"flexión ","")&amp;IF(OR(BI9&gt;MIN(DATOS!$C$28,INT(((DATOS!$C$13-2*R9-2*IF(DATOS!$C$25=0,0,INDEX(TABLAS!$C$52:$C$58,MATCH(DATOS!$C$25,TABLAS!$B$52:$B$58,0))))+DATOS!$C$32)/(INDEX(TABLAS!$C$52:$C$58,MATCH(BH9,TABLAS!$B$52:$B$58,0))+DATOS!$C$32))),BQ9&gt;MIN(DATOS!$C$28,INT(((DATOS!$C$13-2*S9-2*IF(DATOS!$C$25=0,0,INDEX(TABLAS!$C$52:$C$58,MATCH(DATOS!$C$25,TABLAS!$B$52:$B$58,0))))+DATOS!$C$32)/(INDEX(TABLAS!$C$52:$C$58,MATCH(BP9,TABLAS!$B$52:$B$58,0))+DATOS!$C$32))),BY9&gt;MIN(DATOS!$C$28,INT(((DATOS!$C$13-2*R9-2*IF(DATOS!$C$25=0,0,INDEX(TABLAS!$C$52:$C$58,MATCH(DATOS!$C$25,TABLAS!$B$52:$B$58,0))))+DATOS!$C$32)/(INDEX(TABLAS!$C$52:$C$58,MATCH(BX9,TABLAS!$B$52:$B$58,0))+DATOS!$C$32))),CG9&gt;MIN(DATOS!$C$28,INT(((DATOS!$C$13-2*S9-2*IF(DATOS!$C$25=0,0,INDEX(TABLAS!$C$52:$C$58,MATCH(DATOS!$C$25,TABLAS!$B$52:$B$58,0))))+DATOS!$C$32)/(INDEX(TABLAS!$C$52:$C$58,MATCH(CF9,TABLAS!$B$52:$B$58,0))+DATOS!$C$32)))),"no caben ","")&amp;IF(OR(AND(ISNUMBER(BM9),BM9&lt;0.005),AND(ISNUMBER(BU9),BU9&lt;0.005),AND(ISNUMBER(CC9),CC9&lt;0.005),AND(ISNUMBER(CK9),CK9&lt;0.005)),"ε_t &lt; 0.005 ","")&amp;IF(CS9="NO CUMPLE","peralte ","")&amp;IF(CT9&lt;&gt;"CUMPLE","capa &lt; 6 cm",""))))</f>
        <v>CUMPLE · fuera de 3.4.2.1 c)</v>
      </c>
      <c r="DA9" s="65" t="str">
        <f>IF(AND(D9="PERIMETRAL",MIN(CW9,CX9)=0),"Tablero macizo (no cabe un casetón en el claro corto): no aplica 6.7.8. La resistencia se revisa con una nervadura de 10 cm cada 70 cm y r_np (conservador); "&amp;"como losa maciza lleva además As,mín = 0.0018·Ag en cada dirección cerca de la cara a tensión (6.7.6.1.1, p. 175). ",IF(AND(CL9="NO",D9="PERIMETRAL"),"No cumple 6.7.8.1.4 (a_c = "&amp;DATOS!$C$11&amp;" cm &gt; claro corto/6 = "&amp;TEXT(J9*100/6,"0")&amp;" cm): se diseña como losa apoyada en vigas (6.7.8.1.9): nervaduras con recubrimiento de viga r_np = "&amp;DATOS!$C$22&amp;" cm (Tabla 4.14.16.a), V_cR sin ×1.1 y cortante sin estribos por 5.5.3.8.1 (criterio del Proyectista). Para que cuente como encasetonada: casetón de "&amp;TEXT(FLOOR(MIN(80,J9*100/6),1),"0")&amp;" cm o menor. ",""))&amp;IF(LEFT(AZ9,5)="FUERA","M⁻ del borde común "&amp;AZ9&amp;": difieren más de 50% (3.4.2.1 c); se distribuyen 2/3 del desequilibrio (3.4.3.1) y conviene confirmar los momentos con el modelo. ","")&amp;"—"</f>
        <v>No cumple 6.7.8.1.4 (a_c = 60 cm &gt; claro corto/6 = 17 cm): se diseña como losa apoyada en vigas (6.7.8.1.9): nervaduras con recubrimiento de viga r_np = 4 cm (Tabla 4.14.16.a), V_cR sin ×1.1 y cortante sin estribos por 5.5.3.8.1 (criterio del Proyectista). Para que cuente como encasetonada: casetón de 16 cm o menor. M⁻ del borde común FUERA con F80003: difieren más de 50% (3.4.2.1 c); se distribuyen 2/3 del desequilibrio (3.4.3.1) y conviene confirmar los momentos con el modelo. —</v>
      </c>
    </row>
    <row r="10" ht="30" customHeight="1">
      <c r="B10" s="51" t="inlineStr">
        <is>
          <t>F80003 N+3.00</t>
        </is>
      </c>
      <c r="C10" s="52" t="inlineStr">
        <is>
          <t>N+3.00</t>
        </is>
      </c>
      <c r="D10" s="53" t="inlineStr">
        <is>
          <t>PERIMETRAL</t>
        </is>
      </c>
      <c r="E10" s="53" t="inlineStr">
        <is>
          <t>HABITACIÓN</t>
        </is>
      </c>
      <c r="F10" s="54" t="n">
        <v>4.327</v>
      </c>
      <c r="G10" s="54" t="n">
        <v>3.025</v>
      </c>
      <c r="H10" s="55" t="n">
        <v>4.327</v>
      </c>
      <c r="I10" s="55" t="n">
        <v>3.025</v>
      </c>
      <c r="J10" s="36">
        <f>MIN(H10,I10)</f>
        <v>3.025</v>
      </c>
      <c r="K10" s="36">
        <f>MAX(H10,I10)</f>
        <v>4.327</v>
      </c>
      <c r="L10" s="36">
        <f>IF(K10&gt;0,J10/K10,0)</f>
        <v>0.699098682690086</v>
      </c>
      <c r="M10" s="52" t="str">
        <f>IF(H10&lt;=I10,"X","Y")</f>
        <v>Y</v>
      </c>
      <c r="N10" s="56">
        <f>MAX(0,J10*100-IF(D10="VOLADO",DATOS!$C$17/2,DATOS!$C$17))</f>
        <v>287.5</v>
      </c>
      <c r="O10" s="56">
        <f>MAX(0,K10*100-DATOS!$C$17)</f>
        <v>417.7</v>
      </c>
      <c r="P10" s="57">
        <f>MIN(DATOS!$C$16,DATOS!$C$13+2*MIN(8*DATOS!$C$14,DATOS!$C$11/2,N10/8))</f>
        <v>70</v>
      </c>
      <c r="Q10" s="57">
        <f>MIN(DATOS!$C$16,DATOS!$C$13+2*MIN(8*DATOS!$C$14,DATOS!$C$11/2,O10/8))</f>
        <v>70</v>
      </c>
      <c r="R10" s="57">
        <f>IF(D10="VOLADO",DATOS!$C$21,IF(CL10="NO",DATOS!$C$22,DATOS!$C$20))</f>
        <v>4</v>
      </c>
      <c r="S10" s="57">
        <f>IF(OR(AND(C10="N+6.00",DATOS!$C$23="SÍ"),AND(D10="VOLADO",DATOS!$C$24="SÍ")),DATOS!$C$21,IF(CL10="NO",DATOS!$C$22,DATOS!$C$20))</f>
        <v>4</v>
      </c>
      <c r="T10" s="58" t="n">
        <v>160</v>
      </c>
      <c r="U10" s="56">
        <f>IF(E10="HABITACIÓN",DATOS!$C$89,DATOS!$C$92)</f>
        <v>190</v>
      </c>
      <c r="V10" s="56">
        <f>CARGAS!$C$9</f>
        <v>293.673469387755</v>
      </c>
      <c r="W10" s="56">
        <f>V10+T10</f>
        <v>453.673469387755</v>
      </c>
      <c r="X10" s="56">
        <f>W10+U10</f>
        <v>643.673469387755</v>
      </c>
      <c r="Y10" s="59">
        <f>MAX(DATOS!$C$55*W10+DATOS!$C$56*U10,IF(E10="AZOTEA",DATOS!$C$57*(W10+DATOS!$C$97),0))</f>
        <v>874.775510204082</v>
      </c>
      <c r="Z10" s="56">
        <f>(APOYOS!$G$33="DISCONTINUO")+(APOYOS!$G$34="DISCONTINUO")+(APOYOS!$G$35="DISCONTINUO")+(APOYOS!$G$36="DISCONTINUO")</f>
        <v>1</v>
      </c>
      <c r="AA10" s="56">
        <f>IF(M10="X",(APOYOS!$G$33="DISCONTINUO")+(APOYOS!$G$34="DISCONTINUO"),(APOYOS!$G$35="DISCONTINUO")+(APOYOS!$G$36="DISCONTINUO"))</f>
        <v>1</v>
      </c>
      <c r="AB10" s="56">
        <f>Z10-AA10</f>
        <v>0</v>
      </c>
      <c r="AC10" s="52" t="str">
        <f>IF(Z10=0,"INTERIOR",IF(Z10=1,IF(AA10=1,"BORDE-CORTO","BORDE-LARGO"),IF(Z10=2,IF(AA10=1,"ESQUINA",IF(AA10=2,"EXTREMO-LARGO","EXTREMO-CORTO")),IF(Z10=3,IF(AA10=2,"EXTREMO-LARGO","EXTREMO-CORTO"),"AISLADO"))))</f>
        <v>BORDE-CORTO</v>
      </c>
      <c r="AD10" s="53" t="inlineStr">
        <is>
          <t>AUTO</t>
        </is>
      </c>
      <c r="AE10" s="60" t="str">
        <f>IF(AD10="AUTO",AC10,AD10)</f>
        <v>BORDE-CORTO</v>
      </c>
      <c r="AF10" s="56">
        <f>MATCH(L10,TABLAS!$D$5:$J$5,1)</f>
        <v>3</v>
      </c>
      <c r="AG10" s="43">
        <f>IF(AF10&gt;=7,0,(L10-INDEX(TABLAS!$D$5:$J$5,AF10))/(INDEX(TABLAS!$D$5:$J$5,AF10+1)-INDEX(TABLAS!$D$5:$J$5,AF10)))</f>
        <v>0.990986826900855</v>
      </c>
      <c r="AH10" s="56">
        <f>INDEX(TABLAS!$D$6:$J$47,MATCH(AE10&amp;"|NIC",TABLAS!$B$6:$B$47,0),AF10)+AG10*(INDEX(TABLAS!$D$6:$J$47,MATCH(AE10&amp;"|NIC",TABLAS!$B$6:$B$47,0),MIN(AF10+1,7))-INDEX(TABLAS!$D$6:$J$47,MATCH(AE10&amp;"|NIC",TABLAS!$B$6:$B$47,0),AF10))</f>
        <v>786.622371157846</v>
      </c>
      <c r="AI10" s="56">
        <f>INDEX(TABLAS!$D$6:$J$47,MATCH(AE10&amp;"|NIL",TABLAS!$B$6:$B$47,0),AF10)+AG10*(INDEX(TABLAS!$D$6:$J$47,MATCH(AE10&amp;"|NIL",TABLAS!$B$6:$B$47,0),MIN(AF10+1,7))-INDEX(TABLAS!$D$6:$J$47,MATCH(AE10&amp;"|NIL",TABLAS!$B$6:$B$47,0),AF10))</f>
        <v>498.243355673677</v>
      </c>
      <c r="AJ10" s="56">
        <f>INDEX(TABLAS!$D$6:$J$47,MATCH(AE10&amp;"|NDC",TABLAS!$B$6:$B$47,0),AF10)+AG10*(INDEX(TABLAS!$D$6:$J$47,MATCH(AE10&amp;"|NDC",TABLAS!$B$6:$B$47,0),MIN(AF10+1,7))-INDEX(TABLAS!$D$6:$J$47,MATCH(AE10&amp;"|NDC",TABLAS!$B$6:$B$47,0),AF10))</f>
        <v>0</v>
      </c>
      <c r="AK10" s="56">
        <f>INDEX(TABLAS!$D$6:$J$47,MATCH(AE10&amp;"|NDL",TABLAS!$B$6:$B$47,0),AF10)+AG10*(INDEX(TABLAS!$D$6:$J$47,MATCH(AE10&amp;"|NDL",TABLAS!$B$6:$B$47,0),MIN(AF10+1,7))-INDEX(TABLAS!$D$6:$J$47,MATCH(AE10&amp;"|NDL",TABLAS!$B$6:$B$47,0),AF10))</f>
        <v>236.10815807719</v>
      </c>
      <c r="AL10" s="56">
        <f>INDEX(TABLAS!$D$6:$J$47,MATCH(AE10&amp;"|PC",TABLAS!$B$6:$B$47,0),AF10)+AG10*(INDEX(TABLAS!$D$6:$J$47,MATCH(AE10&amp;"|PC",TABLAS!$B$6:$B$47,0),MIN(AF10+1,7))-INDEX(TABLAS!$D$6:$J$47,MATCH(AE10&amp;"|PC",TABLAS!$B$6:$B$47,0),AF10))</f>
        <v>330.648486249133</v>
      </c>
      <c r="AM10" s="56">
        <f>INDEX(TABLAS!$D$6:$J$47,MATCH(AE10&amp;"|PL",TABLAS!$B$6:$B$47,0),AF10)+AG10*(INDEX(TABLAS!$D$6:$J$47,MATCH(AE10&amp;"|PL",TABLAS!$B$6:$B$47,0),MIN(AF10+1,7))-INDEX(TABLAS!$D$6:$J$47,MATCH(AE10&amp;"|PL",TABLAS!$B$6:$B$47,0),AF10))</f>
        <v>265.972960480703</v>
      </c>
      <c r="AN10" s="36">
        <f>IF(D10="PERIMETRAL",IF(APOYOS!$G$33="CONTINUO",IF(M10="Y",AH10,AI10),IF(M10="Y",AJ10,AK10))*Y10*J10^2*1E-4*DATOS!$C$16/100/1000,0)</f>
        <v>0.440769675238156</v>
      </c>
      <c r="AO10" s="36">
        <f>IF(D10="PERIMETRAL",IF(APOYOS!$G$34="CONTINUO",IF(M10="Y",AH10,AI10),IF(M10="Y",AJ10,AK10))*Y10*J10^2*1E-4*DATOS!$C$16/100/1000,0)</f>
        <v>0.440769675238156</v>
      </c>
      <c r="AP10" s="36">
        <f>IF(D10="PERIMETRAL",IF(APOYOS!$G$35="CONTINUO",IF(M10="X",AH10,AI10),IF(M10="X",AJ10,AK10))*Y10*J10^2*1E-4*DATOS!$C$16/100/1000,0)</f>
        <v>0.132298953058734</v>
      </c>
      <c r="AQ10" s="36">
        <f>IF(D10="PERIMETRAL",IF(APOYOS!$G$36="CONTINUO",IF(M10="X",AH10,AI10),IF(M10="X",AJ10,AK10))*Y10*J10^2*1E-4*DATOS!$C$16/100/1000,0)</f>
        <v>0.27918168885358</v>
      </c>
      <c r="AR10" s="56">
        <f>IF(D10="PERIMETRAL",IF(M10="X",BN10,CD10)^3/(J10*100),0)</f>
        <v>19.6642458815174</v>
      </c>
      <c r="AS10" s="56">
        <f>IF(D10="PERIMETRAL",IF(M10="Y",BN10,CD10)^3/(J10*100),0)</f>
        <v>24.0957724326248</v>
      </c>
      <c r="AT10" s="36">
        <f>IF(D10="PERIMETRAL",MAX(0,IF(M10="Y",IF(AND(OR(APOYOS!$G$33="CONTINUO",APOYOS!$G$30="CONTINUO"),AN10&gt;0,AO9&gt;0,AO9&gt;AN10),AN10+2/3*(AO9-AN10)*AS10/MAX(AS10+AS9,1E-9),0),0),IF(M10="Y",IF(AND(OR(APOYOS!$G$34="CONTINUO",APOYOS!$G$41="CONTINUO"),AO10&gt;0,AN12&gt;0,AN12&gt;AO10),AO10+2/3*(AN12-AO10)*AS10/MAX(AS10+AS12,1E-9),0),0),IF(M10="Y",IF(AND(OR(APOYOS!$G$34="CONTINUO",APOYOS!$G$45="CONTINUO"),AO10&gt;0,AN13&gt;0,AN13&gt;AO10),AO10+2/3*(AN13-AO10)*AS10/MAX(AS10+AS13,1E-9),0),0),IF(M10="X",IF(AND(OR(APOYOS!$G$35="CONTINUO",APOYOS!$G$44="CONTINUO"),AP10&gt;0,AQ12&gt;0,AQ12&gt;AP10),AP10+2/3*(AQ12-AP10)*AR10/MAX(AR10+AR12,1E-9),0),0),IF(M10="X",IF(AND(OR(APOYOS!$G$36="CONTINUO",APOYOS!$G$39="CONTINUO"),AQ10&gt;0,AP11&gt;0,AP11&gt;AQ10),AQ10+2/3*(AP11-AQ10)*AR10/MAX(AR10+AR11,1E-9),0),0)),0)</f>
        <v>0</v>
      </c>
      <c r="AU10" s="36">
        <f>IF(D10="PERIMETRAL",MAX(0,IF(M10&lt;&gt;"Y",IF(AND(OR(APOYOS!$G$33="CONTINUO",APOYOS!$G$30="CONTINUO"),AN10&gt;0,AO9&gt;0,AO9&gt;AN10),AN10+2/3*(AO9-AN10)*AS10/MAX(AS10+AS9,1E-9),0),0),IF(M10&lt;&gt;"Y",IF(AND(OR(APOYOS!$G$34="CONTINUO",APOYOS!$G$41="CONTINUO"),AO10&gt;0,AN12&gt;0,AN12&gt;AO10),AO10+2/3*(AN12-AO10)*AS10/MAX(AS10+AS12,1E-9),0),0),IF(M10&lt;&gt;"Y",IF(AND(OR(APOYOS!$G$34="CONTINUO",APOYOS!$G$45="CONTINUO"),AO10&gt;0,AN13&gt;0,AN13&gt;AO10),AO10+2/3*(AN13-AO10)*AS10/MAX(AS10+AS13,1E-9),0),0),IF(M10&lt;&gt;"X",IF(AND(OR(APOYOS!$G$35="CONTINUO",APOYOS!$G$44="CONTINUO"),AP10&gt;0,AQ12&gt;0,AQ12&gt;AP10),AP10+2/3*(AQ12-AP10)*AR10/MAX(AR10+AR12,1E-9),0),0),IF(M10&lt;&gt;"X",IF(AND(OR(APOYOS!$G$36="CONTINUO",APOYOS!$G$39="CONTINUO"),AQ10&gt;0,AP11&gt;0,AP11&gt;AQ10),AQ10+2/3*(AP11-AQ10)*AR10/MAX(AR10+AR11,1E-9),0),0)),0)</f>
        <v>0</v>
      </c>
      <c r="AV10" s="36">
        <f>IF(D10="PERIMETRAL",(IF(M10="Y",IF(AND(OR(APOYOS!$G$33="CONTINUO",APOYOS!$G$30="CONTINUO"),AN10&gt;0,AO9&gt;0,AN10&gt;AO9),2/3*(AN10-AO9)*AS10/MAX(AS10+AS9,1E-9),0),0)+IF(M10="Y",MAX(IF(AND(OR(APOYOS!$G$34="CONTINUO",APOYOS!$G$41="CONTINUO"),AO10&gt;0,AN12&gt;0,AO10&gt;AN12),2/3*(AO10-AN12)*AS10/MAX(AS10+AS12,1E-9),0),IF(AND(OR(APOYOS!$G$34="CONTINUO",APOYOS!$G$45="CONTINUO"),AO10&gt;0,AN13&gt;0,AO10&gt;AN13),2/3*(AO10-AN13)*AS10/MAX(AS10+AS13,1E-9),0)),0)+IF(M10="X",IF(AND(OR(APOYOS!$G$35="CONTINUO",APOYOS!$G$44="CONTINUO"),AP10&gt;0,AQ12&gt;0,AP10&gt;AQ12),2/3*(AP10-AQ12)*AR10/MAX(AR10+AR12,1E-9),0),0)+IF(M10="X",IF(AND(OR(APOYOS!$G$36="CONTINUO",APOYOS!$G$39="CONTINUO"),AQ10&gt;0,AP11&gt;0,AQ10&gt;AP11),2/3*(AQ10-AP11)*AR10/MAX(AR10+AR11,1E-9),0),0))/2,0)</f>
        <v>0.0628486079167411</v>
      </c>
      <c r="AW10" s="36">
        <f>IF(D10="PERIMETRAL",(IF(M10&lt;&gt;"Y",IF(AND(OR(APOYOS!$G$33="CONTINUO",APOYOS!$G$30="CONTINUO"),AN10&gt;0,AO9&gt;0,AN10&gt;AO9),2/3*(AN10-AO9)*AS10/MAX(AS10+AS9,1E-9),0),0)+IF(M10&lt;&gt;"Y",MAX(IF(AND(OR(APOYOS!$G$34="CONTINUO",APOYOS!$G$41="CONTINUO"),AO10&gt;0,AN12&gt;0,AO10&gt;AN12),2/3*(AO10-AN12)*AS10/MAX(AS10+AS12,1E-9),0),IF(AND(OR(APOYOS!$G$34="CONTINUO",APOYOS!$G$45="CONTINUO"),AO10&gt;0,AN13&gt;0,AO10&gt;AN13),2/3*(AO10-AN13)*AS10/MAX(AS10+AS13,1E-9),0)),0)+IF(M10&lt;&gt;"X",IF(AND(OR(APOYOS!$G$35="CONTINUO",APOYOS!$G$44="CONTINUO"),AP10&gt;0,AQ12&gt;0,AP10&gt;AQ12),2/3*(AP10-AQ12)*AR10/MAX(AR10+AR12,1E-9),0),0)+IF(M10&lt;&gt;"X",IF(AND(OR(APOYOS!$G$36="CONTINUO",APOYOS!$G$39="CONTINUO"),AQ10&gt;0,AP11&gt;0,AQ10&gt;AP11),2/3*(AQ10-AP11)*AR10/MAX(AR10+AR11,1E-9),0),0))/2,0)</f>
        <v>0.0111407165933029</v>
      </c>
      <c r="AX10" s="36">
        <f>IF(D10="PERIMETRAL",MAX(0,0),0)</f>
        <v>0</v>
      </c>
      <c r="AY10" s="52" t="str">
        <f>IF(D10&lt;&gt;"PERIMETRAL","",IF(AND(OR(APOYOS!$G$33="CONTINUO",APOYOS!$G$30="CONTINUO"),AN10&gt;0,AO9&gt;0,ABS(AN10-AO9)&gt;0.5*MIN(AN10,AO9))," F80001","")&amp;IF(OR(AND(OR(APOYOS!$G$34="CONTINUO",APOYOS!$G$41="CONTINUO"),AO10&gt;0,AN12&gt;0,ABS(AO10-AN12)&gt;0.5*MIN(AO10,AN12)),AND(OR(APOYOS!$G$35="CONTINUO",APOYOS!$G$44="CONTINUO"),AP10&gt;0,AQ12&gt;0,ABS(AP10-AQ12)&gt;0.5*MIN(AP10,AQ12)))," F80005","")&amp;IF(AND(OR(APOYOS!$G$34="CONTINUO",APOYOS!$G$45="CONTINUO"),AO10&gt;0,AN13&gt;0,ABS(AO10-AN13)&gt;0.5*MIN(AO10,AN13))," F80006","")&amp;IF(AND(OR(APOYOS!$G$36="CONTINUO",APOYOS!$G$39="CONTINUO"),AQ10&gt;0,AP11&gt;0,ABS(AQ10-AP11)&gt;0.5*MIN(AQ10,AP11))," F80004",""))</f>
        <v> F80001 F80005 F80006</v>
      </c>
      <c r="AZ10" s="52" t="str">
        <f>IF(D10&lt;&gt;"PERIMETRAL","—",IF(AY10="","CUMPLE","FUERA con"&amp;AY10)&amp;IF(AND(D9="PERIMETRAL",APOYOS!$G$33&lt;&gt;APOYOS!$G$30)," · continuidad asimétrica con F80001 (cada uno con su momento; revisar APOYOS)","")&amp;IF(AND(D12="PERIMETRAL",APOYOS!$G$34&lt;&gt;APOYOS!$G$41)," · continuidad asimétrica con F80005 (cada uno con su momento; revisar APOYOS)","")&amp;IF(AND(D13="PERIMETRAL",APOYOS!$G$34&lt;&gt;APOYOS!$G$45)," · continuidad asimétrica con F80006 (cada uno con su momento; revisar APOYOS)","")&amp;IF(AND(D11="PERIMETRAL",APOYOS!$G$36&lt;&gt;APOYOS!$G$39)," · continuidad asimétrica con F80004 (cada uno con su momento; revisar APOYOS)",""))</f>
        <v>FUERA con F80001 F80005 F80006</v>
      </c>
      <c r="BA10" s="61" t="n">
        <v>0</v>
      </c>
      <c r="BB10" s="36">
        <f>IF(D10="PERIMETRAL",AL10*Y10*J10^2*1E-4*DATOS!$C$16/100/1000+AV10,0)</f>
        <v>0.248121530790141</v>
      </c>
      <c r="BC10" s="36">
        <f>IF(D10="PERIMETRAL",MAX(MAX(AH10,AJ10)*Y10*J10^2*1E-4*DATOS!$C$16/100/1000,AT10),IF(D10="VOLADO",(Y10*(N10/100)^2/2+DATOS!$C$55*BA10*N10/100)*DATOS!$C$16/100/1000,0))</f>
        <v>0.440769675238156</v>
      </c>
      <c r="BD10" s="36">
        <f>IF(D10="PERIMETRAL",AM10*Y10*J10^2*1E-4*DATOS!$C$16/100/1000+AW10,0)</f>
        <v>0.160173873685762</v>
      </c>
      <c r="BE10" s="36">
        <f>IF(D10="PERIMETRAL",MAX(MAX(AI10,AK10)*Y10*J10^2*1E-4*DATOS!$C$16/100/1000,AU10),0)</f>
        <v>0.27918168885358</v>
      </c>
      <c r="BF10" s="43">
        <f>(DATOS!$C$15-R10-IF(DATOS!$C$25=0,0,INDEX(TABLAS!$C$52:$C$58,MATCH(DATOS!$C$25,TABLAS!$B$52:$B$58,0)))-INDEX(TABLAS!$C$52:$C$58,MATCH(DATOS!$C$26,TABLAS!$B$52:$B$58,0))/2)</f>
        <v>20.365</v>
      </c>
      <c r="BG10" s="43">
        <f>IF(D10="HUECO",0,IF(IF(BB10&lt;=0,0,IF((1-2*BB10*1E5/(DATOS!$C$58*P10*BF10^2*DATOS!$C$48))&lt;0,-1,IF((1-SQRT((1-2*BB10*1E5/(DATOS!$C$58*P10*BF10^2*DATOS!$C$48))))*DATOS!$C$48*P10*BF10/DATOS!$C$40&gt;DATOS!$C$82*P10*BF10,-1,(1-SQRT((1-2*BB10*1E5/(DATOS!$C$58*P10*BF10^2*DATOS!$C$48))))*DATOS!$C$48*P10*BF10/DATOS!$C$40)))&lt;0,-1,MAX(IF(BB10&lt;=0,0,IF((1-2*BB10*1E5/(DATOS!$C$58*P10*BF10^2*DATOS!$C$48))&lt;0,-1,IF((1-SQRT((1-2*BB10*1E5/(DATOS!$C$58*P10*BF10^2*DATOS!$C$48))))*DATOS!$C$48*P10*BF10/DATOS!$C$40&gt;DATOS!$C$82*P10*BF10,-1,(1-SQRT((1-2*BB10*1E5/(DATOS!$C$58*P10*BF10^2*DATOS!$C$48))))*DATOS!$C$48*P10*BF10/DATOS!$C$40))),MIN(DATOS!$C$83*DATOS!$C$13*BF10,4/3*IF(BB10&lt;=0,0,IF((1-2*BB10*1E5/(DATOS!$C$58*P10*BF10^2*DATOS!$C$48))&lt;0,-1,IF((1-SQRT((1-2*BB10*1E5/(DATOS!$C$58*P10*BF10^2*DATOS!$C$48))))*DATOS!$C$48*P10*BF10/DATOS!$C$40&gt;DATOS!$C$82*P10*BF10,-1,(1-SQRT((1-2*BB10*1E5/(DATOS!$C$58*P10*BF10^2*DATOS!$C$48))))*DATOS!$C$48*P10*BF10/DATOS!$C$40)))))))</f>
        <v>0.430725557872076</v>
      </c>
      <c r="BH10" s="41">
        <f>IF(AND(BG10&gt;=0,IF(MAX(DATOS!$C$29,CEILING(BG10/INDEX(TABLAS!$D$52:$D$58,MIN(MATCH(DATOS!$C$26,TABLAS!$B$52:$B$58,0)+0,7)),1))*INDEX(TABLAS!$D$52:$D$58,MIN(MATCH(DATOS!$C$26,TABLAS!$B$52:$B$58,0)+0,7))&gt;=4/3*IF(BB10&lt;=0,0,IF((1-2*BB10*1E5/(DATOS!$C$58*P10*BF10^2*DATOS!$C$48))&lt;0,-1,IF((1-SQRT((1-2*BB10*1E5/(DATOS!$C$58*P10*BF10^2*DATOS!$C$48))))*DATOS!$C$48*P10*BF10/DATOS!$C$40&gt;DATOS!$C$82*P10*BF10,-1,(1-SQRT((1-2*BB10*1E5/(DATOS!$C$58*P10*BF10^2*DATOS!$C$48))))*DATOS!$C$48*P10*BF10/DATOS!$C$40)))-0.0001,MAX(DATOS!$C$29,CEILING(BG10/INDEX(TABLAS!$D$52:$D$58,MIN(MATCH(DATOS!$C$26,TABLAS!$B$52:$B$58,0)+0,7)),1)),MAX(MAX(DATOS!$C$29,CEILING(BG10/INDEX(TABLAS!$D$52:$D$58,MIN(MATCH(DATOS!$C$26,TABLAS!$B$52:$B$58,0)+0,7)),1)),2))&lt;=MIN(DATOS!$C$28,INT(((DATOS!$C$13-2*R10-2*IF(DATOS!$C$25=0,0,INDEX(TABLAS!$C$52:$C$58,MATCH(DATOS!$C$25,TABLAS!$B$52:$B$58,0))))+MAX(DATOS!$C$32,INDEX(TABLAS!$C$52:$C$58,MIN(MATCH(DATOS!$C$26,TABLAS!$B$52:$B$58,0)+0,7))))/(INDEX(TABLAS!$C$52:$C$58,MIN(MATCH(DATOS!$C$26,TABLAS!$B$52:$B$58,0)+0,7))+MAX(DATOS!$C$32,INDEX(TABLAS!$C$52:$C$58,MIN(MATCH(DATOS!$C$26,TABLAS!$B$52:$B$58,0)+0,7))))))),INDEX(TABLAS!$B$52:$B$58,MIN(MATCH(DATOS!$C$26,TABLAS!$B$52:$B$58,0)+0,7)),IF(AND(BG10&gt;=0,IF(MAX(DATOS!$C$29,CEILING(BG10/INDEX(TABLAS!$D$52:$D$58,MIN(MATCH(DATOS!$C$26,TABLAS!$B$52:$B$58,0)+1,7)),1))*INDEX(TABLAS!$D$52:$D$58,MIN(MATCH(DATOS!$C$26,TABLAS!$B$52:$B$58,0)+1,7))&gt;=4/3*IF(BB10&lt;=0,0,IF((1-2*BB10*1E5/(DATOS!$C$58*P10*BF10^2*DATOS!$C$48))&lt;0,-1,IF((1-SQRT((1-2*BB10*1E5/(DATOS!$C$58*P10*BF10^2*DATOS!$C$48))))*DATOS!$C$48*P10*BF10/DATOS!$C$40&gt;DATOS!$C$82*P10*BF10,-1,(1-SQRT((1-2*BB10*1E5/(DATOS!$C$58*P10*BF10^2*DATOS!$C$48))))*DATOS!$C$48*P10*BF10/DATOS!$C$40)))-0.0001,MAX(DATOS!$C$29,CEILING(BG10/INDEX(TABLAS!$D$52:$D$58,MIN(MATCH(DATOS!$C$26,TABLAS!$B$52:$B$58,0)+1,7)),1)),MAX(MAX(DATOS!$C$29,CEILING(BG10/INDEX(TABLAS!$D$52:$D$58,MIN(MATCH(DATOS!$C$26,TABLAS!$B$52:$B$58,0)+1,7)),1)),2))&lt;=MIN(DATOS!$C$28,INT(((DATOS!$C$13-2*R10-2*IF(DATOS!$C$25=0,0,INDEX(TABLAS!$C$52:$C$58,MATCH(DATOS!$C$25,TABLAS!$B$52:$B$58,0))))+MAX(DATOS!$C$32,INDEX(TABLAS!$C$52:$C$58,MIN(MATCH(DATOS!$C$26,TABLAS!$B$52:$B$58,0)+1,7))))/(INDEX(TABLAS!$C$52:$C$58,MIN(MATCH(DATOS!$C$26,TABLAS!$B$52:$B$58,0)+1,7))+MAX(DATOS!$C$32,INDEX(TABLAS!$C$52:$C$58,MIN(MATCH(DATOS!$C$26,TABLAS!$B$52:$B$58,0)+1,7))))))),INDEX(TABLAS!$B$52:$B$58,MIN(MATCH(DATOS!$C$26,TABLAS!$B$52:$B$58,0)+1,7)),IF(AND(BG10&gt;=0,IF(MAX(DATOS!$C$29,CEILING(BG10/INDEX(TABLAS!$D$52:$D$58,MIN(MATCH(DATOS!$C$26,TABLAS!$B$52:$B$58,0)+2,7)),1))*INDEX(TABLAS!$D$52:$D$58,MIN(MATCH(DATOS!$C$26,TABLAS!$B$52:$B$58,0)+2,7))&gt;=4/3*IF(BB10&lt;=0,0,IF((1-2*BB10*1E5/(DATOS!$C$58*P10*BF10^2*DATOS!$C$48))&lt;0,-1,IF((1-SQRT((1-2*BB10*1E5/(DATOS!$C$58*P10*BF10^2*DATOS!$C$48))))*DATOS!$C$48*P10*BF10/DATOS!$C$40&gt;DATOS!$C$82*P10*BF10,-1,(1-SQRT((1-2*BB10*1E5/(DATOS!$C$58*P10*BF10^2*DATOS!$C$48))))*DATOS!$C$48*P10*BF10/DATOS!$C$40)))-0.0001,MAX(DATOS!$C$29,CEILING(BG10/INDEX(TABLAS!$D$52:$D$58,MIN(MATCH(DATOS!$C$26,TABLAS!$B$52:$B$58,0)+2,7)),1)),MAX(MAX(DATOS!$C$29,CEILING(BG10/INDEX(TABLAS!$D$52:$D$58,MIN(MATCH(DATOS!$C$26,TABLAS!$B$52:$B$58,0)+2,7)),1)),2))&lt;=MIN(DATOS!$C$28,INT(((DATOS!$C$13-2*R10-2*IF(DATOS!$C$25=0,0,INDEX(TABLAS!$C$52:$C$58,MATCH(DATOS!$C$25,TABLAS!$B$52:$B$58,0))))+MAX(DATOS!$C$32,INDEX(TABLAS!$C$52:$C$58,MIN(MATCH(DATOS!$C$26,TABLAS!$B$52:$B$58,0)+2,7))))/(INDEX(TABLAS!$C$52:$C$58,MIN(MATCH(DATOS!$C$26,TABLAS!$B$52:$B$58,0)+2,7))+MAX(DATOS!$C$32,INDEX(TABLAS!$C$52:$C$58,MIN(MATCH(DATOS!$C$26,TABLAS!$B$52:$B$58,0)+2,7))))))),INDEX(TABLAS!$B$52:$B$58,MIN(MATCH(DATOS!$C$26,TABLAS!$B$52:$B$58,0)+2,7)),IF(AND(BG10&gt;=0,IF(MAX(DATOS!$C$29,CEILING(BG10/INDEX(TABLAS!$D$52:$D$58,MIN(MATCH(DATOS!$C$26,TABLAS!$B$52:$B$58,0)+3,7)),1))*INDEX(TABLAS!$D$52:$D$58,MIN(MATCH(DATOS!$C$26,TABLAS!$B$52:$B$58,0)+3,7))&gt;=4/3*IF(BB10&lt;=0,0,IF((1-2*BB10*1E5/(DATOS!$C$58*P10*BF10^2*DATOS!$C$48))&lt;0,-1,IF((1-SQRT((1-2*BB10*1E5/(DATOS!$C$58*P10*BF10^2*DATOS!$C$48))))*DATOS!$C$48*P10*BF10/DATOS!$C$40&gt;DATOS!$C$82*P10*BF10,-1,(1-SQRT((1-2*BB10*1E5/(DATOS!$C$58*P10*BF10^2*DATOS!$C$48))))*DATOS!$C$48*P10*BF10/DATOS!$C$40)))-0.0001,MAX(DATOS!$C$29,CEILING(BG10/INDEX(TABLAS!$D$52:$D$58,MIN(MATCH(DATOS!$C$26,TABLAS!$B$52:$B$58,0)+3,7)),1)),MAX(MAX(DATOS!$C$29,CEILING(BG10/INDEX(TABLAS!$D$52:$D$58,MIN(MATCH(DATOS!$C$26,TABLAS!$B$52:$B$58,0)+3,7)),1)),2))&lt;=MIN(DATOS!$C$28,INT(((DATOS!$C$13-2*R10-2*IF(DATOS!$C$25=0,0,INDEX(TABLAS!$C$52:$C$58,MATCH(DATOS!$C$25,TABLAS!$B$52:$B$58,0))))+MAX(DATOS!$C$32,INDEX(TABLAS!$C$52:$C$58,MIN(MATCH(DATOS!$C$26,TABLAS!$B$52:$B$58,0)+3,7))))/(INDEX(TABLAS!$C$52:$C$58,MIN(MATCH(DATOS!$C$26,TABLAS!$B$52:$B$58,0)+3,7))+MAX(DATOS!$C$32,INDEX(TABLAS!$C$52:$C$58,MIN(MATCH(DATOS!$C$26,TABLAS!$B$52:$B$58,0)+3,7))))))),INDEX(TABLAS!$B$52:$B$58,MIN(MATCH(DATOS!$C$26,TABLAS!$B$52:$B$58,0)+3,7)),IF(AND(BG10&gt;=0,IF(MAX(DATOS!$C$29,CEILING(BG10/INDEX(TABLAS!$D$52:$D$58,MIN(MATCH(DATOS!$C$26,TABLAS!$B$52:$B$58,0)+4,7)),1))*INDEX(TABLAS!$D$52:$D$58,MIN(MATCH(DATOS!$C$26,TABLAS!$B$52:$B$58,0)+4,7))&gt;=4/3*IF(BB10&lt;=0,0,IF((1-2*BB10*1E5/(DATOS!$C$58*P10*BF10^2*DATOS!$C$48))&lt;0,-1,IF((1-SQRT((1-2*BB10*1E5/(DATOS!$C$58*P10*BF10^2*DATOS!$C$48))))*DATOS!$C$48*P10*BF10/DATOS!$C$40&gt;DATOS!$C$82*P10*BF10,-1,(1-SQRT((1-2*BB10*1E5/(DATOS!$C$58*P10*BF10^2*DATOS!$C$48))))*DATOS!$C$48*P10*BF10/DATOS!$C$40)))-0.0001,MAX(DATOS!$C$29,CEILING(BG10/INDEX(TABLAS!$D$52:$D$58,MIN(MATCH(DATOS!$C$26,TABLAS!$B$52:$B$58,0)+4,7)),1)),MAX(MAX(DATOS!$C$29,CEILING(BG10/INDEX(TABLAS!$D$52:$D$58,MIN(MATCH(DATOS!$C$26,TABLAS!$B$52:$B$58,0)+4,7)),1)),2))&lt;=MIN(DATOS!$C$28,INT(((DATOS!$C$13-2*R10-2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10" s="56">
        <f>IF(D10="HUECO",0,IF(BG10&lt;0,0,IF(MAX(DATOS!$C$29,CEILING(MAX(BG10,0)/INDEX(TABLAS!$D$52:$D$58,MATCH(BH10,TABLAS!$B$52:$B$58,0)),1))*INDEX(TABLAS!$D$52:$D$58,MATCH(BH10,TABLAS!$B$52:$B$58,0))&gt;=4/3*IF(BB10&lt;=0,0,IF((1-2*BB10*1E5/(DATOS!$C$58*P10*BF10^2*DATOS!$C$48))&lt;0,-1,IF((1-SQRT((1-2*BB10*1E5/(DATOS!$C$58*P10*BF10^2*DATOS!$C$48))))*DATOS!$C$48*P10*BF10/DATOS!$C$40&gt;DATOS!$C$82*P10*BF10,-1,(1-SQRT((1-2*BB10*1E5/(DATOS!$C$58*P10*BF10^2*DATOS!$C$48))))*DATOS!$C$48*P10*BF10/DATOS!$C$40)))-0.0001,MAX(DATOS!$C$29,CEILING(MAX(BG10,0)/INDEX(TABLAS!$D$52:$D$58,MATCH(BH10,TABLAS!$B$52:$B$58,0)),1)),MAX(MAX(DATOS!$C$29,CEILING(MAX(BG10,0)/INDEX(TABLAS!$D$52:$D$58,MATCH(BH10,TABLAS!$B$52:$B$58,0)),1)),2))))</f>
        <v>1</v>
      </c>
      <c r="BJ10" s="43">
        <f>DATOS!$C$15-R10-IF(DATOS!$C$25=0,0,INDEX(TABLAS!$C$52:$C$58,MATCH(DATOS!$C$25,TABLAS!$B$52:$B$58,0)))-INDEX(TABLAS!$C$52:$C$58,MATCH(BH10,TABLAS!$B$52:$B$58,0))/2</f>
        <v>20.365</v>
      </c>
      <c r="BK10" s="36">
        <f>IF(BI10=0,0,DATOS!$C$58*BI10*INDEX(TABLAS!$D$52:$D$58,MATCH(BH10,TABLAS!$B$52:$B$58,0))*DATOS!$C$40*(BJ10-BI10*INDEX(TABLAS!$D$52:$D$58,MATCH(BH10,TABLAS!$B$52:$B$58,0))*DATOS!$C$40/(DATOS!$C$48*P10)/2)/1E5)</f>
        <v>0.969034996588235</v>
      </c>
      <c r="BL10" s="62">
        <f>IF(BG10&lt;0,9.99,IF(BK10&gt;0,BB10/BK10,0))</f>
        <v>0.256050123745503</v>
      </c>
      <c r="BM10" s="63">
        <f>IF(BI10=0,"—",0.003*(BJ10-(BI10*INDEX(TABLAS!$D$52:$D$58,MATCH(BH10,TABLAS!$B$52:$B$58,0))*DATOS!$C$40/(DATOS!$C$48*P10)/DATOS!$C$49))/(BI10*INDEX(TABLAS!$D$52:$D$58,MATCH(BH10,TABLAS!$B$52:$B$58,0))*DATOS!$C$40/(DATOS!$C$48*P10)/DATOS!$C$49))</f>
        <v>0.14182000492126</v>
      </c>
      <c r="BN10" s="43">
        <f>((DATOS!$C$15-S10-2*DATOS!$C$35-IF(DATOS!$C$25=0,0,INDEX(TABLAS!$C$52:$C$58,MATCH(DATOS!$C$25,TABLAS!$B$52:$B$58,0)))-INDEX(TABLAS!$C$52:$C$58,MATCH(DATOS!$C$27,TABLAS!$B$52:$B$58,0))/2)-IF(AND((DATOS!$C$15-S10-2*DATOS!$C$35-IF(DATOS!$C$25=0,0,INDEX(TABLAS!$C$52:$C$58,MATCH(DATOS!$C$25,TABLAS!$B$52:$B$58,0)))-INDEX(TABLAS!$C$52:$C$58,MATCH(DATOS!$C$27,TABLAS!$B$52:$B$58,0))/2)&lt;=20,DATOS!$C$18&lt;&gt;"SÍ"),2,0))</f>
        <v>19.389</v>
      </c>
      <c r="BO10" s="43">
        <f>IF(D10="HUECO",0,IF(IF(BC10&lt;=0,0,IF((1-2*BC10*1E5/(DATOS!$C$58*DATOS!$C$19*BN10^2*DATOS!$C$48))&lt;0,-1,IF((1-SQRT((1-2*BC10*1E5/(DATOS!$C$58*DATOS!$C$19*BN10^2*DATOS!$C$48))))*DATOS!$C$48*DATOS!$C$19*BN10/DATOS!$C$40&gt;DATOS!$C$82*DATOS!$C$19*BN10,-1,(1-SQRT((1-2*BC10*1E5/(DATOS!$C$58*DATOS!$C$19*BN10^2*DATOS!$C$48))))*DATOS!$C$48*DATOS!$C$19*BN10/DATOS!$C$40)))&lt;0,-1,MAX(IF(BC10&lt;=0,0,IF((1-2*BC10*1E5/(DATOS!$C$58*DATOS!$C$19*BN10^2*DATOS!$C$48))&lt;0,-1,IF((1-SQRT((1-2*BC10*1E5/(DATOS!$C$58*DATOS!$C$19*BN10^2*DATOS!$C$48))))*DATOS!$C$48*DATOS!$C$19*BN10/DATOS!$C$40&gt;DATOS!$C$82*DATOS!$C$19*BN10,-1,(1-SQRT((1-2*BC10*1E5/(DATOS!$C$58*DATOS!$C$19*BN10^2*DATOS!$C$48))))*DATOS!$C$48*DATOS!$C$19*BN10/DATOS!$C$40))),MIN(DATOS!$C$83*IF(D10="VOLADO",2*DATOS!$C$13,DATOS!$C$13)*BN10,4/3*IF(BC10&lt;=0,0,IF((1-2*BC10*1E5/(DATOS!$C$58*DATOS!$C$19*BN10^2*DATOS!$C$48))&lt;0,-1,IF((1-SQRT((1-2*BC10*1E5/(DATOS!$C$58*DATOS!$C$19*BN10^2*DATOS!$C$48))))*DATOS!$C$48*DATOS!$C$19*BN10/DATOS!$C$40&gt;DATOS!$C$82*DATOS!$C$19*BN10,-1,(1-SQRT((1-2*BC10*1E5/(DATOS!$C$58*DATOS!$C$19*BN10^2*DATOS!$C$48))))*DATOS!$C$48*DATOS!$C$19*BN10/DATOS!$C$40)))))))</f>
        <v>0.6463</v>
      </c>
      <c r="BP10" s="41">
        <f>IF(AND(BO10&gt;=0,IF(MAX(DATOS!$C$29,CEILING(BO10/INDEX(TABLAS!$D$52:$D$58,MIN(MATCH(DATOS!$C$27,TABLAS!$B$52:$B$58,0)+0,7)),1))*INDEX(TABLAS!$D$52:$D$58,MIN(MATCH(DATOS!$C$27,TABLAS!$B$52:$B$58,0)+0,7))&gt;=4/3*IF(BC10&lt;=0,0,IF((1-2*BC10*1E5/(DATOS!$C$58*DATOS!$C$19*BN10^2*DATOS!$C$48))&lt;0,-1,IF((1-SQRT((1-2*BC10*1E5/(DATOS!$C$58*DATOS!$C$19*BN10^2*DATOS!$C$48))))*DATOS!$C$48*DATOS!$C$19*BN10/DATOS!$C$40&gt;DATOS!$C$82*DATOS!$C$19*BN10,-1,(1-SQRT((1-2*BC10*1E5/(DATOS!$C$58*DATOS!$C$19*BN10^2*DATOS!$C$48))))*DATOS!$C$48*DATOS!$C$19*BN10/DATOS!$C$40)))-0.0001,MAX(DATOS!$C$29,CEILING(BO10/INDEX(TABLAS!$D$52:$D$58,MIN(MATCH(DATOS!$C$27,TABLAS!$B$52:$B$58,0)+0,7)),1)),MAX(MAX(DATOS!$C$29,CEILING(BO10/INDEX(TABLAS!$D$52:$D$58,MIN(MATCH(DATOS!$C$27,TABLAS!$B$52:$B$58,0)+0,7)),1)),2))&lt;=MIN(DATOS!$C$28,INT(((DATOS!$C$13-2*S10-2*IF(DATOS!$C$25=0,0,INDEX(TABLAS!$C$52:$C$58,MATCH(DATOS!$C$25,TABLAS!$B$52:$B$58,0))))+MAX(DATOS!$C$32,INDEX(TABLAS!$C$52:$C$58,MIN(MATCH(DATOS!$C$27,TABLAS!$B$52:$B$58,0)+0,7))))/(INDEX(TABLAS!$C$52:$C$58,MIN(MATCH(DATOS!$C$27,TABLAS!$B$52:$B$58,0)+0,7))+MAX(DATOS!$C$32,INDEX(TABLAS!$C$52:$C$58,MIN(MATCH(DATOS!$C$27,TABLAS!$B$52:$B$58,0)+0,7))))))),INDEX(TABLAS!$B$52:$B$58,MIN(MATCH(DATOS!$C$27,TABLAS!$B$52:$B$58,0)+0,7)),IF(AND(BO10&gt;=0,IF(MAX(DATOS!$C$29,CEILING(BO10/INDEX(TABLAS!$D$52:$D$58,MIN(MATCH(DATOS!$C$27,TABLAS!$B$52:$B$58,0)+1,7)),1))*INDEX(TABLAS!$D$52:$D$58,MIN(MATCH(DATOS!$C$27,TABLAS!$B$52:$B$58,0)+1,7))&gt;=4/3*IF(BC10&lt;=0,0,IF((1-2*BC10*1E5/(DATOS!$C$58*DATOS!$C$19*BN10^2*DATOS!$C$48))&lt;0,-1,IF((1-SQRT((1-2*BC10*1E5/(DATOS!$C$58*DATOS!$C$19*BN10^2*DATOS!$C$48))))*DATOS!$C$48*DATOS!$C$19*BN10/DATOS!$C$40&gt;DATOS!$C$82*DATOS!$C$19*BN10,-1,(1-SQRT((1-2*BC10*1E5/(DATOS!$C$58*DATOS!$C$19*BN10^2*DATOS!$C$48))))*DATOS!$C$48*DATOS!$C$19*BN10/DATOS!$C$40)))-0.0001,MAX(DATOS!$C$29,CEILING(BO10/INDEX(TABLAS!$D$52:$D$58,MIN(MATCH(DATOS!$C$27,TABLAS!$B$52:$B$58,0)+1,7)),1)),MAX(MAX(DATOS!$C$29,CEILING(BO10/INDEX(TABLAS!$D$52:$D$58,MIN(MATCH(DATOS!$C$27,TABLAS!$B$52:$B$58,0)+1,7)),1)),2))&lt;=MIN(DATOS!$C$28,INT(((DATOS!$C$13-2*S10-2*IF(DATOS!$C$25=0,0,INDEX(TABLAS!$C$52:$C$58,MATCH(DATOS!$C$25,TABLAS!$B$52:$B$58,0))))+MAX(DATOS!$C$32,INDEX(TABLAS!$C$52:$C$58,MIN(MATCH(DATOS!$C$27,TABLAS!$B$52:$B$58,0)+1,7))))/(INDEX(TABLAS!$C$52:$C$58,MIN(MATCH(DATOS!$C$27,TABLAS!$B$52:$B$58,0)+1,7))+MAX(DATOS!$C$32,INDEX(TABLAS!$C$52:$C$58,MIN(MATCH(DATOS!$C$27,TABLAS!$B$52:$B$58,0)+1,7))))))),INDEX(TABLAS!$B$52:$B$58,MIN(MATCH(DATOS!$C$27,TABLAS!$B$52:$B$58,0)+1,7)),IF(AND(BO10&gt;=0,IF(MAX(DATOS!$C$29,CEILING(BO10/INDEX(TABLAS!$D$52:$D$58,MIN(MATCH(DATOS!$C$27,TABLAS!$B$52:$B$58,0)+2,7)),1))*INDEX(TABLAS!$D$52:$D$58,MIN(MATCH(DATOS!$C$27,TABLAS!$B$52:$B$58,0)+2,7))&gt;=4/3*IF(BC10&lt;=0,0,IF((1-2*BC10*1E5/(DATOS!$C$58*DATOS!$C$19*BN10^2*DATOS!$C$48))&lt;0,-1,IF((1-SQRT((1-2*BC10*1E5/(DATOS!$C$58*DATOS!$C$19*BN10^2*DATOS!$C$48))))*DATOS!$C$48*DATOS!$C$19*BN10/DATOS!$C$40&gt;DATOS!$C$82*DATOS!$C$19*BN10,-1,(1-SQRT((1-2*BC10*1E5/(DATOS!$C$58*DATOS!$C$19*BN10^2*DATOS!$C$48))))*DATOS!$C$48*DATOS!$C$19*BN10/DATOS!$C$40)))-0.0001,MAX(DATOS!$C$29,CEILING(BO10/INDEX(TABLAS!$D$52:$D$58,MIN(MATCH(DATOS!$C$27,TABLAS!$B$52:$B$58,0)+2,7)),1)),MAX(MAX(DATOS!$C$29,CEILING(BO10/INDEX(TABLAS!$D$52:$D$58,MIN(MATCH(DATOS!$C$27,TABLAS!$B$52:$B$58,0)+2,7)),1)),2))&lt;=MIN(DATOS!$C$28,INT(((DATOS!$C$13-2*S10-2*IF(DATOS!$C$25=0,0,INDEX(TABLAS!$C$52:$C$58,MATCH(DATOS!$C$25,TABLAS!$B$52:$B$58,0))))+MAX(DATOS!$C$32,INDEX(TABLAS!$C$52:$C$58,MIN(MATCH(DATOS!$C$27,TABLAS!$B$52:$B$58,0)+2,7))))/(INDEX(TABLAS!$C$52:$C$58,MIN(MATCH(DATOS!$C$27,TABLAS!$B$52:$B$58,0)+2,7))+MAX(DATOS!$C$32,INDEX(TABLAS!$C$52:$C$58,MIN(MATCH(DATOS!$C$27,TABLAS!$B$52:$B$58,0)+2,7))))))),INDEX(TABLAS!$B$52:$B$58,MIN(MATCH(DATOS!$C$27,TABLAS!$B$52:$B$58,0)+2,7)),IF(AND(BO10&gt;=0,IF(MAX(DATOS!$C$29,CEILING(BO10/INDEX(TABLAS!$D$52:$D$58,MIN(MATCH(DATOS!$C$27,TABLAS!$B$52:$B$58,0)+3,7)),1))*INDEX(TABLAS!$D$52:$D$58,MIN(MATCH(DATOS!$C$27,TABLAS!$B$52:$B$58,0)+3,7))&gt;=4/3*IF(BC10&lt;=0,0,IF((1-2*BC10*1E5/(DATOS!$C$58*DATOS!$C$19*BN10^2*DATOS!$C$48))&lt;0,-1,IF((1-SQRT((1-2*BC10*1E5/(DATOS!$C$58*DATOS!$C$19*BN10^2*DATOS!$C$48))))*DATOS!$C$48*DATOS!$C$19*BN10/DATOS!$C$40&gt;DATOS!$C$82*DATOS!$C$19*BN10,-1,(1-SQRT((1-2*BC10*1E5/(DATOS!$C$58*DATOS!$C$19*BN10^2*DATOS!$C$48))))*DATOS!$C$48*DATOS!$C$19*BN10/DATOS!$C$40)))-0.0001,MAX(DATOS!$C$29,CEILING(BO10/INDEX(TABLAS!$D$52:$D$58,MIN(MATCH(DATOS!$C$27,TABLAS!$B$52:$B$58,0)+3,7)),1)),MAX(MAX(DATOS!$C$29,CEILING(BO10/INDEX(TABLAS!$D$52:$D$58,MIN(MATCH(DATOS!$C$27,TABLAS!$B$52:$B$58,0)+3,7)),1)),2))&lt;=MIN(DATOS!$C$28,INT(((DATOS!$C$13-2*S10-2*IF(DATOS!$C$25=0,0,INDEX(TABLAS!$C$52:$C$58,MATCH(DATOS!$C$25,TABLAS!$B$52:$B$58,0))))+MAX(DATOS!$C$32,INDEX(TABLAS!$C$52:$C$58,MIN(MATCH(DATOS!$C$27,TABLAS!$B$52:$B$58,0)+3,7))))/(INDEX(TABLAS!$C$52:$C$58,MIN(MATCH(DATOS!$C$27,TABLAS!$B$52:$B$58,0)+3,7))+MAX(DATOS!$C$32,INDEX(TABLAS!$C$52:$C$58,MIN(MATCH(DATOS!$C$27,TABLAS!$B$52:$B$58,0)+3,7))))))),INDEX(TABLAS!$B$52:$B$58,MIN(MATCH(DATOS!$C$27,TABLAS!$B$52:$B$58,0)+3,7)),IF(AND(BO10&gt;=0,IF(MAX(DATOS!$C$29,CEILING(BO10/INDEX(TABLAS!$D$52:$D$58,MIN(MATCH(DATOS!$C$27,TABLAS!$B$52:$B$58,0)+4,7)),1))*INDEX(TABLAS!$D$52:$D$58,MIN(MATCH(DATOS!$C$27,TABLAS!$B$52:$B$58,0)+4,7))&gt;=4/3*IF(BC10&lt;=0,0,IF((1-2*BC10*1E5/(DATOS!$C$58*DATOS!$C$19*BN10^2*DATOS!$C$48))&lt;0,-1,IF((1-SQRT((1-2*BC10*1E5/(DATOS!$C$58*DATOS!$C$19*BN10^2*DATOS!$C$48))))*DATOS!$C$48*DATOS!$C$19*BN10/DATOS!$C$40&gt;DATOS!$C$82*DATOS!$C$19*BN10,-1,(1-SQRT((1-2*BC10*1E5/(DATOS!$C$58*DATOS!$C$19*BN10^2*DATOS!$C$48))))*DATOS!$C$48*DATOS!$C$19*BN10/DATOS!$C$40)))-0.0001,MAX(DATOS!$C$29,CEILING(BO10/INDEX(TABLAS!$D$52:$D$58,MIN(MATCH(DATOS!$C$27,TABLAS!$B$52:$B$58,0)+4,7)),1)),MAX(MAX(DATOS!$C$29,CEILING(BO10/INDEX(TABLAS!$D$52:$D$58,MIN(MATCH(DATOS!$C$27,TABLAS!$B$52:$B$58,0)+4,7)),1)),2))&lt;=MIN(DATOS!$C$28,INT(((DATOS!$C$13-2*S10-2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10" s="56">
        <f>IF(D10="HUECO",0,IF(BO10&lt;0,0,IF(MAX(DATOS!$C$29,CEILING(MAX(BO10,0)/INDEX(TABLAS!$D$52:$D$58,MATCH(BP10,TABLAS!$B$52:$B$58,0)),1))*INDEX(TABLAS!$D$52:$D$58,MATCH(BP10,TABLAS!$B$52:$B$58,0))&gt;=4/3*IF(BC10&lt;=0,0,IF((1-2*BC10*1E5/(DATOS!$C$58*DATOS!$C$19*BN10^2*DATOS!$C$48))&lt;0,-1,IF((1-SQRT((1-2*BC10*1E5/(DATOS!$C$58*DATOS!$C$19*BN10^2*DATOS!$C$48))))*DATOS!$C$48*DATOS!$C$19*BN10/DATOS!$C$40&gt;DATOS!$C$82*DATOS!$C$19*BN10,-1,(1-SQRT((1-2*BC10*1E5/(DATOS!$C$58*DATOS!$C$19*BN10^2*DATOS!$C$48))))*DATOS!$C$48*DATOS!$C$19*BN10/DATOS!$C$40)))-0.0001,MAX(DATOS!$C$29,CEILING(MAX(BO10,0)/INDEX(TABLAS!$D$52:$D$58,MATCH(BP10,TABLAS!$B$52:$B$58,0)),1)),MAX(MAX(DATOS!$C$29,CEILING(MAX(BO10,0)/INDEX(TABLAS!$D$52:$D$58,MATCH(BP10,TABLAS!$B$52:$B$58,0)),1)),2))))</f>
        <v>1</v>
      </c>
      <c r="BR10" s="43">
        <f>((DATOS!$C$15-S10-2*DATOS!$C$35-IF(DATOS!$C$25=0,0,INDEX(TABLAS!$C$52:$C$58,MATCH(DATOS!$C$25,TABLAS!$B$52:$B$58,0)))-INDEX(TABLAS!$C$52:$C$58,MATCH(BP10,TABLAS!$B$52:$B$58,0))/2)-IF(AND((DATOS!$C$15-S10-2*DATOS!$C$35-IF(DATOS!$C$25=0,0,INDEX(TABLAS!$C$52:$C$58,MATCH(DATOS!$C$25,TABLAS!$B$52:$B$58,0)))-INDEX(TABLAS!$C$52:$C$58,MATCH(BP10,TABLAS!$B$52:$B$58,0))/2)&lt;=20,DATOS!$C$18&lt;&gt;"SÍ"),2,0))</f>
        <v>19.389</v>
      </c>
      <c r="BS10" s="36">
        <f>IF(BQ10=0,0,DATOS!$C$58*BQ10*INDEX(TABLAS!$D$52:$D$58,MATCH(BP10,TABLAS!$B$52:$B$58,0))*DATOS!$C$40*(BR10-BQ10*INDEX(TABLAS!$D$52:$D$58,MATCH(BP10,TABLAS!$B$52:$B$58,0))*DATOS!$C$40/(DATOS!$C$48*DATOS!$C$19)/2)/1E5)</f>
        <v>0.870537980117647</v>
      </c>
      <c r="BT10" s="62">
        <f>IF(BO10&lt;0,9.99,IF(BS10&gt;0,BC10/BS10,0))</f>
        <v>0.506318719349372</v>
      </c>
      <c r="BU10" s="63">
        <f>IF(BQ10=0,"—",0.003*(BR10-(BQ10*INDEX(TABLAS!$D$52:$D$58,MATCH(BP10,TABLAS!$B$52:$B$58,0))*DATOS!$C$40/(DATOS!$C$48*DATOS!$C$19)/DATOS!$C$49))/(BQ10*INDEX(TABLAS!$D$52:$D$58,MATCH(BP10,TABLAS!$B$52:$B$58,0))*DATOS!$C$40/(DATOS!$C$48*DATOS!$C$19)/DATOS!$C$49))</f>
        <v>0.0166970648200225</v>
      </c>
      <c r="BV10" s="43">
        <f>(DATOS!$C$15-R10-IF(DATOS!$C$25=0,0,INDEX(TABLAS!$C$52:$C$58,MATCH(DATOS!$C$25,TABLAS!$B$52:$B$58,0)))-INDEX(TABLAS!$C$52:$C$58,MATCH(DATOS!$C$26,TABLAS!$B$52:$B$58,0))-INDEX(TABLAS!$C$52:$C$58,MATCH(DATOS!$C$26,TABLAS!$B$52:$B$58,0))/2)</f>
        <v>19.095</v>
      </c>
      <c r="BW10" s="43">
        <f>IF(D10="HUECO",0,IF(IF(BD10&lt;=0,0,IF((1-2*BD10*1E5/(DATOS!$C$58*Q10*BV10^2*DATOS!$C$48))&lt;0,-1,IF((1-SQRT((1-2*BD10*1E5/(DATOS!$C$58*Q10*BV10^2*DATOS!$C$48))))*DATOS!$C$48*Q10*BV10/DATOS!$C$40&gt;DATOS!$C$82*Q10*BV10,-1,(1-SQRT((1-2*BD10*1E5/(DATOS!$C$58*Q10*BV10^2*DATOS!$C$48))))*DATOS!$C$48*Q10*BV10/DATOS!$C$40)))&lt;0,-1,MAX(IF(BD10&lt;=0,0,IF((1-2*BD10*1E5/(DATOS!$C$58*Q10*BV10^2*DATOS!$C$48))&lt;0,-1,IF((1-SQRT((1-2*BD10*1E5/(DATOS!$C$58*Q10*BV10^2*DATOS!$C$48))))*DATOS!$C$48*Q10*BV10/DATOS!$C$40&gt;DATOS!$C$82*Q10*BV10,-1,(1-SQRT((1-2*BD10*1E5/(DATOS!$C$58*Q10*BV10^2*DATOS!$C$48))))*DATOS!$C$48*Q10*BV10/DATOS!$C$40))),MIN(DATOS!$C$83*DATOS!$C$13*BV10,4/3*IF(BD10&lt;=0,0,IF((1-2*BD10*1E5/(DATOS!$C$58*Q10*BV10^2*DATOS!$C$48))&lt;0,-1,IF((1-SQRT((1-2*BD10*1E5/(DATOS!$C$58*Q10*BV10^2*DATOS!$C$48))))*DATOS!$C$48*Q10*BV10/DATOS!$C$40&gt;DATOS!$C$82*Q10*BV10,-1,(1-SQRT((1-2*BD10*1E5/(DATOS!$C$58*Q10*BV10^2*DATOS!$C$48))))*DATOS!$C$48*Q10*BV10/DATOS!$C$40)))))))</f>
        <v>0.296369323930444</v>
      </c>
      <c r="BX10" s="41">
        <f>IF(AND(BW10&gt;=0,IF(MAX(DATOS!$C$29,CEILING(BW10/INDEX(TABLAS!$D$52:$D$58,MIN(MATCH(DATOS!$C$26,TABLAS!$B$52:$B$58,0)+0,7)),1))*INDEX(TABLAS!$D$52:$D$58,MIN(MATCH(DATOS!$C$26,TABLAS!$B$52:$B$58,0)+0,7))&gt;=4/3*IF(BD10&lt;=0,0,IF((1-2*BD10*1E5/(DATOS!$C$58*Q10*BV10^2*DATOS!$C$48))&lt;0,-1,IF((1-SQRT((1-2*BD10*1E5/(DATOS!$C$58*Q10*BV10^2*DATOS!$C$48))))*DATOS!$C$48*Q10*BV10/DATOS!$C$40&gt;DATOS!$C$82*Q10*BV10,-1,(1-SQRT((1-2*BD10*1E5/(DATOS!$C$58*Q10*BV10^2*DATOS!$C$48))))*DATOS!$C$48*Q10*BV10/DATOS!$C$40)))-0.0001,MAX(DATOS!$C$29,CEILING(BW10/INDEX(TABLAS!$D$52:$D$58,MIN(MATCH(DATOS!$C$26,TABLAS!$B$52:$B$58,0)+0,7)),1)),MAX(MAX(DATOS!$C$29,CEILING(BW10/INDEX(TABLAS!$D$52:$D$58,MIN(MATCH(DATOS!$C$26,TABLAS!$B$52:$B$58,0)+0,7)),1)),2))&lt;=MIN(DATOS!$C$28,INT(((DATOS!$C$13-2*R10-2*IF(DATOS!$C$25=0,0,INDEX(TABLAS!$C$52:$C$58,MATCH(DATOS!$C$25,TABLAS!$B$52:$B$58,0))))+MAX(DATOS!$C$32,INDEX(TABLAS!$C$52:$C$58,MIN(MATCH(DATOS!$C$26,TABLAS!$B$52:$B$58,0)+0,7))))/(INDEX(TABLAS!$C$52:$C$58,MIN(MATCH(DATOS!$C$26,TABLAS!$B$52:$B$58,0)+0,7))+MAX(DATOS!$C$32,INDEX(TABLAS!$C$52:$C$58,MIN(MATCH(DATOS!$C$26,TABLAS!$B$52:$B$58,0)+0,7))))))),INDEX(TABLAS!$B$52:$B$58,MIN(MATCH(DATOS!$C$26,TABLAS!$B$52:$B$58,0)+0,7)),IF(AND(BW10&gt;=0,IF(MAX(DATOS!$C$29,CEILING(BW10/INDEX(TABLAS!$D$52:$D$58,MIN(MATCH(DATOS!$C$26,TABLAS!$B$52:$B$58,0)+1,7)),1))*INDEX(TABLAS!$D$52:$D$58,MIN(MATCH(DATOS!$C$26,TABLAS!$B$52:$B$58,0)+1,7))&gt;=4/3*IF(BD10&lt;=0,0,IF((1-2*BD10*1E5/(DATOS!$C$58*Q10*BV10^2*DATOS!$C$48))&lt;0,-1,IF((1-SQRT((1-2*BD10*1E5/(DATOS!$C$58*Q10*BV10^2*DATOS!$C$48))))*DATOS!$C$48*Q10*BV10/DATOS!$C$40&gt;DATOS!$C$82*Q10*BV10,-1,(1-SQRT((1-2*BD10*1E5/(DATOS!$C$58*Q10*BV10^2*DATOS!$C$48))))*DATOS!$C$48*Q10*BV10/DATOS!$C$40)))-0.0001,MAX(DATOS!$C$29,CEILING(BW10/INDEX(TABLAS!$D$52:$D$58,MIN(MATCH(DATOS!$C$26,TABLAS!$B$52:$B$58,0)+1,7)),1)),MAX(MAX(DATOS!$C$29,CEILING(BW10/INDEX(TABLAS!$D$52:$D$58,MIN(MATCH(DATOS!$C$26,TABLAS!$B$52:$B$58,0)+1,7)),1)),2))&lt;=MIN(DATOS!$C$28,INT(((DATOS!$C$13-2*R10-2*IF(DATOS!$C$25=0,0,INDEX(TABLAS!$C$52:$C$58,MATCH(DATOS!$C$25,TABLAS!$B$52:$B$58,0))))+MAX(DATOS!$C$32,INDEX(TABLAS!$C$52:$C$58,MIN(MATCH(DATOS!$C$26,TABLAS!$B$52:$B$58,0)+1,7))))/(INDEX(TABLAS!$C$52:$C$58,MIN(MATCH(DATOS!$C$26,TABLAS!$B$52:$B$58,0)+1,7))+MAX(DATOS!$C$32,INDEX(TABLAS!$C$52:$C$58,MIN(MATCH(DATOS!$C$26,TABLAS!$B$52:$B$58,0)+1,7))))))),INDEX(TABLAS!$B$52:$B$58,MIN(MATCH(DATOS!$C$26,TABLAS!$B$52:$B$58,0)+1,7)),IF(AND(BW10&gt;=0,IF(MAX(DATOS!$C$29,CEILING(BW10/INDEX(TABLAS!$D$52:$D$58,MIN(MATCH(DATOS!$C$26,TABLAS!$B$52:$B$58,0)+2,7)),1))*INDEX(TABLAS!$D$52:$D$58,MIN(MATCH(DATOS!$C$26,TABLAS!$B$52:$B$58,0)+2,7))&gt;=4/3*IF(BD10&lt;=0,0,IF((1-2*BD10*1E5/(DATOS!$C$58*Q10*BV10^2*DATOS!$C$48))&lt;0,-1,IF((1-SQRT((1-2*BD10*1E5/(DATOS!$C$58*Q10*BV10^2*DATOS!$C$48))))*DATOS!$C$48*Q10*BV10/DATOS!$C$40&gt;DATOS!$C$82*Q10*BV10,-1,(1-SQRT((1-2*BD10*1E5/(DATOS!$C$58*Q10*BV10^2*DATOS!$C$48))))*DATOS!$C$48*Q10*BV10/DATOS!$C$40)))-0.0001,MAX(DATOS!$C$29,CEILING(BW10/INDEX(TABLAS!$D$52:$D$58,MIN(MATCH(DATOS!$C$26,TABLAS!$B$52:$B$58,0)+2,7)),1)),MAX(MAX(DATOS!$C$29,CEILING(BW10/INDEX(TABLAS!$D$52:$D$58,MIN(MATCH(DATOS!$C$26,TABLAS!$B$52:$B$58,0)+2,7)),1)),2))&lt;=MIN(DATOS!$C$28,INT(((DATOS!$C$13-2*R10-2*IF(DATOS!$C$25=0,0,INDEX(TABLAS!$C$52:$C$58,MATCH(DATOS!$C$25,TABLAS!$B$52:$B$58,0))))+MAX(DATOS!$C$32,INDEX(TABLAS!$C$52:$C$58,MIN(MATCH(DATOS!$C$26,TABLAS!$B$52:$B$58,0)+2,7))))/(INDEX(TABLAS!$C$52:$C$58,MIN(MATCH(DATOS!$C$26,TABLAS!$B$52:$B$58,0)+2,7))+MAX(DATOS!$C$32,INDEX(TABLAS!$C$52:$C$58,MIN(MATCH(DATOS!$C$26,TABLAS!$B$52:$B$58,0)+2,7))))))),INDEX(TABLAS!$B$52:$B$58,MIN(MATCH(DATOS!$C$26,TABLAS!$B$52:$B$58,0)+2,7)),IF(AND(BW10&gt;=0,IF(MAX(DATOS!$C$29,CEILING(BW10/INDEX(TABLAS!$D$52:$D$58,MIN(MATCH(DATOS!$C$26,TABLAS!$B$52:$B$58,0)+3,7)),1))*INDEX(TABLAS!$D$52:$D$58,MIN(MATCH(DATOS!$C$26,TABLAS!$B$52:$B$58,0)+3,7))&gt;=4/3*IF(BD10&lt;=0,0,IF((1-2*BD10*1E5/(DATOS!$C$58*Q10*BV10^2*DATOS!$C$48))&lt;0,-1,IF((1-SQRT((1-2*BD10*1E5/(DATOS!$C$58*Q10*BV10^2*DATOS!$C$48))))*DATOS!$C$48*Q10*BV10/DATOS!$C$40&gt;DATOS!$C$82*Q10*BV10,-1,(1-SQRT((1-2*BD10*1E5/(DATOS!$C$58*Q10*BV10^2*DATOS!$C$48))))*DATOS!$C$48*Q10*BV10/DATOS!$C$40)))-0.0001,MAX(DATOS!$C$29,CEILING(BW10/INDEX(TABLAS!$D$52:$D$58,MIN(MATCH(DATOS!$C$26,TABLAS!$B$52:$B$58,0)+3,7)),1)),MAX(MAX(DATOS!$C$29,CEILING(BW10/INDEX(TABLAS!$D$52:$D$58,MIN(MATCH(DATOS!$C$26,TABLAS!$B$52:$B$58,0)+3,7)),1)),2))&lt;=MIN(DATOS!$C$28,INT(((DATOS!$C$13-2*R10-2*IF(DATOS!$C$25=0,0,INDEX(TABLAS!$C$52:$C$58,MATCH(DATOS!$C$25,TABLAS!$B$52:$B$58,0))))+MAX(DATOS!$C$32,INDEX(TABLAS!$C$52:$C$58,MIN(MATCH(DATOS!$C$26,TABLAS!$B$52:$B$58,0)+3,7))))/(INDEX(TABLAS!$C$52:$C$58,MIN(MATCH(DATOS!$C$26,TABLAS!$B$52:$B$58,0)+3,7))+MAX(DATOS!$C$32,INDEX(TABLAS!$C$52:$C$58,MIN(MATCH(DATOS!$C$26,TABLAS!$B$52:$B$58,0)+3,7))))))),INDEX(TABLAS!$B$52:$B$58,MIN(MATCH(DATOS!$C$26,TABLAS!$B$52:$B$58,0)+3,7)),IF(AND(BW10&gt;=0,IF(MAX(DATOS!$C$29,CEILING(BW10/INDEX(TABLAS!$D$52:$D$58,MIN(MATCH(DATOS!$C$26,TABLAS!$B$52:$B$58,0)+4,7)),1))*INDEX(TABLAS!$D$52:$D$58,MIN(MATCH(DATOS!$C$26,TABLAS!$B$52:$B$58,0)+4,7))&gt;=4/3*IF(BD10&lt;=0,0,IF((1-2*BD10*1E5/(DATOS!$C$58*Q10*BV10^2*DATOS!$C$48))&lt;0,-1,IF((1-SQRT((1-2*BD10*1E5/(DATOS!$C$58*Q10*BV10^2*DATOS!$C$48))))*DATOS!$C$48*Q10*BV10/DATOS!$C$40&gt;DATOS!$C$82*Q10*BV10,-1,(1-SQRT((1-2*BD10*1E5/(DATOS!$C$58*Q10*BV10^2*DATOS!$C$48))))*DATOS!$C$48*Q10*BV10/DATOS!$C$40)))-0.0001,MAX(DATOS!$C$29,CEILING(BW10/INDEX(TABLAS!$D$52:$D$58,MIN(MATCH(DATOS!$C$26,TABLAS!$B$52:$B$58,0)+4,7)),1)),MAX(MAX(DATOS!$C$29,CEILING(BW10/INDEX(TABLAS!$D$52:$D$58,MIN(MATCH(DATOS!$C$26,TABLAS!$B$52:$B$58,0)+4,7)),1)),2))&lt;=MIN(DATOS!$C$28,INT(((DATOS!$C$13-2*R10-2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10" s="56">
        <f>IF(D10="HUECO",0,IF(BW10&lt;0,0,IF(MAX(DATOS!$C$29,CEILING(MAX(BW10,0)/INDEX(TABLAS!$D$52:$D$58,MATCH(BX10,TABLAS!$B$52:$B$58,0)),1))*INDEX(TABLAS!$D$52:$D$58,MATCH(BX10,TABLAS!$B$52:$B$58,0))&gt;=4/3*IF(BD10&lt;=0,0,IF((1-2*BD10*1E5/(DATOS!$C$58*Q10*BV10^2*DATOS!$C$48))&lt;0,-1,IF((1-SQRT((1-2*BD10*1E5/(DATOS!$C$58*Q10*BV10^2*DATOS!$C$48))))*DATOS!$C$48*Q10*BV10/DATOS!$C$40&gt;DATOS!$C$82*Q10*BV10,-1,(1-SQRT((1-2*BD10*1E5/(DATOS!$C$58*Q10*BV10^2*DATOS!$C$48))))*DATOS!$C$48*Q10*BV10/DATOS!$C$40)))-0.0001,MAX(DATOS!$C$29,CEILING(MAX(BW10,0)/INDEX(TABLAS!$D$52:$D$58,MATCH(BX10,TABLAS!$B$52:$B$58,0)),1)),MAX(MAX(DATOS!$C$29,CEILING(MAX(BW10,0)/INDEX(TABLAS!$D$52:$D$58,MATCH(BX10,TABLAS!$B$52:$B$58,0)),1)),2))))</f>
        <v>1</v>
      </c>
      <c r="BZ10" s="43">
        <f>DATOS!$C$15-R10-IF(DATOS!$C$25=0,0,INDEX(TABLAS!$C$52:$C$58,MATCH(DATOS!$C$25,TABLAS!$B$52:$B$58,0)))-INDEX(TABLAS!$C$52:$C$58,MATCH(BH10,TABLAS!$B$52:$B$58,0))-INDEX(TABLAS!$C$52:$C$58,MATCH(BX10,TABLAS!$B$52:$B$58,0))/2</f>
        <v>19.095</v>
      </c>
      <c r="CA10" s="36">
        <f>IF(BY10=0,0,DATOS!$C$58*BY10*INDEX(TABLAS!$D$52:$D$58,MATCH(BX10,TABLAS!$B$52:$B$58,0))*DATOS!$C$40*(BZ10-BY10*INDEX(TABLAS!$D$52:$D$58,MATCH(BX10,TABLAS!$B$52:$B$58,0))*DATOS!$C$40/(DATOS!$C$48*Q10)/2)/1E5)</f>
        <v>0.908067376588235</v>
      </c>
      <c r="CB10" s="62">
        <f>IF(BW10&lt;0,9.99,IF(CA10&gt;0,BD10/CA10,0))</f>
        <v>0.176389855880037</v>
      </c>
      <c r="CC10" s="63">
        <f>IF(BY10=0,"—",0.003*(BZ10-(BY10*INDEX(TABLAS!$D$52:$D$58,MATCH(BX10,TABLAS!$B$52:$B$58,0))*DATOS!$C$40/(DATOS!$C$48*Q10)/DATOS!$C$49))/(BY10*INDEX(TABLAS!$D$52:$D$58,MATCH(BX10,TABLAS!$B$52:$B$58,0))*DATOS!$C$40/(DATOS!$C$48*Q10)/DATOS!$C$49))</f>
        <v>0.13278875492126</v>
      </c>
      <c r="CD10" s="43">
        <f>((DATOS!$C$15-S10-2*DATOS!$C$35-IF(DATOS!$C$25=0,0,INDEX(TABLAS!$C$52:$C$58,MATCH(DATOS!$C$25,TABLAS!$B$52:$B$58,0)))-INDEX(TABLAS!$C$52:$C$58,MATCH(DATOS!$C$27,TABLAS!$B$52:$B$58,0))-INDEX(TABLAS!$C$52:$C$58,MATCH(DATOS!$C$27,TABLAS!$B$52:$B$58,0))/2)-IF(AND((DATOS!$C$15-S10-2*DATOS!$C$35-IF(DATOS!$C$25=0,0,INDEX(TABLAS!$C$52:$C$58,MATCH(DATOS!$C$25,TABLAS!$B$52:$B$58,0)))-INDEX(TABLAS!$C$52:$C$58,MATCH(DATOS!$C$27,TABLAS!$B$52:$B$58,0))-INDEX(TABLAS!$C$52:$C$58,MATCH(DATOS!$C$27,TABLAS!$B$52:$B$58,0))/2)&lt;=20,DATOS!$C$18&lt;&gt;"SÍ"),2,0))</f>
        <v>18.119</v>
      </c>
      <c r="CE10" s="43">
        <f>IF(D10="HUECO",0,IF(IF(BE10&lt;=0,0,IF((1-2*BE10*1E5/(DATOS!$C$58*DATOS!$C$19*CD10^2*DATOS!$C$48))&lt;0,-1,IF((1-SQRT((1-2*BE10*1E5/(DATOS!$C$58*DATOS!$C$19*CD10^2*DATOS!$C$48))))*DATOS!$C$48*DATOS!$C$19*CD10/DATOS!$C$40&gt;DATOS!$C$82*DATOS!$C$19*CD10,-1,(1-SQRT((1-2*BE10*1E5/(DATOS!$C$58*DATOS!$C$19*CD10^2*DATOS!$C$48))))*DATOS!$C$48*DATOS!$C$19*CD10/DATOS!$C$40)))&lt;0,-1,MAX(IF(BE10&lt;=0,0,IF((1-2*BE10*1E5/(DATOS!$C$58*DATOS!$C$19*CD10^2*DATOS!$C$48))&lt;0,-1,IF((1-SQRT((1-2*BE10*1E5/(DATOS!$C$58*DATOS!$C$19*CD10^2*DATOS!$C$48))))*DATOS!$C$48*DATOS!$C$19*CD10/DATOS!$C$40&gt;DATOS!$C$82*DATOS!$C$19*CD10,-1,(1-SQRT((1-2*BE10*1E5/(DATOS!$C$58*DATOS!$C$19*CD10^2*DATOS!$C$48))))*DATOS!$C$48*DATOS!$C$19*CD10/DATOS!$C$40))),MIN(DATOS!$C$83*DATOS!$C$13*CD10,4/3*IF(BE10&lt;=0,0,IF((1-2*BE10*1E5/(DATOS!$C$58*DATOS!$C$19*CD10^2*DATOS!$C$48))&lt;0,-1,IF((1-SQRT((1-2*BE10*1E5/(DATOS!$C$58*DATOS!$C$19*CD10^2*DATOS!$C$48))))*DATOS!$C$48*DATOS!$C$19*CD10/DATOS!$C$40&gt;DATOS!$C$82*DATOS!$C$19*CD10,-1,(1-SQRT((1-2*BE10*1E5/(DATOS!$C$58*DATOS!$C$19*CD10^2*DATOS!$C$48))))*DATOS!$C$48*DATOS!$C$19*CD10/DATOS!$C$40)))))))</f>
        <v>0.556152587138749</v>
      </c>
      <c r="CF10" s="41">
        <f>IF(AND(CE10&gt;=0,IF(MAX(DATOS!$C$29,CEILING(CE10/INDEX(TABLAS!$D$52:$D$58,MIN(MATCH(DATOS!$C$27,TABLAS!$B$52:$B$58,0)+0,7)),1))*INDEX(TABLAS!$D$52:$D$58,MIN(MATCH(DATOS!$C$27,TABLAS!$B$52:$B$58,0)+0,7))&gt;=4/3*IF(BE10&lt;=0,0,IF((1-2*BE10*1E5/(DATOS!$C$58*DATOS!$C$19*CD10^2*DATOS!$C$48))&lt;0,-1,IF((1-SQRT((1-2*BE10*1E5/(DATOS!$C$58*DATOS!$C$19*CD10^2*DATOS!$C$48))))*DATOS!$C$48*DATOS!$C$19*CD10/DATOS!$C$40&gt;DATOS!$C$82*DATOS!$C$19*CD10,-1,(1-SQRT((1-2*BE10*1E5/(DATOS!$C$58*DATOS!$C$19*CD10^2*DATOS!$C$48))))*DATOS!$C$48*DATOS!$C$19*CD10/DATOS!$C$40)))-0.0001,MAX(DATOS!$C$29,CEILING(CE10/INDEX(TABLAS!$D$52:$D$58,MIN(MATCH(DATOS!$C$27,TABLAS!$B$52:$B$58,0)+0,7)),1)),MAX(MAX(DATOS!$C$29,CEILING(CE10/INDEX(TABLAS!$D$52:$D$58,MIN(MATCH(DATOS!$C$27,TABLAS!$B$52:$B$58,0)+0,7)),1)),2))&lt;=MIN(DATOS!$C$28,INT(((DATOS!$C$13-2*S10-2*IF(DATOS!$C$25=0,0,INDEX(TABLAS!$C$52:$C$58,MATCH(DATOS!$C$25,TABLAS!$B$52:$B$58,0))))+MAX(DATOS!$C$32,INDEX(TABLAS!$C$52:$C$58,MIN(MATCH(DATOS!$C$27,TABLAS!$B$52:$B$58,0)+0,7))))/(INDEX(TABLAS!$C$52:$C$58,MIN(MATCH(DATOS!$C$27,TABLAS!$B$52:$B$58,0)+0,7))+MAX(DATOS!$C$32,INDEX(TABLAS!$C$52:$C$58,MIN(MATCH(DATOS!$C$27,TABLAS!$B$52:$B$58,0)+0,7))))))),INDEX(TABLAS!$B$52:$B$58,MIN(MATCH(DATOS!$C$27,TABLAS!$B$52:$B$58,0)+0,7)),IF(AND(CE10&gt;=0,IF(MAX(DATOS!$C$29,CEILING(CE10/INDEX(TABLAS!$D$52:$D$58,MIN(MATCH(DATOS!$C$27,TABLAS!$B$52:$B$58,0)+1,7)),1))*INDEX(TABLAS!$D$52:$D$58,MIN(MATCH(DATOS!$C$27,TABLAS!$B$52:$B$58,0)+1,7))&gt;=4/3*IF(BE10&lt;=0,0,IF((1-2*BE10*1E5/(DATOS!$C$58*DATOS!$C$19*CD10^2*DATOS!$C$48))&lt;0,-1,IF((1-SQRT((1-2*BE10*1E5/(DATOS!$C$58*DATOS!$C$19*CD10^2*DATOS!$C$48))))*DATOS!$C$48*DATOS!$C$19*CD10/DATOS!$C$40&gt;DATOS!$C$82*DATOS!$C$19*CD10,-1,(1-SQRT((1-2*BE10*1E5/(DATOS!$C$58*DATOS!$C$19*CD10^2*DATOS!$C$48))))*DATOS!$C$48*DATOS!$C$19*CD10/DATOS!$C$40)))-0.0001,MAX(DATOS!$C$29,CEILING(CE10/INDEX(TABLAS!$D$52:$D$58,MIN(MATCH(DATOS!$C$27,TABLAS!$B$52:$B$58,0)+1,7)),1)),MAX(MAX(DATOS!$C$29,CEILING(CE10/INDEX(TABLAS!$D$52:$D$58,MIN(MATCH(DATOS!$C$27,TABLAS!$B$52:$B$58,0)+1,7)),1)),2))&lt;=MIN(DATOS!$C$28,INT(((DATOS!$C$13-2*S10-2*IF(DATOS!$C$25=0,0,INDEX(TABLAS!$C$52:$C$58,MATCH(DATOS!$C$25,TABLAS!$B$52:$B$58,0))))+MAX(DATOS!$C$32,INDEX(TABLAS!$C$52:$C$58,MIN(MATCH(DATOS!$C$27,TABLAS!$B$52:$B$58,0)+1,7))))/(INDEX(TABLAS!$C$52:$C$58,MIN(MATCH(DATOS!$C$27,TABLAS!$B$52:$B$58,0)+1,7))+MAX(DATOS!$C$32,INDEX(TABLAS!$C$52:$C$58,MIN(MATCH(DATOS!$C$27,TABLAS!$B$52:$B$58,0)+1,7))))))),INDEX(TABLAS!$B$52:$B$58,MIN(MATCH(DATOS!$C$27,TABLAS!$B$52:$B$58,0)+1,7)),IF(AND(CE10&gt;=0,IF(MAX(DATOS!$C$29,CEILING(CE10/INDEX(TABLAS!$D$52:$D$58,MIN(MATCH(DATOS!$C$27,TABLAS!$B$52:$B$58,0)+2,7)),1))*INDEX(TABLAS!$D$52:$D$58,MIN(MATCH(DATOS!$C$27,TABLAS!$B$52:$B$58,0)+2,7))&gt;=4/3*IF(BE10&lt;=0,0,IF((1-2*BE10*1E5/(DATOS!$C$58*DATOS!$C$19*CD10^2*DATOS!$C$48))&lt;0,-1,IF((1-SQRT((1-2*BE10*1E5/(DATOS!$C$58*DATOS!$C$19*CD10^2*DATOS!$C$48))))*DATOS!$C$48*DATOS!$C$19*CD10/DATOS!$C$40&gt;DATOS!$C$82*DATOS!$C$19*CD10,-1,(1-SQRT((1-2*BE10*1E5/(DATOS!$C$58*DATOS!$C$19*CD10^2*DATOS!$C$48))))*DATOS!$C$48*DATOS!$C$19*CD10/DATOS!$C$40)))-0.0001,MAX(DATOS!$C$29,CEILING(CE10/INDEX(TABLAS!$D$52:$D$58,MIN(MATCH(DATOS!$C$27,TABLAS!$B$52:$B$58,0)+2,7)),1)),MAX(MAX(DATOS!$C$29,CEILING(CE10/INDEX(TABLAS!$D$52:$D$58,MIN(MATCH(DATOS!$C$27,TABLAS!$B$52:$B$58,0)+2,7)),1)),2))&lt;=MIN(DATOS!$C$28,INT(((DATOS!$C$13-2*S10-2*IF(DATOS!$C$25=0,0,INDEX(TABLAS!$C$52:$C$58,MATCH(DATOS!$C$25,TABLAS!$B$52:$B$58,0))))+MAX(DATOS!$C$32,INDEX(TABLAS!$C$52:$C$58,MIN(MATCH(DATOS!$C$27,TABLAS!$B$52:$B$58,0)+2,7))))/(INDEX(TABLAS!$C$52:$C$58,MIN(MATCH(DATOS!$C$27,TABLAS!$B$52:$B$58,0)+2,7))+MAX(DATOS!$C$32,INDEX(TABLAS!$C$52:$C$58,MIN(MATCH(DATOS!$C$27,TABLAS!$B$52:$B$58,0)+2,7))))))),INDEX(TABLAS!$B$52:$B$58,MIN(MATCH(DATOS!$C$27,TABLAS!$B$52:$B$58,0)+2,7)),IF(AND(CE10&gt;=0,IF(MAX(DATOS!$C$29,CEILING(CE10/INDEX(TABLAS!$D$52:$D$58,MIN(MATCH(DATOS!$C$27,TABLAS!$B$52:$B$58,0)+3,7)),1))*INDEX(TABLAS!$D$52:$D$58,MIN(MATCH(DATOS!$C$27,TABLAS!$B$52:$B$58,0)+3,7))&gt;=4/3*IF(BE10&lt;=0,0,IF((1-2*BE10*1E5/(DATOS!$C$58*DATOS!$C$19*CD10^2*DATOS!$C$48))&lt;0,-1,IF((1-SQRT((1-2*BE10*1E5/(DATOS!$C$58*DATOS!$C$19*CD10^2*DATOS!$C$48))))*DATOS!$C$48*DATOS!$C$19*CD10/DATOS!$C$40&gt;DATOS!$C$82*DATOS!$C$19*CD10,-1,(1-SQRT((1-2*BE10*1E5/(DATOS!$C$58*DATOS!$C$19*CD10^2*DATOS!$C$48))))*DATOS!$C$48*DATOS!$C$19*CD10/DATOS!$C$40)))-0.0001,MAX(DATOS!$C$29,CEILING(CE10/INDEX(TABLAS!$D$52:$D$58,MIN(MATCH(DATOS!$C$27,TABLAS!$B$52:$B$58,0)+3,7)),1)),MAX(MAX(DATOS!$C$29,CEILING(CE10/INDEX(TABLAS!$D$52:$D$58,MIN(MATCH(DATOS!$C$27,TABLAS!$B$52:$B$58,0)+3,7)),1)),2))&lt;=MIN(DATOS!$C$28,INT(((DATOS!$C$13-2*S10-2*IF(DATOS!$C$25=0,0,INDEX(TABLAS!$C$52:$C$58,MATCH(DATOS!$C$25,TABLAS!$B$52:$B$58,0))))+MAX(DATOS!$C$32,INDEX(TABLAS!$C$52:$C$58,MIN(MATCH(DATOS!$C$27,TABLAS!$B$52:$B$58,0)+3,7))))/(INDEX(TABLAS!$C$52:$C$58,MIN(MATCH(DATOS!$C$27,TABLAS!$B$52:$B$58,0)+3,7))+MAX(DATOS!$C$32,INDEX(TABLAS!$C$52:$C$58,MIN(MATCH(DATOS!$C$27,TABLAS!$B$52:$B$58,0)+3,7))))))),INDEX(TABLAS!$B$52:$B$58,MIN(MATCH(DATOS!$C$27,TABLAS!$B$52:$B$58,0)+3,7)),IF(AND(CE10&gt;=0,IF(MAX(DATOS!$C$29,CEILING(CE10/INDEX(TABLAS!$D$52:$D$58,MIN(MATCH(DATOS!$C$27,TABLAS!$B$52:$B$58,0)+4,7)),1))*INDEX(TABLAS!$D$52:$D$58,MIN(MATCH(DATOS!$C$27,TABLAS!$B$52:$B$58,0)+4,7))&gt;=4/3*IF(BE10&lt;=0,0,IF((1-2*BE10*1E5/(DATOS!$C$58*DATOS!$C$19*CD10^2*DATOS!$C$48))&lt;0,-1,IF((1-SQRT((1-2*BE10*1E5/(DATOS!$C$58*DATOS!$C$19*CD10^2*DATOS!$C$48))))*DATOS!$C$48*DATOS!$C$19*CD10/DATOS!$C$40&gt;DATOS!$C$82*DATOS!$C$19*CD10,-1,(1-SQRT((1-2*BE10*1E5/(DATOS!$C$58*DATOS!$C$19*CD10^2*DATOS!$C$48))))*DATOS!$C$48*DATOS!$C$19*CD10/DATOS!$C$40)))-0.0001,MAX(DATOS!$C$29,CEILING(CE10/INDEX(TABLAS!$D$52:$D$58,MIN(MATCH(DATOS!$C$27,TABLAS!$B$52:$B$58,0)+4,7)),1)),MAX(MAX(DATOS!$C$29,CEILING(CE10/INDEX(TABLAS!$D$52:$D$58,MIN(MATCH(DATOS!$C$27,TABLAS!$B$52:$B$58,0)+4,7)),1)),2))&lt;=MIN(DATOS!$C$28,INT(((DATOS!$C$13-2*S10-2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10" s="56">
        <f>IF(D10="HUECO",0,IF(CE10&lt;0,0,IF(MAX(DATOS!$C$29,CEILING(MAX(CE10,0)/INDEX(TABLAS!$D$52:$D$58,MATCH(CF10,TABLAS!$B$52:$B$58,0)),1))*INDEX(TABLAS!$D$52:$D$58,MATCH(CF10,TABLAS!$B$52:$B$58,0))&gt;=4/3*IF(BE10&lt;=0,0,IF((1-2*BE10*1E5/(DATOS!$C$58*DATOS!$C$19*CD10^2*DATOS!$C$48))&lt;0,-1,IF((1-SQRT((1-2*BE10*1E5/(DATOS!$C$58*DATOS!$C$19*CD10^2*DATOS!$C$48))))*DATOS!$C$48*DATOS!$C$19*CD10/DATOS!$C$40&gt;DATOS!$C$82*DATOS!$C$19*CD10,-1,(1-SQRT((1-2*BE10*1E5/(DATOS!$C$58*DATOS!$C$19*CD10^2*DATOS!$C$48))))*DATOS!$C$48*DATOS!$C$19*CD10/DATOS!$C$40)))-0.0001,MAX(DATOS!$C$29,CEILING(MAX(CE10,0)/INDEX(TABLAS!$D$52:$D$58,MATCH(CF10,TABLAS!$B$52:$B$58,0)),1)),MAX(MAX(DATOS!$C$29,CEILING(MAX(CE10,0)/INDEX(TABLAS!$D$52:$D$58,MATCH(CF10,TABLAS!$B$52:$B$58,0)),1)),2))))</f>
        <v>1</v>
      </c>
      <c r="CH10" s="43">
        <f>((DATOS!$C$15-S10-2*DATOS!$C$35-IF(DATOS!$C$25=0,0,INDEX(TABLAS!$C$52:$C$58,MATCH(DATOS!$C$25,TABLAS!$B$52:$B$58,0)))-INDEX(TABLAS!$C$52:$C$58,MATCH(BP10,TABLAS!$B$52:$B$58,0))-INDEX(TABLAS!$C$52:$C$58,MATCH(CF10,TABLAS!$B$52:$B$58,0))/2)-IF(AND((DATOS!$C$15-S10-2*DATOS!$C$35-IF(DATOS!$C$25=0,0,INDEX(TABLAS!$C$52:$C$58,MATCH(DATOS!$C$25,TABLAS!$B$52:$B$58,0)))-INDEX(TABLAS!$C$52:$C$58,MATCH(BP10,TABLAS!$B$52:$B$58,0))-INDEX(TABLAS!$C$52:$C$58,MATCH(CF10,TABLAS!$B$52:$B$58,0))/2)&lt;=20,DATOS!$C$18&lt;&gt;"SÍ"),2,0))</f>
        <v>18.119</v>
      </c>
      <c r="CI10" s="36">
        <f>IF(CG10=0,0,DATOS!$C$58*CG10*INDEX(TABLAS!$D$52:$D$58,MATCH(CF10,TABLAS!$B$52:$B$58,0))*DATOS!$C$40*(CH10-CG10*INDEX(TABLAS!$D$52:$D$58,MATCH(CF10,TABLAS!$B$52:$B$58,0))*DATOS!$C$40/(DATOS!$C$48*DATOS!$C$19)/2)/1E5)</f>
        <v>0.809570360117647</v>
      </c>
      <c r="CJ10" s="62">
        <f>IF(CE10&lt;0,9.99,IF(CI10&gt;0,BE10/CI10,0))</f>
        <v>0.344851667757463</v>
      </c>
      <c r="CK10" s="63">
        <f>IF(CG10=0,"—",0.003*(CH10-(CG10*INDEX(TABLAS!$D$52:$D$58,MATCH(CF10,TABLAS!$B$52:$B$58,0))*DATOS!$C$40/(DATOS!$C$48*DATOS!$C$19)/DATOS!$C$49))/(CG10*INDEX(TABLAS!$D$52:$D$58,MATCH(CF10,TABLAS!$B$52:$B$58,0))*DATOS!$C$40/(DATOS!$C$48*DATOS!$C$19)/DATOS!$C$49))</f>
        <v>0.0154068862485939</v>
      </c>
      <c r="CL10" s="52" t="str">
        <f>IF(D10="HUECO","—",IF(AND(D10="PERIMETRAL",J10*100&gt;=6*DATOS!$C$11,DATOS!$C$11&lt;=80,DATOS!$C$13&gt;=10,DATOS!$C$15&lt;=3.5*DATOS!$C$13,DATOS!$C$14&gt;=MAX(DATOS!$C$11/13,5)),"SÍ","NO"))</f>
        <v>NO</v>
      </c>
      <c r="CM10" s="36">
        <f>IF(D10="PERIMETRAL",MAX(0,(N10/2-BR10)/100)*(0.95-0.5*L10)*Y10*IF(AND(Z10&gt;0,Z10&lt;4),DATOS!$C$63,1)*DATOS!$C$16/100/1000+AX10,IF(D10="VOLADO",(Y10*MAX(0,N10-BR10)/100+DATOS!$C$55*BA10)*DATOS!$C$16/100/1000,0))</f>
        <v>0.525840494581836</v>
      </c>
      <c r="CN10" s="36">
        <f>IF(D10="HUECO",0,DATOS!$C$59*2*MIN(1,SQRT(2/(1+0.04*BR10)))*(BQ10*INDEX(TABLAS!$D$52:$D$58,MATCH(BP10,TABLAS!$B$52:$B$58,0))/(DATOS!$C$19*BR10))^(1/3)*SQRT(DATOS!$C$39)*DATOS!$C$19*BR10*IF(CL10="SÍ",DATOS!$C$62,1)/1000)</f>
        <v>0.860398102904257</v>
      </c>
      <c r="CO10" s="51" t="str">
        <f>IF(D10="HUECO","—",IF(CM10&lt;=CN10,"CUMPLE",IF(MAX(0,CEILING((IF(D10="VOLADO",(N10-(CN10*1E5/DATOS!$C$16-DATOS!$C$55*BA10)*100/Y10),IF(CN10&lt;=AX10,N10,N10/2-(CN10-AX10)/MAX(CM10-AX10,1E-9)*(N10/2-BR10)))-IF(INT((J10*100-DATOS!$C$17+DATOS!$C$13)/DATOS!$C$16)&gt;0,(J10*100-DATOS!$C$17-(INT((J10*100-DATOS!$C$17+DATOS!$C$13)/DATOS!$C$16)*DATOS!$C$11+(INT((J10*100-DATOS!$C$17+DATOS!$C$13)/DATOS!$C$16)-1)*DATOS!$C$13))/2,J10*100/2))/DATOS!$C$16,1))&lt;=0,"CUMPLE (basta el macizo de orilla)","MACIZAR "&amp;MAX(0,CEILING((IF(D10="VOLADO",(N10-(CN10*1E5/DATOS!$C$16-DATOS!$C$55*BA10)*100/Y10),IF(CN10&lt;=AX10,N10,N10/2-(CN10-AX10)/MAX(CM10-AX10,1E-9)*(N10/2-BR10)))-IF(INT((J10*100-DATOS!$C$17+DATOS!$C$13)/DATOS!$C$16)&gt;0,(J10*100-DATOS!$C$17-(INT((J10*100-DATOS!$C$17+DATOS!$C$13)/DATOS!$C$16)*DATOS!$C$11+(INT((J10*100-DATOS!$C$17+DATOS!$C$13)/DATOS!$C$16)-1)*DATOS!$C$13))/2,J10*100/2))/DATOS!$C$16,1))&amp;" hilera(s)")))</f>
        <v>CUMPLE</v>
      </c>
      <c r="CP10" s="43">
        <f>IF(D10="PERIMETRAL",((PRINCIPALES!$N$10*PRINCIPALES!$O$10^3/12/(3.025*100*IF(APOYOS!$G$33="CONTINUO",1,0.5)*DATOS!$C$77^3/12))+0+99+(PRINCIPALES!$N$29*PRINCIPALES!$O$29^3/12/(4.327*100*IF(APOYOS!$G$36="CONTINUO",1,0.5)*DATOS!$C$77^3/12)))/4,0)</f>
        <v>25.6714963036043</v>
      </c>
      <c r="CQ10" s="57">
        <f>IF(D10="PERIMETRAL",IF(CP10&gt;2,MAX(9,O10*(0.8+DATOS!$C$40/14000)/(36+9*(O10/MAX(N10,1)))),IF(CP10&gt;0.2,MAX(13,O10*(0.8+DATOS!$C$40/14000)/(36+5*(O10/MAX(N10,1))*(CP10-0.2))),MAX(13,O10/IF(Z10&gt;0,30,33))))*IF(AND(CP10&gt;0.2,OR(AND((APOYOS!$G$33="DISCONTINUO"),(PRINCIPALES!$N$10*PRINCIPALES!$O$10^3/12/(3.025*100*IF(APOYOS!$G$33="CONTINUO",1,0.5)*DATOS!$C$77^3/12))&lt;0.8),AND((APOYOS!$G$34="DISCONTINUO"),0&lt;0.8),AND((APOYOS!$G$35="DISCONTINUO"),99&lt;0.8),AND((APOYOS!$G$36="DISCONTINUO"),(PRINCIPALES!$N$29*PRINCIPALES!$O$29^3/12/(4.327*100*IF(APOYOS!$G$36="CONTINUO",1,0.5)*DATOS!$C$77^3/12))&lt;0.8))),1.1,1),IF(D10="VOLADO",MAX(25,J10*100/8),0))</f>
        <v>9.36245065311532</v>
      </c>
      <c r="CR10" s="57">
        <f>IF(D10="VOLADO",DATOS!$C$15,DATOS!$C$77)</f>
        <v>16.7232564120244</v>
      </c>
      <c r="CS10" s="52" t="str">
        <f>IF(D10="HUECO","—",IF(CR10&gt;=CQ10,"CUMPLE",IF(D10="VOLADO","NO CUMPLE","CALCULAR FLECHA")))</f>
        <v>CUMPLE</v>
      </c>
      <c r="CT10" s="52" t="str">
        <f>IF(D10="HUECO","—",IF(DATOS!$C$14&gt;=IF(IF(D10="VOLADO",J10,K10)&gt;=6,6,5),"CUMPLE","CAPA ≥ 6 cm"))</f>
        <v>CUMPLE</v>
      </c>
      <c r="CU10" s="59">
        <f>IF(D10="HUECO",0,IF(((4*((AL10*Y10*J10^2*1E-4*DATOS!$C$16/100/1000)+((MAX(AH10,AJ10)*Y10*J10^2*1E-4*DATOS!$C$16/100/1000)+(IF(AND(AH10&gt;0,AJ10&gt;0),MIN(AH10,AJ10),MAX(AH10,AJ10))*Y10*J10^2*1E-4*DATOS!$C$16/100/1000))/2)+BC10-(IF(AND(AH10&gt;0,AJ10&gt;0),MIN(AH10,AJ10),MAX(AH10,AJ10))*Y10*J10^2*1E-4*DATOS!$C$16/100/1000))^2-16*((AL10*Y10*J10^2*1E-4*DATOS!$C$16/100/1000)+((MAX(AH10,AJ10)*Y10*J10^2*1E-4*DATOS!$C$16/100/1000)+(IF(AND(AH10&gt;0,AJ10&gt;0),MIN(AH10,AJ10),MAX(AH10,AJ10))*Y10*J10^2*1E-4*DATOS!$C$16/100/1000))/2)*BC10)&lt;0,CEILING(N10,5),CEILING(MAX(N10*((4*((AL10*Y10*J10^2*1E-4*DATOS!$C$16/100/1000)+((MAX(AH10,AJ10)*Y10*J10^2*1E-4*DATOS!$C$16/100/1000)+(IF(AND(AH10&gt;0,AJ10&gt;0),MIN(AH10,AJ10),MAX(AH10,AJ10))*Y10*J10^2*1E-4*DATOS!$C$16/100/1000))/2)+BC10-(IF(AND(AH10&gt;0,AJ10&gt;0),MIN(AH10,AJ10),MAX(AH10,AJ10))*Y10*J10^2*1E-4*DATOS!$C$16/100/1000))-SQRT(MAX(0,((4*((AL10*Y10*J10^2*1E-4*DATOS!$C$16/100/1000)+((MAX(AH10,AJ10)*Y10*J10^2*1E-4*DATOS!$C$16/100/1000)+(IF(AND(AH10&gt;0,AJ10&gt;0),MIN(AH10,AJ10),MAX(AH10,AJ10))*Y10*J10^2*1E-4*DATOS!$C$16/100/1000))/2)+BC10-(IF(AND(AH10&gt;0,AJ10&gt;0),MIN(AH10,AJ10),MAX(AH10,AJ10))*Y10*J10^2*1E-4*DATOS!$C$16/100/1000))^2-16*((AL10*Y10*J10^2*1E-4*DATOS!$C$16/100/1000)+((MAX(AH10,AJ10)*Y10*J10^2*1E-4*DATOS!$C$16/100/1000)+(IF(AND(AH10&gt;0,AJ10&gt;0),MIN(AH10,AJ10),MAX(AH10,AJ10))*Y10*J10^2*1E-4*DATOS!$C$16/100/1000))/2)*BC10))))/(8*MAX(((AL10*Y10*J10^2*1E-4*DATOS!$C$16/100/1000)+((MAX(AH10,AJ10)*Y10*J10^2*1E-4*DATOS!$C$16/100/1000)+(IF(AND(AH10&gt;0,AJ10&gt;0),MIN(AH10,AJ10),MAX(AH10,AJ10))*Y10*J10^2*1E-4*DATOS!$C$16/100/1000))/2),1E-9))+MAX(BR10,12*INDEX(TABLAS!$C$52:$C$58,MATCH(BP10,TABLAS!$B$52:$B$58,0)),N10/16),IF(OR(S10&lt;INDEX(TABLAS!$C$52:$C$58,MATCH(BP10,TABLAS!$B$52:$B$58,0)),AND(BQ10&gt;=2,(DATOS!$C$13-2*S10-2*IF(DATOS!$C$25=0,0,INDEX(TABLAS!$C$52:$C$58,MATCH(DATOS!$C$25,TABLAS!$B$52:$B$58,0)))-BQ10*INDEX(TABLAS!$C$52:$C$58,MATCH(BP10,TABLAS!$B$52:$B$58,0)))/MAX(BQ10-1,1)&lt;2*INDEX(TABLAS!$C$52:$C$58,MATCH(BP10,TABLAS!$B$52:$B$58,0)))),INDEX(TABLAS!$I$52:$I$58,MATCH(BP10,TABLAS!$B$52:$B$58,0)),INDEX(TABLAS!$F$52:$F$58,MATCH(BP10,TABLAS!$B$52:$B$58,0)))),5)))</f>
        <v>85</v>
      </c>
      <c r="CV10" s="59">
        <f>IF(D10="HUECO",0,IF(((4*((AM10*Y10*J10^2*1E-4*DATOS!$C$16/100/1000)+((MAX(AI10,AK10)*Y10*J10^2*1E-4*DATOS!$C$16/100/1000)+(IF(AND(AI10&gt;0,AK10&gt;0),MIN(AI10,AK10),MAX(AI10,AK10))*Y10*J10^2*1E-4*DATOS!$C$16/100/1000))/2)+BE10-(IF(AND(AI10&gt;0,AK10&gt;0),MIN(AI10,AK10),MAX(AI10,AK10))*Y10*J10^2*1E-4*DATOS!$C$16/100/1000))^2-16*((AM10*Y10*J10^2*1E-4*DATOS!$C$16/100/1000)+((MAX(AI10,AK10)*Y10*J10^2*1E-4*DATOS!$C$16/100/1000)+(IF(AND(AI10&gt;0,AK10&gt;0),MIN(AI10,AK10),MAX(AI10,AK10))*Y10*J10^2*1E-4*DATOS!$C$16/100/1000))/2)*BE10)&lt;0,CEILING(O10,5),CEILING(MAX(O10*((4*((AM10*Y10*J10^2*1E-4*DATOS!$C$16/100/1000)+((MAX(AI10,AK10)*Y10*J10^2*1E-4*DATOS!$C$16/100/1000)+(IF(AND(AI10&gt;0,AK10&gt;0),MIN(AI10,AK10),MAX(AI10,AK10))*Y10*J10^2*1E-4*DATOS!$C$16/100/1000))/2)+BE10-(IF(AND(AI10&gt;0,AK10&gt;0),MIN(AI10,AK10),MAX(AI10,AK10))*Y10*J10^2*1E-4*DATOS!$C$16/100/1000))-SQRT(MAX(0,((4*((AM10*Y10*J10^2*1E-4*DATOS!$C$16/100/1000)+((MAX(AI10,AK10)*Y10*J10^2*1E-4*DATOS!$C$16/100/1000)+(IF(AND(AI10&gt;0,AK10&gt;0),MIN(AI10,AK10),MAX(AI10,AK10))*Y10*J10^2*1E-4*DATOS!$C$16/100/1000))/2)+BE10-(IF(AND(AI10&gt;0,AK10&gt;0),MIN(AI10,AK10),MAX(AI10,AK10))*Y10*J10^2*1E-4*DATOS!$C$16/100/1000))^2-16*((AM10*Y10*J10^2*1E-4*DATOS!$C$16/100/1000)+((MAX(AI10,AK10)*Y10*J10^2*1E-4*DATOS!$C$16/100/1000)+(IF(AND(AI10&gt;0,AK10&gt;0),MIN(AI10,AK10),MAX(AI10,AK10))*Y10*J10^2*1E-4*DATOS!$C$16/100/1000))/2)*BE10))))/(8*MAX(((AM10*Y10*J10^2*1E-4*DATOS!$C$16/100/1000)+((MAX(AI10,AK10)*Y10*J10^2*1E-4*DATOS!$C$16/100/1000)+(IF(AND(AI10&gt;0,AK10&gt;0),MIN(AI10,AK10),MAX(AI10,AK10))*Y10*J10^2*1E-4*DATOS!$C$16/100/1000))/2),1E-9))+MAX(CH10,12*INDEX(TABLAS!$C$52:$C$58,MATCH(CF10,TABLAS!$B$52:$B$58,0)),O10/16),IF(OR(S10&lt;INDEX(TABLAS!$C$52:$C$58,MATCH(CF10,TABLAS!$B$52:$B$58,0)),AND(CG10&gt;=2,(DATOS!$C$13-2*S10-2*IF(DATOS!$C$25=0,0,INDEX(TABLAS!$C$52:$C$58,MATCH(DATOS!$C$25,TABLAS!$B$52:$B$58,0)))-CG10*INDEX(TABLAS!$C$52:$C$58,MATCH(CF10,TABLAS!$B$52:$B$58,0)))/MAX(CG10-1,1)&lt;2*INDEX(TABLAS!$C$52:$C$58,MATCH(CF10,TABLAS!$B$52:$B$58,0)))),INDEX(TABLAS!$I$52:$I$58,MATCH(CF10,TABLAS!$B$52:$B$58,0)),INDEX(TABLAS!$F$52:$F$58,MATCH(CF10,TABLAS!$B$52:$B$58,0)))),5)))</f>
        <v>120</v>
      </c>
      <c r="CW10" s="56">
        <f>MAX(0,INT((F10*100-DATOS!$C$17+DATOS!$C$13)/DATOS!$C$16))</f>
        <v>6</v>
      </c>
      <c r="CX10" s="56">
        <f>MAX(0,INT((G10*100-DATOS!$C$17+DATOS!$C$13)/DATOS!$C$16))</f>
        <v>4</v>
      </c>
      <c r="CY10" s="51" t="str">
        <f>IF(COUNTIFS(TRIB!$C$6:$C$255,B10,TRIB!$K$6:$K$255,"NO CUMPLE*")+COUNTIFS(TRIB!$C$6:$C$255,B10,TRIB!$K$6:$K$255,"SIN APOYO*")&gt;0,"VER PRINCIPALES",IF((APOYOS!$F$33="LIBRE")+(APOYOS!$F$34="LIBRE")+(APOYOS!$F$35="LIBRE")+(APOYOS!$F$36="LIBRE")&gt;0,"REVISAR: borde libre","OK"))</f>
        <v>OK</v>
      </c>
      <c r="CZ10" s="64" t="str">
        <f>IF(D10="HUECO","HUECO — marco de nervaduras principales",IF(AND(MAX(BL10,BT10,CB10,CJ10)&lt;=1,NOT(OR(BI10&gt;MIN(DATOS!$C$28,INT(((DATOS!$C$13-2*R10-2*IF(DATOS!$C$25=0,0,INDEX(TABLAS!$C$52:$C$58,MATCH(DATOS!$C$25,TABLAS!$B$52:$B$58,0))))+DATOS!$C$32)/(INDEX(TABLAS!$C$52:$C$58,MATCH(BH10,TABLAS!$B$52:$B$58,0))+DATOS!$C$32))),BQ10&gt;MIN(DATOS!$C$28,INT(((DATOS!$C$13-2*S10-2*IF(DATOS!$C$25=0,0,INDEX(TABLAS!$C$52:$C$58,MATCH(DATOS!$C$25,TABLAS!$B$52:$B$58,0))))+DATOS!$C$32)/(INDEX(TABLAS!$C$52:$C$58,MATCH(BP10,TABLAS!$B$52:$B$58,0))+DATOS!$C$32))),BY10&gt;MIN(DATOS!$C$28,INT(((DATOS!$C$13-2*R10-2*IF(DATOS!$C$25=0,0,INDEX(TABLAS!$C$52:$C$58,MATCH(DATOS!$C$25,TABLAS!$B$52:$B$58,0))))+DATOS!$C$32)/(INDEX(TABLAS!$C$52:$C$58,MATCH(BX10,TABLAS!$B$52:$B$58,0))+DATOS!$C$32))),CG10&gt;MIN(DATOS!$C$28,INT(((DATOS!$C$13-2*S10-2*IF(DATOS!$C$25=0,0,INDEX(TABLAS!$C$52:$C$58,MATCH(DATOS!$C$25,TABLAS!$B$52:$B$58,0))))+DATOS!$C$32)/(INDEX(TABLAS!$C$52:$C$58,MATCH(CF10,TABLAS!$B$52:$B$58,0))+DATOS!$C$32))))),NOT(OR(AND(ISNUMBER(BM10),BM10&lt;0.005),AND(ISNUMBER(BU10),BU10&lt;0.005),AND(ISNUMBER(CC10),CC10&lt;0.005),AND(ISNUMBER(CK10),CK10&lt;0.005))),CS10="CUMPLE",CT10="CUMPLE"),IF(CY10="OK",IF(LEFT(CO10,6)="CUMPLE","CUMPLE","CUMPLE — "&amp;CO10)&amp;IF(LEFT(AZ10,5)="FUERA"," · fuera de 3.4.2.1 c)",""),IF(CY10="VER PRINCIPALES","VER PRINCIPALES","REVISAR APOYOS")),IF(AND(MAX(BL10,BT10,CB10,CJ10)&lt;=1,NOT(OR(BI10&gt;MIN(DATOS!$C$28,INT(((DATOS!$C$13-2*R10-2*IF(DATOS!$C$25=0,0,INDEX(TABLAS!$C$52:$C$58,MATCH(DATOS!$C$25,TABLAS!$B$52:$B$58,0))))+DATOS!$C$32)/(INDEX(TABLAS!$C$52:$C$58,MATCH(BH10,TABLAS!$B$52:$B$58,0))+DATOS!$C$32))),BQ10&gt;MIN(DATOS!$C$28,INT(((DATOS!$C$13-2*S10-2*IF(DATOS!$C$25=0,0,INDEX(TABLAS!$C$52:$C$58,MATCH(DATOS!$C$25,TABLAS!$B$52:$B$58,0))))+DATOS!$C$32)/(INDEX(TABLAS!$C$52:$C$58,MATCH(BP10,TABLAS!$B$52:$B$58,0))+DATOS!$C$32))),BY10&gt;MIN(DATOS!$C$28,INT(((DATOS!$C$13-2*R10-2*IF(DATOS!$C$25=0,0,INDEX(TABLAS!$C$52:$C$58,MATCH(DATOS!$C$25,TABLAS!$B$52:$B$58,0))))+DATOS!$C$32)/(INDEX(TABLAS!$C$52:$C$58,MATCH(BX10,TABLAS!$B$52:$B$58,0))+DATOS!$C$32))),CG10&gt;MIN(DATOS!$C$28,INT(((DATOS!$C$13-2*S10-2*IF(DATOS!$C$25=0,0,INDEX(TABLAS!$C$52:$C$58,MATCH(DATOS!$C$25,TABLAS!$B$52:$B$58,0))))+DATOS!$C$32)/(INDEX(TABLAS!$C$52:$C$58,MATCH(CF10,TABLAS!$B$52:$B$58,0))+DATOS!$C$32))))),NOT(OR(AND(ISNUMBER(BM10),BM10&lt;0.005),AND(ISNUMBER(BU10),BU10&lt;0.005),AND(ISNUMBER(CC10),CC10&lt;0.005),AND(ISNUMBER(CK10),CK10&lt;0.005))),CS10="CALCULAR FLECHA"),"REVISAR: calcular flecha (h_eq &lt; h mín.)","NO CUMPLE: "&amp;IF(MAX(BL10,BT10,CB10,CJ10)&gt;1,"flexión ","")&amp;IF(OR(BI10&gt;MIN(DATOS!$C$28,INT(((DATOS!$C$13-2*R10-2*IF(DATOS!$C$25=0,0,INDEX(TABLAS!$C$52:$C$58,MATCH(DATOS!$C$25,TABLAS!$B$52:$B$58,0))))+DATOS!$C$32)/(INDEX(TABLAS!$C$52:$C$58,MATCH(BH10,TABLAS!$B$52:$B$58,0))+DATOS!$C$32))),BQ10&gt;MIN(DATOS!$C$28,INT(((DATOS!$C$13-2*S10-2*IF(DATOS!$C$25=0,0,INDEX(TABLAS!$C$52:$C$58,MATCH(DATOS!$C$25,TABLAS!$B$52:$B$58,0))))+DATOS!$C$32)/(INDEX(TABLAS!$C$52:$C$58,MATCH(BP10,TABLAS!$B$52:$B$58,0))+DATOS!$C$32))),BY10&gt;MIN(DATOS!$C$28,INT(((DATOS!$C$13-2*R10-2*IF(DATOS!$C$25=0,0,INDEX(TABLAS!$C$52:$C$58,MATCH(DATOS!$C$25,TABLAS!$B$52:$B$58,0))))+DATOS!$C$32)/(INDEX(TABLAS!$C$52:$C$58,MATCH(BX10,TABLAS!$B$52:$B$58,0))+DATOS!$C$32))),CG10&gt;MIN(DATOS!$C$28,INT(((DATOS!$C$13-2*S10-2*IF(DATOS!$C$25=0,0,INDEX(TABLAS!$C$52:$C$58,MATCH(DATOS!$C$25,TABLAS!$B$52:$B$58,0))))+DATOS!$C$32)/(INDEX(TABLAS!$C$52:$C$58,MATCH(CF10,TABLAS!$B$52:$B$58,0))+DATOS!$C$32)))),"no caben ","")&amp;IF(OR(AND(ISNUMBER(BM10),BM10&lt;0.005),AND(ISNUMBER(BU10),BU10&lt;0.005),AND(ISNUMBER(CC10),CC10&lt;0.005),AND(ISNUMBER(CK10),CK10&lt;0.005)),"ε_t &lt; 0.005 ","")&amp;IF(CS10="NO CUMPLE","peralte ","")&amp;IF(CT10&lt;&gt;"CUMPLE","capa &lt; 6 cm",""))))</f>
        <v>CUMPLE · fuera de 3.4.2.1 c)</v>
      </c>
      <c r="DA10" s="65" t="str">
        <f>IF(AND(D10="PERIMETRAL",MIN(CW10,CX10)=0),"Tablero macizo (no cabe un casetón en el claro corto): no aplica 6.7.8. La resistencia se revisa con una nervadura de 10 cm cada 70 cm y r_np (conservador); "&amp;"como losa maciza lleva además As,mín = 0.0018·Ag en cada dirección cerca de la cara a tensión (6.7.6.1.1, p. 175). ",IF(AND(CL10="NO",D10="PERIMETRAL"),"No cumple 6.7.8.1.4 (a_c = "&amp;DATOS!$C$11&amp;" cm &gt; claro corto/6 = "&amp;TEXT(J10*100/6,"0")&amp;" cm): se diseña como losa apoyada en vigas (6.7.8.1.9): nervaduras con recubrimiento de viga r_np = "&amp;DATOS!$C$22&amp;" cm (Tabla 4.14.16.a), V_cR sin ×1.1 y cortante sin estribos por 5.5.3.8.1 (criterio del Proyectista). Para que cuente como encasetonada: casetón de "&amp;TEXT(FLOOR(MIN(80,J10*100/6),1),"0")&amp;" cm o menor. ",""))&amp;IF(LEFT(AZ10,5)="FUERA","M⁻ del borde común "&amp;AZ10&amp;": difieren más de 50% (3.4.2.1 c); se distribuyen 2/3 del desequilibrio (3.4.3.1) y conviene confirmar los momentos con el modelo. ","")&amp;"Forma de L: se toma el rectángulo envolvente 4.327 × 3.025 (conservador; el claro corto real es 2.425 en la parte izquierda)."</f>
        <v>No cumple 6.7.8.1.4 (a_c = 60 cm &gt; claro corto/6 = 50 cm): se diseña como losa apoyada en vigas (6.7.8.1.9): nervaduras con recubrimiento de viga r_np = 4 cm (Tabla 4.14.16.a), V_cR sin ×1.1 y cortante sin estribos por 5.5.3.8.1 (criterio del Proyectista). Para que cuente como encasetonada: casetón de 50 cm o menor. M⁻ del borde común FUERA con F80001 F80005 F80006: difieren más de 50% (3.4.2.1 c); se distribuyen 2/3 del desequilibrio (3.4.3.1) y conviene confirmar los momentos con el modelo. Forma de L: se toma el rectángulo envolvente 4.327 × 3.025 (conservador; el claro corto real es 2.425 en la parte izquierda).</v>
      </c>
    </row>
    <row r="11" ht="30" customHeight="1">
      <c r="B11" s="51" t="inlineStr">
        <is>
          <t>F80004 N+3.00</t>
        </is>
      </c>
      <c r="C11" s="52" t="inlineStr">
        <is>
          <t>N+3.00</t>
        </is>
      </c>
      <c r="D11" s="53" t="inlineStr">
        <is>
          <t>PERIMETRAL</t>
        </is>
      </c>
      <c r="E11" s="53" t="inlineStr">
        <is>
          <t>HABITACIÓN</t>
        </is>
      </c>
      <c r="F11" s="54" t="n">
        <v>1.596</v>
      </c>
      <c r="G11" s="54" t="n">
        <v>3.025</v>
      </c>
      <c r="H11" s="55" t="n">
        <v>1.596</v>
      </c>
      <c r="I11" s="55" t="n">
        <v>3.025</v>
      </c>
      <c r="J11" s="36">
        <f>MIN(H11,I11)</f>
        <v>1.596</v>
      </c>
      <c r="K11" s="36">
        <f>MAX(H11,I11)</f>
        <v>3.025</v>
      </c>
      <c r="L11" s="36">
        <f>IF(K11&gt;0,J11/K11,0)</f>
        <v>0.527603305785124</v>
      </c>
      <c r="M11" s="52" t="str">
        <f>IF(H11&lt;=I11,"X","Y")</f>
        <v>X</v>
      </c>
      <c r="N11" s="56">
        <f>MAX(0,J11*100-IF(D11="VOLADO",DATOS!$C$17/2,DATOS!$C$17))</f>
        <v>144.6</v>
      </c>
      <c r="O11" s="56">
        <f>MAX(0,K11*100-DATOS!$C$17)</f>
        <v>287.5</v>
      </c>
      <c r="P11" s="57">
        <f>MIN(DATOS!$C$16,DATOS!$C$13+2*MIN(8*DATOS!$C$14,DATOS!$C$11/2,N11/8))</f>
        <v>46.15</v>
      </c>
      <c r="Q11" s="57">
        <f>MIN(DATOS!$C$16,DATOS!$C$13+2*MIN(8*DATOS!$C$14,DATOS!$C$11/2,O11/8))</f>
        <v>70</v>
      </c>
      <c r="R11" s="57">
        <f>IF(D11="VOLADO",DATOS!$C$21,IF(CL11="NO",DATOS!$C$22,DATOS!$C$20))</f>
        <v>4</v>
      </c>
      <c r="S11" s="57">
        <f>IF(OR(AND(C11="N+6.00",DATOS!$C$23="SÍ"),AND(D11="VOLADO",DATOS!$C$24="SÍ")),DATOS!$C$21,IF(CL11="NO",DATOS!$C$22,DATOS!$C$20))</f>
        <v>4</v>
      </c>
      <c r="T11" s="58" t="n">
        <v>230</v>
      </c>
      <c r="U11" s="56">
        <f>IF(E11="HABITACIÓN",DATOS!$C$89,DATOS!$C$92)</f>
        <v>190</v>
      </c>
      <c r="V11" s="56">
        <f>CARGAS!$C$9</f>
        <v>293.673469387755</v>
      </c>
      <c r="W11" s="56">
        <f>V11+T11</f>
        <v>523.673469387755</v>
      </c>
      <c r="X11" s="56">
        <f>W11+U11</f>
        <v>713.673469387755</v>
      </c>
      <c r="Y11" s="59">
        <f>MAX(DATOS!$C$55*W11+DATOS!$C$56*U11,IF(E11="AZOTEA",DATOS!$C$57*(W11+DATOS!$C$97),0))</f>
        <v>965.775510204082</v>
      </c>
      <c r="Z11" s="56">
        <f>(APOYOS!$G$37="DISCONTINUO")+(APOYOS!$G$38="DISCONTINUO")+(APOYOS!$G$39="DISCONTINUO")+(APOYOS!$G$40="DISCONTINUO")</f>
        <v>2</v>
      </c>
      <c r="AA11" s="56">
        <f>IF(M11="X",(APOYOS!$G$37="DISCONTINUO")+(APOYOS!$G$38="DISCONTINUO"),(APOYOS!$G$39="DISCONTINUO")+(APOYOS!$G$40="DISCONTINUO"))</f>
        <v>1</v>
      </c>
      <c r="AB11" s="56">
        <f>Z11-AA11</f>
        <v>1</v>
      </c>
      <c r="AC11" s="52" t="str">
        <f>IF(Z11=0,"INTERIOR",IF(Z11=1,IF(AA11=1,"BORDE-CORTO","BORDE-LARGO"),IF(Z11=2,IF(AA11=1,"ESQUINA",IF(AA11=2,"EXTREMO-LARGO","EXTREMO-CORTO")),IF(Z11=3,IF(AA11=2,"EXTREMO-LARGO","EXTREMO-CORTO"),"AISLADO"))))</f>
        <v>ESQUINA</v>
      </c>
      <c r="AD11" s="53" t="inlineStr">
        <is>
          <t>AUTO</t>
        </is>
      </c>
      <c r="AE11" s="60" t="str">
        <f>IF(AD11="AUTO",AC11,AD11)</f>
        <v>ESQUINA</v>
      </c>
      <c r="AF11" s="56">
        <f>MATCH(L11,TABLAS!$D$5:$J$5,1)</f>
        <v>2</v>
      </c>
      <c r="AG11" s="43">
        <f>IF(AF11&gt;=7,0,(L11-INDEX(TABLAS!$D$5:$J$5,AF11))/(INDEX(TABLAS!$D$5:$J$5,AF11+1)-INDEX(TABLAS!$D$5:$J$5,AF11)))</f>
        <v>0.276033057851241</v>
      </c>
      <c r="AH11" s="56">
        <f>INDEX(TABLAS!$D$6:$J$47,MATCH(AE11&amp;"|NIC",TABLAS!$B$6:$B$47,0),AF11)+AG11*(INDEX(TABLAS!$D$6:$J$47,MATCH(AE11&amp;"|NIC",TABLAS!$B$6:$B$47,0),MIN(AF11+1,7))-INDEX(TABLAS!$D$6:$J$47,MATCH(AE11&amp;"|NIC",TABLAS!$B$6:$B$47,0),AF11))</f>
        <v>1289.25289256198</v>
      </c>
      <c r="AI11" s="56">
        <f>INDEX(TABLAS!$D$6:$J$47,MATCH(AE11&amp;"|NIL",TABLAS!$B$6:$B$47,0),AF11)+AG11*(INDEX(TABLAS!$D$6:$J$47,MATCH(AE11&amp;"|NIL",TABLAS!$B$6:$B$47,0),MIN(AF11+1,7))-INDEX(TABLAS!$D$6:$J$47,MATCH(AE11&amp;"|NIL",TABLAS!$B$6:$B$47,0),AF11))</f>
        <v>570.338842975207</v>
      </c>
      <c r="AJ11" s="56">
        <f>INDEX(TABLAS!$D$6:$J$47,MATCH(AE11&amp;"|NDC",TABLAS!$B$6:$B$47,0),AF11)+AG11*(INDEX(TABLAS!$D$6:$J$47,MATCH(AE11&amp;"|NDC",TABLAS!$B$6:$B$47,0),MIN(AF11+1,7))-INDEX(TABLAS!$D$6:$J$47,MATCH(AE11&amp;"|NDC",TABLAS!$B$6:$B$47,0),AF11))</f>
        <v>350.682644628099</v>
      </c>
      <c r="AK11" s="56">
        <f>INDEX(TABLAS!$D$6:$J$47,MATCH(AE11&amp;"|NDL",TABLAS!$B$6:$B$47,0),AF11)+AG11*(INDEX(TABLAS!$D$6:$J$47,MATCH(AE11&amp;"|NDL",TABLAS!$B$6:$B$47,0),MIN(AF11+1,7))-INDEX(TABLAS!$D$6:$J$47,MATCH(AE11&amp;"|NDL",TABLAS!$B$6:$B$47,0),AF11))</f>
        <v>329.411570247934</v>
      </c>
      <c r="AL11" s="56">
        <f>INDEX(TABLAS!$D$6:$J$47,MATCH(AE11&amp;"|PC",TABLAS!$B$6:$B$47,0),AF11)+AG11*(INDEX(TABLAS!$D$6:$J$47,MATCH(AE11&amp;"|PC",TABLAS!$B$6:$B$47,0),MIN(AF11+1,7))-INDEX(TABLAS!$D$6:$J$47,MATCH(AE11&amp;"|PC",TABLAS!$B$6:$B$47,0),AF11))</f>
        <v>447.859504132231</v>
      </c>
      <c r="AM11" s="56">
        <f>INDEX(TABLAS!$D$6:$J$47,MATCH(AE11&amp;"|PL",TABLAS!$B$6:$B$47,0),AF11)+AG11*(INDEX(TABLAS!$D$6:$J$47,MATCH(AE11&amp;"|PL",TABLAS!$B$6:$B$47,0),MIN(AF11+1,7))-INDEX(TABLAS!$D$6:$J$47,MATCH(AE11&amp;"|PL",TABLAS!$B$6:$B$47,0),AF11))</f>
        <v>296.895867768595</v>
      </c>
      <c r="AN11" s="36">
        <f>IF(D11="PERIMETRAL",IF(APOYOS!$G$37="CONTINUO",IF(M11="Y",AH11,AI11),IF(M11="Y",AJ11,AK11))*Y11*J11^2*1E-4*DATOS!$C$16/100/1000,0)</f>
        <v>0.0567255678164009</v>
      </c>
      <c r="AO11" s="36">
        <f>IF(D11="PERIMETRAL",IF(APOYOS!$G$38="CONTINUO",IF(M11="Y",AH11,AI11),IF(M11="Y",AJ11,AK11))*Y11*J11^2*1E-4*DATOS!$C$16/100/1000,0)</f>
        <v>0.0982138990781871</v>
      </c>
      <c r="AP11" s="36">
        <f>IF(D11="PERIMETRAL",IF(APOYOS!$G$39="CONTINUO",IF(M11="X",AH11,AI11),IF(M11="X",AJ11,AK11))*Y11*J11^2*1E-4*DATOS!$C$16/100/1000,0)</f>
        <v>0.222012852597956</v>
      </c>
      <c r="AQ11" s="36">
        <f>IF(D11="PERIMETRAL",IF(APOYOS!$G$40="CONTINUO",IF(M11="X",AH11,AI11),IF(M11="X",AJ11,AK11))*Y11*J11^2*1E-4*DATOS!$C$16/100/1000,0)</f>
        <v>0.0603885046445506</v>
      </c>
      <c r="AR11" s="56">
        <f>IF(D11="PERIMETRAL",IF(M11="X",BN11,CD11)^3/(J11*100),0)</f>
        <v>45.6702453688534</v>
      </c>
      <c r="AS11" s="56">
        <f>IF(D11="PERIMETRAL",IF(M11="Y",BN11,CD11)^3/(J11*100),0)</f>
        <v>37.2708920999937</v>
      </c>
      <c r="AT11" s="36">
        <f>IF(D11="PERIMETRAL",MAX(0,IF(M11="Y",IF(AND(OR(APOYOS!$G$38="CONTINUO",APOYOS!$G$53="CONTINUO"),AO11&gt;0,AN15&gt;0,AN15&gt;AO11),AO11+2/3*(AN15-AO11)*AS11/MAX(AS11+AS15,1E-9),0),0),IF(M11="X",IF(AND(OR(APOYOS!$G$39="CONTINUO",APOYOS!$G$36="CONTINUO"),AP11&gt;0,AQ10&gt;0,AQ10&gt;AP11),AP11+2/3*(AQ10-AP11)*AR11/MAX(AR11+AR10,1E-9),0),0)),0)</f>
        <v>0.248654367967847</v>
      </c>
      <c r="AU11" s="36">
        <f>IF(D11="PERIMETRAL",MAX(0,IF(M11&lt;&gt;"Y",IF(AND(OR(APOYOS!$G$38="CONTINUO",APOYOS!$G$53="CONTINUO"),AO11&gt;0,AN15&gt;0,AN15&gt;AO11),AO11+2/3*(AN15-AO11)*AS11/MAX(AS11+AS15,1E-9),0),0),IF(M11&lt;&gt;"X",IF(AND(OR(APOYOS!$G$39="CONTINUO",APOYOS!$G$36="CONTINUO"),AP11&gt;0,AQ10&gt;0,AQ10&gt;AP11),AP11+2/3*(AQ10-AP11)*AR11/MAX(AR11+AR10,1E-9),0),0)),0)</f>
        <v>0</v>
      </c>
      <c r="AV11" s="36">
        <f>IF(D11="PERIMETRAL",(IF(M11="Y",IF(AND(OR(APOYOS!$G$38="CONTINUO",APOYOS!$G$53="CONTINUO"),AO11&gt;0,AN15&gt;0,AO11&gt;AN15),2/3*(AO11-AN15)*AS11/MAX(AS11+AS15,1E-9),0),0)+IF(M11="X",IF(AND(OR(APOYOS!$G$39="CONTINUO",APOYOS!$G$36="CONTINUO"),AP11&gt;0,AQ10&gt;0,AP11&gt;AQ10),2/3*(AP11-AQ10)*AR11/MAX(AR11+AR10,1E-9),0),0))/2,0)</f>
        <v>0</v>
      </c>
      <c r="AW11" s="36">
        <f>IF(D11="PERIMETRAL",(IF(M11&lt;&gt;"Y",IF(AND(OR(APOYOS!$G$38="CONTINUO",APOYOS!$G$53="CONTINUO"),AO11&gt;0,AN15&gt;0,AO11&gt;AN15),2/3*(AO11-AN15)*AS11/MAX(AS11+AS15,1E-9),0),0)+IF(M11&lt;&gt;"X",IF(AND(OR(APOYOS!$G$39="CONTINUO",APOYOS!$G$36="CONTINUO"),AP11&gt;0,AQ10&gt;0,AP11&gt;AQ10),2/3*(AP11-AQ10)*AR11/MAX(AR11+AR10,1E-9),0),0))/2,0)</f>
        <v>0.00691590478548747</v>
      </c>
      <c r="AX11" s="36">
        <f>IF(D11="PERIMETRAL",MAX(0,0),0)</f>
        <v>0</v>
      </c>
      <c r="AY11" s="52" t="str">
        <f>IF(D11&lt;&gt;"PERIMETRAL","",IF(AND(OR(APOYOS!$G$38="CONTINUO",APOYOS!$G$53="CONTINUO"),AO11&gt;0,AN15&gt;0,ABS(AO11-AN15)&gt;0.5*MIN(AO11,AN15))," F80008","")&amp;IF(AND(OR(APOYOS!$G$39="CONTINUO",APOYOS!$G$36="CONTINUO"),AP11&gt;0,AQ10&gt;0,ABS(AP11-AQ10)&gt;0.5*MIN(AP11,AQ10))," F80003",""))</f>
        <v> F80008</v>
      </c>
      <c r="AZ11" s="52" t="str">
        <f>IF(D11&lt;&gt;"PERIMETRAL","—",IF(AY11="","CUMPLE","FUERA con"&amp;AY11)&amp;IF(AND(D15="PERIMETRAL",APOYOS!$G$38&lt;&gt;APOYOS!$G$53)," · continuidad asimétrica con F80008 (cada uno con su momento; revisar APOYOS)","")&amp;IF(AND(D10="PERIMETRAL",APOYOS!$G$39&lt;&gt;APOYOS!$G$36)," · continuidad asimétrica con F80003 (cada uno con su momento; revisar APOYOS)",""))</f>
        <v>FUERA con F80008 · continuidad asimétrica con F80008 (cada uno con su momento; revisar APOYOS)</v>
      </c>
      <c r="BA11" s="61" t="n">
        <v>0</v>
      </c>
      <c r="BB11" s="36">
        <f>IF(D11="PERIMETRAL",AL11*Y11*J11^2*1E-4*DATOS!$C$16/100/1000+AV11,0)</f>
        <v>0.0771226240011888</v>
      </c>
      <c r="BC11" s="36">
        <f>IF(D11="PERIMETRAL",MAX(MAX(AH11,AJ11)*Y11*J11^2*1E-4*DATOS!$C$16/100/1000,AT11),IF(D11="VOLADO",(Y11*(N11/100)^2/2+DATOS!$C$55*BA11*N11/100)*DATOS!$C$16/100/1000,0))</f>
        <v>0.248654367967847</v>
      </c>
      <c r="BD11" s="36">
        <f>IF(D11="PERIMETRAL",AM11*Y11*J11^2*1E-4*DATOS!$C$16/100/1000+AW11,0)</f>
        <v>0.0580421802494632</v>
      </c>
      <c r="BE11" s="36">
        <f>IF(D11="PERIMETRAL",MAX(MAX(AI11,AK11)*Y11*J11^2*1E-4*DATOS!$C$16/100/1000,AU11),0)</f>
        <v>0.0982138990781871</v>
      </c>
      <c r="BF11" s="43">
        <f>(DATOS!$C$15-R11-IF(DATOS!$C$25=0,0,INDEX(TABLAS!$C$52:$C$58,MATCH(DATOS!$C$25,TABLAS!$B$52:$B$58,0)))-INDEX(TABLAS!$C$52:$C$58,MATCH(DATOS!$C$26,TABLAS!$B$52:$B$58,0))/2)</f>
        <v>20.365</v>
      </c>
      <c r="BG11" s="43">
        <f>IF(D11="HUECO",0,IF(IF(BB11&lt;=0,0,IF((1-2*BB11*1E5/(DATOS!$C$58*P11*BF11^2*DATOS!$C$48))&lt;0,-1,IF((1-SQRT((1-2*BB11*1E5/(DATOS!$C$58*P11*BF11^2*DATOS!$C$48))))*DATOS!$C$48*P11*BF11/DATOS!$C$40&gt;DATOS!$C$82*P11*BF11,-1,(1-SQRT((1-2*BB11*1E5/(DATOS!$C$58*P11*BF11^2*DATOS!$C$48))))*DATOS!$C$48*P11*BF11/DATOS!$C$40)))&lt;0,-1,MAX(IF(BB11&lt;=0,0,IF((1-2*BB11*1E5/(DATOS!$C$58*P11*BF11^2*DATOS!$C$48))&lt;0,-1,IF((1-SQRT((1-2*BB11*1E5/(DATOS!$C$58*P11*BF11^2*DATOS!$C$48))))*DATOS!$C$48*P11*BF11/DATOS!$C$40&gt;DATOS!$C$82*P11*BF11,-1,(1-SQRT((1-2*BB11*1E5/(DATOS!$C$58*P11*BF11^2*DATOS!$C$48))))*DATOS!$C$48*P11*BF11/DATOS!$C$40))),MIN(DATOS!$C$83*DATOS!$C$13*BF11,4/3*IF(BB11&lt;=0,0,IF((1-2*BB11*1E5/(DATOS!$C$58*P11*BF11^2*DATOS!$C$48))&lt;0,-1,IF((1-SQRT((1-2*BB11*1E5/(DATOS!$C$58*P11*BF11^2*DATOS!$C$48))))*DATOS!$C$48*P11*BF11/DATOS!$C$40&gt;DATOS!$C$82*P11*BF11,-1,(1-SQRT((1-2*BB11*1E5/(DATOS!$C$58*P11*BF11^2*DATOS!$C$48))))*DATOS!$C$48*P11*BF11/DATOS!$C$40)))))))</f>
        <v>0.133721902762036</v>
      </c>
      <c r="BH11" s="41">
        <f>IF(AND(BG11&gt;=0,IF(MAX(DATOS!$C$29,CEILING(BG11/INDEX(TABLAS!$D$52:$D$58,MIN(MATCH(DATOS!$C$26,TABLAS!$B$52:$B$58,0)+0,7)),1))*INDEX(TABLAS!$D$52:$D$58,MIN(MATCH(DATOS!$C$26,TABLAS!$B$52:$B$58,0)+0,7))&gt;=4/3*IF(BB11&lt;=0,0,IF((1-2*BB11*1E5/(DATOS!$C$58*P11*BF11^2*DATOS!$C$48))&lt;0,-1,IF((1-SQRT((1-2*BB11*1E5/(DATOS!$C$58*P11*BF11^2*DATOS!$C$48))))*DATOS!$C$48*P11*BF11/DATOS!$C$40&gt;DATOS!$C$82*P11*BF11,-1,(1-SQRT((1-2*BB11*1E5/(DATOS!$C$58*P11*BF11^2*DATOS!$C$48))))*DATOS!$C$48*P11*BF11/DATOS!$C$40)))-0.0001,MAX(DATOS!$C$29,CEILING(BG11/INDEX(TABLAS!$D$52:$D$58,MIN(MATCH(DATOS!$C$26,TABLAS!$B$52:$B$58,0)+0,7)),1)),MAX(MAX(DATOS!$C$29,CEILING(BG11/INDEX(TABLAS!$D$52:$D$58,MIN(MATCH(DATOS!$C$26,TABLAS!$B$52:$B$58,0)+0,7)),1)),2))&lt;=MIN(DATOS!$C$28,INT(((DATOS!$C$13-2*R11-2*IF(DATOS!$C$25=0,0,INDEX(TABLAS!$C$52:$C$58,MATCH(DATOS!$C$25,TABLAS!$B$52:$B$58,0))))+MAX(DATOS!$C$32,INDEX(TABLAS!$C$52:$C$58,MIN(MATCH(DATOS!$C$26,TABLAS!$B$52:$B$58,0)+0,7))))/(INDEX(TABLAS!$C$52:$C$58,MIN(MATCH(DATOS!$C$26,TABLAS!$B$52:$B$58,0)+0,7))+MAX(DATOS!$C$32,INDEX(TABLAS!$C$52:$C$58,MIN(MATCH(DATOS!$C$26,TABLAS!$B$52:$B$58,0)+0,7))))))),INDEX(TABLAS!$B$52:$B$58,MIN(MATCH(DATOS!$C$26,TABLAS!$B$52:$B$58,0)+0,7)),IF(AND(BG11&gt;=0,IF(MAX(DATOS!$C$29,CEILING(BG11/INDEX(TABLAS!$D$52:$D$58,MIN(MATCH(DATOS!$C$26,TABLAS!$B$52:$B$58,0)+1,7)),1))*INDEX(TABLAS!$D$52:$D$58,MIN(MATCH(DATOS!$C$26,TABLAS!$B$52:$B$58,0)+1,7))&gt;=4/3*IF(BB11&lt;=0,0,IF((1-2*BB11*1E5/(DATOS!$C$58*P11*BF11^2*DATOS!$C$48))&lt;0,-1,IF((1-SQRT((1-2*BB11*1E5/(DATOS!$C$58*P11*BF11^2*DATOS!$C$48))))*DATOS!$C$48*P11*BF11/DATOS!$C$40&gt;DATOS!$C$82*P11*BF11,-1,(1-SQRT((1-2*BB11*1E5/(DATOS!$C$58*P11*BF11^2*DATOS!$C$48))))*DATOS!$C$48*P11*BF11/DATOS!$C$40)))-0.0001,MAX(DATOS!$C$29,CEILING(BG11/INDEX(TABLAS!$D$52:$D$58,MIN(MATCH(DATOS!$C$26,TABLAS!$B$52:$B$58,0)+1,7)),1)),MAX(MAX(DATOS!$C$29,CEILING(BG11/INDEX(TABLAS!$D$52:$D$58,MIN(MATCH(DATOS!$C$26,TABLAS!$B$52:$B$58,0)+1,7)),1)),2))&lt;=MIN(DATOS!$C$28,INT(((DATOS!$C$13-2*R11-2*IF(DATOS!$C$25=0,0,INDEX(TABLAS!$C$52:$C$58,MATCH(DATOS!$C$25,TABLAS!$B$52:$B$58,0))))+MAX(DATOS!$C$32,INDEX(TABLAS!$C$52:$C$58,MIN(MATCH(DATOS!$C$26,TABLAS!$B$52:$B$58,0)+1,7))))/(INDEX(TABLAS!$C$52:$C$58,MIN(MATCH(DATOS!$C$26,TABLAS!$B$52:$B$58,0)+1,7))+MAX(DATOS!$C$32,INDEX(TABLAS!$C$52:$C$58,MIN(MATCH(DATOS!$C$26,TABLAS!$B$52:$B$58,0)+1,7))))))),INDEX(TABLAS!$B$52:$B$58,MIN(MATCH(DATOS!$C$26,TABLAS!$B$52:$B$58,0)+1,7)),IF(AND(BG11&gt;=0,IF(MAX(DATOS!$C$29,CEILING(BG11/INDEX(TABLAS!$D$52:$D$58,MIN(MATCH(DATOS!$C$26,TABLAS!$B$52:$B$58,0)+2,7)),1))*INDEX(TABLAS!$D$52:$D$58,MIN(MATCH(DATOS!$C$26,TABLAS!$B$52:$B$58,0)+2,7))&gt;=4/3*IF(BB11&lt;=0,0,IF((1-2*BB11*1E5/(DATOS!$C$58*P11*BF11^2*DATOS!$C$48))&lt;0,-1,IF((1-SQRT((1-2*BB11*1E5/(DATOS!$C$58*P11*BF11^2*DATOS!$C$48))))*DATOS!$C$48*P11*BF11/DATOS!$C$40&gt;DATOS!$C$82*P11*BF11,-1,(1-SQRT((1-2*BB11*1E5/(DATOS!$C$58*P11*BF11^2*DATOS!$C$48))))*DATOS!$C$48*P11*BF11/DATOS!$C$40)))-0.0001,MAX(DATOS!$C$29,CEILING(BG11/INDEX(TABLAS!$D$52:$D$58,MIN(MATCH(DATOS!$C$26,TABLAS!$B$52:$B$58,0)+2,7)),1)),MAX(MAX(DATOS!$C$29,CEILING(BG11/INDEX(TABLAS!$D$52:$D$58,MIN(MATCH(DATOS!$C$26,TABLAS!$B$52:$B$58,0)+2,7)),1)),2))&lt;=MIN(DATOS!$C$28,INT(((DATOS!$C$13-2*R11-2*IF(DATOS!$C$25=0,0,INDEX(TABLAS!$C$52:$C$58,MATCH(DATOS!$C$25,TABLAS!$B$52:$B$58,0))))+MAX(DATOS!$C$32,INDEX(TABLAS!$C$52:$C$58,MIN(MATCH(DATOS!$C$26,TABLAS!$B$52:$B$58,0)+2,7))))/(INDEX(TABLAS!$C$52:$C$58,MIN(MATCH(DATOS!$C$26,TABLAS!$B$52:$B$58,0)+2,7))+MAX(DATOS!$C$32,INDEX(TABLAS!$C$52:$C$58,MIN(MATCH(DATOS!$C$26,TABLAS!$B$52:$B$58,0)+2,7))))))),INDEX(TABLAS!$B$52:$B$58,MIN(MATCH(DATOS!$C$26,TABLAS!$B$52:$B$58,0)+2,7)),IF(AND(BG11&gt;=0,IF(MAX(DATOS!$C$29,CEILING(BG11/INDEX(TABLAS!$D$52:$D$58,MIN(MATCH(DATOS!$C$26,TABLAS!$B$52:$B$58,0)+3,7)),1))*INDEX(TABLAS!$D$52:$D$58,MIN(MATCH(DATOS!$C$26,TABLAS!$B$52:$B$58,0)+3,7))&gt;=4/3*IF(BB11&lt;=0,0,IF((1-2*BB11*1E5/(DATOS!$C$58*P11*BF11^2*DATOS!$C$48))&lt;0,-1,IF((1-SQRT((1-2*BB11*1E5/(DATOS!$C$58*P11*BF11^2*DATOS!$C$48))))*DATOS!$C$48*P11*BF11/DATOS!$C$40&gt;DATOS!$C$82*P11*BF11,-1,(1-SQRT((1-2*BB11*1E5/(DATOS!$C$58*P11*BF11^2*DATOS!$C$48))))*DATOS!$C$48*P11*BF11/DATOS!$C$40)))-0.0001,MAX(DATOS!$C$29,CEILING(BG11/INDEX(TABLAS!$D$52:$D$58,MIN(MATCH(DATOS!$C$26,TABLAS!$B$52:$B$58,0)+3,7)),1)),MAX(MAX(DATOS!$C$29,CEILING(BG11/INDEX(TABLAS!$D$52:$D$58,MIN(MATCH(DATOS!$C$26,TABLAS!$B$52:$B$58,0)+3,7)),1)),2))&lt;=MIN(DATOS!$C$28,INT(((DATOS!$C$13-2*R11-2*IF(DATOS!$C$25=0,0,INDEX(TABLAS!$C$52:$C$58,MATCH(DATOS!$C$25,TABLAS!$B$52:$B$58,0))))+MAX(DATOS!$C$32,INDEX(TABLAS!$C$52:$C$58,MIN(MATCH(DATOS!$C$26,TABLAS!$B$52:$B$58,0)+3,7))))/(INDEX(TABLAS!$C$52:$C$58,MIN(MATCH(DATOS!$C$26,TABLAS!$B$52:$B$58,0)+3,7))+MAX(DATOS!$C$32,INDEX(TABLAS!$C$52:$C$58,MIN(MATCH(DATOS!$C$26,TABLAS!$B$52:$B$58,0)+3,7))))))),INDEX(TABLAS!$B$52:$B$58,MIN(MATCH(DATOS!$C$26,TABLAS!$B$52:$B$58,0)+3,7)),IF(AND(BG11&gt;=0,IF(MAX(DATOS!$C$29,CEILING(BG11/INDEX(TABLAS!$D$52:$D$58,MIN(MATCH(DATOS!$C$26,TABLAS!$B$52:$B$58,0)+4,7)),1))*INDEX(TABLAS!$D$52:$D$58,MIN(MATCH(DATOS!$C$26,TABLAS!$B$52:$B$58,0)+4,7))&gt;=4/3*IF(BB11&lt;=0,0,IF((1-2*BB11*1E5/(DATOS!$C$58*P11*BF11^2*DATOS!$C$48))&lt;0,-1,IF((1-SQRT((1-2*BB11*1E5/(DATOS!$C$58*P11*BF11^2*DATOS!$C$48))))*DATOS!$C$48*P11*BF11/DATOS!$C$40&gt;DATOS!$C$82*P11*BF11,-1,(1-SQRT((1-2*BB11*1E5/(DATOS!$C$58*P11*BF11^2*DATOS!$C$48))))*DATOS!$C$48*P11*BF11/DATOS!$C$40)))-0.0001,MAX(DATOS!$C$29,CEILING(BG11/INDEX(TABLAS!$D$52:$D$58,MIN(MATCH(DATOS!$C$26,TABLAS!$B$52:$B$58,0)+4,7)),1)),MAX(MAX(DATOS!$C$29,CEILING(BG11/INDEX(TABLAS!$D$52:$D$58,MIN(MATCH(DATOS!$C$26,TABLAS!$B$52:$B$58,0)+4,7)),1)),2))&lt;=MIN(DATOS!$C$28,INT(((DATOS!$C$13-2*R11-2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11" s="56">
        <f>IF(D11="HUECO",0,IF(BG11&lt;0,0,IF(MAX(DATOS!$C$29,CEILING(MAX(BG11,0)/INDEX(TABLAS!$D$52:$D$58,MATCH(BH11,TABLAS!$B$52:$B$58,0)),1))*INDEX(TABLAS!$D$52:$D$58,MATCH(BH11,TABLAS!$B$52:$B$58,0))&gt;=4/3*IF(BB11&lt;=0,0,IF((1-2*BB11*1E5/(DATOS!$C$58*P11*BF11^2*DATOS!$C$48))&lt;0,-1,IF((1-SQRT((1-2*BB11*1E5/(DATOS!$C$58*P11*BF11^2*DATOS!$C$48))))*DATOS!$C$48*P11*BF11/DATOS!$C$40&gt;DATOS!$C$82*P11*BF11,-1,(1-SQRT((1-2*BB11*1E5/(DATOS!$C$58*P11*BF11^2*DATOS!$C$48))))*DATOS!$C$48*P11*BF11/DATOS!$C$40)))-0.0001,MAX(DATOS!$C$29,CEILING(MAX(BG11,0)/INDEX(TABLAS!$D$52:$D$58,MATCH(BH11,TABLAS!$B$52:$B$58,0)),1)),MAX(MAX(DATOS!$C$29,CEILING(MAX(BG11,0)/INDEX(TABLAS!$D$52:$D$58,MATCH(BH11,TABLAS!$B$52:$B$58,0)),1)),2))))</f>
        <v>1</v>
      </c>
      <c r="BJ11" s="43">
        <f>DATOS!$C$15-R11-IF(DATOS!$C$25=0,0,INDEX(TABLAS!$C$52:$C$58,MATCH(DATOS!$C$25,TABLAS!$B$52:$B$58,0)))-INDEX(TABLAS!$C$52:$C$58,MATCH(BH11,TABLAS!$B$52:$B$58,0))/2</f>
        <v>20.365</v>
      </c>
      <c r="BK11" s="36">
        <f>IF(BI11=0,0,DATOS!$C$58*BI11*INDEX(TABLAS!$D$52:$D$58,MATCH(BH11,TABLAS!$B$52:$B$58,0))*DATOS!$C$40*(BJ11-BI11*INDEX(TABLAS!$D$52:$D$58,MATCH(BH11,TABLAS!$B$52:$B$58,0))*DATOS!$C$40/(DATOS!$C$48*P11)/2)/1E5)</f>
        <v>0.96458685871455</v>
      </c>
      <c r="BL11" s="62">
        <f>IF(BG11&lt;0,9.99,IF(BK11&gt;0,BB11/BK11,0))</f>
        <v>0.0799540479993328</v>
      </c>
      <c r="BM11" s="63">
        <f>IF(BI11=0,"—",0.003*(BJ11-(BI11*INDEX(TABLAS!$D$52:$D$58,MATCH(BH11,TABLAS!$B$52:$B$58,0))*DATOS!$C$40/(DATOS!$C$48*P11)/DATOS!$C$49))/(BI11*INDEX(TABLAS!$D$52:$D$58,MATCH(BH11,TABLAS!$B$52:$B$58,0))*DATOS!$C$40/(DATOS!$C$48*P11)/DATOS!$C$49))</f>
        <v>0.0924777603873735</v>
      </c>
      <c r="BN11" s="43">
        <f>((DATOS!$C$15-S11-2*DATOS!$C$35-IF(DATOS!$C$25=0,0,INDEX(TABLAS!$C$52:$C$58,MATCH(DATOS!$C$25,TABLAS!$B$52:$B$58,0)))-INDEX(TABLAS!$C$52:$C$58,MATCH(DATOS!$C$27,TABLAS!$B$52:$B$58,0))/2)-IF(AND((DATOS!$C$15-S11-2*DATOS!$C$35-IF(DATOS!$C$25=0,0,INDEX(TABLAS!$C$52:$C$58,MATCH(DATOS!$C$25,TABLAS!$B$52:$B$58,0)))-INDEX(TABLAS!$C$52:$C$58,MATCH(DATOS!$C$27,TABLAS!$B$52:$B$58,0))/2)&lt;=20,DATOS!$C$18&lt;&gt;"SÍ"),2,0))</f>
        <v>19.389</v>
      </c>
      <c r="BO11" s="43">
        <f>IF(D11="HUECO",0,IF(IF(BC11&lt;=0,0,IF((1-2*BC11*1E5/(DATOS!$C$58*DATOS!$C$19*BN11^2*DATOS!$C$48))&lt;0,-1,IF((1-SQRT((1-2*BC11*1E5/(DATOS!$C$58*DATOS!$C$19*BN11^2*DATOS!$C$48))))*DATOS!$C$48*DATOS!$C$19*BN11/DATOS!$C$40&gt;DATOS!$C$82*DATOS!$C$19*BN11,-1,(1-SQRT((1-2*BC11*1E5/(DATOS!$C$58*DATOS!$C$19*BN11^2*DATOS!$C$48))))*DATOS!$C$48*DATOS!$C$19*BN11/DATOS!$C$40)))&lt;0,-1,MAX(IF(BC11&lt;=0,0,IF((1-2*BC11*1E5/(DATOS!$C$58*DATOS!$C$19*BN11^2*DATOS!$C$48))&lt;0,-1,IF((1-SQRT((1-2*BC11*1E5/(DATOS!$C$58*DATOS!$C$19*BN11^2*DATOS!$C$48))))*DATOS!$C$48*DATOS!$C$19*BN11/DATOS!$C$40&gt;DATOS!$C$82*DATOS!$C$19*BN11,-1,(1-SQRT((1-2*BC11*1E5/(DATOS!$C$58*DATOS!$C$19*BN11^2*DATOS!$C$48))))*DATOS!$C$48*DATOS!$C$19*BN11/DATOS!$C$40))),MIN(DATOS!$C$83*IF(D11="VOLADO",2*DATOS!$C$13,DATOS!$C$13)*BN11,4/3*IF(BC11&lt;=0,0,IF((1-2*BC11*1E5/(DATOS!$C$58*DATOS!$C$19*BN11^2*DATOS!$C$48))&lt;0,-1,IF((1-SQRT((1-2*BC11*1E5/(DATOS!$C$58*DATOS!$C$19*BN11^2*DATOS!$C$48))))*DATOS!$C$48*DATOS!$C$19*BN11/DATOS!$C$40&gt;DATOS!$C$82*DATOS!$C$19*BN11,-1,(1-SQRT((1-2*BC11*1E5/(DATOS!$C$58*DATOS!$C$19*BN11^2*DATOS!$C$48))))*DATOS!$C$48*DATOS!$C$19*BN11/DATOS!$C$40)))))))</f>
        <v>0.460468820544324</v>
      </c>
      <c r="BP11" s="41">
        <f>IF(AND(BO11&gt;=0,IF(MAX(DATOS!$C$29,CEILING(BO11/INDEX(TABLAS!$D$52:$D$58,MIN(MATCH(DATOS!$C$27,TABLAS!$B$52:$B$58,0)+0,7)),1))*INDEX(TABLAS!$D$52:$D$58,MIN(MATCH(DATOS!$C$27,TABLAS!$B$52:$B$58,0)+0,7))&gt;=4/3*IF(BC11&lt;=0,0,IF((1-2*BC11*1E5/(DATOS!$C$58*DATOS!$C$19*BN11^2*DATOS!$C$48))&lt;0,-1,IF((1-SQRT((1-2*BC11*1E5/(DATOS!$C$58*DATOS!$C$19*BN11^2*DATOS!$C$48))))*DATOS!$C$48*DATOS!$C$19*BN11/DATOS!$C$40&gt;DATOS!$C$82*DATOS!$C$19*BN11,-1,(1-SQRT((1-2*BC11*1E5/(DATOS!$C$58*DATOS!$C$19*BN11^2*DATOS!$C$48))))*DATOS!$C$48*DATOS!$C$19*BN11/DATOS!$C$40)))-0.0001,MAX(DATOS!$C$29,CEILING(BO11/INDEX(TABLAS!$D$52:$D$58,MIN(MATCH(DATOS!$C$27,TABLAS!$B$52:$B$58,0)+0,7)),1)),MAX(MAX(DATOS!$C$29,CEILING(BO11/INDEX(TABLAS!$D$52:$D$58,MIN(MATCH(DATOS!$C$27,TABLAS!$B$52:$B$58,0)+0,7)),1)),2))&lt;=MIN(DATOS!$C$28,INT(((DATOS!$C$13-2*S11-2*IF(DATOS!$C$25=0,0,INDEX(TABLAS!$C$52:$C$58,MATCH(DATOS!$C$25,TABLAS!$B$52:$B$58,0))))+MAX(DATOS!$C$32,INDEX(TABLAS!$C$52:$C$58,MIN(MATCH(DATOS!$C$27,TABLAS!$B$52:$B$58,0)+0,7))))/(INDEX(TABLAS!$C$52:$C$58,MIN(MATCH(DATOS!$C$27,TABLAS!$B$52:$B$58,0)+0,7))+MAX(DATOS!$C$32,INDEX(TABLAS!$C$52:$C$58,MIN(MATCH(DATOS!$C$27,TABLAS!$B$52:$B$58,0)+0,7))))))),INDEX(TABLAS!$B$52:$B$58,MIN(MATCH(DATOS!$C$27,TABLAS!$B$52:$B$58,0)+0,7)),IF(AND(BO11&gt;=0,IF(MAX(DATOS!$C$29,CEILING(BO11/INDEX(TABLAS!$D$52:$D$58,MIN(MATCH(DATOS!$C$27,TABLAS!$B$52:$B$58,0)+1,7)),1))*INDEX(TABLAS!$D$52:$D$58,MIN(MATCH(DATOS!$C$27,TABLAS!$B$52:$B$58,0)+1,7))&gt;=4/3*IF(BC11&lt;=0,0,IF((1-2*BC11*1E5/(DATOS!$C$58*DATOS!$C$19*BN11^2*DATOS!$C$48))&lt;0,-1,IF((1-SQRT((1-2*BC11*1E5/(DATOS!$C$58*DATOS!$C$19*BN11^2*DATOS!$C$48))))*DATOS!$C$48*DATOS!$C$19*BN11/DATOS!$C$40&gt;DATOS!$C$82*DATOS!$C$19*BN11,-1,(1-SQRT((1-2*BC11*1E5/(DATOS!$C$58*DATOS!$C$19*BN11^2*DATOS!$C$48))))*DATOS!$C$48*DATOS!$C$19*BN11/DATOS!$C$40)))-0.0001,MAX(DATOS!$C$29,CEILING(BO11/INDEX(TABLAS!$D$52:$D$58,MIN(MATCH(DATOS!$C$27,TABLAS!$B$52:$B$58,0)+1,7)),1)),MAX(MAX(DATOS!$C$29,CEILING(BO11/INDEX(TABLAS!$D$52:$D$58,MIN(MATCH(DATOS!$C$27,TABLAS!$B$52:$B$58,0)+1,7)),1)),2))&lt;=MIN(DATOS!$C$28,INT(((DATOS!$C$13-2*S11-2*IF(DATOS!$C$25=0,0,INDEX(TABLAS!$C$52:$C$58,MATCH(DATOS!$C$25,TABLAS!$B$52:$B$58,0))))+MAX(DATOS!$C$32,INDEX(TABLAS!$C$52:$C$58,MIN(MATCH(DATOS!$C$27,TABLAS!$B$52:$B$58,0)+1,7))))/(INDEX(TABLAS!$C$52:$C$58,MIN(MATCH(DATOS!$C$27,TABLAS!$B$52:$B$58,0)+1,7))+MAX(DATOS!$C$32,INDEX(TABLAS!$C$52:$C$58,MIN(MATCH(DATOS!$C$27,TABLAS!$B$52:$B$58,0)+1,7))))))),INDEX(TABLAS!$B$52:$B$58,MIN(MATCH(DATOS!$C$27,TABLAS!$B$52:$B$58,0)+1,7)),IF(AND(BO11&gt;=0,IF(MAX(DATOS!$C$29,CEILING(BO11/INDEX(TABLAS!$D$52:$D$58,MIN(MATCH(DATOS!$C$27,TABLAS!$B$52:$B$58,0)+2,7)),1))*INDEX(TABLAS!$D$52:$D$58,MIN(MATCH(DATOS!$C$27,TABLAS!$B$52:$B$58,0)+2,7))&gt;=4/3*IF(BC11&lt;=0,0,IF((1-2*BC11*1E5/(DATOS!$C$58*DATOS!$C$19*BN11^2*DATOS!$C$48))&lt;0,-1,IF((1-SQRT((1-2*BC11*1E5/(DATOS!$C$58*DATOS!$C$19*BN11^2*DATOS!$C$48))))*DATOS!$C$48*DATOS!$C$19*BN11/DATOS!$C$40&gt;DATOS!$C$82*DATOS!$C$19*BN11,-1,(1-SQRT((1-2*BC11*1E5/(DATOS!$C$58*DATOS!$C$19*BN11^2*DATOS!$C$48))))*DATOS!$C$48*DATOS!$C$19*BN11/DATOS!$C$40)))-0.0001,MAX(DATOS!$C$29,CEILING(BO11/INDEX(TABLAS!$D$52:$D$58,MIN(MATCH(DATOS!$C$27,TABLAS!$B$52:$B$58,0)+2,7)),1)),MAX(MAX(DATOS!$C$29,CEILING(BO11/INDEX(TABLAS!$D$52:$D$58,MIN(MATCH(DATOS!$C$27,TABLAS!$B$52:$B$58,0)+2,7)),1)),2))&lt;=MIN(DATOS!$C$28,INT(((DATOS!$C$13-2*S11-2*IF(DATOS!$C$25=0,0,INDEX(TABLAS!$C$52:$C$58,MATCH(DATOS!$C$25,TABLAS!$B$52:$B$58,0))))+MAX(DATOS!$C$32,INDEX(TABLAS!$C$52:$C$58,MIN(MATCH(DATOS!$C$27,TABLAS!$B$52:$B$58,0)+2,7))))/(INDEX(TABLAS!$C$52:$C$58,MIN(MATCH(DATOS!$C$27,TABLAS!$B$52:$B$58,0)+2,7))+MAX(DATOS!$C$32,INDEX(TABLAS!$C$52:$C$58,MIN(MATCH(DATOS!$C$27,TABLAS!$B$52:$B$58,0)+2,7))))))),INDEX(TABLAS!$B$52:$B$58,MIN(MATCH(DATOS!$C$27,TABLAS!$B$52:$B$58,0)+2,7)),IF(AND(BO11&gt;=0,IF(MAX(DATOS!$C$29,CEILING(BO11/INDEX(TABLAS!$D$52:$D$58,MIN(MATCH(DATOS!$C$27,TABLAS!$B$52:$B$58,0)+3,7)),1))*INDEX(TABLAS!$D$52:$D$58,MIN(MATCH(DATOS!$C$27,TABLAS!$B$52:$B$58,0)+3,7))&gt;=4/3*IF(BC11&lt;=0,0,IF((1-2*BC11*1E5/(DATOS!$C$58*DATOS!$C$19*BN11^2*DATOS!$C$48))&lt;0,-1,IF((1-SQRT((1-2*BC11*1E5/(DATOS!$C$58*DATOS!$C$19*BN11^2*DATOS!$C$48))))*DATOS!$C$48*DATOS!$C$19*BN11/DATOS!$C$40&gt;DATOS!$C$82*DATOS!$C$19*BN11,-1,(1-SQRT((1-2*BC11*1E5/(DATOS!$C$58*DATOS!$C$19*BN11^2*DATOS!$C$48))))*DATOS!$C$48*DATOS!$C$19*BN11/DATOS!$C$40)))-0.0001,MAX(DATOS!$C$29,CEILING(BO11/INDEX(TABLAS!$D$52:$D$58,MIN(MATCH(DATOS!$C$27,TABLAS!$B$52:$B$58,0)+3,7)),1)),MAX(MAX(DATOS!$C$29,CEILING(BO11/INDEX(TABLAS!$D$52:$D$58,MIN(MATCH(DATOS!$C$27,TABLAS!$B$52:$B$58,0)+3,7)),1)),2))&lt;=MIN(DATOS!$C$28,INT(((DATOS!$C$13-2*S11-2*IF(DATOS!$C$25=0,0,INDEX(TABLAS!$C$52:$C$58,MATCH(DATOS!$C$25,TABLAS!$B$52:$B$58,0))))+MAX(DATOS!$C$32,INDEX(TABLAS!$C$52:$C$58,MIN(MATCH(DATOS!$C$27,TABLAS!$B$52:$B$58,0)+3,7))))/(INDEX(TABLAS!$C$52:$C$58,MIN(MATCH(DATOS!$C$27,TABLAS!$B$52:$B$58,0)+3,7))+MAX(DATOS!$C$32,INDEX(TABLAS!$C$52:$C$58,MIN(MATCH(DATOS!$C$27,TABLAS!$B$52:$B$58,0)+3,7))))))),INDEX(TABLAS!$B$52:$B$58,MIN(MATCH(DATOS!$C$27,TABLAS!$B$52:$B$58,0)+3,7)),IF(AND(BO11&gt;=0,IF(MAX(DATOS!$C$29,CEILING(BO11/INDEX(TABLAS!$D$52:$D$58,MIN(MATCH(DATOS!$C$27,TABLAS!$B$52:$B$58,0)+4,7)),1))*INDEX(TABLAS!$D$52:$D$58,MIN(MATCH(DATOS!$C$27,TABLAS!$B$52:$B$58,0)+4,7))&gt;=4/3*IF(BC11&lt;=0,0,IF((1-2*BC11*1E5/(DATOS!$C$58*DATOS!$C$19*BN11^2*DATOS!$C$48))&lt;0,-1,IF((1-SQRT((1-2*BC11*1E5/(DATOS!$C$58*DATOS!$C$19*BN11^2*DATOS!$C$48))))*DATOS!$C$48*DATOS!$C$19*BN11/DATOS!$C$40&gt;DATOS!$C$82*DATOS!$C$19*BN11,-1,(1-SQRT((1-2*BC11*1E5/(DATOS!$C$58*DATOS!$C$19*BN11^2*DATOS!$C$48))))*DATOS!$C$48*DATOS!$C$19*BN11/DATOS!$C$40)))-0.0001,MAX(DATOS!$C$29,CEILING(BO11/INDEX(TABLAS!$D$52:$D$58,MIN(MATCH(DATOS!$C$27,TABLAS!$B$52:$B$58,0)+4,7)),1)),MAX(MAX(DATOS!$C$29,CEILING(BO11/INDEX(TABLAS!$D$52:$D$58,MIN(MATCH(DATOS!$C$27,TABLAS!$B$52:$B$58,0)+4,7)),1)),2))&lt;=MIN(DATOS!$C$28,INT(((DATOS!$C$13-2*S11-2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11" s="56">
        <f>IF(D11="HUECO",0,IF(BO11&lt;0,0,IF(MAX(DATOS!$C$29,CEILING(MAX(BO11,0)/INDEX(TABLAS!$D$52:$D$58,MATCH(BP11,TABLAS!$B$52:$B$58,0)),1))*INDEX(TABLAS!$D$52:$D$58,MATCH(BP11,TABLAS!$B$52:$B$58,0))&gt;=4/3*IF(BC11&lt;=0,0,IF((1-2*BC11*1E5/(DATOS!$C$58*DATOS!$C$19*BN11^2*DATOS!$C$48))&lt;0,-1,IF((1-SQRT((1-2*BC11*1E5/(DATOS!$C$58*DATOS!$C$19*BN11^2*DATOS!$C$48))))*DATOS!$C$48*DATOS!$C$19*BN11/DATOS!$C$40&gt;DATOS!$C$82*DATOS!$C$19*BN11,-1,(1-SQRT((1-2*BC11*1E5/(DATOS!$C$58*DATOS!$C$19*BN11^2*DATOS!$C$48))))*DATOS!$C$48*DATOS!$C$19*BN11/DATOS!$C$40)))-0.0001,MAX(DATOS!$C$29,CEILING(MAX(BO11,0)/INDEX(TABLAS!$D$52:$D$58,MATCH(BP11,TABLAS!$B$52:$B$58,0)),1)),MAX(MAX(DATOS!$C$29,CEILING(MAX(BO11,0)/INDEX(TABLAS!$D$52:$D$58,MATCH(BP11,TABLAS!$B$52:$B$58,0)),1)),2))))</f>
        <v>1</v>
      </c>
      <c r="BR11" s="43">
        <f>((DATOS!$C$15-S11-2*DATOS!$C$35-IF(DATOS!$C$25=0,0,INDEX(TABLAS!$C$52:$C$58,MATCH(DATOS!$C$25,TABLAS!$B$52:$B$58,0)))-INDEX(TABLAS!$C$52:$C$58,MATCH(BP11,TABLAS!$B$52:$B$58,0))/2)-IF(AND((DATOS!$C$15-S11-2*DATOS!$C$35-IF(DATOS!$C$25=0,0,INDEX(TABLAS!$C$52:$C$58,MATCH(DATOS!$C$25,TABLAS!$B$52:$B$58,0)))-INDEX(TABLAS!$C$52:$C$58,MATCH(BP11,TABLAS!$B$52:$B$58,0))/2)&lt;=20,DATOS!$C$18&lt;&gt;"SÍ"),2,0))</f>
        <v>19.389</v>
      </c>
      <c r="BS11" s="36">
        <f>IF(BQ11=0,0,DATOS!$C$58*BQ11*INDEX(TABLAS!$D$52:$D$58,MATCH(BP11,TABLAS!$B$52:$B$58,0))*DATOS!$C$40*(BR11-BQ11*INDEX(TABLAS!$D$52:$D$58,MATCH(BP11,TABLAS!$B$52:$B$58,0))*DATOS!$C$40/(DATOS!$C$48*DATOS!$C$19)/2)/1E5)</f>
        <v>0.870537980117647</v>
      </c>
      <c r="BT11" s="62">
        <f>IF(BO11&lt;0,9.99,IF(BS11&gt;0,BC11/BS11,0))</f>
        <v>0.285632992065715</v>
      </c>
      <c r="BU11" s="63">
        <f>IF(BQ11=0,"—",0.003*(BR11-(BQ11*INDEX(TABLAS!$D$52:$D$58,MATCH(BP11,TABLAS!$B$52:$B$58,0))*DATOS!$C$40/(DATOS!$C$48*DATOS!$C$19)/DATOS!$C$49))/(BQ11*INDEX(TABLAS!$D$52:$D$58,MATCH(BP11,TABLAS!$B$52:$B$58,0))*DATOS!$C$40/(DATOS!$C$48*DATOS!$C$19)/DATOS!$C$49))</f>
        <v>0.0166970648200225</v>
      </c>
      <c r="BV11" s="43">
        <f>(DATOS!$C$15-R11-IF(DATOS!$C$25=0,0,INDEX(TABLAS!$C$52:$C$58,MATCH(DATOS!$C$25,TABLAS!$B$52:$B$58,0)))-INDEX(TABLAS!$C$52:$C$58,MATCH(DATOS!$C$26,TABLAS!$B$52:$B$58,0))-INDEX(TABLAS!$C$52:$C$58,MATCH(DATOS!$C$26,TABLAS!$B$52:$B$58,0))/2)</f>
        <v>19.095</v>
      </c>
      <c r="BW11" s="43">
        <f>IF(D11="HUECO",0,IF(IF(BD11&lt;=0,0,IF((1-2*BD11*1E5/(DATOS!$C$58*Q11*BV11^2*DATOS!$C$48))&lt;0,-1,IF((1-SQRT((1-2*BD11*1E5/(DATOS!$C$58*Q11*BV11^2*DATOS!$C$48))))*DATOS!$C$48*Q11*BV11/DATOS!$C$40&gt;DATOS!$C$82*Q11*BV11,-1,(1-SQRT((1-2*BD11*1E5/(DATOS!$C$58*Q11*BV11^2*DATOS!$C$48))))*DATOS!$C$48*Q11*BV11/DATOS!$C$40)))&lt;0,-1,MAX(IF(BD11&lt;=0,0,IF((1-2*BD11*1E5/(DATOS!$C$58*Q11*BV11^2*DATOS!$C$48))&lt;0,-1,IF((1-SQRT((1-2*BD11*1E5/(DATOS!$C$58*Q11*BV11^2*DATOS!$C$48))))*DATOS!$C$48*Q11*BV11/DATOS!$C$40&gt;DATOS!$C$82*Q11*BV11,-1,(1-SQRT((1-2*BD11*1E5/(DATOS!$C$58*Q11*BV11^2*DATOS!$C$48))))*DATOS!$C$48*Q11*BV11/DATOS!$C$40))),MIN(DATOS!$C$83*DATOS!$C$13*BV11,4/3*IF(BD11&lt;=0,0,IF((1-2*BD11*1E5/(DATOS!$C$58*Q11*BV11^2*DATOS!$C$48))&lt;0,-1,IF((1-SQRT((1-2*BD11*1E5/(DATOS!$C$58*Q11*BV11^2*DATOS!$C$48))))*DATOS!$C$48*Q11*BV11/DATOS!$C$40&gt;DATOS!$C$82*Q11*BV11,-1,(1-SQRT((1-2*BD11*1E5/(DATOS!$C$58*Q11*BV11^2*DATOS!$C$48))))*DATOS!$C$48*Q11*BV11/DATOS!$C$40)))))))</f>
        <v>0.107282633062344</v>
      </c>
      <c r="BX11" s="41">
        <f>IF(AND(BW11&gt;=0,IF(MAX(DATOS!$C$29,CEILING(BW11/INDEX(TABLAS!$D$52:$D$58,MIN(MATCH(DATOS!$C$26,TABLAS!$B$52:$B$58,0)+0,7)),1))*INDEX(TABLAS!$D$52:$D$58,MIN(MATCH(DATOS!$C$26,TABLAS!$B$52:$B$58,0)+0,7))&gt;=4/3*IF(BD11&lt;=0,0,IF((1-2*BD11*1E5/(DATOS!$C$58*Q11*BV11^2*DATOS!$C$48))&lt;0,-1,IF((1-SQRT((1-2*BD11*1E5/(DATOS!$C$58*Q11*BV11^2*DATOS!$C$48))))*DATOS!$C$48*Q11*BV11/DATOS!$C$40&gt;DATOS!$C$82*Q11*BV11,-1,(1-SQRT((1-2*BD11*1E5/(DATOS!$C$58*Q11*BV11^2*DATOS!$C$48))))*DATOS!$C$48*Q11*BV11/DATOS!$C$40)))-0.0001,MAX(DATOS!$C$29,CEILING(BW11/INDEX(TABLAS!$D$52:$D$58,MIN(MATCH(DATOS!$C$26,TABLAS!$B$52:$B$58,0)+0,7)),1)),MAX(MAX(DATOS!$C$29,CEILING(BW11/INDEX(TABLAS!$D$52:$D$58,MIN(MATCH(DATOS!$C$26,TABLAS!$B$52:$B$58,0)+0,7)),1)),2))&lt;=MIN(DATOS!$C$28,INT(((DATOS!$C$13-2*R11-2*IF(DATOS!$C$25=0,0,INDEX(TABLAS!$C$52:$C$58,MATCH(DATOS!$C$25,TABLAS!$B$52:$B$58,0))))+MAX(DATOS!$C$32,INDEX(TABLAS!$C$52:$C$58,MIN(MATCH(DATOS!$C$26,TABLAS!$B$52:$B$58,0)+0,7))))/(INDEX(TABLAS!$C$52:$C$58,MIN(MATCH(DATOS!$C$26,TABLAS!$B$52:$B$58,0)+0,7))+MAX(DATOS!$C$32,INDEX(TABLAS!$C$52:$C$58,MIN(MATCH(DATOS!$C$26,TABLAS!$B$52:$B$58,0)+0,7))))))),INDEX(TABLAS!$B$52:$B$58,MIN(MATCH(DATOS!$C$26,TABLAS!$B$52:$B$58,0)+0,7)),IF(AND(BW11&gt;=0,IF(MAX(DATOS!$C$29,CEILING(BW11/INDEX(TABLAS!$D$52:$D$58,MIN(MATCH(DATOS!$C$26,TABLAS!$B$52:$B$58,0)+1,7)),1))*INDEX(TABLAS!$D$52:$D$58,MIN(MATCH(DATOS!$C$26,TABLAS!$B$52:$B$58,0)+1,7))&gt;=4/3*IF(BD11&lt;=0,0,IF((1-2*BD11*1E5/(DATOS!$C$58*Q11*BV11^2*DATOS!$C$48))&lt;0,-1,IF((1-SQRT((1-2*BD11*1E5/(DATOS!$C$58*Q11*BV11^2*DATOS!$C$48))))*DATOS!$C$48*Q11*BV11/DATOS!$C$40&gt;DATOS!$C$82*Q11*BV11,-1,(1-SQRT((1-2*BD11*1E5/(DATOS!$C$58*Q11*BV11^2*DATOS!$C$48))))*DATOS!$C$48*Q11*BV11/DATOS!$C$40)))-0.0001,MAX(DATOS!$C$29,CEILING(BW11/INDEX(TABLAS!$D$52:$D$58,MIN(MATCH(DATOS!$C$26,TABLAS!$B$52:$B$58,0)+1,7)),1)),MAX(MAX(DATOS!$C$29,CEILING(BW11/INDEX(TABLAS!$D$52:$D$58,MIN(MATCH(DATOS!$C$26,TABLAS!$B$52:$B$58,0)+1,7)),1)),2))&lt;=MIN(DATOS!$C$28,INT(((DATOS!$C$13-2*R11-2*IF(DATOS!$C$25=0,0,INDEX(TABLAS!$C$52:$C$58,MATCH(DATOS!$C$25,TABLAS!$B$52:$B$58,0))))+MAX(DATOS!$C$32,INDEX(TABLAS!$C$52:$C$58,MIN(MATCH(DATOS!$C$26,TABLAS!$B$52:$B$58,0)+1,7))))/(INDEX(TABLAS!$C$52:$C$58,MIN(MATCH(DATOS!$C$26,TABLAS!$B$52:$B$58,0)+1,7))+MAX(DATOS!$C$32,INDEX(TABLAS!$C$52:$C$58,MIN(MATCH(DATOS!$C$26,TABLAS!$B$52:$B$58,0)+1,7))))))),INDEX(TABLAS!$B$52:$B$58,MIN(MATCH(DATOS!$C$26,TABLAS!$B$52:$B$58,0)+1,7)),IF(AND(BW11&gt;=0,IF(MAX(DATOS!$C$29,CEILING(BW11/INDEX(TABLAS!$D$52:$D$58,MIN(MATCH(DATOS!$C$26,TABLAS!$B$52:$B$58,0)+2,7)),1))*INDEX(TABLAS!$D$52:$D$58,MIN(MATCH(DATOS!$C$26,TABLAS!$B$52:$B$58,0)+2,7))&gt;=4/3*IF(BD11&lt;=0,0,IF((1-2*BD11*1E5/(DATOS!$C$58*Q11*BV11^2*DATOS!$C$48))&lt;0,-1,IF((1-SQRT((1-2*BD11*1E5/(DATOS!$C$58*Q11*BV11^2*DATOS!$C$48))))*DATOS!$C$48*Q11*BV11/DATOS!$C$40&gt;DATOS!$C$82*Q11*BV11,-1,(1-SQRT((1-2*BD11*1E5/(DATOS!$C$58*Q11*BV11^2*DATOS!$C$48))))*DATOS!$C$48*Q11*BV11/DATOS!$C$40)))-0.0001,MAX(DATOS!$C$29,CEILING(BW11/INDEX(TABLAS!$D$52:$D$58,MIN(MATCH(DATOS!$C$26,TABLAS!$B$52:$B$58,0)+2,7)),1)),MAX(MAX(DATOS!$C$29,CEILING(BW11/INDEX(TABLAS!$D$52:$D$58,MIN(MATCH(DATOS!$C$26,TABLAS!$B$52:$B$58,0)+2,7)),1)),2))&lt;=MIN(DATOS!$C$28,INT(((DATOS!$C$13-2*R11-2*IF(DATOS!$C$25=0,0,INDEX(TABLAS!$C$52:$C$58,MATCH(DATOS!$C$25,TABLAS!$B$52:$B$58,0))))+MAX(DATOS!$C$32,INDEX(TABLAS!$C$52:$C$58,MIN(MATCH(DATOS!$C$26,TABLAS!$B$52:$B$58,0)+2,7))))/(INDEX(TABLAS!$C$52:$C$58,MIN(MATCH(DATOS!$C$26,TABLAS!$B$52:$B$58,0)+2,7))+MAX(DATOS!$C$32,INDEX(TABLAS!$C$52:$C$58,MIN(MATCH(DATOS!$C$26,TABLAS!$B$52:$B$58,0)+2,7))))))),INDEX(TABLAS!$B$52:$B$58,MIN(MATCH(DATOS!$C$26,TABLAS!$B$52:$B$58,0)+2,7)),IF(AND(BW11&gt;=0,IF(MAX(DATOS!$C$29,CEILING(BW11/INDEX(TABLAS!$D$52:$D$58,MIN(MATCH(DATOS!$C$26,TABLAS!$B$52:$B$58,0)+3,7)),1))*INDEX(TABLAS!$D$52:$D$58,MIN(MATCH(DATOS!$C$26,TABLAS!$B$52:$B$58,0)+3,7))&gt;=4/3*IF(BD11&lt;=0,0,IF((1-2*BD11*1E5/(DATOS!$C$58*Q11*BV11^2*DATOS!$C$48))&lt;0,-1,IF((1-SQRT((1-2*BD11*1E5/(DATOS!$C$58*Q11*BV11^2*DATOS!$C$48))))*DATOS!$C$48*Q11*BV11/DATOS!$C$40&gt;DATOS!$C$82*Q11*BV11,-1,(1-SQRT((1-2*BD11*1E5/(DATOS!$C$58*Q11*BV11^2*DATOS!$C$48))))*DATOS!$C$48*Q11*BV11/DATOS!$C$40)))-0.0001,MAX(DATOS!$C$29,CEILING(BW11/INDEX(TABLAS!$D$52:$D$58,MIN(MATCH(DATOS!$C$26,TABLAS!$B$52:$B$58,0)+3,7)),1)),MAX(MAX(DATOS!$C$29,CEILING(BW11/INDEX(TABLAS!$D$52:$D$58,MIN(MATCH(DATOS!$C$26,TABLAS!$B$52:$B$58,0)+3,7)),1)),2))&lt;=MIN(DATOS!$C$28,INT(((DATOS!$C$13-2*R11-2*IF(DATOS!$C$25=0,0,INDEX(TABLAS!$C$52:$C$58,MATCH(DATOS!$C$25,TABLAS!$B$52:$B$58,0))))+MAX(DATOS!$C$32,INDEX(TABLAS!$C$52:$C$58,MIN(MATCH(DATOS!$C$26,TABLAS!$B$52:$B$58,0)+3,7))))/(INDEX(TABLAS!$C$52:$C$58,MIN(MATCH(DATOS!$C$26,TABLAS!$B$52:$B$58,0)+3,7))+MAX(DATOS!$C$32,INDEX(TABLAS!$C$52:$C$58,MIN(MATCH(DATOS!$C$26,TABLAS!$B$52:$B$58,0)+3,7))))))),INDEX(TABLAS!$B$52:$B$58,MIN(MATCH(DATOS!$C$26,TABLAS!$B$52:$B$58,0)+3,7)),IF(AND(BW11&gt;=0,IF(MAX(DATOS!$C$29,CEILING(BW11/INDEX(TABLAS!$D$52:$D$58,MIN(MATCH(DATOS!$C$26,TABLAS!$B$52:$B$58,0)+4,7)),1))*INDEX(TABLAS!$D$52:$D$58,MIN(MATCH(DATOS!$C$26,TABLAS!$B$52:$B$58,0)+4,7))&gt;=4/3*IF(BD11&lt;=0,0,IF((1-2*BD11*1E5/(DATOS!$C$58*Q11*BV11^2*DATOS!$C$48))&lt;0,-1,IF((1-SQRT((1-2*BD11*1E5/(DATOS!$C$58*Q11*BV11^2*DATOS!$C$48))))*DATOS!$C$48*Q11*BV11/DATOS!$C$40&gt;DATOS!$C$82*Q11*BV11,-1,(1-SQRT((1-2*BD11*1E5/(DATOS!$C$58*Q11*BV11^2*DATOS!$C$48))))*DATOS!$C$48*Q11*BV11/DATOS!$C$40)))-0.0001,MAX(DATOS!$C$29,CEILING(BW11/INDEX(TABLAS!$D$52:$D$58,MIN(MATCH(DATOS!$C$26,TABLAS!$B$52:$B$58,0)+4,7)),1)),MAX(MAX(DATOS!$C$29,CEILING(BW11/INDEX(TABLAS!$D$52:$D$58,MIN(MATCH(DATOS!$C$26,TABLAS!$B$52:$B$58,0)+4,7)),1)),2))&lt;=MIN(DATOS!$C$28,INT(((DATOS!$C$13-2*R11-2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11" s="56">
        <f>IF(D11="HUECO",0,IF(BW11&lt;0,0,IF(MAX(DATOS!$C$29,CEILING(MAX(BW11,0)/INDEX(TABLAS!$D$52:$D$58,MATCH(BX11,TABLAS!$B$52:$B$58,0)),1))*INDEX(TABLAS!$D$52:$D$58,MATCH(BX11,TABLAS!$B$52:$B$58,0))&gt;=4/3*IF(BD11&lt;=0,0,IF((1-2*BD11*1E5/(DATOS!$C$58*Q11*BV11^2*DATOS!$C$48))&lt;0,-1,IF((1-SQRT((1-2*BD11*1E5/(DATOS!$C$58*Q11*BV11^2*DATOS!$C$48))))*DATOS!$C$48*Q11*BV11/DATOS!$C$40&gt;DATOS!$C$82*Q11*BV11,-1,(1-SQRT((1-2*BD11*1E5/(DATOS!$C$58*Q11*BV11^2*DATOS!$C$48))))*DATOS!$C$48*Q11*BV11/DATOS!$C$40)))-0.0001,MAX(DATOS!$C$29,CEILING(MAX(BW11,0)/INDEX(TABLAS!$D$52:$D$58,MATCH(BX11,TABLAS!$B$52:$B$58,0)),1)),MAX(MAX(DATOS!$C$29,CEILING(MAX(BW11,0)/INDEX(TABLAS!$D$52:$D$58,MATCH(BX11,TABLAS!$B$52:$B$58,0)),1)),2))))</f>
        <v>1</v>
      </c>
      <c r="BZ11" s="43">
        <f>DATOS!$C$15-R11-IF(DATOS!$C$25=0,0,INDEX(TABLAS!$C$52:$C$58,MATCH(DATOS!$C$25,TABLAS!$B$52:$B$58,0)))-INDEX(TABLAS!$C$52:$C$58,MATCH(BH11,TABLAS!$B$52:$B$58,0))-INDEX(TABLAS!$C$52:$C$58,MATCH(BX11,TABLAS!$B$52:$B$58,0))/2</f>
        <v>19.095</v>
      </c>
      <c r="CA11" s="36">
        <f>IF(BY11=0,0,DATOS!$C$58*BY11*INDEX(TABLAS!$D$52:$D$58,MATCH(BX11,TABLAS!$B$52:$B$58,0))*DATOS!$C$40*(BZ11-BY11*INDEX(TABLAS!$D$52:$D$58,MATCH(BX11,TABLAS!$B$52:$B$58,0))*DATOS!$C$40/(DATOS!$C$48*Q11)/2)/1E5)</f>
        <v>0.908067376588235</v>
      </c>
      <c r="CB11" s="62">
        <f>IF(BW11&lt;0,9.99,IF(CA11&gt;0,BD11/CA11,0))</f>
        <v>0.0639183630487173</v>
      </c>
      <c r="CC11" s="63">
        <f>IF(BY11=0,"—",0.003*(BZ11-(BY11*INDEX(TABLAS!$D$52:$D$58,MATCH(BX11,TABLAS!$B$52:$B$58,0))*DATOS!$C$40/(DATOS!$C$48*Q11)/DATOS!$C$49))/(BY11*INDEX(TABLAS!$D$52:$D$58,MATCH(BX11,TABLAS!$B$52:$B$58,0))*DATOS!$C$40/(DATOS!$C$48*Q11)/DATOS!$C$49))</f>
        <v>0.13278875492126</v>
      </c>
      <c r="CD11" s="43">
        <f>((DATOS!$C$15-S11-2*DATOS!$C$35-IF(DATOS!$C$25=0,0,INDEX(TABLAS!$C$52:$C$58,MATCH(DATOS!$C$25,TABLAS!$B$52:$B$58,0)))-INDEX(TABLAS!$C$52:$C$58,MATCH(DATOS!$C$27,TABLAS!$B$52:$B$58,0))-INDEX(TABLAS!$C$52:$C$58,MATCH(DATOS!$C$27,TABLAS!$B$52:$B$58,0))/2)-IF(AND((DATOS!$C$15-S11-2*DATOS!$C$35-IF(DATOS!$C$25=0,0,INDEX(TABLAS!$C$52:$C$58,MATCH(DATOS!$C$25,TABLAS!$B$52:$B$58,0)))-INDEX(TABLAS!$C$52:$C$58,MATCH(DATOS!$C$27,TABLAS!$B$52:$B$58,0))-INDEX(TABLAS!$C$52:$C$58,MATCH(DATOS!$C$27,TABLAS!$B$52:$B$58,0))/2)&lt;=20,DATOS!$C$18&lt;&gt;"SÍ"),2,0))</f>
        <v>18.119</v>
      </c>
      <c r="CE11" s="43">
        <f>IF(D11="HUECO",0,IF(IF(BE11&lt;=0,0,IF((1-2*BE11*1E5/(DATOS!$C$58*DATOS!$C$19*CD11^2*DATOS!$C$48))&lt;0,-1,IF((1-SQRT((1-2*BE11*1E5/(DATOS!$C$58*DATOS!$C$19*CD11^2*DATOS!$C$48))))*DATOS!$C$48*DATOS!$C$19*CD11/DATOS!$C$40&gt;DATOS!$C$82*DATOS!$C$19*CD11,-1,(1-SQRT((1-2*BE11*1E5/(DATOS!$C$58*DATOS!$C$19*CD11^2*DATOS!$C$48))))*DATOS!$C$48*DATOS!$C$19*CD11/DATOS!$C$40)))&lt;0,-1,MAX(IF(BE11&lt;=0,0,IF((1-2*BE11*1E5/(DATOS!$C$58*DATOS!$C$19*CD11^2*DATOS!$C$48))&lt;0,-1,IF((1-SQRT((1-2*BE11*1E5/(DATOS!$C$58*DATOS!$C$19*CD11^2*DATOS!$C$48))))*DATOS!$C$48*DATOS!$C$19*CD11/DATOS!$C$40&gt;DATOS!$C$82*DATOS!$C$19*CD11,-1,(1-SQRT((1-2*BE11*1E5/(DATOS!$C$58*DATOS!$C$19*CD11^2*DATOS!$C$48))))*DATOS!$C$48*DATOS!$C$19*CD11/DATOS!$C$40))),MIN(DATOS!$C$83*DATOS!$C$13*CD11,4/3*IF(BE11&lt;=0,0,IF((1-2*BE11*1E5/(DATOS!$C$58*DATOS!$C$19*CD11^2*DATOS!$C$48))&lt;0,-1,IF((1-SQRT((1-2*BE11*1E5/(DATOS!$C$58*DATOS!$C$19*CD11^2*DATOS!$C$48))))*DATOS!$C$48*DATOS!$C$19*CD11/DATOS!$C$40&gt;DATOS!$C$82*DATOS!$C$19*CD11,-1,(1-SQRT((1-2*BE11*1E5/(DATOS!$C$58*DATOS!$C$19*CD11^2*DATOS!$C$48))))*DATOS!$C$48*DATOS!$C$19*CD11/DATOS!$C$40)))))))</f>
        <v>0.192718285153766</v>
      </c>
      <c r="CF11" s="41">
        <f>IF(AND(CE11&gt;=0,IF(MAX(DATOS!$C$29,CEILING(CE11/INDEX(TABLAS!$D$52:$D$58,MIN(MATCH(DATOS!$C$27,TABLAS!$B$52:$B$58,0)+0,7)),1))*INDEX(TABLAS!$D$52:$D$58,MIN(MATCH(DATOS!$C$27,TABLAS!$B$52:$B$58,0)+0,7))&gt;=4/3*IF(BE11&lt;=0,0,IF((1-2*BE11*1E5/(DATOS!$C$58*DATOS!$C$19*CD11^2*DATOS!$C$48))&lt;0,-1,IF((1-SQRT((1-2*BE11*1E5/(DATOS!$C$58*DATOS!$C$19*CD11^2*DATOS!$C$48))))*DATOS!$C$48*DATOS!$C$19*CD11/DATOS!$C$40&gt;DATOS!$C$82*DATOS!$C$19*CD11,-1,(1-SQRT((1-2*BE11*1E5/(DATOS!$C$58*DATOS!$C$19*CD11^2*DATOS!$C$48))))*DATOS!$C$48*DATOS!$C$19*CD11/DATOS!$C$40)))-0.0001,MAX(DATOS!$C$29,CEILING(CE11/INDEX(TABLAS!$D$52:$D$58,MIN(MATCH(DATOS!$C$27,TABLAS!$B$52:$B$58,0)+0,7)),1)),MAX(MAX(DATOS!$C$29,CEILING(CE11/INDEX(TABLAS!$D$52:$D$58,MIN(MATCH(DATOS!$C$27,TABLAS!$B$52:$B$58,0)+0,7)),1)),2))&lt;=MIN(DATOS!$C$28,INT(((DATOS!$C$13-2*S11-2*IF(DATOS!$C$25=0,0,INDEX(TABLAS!$C$52:$C$58,MATCH(DATOS!$C$25,TABLAS!$B$52:$B$58,0))))+MAX(DATOS!$C$32,INDEX(TABLAS!$C$52:$C$58,MIN(MATCH(DATOS!$C$27,TABLAS!$B$52:$B$58,0)+0,7))))/(INDEX(TABLAS!$C$52:$C$58,MIN(MATCH(DATOS!$C$27,TABLAS!$B$52:$B$58,0)+0,7))+MAX(DATOS!$C$32,INDEX(TABLAS!$C$52:$C$58,MIN(MATCH(DATOS!$C$27,TABLAS!$B$52:$B$58,0)+0,7))))))),INDEX(TABLAS!$B$52:$B$58,MIN(MATCH(DATOS!$C$27,TABLAS!$B$52:$B$58,0)+0,7)),IF(AND(CE11&gt;=0,IF(MAX(DATOS!$C$29,CEILING(CE11/INDEX(TABLAS!$D$52:$D$58,MIN(MATCH(DATOS!$C$27,TABLAS!$B$52:$B$58,0)+1,7)),1))*INDEX(TABLAS!$D$52:$D$58,MIN(MATCH(DATOS!$C$27,TABLAS!$B$52:$B$58,0)+1,7))&gt;=4/3*IF(BE11&lt;=0,0,IF((1-2*BE11*1E5/(DATOS!$C$58*DATOS!$C$19*CD11^2*DATOS!$C$48))&lt;0,-1,IF((1-SQRT((1-2*BE11*1E5/(DATOS!$C$58*DATOS!$C$19*CD11^2*DATOS!$C$48))))*DATOS!$C$48*DATOS!$C$19*CD11/DATOS!$C$40&gt;DATOS!$C$82*DATOS!$C$19*CD11,-1,(1-SQRT((1-2*BE11*1E5/(DATOS!$C$58*DATOS!$C$19*CD11^2*DATOS!$C$48))))*DATOS!$C$48*DATOS!$C$19*CD11/DATOS!$C$40)))-0.0001,MAX(DATOS!$C$29,CEILING(CE11/INDEX(TABLAS!$D$52:$D$58,MIN(MATCH(DATOS!$C$27,TABLAS!$B$52:$B$58,0)+1,7)),1)),MAX(MAX(DATOS!$C$29,CEILING(CE11/INDEX(TABLAS!$D$52:$D$58,MIN(MATCH(DATOS!$C$27,TABLAS!$B$52:$B$58,0)+1,7)),1)),2))&lt;=MIN(DATOS!$C$28,INT(((DATOS!$C$13-2*S11-2*IF(DATOS!$C$25=0,0,INDEX(TABLAS!$C$52:$C$58,MATCH(DATOS!$C$25,TABLAS!$B$52:$B$58,0))))+MAX(DATOS!$C$32,INDEX(TABLAS!$C$52:$C$58,MIN(MATCH(DATOS!$C$27,TABLAS!$B$52:$B$58,0)+1,7))))/(INDEX(TABLAS!$C$52:$C$58,MIN(MATCH(DATOS!$C$27,TABLAS!$B$52:$B$58,0)+1,7))+MAX(DATOS!$C$32,INDEX(TABLAS!$C$52:$C$58,MIN(MATCH(DATOS!$C$27,TABLAS!$B$52:$B$58,0)+1,7))))))),INDEX(TABLAS!$B$52:$B$58,MIN(MATCH(DATOS!$C$27,TABLAS!$B$52:$B$58,0)+1,7)),IF(AND(CE11&gt;=0,IF(MAX(DATOS!$C$29,CEILING(CE11/INDEX(TABLAS!$D$52:$D$58,MIN(MATCH(DATOS!$C$27,TABLAS!$B$52:$B$58,0)+2,7)),1))*INDEX(TABLAS!$D$52:$D$58,MIN(MATCH(DATOS!$C$27,TABLAS!$B$52:$B$58,0)+2,7))&gt;=4/3*IF(BE11&lt;=0,0,IF((1-2*BE11*1E5/(DATOS!$C$58*DATOS!$C$19*CD11^2*DATOS!$C$48))&lt;0,-1,IF((1-SQRT((1-2*BE11*1E5/(DATOS!$C$58*DATOS!$C$19*CD11^2*DATOS!$C$48))))*DATOS!$C$48*DATOS!$C$19*CD11/DATOS!$C$40&gt;DATOS!$C$82*DATOS!$C$19*CD11,-1,(1-SQRT((1-2*BE11*1E5/(DATOS!$C$58*DATOS!$C$19*CD11^2*DATOS!$C$48))))*DATOS!$C$48*DATOS!$C$19*CD11/DATOS!$C$40)))-0.0001,MAX(DATOS!$C$29,CEILING(CE11/INDEX(TABLAS!$D$52:$D$58,MIN(MATCH(DATOS!$C$27,TABLAS!$B$52:$B$58,0)+2,7)),1)),MAX(MAX(DATOS!$C$29,CEILING(CE11/INDEX(TABLAS!$D$52:$D$58,MIN(MATCH(DATOS!$C$27,TABLAS!$B$52:$B$58,0)+2,7)),1)),2))&lt;=MIN(DATOS!$C$28,INT(((DATOS!$C$13-2*S11-2*IF(DATOS!$C$25=0,0,INDEX(TABLAS!$C$52:$C$58,MATCH(DATOS!$C$25,TABLAS!$B$52:$B$58,0))))+MAX(DATOS!$C$32,INDEX(TABLAS!$C$52:$C$58,MIN(MATCH(DATOS!$C$27,TABLAS!$B$52:$B$58,0)+2,7))))/(INDEX(TABLAS!$C$52:$C$58,MIN(MATCH(DATOS!$C$27,TABLAS!$B$52:$B$58,0)+2,7))+MAX(DATOS!$C$32,INDEX(TABLAS!$C$52:$C$58,MIN(MATCH(DATOS!$C$27,TABLAS!$B$52:$B$58,0)+2,7))))))),INDEX(TABLAS!$B$52:$B$58,MIN(MATCH(DATOS!$C$27,TABLAS!$B$52:$B$58,0)+2,7)),IF(AND(CE11&gt;=0,IF(MAX(DATOS!$C$29,CEILING(CE11/INDEX(TABLAS!$D$52:$D$58,MIN(MATCH(DATOS!$C$27,TABLAS!$B$52:$B$58,0)+3,7)),1))*INDEX(TABLAS!$D$52:$D$58,MIN(MATCH(DATOS!$C$27,TABLAS!$B$52:$B$58,0)+3,7))&gt;=4/3*IF(BE11&lt;=0,0,IF((1-2*BE11*1E5/(DATOS!$C$58*DATOS!$C$19*CD11^2*DATOS!$C$48))&lt;0,-1,IF((1-SQRT((1-2*BE11*1E5/(DATOS!$C$58*DATOS!$C$19*CD11^2*DATOS!$C$48))))*DATOS!$C$48*DATOS!$C$19*CD11/DATOS!$C$40&gt;DATOS!$C$82*DATOS!$C$19*CD11,-1,(1-SQRT((1-2*BE11*1E5/(DATOS!$C$58*DATOS!$C$19*CD11^2*DATOS!$C$48))))*DATOS!$C$48*DATOS!$C$19*CD11/DATOS!$C$40)))-0.0001,MAX(DATOS!$C$29,CEILING(CE11/INDEX(TABLAS!$D$52:$D$58,MIN(MATCH(DATOS!$C$27,TABLAS!$B$52:$B$58,0)+3,7)),1)),MAX(MAX(DATOS!$C$29,CEILING(CE11/INDEX(TABLAS!$D$52:$D$58,MIN(MATCH(DATOS!$C$27,TABLAS!$B$52:$B$58,0)+3,7)),1)),2))&lt;=MIN(DATOS!$C$28,INT(((DATOS!$C$13-2*S11-2*IF(DATOS!$C$25=0,0,INDEX(TABLAS!$C$52:$C$58,MATCH(DATOS!$C$25,TABLAS!$B$52:$B$58,0))))+MAX(DATOS!$C$32,INDEX(TABLAS!$C$52:$C$58,MIN(MATCH(DATOS!$C$27,TABLAS!$B$52:$B$58,0)+3,7))))/(INDEX(TABLAS!$C$52:$C$58,MIN(MATCH(DATOS!$C$27,TABLAS!$B$52:$B$58,0)+3,7))+MAX(DATOS!$C$32,INDEX(TABLAS!$C$52:$C$58,MIN(MATCH(DATOS!$C$27,TABLAS!$B$52:$B$58,0)+3,7))))))),INDEX(TABLAS!$B$52:$B$58,MIN(MATCH(DATOS!$C$27,TABLAS!$B$52:$B$58,0)+3,7)),IF(AND(CE11&gt;=0,IF(MAX(DATOS!$C$29,CEILING(CE11/INDEX(TABLAS!$D$52:$D$58,MIN(MATCH(DATOS!$C$27,TABLAS!$B$52:$B$58,0)+4,7)),1))*INDEX(TABLAS!$D$52:$D$58,MIN(MATCH(DATOS!$C$27,TABLAS!$B$52:$B$58,0)+4,7))&gt;=4/3*IF(BE11&lt;=0,0,IF((1-2*BE11*1E5/(DATOS!$C$58*DATOS!$C$19*CD11^2*DATOS!$C$48))&lt;0,-1,IF((1-SQRT((1-2*BE11*1E5/(DATOS!$C$58*DATOS!$C$19*CD11^2*DATOS!$C$48))))*DATOS!$C$48*DATOS!$C$19*CD11/DATOS!$C$40&gt;DATOS!$C$82*DATOS!$C$19*CD11,-1,(1-SQRT((1-2*BE11*1E5/(DATOS!$C$58*DATOS!$C$19*CD11^2*DATOS!$C$48))))*DATOS!$C$48*DATOS!$C$19*CD11/DATOS!$C$40)))-0.0001,MAX(DATOS!$C$29,CEILING(CE11/INDEX(TABLAS!$D$52:$D$58,MIN(MATCH(DATOS!$C$27,TABLAS!$B$52:$B$58,0)+4,7)),1)),MAX(MAX(DATOS!$C$29,CEILING(CE11/INDEX(TABLAS!$D$52:$D$58,MIN(MATCH(DATOS!$C$27,TABLAS!$B$52:$B$58,0)+4,7)),1)),2))&lt;=MIN(DATOS!$C$28,INT(((DATOS!$C$13-2*S11-2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11" s="56">
        <f>IF(D11="HUECO",0,IF(CE11&lt;0,0,IF(MAX(DATOS!$C$29,CEILING(MAX(CE11,0)/INDEX(TABLAS!$D$52:$D$58,MATCH(CF11,TABLAS!$B$52:$B$58,0)),1))*INDEX(TABLAS!$D$52:$D$58,MATCH(CF11,TABLAS!$B$52:$B$58,0))&gt;=4/3*IF(BE11&lt;=0,0,IF((1-2*BE11*1E5/(DATOS!$C$58*DATOS!$C$19*CD11^2*DATOS!$C$48))&lt;0,-1,IF((1-SQRT((1-2*BE11*1E5/(DATOS!$C$58*DATOS!$C$19*CD11^2*DATOS!$C$48))))*DATOS!$C$48*DATOS!$C$19*CD11/DATOS!$C$40&gt;DATOS!$C$82*DATOS!$C$19*CD11,-1,(1-SQRT((1-2*BE11*1E5/(DATOS!$C$58*DATOS!$C$19*CD11^2*DATOS!$C$48))))*DATOS!$C$48*DATOS!$C$19*CD11/DATOS!$C$40)))-0.0001,MAX(DATOS!$C$29,CEILING(MAX(CE11,0)/INDEX(TABLAS!$D$52:$D$58,MATCH(CF11,TABLAS!$B$52:$B$58,0)),1)),MAX(MAX(DATOS!$C$29,CEILING(MAX(CE11,0)/INDEX(TABLAS!$D$52:$D$58,MATCH(CF11,TABLAS!$B$52:$B$58,0)),1)),2))))</f>
        <v>1</v>
      </c>
      <c r="CH11" s="43">
        <f>((DATOS!$C$15-S11-2*DATOS!$C$35-IF(DATOS!$C$25=0,0,INDEX(TABLAS!$C$52:$C$58,MATCH(DATOS!$C$25,TABLAS!$B$52:$B$58,0)))-INDEX(TABLAS!$C$52:$C$58,MATCH(BP11,TABLAS!$B$52:$B$58,0))-INDEX(TABLAS!$C$52:$C$58,MATCH(CF11,TABLAS!$B$52:$B$58,0))/2)-IF(AND((DATOS!$C$15-S11-2*DATOS!$C$35-IF(DATOS!$C$25=0,0,INDEX(TABLAS!$C$52:$C$58,MATCH(DATOS!$C$25,TABLAS!$B$52:$B$58,0)))-INDEX(TABLAS!$C$52:$C$58,MATCH(BP11,TABLAS!$B$52:$B$58,0))-INDEX(TABLAS!$C$52:$C$58,MATCH(CF11,TABLAS!$B$52:$B$58,0))/2)&lt;=20,DATOS!$C$18&lt;&gt;"SÍ"),2,0))</f>
        <v>18.119</v>
      </c>
      <c r="CI11" s="36">
        <f>IF(CG11=0,0,DATOS!$C$58*CG11*INDEX(TABLAS!$D$52:$D$58,MATCH(CF11,TABLAS!$B$52:$B$58,0))*DATOS!$C$40*(CH11-CG11*INDEX(TABLAS!$D$52:$D$58,MATCH(CF11,TABLAS!$B$52:$B$58,0))*DATOS!$C$40/(DATOS!$C$48*DATOS!$C$19)/2)/1E5)</f>
        <v>0.809570360117647</v>
      </c>
      <c r="CJ11" s="62">
        <f>IF(CE11&lt;0,9.99,IF(CI11&gt;0,BE11/CI11,0))</f>
        <v>0.12131607568231</v>
      </c>
      <c r="CK11" s="63">
        <f>IF(CG11=0,"—",0.003*(CH11-(CG11*INDEX(TABLAS!$D$52:$D$58,MATCH(CF11,TABLAS!$B$52:$B$58,0))*DATOS!$C$40/(DATOS!$C$48*DATOS!$C$19)/DATOS!$C$49))/(CG11*INDEX(TABLAS!$D$52:$D$58,MATCH(CF11,TABLAS!$B$52:$B$58,0))*DATOS!$C$40/(DATOS!$C$48*DATOS!$C$19)/DATOS!$C$49))</f>
        <v>0.0154068862485939</v>
      </c>
      <c r="CL11" s="52" t="str">
        <f>IF(D11="HUECO","—",IF(AND(D11="PERIMETRAL",J11*100&gt;=6*DATOS!$C$11,DATOS!$C$11&lt;=80,DATOS!$C$13&gt;=10,DATOS!$C$15&lt;=3.5*DATOS!$C$13,DATOS!$C$14&gt;=MAX(DATOS!$C$11/13,5)),"SÍ","NO"))</f>
        <v>NO</v>
      </c>
      <c r="CM11" s="36">
        <f>IF(D11="PERIMETRAL",MAX(0,(N11/2-BR11)/100)*(0.95-0.5*L11)*Y11*IF(AND(Z11&gt;0,Z11&lt;4),DATOS!$C$63,1)*DATOS!$C$16/100/1000+AX11,IF(D11="VOLADO",(Y11*MAX(0,N11-BR11)/100+DATOS!$C$55*BA11)*DATOS!$C$16/100/1000,0))</f>
        <v>0.282271938723824</v>
      </c>
      <c r="CN11" s="36">
        <f>IF(D11="HUECO",0,DATOS!$C$59*2*MIN(1,SQRT(2/(1+0.04*BR11)))*(BQ11*INDEX(TABLAS!$D$52:$D$58,MATCH(BP11,TABLAS!$B$52:$B$58,0))/(DATOS!$C$19*BR11))^(1/3)*SQRT(DATOS!$C$39)*DATOS!$C$19*BR11*IF(CL11="SÍ",DATOS!$C$62,1)/1000)</f>
        <v>0.860398102904257</v>
      </c>
      <c r="CO11" s="51" t="str">
        <f>IF(D11="HUECO","—",IF(CM11&lt;=CN11,"CUMPLE",IF(MAX(0,CEILING((IF(D11="VOLADO",(N11-(CN11*1E5/DATOS!$C$16-DATOS!$C$55*BA11)*100/Y11),IF(CN11&lt;=AX11,N11,N11/2-(CN11-AX11)/MAX(CM11-AX11,1E-9)*(N11/2-BR11)))-IF(INT((J11*100-DATOS!$C$17+DATOS!$C$13)/DATOS!$C$16)&gt;0,(J11*100-DATOS!$C$17-(INT((J11*100-DATOS!$C$17+DATOS!$C$13)/DATOS!$C$16)*DATOS!$C$11+(INT((J11*100-DATOS!$C$17+DATOS!$C$13)/DATOS!$C$16)-1)*DATOS!$C$13))/2,J11*100/2))/DATOS!$C$16,1))&lt;=0,"CUMPLE (basta el macizo de orilla)","MACIZAR "&amp;MAX(0,CEILING((IF(D11="VOLADO",(N11-(CN11*1E5/DATOS!$C$16-DATOS!$C$55*BA11)*100/Y11),IF(CN11&lt;=AX11,N11,N11/2-(CN11-AX11)/MAX(CM11-AX11,1E-9)*(N11/2-BR11)))-IF(INT((J11*100-DATOS!$C$17+DATOS!$C$13)/DATOS!$C$16)&gt;0,(J11*100-DATOS!$C$17-(INT((J11*100-DATOS!$C$17+DATOS!$C$13)/DATOS!$C$16)*DATOS!$C$11+(INT((J11*100-DATOS!$C$17+DATOS!$C$13)/DATOS!$C$16)-1)*DATOS!$C$13))/2,J11*100/2))/DATOS!$C$16,1))&amp;" hilera(s)")))</f>
        <v>CUMPLE</v>
      </c>
      <c r="CP11" s="43">
        <f>IF(D11="PERIMETRAL",((PRINCIPALES!$N$11*PRINCIPALES!$O$11^3/12/(3.025*100*IF(APOYOS!$G$37="CONTINUO",1,0.5)*DATOS!$C$77^3/12))+99+(PRINCIPALES!$N$29*PRINCIPALES!$O$29^3/12/(1.596*100*IF(APOYOS!$G$39="CONTINUO",1,0.5)*DATOS!$C$77^3/12))+(PRINCIPALES!$N$37*PRINCIPALES!$O$37^3/12/(1.596*100*IF(APOYOS!$G$40="CONTINUO",1,0.5)*DATOS!$C$77^3/12)))/4,0)</f>
        <v>25.8359245554801</v>
      </c>
      <c r="CQ11" s="57">
        <f>IF(D11="PERIMETRAL",IF(CP11&gt;2,MAX(9,O11*(0.8+DATOS!$C$40/14000)/(36+9*(O11/MAX(N11,1)))),IF(CP11&gt;0.2,MAX(13,O11*(0.8+DATOS!$C$40/14000)/(36+5*(O11/MAX(N11,1))*(CP11-0.2))),MAX(13,O11/IF(Z11&gt;0,30,33))))*IF(AND(CP11&gt;0.2,OR(AND((APOYOS!$G$37="DISCONTINUO"),(PRINCIPALES!$N$11*PRINCIPALES!$O$11^3/12/(3.025*100*IF(APOYOS!$G$37="CONTINUO",1,0.5)*DATOS!$C$77^3/12))&lt;0.8),AND((APOYOS!$G$38="DISCONTINUO"),99&lt;0.8),AND((APOYOS!$G$39="DISCONTINUO"),(PRINCIPALES!$N$29*PRINCIPALES!$O$29^3/12/(1.596*100*IF(APOYOS!$G$39="CONTINUO",1,0.5)*DATOS!$C$77^3/12))&lt;0.8),AND((APOYOS!$G$40="DISCONTINUO"),(PRINCIPALES!$N$37*PRINCIPALES!$O$37^3/12/(1.596*100*IF(APOYOS!$G$40="CONTINUO",1,0.5)*DATOS!$C$77^3/12))&lt;0.8))),1.1,1),IF(D11="VOLADO",MAX(25,J11*100/8),0))</f>
        <v>9.9</v>
      </c>
      <c r="CR11" s="57">
        <f>IF(D11="VOLADO",DATOS!$C$15,DATOS!$C$77)</f>
        <v>16.7232564120244</v>
      </c>
      <c r="CS11" s="52" t="str">
        <f>IF(D11="HUECO","—",IF(CR11&gt;=CQ11,"CUMPLE",IF(D11="VOLADO","NO CUMPLE","CALCULAR FLECHA")))</f>
        <v>CUMPLE</v>
      </c>
      <c r="CT11" s="52" t="str">
        <f>IF(D11="HUECO","—",IF(DATOS!$C$14&gt;=IF(IF(D11="VOLADO",J11,K11)&gt;=6,6,5),"CUMPLE","CAPA ≥ 6 cm"))</f>
        <v>CUMPLE</v>
      </c>
      <c r="CU11" s="59">
        <f>IF(D11="HUECO",0,IF(((4*((AL11*Y11*J11^2*1E-4*DATOS!$C$16/100/1000)+((MAX(AH11,AJ11)*Y11*J11^2*1E-4*DATOS!$C$16/100/1000)+(IF(AND(AH11&gt;0,AJ11&gt;0),MIN(AH11,AJ11),MAX(AH11,AJ11))*Y11*J11^2*1E-4*DATOS!$C$16/100/1000))/2)+BC11-(IF(AND(AH11&gt;0,AJ11&gt;0),MIN(AH11,AJ11),MAX(AH11,AJ11))*Y11*J11^2*1E-4*DATOS!$C$16/100/1000))^2-16*((AL11*Y11*J11^2*1E-4*DATOS!$C$16/100/1000)+((MAX(AH11,AJ11)*Y11*J11^2*1E-4*DATOS!$C$16/100/1000)+(IF(AND(AH11&gt;0,AJ11&gt;0),MIN(AH11,AJ11),MAX(AH11,AJ11))*Y11*J11^2*1E-4*DATOS!$C$16/100/1000))/2)*BC11)&lt;0,CEILING(N11,5),CEILING(MAX(N11*((4*((AL11*Y11*J11^2*1E-4*DATOS!$C$16/100/1000)+((MAX(AH11,AJ11)*Y11*J11^2*1E-4*DATOS!$C$16/100/1000)+(IF(AND(AH11&gt;0,AJ11&gt;0),MIN(AH11,AJ11),MAX(AH11,AJ11))*Y11*J11^2*1E-4*DATOS!$C$16/100/1000))/2)+BC11-(IF(AND(AH11&gt;0,AJ11&gt;0),MIN(AH11,AJ11),MAX(AH11,AJ11))*Y11*J11^2*1E-4*DATOS!$C$16/100/1000))-SQRT(MAX(0,((4*((AL11*Y11*J11^2*1E-4*DATOS!$C$16/100/1000)+((MAX(AH11,AJ11)*Y11*J11^2*1E-4*DATOS!$C$16/100/1000)+(IF(AND(AH11&gt;0,AJ11&gt;0),MIN(AH11,AJ11),MAX(AH11,AJ11))*Y11*J11^2*1E-4*DATOS!$C$16/100/1000))/2)+BC11-(IF(AND(AH11&gt;0,AJ11&gt;0),MIN(AH11,AJ11),MAX(AH11,AJ11))*Y11*J11^2*1E-4*DATOS!$C$16/100/1000))^2-16*((AL11*Y11*J11^2*1E-4*DATOS!$C$16/100/1000)+((MAX(AH11,AJ11)*Y11*J11^2*1E-4*DATOS!$C$16/100/1000)+(IF(AND(AH11&gt;0,AJ11&gt;0),MIN(AH11,AJ11),MAX(AH11,AJ11))*Y11*J11^2*1E-4*DATOS!$C$16/100/1000))/2)*BC11))))/(8*MAX(((AL11*Y11*J11^2*1E-4*DATOS!$C$16/100/1000)+((MAX(AH11,AJ11)*Y11*J11^2*1E-4*DATOS!$C$16/100/1000)+(IF(AND(AH11&gt;0,AJ11&gt;0),MIN(AH11,AJ11),MAX(AH11,AJ11))*Y11*J11^2*1E-4*DATOS!$C$16/100/1000))/2),1E-9))+MAX(BR11,12*INDEX(TABLAS!$C$52:$C$58,MATCH(BP11,TABLAS!$B$52:$B$58,0)),N11/16),IF(OR(S11&lt;INDEX(TABLAS!$C$52:$C$58,MATCH(BP11,TABLAS!$B$52:$B$58,0)),AND(BQ11&gt;=2,(DATOS!$C$13-2*S11-2*IF(DATOS!$C$25=0,0,INDEX(TABLAS!$C$52:$C$58,MATCH(DATOS!$C$25,TABLAS!$B$52:$B$58,0)))-BQ11*INDEX(TABLAS!$C$52:$C$58,MATCH(BP11,TABLAS!$B$52:$B$58,0)))/MAX(BQ11-1,1)&lt;2*INDEX(TABLAS!$C$52:$C$58,MATCH(BP11,TABLAS!$B$52:$B$58,0)))),INDEX(TABLAS!$I$52:$I$58,MATCH(BP11,TABLAS!$B$52:$B$58,0)),INDEX(TABLAS!$F$52:$F$58,MATCH(BP11,TABLAS!$B$52:$B$58,0)))),5)))</f>
        <v>70</v>
      </c>
      <c r="CV11" s="59">
        <f>IF(D11="HUECO",0,IF(((4*((AM11*Y11*J11^2*1E-4*DATOS!$C$16/100/1000)+((MAX(AI11,AK11)*Y11*J11^2*1E-4*DATOS!$C$16/100/1000)+(IF(AND(AI11&gt;0,AK11&gt;0),MIN(AI11,AK11),MAX(AI11,AK11))*Y11*J11^2*1E-4*DATOS!$C$16/100/1000))/2)+BE11-(IF(AND(AI11&gt;0,AK11&gt;0),MIN(AI11,AK11),MAX(AI11,AK11))*Y11*J11^2*1E-4*DATOS!$C$16/100/1000))^2-16*((AM11*Y11*J11^2*1E-4*DATOS!$C$16/100/1000)+((MAX(AI11,AK11)*Y11*J11^2*1E-4*DATOS!$C$16/100/1000)+(IF(AND(AI11&gt;0,AK11&gt;0),MIN(AI11,AK11),MAX(AI11,AK11))*Y11*J11^2*1E-4*DATOS!$C$16/100/1000))/2)*BE11)&lt;0,CEILING(O11,5),CEILING(MAX(O11*((4*((AM11*Y11*J11^2*1E-4*DATOS!$C$16/100/1000)+((MAX(AI11,AK11)*Y11*J11^2*1E-4*DATOS!$C$16/100/1000)+(IF(AND(AI11&gt;0,AK11&gt;0),MIN(AI11,AK11),MAX(AI11,AK11))*Y11*J11^2*1E-4*DATOS!$C$16/100/1000))/2)+BE11-(IF(AND(AI11&gt;0,AK11&gt;0),MIN(AI11,AK11),MAX(AI11,AK11))*Y11*J11^2*1E-4*DATOS!$C$16/100/1000))-SQRT(MAX(0,((4*((AM11*Y11*J11^2*1E-4*DATOS!$C$16/100/1000)+((MAX(AI11,AK11)*Y11*J11^2*1E-4*DATOS!$C$16/100/1000)+(IF(AND(AI11&gt;0,AK11&gt;0),MIN(AI11,AK11),MAX(AI11,AK11))*Y11*J11^2*1E-4*DATOS!$C$16/100/1000))/2)+BE11-(IF(AND(AI11&gt;0,AK11&gt;0),MIN(AI11,AK11),MAX(AI11,AK11))*Y11*J11^2*1E-4*DATOS!$C$16/100/1000))^2-16*((AM11*Y11*J11^2*1E-4*DATOS!$C$16/100/1000)+((MAX(AI11,AK11)*Y11*J11^2*1E-4*DATOS!$C$16/100/1000)+(IF(AND(AI11&gt;0,AK11&gt;0),MIN(AI11,AK11),MAX(AI11,AK11))*Y11*J11^2*1E-4*DATOS!$C$16/100/1000))/2)*BE11))))/(8*MAX(((AM11*Y11*J11^2*1E-4*DATOS!$C$16/100/1000)+((MAX(AI11,AK11)*Y11*J11^2*1E-4*DATOS!$C$16/100/1000)+(IF(AND(AI11&gt;0,AK11&gt;0),MIN(AI11,AK11),MAX(AI11,AK11))*Y11*J11^2*1E-4*DATOS!$C$16/100/1000))/2),1E-9))+MAX(CH11,12*INDEX(TABLAS!$C$52:$C$58,MATCH(CF11,TABLAS!$B$52:$B$58,0)),O11/16),IF(OR(S11&lt;INDEX(TABLAS!$C$52:$C$58,MATCH(CF11,TABLAS!$B$52:$B$58,0)),AND(CG11&gt;=2,(DATOS!$C$13-2*S11-2*IF(DATOS!$C$25=0,0,INDEX(TABLAS!$C$52:$C$58,MATCH(DATOS!$C$25,TABLAS!$B$52:$B$58,0)))-CG11*INDEX(TABLAS!$C$52:$C$58,MATCH(CF11,TABLAS!$B$52:$B$58,0)))/MAX(CG11-1,1)&lt;2*INDEX(TABLAS!$C$52:$C$58,MATCH(CF11,TABLAS!$B$52:$B$58,0)))),INDEX(TABLAS!$I$52:$I$58,MATCH(CF11,TABLAS!$B$52:$B$58,0)),INDEX(TABLAS!$F$52:$F$58,MATCH(CF11,TABLAS!$B$52:$B$58,0)))),5)))</f>
        <v>85</v>
      </c>
      <c r="CW11" s="56">
        <f>MAX(0,INT((F11*100-DATOS!$C$17+DATOS!$C$13)/DATOS!$C$16))</f>
        <v>2</v>
      </c>
      <c r="CX11" s="56">
        <f>MAX(0,INT((G11*100-DATOS!$C$17+DATOS!$C$13)/DATOS!$C$16))</f>
        <v>4</v>
      </c>
      <c r="CY11" s="51" t="str">
        <f>IF(COUNTIFS(TRIB!$C$6:$C$255,B11,TRIB!$K$6:$K$255,"NO CUMPLE*")+COUNTIFS(TRIB!$C$6:$C$255,B11,TRIB!$K$6:$K$255,"SIN APOYO*")&gt;0,"VER PRINCIPALES",IF((APOYOS!$F$37="LIBRE")+(APOYOS!$F$38="LIBRE")+(APOYOS!$F$39="LIBRE")+(APOYOS!$F$40="LIBRE")&gt;0,"REVISAR: borde libre","OK"))</f>
        <v>OK</v>
      </c>
      <c r="CZ11" s="64" t="str">
        <f>IF(D11="HUECO","HUECO — marco de nervaduras principales",IF(AND(MAX(BL11,BT11,CB11,CJ11)&lt;=1,NOT(OR(BI11&gt;MIN(DATOS!$C$28,INT(((DATOS!$C$13-2*R11-2*IF(DATOS!$C$25=0,0,INDEX(TABLAS!$C$52:$C$58,MATCH(DATOS!$C$25,TABLAS!$B$52:$B$58,0))))+DATOS!$C$32)/(INDEX(TABLAS!$C$52:$C$58,MATCH(BH11,TABLAS!$B$52:$B$58,0))+DATOS!$C$32))),BQ11&gt;MIN(DATOS!$C$28,INT(((DATOS!$C$13-2*S11-2*IF(DATOS!$C$25=0,0,INDEX(TABLAS!$C$52:$C$58,MATCH(DATOS!$C$25,TABLAS!$B$52:$B$58,0))))+DATOS!$C$32)/(INDEX(TABLAS!$C$52:$C$58,MATCH(BP11,TABLAS!$B$52:$B$58,0))+DATOS!$C$32))),BY11&gt;MIN(DATOS!$C$28,INT(((DATOS!$C$13-2*R11-2*IF(DATOS!$C$25=0,0,INDEX(TABLAS!$C$52:$C$58,MATCH(DATOS!$C$25,TABLAS!$B$52:$B$58,0))))+DATOS!$C$32)/(INDEX(TABLAS!$C$52:$C$58,MATCH(BX11,TABLAS!$B$52:$B$58,0))+DATOS!$C$32))),CG11&gt;MIN(DATOS!$C$28,INT(((DATOS!$C$13-2*S11-2*IF(DATOS!$C$25=0,0,INDEX(TABLAS!$C$52:$C$58,MATCH(DATOS!$C$25,TABLAS!$B$52:$B$58,0))))+DATOS!$C$32)/(INDEX(TABLAS!$C$52:$C$58,MATCH(CF11,TABLAS!$B$52:$B$58,0))+DATOS!$C$32))))),NOT(OR(AND(ISNUMBER(BM11),BM11&lt;0.005),AND(ISNUMBER(BU11),BU11&lt;0.005),AND(ISNUMBER(CC11),CC11&lt;0.005),AND(ISNUMBER(CK11),CK11&lt;0.005))),CS11="CUMPLE",CT11="CUMPLE"),IF(CY11="OK",IF(LEFT(CO11,6)="CUMPLE","CUMPLE","CUMPLE — "&amp;CO11)&amp;IF(LEFT(AZ11,5)="FUERA"," · fuera de 3.4.2.1 c)",""),IF(CY11="VER PRINCIPALES","VER PRINCIPALES","REVISAR APOYOS")),IF(AND(MAX(BL11,BT11,CB11,CJ11)&lt;=1,NOT(OR(BI11&gt;MIN(DATOS!$C$28,INT(((DATOS!$C$13-2*R11-2*IF(DATOS!$C$25=0,0,INDEX(TABLAS!$C$52:$C$58,MATCH(DATOS!$C$25,TABLAS!$B$52:$B$58,0))))+DATOS!$C$32)/(INDEX(TABLAS!$C$52:$C$58,MATCH(BH11,TABLAS!$B$52:$B$58,0))+DATOS!$C$32))),BQ11&gt;MIN(DATOS!$C$28,INT(((DATOS!$C$13-2*S11-2*IF(DATOS!$C$25=0,0,INDEX(TABLAS!$C$52:$C$58,MATCH(DATOS!$C$25,TABLAS!$B$52:$B$58,0))))+DATOS!$C$32)/(INDEX(TABLAS!$C$52:$C$58,MATCH(BP11,TABLAS!$B$52:$B$58,0))+DATOS!$C$32))),BY11&gt;MIN(DATOS!$C$28,INT(((DATOS!$C$13-2*R11-2*IF(DATOS!$C$25=0,0,INDEX(TABLAS!$C$52:$C$58,MATCH(DATOS!$C$25,TABLAS!$B$52:$B$58,0))))+DATOS!$C$32)/(INDEX(TABLAS!$C$52:$C$58,MATCH(BX11,TABLAS!$B$52:$B$58,0))+DATOS!$C$32))),CG11&gt;MIN(DATOS!$C$28,INT(((DATOS!$C$13-2*S11-2*IF(DATOS!$C$25=0,0,INDEX(TABLAS!$C$52:$C$58,MATCH(DATOS!$C$25,TABLAS!$B$52:$B$58,0))))+DATOS!$C$32)/(INDEX(TABLAS!$C$52:$C$58,MATCH(CF11,TABLAS!$B$52:$B$58,0))+DATOS!$C$32))))),NOT(OR(AND(ISNUMBER(BM11),BM11&lt;0.005),AND(ISNUMBER(BU11),BU11&lt;0.005),AND(ISNUMBER(CC11),CC11&lt;0.005),AND(ISNUMBER(CK11),CK11&lt;0.005))),CS11="CALCULAR FLECHA"),"REVISAR: calcular flecha (h_eq &lt; h mín.)","NO CUMPLE: "&amp;IF(MAX(BL11,BT11,CB11,CJ11)&gt;1,"flexión ","")&amp;IF(OR(BI11&gt;MIN(DATOS!$C$28,INT(((DATOS!$C$13-2*R11-2*IF(DATOS!$C$25=0,0,INDEX(TABLAS!$C$52:$C$58,MATCH(DATOS!$C$25,TABLAS!$B$52:$B$58,0))))+DATOS!$C$32)/(INDEX(TABLAS!$C$52:$C$58,MATCH(BH11,TABLAS!$B$52:$B$58,0))+DATOS!$C$32))),BQ11&gt;MIN(DATOS!$C$28,INT(((DATOS!$C$13-2*S11-2*IF(DATOS!$C$25=0,0,INDEX(TABLAS!$C$52:$C$58,MATCH(DATOS!$C$25,TABLAS!$B$52:$B$58,0))))+DATOS!$C$32)/(INDEX(TABLAS!$C$52:$C$58,MATCH(BP11,TABLAS!$B$52:$B$58,0))+DATOS!$C$32))),BY11&gt;MIN(DATOS!$C$28,INT(((DATOS!$C$13-2*R11-2*IF(DATOS!$C$25=0,0,INDEX(TABLAS!$C$52:$C$58,MATCH(DATOS!$C$25,TABLAS!$B$52:$B$58,0))))+DATOS!$C$32)/(INDEX(TABLAS!$C$52:$C$58,MATCH(BX11,TABLAS!$B$52:$B$58,0))+DATOS!$C$32))),CG11&gt;MIN(DATOS!$C$28,INT(((DATOS!$C$13-2*S11-2*IF(DATOS!$C$25=0,0,INDEX(TABLAS!$C$52:$C$58,MATCH(DATOS!$C$25,TABLAS!$B$52:$B$58,0))))+DATOS!$C$32)/(INDEX(TABLAS!$C$52:$C$58,MATCH(CF11,TABLAS!$B$52:$B$58,0))+DATOS!$C$32)))),"no caben ","")&amp;IF(OR(AND(ISNUMBER(BM11),BM11&lt;0.005),AND(ISNUMBER(BU11),BU11&lt;0.005),AND(ISNUMBER(CC11),CC11&lt;0.005),AND(ISNUMBER(CK11),CK11&lt;0.005)),"ε_t &lt; 0.005 ","")&amp;IF(CS11="NO CUMPLE","peralte ","")&amp;IF(CT11&lt;&gt;"CUMPLE","capa &lt; 6 cm",""))))</f>
        <v>CUMPLE · fuera de 3.4.2.1 c)</v>
      </c>
      <c r="DA11" s="65" t="str">
        <f>IF(AND(D11="PERIMETRAL",MIN(CW11,CX11)=0),"Tablero macizo (no cabe un casetón en el claro corto): no aplica 6.7.8. La resistencia se revisa con una nervadura de 10 cm cada 70 cm y r_np (conservador); "&amp;"como losa maciza lleva además As,mín = 0.0018·Ag en cada dirección cerca de la cara a tensión (6.7.6.1.1, p. 175). ",IF(AND(CL11="NO",D11="PERIMETRAL"),"No cumple 6.7.8.1.4 (a_c = "&amp;DATOS!$C$11&amp;" cm &gt; claro corto/6 = "&amp;TEXT(J11*100/6,"0")&amp;" cm): se diseña como losa apoyada en vigas (6.7.8.1.9): nervaduras con recubrimiento de viga r_np = "&amp;DATOS!$C$22&amp;" cm (Tabla 4.14.16.a), V_cR sin ×1.1 y cortante sin estribos por 5.5.3.8.1 (criterio del Proyectista). Para que cuente como encasetonada: casetón de "&amp;TEXT(FLOOR(MIN(80,J11*100/6),1),"0")&amp;" cm o menor. ",""))&amp;IF(LEFT(AZ11,5)="FUERA","M⁻ del borde común "&amp;AZ11&amp;": difieren más de 50% (3.4.2.1 c); se distribuyen 2/3 del desequilibrio (3.4.3.1) y conviene confirmar los momentos con el modelo. ","")&amp;"—"</f>
        <v>No cumple 6.7.8.1.4 (a_c = 60 cm &gt; claro corto/6 = 27 cm): se diseña como losa apoyada en vigas (6.7.8.1.9): nervaduras con recubrimiento de viga r_np = 4 cm (Tabla 4.14.16.a), V_cR sin ×1.1 y cortante sin estribos por 5.5.3.8.1 (criterio del Proyectista). Para que cuente como encasetonada: casetón de 26 cm o menor. M⁻ del borde común FUERA con F80008 · continuidad asimétrica con F80008 (cada uno con su momento; revisar APOYOS): difieren más de 50% (3.4.2.1 c); se distribuyen 2/3 del desequilibrio (3.4.3.1) y conviene confirmar los momentos con el modelo. —</v>
      </c>
    </row>
    <row r="12" ht="30" customHeight="1">
      <c r="B12" s="51" t="inlineStr">
        <is>
          <t>F80005 N+3.00</t>
        </is>
      </c>
      <c r="C12" s="52" t="inlineStr">
        <is>
          <t>N+3.00</t>
        </is>
      </c>
      <c r="D12" s="53" t="inlineStr">
        <is>
          <t>PERIMETRAL</t>
        </is>
      </c>
      <c r="E12" s="53" t="inlineStr">
        <is>
          <t>HABITACIÓN</t>
        </is>
      </c>
      <c r="F12" s="54" t="n">
        <v>2.925</v>
      </c>
      <c r="G12" s="54" t="n">
        <v>1.602</v>
      </c>
      <c r="H12" s="55" t="n">
        <v>2.925</v>
      </c>
      <c r="I12" s="55" t="n">
        <v>1.602</v>
      </c>
      <c r="J12" s="36">
        <f>MIN(H12,I12)</f>
        <v>1.602</v>
      </c>
      <c r="K12" s="36">
        <f>MAX(H12,I12)</f>
        <v>2.925</v>
      </c>
      <c r="L12" s="36">
        <f>IF(K12&gt;0,J12/K12,0)</f>
        <v>0.547692307692308</v>
      </c>
      <c r="M12" s="52" t="str">
        <f>IF(H12&lt;=I12,"X","Y")</f>
        <v>Y</v>
      </c>
      <c r="N12" s="56">
        <f>MAX(0,J12*100-IF(D12="VOLADO",DATOS!$C$17/2,DATOS!$C$17))</f>
        <v>145.2</v>
      </c>
      <c r="O12" s="56">
        <f>MAX(0,K12*100-DATOS!$C$17)</f>
        <v>277.5</v>
      </c>
      <c r="P12" s="57">
        <f>MIN(DATOS!$C$16,DATOS!$C$13+2*MIN(8*DATOS!$C$14,DATOS!$C$11/2,N12/8))</f>
        <v>46.3</v>
      </c>
      <c r="Q12" s="57">
        <f>MIN(DATOS!$C$16,DATOS!$C$13+2*MIN(8*DATOS!$C$14,DATOS!$C$11/2,O12/8))</f>
        <v>70</v>
      </c>
      <c r="R12" s="57">
        <f>IF(D12="VOLADO",DATOS!$C$21,IF(CL12="NO",DATOS!$C$22,DATOS!$C$20))</f>
        <v>4</v>
      </c>
      <c r="S12" s="57">
        <f>IF(OR(AND(C12="N+6.00",DATOS!$C$23="SÍ"),AND(D12="VOLADO",DATOS!$C$24="SÍ")),DATOS!$C$21,IF(CL12="NO",DATOS!$C$22,DATOS!$C$20))</f>
        <v>4</v>
      </c>
      <c r="T12" s="58" t="n">
        <v>160</v>
      </c>
      <c r="U12" s="56">
        <f>IF(E12="HABITACIÓN",DATOS!$C$89,DATOS!$C$92)</f>
        <v>190</v>
      </c>
      <c r="V12" s="56">
        <f>CARGAS!$C$9</f>
        <v>293.673469387755</v>
      </c>
      <c r="W12" s="56">
        <f>V12+T12</f>
        <v>453.673469387755</v>
      </c>
      <c r="X12" s="56">
        <f>W12+U12</f>
        <v>643.673469387755</v>
      </c>
      <c r="Y12" s="59">
        <f>MAX(DATOS!$C$55*W12+DATOS!$C$56*U12,IF(E12="AZOTEA",DATOS!$C$57*(W12+DATOS!$C$97),0))</f>
        <v>874.775510204082</v>
      </c>
      <c r="Z12" s="56">
        <f>(APOYOS!$G$41="DISCONTINUO")+(APOYOS!$G$42="DISCONTINUO")+(APOYOS!$G$43="DISCONTINUO")+(APOYOS!$G$44="DISCONTINUO")</f>
        <v>1</v>
      </c>
      <c r="AA12" s="56">
        <f>IF(M12="X",(APOYOS!$G$41="DISCONTINUO")+(APOYOS!$G$42="DISCONTINUO"),(APOYOS!$G$43="DISCONTINUO")+(APOYOS!$G$44="DISCONTINUO"))</f>
        <v>1</v>
      </c>
      <c r="AB12" s="56">
        <f>Z12-AA12</f>
        <v>0</v>
      </c>
      <c r="AC12" s="52" t="str">
        <f>IF(Z12=0,"INTERIOR",IF(Z12=1,IF(AA12=1,"BORDE-CORTO","BORDE-LARGO"),IF(Z12=2,IF(AA12=1,"ESQUINA",IF(AA12=2,"EXTREMO-LARGO","EXTREMO-CORTO")),IF(Z12=3,IF(AA12=2,"EXTREMO-LARGO","EXTREMO-CORTO"),"AISLADO"))))</f>
        <v>BORDE-CORTO</v>
      </c>
      <c r="AD12" s="53" t="inlineStr">
        <is>
          <t>AUTO</t>
        </is>
      </c>
      <c r="AE12" s="60" t="str">
        <f>IF(AD12="AUTO",AC12,AD12)</f>
        <v>BORDE-CORTO</v>
      </c>
      <c r="AF12" s="56">
        <f>MATCH(L12,TABLAS!$D$5:$J$5,1)</f>
        <v>2</v>
      </c>
      <c r="AG12" s="43">
        <f>IF(AF12&gt;=7,0,(L12-INDEX(TABLAS!$D$5:$J$5,AF12))/(INDEX(TABLAS!$D$5:$J$5,AF12+1)-INDEX(TABLAS!$D$5:$J$5,AF12)))</f>
        <v>0.476923076923078</v>
      </c>
      <c r="AH12" s="56">
        <f>INDEX(TABLAS!$D$6:$J$47,MATCH(AE12&amp;"|NIC",TABLAS!$B$6:$B$47,0),AF12)+AG12*(INDEX(TABLAS!$D$6:$J$47,MATCH(AE12&amp;"|NIC",TABLAS!$B$6:$B$47,0),MIN(AF12+1,7))-INDEX(TABLAS!$D$6:$J$47,MATCH(AE12&amp;"|NIC",TABLAS!$B$6:$B$47,0),AF12))</f>
        <v>1068.56923076923</v>
      </c>
      <c r="AI12" s="56">
        <f>INDEX(TABLAS!$D$6:$J$47,MATCH(AE12&amp;"|NIL",TABLAS!$B$6:$B$47,0),AF12)+AG12*(INDEX(TABLAS!$D$6:$J$47,MATCH(AE12&amp;"|NIL",TABLAS!$B$6:$B$47,0),MIN(AF12+1,7))-INDEX(TABLAS!$D$6:$J$47,MATCH(AE12&amp;"|NIL",TABLAS!$B$6:$B$47,0),AF12))</f>
        <v>543.830769230769</v>
      </c>
      <c r="AJ12" s="56">
        <f>INDEX(TABLAS!$D$6:$J$47,MATCH(AE12&amp;"|NDC",TABLAS!$B$6:$B$47,0),AF12)+AG12*(INDEX(TABLAS!$D$6:$J$47,MATCH(AE12&amp;"|NDC",TABLAS!$B$6:$B$47,0),MIN(AF12+1,7))-INDEX(TABLAS!$D$6:$J$47,MATCH(AE12&amp;"|NDC",TABLAS!$B$6:$B$47,0),AF12))</f>
        <v>0</v>
      </c>
      <c r="AK12" s="56">
        <f>INDEX(TABLAS!$D$6:$J$47,MATCH(AE12&amp;"|NDL",TABLAS!$B$6:$B$47,0),AF12)+AG12*(INDEX(TABLAS!$D$6:$J$47,MATCH(AE12&amp;"|NDL",TABLAS!$B$6:$B$47,0),MIN(AF12+1,7))-INDEX(TABLAS!$D$6:$J$47,MATCH(AE12&amp;"|NDL",TABLAS!$B$6:$B$47,0),AF12))</f>
        <v>253.230769230769</v>
      </c>
      <c r="AL12" s="56">
        <f>INDEX(TABLAS!$D$6:$J$47,MATCH(AE12&amp;"|PC",TABLAS!$B$6:$B$47,0),AF12)+AG12*(INDEX(TABLAS!$D$6:$J$47,MATCH(AE12&amp;"|PC",TABLAS!$B$6:$B$47,0),MIN(AF12+1,7))-INDEX(TABLAS!$D$6:$J$47,MATCH(AE12&amp;"|PC",TABLAS!$B$6:$B$47,0),AF12))</f>
        <v>311.353846153846</v>
      </c>
      <c r="AM12" s="56">
        <f>INDEX(TABLAS!$D$6:$J$47,MATCH(AE12&amp;"|PL",TABLAS!$B$6:$B$47,0),AF12)+AG12*(INDEX(TABLAS!$D$6:$J$47,MATCH(AE12&amp;"|PL",TABLAS!$B$6:$B$47,0),MIN(AF12+1,7))-INDEX(TABLAS!$D$6:$J$47,MATCH(AE12&amp;"|PL",TABLAS!$B$6:$B$47,0),AF12))</f>
        <v>246.784615384615</v>
      </c>
      <c r="AN12" s="36">
        <f>IF(D12="PERIMETRAL",IF(APOYOS!$G$41="CONTINUO",IF(M12="Y",AH12,AI12),IF(M12="Y",AJ12,AK12))*Y12*J12^2*1E-4*DATOS!$C$16/100/1000,0)</f>
        <v>0.167927701774211</v>
      </c>
      <c r="AO12" s="36">
        <f>IF(D12="PERIMETRAL",IF(APOYOS!$G$42="CONTINUO",IF(M12="Y",AH12,AI12),IF(M12="Y",AJ12,AK12))*Y12*J12^2*1E-4*DATOS!$C$16/100/1000,0)</f>
        <v>0.167927701774211</v>
      </c>
      <c r="AP12" s="36">
        <f>IF(D12="PERIMETRAL",IF(APOYOS!$G$43="CONTINUO",IF(M12="X",AH12,AI12),IF(M12="X",AJ12,AK12))*Y12*J12^2*1E-4*DATOS!$C$16/100/1000,0)</f>
        <v>0.039795700522676</v>
      </c>
      <c r="AQ12" s="36">
        <f>IF(D12="PERIMETRAL",IF(APOYOS!$G$44="CONTINUO",IF(M12="X",AH12,AI12),IF(M12="X",AJ12,AK12))*Y12*J12^2*1E-4*DATOS!$C$16/100/1000,0)</f>
        <v>0.0854640472524955</v>
      </c>
      <c r="AR12" s="56">
        <f>IF(D12="PERIMETRAL",IF(M12="X",BN12,CD12)^3/(J12*100),0)</f>
        <v>37.131300743814</v>
      </c>
      <c r="AS12" s="56">
        <f>IF(D12="PERIMETRAL",IF(M12="Y",BN12,CD12)^3/(J12*100),0)</f>
        <v>45.4991957607303</v>
      </c>
      <c r="AT12" s="36">
        <f>IF(D12="PERIMETRAL",MAX(0,IF(M12="Y",IF(AND(OR(APOYOS!$G$41="CONTINUO",APOYOS!$G$34="CONTINUO"),AN12&gt;0,AO10&gt;0,AO10&gt;AN12),AN12+2/3*(AO10-AN12)*AS12/MAX(AS12+AS10,1E-9),0),0),IF(M12="Y",IF(AND(OR(APOYOS!$G$42="CONTINUO",APOYOS!$G$49="CONTINUO"),AO12&gt;0,AN14&gt;0,AN14&gt;AO12),AO12+2/3*(AN14-AO12)*AS12/MAX(AS12+AS14,1E-9),0),0),IF(M12="X",IF(AND(OR(APOYOS!$G$44="CONTINUO",APOYOS!$G$35="CONTINUO"),AQ12&gt;0,AP10&gt;0,AP10&gt;AQ12),AQ12+2/3*(AP10-AQ12)*AR12/MAX(AR12+AR10,1E-9),0),0),IF(M12="X",IF(AND(OR(APOYOS!$G$44="CONTINUO",APOYOS!$G$47="CONTINUO"),AQ12&gt;0,AP13&gt;0,AP13&gt;AQ12),AQ12+2/3*(AP13-AQ12)*AR12/MAX(AR12+AR13,1E-9),0),0)),0)</f>
        <v>0.286845210560096</v>
      </c>
      <c r="AU12" s="36">
        <f>IF(D12="PERIMETRAL",MAX(0,IF(M12&lt;&gt;"Y",IF(AND(OR(APOYOS!$G$41="CONTINUO",APOYOS!$G$34="CONTINUO"),AN12&gt;0,AO10&gt;0,AO10&gt;AN12),AN12+2/3*(AO10-AN12)*AS12/MAX(AS12+AS10,1E-9),0),0),IF(M12&lt;&gt;"Y",IF(AND(OR(APOYOS!$G$42="CONTINUO",APOYOS!$G$49="CONTINUO"),AO12&gt;0,AN14&gt;0,AN14&gt;AO12),AO12+2/3*(AN14-AO12)*AS12/MAX(AS12+AS14,1E-9),0),0),IF(M12&lt;&gt;"X",IF(AND(OR(APOYOS!$G$44="CONTINUO",APOYOS!$G$35="CONTINUO"),AQ12&gt;0,AP10&gt;0,AP10&gt;AQ12),AQ12+2/3*(AP10-AQ12)*AR12/MAX(AR12+AR10,1E-9),0),0),IF(M12&lt;&gt;"X",IF(AND(OR(APOYOS!$G$44="CONTINUO",APOYOS!$G$47="CONTINUO"),AQ12&gt;0,AP13&gt;0,AP13&gt;AQ12),AQ12+2/3*(AP13-AQ12)*AR12/MAX(AR12+AR13,1E-9),0),0)),0)</f>
        <v>0.10587692673724</v>
      </c>
      <c r="AV12" s="36">
        <f>IF(D12="PERIMETRAL",(IF(M12="Y",IF(AND(OR(APOYOS!$G$41="CONTINUO",APOYOS!$G$34="CONTINUO"),AN12&gt;0,AO10&gt;0,AN12&gt;AO10),2/3*(AN12-AO10)*AS12/MAX(AS12+AS10,1E-9),0),0)+IF(M12="Y",IF(AND(OR(APOYOS!$G$42="CONTINUO",APOYOS!$G$49="CONTINUO"),AO12&gt;0,AN14&gt;0,AO12&gt;AN14),2/3*(AO12-AN14)*AS12/MAX(AS12+AS14,1E-9),0),0)+IF(M12="X",MAX(IF(AND(OR(APOYOS!$G$44="CONTINUO",APOYOS!$G$35="CONTINUO"),AQ12&gt;0,AP10&gt;0,AQ12&gt;AP10),2/3*(AQ12-AP10)*AR12/MAX(AR12+AR10,1E-9),0),IF(AND(OR(APOYOS!$G$44="CONTINUO",APOYOS!$G$47="CONTINUO"),AQ12&gt;0,AP13&gt;0,AQ12&gt;AP13),2/3*(AQ12-AP13)*AR12/MAX(AR12+AR13,1E-9),0)),0))/2,0)</f>
        <v>0.0128506018777904</v>
      </c>
      <c r="AW12" s="36">
        <f>IF(D12="PERIMETRAL",(IF(M12&lt;&gt;"Y",IF(AND(OR(APOYOS!$G$41="CONTINUO",APOYOS!$G$34="CONTINUO"),AN12&gt;0,AO10&gt;0,AN12&gt;AO10),2/3*(AN12-AO10)*AS12/MAX(AS12+AS10,1E-9),0),0)+IF(M12&lt;&gt;"Y",IF(AND(OR(APOYOS!$G$42="CONTINUO",APOYOS!$G$49="CONTINUO"),AO12&gt;0,AN14&gt;0,AO12&gt;AN14),2/3*(AO12-AN14)*AS12/MAX(AS12+AS14,1E-9),0),0)+IF(M12&lt;&gt;"X",MAX(IF(AND(OR(APOYOS!$G$44="CONTINUO",APOYOS!$G$35="CONTINUO"),AQ12&gt;0,AP10&gt;0,AQ12&gt;AP10),2/3*(AQ12-AP10)*AR12/MAX(AR12+AR10,1E-9),0),IF(AND(OR(APOYOS!$G$44="CONTINUO",APOYOS!$G$47="CONTINUO"),AQ12&gt;0,AP13&gt;0,AQ12&gt;AP13),2/3*(AQ12-AP13)*AR12/MAX(AR12+AR13,1E-9),0)),0))/2,0)</f>
        <v>0.0071123807583253</v>
      </c>
      <c r="AX12" s="36">
        <f>IF(D12="PERIMETRAL",MAX(0,0),0)</f>
        <v>0</v>
      </c>
      <c r="AY12" s="52" t="str">
        <f>IF(D12&lt;&gt;"PERIMETRAL","",IF(OR(AND(OR(APOYOS!$G$41="CONTINUO",APOYOS!$G$34="CONTINUO"),AN12&gt;0,AO10&gt;0,ABS(AN12-AO10)&gt;0.5*MIN(AN12,AO10)),AND(OR(APOYOS!$G$44="CONTINUO",APOYOS!$G$35="CONTINUO"),AQ12&gt;0,AP10&gt;0,ABS(AQ12-AP10)&gt;0.5*MIN(AQ12,AP10)))," F80003","")&amp;IF(AND(OR(APOYOS!$G$42="CONTINUO",APOYOS!$G$49="CONTINUO"),AO12&gt;0,AN14&gt;0,ABS(AO12-AN14)&gt;0.5*MIN(AO12,AN14))," F80007","")&amp;IF(AND(OR(APOYOS!$G$44="CONTINUO",APOYOS!$G$47="CONTINUO"),AQ12&gt;0,AP13&gt;0,ABS(AQ12-AP13)&gt;0.5*MIN(AQ12,AP13))," F80006",""))</f>
        <v> F80003 F80007 F80006</v>
      </c>
      <c r="AZ12" s="52" t="str">
        <f>IF(D12&lt;&gt;"PERIMETRAL","—",IF(AY12="","CUMPLE","FUERA con"&amp;AY12)&amp;IF(AND(D10="PERIMETRAL",APOYOS!$G$41&lt;&gt;APOYOS!$G$34)," · continuidad asimétrica con F80003 (cada uno con su momento; revisar APOYOS)","")&amp;IF(AND(D14="PERIMETRAL",APOYOS!$G$42&lt;&gt;APOYOS!$G$49)," · continuidad asimétrica con F80007 (cada uno con su momento; revisar APOYOS)","")&amp;IF(AND(D13="PERIMETRAL",APOYOS!$G$44&lt;&gt;APOYOS!$G$47)," · continuidad asimétrica con F80006 (cada uno con su momento; revisar APOYOS)",""))</f>
        <v>FUERA con F80003 F80007 F80006</v>
      </c>
      <c r="BA12" s="61" t="n">
        <v>0</v>
      </c>
      <c r="BB12" s="36">
        <f>IF(D12="PERIMETRAL",AL12*Y12*J12^2*1E-4*DATOS!$C$16/100/1000+AV12,0)</f>
        <v>0.0617804552907866</v>
      </c>
      <c r="BC12" s="36">
        <f>IF(D12="PERIMETRAL",MAX(MAX(AH12,AJ12)*Y12*J12^2*1E-4*DATOS!$C$16/100/1000,AT12),IF(D12="VOLADO",(Y12*(N12/100)^2/2+DATOS!$C$55*BA12*N12/100)*DATOS!$C$16/100/1000,0))</f>
        <v>0.286845210560096</v>
      </c>
      <c r="BD12" s="36">
        <f>IF(D12="PERIMETRAL",AM12*Y12*J12^2*1E-4*DATOS!$C$16/100/1000+AW12,0)</f>
        <v>0.0458950558545736</v>
      </c>
      <c r="BE12" s="36">
        <f>IF(D12="PERIMETRAL",MAX(MAX(AI12,AK12)*Y12*J12^2*1E-4*DATOS!$C$16/100/1000,AU12),0)</f>
        <v>0.10587692673724</v>
      </c>
      <c r="BF12" s="43">
        <f>(DATOS!$C$15-R12-IF(DATOS!$C$25=0,0,INDEX(TABLAS!$C$52:$C$58,MATCH(DATOS!$C$25,TABLAS!$B$52:$B$58,0)))-INDEX(TABLAS!$C$52:$C$58,MATCH(DATOS!$C$26,TABLAS!$B$52:$B$58,0))/2)</f>
        <v>20.365</v>
      </c>
      <c r="BG12" s="43">
        <f>IF(D12="HUECO",0,IF(IF(BB12&lt;=0,0,IF((1-2*BB12*1E5/(DATOS!$C$58*P12*BF12^2*DATOS!$C$48))&lt;0,-1,IF((1-SQRT((1-2*BB12*1E5/(DATOS!$C$58*P12*BF12^2*DATOS!$C$48))))*DATOS!$C$48*P12*BF12/DATOS!$C$40&gt;DATOS!$C$82*P12*BF12,-1,(1-SQRT((1-2*BB12*1E5/(DATOS!$C$58*P12*BF12^2*DATOS!$C$48))))*DATOS!$C$48*P12*BF12/DATOS!$C$40)))&lt;0,-1,MAX(IF(BB12&lt;=0,0,IF((1-2*BB12*1E5/(DATOS!$C$58*P12*BF12^2*DATOS!$C$48))&lt;0,-1,IF((1-SQRT((1-2*BB12*1E5/(DATOS!$C$58*P12*BF12^2*DATOS!$C$48))))*DATOS!$C$48*P12*BF12/DATOS!$C$40&gt;DATOS!$C$82*P12*BF12,-1,(1-SQRT((1-2*BB12*1E5/(DATOS!$C$58*P12*BF12^2*DATOS!$C$48))))*DATOS!$C$48*P12*BF12/DATOS!$C$40))),MIN(DATOS!$C$83*DATOS!$C$13*BF12,4/3*IF(BB12&lt;=0,0,IF((1-2*BB12*1E5/(DATOS!$C$58*P12*BF12^2*DATOS!$C$48))&lt;0,-1,IF((1-SQRT((1-2*BB12*1E5/(DATOS!$C$58*P12*BF12^2*DATOS!$C$48))))*DATOS!$C$48*P12*BF12/DATOS!$C$40&gt;DATOS!$C$82*P12*BF12,-1,(1-SQRT((1-2*BB12*1E5/(DATOS!$C$58*P12*BF12^2*DATOS!$C$48))))*DATOS!$C$48*P12*BF12/DATOS!$C$40)))))))</f>
        <v>0.107097514618835</v>
      </c>
      <c r="BH12" s="41">
        <f>IF(AND(BG12&gt;=0,IF(MAX(DATOS!$C$29,CEILING(BG12/INDEX(TABLAS!$D$52:$D$58,MIN(MATCH(DATOS!$C$26,TABLAS!$B$52:$B$58,0)+0,7)),1))*INDEX(TABLAS!$D$52:$D$58,MIN(MATCH(DATOS!$C$26,TABLAS!$B$52:$B$58,0)+0,7))&gt;=4/3*IF(BB12&lt;=0,0,IF((1-2*BB12*1E5/(DATOS!$C$58*P12*BF12^2*DATOS!$C$48))&lt;0,-1,IF((1-SQRT((1-2*BB12*1E5/(DATOS!$C$58*P12*BF12^2*DATOS!$C$48))))*DATOS!$C$48*P12*BF12/DATOS!$C$40&gt;DATOS!$C$82*P12*BF12,-1,(1-SQRT((1-2*BB12*1E5/(DATOS!$C$58*P12*BF12^2*DATOS!$C$48))))*DATOS!$C$48*P12*BF12/DATOS!$C$40)))-0.0001,MAX(DATOS!$C$29,CEILING(BG12/INDEX(TABLAS!$D$52:$D$58,MIN(MATCH(DATOS!$C$26,TABLAS!$B$52:$B$58,0)+0,7)),1)),MAX(MAX(DATOS!$C$29,CEILING(BG12/INDEX(TABLAS!$D$52:$D$58,MIN(MATCH(DATOS!$C$26,TABLAS!$B$52:$B$58,0)+0,7)),1)),2))&lt;=MIN(DATOS!$C$28,INT(((DATOS!$C$13-2*R12-2*IF(DATOS!$C$25=0,0,INDEX(TABLAS!$C$52:$C$58,MATCH(DATOS!$C$25,TABLAS!$B$52:$B$58,0))))+MAX(DATOS!$C$32,INDEX(TABLAS!$C$52:$C$58,MIN(MATCH(DATOS!$C$26,TABLAS!$B$52:$B$58,0)+0,7))))/(INDEX(TABLAS!$C$52:$C$58,MIN(MATCH(DATOS!$C$26,TABLAS!$B$52:$B$58,0)+0,7))+MAX(DATOS!$C$32,INDEX(TABLAS!$C$52:$C$58,MIN(MATCH(DATOS!$C$26,TABLAS!$B$52:$B$58,0)+0,7))))))),INDEX(TABLAS!$B$52:$B$58,MIN(MATCH(DATOS!$C$26,TABLAS!$B$52:$B$58,0)+0,7)),IF(AND(BG12&gt;=0,IF(MAX(DATOS!$C$29,CEILING(BG12/INDEX(TABLAS!$D$52:$D$58,MIN(MATCH(DATOS!$C$26,TABLAS!$B$52:$B$58,0)+1,7)),1))*INDEX(TABLAS!$D$52:$D$58,MIN(MATCH(DATOS!$C$26,TABLAS!$B$52:$B$58,0)+1,7))&gt;=4/3*IF(BB12&lt;=0,0,IF((1-2*BB12*1E5/(DATOS!$C$58*P12*BF12^2*DATOS!$C$48))&lt;0,-1,IF((1-SQRT((1-2*BB12*1E5/(DATOS!$C$58*P12*BF12^2*DATOS!$C$48))))*DATOS!$C$48*P12*BF12/DATOS!$C$40&gt;DATOS!$C$82*P12*BF12,-1,(1-SQRT((1-2*BB12*1E5/(DATOS!$C$58*P12*BF12^2*DATOS!$C$48))))*DATOS!$C$48*P12*BF12/DATOS!$C$40)))-0.0001,MAX(DATOS!$C$29,CEILING(BG12/INDEX(TABLAS!$D$52:$D$58,MIN(MATCH(DATOS!$C$26,TABLAS!$B$52:$B$58,0)+1,7)),1)),MAX(MAX(DATOS!$C$29,CEILING(BG12/INDEX(TABLAS!$D$52:$D$58,MIN(MATCH(DATOS!$C$26,TABLAS!$B$52:$B$58,0)+1,7)),1)),2))&lt;=MIN(DATOS!$C$28,INT(((DATOS!$C$13-2*R12-2*IF(DATOS!$C$25=0,0,INDEX(TABLAS!$C$52:$C$58,MATCH(DATOS!$C$25,TABLAS!$B$52:$B$58,0))))+MAX(DATOS!$C$32,INDEX(TABLAS!$C$52:$C$58,MIN(MATCH(DATOS!$C$26,TABLAS!$B$52:$B$58,0)+1,7))))/(INDEX(TABLAS!$C$52:$C$58,MIN(MATCH(DATOS!$C$26,TABLAS!$B$52:$B$58,0)+1,7))+MAX(DATOS!$C$32,INDEX(TABLAS!$C$52:$C$58,MIN(MATCH(DATOS!$C$26,TABLAS!$B$52:$B$58,0)+1,7))))))),INDEX(TABLAS!$B$52:$B$58,MIN(MATCH(DATOS!$C$26,TABLAS!$B$52:$B$58,0)+1,7)),IF(AND(BG12&gt;=0,IF(MAX(DATOS!$C$29,CEILING(BG12/INDEX(TABLAS!$D$52:$D$58,MIN(MATCH(DATOS!$C$26,TABLAS!$B$52:$B$58,0)+2,7)),1))*INDEX(TABLAS!$D$52:$D$58,MIN(MATCH(DATOS!$C$26,TABLAS!$B$52:$B$58,0)+2,7))&gt;=4/3*IF(BB12&lt;=0,0,IF((1-2*BB12*1E5/(DATOS!$C$58*P12*BF12^2*DATOS!$C$48))&lt;0,-1,IF((1-SQRT((1-2*BB12*1E5/(DATOS!$C$58*P12*BF12^2*DATOS!$C$48))))*DATOS!$C$48*P12*BF12/DATOS!$C$40&gt;DATOS!$C$82*P12*BF12,-1,(1-SQRT((1-2*BB12*1E5/(DATOS!$C$58*P12*BF12^2*DATOS!$C$48))))*DATOS!$C$48*P12*BF12/DATOS!$C$40)))-0.0001,MAX(DATOS!$C$29,CEILING(BG12/INDEX(TABLAS!$D$52:$D$58,MIN(MATCH(DATOS!$C$26,TABLAS!$B$52:$B$58,0)+2,7)),1)),MAX(MAX(DATOS!$C$29,CEILING(BG12/INDEX(TABLAS!$D$52:$D$58,MIN(MATCH(DATOS!$C$26,TABLAS!$B$52:$B$58,0)+2,7)),1)),2))&lt;=MIN(DATOS!$C$28,INT(((DATOS!$C$13-2*R12-2*IF(DATOS!$C$25=0,0,INDEX(TABLAS!$C$52:$C$58,MATCH(DATOS!$C$25,TABLAS!$B$52:$B$58,0))))+MAX(DATOS!$C$32,INDEX(TABLAS!$C$52:$C$58,MIN(MATCH(DATOS!$C$26,TABLAS!$B$52:$B$58,0)+2,7))))/(INDEX(TABLAS!$C$52:$C$58,MIN(MATCH(DATOS!$C$26,TABLAS!$B$52:$B$58,0)+2,7))+MAX(DATOS!$C$32,INDEX(TABLAS!$C$52:$C$58,MIN(MATCH(DATOS!$C$26,TABLAS!$B$52:$B$58,0)+2,7))))))),INDEX(TABLAS!$B$52:$B$58,MIN(MATCH(DATOS!$C$26,TABLAS!$B$52:$B$58,0)+2,7)),IF(AND(BG12&gt;=0,IF(MAX(DATOS!$C$29,CEILING(BG12/INDEX(TABLAS!$D$52:$D$58,MIN(MATCH(DATOS!$C$26,TABLAS!$B$52:$B$58,0)+3,7)),1))*INDEX(TABLAS!$D$52:$D$58,MIN(MATCH(DATOS!$C$26,TABLAS!$B$52:$B$58,0)+3,7))&gt;=4/3*IF(BB12&lt;=0,0,IF((1-2*BB12*1E5/(DATOS!$C$58*P12*BF12^2*DATOS!$C$48))&lt;0,-1,IF((1-SQRT((1-2*BB12*1E5/(DATOS!$C$58*P12*BF12^2*DATOS!$C$48))))*DATOS!$C$48*P12*BF12/DATOS!$C$40&gt;DATOS!$C$82*P12*BF12,-1,(1-SQRT((1-2*BB12*1E5/(DATOS!$C$58*P12*BF12^2*DATOS!$C$48))))*DATOS!$C$48*P12*BF12/DATOS!$C$40)))-0.0001,MAX(DATOS!$C$29,CEILING(BG12/INDEX(TABLAS!$D$52:$D$58,MIN(MATCH(DATOS!$C$26,TABLAS!$B$52:$B$58,0)+3,7)),1)),MAX(MAX(DATOS!$C$29,CEILING(BG12/INDEX(TABLAS!$D$52:$D$58,MIN(MATCH(DATOS!$C$26,TABLAS!$B$52:$B$58,0)+3,7)),1)),2))&lt;=MIN(DATOS!$C$28,INT(((DATOS!$C$13-2*R12-2*IF(DATOS!$C$25=0,0,INDEX(TABLAS!$C$52:$C$58,MATCH(DATOS!$C$25,TABLAS!$B$52:$B$58,0))))+MAX(DATOS!$C$32,INDEX(TABLAS!$C$52:$C$58,MIN(MATCH(DATOS!$C$26,TABLAS!$B$52:$B$58,0)+3,7))))/(INDEX(TABLAS!$C$52:$C$58,MIN(MATCH(DATOS!$C$26,TABLAS!$B$52:$B$58,0)+3,7))+MAX(DATOS!$C$32,INDEX(TABLAS!$C$52:$C$58,MIN(MATCH(DATOS!$C$26,TABLAS!$B$52:$B$58,0)+3,7))))))),INDEX(TABLAS!$B$52:$B$58,MIN(MATCH(DATOS!$C$26,TABLAS!$B$52:$B$58,0)+3,7)),IF(AND(BG12&gt;=0,IF(MAX(DATOS!$C$29,CEILING(BG12/INDEX(TABLAS!$D$52:$D$58,MIN(MATCH(DATOS!$C$26,TABLAS!$B$52:$B$58,0)+4,7)),1))*INDEX(TABLAS!$D$52:$D$58,MIN(MATCH(DATOS!$C$26,TABLAS!$B$52:$B$58,0)+4,7))&gt;=4/3*IF(BB12&lt;=0,0,IF((1-2*BB12*1E5/(DATOS!$C$58*P12*BF12^2*DATOS!$C$48))&lt;0,-1,IF((1-SQRT((1-2*BB12*1E5/(DATOS!$C$58*P12*BF12^2*DATOS!$C$48))))*DATOS!$C$48*P12*BF12/DATOS!$C$40&gt;DATOS!$C$82*P12*BF12,-1,(1-SQRT((1-2*BB12*1E5/(DATOS!$C$58*P12*BF12^2*DATOS!$C$48))))*DATOS!$C$48*P12*BF12/DATOS!$C$40)))-0.0001,MAX(DATOS!$C$29,CEILING(BG12/INDEX(TABLAS!$D$52:$D$58,MIN(MATCH(DATOS!$C$26,TABLAS!$B$52:$B$58,0)+4,7)),1)),MAX(MAX(DATOS!$C$29,CEILING(BG12/INDEX(TABLAS!$D$52:$D$58,MIN(MATCH(DATOS!$C$26,TABLAS!$B$52:$B$58,0)+4,7)),1)),2))&lt;=MIN(DATOS!$C$28,INT(((DATOS!$C$13-2*R12-2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12" s="56">
        <f>IF(D12="HUECO",0,IF(BG12&lt;0,0,IF(MAX(DATOS!$C$29,CEILING(MAX(BG12,0)/INDEX(TABLAS!$D$52:$D$58,MATCH(BH12,TABLAS!$B$52:$B$58,0)),1))*INDEX(TABLAS!$D$52:$D$58,MATCH(BH12,TABLAS!$B$52:$B$58,0))&gt;=4/3*IF(BB12&lt;=0,0,IF((1-2*BB12*1E5/(DATOS!$C$58*P12*BF12^2*DATOS!$C$48))&lt;0,-1,IF((1-SQRT((1-2*BB12*1E5/(DATOS!$C$58*P12*BF12^2*DATOS!$C$48))))*DATOS!$C$48*P12*BF12/DATOS!$C$40&gt;DATOS!$C$82*P12*BF12,-1,(1-SQRT((1-2*BB12*1E5/(DATOS!$C$58*P12*BF12^2*DATOS!$C$48))))*DATOS!$C$48*P12*BF12/DATOS!$C$40)))-0.0001,MAX(DATOS!$C$29,CEILING(MAX(BG12,0)/INDEX(TABLAS!$D$52:$D$58,MATCH(BH12,TABLAS!$B$52:$B$58,0)),1)),MAX(MAX(DATOS!$C$29,CEILING(MAX(BG12,0)/INDEX(TABLAS!$D$52:$D$58,MATCH(BH12,TABLAS!$B$52:$B$58,0)),1)),2))))</f>
        <v>1</v>
      </c>
      <c r="BJ12" s="43">
        <f>DATOS!$C$15-R12-IF(DATOS!$C$25=0,0,INDEX(TABLAS!$C$52:$C$58,MATCH(DATOS!$C$25,TABLAS!$B$52:$B$58,0)))-INDEX(TABLAS!$C$52:$C$58,MATCH(BH12,TABLAS!$B$52:$B$58,0))/2</f>
        <v>20.365</v>
      </c>
      <c r="BK12" s="36">
        <f>IF(BI12=0,0,DATOS!$C$58*BI12*INDEX(TABLAS!$D$52:$D$58,MATCH(BH12,TABLAS!$B$52:$B$58,0))*DATOS!$C$40*(BJ12-BI12*INDEX(TABLAS!$D$52:$D$58,MATCH(BH12,TABLAS!$B$52:$B$58,0))*DATOS!$C$40/(DATOS!$C$48*P12)/2)/1E5)</f>
        <v>0.964629154604244</v>
      </c>
      <c r="BL12" s="62">
        <f>IF(BG12&lt;0,9.99,IF(BK12&gt;0,BB12/BK12,0))</f>
        <v>0.0640458097248089</v>
      </c>
      <c r="BM12" s="63">
        <f>IF(BI12=0,"—",0.003*(BJ12-(BI12*INDEX(TABLAS!$D$52:$D$58,MATCH(BH12,TABLAS!$B$52:$B$58,0))*DATOS!$C$40/(DATOS!$C$48*P12)/DATOS!$C$49))/(BI12*INDEX(TABLAS!$D$52:$D$58,MATCH(BH12,TABLAS!$B$52:$B$58,0))*DATOS!$C$40/(DATOS!$C$48*P12)/DATOS!$C$49))</f>
        <v>0.0927880889693476</v>
      </c>
      <c r="BN12" s="43">
        <f>((DATOS!$C$15-S12-2*DATOS!$C$35-IF(DATOS!$C$25=0,0,INDEX(TABLAS!$C$52:$C$58,MATCH(DATOS!$C$25,TABLAS!$B$52:$B$58,0)))-INDEX(TABLAS!$C$52:$C$58,MATCH(DATOS!$C$27,TABLAS!$B$52:$B$58,0))/2)-IF(AND((DATOS!$C$15-S12-2*DATOS!$C$35-IF(DATOS!$C$25=0,0,INDEX(TABLAS!$C$52:$C$58,MATCH(DATOS!$C$25,TABLAS!$B$52:$B$58,0)))-INDEX(TABLAS!$C$52:$C$58,MATCH(DATOS!$C$27,TABLAS!$B$52:$B$58,0))/2)&lt;=20,DATOS!$C$18&lt;&gt;"SÍ"),2,0))</f>
        <v>19.389</v>
      </c>
      <c r="BO12" s="43">
        <f>IF(D12="HUECO",0,IF(IF(BC12&lt;=0,0,IF((1-2*BC12*1E5/(DATOS!$C$58*DATOS!$C$19*BN12^2*DATOS!$C$48))&lt;0,-1,IF((1-SQRT((1-2*BC12*1E5/(DATOS!$C$58*DATOS!$C$19*BN12^2*DATOS!$C$48))))*DATOS!$C$48*DATOS!$C$19*BN12/DATOS!$C$40&gt;DATOS!$C$82*DATOS!$C$19*BN12,-1,(1-SQRT((1-2*BC12*1E5/(DATOS!$C$58*DATOS!$C$19*BN12^2*DATOS!$C$48))))*DATOS!$C$48*DATOS!$C$19*BN12/DATOS!$C$40)))&lt;0,-1,MAX(IF(BC12&lt;=0,0,IF((1-2*BC12*1E5/(DATOS!$C$58*DATOS!$C$19*BN12^2*DATOS!$C$48))&lt;0,-1,IF((1-SQRT((1-2*BC12*1E5/(DATOS!$C$58*DATOS!$C$19*BN12^2*DATOS!$C$48))))*DATOS!$C$48*DATOS!$C$19*BN12/DATOS!$C$40&gt;DATOS!$C$82*DATOS!$C$19*BN12,-1,(1-SQRT((1-2*BC12*1E5/(DATOS!$C$58*DATOS!$C$19*BN12^2*DATOS!$C$48))))*DATOS!$C$48*DATOS!$C$19*BN12/DATOS!$C$40))),MIN(DATOS!$C$83*IF(D12="VOLADO",2*DATOS!$C$13,DATOS!$C$13)*BN12,4/3*IF(BC12&lt;=0,0,IF((1-2*BC12*1E5/(DATOS!$C$58*DATOS!$C$19*BN12^2*DATOS!$C$48))&lt;0,-1,IF((1-SQRT((1-2*BC12*1E5/(DATOS!$C$58*DATOS!$C$19*BN12^2*DATOS!$C$48))))*DATOS!$C$48*DATOS!$C$19*BN12/DATOS!$C$40&gt;DATOS!$C$82*DATOS!$C$19*BN12,-1,(1-SQRT((1-2*BC12*1E5/(DATOS!$C$58*DATOS!$C$19*BN12^2*DATOS!$C$48))))*DATOS!$C$48*DATOS!$C$19*BN12/DATOS!$C$40)))))))</f>
        <v>0.53268922898215</v>
      </c>
      <c r="BP12" s="41">
        <f>IF(AND(BO12&gt;=0,IF(MAX(DATOS!$C$29,CEILING(BO12/INDEX(TABLAS!$D$52:$D$58,MIN(MATCH(DATOS!$C$27,TABLAS!$B$52:$B$58,0)+0,7)),1))*INDEX(TABLAS!$D$52:$D$58,MIN(MATCH(DATOS!$C$27,TABLAS!$B$52:$B$58,0)+0,7))&gt;=4/3*IF(BC12&lt;=0,0,IF((1-2*BC12*1E5/(DATOS!$C$58*DATOS!$C$19*BN12^2*DATOS!$C$48))&lt;0,-1,IF((1-SQRT((1-2*BC12*1E5/(DATOS!$C$58*DATOS!$C$19*BN12^2*DATOS!$C$48))))*DATOS!$C$48*DATOS!$C$19*BN12/DATOS!$C$40&gt;DATOS!$C$82*DATOS!$C$19*BN12,-1,(1-SQRT((1-2*BC12*1E5/(DATOS!$C$58*DATOS!$C$19*BN12^2*DATOS!$C$48))))*DATOS!$C$48*DATOS!$C$19*BN12/DATOS!$C$40)))-0.0001,MAX(DATOS!$C$29,CEILING(BO12/INDEX(TABLAS!$D$52:$D$58,MIN(MATCH(DATOS!$C$27,TABLAS!$B$52:$B$58,0)+0,7)),1)),MAX(MAX(DATOS!$C$29,CEILING(BO12/INDEX(TABLAS!$D$52:$D$58,MIN(MATCH(DATOS!$C$27,TABLAS!$B$52:$B$58,0)+0,7)),1)),2))&lt;=MIN(DATOS!$C$28,INT(((DATOS!$C$13-2*S12-2*IF(DATOS!$C$25=0,0,INDEX(TABLAS!$C$52:$C$58,MATCH(DATOS!$C$25,TABLAS!$B$52:$B$58,0))))+MAX(DATOS!$C$32,INDEX(TABLAS!$C$52:$C$58,MIN(MATCH(DATOS!$C$27,TABLAS!$B$52:$B$58,0)+0,7))))/(INDEX(TABLAS!$C$52:$C$58,MIN(MATCH(DATOS!$C$27,TABLAS!$B$52:$B$58,0)+0,7))+MAX(DATOS!$C$32,INDEX(TABLAS!$C$52:$C$58,MIN(MATCH(DATOS!$C$27,TABLAS!$B$52:$B$58,0)+0,7))))))),INDEX(TABLAS!$B$52:$B$58,MIN(MATCH(DATOS!$C$27,TABLAS!$B$52:$B$58,0)+0,7)),IF(AND(BO12&gt;=0,IF(MAX(DATOS!$C$29,CEILING(BO12/INDEX(TABLAS!$D$52:$D$58,MIN(MATCH(DATOS!$C$27,TABLAS!$B$52:$B$58,0)+1,7)),1))*INDEX(TABLAS!$D$52:$D$58,MIN(MATCH(DATOS!$C$27,TABLAS!$B$52:$B$58,0)+1,7))&gt;=4/3*IF(BC12&lt;=0,0,IF((1-2*BC12*1E5/(DATOS!$C$58*DATOS!$C$19*BN12^2*DATOS!$C$48))&lt;0,-1,IF((1-SQRT((1-2*BC12*1E5/(DATOS!$C$58*DATOS!$C$19*BN12^2*DATOS!$C$48))))*DATOS!$C$48*DATOS!$C$19*BN12/DATOS!$C$40&gt;DATOS!$C$82*DATOS!$C$19*BN12,-1,(1-SQRT((1-2*BC12*1E5/(DATOS!$C$58*DATOS!$C$19*BN12^2*DATOS!$C$48))))*DATOS!$C$48*DATOS!$C$19*BN12/DATOS!$C$40)))-0.0001,MAX(DATOS!$C$29,CEILING(BO12/INDEX(TABLAS!$D$52:$D$58,MIN(MATCH(DATOS!$C$27,TABLAS!$B$52:$B$58,0)+1,7)),1)),MAX(MAX(DATOS!$C$29,CEILING(BO12/INDEX(TABLAS!$D$52:$D$58,MIN(MATCH(DATOS!$C$27,TABLAS!$B$52:$B$58,0)+1,7)),1)),2))&lt;=MIN(DATOS!$C$28,INT(((DATOS!$C$13-2*S12-2*IF(DATOS!$C$25=0,0,INDEX(TABLAS!$C$52:$C$58,MATCH(DATOS!$C$25,TABLAS!$B$52:$B$58,0))))+MAX(DATOS!$C$32,INDEX(TABLAS!$C$52:$C$58,MIN(MATCH(DATOS!$C$27,TABLAS!$B$52:$B$58,0)+1,7))))/(INDEX(TABLAS!$C$52:$C$58,MIN(MATCH(DATOS!$C$27,TABLAS!$B$52:$B$58,0)+1,7))+MAX(DATOS!$C$32,INDEX(TABLAS!$C$52:$C$58,MIN(MATCH(DATOS!$C$27,TABLAS!$B$52:$B$58,0)+1,7))))))),INDEX(TABLAS!$B$52:$B$58,MIN(MATCH(DATOS!$C$27,TABLAS!$B$52:$B$58,0)+1,7)),IF(AND(BO12&gt;=0,IF(MAX(DATOS!$C$29,CEILING(BO12/INDEX(TABLAS!$D$52:$D$58,MIN(MATCH(DATOS!$C$27,TABLAS!$B$52:$B$58,0)+2,7)),1))*INDEX(TABLAS!$D$52:$D$58,MIN(MATCH(DATOS!$C$27,TABLAS!$B$52:$B$58,0)+2,7))&gt;=4/3*IF(BC12&lt;=0,0,IF((1-2*BC12*1E5/(DATOS!$C$58*DATOS!$C$19*BN12^2*DATOS!$C$48))&lt;0,-1,IF((1-SQRT((1-2*BC12*1E5/(DATOS!$C$58*DATOS!$C$19*BN12^2*DATOS!$C$48))))*DATOS!$C$48*DATOS!$C$19*BN12/DATOS!$C$40&gt;DATOS!$C$82*DATOS!$C$19*BN12,-1,(1-SQRT((1-2*BC12*1E5/(DATOS!$C$58*DATOS!$C$19*BN12^2*DATOS!$C$48))))*DATOS!$C$48*DATOS!$C$19*BN12/DATOS!$C$40)))-0.0001,MAX(DATOS!$C$29,CEILING(BO12/INDEX(TABLAS!$D$52:$D$58,MIN(MATCH(DATOS!$C$27,TABLAS!$B$52:$B$58,0)+2,7)),1)),MAX(MAX(DATOS!$C$29,CEILING(BO12/INDEX(TABLAS!$D$52:$D$58,MIN(MATCH(DATOS!$C$27,TABLAS!$B$52:$B$58,0)+2,7)),1)),2))&lt;=MIN(DATOS!$C$28,INT(((DATOS!$C$13-2*S12-2*IF(DATOS!$C$25=0,0,INDEX(TABLAS!$C$52:$C$58,MATCH(DATOS!$C$25,TABLAS!$B$52:$B$58,0))))+MAX(DATOS!$C$32,INDEX(TABLAS!$C$52:$C$58,MIN(MATCH(DATOS!$C$27,TABLAS!$B$52:$B$58,0)+2,7))))/(INDEX(TABLAS!$C$52:$C$58,MIN(MATCH(DATOS!$C$27,TABLAS!$B$52:$B$58,0)+2,7))+MAX(DATOS!$C$32,INDEX(TABLAS!$C$52:$C$58,MIN(MATCH(DATOS!$C$27,TABLAS!$B$52:$B$58,0)+2,7))))))),INDEX(TABLAS!$B$52:$B$58,MIN(MATCH(DATOS!$C$27,TABLAS!$B$52:$B$58,0)+2,7)),IF(AND(BO12&gt;=0,IF(MAX(DATOS!$C$29,CEILING(BO12/INDEX(TABLAS!$D$52:$D$58,MIN(MATCH(DATOS!$C$27,TABLAS!$B$52:$B$58,0)+3,7)),1))*INDEX(TABLAS!$D$52:$D$58,MIN(MATCH(DATOS!$C$27,TABLAS!$B$52:$B$58,0)+3,7))&gt;=4/3*IF(BC12&lt;=0,0,IF((1-2*BC12*1E5/(DATOS!$C$58*DATOS!$C$19*BN12^2*DATOS!$C$48))&lt;0,-1,IF((1-SQRT((1-2*BC12*1E5/(DATOS!$C$58*DATOS!$C$19*BN12^2*DATOS!$C$48))))*DATOS!$C$48*DATOS!$C$19*BN12/DATOS!$C$40&gt;DATOS!$C$82*DATOS!$C$19*BN12,-1,(1-SQRT((1-2*BC12*1E5/(DATOS!$C$58*DATOS!$C$19*BN12^2*DATOS!$C$48))))*DATOS!$C$48*DATOS!$C$19*BN12/DATOS!$C$40)))-0.0001,MAX(DATOS!$C$29,CEILING(BO12/INDEX(TABLAS!$D$52:$D$58,MIN(MATCH(DATOS!$C$27,TABLAS!$B$52:$B$58,0)+3,7)),1)),MAX(MAX(DATOS!$C$29,CEILING(BO12/INDEX(TABLAS!$D$52:$D$58,MIN(MATCH(DATOS!$C$27,TABLAS!$B$52:$B$58,0)+3,7)),1)),2))&lt;=MIN(DATOS!$C$28,INT(((DATOS!$C$13-2*S12-2*IF(DATOS!$C$25=0,0,INDEX(TABLAS!$C$52:$C$58,MATCH(DATOS!$C$25,TABLAS!$B$52:$B$58,0))))+MAX(DATOS!$C$32,INDEX(TABLAS!$C$52:$C$58,MIN(MATCH(DATOS!$C$27,TABLAS!$B$52:$B$58,0)+3,7))))/(INDEX(TABLAS!$C$52:$C$58,MIN(MATCH(DATOS!$C$27,TABLAS!$B$52:$B$58,0)+3,7))+MAX(DATOS!$C$32,INDEX(TABLAS!$C$52:$C$58,MIN(MATCH(DATOS!$C$27,TABLAS!$B$52:$B$58,0)+3,7))))))),INDEX(TABLAS!$B$52:$B$58,MIN(MATCH(DATOS!$C$27,TABLAS!$B$52:$B$58,0)+3,7)),IF(AND(BO12&gt;=0,IF(MAX(DATOS!$C$29,CEILING(BO12/INDEX(TABLAS!$D$52:$D$58,MIN(MATCH(DATOS!$C$27,TABLAS!$B$52:$B$58,0)+4,7)),1))*INDEX(TABLAS!$D$52:$D$58,MIN(MATCH(DATOS!$C$27,TABLAS!$B$52:$B$58,0)+4,7))&gt;=4/3*IF(BC12&lt;=0,0,IF((1-2*BC12*1E5/(DATOS!$C$58*DATOS!$C$19*BN12^2*DATOS!$C$48))&lt;0,-1,IF((1-SQRT((1-2*BC12*1E5/(DATOS!$C$58*DATOS!$C$19*BN12^2*DATOS!$C$48))))*DATOS!$C$48*DATOS!$C$19*BN12/DATOS!$C$40&gt;DATOS!$C$82*DATOS!$C$19*BN12,-1,(1-SQRT((1-2*BC12*1E5/(DATOS!$C$58*DATOS!$C$19*BN12^2*DATOS!$C$48))))*DATOS!$C$48*DATOS!$C$19*BN12/DATOS!$C$40)))-0.0001,MAX(DATOS!$C$29,CEILING(BO12/INDEX(TABLAS!$D$52:$D$58,MIN(MATCH(DATOS!$C$27,TABLAS!$B$52:$B$58,0)+4,7)),1)),MAX(MAX(DATOS!$C$29,CEILING(BO12/INDEX(TABLAS!$D$52:$D$58,MIN(MATCH(DATOS!$C$27,TABLAS!$B$52:$B$58,0)+4,7)),1)),2))&lt;=MIN(DATOS!$C$28,INT(((DATOS!$C$13-2*S12-2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12" s="56">
        <f>IF(D12="HUECO",0,IF(BO12&lt;0,0,IF(MAX(DATOS!$C$29,CEILING(MAX(BO12,0)/INDEX(TABLAS!$D$52:$D$58,MATCH(BP12,TABLAS!$B$52:$B$58,0)),1))*INDEX(TABLAS!$D$52:$D$58,MATCH(BP12,TABLAS!$B$52:$B$58,0))&gt;=4/3*IF(BC12&lt;=0,0,IF((1-2*BC12*1E5/(DATOS!$C$58*DATOS!$C$19*BN12^2*DATOS!$C$48))&lt;0,-1,IF((1-SQRT((1-2*BC12*1E5/(DATOS!$C$58*DATOS!$C$19*BN12^2*DATOS!$C$48))))*DATOS!$C$48*DATOS!$C$19*BN12/DATOS!$C$40&gt;DATOS!$C$82*DATOS!$C$19*BN12,-1,(1-SQRT((1-2*BC12*1E5/(DATOS!$C$58*DATOS!$C$19*BN12^2*DATOS!$C$48))))*DATOS!$C$48*DATOS!$C$19*BN12/DATOS!$C$40)))-0.0001,MAX(DATOS!$C$29,CEILING(MAX(BO12,0)/INDEX(TABLAS!$D$52:$D$58,MATCH(BP12,TABLAS!$B$52:$B$58,0)),1)),MAX(MAX(DATOS!$C$29,CEILING(MAX(BO12,0)/INDEX(TABLAS!$D$52:$D$58,MATCH(BP12,TABLAS!$B$52:$B$58,0)),1)),2))))</f>
        <v>1</v>
      </c>
      <c r="BR12" s="43">
        <f>((DATOS!$C$15-S12-2*DATOS!$C$35-IF(DATOS!$C$25=0,0,INDEX(TABLAS!$C$52:$C$58,MATCH(DATOS!$C$25,TABLAS!$B$52:$B$58,0)))-INDEX(TABLAS!$C$52:$C$58,MATCH(BP12,TABLAS!$B$52:$B$58,0))/2)-IF(AND((DATOS!$C$15-S12-2*DATOS!$C$35-IF(DATOS!$C$25=0,0,INDEX(TABLAS!$C$52:$C$58,MATCH(DATOS!$C$25,TABLAS!$B$52:$B$58,0)))-INDEX(TABLAS!$C$52:$C$58,MATCH(BP12,TABLAS!$B$52:$B$58,0))/2)&lt;=20,DATOS!$C$18&lt;&gt;"SÍ"),2,0))</f>
        <v>19.389</v>
      </c>
      <c r="BS12" s="36">
        <f>IF(BQ12=0,0,DATOS!$C$58*BQ12*INDEX(TABLAS!$D$52:$D$58,MATCH(BP12,TABLAS!$B$52:$B$58,0))*DATOS!$C$40*(BR12-BQ12*INDEX(TABLAS!$D$52:$D$58,MATCH(BP12,TABLAS!$B$52:$B$58,0))*DATOS!$C$40/(DATOS!$C$48*DATOS!$C$19)/2)/1E5)</f>
        <v>0.870537980117647</v>
      </c>
      <c r="BT12" s="62">
        <f>IF(BO12&lt;0,9.99,IF(BS12&gt;0,BC12/BS12,0))</f>
        <v>0.329503384242156</v>
      </c>
      <c r="BU12" s="63">
        <f>IF(BQ12=0,"—",0.003*(BR12-(BQ12*INDEX(TABLAS!$D$52:$D$58,MATCH(BP12,TABLAS!$B$52:$B$58,0))*DATOS!$C$40/(DATOS!$C$48*DATOS!$C$19)/DATOS!$C$49))/(BQ12*INDEX(TABLAS!$D$52:$D$58,MATCH(BP12,TABLAS!$B$52:$B$58,0))*DATOS!$C$40/(DATOS!$C$48*DATOS!$C$19)/DATOS!$C$49))</f>
        <v>0.0166970648200225</v>
      </c>
      <c r="BV12" s="43">
        <f>(DATOS!$C$15-R12-IF(DATOS!$C$25=0,0,INDEX(TABLAS!$C$52:$C$58,MATCH(DATOS!$C$25,TABLAS!$B$52:$B$58,0)))-INDEX(TABLAS!$C$52:$C$58,MATCH(DATOS!$C$26,TABLAS!$B$52:$B$58,0))-INDEX(TABLAS!$C$52:$C$58,MATCH(DATOS!$C$26,TABLAS!$B$52:$B$58,0))/2)</f>
        <v>19.095</v>
      </c>
      <c r="BW12" s="43">
        <f>IF(D12="HUECO",0,IF(IF(BD12&lt;=0,0,IF((1-2*BD12*1E5/(DATOS!$C$58*Q12*BV12^2*DATOS!$C$48))&lt;0,-1,IF((1-SQRT((1-2*BD12*1E5/(DATOS!$C$58*Q12*BV12^2*DATOS!$C$48))))*DATOS!$C$48*Q12*BV12/DATOS!$C$40&gt;DATOS!$C$82*Q12*BV12,-1,(1-SQRT((1-2*BD12*1E5/(DATOS!$C$58*Q12*BV12^2*DATOS!$C$48))))*DATOS!$C$48*Q12*BV12/DATOS!$C$40)))&lt;0,-1,MAX(IF(BD12&lt;=0,0,IF((1-2*BD12*1E5/(DATOS!$C$58*Q12*BV12^2*DATOS!$C$48))&lt;0,-1,IF((1-SQRT((1-2*BD12*1E5/(DATOS!$C$58*Q12*BV12^2*DATOS!$C$48))))*DATOS!$C$48*Q12*BV12/DATOS!$C$40&gt;DATOS!$C$82*Q12*BV12,-1,(1-SQRT((1-2*BD12*1E5/(DATOS!$C$58*Q12*BV12^2*DATOS!$C$48))))*DATOS!$C$48*Q12*BV12/DATOS!$C$40))),MIN(DATOS!$C$83*DATOS!$C$13*BV12,4/3*IF(BD12&lt;=0,0,IF((1-2*BD12*1E5/(DATOS!$C$58*Q12*BV12^2*DATOS!$C$48))&lt;0,-1,IF((1-SQRT((1-2*BD12*1E5/(DATOS!$C$58*Q12*BV12^2*DATOS!$C$48))))*DATOS!$C$48*Q12*BV12/DATOS!$C$40&gt;DATOS!$C$82*Q12*BV12,-1,(1-SQRT((1-2*BD12*1E5/(DATOS!$C$58*Q12*BV12^2*DATOS!$C$48))))*DATOS!$C$48*Q12*BV12/DATOS!$C$40)))))))</f>
        <v>0.0848198472411783</v>
      </c>
      <c r="BX12" s="41">
        <f>IF(AND(BW12&gt;=0,IF(MAX(DATOS!$C$29,CEILING(BW12/INDEX(TABLAS!$D$52:$D$58,MIN(MATCH(DATOS!$C$26,TABLAS!$B$52:$B$58,0)+0,7)),1))*INDEX(TABLAS!$D$52:$D$58,MIN(MATCH(DATOS!$C$26,TABLAS!$B$52:$B$58,0)+0,7))&gt;=4/3*IF(BD12&lt;=0,0,IF((1-2*BD12*1E5/(DATOS!$C$58*Q12*BV12^2*DATOS!$C$48))&lt;0,-1,IF((1-SQRT((1-2*BD12*1E5/(DATOS!$C$58*Q12*BV12^2*DATOS!$C$48))))*DATOS!$C$48*Q12*BV12/DATOS!$C$40&gt;DATOS!$C$82*Q12*BV12,-1,(1-SQRT((1-2*BD12*1E5/(DATOS!$C$58*Q12*BV12^2*DATOS!$C$48))))*DATOS!$C$48*Q12*BV12/DATOS!$C$40)))-0.0001,MAX(DATOS!$C$29,CEILING(BW12/INDEX(TABLAS!$D$52:$D$58,MIN(MATCH(DATOS!$C$26,TABLAS!$B$52:$B$58,0)+0,7)),1)),MAX(MAX(DATOS!$C$29,CEILING(BW12/INDEX(TABLAS!$D$52:$D$58,MIN(MATCH(DATOS!$C$26,TABLAS!$B$52:$B$58,0)+0,7)),1)),2))&lt;=MIN(DATOS!$C$28,INT(((DATOS!$C$13-2*R12-2*IF(DATOS!$C$25=0,0,INDEX(TABLAS!$C$52:$C$58,MATCH(DATOS!$C$25,TABLAS!$B$52:$B$58,0))))+MAX(DATOS!$C$32,INDEX(TABLAS!$C$52:$C$58,MIN(MATCH(DATOS!$C$26,TABLAS!$B$52:$B$58,0)+0,7))))/(INDEX(TABLAS!$C$52:$C$58,MIN(MATCH(DATOS!$C$26,TABLAS!$B$52:$B$58,0)+0,7))+MAX(DATOS!$C$32,INDEX(TABLAS!$C$52:$C$58,MIN(MATCH(DATOS!$C$26,TABLAS!$B$52:$B$58,0)+0,7))))))),INDEX(TABLAS!$B$52:$B$58,MIN(MATCH(DATOS!$C$26,TABLAS!$B$52:$B$58,0)+0,7)),IF(AND(BW12&gt;=0,IF(MAX(DATOS!$C$29,CEILING(BW12/INDEX(TABLAS!$D$52:$D$58,MIN(MATCH(DATOS!$C$26,TABLAS!$B$52:$B$58,0)+1,7)),1))*INDEX(TABLAS!$D$52:$D$58,MIN(MATCH(DATOS!$C$26,TABLAS!$B$52:$B$58,0)+1,7))&gt;=4/3*IF(BD12&lt;=0,0,IF((1-2*BD12*1E5/(DATOS!$C$58*Q12*BV12^2*DATOS!$C$48))&lt;0,-1,IF((1-SQRT((1-2*BD12*1E5/(DATOS!$C$58*Q12*BV12^2*DATOS!$C$48))))*DATOS!$C$48*Q12*BV12/DATOS!$C$40&gt;DATOS!$C$82*Q12*BV12,-1,(1-SQRT((1-2*BD12*1E5/(DATOS!$C$58*Q12*BV12^2*DATOS!$C$48))))*DATOS!$C$48*Q12*BV12/DATOS!$C$40)))-0.0001,MAX(DATOS!$C$29,CEILING(BW12/INDEX(TABLAS!$D$52:$D$58,MIN(MATCH(DATOS!$C$26,TABLAS!$B$52:$B$58,0)+1,7)),1)),MAX(MAX(DATOS!$C$29,CEILING(BW12/INDEX(TABLAS!$D$52:$D$58,MIN(MATCH(DATOS!$C$26,TABLAS!$B$52:$B$58,0)+1,7)),1)),2))&lt;=MIN(DATOS!$C$28,INT(((DATOS!$C$13-2*R12-2*IF(DATOS!$C$25=0,0,INDEX(TABLAS!$C$52:$C$58,MATCH(DATOS!$C$25,TABLAS!$B$52:$B$58,0))))+MAX(DATOS!$C$32,INDEX(TABLAS!$C$52:$C$58,MIN(MATCH(DATOS!$C$26,TABLAS!$B$52:$B$58,0)+1,7))))/(INDEX(TABLAS!$C$52:$C$58,MIN(MATCH(DATOS!$C$26,TABLAS!$B$52:$B$58,0)+1,7))+MAX(DATOS!$C$32,INDEX(TABLAS!$C$52:$C$58,MIN(MATCH(DATOS!$C$26,TABLAS!$B$52:$B$58,0)+1,7))))))),INDEX(TABLAS!$B$52:$B$58,MIN(MATCH(DATOS!$C$26,TABLAS!$B$52:$B$58,0)+1,7)),IF(AND(BW12&gt;=0,IF(MAX(DATOS!$C$29,CEILING(BW12/INDEX(TABLAS!$D$52:$D$58,MIN(MATCH(DATOS!$C$26,TABLAS!$B$52:$B$58,0)+2,7)),1))*INDEX(TABLAS!$D$52:$D$58,MIN(MATCH(DATOS!$C$26,TABLAS!$B$52:$B$58,0)+2,7))&gt;=4/3*IF(BD12&lt;=0,0,IF((1-2*BD12*1E5/(DATOS!$C$58*Q12*BV12^2*DATOS!$C$48))&lt;0,-1,IF((1-SQRT((1-2*BD12*1E5/(DATOS!$C$58*Q12*BV12^2*DATOS!$C$48))))*DATOS!$C$48*Q12*BV12/DATOS!$C$40&gt;DATOS!$C$82*Q12*BV12,-1,(1-SQRT((1-2*BD12*1E5/(DATOS!$C$58*Q12*BV12^2*DATOS!$C$48))))*DATOS!$C$48*Q12*BV12/DATOS!$C$40)))-0.0001,MAX(DATOS!$C$29,CEILING(BW12/INDEX(TABLAS!$D$52:$D$58,MIN(MATCH(DATOS!$C$26,TABLAS!$B$52:$B$58,0)+2,7)),1)),MAX(MAX(DATOS!$C$29,CEILING(BW12/INDEX(TABLAS!$D$52:$D$58,MIN(MATCH(DATOS!$C$26,TABLAS!$B$52:$B$58,0)+2,7)),1)),2))&lt;=MIN(DATOS!$C$28,INT(((DATOS!$C$13-2*R12-2*IF(DATOS!$C$25=0,0,INDEX(TABLAS!$C$52:$C$58,MATCH(DATOS!$C$25,TABLAS!$B$52:$B$58,0))))+MAX(DATOS!$C$32,INDEX(TABLAS!$C$52:$C$58,MIN(MATCH(DATOS!$C$26,TABLAS!$B$52:$B$58,0)+2,7))))/(INDEX(TABLAS!$C$52:$C$58,MIN(MATCH(DATOS!$C$26,TABLAS!$B$52:$B$58,0)+2,7))+MAX(DATOS!$C$32,INDEX(TABLAS!$C$52:$C$58,MIN(MATCH(DATOS!$C$26,TABLAS!$B$52:$B$58,0)+2,7))))))),INDEX(TABLAS!$B$52:$B$58,MIN(MATCH(DATOS!$C$26,TABLAS!$B$52:$B$58,0)+2,7)),IF(AND(BW12&gt;=0,IF(MAX(DATOS!$C$29,CEILING(BW12/INDEX(TABLAS!$D$52:$D$58,MIN(MATCH(DATOS!$C$26,TABLAS!$B$52:$B$58,0)+3,7)),1))*INDEX(TABLAS!$D$52:$D$58,MIN(MATCH(DATOS!$C$26,TABLAS!$B$52:$B$58,0)+3,7))&gt;=4/3*IF(BD12&lt;=0,0,IF((1-2*BD12*1E5/(DATOS!$C$58*Q12*BV12^2*DATOS!$C$48))&lt;0,-1,IF((1-SQRT((1-2*BD12*1E5/(DATOS!$C$58*Q12*BV12^2*DATOS!$C$48))))*DATOS!$C$48*Q12*BV12/DATOS!$C$40&gt;DATOS!$C$82*Q12*BV12,-1,(1-SQRT((1-2*BD12*1E5/(DATOS!$C$58*Q12*BV12^2*DATOS!$C$48))))*DATOS!$C$48*Q12*BV12/DATOS!$C$40)))-0.0001,MAX(DATOS!$C$29,CEILING(BW12/INDEX(TABLAS!$D$52:$D$58,MIN(MATCH(DATOS!$C$26,TABLAS!$B$52:$B$58,0)+3,7)),1)),MAX(MAX(DATOS!$C$29,CEILING(BW12/INDEX(TABLAS!$D$52:$D$58,MIN(MATCH(DATOS!$C$26,TABLAS!$B$52:$B$58,0)+3,7)),1)),2))&lt;=MIN(DATOS!$C$28,INT(((DATOS!$C$13-2*R12-2*IF(DATOS!$C$25=0,0,INDEX(TABLAS!$C$52:$C$58,MATCH(DATOS!$C$25,TABLAS!$B$52:$B$58,0))))+MAX(DATOS!$C$32,INDEX(TABLAS!$C$52:$C$58,MIN(MATCH(DATOS!$C$26,TABLAS!$B$52:$B$58,0)+3,7))))/(INDEX(TABLAS!$C$52:$C$58,MIN(MATCH(DATOS!$C$26,TABLAS!$B$52:$B$58,0)+3,7))+MAX(DATOS!$C$32,INDEX(TABLAS!$C$52:$C$58,MIN(MATCH(DATOS!$C$26,TABLAS!$B$52:$B$58,0)+3,7))))))),INDEX(TABLAS!$B$52:$B$58,MIN(MATCH(DATOS!$C$26,TABLAS!$B$52:$B$58,0)+3,7)),IF(AND(BW12&gt;=0,IF(MAX(DATOS!$C$29,CEILING(BW12/INDEX(TABLAS!$D$52:$D$58,MIN(MATCH(DATOS!$C$26,TABLAS!$B$52:$B$58,0)+4,7)),1))*INDEX(TABLAS!$D$52:$D$58,MIN(MATCH(DATOS!$C$26,TABLAS!$B$52:$B$58,0)+4,7))&gt;=4/3*IF(BD12&lt;=0,0,IF((1-2*BD12*1E5/(DATOS!$C$58*Q12*BV12^2*DATOS!$C$48))&lt;0,-1,IF((1-SQRT((1-2*BD12*1E5/(DATOS!$C$58*Q12*BV12^2*DATOS!$C$48))))*DATOS!$C$48*Q12*BV12/DATOS!$C$40&gt;DATOS!$C$82*Q12*BV12,-1,(1-SQRT((1-2*BD12*1E5/(DATOS!$C$58*Q12*BV12^2*DATOS!$C$48))))*DATOS!$C$48*Q12*BV12/DATOS!$C$40)))-0.0001,MAX(DATOS!$C$29,CEILING(BW12/INDEX(TABLAS!$D$52:$D$58,MIN(MATCH(DATOS!$C$26,TABLAS!$B$52:$B$58,0)+4,7)),1)),MAX(MAX(DATOS!$C$29,CEILING(BW12/INDEX(TABLAS!$D$52:$D$58,MIN(MATCH(DATOS!$C$26,TABLAS!$B$52:$B$58,0)+4,7)),1)),2))&lt;=MIN(DATOS!$C$28,INT(((DATOS!$C$13-2*R12-2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12" s="56">
        <f>IF(D12="HUECO",0,IF(BW12&lt;0,0,IF(MAX(DATOS!$C$29,CEILING(MAX(BW12,0)/INDEX(TABLAS!$D$52:$D$58,MATCH(BX12,TABLAS!$B$52:$B$58,0)),1))*INDEX(TABLAS!$D$52:$D$58,MATCH(BX12,TABLAS!$B$52:$B$58,0))&gt;=4/3*IF(BD12&lt;=0,0,IF((1-2*BD12*1E5/(DATOS!$C$58*Q12*BV12^2*DATOS!$C$48))&lt;0,-1,IF((1-SQRT((1-2*BD12*1E5/(DATOS!$C$58*Q12*BV12^2*DATOS!$C$48))))*DATOS!$C$48*Q12*BV12/DATOS!$C$40&gt;DATOS!$C$82*Q12*BV12,-1,(1-SQRT((1-2*BD12*1E5/(DATOS!$C$58*Q12*BV12^2*DATOS!$C$48))))*DATOS!$C$48*Q12*BV12/DATOS!$C$40)))-0.0001,MAX(DATOS!$C$29,CEILING(MAX(BW12,0)/INDEX(TABLAS!$D$52:$D$58,MATCH(BX12,TABLAS!$B$52:$B$58,0)),1)),MAX(MAX(DATOS!$C$29,CEILING(MAX(BW12,0)/INDEX(TABLAS!$D$52:$D$58,MATCH(BX12,TABLAS!$B$52:$B$58,0)),1)),2))))</f>
        <v>1</v>
      </c>
      <c r="BZ12" s="43">
        <f>DATOS!$C$15-R12-IF(DATOS!$C$25=0,0,INDEX(TABLAS!$C$52:$C$58,MATCH(DATOS!$C$25,TABLAS!$B$52:$B$58,0)))-INDEX(TABLAS!$C$52:$C$58,MATCH(BH12,TABLAS!$B$52:$B$58,0))-INDEX(TABLAS!$C$52:$C$58,MATCH(BX12,TABLAS!$B$52:$B$58,0))/2</f>
        <v>19.095</v>
      </c>
      <c r="CA12" s="36">
        <f>IF(BY12=0,0,DATOS!$C$58*BY12*INDEX(TABLAS!$D$52:$D$58,MATCH(BX12,TABLAS!$B$52:$B$58,0))*DATOS!$C$40*(BZ12-BY12*INDEX(TABLAS!$D$52:$D$58,MATCH(BX12,TABLAS!$B$52:$B$58,0))*DATOS!$C$40/(DATOS!$C$48*Q12)/2)/1E5)</f>
        <v>0.908067376588235</v>
      </c>
      <c r="CB12" s="62">
        <f>IF(BW12&lt;0,9.99,IF(CA12&gt;0,BD12/CA12,0))</f>
        <v>0.0505414653558078</v>
      </c>
      <c r="CC12" s="63">
        <f>IF(BY12=0,"—",0.003*(BZ12-(BY12*INDEX(TABLAS!$D$52:$D$58,MATCH(BX12,TABLAS!$B$52:$B$58,0))*DATOS!$C$40/(DATOS!$C$48*Q12)/DATOS!$C$49))/(BY12*INDEX(TABLAS!$D$52:$D$58,MATCH(BX12,TABLAS!$B$52:$B$58,0))*DATOS!$C$40/(DATOS!$C$48*Q12)/DATOS!$C$49))</f>
        <v>0.13278875492126</v>
      </c>
      <c r="CD12" s="43">
        <f>((DATOS!$C$15-S12-2*DATOS!$C$35-IF(DATOS!$C$25=0,0,INDEX(TABLAS!$C$52:$C$58,MATCH(DATOS!$C$25,TABLAS!$B$52:$B$58,0)))-INDEX(TABLAS!$C$52:$C$58,MATCH(DATOS!$C$27,TABLAS!$B$52:$B$58,0))-INDEX(TABLAS!$C$52:$C$58,MATCH(DATOS!$C$27,TABLAS!$B$52:$B$58,0))/2)-IF(AND((DATOS!$C$15-S12-2*DATOS!$C$35-IF(DATOS!$C$25=0,0,INDEX(TABLAS!$C$52:$C$58,MATCH(DATOS!$C$25,TABLAS!$B$52:$B$58,0)))-INDEX(TABLAS!$C$52:$C$58,MATCH(DATOS!$C$27,TABLAS!$B$52:$B$58,0))-INDEX(TABLAS!$C$52:$C$58,MATCH(DATOS!$C$27,TABLAS!$B$52:$B$58,0))/2)&lt;=20,DATOS!$C$18&lt;&gt;"SÍ"),2,0))</f>
        <v>18.119</v>
      </c>
      <c r="CE12" s="43">
        <f>IF(D12="HUECO",0,IF(IF(BE12&lt;=0,0,IF((1-2*BE12*1E5/(DATOS!$C$58*DATOS!$C$19*CD12^2*DATOS!$C$48))&lt;0,-1,IF((1-SQRT((1-2*BE12*1E5/(DATOS!$C$58*DATOS!$C$19*CD12^2*DATOS!$C$48))))*DATOS!$C$48*DATOS!$C$19*CD12/DATOS!$C$40&gt;DATOS!$C$82*DATOS!$C$19*CD12,-1,(1-SQRT((1-2*BE12*1E5/(DATOS!$C$58*DATOS!$C$19*CD12^2*DATOS!$C$48))))*DATOS!$C$48*DATOS!$C$19*CD12/DATOS!$C$40)))&lt;0,-1,MAX(IF(BE12&lt;=0,0,IF((1-2*BE12*1E5/(DATOS!$C$58*DATOS!$C$19*CD12^2*DATOS!$C$48))&lt;0,-1,IF((1-SQRT((1-2*BE12*1E5/(DATOS!$C$58*DATOS!$C$19*CD12^2*DATOS!$C$48))))*DATOS!$C$48*DATOS!$C$19*CD12/DATOS!$C$40&gt;DATOS!$C$82*DATOS!$C$19*CD12,-1,(1-SQRT((1-2*BE12*1E5/(DATOS!$C$58*DATOS!$C$19*CD12^2*DATOS!$C$48))))*DATOS!$C$48*DATOS!$C$19*CD12/DATOS!$C$40))),MIN(DATOS!$C$83*DATOS!$C$13*CD12,4/3*IF(BE12&lt;=0,0,IF((1-2*BE12*1E5/(DATOS!$C$58*DATOS!$C$19*CD12^2*DATOS!$C$48))&lt;0,-1,IF((1-SQRT((1-2*BE12*1E5/(DATOS!$C$58*DATOS!$C$19*CD12^2*DATOS!$C$48))))*DATOS!$C$48*DATOS!$C$19*CD12/DATOS!$C$40&gt;DATOS!$C$82*DATOS!$C$19*CD12,-1,(1-SQRT((1-2*BE12*1E5/(DATOS!$C$58*DATOS!$C$19*CD12^2*DATOS!$C$48))))*DATOS!$C$48*DATOS!$C$19*CD12/DATOS!$C$40)))))))</f>
        <v>0.207884907892654</v>
      </c>
      <c r="CF12" s="41">
        <f>IF(AND(CE12&gt;=0,IF(MAX(DATOS!$C$29,CEILING(CE12/INDEX(TABLAS!$D$52:$D$58,MIN(MATCH(DATOS!$C$27,TABLAS!$B$52:$B$58,0)+0,7)),1))*INDEX(TABLAS!$D$52:$D$58,MIN(MATCH(DATOS!$C$27,TABLAS!$B$52:$B$58,0)+0,7))&gt;=4/3*IF(BE12&lt;=0,0,IF((1-2*BE12*1E5/(DATOS!$C$58*DATOS!$C$19*CD12^2*DATOS!$C$48))&lt;0,-1,IF((1-SQRT((1-2*BE12*1E5/(DATOS!$C$58*DATOS!$C$19*CD12^2*DATOS!$C$48))))*DATOS!$C$48*DATOS!$C$19*CD12/DATOS!$C$40&gt;DATOS!$C$82*DATOS!$C$19*CD12,-1,(1-SQRT((1-2*BE12*1E5/(DATOS!$C$58*DATOS!$C$19*CD12^2*DATOS!$C$48))))*DATOS!$C$48*DATOS!$C$19*CD12/DATOS!$C$40)))-0.0001,MAX(DATOS!$C$29,CEILING(CE12/INDEX(TABLAS!$D$52:$D$58,MIN(MATCH(DATOS!$C$27,TABLAS!$B$52:$B$58,0)+0,7)),1)),MAX(MAX(DATOS!$C$29,CEILING(CE12/INDEX(TABLAS!$D$52:$D$58,MIN(MATCH(DATOS!$C$27,TABLAS!$B$52:$B$58,0)+0,7)),1)),2))&lt;=MIN(DATOS!$C$28,INT(((DATOS!$C$13-2*S12-2*IF(DATOS!$C$25=0,0,INDEX(TABLAS!$C$52:$C$58,MATCH(DATOS!$C$25,TABLAS!$B$52:$B$58,0))))+MAX(DATOS!$C$32,INDEX(TABLAS!$C$52:$C$58,MIN(MATCH(DATOS!$C$27,TABLAS!$B$52:$B$58,0)+0,7))))/(INDEX(TABLAS!$C$52:$C$58,MIN(MATCH(DATOS!$C$27,TABLAS!$B$52:$B$58,0)+0,7))+MAX(DATOS!$C$32,INDEX(TABLAS!$C$52:$C$58,MIN(MATCH(DATOS!$C$27,TABLAS!$B$52:$B$58,0)+0,7))))))),INDEX(TABLAS!$B$52:$B$58,MIN(MATCH(DATOS!$C$27,TABLAS!$B$52:$B$58,0)+0,7)),IF(AND(CE12&gt;=0,IF(MAX(DATOS!$C$29,CEILING(CE12/INDEX(TABLAS!$D$52:$D$58,MIN(MATCH(DATOS!$C$27,TABLAS!$B$52:$B$58,0)+1,7)),1))*INDEX(TABLAS!$D$52:$D$58,MIN(MATCH(DATOS!$C$27,TABLAS!$B$52:$B$58,0)+1,7))&gt;=4/3*IF(BE12&lt;=0,0,IF((1-2*BE12*1E5/(DATOS!$C$58*DATOS!$C$19*CD12^2*DATOS!$C$48))&lt;0,-1,IF((1-SQRT((1-2*BE12*1E5/(DATOS!$C$58*DATOS!$C$19*CD12^2*DATOS!$C$48))))*DATOS!$C$48*DATOS!$C$19*CD12/DATOS!$C$40&gt;DATOS!$C$82*DATOS!$C$19*CD12,-1,(1-SQRT((1-2*BE12*1E5/(DATOS!$C$58*DATOS!$C$19*CD12^2*DATOS!$C$48))))*DATOS!$C$48*DATOS!$C$19*CD12/DATOS!$C$40)))-0.0001,MAX(DATOS!$C$29,CEILING(CE12/INDEX(TABLAS!$D$52:$D$58,MIN(MATCH(DATOS!$C$27,TABLAS!$B$52:$B$58,0)+1,7)),1)),MAX(MAX(DATOS!$C$29,CEILING(CE12/INDEX(TABLAS!$D$52:$D$58,MIN(MATCH(DATOS!$C$27,TABLAS!$B$52:$B$58,0)+1,7)),1)),2))&lt;=MIN(DATOS!$C$28,INT(((DATOS!$C$13-2*S12-2*IF(DATOS!$C$25=0,0,INDEX(TABLAS!$C$52:$C$58,MATCH(DATOS!$C$25,TABLAS!$B$52:$B$58,0))))+MAX(DATOS!$C$32,INDEX(TABLAS!$C$52:$C$58,MIN(MATCH(DATOS!$C$27,TABLAS!$B$52:$B$58,0)+1,7))))/(INDEX(TABLAS!$C$52:$C$58,MIN(MATCH(DATOS!$C$27,TABLAS!$B$52:$B$58,0)+1,7))+MAX(DATOS!$C$32,INDEX(TABLAS!$C$52:$C$58,MIN(MATCH(DATOS!$C$27,TABLAS!$B$52:$B$58,0)+1,7))))))),INDEX(TABLAS!$B$52:$B$58,MIN(MATCH(DATOS!$C$27,TABLAS!$B$52:$B$58,0)+1,7)),IF(AND(CE12&gt;=0,IF(MAX(DATOS!$C$29,CEILING(CE12/INDEX(TABLAS!$D$52:$D$58,MIN(MATCH(DATOS!$C$27,TABLAS!$B$52:$B$58,0)+2,7)),1))*INDEX(TABLAS!$D$52:$D$58,MIN(MATCH(DATOS!$C$27,TABLAS!$B$52:$B$58,0)+2,7))&gt;=4/3*IF(BE12&lt;=0,0,IF((1-2*BE12*1E5/(DATOS!$C$58*DATOS!$C$19*CD12^2*DATOS!$C$48))&lt;0,-1,IF((1-SQRT((1-2*BE12*1E5/(DATOS!$C$58*DATOS!$C$19*CD12^2*DATOS!$C$48))))*DATOS!$C$48*DATOS!$C$19*CD12/DATOS!$C$40&gt;DATOS!$C$82*DATOS!$C$19*CD12,-1,(1-SQRT((1-2*BE12*1E5/(DATOS!$C$58*DATOS!$C$19*CD12^2*DATOS!$C$48))))*DATOS!$C$48*DATOS!$C$19*CD12/DATOS!$C$40)))-0.0001,MAX(DATOS!$C$29,CEILING(CE12/INDEX(TABLAS!$D$52:$D$58,MIN(MATCH(DATOS!$C$27,TABLAS!$B$52:$B$58,0)+2,7)),1)),MAX(MAX(DATOS!$C$29,CEILING(CE12/INDEX(TABLAS!$D$52:$D$58,MIN(MATCH(DATOS!$C$27,TABLAS!$B$52:$B$58,0)+2,7)),1)),2))&lt;=MIN(DATOS!$C$28,INT(((DATOS!$C$13-2*S12-2*IF(DATOS!$C$25=0,0,INDEX(TABLAS!$C$52:$C$58,MATCH(DATOS!$C$25,TABLAS!$B$52:$B$58,0))))+MAX(DATOS!$C$32,INDEX(TABLAS!$C$52:$C$58,MIN(MATCH(DATOS!$C$27,TABLAS!$B$52:$B$58,0)+2,7))))/(INDEX(TABLAS!$C$52:$C$58,MIN(MATCH(DATOS!$C$27,TABLAS!$B$52:$B$58,0)+2,7))+MAX(DATOS!$C$32,INDEX(TABLAS!$C$52:$C$58,MIN(MATCH(DATOS!$C$27,TABLAS!$B$52:$B$58,0)+2,7))))))),INDEX(TABLAS!$B$52:$B$58,MIN(MATCH(DATOS!$C$27,TABLAS!$B$52:$B$58,0)+2,7)),IF(AND(CE12&gt;=0,IF(MAX(DATOS!$C$29,CEILING(CE12/INDEX(TABLAS!$D$52:$D$58,MIN(MATCH(DATOS!$C$27,TABLAS!$B$52:$B$58,0)+3,7)),1))*INDEX(TABLAS!$D$52:$D$58,MIN(MATCH(DATOS!$C$27,TABLAS!$B$52:$B$58,0)+3,7))&gt;=4/3*IF(BE12&lt;=0,0,IF((1-2*BE12*1E5/(DATOS!$C$58*DATOS!$C$19*CD12^2*DATOS!$C$48))&lt;0,-1,IF((1-SQRT((1-2*BE12*1E5/(DATOS!$C$58*DATOS!$C$19*CD12^2*DATOS!$C$48))))*DATOS!$C$48*DATOS!$C$19*CD12/DATOS!$C$40&gt;DATOS!$C$82*DATOS!$C$19*CD12,-1,(1-SQRT((1-2*BE12*1E5/(DATOS!$C$58*DATOS!$C$19*CD12^2*DATOS!$C$48))))*DATOS!$C$48*DATOS!$C$19*CD12/DATOS!$C$40)))-0.0001,MAX(DATOS!$C$29,CEILING(CE12/INDEX(TABLAS!$D$52:$D$58,MIN(MATCH(DATOS!$C$27,TABLAS!$B$52:$B$58,0)+3,7)),1)),MAX(MAX(DATOS!$C$29,CEILING(CE12/INDEX(TABLAS!$D$52:$D$58,MIN(MATCH(DATOS!$C$27,TABLAS!$B$52:$B$58,0)+3,7)),1)),2))&lt;=MIN(DATOS!$C$28,INT(((DATOS!$C$13-2*S12-2*IF(DATOS!$C$25=0,0,INDEX(TABLAS!$C$52:$C$58,MATCH(DATOS!$C$25,TABLAS!$B$52:$B$58,0))))+MAX(DATOS!$C$32,INDEX(TABLAS!$C$52:$C$58,MIN(MATCH(DATOS!$C$27,TABLAS!$B$52:$B$58,0)+3,7))))/(INDEX(TABLAS!$C$52:$C$58,MIN(MATCH(DATOS!$C$27,TABLAS!$B$52:$B$58,0)+3,7))+MAX(DATOS!$C$32,INDEX(TABLAS!$C$52:$C$58,MIN(MATCH(DATOS!$C$27,TABLAS!$B$52:$B$58,0)+3,7))))))),INDEX(TABLAS!$B$52:$B$58,MIN(MATCH(DATOS!$C$27,TABLAS!$B$52:$B$58,0)+3,7)),IF(AND(CE12&gt;=0,IF(MAX(DATOS!$C$29,CEILING(CE12/INDEX(TABLAS!$D$52:$D$58,MIN(MATCH(DATOS!$C$27,TABLAS!$B$52:$B$58,0)+4,7)),1))*INDEX(TABLAS!$D$52:$D$58,MIN(MATCH(DATOS!$C$27,TABLAS!$B$52:$B$58,0)+4,7))&gt;=4/3*IF(BE12&lt;=0,0,IF((1-2*BE12*1E5/(DATOS!$C$58*DATOS!$C$19*CD12^2*DATOS!$C$48))&lt;0,-1,IF((1-SQRT((1-2*BE12*1E5/(DATOS!$C$58*DATOS!$C$19*CD12^2*DATOS!$C$48))))*DATOS!$C$48*DATOS!$C$19*CD12/DATOS!$C$40&gt;DATOS!$C$82*DATOS!$C$19*CD12,-1,(1-SQRT((1-2*BE12*1E5/(DATOS!$C$58*DATOS!$C$19*CD12^2*DATOS!$C$48))))*DATOS!$C$48*DATOS!$C$19*CD12/DATOS!$C$40)))-0.0001,MAX(DATOS!$C$29,CEILING(CE12/INDEX(TABLAS!$D$52:$D$58,MIN(MATCH(DATOS!$C$27,TABLAS!$B$52:$B$58,0)+4,7)),1)),MAX(MAX(DATOS!$C$29,CEILING(CE12/INDEX(TABLAS!$D$52:$D$58,MIN(MATCH(DATOS!$C$27,TABLAS!$B$52:$B$58,0)+4,7)),1)),2))&lt;=MIN(DATOS!$C$28,INT(((DATOS!$C$13-2*S12-2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12" s="56">
        <f>IF(D12="HUECO",0,IF(CE12&lt;0,0,IF(MAX(DATOS!$C$29,CEILING(MAX(CE12,0)/INDEX(TABLAS!$D$52:$D$58,MATCH(CF12,TABLAS!$B$52:$B$58,0)),1))*INDEX(TABLAS!$D$52:$D$58,MATCH(CF12,TABLAS!$B$52:$B$58,0))&gt;=4/3*IF(BE12&lt;=0,0,IF((1-2*BE12*1E5/(DATOS!$C$58*DATOS!$C$19*CD12^2*DATOS!$C$48))&lt;0,-1,IF((1-SQRT((1-2*BE12*1E5/(DATOS!$C$58*DATOS!$C$19*CD12^2*DATOS!$C$48))))*DATOS!$C$48*DATOS!$C$19*CD12/DATOS!$C$40&gt;DATOS!$C$82*DATOS!$C$19*CD12,-1,(1-SQRT((1-2*BE12*1E5/(DATOS!$C$58*DATOS!$C$19*CD12^2*DATOS!$C$48))))*DATOS!$C$48*DATOS!$C$19*CD12/DATOS!$C$40)))-0.0001,MAX(DATOS!$C$29,CEILING(MAX(CE12,0)/INDEX(TABLAS!$D$52:$D$58,MATCH(CF12,TABLAS!$B$52:$B$58,0)),1)),MAX(MAX(DATOS!$C$29,CEILING(MAX(CE12,0)/INDEX(TABLAS!$D$52:$D$58,MATCH(CF12,TABLAS!$B$52:$B$58,0)),1)),2))))</f>
        <v>1</v>
      </c>
      <c r="CH12" s="43">
        <f>((DATOS!$C$15-S12-2*DATOS!$C$35-IF(DATOS!$C$25=0,0,INDEX(TABLAS!$C$52:$C$58,MATCH(DATOS!$C$25,TABLAS!$B$52:$B$58,0)))-INDEX(TABLAS!$C$52:$C$58,MATCH(BP12,TABLAS!$B$52:$B$58,0))-INDEX(TABLAS!$C$52:$C$58,MATCH(CF12,TABLAS!$B$52:$B$58,0))/2)-IF(AND((DATOS!$C$15-S12-2*DATOS!$C$35-IF(DATOS!$C$25=0,0,INDEX(TABLAS!$C$52:$C$58,MATCH(DATOS!$C$25,TABLAS!$B$52:$B$58,0)))-INDEX(TABLAS!$C$52:$C$58,MATCH(BP12,TABLAS!$B$52:$B$58,0))-INDEX(TABLAS!$C$52:$C$58,MATCH(CF12,TABLAS!$B$52:$B$58,0))/2)&lt;=20,DATOS!$C$18&lt;&gt;"SÍ"),2,0))</f>
        <v>18.119</v>
      </c>
      <c r="CI12" s="36">
        <f>IF(CG12=0,0,DATOS!$C$58*CG12*INDEX(TABLAS!$D$52:$D$58,MATCH(CF12,TABLAS!$B$52:$B$58,0))*DATOS!$C$40*(CH12-CG12*INDEX(TABLAS!$D$52:$D$58,MATCH(CF12,TABLAS!$B$52:$B$58,0))*DATOS!$C$40/(DATOS!$C$48*DATOS!$C$19)/2)/1E5)</f>
        <v>0.809570360117647</v>
      </c>
      <c r="CJ12" s="62">
        <f>IF(CE12&lt;0,9.99,IF(CI12&gt;0,BE12/CI12,0))</f>
        <v>0.130781624369072</v>
      </c>
      <c r="CK12" s="63">
        <f>IF(CG12=0,"—",0.003*(CH12-(CG12*INDEX(TABLAS!$D$52:$D$58,MATCH(CF12,TABLAS!$B$52:$B$58,0))*DATOS!$C$40/(DATOS!$C$48*DATOS!$C$19)/DATOS!$C$49))/(CG12*INDEX(TABLAS!$D$52:$D$58,MATCH(CF12,TABLAS!$B$52:$B$58,0))*DATOS!$C$40/(DATOS!$C$48*DATOS!$C$19)/DATOS!$C$49))</f>
        <v>0.0154068862485939</v>
      </c>
      <c r="CL12" s="52" t="str">
        <f>IF(D12="HUECO","—",IF(AND(D12="PERIMETRAL",J12*100&gt;=6*DATOS!$C$11,DATOS!$C$11&lt;=80,DATOS!$C$13&gt;=10,DATOS!$C$15&lt;=3.5*DATOS!$C$13,DATOS!$C$14&gt;=MAX(DATOS!$C$11/13,5)),"SÍ","NO"))</f>
        <v>NO</v>
      </c>
      <c r="CM12" s="36">
        <f>IF(D12="PERIMETRAL",MAX(0,(N12/2-BR12)/100)*(0.95-0.5*L12)*Y12*IF(AND(Z12&gt;0,Z12&lt;4),DATOS!$C$63,1)*DATOS!$C$16/100/1000+AX12,IF(D12="VOLADO",(Y12*MAX(0,N12-BR12)/100+DATOS!$C$55*BA12)*DATOS!$C$16/100/1000,0))</f>
        <v>0.253360810758066</v>
      </c>
      <c r="CN12" s="36">
        <f>IF(D12="HUECO",0,DATOS!$C$59*2*MIN(1,SQRT(2/(1+0.04*BR12)))*(BQ12*INDEX(TABLAS!$D$52:$D$58,MATCH(BP12,TABLAS!$B$52:$B$58,0))/(DATOS!$C$19*BR12))^(1/3)*SQRT(DATOS!$C$39)*DATOS!$C$19*BR12*IF(CL12="SÍ",DATOS!$C$62,1)/1000)</f>
        <v>0.860398102904257</v>
      </c>
      <c r="CO12" s="51" t="str">
        <f>IF(D12="HUECO","—",IF(CM12&lt;=CN12,"CUMPLE",IF(MAX(0,CEILING((IF(D12="VOLADO",(N12-(CN12*1E5/DATOS!$C$16-DATOS!$C$55*BA12)*100/Y12),IF(CN12&lt;=AX12,N12,N12/2-(CN12-AX12)/MAX(CM12-AX12,1E-9)*(N12/2-BR12)))-IF(INT((J12*100-DATOS!$C$17+DATOS!$C$13)/DATOS!$C$16)&gt;0,(J12*100-DATOS!$C$17-(INT((J12*100-DATOS!$C$17+DATOS!$C$13)/DATOS!$C$16)*DATOS!$C$11+(INT((J12*100-DATOS!$C$17+DATOS!$C$13)/DATOS!$C$16)-1)*DATOS!$C$13))/2,J12*100/2))/DATOS!$C$16,1))&lt;=0,"CUMPLE (basta el macizo de orilla)","MACIZAR "&amp;MAX(0,CEILING((IF(D12="VOLADO",(N12-(CN12*1E5/DATOS!$C$16-DATOS!$C$55*BA12)*100/Y12),IF(CN12&lt;=AX12,N12,N12/2-(CN12-AX12)/MAX(CM12-AX12,1E-9)*(N12/2-BR12)))-IF(INT((J12*100-DATOS!$C$17+DATOS!$C$13)/DATOS!$C$16)&gt;0,(J12*100-DATOS!$C$17-(INT((J12*100-DATOS!$C$17+DATOS!$C$13)/DATOS!$C$16)*DATOS!$C$11+(INT((J12*100-DATOS!$C$17+DATOS!$C$13)/DATOS!$C$16)-1)*DATOS!$C$13))/2,J12*100/2))/DATOS!$C$16,1))&amp;" hilera(s)")))</f>
        <v>CUMPLE</v>
      </c>
      <c r="CP12" s="43">
        <f>IF(D12="PERIMETRAL",(99+99+99+99)/4,0)</f>
        <v>99</v>
      </c>
      <c r="CQ12" s="57">
        <f>IF(D12="PERIMETRAL",IF(CP12&gt;2,MAX(9,O12*(0.8+DATOS!$C$40/14000)/(36+9*(O12/MAX(N12,1)))),IF(CP12&gt;0.2,MAX(13,O12*(0.8+DATOS!$C$40/14000)/(36+5*(O12/MAX(N12,1))*(CP12-0.2))),MAX(13,O12/IF(Z12&gt;0,30,33))))*IF(AND(CP12&gt;0.2,OR(AND((APOYOS!$G$41="DISCONTINUO"),99&lt;0.8),AND((APOYOS!$G$42="DISCONTINUO"),99&lt;0.8),AND((APOYOS!$G$43="DISCONTINUO"),99&lt;0.8),AND((APOYOS!$G$44="DISCONTINUO"),99&lt;0.8))),1.1,1),IF(D12="VOLADO",MAX(25,J12*100/8),0))</f>
        <v>9</v>
      </c>
      <c r="CR12" s="57">
        <f>IF(D12="VOLADO",DATOS!$C$15,DATOS!$C$77)</f>
        <v>16.7232564120244</v>
      </c>
      <c r="CS12" s="52" t="str">
        <f>IF(D12="HUECO","—",IF(CR12&gt;=CQ12,"CUMPLE",IF(D12="VOLADO","NO CUMPLE","CALCULAR FLECHA")))</f>
        <v>CUMPLE</v>
      </c>
      <c r="CT12" s="52" t="str">
        <f>IF(D12="HUECO","—",IF(DATOS!$C$14&gt;=IF(IF(D12="VOLADO",J12,K12)&gt;=6,6,5),"CUMPLE","CAPA ≥ 6 cm"))</f>
        <v>CUMPLE</v>
      </c>
      <c r="CU12" s="59">
        <f>IF(D12="HUECO",0,IF(((4*((AL12*Y12*J12^2*1E-4*DATOS!$C$16/100/1000)+((MAX(AH12,AJ12)*Y12*J12^2*1E-4*DATOS!$C$16/100/1000)+(IF(AND(AH12&gt;0,AJ12&gt;0),MIN(AH12,AJ12),MAX(AH12,AJ12))*Y12*J12^2*1E-4*DATOS!$C$16/100/1000))/2)+BC12-(IF(AND(AH12&gt;0,AJ12&gt;0),MIN(AH12,AJ12),MAX(AH12,AJ12))*Y12*J12^2*1E-4*DATOS!$C$16/100/1000))^2-16*((AL12*Y12*J12^2*1E-4*DATOS!$C$16/100/1000)+((MAX(AH12,AJ12)*Y12*J12^2*1E-4*DATOS!$C$16/100/1000)+(IF(AND(AH12&gt;0,AJ12&gt;0),MIN(AH12,AJ12),MAX(AH12,AJ12))*Y12*J12^2*1E-4*DATOS!$C$16/100/1000))/2)*BC12)&lt;0,CEILING(N12,5),CEILING(MAX(N12*((4*((AL12*Y12*J12^2*1E-4*DATOS!$C$16/100/1000)+((MAX(AH12,AJ12)*Y12*J12^2*1E-4*DATOS!$C$16/100/1000)+(IF(AND(AH12&gt;0,AJ12&gt;0),MIN(AH12,AJ12),MAX(AH12,AJ12))*Y12*J12^2*1E-4*DATOS!$C$16/100/1000))/2)+BC12-(IF(AND(AH12&gt;0,AJ12&gt;0),MIN(AH12,AJ12),MAX(AH12,AJ12))*Y12*J12^2*1E-4*DATOS!$C$16/100/1000))-SQRT(MAX(0,((4*((AL12*Y12*J12^2*1E-4*DATOS!$C$16/100/1000)+((MAX(AH12,AJ12)*Y12*J12^2*1E-4*DATOS!$C$16/100/1000)+(IF(AND(AH12&gt;0,AJ12&gt;0),MIN(AH12,AJ12),MAX(AH12,AJ12))*Y12*J12^2*1E-4*DATOS!$C$16/100/1000))/2)+BC12-(IF(AND(AH12&gt;0,AJ12&gt;0),MIN(AH12,AJ12),MAX(AH12,AJ12))*Y12*J12^2*1E-4*DATOS!$C$16/100/1000))^2-16*((AL12*Y12*J12^2*1E-4*DATOS!$C$16/100/1000)+((MAX(AH12,AJ12)*Y12*J12^2*1E-4*DATOS!$C$16/100/1000)+(IF(AND(AH12&gt;0,AJ12&gt;0),MIN(AH12,AJ12),MAX(AH12,AJ12))*Y12*J12^2*1E-4*DATOS!$C$16/100/1000))/2)*BC12))))/(8*MAX(((AL12*Y12*J12^2*1E-4*DATOS!$C$16/100/1000)+((MAX(AH12,AJ12)*Y12*J12^2*1E-4*DATOS!$C$16/100/1000)+(IF(AND(AH12&gt;0,AJ12&gt;0),MIN(AH12,AJ12),MAX(AH12,AJ12))*Y12*J12^2*1E-4*DATOS!$C$16/100/1000))/2),1E-9))+MAX(BR12,12*INDEX(TABLAS!$C$52:$C$58,MATCH(BP12,TABLAS!$B$52:$B$58,0)),N12/16),IF(OR(S12&lt;INDEX(TABLAS!$C$52:$C$58,MATCH(BP12,TABLAS!$B$52:$B$58,0)),AND(BQ12&gt;=2,(DATOS!$C$13-2*S12-2*IF(DATOS!$C$25=0,0,INDEX(TABLAS!$C$52:$C$58,MATCH(DATOS!$C$25,TABLAS!$B$52:$B$58,0)))-BQ12*INDEX(TABLAS!$C$52:$C$58,MATCH(BP12,TABLAS!$B$52:$B$58,0)))/MAX(BQ12-1,1)&lt;2*INDEX(TABLAS!$C$52:$C$58,MATCH(BP12,TABLAS!$B$52:$B$58,0)))),INDEX(TABLAS!$I$52:$I$58,MATCH(BP12,TABLAS!$B$52:$B$58,0)),INDEX(TABLAS!$F$52:$F$58,MATCH(BP12,TABLAS!$B$52:$B$58,0)))),5)))</f>
        <v>150</v>
      </c>
      <c r="CV12" s="59">
        <f>IF(D12="HUECO",0,IF(((4*((AM12*Y12*J12^2*1E-4*DATOS!$C$16/100/1000)+((MAX(AI12,AK12)*Y12*J12^2*1E-4*DATOS!$C$16/100/1000)+(IF(AND(AI12&gt;0,AK12&gt;0),MIN(AI12,AK12),MAX(AI12,AK12))*Y12*J12^2*1E-4*DATOS!$C$16/100/1000))/2)+BE12-(IF(AND(AI12&gt;0,AK12&gt;0),MIN(AI12,AK12),MAX(AI12,AK12))*Y12*J12^2*1E-4*DATOS!$C$16/100/1000))^2-16*((AM12*Y12*J12^2*1E-4*DATOS!$C$16/100/1000)+((MAX(AI12,AK12)*Y12*J12^2*1E-4*DATOS!$C$16/100/1000)+(IF(AND(AI12&gt;0,AK12&gt;0),MIN(AI12,AK12),MAX(AI12,AK12))*Y12*J12^2*1E-4*DATOS!$C$16/100/1000))/2)*BE12)&lt;0,CEILING(O12,5),CEILING(MAX(O12*((4*((AM12*Y12*J12^2*1E-4*DATOS!$C$16/100/1000)+((MAX(AI12,AK12)*Y12*J12^2*1E-4*DATOS!$C$16/100/1000)+(IF(AND(AI12&gt;0,AK12&gt;0),MIN(AI12,AK12),MAX(AI12,AK12))*Y12*J12^2*1E-4*DATOS!$C$16/100/1000))/2)+BE12-(IF(AND(AI12&gt;0,AK12&gt;0),MIN(AI12,AK12),MAX(AI12,AK12))*Y12*J12^2*1E-4*DATOS!$C$16/100/1000))-SQRT(MAX(0,((4*((AM12*Y12*J12^2*1E-4*DATOS!$C$16/100/1000)+((MAX(AI12,AK12)*Y12*J12^2*1E-4*DATOS!$C$16/100/1000)+(IF(AND(AI12&gt;0,AK12&gt;0),MIN(AI12,AK12),MAX(AI12,AK12))*Y12*J12^2*1E-4*DATOS!$C$16/100/1000))/2)+BE12-(IF(AND(AI12&gt;0,AK12&gt;0),MIN(AI12,AK12),MAX(AI12,AK12))*Y12*J12^2*1E-4*DATOS!$C$16/100/1000))^2-16*((AM12*Y12*J12^2*1E-4*DATOS!$C$16/100/1000)+((MAX(AI12,AK12)*Y12*J12^2*1E-4*DATOS!$C$16/100/1000)+(IF(AND(AI12&gt;0,AK12&gt;0),MIN(AI12,AK12),MAX(AI12,AK12))*Y12*J12^2*1E-4*DATOS!$C$16/100/1000))/2)*BE12))))/(8*MAX(((AM12*Y12*J12^2*1E-4*DATOS!$C$16/100/1000)+((MAX(AI12,AK12)*Y12*J12^2*1E-4*DATOS!$C$16/100/1000)+(IF(AND(AI12&gt;0,AK12&gt;0),MIN(AI12,AK12),MAX(AI12,AK12))*Y12*J12^2*1E-4*DATOS!$C$16/100/1000))/2),1E-9))+MAX(CH12,12*INDEX(TABLAS!$C$52:$C$58,MATCH(CF12,TABLAS!$B$52:$B$58,0)),O12/16),IF(OR(S12&lt;INDEX(TABLAS!$C$52:$C$58,MATCH(CF12,TABLAS!$B$52:$B$58,0)),AND(CG12&gt;=2,(DATOS!$C$13-2*S12-2*IF(DATOS!$C$25=0,0,INDEX(TABLAS!$C$52:$C$58,MATCH(DATOS!$C$25,TABLAS!$B$52:$B$58,0)))-CG12*INDEX(TABLAS!$C$52:$C$58,MATCH(CF12,TABLAS!$B$52:$B$58,0)))/MAX(CG12-1,1)&lt;2*INDEX(TABLAS!$C$52:$C$58,MATCH(CF12,TABLAS!$B$52:$B$58,0)))),INDEX(TABLAS!$I$52:$I$58,MATCH(CF12,TABLAS!$B$52:$B$58,0)),INDEX(TABLAS!$F$52:$F$58,MATCH(CF12,TABLAS!$B$52:$B$58,0)))),5)))</f>
        <v>105</v>
      </c>
      <c r="CW12" s="56">
        <f>MAX(0,INT((F12*100-DATOS!$C$17+DATOS!$C$13)/DATOS!$C$16))</f>
        <v>4</v>
      </c>
      <c r="CX12" s="56">
        <f>MAX(0,INT((G12*100-DATOS!$C$17+DATOS!$C$13)/DATOS!$C$16))</f>
        <v>2</v>
      </c>
      <c r="CY12" s="51" t="str">
        <f>IF(COUNTIFS(TRIB!$C$6:$C$255,B12,TRIB!$K$6:$K$255,"NO CUMPLE*")+COUNTIFS(TRIB!$C$6:$C$255,B12,TRIB!$K$6:$K$255,"SIN APOYO*")&gt;0,"VER PRINCIPALES",IF((APOYOS!$F$41="LIBRE")+(APOYOS!$F$42="LIBRE")+(APOYOS!$F$43="LIBRE")+(APOYOS!$F$44="LIBRE")&gt;0,"REVISAR: borde libre","OK"))</f>
        <v>OK</v>
      </c>
      <c r="CZ12" s="64" t="str">
        <f>IF(D12="HUECO","HUECO — marco de nervaduras principales",IF(AND(MAX(BL12,BT12,CB12,CJ12)&lt;=1,NOT(OR(BI12&gt;MIN(DATOS!$C$28,INT(((DATOS!$C$13-2*R12-2*IF(DATOS!$C$25=0,0,INDEX(TABLAS!$C$52:$C$58,MATCH(DATOS!$C$25,TABLAS!$B$52:$B$58,0))))+DATOS!$C$32)/(INDEX(TABLAS!$C$52:$C$58,MATCH(BH12,TABLAS!$B$52:$B$58,0))+DATOS!$C$32))),BQ12&gt;MIN(DATOS!$C$28,INT(((DATOS!$C$13-2*S12-2*IF(DATOS!$C$25=0,0,INDEX(TABLAS!$C$52:$C$58,MATCH(DATOS!$C$25,TABLAS!$B$52:$B$58,0))))+DATOS!$C$32)/(INDEX(TABLAS!$C$52:$C$58,MATCH(BP12,TABLAS!$B$52:$B$58,0))+DATOS!$C$32))),BY12&gt;MIN(DATOS!$C$28,INT(((DATOS!$C$13-2*R12-2*IF(DATOS!$C$25=0,0,INDEX(TABLAS!$C$52:$C$58,MATCH(DATOS!$C$25,TABLAS!$B$52:$B$58,0))))+DATOS!$C$32)/(INDEX(TABLAS!$C$52:$C$58,MATCH(BX12,TABLAS!$B$52:$B$58,0))+DATOS!$C$32))),CG12&gt;MIN(DATOS!$C$28,INT(((DATOS!$C$13-2*S12-2*IF(DATOS!$C$25=0,0,INDEX(TABLAS!$C$52:$C$58,MATCH(DATOS!$C$25,TABLAS!$B$52:$B$58,0))))+DATOS!$C$32)/(INDEX(TABLAS!$C$52:$C$58,MATCH(CF12,TABLAS!$B$52:$B$58,0))+DATOS!$C$32))))),NOT(OR(AND(ISNUMBER(BM12),BM12&lt;0.005),AND(ISNUMBER(BU12),BU12&lt;0.005),AND(ISNUMBER(CC12),CC12&lt;0.005),AND(ISNUMBER(CK12),CK12&lt;0.005))),CS12="CUMPLE",CT12="CUMPLE"),IF(CY12="OK",IF(LEFT(CO12,6)="CUMPLE","CUMPLE","CUMPLE — "&amp;CO12)&amp;IF(LEFT(AZ12,5)="FUERA"," · fuera de 3.4.2.1 c)",""),IF(CY12="VER PRINCIPALES","VER PRINCIPALES","REVISAR APOYOS")),IF(AND(MAX(BL12,BT12,CB12,CJ12)&lt;=1,NOT(OR(BI12&gt;MIN(DATOS!$C$28,INT(((DATOS!$C$13-2*R12-2*IF(DATOS!$C$25=0,0,INDEX(TABLAS!$C$52:$C$58,MATCH(DATOS!$C$25,TABLAS!$B$52:$B$58,0))))+DATOS!$C$32)/(INDEX(TABLAS!$C$52:$C$58,MATCH(BH12,TABLAS!$B$52:$B$58,0))+DATOS!$C$32))),BQ12&gt;MIN(DATOS!$C$28,INT(((DATOS!$C$13-2*S12-2*IF(DATOS!$C$25=0,0,INDEX(TABLAS!$C$52:$C$58,MATCH(DATOS!$C$25,TABLAS!$B$52:$B$58,0))))+DATOS!$C$32)/(INDEX(TABLAS!$C$52:$C$58,MATCH(BP12,TABLAS!$B$52:$B$58,0))+DATOS!$C$32))),BY12&gt;MIN(DATOS!$C$28,INT(((DATOS!$C$13-2*R12-2*IF(DATOS!$C$25=0,0,INDEX(TABLAS!$C$52:$C$58,MATCH(DATOS!$C$25,TABLAS!$B$52:$B$58,0))))+DATOS!$C$32)/(INDEX(TABLAS!$C$52:$C$58,MATCH(BX12,TABLAS!$B$52:$B$58,0))+DATOS!$C$32))),CG12&gt;MIN(DATOS!$C$28,INT(((DATOS!$C$13-2*S12-2*IF(DATOS!$C$25=0,0,INDEX(TABLAS!$C$52:$C$58,MATCH(DATOS!$C$25,TABLAS!$B$52:$B$58,0))))+DATOS!$C$32)/(INDEX(TABLAS!$C$52:$C$58,MATCH(CF12,TABLAS!$B$52:$B$58,0))+DATOS!$C$32))))),NOT(OR(AND(ISNUMBER(BM12),BM12&lt;0.005),AND(ISNUMBER(BU12),BU12&lt;0.005),AND(ISNUMBER(CC12),CC12&lt;0.005),AND(ISNUMBER(CK12),CK12&lt;0.005))),CS12="CALCULAR FLECHA"),"REVISAR: calcular flecha (h_eq &lt; h mín.)","NO CUMPLE: "&amp;IF(MAX(BL12,BT12,CB12,CJ12)&gt;1,"flexión ","")&amp;IF(OR(BI12&gt;MIN(DATOS!$C$28,INT(((DATOS!$C$13-2*R12-2*IF(DATOS!$C$25=0,0,INDEX(TABLAS!$C$52:$C$58,MATCH(DATOS!$C$25,TABLAS!$B$52:$B$58,0))))+DATOS!$C$32)/(INDEX(TABLAS!$C$52:$C$58,MATCH(BH12,TABLAS!$B$52:$B$58,0))+DATOS!$C$32))),BQ12&gt;MIN(DATOS!$C$28,INT(((DATOS!$C$13-2*S12-2*IF(DATOS!$C$25=0,0,INDEX(TABLAS!$C$52:$C$58,MATCH(DATOS!$C$25,TABLAS!$B$52:$B$58,0))))+DATOS!$C$32)/(INDEX(TABLAS!$C$52:$C$58,MATCH(BP12,TABLAS!$B$52:$B$58,0))+DATOS!$C$32))),BY12&gt;MIN(DATOS!$C$28,INT(((DATOS!$C$13-2*R12-2*IF(DATOS!$C$25=0,0,INDEX(TABLAS!$C$52:$C$58,MATCH(DATOS!$C$25,TABLAS!$B$52:$B$58,0))))+DATOS!$C$32)/(INDEX(TABLAS!$C$52:$C$58,MATCH(BX12,TABLAS!$B$52:$B$58,0))+DATOS!$C$32))),CG12&gt;MIN(DATOS!$C$28,INT(((DATOS!$C$13-2*S12-2*IF(DATOS!$C$25=0,0,INDEX(TABLAS!$C$52:$C$58,MATCH(DATOS!$C$25,TABLAS!$B$52:$B$58,0))))+DATOS!$C$32)/(INDEX(TABLAS!$C$52:$C$58,MATCH(CF12,TABLAS!$B$52:$B$58,0))+DATOS!$C$32)))),"no caben ","")&amp;IF(OR(AND(ISNUMBER(BM12),BM12&lt;0.005),AND(ISNUMBER(BU12),BU12&lt;0.005),AND(ISNUMBER(CC12),CC12&lt;0.005),AND(ISNUMBER(CK12),CK12&lt;0.005)),"ε_t &lt; 0.005 ","")&amp;IF(CS12="NO CUMPLE","peralte ","")&amp;IF(CT12&lt;&gt;"CUMPLE","capa &lt; 6 cm",""))))</f>
        <v>CUMPLE · fuera de 3.4.2.1 c)</v>
      </c>
      <c r="DA12" s="65" t="str">
        <f>IF(AND(D12="PERIMETRAL",MIN(CW12,CX12)=0),"Tablero macizo (no cabe un casetón en el claro corto): no aplica 6.7.8. La resistencia se revisa con una nervadura de 10 cm cada 70 cm y r_np (conservador); "&amp;"como losa maciza lleva además As,mín = 0.0018·Ag en cada dirección cerca de la cara a tensión (6.7.6.1.1, p. 175). ",IF(AND(CL12="NO",D12="PERIMETRAL"),"No cumple 6.7.8.1.4 (a_c = "&amp;DATOS!$C$11&amp;" cm &gt; claro corto/6 = "&amp;TEXT(J12*100/6,"0")&amp;" cm): se diseña como losa apoyada en vigas (6.7.8.1.9): nervaduras con recubrimiento de viga r_np = "&amp;DATOS!$C$22&amp;" cm (Tabla 4.14.16.a), V_cR sin ×1.1 y cortante sin estribos por 5.5.3.8.1 (criterio del Proyectista). Para que cuente como encasetonada: casetón de "&amp;TEXT(FLOOR(MIN(80,J12*100/6),1),"0")&amp;" cm o menor. ",""))&amp;IF(LEFT(AZ12,5)="FUERA","M⁻ del borde común "&amp;AZ12&amp;": difieren más de 50% (3.4.2.1 c); se distribuyen 2/3 del desequilibrio (3.4.3.1) y conviene confirmar los momentos con el modelo. ","")&amp;"—"</f>
        <v>No cumple 6.7.8.1.4 (a_c = 60 cm &gt; claro corto/6 = 27 cm): se diseña como losa apoyada en vigas (6.7.8.1.9): nervaduras con recubrimiento de viga r_np = 4 cm (Tabla 4.14.16.a), V_cR sin ×1.1 y cortante sin estribos por 5.5.3.8.1 (criterio del Proyectista). Para que cuente como encasetonada: casetón de 26 cm o menor. M⁻ del borde común FUERA con F80003 F80007 F80006: difieren más de 50% (3.4.2.1 c); se distribuyen 2/3 del desequilibrio (3.4.3.1) y conviene confirmar los momentos con el modelo. —</v>
      </c>
    </row>
    <row r="13" ht="30" customHeight="1">
      <c r="B13" s="51" t="inlineStr">
        <is>
          <t>F80006 N+3.00</t>
        </is>
      </c>
      <c r="C13" s="52" t="inlineStr">
        <is>
          <t>N+3.00</t>
        </is>
      </c>
      <c r="D13" s="53" t="inlineStr">
        <is>
          <t>PERIMETRAL</t>
        </is>
      </c>
      <c r="E13" s="53" t="inlineStr">
        <is>
          <t>HABITACIÓN</t>
        </is>
      </c>
      <c r="F13" s="54" t="n">
        <v>1.402</v>
      </c>
      <c r="G13" s="54" t="n">
        <v>1.002</v>
      </c>
      <c r="H13" s="55" t="n">
        <v>1.402</v>
      </c>
      <c r="I13" s="55" t="n">
        <v>1.002</v>
      </c>
      <c r="J13" s="36">
        <f>MIN(H13,I13)</f>
        <v>1.002</v>
      </c>
      <c r="K13" s="36">
        <f>MAX(H13,I13)</f>
        <v>1.402</v>
      </c>
      <c r="L13" s="36">
        <f>IF(K13&gt;0,J13/K13,0)</f>
        <v>0.714693295292439</v>
      </c>
      <c r="M13" s="52" t="str">
        <f>IF(H13&lt;=I13,"X","Y")</f>
        <v>Y</v>
      </c>
      <c r="N13" s="56">
        <f>MAX(0,J13*100-IF(D13="VOLADO",DATOS!$C$17/2,DATOS!$C$17))</f>
        <v>85.2</v>
      </c>
      <c r="O13" s="56">
        <f>MAX(0,K13*100-DATOS!$C$17)</f>
        <v>125.2</v>
      </c>
      <c r="P13" s="57">
        <f>MIN(DATOS!$C$16,DATOS!$C$13+2*MIN(8*DATOS!$C$14,DATOS!$C$11/2,N13/8))</f>
        <v>31.3</v>
      </c>
      <c r="Q13" s="57">
        <f>MIN(DATOS!$C$16,DATOS!$C$13+2*MIN(8*DATOS!$C$14,DATOS!$C$11/2,O13/8))</f>
        <v>41.3</v>
      </c>
      <c r="R13" s="57">
        <f>IF(D13="VOLADO",DATOS!$C$21,IF(CL13="NO",DATOS!$C$22,DATOS!$C$20))</f>
        <v>4</v>
      </c>
      <c r="S13" s="57">
        <f>IF(OR(AND(C13="N+6.00",DATOS!$C$23="SÍ"),AND(D13="VOLADO",DATOS!$C$24="SÍ")),DATOS!$C$21,IF(CL13="NO",DATOS!$C$22,DATOS!$C$20))</f>
        <v>4</v>
      </c>
      <c r="T13" s="58" t="n">
        <v>160</v>
      </c>
      <c r="U13" s="56">
        <f>IF(E13="HABITACIÓN",DATOS!$C$89,DATOS!$C$92)</f>
        <v>190</v>
      </c>
      <c r="V13" s="56">
        <f>CARGAS!$C$9</f>
        <v>293.673469387755</v>
      </c>
      <c r="W13" s="56">
        <f>V13+T13</f>
        <v>453.673469387755</v>
      </c>
      <c r="X13" s="56">
        <f>W13+U13</f>
        <v>643.673469387755</v>
      </c>
      <c r="Y13" s="59">
        <f>MAX(DATOS!$C$55*W13+DATOS!$C$56*U13,IF(E13="AZOTEA",DATOS!$C$57*(W13+DATOS!$C$97),0))</f>
        <v>874.775510204082</v>
      </c>
      <c r="Z13" s="56">
        <f>(APOYOS!$G$45="DISCONTINUO")+(APOYOS!$G$46="DISCONTINUO")+(APOYOS!$G$47="DISCONTINUO")+(APOYOS!$G$48="DISCONTINUO")</f>
        <v>0</v>
      </c>
      <c r="AA13" s="56">
        <f>IF(M13="X",(APOYOS!$G$45="DISCONTINUO")+(APOYOS!$G$46="DISCONTINUO"),(APOYOS!$G$47="DISCONTINUO")+(APOYOS!$G$48="DISCONTINUO"))</f>
        <v>0</v>
      </c>
      <c r="AB13" s="56">
        <f>Z13-AA13</f>
        <v>0</v>
      </c>
      <c r="AC13" s="52" t="str">
        <f>IF(Z13=0,"INTERIOR",IF(Z13=1,IF(AA13=1,"BORDE-CORTO","BORDE-LARGO"),IF(Z13=2,IF(AA13=1,"ESQUINA",IF(AA13=2,"EXTREMO-LARGO","EXTREMO-CORTO")),IF(Z13=3,IF(AA13=2,"EXTREMO-LARGO","EXTREMO-CORTO"),"AISLADO"))))</f>
        <v>INTERIOR</v>
      </c>
      <c r="AD13" s="53" t="inlineStr">
        <is>
          <t>AUTO</t>
        </is>
      </c>
      <c r="AE13" s="60" t="str">
        <f>IF(AD13="AUTO",AC13,AD13)</f>
        <v>INTERIOR</v>
      </c>
      <c r="AF13" s="56">
        <f>MATCH(L13,TABLAS!$D$5:$J$5,1)</f>
        <v>4</v>
      </c>
      <c r="AG13" s="43">
        <f>IF(AF13&gt;=7,0,(L13-INDEX(TABLAS!$D$5:$J$5,AF13))/(INDEX(TABLAS!$D$5:$J$5,AF13+1)-INDEX(TABLAS!$D$5:$J$5,AF13)))</f>
        <v>0.146932952924394</v>
      </c>
      <c r="AH13" s="56">
        <f>INDEX(TABLAS!$D$6:$J$47,MATCH(AE13&amp;"|NIC",TABLAS!$B$6:$B$47,0),AF13)+AG13*(INDEX(TABLAS!$D$6:$J$47,MATCH(AE13&amp;"|NIC",TABLAS!$B$6:$B$47,0),MIN(AF13+1,7))-INDEX(TABLAS!$D$6:$J$47,MATCH(AE13&amp;"|NIC",TABLAS!$B$6:$B$47,0),AF13))</f>
        <v>717.045649072753</v>
      </c>
      <c r="AI13" s="56">
        <f>INDEX(TABLAS!$D$6:$J$47,MATCH(AE13&amp;"|NIL",TABLAS!$B$6:$B$47,0),AF13)+AG13*(INDEX(TABLAS!$D$6:$J$47,MATCH(AE13&amp;"|NIL",TABLAS!$B$6:$B$47,0),MIN(AF13+1,7))-INDEX(TABLAS!$D$6:$J$47,MATCH(AE13&amp;"|NIL",TABLAS!$B$6:$B$47,0),AF13))</f>
        <v>488.179743223966</v>
      </c>
      <c r="AJ13" s="56">
        <f>INDEX(TABLAS!$D$6:$J$47,MATCH(AE13&amp;"|NDC",TABLAS!$B$6:$B$47,0),AF13)+AG13*(INDEX(TABLAS!$D$6:$J$47,MATCH(AE13&amp;"|NDC",TABLAS!$B$6:$B$47,0),MIN(AF13+1,7))-INDEX(TABLAS!$D$6:$J$47,MATCH(AE13&amp;"|NDC",TABLAS!$B$6:$B$47,0),AF13))</f>
        <v>0</v>
      </c>
      <c r="AK13" s="56">
        <f>INDEX(TABLAS!$D$6:$J$47,MATCH(AE13&amp;"|NDL",TABLAS!$B$6:$B$47,0),AF13)+AG13*(INDEX(TABLAS!$D$6:$J$47,MATCH(AE13&amp;"|NDL",TABLAS!$B$6:$B$47,0),MIN(AF13+1,7))-INDEX(TABLAS!$D$6:$J$47,MATCH(AE13&amp;"|NDL",TABLAS!$B$6:$B$47,0),AF13))</f>
        <v>0</v>
      </c>
      <c r="AL13" s="56">
        <f>INDEX(TABLAS!$D$6:$J$47,MATCH(AE13&amp;"|PC",TABLAS!$B$6:$B$47,0),AF13)+AG13*(INDEX(TABLAS!$D$6:$J$47,MATCH(AE13&amp;"|PC",TABLAS!$B$6:$B$47,0),MIN(AF13+1,7))-INDEX(TABLAS!$D$6:$J$47,MATCH(AE13&amp;"|PC",TABLAS!$B$6:$B$47,0),AF13))</f>
        <v>325.298145506419</v>
      </c>
      <c r="AM13" s="56">
        <f>INDEX(TABLAS!$D$6:$J$47,MATCH(AE13&amp;"|PL",TABLAS!$B$6:$B$47,0),AF13)+AG13*(INDEX(TABLAS!$D$6:$J$47,MATCH(AE13&amp;"|PL",TABLAS!$B$6:$B$47,0),MIN(AF13+1,7))-INDEX(TABLAS!$D$6:$J$47,MATCH(AE13&amp;"|PL",TABLAS!$B$6:$B$47,0),AF13))</f>
        <v>201.910128388017</v>
      </c>
      <c r="AN13" s="36">
        <f>IF(D13="PERIMETRAL",IF(APOYOS!$G$45="CONTINUO",IF(M13="Y",AH13,AI13),IF(M13="Y",AJ13,AK13))*Y13*J13^2*1E-4*DATOS!$C$16/100/1000,0)</f>
        <v>0.044083584889201</v>
      </c>
      <c r="AO13" s="36">
        <f>IF(D13="PERIMETRAL",IF(APOYOS!$G$46="CONTINUO",IF(M13="Y",AH13,AI13),IF(M13="Y",AJ13,AK13))*Y13*J13^2*1E-4*DATOS!$C$16/100/1000,0)</f>
        <v>0.044083584889201</v>
      </c>
      <c r="AP13" s="36">
        <f>IF(D13="PERIMETRAL",IF(APOYOS!$G$47="CONTINUO",IF(M13="X",AH13,AI13),IF(M13="X",AJ13,AK13))*Y13*J13^2*1E-4*DATOS!$C$16/100/1000,0)</f>
        <v>0.0300130308013605</v>
      </c>
      <c r="AQ13" s="36">
        <f>IF(D13="PERIMETRAL",IF(APOYOS!$G$48="CONTINUO",IF(M13="X",AH13,AI13),IF(M13="X",AJ13,AK13))*Y13*J13^2*1E-4*DATOS!$C$16/100/1000,0)</f>
        <v>0.0300130308013605</v>
      </c>
      <c r="AR13" s="56">
        <f>IF(D13="PERIMETRAL",IF(M13="X",BN13,CD13)^3/(J13*100),0)</f>
        <v>59.3656125664571</v>
      </c>
      <c r="AS13" s="56">
        <f>IF(D13="PERIMETRAL",IF(M13="Y",BN13,CD13)^3/(J13*100),0)</f>
        <v>72.7442231623653</v>
      </c>
      <c r="AT13" s="36">
        <f>IF(D13="PERIMETRAL",MAX(0,IF(M13="Y",IF(AND(OR(APOYOS!$G$45="CONTINUO",APOYOS!$G$34="CONTINUO"),AN13&gt;0,AO10&gt;0,AO10&gt;AN13),AN13+2/3*(AO10-AN13)*AS13/MAX(AS13+AS10,1E-9),0),0),IF(M13="Y",IF(AND(OR(APOYOS!$G$46="CONTINUO",APOYOS!$G$49="CONTINUO"),AO13&gt;0,AN14&gt;0,AN14&gt;AO13),AO13+2/3*(AN14-AO13)*AS13/MAX(AS13+AS14,1E-9),0),0),IF(M13="X",IF(AND(OR(APOYOS!$G$47="CONTINUO",APOYOS!$G$44="CONTINUO"),AP13&gt;0,AQ12&gt;0,AQ12&gt;AP13),AP13+2/3*(AQ12-AP13)*AR13/MAX(AR13+AR12,1E-9),0),0),IF(M13="X",IF(AND(OR(APOYOS!$G$48="CONTINUO",APOYOS!$G$55="CONTINUO"),AQ13&gt;0,AP15&gt;0,AP15&gt;AQ13),AQ13+2/3*(AP15-AQ13)*AR13/MAX(AR13+AR15,1E-9),0),0)),0)</f>
        <v>0.242738567639899</v>
      </c>
      <c r="AU13" s="36">
        <f>IF(D13="PERIMETRAL",MAX(0,IF(M13&lt;&gt;"Y",IF(AND(OR(APOYOS!$G$45="CONTINUO",APOYOS!$G$34="CONTINUO"),AN13&gt;0,AO10&gt;0,AO10&gt;AN13),AN13+2/3*(AO10-AN13)*AS13/MAX(AS13+AS10,1E-9),0),0),IF(M13&lt;&gt;"Y",IF(AND(OR(APOYOS!$G$46="CONTINUO",APOYOS!$G$49="CONTINUO"),AO13&gt;0,AN14&gt;0,AN14&gt;AO13),AO13+2/3*(AN14-AO13)*AS13/MAX(AS13+AS14,1E-9),0),0),IF(M13&lt;&gt;"X",IF(AND(OR(APOYOS!$G$47="CONTINUO",APOYOS!$G$44="CONTINUO"),AP13&gt;0,AQ12&gt;0,AQ12&gt;AP13),AP13+2/3*(AQ12-AP13)*AR13/MAX(AR13+AR12,1E-9),0),0),IF(M13&lt;&gt;"X",IF(AND(OR(APOYOS!$G$48="CONTINUO",APOYOS!$G$55="CONTINUO"),AQ13&gt;0,AP15&gt;0,AP15&gt;AQ13),AQ13+2/3*(AP15-AQ13)*AR13/MAX(AR13+AR15,1E-9),0),0)),0)</f>
        <v>0.11817227935875</v>
      </c>
      <c r="AV13" s="36">
        <f>IF(D13="PERIMETRAL",(IF(M13="Y",IF(AND(OR(APOYOS!$G$45="CONTINUO",APOYOS!$G$34="CONTINUO"),AN13&gt;0,AO10&gt;0,AN13&gt;AO10),2/3*(AN13-AO10)*AS13/MAX(AS13+AS10,1E-9),0),0)+IF(M13="Y",IF(AND(OR(APOYOS!$G$46="CONTINUO",APOYOS!$G$49="CONTINUO"),AO13&gt;0,AN14&gt;0,AO13&gt;AN14),2/3*(AO13-AN14)*AS13/MAX(AS13+AS14,1E-9),0),0)+IF(M13="X",IF(AND(OR(APOYOS!$G$47="CONTINUO",APOYOS!$G$44="CONTINUO"),AP13&gt;0,AQ12&gt;0,AP13&gt;AQ12),2/3*(AP13-AQ12)*AR13/MAX(AR13+AR12,1E-9),0),0)+IF(M13="X",IF(AND(OR(APOYOS!$G$48="CONTINUO",APOYOS!$G$55="CONTINUO"),AQ13&gt;0,AP15&gt;0,AQ13&gt;AP15),2/3*(AQ13-AP15)*AR13/MAX(AR13+AR15,1E-9),0),0))/2,0)</f>
        <v>0</v>
      </c>
      <c r="AW13" s="36">
        <f>IF(D13="PERIMETRAL",(IF(M13&lt;&gt;"Y",IF(AND(OR(APOYOS!$G$45="CONTINUO",APOYOS!$G$34="CONTINUO"),AN13&gt;0,AO10&gt;0,AN13&gt;AO10),2/3*(AN13-AO10)*AS13/MAX(AS13+AS10,1E-9),0),0)+IF(M13&lt;&gt;"Y",IF(AND(OR(APOYOS!$G$46="CONTINUO",APOYOS!$G$49="CONTINUO"),AO13&gt;0,AN14&gt;0,AO13&gt;AN14),2/3*(AO13-AN14)*AS13/MAX(AS13+AS14,1E-9),0),0)+IF(M13&lt;&gt;"X",IF(AND(OR(APOYOS!$G$47="CONTINUO",APOYOS!$G$44="CONTINUO"),AP13&gt;0,AQ12&gt;0,AP13&gt;AQ12),2/3*(AP13-AQ12)*AR13/MAX(AR13+AR12,1E-9),0),0)+IF(M13&lt;&gt;"X",IF(AND(OR(APOYOS!$G$48="CONTINUO",APOYOS!$G$55="CONTINUO"),AQ13&gt;0,AP15&gt;0,AQ13&gt;AP15),2/3*(AQ13-AP15)*AR13/MAX(AR13+AR15,1E-9),0),0))/2,0)</f>
        <v>0</v>
      </c>
      <c r="AX13" s="36">
        <f>IF(D13="PERIMETRAL",MAX(0,0),0)</f>
        <v>0</v>
      </c>
      <c r="AY13" s="52" t="str">
        <f>IF(D13&lt;&gt;"PERIMETRAL","",IF(AND(OR(APOYOS!$G$45="CONTINUO",APOYOS!$G$34="CONTINUO"),AN13&gt;0,AO10&gt;0,ABS(AN13-AO10)&gt;0.5*MIN(AN13,AO10))," F80003","")&amp;IF(AND(OR(APOYOS!$G$46="CONTINUO",APOYOS!$G$49="CONTINUO"),AO13&gt;0,AN14&gt;0,ABS(AO13-AN14)&gt;0.5*MIN(AO13,AN14))," F80007","")&amp;IF(AND(OR(APOYOS!$G$47="CONTINUO",APOYOS!$G$44="CONTINUO"),AP13&gt;0,AQ12&gt;0,ABS(AP13-AQ12)&gt;0.5*MIN(AP13,AQ12))," F80005","")&amp;IF(AND(OR(APOYOS!$G$48="CONTINUO",APOYOS!$G$55="CONTINUO"),AQ13&gt;0,AP15&gt;0,ABS(AQ13-AP15)&gt;0.5*MIN(AQ13,AP15))," F80008",""))</f>
        <v> F80003 F80005 F80008</v>
      </c>
      <c r="AZ13" s="52" t="str">
        <f>IF(D13&lt;&gt;"PERIMETRAL","—",IF(AY13="","CUMPLE","FUERA con"&amp;AY13)&amp;IF(AND(D10="PERIMETRAL",APOYOS!$G$45&lt;&gt;APOYOS!$G$34)," · continuidad asimétrica con F80003 (cada uno con su momento; revisar APOYOS)","")&amp;IF(AND(D14="PERIMETRAL",APOYOS!$G$46&lt;&gt;APOYOS!$G$49)," · continuidad asimétrica con F80007 (cada uno con su momento; revisar APOYOS)","")&amp;IF(AND(D12="PERIMETRAL",APOYOS!$G$47&lt;&gt;APOYOS!$G$44)," · continuidad asimétrica con F80005 (cada uno con su momento; revisar APOYOS)","")&amp;IF(AND(D15="PERIMETRAL",APOYOS!$G$48&lt;&gt;APOYOS!$G$55)," · continuidad asimétrica con F80008 (cada uno con su momento; revisar APOYOS)",""))</f>
        <v>FUERA con F80003 F80005 F80008</v>
      </c>
      <c r="BA13" s="61" t="n">
        <v>0</v>
      </c>
      <c r="BB13" s="36">
        <f>IF(D13="PERIMETRAL",AL13*Y13*J13^2*1E-4*DATOS!$C$16/100/1000+AV13,0)</f>
        <v>0.0199991568602028</v>
      </c>
      <c r="BC13" s="36">
        <f>IF(D13="PERIMETRAL",MAX(MAX(AH13,AJ13)*Y13*J13^2*1E-4*DATOS!$C$16/100/1000,AT13),IF(D13="VOLADO",(Y13*(N13/100)^2/2+DATOS!$C$55*BA13*N13/100)*DATOS!$C$16/100/1000,0))</f>
        <v>0.242738567639899</v>
      </c>
      <c r="BD13" s="36">
        <f>IF(D13="PERIMETRAL",AM13*Y13*J13^2*1E-4*DATOS!$C$16/100/1000+AW13,0)</f>
        <v>0.0124133272355712</v>
      </c>
      <c r="BE13" s="36">
        <f>IF(D13="PERIMETRAL",MAX(MAX(AI13,AK13)*Y13*J13^2*1E-4*DATOS!$C$16/100/1000,AU13),0)</f>
        <v>0.11817227935875</v>
      </c>
      <c r="BF13" s="43">
        <f>(DATOS!$C$15-R13-IF(DATOS!$C$25=0,0,INDEX(TABLAS!$C$52:$C$58,MATCH(DATOS!$C$25,TABLAS!$B$52:$B$58,0)))-INDEX(TABLAS!$C$52:$C$58,MATCH(DATOS!$C$26,TABLAS!$B$52:$B$58,0))/2)</f>
        <v>20.365</v>
      </c>
      <c r="BG13" s="43">
        <f>IF(D13="HUECO",0,IF(IF(BB13&lt;=0,0,IF((1-2*BB13*1E5/(DATOS!$C$58*P13*BF13^2*DATOS!$C$48))&lt;0,-1,IF((1-SQRT((1-2*BB13*1E5/(DATOS!$C$58*P13*BF13^2*DATOS!$C$48))))*DATOS!$C$48*P13*BF13/DATOS!$C$40&gt;DATOS!$C$82*P13*BF13,-1,(1-SQRT((1-2*BB13*1E5/(DATOS!$C$58*P13*BF13^2*DATOS!$C$48))))*DATOS!$C$48*P13*BF13/DATOS!$C$40)))&lt;0,-1,MAX(IF(BB13&lt;=0,0,IF((1-2*BB13*1E5/(DATOS!$C$58*P13*BF13^2*DATOS!$C$48))&lt;0,-1,IF((1-SQRT((1-2*BB13*1E5/(DATOS!$C$58*P13*BF13^2*DATOS!$C$48))))*DATOS!$C$48*P13*BF13/DATOS!$C$40&gt;DATOS!$C$82*P13*BF13,-1,(1-SQRT((1-2*BB13*1E5/(DATOS!$C$58*P13*BF13^2*DATOS!$C$48))))*DATOS!$C$48*P13*BF13/DATOS!$C$40))),MIN(DATOS!$C$83*DATOS!$C$13*BF13,4/3*IF(BB13&lt;=0,0,IF((1-2*BB13*1E5/(DATOS!$C$58*P13*BF13^2*DATOS!$C$48))&lt;0,-1,IF((1-SQRT((1-2*BB13*1E5/(DATOS!$C$58*P13*BF13^2*DATOS!$C$48))))*DATOS!$C$48*P13*BF13/DATOS!$C$40&gt;DATOS!$C$82*P13*BF13,-1,(1-SQRT((1-2*BB13*1E5/(DATOS!$C$58*P13*BF13^2*DATOS!$C$48))))*DATOS!$C$48*P13*BF13/DATOS!$C$40)))))))</f>
        <v>0.034653670341607</v>
      </c>
      <c r="BH13" s="41">
        <f>IF(AND(BG13&gt;=0,IF(MAX(DATOS!$C$29,CEILING(BG13/INDEX(TABLAS!$D$52:$D$58,MIN(MATCH(DATOS!$C$26,TABLAS!$B$52:$B$58,0)+0,7)),1))*INDEX(TABLAS!$D$52:$D$58,MIN(MATCH(DATOS!$C$26,TABLAS!$B$52:$B$58,0)+0,7))&gt;=4/3*IF(BB13&lt;=0,0,IF((1-2*BB13*1E5/(DATOS!$C$58*P13*BF13^2*DATOS!$C$48))&lt;0,-1,IF((1-SQRT((1-2*BB13*1E5/(DATOS!$C$58*P13*BF13^2*DATOS!$C$48))))*DATOS!$C$48*P13*BF13/DATOS!$C$40&gt;DATOS!$C$82*P13*BF13,-1,(1-SQRT((1-2*BB13*1E5/(DATOS!$C$58*P13*BF13^2*DATOS!$C$48))))*DATOS!$C$48*P13*BF13/DATOS!$C$40)))-0.0001,MAX(DATOS!$C$29,CEILING(BG13/INDEX(TABLAS!$D$52:$D$58,MIN(MATCH(DATOS!$C$26,TABLAS!$B$52:$B$58,0)+0,7)),1)),MAX(MAX(DATOS!$C$29,CEILING(BG13/INDEX(TABLAS!$D$52:$D$58,MIN(MATCH(DATOS!$C$26,TABLAS!$B$52:$B$58,0)+0,7)),1)),2))&lt;=MIN(DATOS!$C$28,INT(((DATOS!$C$13-2*R13-2*IF(DATOS!$C$25=0,0,INDEX(TABLAS!$C$52:$C$58,MATCH(DATOS!$C$25,TABLAS!$B$52:$B$58,0))))+MAX(DATOS!$C$32,INDEX(TABLAS!$C$52:$C$58,MIN(MATCH(DATOS!$C$26,TABLAS!$B$52:$B$58,0)+0,7))))/(INDEX(TABLAS!$C$52:$C$58,MIN(MATCH(DATOS!$C$26,TABLAS!$B$52:$B$58,0)+0,7))+MAX(DATOS!$C$32,INDEX(TABLAS!$C$52:$C$58,MIN(MATCH(DATOS!$C$26,TABLAS!$B$52:$B$58,0)+0,7))))))),INDEX(TABLAS!$B$52:$B$58,MIN(MATCH(DATOS!$C$26,TABLAS!$B$52:$B$58,0)+0,7)),IF(AND(BG13&gt;=0,IF(MAX(DATOS!$C$29,CEILING(BG13/INDEX(TABLAS!$D$52:$D$58,MIN(MATCH(DATOS!$C$26,TABLAS!$B$52:$B$58,0)+1,7)),1))*INDEX(TABLAS!$D$52:$D$58,MIN(MATCH(DATOS!$C$26,TABLAS!$B$52:$B$58,0)+1,7))&gt;=4/3*IF(BB13&lt;=0,0,IF((1-2*BB13*1E5/(DATOS!$C$58*P13*BF13^2*DATOS!$C$48))&lt;0,-1,IF((1-SQRT((1-2*BB13*1E5/(DATOS!$C$58*P13*BF13^2*DATOS!$C$48))))*DATOS!$C$48*P13*BF13/DATOS!$C$40&gt;DATOS!$C$82*P13*BF13,-1,(1-SQRT((1-2*BB13*1E5/(DATOS!$C$58*P13*BF13^2*DATOS!$C$48))))*DATOS!$C$48*P13*BF13/DATOS!$C$40)))-0.0001,MAX(DATOS!$C$29,CEILING(BG13/INDEX(TABLAS!$D$52:$D$58,MIN(MATCH(DATOS!$C$26,TABLAS!$B$52:$B$58,0)+1,7)),1)),MAX(MAX(DATOS!$C$29,CEILING(BG13/INDEX(TABLAS!$D$52:$D$58,MIN(MATCH(DATOS!$C$26,TABLAS!$B$52:$B$58,0)+1,7)),1)),2))&lt;=MIN(DATOS!$C$28,INT(((DATOS!$C$13-2*R13-2*IF(DATOS!$C$25=0,0,INDEX(TABLAS!$C$52:$C$58,MATCH(DATOS!$C$25,TABLAS!$B$52:$B$58,0))))+MAX(DATOS!$C$32,INDEX(TABLAS!$C$52:$C$58,MIN(MATCH(DATOS!$C$26,TABLAS!$B$52:$B$58,0)+1,7))))/(INDEX(TABLAS!$C$52:$C$58,MIN(MATCH(DATOS!$C$26,TABLAS!$B$52:$B$58,0)+1,7))+MAX(DATOS!$C$32,INDEX(TABLAS!$C$52:$C$58,MIN(MATCH(DATOS!$C$26,TABLAS!$B$52:$B$58,0)+1,7))))))),INDEX(TABLAS!$B$52:$B$58,MIN(MATCH(DATOS!$C$26,TABLAS!$B$52:$B$58,0)+1,7)),IF(AND(BG13&gt;=0,IF(MAX(DATOS!$C$29,CEILING(BG13/INDEX(TABLAS!$D$52:$D$58,MIN(MATCH(DATOS!$C$26,TABLAS!$B$52:$B$58,0)+2,7)),1))*INDEX(TABLAS!$D$52:$D$58,MIN(MATCH(DATOS!$C$26,TABLAS!$B$52:$B$58,0)+2,7))&gt;=4/3*IF(BB13&lt;=0,0,IF((1-2*BB13*1E5/(DATOS!$C$58*P13*BF13^2*DATOS!$C$48))&lt;0,-1,IF((1-SQRT((1-2*BB13*1E5/(DATOS!$C$58*P13*BF13^2*DATOS!$C$48))))*DATOS!$C$48*P13*BF13/DATOS!$C$40&gt;DATOS!$C$82*P13*BF13,-1,(1-SQRT((1-2*BB13*1E5/(DATOS!$C$58*P13*BF13^2*DATOS!$C$48))))*DATOS!$C$48*P13*BF13/DATOS!$C$40)))-0.0001,MAX(DATOS!$C$29,CEILING(BG13/INDEX(TABLAS!$D$52:$D$58,MIN(MATCH(DATOS!$C$26,TABLAS!$B$52:$B$58,0)+2,7)),1)),MAX(MAX(DATOS!$C$29,CEILING(BG13/INDEX(TABLAS!$D$52:$D$58,MIN(MATCH(DATOS!$C$26,TABLAS!$B$52:$B$58,0)+2,7)),1)),2))&lt;=MIN(DATOS!$C$28,INT(((DATOS!$C$13-2*R13-2*IF(DATOS!$C$25=0,0,INDEX(TABLAS!$C$52:$C$58,MATCH(DATOS!$C$25,TABLAS!$B$52:$B$58,0))))+MAX(DATOS!$C$32,INDEX(TABLAS!$C$52:$C$58,MIN(MATCH(DATOS!$C$26,TABLAS!$B$52:$B$58,0)+2,7))))/(INDEX(TABLAS!$C$52:$C$58,MIN(MATCH(DATOS!$C$26,TABLAS!$B$52:$B$58,0)+2,7))+MAX(DATOS!$C$32,INDEX(TABLAS!$C$52:$C$58,MIN(MATCH(DATOS!$C$26,TABLAS!$B$52:$B$58,0)+2,7))))))),INDEX(TABLAS!$B$52:$B$58,MIN(MATCH(DATOS!$C$26,TABLAS!$B$52:$B$58,0)+2,7)),IF(AND(BG13&gt;=0,IF(MAX(DATOS!$C$29,CEILING(BG13/INDEX(TABLAS!$D$52:$D$58,MIN(MATCH(DATOS!$C$26,TABLAS!$B$52:$B$58,0)+3,7)),1))*INDEX(TABLAS!$D$52:$D$58,MIN(MATCH(DATOS!$C$26,TABLAS!$B$52:$B$58,0)+3,7))&gt;=4/3*IF(BB13&lt;=0,0,IF((1-2*BB13*1E5/(DATOS!$C$58*P13*BF13^2*DATOS!$C$48))&lt;0,-1,IF((1-SQRT((1-2*BB13*1E5/(DATOS!$C$58*P13*BF13^2*DATOS!$C$48))))*DATOS!$C$48*P13*BF13/DATOS!$C$40&gt;DATOS!$C$82*P13*BF13,-1,(1-SQRT((1-2*BB13*1E5/(DATOS!$C$58*P13*BF13^2*DATOS!$C$48))))*DATOS!$C$48*P13*BF13/DATOS!$C$40)))-0.0001,MAX(DATOS!$C$29,CEILING(BG13/INDEX(TABLAS!$D$52:$D$58,MIN(MATCH(DATOS!$C$26,TABLAS!$B$52:$B$58,0)+3,7)),1)),MAX(MAX(DATOS!$C$29,CEILING(BG13/INDEX(TABLAS!$D$52:$D$58,MIN(MATCH(DATOS!$C$26,TABLAS!$B$52:$B$58,0)+3,7)),1)),2))&lt;=MIN(DATOS!$C$28,INT(((DATOS!$C$13-2*R13-2*IF(DATOS!$C$25=0,0,INDEX(TABLAS!$C$52:$C$58,MATCH(DATOS!$C$25,TABLAS!$B$52:$B$58,0))))+MAX(DATOS!$C$32,INDEX(TABLAS!$C$52:$C$58,MIN(MATCH(DATOS!$C$26,TABLAS!$B$52:$B$58,0)+3,7))))/(INDEX(TABLAS!$C$52:$C$58,MIN(MATCH(DATOS!$C$26,TABLAS!$B$52:$B$58,0)+3,7))+MAX(DATOS!$C$32,INDEX(TABLAS!$C$52:$C$58,MIN(MATCH(DATOS!$C$26,TABLAS!$B$52:$B$58,0)+3,7))))))),INDEX(TABLAS!$B$52:$B$58,MIN(MATCH(DATOS!$C$26,TABLAS!$B$52:$B$58,0)+3,7)),IF(AND(BG13&gt;=0,IF(MAX(DATOS!$C$29,CEILING(BG13/INDEX(TABLAS!$D$52:$D$58,MIN(MATCH(DATOS!$C$26,TABLAS!$B$52:$B$58,0)+4,7)),1))*INDEX(TABLAS!$D$52:$D$58,MIN(MATCH(DATOS!$C$26,TABLAS!$B$52:$B$58,0)+4,7))&gt;=4/3*IF(BB13&lt;=0,0,IF((1-2*BB13*1E5/(DATOS!$C$58*P13*BF13^2*DATOS!$C$48))&lt;0,-1,IF((1-SQRT((1-2*BB13*1E5/(DATOS!$C$58*P13*BF13^2*DATOS!$C$48))))*DATOS!$C$48*P13*BF13/DATOS!$C$40&gt;DATOS!$C$82*P13*BF13,-1,(1-SQRT((1-2*BB13*1E5/(DATOS!$C$58*P13*BF13^2*DATOS!$C$48))))*DATOS!$C$48*P13*BF13/DATOS!$C$40)))-0.0001,MAX(DATOS!$C$29,CEILING(BG13/INDEX(TABLAS!$D$52:$D$58,MIN(MATCH(DATOS!$C$26,TABLAS!$B$52:$B$58,0)+4,7)),1)),MAX(MAX(DATOS!$C$29,CEILING(BG13/INDEX(TABLAS!$D$52:$D$58,MIN(MATCH(DATOS!$C$26,TABLAS!$B$52:$B$58,0)+4,7)),1)),2))&lt;=MIN(DATOS!$C$28,INT(((DATOS!$C$13-2*R13-2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13" s="56">
        <f>IF(D13="HUECO",0,IF(BG13&lt;0,0,IF(MAX(DATOS!$C$29,CEILING(MAX(BG13,0)/INDEX(TABLAS!$D$52:$D$58,MATCH(BH13,TABLAS!$B$52:$B$58,0)),1))*INDEX(TABLAS!$D$52:$D$58,MATCH(BH13,TABLAS!$B$52:$B$58,0))&gt;=4/3*IF(BB13&lt;=0,0,IF((1-2*BB13*1E5/(DATOS!$C$58*P13*BF13^2*DATOS!$C$48))&lt;0,-1,IF((1-SQRT((1-2*BB13*1E5/(DATOS!$C$58*P13*BF13^2*DATOS!$C$48))))*DATOS!$C$48*P13*BF13/DATOS!$C$40&gt;DATOS!$C$82*P13*BF13,-1,(1-SQRT((1-2*BB13*1E5/(DATOS!$C$58*P13*BF13^2*DATOS!$C$48))))*DATOS!$C$48*P13*BF13/DATOS!$C$40)))-0.0001,MAX(DATOS!$C$29,CEILING(MAX(BG13,0)/INDEX(TABLAS!$D$52:$D$58,MATCH(BH13,TABLAS!$B$52:$B$58,0)),1)),MAX(MAX(DATOS!$C$29,CEILING(MAX(BG13,0)/INDEX(TABLAS!$D$52:$D$58,MATCH(BH13,TABLAS!$B$52:$B$58,0)),1)),2))))</f>
        <v>1</v>
      </c>
      <c r="BJ13" s="43">
        <f>DATOS!$C$15-R13-IF(DATOS!$C$25=0,0,INDEX(TABLAS!$C$52:$C$58,MATCH(DATOS!$C$25,TABLAS!$B$52:$B$58,0)))-INDEX(TABLAS!$C$52:$C$58,MATCH(BH13,TABLAS!$B$52:$B$58,0))/2</f>
        <v>20.365</v>
      </c>
      <c r="BK13" s="36">
        <f>IF(BI13=0,0,DATOS!$C$58*BI13*INDEX(TABLAS!$D$52:$D$58,MATCH(BH13,TABLAS!$B$52:$B$58,0))*DATOS!$C$40*(BJ13-BI13*INDEX(TABLAS!$D$52:$D$58,MATCH(BH13,TABLAS!$B$52:$B$58,0))*DATOS!$C$40/(DATOS!$C$48*P13)/2)/1E5)</f>
        <v>0.95839287566059</v>
      </c>
      <c r="BL13" s="62">
        <f>IF(BG13&lt;0,9.99,IF(BK13&gt;0,BB13/BK13,0))</f>
        <v>0.0208673889050125</v>
      </c>
      <c r="BM13" s="63">
        <f>IF(BI13=0,"—",0.003*(BJ13-(BI13*INDEX(TABLAS!$D$52:$D$58,MATCH(BH13,TABLAS!$B$52:$B$58,0))*DATOS!$C$40/(DATOS!$C$48*P13)/DATOS!$C$49))/(BI13*INDEX(TABLAS!$D$52:$D$58,MATCH(BH13,TABLAS!$B$52:$B$58,0))*DATOS!$C$40/(DATOS!$C$48*P13)/DATOS!$C$49))</f>
        <v>0.0617552307719348</v>
      </c>
      <c r="BN13" s="43">
        <f>((DATOS!$C$15-S13-2*DATOS!$C$35-IF(DATOS!$C$25=0,0,INDEX(TABLAS!$C$52:$C$58,MATCH(DATOS!$C$25,TABLAS!$B$52:$B$58,0)))-INDEX(TABLAS!$C$52:$C$58,MATCH(DATOS!$C$27,TABLAS!$B$52:$B$58,0))/2)-IF(AND((DATOS!$C$15-S13-2*DATOS!$C$35-IF(DATOS!$C$25=0,0,INDEX(TABLAS!$C$52:$C$58,MATCH(DATOS!$C$25,TABLAS!$B$52:$B$58,0)))-INDEX(TABLAS!$C$52:$C$58,MATCH(DATOS!$C$27,TABLAS!$B$52:$B$58,0))/2)&lt;=20,DATOS!$C$18&lt;&gt;"SÍ"),2,0))</f>
        <v>19.389</v>
      </c>
      <c r="BO13" s="43">
        <f>IF(D13="HUECO",0,IF(IF(BC13&lt;=0,0,IF((1-2*BC13*1E5/(DATOS!$C$58*DATOS!$C$19*BN13^2*DATOS!$C$48))&lt;0,-1,IF((1-SQRT((1-2*BC13*1E5/(DATOS!$C$58*DATOS!$C$19*BN13^2*DATOS!$C$48))))*DATOS!$C$48*DATOS!$C$19*BN13/DATOS!$C$40&gt;DATOS!$C$82*DATOS!$C$19*BN13,-1,(1-SQRT((1-2*BC13*1E5/(DATOS!$C$58*DATOS!$C$19*BN13^2*DATOS!$C$48))))*DATOS!$C$48*DATOS!$C$19*BN13/DATOS!$C$40)))&lt;0,-1,MAX(IF(BC13&lt;=0,0,IF((1-2*BC13*1E5/(DATOS!$C$58*DATOS!$C$19*BN13^2*DATOS!$C$48))&lt;0,-1,IF((1-SQRT((1-2*BC13*1E5/(DATOS!$C$58*DATOS!$C$19*BN13^2*DATOS!$C$48))))*DATOS!$C$48*DATOS!$C$19*BN13/DATOS!$C$40&gt;DATOS!$C$82*DATOS!$C$19*BN13,-1,(1-SQRT((1-2*BC13*1E5/(DATOS!$C$58*DATOS!$C$19*BN13^2*DATOS!$C$48))))*DATOS!$C$48*DATOS!$C$19*BN13/DATOS!$C$40))),MIN(DATOS!$C$83*IF(D13="VOLADO",2*DATOS!$C$13,DATOS!$C$13)*BN13,4/3*IF(BC13&lt;=0,0,IF((1-2*BC13*1E5/(DATOS!$C$58*DATOS!$C$19*BN13^2*DATOS!$C$48))&lt;0,-1,IF((1-SQRT((1-2*BC13*1E5/(DATOS!$C$58*DATOS!$C$19*BN13^2*DATOS!$C$48))))*DATOS!$C$48*DATOS!$C$19*BN13/DATOS!$C$40&gt;DATOS!$C$82*DATOS!$C$19*BN13,-1,(1-SQRT((1-2*BC13*1E5/(DATOS!$C$58*DATOS!$C$19*BN13^2*DATOS!$C$48))))*DATOS!$C$48*DATOS!$C$19*BN13/DATOS!$C$40)))))))</f>
        <v>0.44931874322365</v>
      </c>
      <c r="BP13" s="41">
        <f>IF(AND(BO13&gt;=0,IF(MAX(DATOS!$C$29,CEILING(BO13/INDEX(TABLAS!$D$52:$D$58,MIN(MATCH(DATOS!$C$27,TABLAS!$B$52:$B$58,0)+0,7)),1))*INDEX(TABLAS!$D$52:$D$58,MIN(MATCH(DATOS!$C$27,TABLAS!$B$52:$B$58,0)+0,7))&gt;=4/3*IF(BC13&lt;=0,0,IF((1-2*BC13*1E5/(DATOS!$C$58*DATOS!$C$19*BN13^2*DATOS!$C$48))&lt;0,-1,IF((1-SQRT((1-2*BC13*1E5/(DATOS!$C$58*DATOS!$C$19*BN13^2*DATOS!$C$48))))*DATOS!$C$48*DATOS!$C$19*BN13/DATOS!$C$40&gt;DATOS!$C$82*DATOS!$C$19*BN13,-1,(1-SQRT((1-2*BC13*1E5/(DATOS!$C$58*DATOS!$C$19*BN13^2*DATOS!$C$48))))*DATOS!$C$48*DATOS!$C$19*BN13/DATOS!$C$40)))-0.0001,MAX(DATOS!$C$29,CEILING(BO13/INDEX(TABLAS!$D$52:$D$58,MIN(MATCH(DATOS!$C$27,TABLAS!$B$52:$B$58,0)+0,7)),1)),MAX(MAX(DATOS!$C$29,CEILING(BO13/INDEX(TABLAS!$D$52:$D$58,MIN(MATCH(DATOS!$C$27,TABLAS!$B$52:$B$58,0)+0,7)),1)),2))&lt;=MIN(DATOS!$C$28,INT(((DATOS!$C$13-2*S13-2*IF(DATOS!$C$25=0,0,INDEX(TABLAS!$C$52:$C$58,MATCH(DATOS!$C$25,TABLAS!$B$52:$B$58,0))))+MAX(DATOS!$C$32,INDEX(TABLAS!$C$52:$C$58,MIN(MATCH(DATOS!$C$27,TABLAS!$B$52:$B$58,0)+0,7))))/(INDEX(TABLAS!$C$52:$C$58,MIN(MATCH(DATOS!$C$27,TABLAS!$B$52:$B$58,0)+0,7))+MAX(DATOS!$C$32,INDEX(TABLAS!$C$52:$C$58,MIN(MATCH(DATOS!$C$27,TABLAS!$B$52:$B$58,0)+0,7))))))),INDEX(TABLAS!$B$52:$B$58,MIN(MATCH(DATOS!$C$27,TABLAS!$B$52:$B$58,0)+0,7)),IF(AND(BO13&gt;=0,IF(MAX(DATOS!$C$29,CEILING(BO13/INDEX(TABLAS!$D$52:$D$58,MIN(MATCH(DATOS!$C$27,TABLAS!$B$52:$B$58,0)+1,7)),1))*INDEX(TABLAS!$D$52:$D$58,MIN(MATCH(DATOS!$C$27,TABLAS!$B$52:$B$58,0)+1,7))&gt;=4/3*IF(BC13&lt;=0,0,IF((1-2*BC13*1E5/(DATOS!$C$58*DATOS!$C$19*BN13^2*DATOS!$C$48))&lt;0,-1,IF((1-SQRT((1-2*BC13*1E5/(DATOS!$C$58*DATOS!$C$19*BN13^2*DATOS!$C$48))))*DATOS!$C$48*DATOS!$C$19*BN13/DATOS!$C$40&gt;DATOS!$C$82*DATOS!$C$19*BN13,-1,(1-SQRT((1-2*BC13*1E5/(DATOS!$C$58*DATOS!$C$19*BN13^2*DATOS!$C$48))))*DATOS!$C$48*DATOS!$C$19*BN13/DATOS!$C$40)))-0.0001,MAX(DATOS!$C$29,CEILING(BO13/INDEX(TABLAS!$D$52:$D$58,MIN(MATCH(DATOS!$C$27,TABLAS!$B$52:$B$58,0)+1,7)),1)),MAX(MAX(DATOS!$C$29,CEILING(BO13/INDEX(TABLAS!$D$52:$D$58,MIN(MATCH(DATOS!$C$27,TABLAS!$B$52:$B$58,0)+1,7)),1)),2))&lt;=MIN(DATOS!$C$28,INT(((DATOS!$C$13-2*S13-2*IF(DATOS!$C$25=0,0,INDEX(TABLAS!$C$52:$C$58,MATCH(DATOS!$C$25,TABLAS!$B$52:$B$58,0))))+MAX(DATOS!$C$32,INDEX(TABLAS!$C$52:$C$58,MIN(MATCH(DATOS!$C$27,TABLAS!$B$52:$B$58,0)+1,7))))/(INDEX(TABLAS!$C$52:$C$58,MIN(MATCH(DATOS!$C$27,TABLAS!$B$52:$B$58,0)+1,7))+MAX(DATOS!$C$32,INDEX(TABLAS!$C$52:$C$58,MIN(MATCH(DATOS!$C$27,TABLAS!$B$52:$B$58,0)+1,7))))))),INDEX(TABLAS!$B$52:$B$58,MIN(MATCH(DATOS!$C$27,TABLAS!$B$52:$B$58,0)+1,7)),IF(AND(BO13&gt;=0,IF(MAX(DATOS!$C$29,CEILING(BO13/INDEX(TABLAS!$D$52:$D$58,MIN(MATCH(DATOS!$C$27,TABLAS!$B$52:$B$58,0)+2,7)),1))*INDEX(TABLAS!$D$52:$D$58,MIN(MATCH(DATOS!$C$27,TABLAS!$B$52:$B$58,0)+2,7))&gt;=4/3*IF(BC13&lt;=0,0,IF((1-2*BC13*1E5/(DATOS!$C$58*DATOS!$C$19*BN13^2*DATOS!$C$48))&lt;0,-1,IF((1-SQRT((1-2*BC13*1E5/(DATOS!$C$58*DATOS!$C$19*BN13^2*DATOS!$C$48))))*DATOS!$C$48*DATOS!$C$19*BN13/DATOS!$C$40&gt;DATOS!$C$82*DATOS!$C$19*BN13,-1,(1-SQRT((1-2*BC13*1E5/(DATOS!$C$58*DATOS!$C$19*BN13^2*DATOS!$C$48))))*DATOS!$C$48*DATOS!$C$19*BN13/DATOS!$C$40)))-0.0001,MAX(DATOS!$C$29,CEILING(BO13/INDEX(TABLAS!$D$52:$D$58,MIN(MATCH(DATOS!$C$27,TABLAS!$B$52:$B$58,0)+2,7)),1)),MAX(MAX(DATOS!$C$29,CEILING(BO13/INDEX(TABLAS!$D$52:$D$58,MIN(MATCH(DATOS!$C$27,TABLAS!$B$52:$B$58,0)+2,7)),1)),2))&lt;=MIN(DATOS!$C$28,INT(((DATOS!$C$13-2*S13-2*IF(DATOS!$C$25=0,0,INDEX(TABLAS!$C$52:$C$58,MATCH(DATOS!$C$25,TABLAS!$B$52:$B$58,0))))+MAX(DATOS!$C$32,INDEX(TABLAS!$C$52:$C$58,MIN(MATCH(DATOS!$C$27,TABLAS!$B$52:$B$58,0)+2,7))))/(INDEX(TABLAS!$C$52:$C$58,MIN(MATCH(DATOS!$C$27,TABLAS!$B$52:$B$58,0)+2,7))+MAX(DATOS!$C$32,INDEX(TABLAS!$C$52:$C$58,MIN(MATCH(DATOS!$C$27,TABLAS!$B$52:$B$58,0)+2,7))))))),INDEX(TABLAS!$B$52:$B$58,MIN(MATCH(DATOS!$C$27,TABLAS!$B$52:$B$58,0)+2,7)),IF(AND(BO13&gt;=0,IF(MAX(DATOS!$C$29,CEILING(BO13/INDEX(TABLAS!$D$52:$D$58,MIN(MATCH(DATOS!$C$27,TABLAS!$B$52:$B$58,0)+3,7)),1))*INDEX(TABLAS!$D$52:$D$58,MIN(MATCH(DATOS!$C$27,TABLAS!$B$52:$B$58,0)+3,7))&gt;=4/3*IF(BC13&lt;=0,0,IF((1-2*BC13*1E5/(DATOS!$C$58*DATOS!$C$19*BN13^2*DATOS!$C$48))&lt;0,-1,IF((1-SQRT((1-2*BC13*1E5/(DATOS!$C$58*DATOS!$C$19*BN13^2*DATOS!$C$48))))*DATOS!$C$48*DATOS!$C$19*BN13/DATOS!$C$40&gt;DATOS!$C$82*DATOS!$C$19*BN13,-1,(1-SQRT((1-2*BC13*1E5/(DATOS!$C$58*DATOS!$C$19*BN13^2*DATOS!$C$48))))*DATOS!$C$48*DATOS!$C$19*BN13/DATOS!$C$40)))-0.0001,MAX(DATOS!$C$29,CEILING(BO13/INDEX(TABLAS!$D$52:$D$58,MIN(MATCH(DATOS!$C$27,TABLAS!$B$52:$B$58,0)+3,7)),1)),MAX(MAX(DATOS!$C$29,CEILING(BO13/INDEX(TABLAS!$D$52:$D$58,MIN(MATCH(DATOS!$C$27,TABLAS!$B$52:$B$58,0)+3,7)),1)),2))&lt;=MIN(DATOS!$C$28,INT(((DATOS!$C$13-2*S13-2*IF(DATOS!$C$25=0,0,INDEX(TABLAS!$C$52:$C$58,MATCH(DATOS!$C$25,TABLAS!$B$52:$B$58,0))))+MAX(DATOS!$C$32,INDEX(TABLAS!$C$52:$C$58,MIN(MATCH(DATOS!$C$27,TABLAS!$B$52:$B$58,0)+3,7))))/(INDEX(TABLAS!$C$52:$C$58,MIN(MATCH(DATOS!$C$27,TABLAS!$B$52:$B$58,0)+3,7))+MAX(DATOS!$C$32,INDEX(TABLAS!$C$52:$C$58,MIN(MATCH(DATOS!$C$27,TABLAS!$B$52:$B$58,0)+3,7))))))),INDEX(TABLAS!$B$52:$B$58,MIN(MATCH(DATOS!$C$27,TABLAS!$B$52:$B$58,0)+3,7)),IF(AND(BO13&gt;=0,IF(MAX(DATOS!$C$29,CEILING(BO13/INDEX(TABLAS!$D$52:$D$58,MIN(MATCH(DATOS!$C$27,TABLAS!$B$52:$B$58,0)+4,7)),1))*INDEX(TABLAS!$D$52:$D$58,MIN(MATCH(DATOS!$C$27,TABLAS!$B$52:$B$58,0)+4,7))&gt;=4/3*IF(BC13&lt;=0,0,IF((1-2*BC13*1E5/(DATOS!$C$58*DATOS!$C$19*BN13^2*DATOS!$C$48))&lt;0,-1,IF((1-SQRT((1-2*BC13*1E5/(DATOS!$C$58*DATOS!$C$19*BN13^2*DATOS!$C$48))))*DATOS!$C$48*DATOS!$C$19*BN13/DATOS!$C$40&gt;DATOS!$C$82*DATOS!$C$19*BN13,-1,(1-SQRT((1-2*BC13*1E5/(DATOS!$C$58*DATOS!$C$19*BN13^2*DATOS!$C$48))))*DATOS!$C$48*DATOS!$C$19*BN13/DATOS!$C$40)))-0.0001,MAX(DATOS!$C$29,CEILING(BO13/INDEX(TABLAS!$D$52:$D$58,MIN(MATCH(DATOS!$C$27,TABLAS!$B$52:$B$58,0)+4,7)),1)),MAX(MAX(DATOS!$C$29,CEILING(BO13/INDEX(TABLAS!$D$52:$D$58,MIN(MATCH(DATOS!$C$27,TABLAS!$B$52:$B$58,0)+4,7)),1)),2))&lt;=MIN(DATOS!$C$28,INT(((DATOS!$C$13-2*S13-2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13" s="56">
        <f>IF(D13="HUECO",0,IF(BO13&lt;0,0,IF(MAX(DATOS!$C$29,CEILING(MAX(BO13,0)/INDEX(TABLAS!$D$52:$D$58,MATCH(BP13,TABLAS!$B$52:$B$58,0)),1))*INDEX(TABLAS!$D$52:$D$58,MATCH(BP13,TABLAS!$B$52:$B$58,0))&gt;=4/3*IF(BC13&lt;=0,0,IF((1-2*BC13*1E5/(DATOS!$C$58*DATOS!$C$19*BN13^2*DATOS!$C$48))&lt;0,-1,IF((1-SQRT((1-2*BC13*1E5/(DATOS!$C$58*DATOS!$C$19*BN13^2*DATOS!$C$48))))*DATOS!$C$48*DATOS!$C$19*BN13/DATOS!$C$40&gt;DATOS!$C$82*DATOS!$C$19*BN13,-1,(1-SQRT((1-2*BC13*1E5/(DATOS!$C$58*DATOS!$C$19*BN13^2*DATOS!$C$48))))*DATOS!$C$48*DATOS!$C$19*BN13/DATOS!$C$40)))-0.0001,MAX(DATOS!$C$29,CEILING(MAX(BO13,0)/INDEX(TABLAS!$D$52:$D$58,MATCH(BP13,TABLAS!$B$52:$B$58,0)),1)),MAX(MAX(DATOS!$C$29,CEILING(MAX(BO13,0)/INDEX(TABLAS!$D$52:$D$58,MATCH(BP13,TABLAS!$B$52:$B$58,0)),1)),2))))</f>
        <v>1</v>
      </c>
      <c r="BR13" s="43">
        <f>((DATOS!$C$15-S13-2*DATOS!$C$35-IF(DATOS!$C$25=0,0,INDEX(TABLAS!$C$52:$C$58,MATCH(DATOS!$C$25,TABLAS!$B$52:$B$58,0)))-INDEX(TABLAS!$C$52:$C$58,MATCH(BP13,TABLAS!$B$52:$B$58,0))/2)-IF(AND((DATOS!$C$15-S13-2*DATOS!$C$35-IF(DATOS!$C$25=0,0,INDEX(TABLAS!$C$52:$C$58,MATCH(DATOS!$C$25,TABLAS!$B$52:$B$58,0)))-INDEX(TABLAS!$C$52:$C$58,MATCH(BP13,TABLAS!$B$52:$B$58,0))/2)&lt;=20,DATOS!$C$18&lt;&gt;"SÍ"),2,0))</f>
        <v>19.389</v>
      </c>
      <c r="BS13" s="36">
        <f>IF(BQ13=0,0,DATOS!$C$58*BQ13*INDEX(TABLAS!$D$52:$D$58,MATCH(BP13,TABLAS!$B$52:$B$58,0))*DATOS!$C$40*(BR13-BQ13*INDEX(TABLAS!$D$52:$D$58,MATCH(BP13,TABLAS!$B$52:$B$58,0))*DATOS!$C$40/(DATOS!$C$48*DATOS!$C$19)/2)/1E5)</f>
        <v>0.870537980117647</v>
      </c>
      <c r="BT13" s="62">
        <f>IF(BO13&lt;0,9.99,IF(BS13&gt;0,BC13/BS13,0))</f>
        <v>0.278837423735486</v>
      </c>
      <c r="BU13" s="63">
        <f>IF(BQ13=0,"—",0.003*(BR13-(BQ13*INDEX(TABLAS!$D$52:$D$58,MATCH(BP13,TABLAS!$B$52:$B$58,0))*DATOS!$C$40/(DATOS!$C$48*DATOS!$C$19)/DATOS!$C$49))/(BQ13*INDEX(TABLAS!$D$52:$D$58,MATCH(BP13,TABLAS!$B$52:$B$58,0))*DATOS!$C$40/(DATOS!$C$48*DATOS!$C$19)/DATOS!$C$49))</f>
        <v>0.0166970648200225</v>
      </c>
      <c r="BV13" s="43">
        <f>(DATOS!$C$15-R13-IF(DATOS!$C$25=0,0,INDEX(TABLAS!$C$52:$C$58,MATCH(DATOS!$C$25,TABLAS!$B$52:$B$58,0)))-INDEX(TABLAS!$C$52:$C$58,MATCH(DATOS!$C$26,TABLAS!$B$52:$B$58,0))-INDEX(TABLAS!$C$52:$C$58,MATCH(DATOS!$C$26,TABLAS!$B$52:$B$58,0))/2)</f>
        <v>19.095</v>
      </c>
      <c r="BW13" s="43">
        <f>IF(D13="HUECO",0,IF(IF(BD13&lt;=0,0,IF((1-2*BD13*1E5/(DATOS!$C$58*Q13*BV13^2*DATOS!$C$48))&lt;0,-1,IF((1-SQRT((1-2*BD13*1E5/(DATOS!$C$58*Q13*BV13^2*DATOS!$C$48))))*DATOS!$C$48*Q13*BV13/DATOS!$C$40&gt;DATOS!$C$82*Q13*BV13,-1,(1-SQRT((1-2*BD13*1E5/(DATOS!$C$58*Q13*BV13^2*DATOS!$C$48))))*DATOS!$C$48*Q13*BV13/DATOS!$C$40)))&lt;0,-1,MAX(IF(BD13&lt;=0,0,IF((1-2*BD13*1E5/(DATOS!$C$58*Q13*BV13^2*DATOS!$C$48))&lt;0,-1,IF((1-SQRT((1-2*BD13*1E5/(DATOS!$C$58*Q13*BV13^2*DATOS!$C$48))))*DATOS!$C$48*Q13*BV13/DATOS!$C$40&gt;DATOS!$C$82*Q13*BV13,-1,(1-SQRT((1-2*BD13*1E5/(DATOS!$C$58*Q13*BV13^2*DATOS!$C$48))))*DATOS!$C$48*Q13*BV13/DATOS!$C$40))),MIN(DATOS!$C$83*DATOS!$C$13*BV13,4/3*IF(BD13&lt;=0,0,IF((1-2*BD13*1E5/(DATOS!$C$58*Q13*BV13^2*DATOS!$C$48))&lt;0,-1,IF((1-SQRT((1-2*BD13*1E5/(DATOS!$C$58*Q13*BV13^2*DATOS!$C$48))))*DATOS!$C$48*Q13*BV13/DATOS!$C$40&gt;DATOS!$C$82*Q13*BV13,-1,(1-SQRT((1-2*BD13*1E5/(DATOS!$C$58*Q13*BV13^2*DATOS!$C$48))))*DATOS!$C$48*Q13*BV13/DATOS!$C$40)))))))</f>
        <v>0.0229355470584789</v>
      </c>
      <c r="BX13" s="41">
        <f>IF(AND(BW13&gt;=0,IF(MAX(DATOS!$C$29,CEILING(BW13/INDEX(TABLAS!$D$52:$D$58,MIN(MATCH(DATOS!$C$26,TABLAS!$B$52:$B$58,0)+0,7)),1))*INDEX(TABLAS!$D$52:$D$58,MIN(MATCH(DATOS!$C$26,TABLAS!$B$52:$B$58,0)+0,7))&gt;=4/3*IF(BD13&lt;=0,0,IF((1-2*BD13*1E5/(DATOS!$C$58*Q13*BV13^2*DATOS!$C$48))&lt;0,-1,IF((1-SQRT((1-2*BD13*1E5/(DATOS!$C$58*Q13*BV13^2*DATOS!$C$48))))*DATOS!$C$48*Q13*BV13/DATOS!$C$40&gt;DATOS!$C$82*Q13*BV13,-1,(1-SQRT((1-2*BD13*1E5/(DATOS!$C$58*Q13*BV13^2*DATOS!$C$48))))*DATOS!$C$48*Q13*BV13/DATOS!$C$40)))-0.0001,MAX(DATOS!$C$29,CEILING(BW13/INDEX(TABLAS!$D$52:$D$58,MIN(MATCH(DATOS!$C$26,TABLAS!$B$52:$B$58,0)+0,7)),1)),MAX(MAX(DATOS!$C$29,CEILING(BW13/INDEX(TABLAS!$D$52:$D$58,MIN(MATCH(DATOS!$C$26,TABLAS!$B$52:$B$58,0)+0,7)),1)),2))&lt;=MIN(DATOS!$C$28,INT(((DATOS!$C$13-2*R13-2*IF(DATOS!$C$25=0,0,INDEX(TABLAS!$C$52:$C$58,MATCH(DATOS!$C$25,TABLAS!$B$52:$B$58,0))))+MAX(DATOS!$C$32,INDEX(TABLAS!$C$52:$C$58,MIN(MATCH(DATOS!$C$26,TABLAS!$B$52:$B$58,0)+0,7))))/(INDEX(TABLAS!$C$52:$C$58,MIN(MATCH(DATOS!$C$26,TABLAS!$B$52:$B$58,0)+0,7))+MAX(DATOS!$C$32,INDEX(TABLAS!$C$52:$C$58,MIN(MATCH(DATOS!$C$26,TABLAS!$B$52:$B$58,0)+0,7))))))),INDEX(TABLAS!$B$52:$B$58,MIN(MATCH(DATOS!$C$26,TABLAS!$B$52:$B$58,0)+0,7)),IF(AND(BW13&gt;=0,IF(MAX(DATOS!$C$29,CEILING(BW13/INDEX(TABLAS!$D$52:$D$58,MIN(MATCH(DATOS!$C$26,TABLAS!$B$52:$B$58,0)+1,7)),1))*INDEX(TABLAS!$D$52:$D$58,MIN(MATCH(DATOS!$C$26,TABLAS!$B$52:$B$58,0)+1,7))&gt;=4/3*IF(BD13&lt;=0,0,IF((1-2*BD13*1E5/(DATOS!$C$58*Q13*BV13^2*DATOS!$C$48))&lt;0,-1,IF((1-SQRT((1-2*BD13*1E5/(DATOS!$C$58*Q13*BV13^2*DATOS!$C$48))))*DATOS!$C$48*Q13*BV13/DATOS!$C$40&gt;DATOS!$C$82*Q13*BV13,-1,(1-SQRT((1-2*BD13*1E5/(DATOS!$C$58*Q13*BV13^2*DATOS!$C$48))))*DATOS!$C$48*Q13*BV13/DATOS!$C$40)))-0.0001,MAX(DATOS!$C$29,CEILING(BW13/INDEX(TABLAS!$D$52:$D$58,MIN(MATCH(DATOS!$C$26,TABLAS!$B$52:$B$58,0)+1,7)),1)),MAX(MAX(DATOS!$C$29,CEILING(BW13/INDEX(TABLAS!$D$52:$D$58,MIN(MATCH(DATOS!$C$26,TABLAS!$B$52:$B$58,0)+1,7)),1)),2))&lt;=MIN(DATOS!$C$28,INT(((DATOS!$C$13-2*R13-2*IF(DATOS!$C$25=0,0,INDEX(TABLAS!$C$52:$C$58,MATCH(DATOS!$C$25,TABLAS!$B$52:$B$58,0))))+MAX(DATOS!$C$32,INDEX(TABLAS!$C$52:$C$58,MIN(MATCH(DATOS!$C$26,TABLAS!$B$52:$B$58,0)+1,7))))/(INDEX(TABLAS!$C$52:$C$58,MIN(MATCH(DATOS!$C$26,TABLAS!$B$52:$B$58,0)+1,7))+MAX(DATOS!$C$32,INDEX(TABLAS!$C$52:$C$58,MIN(MATCH(DATOS!$C$26,TABLAS!$B$52:$B$58,0)+1,7))))))),INDEX(TABLAS!$B$52:$B$58,MIN(MATCH(DATOS!$C$26,TABLAS!$B$52:$B$58,0)+1,7)),IF(AND(BW13&gt;=0,IF(MAX(DATOS!$C$29,CEILING(BW13/INDEX(TABLAS!$D$52:$D$58,MIN(MATCH(DATOS!$C$26,TABLAS!$B$52:$B$58,0)+2,7)),1))*INDEX(TABLAS!$D$52:$D$58,MIN(MATCH(DATOS!$C$26,TABLAS!$B$52:$B$58,0)+2,7))&gt;=4/3*IF(BD13&lt;=0,0,IF((1-2*BD13*1E5/(DATOS!$C$58*Q13*BV13^2*DATOS!$C$48))&lt;0,-1,IF((1-SQRT((1-2*BD13*1E5/(DATOS!$C$58*Q13*BV13^2*DATOS!$C$48))))*DATOS!$C$48*Q13*BV13/DATOS!$C$40&gt;DATOS!$C$82*Q13*BV13,-1,(1-SQRT((1-2*BD13*1E5/(DATOS!$C$58*Q13*BV13^2*DATOS!$C$48))))*DATOS!$C$48*Q13*BV13/DATOS!$C$40)))-0.0001,MAX(DATOS!$C$29,CEILING(BW13/INDEX(TABLAS!$D$52:$D$58,MIN(MATCH(DATOS!$C$26,TABLAS!$B$52:$B$58,0)+2,7)),1)),MAX(MAX(DATOS!$C$29,CEILING(BW13/INDEX(TABLAS!$D$52:$D$58,MIN(MATCH(DATOS!$C$26,TABLAS!$B$52:$B$58,0)+2,7)),1)),2))&lt;=MIN(DATOS!$C$28,INT(((DATOS!$C$13-2*R13-2*IF(DATOS!$C$25=0,0,INDEX(TABLAS!$C$52:$C$58,MATCH(DATOS!$C$25,TABLAS!$B$52:$B$58,0))))+MAX(DATOS!$C$32,INDEX(TABLAS!$C$52:$C$58,MIN(MATCH(DATOS!$C$26,TABLAS!$B$52:$B$58,0)+2,7))))/(INDEX(TABLAS!$C$52:$C$58,MIN(MATCH(DATOS!$C$26,TABLAS!$B$52:$B$58,0)+2,7))+MAX(DATOS!$C$32,INDEX(TABLAS!$C$52:$C$58,MIN(MATCH(DATOS!$C$26,TABLAS!$B$52:$B$58,0)+2,7))))))),INDEX(TABLAS!$B$52:$B$58,MIN(MATCH(DATOS!$C$26,TABLAS!$B$52:$B$58,0)+2,7)),IF(AND(BW13&gt;=0,IF(MAX(DATOS!$C$29,CEILING(BW13/INDEX(TABLAS!$D$52:$D$58,MIN(MATCH(DATOS!$C$26,TABLAS!$B$52:$B$58,0)+3,7)),1))*INDEX(TABLAS!$D$52:$D$58,MIN(MATCH(DATOS!$C$26,TABLAS!$B$52:$B$58,0)+3,7))&gt;=4/3*IF(BD13&lt;=0,0,IF((1-2*BD13*1E5/(DATOS!$C$58*Q13*BV13^2*DATOS!$C$48))&lt;0,-1,IF((1-SQRT((1-2*BD13*1E5/(DATOS!$C$58*Q13*BV13^2*DATOS!$C$48))))*DATOS!$C$48*Q13*BV13/DATOS!$C$40&gt;DATOS!$C$82*Q13*BV13,-1,(1-SQRT((1-2*BD13*1E5/(DATOS!$C$58*Q13*BV13^2*DATOS!$C$48))))*DATOS!$C$48*Q13*BV13/DATOS!$C$40)))-0.0001,MAX(DATOS!$C$29,CEILING(BW13/INDEX(TABLAS!$D$52:$D$58,MIN(MATCH(DATOS!$C$26,TABLAS!$B$52:$B$58,0)+3,7)),1)),MAX(MAX(DATOS!$C$29,CEILING(BW13/INDEX(TABLAS!$D$52:$D$58,MIN(MATCH(DATOS!$C$26,TABLAS!$B$52:$B$58,0)+3,7)),1)),2))&lt;=MIN(DATOS!$C$28,INT(((DATOS!$C$13-2*R13-2*IF(DATOS!$C$25=0,0,INDEX(TABLAS!$C$52:$C$58,MATCH(DATOS!$C$25,TABLAS!$B$52:$B$58,0))))+MAX(DATOS!$C$32,INDEX(TABLAS!$C$52:$C$58,MIN(MATCH(DATOS!$C$26,TABLAS!$B$52:$B$58,0)+3,7))))/(INDEX(TABLAS!$C$52:$C$58,MIN(MATCH(DATOS!$C$26,TABLAS!$B$52:$B$58,0)+3,7))+MAX(DATOS!$C$32,INDEX(TABLAS!$C$52:$C$58,MIN(MATCH(DATOS!$C$26,TABLAS!$B$52:$B$58,0)+3,7))))))),INDEX(TABLAS!$B$52:$B$58,MIN(MATCH(DATOS!$C$26,TABLAS!$B$52:$B$58,0)+3,7)),IF(AND(BW13&gt;=0,IF(MAX(DATOS!$C$29,CEILING(BW13/INDEX(TABLAS!$D$52:$D$58,MIN(MATCH(DATOS!$C$26,TABLAS!$B$52:$B$58,0)+4,7)),1))*INDEX(TABLAS!$D$52:$D$58,MIN(MATCH(DATOS!$C$26,TABLAS!$B$52:$B$58,0)+4,7))&gt;=4/3*IF(BD13&lt;=0,0,IF((1-2*BD13*1E5/(DATOS!$C$58*Q13*BV13^2*DATOS!$C$48))&lt;0,-1,IF((1-SQRT((1-2*BD13*1E5/(DATOS!$C$58*Q13*BV13^2*DATOS!$C$48))))*DATOS!$C$48*Q13*BV13/DATOS!$C$40&gt;DATOS!$C$82*Q13*BV13,-1,(1-SQRT((1-2*BD13*1E5/(DATOS!$C$58*Q13*BV13^2*DATOS!$C$48))))*DATOS!$C$48*Q13*BV13/DATOS!$C$40)))-0.0001,MAX(DATOS!$C$29,CEILING(BW13/INDEX(TABLAS!$D$52:$D$58,MIN(MATCH(DATOS!$C$26,TABLAS!$B$52:$B$58,0)+4,7)),1)),MAX(MAX(DATOS!$C$29,CEILING(BW13/INDEX(TABLAS!$D$52:$D$58,MIN(MATCH(DATOS!$C$26,TABLAS!$B$52:$B$58,0)+4,7)),1)),2))&lt;=MIN(DATOS!$C$28,INT(((DATOS!$C$13-2*R13-2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13" s="56">
        <f>IF(D13="HUECO",0,IF(BW13&lt;0,0,IF(MAX(DATOS!$C$29,CEILING(MAX(BW13,0)/INDEX(TABLAS!$D$52:$D$58,MATCH(BX13,TABLAS!$B$52:$B$58,0)),1))*INDEX(TABLAS!$D$52:$D$58,MATCH(BX13,TABLAS!$B$52:$B$58,0))&gt;=4/3*IF(BD13&lt;=0,0,IF((1-2*BD13*1E5/(DATOS!$C$58*Q13*BV13^2*DATOS!$C$48))&lt;0,-1,IF((1-SQRT((1-2*BD13*1E5/(DATOS!$C$58*Q13*BV13^2*DATOS!$C$48))))*DATOS!$C$48*Q13*BV13/DATOS!$C$40&gt;DATOS!$C$82*Q13*BV13,-1,(1-SQRT((1-2*BD13*1E5/(DATOS!$C$58*Q13*BV13^2*DATOS!$C$48))))*DATOS!$C$48*Q13*BV13/DATOS!$C$40)))-0.0001,MAX(DATOS!$C$29,CEILING(MAX(BW13,0)/INDEX(TABLAS!$D$52:$D$58,MATCH(BX13,TABLAS!$B$52:$B$58,0)),1)),MAX(MAX(DATOS!$C$29,CEILING(MAX(BW13,0)/INDEX(TABLAS!$D$52:$D$58,MATCH(BX13,TABLAS!$B$52:$B$58,0)),1)),2))))</f>
        <v>1</v>
      </c>
      <c r="BZ13" s="43">
        <f>DATOS!$C$15-R13-IF(DATOS!$C$25=0,0,INDEX(TABLAS!$C$52:$C$58,MATCH(DATOS!$C$25,TABLAS!$B$52:$B$58,0)))-INDEX(TABLAS!$C$52:$C$58,MATCH(BH13,TABLAS!$B$52:$B$58,0))-INDEX(TABLAS!$C$52:$C$58,MATCH(BX13,TABLAS!$B$52:$B$58,0))/2</f>
        <v>19.095</v>
      </c>
      <c r="CA13" s="36">
        <f>IF(BY13=0,0,DATOS!$C$58*BY13*INDEX(TABLAS!$D$52:$D$58,MATCH(BX13,TABLAS!$B$52:$B$58,0))*DATOS!$C$40*(BZ13-BY13*INDEX(TABLAS!$D$52:$D$58,MATCH(BX13,TABLAS!$B$52:$B$58,0))*DATOS!$C$40/(DATOS!$C$48*Q13)/2)/1E5)</f>
        <v>0.902086106590229</v>
      </c>
      <c r="CB13" s="62">
        <f>IF(BW13&lt;0,9.99,IF(CA13&gt;0,BD13/CA13,0))</f>
        <v>0.013760689966163</v>
      </c>
      <c r="CC13" s="63">
        <f>IF(BY13=0,"—",0.003*(BZ13-(BY13*INDEX(TABLAS!$D$52:$D$58,MATCH(BX13,TABLAS!$B$52:$B$58,0))*DATOS!$C$40/(DATOS!$C$48*Q13)/DATOS!$C$49))/(BY13*INDEX(TABLAS!$D$52:$D$58,MATCH(BX13,TABLAS!$B$52:$B$58,0))*DATOS!$C$40/(DATOS!$C$48*Q13)/DATOS!$C$49))</f>
        <v>0.0771153654035433</v>
      </c>
      <c r="CD13" s="43">
        <f>((DATOS!$C$15-S13-2*DATOS!$C$35-IF(DATOS!$C$25=0,0,INDEX(TABLAS!$C$52:$C$58,MATCH(DATOS!$C$25,TABLAS!$B$52:$B$58,0)))-INDEX(TABLAS!$C$52:$C$58,MATCH(DATOS!$C$27,TABLAS!$B$52:$B$58,0))-INDEX(TABLAS!$C$52:$C$58,MATCH(DATOS!$C$27,TABLAS!$B$52:$B$58,0))/2)-IF(AND((DATOS!$C$15-S13-2*DATOS!$C$35-IF(DATOS!$C$25=0,0,INDEX(TABLAS!$C$52:$C$58,MATCH(DATOS!$C$25,TABLAS!$B$52:$B$58,0)))-INDEX(TABLAS!$C$52:$C$58,MATCH(DATOS!$C$27,TABLAS!$B$52:$B$58,0))-INDEX(TABLAS!$C$52:$C$58,MATCH(DATOS!$C$27,TABLAS!$B$52:$B$58,0))/2)&lt;=20,DATOS!$C$18&lt;&gt;"SÍ"),2,0))</f>
        <v>18.119</v>
      </c>
      <c r="CE13" s="43">
        <f>IF(D13="HUECO",0,IF(IF(BE13&lt;=0,0,IF((1-2*BE13*1E5/(DATOS!$C$58*DATOS!$C$19*CD13^2*DATOS!$C$48))&lt;0,-1,IF((1-SQRT((1-2*BE13*1E5/(DATOS!$C$58*DATOS!$C$19*CD13^2*DATOS!$C$48))))*DATOS!$C$48*DATOS!$C$19*CD13/DATOS!$C$40&gt;DATOS!$C$82*DATOS!$C$19*CD13,-1,(1-SQRT((1-2*BE13*1E5/(DATOS!$C$58*DATOS!$C$19*CD13^2*DATOS!$C$48))))*DATOS!$C$48*DATOS!$C$19*CD13/DATOS!$C$40)))&lt;0,-1,MAX(IF(BE13&lt;=0,0,IF((1-2*BE13*1E5/(DATOS!$C$58*DATOS!$C$19*CD13^2*DATOS!$C$48))&lt;0,-1,IF((1-SQRT((1-2*BE13*1E5/(DATOS!$C$58*DATOS!$C$19*CD13^2*DATOS!$C$48))))*DATOS!$C$48*DATOS!$C$19*CD13/DATOS!$C$40&gt;DATOS!$C$82*DATOS!$C$19*CD13,-1,(1-SQRT((1-2*BE13*1E5/(DATOS!$C$58*DATOS!$C$19*CD13^2*DATOS!$C$48))))*DATOS!$C$48*DATOS!$C$19*CD13/DATOS!$C$40))),MIN(DATOS!$C$83*DATOS!$C$13*CD13,4/3*IF(BE13&lt;=0,0,IF((1-2*BE13*1E5/(DATOS!$C$58*DATOS!$C$19*CD13^2*DATOS!$C$48))&lt;0,-1,IF((1-SQRT((1-2*BE13*1E5/(DATOS!$C$58*DATOS!$C$19*CD13^2*DATOS!$C$48))))*DATOS!$C$48*DATOS!$C$19*CD13/DATOS!$C$40&gt;DATOS!$C$82*DATOS!$C$19*CD13,-1,(1-SQRT((1-2*BE13*1E5/(DATOS!$C$58*DATOS!$C$19*CD13^2*DATOS!$C$48))))*DATOS!$C$48*DATOS!$C$19*CD13/DATOS!$C$40)))))))</f>
        <v>0.232259886181045</v>
      </c>
      <c r="CF13" s="41">
        <f>IF(AND(CE13&gt;=0,IF(MAX(DATOS!$C$29,CEILING(CE13/INDEX(TABLAS!$D$52:$D$58,MIN(MATCH(DATOS!$C$27,TABLAS!$B$52:$B$58,0)+0,7)),1))*INDEX(TABLAS!$D$52:$D$58,MIN(MATCH(DATOS!$C$27,TABLAS!$B$52:$B$58,0)+0,7))&gt;=4/3*IF(BE13&lt;=0,0,IF((1-2*BE13*1E5/(DATOS!$C$58*DATOS!$C$19*CD13^2*DATOS!$C$48))&lt;0,-1,IF((1-SQRT((1-2*BE13*1E5/(DATOS!$C$58*DATOS!$C$19*CD13^2*DATOS!$C$48))))*DATOS!$C$48*DATOS!$C$19*CD13/DATOS!$C$40&gt;DATOS!$C$82*DATOS!$C$19*CD13,-1,(1-SQRT((1-2*BE13*1E5/(DATOS!$C$58*DATOS!$C$19*CD13^2*DATOS!$C$48))))*DATOS!$C$48*DATOS!$C$19*CD13/DATOS!$C$40)))-0.0001,MAX(DATOS!$C$29,CEILING(CE13/INDEX(TABLAS!$D$52:$D$58,MIN(MATCH(DATOS!$C$27,TABLAS!$B$52:$B$58,0)+0,7)),1)),MAX(MAX(DATOS!$C$29,CEILING(CE13/INDEX(TABLAS!$D$52:$D$58,MIN(MATCH(DATOS!$C$27,TABLAS!$B$52:$B$58,0)+0,7)),1)),2))&lt;=MIN(DATOS!$C$28,INT(((DATOS!$C$13-2*S13-2*IF(DATOS!$C$25=0,0,INDEX(TABLAS!$C$52:$C$58,MATCH(DATOS!$C$25,TABLAS!$B$52:$B$58,0))))+MAX(DATOS!$C$32,INDEX(TABLAS!$C$52:$C$58,MIN(MATCH(DATOS!$C$27,TABLAS!$B$52:$B$58,0)+0,7))))/(INDEX(TABLAS!$C$52:$C$58,MIN(MATCH(DATOS!$C$27,TABLAS!$B$52:$B$58,0)+0,7))+MAX(DATOS!$C$32,INDEX(TABLAS!$C$52:$C$58,MIN(MATCH(DATOS!$C$27,TABLAS!$B$52:$B$58,0)+0,7))))))),INDEX(TABLAS!$B$52:$B$58,MIN(MATCH(DATOS!$C$27,TABLAS!$B$52:$B$58,0)+0,7)),IF(AND(CE13&gt;=0,IF(MAX(DATOS!$C$29,CEILING(CE13/INDEX(TABLAS!$D$52:$D$58,MIN(MATCH(DATOS!$C$27,TABLAS!$B$52:$B$58,0)+1,7)),1))*INDEX(TABLAS!$D$52:$D$58,MIN(MATCH(DATOS!$C$27,TABLAS!$B$52:$B$58,0)+1,7))&gt;=4/3*IF(BE13&lt;=0,0,IF((1-2*BE13*1E5/(DATOS!$C$58*DATOS!$C$19*CD13^2*DATOS!$C$48))&lt;0,-1,IF((1-SQRT((1-2*BE13*1E5/(DATOS!$C$58*DATOS!$C$19*CD13^2*DATOS!$C$48))))*DATOS!$C$48*DATOS!$C$19*CD13/DATOS!$C$40&gt;DATOS!$C$82*DATOS!$C$19*CD13,-1,(1-SQRT((1-2*BE13*1E5/(DATOS!$C$58*DATOS!$C$19*CD13^2*DATOS!$C$48))))*DATOS!$C$48*DATOS!$C$19*CD13/DATOS!$C$40)))-0.0001,MAX(DATOS!$C$29,CEILING(CE13/INDEX(TABLAS!$D$52:$D$58,MIN(MATCH(DATOS!$C$27,TABLAS!$B$52:$B$58,0)+1,7)),1)),MAX(MAX(DATOS!$C$29,CEILING(CE13/INDEX(TABLAS!$D$52:$D$58,MIN(MATCH(DATOS!$C$27,TABLAS!$B$52:$B$58,0)+1,7)),1)),2))&lt;=MIN(DATOS!$C$28,INT(((DATOS!$C$13-2*S13-2*IF(DATOS!$C$25=0,0,INDEX(TABLAS!$C$52:$C$58,MATCH(DATOS!$C$25,TABLAS!$B$52:$B$58,0))))+MAX(DATOS!$C$32,INDEX(TABLAS!$C$52:$C$58,MIN(MATCH(DATOS!$C$27,TABLAS!$B$52:$B$58,0)+1,7))))/(INDEX(TABLAS!$C$52:$C$58,MIN(MATCH(DATOS!$C$27,TABLAS!$B$52:$B$58,0)+1,7))+MAX(DATOS!$C$32,INDEX(TABLAS!$C$52:$C$58,MIN(MATCH(DATOS!$C$27,TABLAS!$B$52:$B$58,0)+1,7))))))),INDEX(TABLAS!$B$52:$B$58,MIN(MATCH(DATOS!$C$27,TABLAS!$B$52:$B$58,0)+1,7)),IF(AND(CE13&gt;=0,IF(MAX(DATOS!$C$29,CEILING(CE13/INDEX(TABLAS!$D$52:$D$58,MIN(MATCH(DATOS!$C$27,TABLAS!$B$52:$B$58,0)+2,7)),1))*INDEX(TABLAS!$D$52:$D$58,MIN(MATCH(DATOS!$C$27,TABLAS!$B$52:$B$58,0)+2,7))&gt;=4/3*IF(BE13&lt;=0,0,IF((1-2*BE13*1E5/(DATOS!$C$58*DATOS!$C$19*CD13^2*DATOS!$C$48))&lt;0,-1,IF((1-SQRT((1-2*BE13*1E5/(DATOS!$C$58*DATOS!$C$19*CD13^2*DATOS!$C$48))))*DATOS!$C$48*DATOS!$C$19*CD13/DATOS!$C$40&gt;DATOS!$C$82*DATOS!$C$19*CD13,-1,(1-SQRT((1-2*BE13*1E5/(DATOS!$C$58*DATOS!$C$19*CD13^2*DATOS!$C$48))))*DATOS!$C$48*DATOS!$C$19*CD13/DATOS!$C$40)))-0.0001,MAX(DATOS!$C$29,CEILING(CE13/INDEX(TABLAS!$D$52:$D$58,MIN(MATCH(DATOS!$C$27,TABLAS!$B$52:$B$58,0)+2,7)),1)),MAX(MAX(DATOS!$C$29,CEILING(CE13/INDEX(TABLAS!$D$52:$D$58,MIN(MATCH(DATOS!$C$27,TABLAS!$B$52:$B$58,0)+2,7)),1)),2))&lt;=MIN(DATOS!$C$28,INT(((DATOS!$C$13-2*S13-2*IF(DATOS!$C$25=0,0,INDEX(TABLAS!$C$52:$C$58,MATCH(DATOS!$C$25,TABLAS!$B$52:$B$58,0))))+MAX(DATOS!$C$32,INDEX(TABLAS!$C$52:$C$58,MIN(MATCH(DATOS!$C$27,TABLAS!$B$52:$B$58,0)+2,7))))/(INDEX(TABLAS!$C$52:$C$58,MIN(MATCH(DATOS!$C$27,TABLAS!$B$52:$B$58,0)+2,7))+MAX(DATOS!$C$32,INDEX(TABLAS!$C$52:$C$58,MIN(MATCH(DATOS!$C$27,TABLAS!$B$52:$B$58,0)+2,7))))))),INDEX(TABLAS!$B$52:$B$58,MIN(MATCH(DATOS!$C$27,TABLAS!$B$52:$B$58,0)+2,7)),IF(AND(CE13&gt;=0,IF(MAX(DATOS!$C$29,CEILING(CE13/INDEX(TABLAS!$D$52:$D$58,MIN(MATCH(DATOS!$C$27,TABLAS!$B$52:$B$58,0)+3,7)),1))*INDEX(TABLAS!$D$52:$D$58,MIN(MATCH(DATOS!$C$27,TABLAS!$B$52:$B$58,0)+3,7))&gt;=4/3*IF(BE13&lt;=0,0,IF((1-2*BE13*1E5/(DATOS!$C$58*DATOS!$C$19*CD13^2*DATOS!$C$48))&lt;0,-1,IF((1-SQRT((1-2*BE13*1E5/(DATOS!$C$58*DATOS!$C$19*CD13^2*DATOS!$C$48))))*DATOS!$C$48*DATOS!$C$19*CD13/DATOS!$C$40&gt;DATOS!$C$82*DATOS!$C$19*CD13,-1,(1-SQRT((1-2*BE13*1E5/(DATOS!$C$58*DATOS!$C$19*CD13^2*DATOS!$C$48))))*DATOS!$C$48*DATOS!$C$19*CD13/DATOS!$C$40)))-0.0001,MAX(DATOS!$C$29,CEILING(CE13/INDEX(TABLAS!$D$52:$D$58,MIN(MATCH(DATOS!$C$27,TABLAS!$B$52:$B$58,0)+3,7)),1)),MAX(MAX(DATOS!$C$29,CEILING(CE13/INDEX(TABLAS!$D$52:$D$58,MIN(MATCH(DATOS!$C$27,TABLAS!$B$52:$B$58,0)+3,7)),1)),2))&lt;=MIN(DATOS!$C$28,INT(((DATOS!$C$13-2*S13-2*IF(DATOS!$C$25=0,0,INDEX(TABLAS!$C$52:$C$58,MATCH(DATOS!$C$25,TABLAS!$B$52:$B$58,0))))+MAX(DATOS!$C$32,INDEX(TABLAS!$C$52:$C$58,MIN(MATCH(DATOS!$C$27,TABLAS!$B$52:$B$58,0)+3,7))))/(INDEX(TABLAS!$C$52:$C$58,MIN(MATCH(DATOS!$C$27,TABLAS!$B$52:$B$58,0)+3,7))+MAX(DATOS!$C$32,INDEX(TABLAS!$C$52:$C$58,MIN(MATCH(DATOS!$C$27,TABLAS!$B$52:$B$58,0)+3,7))))))),INDEX(TABLAS!$B$52:$B$58,MIN(MATCH(DATOS!$C$27,TABLAS!$B$52:$B$58,0)+3,7)),IF(AND(CE13&gt;=0,IF(MAX(DATOS!$C$29,CEILING(CE13/INDEX(TABLAS!$D$52:$D$58,MIN(MATCH(DATOS!$C$27,TABLAS!$B$52:$B$58,0)+4,7)),1))*INDEX(TABLAS!$D$52:$D$58,MIN(MATCH(DATOS!$C$27,TABLAS!$B$52:$B$58,0)+4,7))&gt;=4/3*IF(BE13&lt;=0,0,IF((1-2*BE13*1E5/(DATOS!$C$58*DATOS!$C$19*CD13^2*DATOS!$C$48))&lt;0,-1,IF((1-SQRT((1-2*BE13*1E5/(DATOS!$C$58*DATOS!$C$19*CD13^2*DATOS!$C$48))))*DATOS!$C$48*DATOS!$C$19*CD13/DATOS!$C$40&gt;DATOS!$C$82*DATOS!$C$19*CD13,-1,(1-SQRT((1-2*BE13*1E5/(DATOS!$C$58*DATOS!$C$19*CD13^2*DATOS!$C$48))))*DATOS!$C$48*DATOS!$C$19*CD13/DATOS!$C$40)))-0.0001,MAX(DATOS!$C$29,CEILING(CE13/INDEX(TABLAS!$D$52:$D$58,MIN(MATCH(DATOS!$C$27,TABLAS!$B$52:$B$58,0)+4,7)),1)),MAX(MAX(DATOS!$C$29,CEILING(CE13/INDEX(TABLAS!$D$52:$D$58,MIN(MATCH(DATOS!$C$27,TABLAS!$B$52:$B$58,0)+4,7)),1)),2))&lt;=MIN(DATOS!$C$28,INT(((DATOS!$C$13-2*S13-2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13" s="56">
        <f>IF(D13="HUECO",0,IF(CE13&lt;0,0,IF(MAX(DATOS!$C$29,CEILING(MAX(CE13,0)/INDEX(TABLAS!$D$52:$D$58,MATCH(CF13,TABLAS!$B$52:$B$58,0)),1))*INDEX(TABLAS!$D$52:$D$58,MATCH(CF13,TABLAS!$B$52:$B$58,0))&gt;=4/3*IF(BE13&lt;=0,0,IF((1-2*BE13*1E5/(DATOS!$C$58*DATOS!$C$19*CD13^2*DATOS!$C$48))&lt;0,-1,IF((1-SQRT((1-2*BE13*1E5/(DATOS!$C$58*DATOS!$C$19*CD13^2*DATOS!$C$48))))*DATOS!$C$48*DATOS!$C$19*CD13/DATOS!$C$40&gt;DATOS!$C$82*DATOS!$C$19*CD13,-1,(1-SQRT((1-2*BE13*1E5/(DATOS!$C$58*DATOS!$C$19*CD13^2*DATOS!$C$48))))*DATOS!$C$48*DATOS!$C$19*CD13/DATOS!$C$40)))-0.0001,MAX(DATOS!$C$29,CEILING(MAX(CE13,0)/INDEX(TABLAS!$D$52:$D$58,MATCH(CF13,TABLAS!$B$52:$B$58,0)),1)),MAX(MAX(DATOS!$C$29,CEILING(MAX(CE13,0)/INDEX(TABLAS!$D$52:$D$58,MATCH(CF13,TABLAS!$B$52:$B$58,0)),1)),2))))</f>
        <v>1</v>
      </c>
      <c r="CH13" s="43">
        <f>((DATOS!$C$15-S13-2*DATOS!$C$35-IF(DATOS!$C$25=0,0,INDEX(TABLAS!$C$52:$C$58,MATCH(DATOS!$C$25,TABLAS!$B$52:$B$58,0)))-INDEX(TABLAS!$C$52:$C$58,MATCH(BP13,TABLAS!$B$52:$B$58,0))-INDEX(TABLAS!$C$52:$C$58,MATCH(CF13,TABLAS!$B$52:$B$58,0))/2)-IF(AND((DATOS!$C$15-S13-2*DATOS!$C$35-IF(DATOS!$C$25=0,0,INDEX(TABLAS!$C$52:$C$58,MATCH(DATOS!$C$25,TABLAS!$B$52:$B$58,0)))-INDEX(TABLAS!$C$52:$C$58,MATCH(BP13,TABLAS!$B$52:$B$58,0))-INDEX(TABLAS!$C$52:$C$58,MATCH(CF13,TABLAS!$B$52:$B$58,0))/2)&lt;=20,DATOS!$C$18&lt;&gt;"SÍ"),2,0))</f>
        <v>18.119</v>
      </c>
      <c r="CI13" s="36">
        <f>IF(CG13=0,0,DATOS!$C$58*CG13*INDEX(TABLAS!$D$52:$D$58,MATCH(CF13,TABLAS!$B$52:$B$58,0))*DATOS!$C$40*(CH13-CG13*INDEX(TABLAS!$D$52:$D$58,MATCH(CF13,TABLAS!$B$52:$B$58,0))*DATOS!$C$40/(DATOS!$C$48*DATOS!$C$19)/2)/1E5)</f>
        <v>0.809570360117647</v>
      </c>
      <c r="CJ13" s="62">
        <f>IF(CE13&lt;0,9.99,IF(CI13&gt;0,BE13/CI13,0))</f>
        <v>0.145969127799561</v>
      </c>
      <c r="CK13" s="63">
        <f>IF(CG13=0,"—",0.003*(CH13-(CG13*INDEX(TABLAS!$D$52:$D$58,MATCH(CF13,TABLAS!$B$52:$B$58,0))*DATOS!$C$40/(DATOS!$C$48*DATOS!$C$19)/DATOS!$C$49))/(CG13*INDEX(TABLAS!$D$52:$D$58,MATCH(CF13,TABLAS!$B$52:$B$58,0))*DATOS!$C$40/(DATOS!$C$48*DATOS!$C$19)/DATOS!$C$49))</f>
        <v>0.0154068862485939</v>
      </c>
      <c r="CL13" s="52" t="str">
        <f>IF(D13="HUECO","—",IF(AND(D13="PERIMETRAL",J13*100&gt;=6*DATOS!$C$11,DATOS!$C$11&lt;=80,DATOS!$C$13&gt;=10,DATOS!$C$15&lt;=3.5*DATOS!$C$13,DATOS!$C$14&gt;=MAX(DATOS!$C$11/13,5)),"SÍ","NO"))</f>
        <v>NO</v>
      </c>
      <c r="CM13" s="36">
        <f>IF(D13="PERIMETRAL",MAX(0,(N13/2-BR13)/100)*(0.95-0.5*L13)*Y13*IF(AND(Z13&gt;0,Z13&lt;4),DATOS!$C$63,1)*DATOS!$C$16/100/1000+AX13,IF(D13="VOLADO",(Y13*MAX(0,N13-BR13)/100+DATOS!$C$55*BA13)*DATOS!$C$16/100/1000,0))</f>
        <v>0.084234354696719</v>
      </c>
      <c r="CN13" s="36">
        <f>IF(D13="HUECO",0,DATOS!$C$59*2*MIN(1,SQRT(2/(1+0.04*BR13)))*(BQ13*INDEX(TABLAS!$D$52:$D$58,MATCH(BP13,TABLAS!$B$52:$B$58,0))/(DATOS!$C$19*BR13))^(1/3)*SQRT(DATOS!$C$39)*DATOS!$C$19*BR13*IF(CL13="SÍ",DATOS!$C$62,1)/1000)</f>
        <v>0.860398102904257</v>
      </c>
      <c r="CO13" s="51" t="str">
        <f>IF(D13="HUECO","—",IF(CM13&lt;=CN13,"CUMPLE",IF(MAX(0,CEILING((IF(D13="VOLADO",(N13-(CN13*1E5/DATOS!$C$16-DATOS!$C$55*BA13)*100/Y13),IF(CN13&lt;=AX13,N13,N13/2-(CN13-AX13)/MAX(CM13-AX13,1E-9)*(N13/2-BR13)))-IF(INT((J13*100-DATOS!$C$17+DATOS!$C$13)/DATOS!$C$16)&gt;0,(J13*100-DATOS!$C$17-(INT((J13*100-DATOS!$C$17+DATOS!$C$13)/DATOS!$C$16)*DATOS!$C$11+(INT((J13*100-DATOS!$C$17+DATOS!$C$13)/DATOS!$C$16)-1)*DATOS!$C$13))/2,J13*100/2))/DATOS!$C$16,1))&lt;=0,"CUMPLE (basta el macizo de orilla)","MACIZAR "&amp;MAX(0,CEILING((IF(D13="VOLADO",(N13-(CN13*1E5/DATOS!$C$16-DATOS!$C$55*BA13)*100/Y13),IF(CN13&lt;=AX13,N13,N13/2-(CN13-AX13)/MAX(CM13-AX13,1E-9)*(N13/2-BR13)))-IF(INT((J13*100-DATOS!$C$17+DATOS!$C$13)/DATOS!$C$16)&gt;0,(J13*100-DATOS!$C$17-(INT((J13*100-DATOS!$C$17+DATOS!$C$13)/DATOS!$C$16)*DATOS!$C$11+(INT((J13*100-DATOS!$C$17+DATOS!$C$13)/DATOS!$C$16)-1)*DATOS!$C$13))/2,J13*100/2))/DATOS!$C$16,1))&amp;" hilera(s)")))</f>
        <v>CUMPLE</v>
      </c>
      <c r="CP13" s="43">
        <f>IF(D13="PERIMETRAL",(99+(PRINCIPALES!$N$12*PRINCIPALES!$O$12^3/12/(1.002*100*IF(APOYOS!$G$46="CONTINUO",1,0.5)*DATOS!$C$77^3/12))+99+(PRINCIPALES!$N$30*PRINCIPALES!$O$30^3/12/(1.402*100*IF(APOYOS!$G$48="CONTINUO",1,0.5)*DATOS!$C$77^3/12)))/4,0)</f>
        <v>49.8309162460796</v>
      </c>
      <c r="CQ13" s="57">
        <f>IF(D13="PERIMETRAL",IF(CP13&gt;2,MAX(9,O13*(0.8+DATOS!$C$40/14000)/(36+9*(O13/MAX(N13,1)))),IF(CP13&gt;0.2,MAX(13,O13*(0.8+DATOS!$C$40/14000)/(36+5*(O13/MAX(N13,1))*(CP13-0.2))),MAX(13,O13/IF(Z13&gt;0,30,33))))*IF(AND(CP13&gt;0.2,OR(AND((APOYOS!$G$45="DISCONTINUO"),99&lt;0.8),AND((APOYOS!$G$46="DISCONTINUO"),(PRINCIPALES!$N$12*PRINCIPALES!$O$12^3/12/(1.002*100*IF(APOYOS!$G$46="CONTINUO",1,0.5)*DATOS!$C$77^3/12))&lt;0.8),AND((APOYOS!$G$47="DISCONTINUO"),99&lt;0.8),AND((APOYOS!$G$48="DISCONTINUO"),(PRINCIPALES!$N$30*PRINCIPALES!$O$30^3/12/(1.402*100*IF(APOYOS!$G$48="CONTINUO",1,0.5)*DATOS!$C$77^3/12))&lt;0.8))),1.1,1),IF(D13="VOLADO",MAX(25,J13*100/8),0))</f>
        <v>9</v>
      </c>
      <c r="CR13" s="57">
        <f>IF(D13="VOLADO",DATOS!$C$15,DATOS!$C$77)</f>
        <v>16.7232564120244</v>
      </c>
      <c r="CS13" s="52" t="str">
        <f>IF(D13="HUECO","—",IF(CR13&gt;=CQ13,"CUMPLE",IF(D13="VOLADO","NO CUMPLE","CALCULAR FLECHA")))</f>
        <v>CUMPLE</v>
      </c>
      <c r="CT13" s="52" t="str">
        <f>IF(D13="HUECO","—",IF(DATOS!$C$14&gt;=IF(IF(D13="VOLADO",J13,K13)&gt;=6,6,5),"CUMPLE","CAPA ≥ 6 cm"))</f>
        <v>CUMPLE</v>
      </c>
      <c r="CU13" s="59">
        <f>IF(D13="HUECO",0,IF(((4*((AL13*Y13*J13^2*1E-4*DATOS!$C$16/100/1000)+((MAX(AH13,AJ13)*Y13*J13^2*1E-4*DATOS!$C$16/100/1000)+(IF(AND(AH13&gt;0,AJ13&gt;0),MIN(AH13,AJ13),MAX(AH13,AJ13))*Y13*J13^2*1E-4*DATOS!$C$16/100/1000))/2)+BC13-(IF(AND(AH13&gt;0,AJ13&gt;0),MIN(AH13,AJ13),MAX(AH13,AJ13))*Y13*J13^2*1E-4*DATOS!$C$16/100/1000))^2-16*((AL13*Y13*J13^2*1E-4*DATOS!$C$16/100/1000)+((MAX(AH13,AJ13)*Y13*J13^2*1E-4*DATOS!$C$16/100/1000)+(IF(AND(AH13&gt;0,AJ13&gt;0),MIN(AH13,AJ13),MAX(AH13,AJ13))*Y13*J13^2*1E-4*DATOS!$C$16/100/1000))/2)*BC13)&lt;0,CEILING(N13,5),CEILING(MAX(N13*((4*((AL13*Y13*J13^2*1E-4*DATOS!$C$16/100/1000)+((MAX(AH13,AJ13)*Y13*J13^2*1E-4*DATOS!$C$16/100/1000)+(IF(AND(AH13&gt;0,AJ13&gt;0),MIN(AH13,AJ13),MAX(AH13,AJ13))*Y13*J13^2*1E-4*DATOS!$C$16/100/1000))/2)+BC13-(IF(AND(AH13&gt;0,AJ13&gt;0),MIN(AH13,AJ13),MAX(AH13,AJ13))*Y13*J13^2*1E-4*DATOS!$C$16/100/1000))-SQRT(MAX(0,((4*((AL13*Y13*J13^2*1E-4*DATOS!$C$16/100/1000)+((MAX(AH13,AJ13)*Y13*J13^2*1E-4*DATOS!$C$16/100/1000)+(IF(AND(AH13&gt;0,AJ13&gt;0),MIN(AH13,AJ13),MAX(AH13,AJ13))*Y13*J13^2*1E-4*DATOS!$C$16/100/1000))/2)+BC13-(IF(AND(AH13&gt;0,AJ13&gt;0),MIN(AH13,AJ13),MAX(AH13,AJ13))*Y13*J13^2*1E-4*DATOS!$C$16/100/1000))^2-16*((AL13*Y13*J13^2*1E-4*DATOS!$C$16/100/1000)+((MAX(AH13,AJ13)*Y13*J13^2*1E-4*DATOS!$C$16/100/1000)+(IF(AND(AH13&gt;0,AJ13&gt;0),MIN(AH13,AJ13),MAX(AH13,AJ13))*Y13*J13^2*1E-4*DATOS!$C$16/100/1000))/2)*BC13))))/(8*MAX(((AL13*Y13*J13^2*1E-4*DATOS!$C$16/100/1000)+((MAX(AH13,AJ13)*Y13*J13^2*1E-4*DATOS!$C$16/100/1000)+(IF(AND(AH13&gt;0,AJ13&gt;0),MIN(AH13,AJ13),MAX(AH13,AJ13))*Y13*J13^2*1E-4*DATOS!$C$16/100/1000))/2),1E-9))+MAX(BR13,12*INDEX(TABLAS!$C$52:$C$58,MATCH(BP13,TABLAS!$B$52:$B$58,0)),N13/16),IF(OR(S13&lt;INDEX(TABLAS!$C$52:$C$58,MATCH(BP13,TABLAS!$B$52:$B$58,0)),AND(BQ13&gt;=2,(DATOS!$C$13-2*S13-2*IF(DATOS!$C$25=0,0,INDEX(TABLAS!$C$52:$C$58,MATCH(DATOS!$C$25,TABLAS!$B$52:$B$58,0)))-BQ13*INDEX(TABLAS!$C$52:$C$58,MATCH(BP13,TABLAS!$B$52:$B$58,0)))/MAX(BQ13-1,1)&lt;2*INDEX(TABLAS!$C$52:$C$58,MATCH(BP13,TABLAS!$B$52:$B$58,0)))),INDEX(TABLAS!$I$52:$I$58,MATCH(BP13,TABLAS!$B$52:$B$58,0)),INDEX(TABLAS!$F$52:$F$58,MATCH(BP13,TABLAS!$B$52:$B$58,0)))),5)))</f>
        <v>90</v>
      </c>
      <c r="CV13" s="59">
        <f>IF(D13="HUECO",0,IF(((4*((AM13*Y13*J13^2*1E-4*DATOS!$C$16/100/1000)+((MAX(AI13,AK13)*Y13*J13^2*1E-4*DATOS!$C$16/100/1000)+(IF(AND(AI13&gt;0,AK13&gt;0),MIN(AI13,AK13),MAX(AI13,AK13))*Y13*J13^2*1E-4*DATOS!$C$16/100/1000))/2)+BE13-(IF(AND(AI13&gt;0,AK13&gt;0),MIN(AI13,AK13),MAX(AI13,AK13))*Y13*J13^2*1E-4*DATOS!$C$16/100/1000))^2-16*((AM13*Y13*J13^2*1E-4*DATOS!$C$16/100/1000)+((MAX(AI13,AK13)*Y13*J13^2*1E-4*DATOS!$C$16/100/1000)+(IF(AND(AI13&gt;0,AK13&gt;0),MIN(AI13,AK13),MAX(AI13,AK13))*Y13*J13^2*1E-4*DATOS!$C$16/100/1000))/2)*BE13)&lt;0,CEILING(O13,5),CEILING(MAX(O13*((4*((AM13*Y13*J13^2*1E-4*DATOS!$C$16/100/1000)+((MAX(AI13,AK13)*Y13*J13^2*1E-4*DATOS!$C$16/100/1000)+(IF(AND(AI13&gt;0,AK13&gt;0),MIN(AI13,AK13),MAX(AI13,AK13))*Y13*J13^2*1E-4*DATOS!$C$16/100/1000))/2)+BE13-(IF(AND(AI13&gt;0,AK13&gt;0),MIN(AI13,AK13),MAX(AI13,AK13))*Y13*J13^2*1E-4*DATOS!$C$16/100/1000))-SQRT(MAX(0,((4*((AM13*Y13*J13^2*1E-4*DATOS!$C$16/100/1000)+((MAX(AI13,AK13)*Y13*J13^2*1E-4*DATOS!$C$16/100/1000)+(IF(AND(AI13&gt;0,AK13&gt;0),MIN(AI13,AK13),MAX(AI13,AK13))*Y13*J13^2*1E-4*DATOS!$C$16/100/1000))/2)+BE13-(IF(AND(AI13&gt;0,AK13&gt;0),MIN(AI13,AK13),MAX(AI13,AK13))*Y13*J13^2*1E-4*DATOS!$C$16/100/1000))^2-16*((AM13*Y13*J13^2*1E-4*DATOS!$C$16/100/1000)+((MAX(AI13,AK13)*Y13*J13^2*1E-4*DATOS!$C$16/100/1000)+(IF(AND(AI13&gt;0,AK13&gt;0),MIN(AI13,AK13),MAX(AI13,AK13))*Y13*J13^2*1E-4*DATOS!$C$16/100/1000))/2)*BE13))))/(8*MAX(((AM13*Y13*J13^2*1E-4*DATOS!$C$16/100/1000)+((MAX(AI13,AK13)*Y13*J13^2*1E-4*DATOS!$C$16/100/1000)+(IF(AND(AI13&gt;0,AK13&gt;0),MIN(AI13,AK13),MAX(AI13,AK13))*Y13*J13^2*1E-4*DATOS!$C$16/100/1000))/2),1E-9))+MAX(CH13,12*INDEX(TABLAS!$C$52:$C$58,MATCH(CF13,TABLAS!$B$52:$B$58,0)),O13/16),IF(OR(S13&lt;INDEX(TABLAS!$C$52:$C$58,MATCH(CF13,TABLAS!$B$52:$B$58,0)),AND(CG13&gt;=2,(DATOS!$C$13-2*S13-2*IF(DATOS!$C$25=0,0,INDEX(TABLAS!$C$52:$C$58,MATCH(DATOS!$C$25,TABLAS!$B$52:$B$58,0)))-CG13*INDEX(TABLAS!$C$52:$C$58,MATCH(CF13,TABLAS!$B$52:$B$58,0)))/MAX(CG13-1,1)&lt;2*INDEX(TABLAS!$C$52:$C$58,MATCH(CF13,TABLAS!$B$52:$B$58,0)))),INDEX(TABLAS!$I$52:$I$58,MATCH(CF13,TABLAS!$B$52:$B$58,0)),INDEX(TABLAS!$F$52:$F$58,MATCH(CF13,TABLAS!$B$52:$B$58,0)))),5)))</f>
        <v>130</v>
      </c>
      <c r="CW13" s="56">
        <f>MAX(0,INT((F13*100-DATOS!$C$17+DATOS!$C$13)/DATOS!$C$16))</f>
        <v>1</v>
      </c>
      <c r="CX13" s="56">
        <f>MAX(0,INT((G13*100-DATOS!$C$17+DATOS!$C$13)/DATOS!$C$16))</f>
        <v>1</v>
      </c>
      <c r="CY13" s="51" t="str">
        <f>IF(COUNTIFS(TRIB!$C$6:$C$255,B13,TRIB!$K$6:$K$255,"NO CUMPLE*")+COUNTIFS(TRIB!$C$6:$C$255,B13,TRIB!$K$6:$K$255,"SIN APOYO*")&gt;0,"VER PRINCIPALES",IF((APOYOS!$F$45="LIBRE")+(APOYOS!$F$46="LIBRE")+(APOYOS!$F$47="LIBRE")+(APOYOS!$F$48="LIBRE")&gt;0,"REVISAR: borde libre","OK"))</f>
        <v>OK</v>
      </c>
      <c r="CZ13" s="64" t="str">
        <f>IF(D13="HUECO","HUECO — marco de nervaduras principales",IF(AND(MAX(BL13,BT13,CB13,CJ13)&lt;=1,NOT(OR(BI13&gt;MIN(DATOS!$C$28,INT(((DATOS!$C$13-2*R13-2*IF(DATOS!$C$25=0,0,INDEX(TABLAS!$C$52:$C$58,MATCH(DATOS!$C$25,TABLAS!$B$52:$B$58,0))))+DATOS!$C$32)/(INDEX(TABLAS!$C$52:$C$58,MATCH(BH13,TABLAS!$B$52:$B$58,0))+DATOS!$C$32))),BQ13&gt;MIN(DATOS!$C$28,INT(((DATOS!$C$13-2*S13-2*IF(DATOS!$C$25=0,0,INDEX(TABLAS!$C$52:$C$58,MATCH(DATOS!$C$25,TABLAS!$B$52:$B$58,0))))+DATOS!$C$32)/(INDEX(TABLAS!$C$52:$C$58,MATCH(BP13,TABLAS!$B$52:$B$58,0))+DATOS!$C$32))),BY13&gt;MIN(DATOS!$C$28,INT(((DATOS!$C$13-2*R13-2*IF(DATOS!$C$25=0,0,INDEX(TABLAS!$C$52:$C$58,MATCH(DATOS!$C$25,TABLAS!$B$52:$B$58,0))))+DATOS!$C$32)/(INDEX(TABLAS!$C$52:$C$58,MATCH(BX13,TABLAS!$B$52:$B$58,0))+DATOS!$C$32))),CG13&gt;MIN(DATOS!$C$28,INT(((DATOS!$C$13-2*S13-2*IF(DATOS!$C$25=0,0,INDEX(TABLAS!$C$52:$C$58,MATCH(DATOS!$C$25,TABLAS!$B$52:$B$58,0))))+DATOS!$C$32)/(INDEX(TABLAS!$C$52:$C$58,MATCH(CF13,TABLAS!$B$52:$B$58,0))+DATOS!$C$32))))),NOT(OR(AND(ISNUMBER(BM13),BM13&lt;0.005),AND(ISNUMBER(BU13),BU13&lt;0.005),AND(ISNUMBER(CC13),CC13&lt;0.005),AND(ISNUMBER(CK13),CK13&lt;0.005))),CS13="CUMPLE",CT13="CUMPLE"),IF(CY13="OK",IF(LEFT(CO13,6)="CUMPLE","CUMPLE","CUMPLE — "&amp;CO13)&amp;IF(LEFT(AZ13,5)="FUERA"," · fuera de 3.4.2.1 c)",""),IF(CY13="VER PRINCIPALES","VER PRINCIPALES","REVISAR APOYOS")),IF(AND(MAX(BL13,BT13,CB13,CJ13)&lt;=1,NOT(OR(BI13&gt;MIN(DATOS!$C$28,INT(((DATOS!$C$13-2*R13-2*IF(DATOS!$C$25=0,0,INDEX(TABLAS!$C$52:$C$58,MATCH(DATOS!$C$25,TABLAS!$B$52:$B$58,0))))+DATOS!$C$32)/(INDEX(TABLAS!$C$52:$C$58,MATCH(BH13,TABLAS!$B$52:$B$58,0))+DATOS!$C$32))),BQ13&gt;MIN(DATOS!$C$28,INT(((DATOS!$C$13-2*S13-2*IF(DATOS!$C$25=0,0,INDEX(TABLAS!$C$52:$C$58,MATCH(DATOS!$C$25,TABLAS!$B$52:$B$58,0))))+DATOS!$C$32)/(INDEX(TABLAS!$C$52:$C$58,MATCH(BP13,TABLAS!$B$52:$B$58,0))+DATOS!$C$32))),BY13&gt;MIN(DATOS!$C$28,INT(((DATOS!$C$13-2*R13-2*IF(DATOS!$C$25=0,0,INDEX(TABLAS!$C$52:$C$58,MATCH(DATOS!$C$25,TABLAS!$B$52:$B$58,0))))+DATOS!$C$32)/(INDEX(TABLAS!$C$52:$C$58,MATCH(BX13,TABLAS!$B$52:$B$58,0))+DATOS!$C$32))),CG13&gt;MIN(DATOS!$C$28,INT(((DATOS!$C$13-2*S13-2*IF(DATOS!$C$25=0,0,INDEX(TABLAS!$C$52:$C$58,MATCH(DATOS!$C$25,TABLAS!$B$52:$B$58,0))))+DATOS!$C$32)/(INDEX(TABLAS!$C$52:$C$58,MATCH(CF13,TABLAS!$B$52:$B$58,0))+DATOS!$C$32))))),NOT(OR(AND(ISNUMBER(BM13),BM13&lt;0.005),AND(ISNUMBER(BU13),BU13&lt;0.005),AND(ISNUMBER(CC13),CC13&lt;0.005),AND(ISNUMBER(CK13),CK13&lt;0.005))),CS13="CALCULAR FLECHA"),"REVISAR: calcular flecha (h_eq &lt; h mín.)","NO CUMPLE: "&amp;IF(MAX(BL13,BT13,CB13,CJ13)&gt;1,"flexión ","")&amp;IF(OR(BI13&gt;MIN(DATOS!$C$28,INT(((DATOS!$C$13-2*R13-2*IF(DATOS!$C$25=0,0,INDEX(TABLAS!$C$52:$C$58,MATCH(DATOS!$C$25,TABLAS!$B$52:$B$58,0))))+DATOS!$C$32)/(INDEX(TABLAS!$C$52:$C$58,MATCH(BH13,TABLAS!$B$52:$B$58,0))+DATOS!$C$32))),BQ13&gt;MIN(DATOS!$C$28,INT(((DATOS!$C$13-2*S13-2*IF(DATOS!$C$25=0,0,INDEX(TABLAS!$C$52:$C$58,MATCH(DATOS!$C$25,TABLAS!$B$52:$B$58,0))))+DATOS!$C$32)/(INDEX(TABLAS!$C$52:$C$58,MATCH(BP13,TABLAS!$B$52:$B$58,0))+DATOS!$C$32))),BY13&gt;MIN(DATOS!$C$28,INT(((DATOS!$C$13-2*R13-2*IF(DATOS!$C$25=0,0,INDEX(TABLAS!$C$52:$C$58,MATCH(DATOS!$C$25,TABLAS!$B$52:$B$58,0))))+DATOS!$C$32)/(INDEX(TABLAS!$C$52:$C$58,MATCH(BX13,TABLAS!$B$52:$B$58,0))+DATOS!$C$32))),CG13&gt;MIN(DATOS!$C$28,INT(((DATOS!$C$13-2*S13-2*IF(DATOS!$C$25=0,0,INDEX(TABLAS!$C$52:$C$58,MATCH(DATOS!$C$25,TABLAS!$B$52:$B$58,0))))+DATOS!$C$32)/(INDEX(TABLAS!$C$52:$C$58,MATCH(CF13,TABLAS!$B$52:$B$58,0))+DATOS!$C$32)))),"no caben ","")&amp;IF(OR(AND(ISNUMBER(BM13),BM13&lt;0.005),AND(ISNUMBER(BU13),BU13&lt;0.005),AND(ISNUMBER(CC13),CC13&lt;0.005),AND(ISNUMBER(CK13),CK13&lt;0.005)),"ε_t &lt; 0.005 ","")&amp;IF(CS13="NO CUMPLE","peralte ","")&amp;IF(CT13&lt;&gt;"CUMPLE","capa &lt; 6 cm",""))))</f>
        <v>CUMPLE · fuera de 3.4.2.1 c)</v>
      </c>
      <c r="DA13" s="65" t="str">
        <f>IF(AND(D13="PERIMETRAL",MIN(CW13,CX13)=0),"Tablero macizo (no cabe un casetón en el claro corto): no aplica 6.7.8. La resistencia se revisa con una nervadura de 10 cm cada 70 cm y r_np (conservador); "&amp;"como losa maciza lleva además As,mín = 0.0018·Ag en cada dirección cerca de la cara a tensión (6.7.6.1.1, p. 175). ",IF(AND(CL13="NO",D13="PERIMETRAL"),"No cumple 6.7.8.1.4 (a_c = "&amp;DATOS!$C$11&amp;" cm &gt; claro corto/6 = "&amp;TEXT(J13*100/6,"0")&amp;" cm): se diseña como losa apoyada en vigas (6.7.8.1.9): nervaduras con recubrimiento de viga r_np = "&amp;DATOS!$C$22&amp;" cm (Tabla 4.14.16.a), V_cR sin ×1.1 y cortante sin estribos por 5.5.3.8.1 (criterio del Proyectista). Para que cuente como encasetonada: casetón de "&amp;TEXT(FLOOR(MIN(80,J13*100/6),1),"0")&amp;" cm o menor. ",""))&amp;IF(LEFT(AZ13,5)="FUERA","M⁻ del borde común "&amp;AZ13&amp;": difieren más de 50% (3.4.2.1 c); se distribuyen 2/3 del desequilibrio (3.4.3.1) y conviene confirmar los momentos con el modelo. ","")&amp;"—"</f>
        <v>No cumple 6.7.8.1.4 (a_c = 60 cm &gt; claro corto/6 = 17 cm): se diseña como losa apoyada en vigas (6.7.8.1.9): nervaduras con recubrimiento de viga r_np = 4 cm (Tabla 4.14.16.a), V_cR sin ×1.1 y cortante sin estribos por 5.5.3.8.1 (criterio del Proyectista). Para que cuente como encasetonada: casetón de 16 cm o menor. M⁻ del borde común FUERA con F80003 F80005 F80008: difieren más de 50% (3.4.2.1 c); se distribuyen 2/3 del desequilibrio (3.4.3.1) y conviene confirmar los momentos con el modelo. —</v>
      </c>
    </row>
    <row r="14" ht="30" customHeight="1">
      <c r="B14" s="51" t="inlineStr">
        <is>
          <t>F80007 N+3.00</t>
        </is>
      </c>
      <c r="C14" s="52" t="inlineStr">
        <is>
          <t>N+3.00</t>
        </is>
      </c>
      <c r="D14" s="53" t="inlineStr">
        <is>
          <t>PERIMETRAL</t>
        </is>
      </c>
      <c r="E14" s="53" t="inlineStr">
        <is>
          <t>HABITACIÓN</t>
        </is>
      </c>
      <c r="F14" s="54" t="n">
        <v>4.327</v>
      </c>
      <c r="G14" s="54" t="n">
        <v>0.923</v>
      </c>
      <c r="H14" s="55" t="n">
        <v>4.327</v>
      </c>
      <c r="I14" s="55" t="n">
        <v>0.923</v>
      </c>
      <c r="J14" s="36">
        <f>MIN(H14,I14)</f>
        <v>0.923</v>
      </c>
      <c r="K14" s="36">
        <f>MAX(H14,I14)</f>
        <v>4.327</v>
      </c>
      <c r="L14" s="36">
        <f>IF(K14&gt;0,J14/K14,0)</f>
        <v>0.213311763346429</v>
      </c>
      <c r="M14" s="52" t="str">
        <f>IF(H14&lt;=I14,"X","Y")</f>
        <v>Y</v>
      </c>
      <c r="N14" s="56">
        <f>MAX(0,J14*100-IF(D14="VOLADO",DATOS!$C$17/2,DATOS!$C$17))</f>
        <v>77.3</v>
      </c>
      <c r="O14" s="56">
        <f>MAX(0,K14*100-DATOS!$C$17)</f>
        <v>417.7</v>
      </c>
      <c r="P14" s="57">
        <f>MIN(DATOS!$C$16,DATOS!$C$13+2*MIN(8*DATOS!$C$14,DATOS!$C$11/2,N14/8))</f>
        <v>29.325</v>
      </c>
      <c r="Q14" s="57">
        <f>MIN(DATOS!$C$16,DATOS!$C$13+2*MIN(8*DATOS!$C$14,DATOS!$C$11/2,O14/8))</f>
        <v>70</v>
      </c>
      <c r="R14" s="57">
        <f>IF(D14="VOLADO",DATOS!$C$21,IF(CL14="NO",DATOS!$C$22,DATOS!$C$20))</f>
        <v>4</v>
      </c>
      <c r="S14" s="57">
        <f>IF(OR(AND(C14="N+6.00",DATOS!$C$23="SÍ"),AND(D14="VOLADO",DATOS!$C$24="SÍ")),DATOS!$C$21,IF(CL14="NO",DATOS!$C$22,DATOS!$C$20))</f>
        <v>4</v>
      </c>
      <c r="T14" s="58" t="n">
        <v>160</v>
      </c>
      <c r="U14" s="56">
        <f>IF(E14="HABITACIÓN",DATOS!$C$89,DATOS!$C$92)</f>
        <v>190</v>
      </c>
      <c r="V14" s="56">
        <f>CARGAS!$C$9</f>
        <v>293.673469387755</v>
      </c>
      <c r="W14" s="56">
        <f>V14+T14</f>
        <v>453.673469387755</v>
      </c>
      <c r="X14" s="56">
        <f>W14+U14</f>
        <v>643.673469387755</v>
      </c>
      <c r="Y14" s="59">
        <f>MAX(DATOS!$C$55*W14+DATOS!$C$56*U14,IF(E14="AZOTEA",DATOS!$C$57*(W14+DATOS!$C$97),0))</f>
        <v>874.775510204082</v>
      </c>
      <c r="Z14" s="56">
        <f>(APOYOS!$G$49="DISCONTINUO")+(APOYOS!$G$50="DISCONTINUO")+(APOYOS!$G$51="DISCONTINUO")+(APOYOS!$G$52="DISCONTINUO")</f>
        <v>2</v>
      </c>
      <c r="AA14" s="56">
        <f>IF(M14="X",(APOYOS!$G$49="DISCONTINUO")+(APOYOS!$G$50="DISCONTINUO"),(APOYOS!$G$51="DISCONTINUO")+(APOYOS!$G$52="DISCONTINUO"))</f>
        <v>1</v>
      </c>
      <c r="AB14" s="56">
        <f>Z14-AA14</f>
        <v>1</v>
      </c>
      <c r="AC14" s="52" t="str">
        <f>IF(Z14=0,"INTERIOR",IF(Z14=1,IF(AA14=1,"BORDE-CORTO","BORDE-LARGO"),IF(Z14=2,IF(AA14=1,"ESQUINA",IF(AA14=2,"EXTREMO-LARGO","EXTREMO-CORTO")),IF(Z14=3,IF(AA14=2,"EXTREMO-LARGO","EXTREMO-CORTO"),"AISLADO"))))</f>
        <v>ESQUINA</v>
      </c>
      <c r="AD14" s="53" t="inlineStr">
        <is>
          <t>AUTO</t>
        </is>
      </c>
      <c r="AE14" s="60" t="str">
        <f>IF(AD14="AUTO",AC14,AD14)</f>
        <v>ESQUINA</v>
      </c>
      <c r="AF14" s="56">
        <f>MATCH(L14,TABLAS!$D$5:$J$5,1)</f>
        <v>1</v>
      </c>
      <c r="AG14" s="43">
        <f>IF(AF14&gt;=7,0,(L14-INDEX(TABLAS!$D$5:$J$5,AF14))/(INDEX(TABLAS!$D$5:$J$5,AF14+1)-INDEX(TABLAS!$D$5:$J$5,AF14)))</f>
        <v>0.426623526692859</v>
      </c>
      <c r="AH14" s="56">
        <f>INDEX(TABLAS!$D$6:$J$47,MATCH(AE14&amp;"|NIC",TABLAS!$B$6:$B$47,0),AF14)+AG14*(INDEX(TABLAS!$D$6:$J$47,MATCH(AE14&amp;"|NIC",TABLAS!$B$6:$B$47,0),MIN(AF14+1,7))-INDEX(TABLAS!$D$6:$J$47,MATCH(AE14&amp;"|NIC",TABLAS!$B$6:$B$47,0),AF14))</f>
        <v>1197.3727755951</v>
      </c>
      <c r="AI14" s="56">
        <f>INDEX(TABLAS!$D$6:$J$47,MATCH(AE14&amp;"|NIL",TABLAS!$B$6:$B$47,0),AF14)+AG14*(INDEX(TABLAS!$D$6:$J$47,MATCH(AE14&amp;"|NIL",TABLAS!$B$6:$B$47,0),MIN(AF14+1,7))-INDEX(TABLAS!$D$6:$J$47,MATCH(AE14&amp;"|NIL",TABLAS!$B$6:$B$47,0),AF14))</f>
        <v>591.467529466143</v>
      </c>
      <c r="AJ14" s="56">
        <f>INDEX(TABLAS!$D$6:$J$47,MATCH(AE14&amp;"|NDC",TABLAS!$B$6:$B$47,0),AF14)+AG14*(INDEX(TABLAS!$D$6:$J$47,MATCH(AE14&amp;"|NDC",TABLAS!$B$6:$B$47,0),MIN(AF14+1,7))-INDEX(TABLAS!$D$6:$J$47,MATCH(AE14&amp;"|NDC",TABLAS!$B$6:$B$47,0),AF14))</f>
        <v>527.705800785764</v>
      </c>
      <c r="AK14" s="56">
        <f>INDEX(TABLAS!$D$6:$J$47,MATCH(AE14&amp;"|NDL",TABLAS!$B$6:$B$47,0),AF14)+AG14*(INDEX(TABLAS!$D$6:$J$47,MATCH(AE14&amp;"|NDL",TABLAS!$B$6:$B$47,0),MIN(AF14+1,7))-INDEX(TABLAS!$D$6:$J$47,MATCH(AE14&amp;"|NDL",TABLAS!$B$6:$B$47,0),AF14))</f>
        <v>328.98636468685</v>
      </c>
      <c r="AL14" s="56">
        <f>INDEX(TABLAS!$D$6:$J$47,MATCH(AE14&amp;"|PC",TABLAS!$B$6:$B$47,0),AF14)+AG14*(INDEX(TABLAS!$D$6:$J$47,MATCH(AE14&amp;"|PC",TABLAS!$B$6:$B$47,0),MIN(AF14+1,7))-INDEX(TABLAS!$D$6:$J$47,MATCH(AE14&amp;"|PC",TABLAS!$B$6:$B$47,0),AF14))</f>
        <v>623.439565518835</v>
      </c>
      <c r="AM14" s="56">
        <f>INDEX(TABLAS!$D$6:$J$47,MATCH(AE14&amp;"|PL",TABLAS!$B$6:$B$47,0),AF14)+AG14*(INDEX(TABLAS!$D$6:$J$47,MATCH(AE14&amp;"|PL",TABLAS!$B$6:$B$47,0),MIN(AF14+1,7))-INDEX(TABLAS!$D$6:$J$47,MATCH(AE14&amp;"|PL",TABLAS!$B$6:$B$47,0),AF14))</f>
        <v>236.648717356136</v>
      </c>
      <c r="AN14" s="36">
        <f>IF(D14="PERIMETRAL",IF(APOYOS!$G$49="CONTINUO",IF(M14="Y",AH14,AI14),IF(M14="Y",AJ14,AK14))*Y14*J14^2*1E-4*DATOS!$C$16/100/1000,0)</f>
        <v>0.0624636614445657</v>
      </c>
      <c r="AO14" s="36">
        <f>IF(D14="PERIMETRAL",IF(APOYOS!$G$50="CONTINUO",IF(M14="Y",AH14,AI14),IF(M14="Y",AJ14,AK14))*Y14*J14^2*1E-4*DATOS!$C$16/100/1000,0)</f>
        <v>0.0275289677153657</v>
      </c>
      <c r="AP14" s="36">
        <f>IF(D14="PERIMETRAL",IF(APOYOS!$G$51="CONTINUO",IF(M14="X",AH14,AI14),IF(M14="X",AJ14,AK14))*Y14*J14^2*1E-4*DATOS!$C$16/100/1000,0)</f>
        <v>0.017162318471342</v>
      </c>
      <c r="AQ14" s="36">
        <f>IF(D14="PERIMETRAL",IF(APOYOS!$G$52="CONTINUO",IF(M14="X",AH14,AI14),IF(M14="X",AJ14,AK14))*Y14*J14^2*1E-4*DATOS!$C$16/100/1000,0)</f>
        <v>0.0308552426354147</v>
      </c>
      <c r="AR14" s="56">
        <f>IF(D14="PERIMETRAL",IF(M14="X",BN14,CD14)^3/(J14*100),0)</f>
        <v>64.4467430028061</v>
      </c>
      <c r="AS14" s="56">
        <f>IF(D14="PERIMETRAL",IF(M14="Y",BN14,CD14)^3/(J14*100),0)</f>
        <v>78.9704351123402</v>
      </c>
      <c r="AT14" s="36">
        <f>IF(D14="PERIMETRAL",MAX(0,IF(M14="Y",IF(AND(OR(APOYOS!$G$49="CONTINUO",APOYOS!$G$42="CONTINUO"),AN14&gt;0,AO12&gt;0,AO12&gt;AN14),AN14+2/3*(AO12-AN14)*AS14/MAX(AS14+AS12,1E-9),0),0),IF(M14="Y",IF(AND(OR(APOYOS!$G$49="CONTINUO",APOYOS!$G$46="CONTINUO"),AN14&gt;0,AO13&gt;0,AO13&gt;AN14),AN14+2/3*(AO13-AN14)*AS14/MAX(AS14+AS13,1E-9),0),0),IF(M14="X",IF(AND(OR(APOYOS!$G$52="CONTINUO",APOYOS!$G$55="CONTINUO"),AQ14&gt;0,AP15&gt;0,AP15&gt;AQ14),AQ14+2/3*(AP15-AQ14)*AR14/MAX(AR14+AR15,1E-9),0),0)),0)</f>
        <v>0.107071817908748</v>
      </c>
      <c r="AU14" s="36">
        <f>IF(D14="PERIMETRAL",MAX(0,IF(M14&lt;&gt;"Y",IF(AND(OR(APOYOS!$G$49="CONTINUO",APOYOS!$G$42="CONTINUO"),AN14&gt;0,AO12&gt;0,AO12&gt;AN14),AN14+2/3*(AO12-AN14)*AS14/MAX(AS14+AS12,1E-9),0),0),IF(M14&lt;&gt;"Y",IF(AND(OR(APOYOS!$G$49="CONTINUO",APOYOS!$G$46="CONTINUO"),AN14&gt;0,AO13&gt;0,AO13&gt;AN14),AN14+2/3*(AO13-AN14)*AS14/MAX(AS14+AS13,1E-9),0),0),IF(M14&lt;&gt;"X",IF(AND(OR(APOYOS!$G$52="CONTINUO",APOYOS!$G$55="CONTINUO"),AQ14&gt;0,AP15&gt;0,AP15&gt;AQ14),AQ14+2/3*(AP15-AQ14)*AR14/MAX(AR14+AR15,1E-9),0),0)),0)</f>
        <v>0.121386198679732</v>
      </c>
      <c r="AV14" s="36">
        <f>IF(D14="PERIMETRAL",(IF(M14="Y",MAX(IF(AND(OR(APOYOS!$G$49="CONTINUO",APOYOS!$G$42="CONTINUO"),AN14&gt;0,AO12&gt;0,AN14&gt;AO12),2/3*(AN14-AO12)*AS14/MAX(AS14+AS12,1E-9),0),IF(AND(OR(APOYOS!$G$49="CONTINUO",APOYOS!$G$46="CONTINUO"),AN14&gt;0,AO13&gt;0,AN14&gt;AO13),2/3*(AN14-AO13)*AS14/MAX(AS14+AS13,1E-9),0)),0)+IF(M14="X",IF(AND(OR(APOYOS!$G$52="CONTINUO",APOYOS!$G$55="CONTINUO"),AQ14&gt;0,AP15&gt;0,AQ14&gt;AP15),2/3*(AQ14-AP15)*AR14/MAX(AR14+AR15,1E-9),0),0))/2,0)</f>
        <v>0.00318906263350223</v>
      </c>
      <c r="AW14" s="36">
        <f>IF(D14="PERIMETRAL",(IF(M14&lt;&gt;"Y",MAX(IF(AND(OR(APOYOS!$G$49="CONTINUO",APOYOS!$G$42="CONTINUO"),AN14&gt;0,AO12&gt;0,AN14&gt;AO12),2/3*(AN14-AO12)*AS14/MAX(AS14+AS12,1E-9),0),IF(AND(OR(APOYOS!$G$49="CONTINUO",APOYOS!$G$46="CONTINUO"),AN14&gt;0,AO13&gt;0,AN14&gt;AO13),2/3*(AN14-AO13)*AS14/MAX(AS14+AS13,1E-9),0)),0)+IF(M14&lt;&gt;"X",IF(AND(OR(APOYOS!$G$52="CONTINUO",APOYOS!$G$55="CONTINUO"),AQ14&gt;0,AP15&gt;0,AQ14&gt;AP15),2/3*(AQ14-AP15)*AR14/MAX(AR14+AR15,1E-9),0),0))/2,0)</f>
        <v>0</v>
      </c>
      <c r="AX14" s="36">
        <f>IF(D14="PERIMETRAL",MAX(0,0),0)</f>
        <v>0</v>
      </c>
      <c r="AY14" s="52" t="str">
        <f>IF(D14&lt;&gt;"PERIMETRAL","",IF(AND(OR(APOYOS!$G$49="CONTINUO",APOYOS!$G$42="CONTINUO"),AN14&gt;0,AO12&gt;0,ABS(AN14-AO12)&gt;0.5*MIN(AN14,AO12))," F80005","")&amp;IF(AND(OR(APOYOS!$G$49="CONTINUO",APOYOS!$G$46="CONTINUO"),AN14&gt;0,AO13&gt;0,ABS(AN14-AO13)&gt;0.5*MIN(AN14,AO13))," F80006","")&amp;IF(AND(OR(APOYOS!$G$52="CONTINUO",APOYOS!$G$55="CONTINUO"),AQ14&gt;0,AP15&gt;0,ABS(AQ14-AP15)&gt;0.5*MIN(AQ14,AP15))," F80008",""))</f>
        <v> F80005 F80008</v>
      </c>
      <c r="AZ14" s="52" t="str">
        <f>IF(D14&lt;&gt;"PERIMETRAL","—",IF(AY14="","CUMPLE","FUERA con"&amp;AY14)&amp;IF(AND(D12="PERIMETRAL",APOYOS!$G$49&lt;&gt;APOYOS!$G$42)," · continuidad asimétrica con F80005 (cada uno con su momento; revisar APOYOS)","")&amp;IF(AND(D13="PERIMETRAL",APOYOS!$G$49&lt;&gt;APOYOS!$G$46)," · continuidad asimétrica con F80006 (cada uno con su momento; revisar APOYOS)","")&amp;IF(AND(D15="PERIMETRAL",APOYOS!$G$52&lt;&gt;APOYOS!$G$55)," · continuidad asimétrica con F80008 (cada uno con su momento; revisar APOYOS)",""))</f>
        <v>FUERA con F80005 F80008</v>
      </c>
      <c r="BA14" s="61" t="n">
        <v>0</v>
      </c>
      <c r="BB14" s="36">
        <f>IF(D14="PERIMETRAL",AL14*Y14*J14^2*1E-4*DATOS!$C$16/100/1000+AV14,0)</f>
        <v>0.0357121989077182</v>
      </c>
      <c r="BC14" s="36">
        <f>IF(D14="PERIMETRAL",MAX(MAX(AH14,AJ14)*Y14*J14^2*1E-4*DATOS!$C$16/100/1000,AT14),IF(D14="VOLADO",(Y14*(N14/100)^2/2+DATOS!$C$55*BA14*N14/100)*DATOS!$C$16/100/1000,0))</f>
        <v>0.107071817908748</v>
      </c>
      <c r="BD14" s="36">
        <f>IF(D14="PERIMETRAL",AM14*Y14*J14^2*1E-4*DATOS!$C$16/100/1000+AW14,0)</f>
        <v>0.0123453160648969</v>
      </c>
      <c r="BE14" s="36">
        <f>IF(D14="PERIMETRAL",MAX(MAX(AI14,AK14)*Y14*J14^2*1E-4*DATOS!$C$16/100/1000,AU14),0)</f>
        <v>0.121386198679732</v>
      </c>
      <c r="BF14" s="43">
        <f>(DATOS!$C$15-R14-IF(DATOS!$C$25=0,0,INDEX(TABLAS!$C$52:$C$58,MATCH(DATOS!$C$25,TABLAS!$B$52:$B$58,0)))-INDEX(TABLAS!$C$52:$C$58,MATCH(DATOS!$C$26,TABLAS!$B$52:$B$58,0))/2)</f>
        <v>20.365</v>
      </c>
      <c r="BG14" s="43">
        <f>IF(D14="HUECO",0,IF(IF(BB14&lt;=0,0,IF((1-2*BB14*1E5/(DATOS!$C$58*P14*BF14^2*DATOS!$C$48))&lt;0,-1,IF((1-SQRT((1-2*BB14*1E5/(DATOS!$C$58*P14*BF14^2*DATOS!$C$48))))*DATOS!$C$48*P14*BF14/DATOS!$C$40&gt;DATOS!$C$82*P14*BF14,-1,(1-SQRT((1-2*BB14*1E5/(DATOS!$C$58*P14*BF14^2*DATOS!$C$48))))*DATOS!$C$48*P14*BF14/DATOS!$C$40)))&lt;0,-1,MAX(IF(BB14&lt;=0,0,IF((1-2*BB14*1E5/(DATOS!$C$58*P14*BF14^2*DATOS!$C$48))&lt;0,-1,IF((1-SQRT((1-2*BB14*1E5/(DATOS!$C$58*P14*BF14^2*DATOS!$C$48))))*DATOS!$C$48*P14*BF14/DATOS!$C$40&gt;DATOS!$C$82*P14*BF14,-1,(1-SQRT((1-2*BB14*1E5/(DATOS!$C$58*P14*BF14^2*DATOS!$C$48))))*DATOS!$C$48*P14*BF14/DATOS!$C$40))),MIN(DATOS!$C$83*DATOS!$C$13*BF14,4/3*IF(BB14&lt;=0,0,IF((1-2*BB14*1E5/(DATOS!$C$58*P14*BF14^2*DATOS!$C$48))&lt;0,-1,IF((1-SQRT((1-2*BB14*1E5/(DATOS!$C$58*P14*BF14^2*DATOS!$C$48))))*DATOS!$C$48*P14*BF14/DATOS!$C$40&gt;DATOS!$C$82*P14*BF14,-1,(1-SQRT((1-2*BB14*1E5/(DATOS!$C$58*P14*BF14^2*DATOS!$C$48))))*DATOS!$C$48*P14*BF14/DATOS!$C$40)))))))</f>
        <v>0.0619031710099446</v>
      </c>
      <c r="BH14" s="41">
        <f>IF(AND(BG14&gt;=0,IF(MAX(DATOS!$C$29,CEILING(BG14/INDEX(TABLAS!$D$52:$D$58,MIN(MATCH(DATOS!$C$26,TABLAS!$B$52:$B$58,0)+0,7)),1))*INDEX(TABLAS!$D$52:$D$58,MIN(MATCH(DATOS!$C$26,TABLAS!$B$52:$B$58,0)+0,7))&gt;=4/3*IF(BB14&lt;=0,0,IF((1-2*BB14*1E5/(DATOS!$C$58*P14*BF14^2*DATOS!$C$48))&lt;0,-1,IF((1-SQRT((1-2*BB14*1E5/(DATOS!$C$58*P14*BF14^2*DATOS!$C$48))))*DATOS!$C$48*P14*BF14/DATOS!$C$40&gt;DATOS!$C$82*P14*BF14,-1,(1-SQRT((1-2*BB14*1E5/(DATOS!$C$58*P14*BF14^2*DATOS!$C$48))))*DATOS!$C$48*P14*BF14/DATOS!$C$40)))-0.0001,MAX(DATOS!$C$29,CEILING(BG14/INDEX(TABLAS!$D$52:$D$58,MIN(MATCH(DATOS!$C$26,TABLAS!$B$52:$B$58,0)+0,7)),1)),MAX(MAX(DATOS!$C$29,CEILING(BG14/INDEX(TABLAS!$D$52:$D$58,MIN(MATCH(DATOS!$C$26,TABLAS!$B$52:$B$58,0)+0,7)),1)),2))&lt;=MIN(DATOS!$C$28,INT(((DATOS!$C$13-2*R14-2*IF(DATOS!$C$25=0,0,INDEX(TABLAS!$C$52:$C$58,MATCH(DATOS!$C$25,TABLAS!$B$52:$B$58,0))))+MAX(DATOS!$C$32,INDEX(TABLAS!$C$52:$C$58,MIN(MATCH(DATOS!$C$26,TABLAS!$B$52:$B$58,0)+0,7))))/(INDEX(TABLAS!$C$52:$C$58,MIN(MATCH(DATOS!$C$26,TABLAS!$B$52:$B$58,0)+0,7))+MAX(DATOS!$C$32,INDEX(TABLAS!$C$52:$C$58,MIN(MATCH(DATOS!$C$26,TABLAS!$B$52:$B$58,0)+0,7))))))),INDEX(TABLAS!$B$52:$B$58,MIN(MATCH(DATOS!$C$26,TABLAS!$B$52:$B$58,0)+0,7)),IF(AND(BG14&gt;=0,IF(MAX(DATOS!$C$29,CEILING(BG14/INDEX(TABLAS!$D$52:$D$58,MIN(MATCH(DATOS!$C$26,TABLAS!$B$52:$B$58,0)+1,7)),1))*INDEX(TABLAS!$D$52:$D$58,MIN(MATCH(DATOS!$C$26,TABLAS!$B$52:$B$58,0)+1,7))&gt;=4/3*IF(BB14&lt;=0,0,IF((1-2*BB14*1E5/(DATOS!$C$58*P14*BF14^2*DATOS!$C$48))&lt;0,-1,IF((1-SQRT((1-2*BB14*1E5/(DATOS!$C$58*P14*BF14^2*DATOS!$C$48))))*DATOS!$C$48*P14*BF14/DATOS!$C$40&gt;DATOS!$C$82*P14*BF14,-1,(1-SQRT((1-2*BB14*1E5/(DATOS!$C$58*P14*BF14^2*DATOS!$C$48))))*DATOS!$C$48*P14*BF14/DATOS!$C$40)))-0.0001,MAX(DATOS!$C$29,CEILING(BG14/INDEX(TABLAS!$D$52:$D$58,MIN(MATCH(DATOS!$C$26,TABLAS!$B$52:$B$58,0)+1,7)),1)),MAX(MAX(DATOS!$C$29,CEILING(BG14/INDEX(TABLAS!$D$52:$D$58,MIN(MATCH(DATOS!$C$26,TABLAS!$B$52:$B$58,0)+1,7)),1)),2))&lt;=MIN(DATOS!$C$28,INT(((DATOS!$C$13-2*R14-2*IF(DATOS!$C$25=0,0,INDEX(TABLAS!$C$52:$C$58,MATCH(DATOS!$C$25,TABLAS!$B$52:$B$58,0))))+MAX(DATOS!$C$32,INDEX(TABLAS!$C$52:$C$58,MIN(MATCH(DATOS!$C$26,TABLAS!$B$52:$B$58,0)+1,7))))/(INDEX(TABLAS!$C$52:$C$58,MIN(MATCH(DATOS!$C$26,TABLAS!$B$52:$B$58,0)+1,7))+MAX(DATOS!$C$32,INDEX(TABLAS!$C$52:$C$58,MIN(MATCH(DATOS!$C$26,TABLAS!$B$52:$B$58,0)+1,7))))))),INDEX(TABLAS!$B$52:$B$58,MIN(MATCH(DATOS!$C$26,TABLAS!$B$52:$B$58,0)+1,7)),IF(AND(BG14&gt;=0,IF(MAX(DATOS!$C$29,CEILING(BG14/INDEX(TABLAS!$D$52:$D$58,MIN(MATCH(DATOS!$C$26,TABLAS!$B$52:$B$58,0)+2,7)),1))*INDEX(TABLAS!$D$52:$D$58,MIN(MATCH(DATOS!$C$26,TABLAS!$B$52:$B$58,0)+2,7))&gt;=4/3*IF(BB14&lt;=0,0,IF((1-2*BB14*1E5/(DATOS!$C$58*P14*BF14^2*DATOS!$C$48))&lt;0,-1,IF((1-SQRT((1-2*BB14*1E5/(DATOS!$C$58*P14*BF14^2*DATOS!$C$48))))*DATOS!$C$48*P14*BF14/DATOS!$C$40&gt;DATOS!$C$82*P14*BF14,-1,(1-SQRT((1-2*BB14*1E5/(DATOS!$C$58*P14*BF14^2*DATOS!$C$48))))*DATOS!$C$48*P14*BF14/DATOS!$C$40)))-0.0001,MAX(DATOS!$C$29,CEILING(BG14/INDEX(TABLAS!$D$52:$D$58,MIN(MATCH(DATOS!$C$26,TABLAS!$B$52:$B$58,0)+2,7)),1)),MAX(MAX(DATOS!$C$29,CEILING(BG14/INDEX(TABLAS!$D$52:$D$58,MIN(MATCH(DATOS!$C$26,TABLAS!$B$52:$B$58,0)+2,7)),1)),2))&lt;=MIN(DATOS!$C$28,INT(((DATOS!$C$13-2*R14-2*IF(DATOS!$C$25=0,0,INDEX(TABLAS!$C$52:$C$58,MATCH(DATOS!$C$25,TABLAS!$B$52:$B$58,0))))+MAX(DATOS!$C$32,INDEX(TABLAS!$C$52:$C$58,MIN(MATCH(DATOS!$C$26,TABLAS!$B$52:$B$58,0)+2,7))))/(INDEX(TABLAS!$C$52:$C$58,MIN(MATCH(DATOS!$C$26,TABLAS!$B$52:$B$58,0)+2,7))+MAX(DATOS!$C$32,INDEX(TABLAS!$C$52:$C$58,MIN(MATCH(DATOS!$C$26,TABLAS!$B$52:$B$58,0)+2,7))))))),INDEX(TABLAS!$B$52:$B$58,MIN(MATCH(DATOS!$C$26,TABLAS!$B$52:$B$58,0)+2,7)),IF(AND(BG14&gt;=0,IF(MAX(DATOS!$C$29,CEILING(BG14/INDEX(TABLAS!$D$52:$D$58,MIN(MATCH(DATOS!$C$26,TABLAS!$B$52:$B$58,0)+3,7)),1))*INDEX(TABLAS!$D$52:$D$58,MIN(MATCH(DATOS!$C$26,TABLAS!$B$52:$B$58,0)+3,7))&gt;=4/3*IF(BB14&lt;=0,0,IF((1-2*BB14*1E5/(DATOS!$C$58*P14*BF14^2*DATOS!$C$48))&lt;0,-1,IF((1-SQRT((1-2*BB14*1E5/(DATOS!$C$58*P14*BF14^2*DATOS!$C$48))))*DATOS!$C$48*P14*BF14/DATOS!$C$40&gt;DATOS!$C$82*P14*BF14,-1,(1-SQRT((1-2*BB14*1E5/(DATOS!$C$58*P14*BF14^2*DATOS!$C$48))))*DATOS!$C$48*P14*BF14/DATOS!$C$40)))-0.0001,MAX(DATOS!$C$29,CEILING(BG14/INDEX(TABLAS!$D$52:$D$58,MIN(MATCH(DATOS!$C$26,TABLAS!$B$52:$B$58,0)+3,7)),1)),MAX(MAX(DATOS!$C$29,CEILING(BG14/INDEX(TABLAS!$D$52:$D$58,MIN(MATCH(DATOS!$C$26,TABLAS!$B$52:$B$58,0)+3,7)),1)),2))&lt;=MIN(DATOS!$C$28,INT(((DATOS!$C$13-2*R14-2*IF(DATOS!$C$25=0,0,INDEX(TABLAS!$C$52:$C$58,MATCH(DATOS!$C$25,TABLAS!$B$52:$B$58,0))))+MAX(DATOS!$C$32,INDEX(TABLAS!$C$52:$C$58,MIN(MATCH(DATOS!$C$26,TABLAS!$B$52:$B$58,0)+3,7))))/(INDEX(TABLAS!$C$52:$C$58,MIN(MATCH(DATOS!$C$26,TABLAS!$B$52:$B$58,0)+3,7))+MAX(DATOS!$C$32,INDEX(TABLAS!$C$52:$C$58,MIN(MATCH(DATOS!$C$26,TABLAS!$B$52:$B$58,0)+3,7))))))),INDEX(TABLAS!$B$52:$B$58,MIN(MATCH(DATOS!$C$26,TABLAS!$B$52:$B$58,0)+3,7)),IF(AND(BG14&gt;=0,IF(MAX(DATOS!$C$29,CEILING(BG14/INDEX(TABLAS!$D$52:$D$58,MIN(MATCH(DATOS!$C$26,TABLAS!$B$52:$B$58,0)+4,7)),1))*INDEX(TABLAS!$D$52:$D$58,MIN(MATCH(DATOS!$C$26,TABLAS!$B$52:$B$58,0)+4,7))&gt;=4/3*IF(BB14&lt;=0,0,IF((1-2*BB14*1E5/(DATOS!$C$58*P14*BF14^2*DATOS!$C$48))&lt;0,-1,IF((1-SQRT((1-2*BB14*1E5/(DATOS!$C$58*P14*BF14^2*DATOS!$C$48))))*DATOS!$C$48*P14*BF14/DATOS!$C$40&gt;DATOS!$C$82*P14*BF14,-1,(1-SQRT((1-2*BB14*1E5/(DATOS!$C$58*P14*BF14^2*DATOS!$C$48))))*DATOS!$C$48*P14*BF14/DATOS!$C$40)))-0.0001,MAX(DATOS!$C$29,CEILING(BG14/INDEX(TABLAS!$D$52:$D$58,MIN(MATCH(DATOS!$C$26,TABLAS!$B$52:$B$58,0)+4,7)),1)),MAX(MAX(DATOS!$C$29,CEILING(BG14/INDEX(TABLAS!$D$52:$D$58,MIN(MATCH(DATOS!$C$26,TABLAS!$B$52:$B$58,0)+4,7)),1)),2))&lt;=MIN(DATOS!$C$28,INT(((DATOS!$C$13-2*R14-2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14" s="56">
        <f>IF(D14="HUECO",0,IF(BG14&lt;0,0,IF(MAX(DATOS!$C$29,CEILING(MAX(BG14,0)/INDEX(TABLAS!$D$52:$D$58,MATCH(BH14,TABLAS!$B$52:$B$58,0)),1))*INDEX(TABLAS!$D$52:$D$58,MATCH(BH14,TABLAS!$B$52:$B$58,0))&gt;=4/3*IF(BB14&lt;=0,0,IF((1-2*BB14*1E5/(DATOS!$C$58*P14*BF14^2*DATOS!$C$48))&lt;0,-1,IF((1-SQRT((1-2*BB14*1E5/(DATOS!$C$58*P14*BF14^2*DATOS!$C$48))))*DATOS!$C$48*P14*BF14/DATOS!$C$40&gt;DATOS!$C$82*P14*BF14,-1,(1-SQRT((1-2*BB14*1E5/(DATOS!$C$58*P14*BF14^2*DATOS!$C$48))))*DATOS!$C$48*P14*BF14/DATOS!$C$40)))-0.0001,MAX(DATOS!$C$29,CEILING(MAX(BG14,0)/INDEX(TABLAS!$D$52:$D$58,MATCH(BH14,TABLAS!$B$52:$B$58,0)),1)),MAX(MAX(DATOS!$C$29,CEILING(MAX(BG14,0)/INDEX(TABLAS!$D$52:$D$58,MATCH(BH14,TABLAS!$B$52:$B$58,0)),1)),2))))</f>
        <v>1</v>
      </c>
      <c r="BJ14" s="43">
        <f>DATOS!$C$15-R14-IF(DATOS!$C$25=0,0,INDEX(TABLAS!$C$52:$C$58,MATCH(DATOS!$C$25,TABLAS!$B$52:$B$58,0)))-INDEX(TABLAS!$C$52:$C$58,MATCH(BH14,TABLAS!$B$52:$B$58,0))/2</f>
        <v>20.365</v>
      </c>
      <c r="BK14" s="36">
        <f>IF(BI14=0,0,DATOS!$C$58*BI14*INDEX(TABLAS!$D$52:$D$58,MATCH(BH14,TABLAS!$B$52:$B$58,0))*DATOS!$C$40*(BJ14-BI14*INDEX(TABLAS!$D$52:$D$58,MATCH(BH14,TABLAS!$B$52:$B$58,0))*DATOS!$C$40/(DATOS!$C$48*P14)/2)/1E5)</f>
        <v>0.957096459775839</v>
      </c>
      <c r="BL14" s="62">
        <f>IF(BG14&lt;0,9.99,IF(BK14&gt;0,BB14/BK14,0))</f>
        <v>0.0373130613356174</v>
      </c>
      <c r="BM14" s="63">
        <f>IF(BI14=0,"—",0.003*(BJ14-(BI14*INDEX(TABLAS!$D$52:$D$58,MATCH(BH14,TABLAS!$B$52:$B$58,0))*DATOS!$C$40/(DATOS!$C$48*P14)/DATOS!$C$49))/(BI14*INDEX(TABLAS!$D$52:$D$58,MATCH(BH14,TABLAS!$B$52:$B$58,0))*DATOS!$C$40/(DATOS!$C$48*P14)/DATOS!$C$49))</f>
        <v>0.0576692377759421</v>
      </c>
      <c r="BN14" s="43">
        <f>((DATOS!$C$15-S14-2*DATOS!$C$35-IF(DATOS!$C$25=0,0,INDEX(TABLAS!$C$52:$C$58,MATCH(DATOS!$C$25,TABLAS!$B$52:$B$58,0)))-INDEX(TABLAS!$C$52:$C$58,MATCH(DATOS!$C$27,TABLAS!$B$52:$B$58,0))/2)-IF(AND((DATOS!$C$15-S14-2*DATOS!$C$35-IF(DATOS!$C$25=0,0,INDEX(TABLAS!$C$52:$C$58,MATCH(DATOS!$C$25,TABLAS!$B$52:$B$58,0)))-INDEX(TABLAS!$C$52:$C$58,MATCH(DATOS!$C$27,TABLAS!$B$52:$B$58,0))/2)&lt;=20,DATOS!$C$18&lt;&gt;"SÍ"),2,0))</f>
        <v>19.389</v>
      </c>
      <c r="BO14" s="43">
        <f>IF(D14="HUECO",0,IF(IF(BC14&lt;=0,0,IF((1-2*BC14*1E5/(DATOS!$C$58*DATOS!$C$19*BN14^2*DATOS!$C$48))&lt;0,-1,IF((1-SQRT((1-2*BC14*1E5/(DATOS!$C$58*DATOS!$C$19*BN14^2*DATOS!$C$48))))*DATOS!$C$48*DATOS!$C$19*BN14/DATOS!$C$40&gt;DATOS!$C$82*DATOS!$C$19*BN14,-1,(1-SQRT((1-2*BC14*1E5/(DATOS!$C$58*DATOS!$C$19*BN14^2*DATOS!$C$48))))*DATOS!$C$48*DATOS!$C$19*BN14/DATOS!$C$40)))&lt;0,-1,MAX(IF(BC14&lt;=0,0,IF((1-2*BC14*1E5/(DATOS!$C$58*DATOS!$C$19*BN14^2*DATOS!$C$48))&lt;0,-1,IF((1-SQRT((1-2*BC14*1E5/(DATOS!$C$58*DATOS!$C$19*BN14^2*DATOS!$C$48))))*DATOS!$C$48*DATOS!$C$19*BN14/DATOS!$C$40&gt;DATOS!$C$82*DATOS!$C$19*BN14,-1,(1-SQRT((1-2*BC14*1E5/(DATOS!$C$58*DATOS!$C$19*BN14^2*DATOS!$C$48))))*DATOS!$C$48*DATOS!$C$19*BN14/DATOS!$C$40))),MIN(DATOS!$C$83*IF(D14="VOLADO",2*DATOS!$C$13,DATOS!$C$13)*BN14,4/3*IF(BC14&lt;=0,0,IF((1-2*BC14*1E5/(DATOS!$C$58*DATOS!$C$19*BN14^2*DATOS!$C$48))&lt;0,-1,IF((1-SQRT((1-2*BC14*1E5/(DATOS!$C$58*DATOS!$C$19*BN14^2*DATOS!$C$48))))*DATOS!$C$48*DATOS!$C$19*BN14/DATOS!$C$40&gt;DATOS!$C$82*DATOS!$C$19*BN14,-1,(1-SQRT((1-2*BC14*1E5/(DATOS!$C$58*DATOS!$C$19*BN14^2*DATOS!$C$48))))*DATOS!$C$48*DATOS!$C$19*BN14/DATOS!$C$40)))))))</f>
        <v>0.196262470751473</v>
      </c>
      <c r="BP14" s="41">
        <f>IF(AND(BO14&gt;=0,IF(MAX(DATOS!$C$29,CEILING(BO14/INDEX(TABLAS!$D$52:$D$58,MIN(MATCH(DATOS!$C$27,TABLAS!$B$52:$B$58,0)+0,7)),1))*INDEX(TABLAS!$D$52:$D$58,MIN(MATCH(DATOS!$C$27,TABLAS!$B$52:$B$58,0)+0,7))&gt;=4/3*IF(BC14&lt;=0,0,IF((1-2*BC14*1E5/(DATOS!$C$58*DATOS!$C$19*BN14^2*DATOS!$C$48))&lt;0,-1,IF((1-SQRT((1-2*BC14*1E5/(DATOS!$C$58*DATOS!$C$19*BN14^2*DATOS!$C$48))))*DATOS!$C$48*DATOS!$C$19*BN14/DATOS!$C$40&gt;DATOS!$C$82*DATOS!$C$19*BN14,-1,(1-SQRT((1-2*BC14*1E5/(DATOS!$C$58*DATOS!$C$19*BN14^2*DATOS!$C$48))))*DATOS!$C$48*DATOS!$C$19*BN14/DATOS!$C$40)))-0.0001,MAX(DATOS!$C$29,CEILING(BO14/INDEX(TABLAS!$D$52:$D$58,MIN(MATCH(DATOS!$C$27,TABLAS!$B$52:$B$58,0)+0,7)),1)),MAX(MAX(DATOS!$C$29,CEILING(BO14/INDEX(TABLAS!$D$52:$D$58,MIN(MATCH(DATOS!$C$27,TABLAS!$B$52:$B$58,0)+0,7)),1)),2))&lt;=MIN(DATOS!$C$28,INT(((DATOS!$C$13-2*S14-2*IF(DATOS!$C$25=0,0,INDEX(TABLAS!$C$52:$C$58,MATCH(DATOS!$C$25,TABLAS!$B$52:$B$58,0))))+MAX(DATOS!$C$32,INDEX(TABLAS!$C$52:$C$58,MIN(MATCH(DATOS!$C$27,TABLAS!$B$52:$B$58,0)+0,7))))/(INDEX(TABLAS!$C$52:$C$58,MIN(MATCH(DATOS!$C$27,TABLAS!$B$52:$B$58,0)+0,7))+MAX(DATOS!$C$32,INDEX(TABLAS!$C$52:$C$58,MIN(MATCH(DATOS!$C$27,TABLAS!$B$52:$B$58,0)+0,7))))))),INDEX(TABLAS!$B$52:$B$58,MIN(MATCH(DATOS!$C$27,TABLAS!$B$52:$B$58,0)+0,7)),IF(AND(BO14&gt;=0,IF(MAX(DATOS!$C$29,CEILING(BO14/INDEX(TABLAS!$D$52:$D$58,MIN(MATCH(DATOS!$C$27,TABLAS!$B$52:$B$58,0)+1,7)),1))*INDEX(TABLAS!$D$52:$D$58,MIN(MATCH(DATOS!$C$27,TABLAS!$B$52:$B$58,0)+1,7))&gt;=4/3*IF(BC14&lt;=0,0,IF((1-2*BC14*1E5/(DATOS!$C$58*DATOS!$C$19*BN14^2*DATOS!$C$48))&lt;0,-1,IF((1-SQRT((1-2*BC14*1E5/(DATOS!$C$58*DATOS!$C$19*BN14^2*DATOS!$C$48))))*DATOS!$C$48*DATOS!$C$19*BN14/DATOS!$C$40&gt;DATOS!$C$82*DATOS!$C$19*BN14,-1,(1-SQRT((1-2*BC14*1E5/(DATOS!$C$58*DATOS!$C$19*BN14^2*DATOS!$C$48))))*DATOS!$C$48*DATOS!$C$19*BN14/DATOS!$C$40)))-0.0001,MAX(DATOS!$C$29,CEILING(BO14/INDEX(TABLAS!$D$52:$D$58,MIN(MATCH(DATOS!$C$27,TABLAS!$B$52:$B$58,0)+1,7)),1)),MAX(MAX(DATOS!$C$29,CEILING(BO14/INDEX(TABLAS!$D$52:$D$58,MIN(MATCH(DATOS!$C$27,TABLAS!$B$52:$B$58,0)+1,7)),1)),2))&lt;=MIN(DATOS!$C$28,INT(((DATOS!$C$13-2*S14-2*IF(DATOS!$C$25=0,0,INDEX(TABLAS!$C$52:$C$58,MATCH(DATOS!$C$25,TABLAS!$B$52:$B$58,0))))+MAX(DATOS!$C$32,INDEX(TABLAS!$C$52:$C$58,MIN(MATCH(DATOS!$C$27,TABLAS!$B$52:$B$58,0)+1,7))))/(INDEX(TABLAS!$C$52:$C$58,MIN(MATCH(DATOS!$C$27,TABLAS!$B$52:$B$58,0)+1,7))+MAX(DATOS!$C$32,INDEX(TABLAS!$C$52:$C$58,MIN(MATCH(DATOS!$C$27,TABLAS!$B$52:$B$58,0)+1,7))))))),INDEX(TABLAS!$B$52:$B$58,MIN(MATCH(DATOS!$C$27,TABLAS!$B$52:$B$58,0)+1,7)),IF(AND(BO14&gt;=0,IF(MAX(DATOS!$C$29,CEILING(BO14/INDEX(TABLAS!$D$52:$D$58,MIN(MATCH(DATOS!$C$27,TABLAS!$B$52:$B$58,0)+2,7)),1))*INDEX(TABLAS!$D$52:$D$58,MIN(MATCH(DATOS!$C$27,TABLAS!$B$52:$B$58,0)+2,7))&gt;=4/3*IF(BC14&lt;=0,0,IF((1-2*BC14*1E5/(DATOS!$C$58*DATOS!$C$19*BN14^2*DATOS!$C$48))&lt;0,-1,IF((1-SQRT((1-2*BC14*1E5/(DATOS!$C$58*DATOS!$C$19*BN14^2*DATOS!$C$48))))*DATOS!$C$48*DATOS!$C$19*BN14/DATOS!$C$40&gt;DATOS!$C$82*DATOS!$C$19*BN14,-1,(1-SQRT((1-2*BC14*1E5/(DATOS!$C$58*DATOS!$C$19*BN14^2*DATOS!$C$48))))*DATOS!$C$48*DATOS!$C$19*BN14/DATOS!$C$40)))-0.0001,MAX(DATOS!$C$29,CEILING(BO14/INDEX(TABLAS!$D$52:$D$58,MIN(MATCH(DATOS!$C$27,TABLAS!$B$52:$B$58,0)+2,7)),1)),MAX(MAX(DATOS!$C$29,CEILING(BO14/INDEX(TABLAS!$D$52:$D$58,MIN(MATCH(DATOS!$C$27,TABLAS!$B$52:$B$58,0)+2,7)),1)),2))&lt;=MIN(DATOS!$C$28,INT(((DATOS!$C$13-2*S14-2*IF(DATOS!$C$25=0,0,INDEX(TABLAS!$C$52:$C$58,MATCH(DATOS!$C$25,TABLAS!$B$52:$B$58,0))))+MAX(DATOS!$C$32,INDEX(TABLAS!$C$52:$C$58,MIN(MATCH(DATOS!$C$27,TABLAS!$B$52:$B$58,0)+2,7))))/(INDEX(TABLAS!$C$52:$C$58,MIN(MATCH(DATOS!$C$27,TABLAS!$B$52:$B$58,0)+2,7))+MAX(DATOS!$C$32,INDEX(TABLAS!$C$52:$C$58,MIN(MATCH(DATOS!$C$27,TABLAS!$B$52:$B$58,0)+2,7))))))),INDEX(TABLAS!$B$52:$B$58,MIN(MATCH(DATOS!$C$27,TABLAS!$B$52:$B$58,0)+2,7)),IF(AND(BO14&gt;=0,IF(MAX(DATOS!$C$29,CEILING(BO14/INDEX(TABLAS!$D$52:$D$58,MIN(MATCH(DATOS!$C$27,TABLAS!$B$52:$B$58,0)+3,7)),1))*INDEX(TABLAS!$D$52:$D$58,MIN(MATCH(DATOS!$C$27,TABLAS!$B$52:$B$58,0)+3,7))&gt;=4/3*IF(BC14&lt;=0,0,IF((1-2*BC14*1E5/(DATOS!$C$58*DATOS!$C$19*BN14^2*DATOS!$C$48))&lt;0,-1,IF((1-SQRT((1-2*BC14*1E5/(DATOS!$C$58*DATOS!$C$19*BN14^2*DATOS!$C$48))))*DATOS!$C$48*DATOS!$C$19*BN14/DATOS!$C$40&gt;DATOS!$C$82*DATOS!$C$19*BN14,-1,(1-SQRT((1-2*BC14*1E5/(DATOS!$C$58*DATOS!$C$19*BN14^2*DATOS!$C$48))))*DATOS!$C$48*DATOS!$C$19*BN14/DATOS!$C$40)))-0.0001,MAX(DATOS!$C$29,CEILING(BO14/INDEX(TABLAS!$D$52:$D$58,MIN(MATCH(DATOS!$C$27,TABLAS!$B$52:$B$58,0)+3,7)),1)),MAX(MAX(DATOS!$C$29,CEILING(BO14/INDEX(TABLAS!$D$52:$D$58,MIN(MATCH(DATOS!$C$27,TABLAS!$B$52:$B$58,0)+3,7)),1)),2))&lt;=MIN(DATOS!$C$28,INT(((DATOS!$C$13-2*S14-2*IF(DATOS!$C$25=0,0,INDEX(TABLAS!$C$52:$C$58,MATCH(DATOS!$C$25,TABLAS!$B$52:$B$58,0))))+MAX(DATOS!$C$32,INDEX(TABLAS!$C$52:$C$58,MIN(MATCH(DATOS!$C$27,TABLAS!$B$52:$B$58,0)+3,7))))/(INDEX(TABLAS!$C$52:$C$58,MIN(MATCH(DATOS!$C$27,TABLAS!$B$52:$B$58,0)+3,7))+MAX(DATOS!$C$32,INDEX(TABLAS!$C$52:$C$58,MIN(MATCH(DATOS!$C$27,TABLAS!$B$52:$B$58,0)+3,7))))))),INDEX(TABLAS!$B$52:$B$58,MIN(MATCH(DATOS!$C$27,TABLAS!$B$52:$B$58,0)+3,7)),IF(AND(BO14&gt;=0,IF(MAX(DATOS!$C$29,CEILING(BO14/INDEX(TABLAS!$D$52:$D$58,MIN(MATCH(DATOS!$C$27,TABLAS!$B$52:$B$58,0)+4,7)),1))*INDEX(TABLAS!$D$52:$D$58,MIN(MATCH(DATOS!$C$27,TABLAS!$B$52:$B$58,0)+4,7))&gt;=4/3*IF(BC14&lt;=0,0,IF((1-2*BC14*1E5/(DATOS!$C$58*DATOS!$C$19*BN14^2*DATOS!$C$48))&lt;0,-1,IF((1-SQRT((1-2*BC14*1E5/(DATOS!$C$58*DATOS!$C$19*BN14^2*DATOS!$C$48))))*DATOS!$C$48*DATOS!$C$19*BN14/DATOS!$C$40&gt;DATOS!$C$82*DATOS!$C$19*BN14,-1,(1-SQRT((1-2*BC14*1E5/(DATOS!$C$58*DATOS!$C$19*BN14^2*DATOS!$C$48))))*DATOS!$C$48*DATOS!$C$19*BN14/DATOS!$C$40)))-0.0001,MAX(DATOS!$C$29,CEILING(BO14/INDEX(TABLAS!$D$52:$D$58,MIN(MATCH(DATOS!$C$27,TABLAS!$B$52:$B$58,0)+4,7)),1)),MAX(MAX(DATOS!$C$29,CEILING(BO14/INDEX(TABLAS!$D$52:$D$58,MIN(MATCH(DATOS!$C$27,TABLAS!$B$52:$B$58,0)+4,7)),1)),2))&lt;=MIN(DATOS!$C$28,INT(((DATOS!$C$13-2*S14-2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14" s="56">
        <f>IF(D14="HUECO",0,IF(BO14&lt;0,0,IF(MAX(DATOS!$C$29,CEILING(MAX(BO14,0)/INDEX(TABLAS!$D$52:$D$58,MATCH(BP14,TABLAS!$B$52:$B$58,0)),1))*INDEX(TABLAS!$D$52:$D$58,MATCH(BP14,TABLAS!$B$52:$B$58,0))&gt;=4/3*IF(BC14&lt;=0,0,IF((1-2*BC14*1E5/(DATOS!$C$58*DATOS!$C$19*BN14^2*DATOS!$C$48))&lt;0,-1,IF((1-SQRT((1-2*BC14*1E5/(DATOS!$C$58*DATOS!$C$19*BN14^2*DATOS!$C$48))))*DATOS!$C$48*DATOS!$C$19*BN14/DATOS!$C$40&gt;DATOS!$C$82*DATOS!$C$19*BN14,-1,(1-SQRT((1-2*BC14*1E5/(DATOS!$C$58*DATOS!$C$19*BN14^2*DATOS!$C$48))))*DATOS!$C$48*DATOS!$C$19*BN14/DATOS!$C$40)))-0.0001,MAX(DATOS!$C$29,CEILING(MAX(BO14,0)/INDEX(TABLAS!$D$52:$D$58,MATCH(BP14,TABLAS!$B$52:$B$58,0)),1)),MAX(MAX(DATOS!$C$29,CEILING(MAX(BO14,0)/INDEX(TABLAS!$D$52:$D$58,MATCH(BP14,TABLAS!$B$52:$B$58,0)),1)),2))))</f>
        <v>1</v>
      </c>
      <c r="BR14" s="43">
        <f>((DATOS!$C$15-S14-2*DATOS!$C$35-IF(DATOS!$C$25=0,0,INDEX(TABLAS!$C$52:$C$58,MATCH(DATOS!$C$25,TABLAS!$B$52:$B$58,0)))-INDEX(TABLAS!$C$52:$C$58,MATCH(BP14,TABLAS!$B$52:$B$58,0))/2)-IF(AND((DATOS!$C$15-S14-2*DATOS!$C$35-IF(DATOS!$C$25=0,0,INDEX(TABLAS!$C$52:$C$58,MATCH(DATOS!$C$25,TABLAS!$B$52:$B$58,0)))-INDEX(TABLAS!$C$52:$C$58,MATCH(BP14,TABLAS!$B$52:$B$58,0))/2)&lt;=20,DATOS!$C$18&lt;&gt;"SÍ"),2,0))</f>
        <v>19.389</v>
      </c>
      <c r="BS14" s="36">
        <f>IF(BQ14=0,0,DATOS!$C$58*BQ14*INDEX(TABLAS!$D$52:$D$58,MATCH(BP14,TABLAS!$B$52:$B$58,0))*DATOS!$C$40*(BR14-BQ14*INDEX(TABLAS!$D$52:$D$58,MATCH(BP14,TABLAS!$B$52:$B$58,0))*DATOS!$C$40/(DATOS!$C$48*DATOS!$C$19)/2)/1E5)</f>
        <v>0.870537980117647</v>
      </c>
      <c r="BT14" s="62">
        <f>IF(BO14&lt;0,9.99,IF(BS14&gt;0,BC14/BS14,0))</f>
        <v>0.122994998902033</v>
      </c>
      <c r="BU14" s="63">
        <f>IF(BQ14=0,"—",0.003*(BR14-(BQ14*INDEX(TABLAS!$D$52:$D$58,MATCH(BP14,TABLAS!$B$52:$B$58,0))*DATOS!$C$40/(DATOS!$C$48*DATOS!$C$19)/DATOS!$C$49))/(BQ14*INDEX(TABLAS!$D$52:$D$58,MATCH(BP14,TABLAS!$B$52:$B$58,0))*DATOS!$C$40/(DATOS!$C$48*DATOS!$C$19)/DATOS!$C$49))</f>
        <v>0.0166970648200225</v>
      </c>
      <c r="BV14" s="43">
        <f>(DATOS!$C$15-R14-IF(DATOS!$C$25=0,0,INDEX(TABLAS!$C$52:$C$58,MATCH(DATOS!$C$25,TABLAS!$B$52:$B$58,0)))-INDEX(TABLAS!$C$52:$C$58,MATCH(DATOS!$C$26,TABLAS!$B$52:$B$58,0))-INDEX(TABLAS!$C$52:$C$58,MATCH(DATOS!$C$26,TABLAS!$B$52:$B$58,0))/2)</f>
        <v>19.095</v>
      </c>
      <c r="BW14" s="43">
        <f>IF(D14="HUECO",0,IF(IF(BD14&lt;=0,0,IF((1-2*BD14*1E5/(DATOS!$C$58*Q14*BV14^2*DATOS!$C$48))&lt;0,-1,IF((1-SQRT((1-2*BD14*1E5/(DATOS!$C$58*Q14*BV14^2*DATOS!$C$48))))*DATOS!$C$48*Q14*BV14/DATOS!$C$40&gt;DATOS!$C$82*Q14*BV14,-1,(1-SQRT((1-2*BD14*1E5/(DATOS!$C$58*Q14*BV14^2*DATOS!$C$48))))*DATOS!$C$48*Q14*BV14/DATOS!$C$40)))&lt;0,-1,MAX(IF(BD14&lt;=0,0,IF((1-2*BD14*1E5/(DATOS!$C$58*Q14*BV14^2*DATOS!$C$48))&lt;0,-1,IF((1-SQRT((1-2*BD14*1E5/(DATOS!$C$58*Q14*BV14^2*DATOS!$C$48))))*DATOS!$C$48*Q14*BV14/DATOS!$C$40&gt;DATOS!$C$82*Q14*BV14,-1,(1-SQRT((1-2*BD14*1E5/(DATOS!$C$58*Q14*BV14^2*DATOS!$C$48))))*DATOS!$C$48*Q14*BV14/DATOS!$C$40))),MIN(DATOS!$C$83*DATOS!$C$13*BV14,4/3*IF(BD14&lt;=0,0,IF((1-2*BD14*1E5/(DATOS!$C$58*Q14*BV14^2*DATOS!$C$48))&lt;0,-1,IF((1-SQRT((1-2*BD14*1E5/(DATOS!$C$58*Q14*BV14^2*DATOS!$C$48))))*DATOS!$C$48*Q14*BV14/DATOS!$C$40&gt;DATOS!$C$82*Q14*BV14,-1,(1-SQRT((1-2*BD14*1E5/(DATOS!$C$58*Q14*BV14^2*DATOS!$C$48))))*DATOS!$C$48*Q14*BV14/DATOS!$C$40)))))))</f>
        <v>0.022807853570632</v>
      </c>
      <c r="BX14" s="41">
        <f>IF(AND(BW14&gt;=0,IF(MAX(DATOS!$C$29,CEILING(BW14/INDEX(TABLAS!$D$52:$D$58,MIN(MATCH(DATOS!$C$26,TABLAS!$B$52:$B$58,0)+0,7)),1))*INDEX(TABLAS!$D$52:$D$58,MIN(MATCH(DATOS!$C$26,TABLAS!$B$52:$B$58,0)+0,7))&gt;=4/3*IF(BD14&lt;=0,0,IF((1-2*BD14*1E5/(DATOS!$C$58*Q14*BV14^2*DATOS!$C$48))&lt;0,-1,IF((1-SQRT((1-2*BD14*1E5/(DATOS!$C$58*Q14*BV14^2*DATOS!$C$48))))*DATOS!$C$48*Q14*BV14/DATOS!$C$40&gt;DATOS!$C$82*Q14*BV14,-1,(1-SQRT((1-2*BD14*1E5/(DATOS!$C$58*Q14*BV14^2*DATOS!$C$48))))*DATOS!$C$48*Q14*BV14/DATOS!$C$40)))-0.0001,MAX(DATOS!$C$29,CEILING(BW14/INDEX(TABLAS!$D$52:$D$58,MIN(MATCH(DATOS!$C$26,TABLAS!$B$52:$B$58,0)+0,7)),1)),MAX(MAX(DATOS!$C$29,CEILING(BW14/INDEX(TABLAS!$D$52:$D$58,MIN(MATCH(DATOS!$C$26,TABLAS!$B$52:$B$58,0)+0,7)),1)),2))&lt;=MIN(DATOS!$C$28,INT(((DATOS!$C$13-2*R14-2*IF(DATOS!$C$25=0,0,INDEX(TABLAS!$C$52:$C$58,MATCH(DATOS!$C$25,TABLAS!$B$52:$B$58,0))))+MAX(DATOS!$C$32,INDEX(TABLAS!$C$52:$C$58,MIN(MATCH(DATOS!$C$26,TABLAS!$B$52:$B$58,0)+0,7))))/(INDEX(TABLAS!$C$52:$C$58,MIN(MATCH(DATOS!$C$26,TABLAS!$B$52:$B$58,0)+0,7))+MAX(DATOS!$C$32,INDEX(TABLAS!$C$52:$C$58,MIN(MATCH(DATOS!$C$26,TABLAS!$B$52:$B$58,0)+0,7))))))),INDEX(TABLAS!$B$52:$B$58,MIN(MATCH(DATOS!$C$26,TABLAS!$B$52:$B$58,0)+0,7)),IF(AND(BW14&gt;=0,IF(MAX(DATOS!$C$29,CEILING(BW14/INDEX(TABLAS!$D$52:$D$58,MIN(MATCH(DATOS!$C$26,TABLAS!$B$52:$B$58,0)+1,7)),1))*INDEX(TABLAS!$D$52:$D$58,MIN(MATCH(DATOS!$C$26,TABLAS!$B$52:$B$58,0)+1,7))&gt;=4/3*IF(BD14&lt;=0,0,IF((1-2*BD14*1E5/(DATOS!$C$58*Q14*BV14^2*DATOS!$C$48))&lt;0,-1,IF((1-SQRT((1-2*BD14*1E5/(DATOS!$C$58*Q14*BV14^2*DATOS!$C$48))))*DATOS!$C$48*Q14*BV14/DATOS!$C$40&gt;DATOS!$C$82*Q14*BV14,-1,(1-SQRT((1-2*BD14*1E5/(DATOS!$C$58*Q14*BV14^2*DATOS!$C$48))))*DATOS!$C$48*Q14*BV14/DATOS!$C$40)))-0.0001,MAX(DATOS!$C$29,CEILING(BW14/INDEX(TABLAS!$D$52:$D$58,MIN(MATCH(DATOS!$C$26,TABLAS!$B$52:$B$58,0)+1,7)),1)),MAX(MAX(DATOS!$C$29,CEILING(BW14/INDEX(TABLAS!$D$52:$D$58,MIN(MATCH(DATOS!$C$26,TABLAS!$B$52:$B$58,0)+1,7)),1)),2))&lt;=MIN(DATOS!$C$28,INT(((DATOS!$C$13-2*R14-2*IF(DATOS!$C$25=0,0,INDEX(TABLAS!$C$52:$C$58,MATCH(DATOS!$C$25,TABLAS!$B$52:$B$58,0))))+MAX(DATOS!$C$32,INDEX(TABLAS!$C$52:$C$58,MIN(MATCH(DATOS!$C$26,TABLAS!$B$52:$B$58,0)+1,7))))/(INDEX(TABLAS!$C$52:$C$58,MIN(MATCH(DATOS!$C$26,TABLAS!$B$52:$B$58,0)+1,7))+MAX(DATOS!$C$32,INDEX(TABLAS!$C$52:$C$58,MIN(MATCH(DATOS!$C$26,TABLAS!$B$52:$B$58,0)+1,7))))))),INDEX(TABLAS!$B$52:$B$58,MIN(MATCH(DATOS!$C$26,TABLAS!$B$52:$B$58,0)+1,7)),IF(AND(BW14&gt;=0,IF(MAX(DATOS!$C$29,CEILING(BW14/INDEX(TABLAS!$D$52:$D$58,MIN(MATCH(DATOS!$C$26,TABLAS!$B$52:$B$58,0)+2,7)),1))*INDEX(TABLAS!$D$52:$D$58,MIN(MATCH(DATOS!$C$26,TABLAS!$B$52:$B$58,0)+2,7))&gt;=4/3*IF(BD14&lt;=0,0,IF((1-2*BD14*1E5/(DATOS!$C$58*Q14*BV14^2*DATOS!$C$48))&lt;0,-1,IF((1-SQRT((1-2*BD14*1E5/(DATOS!$C$58*Q14*BV14^2*DATOS!$C$48))))*DATOS!$C$48*Q14*BV14/DATOS!$C$40&gt;DATOS!$C$82*Q14*BV14,-1,(1-SQRT((1-2*BD14*1E5/(DATOS!$C$58*Q14*BV14^2*DATOS!$C$48))))*DATOS!$C$48*Q14*BV14/DATOS!$C$40)))-0.0001,MAX(DATOS!$C$29,CEILING(BW14/INDEX(TABLAS!$D$52:$D$58,MIN(MATCH(DATOS!$C$26,TABLAS!$B$52:$B$58,0)+2,7)),1)),MAX(MAX(DATOS!$C$29,CEILING(BW14/INDEX(TABLAS!$D$52:$D$58,MIN(MATCH(DATOS!$C$26,TABLAS!$B$52:$B$58,0)+2,7)),1)),2))&lt;=MIN(DATOS!$C$28,INT(((DATOS!$C$13-2*R14-2*IF(DATOS!$C$25=0,0,INDEX(TABLAS!$C$52:$C$58,MATCH(DATOS!$C$25,TABLAS!$B$52:$B$58,0))))+MAX(DATOS!$C$32,INDEX(TABLAS!$C$52:$C$58,MIN(MATCH(DATOS!$C$26,TABLAS!$B$52:$B$58,0)+2,7))))/(INDEX(TABLAS!$C$52:$C$58,MIN(MATCH(DATOS!$C$26,TABLAS!$B$52:$B$58,0)+2,7))+MAX(DATOS!$C$32,INDEX(TABLAS!$C$52:$C$58,MIN(MATCH(DATOS!$C$26,TABLAS!$B$52:$B$58,0)+2,7))))))),INDEX(TABLAS!$B$52:$B$58,MIN(MATCH(DATOS!$C$26,TABLAS!$B$52:$B$58,0)+2,7)),IF(AND(BW14&gt;=0,IF(MAX(DATOS!$C$29,CEILING(BW14/INDEX(TABLAS!$D$52:$D$58,MIN(MATCH(DATOS!$C$26,TABLAS!$B$52:$B$58,0)+3,7)),1))*INDEX(TABLAS!$D$52:$D$58,MIN(MATCH(DATOS!$C$26,TABLAS!$B$52:$B$58,0)+3,7))&gt;=4/3*IF(BD14&lt;=0,0,IF((1-2*BD14*1E5/(DATOS!$C$58*Q14*BV14^2*DATOS!$C$48))&lt;0,-1,IF((1-SQRT((1-2*BD14*1E5/(DATOS!$C$58*Q14*BV14^2*DATOS!$C$48))))*DATOS!$C$48*Q14*BV14/DATOS!$C$40&gt;DATOS!$C$82*Q14*BV14,-1,(1-SQRT((1-2*BD14*1E5/(DATOS!$C$58*Q14*BV14^2*DATOS!$C$48))))*DATOS!$C$48*Q14*BV14/DATOS!$C$40)))-0.0001,MAX(DATOS!$C$29,CEILING(BW14/INDEX(TABLAS!$D$52:$D$58,MIN(MATCH(DATOS!$C$26,TABLAS!$B$52:$B$58,0)+3,7)),1)),MAX(MAX(DATOS!$C$29,CEILING(BW14/INDEX(TABLAS!$D$52:$D$58,MIN(MATCH(DATOS!$C$26,TABLAS!$B$52:$B$58,0)+3,7)),1)),2))&lt;=MIN(DATOS!$C$28,INT(((DATOS!$C$13-2*R14-2*IF(DATOS!$C$25=0,0,INDEX(TABLAS!$C$52:$C$58,MATCH(DATOS!$C$25,TABLAS!$B$52:$B$58,0))))+MAX(DATOS!$C$32,INDEX(TABLAS!$C$52:$C$58,MIN(MATCH(DATOS!$C$26,TABLAS!$B$52:$B$58,0)+3,7))))/(INDEX(TABLAS!$C$52:$C$58,MIN(MATCH(DATOS!$C$26,TABLAS!$B$52:$B$58,0)+3,7))+MAX(DATOS!$C$32,INDEX(TABLAS!$C$52:$C$58,MIN(MATCH(DATOS!$C$26,TABLAS!$B$52:$B$58,0)+3,7))))))),INDEX(TABLAS!$B$52:$B$58,MIN(MATCH(DATOS!$C$26,TABLAS!$B$52:$B$58,0)+3,7)),IF(AND(BW14&gt;=0,IF(MAX(DATOS!$C$29,CEILING(BW14/INDEX(TABLAS!$D$52:$D$58,MIN(MATCH(DATOS!$C$26,TABLAS!$B$52:$B$58,0)+4,7)),1))*INDEX(TABLAS!$D$52:$D$58,MIN(MATCH(DATOS!$C$26,TABLAS!$B$52:$B$58,0)+4,7))&gt;=4/3*IF(BD14&lt;=0,0,IF((1-2*BD14*1E5/(DATOS!$C$58*Q14*BV14^2*DATOS!$C$48))&lt;0,-1,IF((1-SQRT((1-2*BD14*1E5/(DATOS!$C$58*Q14*BV14^2*DATOS!$C$48))))*DATOS!$C$48*Q14*BV14/DATOS!$C$40&gt;DATOS!$C$82*Q14*BV14,-1,(1-SQRT((1-2*BD14*1E5/(DATOS!$C$58*Q14*BV14^2*DATOS!$C$48))))*DATOS!$C$48*Q14*BV14/DATOS!$C$40)))-0.0001,MAX(DATOS!$C$29,CEILING(BW14/INDEX(TABLAS!$D$52:$D$58,MIN(MATCH(DATOS!$C$26,TABLAS!$B$52:$B$58,0)+4,7)),1)),MAX(MAX(DATOS!$C$29,CEILING(BW14/INDEX(TABLAS!$D$52:$D$58,MIN(MATCH(DATOS!$C$26,TABLAS!$B$52:$B$58,0)+4,7)),1)),2))&lt;=MIN(DATOS!$C$28,INT(((DATOS!$C$13-2*R14-2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14" s="56">
        <f>IF(D14="HUECO",0,IF(BW14&lt;0,0,IF(MAX(DATOS!$C$29,CEILING(MAX(BW14,0)/INDEX(TABLAS!$D$52:$D$58,MATCH(BX14,TABLAS!$B$52:$B$58,0)),1))*INDEX(TABLAS!$D$52:$D$58,MATCH(BX14,TABLAS!$B$52:$B$58,0))&gt;=4/3*IF(BD14&lt;=0,0,IF((1-2*BD14*1E5/(DATOS!$C$58*Q14*BV14^2*DATOS!$C$48))&lt;0,-1,IF((1-SQRT((1-2*BD14*1E5/(DATOS!$C$58*Q14*BV14^2*DATOS!$C$48))))*DATOS!$C$48*Q14*BV14/DATOS!$C$40&gt;DATOS!$C$82*Q14*BV14,-1,(1-SQRT((1-2*BD14*1E5/(DATOS!$C$58*Q14*BV14^2*DATOS!$C$48))))*DATOS!$C$48*Q14*BV14/DATOS!$C$40)))-0.0001,MAX(DATOS!$C$29,CEILING(MAX(BW14,0)/INDEX(TABLAS!$D$52:$D$58,MATCH(BX14,TABLAS!$B$52:$B$58,0)),1)),MAX(MAX(DATOS!$C$29,CEILING(MAX(BW14,0)/INDEX(TABLAS!$D$52:$D$58,MATCH(BX14,TABLAS!$B$52:$B$58,0)),1)),2))))</f>
        <v>1</v>
      </c>
      <c r="BZ14" s="43">
        <f>DATOS!$C$15-R14-IF(DATOS!$C$25=0,0,INDEX(TABLAS!$C$52:$C$58,MATCH(DATOS!$C$25,TABLAS!$B$52:$B$58,0)))-INDEX(TABLAS!$C$52:$C$58,MATCH(BH14,TABLAS!$B$52:$B$58,0))-INDEX(TABLAS!$C$52:$C$58,MATCH(BX14,TABLAS!$B$52:$B$58,0))/2</f>
        <v>19.095</v>
      </c>
      <c r="CA14" s="36">
        <f>IF(BY14=0,0,DATOS!$C$58*BY14*INDEX(TABLAS!$D$52:$D$58,MATCH(BX14,TABLAS!$B$52:$B$58,0))*DATOS!$C$40*(BZ14-BY14*INDEX(TABLAS!$D$52:$D$58,MATCH(BX14,TABLAS!$B$52:$B$58,0))*DATOS!$C$40/(DATOS!$C$48*Q14)/2)/1E5)</f>
        <v>0.908067376588235</v>
      </c>
      <c r="CB14" s="62">
        <f>IF(BW14&lt;0,9.99,IF(CA14&gt;0,BD14/CA14,0))</f>
        <v>0.0135951542618791</v>
      </c>
      <c r="CC14" s="63">
        <f>IF(BY14=0,"—",0.003*(BZ14-(BY14*INDEX(TABLAS!$D$52:$D$58,MATCH(BX14,TABLAS!$B$52:$B$58,0))*DATOS!$C$40/(DATOS!$C$48*Q14)/DATOS!$C$49))/(BY14*INDEX(TABLAS!$D$52:$D$58,MATCH(BX14,TABLAS!$B$52:$B$58,0))*DATOS!$C$40/(DATOS!$C$48*Q14)/DATOS!$C$49))</f>
        <v>0.13278875492126</v>
      </c>
      <c r="CD14" s="43">
        <f>((DATOS!$C$15-S14-2*DATOS!$C$35-IF(DATOS!$C$25=0,0,INDEX(TABLAS!$C$52:$C$58,MATCH(DATOS!$C$25,TABLAS!$B$52:$B$58,0)))-INDEX(TABLAS!$C$52:$C$58,MATCH(DATOS!$C$27,TABLAS!$B$52:$B$58,0))-INDEX(TABLAS!$C$52:$C$58,MATCH(DATOS!$C$27,TABLAS!$B$52:$B$58,0))/2)-IF(AND((DATOS!$C$15-S14-2*DATOS!$C$35-IF(DATOS!$C$25=0,0,INDEX(TABLAS!$C$52:$C$58,MATCH(DATOS!$C$25,TABLAS!$B$52:$B$58,0)))-INDEX(TABLAS!$C$52:$C$58,MATCH(DATOS!$C$27,TABLAS!$B$52:$B$58,0))-INDEX(TABLAS!$C$52:$C$58,MATCH(DATOS!$C$27,TABLAS!$B$52:$B$58,0))/2)&lt;=20,DATOS!$C$18&lt;&gt;"SÍ"),2,0))</f>
        <v>18.119</v>
      </c>
      <c r="CE14" s="43">
        <f>IF(D14="HUECO",0,IF(IF(BE14&lt;=0,0,IF((1-2*BE14*1E5/(DATOS!$C$58*DATOS!$C$19*CD14^2*DATOS!$C$48))&lt;0,-1,IF((1-SQRT((1-2*BE14*1E5/(DATOS!$C$58*DATOS!$C$19*CD14^2*DATOS!$C$48))))*DATOS!$C$48*DATOS!$C$19*CD14/DATOS!$C$40&gt;DATOS!$C$82*DATOS!$C$19*CD14,-1,(1-SQRT((1-2*BE14*1E5/(DATOS!$C$58*DATOS!$C$19*CD14^2*DATOS!$C$48))))*DATOS!$C$48*DATOS!$C$19*CD14/DATOS!$C$40)))&lt;0,-1,MAX(IF(BE14&lt;=0,0,IF((1-2*BE14*1E5/(DATOS!$C$58*DATOS!$C$19*CD14^2*DATOS!$C$48))&lt;0,-1,IF((1-SQRT((1-2*BE14*1E5/(DATOS!$C$58*DATOS!$C$19*CD14^2*DATOS!$C$48))))*DATOS!$C$48*DATOS!$C$19*CD14/DATOS!$C$40&gt;DATOS!$C$82*DATOS!$C$19*CD14,-1,(1-SQRT((1-2*BE14*1E5/(DATOS!$C$58*DATOS!$C$19*CD14^2*DATOS!$C$48))))*DATOS!$C$48*DATOS!$C$19*CD14/DATOS!$C$40))),MIN(DATOS!$C$83*DATOS!$C$13*CD14,4/3*IF(BE14&lt;=0,0,IF((1-2*BE14*1E5/(DATOS!$C$58*DATOS!$C$19*CD14^2*DATOS!$C$48))&lt;0,-1,IF((1-SQRT((1-2*BE14*1E5/(DATOS!$C$58*DATOS!$C$19*CD14^2*DATOS!$C$48))))*DATOS!$C$48*DATOS!$C$19*CD14/DATOS!$C$40&gt;DATOS!$C$82*DATOS!$C$19*CD14,-1,(1-SQRT((1-2*BE14*1E5/(DATOS!$C$58*DATOS!$C$19*CD14^2*DATOS!$C$48))))*DATOS!$C$48*DATOS!$C$19*CD14/DATOS!$C$40)))))))</f>
        <v>0.238639508331334</v>
      </c>
      <c r="CF14" s="41">
        <f>IF(AND(CE14&gt;=0,IF(MAX(DATOS!$C$29,CEILING(CE14/INDEX(TABLAS!$D$52:$D$58,MIN(MATCH(DATOS!$C$27,TABLAS!$B$52:$B$58,0)+0,7)),1))*INDEX(TABLAS!$D$52:$D$58,MIN(MATCH(DATOS!$C$27,TABLAS!$B$52:$B$58,0)+0,7))&gt;=4/3*IF(BE14&lt;=0,0,IF((1-2*BE14*1E5/(DATOS!$C$58*DATOS!$C$19*CD14^2*DATOS!$C$48))&lt;0,-1,IF((1-SQRT((1-2*BE14*1E5/(DATOS!$C$58*DATOS!$C$19*CD14^2*DATOS!$C$48))))*DATOS!$C$48*DATOS!$C$19*CD14/DATOS!$C$40&gt;DATOS!$C$82*DATOS!$C$19*CD14,-1,(1-SQRT((1-2*BE14*1E5/(DATOS!$C$58*DATOS!$C$19*CD14^2*DATOS!$C$48))))*DATOS!$C$48*DATOS!$C$19*CD14/DATOS!$C$40)))-0.0001,MAX(DATOS!$C$29,CEILING(CE14/INDEX(TABLAS!$D$52:$D$58,MIN(MATCH(DATOS!$C$27,TABLAS!$B$52:$B$58,0)+0,7)),1)),MAX(MAX(DATOS!$C$29,CEILING(CE14/INDEX(TABLAS!$D$52:$D$58,MIN(MATCH(DATOS!$C$27,TABLAS!$B$52:$B$58,0)+0,7)),1)),2))&lt;=MIN(DATOS!$C$28,INT(((DATOS!$C$13-2*S14-2*IF(DATOS!$C$25=0,0,INDEX(TABLAS!$C$52:$C$58,MATCH(DATOS!$C$25,TABLAS!$B$52:$B$58,0))))+MAX(DATOS!$C$32,INDEX(TABLAS!$C$52:$C$58,MIN(MATCH(DATOS!$C$27,TABLAS!$B$52:$B$58,0)+0,7))))/(INDEX(TABLAS!$C$52:$C$58,MIN(MATCH(DATOS!$C$27,TABLAS!$B$52:$B$58,0)+0,7))+MAX(DATOS!$C$32,INDEX(TABLAS!$C$52:$C$58,MIN(MATCH(DATOS!$C$27,TABLAS!$B$52:$B$58,0)+0,7))))))),INDEX(TABLAS!$B$52:$B$58,MIN(MATCH(DATOS!$C$27,TABLAS!$B$52:$B$58,0)+0,7)),IF(AND(CE14&gt;=0,IF(MAX(DATOS!$C$29,CEILING(CE14/INDEX(TABLAS!$D$52:$D$58,MIN(MATCH(DATOS!$C$27,TABLAS!$B$52:$B$58,0)+1,7)),1))*INDEX(TABLAS!$D$52:$D$58,MIN(MATCH(DATOS!$C$27,TABLAS!$B$52:$B$58,0)+1,7))&gt;=4/3*IF(BE14&lt;=0,0,IF((1-2*BE14*1E5/(DATOS!$C$58*DATOS!$C$19*CD14^2*DATOS!$C$48))&lt;0,-1,IF((1-SQRT((1-2*BE14*1E5/(DATOS!$C$58*DATOS!$C$19*CD14^2*DATOS!$C$48))))*DATOS!$C$48*DATOS!$C$19*CD14/DATOS!$C$40&gt;DATOS!$C$82*DATOS!$C$19*CD14,-1,(1-SQRT((1-2*BE14*1E5/(DATOS!$C$58*DATOS!$C$19*CD14^2*DATOS!$C$48))))*DATOS!$C$48*DATOS!$C$19*CD14/DATOS!$C$40)))-0.0001,MAX(DATOS!$C$29,CEILING(CE14/INDEX(TABLAS!$D$52:$D$58,MIN(MATCH(DATOS!$C$27,TABLAS!$B$52:$B$58,0)+1,7)),1)),MAX(MAX(DATOS!$C$29,CEILING(CE14/INDEX(TABLAS!$D$52:$D$58,MIN(MATCH(DATOS!$C$27,TABLAS!$B$52:$B$58,0)+1,7)),1)),2))&lt;=MIN(DATOS!$C$28,INT(((DATOS!$C$13-2*S14-2*IF(DATOS!$C$25=0,0,INDEX(TABLAS!$C$52:$C$58,MATCH(DATOS!$C$25,TABLAS!$B$52:$B$58,0))))+MAX(DATOS!$C$32,INDEX(TABLAS!$C$52:$C$58,MIN(MATCH(DATOS!$C$27,TABLAS!$B$52:$B$58,0)+1,7))))/(INDEX(TABLAS!$C$52:$C$58,MIN(MATCH(DATOS!$C$27,TABLAS!$B$52:$B$58,0)+1,7))+MAX(DATOS!$C$32,INDEX(TABLAS!$C$52:$C$58,MIN(MATCH(DATOS!$C$27,TABLAS!$B$52:$B$58,0)+1,7))))))),INDEX(TABLAS!$B$52:$B$58,MIN(MATCH(DATOS!$C$27,TABLAS!$B$52:$B$58,0)+1,7)),IF(AND(CE14&gt;=0,IF(MAX(DATOS!$C$29,CEILING(CE14/INDEX(TABLAS!$D$52:$D$58,MIN(MATCH(DATOS!$C$27,TABLAS!$B$52:$B$58,0)+2,7)),1))*INDEX(TABLAS!$D$52:$D$58,MIN(MATCH(DATOS!$C$27,TABLAS!$B$52:$B$58,0)+2,7))&gt;=4/3*IF(BE14&lt;=0,0,IF((1-2*BE14*1E5/(DATOS!$C$58*DATOS!$C$19*CD14^2*DATOS!$C$48))&lt;0,-1,IF((1-SQRT((1-2*BE14*1E5/(DATOS!$C$58*DATOS!$C$19*CD14^2*DATOS!$C$48))))*DATOS!$C$48*DATOS!$C$19*CD14/DATOS!$C$40&gt;DATOS!$C$82*DATOS!$C$19*CD14,-1,(1-SQRT((1-2*BE14*1E5/(DATOS!$C$58*DATOS!$C$19*CD14^2*DATOS!$C$48))))*DATOS!$C$48*DATOS!$C$19*CD14/DATOS!$C$40)))-0.0001,MAX(DATOS!$C$29,CEILING(CE14/INDEX(TABLAS!$D$52:$D$58,MIN(MATCH(DATOS!$C$27,TABLAS!$B$52:$B$58,0)+2,7)),1)),MAX(MAX(DATOS!$C$29,CEILING(CE14/INDEX(TABLAS!$D$52:$D$58,MIN(MATCH(DATOS!$C$27,TABLAS!$B$52:$B$58,0)+2,7)),1)),2))&lt;=MIN(DATOS!$C$28,INT(((DATOS!$C$13-2*S14-2*IF(DATOS!$C$25=0,0,INDEX(TABLAS!$C$52:$C$58,MATCH(DATOS!$C$25,TABLAS!$B$52:$B$58,0))))+MAX(DATOS!$C$32,INDEX(TABLAS!$C$52:$C$58,MIN(MATCH(DATOS!$C$27,TABLAS!$B$52:$B$58,0)+2,7))))/(INDEX(TABLAS!$C$52:$C$58,MIN(MATCH(DATOS!$C$27,TABLAS!$B$52:$B$58,0)+2,7))+MAX(DATOS!$C$32,INDEX(TABLAS!$C$52:$C$58,MIN(MATCH(DATOS!$C$27,TABLAS!$B$52:$B$58,0)+2,7))))))),INDEX(TABLAS!$B$52:$B$58,MIN(MATCH(DATOS!$C$27,TABLAS!$B$52:$B$58,0)+2,7)),IF(AND(CE14&gt;=0,IF(MAX(DATOS!$C$29,CEILING(CE14/INDEX(TABLAS!$D$52:$D$58,MIN(MATCH(DATOS!$C$27,TABLAS!$B$52:$B$58,0)+3,7)),1))*INDEX(TABLAS!$D$52:$D$58,MIN(MATCH(DATOS!$C$27,TABLAS!$B$52:$B$58,0)+3,7))&gt;=4/3*IF(BE14&lt;=0,0,IF((1-2*BE14*1E5/(DATOS!$C$58*DATOS!$C$19*CD14^2*DATOS!$C$48))&lt;0,-1,IF((1-SQRT((1-2*BE14*1E5/(DATOS!$C$58*DATOS!$C$19*CD14^2*DATOS!$C$48))))*DATOS!$C$48*DATOS!$C$19*CD14/DATOS!$C$40&gt;DATOS!$C$82*DATOS!$C$19*CD14,-1,(1-SQRT((1-2*BE14*1E5/(DATOS!$C$58*DATOS!$C$19*CD14^2*DATOS!$C$48))))*DATOS!$C$48*DATOS!$C$19*CD14/DATOS!$C$40)))-0.0001,MAX(DATOS!$C$29,CEILING(CE14/INDEX(TABLAS!$D$52:$D$58,MIN(MATCH(DATOS!$C$27,TABLAS!$B$52:$B$58,0)+3,7)),1)),MAX(MAX(DATOS!$C$29,CEILING(CE14/INDEX(TABLAS!$D$52:$D$58,MIN(MATCH(DATOS!$C$27,TABLAS!$B$52:$B$58,0)+3,7)),1)),2))&lt;=MIN(DATOS!$C$28,INT(((DATOS!$C$13-2*S14-2*IF(DATOS!$C$25=0,0,INDEX(TABLAS!$C$52:$C$58,MATCH(DATOS!$C$25,TABLAS!$B$52:$B$58,0))))+MAX(DATOS!$C$32,INDEX(TABLAS!$C$52:$C$58,MIN(MATCH(DATOS!$C$27,TABLAS!$B$52:$B$58,0)+3,7))))/(INDEX(TABLAS!$C$52:$C$58,MIN(MATCH(DATOS!$C$27,TABLAS!$B$52:$B$58,0)+3,7))+MAX(DATOS!$C$32,INDEX(TABLAS!$C$52:$C$58,MIN(MATCH(DATOS!$C$27,TABLAS!$B$52:$B$58,0)+3,7))))))),INDEX(TABLAS!$B$52:$B$58,MIN(MATCH(DATOS!$C$27,TABLAS!$B$52:$B$58,0)+3,7)),IF(AND(CE14&gt;=0,IF(MAX(DATOS!$C$29,CEILING(CE14/INDEX(TABLAS!$D$52:$D$58,MIN(MATCH(DATOS!$C$27,TABLAS!$B$52:$B$58,0)+4,7)),1))*INDEX(TABLAS!$D$52:$D$58,MIN(MATCH(DATOS!$C$27,TABLAS!$B$52:$B$58,0)+4,7))&gt;=4/3*IF(BE14&lt;=0,0,IF((1-2*BE14*1E5/(DATOS!$C$58*DATOS!$C$19*CD14^2*DATOS!$C$48))&lt;0,-1,IF((1-SQRT((1-2*BE14*1E5/(DATOS!$C$58*DATOS!$C$19*CD14^2*DATOS!$C$48))))*DATOS!$C$48*DATOS!$C$19*CD14/DATOS!$C$40&gt;DATOS!$C$82*DATOS!$C$19*CD14,-1,(1-SQRT((1-2*BE14*1E5/(DATOS!$C$58*DATOS!$C$19*CD14^2*DATOS!$C$48))))*DATOS!$C$48*DATOS!$C$19*CD14/DATOS!$C$40)))-0.0001,MAX(DATOS!$C$29,CEILING(CE14/INDEX(TABLAS!$D$52:$D$58,MIN(MATCH(DATOS!$C$27,TABLAS!$B$52:$B$58,0)+4,7)),1)),MAX(MAX(DATOS!$C$29,CEILING(CE14/INDEX(TABLAS!$D$52:$D$58,MIN(MATCH(DATOS!$C$27,TABLAS!$B$52:$B$58,0)+4,7)),1)),2))&lt;=MIN(DATOS!$C$28,INT(((DATOS!$C$13-2*S14-2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14" s="56">
        <f>IF(D14="HUECO",0,IF(CE14&lt;0,0,IF(MAX(DATOS!$C$29,CEILING(MAX(CE14,0)/INDEX(TABLAS!$D$52:$D$58,MATCH(CF14,TABLAS!$B$52:$B$58,0)),1))*INDEX(TABLAS!$D$52:$D$58,MATCH(CF14,TABLAS!$B$52:$B$58,0))&gt;=4/3*IF(BE14&lt;=0,0,IF((1-2*BE14*1E5/(DATOS!$C$58*DATOS!$C$19*CD14^2*DATOS!$C$48))&lt;0,-1,IF((1-SQRT((1-2*BE14*1E5/(DATOS!$C$58*DATOS!$C$19*CD14^2*DATOS!$C$48))))*DATOS!$C$48*DATOS!$C$19*CD14/DATOS!$C$40&gt;DATOS!$C$82*DATOS!$C$19*CD14,-1,(1-SQRT((1-2*BE14*1E5/(DATOS!$C$58*DATOS!$C$19*CD14^2*DATOS!$C$48))))*DATOS!$C$48*DATOS!$C$19*CD14/DATOS!$C$40)))-0.0001,MAX(DATOS!$C$29,CEILING(MAX(CE14,0)/INDEX(TABLAS!$D$52:$D$58,MATCH(CF14,TABLAS!$B$52:$B$58,0)),1)),MAX(MAX(DATOS!$C$29,CEILING(MAX(CE14,0)/INDEX(TABLAS!$D$52:$D$58,MATCH(CF14,TABLAS!$B$52:$B$58,0)),1)),2))))</f>
        <v>1</v>
      </c>
      <c r="CH14" s="43">
        <f>((DATOS!$C$15-S14-2*DATOS!$C$35-IF(DATOS!$C$25=0,0,INDEX(TABLAS!$C$52:$C$58,MATCH(DATOS!$C$25,TABLAS!$B$52:$B$58,0)))-INDEX(TABLAS!$C$52:$C$58,MATCH(BP14,TABLAS!$B$52:$B$58,0))-INDEX(TABLAS!$C$52:$C$58,MATCH(CF14,TABLAS!$B$52:$B$58,0))/2)-IF(AND((DATOS!$C$15-S14-2*DATOS!$C$35-IF(DATOS!$C$25=0,0,INDEX(TABLAS!$C$52:$C$58,MATCH(DATOS!$C$25,TABLAS!$B$52:$B$58,0)))-INDEX(TABLAS!$C$52:$C$58,MATCH(BP14,TABLAS!$B$52:$B$58,0))-INDEX(TABLAS!$C$52:$C$58,MATCH(CF14,TABLAS!$B$52:$B$58,0))/2)&lt;=20,DATOS!$C$18&lt;&gt;"SÍ"),2,0))</f>
        <v>18.119</v>
      </c>
      <c r="CI14" s="36">
        <f>IF(CG14=0,0,DATOS!$C$58*CG14*INDEX(TABLAS!$D$52:$D$58,MATCH(CF14,TABLAS!$B$52:$B$58,0))*DATOS!$C$40*(CH14-CG14*INDEX(TABLAS!$D$52:$D$58,MATCH(CF14,TABLAS!$B$52:$B$58,0))*DATOS!$C$40/(DATOS!$C$48*DATOS!$C$19)/2)/1E5)</f>
        <v>0.809570360117647</v>
      </c>
      <c r="CJ14" s="62">
        <f>IF(CE14&lt;0,9.99,IF(CI14&gt;0,BE14/CI14,0))</f>
        <v>0.149939035147102</v>
      </c>
      <c r="CK14" s="63">
        <f>IF(CG14=0,"—",0.003*(CH14-(CG14*INDEX(TABLAS!$D$52:$D$58,MATCH(CF14,TABLAS!$B$52:$B$58,0))*DATOS!$C$40/(DATOS!$C$48*DATOS!$C$19)/DATOS!$C$49))/(CG14*INDEX(TABLAS!$D$52:$D$58,MATCH(CF14,TABLAS!$B$52:$B$58,0))*DATOS!$C$40/(DATOS!$C$48*DATOS!$C$19)/DATOS!$C$49))</f>
        <v>0.0154068862485939</v>
      </c>
      <c r="CL14" s="52" t="str">
        <f>IF(D14="HUECO","—",IF(AND(D14="PERIMETRAL",J14*100&gt;=6*DATOS!$C$11,DATOS!$C$11&lt;=80,DATOS!$C$13&gt;=10,DATOS!$C$15&lt;=3.5*DATOS!$C$13,DATOS!$C$14&gt;=MAX(DATOS!$C$11/13,5)),"SÍ","NO"))</f>
        <v>NO</v>
      </c>
      <c r="CM14" s="36">
        <f>IF(D14="PERIMETRAL",MAX(0,(N14/2-BR14)/100)*(0.95-0.5*L14)*Y14*IF(AND(Z14&gt;0,Z14&lt;4),DATOS!$C$63,1)*DATOS!$C$16/100/1000+AX14,IF(D14="VOLADO",(Y14*MAX(0,N14-BR14)/100+DATOS!$C$55*BA14)*DATOS!$C$16/100/1000,0))</f>
        <v>0.114386862577663</v>
      </c>
      <c r="CN14" s="36">
        <f>IF(D14="HUECO",0,DATOS!$C$59*2*MIN(1,SQRT(2/(1+0.04*BR14)))*(BQ14*INDEX(TABLAS!$D$52:$D$58,MATCH(BP14,TABLAS!$B$52:$B$58,0))/(DATOS!$C$19*BR14))^(1/3)*SQRT(DATOS!$C$39)*DATOS!$C$19*BR14*IF(CL14="SÍ",DATOS!$C$62,1)/1000)</f>
        <v>0.860398102904257</v>
      </c>
      <c r="CO14" s="51" t="str">
        <f>IF(D14="HUECO","—",IF(CM14&lt;=CN14,"CUMPLE",IF(MAX(0,CEILING((IF(D14="VOLADO",(N14-(CN14*1E5/DATOS!$C$16-DATOS!$C$55*BA14)*100/Y14),IF(CN14&lt;=AX14,N14,N14/2-(CN14-AX14)/MAX(CM14-AX14,1E-9)*(N14/2-BR14)))-IF(INT((J14*100-DATOS!$C$17+DATOS!$C$13)/DATOS!$C$16)&gt;0,(J14*100-DATOS!$C$17-(INT((J14*100-DATOS!$C$17+DATOS!$C$13)/DATOS!$C$16)*DATOS!$C$11+(INT((J14*100-DATOS!$C$17+DATOS!$C$13)/DATOS!$C$16)-1)*DATOS!$C$13))/2,J14*100/2))/DATOS!$C$16,1))&lt;=0,"CUMPLE (basta el macizo de orilla)","MACIZAR "&amp;MAX(0,CEILING((IF(D14="VOLADO",(N14-(CN14*1E5/DATOS!$C$16-DATOS!$C$55*BA14)*100/Y14),IF(CN14&lt;=AX14,N14,N14/2-(CN14-AX14)/MAX(CM14-AX14,1E-9)*(N14/2-BR14)))-IF(INT((J14*100-DATOS!$C$17+DATOS!$C$13)/DATOS!$C$16)&gt;0,(J14*100-DATOS!$C$17-(INT((J14*100-DATOS!$C$17+DATOS!$C$13)/DATOS!$C$16)*DATOS!$C$11+(INT((J14*100-DATOS!$C$17+DATOS!$C$13)/DATOS!$C$16)-1)*DATOS!$C$13))/2,J14*100/2))/DATOS!$C$16,1))&amp;" hilera(s)")))</f>
        <v>CUMPLE</v>
      </c>
      <c r="CP14" s="43">
        <f>IF(D14="PERIMETRAL",((PRINCIPALES!$N$12*PRINCIPALES!$O$12^3/12/(0.923*100*IF(APOYOS!$G$49="CONTINUO",1,0.5)*DATOS!$C$77^3/12))+(PRINCIPALES!$N$14*PRINCIPALES!$O$14^3/12/(0.923*100*IF(APOYOS!$G$50="CONTINUO",1,0.5)*DATOS!$C$77^3/12))+99+(PRINCIPALES!$N$30*PRINCIPALES!$O$30^3/12/(4.327*100*IF(APOYOS!$G$52="CONTINUO",1,0.5)*DATOS!$C$77^3/12)))/4,0)</f>
        <v>29.9561222130418</v>
      </c>
      <c r="CQ14" s="57">
        <f>IF(D14="PERIMETRAL",IF(CP14&gt;2,MAX(9,O14*(0.8+DATOS!$C$40/14000)/(36+9*(O14/MAX(N14,1)))),IF(CP14&gt;0.2,MAX(13,O14*(0.8+DATOS!$C$40/14000)/(36+5*(O14/MAX(N14,1))*(CP14-0.2))),MAX(13,O14/IF(Z14&gt;0,30,33))))*IF(AND(CP14&gt;0.2,OR(AND((APOYOS!$G$49="DISCONTINUO"),(PRINCIPALES!$N$12*PRINCIPALES!$O$12^3/12/(0.923*100*IF(APOYOS!$G$49="CONTINUO",1,0.5)*DATOS!$C$77^3/12))&lt;0.8),AND((APOYOS!$G$50="DISCONTINUO"),(PRINCIPALES!$N$14*PRINCIPALES!$O$14^3/12/(0.923*100*IF(APOYOS!$G$50="CONTINUO",1,0.5)*DATOS!$C$77^3/12))&lt;0.8),AND((APOYOS!$G$51="DISCONTINUO"),99&lt;0.8),AND((APOYOS!$G$52="DISCONTINUO"),(PRINCIPALES!$N$30*PRINCIPALES!$O$30^3/12/(4.327*100*IF(APOYOS!$G$52="CONTINUO",1,0.5)*DATOS!$C$77^3/12))&lt;0.8))),1.1,1),IF(D14="VOLADO",MAX(25,J14*100/8),0))</f>
        <v>9</v>
      </c>
      <c r="CR14" s="57">
        <f>IF(D14="VOLADO",DATOS!$C$15,DATOS!$C$77)</f>
        <v>16.7232564120244</v>
      </c>
      <c r="CS14" s="52" t="str">
        <f>IF(D14="HUECO","—",IF(CR14&gt;=CQ14,"CUMPLE",IF(D14="VOLADO","NO CUMPLE","CALCULAR FLECHA")))</f>
        <v>CUMPLE</v>
      </c>
      <c r="CT14" s="52" t="str">
        <f>IF(D14="HUECO","—",IF(DATOS!$C$14&gt;=IF(IF(D14="VOLADO",J14,K14)&gt;=6,6,5),"CUMPLE","CAPA ≥ 6 cm"))</f>
        <v>CUMPLE</v>
      </c>
      <c r="CU14" s="59">
        <f>IF(D14="HUECO",0,IF(((4*((AL14*Y14*J14^2*1E-4*DATOS!$C$16/100/1000)+((MAX(AH14,AJ14)*Y14*J14^2*1E-4*DATOS!$C$16/100/1000)+(IF(AND(AH14&gt;0,AJ14&gt;0),MIN(AH14,AJ14),MAX(AH14,AJ14))*Y14*J14^2*1E-4*DATOS!$C$16/100/1000))/2)+BC14-(IF(AND(AH14&gt;0,AJ14&gt;0),MIN(AH14,AJ14),MAX(AH14,AJ14))*Y14*J14^2*1E-4*DATOS!$C$16/100/1000))^2-16*((AL14*Y14*J14^2*1E-4*DATOS!$C$16/100/1000)+((MAX(AH14,AJ14)*Y14*J14^2*1E-4*DATOS!$C$16/100/1000)+(IF(AND(AH14&gt;0,AJ14&gt;0),MIN(AH14,AJ14),MAX(AH14,AJ14))*Y14*J14^2*1E-4*DATOS!$C$16/100/1000))/2)*BC14)&lt;0,CEILING(N14,5),CEILING(MAX(N14*((4*((AL14*Y14*J14^2*1E-4*DATOS!$C$16/100/1000)+((MAX(AH14,AJ14)*Y14*J14^2*1E-4*DATOS!$C$16/100/1000)+(IF(AND(AH14&gt;0,AJ14&gt;0),MIN(AH14,AJ14),MAX(AH14,AJ14))*Y14*J14^2*1E-4*DATOS!$C$16/100/1000))/2)+BC14-(IF(AND(AH14&gt;0,AJ14&gt;0),MIN(AH14,AJ14),MAX(AH14,AJ14))*Y14*J14^2*1E-4*DATOS!$C$16/100/1000))-SQRT(MAX(0,((4*((AL14*Y14*J14^2*1E-4*DATOS!$C$16/100/1000)+((MAX(AH14,AJ14)*Y14*J14^2*1E-4*DATOS!$C$16/100/1000)+(IF(AND(AH14&gt;0,AJ14&gt;0),MIN(AH14,AJ14),MAX(AH14,AJ14))*Y14*J14^2*1E-4*DATOS!$C$16/100/1000))/2)+BC14-(IF(AND(AH14&gt;0,AJ14&gt;0),MIN(AH14,AJ14),MAX(AH14,AJ14))*Y14*J14^2*1E-4*DATOS!$C$16/100/1000))^2-16*((AL14*Y14*J14^2*1E-4*DATOS!$C$16/100/1000)+((MAX(AH14,AJ14)*Y14*J14^2*1E-4*DATOS!$C$16/100/1000)+(IF(AND(AH14&gt;0,AJ14&gt;0),MIN(AH14,AJ14),MAX(AH14,AJ14))*Y14*J14^2*1E-4*DATOS!$C$16/100/1000))/2)*BC14))))/(8*MAX(((AL14*Y14*J14^2*1E-4*DATOS!$C$16/100/1000)+((MAX(AH14,AJ14)*Y14*J14^2*1E-4*DATOS!$C$16/100/1000)+(IF(AND(AH14&gt;0,AJ14&gt;0),MIN(AH14,AJ14),MAX(AH14,AJ14))*Y14*J14^2*1E-4*DATOS!$C$16/100/1000))/2),1E-9))+MAX(BR14,12*INDEX(TABLAS!$C$52:$C$58,MATCH(BP14,TABLAS!$B$52:$B$58,0)),N14/16),IF(OR(S14&lt;INDEX(TABLAS!$C$52:$C$58,MATCH(BP14,TABLAS!$B$52:$B$58,0)),AND(BQ14&gt;=2,(DATOS!$C$13-2*S14-2*IF(DATOS!$C$25=0,0,INDEX(TABLAS!$C$52:$C$58,MATCH(DATOS!$C$25,TABLAS!$B$52:$B$58,0)))-BQ14*INDEX(TABLAS!$C$52:$C$58,MATCH(BP14,TABLAS!$B$52:$B$58,0)))/MAX(BQ14-1,1)&lt;2*INDEX(TABLAS!$C$52:$C$58,MATCH(BP14,TABLAS!$B$52:$B$58,0)))),INDEX(TABLAS!$I$52:$I$58,MATCH(BP14,TABLAS!$B$52:$B$58,0)),INDEX(TABLAS!$F$52:$F$58,MATCH(BP14,TABLAS!$B$52:$B$58,0)))),5)))</f>
        <v>55</v>
      </c>
      <c r="CV14" s="59">
        <f>IF(D14="HUECO",0,IF(((4*((AM14*Y14*J14^2*1E-4*DATOS!$C$16/100/1000)+((MAX(AI14,AK14)*Y14*J14^2*1E-4*DATOS!$C$16/100/1000)+(IF(AND(AI14&gt;0,AK14&gt;0),MIN(AI14,AK14),MAX(AI14,AK14))*Y14*J14^2*1E-4*DATOS!$C$16/100/1000))/2)+BE14-(IF(AND(AI14&gt;0,AK14&gt;0),MIN(AI14,AK14),MAX(AI14,AK14))*Y14*J14^2*1E-4*DATOS!$C$16/100/1000))^2-16*((AM14*Y14*J14^2*1E-4*DATOS!$C$16/100/1000)+((MAX(AI14,AK14)*Y14*J14^2*1E-4*DATOS!$C$16/100/1000)+(IF(AND(AI14&gt;0,AK14&gt;0),MIN(AI14,AK14),MAX(AI14,AK14))*Y14*J14^2*1E-4*DATOS!$C$16/100/1000))/2)*BE14)&lt;0,CEILING(O14,5),CEILING(MAX(O14*((4*((AM14*Y14*J14^2*1E-4*DATOS!$C$16/100/1000)+((MAX(AI14,AK14)*Y14*J14^2*1E-4*DATOS!$C$16/100/1000)+(IF(AND(AI14&gt;0,AK14&gt;0),MIN(AI14,AK14),MAX(AI14,AK14))*Y14*J14^2*1E-4*DATOS!$C$16/100/1000))/2)+BE14-(IF(AND(AI14&gt;0,AK14&gt;0),MIN(AI14,AK14),MAX(AI14,AK14))*Y14*J14^2*1E-4*DATOS!$C$16/100/1000))-SQRT(MAX(0,((4*((AM14*Y14*J14^2*1E-4*DATOS!$C$16/100/1000)+((MAX(AI14,AK14)*Y14*J14^2*1E-4*DATOS!$C$16/100/1000)+(IF(AND(AI14&gt;0,AK14&gt;0),MIN(AI14,AK14),MAX(AI14,AK14))*Y14*J14^2*1E-4*DATOS!$C$16/100/1000))/2)+BE14-(IF(AND(AI14&gt;0,AK14&gt;0),MIN(AI14,AK14),MAX(AI14,AK14))*Y14*J14^2*1E-4*DATOS!$C$16/100/1000))^2-16*((AM14*Y14*J14^2*1E-4*DATOS!$C$16/100/1000)+((MAX(AI14,AK14)*Y14*J14^2*1E-4*DATOS!$C$16/100/1000)+(IF(AND(AI14&gt;0,AK14&gt;0),MIN(AI14,AK14),MAX(AI14,AK14))*Y14*J14^2*1E-4*DATOS!$C$16/100/1000))/2)*BE14))))/(8*MAX(((AM14*Y14*J14^2*1E-4*DATOS!$C$16/100/1000)+((MAX(AI14,AK14)*Y14*J14^2*1E-4*DATOS!$C$16/100/1000)+(IF(AND(AI14&gt;0,AK14&gt;0),MIN(AI14,AK14),MAX(AI14,AK14))*Y14*J14^2*1E-4*DATOS!$C$16/100/1000))/2),1E-9))+MAX(CH14,12*INDEX(TABLAS!$C$52:$C$58,MATCH(CF14,TABLAS!$B$52:$B$58,0)),O14/16),IF(OR(S14&lt;INDEX(TABLAS!$C$52:$C$58,MATCH(CF14,TABLAS!$B$52:$B$58,0)),AND(CG14&gt;=2,(DATOS!$C$13-2*S14-2*IF(DATOS!$C$25=0,0,INDEX(TABLAS!$C$52:$C$58,MATCH(DATOS!$C$25,TABLAS!$B$52:$B$58,0)))-CG14*INDEX(TABLAS!$C$52:$C$58,MATCH(CF14,TABLAS!$B$52:$B$58,0)))/MAX(CG14-1,1)&lt;2*INDEX(TABLAS!$C$52:$C$58,MATCH(CF14,TABLAS!$B$52:$B$58,0)))),INDEX(TABLAS!$I$52:$I$58,MATCH(CF14,TABLAS!$B$52:$B$58,0)),INDEX(TABLAS!$F$52:$F$58,MATCH(CF14,TABLAS!$B$52:$B$58,0)))),5)))</f>
        <v>420</v>
      </c>
      <c r="CW14" s="56">
        <f>MAX(0,INT((F14*100-DATOS!$C$17+DATOS!$C$13)/DATOS!$C$16))</f>
        <v>6</v>
      </c>
      <c r="CX14" s="56">
        <f>MAX(0,INT((G14*100-DATOS!$C$17+DATOS!$C$13)/DATOS!$C$16))</f>
        <v>1</v>
      </c>
      <c r="CY14" s="51" t="str">
        <f>IF(COUNTIFS(TRIB!$C$6:$C$255,B14,TRIB!$K$6:$K$255,"NO CUMPLE*")+COUNTIFS(TRIB!$C$6:$C$255,B14,TRIB!$K$6:$K$255,"SIN APOYO*")&gt;0,"VER PRINCIPALES",IF((APOYOS!$F$49="LIBRE")+(APOYOS!$F$50="LIBRE")+(APOYOS!$F$51="LIBRE")+(APOYOS!$F$52="LIBRE")&gt;0,"REVISAR: borde libre","OK"))</f>
        <v>OK</v>
      </c>
      <c r="CZ14" s="64" t="str">
        <f>IF(D14="HUECO","HUECO — marco de nervaduras principales",IF(AND(MAX(BL14,BT14,CB14,CJ14)&lt;=1,NOT(OR(BI14&gt;MIN(DATOS!$C$28,INT(((DATOS!$C$13-2*R14-2*IF(DATOS!$C$25=0,0,INDEX(TABLAS!$C$52:$C$58,MATCH(DATOS!$C$25,TABLAS!$B$52:$B$58,0))))+DATOS!$C$32)/(INDEX(TABLAS!$C$52:$C$58,MATCH(BH14,TABLAS!$B$52:$B$58,0))+DATOS!$C$32))),BQ14&gt;MIN(DATOS!$C$28,INT(((DATOS!$C$13-2*S14-2*IF(DATOS!$C$25=0,0,INDEX(TABLAS!$C$52:$C$58,MATCH(DATOS!$C$25,TABLAS!$B$52:$B$58,0))))+DATOS!$C$32)/(INDEX(TABLAS!$C$52:$C$58,MATCH(BP14,TABLAS!$B$52:$B$58,0))+DATOS!$C$32))),BY14&gt;MIN(DATOS!$C$28,INT(((DATOS!$C$13-2*R14-2*IF(DATOS!$C$25=0,0,INDEX(TABLAS!$C$52:$C$58,MATCH(DATOS!$C$25,TABLAS!$B$52:$B$58,0))))+DATOS!$C$32)/(INDEX(TABLAS!$C$52:$C$58,MATCH(BX14,TABLAS!$B$52:$B$58,0))+DATOS!$C$32))),CG14&gt;MIN(DATOS!$C$28,INT(((DATOS!$C$13-2*S14-2*IF(DATOS!$C$25=0,0,INDEX(TABLAS!$C$52:$C$58,MATCH(DATOS!$C$25,TABLAS!$B$52:$B$58,0))))+DATOS!$C$32)/(INDEX(TABLAS!$C$52:$C$58,MATCH(CF14,TABLAS!$B$52:$B$58,0))+DATOS!$C$32))))),NOT(OR(AND(ISNUMBER(BM14),BM14&lt;0.005),AND(ISNUMBER(BU14),BU14&lt;0.005),AND(ISNUMBER(CC14),CC14&lt;0.005),AND(ISNUMBER(CK14),CK14&lt;0.005))),CS14="CUMPLE",CT14="CUMPLE"),IF(CY14="OK",IF(LEFT(CO14,6)="CUMPLE","CUMPLE","CUMPLE — "&amp;CO14)&amp;IF(LEFT(AZ14,5)="FUERA"," · fuera de 3.4.2.1 c)",""),IF(CY14="VER PRINCIPALES","VER PRINCIPALES","REVISAR APOYOS")),IF(AND(MAX(BL14,BT14,CB14,CJ14)&lt;=1,NOT(OR(BI14&gt;MIN(DATOS!$C$28,INT(((DATOS!$C$13-2*R14-2*IF(DATOS!$C$25=0,0,INDEX(TABLAS!$C$52:$C$58,MATCH(DATOS!$C$25,TABLAS!$B$52:$B$58,0))))+DATOS!$C$32)/(INDEX(TABLAS!$C$52:$C$58,MATCH(BH14,TABLAS!$B$52:$B$58,0))+DATOS!$C$32))),BQ14&gt;MIN(DATOS!$C$28,INT(((DATOS!$C$13-2*S14-2*IF(DATOS!$C$25=0,0,INDEX(TABLAS!$C$52:$C$58,MATCH(DATOS!$C$25,TABLAS!$B$52:$B$58,0))))+DATOS!$C$32)/(INDEX(TABLAS!$C$52:$C$58,MATCH(BP14,TABLAS!$B$52:$B$58,0))+DATOS!$C$32))),BY14&gt;MIN(DATOS!$C$28,INT(((DATOS!$C$13-2*R14-2*IF(DATOS!$C$25=0,0,INDEX(TABLAS!$C$52:$C$58,MATCH(DATOS!$C$25,TABLAS!$B$52:$B$58,0))))+DATOS!$C$32)/(INDEX(TABLAS!$C$52:$C$58,MATCH(BX14,TABLAS!$B$52:$B$58,0))+DATOS!$C$32))),CG14&gt;MIN(DATOS!$C$28,INT(((DATOS!$C$13-2*S14-2*IF(DATOS!$C$25=0,0,INDEX(TABLAS!$C$52:$C$58,MATCH(DATOS!$C$25,TABLAS!$B$52:$B$58,0))))+DATOS!$C$32)/(INDEX(TABLAS!$C$52:$C$58,MATCH(CF14,TABLAS!$B$52:$B$58,0))+DATOS!$C$32))))),NOT(OR(AND(ISNUMBER(BM14),BM14&lt;0.005),AND(ISNUMBER(BU14),BU14&lt;0.005),AND(ISNUMBER(CC14),CC14&lt;0.005),AND(ISNUMBER(CK14),CK14&lt;0.005))),CS14="CALCULAR FLECHA"),"REVISAR: calcular flecha (h_eq &lt; h mín.)","NO CUMPLE: "&amp;IF(MAX(BL14,BT14,CB14,CJ14)&gt;1,"flexión ","")&amp;IF(OR(BI14&gt;MIN(DATOS!$C$28,INT(((DATOS!$C$13-2*R14-2*IF(DATOS!$C$25=0,0,INDEX(TABLAS!$C$52:$C$58,MATCH(DATOS!$C$25,TABLAS!$B$52:$B$58,0))))+DATOS!$C$32)/(INDEX(TABLAS!$C$52:$C$58,MATCH(BH14,TABLAS!$B$52:$B$58,0))+DATOS!$C$32))),BQ14&gt;MIN(DATOS!$C$28,INT(((DATOS!$C$13-2*S14-2*IF(DATOS!$C$25=0,0,INDEX(TABLAS!$C$52:$C$58,MATCH(DATOS!$C$25,TABLAS!$B$52:$B$58,0))))+DATOS!$C$32)/(INDEX(TABLAS!$C$52:$C$58,MATCH(BP14,TABLAS!$B$52:$B$58,0))+DATOS!$C$32))),BY14&gt;MIN(DATOS!$C$28,INT(((DATOS!$C$13-2*R14-2*IF(DATOS!$C$25=0,0,INDEX(TABLAS!$C$52:$C$58,MATCH(DATOS!$C$25,TABLAS!$B$52:$B$58,0))))+DATOS!$C$32)/(INDEX(TABLAS!$C$52:$C$58,MATCH(BX14,TABLAS!$B$52:$B$58,0))+DATOS!$C$32))),CG14&gt;MIN(DATOS!$C$28,INT(((DATOS!$C$13-2*S14-2*IF(DATOS!$C$25=0,0,INDEX(TABLAS!$C$52:$C$58,MATCH(DATOS!$C$25,TABLAS!$B$52:$B$58,0))))+DATOS!$C$32)/(INDEX(TABLAS!$C$52:$C$58,MATCH(CF14,TABLAS!$B$52:$B$58,0))+DATOS!$C$32)))),"no caben ","")&amp;IF(OR(AND(ISNUMBER(BM14),BM14&lt;0.005),AND(ISNUMBER(BU14),BU14&lt;0.005),AND(ISNUMBER(CC14),CC14&lt;0.005),AND(ISNUMBER(CK14),CK14&lt;0.005)),"ε_t &lt; 0.005 ","")&amp;IF(CS14="NO CUMPLE","peralte ","")&amp;IF(CT14&lt;&gt;"CUMPLE","capa &lt; 6 cm",""))))</f>
        <v>CUMPLE · fuera de 3.4.2.1 c)</v>
      </c>
      <c r="DA14" s="65" t="str">
        <f>IF(AND(D14="PERIMETRAL",MIN(CW14,CX14)=0),"Tablero macizo (no cabe un casetón en el claro corto): no aplica 6.7.8. La resistencia se revisa con una nervadura de 10 cm cada 70 cm y r_np (conservador); "&amp;"como losa maciza lleva además As,mín = 0.0018·Ag en cada dirección cerca de la cara a tensión (6.7.6.1.1, p. 175). ",IF(AND(CL14="NO",D14="PERIMETRAL"),"No cumple 6.7.8.1.4 (a_c = "&amp;DATOS!$C$11&amp;" cm &gt; claro corto/6 = "&amp;TEXT(J14*100/6,"0")&amp;" cm): se diseña como losa apoyada en vigas (6.7.8.1.9): nervaduras con recubrimiento de viga r_np = "&amp;DATOS!$C$22&amp;" cm (Tabla 4.14.16.a), V_cR sin ×1.1 y cortante sin estribos por 5.5.3.8.1 (criterio del Proyectista). Para que cuente como encasetonada: casetón de "&amp;TEXT(FLOOR(MIN(80,J14*100/6),1),"0")&amp;" cm o menor. ",""))&amp;IF(LEFT(AZ14,5)="FUERA","M⁻ del borde común "&amp;AZ14&amp;": difieren más de 50% (3.4.2.1 c); se distribuyen 2/3 del desequilibrio (3.4.3.1) y conviene confirmar los momentos con el modelo. ","")&amp;"—"</f>
        <v>No cumple 6.7.8.1.4 (a_c = 60 cm &gt; claro corto/6 = 15 cm): se diseña como losa apoyada en vigas (6.7.8.1.9): nervaduras con recubrimiento de viga r_np = 4 cm (Tabla 4.14.16.a), V_cR sin ×1.1 y cortante sin estribos por 5.5.3.8.1 (criterio del Proyectista). Para que cuente como encasetonada: casetón de 15 cm o menor. M⁻ del borde común FUERA con F80005 F80008: difieren más de 50% (3.4.2.1 c); se distribuyen 2/3 del desequilibrio (3.4.3.1) y conviene confirmar los momentos con el modelo. —</v>
      </c>
    </row>
    <row r="15" ht="30" customHeight="1">
      <c r="B15" s="51" t="inlineStr">
        <is>
          <t>F80008 N+3.00</t>
        </is>
      </c>
      <c r="C15" s="52" t="inlineStr">
        <is>
          <t>N+3.00</t>
        </is>
      </c>
      <c r="D15" s="53" t="inlineStr">
        <is>
          <t>PERIMETRAL</t>
        </is>
      </c>
      <c r="E15" s="53" t="inlineStr">
        <is>
          <t>HABITACIÓN</t>
        </is>
      </c>
      <c r="F15" s="54" t="n">
        <v>4.321</v>
      </c>
      <c r="G15" s="54" t="n">
        <v>11.5</v>
      </c>
      <c r="H15" s="55" t="n">
        <v>1.995</v>
      </c>
      <c r="I15" s="55" t="n">
        <v>3.425</v>
      </c>
      <c r="J15" s="36">
        <f>MIN(H15,I15)</f>
        <v>1.995</v>
      </c>
      <c r="K15" s="36">
        <f>MAX(H15,I15)</f>
        <v>3.425</v>
      </c>
      <c r="L15" s="36">
        <f>IF(K15&gt;0,J15/K15,0)</f>
        <v>0.582481751824818</v>
      </c>
      <c r="M15" s="52" t="str">
        <f>IF(H15&lt;=I15,"X","Y")</f>
        <v>X</v>
      </c>
      <c r="N15" s="56">
        <f>MAX(0,J15*100-IF(D15="VOLADO",DATOS!$C$17/2,DATOS!$C$17))</f>
        <v>184.5</v>
      </c>
      <c r="O15" s="56">
        <f>MAX(0,K15*100-DATOS!$C$17)</f>
        <v>327.5</v>
      </c>
      <c r="P15" s="57">
        <f>MIN(DATOS!$C$16,DATOS!$C$13+2*MIN(8*DATOS!$C$14,DATOS!$C$11/2,N15/8))</f>
        <v>56.125</v>
      </c>
      <c r="Q15" s="57">
        <f>MIN(DATOS!$C$16,DATOS!$C$13+2*MIN(8*DATOS!$C$14,DATOS!$C$11/2,O15/8))</f>
        <v>70</v>
      </c>
      <c r="R15" s="57">
        <f>IF(D15="VOLADO",DATOS!$C$21,IF(CL15="NO",DATOS!$C$22,DATOS!$C$20))</f>
        <v>4</v>
      </c>
      <c r="S15" s="57">
        <f>IF(OR(AND(C15="N+6.00",DATOS!$C$23="SÍ"),AND(D15="VOLADO",DATOS!$C$24="SÍ")),DATOS!$C$21,IF(CL15="NO",DATOS!$C$22,DATOS!$C$20))</f>
        <v>4</v>
      </c>
      <c r="T15" s="58" t="n">
        <v>160</v>
      </c>
      <c r="U15" s="56">
        <f>IF(E15="HABITACIÓN",DATOS!$C$89,DATOS!$C$92)</f>
        <v>190</v>
      </c>
      <c r="V15" s="56">
        <f>CARGAS!$C$9</f>
        <v>293.673469387755</v>
      </c>
      <c r="W15" s="56">
        <f>V15+T15</f>
        <v>453.673469387755</v>
      </c>
      <c r="X15" s="56">
        <f>W15+U15</f>
        <v>643.673469387755</v>
      </c>
      <c r="Y15" s="59">
        <f>MAX(DATOS!$C$55*W15+DATOS!$C$56*U15,IF(E15="AZOTEA",DATOS!$C$57*(W15+DATOS!$C$97),0))</f>
        <v>874.775510204082</v>
      </c>
      <c r="Z15" s="56">
        <f>(APOYOS!$G$53="DISCONTINUO")+(APOYOS!$G$54="DISCONTINUO")+(APOYOS!$G$55="DISCONTINUO")+(APOYOS!$G$56="DISCONTINUO")</f>
        <v>1</v>
      </c>
      <c r="AA15" s="56">
        <f>IF(M15="X",(APOYOS!$G$53="DISCONTINUO")+(APOYOS!$G$54="DISCONTINUO"),(APOYOS!$G$55="DISCONTINUO")+(APOYOS!$G$56="DISCONTINUO"))</f>
        <v>1</v>
      </c>
      <c r="AB15" s="56">
        <f>Z15-AA15</f>
        <v>0</v>
      </c>
      <c r="AC15" s="52" t="str">
        <f>IF(Z15=0,"INTERIOR",IF(Z15=1,IF(AA15=1,"BORDE-CORTO","BORDE-LARGO"),IF(Z15=2,IF(AA15=1,"ESQUINA",IF(AA15=2,"EXTREMO-LARGO","EXTREMO-CORTO")),IF(Z15=3,IF(AA15=2,"EXTREMO-LARGO","EXTREMO-CORTO"),"AISLADO"))))</f>
        <v>BORDE-CORTO</v>
      </c>
      <c r="AD15" s="53" t="inlineStr">
        <is>
          <t>AUTO</t>
        </is>
      </c>
      <c r="AE15" s="60" t="str">
        <f>IF(AD15="AUTO",AC15,AD15)</f>
        <v>BORDE-CORTO</v>
      </c>
      <c r="AF15" s="56">
        <f>MATCH(L15,TABLAS!$D$5:$J$5,1)</f>
        <v>2</v>
      </c>
      <c r="AG15" s="43">
        <f>IF(AF15&gt;=7,0,(L15-INDEX(TABLAS!$D$5:$J$5,AF15))/(INDEX(TABLAS!$D$5:$J$5,AF15+1)-INDEX(TABLAS!$D$5:$J$5,AF15)))</f>
        <v>0.824817518248176</v>
      </c>
      <c r="AH15" s="56">
        <f>INDEX(TABLAS!$D$6:$J$47,MATCH(AE15&amp;"|NIC",TABLAS!$B$6:$B$47,0),AF15)+AG15*(INDEX(TABLAS!$D$6:$J$47,MATCH(AE15&amp;"|NIC",TABLAS!$B$6:$B$47,0),MIN(AF15+1,7))-INDEX(TABLAS!$D$6:$J$47,MATCH(AE15&amp;"|NIC",TABLAS!$B$6:$B$47,0),AF15))</f>
        <v>999.686131386861</v>
      </c>
      <c r="AI15" s="56">
        <f>INDEX(TABLAS!$D$6:$J$47,MATCH(AE15&amp;"|NIL",TABLAS!$B$6:$B$47,0),AF15)+AG15*(INDEX(TABLAS!$D$6:$J$47,MATCH(AE15&amp;"|NIL",TABLAS!$B$6:$B$47,0),MIN(AF15+1,7))-INDEX(TABLAS!$D$6:$J$47,MATCH(AE15&amp;"|NIL",TABLAS!$B$6:$B$47,0),AF15))</f>
        <v>531.306569343066</v>
      </c>
      <c r="AJ15" s="56">
        <f>INDEX(TABLAS!$D$6:$J$47,MATCH(AE15&amp;"|NDC",TABLAS!$B$6:$B$47,0),AF15)+AG15*(INDEX(TABLAS!$D$6:$J$47,MATCH(AE15&amp;"|NDC",TABLAS!$B$6:$B$47,0),MIN(AF15+1,7))-INDEX(TABLAS!$D$6:$J$47,MATCH(AE15&amp;"|NDC",TABLAS!$B$6:$B$47,0),AF15))</f>
        <v>0</v>
      </c>
      <c r="AK15" s="56">
        <f>INDEX(TABLAS!$D$6:$J$47,MATCH(AE15&amp;"|NDL",TABLAS!$B$6:$B$47,0),AF15)+AG15*(INDEX(TABLAS!$D$6:$J$47,MATCH(AE15&amp;"|NDL",TABLAS!$B$6:$B$47,0),MIN(AF15+1,7))-INDEX(TABLAS!$D$6:$J$47,MATCH(AE15&amp;"|NDL",TABLAS!$B$6:$B$47,0),AF15))</f>
        <v>249.751824817518</v>
      </c>
      <c r="AL15" s="56">
        <f>INDEX(TABLAS!$D$6:$J$47,MATCH(AE15&amp;"|PC",TABLAS!$B$6:$B$47,0),AF15)+AG15*(INDEX(TABLAS!$D$6:$J$47,MATCH(AE15&amp;"|PC",TABLAS!$B$6:$B$47,0),MIN(AF15+1,7))-INDEX(TABLAS!$D$6:$J$47,MATCH(AE15&amp;"|PC",TABLAS!$B$6:$B$47,0),AF15))</f>
        <v>298.481751824818</v>
      </c>
      <c r="AM15" s="56">
        <f>INDEX(TABLAS!$D$6:$J$47,MATCH(AE15&amp;"|PL",TABLAS!$B$6:$B$47,0),AF15)+AG15*(INDEX(TABLAS!$D$6:$J$47,MATCH(AE15&amp;"|PL",TABLAS!$B$6:$B$47,0),MIN(AF15+1,7))-INDEX(TABLAS!$D$6:$J$47,MATCH(AE15&amp;"|PL",TABLAS!$B$6:$B$47,0),AF15))</f>
        <v>257.569343065693</v>
      </c>
      <c r="AN15" s="36">
        <f>IF(D15="PERIMETRAL",IF(APOYOS!$G$53="CONTINUO",IF(M15="Y",AH15,AI15),IF(M15="Y",AJ15,AK15))*Y15*J15^2*1E-4*DATOS!$C$16/100/1000,0)</f>
        <v>0.0608680132365548</v>
      </c>
      <c r="AO15" s="36">
        <f>IF(D15="PERIMETRAL",IF(APOYOS!$G$54="CONTINUO",IF(M15="Y",AH15,AI15),IF(M15="Y",AJ15,AK15))*Y15*J15^2*1E-4*DATOS!$C$16/100/1000,0)</f>
        <v>0.129486842865197</v>
      </c>
      <c r="AP15" s="36">
        <f>IF(D15="PERIMETRAL",IF(APOYOS!$G$55="CONTINUO",IF(M15="X",AH15,AI15),IF(M15="X",AJ15,AK15))*Y15*J15^2*1E-4*DATOS!$C$16/100/1000,0)</f>
        <v>0.243637493828584</v>
      </c>
      <c r="AQ15" s="36">
        <f>IF(D15="PERIMETRAL",IF(APOYOS!$G$56="CONTINUO",IF(M15="X",AH15,AI15),IF(M15="X",AJ15,AK15))*Y15*J15^2*1E-4*DATOS!$C$16/100/1000,0)</f>
        <v>0.243637493828584</v>
      </c>
      <c r="AR15" s="56">
        <f>IF(D15="PERIMETRAL",IF(M15="X",BN15,CD15)^3/(J15*100),0)</f>
        <v>36.5361962950827</v>
      </c>
      <c r="AS15" s="56">
        <f>IF(D15="PERIMETRAL",IF(M15="Y",BN15,CD15)^3/(J15*100),0)</f>
        <v>29.816713679995</v>
      </c>
      <c r="AT15" s="36">
        <f>IF(D15="PERIMETRAL",MAX(0,IF(M15="Y",IF(AND(APOYOS!$G$53="CONTINUO",AN15&gt;0,AO10&gt;0,AO10&gt;AN15),AN15+2/3*(AO10-AN15)*AS15/MAX(AS15+AS10,1E-9),0),0),IF(M15="Y",IF(AND(OR(APOYOS!$G$53="CONTINUO",APOYOS!$G$38="CONTINUO"),AN15&gt;0,AO11&gt;0,AO11&gt;AN15),AN15+2/3*(AO11-AN15)*AS15/MAX(AS15+AS11,1E-9),0),0),IF(M15="Y",IF(AND(OR(APOYOS!$G$53="CONTINUO",APOYOS!$G$48="CONTINUO"),AN15&gt;0,AQ13&gt;0,AQ13&gt;AN15),AN15+2/3*(AQ13-AN15)*AS15/MAX(AS15+AS13,1E-9),0),0),IF(M15="Y",IF(AND(OR(APOYOS!$G$54="CONTINUO",APOYOS!$G$73="CONTINUO"),AO15&gt;0,AN20&gt;0,AN20&gt;AO15),AO15+2/3*(AN20-AO15)*AS15/MAX(AS15+AS20,1E-9),0),0),IF(M15="Y",IF(AND(APOYOS!$G$54="CONTINUO",AO15&gt;0,AN22&gt;0,AN22&gt;AO15),AO15+2/3*(AN22-AO15)*AS15/MAX(AS15+AS22,1E-9),0),0),IF(M15="Y",IF(AND(OR(APOYOS!$G$54="CONTINUO",APOYOS!$G$85="CONTINUO"),AO15&gt;0,AN23&gt;0,AN23&gt;AO15),AO15+2/3*(AN23-AO15)*AS15/MAX(AS15+AS23,1E-9),0),0),IF(M15="Y",IF(AND(OR(APOYOS!$G$54="CONTINUO",APOYOS!$G$89="CONTINUO"),AO15&gt;0,AN24&gt;0,AN24&gt;AO15),AO15+2/3*(AN24-AO15)*AS15/MAX(AS15+AS24,1E-9),0),0),IF(M15="Y",IF(AND(APOYOS!$G$54="CONTINUO",AO15&gt;0,AN25&gt;0,AN25&gt;AO15),AO15+2/3*(AN25-AO15)*AS15/MAX(AS15+AS25,1E-9),0),0),IF(M15="X",IF(AND(OR(APOYOS!$G$55="CONTINUO",APOYOS!$G$48="CONTINUO"),AP15&gt;0,AQ13&gt;0,AQ13&gt;AP15),AP15+2/3*(AQ13-AP15)*AR15/MAX(AR15+AR13,1E-9),0),0),IF(M15="X",IF(AND(OR(APOYOS!$G$55="CONTINUO",APOYOS!$G$52="CONTINUO"),AP15&gt;0,AQ14&gt;0,AQ14&gt;AP15),AP15+2/3*(AQ14-AP15)*AR15/MAX(AR15+AR14,1E-9),0),0),IF(M15="X",IF(AND(OR(APOYOS!$G$55="CONTINUO",APOYOS!$G$64="CONTINUO"),AP15&gt;0,AQ17&gt;0,AQ17&gt;AP15),AP15+2/3*(AQ17-AP15)*AR15/MAX(AR15+AR17,1E-9),0),0),IF(M15="X",IF(AND(OR(APOYOS!$G$55="CONTINUO",APOYOS!$G$80="CONTINUO"),AP15&gt;0,AQ21&gt;0,AQ21&gt;AP15),AP15+2/3*(AQ21-AP15)*AR15/MAX(AR15+AR21,1E-9),0),0),IF(M15="X",IF(AND(OR(APOYOS!$G$56="CONTINUO",APOYOS!$G$59="CONTINUO"),AQ15&gt;0,AP16&gt;0,AP16&gt;AQ15),AQ15+2/3*(AP16-AQ15)*AR15/MAX(AR15+AR16,1E-9),0),0),IF(M15="X",IF(AND(APOYOS!$G$56="CONTINUO",AQ15&gt;0,AP18&gt;0,AP18&gt;AQ15),AQ15+2/3*(AP18-AQ15)*AR15/MAX(AR15+AR18,1E-9),0),0),IF(M15="X",IF(AND(APOYOS!$G$56="CONTINUO",AQ15&gt;0,AP22&gt;0,AP22&gt;AQ15),AQ15+2/3*(AP22-AQ15)*AR15/MAX(AR15+AR22,1E-9),0),0)),0)</f>
        <v>0.430141731103844</v>
      </c>
      <c r="AU15" s="36">
        <f>IF(D15="PERIMETRAL",MAX(0,IF(M15&lt;&gt;"Y",IF(AND(APOYOS!$G$53="CONTINUO",AN15&gt;0,AO10&gt;0,AO10&gt;AN15),AN15+2/3*(AO10-AN15)*AS15/MAX(AS15+AS10,1E-9),0),0),IF(M15&lt;&gt;"Y",IF(AND(OR(APOYOS!$G$53="CONTINUO",APOYOS!$G$38="CONTINUO"),AN15&gt;0,AO11&gt;0,AO11&gt;AN15),AN15+2/3*(AO11-AN15)*AS15/MAX(AS15+AS11,1E-9),0),0),IF(M15&lt;&gt;"Y",IF(AND(OR(APOYOS!$G$53="CONTINUO",APOYOS!$G$48="CONTINUO"),AN15&gt;0,AQ13&gt;0,AQ13&gt;AN15),AN15+2/3*(AQ13-AN15)*AS15/MAX(AS15+AS13,1E-9),0),0),IF(M15&lt;&gt;"Y",IF(AND(OR(APOYOS!$G$54="CONTINUO",APOYOS!$G$73="CONTINUO"),AO15&gt;0,AN20&gt;0,AN20&gt;AO15),AO15+2/3*(AN20-AO15)*AS15/MAX(AS15+AS20,1E-9),0),0),IF(M15&lt;&gt;"Y",IF(AND(APOYOS!$G$54="CONTINUO",AO15&gt;0,AN22&gt;0,AN22&gt;AO15),AO15+2/3*(AN22-AO15)*AS15/MAX(AS15+AS22,1E-9),0),0),IF(M15&lt;&gt;"Y",IF(AND(OR(APOYOS!$G$54="CONTINUO",APOYOS!$G$85="CONTINUO"),AO15&gt;0,AN23&gt;0,AN23&gt;AO15),AO15+2/3*(AN23-AO15)*AS15/MAX(AS15+AS23,1E-9),0),0),IF(M15&lt;&gt;"Y",IF(AND(OR(APOYOS!$G$54="CONTINUO",APOYOS!$G$89="CONTINUO"),AO15&gt;0,AN24&gt;0,AN24&gt;AO15),AO15+2/3*(AN24-AO15)*AS15/MAX(AS15+AS24,1E-9),0),0),IF(M15&lt;&gt;"Y",IF(AND(APOYOS!$G$54="CONTINUO",AO15&gt;0,AN25&gt;0,AN25&gt;AO15),AO15+2/3*(AN25-AO15)*AS15/MAX(AS15+AS25,1E-9),0),0),IF(M15&lt;&gt;"X",IF(AND(OR(APOYOS!$G$55="CONTINUO",APOYOS!$G$48="CONTINUO"),AP15&gt;0,AQ13&gt;0,AQ13&gt;AP15),AP15+2/3*(AQ13-AP15)*AR15/MAX(AR15+AR13,1E-9),0),0),IF(M15&lt;&gt;"X",IF(AND(OR(APOYOS!$G$55="CONTINUO",APOYOS!$G$52="CONTINUO"),AP15&gt;0,AQ14&gt;0,AQ14&gt;AP15),AP15+2/3*(AQ14-AP15)*AR15/MAX(AR15+AR14,1E-9),0),0),IF(M15&lt;&gt;"X",IF(AND(OR(APOYOS!$G$55="CONTINUO",APOYOS!$G$64="CONTINUO"),AP15&gt;0,AQ17&gt;0,AQ17&gt;AP15),AP15+2/3*(AQ17-AP15)*AR15/MAX(AR15+AR17,1E-9),0),0),IF(M15&lt;&gt;"X",IF(AND(OR(APOYOS!$G$55="CONTINUO",APOYOS!$G$80="CONTINUO"),AP15&gt;0,AQ21&gt;0,AQ21&gt;AP15),AP15+2/3*(AQ21-AP15)*AR15/MAX(AR15+AR21,1E-9),0),0),IF(M15&lt;&gt;"X",IF(AND(OR(APOYOS!$G$56="CONTINUO",APOYOS!$G$59="CONTINUO"),AQ15&gt;0,AP16&gt;0,AP16&gt;AQ15),AQ15+2/3*(AP16-AQ15)*AR15/MAX(AR15+AR16,1E-9),0),0),IF(M15&lt;&gt;"X",IF(AND(APOYOS!$G$56="CONTINUO",AQ15&gt;0,AP18&gt;0,AP18&gt;AQ15),AQ15+2/3*(AP18-AQ15)*AR15/MAX(AR15+AR18,1E-9),0),0),IF(M15&lt;&gt;"X",IF(AND(APOYOS!$G$56="CONTINUO",AQ15&gt;0,AP22&gt;0,AP22&gt;AQ15),AQ15+2/3*(AP22-AQ15)*AR15/MAX(AR15+AR22,1E-9),0),0)),0)</f>
        <v>0.276811551045891</v>
      </c>
      <c r="AV15" s="36">
        <f>IF(D15="PERIMETRAL",(IF(M15="Y",MAX(IF(AND(APOYOS!$G$53="CONTINUO",AN15&gt;0,AO10&gt;0,AN15&gt;AO10),2/3*(AN15-AO10)*AS15/MAX(AS15+AS10,1E-9),0),IF(AND(OR(APOYOS!$G$53="CONTINUO",APOYOS!$G$38="CONTINUO"),AN15&gt;0,AO11&gt;0,AN15&gt;AO11),2/3*(AN15-AO11)*AS15/MAX(AS15+AS11,1E-9),0),IF(AND(OR(APOYOS!$G$53="CONTINUO",APOYOS!$G$48="CONTINUO"),AN15&gt;0,AQ13&gt;0,AN15&gt;AQ13),2/3*(AN15-AQ13)*AS15/MAX(AS15+AS13,1E-9),0)),0)+IF(M15="Y",MAX(IF(AND(OR(APOYOS!$G$54="CONTINUO",APOYOS!$G$73="CONTINUO"),AO15&gt;0,AN20&gt;0,AO15&gt;AN20),2/3*(AO15-AN20)*AS15/MAX(AS15+AS20,1E-9),0),IF(AND(APOYOS!$G$54="CONTINUO",AO15&gt;0,AN22&gt;0,AO15&gt;AN22),2/3*(AO15-AN22)*AS15/MAX(AS15+AS22,1E-9),0),IF(AND(OR(APOYOS!$G$54="CONTINUO",APOYOS!$G$85="CONTINUO"),AO15&gt;0,AN23&gt;0,AO15&gt;AN23),2/3*(AO15-AN23)*AS15/MAX(AS15+AS23,1E-9),0),IF(AND(OR(APOYOS!$G$54="CONTINUO",APOYOS!$G$89="CONTINUO"),AO15&gt;0,AN24&gt;0,AO15&gt;AN24),2/3*(AO15-AN24)*AS15/MAX(AS15+AS24,1E-9),0),IF(AND(APOYOS!$G$54="CONTINUO",AO15&gt;0,AN25&gt;0,AO15&gt;AN25),2/3*(AO15-AN25)*AS15/MAX(AS15+AS25,1E-9),0)),0)+IF(M15="X",MAX(IF(AND(OR(APOYOS!$G$55="CONTINUO",APOYOS!$G$48="CONTINUO"),AP15&gt;0,AQ13&gt;0,AP15&gt;AQ13),2/3*(AP15-AQ13)*AR15/MAX(AR15+AR13,1E-9),0),IF(AND(OR(APOYOS!$G$55="CONTINUO",APOYOS!$G$52="CONTINUO"),AP15&gt;0,AQ14&gt;0,AP15&gt;AQ14),2/3*(AP15-AQ14)*AR15/MAX(AR15+AR14,1E-9),0),IF(AND(OR(APOYOS!$G$55="CONTINUO",APOYOS!$G$64="CONTINUO"),AP15&gt;0,AQ17&gt;0,AP15&gt;AQ17),2/3*(AP15-AQ17)*AR15/MAX(AR15+AR17,1E-9),0),IF(AND(OR(APOYOS!$G$55="CONTINUO",APOYOS!$G$80="CONTINUO"),AP15&gt;0,AQ21&gt;0,AP15&gt;AQ21),2/3*(AP15-AQ21)*AR15/MAX(AR15+AR21,1E-9),0)),0)+IF(M15="X",MAX(IF(AND(OR(APOYOS!$G$56="CONTINUO",APOYOS!$G$59="CONTINUO"),AQ15&gt;0,AP16&gt;0,AQ15&gt;AP16),2/3*(AQ15-AP16)*AR15/MAX(AR15+AR16,1E-9),0),IF(AND(APOYOS!$G$56="CONTINUO",AQ15&gt;0,AP18&gt;0,AQ15&gt;AP18),2/3*(AQ15-AP18)*AR15/MAX(AR15+AR18,1E-9),0),IF(AND(APOYOS!$G$56="CONTINUO",AQ15&gt;0,AP22&gt;0,AQ15&gt;AP22),2/3*(AQ15-AP22)*AR15/MAX(AR15+AR22,1E-9),0)),0))/2,0)</f>
        <v>0.0516328113225785</v>
      </c>
      <c r="AW15" s="36">
        <f>IF(D15="PERIMETRAL",(IF(M15&lt;&gt;"Y",MAX(IF(AND(APOYOS!$G$53="CONTINUO",AN15&gt;0,AO10&gt;0,AN15&gt;AO10),2/3*(AN15-AO10)*AS15/MAX(AS15+AS10,1E-9),0),IF(AND(OR(APOYOS!$G$53="CONTINUO",APOYOS!$G$38="CONTINUO"),AN15&gt;0,AO11&gt;0,AN15&gt;AO11),2/3*(AN15-AO11)*AS15/MAX(AS15+AS11,1E-9),0),IF(AND(OR(APOYOS!$G$53="CONTINUO",APOYOS!$G$48="CONTINUO"),AN15&gt;0,AQ13&gt;0,AN15&gt;AQ13),2/3*(AN15-AQ13)*AS15/MAX(AS15+AS13,1E-9),0)),0)+IF(M15&lt;&gt;"Y",MAX(IF(AND(OR(APOYOS!$G$54="CONTINUO",APOYOS!$G$73="CONTINUO"),AO15&gt;0,AN20&gt;0,AO15&gt;AN20),2/3*(AO15-AN20)*AS15/MAX(AS15+AS20,1E-9),0),IF(AND(APOYOS!$G$54="CONTINUO",AO15&gt;0,AN22&gt;0,AO15&gt;AN22),2/3*(AO15-AN22)*AS15/MAX(AS15+AS22,1E-9),0),IF(AND(OR(APOYOS!$G$54="CONTINUO",APOYOS!$G$85="CONTINUO"),AO15&gt;0,AN23&gt;0,AO15&gt;AN23),2/3*(AO15-AN23)*AS15/MAX(AS15+AS23,1E-9),0),IF(AND(OR(APOYOS!$G$54="CONTINUO",APOYOS!$G$89="CONTINUO"),AO15&gt;0,AN24&gt;0,AO15&gt;AN24),2/3*(AO15-AN24)*AS15/MAX(AS15+AS24,1E-9),0),IF(AND(APOYOS!$G$54="CONTINUO",AO15&gt;0,AN25&gt;0,AO15&gt;AN25),2/3*(AO15-AN25)*AS15/MAX(AS15+AS25,1E-9),0)),0)+IF(M15&lt;&gt;"X",MAX(IF(AND(OR(APOYOS!$G$55="CONTINUO",APOYOS!$G$48="CONTINUO"),AP15&gt;0,AQ13&gt;0,AP15&gt;AQ13),2/3*(AP15-AQ13)*AR15/MAX(AR15+AR13,1E-9),0),IF(AND(OR(APOYOS!$G$55="CONTINUO",APOYOS!$G$52="CONTINUO"),AP15&gt;0,AQ14&gt;0,AP15&gt;AQ14),2/3*(AP15-AQ14)*AR15/MAX(AR15+AR14,1E-9),0),IF(AND(OR(APOYOS!$G$55="CONTINUO",APOYOS!$G$64="CONTINUO"),AP15&gt;0,AQ17&gt;0,AP15&gt;AQ17),2/3*(AP15-AQ17)*AR15/MAX(AR15+AR17,1E-9),0),IF(AND(OR(APOYOS!$G$55="CONTINUO",APOYOS!$G$80="CONTINUO"),AP15&gt;0,AQ21&gt;0,AP15&gt;AQ21),2/3*(AP15-AQ21)*AR15/MAX(AR15+AR21,1E-9),0)),0)+IF(M15&lt;&gt;"X",MAX(IF(AND(OR(APOYOS!$G$56="CONTINUO",APOYOS!$G$59="CONTINUO"),AQ15&gt;0,AP16&gt;0,AQ15&gt;AP16),2/3*(AQ15-AP16)*AR15/MAX(AR15+AR16,1E-9),0),IF(AND(APOYOS!$G$56="CONTINUO",AQ15&gt;0,AP18&gt;0,AQ15&gt;AP18),2/3*(AQ15-AP18)*AR15/MAX(AR15+AR18,1E-9),0),IF(AND(APOYOS!$G$56="CONTINUO",AQ15&gt;0,AP22&gt;0,AQ15&gt;AP22),2/3*(AQ15-AP22)*AR15/MAX(AR15+AR22,1E-9),0)),0))/2,0)</f>
        <v>0.0135936474539588</v>
      </c>
      <c r="AX15" s="36">
        <f>IF(D15="PERIMETRAL",MAX(0,0),0)</f>
        <v>0</v>
      </c>
      <c r="AY15" s="52" t="str">
        <f>IF(D15&lt;&gt;"PERIMETRAL","",IF(AND(APOYOS!$G$53="CONTINUO",AN15&gt;0,AO10&gt;0,ABS(AN15-AO10)&gt;0.5*MIN(AN15,AO10))," F80003","")&amp;IF(AND(OR(APOYOS!$G$53="CONTINUO",APOYOS!$G$38="CONTINUO"),AN15&gt;0,AO11&gt;0,ABS(AN15-AO11)&gt;0.5*MIN(AN15,AO11))," F80004","")&amp;IF(OR(AND(OR(APOYOS!$G$53="CONTINUO",APOYOS!$G$48="CONTINUO"),AN15&gt;0,AQ13&gt;0,ABS(AN15-AQ13)&gt;0.5*MIN(AN15,AQ13)),AND(OR(APOYOS!$G$55="CONTINUO",APOYOS!$G$48="CONTINUO"),AP15&gt;0,AQ13&gt;0,ABS(AP15-AQ13)&gt;0.5*MIN(AP15,AQ13)))," F80006","")&amp;IF(AND(OR(APOYOS!$G$54="CONTINUO",APOYOS!$G$73="CONTINUO"),AO15&gt;0,AN20&gt;0,ABS(AO15-AN20)&gt;0.5*MIN(AO15,AN20))," F80013","")&amp;IF(OR(AND(APOYOS!$G$54="CONTINUO",AO15&gt;0,AN22&gt;0,ABS(AO15-AN22)&gt;0.5*MIN(AO15,AN22)),AND(APOYOS!$G$56="CONTINUO",AQ15&gt;0,AP22&gt;0,ABS(AQ15-AP22)&gt;0.5*MIN(AQ15,AP22)))," F80015","")&amp;IF(AND(OR(APOYOS!$G$54="CONTINUO",APOYOS!$G$85="CONTINUO"),AO15&gt;0,AN23&gt;0,ABS(AO15-AN23)&gt;0.5*MIN(AO15,AN23))," F80016","")&amp;IF(AND(OR(APOYOS!$G$54="CONTINUO",APOYOS!$G$89="CONTINUO"),AO15&gt;0,AN24&gt;0,ABS(AO15-AN24)&gt;0.5*MIN(AO15,AN24))," F80017","")&amp;IF(AND(APOYOS!$G$54="CONTINUO",AO15&gt;0,AN25&gt;0,ABS(AO15-AN25)&gt;0.5*MIN(AO15,AN25))," F80018","")&amp;IF(AND(OR(APOYOS!$G$55="CONTINUO",APOYOS!$G$52="CONTINUO"),AP15&gt;0,AQ14&gt;0,ABS(AP15-AQ14)&gt;0.5*MIN(AP15,AQ14))," F80007","")&amp;IF(AND(OR(APOYOS!$G$55="CONTINUO",APOYOS!$G$64="CONTINUO"),AP15&gt;0,AQ17&gt;0,ABS(AP15-AQ17)&gt;0.5*MIN(AP15,AQ17))," F80010","")&amp;IF(AND(OR(APOYOS!$G$55="CONTINUO",APOYOS!$G$80="CONTINUO"),AP15&gt;0,AQ21&gt;0,ABS(AP15-AQ21)&gt;0.5*MIN(AP15,AQ21))," F80014","")&amp;IF(AND(OR(APOYOS!$G$56="CONTINUO",APOYOS!$G$59="CONTINUO"),AQ15&gt;0,AP16&gt;0,ABS(AQ15-AP16)&gt;0.5*MIN(AQ15,AP16))," F80009","")&amp;IF(AND(APOYOS!$G$56="CONTINUO",AQ15&gt;0,AP18&gt;0,ABS(AQ15-AP18)&gt;0.5*MIN(AQ15,AP18))," F80011",""))</f>
        <v> F80004 F80006 F80013 F80015 F80016 F80017 F80018 F80007 F80010 F80014 F80009 F80011</v>
      </c>
      <c r="AZ15" s="52" t="str">
        <f>IF(D15&lt;&gt;"PERIMETRAL","—",IF(AY15="","CUMPLE","FUERA con"&amp;AY15)&amp;IF(AND(D11="PERIMETRAL",APOYOS!$G$53&lt;&gt;APOYOS!$G$38)," · continuidad asimétrica con F80004 (cada uno con su momento; revisar APOYOS)","")&amp;IF(AND(D13="PERIMETRAL",APOYOS!$G$53&lt;&gt;APOYOS!$G$48)," · continuidad asimétrica con F80006 (cada uno con su momento; revisar APOYOS)","")&amp;IF(AND(D20="PERIMETRAL",APOYOS!$G$54&lt;&gt;APOYOS!$G$73)," · continuidad asimétrica con F80013 (cada uno con su momento; revisar APOYOS)","")&amp;IF(AND(D23="PERIMETRAL",APOYOS!$G$54&lt;&gt;APOYOS!$G$85)," · continuidad asimétrica con F80016 (cada uno con su momento; revisar APOYOS)","")&amp;IF(AND(D24="PERIMETRAL",APOYOS!$G$54&lt;&gt;APOYOS!$G$89)," · continuidad asimétrica con F80017 (cada uno con su momento; revisar APOYOS)","")&amp;IF(AND(D14="PERIMETRAL",APOYOS!$G$55&lt;&gt;APOYOS!$G$52)," · continuidad asimétrica con F80007 (cada uno con su momento; revisar APOYOS)","")&amp;IF(AND(D17="PERIMETRAL",APOYOS!$G$55&lt;&gt;APOYOS!$G$64)," · continuidad asimétrica con F80010 (cada uno con su momento; revisar APOYOS)","")&amp;IF(AND(D21="PERIMETRAL",APOYOS!$G$55&lt;&gt;APOYOS!$G$80)," · continuidad asimétrica con F80014 (cada uno con su momento; revisar APOYOS)","")&amp;IF(AND(D16="PERIMETRAL",APOYOS!$G$56&lt;&gt;APOYOS!$G$59)," · continuidad asimétrica con F80009 (cada uno con su momento; revisar APOYOS)",""))</f>
        <v>FUERA con F80004 F80006 F80013 F80015 F80016 F80017 F80018 F80007 F80010 F80014 F80009 F80011 · continuidad asimétrica con F80004 (cada uno con su momento; revisar APOYOS) · continuidad asimétrica con F80006 (cada uno con su momento; revisar APOYOS)</v>
      </c>
      <c r="BA15" s="61" t="n">
        <v>0</v>
      </c>
      <c r="BB15" s="36">
        <f>IF(D15="PERIMETRAL",AL15*Y15*J15^2*1E-4*DATOS!$C$16/100/1000+AV15,0)</f>
        <v>0.124376989405031</v>
      </c>
      <c r="BC15" s="36">
        <f>IF(D15="PERIMETRAL",MAX(MAX(AH15,AJ15)*Y15*J15^2*1E-4*DATOS!$C$16/100/1000,AT15),IF(D15="VOLADO",(Y15*(N15/100)^2/2+DATOS!$C$55*BA15*N15/100)*DATOS!$C$16/100/1000,0))</f>
        <v>0.430141731103844</v>
      </c>
      <c r="BD15" s="36">
        <f>IF(D15="PERIMETRAL",AM15*Y15*J15^2*1E-4*DATOS!$C$16/100/1000+AW15,0)</f>
        <v>0.0763668992390391</v>
      </c>
      <c r="BE15" s="36">
        <f>IF(D15="PERIMETRAL",MAX(MAX(AI15,AK15)*Y15*J15^2*1E-4*DATOS!$C$16/100/1000,AU15),0)</f>
        <v>0.276811551045891</v>
      </c>
      <c r="BF15" s="43">
        <f>(DATOS!$C$15-R15-IF(DATOS!$C$25=0,0,INDEX(TABLAS!$C$52:$C$58,MATCH(DATOS!$C$25,TABLAS!$B$52:$B$58,0)))-INDEX(TABLAS!$C$52:$C$58,MATCH(DATOS!$C$26,TABLAS!$B$52:$B$58,0))/2)</f>
        <v>20.365</v>
      </c>
      <c r="BG15" s="43">
        <f>IF(D15="HUECO",0,IF(IF(BB15&lt;=0,0,IF((1-2*BB15*1E5/(DATOS!$C$58*P15*BF15^2*DATOS!$C$48))&lt;0,-1,IF((1-SQRT((1-2*BB15*1E5/(DATOS!$C$58*P15*BF15^2*DATOS!$C$48))))*DATOS!$C$48*P15*BF15/DATOS!$C$40&gt;DATOS!$C$82*P15*BF15,-1,(1-SQRT((1-2*BB15*1E5/(DATOS!$C$58*P15*BF15^2*DATOS!$C$48))))*DATOS!$C$48*P15*BF15/DATOS!$C$40)))&lt;0,-1,MAX(IF(BB15&lt;=0,0,IF((1-2*BB15*1E5/(DATOS!$C$58*P15*BF15^2*DATOS!$C$48))&lt;0,-1,IF((1-SQRT((1-2*BB15*1E5/(DATOS!$C$58*P15*BF15^2*DATOS!$C$48))))*DATOS!$C$48*P15*BF15/DATOS!$C$40&gt;DATOS!$C$82*P15*BF15,-1,(1-SQRT((1-2*BB15*1E5/(DATOS!$C$58*P15*BF15^2*DATOS!$C$48))))*DATOS!$C$48*P15*BF15/DATOS!$C$40))),MIN(DATOS!$C$83*DATOS!$C$13*BF15,4/3*IF(BB15&lt;=0,0,IF((1-2*BB15*1E5/(DATOS!$C$58*P15*BF15^2*DATOS!$C$48))&lt;0,-1,IF((1-SQRT((1-2*BB15*1E5/(DATOS!$C$58*P15*BF15^2*DATOS!$C$48))))*DATOS!$C$48*P15*BF15/DATOS!$C$40&gt;DATOS!$C$82*P15*BF15,-1,(1-SQRT((1-2*BB15*1E5/(DATOS!$C$58*P15*BF15^2*DATOS!$C$48))))*DATOS!$C$48*P15*BF15/DATOS!$C$40)))))))</f>
        <v>0.215729992896717</v>
      </c>
      <c r="BH15" s="41">
        <f>IF(AND(BG15&gt;=0,IF(MAX(DATOS!$C$29,CEILING(BG15/INDEX(TABLAS!$D$52:$D$58,MIN(MATCH(DATOS!$C$26,TABLAS!$B$52:$B$58,0)+0,7)),1))*INDEX(TABLAS!$D$52:$D$58,MIN(MATCH(DATOS!$C$26,TABLAS!$B$52:$B$58,0)+0,7))&gt;=4/3*IF(BB15&lt;=0,0,IF((1-2*BB15*1E5/(DATOS!$C$58*P15*BF15^2*DATOS!$C$48))&lt;0,-1,IF((1-SQRT((1-2*BB15*1E5/(DATOS!$C$58*P15*BF15^2*DATOS!$C$48))))*DATOS!$C$48*P15*BF15/DATOS!$C$40&gt;DATOS!$C$82*P15*BF15,-1,(1-SQRT((1-2*BB15*1E5/(DATOS!$C$58*P15*BF15^2*DATOS!$C$48))))*DATOS!$C$48*P15*BF15/DATOS!$C$40)))-0.0001,MAX(DATOS!$C$29,CEILING(BG15/INDEX(TABLAS!$D$52:$D$58,MIN(MATCH(DATOS!$C$26,TABLAS!$B$52:$B$58,0)+0,7)),1)),MAX(MAX(DATOS!$C$29,CEILING(BG15/INDEX(TABLAS!$D$52:$D$58,MIN(MATCH(DATOS!$C$26,TABLAS!$B$52:$B$58,0)+0,7)),1)),2))&lt;=MIN(DATOS!$C$28,INT(((DATOS!$C$13-2*R15-2*IF(DATOS!$C$25=0,0,INDEX(TABLAS!$C$52:$C$58,MATCH(DATOS!$C$25,TABLAS!$B$52:$B$58,0))))+MAX(DATOS!$C$32,INDEX(TABLAS!$C$52:$C$58,MIN(MATCH(DATOS!$C$26,TABLAS!$B$52:$B$58,0)+0,7))))/(INDEX(TABLAS!$C$52:$C$58,MIN(MATCH(DATOS!$C$26,TABLAS!$B$52:$B$58,0)+0,7))+MAX(DATOS!$C$32,INDEX(TABLAS!$C$52:$C$58,MIN(MATCH(DATOS!$C$26,TABLAS!$B$52:$B$58,0)+0,7))))))),INDEX(TABLAS!$B$52:$B$58,MIN(MATCH(DATOS!$C$26,TABLAS!$B$52:$B$58,0)+0,7)),IF(AND(BG15&gt;=0,IF(MAX(DATOS!$C$29,CEILING(BG15/INDEX(TABLAS!$D$52:$D$58,MIN(MATCH(DATOS!$C$26,TABLAS!$B$52:$B$58,0)+1,7)),1))*INDEX(TABLAS!$D$52:$D$58,MIN(MATCH(DATOS!$C$26,TABLAS!$B$52:$B$58,0)+1,7))&gt;=4/3*IF(BB15&lt;=0,0,IF((1-2*BB15*1E5/(DATOS!$C$58*P15*BF15^2*DATOS!$C$48))&lt;0,-1,IF((1-SQRT((1-2*BB15*1E5/(DATOS!$C$58*P15*BF15^2*DATOS!$C$48))))*DATOS!$C$48*P15*BF15/DATOS!$C$40&gt;DATOS!$C$82*P15*BF15,-1,(1-SQRT((1-2*BB15*1E5/(DATOS!$C$58*P15*BF15^2*DATOS!$C$48))))*DATOS!$C$48*P15*BF15/DATOS!$C$40)))-0.0001,MAX(DATOS!$C$29,CEILING(BG15/INDEX(TABLAS!$D$52:$D$58,MIN(MATCH(DATOS!$C$26,TABLAS!$B$52:$B$58,0)+1,7)),1)),MAX(MAX(DATOS!$C$29,CEILING(BG15/INDEX(TABLAS!$D$52:$D$58,MIN(MATCH(DATOS!$C$26,TABLAS!$B$52:$B$58,0)+1,7)),1)),2))&lt;=MIN(DATOS!$C$28,INT(((DATOS!$C$13-2*R15-2*IF(DATOS!$C$25=0,0,INDEX(TABLAS!$C$52:$C$58,MATCH(DATOS!$C$25,TABLAS!$B$52:$B$58,0))))+MAX(DATOS!$C$32,INDEX(TABLAS!$C$52:$C$58,MIN(MATCH(DATOS!$C$26,TABLAS!$B$52:$B$58,0)+1,7))))/(INDEX(TABLAS!$C$52:$C$58,MIN(MATCH(DATOS!$C$26,TABLAS!$B$52:$B$58,0)+1,7))+MAX(DATOS!$C$32,INDEX(TABLAS!$C$52:$C$58,MIN(MATCH(DATOS!$C$26,TABLAS!$B$52:$B$58,0)+1,7))))))),INDEX(TABLAS!$B$52:$B$58,MIN(MATCH(DATOS!$C$26,TABLAS!$B$52:$B$58,0)+1,7)),IF(AND(BG15&gt;=0,IF(MAX(DATOS!$C$29,CEILING(BG15/INDEX(TABLAS!$D$52:$D$58,MIN(MATCH(DATOS!$C$26,TABLAS!$B$52:$B$58,0)+2,7)),1))*INDEX(TABLAS!$D$52:$D$58,MIN(MATCH(DATOS!$C$26,TABLAS!$B$52:$B$58,0)+2,7))&gt;=4/3*IF(BB15&lt;=0,0,IF((1-2*BB15*1E5/(DATOS!$C$58*P15*BF15^2*DATOS!$C$48))&lt;0,-1,IF((1-SQRT((1-2*BB15*1E5/(DATOS!$C$58*P15*BF15^2*DATOS!$C$48))))*DATOS!$C$48*P15*BF15/DATOS!$C$40&gt;DATOS!$C$82*P15*BF15,-1,(1-SQRT((1-2*BB15*1E5/(DATOS!$C$58*P15*BF15^2*DATOS!$C$48))))*DATOS!$C$48*P15*BF15/DATOS!$C$40)))-0.0001,MAX(DATOS!$C$29,CEILING(BG15/INDEX(TABLAS!$D$52:$D$58,MIN(MATCH(DATOS!$C$26,TABLAS!$B$52:$B$58,0)+2,7)),1)),MAX(MAX(DATOS!$C$29,CEILING(BG15/INDEX(TABLAS!$D$52:$D$58,MIN(MATCH(DATOS!$C$26,TABLAS!$B$52:$B$58,0)+2,7)),1)),2))&lt;=MIN(DATOS!$C$28,INT(((DATOS!$C$13-2*R15-2*IF(DATOS!$C$25=0,0,INDEX(TABLAS!$C$52:$C$58,MATCH(DATOS!$C$25,TABLAS!$B$52:$B$58,0))))+MAX(DATOS!$C$32,INDEX(TABLAS!$C$52:$C$58,MIN(MATCH(DATOS!$C$26,TABLAS!$B$52:$B$58,0)+2,7))))/(INDEX(TABLAS!$C$52:$C$58,MIN(MATCH(DATOS!$C$26,TABLAS!$B$52:$B$58,0)+2,7))+MAX(DATOS!$C$32,INDEX(TABLAS!$C$52:$C$58,MIN(MATCH(DATOS!$C$26,TABLAS!$B$52:$B$58,0)+2,7))))))),INDEX(TABLAS!$B$52:$B$58,MIN(MATCH(DATOS!$C$26,TABLAS!$B$52:$B$58,0)+2,7)),IF(AND(BG15&gt;=0,IF(MAX(DATOS!$C$29,CEILING(BG15/INDEX(TABLAS!$D$52:$D$58,MIN(MATCH(DATOS!$C$26,TABLAS!$B$52:$B$58,0)+3,7)),1))*INDEX(TABLAS!$D$52:$D$58,MIN(MATCH(DATOS!$C$26,TABLAS!$B$52:$B$58,0)+3,7))&gt;=4/3*IF(BB15&lt;=0,0,IF((1-2*BB15*1E5/(DATOS!$C$58*P15*BF15^2*DATOS!$C$48))&lt;0,-1,IF((1-SQRT((1-2*BB15*1E5/(DATOS!$C$58*P15*BF15^2*DATOS!$C$48))))*DATOS!$C$48*P15*BF15/DATOS!$C$40&gt;DATOS!$C$82*P15*BF15,-1,(1-SQRT((1-2*BB15*1E5/(DATOS!$C$58*P15*BF15^2*DATOS!$C$48))))*DATOS!$C$48*P15*BF15/DATOS!$C$40)))-0.0001,MAX(DATOS!$C$29,CEILING(BG15/INDEX(TABLAS!$D$52:$D$58,MIN(MATCH(DATOS!$C$26,TABLAS!$B$52:$B$58,0)+3,7)),1)),MAX(MAX(DATOS!$C$29,CEILING(BG15/INDEX(TABLAS!$D$52:$D$58,MIN(MATCH(DATOS!$C$26,TABLAS!$B$52:$B$58,0)+3,7)),1)),2))&lt;=MIN(DATOS!$C$28,INT(((DATOS!$C$13-2*R15-2*IF(DATOS!$C$25=0,0,INDEX(TABLAS!$C$52:$C$58,MATCH(DATOS!$C$25,TABLAS!$B$52:$B$58,0))))+MAX(DATOS!$C$32,INDEX(TABLAS!$C$52:$C$58,MIN(MATCH(DATOS!$C$26,TABLAS!$B$52:$B$58,0)+3,7))))/(INDEX(TABLAS!$C$52:$C$58,MIN(MATCH(DATOS!$C$26,TABLAS!$B$52:$B$58,0)+3,7))+MAX(DATOS!$C$32,INDEX(TABLAS!$C$52:$C$58,MIN(MATCH(DATOS!$C$26,TABLAS!$B$52:$B$58,0)+3,7))))))),INDEX(TABLAS!$B$52:$B$58,MIN(MATCH(DATOS!$C$26,TABLAS!$B$52:$B$58,0)+3,7)),IF(AND(BG15&gt;=0,IF(MAX(DATOS!$C$29,CEILING(BG15/INDEX(TABLAS!$D$52:$D$58,MIN(MATCH(DATOS!$C$26,TABLAS!$B$52:$B$58,0)+4,7)),1))*INDEX(TABLAS!$D$52:$D$58,MIN(MATCH(DATOS!$C$26,TABLAS!$B$52:$B$58,0)+4,7))&gt;=4/3*IF(BB15&lt;=0,0,IF((1-2*BB15*1E5/(DATOS!$C$58*P15*BF15^2*DATOS!$C$48))&lt;0,-1,IF((1-SQRT((1-2*BB15*1E5/(DATOS!$C$58*P15*BF15^2*DATOS!$C$48))))*DATOS!$C$48*P15*BF15/DATOS!$C$40&gt;DATOS!$C$82*P15*BF15,-1,(1-SQRT((1-2*BB15*1E5/(DATOS!$C$58*P15*BF15^2*DATOS!$C$48))))*DATOS!$C$48*P15*BF15/DATOS!$C$40)))-0.0001,MAX(DATOS!$C$29,CEILING(BG15/INDEX(TABLAS!$D$52:$D$58,MIN(MATCH(DATOS!$C$26,TABLAS!$B$52:$B$58,0)+4,7)),1)),MAX(MAX(DATOS!$C$29,CEILING(BG15/INDEX(TABLAS!$D$52:$D$58,MIN(MATCH(DATOS!$C$26,TABLAS!$B$52:$B$58,0)+4,7)),1)),2))&lt;=MIN(DATOS!$C$28,INT(((DATOS!$C$13-2*R15-2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15" s="56">
        <f>IF(D15="HUECO",0,IF(BG15&lt;0,0,IF(MAX(DATOS!$C$29,CEILING(MAX(BG15,0)/INDEX(TABLAS!$D$52:$D$58,MATCH(BH15,TABLAS!$B$52:$B$58,0)),1))*INDEX(TABLAS!$D$52:$D$58,MATCH(BH15,TABLAS!$B$52:$B$58,0))&gt;=4/3*IF(BB15&lt;=0,0,IF((1-2*BB15*1E5/(DATOS!$C$58*P15*BF15^2*DATOS!$C$48))&lt;0,-1,IF((1-SQRT((1-2*BB15*1E5/(DATOS!$C$58*P15*BF15^2*DATOS!$C$48))))*DATOS!$C$48*P15*BF15/DATOS!$C$40&gt;DATOS!$C$82*P15*BF15,-1,(1-SQRT((1-2*BB15*1E5/(DATOS!$C$58*P15*BF15^2*DATOS!$C$48))))*DATOS!$C$48*P15*BF15/DATOS!$C$40)))-0.0001,MAX(DATOS!$C$29,CEILING(MAX(BG15,0)/INDEX(TABLAS!$D$52:$D$58,MATCH(BH15,TABLAS!$B$52:$B$58,0)),1)),MAX(MAX(DATOS!$C$29,CEILING(MAX(BG15,0)/INDEX(TABLAS!$D$52:$D$58,MATCH(BH15,TABLAS!$B$52:$B$58,0)),1)),2))))</f>
        <v>1</v>
      </c>
      <c r="BJ15" s="43">
        <f>DATOS!$C$15-R15-IF(DATOS!$C$25=0,0,INDEX(TABLAS!$C$52:$C$58,MATCH(DATOS!$C$25,TABLAS!$B$52:$B$58,0)))-INDEX(TABLAS!$C$52:$C$58,MATCH(BH15,TABLAS!$B$52:$B$58,0))/2</f>
        <v>20.365</v>
      </c>
      <c r="BK15" s="36">
        <f>IF(BI15=0,0,DATOS!$C$58*BI15*INDEX(TABLAS!$D$52:$D$58,MATCH(BH15,TABLAS!$B$52:$B$58,0))*DATOS!$C$40*(BJ15-BI15*INDEX(TABLAS!$D$52:$D$58,MATCH(BH15,TABLAS!$B$52:$B$58,0))*DATOS!$C$40/(DATOS!$C$48*P15)/2)/1E5)</f>
        <v>0.966907160355037</v>
      </c>
      <c r="BL15" s="62">
        <f>IF(BG15&lt;0,9.99,IF(BK15&gt;0,BB15/BK15,0))</f>
        <v>0.128633848734103</v>
      </c>
      <c r="BM15" s="63">
        <f>IF(BI15=0,"—",0.003*(BJ15-(BI15*INDEX(TABLAS!$D$52:$D$58,MATCH(BH15,TABLAS!$B$52:$B$58,0))*DATOS!$C$40/(DATOS!$C$48*P15)/DATOS!$C$49))/(BI15*INDEX(TABLAS!$D$52:$D$58,MATCH(BH15,TABLAS!$B$52:$B$58,0))*DATOS!$C$40/(DATOS!$C$48*P15)/DATOS!$C$49))</f>
        <v>0.113114611088653</v>
      </c>
      <c r="BN15" s="43">
        <f>((DATOS!$C$15-S15-2*DATOS!$C$35-IF(DATOS!$C$25=0,0,INDEX(TABLAS!$C$52:$C$58,MATCH(DATOS!$C$25,TABLAS!$B$52:$B$58,0)))-INDEX(TABLAS!$C$52:$C$58,MATCH(DATOS!$C$27,TABLAS!$B$52:$B$58,0))/2)-IF(AND((DATOS!$C$15-S15-2*DATOS!$C$35-IF(DATOS!$C$25=0,0,INDEX(TABLAS!$C$52:$C$58,MATCH(DATOS!$C$25,TABLAS!$B$52:$B$58,0)))-INDEX(TABLAS!$C$52:$C$58,MATCH(DATOS!$C$27,TABLAS!$B$52:$B$58,0))/2)&lt;=20,DATOS!$C$18&lt;&gt;"SÍ"),2,0))</f>
        <v>19.389</v>
      </c>
      <c r="BO15" s="43">
        <f>IF(D15="HUECO",0,IF(IF(BC15&lt;=0,0,IF((1-2*BC15*1E5/(DATOS!$C$58*DATOS!$C$19*BN15^2*DATOS!$C$48))&lt;0,-1,IF((1-SQRT((1-2*BC15*1E5/(DATOS!$C$58*DATOS!$C$19*BN15^2*DATOS!$C$48))))*DATOS!$C$48*DATOS!$C$19*BN15/DATOS!$C$40&gt;DATOS!$C$82*DATOS!$C$19*BN15,-1,(1-SQRT((1-2*BC15*1E5/(DATOS!$C$58*DATOS!$C$19*BN15^2*DATOS!$C$48))))*DATOS!$C$48*DATOS!$C$19*BN15/DATOS!$C$40)))&lt;0,-1,MAX(IF(BC15&lt;=0,0,IF((1-2*BC15*1E5/(DATOS!$C$58*DATOS!$C$19*BN15^2*DATOS!$C$48))&lt;0,-1,IF((1-SQRT((1-2*BC15*1E5/(DATOS!$C$58*DATOS!$C$19*BN15^2*DATOS!$C$48))))*DATOS!$C$48*DATOS!$C$19*BN15/DATOS!$C$40&gt;DATOS!$C$82*DATOS!$C$19*BN15,-1,(1-SQRT((1-2*BC15*1E5/(DATOS!$C$58*DATOS!$C$19*BN15^2*DATOS!$C$48))))*DATOS!$C$48*DATOS!$C$19*BN15/DATOS!$C$40))),MIN(DATOS!$C$83*IF(D15="VOLADO",2*DATOS!$C$13,DATOS!$C$13)*BN15,4/3*IF(BC15&lt;=0,0,IF((1-2*BC15*1E5/(DATOS!$C$58*DATOS!$C$19*BN15^2*DATOS!$C$48))&lt;0,-1,IF((1-SQRT((1-2*BC15*1E5/(DATOS!$C$58*DATOS!$C$19*BN15^2*DATOS!$C$48))))*DATOS!$C$48*DATOS!$C$19*BN15/DATOS!$C$40&gt;DATOS!$C$82*DATOS!$C$19*BN15,-1,(1-SQRT((1-2*BC15*1E5/(DATOS!$C$58*DATOS!$C$19*BN15^2*DATOS!$C$48))))*DATOS!$C$48*DATOS!$C$19*BN15/DATOS!$C$40)))))))</f>
        <v>0.6463</v>
      </c>
      <c r="BP15" s="41">
        <f>IF(AND(BO15&gt;=0,IF(MAX(DATOS!$C$29,CEILING(BO15/INDEX(TABLAS!$D$52:$D$58,MIN(MATCH(DATOS!$C$27,TABLAS!$B$52:$B$58,0)+0,7)),1))*INDEX(TABLAS!$D$52:$D$58,MIN(MATCH(DATOS!$C$27,TABLAS!$B$52:$B$58,0)+0,7))&gt;=4/3*IF(BC15&lt;=0,0,IF((1-2*BC15*1E5/(DATOS!$C$58*DATOS!$C$19*BN15^2*DATOS!$C$48))&lt;0,-1,IF((1-SQRT((1-2*BC15*1E5/(DATOS!$C$58*DATOS!$C$19*BN15^2*DATOS!$C$48))))*DATOS!$C$48*DATOS!$C$19*BN15/DATOS!$C$40&gt;DATOS!$C$82*DATOS!$C$19*BN15,-1,(1-SQRT((1-2*BC15*1E5/(DATOS!$C$58*DATOS!$C$19*BN15^2*DATOS!$C$48))))*DATOS!$C$48*DATOS!$C$19*BN15/DATOS!$C$40)))-0.0001,MAX(DATOS!$C$29,CEILING(BO15/INDEX(TABLAS!$D$52:$D$58,MIN(MATCH(DATOS!$C$27,TABLAS!$B$52:$B$58,0)+0,7)),1)),MAX(MAX(DATOS!$C$29,CEILING(BO15/INDEX(TABLAS!$D$52:$D$58,MIN(MATCH(DATOS!$C$27,TABLAS!$B$52:$B$58,0)+0,7)),1)),2))&lt;=MIN(DATOS!$C$28,INT(((DATOS!$C$13-2*S15-2*IF(DATOS!$C$25=0,0,INDEX(TABLAS!$C$52:$C$58,MATCH(DATOS!$C$25,TABLAS!$B$52:$B$58,0))))+MAX(DATOS!$C$32,INDEX(TABLAS!$C$52:$C$58,MIN(MATCH(DATOS!$C$27,TABLAS!$B$52:$B$58,0)+0,7))))/(INDEX(TABLAS!$C$52:$C$58,MIN(MATCH(DATOS!$C$27,TABLAS!$B$52:$B$58,0)+0,7))+MAX(DATOS!$C$32,INDEX(TABLAS!$C$52:$C$58,MIN(MATCH(DATOS!$C$27,TABLAS!$B$52:$B$58,0)+0,7))))))),INDEX(TABLAS!$B$52:$B$58,MIN(MATCH(DATOS!$C$27,TABLAS!$B$52:$B$58,0)+0,7)),IF(AND(BO15&gt;=0,IF(MAX(DATOS!$C$29,CEILING(BO15/INDEX(TABLAS!$D$52:$D$58,MIN(MATCH(DATOS!$C$27,TABLAS!$B$52:$B$58,0)+1,7)),1))*INDEX(TABLAS!$D$52:$D$58,MIN(MATCH(DATOS!$C$27,TABLAS!$B$52:$B$58,0)+1,7))&gt;=4/3*IF(BC15&lt;=0,0,IF((1-2*BC15*1E5/(DATOS!$C$58*DATOS!$C$19*BN15^2*DATOS!$C$48))&lt;0,-1,IF((1-SQRT((1-2*BC15*1E5/(DATOS!$C$58*DATOS!$C$19*BN15^2*DATOS!$C$48))))*DATOS!$C$48*DATOS!$C$19*BN15/DATOS!$C$40&gt;DATOS!$C$82*DATOS!$C$19*BN15,-1,(1-SQRT((1-2*BC15*1E5/(DATOS!$C$58*DATOS!$C$19*BN15^2*DATOS!$C$48))))*DATOS!$C$48*DATOS!$C$19*BN15/DATOS!$C$40)))-0.0001,MAX(DATOS!$C$29,CEILING(BO15/INDEX(TABLAS!$D$52:$D$58,MIN(MATCH(DATOS!$C$27,TABLAS!$B$52:$B$58,0)+1,7)),1)),MAX(MAX(DATOS!$C$29,CEILING(BO15/INDEX(TABLAS!$D$52:$D$58,MIN(MATCH(DATOS!$C$27,TABLAS!$B$52:$B$58,0)+1,7)),1)),2))&lt;=MIN(DATOS!$C$28,INT(((DATOS!$C$13-2*S15-2*IF(DATOS!$C$25=0,0,INDEX(TABLAS!$C$52:$C$58,MATCH(DATOS!$C$25,TABLAS!$B$52:$B$58,0))))+MAX(DATOS!$C$32,INDEX(TABLAS!$C$52:$C$58,MIN(MATCH(DATOS!$C$27,TABLAS!$B$52:$B$58,0)+1,7))))/(INDEX(TABLAS!$C$52:$C$58,MIN(MATCH(DATOS!$C$27,TABLAS!$B$52:$B$58,0)+1,7))+MAX(DATOS!$C$32,INDEX(TABLAS!$C$52:$C$58,MIN(MATCH(DATOS!$C$27,TABLAS!$B$52:$B$58,0)+1,7))))))),INDEX(TABLAS!$B$52:$B$58,MIN(MATCH(DATOS!$C$27,TABLAS!$B$52:$B$58,0)+1,7)),IF(AND(BO15&gt;=0,IF(MAX(DATOS!$C$29,CEILING(BO15/INDEX(TABLAS!$D$52:$D$58,MIN(MATCH(DATOS!$C$27,TABLAS!$B$52:$B$58,0)+2,7)),1))*INDEX(TABLAS!$D$52:$D$58,MIN(MATCH(DATOS!$C$27,TABLAS!$B$52:$B$58,0)+2,7))&gt;=4/3*IF(BC15&lt;=0,0,IF((1-2*BC15*1E5/(DATOS!$C$58*DATOS!$C$19*BN15^2*DATOS!$C$48))&lt;0,-1,IF((1-SQRT((1-2*BC15*1E5/(DATOS!$C$58*DATOS!$C$19*BN15^2*DATOS!$C$48))))*DATOS!$C$48*DATOS!$C$19*BN15/DATOS!$C$40&gt;DATOS!$C$82*DATOS!$C$19*BN15,-1,(1-SQRT((1-2*BC15*1E5/(DATOS!$C$58*DATOS!$C$19*BN15^2*DATOS!$C$48))))*DATOS!$C$48*DATOS!$C$19*BN15/DATOS!$C$40)))-0.0001,MAX(DATOS!$C$29,CEILING(BO15/INDEX(TABLAS!$D$52:$D$58,MIN(MATCH(DATOS!$C$27,TABLAS!$B$52:$B$58,0)+2,7)),1)),MAX(MAX(DATOS!$C$29,CEILING(BO15/INDEX(TABLAS!$D$52:$D$58,MIN(MATCH(DATOS!$C$27,TABLAS!$B$52:$B$58,0)+2,7)),1)),2))&lt;=MIN(DATOS!$C$28,INT(((DATOS!$C$13-2*S15-2*IF(DATOS!$C$25=0,0,INDEX(TABLAS!$C$52:$C$58,MATCH(DATOS!$C$25,TABLAS!$B$52:$B$58,0))))+MAX(DATOS!$C$32,INDEX(TABLAS!$C$52:$C$58,MIN(MATCH(DATOS!$C$27,TABLAS!$B$52:$B$58,0)+2,7))))/(INDEX(TABLAS!$C$52:$C$58,MIN(MATCH(DATOS!$C$27,TABLAS!$B$52:$B$58,0)+2,7))+MAX(DATOS!$C$32,INDEX(TABLAS!$C$52:$C$58,MIN(MATCH(DATOS!$C$27,TABLAS!$B$52:$B$58,0)+2,7))))))),INDEX(TABLAS!$B$52:$B$58,MIN(MATCH(DATOS!$C$27,TABLAS!$B$52:$B$58,0)+2,7)),IF(AND(BO15&gt;=0,IF(MAX(DATOS!$C$29,CEILING(BO15/INDEX(TABLAS!$D$52:$D$58,MIN(MATCH(DATOS!$C$27,TABLAS!$B$52:$B$58,0)+3,7)),1))*INDEX(TABLAS!$D$52:$D$58,MIN(MATCH(DATOS!$C$27,TABLAS!$B$52:$B$58,0)+3,7))&gt;=4/3*IF(BC15&lt;=0,0,IF((1-2*BC15*1E5/(DATOS!$C$58*DATOS!$C$19*BN15^2*DATOS!$C$48))&lt;0,-1,IF((1-SQRT((1-2*BC15*1E5/(DATOS!$C$58*DATOS!$C$19*BN15^2*DATOS!$C$48))))*DATOS!$C$48*DATOS!$C$19*BN15/DATOS!$C$40&gt;DATOS!$C$82*DATOS!$C$19*BN15,-1,(1-SQRT((1-2*BC15*1E5/(DATOS!$C$58*DATOS!$C$19*BN15^2*DATOS!$C$48))))*DATOS!$C$48*DATOS!$C$19*BN15/DATOS!$C$40)))-0.0001,MAX(DATOS!$C$29,CEILING(BO15/INDEX(TABLAS!$D$52:$D$58,MIN(MATCH(DATOS!$C$27,TABLAS!$B$52:$B$58,0)+3,7)),1)),MAX(MAX(DATOS!$C$29,CEILING(BO15/INDEX(TABLAS!$D$52:$D$58,MIN(MATCH(DATOS!$C$27,TABLAS!$B$52:$B$58,0)+3,7)),1)),2))&lt;=MIN(DATOS!$C$28,INT(((DATOS!$C$13-2*S15-2*IF(DATOS!$C$25=0,0,INDEX(TABLAS!$C$52:$C$58,MATCH(DATOS!$C$25,TABLAS!$B$52:$B$58,0))))+MAX(DATOS!$C$32,INDEX(TABLAS!$C$52:$C$58,MIN(MATCH(DATOS!$C$27,TABLAS!$B$52:$B$58,0)+3,7))))/(INDEX(TABLAS!$C$52:$C$58,MIN(MATCH(DATOS!$C$27,TABLAS!$B$52:$B$58,0)+3,7))+MAX(DATOS!$C$32,INDEX(TABLAS!$C$52:$C$58,MIN(MATCH(DATOS!$C$27,TABLAS!$B$52:$B$58,0)+3,7))))))),INDEX(TABLAS!$B$52:$B$58,MIN(MATCH(DATOS!$C$27,TABLAS!$B$52:$B$58,0)+3,7)),IF(AND(BO15&gt;=0,IF(MAX(DATOS!$C$29,CEILING(BO15/INDEX(TABLAS!$D$52:$D$58,MIN(MATCH(DATOS!$C$27,TABLAS!$B$52:$B$58,0)+4,7)),1))*INDEX(TABLAS!$D$52:$D$58,MIN(MATCH(DATOS!$C$27,TABLAS!$B$52:$B$58,0)+4,7))&gt;=4/3*IF(BC15&lt;=0,0,IF((1-2*BC15*1E5/(DATOS!$C$58*DATOS!$C$19*BN15^2*DATOS!$C$48))&lt;0,-1,IF((1-SQRT((1-2*BC15*1E5/(DATOS!$C$58*DATOS!$C$19*BN15^2*DATOS!$C$48))))*DATOS!$C$48*DATOS!$C$19*BN15/DATOS!$C$40&gt;DATOS!$C$82*DATOS!$C$19*BN15,-1,(1-SQRT((1-2*BC15*1E5/(DATOS!$C$58*DATOS!$C$19*BN15^2*DATOS!$C$48))))*DATOS!$C$48*DATOS!$C$19*BN15/DATOS!$C$40)))-0.0001,MAX(DATOS!$C$29,CEILING(BO15/INDEX(TABLAS!$D$52:$D$58,MIN(MATCH(DATOS!$C$27,TABLAS!$B$52:$B$58,0)+4,7)),1)),MAX(MAX(DATOS!$C$29,CEILING(BO15/INDEX(TABLAS!$D$52:$D$58,MIN(MATCH(DATOS!$C$27,TABLAS!$B$52:$B$58,0)+4,7)),1)),2))&lt;=MIN(DATOS!$C$28,INT(((DATOS!$C$13-2*S15-2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15" s="56">
        <f>IF(D15="HUECO",0,IF(BO15&lt;0,0,IF(MAX(DATOS!$C$29,CEILING(MAX(BO15,0)/INDEX(TABLAS!$D$52:$D$58,MATCH(BP15,TABLAS!$B$52:$B$58,0)),1))*INDEX(TABLAS!$D$52:$D$58,MATCH(BP15,TABLAS!$B$52:$B$58,0))&gt;=4/3*IF(BC15&lt;=0,0,IF((1-2*BC15*1E5/(DATOS!$C$58*DATOS!$C$19*BN15^2*DATOS!$C$48))&lt;0,-1,IF((1-SQRT((1-2*BC15*1E5/(DATOS!$C$58*DATOS!$C$19*BN15^2*DATOS!$C$48))))*DATOS!$C$48*DATOS!$C$19*BN15/DATOS!$C$40&gt;DATOS!$C$82*DATOS!$C$19*BN15,-1,(1-SQRT((1-2*BC15*1E5/(DATOS!$C$58*DATOS!$C$19*BN15^2*DATOS!$C$48))))*DATOS!$C$48*DATOS!$C$19*BN15/DATOS!$C$40)))-0.0001,MAX(DATOS!$C$29,CEILING(MAX(BO15,0)/INDEX(TABLAS!$D$52:$D$58,MATCH(BP15,TABLAS!$B$52:$B$58,0)),1)),MAX(MAX(DATOS!$C$29,CEILING(MAX(BO15,0)/INDEX(TABLAS!$D$52:$D$58,MATCH(BP15,TABLAS!$B$52:$B$58,0)),1)),2))))</f>
        <v>1</v>
      </c>
      <c r="BR15" s="43">
        <f>((DATOS!$C$15-S15-2*DATOS!$C$35-IF(DATOS!$C$25=0,0,INDEX(TABLAS!$C$52:$C$58,MATCH(DATOS!$C$25,TABLAS!$B$52:$B$58,0)))-INDEX(TABLAS!$C$52:$C$58,MATCH(BP15,TABLAS!$B$52:$B$58,0))/2)-IF(AND((DATOS!$C$15-S15-2*DATOS!$C$35-IF(DATOS!$C$25=0,0,INDEX(TABLAS!$C$52:$C$58,MATCH(DATOS!$C$25,TABLAS!$B$52:$B$58,0)))-INDEX(TABLAS!$C$52:$C$58,MATCH(BP15,TABLAS!$B$52:$B$58,0))/2)&lt;=20,DATOS!$C$18&lt;&gt;"SÍ"),2,0))</f>
        <v>19.389</v>
      </c>
      <c r="BS15" s="36">
        <f>IF(BQ15=0,0,DATOS!$C$58*BQ15*INDEX(TABLAS!$D$52:$D$58,MATCH(BP15,TABLAS!$B$52:$B$58,0))*DATOS!$C$40*(BR15-BQ15*INDEX(TABLAS!$D$52:$D$58,MATCH(BP15,TABLAS!$B$52:$B$58,0))*DATOS!$C$40/(DATOS!$C$48*DATOS!$C$19)/2)/1E5)</f>
        <v>0.870537980117647</v>
      </c>
      <c r="BT15" s="62">
        <f>IF(BO15&lt;0,9.99,IF(BS15&gt;0,BC15/BS15,0))</f>
        <v>0.494110240940565</v>
      </c>
      <c r="BU15" s="63">
        <f>IF(BQ15=0,"—",0.003*(BR15-(BQ15*INDEX(TABLAS!$D$52:$D$58,MATCH(BP15,TABLAS!$B$52:$B$58,0))*DATOS!$C$40/(DATOS!$C$48*DATOS!$C$19)/DATOS!$C$49))/(BQ15*INDEX(TABLAS!$D$52:$D$58,MATCH(BP15,TABLAS!$B$52:$B$58,0))*DATOS!$C$40/(DATOS!$C$48*DATOS!$C$19)/DATOS!$C$49))</f>
        <v>0.0166970648200225</v>
      </c>
      <c r="BV15" s="43">
        <f>(DATOS!$C$15-R15-IF(DATOS!$C$25=0,0,INDEX(TABLAS!$C$52:$C$58,MATCH(DATOS!$C$25,TABLAS!$B$52:$B$58,0)))-INDEX(TABLAS!$C$52:$C$58,MATCH(DATOS!$C$26,TABLAS!$B$52:$B$58,0))-INDEX(TABLAS!$C$52:$C$58,MATCH(DATOS!$C$26,TABLAS!$B$52:$B$58,0))/2)</f>
        <v>19.095</v>
      </c>
      <c r="BW15" s="43">
        <f>IF(D15="HUECO",0,IF(IF(BD15&lt;=0,0,IF((1-2*BD15*1E5/(DATOS!$C$58*Q15*BV15^2*DATOS!$C$48))&lt;0,-1,IF((1-SQRT((1-2*BD15*1E5/(DATOS!$C$58*Q15*BV15^2*DATOS!$C$48))))*DATOS!$C$48*Q15*BV15/DATOS!$C$40&gt;DATOS!$C$82*Q15*BV15,-1,(1-SQRT((1-2*BD15*1E5/(DATOS!$C$58*Q15*BV15^2*DATOS!$C$48))))*DATOS!$C$48*Q15*BV15/DATOS!$C$40)))&lt;0,-1,MAX(IF(BD15&lt;=0,0,IF((1-2*BD15*1E5/(DATOS!$C$58*Q15*BV15^2*DATOS!$C$48))&lt;0,-1,IF((1-SQRT((1-2*BD15*1E5/(DATOS!$C$58*Q15*BV15^2*DATOS!$C$48))))*DATOS!$C$48*Q15*BV15/DATOS!$C$40&gt;DATOS!$C$82*Q15*BV15,-1,(1-SQRT((1-2*BD15*1E5/(DATOS!$C$58*Q15*BV15^2*DATOS!$C$48))))*DATOS!$C$48*Q15*BV15/DATOS!$C$40))),MIN(DATOS!$C$83*DATOS!$C$13*BV15,4/3*IF(BD15&lt;=0,0,IF((1-2*BD15*1E5/(DATOS!$C$58*Q15*BV15^2*DATOS!$C$48))&lt;0,-1,IF((1-SQRT((1-2*BD15*1E5/(DATOS!$C$58*Q15*BV15^2*DATOS!$C$48))))*DATOS!$C$48*Q15*BV15/DATOS!$C$40&gt;DATOS!$C$82*Q15*BV15,-1,(1-SQRT((1-2*BD15*1E5/(DATOS!$C$58*Q15*BV15^2*DATOS!$C$48))))*DATOS!$C$48*Q15*BV15/DATOS!$C$40)))))))</f>
        <v>0.141179796029797</v>
      </c>
      <c r="BX15" s="41">
        <f>IF(AND(BW15&gt;=0,IF(MAX(DATOS!$C$29,CEILING(BW15/INDEX(TABLAS!$D$52:$D$58,MIN(MATCH(DATOS!$C$26,TABLAS!$B$52:$B$58,0)+0,7)),1))*INDEX(TABLAS!$D$52:$D$58,MIN(MATCH(DATOS!$C$26,TABLAS!$B$52:$B$58,0)+0,7))&gt;=4/3*IF(BD15&lt;=0,0,IF((1-2*BD15*1E5/(DATOS!$C$58*Q15*BV15^2*DATOS!$C$48))&lt;0,-1,IF((1-SQRT((1-2*BD15*1E5/(DATOS!$C$58*Q15*BV15^2*DATOS!$C$48))))*DATOS!$C$48*Q15*BV15/DATOS!$C$40&gt;DATOS!$C$82*Q15*BV15,-1,(1-SQRT((1-2*BD15*1E5/(DATOS!$C$58*Q15*BV15^2*DATOS!$C$48))))*DATOS!$C$48*Q15*BV15/DATOS!$C$40)))-0.0001,MAX(DATOS!$C$29,CEILING(BW15/INDEX(TABLAS!$D$52:$D$58,MIN(MATCH(DATOS!$C$26,TABLAS!$B$52:$B$58,0)+0,7)),1)),MAX(MAX(DATOS!$C$29,CEILING(BW15/INDEX(TABLAS!$D$52:$D$58,MIN(MATCH(DATOS!$C$26,TABLAS!$B$52:$B$58,0)+0,7)),1)),2))&lt;=MIN(DATOS!$C$28,INT(((DATOS!$C$13-2*R15-2*IF(DATOS!$C$25=0,0,INDEX(TABLAS!$C$52:$C$58,MATCH(DATOS!$C$25,TABLAS!$B$52:$B$58,0))))+MAX(DATOS!$C$32,INDEX(TABLAS!$C$52:$C$58,MIN(MATCH(DATOS!$C$26,TABLAS!$B$52:$B$58,0)+0,7))))/(INDEX(TABLAS!$C$52:$C$58,MIN(MATCH(DATOS!$C$26,TABLAS!$B$52:$B$58,0)+0,7))+MAX(DATOS!$C$32,INDEX(TABLAS!$C$52:$C$58,MIN(MATCH(DATOS!$C$26,TABLAS!$B$52:$B$58,0)+0,7))))))),INDEX(TABLAS!$B$52:$B$58,MIN(MATCH(DATOS!$C$26,TABLAS!$B$52:$B$58,0)+0,7)),IF(AND(BW15&gt;=0,IF(MAX(DATOS!$C$29,CEILING(BW15/INDEX(TABLAS!$D$52:$D$58,MIN(MATCH(DATOS!$C$26,TABLAS!$B$52:$B$58,0)+1,7)),1))*INDEX(TABLAS!$D$52:$D$58,MIN(MATCH(DATOS!$C$26,TABLAS!$B$52:$B$58,0)+1,7))&gt;=4/3*IF(BD15&lt;=0,0,IF((1-2*BD15*1E5/(DATOS!$C$58*Q15*BV15^2*DATOS!$C$48))&lt;0,-1,IF((1-SQRT((1-2*BD15*1E5/(DATOS!$C$58*Q15*BV15^2*DATOS!$C$48))))*DATOS!$C$48*Q15*BV15/DATOS!$C$40&gt;DATOS!$C$82*Q15*BV15,-1,(1-SQRT((1-2*BD15*1E5/(DATOS!$C$58*Q15*BV15^2*DATOS!$C$48))))*DATOS!$C$48*Q15*BV15/DATOS!$C$40)))-0.0001,MAX(DATOS!$C$29,CEILING(BW15/INDEX(TABLAS!$D$52:$D$58,MIN(MATCH(DATOS!$C$26,TABLAS!$B$52:$B$58,0)+1,7)),1)),MAX(MAX(DATOS!$C$29,CEILING(BW15/INDEX(TABLAS!$D$52:$D$58,MIN(MATCH(DATOS!$C$26,TABLAS!$B$52:$B$58,0)+1,7)),1)),2))&lt;=MIN(DATOS!$C$28,INT(((DATOS!$C$13-2*R15-2*IF(DATOS!$C$25=0,0,INDEX(TABLAS!$C$52:$C$58,MATCH(DATOS!$C$25,TABLAS!$B$52:$B$58,0))))+MAX(DATOS!$C$32,INDEX(TABLAS!$C$52:$C$58,MIN(MATCH(DATOS!$C$26,TABLAS!$B$52:$B$58,0)+1,7))))/(INDEX(TABLAS!$C$52:$C$58,MIN(MATCH(DATOS!$C$26,TABLAS!$B$52:$B$58,0)+1,7))+MAX(DATOS!$C$32,INDEX(TABLAS!$C$52:$C$58,MIN(MATCH(DATOS!$C$26,TABLAS!$B$52:$B$58,0)+1,7))))))),INDEX(TABLAS!$B$52:$B$58,MIN(MATCH(DATOS!$C$26,TABLAS!$B$52:$B$58,0)+1,7)),IF(AND(BW15&gt;=0,IF(MAX(DATOS!$C$29,CEILING(BW15/INDEX(TABLAS!$D$52:$D$58,MIN(MATCH(DATOS!$C$26,TABLAS!$B$52:$B$58,0)+2,7)),1))*INDEX(TABLAS!$D$52:$D$58,MIN(MATCH(DATOS!$C$26,TABLAS!$B$52:$B$58,0)+2,7))&gt;=4/3*IF(BD15&lt;=0,0,IF((1-2*BD15*1E5/(DATOS!$C$58*Q15*BV15^2*DATOS!$C$48))&lt;0,-1,IF((1-SQRT((1-2*BD15*1E5/(DATOS!$C$58*Q15*BV15^2*DATOS!$C$48))))*DATOS!$C$48*Q15*BV15/DATOS!$C$40&gt;DATOS!$C$82*Q15*BV15,-1,(1-SQRT((1-2*BD15*1E5/(DATOS!$C$58*Q15*BV15^2*DATOS!$C$48))))*DATOS!$C$48*Q15*BV15/DATOS!$C$40)))-0.0001,MAX(DATOS!$C$29,CEILING(BW15/INDEX(TABLAS!$D$52:$D$58,MIN(MATCH(DATOS!$C$26,TABLAS!$B$52:$B$58,0)+2,7)),1)),MAX(MAX(DATOS!$C$29,CEILING(BW15/INDEX(TABLAS!$D$52:$D$58,MIN(MATCH(DATOS!$C$26,TABLAS!$B$52:$B$58,0)+2,7)),1)),2))&lt;=MIN(DATOS!$C$28,INT(((DATOS!$C$13-2*R15-2*IF(DATOS!$C$25=0,0,INDEX(TABLAS!$C$52:$C$58,MATCH(DATOS!$C$25,TABLAS!$B$52:$B$58,0))))+MAX(DATOS!$C$32,INDEX(TABLAS!$C$52:$C$58,MIN(MATCH(DATOS!$C$26,TABLAS!$B$52:$B$58,0)+2,7))))/(INDEX(TABLAS!$C$52:$C$58,MIN(MATCH(DATOS!$C$26,TABLAS!$B$52:$B$58,0)+2,7))+MAX(DATOS!$C$32,INDEX(TABLAS!$C$52:$C$58,MIN(MATCH(DATOS!$C$26,TABLAS!$B$52:$B$58,0)+2,7))))))),INDEX(TABLAS!$B$52:$B$58,MIN(MATCH(DATOS!$C$26,TABLAS!$B$52:$B$58,0)+2,7)),IF(AND(BW15&gt;=0,IF(MAX(DATOS!$C$29,CEILING(BW15/INDEX(TABLAS!$D$52:$D$58,MIN(MATCH(DATOS!$C$26,TABLAS!$B$52:$B$58,0)+3,7)),1))*INDEX(TABLAS!$D$52:$D$58,MIN(MATCH(DATOS!$C$26,TABLAS!$B$52:$B$58,0)+3,7))&gt;=4/3*IF(BD15&lt;=0,0,IF((1-2*BD15*1E5/(DATOS!$C$58*Q15*BV15^2*DATOS!$C$48))&lt;0,-1,IF((1-SQRT((1-2*BD15*1E5/(DATOS!$C$58*Q15*BV15^2*DATOS!$C$48))))*DATOS!$C$48*Q15*BV15/DATOS!$C$40&gt;DATOS!$C$82*Q15*BV15,-1,(1-SQRT((1-2*BD15*1E5/(DATOS!$C$58*Q15*BV15^2*DATOS!$C$48))))*DATOS!$C$48*Q15*BV15/DATOS!$C$40)))-0.0001,MAX(DATOS!$C$29,CEILING(BW15/INDEX(TABLAS!$D$52:$D$58,MIN(MATCH(DATOS!$C$26,TABLAS!$B$52:$B$58,0)+3,7)),1)),MAX(MAX(DATOS!$C$29,CEILING(BW15/INDEX(TABLAS!$D$52:$D$58,MIN(MATCH(DATOS!$C$26,TABLAS!$B$52:$B$58,0)+3,7)),1)),2))&lt;=MIN(DATOS!$C$28,INT(((DATOS!$C$13-2*R15-2*IF(DATOS!$C$25=0,0,INDEX(TABLAS!$C$52:$C$58,MATCH(DATOS!$C$25,TABLAS!$B$52:$B$58,0))))+MAX(DATOS!$C$32,INDEX(TABLAS!$C$52:$C$58,MIN(MATCH(DATOS!$C$26,TABLAS!$B$52:$B$58,0)+3,7))))/(INDEX(TABLAS!$C$52:$C$58,MIN(MATCH(DATOS!$C$26,TABLAS!$B$52:$B$58,0)+3,7))+MAX(DATOS!$C$32,INDEX(TABLAS!$C$52:$C$58,MIN(MATCH(DATOS!$C$26,TABLAS!$B$52:$B$58,0)+3,7))))))),INDEX(TABLAS!$B$52:$B$58,MIN(MATCH(DATOS!$C$26,TABLAS!$B$52:$B$58,0)+3,7)),IF(AND(BW15&gt;=0,IF(MAX(DATOS!$C$29,CEILING(BW15/INDEX(TABLAS!$D$52:$D$58,MIN(MATCH(DATOS!$C$26,TABLAS!$B$52:$B$58,0)+4,7)),1))*INDEX(TABLAS!$D$52:$D$58,MIN(MATCH(DATOS!$C$26,TABLAS!$B$52:$B$58,0)+4,7))&gt;=4/3*IF(BD15&lt;=0,0,IF((1-2*BD15*1E5/(DATOS!$C$58*Q15*BV15^2*DATOS!$C$48))&lt;0,-1,IF((1-SQRT((1-2*BD15*1E5/(DATOS!$C$58*Q15*BV15^2*DATOS!$C$48))))*DATOS!$C$48*Q15*BV15/DATOS!$C$40&gt;DATOS!$C$82*Q15*BV15,-1,(1-SQRT((1-2*BD15*1E5/(DATOS!$C$58*Q15*BV15^2*DATOS!$C$48))))*DATOS!$C$48*Q15*BV15/DATOS!$C$40)))-0.0001,MAX(DATOS!$C$29,CEILING(BW15/INDEX(TABLAS!$D$52:$D$58,MIN(MATCH(DATOS!$C$26,TABLAS!$B$52:$B$58,0)+4,7)),1)),MAX(MAX(DATOS!$C$29,CEILING(BW15/INDEX(TABLAS!$D$52:$D$58,MIN(MATCH(DATOS!$C$26,TABLAS!$B$52:$B$58,0)+4,7)),1)),2))&lt;=MIN(DATOS!$C$28,INT(((DATOS!$C$13-2*R15-2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15" s="56">
        <f>IF(D15="HUECO",0,IF(BW15&lt;0,0,IF(MAX(DATOS!$C$29,CEILING(MAX(BW15,0)/INDEX(TABLAS!$D$52:$D$58,MATCH(BX15,TABLAS!$B$52:$B$58,0)),1))*INDEX(TABLAS!$D$52:$D$58,MATCH(BX15,TABLAS!$B$52:$B$58,0))&gt;=4/3*IF(BD15&lt;=0,0,IF((1-2*BD15*1E5/(DATOS!$C$58*Q15*BV15^2*DATOS!$C$48))&lt;0,-1,IF((1-SQRT((1-2*BD15*1E5/(DATOS!$C$58*Q15*BV15^2*DATOS!$C$48))))*DATOS!$C$48*Q15*BV15/DATOS!$C$40&gt;DATOS!$C$82*Q15*BV15,-1,(1-SQRT((1-2*BD15*1E5/(DATOS!$C$58*Q15*BV15^2*DATOS!$C$48))))*DATOS!$C$48*Q15*BV15/DATOS!$C$40)))-0.0001,MAX(DATOS!$C$29,CEILING(MAX(BW15,0)/INDEX(TABLAS!$D$52:$D$58,MATCH(BX15,TABLAS!$B$52:$B$58,0)),1)),MAX(MAX(DATOS!$C$29,CEILING(MAX(BW15,0)/INDEX(TABLAS!$D$52:$D$58,MATCH(BX15,TABLAS!$B$52:$B$58,0)),1)),2))))</f>
        <v>1</v>
      </c>
      <c r="BZ15" s="43">
        <f>DATOS!$C$15-R15-IF(DATOS!$C$25=0,0,INDEX(TABLAS!$C$52:$C$58,MATCH(DATOS!$C$25,TABLAS!$B$52:$B$58,0)))-INDEX(TABLAS!$C$52:$C$58,MATCH(BH15,TABLAS!$B$52:$B$58,0))-INDEX(TABLAS!$C$52:$C$58,MATCH(BX15,TABLAS!$B$52:$B$58,0))/2</f>
        <v>19.095</v>
      </c>
      <c r="CA15" s="36">
        <f>IF(BY15=0,0,DATOS!$C$58*BY15*INDEX(TABLAS!$D$52:$D$58,MATCH(BX15,TABLAS!$B$52:$B$58,0))*DATOS!$C$40*(BZ15-BY15*INDEX(TABLAS!$D$52:$D$58,MATCH(BX15,TABLAS!$B$52:$B$58,0))*DATOS!$C$40/(DATOS!$C$48*Q15)/2)/1E5)</f>
        <v>0.908067376588235</v>
      </c>
      <c r="CB15" s="62">
        <f>IF(BW15&lt;0,9.99,IF(CA15&gt;0,BD15/CA15,0))</f>
        <v>0.0840982742117249</v>
      </c>
      <c r="CC15" s="63">
        <f>IF(BY15=0,"—",0.003*(BZ15-(BY15*INDEX(TABLAS!$D$52:$D$58,MATCH(BX15,TABLAS!$B$52:$B$58,0))*DATOS!$C$40/(DATOS!$C$48*Q15)/DATOS!$C$49))/(BY15*INDEX(TABLAS!$D$52:$D$58,MATCH(BX15,TABLAS!$B$52:$B$58,0))*DATOS!$C$40/(DATOS!$C$48*Q15)/DATOS!$C$49))</f>
        <v>0.13278875492126</v>
      </c>
      <c r="CD15" s="43">
        <f>((DATOS!$C$15-S15-2*DATOS!$C$35-IF(DATOS!$C$25=0,0,INDEX(TABLAS!$C$52:$C$58,MATCH(DATOS!$C$25,TABLAS!$B$52:$B$58,0)))-INDEX(TABLAS!$C$52:$C$58,MATCH(DATOS!$C$27,TABLAS!$B$52:$B$58,0))-INDEX(TABLAS!$C$52:$C$58,MATCH(DATOS!$C$27,TABLAS!$B$52:$B$58,0))/2)-IF(AND((DATOS!$C$15-S15-2*DATOS!$C$35-IF(DATOS!$C$25=0,0,INDEX(TABLAS!$C$52:$C$58,MATCH(DATOS!$C$25,TABLAS!$B$52:$B$58,0)))-INDEX(TABLAS!$C$52:$C$58,MATCH(DATOS!$C$27,TABLAS!$B$52:$B$58,0))-INDEX(TABLAS!$C$52:$C$58,MATCH(DATOS!$C$27,TABLAS!$B$52:$B$58,0))/2)&lt;=20,DATOS!$C$18&lt;&gt;"SÍ"),2,0))</f>
        <v>18.119</v>
      </c>
      <c r="CE15" s="43">
        <f>IF(D15="HUECO",0,IF(IF(BE15&lt;=0,0,IF((1-2*BE15*1E5/(DATOS!$C$58*DATOS!$C$19*CD15^2*DATOS!$C$48))&lt;0,-1,IF((1-SQRT((1-2*BE15*1E5/(DATOS!$C$58*DATOS!$C$19*CD15^2*DATOS!$C$48))))*DATOS!$C$48*DATOS!$C$19*CD15/DATOS!$C$40&gt;DATOS!$C$82*DATOS!$C$19*CD15,-1,(1-SQRT((1-2*BE15*1E5/(DATOS!$C$58*DATOS!$C$19*CD15^2*DATOS!$C$48))))*DATOS!$C$48*DATOS!$C$19*CD15/DATOS!$C$40)))&lt;0,-1,MAX(IF(BE15&lt;=0,0,IF((1-2*BE15*1E5/(DATOS!$C$58*DATOS!$C$19*CD15^2*DATOS!$C$48))&lt;0,-1,IF((1-SQRT((1-2*BE15*1E5/(DATOS!$C$58*DATOS!$C$19*CD15^2*DATOS!$C$48))))*DATOS!$C$48*DATOS!$C$19*CD15/DATOS!$C$40&gt;DATOS!$C$82*DATOS!$C$19*CD15,-1,(1-SQRT((1-2*BE15*1E5/(DATOS!$C$58*DATOS!$C$19*CD15^2*DATOS!$C$48))))*DATOS!$C$48*DATOS!$C$19*CD15/DATOS!$C$40))),MIN(DATOS!$C$83*DATOS!$C$13*CD15,4/3*IF(BE15&lt;=0,0,IF((1-2*BE15*1E5/(DATOS!$C$58*DATOS!$C$19*CD15^2*DATOS!$C$48))&lt;0,-1,IF((1-SQRT((1-2*BE15*1E5/(DATOS!$C$58*DATOS!$C$19*CD15^2*DATOS!$C$48))))*DATOS!$C$48*DATOS!$C$19*CD15/DATOS!$C$40&gt;DATOS!$C$82*DATOS!$C$19*CD15,-1,(1-SQRT((1-2*BE15*1E5/(DATOS!$C$58*DATOS!$C$19*CD15^2*DATOS!$C$48))))*DATOS!$C$48*DATOS!$C$19*CD15/DATOS!$C$40)))))))</f>
        <v>0.551319546672939</v>
      </c>
      <c r="CF15" s="41">
        <f>IF(AND(CE15&gt;=0,IF(MAX(DATOS!$C$29,CEILING(CE15/INDEX(TABLAS!$D$52:$D$58,MIN(MATCH(DATOS!$C$27,TABLAS!$B$52:$B$58,0)+0,7)),1))*INDEX(TABLAS!$D$52:$D$58,MIN(MATCH(DATOS!$C$27,TABLAS!$B$52:$B$58,0)+0,7))&gt;=4/3*IF(BE15&lt;=0,0,IF((1-2*BE15*1E5/(DATOS!$C$58*DATOS!$C$19*CD15^2*DATOS!$C$48))&lt;0,-1,IF((1-SQRT((1-2*BE15*1E5/(DATOS!$C$58*DATOS!$C$19*CD15^2*DATOS!$C$48))))*DATOS!$C$48*DATOS!$C$19*CD15/DATOS!$C$40&gt;DATOS!$C$82*DATOS!$C$19*CD15,-1,(1-SQRT((1-2*BE15*1E5/(DATOS!$C$58*DATOS!$C$19*CD15^2*DATOS!$C$48))))*DATOS!$C$48*DATOS!$C$19*CD15/DATOS!$C$40)))-0.0001,MAX(DATOS!$C$29,CEILING(CE15/INDEX(TABLAS!$D$52:$D$58,MIN(MATCH(DATOS!$C$27,TABLAS!$B$52:$B$58,0)+0,7)),1)),MAX(MAX(DATOS!$C$29,CEILING(CE15/INDEX(TABLAS!$D$52:$D$58,MIN(MATCH(DATOS!$C$27,TABLAS!$B$52:$B$58,0)+0,7)),1)),2))&lt;=MIN(DATOS!$C$28,INT(((DATOS!$C$13-2*S15-2*IF(DATOS!$C$25=0,0,INDEX(TABLAS!$C$52:$C$58,MATCH(DATOS!$C$25,TABLAS!$B$52:$B$58,0))))+MAX(DATOS!$C$32,INDEX(TABLAS!$C$52:$C$58,MIN(MATCH(DATOS!$C$27,TABLAS!$B$52:$B$58,0)+0,7))))/(INDEX(TABLAS!$C$52:$C$58,MIN(MATCH(DATOS!$C$27,TABLAS!$B$52:$B$58,0)+0,7))+MAX(DATOS!$C$32,INDEX(TABLAS!$C$52:$C$58,MIN(MATCH(DATOS!$C$27,TABLAS!$B$52:$B$58,0)+0,7))))))),INDEX(TABLAS!$B$52:$B$58,MIN(MATCH(DATOS!$C$27,TABLAS!$B$52:$B$58,0)+0,7)),IF(AND(CE15&gt;=0,IF(MAX(DATOS!$C$29,CEILING(CE15/INDEX(TABLAS!$D$52:$D$58,MIN(MATCH(DATOS!$C$27,TABLAS!$B$52:$B$58,0)+1,7)),1))*INDEX(TABLAS!$D$52:$D$58,MIN(MATCH(DATOS!$C$27,TABLAS!$B$52:$B$58,0)+1,7))&gt;=4/3*IF(BE15&lt;=0,0,IF((1-2*BE15*1E5/(DATOS!$C$58*DATOS!$C$19*CD15^2*DATOS!$C$48))&lt;0,-1,IF((1-SQRT((1-2*BE15*1E5/(DATOS!$C$58*DATOS!$C$19*CD15^2*DATOS!$C$48))))*DATOS!$C$48*DATOS!$C$19*CD15/DATOS!$C$40&gt;DATOS!$C$82*DATOS!$C$19*CD15,-1,(1-SQRT((1-2*BE15*1E5/(DATOS!$C$58*DATOS!$C$19*CD15^2*DATOS!$C$48))))*DATOS!$C$48*DATOS!$C$19*CD15/DATOS!$C$40)))-0.0001,MAX(DATOS!$C$29,CEILING(CE15/INDEX(TABLAS!$D$52:$D$58,MIN(MATCH(DATOS!$C$27,TABLAS!$B$52:$B$58,0)+1,7)),1)),MAX(MAX(DATOS!$C$29,CEILING(CE15/INDEX(TABLAS!$D$52:$D$58,MIN(MATCH(DATOS!$C$27,TABLAS!$B$52:$B$58,0)+1,7)),1)),2))&lt;=MIN(DATOS!$C$28,INT(((DATOS!$C$13-2*S15-2*IF(DATOS!$C$25=0,0,INDEX(TABLAS!$C$52:$C$58,MATCH(DATOS!$C$25,TABLAS!$B$52:$B$58,0))))+MAX(DATOS!$C$32,INDEX(TABLAS!$C$52:$C$58,MIN(MATCH(DATOS!$C$27,TABLAS!$B$52:$B$58,0)+1,7))))/(INDEX(TABLAS!$C$52:$C$58,MIN(MATCH(DATOS!$C$27,TABLAS!$B$52:$B$58,0)+1,7))+MAX(DATOS!$C$32,INDEX(TABLAS!$C$52:$C$58,MIN(MATCH(DATOS!$C$27,TABLAS!$B$52:$B$58,0)+1,7))))))),INDEX(TABLAS!$B$52:$B$58,MIN(MATCH(DATOS!$C$27,TABLAS!$B$52:$B$58,0)+1,7)),IF(AND(CE15&gt;=0,IF(MAX(DATOS!$C$29,CEILING(CE15/INDEX(TABLAS!$D$52:$D$58,MIN(MATCH(DATOS!$C$27,TABLAS!$B$52:$B$58,0)+2,7)),1))*INDEX(TABLAS!$D$52:$D$58,MIN(MATCH(DATOS!$C$27,TABLAS!$B$52:$B$58,0)+2,7))&gt;=4/3*IF(BE15&lt;=0,0,IF((1-2*BE15*1E5/(DATOS!$C$58*DATOS!$C$19*CD15^2*DATOS!$C$48))&lt;0,-1,IF((1-SQRT((1-2*BE15*1E5/(DATOS!$C$58*DATOS!$C$19*CD15^2*DATOS!$C$48))))*DATOS!$C$48*DATOS!$C$19*CD15/DATOS!$C$40&gt;DATOS!$C$82*DATOS!$C$19*CD15,-1,(1-SQRT((1-2*BE15*1E5/(DATOS!$C$58*DATOS!$C$19*CD15^2*DATOS!$C$48))))*DATOS!$C$48*DATOS!$C$19*CD15/DATOS!$C$40)))-0.0001,MAX(DATOS!$C$29,CEILING(CE15/INDEX(TABLAS!$D$52:$D$58,MIN(MATCH(DATOS!$C$27,TABLAS!$B$52:$B$58,0)+2,7)),1)),MAX(MAX(DATOS!$C$29,CEILING(CE15/INDEX(TABLAS!$D$52:$D$58,MIN(MATCH(DATOS!$C$27,TABLAS!$B$52:$B$58,0)+2,7)),1)),2))&lt;=MIN(DATOS!$C$28,INT(((DATOS!$C$13-2*S15-2*IF(DATOS!$C$25=0,0,INDEX(TABLAS!$C$52:$C$58,MATCH(DATOS!$C$25,TABLAS!$B$52:$B$58,0))))+MAX(DATOS!$C$32,INDEX(TABLAS!$C$52:$C$58,MIN(MATCH(DATOS!$C$27,TABLAS!$B$52:$B$58,0)+2,7))))/(INDEX(TABLAS!$C$52:$C$58,MIN(MATCH(DATOS!$C$27,TABLAS!$B$52:$B$58,0)+2,7))+MAX(DATOS!$C$32,INDEX(TABLAS!$C$52:$C$58,MIN(MATCH(DATOS!$C$27,TABLAS!$B$52:$B$58,0)+2,7))))))),INDEX(TABLAS!$B$52:$B$58,MIN(MATCH(DATOS!$C$27,TABLAS!$B$52:$B$58,0)+2,7)),IF(AND(CE15&gt;=0,IF(MAX(DATOS!$C$29,CEILING(CE15/INDEX(TABLAS!$D$52:$D$58,MIN(MATCH(DATOS!$C$27,TABLAS!$B$52:$B$58,0)+3,7)),1))*INDEX(TABLAS!$D$52:$D$58,MIN(MATCH(DATOS!$C$27,TABLAS!$B$52:$B$58,0)+3,7))&gt;=4/3*IF(BE15&lt;=0,0,IF((1-2*BE15*1E5/(DATOS!$C$58*DATOS!$C$19*CD15^2*DATOS!$C$48))&lt;0,-1,IF((1-SQRT((1-2*BE15*1E5/(DATOS!$C$58*DATOS!$C$19*CD15^2*DATOS!$C$48))))*DATOS!$C$48*DATOS!$C$19*CD15/DATOS!$C$40&gt;DATOS!$C$82*DATOS!$C$19*CD15,-1,(1-SQRT((1-2*BE15*1E5/(DATOS!$C$58*DATOS!$C$19*CD15^2*DATOS!$C$48))))*DATOS!$C$48*DATOS!$C$19*CD15/DATOS!$C$40)))-0.0001,MAX(DATOS!$C$29,CEILING(CE15/INDEX(TABLAS!$D$52:$D$58,MIN(MATCH(DATOS!$C$27,TABLAS!$B$52:$B$58,0)+3,7)),1)),MAX(MAX(DATOS!$C$29,CEILING(CE15/INDEX(TABLAS!$D$52:$D$58,MIN(MATCH(DATOS!$C$27,TABLAS!$B$52:$B$58,0)+3,7)),1)),2))&lt;=MIN(DATOS!$C$28,INT(((DATOS!$C$13-2*S15-2*IF(DATOS!$C$25=0,0,INDEX(TABLAS!$C$52:$C$58,MATCH(DATOS!$C$25,TABLAS!$B$52:$B$58,0))))+MAX(DATOS!$C$32,INDEX(TABLAS!$C$52:$C$58,MIN(MATCH(DATOS!$C$27,TABLAS!$B$52:$B$58,0)+3,7))))/(INDEX(TABLAS!$C$52:$C$58,MIN(MATCH(DATOS!$C$27,TABLAS!$B$52:$B$58,0)+3,7))+MAX(DATOS!$C$32,INDEX(TABLAS!$C$52:$C$58,MIN(MATCH(DATOS!$C$27,TABLAS!$B$52:$B$58,0)+3,7))))))),INDEX(TABLAS!$B$52:$B$58,MIN(MATCH(DATOS!$C$27,TABLAS!$B$52:$B$58,0)+3,7)),IF(AND(CE15&gt;=0,IF(MAX(DATOS!$C$29,CEILING(CE15/INDEX(TABLAS!$D$52:$D$58,MIN(MATCH(DATOS!$C$27,TABLAS!$B$52:$B$58,0)+4,7)),1))*INDEX(TABLAS!$D$52:$D$58,MIN(MATCH(DATOS!$C$27,TABLAS!$B$52:$B$58,0)+4,7))&gt;=4/3*IF(BE15&lt;=0,0,IF((1-2*BE15*1E5/(DATOS!$C$58*DATOS!$C$19*CD15^2*DATOS!$C$48))&lt;0,-1,IF((1-SQRT((1-2*BE15*1E5/(DATOS!$C$58*DATOS!$C$19*CD15^2*DATOS!$C$48))))*DATOS!$C$48*DATOS!$C$19*CD15/DATOS!$C$40&gt;DATOS!$C$82*DATOS!$C$19*CD15,-1,(1-SQRT((1-2*BE15*1E5/(DATOS!$C$58*DATOS!$C$19*CD15^2*DATOS!$C$48))))*DATOS!$C$48*DATOS!$C$19*CD15/DATOS!$C$40)))-0.0001,MAX(DATOS!$C$29,CEILING(CE15/INDEX(TABLAS!$D$52:$D$58,MIN(MATCH(DATOS!$C$27,TABLAS!$B$52:$B$58,0)+4,7)),1)),MAX(MAX(DATOS!$C$29,CEILING(CE15/INDEX(TABLAS!$D$52:$D$58,MIN(MATCH(DATOS!$C$27,TABLAS!$B$52:$B$58,0)+4,7)),1)),2))&lt;=MIN(DATOS!$C$28,INT(((DATOS!$C$13-2*S15-2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15" s="56">
        <f>IF(D15="HUECO",0,IF(CE15&lt;0,0,IF(MAX(DATOS!$C$29,CEILING(MAX(CE15,0)/INDEX(TABLAS!$D$52:$D$58,MATCH(CF15,TABLAS!$B$52:$B$58,0)),1))*INDEX(TABLAS!$D$52:$D$58,MATCH(CF15,TABLAS!$B$52:$B$58,0))&gt;=4/3*IF(BE15&lt;=0,0,IF((1-2*BE15*1E5/(DATOS!$C$58*DATOS!$C$19*CD15^2*DATOS!$C$48))&lt;0,-1,IF((1-SQRT((1-2*BE15*1E5/(DATOS!$C$58*DATOS!$C$19*CD15^2*DATOS!$C$48))))*DATOS!$C$48*DATOS!$C$19*CD15/DATOS!$C$40&gt;DATOS!$C$82*DATOS!$C$19*CD15,-1,(1-SQRT((1-2*BE15*1E5/(DATOS!$C$58*DATOS!$C$19*CD15^2*DATOS!$C$48))))*DATOS!$C$48*DATOS!$C$19*CD15/DATOS!$C$40)))-0.0001,MAX(DATOS!$C$29,CEILING(MAX(CE15,0)/INDEX(TABLAS!$D$52:$D$58,MATCH(CF15,TABLAS!$B$52:$B$58,0)),1)),MAX(MAX(DATOS!$C$29,CEILING(MAX(CE15,0)/INDEX(TABLAS!$D$52:$D$58,MATCH(CF15,TABLAS!$B$52:$B$58,0)),1)),2))))</f>
        <v>1</v>
      </c>
      <c r="CH15" s="43">
        <f>((DATOS!$C$15-S15-2*DATOS!$C$35-IF(DATOS!$C$25=0,0,INDEX(TABLAS!$C$52:$C$58,MATCH(DATOS!$C$25,TABLAS!$B$52:$B$58,0)))-INDEX(TABLAS!$C$52:$C$58,MATCH(BP15,TABLAS!$B$52:$B$58,0))-INDEX(TABLAS!$C$52:$C$58,MATCH(CF15,TABLAS!$B$52:$B$58,0))/2)-IF(AND((DATOS!$C$15-S15-2*DATOS!$C$35-IF(DATOS!$C$25=0,0,INDEX(TABLAS!$C$52:$C$58,MATCH(DATOS!$C$25,TABLAS!$B$52:$B$58,0)))-INDEX(TABLAS!$C$52:$C$58,MATCH(BP15,TABLAS!$B$52:$B$58,0))-INDEX(TABLAS!$C$52:$C$58,MATCH(CF15,TABLAS!$B$52:$B$58,0))/2)&lt;=20,DATOS!$C$18&lt;&gt;"SÍ"),2,0))</f>
        <v>18.119</v>
      </c>
      <c r="CI15" s="36">
        <f>IF(CG15=0,0,DATOS!$C$58*CG15*INDEX(TABLAS!$D$52:$D$58,MATCH(CF15,TABLAS!$B$52:$B$58,0))*DATOS!$C$40*(CH15-CG15*INDEX(TABLAS!$D$52:$D$58,MATCH(CF15,TABLAS!$B$52:$B$58,0))*DATOS!$C$40/(DATOS!$C$48*DATOS!$C$19)/2)/1E5)</f>
        <v>0.809570360117647</v>
      </c>
      <c r="CJ15" s="62">
        <f>IF(CE15&lt;0,9.99,IF(CI15&gt;0,BE15/CI15,0))</f>
        <v>0.341924018816184</v>
      </c>
      <c r="CK15" s="63">
        <f>IF(CG15=0,"—",0.003*(CH15-(CG15*INDEX(TABLAS!$D$52:$D$58,MATCH(CF15,TABLAS!$B$52:$B$58,0))*DATOS!$C$40/(DATOS!$C$48*DATOS!$C$19)/DATOS!$C$49))/(CG15*INDEX(TABLAS!$D$52:$D$58,MATCH(CF15,TABLAS!$B$52:$B$58,0))*DATOS!$C$40/(DATOS!$C$48*DATOS!$C$19)/DATOS!$C$49))</f>
        <v>0.0154068862485939</v>
      </c>
      <c r="CL15" s="52" t="str">
        <f>IF(D15="HUECO","—",IF(AND(D15="PERIMETRAL",J15*100&gt;=6*DATOS!$C$11,DATOS!$C$11&lt;=80,DATOS!$C$13&gt;=10,DATOS!$C$15&lt;=3.5*DATOS!$C$13,DATOS!$C$14&gt;=MAX(DATOS!$C$11/13,5)),"SÍ","NO"))</f>
        <v>NO</v>
      </c>
      <c r="CM15" s="36">
        <f>IF(D15="PERIMETRAL",MAX(0,(N15/2-BR15)/100)*(0.95-0.5*L15)*Y15*IF(AND(Z15&gt;0,Z15&lt;4),DATOS!$C$63,1)*DATOS!$C$16/100/1000+AX15,IF(D15="VOLADO",(Y15*MAX(0,N15-BR15)/100+DATOS!$C$55*BA15)*DATOS!$C$16/100/1000,0))</f>
        <v>0.337998106685506</v>
      </c>
      <c r="CN15" s="36">
        <f>IF(D15="HUECO",0,DATOS!$C$59*2*MIN(1,SQRT(2/(1+0.04*BR15)))*(BQ15*INDEX(TABLAS!$D$52:$D$58,MATCH(BP15,TABLAS!$B$52:$B$58,0))/(DATOS!$C$19*BR15))^(1/3)*SQRT(DATOS!$C$39)*DATOS!$C$19*BR15*IF(CL15="SÍ",DATOS!$C$62,1)/1000)</f>
        <v>0.860398102904257</v>
      </c>
      <c r="CO15" s="51" t="str">
        <f>IF(D15="HUECO","—",IF(CM15&lt;=CN15,"CUMPLE",IF(MAX(0,CEILING((IF(D15="VOLADO",(N15-(CN15*1E5/DATOS!$C$16-DATOS!$C$55*BA15)*100/Y15),IF(CN15&lt;=AX15,N15,N15/2-(CN15-AX15)/MAX(CM15-AX15,1E-9)*(N15/2-BR15)))-IF(INT((J15*100-DATOS!$C$17+DATOS!$C$13)/DATOS!$C$16)&gt;0,(J15*100-DATOS!$C$17-(INT((J15*100-DATOS!$C$17+DATOS!$C$13)/DATOS!$C$16)*DATOS!$C$11+(INT((J15*100-DATOS!$C$17+DATOS!$C$13)/DATOS!$C$16)-1)*DATOS!$C$13))/2,J15*100/2))/DATOS!$C$16,1))&lt;=0,"CUMPLE (basta el macizo de orilla)","MACIZAR "&amp;MAX(0,CEILING((IF(D15="VOLADO",(N15-(CN15*1E5/DATOS!$C$16-DATOS!$C$55*BA15)*100/Y15),IF(CN15&lt;=AX15,N15,N15/2-(CN15-AX15)/MAX(CM15-AX15,1E-9)*(N15/2-BR15)))-IF(INT((J15*100-DATOS!$C$17+DATOS!$C$13)/DATOS!$C$16)&gt;0,(J15*100-DATOS!$C$17-(INT((J15*100-DATOS!$C$17+DATOS!$C$13)/DATOS!$C$16)*DATOS!$C$11+(INT((J15*100-DATOS!$C$17+DATOS!$C$13)/DATOS!$C$16)-1)*DATOS!$C$13))/2,J15*100/2))/DATOS!$C$16,1))&amp;" hilera(s)")))</f>
        <v>CUMPLE</v>
      </c>
      <c r="CP15" s="43">
        <f>IF(D15="PERIMETRAL",(0+(PRINCIPALES!$N$23*PRINCIPALES!$O$23^3/12/(3.425*100*IF(APOYOS!$G$54="CONTINUO",1,0.5)*DATOS!$C$77^3/12))+(PRINCIPALES!$N$26*PRINCIPALES!$O$26^3/12/(1.995*100*IF(APOYOS!$G$55="CONTINUO",1,0.5)*DATOS!$C$77^3/12))+(PRINCIPALES!$N$38*PRINCIPALES!$O$38^3/12/(1.995*100*IF(APOYOS!$G$56="CONTINUO",1,0.5)*DATOS!$C$77^3/12)))/4,0)</f>
        <v>1.52431752111513</v>
      </c>
      <c r="CQ15" s="57">
        <f>IF(D15="PERIMETRAL",IF(CP15&gt;2,MAX(9,O15*(0.8+DATOS!$C$40/14000)/(36+9*(O15/MAX(N15,1)))),IF(CP15&gt;0.2,MAX(13,O15*(0.8+DATOS!$C$40/14000)/(36+5*(O15/MAX(N15,1))*(CP15-0.2))),MAX(13,O15/IF(Z15&gt;0,30,33))))*IF(AND(CP15&gt;0.2,OR(AND((APOYOS!$G$53="DISCONTINUO"),0&lt;0.8),AND((APOYOS!$G$54="DISCONTINUO"),(PRINCIPALES!$N$23*PRINCIPALES!$O$23^3/12/(3.425*100*IF(APOYOS!$G$54="CONTINUO",1,0.5)*DATOS!$C$77^3/12))&lt;0.8),AND((APOYOS!$G$55="DISCONTINUO"),(PRINCIPALES!$N$26*PRINCIPALES!$O$26^3/12/(1.995*100*IF(APOYOS!$G$55="CONTINUO",1,0.5)*DATOS!$C$77^3/12))&lt;0.8),AND((APOYOS!$G$56="DISCONTINUO"),(PRINCIPALES!$N$38*PRINCIPALES!$O$38^3/12/(1.995*100*IF(APOYOS!$G$56="CONTINUO",1,0.5)*DATOS!$C$77^3/12))&lt;0.8))),1.1,1),IF(D15="VOLADO",MAX(25,J15*100/8),0))</f>
        <v>14.3</v>
      </c>
      <c r="CR15" s="57">
        <f>IF(D15="VOLADO",DATOS!$C$15,DATOS!$C$77)</f>
        <v>16.7232564120244</v>
      </c>
      <c r="CS15" s="52" t="str">
        <f>IF(D15="HUECO","—",IF(CR15&gt;=CQ15,"CUMPLE",IF(D15="VOLADO","NO CUMPLE","CALCULAR FLECHA")))</f>
        <v>CUMPLE</v>
      </c>
      <c r="CT15" s="52" t="str">
        <f>IF(D15="HUECO","—",IF(DATOS!$C$14&gt;=IF(IF(D15="VOLADO",J15,K15)&gt;=6,6,5),"CUMPLE","CAPA ≥ 6 cm"))</f>
        <v>CUMPLE</v>
      </c>
      <c r="CU15" s="59">
        <f>IF(D15="HUECO",0,IF(((4*((AL15*Y15*J15^2*1E-4*DATOS!$C$16/100/1000)+((MAX(AH15,AJ15)*Y15*J15^2*1E-4*DATOS!$C$16/100/1000)+(IF(AND(AH15&gt;0,AJ15&gt;0),MIN(AH15,AJ15),MAX(AH15,AJ15))*Y15*J15^2*1E-4*DATOS!$C$16/100/1000))/2)+BC15-(IF(AND(AH15&gt;0,AJ15&gt;0),MIN(AH15,AJ15),MAX(AH15,AJ15))*Y15*J15^2*1E-4*DATOS!$C$16/100/1000))^2-16*((AL15*Y15*J15^2*1E-4*DATOS!$C$16/100/1000)+((MAX(AH15,AJ15)*Y15*J15^2*1E-4*DATOS!$C$16/100/1000)+(IF(AND(AH15&gt;0,AJ15&gt;0),MIN(AH15,AJ15),MAX(AH15,AJ15))*Y15*J15^2*1E-4*DATOS!$C$16/100/1000))/2)*BC15)&lt;0,CEILING(N15,5),CEILING(MAX(N15*((4*((AL15*Y15*J15^2*1E-4*DATOS!$C$16/100/1000)+((MAX(AH15,AJ15)*Y15*J15^2*1E-4*DATOS!$C$16/100/1000)+(IF(AND(AH15&gt;0,AJ15&gt;0),MIN(AH15,AJ15),MAX(AH15,AJ15))*Y15*J15^2*1E-4*DATOS!$C$16/100/1000))/2)+BC15-(IF(AND(AH15&gt;0,AJ15&gt;0),MIN(AH15,AJ15),MAX(AH15,AJ15))*Y15*J15^2*1E-4*DATOS!$C$16/100/1000))-SQRT(MAX(0,((4*((AL15*Y15*J15^2*1E-4*DATOS!$C$16/100/1000)+((MAX(AH15,AJ15)*Y15*J15^2*1E-4*DATOS!$C$16/100/1000)+(IF(AND(AH15&gt;0,AJ15&gt;0),MIN(AH15,AJ15),MAX(AH15,AJ15))*Y15*J15^2*1E-4*DATOS!$C$16/100/1000))/2)+BC15-(IF(AND(AH15&gt;0,AJ15&gt;0),MIN(AH15,AJ15),MAX(AH15,AJ15))*Y15*J15^2*1E-4*DATOS!$C$16/100/1000))^2-16*((AL15*Y15*J15^2*1E-4*DATOS!$C$16/100/1000)+((MAX(AH15,AJ15)*Y15*J15^2*1E-4*DATOS!$C$16/100/1000)+(IF(AND(AH15&gt;0,AJ15&gt;0),MIN(AH15,AJ15),MAX(AH15,AJ15))*Y15*J15^2*1E-4*DATOS!$C$16/100/1000))/2)*BC15))))/(8*MAX(((AL15*Y15*J15^2*1E-4*DATOS!$C$16/100/1000)+((MAX(AH15,AJ15)*Y15*J15^2*1E-4*DATOS!$C$16/100/1000)+(IF(AND(AH15&gt;0,AJ15&gt;0),MIN(AH15,AJ15),MAX(AH15,AJ15))*Y15*J15^2*1E-4*DATOS!$C$16/100/1000))/2),1E-9))+MAX(BR15,12*INDEX(TABLAS!$C$52:$C$58,MATCH(BP15,TABLAS!$B$52:$B$58,0)),N15/16),IF(OR(S15&lt;INDEX(TABLAS!$C$52:$C$58,MATCH(BP15,TABLAS!$B$52:$B$58,0)),AND(BQ15&gt;=2,(DATOS!$C$13-2*S15-2*IF(DATOS!$C$25=0,0,INDEX(TABLAS!$C$52:$C$58,MATCH(DATOS!$C$25,TABLAS!$B$52:$B$58,0)))-BQ15*INDEX(TABLAS!$C$52:$C$58,MATCH(BP15,TABLAS!$B$52:$B$58,0)))/MAX(BQ15-1,1)&lt;2*INDEX(TABLAS!$C$52:$C$58,MATCH(BP15,TABLAS!$B$52:$B$58,0)))),INDEX(TABLAS!$I$52:$I$58,MATCH(BP15,TABLAS!$B$52:$B$58,0)),INDEX(TABLAS!$F$52:$F$58,MATCH(BP15,TABLAS!$B$52:$B$58,0)))),5)))</f>
        <v>185</v>
      </c>
      <c r="CV15" s="59">
        <f>IF(D15="HUECO",0,IF(((4*((AM15*Y15*J15^2*1E-4*DATOS!$C$16/100/1000)+((MAX(AI15,AK15)*Y15*J15^2*1E-4*DATOS!$C$16/100/1000)+(IF(AND(AI15&gt;0,AK15&gt;0),MIN(AI15,AK15),MAX(AI15,AK15))*Y15*J15^2*1E-4*DATOS!$C$16/100/1000))/2)+BE15-(IF(AND(AI15&gt;0,AK15&gt;0),MIN(AI15,AK15),MAX(AI15,AK15))*Y15*J15^2*1E-4*DATOS!$C$16/100/1000))^2-16*((AM15*Y15*J15^2*1E-4*DATOS!$C$16/100/1000)+((MAX(AI15,AK15)*Y15*J15^2*1E-4*DATOS!$C$16/100/1000)+(IF(AND(AI15&gt;0,AK15&gt;0),MIN(AI15,AK15),MAX(AI15,AK15))*Y15*J15^2*1E-4*DATOS!$C$16/100/1000))/2)*BE15)&lt;0,CEILING(O15,5),CEILING(MAX(O15*((4*((AM15*Y15*J15^2*1E-4*DATOS!$C$16/100/1000)+((MAX(AI15,AK15)*Y15*J15^2*1E-4*DATOS!$C$16/100/1000)+(IF(AND(AI15&gt;0,AK15&gt;0),MIN(AI15,AK15),MAX(AI15,AK15))*Y15*J15^2*1E-4*DATOS!$C$16/100/1000))/2)+BE15-(IF(AND(AI15&gt;0,AK15&gt;0),MIN(AI15,AK15),MAX(AI15,AK15))*Y15*J15^2*1E-4*DATOS!$C$16/100/1000))-SQRT(MAX(0,((4*((AM15*Y15*J15^2*1E-4*DATOS!$C$16/100/1000)+((MAX(AI15,AK15)*Y15*J15^2*1E-4*DATOS!$C$16/100/1000)+(IF(AND(AI15&gt;0,AK15&gt;0),MIN(AI15,AK15),MAX(AI15,AK15))*Y15*J15^2*1E-4*DATOS!$C$16/100/1000))/2)+BE15-(IF(AND(AI15&gt;0,AK15&gt;0),MIN(AI15,AK15),MAX(AI15,AK15))*Y15*J15^2*1E-4*DATOS!$C$16/100/1000))^2-16*((AM15*Y15*J15^2*1E-4*DATOS!$C$16/100/1000)+((MAX(AI15,AK15)*Y15*J15^2*1E-4*DATOS!$C$16/100/1000)+(IF(AND(AI15&gt;0,AK15&gt;0),MIN(AI15,AK15),MAX(AI15,AK15))*Y15*J15^2*1E-4*DATOS!$C$16/100/1000))/2)*BE15))))/(8*MAX(((AM15*Y15*J15^2*1E-4*DATOS!$C$16/100/1000)+((MAX(AI15,AK15)*Y15*J15^2*1E-4*DATOS!$C$16/100/1000)+(IF(AND(AI15&gt;0,AK15&gt;0),MIN(AI15,AK15),MAX(AI15,AK15))*Y15*J15^2*1E-4*DATOS!$C$16/100/1000))/2),1E-9))+MAX(CH15,12*INDEX(TABLAS!$C$52:$C$58,MATCH(CF15,TABLAS!$B$52:$B$58,0)),O15/16),IF(OR(S15&lt;INDEX(TABLAS!$C$52:$C$58,MATCH(CF15,TABLAS!$B$52:$B$58,0)),AND(CG15&gt;=2,(DATOS!$C$13-2*S15-2*IF(DATOS!$C$25=0,0,INDEX(TABLAS!$C$52:$C$58,MATCH(DATOS!$C$25,TABLAS!$B$52:$B$58,0)))-CG15*INDEX(TABLAS!$C$52:$C$58,MATCH(CF15,TABLAS!$B$52:$B$58,0)))/MAX(CG15-1,1)&lt;2*INDEX(TABLAS!$C$52:$C$58,MATCH(CF15,TABLAS!$B$52:$B$58,0)))),INDEX(TABLAS!$I$52:$I$58,MATCH(CF15,TABLAS!$B$52:$B$58,0)),INDEX(TABLAS!$F$52:$F$58,MATCH(CF15,TABLAS!$B$52:$B$58,0)))),5)))</f>
        <v>205</v>
      </c>
      <c r="CW15" s="56">
        <f>MAX(0,INT((F15*100-DATOS!$C$17+DATOS!$C$13)/DATOS!$C$16))</f>
        <v>6</v>
      </c>
      <c r="CX15" s="56">
        <f>MAX(0,INT((G15*100-DATOS!$C$17+DATOS!$C$13)/DATOS!$C$16))</f>
        <v>16</v>
      </c>
      <c r="CY15" s="51" t="str">
        <f>IF(COUNTIFS(TRIB!$C$6:$C$255,B15,TRIB!$K$6:$K$255,"NO CUMPLE*")+COUNTIFS(TRIB!$C$6:$C$255,B15,TRIB!$K$6:$K$255,"SIN APOYO*")&gt;0,"VER PRINCIPALES",IF((APOYOS!$F$53="LIBRE")+(APOYOS!$F$54="LIBRE")+(APOYOS!$F$55="LIBRE")+(APOYOS!$F$56="LIBRE")&gt;0,"REVISAR: borde libre","OK"))</f>
        <v>OK</v>
      </c>
      <c r="CZ15" s="64" t="str">
        <f>IF(D15="HUECO","HUECO — marco de nervaduras principales",IF(AND(MAX(BL15,BT15,CB15,CJ15)&lt;=1,NOT(OR(BI15&gt;MIN(DATOS!$C$28,INT(((DATOS!$C$13-2*R15-2*IF(DATOS!$C$25=0,0,INDEX(TABLAS!$C$52:$C$58,MATCH(DATOS!$C$25,TABLAS!$B$52:$B$58,0))))+DATOS!$C$32)/(INDEX(TABLAS!$C$52:$C$58,MATCH(BH15,TABLAS!$B$52:$B$58,0))+DATOS!$C$32))),BQ15&gt;MIN(DATOS!$C$28,INT(((DATOS!$C$13-2*S15-2*IF(DATOS!$C$25=0,0,INDEX(TABLAS!$C$52:$C$58,MATCH(DATOS!$C$25,TABLAS!$B$52:$B$58,0))))+DATOS!$C$32)/(INDEX(TABLAS!$C$52:$C$58,MATCH(BP15,TABLAS!$B$52:$B$58,0))+DATOS!$C$32))),BY15&gt;MIN(DATOS!$C$28,INT(((DATOS!$C$13-2*R15-2*IF(DATOS!$C$25=0,0,INDEX(TABLAS!$C$52:$C$58,MATCH(DATOS!$C$25,TABLAS!$B$52:$B$58,0))))+DATOS!$C$32)/(INDEX(TABLAS!$C$52:$C$58,MATCH(BX15,TABLAS!$B$52:$B$58,0))+DATOS!$C$32))),CG15&gt;MIN(DATOS!$C$28,INT(((DATOS!$C$13-2*S15-2*IF(DATOS!$C$25=0,0,INDEX(TABLAS!$C$52:$C$58,MATCH(DATOS!$C$25,TABLAS!$B$52:$B$58,0))))+DATOS!$C$32)/(INDEX(TABLAS!$C$52:$C$58,MATCH(CF15,TABLAS!$B$52:$B$58,0))+DATOS!$C$32))))),NOT(OR(AND(ISNUMBER(BM15),BM15&lt;0.005),AND(ISNUMBER(BU15),BU15&lt;0.005),AND(ISNUMBER(CC15),CC15&lt;0.005),AND(ISNUMBER(CK15),CK15&lt;0.005))),CS15="CUMPLE",CT15="CUMPLE"),IF(CY15="OK",IF(LEFT(CO15,6)="CUMPLE","CUMPLE","CUMPLE — "&amp;CO15)&amp;IF(LEFT(AZ15,5)="FUERA"," · fuera de 3.4.2.1 c)",""),IF(CY15="VER PRINCIPALES","VER PRINCIPALES","REVISAR APOYOS")),IF(AND(MAX(BL15,BT15,CB15,CJ15)&lt;=1,NOT(OR(BI15&gt;MIN(DATOS!$C$28,INT(((DATOS!$C$13-2*R15-2*IF(DATOS!$C$25=0,0,INDEX(TABLAS!$C$52:$C$58,MATCH(DATOS!$C$25,TABLAS!$B$52:$B$58,0))))+DATOS!$C$32)/(INDEX(TABLAS!$C$52:$C$58,MATCH(BH15,TABLAS!$B$52:$B$58,0))+DATOS!$C$32))),BQ15&gt;MIN(DATOS!$C$28,INT(((DATOS!$C$13-2*S15-2*IF(DATOS!$C$25=0,0,INDEX(TABLAS!$C$52:$C$58,MATCH(DATOS!$C$25,TABLAS!$B$52:$B$58,0))))+DATOS!$C$32)/(INDEX(TABLAS!$C$52:$C$58,MATCH(BP15,TABLAS!$B$52:$B$58,0))+DATOS!$C$32))),BY15&gt;MIN(DATOS!$C$28,INT(((DATOS!$C$13-2*R15-2*IF(DATOS!$C$25=0,0,INDEX(TABLAS!$C$52:$C$58,MATCH(DATOS!$C$25,TABLAS!$B$52:$B$58,0))))+DATOS!$C$32)/(INDEX(TABLAS!$C$52:$C$58,MATCH(BX15,TABLAS!$B$52:$B$58,0))+DATOS!$C$32))),CG15&gt;MIN(DATOS!$C$28,INT(((DATOS!$C$13-2*S15-2*IF(DATOS!$C$25=0,0,INDEX(TABLAS!$C$52:$C$58,MATCH(DATOS!$C$25,TABLAS!$B$52:$B$58,0))))+DATOS!$C$32)/(INDEX(TABLAS!$C$52:$C$58,MATCH(CF15,TABLAS!$B$52:$B$58,0))+DATOS!$C$32))))),NOT(OR(AND(ISNUMBER(BM15),BM15&lt;0.005),AND(ISNUMBER(BU15),BU15&lt;0.005),AND(ISNUMBER(CC15),CC15&lt;0.005),AND(ISNUMBER(CK15),CK15&lt;0.005))),CS15="CALCULAR FLECHA"),"REVISAR: calcular flecha (h_eq &lt; h mín.)","NO CUMPLE: "&amp;IF(MAX(BL15,BT15,CB15,CJ15)&gt;1,"flexión ","")&amp;IF(OR(BI15&gt;MIN(DATOS!$C$28,INT(((DATOS!$C$13-2*R15-2*IF(DATOS!$C$25=0,0,INDEX(TABLAS!$C$52:$C$58,MATCH(DATOS!$C$25,TABLAS!$B$52:$B$58,0))))+DATOS!$C$32)/(INDEX(TABLAS!$C$52:$C$58,MATCH(BH15,TABLAS!$B$52:$B$58,0))+DATOS!$C$32))),BQ15&gt;MIN(DATOS!$C$28,INT(((DATOS!$C$13-2*S15-2*IF(DATOS!$C$25=0,0,INDEX(TABLAS!$C$52:$C$58,MATCH(DATOS!$C$25,TABLAS!$B$52:$B$58,0))))+DATOS!$C$32)/(INDEX(TABLAS!$C$52:$C$58,MATCH(BP15,TABLAS!$B$52:$B$58,0))+DATOS!$C$32))),BY15&gt;MIN(DATOS!$C$28,INT(((DATOS!$C$13-2*R15-2*IF(DATOS!$C$25=0,0,INDEX(TABLAS!$C$52:$C$58,MATCH(DATOS!$C$25,TABLAS!$B$52:$B$58,0))))+DATOS!$C$32)/(INDEX(TABLAS!$C$52:$C$58,MATCH(BX15,TABLAS!$B$52:$B$58,0))+DATOS!$C$32))),CG15&gt;MIN(DATOS!$C$28,INT(((DATOS!$C$13-2*S15-2*IF(DATOS!$C$25=0,0,INDEX(TABLAS!$C$52:$C$58,MATCH(DATOS!$C$25,TABLAS!$B$52:$B$58,0))))+DATOS!$C$32)/(INDEX(TABLAS!$C$52:$C$58,MATCH(CF15,TABLAS!$B$52:$B$58,0))+DATOS!$C$32)))),"no caben ","")&amp;IF(OR(AND(ISNUMBER(BM15),BM15&lt;0.005),AND(ISNUMBER(BU15),BU15&lt;0.005),AND(ISNUMBER(CC15),CC15&lt;0.005),AND(ISNUMBER(CK15),CK15&lt;0.005)),"ε_t &lt; 0.005 ","")&amp;IF(CS15="NO CUMPLE","peralte ","")&amp;IF(CT15&lt;&gt;"CUMPLE","capa &lt; 6 cm",""))))</f>
        <v>CUMPLE · fuera de 3.4.2.1 c)</v>
      </c>
      <c r="DA15" s="65" t="str">
        <f>IF(AND(D15="PERIMETRAL",MIN(CW15,CX15)=0),"Tablero macizo (no cabe un casetón en el claro corto): no aplica 6.7.8. La resistencia se revisa con una nervadura de 10 cm cada 70 cm y r_np (conservador); "&amp;"como losa maciza lleva además As,mín = 0.0018·Ag en cada dirección cerca de la cara a tensión (6.7.6.1.1, p. 175). ",IF(AND(CL15="NO",D15="PERIMETRAL"),"No cumple 6.7.8.1.4 (a_c = "&amp;DATOS!$C$11&amp;" cm &gt; claro corto/6 = "&amp;TEXT(J15*100/6,"0")&amp;" cm): se diseña como losa apoyada en vigas (6.7.8.1.9): nervaduras con recubrimiento de viga r_np = "&amp;DATOS!$C$22&amp;" cm (Tabla 4.14.16.a), V_cR sin ×1.1 y cortante sin estribos por 5.5.3.8.1 (criterio del Proyectista). Para que cuente como encasetonada: casetón de "&amp;TEXT(FLOOR(MIN(80,J15*100/6),1),"0")&amp;" cm o menor. ",""))&amp;IF(LEFT(AZ15,5)="FUERA","M⁻ del borde común "&amp;AZ15&amp;": difieren más de 50% (3.4.2.1 c); se distribuyen 2/3 del desequilibrio (3.4.3.1) y conviene confirmar los momentos con el modelo. ","")&amp;"Parte x 3.427–5.422, y 14.021–17.446: es la de mayor claro corto. El pasillo de 1.10 m y la llegada de escalera tienen claros menores."</f>
        <v>No cumple 6.7.8.1.4 (a_c = 60 cm &gt; claro corto/6 = 33 cm): se diseña como losa apoyada en vigas (6.7.8.1.9): nervaduras con recubrimiento de viga r_np = 4 cm (Tabla 4.14.16.a), V_cR sin ×1.1 y cortante sin estribos por 5.5.3.8.1 (criterio del Proyectista). Para que cuente como encasetonada: casetón de 33 cm o menor. M⁻ del borde común FUERA con F80004 F80006 F80013 F80015 F80016 F80017 F80018 F80007 F80010 F80014 F80009 F80011 · continuidad asimétrica con F80004 (cada uno con su momento; revisar APOYOS) · continuidad asimétrica con F80006 (cada uno con su momento; revisar APOYOS): difieren más de 50% (3.4.2.1 c); se distribuyen 2/3 del desequilibrio (3.4.3.1) y conviene confirmar los momentos con el modelo. Parte x 3.427–5.422, y 14.021–17.446: es la de mayor claro corto. El pasillo de 1.10 m y la llegada de escalera tienen claros menores.</v>
      </c>
    </row>
    <row r="16" ht="30" customHeight="1">
      <c r="B16" s="51" t="inlineStr">
        <is>
          <t>F80009 N+3.00</t>
        </is>
      </c>
      <c r="C16" s="52" t="inlineStr">
        <is>
          <t>N+3.00</t>
        </is>
      </c>
      <c r="D16" s="53" t="inlineStr">
        <is>
          <t>PERIMETRAL</t>
        </is>
      </c>
      <c r="E16" s="53" t="inlineStr">
        <is>
          <t>HABITACIÓN</t>
        </is>
      </c>
      <c r="F16" s="54" t="n">
        <v>3.428</v>
      </c>
      <c r="G16" s="54" t="n">
        <v>5.497</v>
      </c>
      <c r="H16" s="55" t="n">
        <v>3.428</v>
      </c>
      <c r="I16" s="55" t="n">
        <v>5.497</v>
      </c>
      <c r="J16" s="36">
        <f>MIN(H16,I16)</f>
        <v>3.428</v>
      </c>
      <c r="K16" s="36">
        <f>MAX(H16,I16)</f>
        <v>5.497</v>
      </c>
      <c r="L16" s="36">
        <f>IF(K16&gt;0,J16/K16,0)</f>
        <v>0.623612879752592</v>
      </c>
      <c r="M16" s="52" t="str">
        <f>IF(H16&lt;=I16,"X","Y")</f>
        <v>X</v>
      </c>
      <c r="N16" s="56">
        <f>MAX(0,J16*100-IF(D16="VOLADO",DATOS!$C$17/2,DATOS!$C$17))</f>
        <v>327.8</v>
      </c>
      <c r="O16" s="56">
        <f>MAX(0,K16*100-DATOS!$C$17)</f>
        <v>534.7</v>
      </c>
      <c r="P16" s="57">
        <f>MIN(DATOS!$C$16,DATOS!$C$13+2*MIN(8*DATOS!$C$14,DATOS!$C$11/2,N16/8))</f>
        <v>70</v>
      </c>
      <c r="Q16" s="57">
        <f>MIN(DATOS!$C$16,DATOS!$C$13+2*MIN(8*DATOS!$C$14,DATOS!$C$11/2,O16/8))</f>
        <v>70</v>
      </c>
      <c r="R16" s="57">
        <f>IF(D16="VOLADO",DATOS!$C$21,IF(CL16="NO",DATOS!$C$22,DATOS!$C$20))</f>
        <v>4</v>
      </c>
      <c r="S16" s="57">
        <f>IF(OR(AND(C16="N+6.00",DATOS!$C$23="SÍ"),AND(D16="VOLADO",DATOS!$C$24="SÍ")),DATOS!$C$21,IF(CL16="NO",DATOS!$C$22,DATOS!$C$20))</f>
        <v>4</v>
      </c>
      <c r="T16" s="58" t="n">
        <v>175</v>
      </c>
      <c r="U16" s="56">
        <f>IF(E16="HABITACIÓN",DATOS!$C$89,DATOS!$C$92)</f>
        <v>190</v>
      </c>
      <c r="V16" s="56">
        <f>CARGAS!$C$9</f>
        <v>293.673469387755</v>
      </c>
      <c r="W16" s="56">
        <f>V16+T16</f>
        <v>468.673469387755</v>
      </c>
      <c r="X16" s="56">
        <f>W16+U16</f>
        <v>658.673469387755</v>
      </c>
      <c r="Y16" s="59">
        <f>MAX(DATOS!$C$55*W16+DATOS!$C$56*U16,IF(E16="AZOTEA",DATOS!$C$57*(W16+DATOS!$C$97),0))</f>
        <v>894.275510204082</v>
      </c>
      <c r="Z16" s="56">
        <f>(APOYOS!$G$57="DISCONTINUO")+(APOYOS!$G$58="DISCONTINUO")+(APOYOS!$G$59="DISCONTINUO")+(APOYOS!$G$60="DISCONTINUO")</f>
        <v>1</v>
      </c>
      <c r="AA16" s="56">
        <f>IF(M16="X",(APOYOS!$G$57="DISCONTINUO")+(APOYOS!$G$58="DISCONTINUO"),(APOYOS!$G$59="DISCONTINUO")+(APOYOS!$G$60="DISCONTINUO"))</f>
        <v>0</v>
      </c>
      <c r="AB16" s="56">
        <f>Z16-AA16</f>
        <v>1</v>
      </c>
      <c r="AC16" s="52" t="str">
        <f>IF(Z16=0,"INTERIOR",IF(Z16=1,IF(AA16=1,"BORDE-CORTO","BORDE-LARGO"),IF(Z16=2,IF(AA16=1,"ESQUINA",IF(AA16=2,"EXTREMO-LARGO","EXTREMO-CORTO")),IF(Z16=3,IF(AA16=2,"EXTREMO-LARGO","EXTREMO-CORTO"),"AISLADO"))))</f>
        <v>BORDE-LARGO</v>
      </c>
      <c r="AD16" s="53" t="inlineStr">
        <is>
          <t>AUTO</t>
        </is>
      </c>
      <c r="AE16" s="60" t="str">
        <f>IF(AD16="AUTO",AC16,AD16)</f>
        <v>BORDE-LARGO</v>
      </c>
      <c r="AF16" s="56">
        <f>MATCH(L16,TABLAS!$D$5:$J$5,1)</f>
        <v>3</v>
      </c>
      <c r="AG16" s="43">
        <f>IF(AF16&gt;=7,0,(L16-INDEX(TABLAS!$D$5:$J$5,AF16))/(INDEX(TABLAS!$D$5:$J$5,AF16+1)-INDEX(TABLAS!$D$5:$J$5,AF16)))</f>
        <v>0.236128797525923</v>
      </c>
      <c r="AH16" s="56">
        <f>INDEX(TABLAS!$D$6:$J$47,MATCH(AE16&amp;"|NIC",TABLAS!$B$6:$B$47,0),AF16)+AG16*(INDEX(TABLAS!$D$6:$J$47,MATCH(AE16&amp;"|NIC",TABLAS!$B$6:$B$47,0),MIN(AF16+1,7))-INDEX(TABLAS!$D$6:$J$47,MATCH(AE16&amp;"|NIC",TABLAS!$B$6:$B$47,0),AF16))</f>
        <v>932.829725304712</v>
      </c>
      <c r="AI16" s="56">
        <f>INDEX(TABLAS!$D$6:$J$47,MATCH(AE16&amp;"|NIL",TABLAS!$B$6:$B$47,0),AF16)+AG16*(INDEX(TABLAS!$D$6:$J$47,MATCH(AE16&amp;"|NIL",TABLAS!$B$6:$B$47,0),MIN(AF16+1,7))-INDEX(TABLAS!$D$6:$J$47,MATCH(AE16&amp;"|NIL",TABLAS!$B$6:$B$47,0),AF16))</f>
        <v>533.6245224668</v>
      </c>
      <c r="AJ16" s="56">
        <f>INDEX(TABLAS!$D$6:$J$47,MATCH(AE16&amp;"|NDC",TABLAS!$B$6:$B$47,0),AF16)+AG16*(INDEX(TABLAS!$D$6:$J$47,MATCH(AE16&amp;"|NDC",TABLAS!$B$6:$B$47,0),MIN(AF16+1,7))-INDEX(TABLAS!$D$6:$J$47,MATCH(AE16&amp;"|NDC",TABLAS!$B$6:$B$47,0),AF16))</f>
        <v>312.027105694015</v>
      </c>
      <c r="AK16" s="56">
        <f>INDEX(TABLAS!$D$6:$J$47,MATCH(AE16&amp;"|NDL",TABLAS!$B$6:$B$47,0),AF16)+AG16*(INDEX(TABLAS!$D$6:$J$47,MATCH(AE16&amp;"|NDL",TABLAS!$B$6:$B$47,0),MIN(AF16+1,7))-INDEX(TABLAS!$D$6:$J$47,MATCH(AE16&amp;"|NDL",TABLAS!$B$6:$B$47,0),AF16))</f>
        <v>0</v>
      </c>
      <c r="AL16" s="56">
        <f>INDEX(TABLAS!$D$6:$J$47,MATCH(AE16&amp;"|PC",TABLAS!$B$6:$B$47,0),AF16)+AG16*(INDEX(TABLAS!$D$6:$J$47,MATCH(AE16&amp;"|PC",TABLAS!$B$6:$B$47,0),MIN(AF16+1,7))-INDEX(TABLAS!$D$6:$J$47,MATCH(AE16&amp;"|PC",TABLAS!$B$6:$B$47,0),AF16))</f>
        <v>421.193560123704</v>
      </c>
      <c r="AM16" s="56">
        <f>INDEX(TABLAS!$D$6:$J$47,MATCH(AE16&amp;"|PL",TABLAS!$B$6:$B$47,0),AF16)+AG16*(INDEX(TABLAS!$D$6:$J$47,MATCH(AE16&amp;"|PL",TABLAS!$B$6:$B$47,0),MIN(AF16+1,7))-INDEX(TABLAS!$D$6:$J$47,MATCH(AE16&amp;"|PL",TABLAS!$B$6:$B$47,0),AF16))</f>
        <v>239.597416772785</v>
      </c>
      <c r="AN16" s="36">
        <f>IF(D16="PERIMETRAL",IF(APOYOS!$G$57="CONTINUO",IF(M16="Y",AH16,AI16),IF(M16="Y",AJ16,AK16))*Y16*J16^2*1E-4*DATOS!$C$16/100/1000,0)</f>
        <v>0.392542589810582</v>
      </c>
      <c r="AO16" s="36">
        <f>IF(D16="PERIMETRAL",IF(APOYOS!$G$58="CONTINUO",IF(M16="Y",AH16,AI16),IF(M16="Y",AJ16,AK16))*Y16*J16^2*1E-4*DATOS!$C$16/100/1000,0)</f>
        <v>0.392542589810582</v>
      </c>
      <c r="AP16" s="36">
        <f>IF(D16="PERIMETRAL",IF(APOYOS!$G$59="CONTINUO",IF(M16="X",AH16,AI16),IF(M16="X",AJ16,AK16))*Y16*J16^2*1E-4*DATOS!$C$16/100/1000,0)</f>
        <v>0.686204214399062</v>
      </c>
      <c r="AQ16" s="36">
        <f>IF(D16="PERIMETRAL",IF(APOYOS!$G$60="CONTINUO",IF(M16="X",AH16,AI16),IF(M16="X",AJ16,AK16))*Y16*J16^2*1E-4*DATOS!$C$16/100/1000,0)</f>
        <v>0.229532045480255</v>
      </c>
      <c r="AR16" s="56">
        <f>IF(D16="PERIMETRAL",IF(M16="X",BN16,CD16)^3/(J16*100),0)</f>
        <v>21.2630430597112</v>
      </c>
      <c r="AS16" s="56">
        <f>IF(D16="PERIMETRAL",IF(M16="Y",BN16,CD16)^3/(J16*100),0)</f>
        <v>17.3524923546062</v>
      </c>
      <c r="AT16" s="36">
        <f>IF(D16="PERIMETRAL",MAX(0,IF(M16="Y",IF(AND(OR(APOYOS!$G$57="CONTINUO",APOYOS!$G$56="CONTINUO"),AN16&gt;0,AQ15&gt;0,AQ15&gt;AN16),AN16+2/3*(AQ15-AN16)*AS16/MAX(AS16+AS15,1E-9),0),0),IF(M16="Y",IF(AND(OR(APOYOS!$G$58="CONTINUO",APOYOS!$G$65="CONTINUO"),AO16&gt;0,AN18&gt;0,AN18&gt;AO16),AO16+2/3*(AN18-AO16)*AS16/MAX(AS16+AS18,1E-9),0),0),IF(M16="X",IF(AND(OR(APOYOS!$G$59="CONTINUO",APOYOS!$G$56="CONTINUO"),AP16&gt;0,AQ15&gt;0,AQ15&gt;AP16),AP16+2/3*(AQ15-AP16)*AR16/MAX(AR16+AR15,1E-9),0),0)),0)</f>
        <v>0</v>
      </c>
      <c r="AU16" s="36">
        <f>IF(D16="PERIMETRAL",MAX(0,IF(M16&lt;&gt;"Y",IF(AND(OR(APOYOS!$G$57="CONTINUO",APOYOS!$G$56="CONTINUO"),AN16&gt;0,AQ15&gt;0,AQ15&gt;AN16),AN16+2/3*(AQ15-AN16)*AS16/MAX(AS16+AS15,1E-9),0),0),IF(M16&lt;&gt;"Y",IF(AND(OR(APOYOS!$G$58="CONTINUO",APOYOS!$G$65="CONTINUO"),AO16&gt;0,AN18&gt;0,AN18&gt;AO16),AO16+2/3*(AN18-AO16)*AS16/MAX(AS16+AS18,1E-9),0),0),IF(M16&lt;&gt;"X",IF(AND(OR(APOYOS!$G$59="CONTINUO",APOYOS!$G$56="CONTINUO"),AP16&gt;0,AQ15&gt;0,AQ15&gt;AP16),AP16+2/3*(AQ15-AP16)*AR16/MAX(AR16+AR15,1E-9),0),0)),0)</f>
        <v>0</v>
      </c>
      <c r="AV16" s="36">
        <f>IF(D16="PERIMETRAL",(IF(M16="Y",IF(AND(OR(APOYOS!$G$57="CONTINUO",APOYOS!$G$56="CONTINUO"),AN16&gt;0,AQ15&gt;0,AN16&gt;AQ15),2/3*(AN16-AQ15)*AS16/MAX(AS16+AS15,1E-9),0),0)+IF(M16="Y",IF(AND(OR(APOYOS!$G$58="CONTINUO",APOYOS!$G$65="CONTINUO"),AO16&gt;0,AN18&gt;0,AO16&gt;AN18),2/3*(AO16-AN18)*AS16/MAX(AS16+AS18,1E-9),0),0)+IF(M16="X",IF(AND(OR(APOYOS!$G$59="CONTINUO",APOYOS!$G$56="CONTINUO"),AP16&gt;0,AQ15&gt;0,AP16&gt;AQ15),2/3*(AP16-AQ15)*AR16/MAX(AR16+AR15,1E-9),0),0))/2,0)</f>
        <v>0.0542701215525296</v>
      </c>
      <c r="AW16" s="36">
        <f>IF(D16="PERIMETRAL",(IF(M16&lt;&gt;"Y",IF(AND(OR(APOYOS!$G$57="CONTINUO",APOYOS!$G$56="CONTINUO"),AN16&gt;0,AQ15&gt;0,AN16&gt;AQ15),2/3*(AN16-AQ15)*AS16/MAX(AS16+AS15,1E-9),0),0)+IF(M16&lt;&gt;"Y",IF(AND(OR(APOYOS!$G$58="CONTINUO",APOYOS!$G$65="CONTINUO"),AO16&gt;0,AN18&gt;0,AO16&gt;AN18),2/3*(AO16-AN18)*AS16/MAX(AS16+AS18,1E-9),0),0)+IF(M16&lt;&gt;"X",IF(AND(OR(APOYOS!$G$59="CONTINUO",APOYOS!$G$56="CONTINUO"),AP16&gt;0,AQ15&gt;0,AP16&gt;AQ15),2/3*(AP16-AQ15)*AR16/MAX(AR16+AR15,1E-9),0),0))/2,0)</f>
        <v>0.0292878239607756</v>
      </c>
      <c r="AX16" s="36">
        <f>IF(D16="PERIMETRAL",MAX(0,0),0)</f>
        <v>0</v>
      </c>
      <c r="AY16" s="52" t="str">
        <f>IF(D16&lt;&gt;"PERIMETRAL","",IF(OR(AND(OR(APOYOS!$G$57="CONTINUO",APOYOS!$G$56="CONTINUO"),AN16&gt;0,AQ15&gt;0,ABS(AN16-AQ15)&gt;0.5*MIN(AN16,AQ15)),AND(OR(APOYOS!$G$59="CONTINUO",APOYOS!$G$56="CONTINUO"),AP16&gt;0,AQ15&gt;0,ABS(AP16-AQ15)&gt;0.5*MIN(AP16,AQ15)))," F80008","")&amp;IF(AND(OR(APOYOS!$G$58="CONTINUO",APOYOS!$G$65="CONTINUO"),AO16&gt;0,AN18&gt;0,ABS(AO16-AN18)&gt;0.5*MIN(AO16,AN18))," F80011",""))</f>
        <v> F80008 F80011</v>
      </c>
      <c r="AZ16" s="52" t="str">
        <f>IF(D16&lt;&gt;"PERIMETRAL","—",IF(AY16="","CUMPLE","FUERA con"&amp;AY16)&amp;IF(AND(D15="PERIMETRAL",APOYOS!$G$57&lt;&gt;APOYOS!$G$56)," · continuidad asimétrica con F80008 (cada uno con su momento; revisar APOYOS)","")&amp;IF(AND(D18="PERIMETRAL",APOYOS!$G$58&lt;&gt;APOYOS!$G$65)," · continuidad asimétrica con F80011 (cada uno con su momento; revisar APOYOS)",""))</f>
        <v>FUERA con F80008 F80011</v>
      </c>
      <c r="BA16" s="61" t="n">
        <v>0</v>
      </c>
      <c r="BB16" s="36">
        <f>IF(D16="PERIMETRAL",AL16*Y16*J16^2*1E-4*DATOS!$C$16/100/1000+AV16,0)</f>
        <v>0.364106727520698</v>
      </c>
      <c r="BC16" s="36">
        <f>IF(D16="PERIMETRAL",MAX(MAX(AH16,AJ16)*Y16*J16^2*1E-4*DATOS!$C$16/100/1000,AT16),IF(D16="VOLADO",(Y16*(N16/100)^2/2+DATOS!$C$55*BA16*N16/100)*DATOS!$C$16/100/1000,0))</f>
        <v>0.686204214399062</v>
      </c>
      <c r="BD16" s="36">
        <f>IF(D16="PERIMETRAL",AM16*Y16*J16^2*1E-4*DATOS!$C$16/100/1000+AW16,0)</f>
        <v>0.205539451335651</v>
      </c>
      <c r="BE16" s="36">
        <f>IF(D16="PERIMETRAL",MAX(MAX(AI16,AK16)*Y16*J16^2*1E-4*DATOS!$C$16/100/1000,AU16),0)</f>
        <v>0.392542589810582</v>
      </c>
      <c r="BF16" s="43">
        <f>(DATOS!$C$15-R16-IF(DATOS!$C$25=0,0,INDEX(TABLAS!$C$52:$C$58,MATCH(DATOS!$C$25,TABLAS!$B$52:$B$58,0)))-INDEX(TABLAS!$C$52:$C$58,MATCH(DATOS!$C$26,TABLAS!$B$52:$B$58,0))/2)</f>
        <v>20.365</v>
      </c>
      <c r="BG16" s="43">
        <f>IF(D16="HUECO",0,IF(IF(BB16&lt;=0,0,IF((1-2*BB16*1E5/(DATOS!$C$58*P16*BF16^2*DATOS!$C$48))&lt;0,-1,IF((1-SQRT((1-2*BB16*1E5/(DATOS!$C$58*P16*BF16^2*DATOS!$C$48))))*DATOS!$C$48*P16*BF16/DATOS!$C$40&gt;DATOS!$C$82*P16*BF16,-1,(1-SQRT((1-2*BB16*1E5/(DATOS!$C$58*P16*BF16^2*DATOS!$C$48))))*DATOS!$C$48*P16*BF16/DATOS!$C$40)))&lt;0,-1,MAX(IF(BB16&lt;=0,0,IF((1-2*BB16*1E5/(DATOS!$C$58*P16*BF16^2*DATOS!$C$48))&lt;0,-1,IF((1-SQRT((1-2*BB16*1E5/(DATOS!$C$58*P16*BF16^2*DATOS!$C$48))))*DATOS!$C$48*P16*BF16/DATOS!$C$40&gt;DATOS!$C$82*P16*BF16,-1,(1-SQRT((1-2*BB16*1E5/(DATOS!$C$58*P16*BF16^2*DATOS!$C$48))))*DATOS!$C$48*P16*BF16/DATOS!$C$40))),MIN(DATOS!$C$83*DATOS!$C$13*BF16,4/3*IF(BB16&lt;=0,0,IF((1-2*BB16*1E5/(DATOS!$C$58*P16*BF16^2*DATOS!$C$48))&lt;0,-1,IF((1-SQRT((1-2*BB16*1E5/(DATOS!$C$58*P16*BF16^2*DATOS!$C$48))))*DATOS!$C$48*P16*BF16/DATOS!$C$40&gt;DATOS!$C$82*P16*BF16,-1,(1-SQRT((1-2*BB16*1E5/(DATOS!$C$58*P16*BF16^2*DATOS!$C$48))))*DATOS!$C$48*P16*BF16/DATOS!$C$40)))))))</f>
        <v>0.632735638430851</v>
      </c>
      <c r="BH16" s="41">
        <f>IF(AND(BG16&gt;=0,IF(MAX(DATOS!$C$29,CEILING(BG16/INDEX(TABLAS!$D$52:$D$58,MIN(MATCH(DATOS!$C$26,TABLAS!$B$52:$B$58,0)+0,7)),1))*INDEX(TABLAS!$D$52:$D$58,MIN(MATCH(DATOS!$C$26,TABLAS!$B$52:$B$58,0)+0,7))&gt;=4/3*IF(BB16&lt;=0,0,IF((1-2*BB16*1E5/(DATOS!$C$58*P16*BF16^2*DATOS!$C$48))&lt;0,-1,IF((1-SQRT((1-2*BB16*1E5/(DATOS!$C$58*P16*BF16^2*DATOS!$C$48))))*DATOS!$C$48*P16*BF16/DATOS!$C$40&gt;DATOS!$C$82*P16*BF16,-1,(1-SQRT((1-2*BB16*1E5/(DATOS!$C$58*P16*BF16^2*DATOS!$C$48))))*DATOS!$C$48*P16*BF16/DATOS!$C$40)))-0.0001,MAX(DATOS!$C$29,CEILING(BG16/INDEX(TABLAS!$D$52:$D$58,MIN(MATCH(DATOS!$C$26,TABLAS!$B$52:$B$58,0)+0,7)),1)),MAX(MAX(DATOS!$C$29,CEILING(BG16/INDEX(TABLAS!$D$52:$D$58,MIN(MATCH(DATOS!$C$26,TABLAS!$B$52:$B$58,0)+0,7)),1)),2))&lt;=MIN(DATOS!$C$28,INT(((DATOS!$C$13-2*R16-2*IF(DATOS!$C$25=0,0,INDEX(TABLAS!$C$52:$C$58,MATCH(DATOS!$C$25,TABLAS!$B$52:$B$58,0))))+MAX(DATOS!$C$32,INDEX(TABLAS!$C$52:$C$58,MIN(MATCH(DATOS!$C$26,TABLAS!$B$52:$B$58,0)+0,7))))/(INDEX(TABLAS!$C$52:$C$58,MIN(MATCH(DATOS!$C$26,TABLAS!$B$52:$B$58,0)+0,7))+MAX(DATOS!$C$32,INDEX(TABLAS!$C$52:$C$58,MIN(MATCH(DATOS!$C$26,TABLAS!$B$52:$B$58,0)+0,7))))))),INDEX(TABLAS!$B$52:$B$58,MIN(MATCH(DATOS!$C$26,TABLAS!$B$52:$B$58,0)+0,7)),IF(AND(BG16&gt;=0,IF(MAX(DATOS!$C$29,CEILING(BG16/INDEX(TABLAS!$D$52:$D$58,MIN(MATCH(DATOS!$C$26,TABLAS!$B$52:$B$58,0)+1,7)),1))*INDEX(TABLAS!$D$52:$D$58,MIN(MATCH(DATOS!$C$26,TABLAS!$B$52:$B$58,0)+1,7))&gt;=4/3*IF(BB16&lt;=0,0,IF((1-2*BB16*1E5/(DATOS!$C$58*P16*BF16^2*DATOS!$C$48))&lt;0,-1,IF((1-SQRT((1-2*BB16*1E5/(DATOS!$C$58*P16*BF16^2*DATOS!$C$48))))*DATOS!$C$48*P16*BF16/DATOS!$C$40&gt;DATOS!$C$82*P16*BF16,-1,(1-SQRT((1-2*BB16*1E5/(DATOS!$C$58*P16*BF16^2*DATOS!$C$48))))*DATOS!$C$48*P16*BF16/DATOS!$C$40)))-0.0001,MAX(DATOS!$C$29,CEILING(BG16/INDEX(TABLAS!$D$52:$D$58,MIN(MATCH(DATOS!$C$26,TABLAS!$B$52:$B$58,0)+1,7)),1)),MAX(MAX(DATOS!$C$29,CEILING(BG16/INDEX(TABLAS!$D$52:$D$58,MIN(MATCH(DATOS!$C$26,TABLAS!$B$52:$B$58,0)+1,7)),1)),2))&lt;=MIN(DATOS!$C$28,INT(((DATOS!$C$13-2*R16-2*IF(DATOS!$C$25=0,0,INDEX(TABLAS!$C$52:$C$58,MATCH(DATOS!$C$25,TABLAS!$B$52:$B$58,0))))+MAX(DATOS!$C$32,INDEX(TABLAS!$C$52:$C$58,MIN(MATCH(DATOS!$C$26,TABLAS!$B$52:$B$58,0)+1,7))))/(INDEX(TABLAS!$C$52:$C$58,MIN(MATCH(DATOS!$C$26,TABLAS!$B$52:$B$58,0)+1,7))+MAX(DATOS!$C$32,INDEX(TABLAS!$C$52:$C$58,MIN(MATCH(DATOS!$C$26,TABLAS!$B$52:$B$58,0)+1,7))))))),INDEX(TABLAS!$B$52:$B$58,MIN(MATCH(DATOS!$C$26,TABLAS!$B$52:$B$58,0)+1,7)),IF(AND(BG16&gt;=0,IF(MAX(DATOS!$C$29,CEILING(BG16/INDEX(TABLAS!$D$52:$D$58,MIN(MATCH(DATOS!$C$26,TABLAS!$B$52:$B$58,0)+2,7)),1))*INDEX(TABLAS!$D$52:$D$58,MIN(MATCH(DATOS!$C$26,TABLAS!$B$52:$B$58,0)+2,7))&gt;=4/3*IF(BB16&lt;=0,0,IF((1-2*BB16*1E5/(DATOS!$C$58*P16*BF16^2*DATOS!$C$48))&lt;0,-1,IF((1-SQRT((1-2*BB16*1E5/(DATOS!$C$58*P16*BF16^2*DATOS!$C$48))))*DATOS!$C$48*P16*BF16/DATOS!$C$40&gt;DATOS!$C$82*P16*BF16,-1,(1-SQRT((1-2*BB16*1E5/(DATOS!$C$58*P16*BF16^2*DATOS!$C$48))))*DATOS!$C$48*P16*BF16/DATOS!$C$40)))-0.0001,MAX(DATOS!$C$29,CEILING(BG16/INDEX(TABLAS!$D$52:$D$58,MIN(MATCH(DATOS!$C$26,TABLAS!$B$52:$B$58,0)+2,7)),1)),MAX(MAX(DATOS!$C$29,CEILING(BG16/INDEX(TABLAS!$D$52:$D$58,MIN(MATCH(DATOS!$C$26,TABLAS!$B$52:$B$58,0)+2,7)),1)),2))&lt;=MIN(DATOS!$C$28,INT(((DATOS!$C$13-2*R16-2*IF(DATOS!$C$25=0,0,INDEX(TABLAS!$C$52:$C$58,MATCH(DATOS!$C$25,TABLAS!$B$52:$B$58,0))))+MAX(DATOS!$C$32,INDEX(TABLAS!$C$52:$C$58,MIN(MATCH(DATOS!$C$26,TABLAS!$B$52:$B$58,0)+2,7))))/(INDEX(TABLAS!$C$52:$C$58,MIN(MATCH(DATOS!$C$26,TABLAS!$B$52:$B$58,0)+2,7))+MAX(DATOS!$C$32,INDEX(TABLAS!$C$52:$C$58,MIN(MATCH(DATOS!$C$26,TABLAS!$B$52:$B$58,0)+2,7))))))),INDEX(TABLAS!$B$52:$B$58,MIN(MATCH(DATOS!$C$26,TABLAS!$B$52:$B$58,0)+2,7)),IF(AND(BG16&gt;=0,IF(MAX(DATOS!$C$29,CEILING(BG16/INDEX(TABLAS!$D$52:$D$58,MIN(MATCH(DATOS!$C$26,TABLAS!$B$52:$B$58,0)+3,7)),1))*INDEX(TABLAS!$D$52:$D$58,MIN(MATCH(DATOS!$C$26,TABLAS!$B$52:$B$58,0)+3,7))&gt;=4/3*IF(BB16&lt;=0,0,IF((1-2*BB16*1E5/(DATOS!$C$58*P16*BF16^2*DATOS!$C$48))&lt;0,-1,IF((1-SQRT((1-2*BB16*1E5/(DATOS!$C$58*P16*BF16^2*DATOS!$C$48))))*DATOS!$C$48*P16*BF16/DATOS!$C$40&gt;DATOS!$C$82*P16*BF16,-1,(1-SQRT((1-2*BB16*1E5/(DATOS!$C$58*P16*BF16^2*DATOS!$C$48))))*DATOS!$C$48*P16*BF16/DATOS!$C$40)))-0.0001,MAX(DATOS!$C$29,CEILING(BG16/INDEX(TABLAS!$D$52:$D$58,MIN(MATCH(DATOS!$C$26,TABLAS!$B$52:$B$58,0)+3,7)),1)),MAX(MAX(DATOS!$C$29,CEILING(BG16/INDEX(TABLAS!$D$52:$D$58,MIN(MATCH(DATOS!$C$26,TABLAS!$B$52:$B$58,0)+3,7)),1)),2))&lt;=MIN(DATOS!$C$28,INT(((DATOS!$C$13-2*R16-2*IF(DATOS!$C$25=0,0,INDEX(TABLAS!$C$52:$C$58,MATCH(DATOS!$C$25,TABLAS!$B$52:$B$58,0))))+MAX(DATOS!$C$32,INDEX(TABLAS!$C$52:$C$58,MIN(MATCH(DATOS!$C$26,TABLAS!$B$52:$B$58,0)+3,7))))/(INDEX(TABLAS!$C$52:$C$58,MIN(MATCH(DATOS!$C$26,TABLAS!$B$52:$B$58,0)+3,7))+MAX(DATOS!$C$32,INDEX(TABLAS!$C$52:$C$58,MIN(MATCH(DATOS!$C$26,TABLAS!$B$52:$B$58,0)+3,7))))))),INDEX(TABLAS!$B$52:$B$58,MIN(MATCH(DATOS!$C$26,TABLAS!$B$52:$B$58,0)+3,7)),IF(AND(BG16&gt;=0,IF(MAX(DATOS!$C$29,CEILING(BG16/INDEX(TABLAS!$D$52:$D$58,MIN(MATCH(DATOS!$C$26,TABLAS!$B$52:$B$58,0)+4,7)),1))*INDEX(TABLAS!$D$52:$D$58,MIN(MATCH(DATOS!$C$26,TABLAS!$B$52:$B$58,0)+4,7))&gt;=4/3*IF(BB16&lt;=0,0,IF((1-2*BB16*1E5/(DATOS!$C$58*P16*BF16^2*DATOS!$C$48))&lt;0,-1,IF((1-SQRT((1-2*BB16*1E5/(DATOS!$C$58*P16*BF16^2*DATOS!$C$48))))*DATOS!$C$48*P16*BF16/DATOS!$C$40&gt;DATOS!$C$82*P16*BF16,-1,(1-SQRT((1-2*BB16*1E5/(DATOS!$C$58*P16*BF16^2*DATOS!$C$48))))*DATOS!$C$48*P16*BF16/DATOS!$C$40)))-0.0001,MAX(DATOS!$C$29,CEILING(BG16/INDEX(TABLAS!$D$52:$D$58,MIN(MATCH(DATOS!$C$26,TABLAS!$B$52:$B$58,0)+4,7)),1)),MAX(MAX(DATOS!$C$29,CEILING(BG16/INDEX(TABLAS!$D$52:$D$58,MIN(MATCH(DATOS!$C$26,TABLAS!$B$52:$B$58,0)+4,7)),1)),2))&lt;=MIN(DATOS!$C$28,INT(((DATOS!$C$13-2*R16-2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16" s="56">
        <f>IF(D16="HUECO",0,IF(BG16&lt;0,0,IF(MAX(DATOS!$C$29,CEILING(MAX(BG16,0)/INDEX(TABLAS!$D$52:$D$58,MATCH(BH16,TABLAS!$B$52:$B$58,0)),1))*INDEX(TABLAS!$D$52:$D$58,MATCH(BH16,TABLAS!$B$52:$B$58,0))&gt;=4/3*IF(BB16&lt;=0,0,IF((1-2*BB16*1E5/(DATOS!$C$58*P16*BF16^2*DATOS!$C$48))&lt;0,-1,IF((1-SQRT((1-2*BB16*1E5/(DATOS!$C$58*P16*BF16^2*DATOS!$C$48))))*DATOS!$C$48*P16*BF16/DATOS!$C$40&gt;DATOS!$C$82*P16*BF16,-1,(1-SQRT((1-2*BB16*1E5/(DATOS!$C$58*P16*BF16^2*DATOS!$C$48))))*DATOS!$C$48*P16*BF16/DATOS!$C$40)))-0.0001,MAX(DATOS!$C$29,CEILING(MAX(BG16,0)/INDEX(TABLAS!$D$52:$D$58,MATCH(BH16,TABLAS!$B$52:$B$58,0)),1)),MAX(MAX(DATOS!$C$29,CEILING(MAX(BG16,0)/INDEX(TABLAS!$D$52:$D$58,MATCH(BH16,TABLAS!$B$52:$B$58,0)),1)),2))))</f>
        <v>1</v>
      </c>
      <c r="BJ16" s="43">
        <f>DATOS!$C$15-R16-IF(DATOS!$C$25=0,0,INDEX(TABLAS!$C$52:$C$58,MATCH(DATOS!$C$25,TABLAS!$B$52:$B$58,0)))-INDEX(TABLAS!$C$52:$C$58,MATCH(BH16,TABLAS!$B$52:$B$58,0))/2</f>
        <v>20.365</v>
      </c>
      <c r="BK16" s="36">
        <f>IF(BI16=0,0,DATOS!$C$58*BI16*INDEX(TABLAS!$D$52:$D$58,MATCH(BH16,TABLAS!$B$52:$B$58,0))*DATOS!$C$40*(BJ16-BI16*INDEX(TABLAS!$D$52:$D$58,MATCH(BH16,TABLAS!$B$52:$B$58,0))*DATOS!$C$40/(DATOS!$C$48*P16)/2)/1E5)</f>
        <v>0.969034996588235</v>
      </c>
      <c r="BL16" s="62">
        <f>IF(BG16&lt;0,9.99,IF(BK16&gt;0,BB16/BK16,0))</f>
        <v>0.375741566406414</v>
      </c>
      <c r="BM16" s="63">
        <f>IF(BI16=0,"—",0.003*(BJ16-(BI16*INDEX(TABLAS!$D$52:$D$58,MATCH(BH16,TABLAS!$B$52:$B$58,0))*DATOS!$C$40/(DATOS!$C$48*P16)/DATOS!$C$49))/(BI16*INDEX(TABLAS!$D$52:$D$58,MATCH(BH16,TABLAS!$B$52:$B$58,0))*DATOS!$C$40/(DATOS!$C$48*P16)/DATOS!$C$49))</f>
        <v>0.14182000492126</v>
      </c>
      <c r="BN16" s="43">
        <f>((DATOS!$C$15-S16-2*DATOS!$C$35-IF(DATOS!$C$25=0,0,INDEX(TABLAS!$C$52:$C$58,MATCH(DATOS!$C$25,TABLAS!$B$52:$B$58,0)))-INDEX(TABLAS!$C$52:$C$58,MATCH(DATOS!$C$27,TABLAS!$B$52:$B$58,0))/2)-IF(AND((DATOS!$C$15-S16-2*DATOS!$C$35-IF(DATOS!$C$25=0,0,INDEX(TABLAS!$C$52:$C$58,MATCH(DATOS!$C$25,TABLAS!$B$52:$B$58,0)))-INDEX(TABLAS!$C$52:$C$58,MATCH(DATOS!$C$27,TABLAS!$B$52:$B$58,0))/2)&lt;=20,DATOS!$C$18&lt;&gt;"SÍ"),2,0))</f>
        <v>19.389</v>
      </c>
      <c r="BO16" s="43">
        <f>IF(D16="HUECO",0,IF(IF(BC16&lt;=0,0,IF((1-2*BC16*1E5/(DATOS!$C$58*DATOS!$C$19*BN16^2*DATOS!$C$48))&lt;0,-1,IF((1-SQRT((1-2*BC16*1E5/(DATOS!$C$58*DATOS!$C$19*BN16^2*DATOS!$C$48))))*DATOS!$C$48*DATOS!$C$19*BN16/DATOS!$C$40&gt;DATOS!$C$82*DATOS!$C$19*BN16,-1,(1-SQRT((1-2*BC16*1E5/(DATOS!$C$58*DATOS!$C$19*BN16^2*DATOS!$C$48))))*DATOS!$C$48*DATOS!$C$19*BN16/DATOS!$C$40)))&lt;0,-1,MAX(IF(BC16&lt;=0,0,IF((1-2*BC16*1E5/(DATOS!$C$58*DATOS!$C$19*BN16^2*DATOS!$C$48))&lt;0,-1,IF((1-SQRT((1-2*BC16*1E5/(DATOS!$C$58*DATOS!$C$19*BN16^2*DATOS!$C$48))))*DATOS!$C$48*DATOS!$C$19*BN16/DATOS!$C$40&gt;DATOS!$C$82*DATOS!$C$19*BN16,-1,(1-SQRT((1-2*BC16*1E5/(DATOS!$C$58*DATOS!$C$19*BN16^2*DATOS!$C$48))))*DATOS!$C$48*DATOS!$C$19*BN16/DATOS!$C$40))),MIN(DATOS!$C$83*IF(D16="VOLADO",2*DATOS!$C$13,DATOS!$C$13)*BN16,4/3*IF(BC16&lt;=0,0,IF((1-2*BC16*1E5/(DATOS!$C$58*DATOS!$C$19*BN16^2*DATOS!$C$48))&lt;0,-1,IF((1-SQRT((1-2*BC16*1E5/(DATOS!$C$58*DATOS!$C$19*BN16^2*DATOS!$C$48))))*DATOS!$C$48*DATOS!$C$19*BN16/DATOS!$C$40&gt;DATOS!$C$82*DATOS!$C$19*BN16,-1,(1-SQRT((1-2*BC16*1E5/(DATOS!$C$58*DATOS!$C$19*BN16^2*DATOS!$C$48))))*DATOS!$C$48*DATOS!$C$19*BN16/DATOS!$C$40)))))))</f>
        <v>0.985813940189265</v>
      </c>
      <c r="BP16" s="41">
        <f>IF(AND(BO16&gt;=0,IF(MAX(DATOS!$C$29,CEILING(BO16/INDEX(TABLAS!$D$52:$D$58,MIN(MATCH(DATOS!$C$27,TABLAS!$B$52:$B$58,0)+0,7)),1))*INDEX(TABLAS!$D$52:$D$58,MIN(MATCH(DATOS!$C$27,TABLAS!$B$52:$B$58,0)+0,7))&gt;=4/3*IF(BC16&lt;=0,0,IF((1-2*BC16*1E5/(DATOS!$C$58*DATOS!$C$19*BN16^2*DATOS!$C$48))&lt;0,-1,IF((1-SQRT((1-2*BC16*1E5/(DATOS!$C$58*DATOS!$C$19*BN16^2*DATOS!$C$48))))*DATOS!$C$48*DATOS!$C$19*BN16/DATOS!$C$40&gt;DATOS!$C$82*DATOS!$C$19*BN16,-1,(1-SQRT((1-2*BC16*1E5/(DATOS!$C$58*DATOS!$C$19*BN16^2*DATOS!$C$48))))*DATOS!$C$48*DATOS!$C$19*BN16/DATOS!$C$40)))-0.0001,MAX(DATOS!$C$29,CEILING(BO16/INDEX(TABLAS!$D$52:$D$58,MIN(MATCH(DATOS!$C$27,TABLAS!$B$52:$B$58,0)+0,7)),1)),MAX(MAX(DATOS!$C$29,CEILING(BO16/INDEX(TABLAS!$D$52:$D$58,MIN(MATCH(DATOS!$C$27,TABLAS!$B$52:$B$58,0)+0,7)),1)),2))&lt;=MIN(DATOS!$C$28,INT(((DATOS!$C$13-2*S16-2*IF(DATOS!$C$25=0,0,INDEX(TABLAS!$C$52:$C$58,MATCH(DATOS!$C$25,TABLAS!$B$52:$B$58,0))))+MAX(DATOS!$C$32,INDEX(TABLAS!$C$52:$C$58,MIN(MATCH(DATOS!$C$27,TABLAS!$B$52:$B$58,0)+0,7))))/(INDEX(TABLAS!$C$52:$C$58,MIN(MATCH(DATOS!$C$27,TABLAS!$B$52:$B$58,0)+0,7))+MAX(DATOS!$C$32,INDEX(TABLAS!$C$52:$C$58,MIN(MATCH(DATOS!$C$27,TABLAS!$B$52:$B$58,0)+0,7))))))),INDEX(TABLAS!$B$52:$B$58,MIN(MATCH(DATOS!$C$27,TABLAS!$B$52:$B$58,0)+0,7)),IF(AND(BO16&gt;=0,IF(MAX(DATOS!$C$29,CEILING(BO16/INDEX(TABLAS!$D$52:$D$58,MIN(MATCH(DATOS!$C$27,TABLAS!$B$52:$B$58,0)+1,7)),1))*INDEX(TABLAS!$D$52:$D$58,MIN(MATCH(DATOS!$C$27,TABLAS!$B$52:$B$58,0)+1,7))&gt;=4/3*IF(BC16&lt;=0,0,IF((1-2*BC16*1E5/(DATOS!$C$58*DATOS!$C$19*BN16^2*DATOS!$C$48))&lt;0,-1,IF((1-SQRT((1-2*BC16*1E5/(DATOS!$C$58*DATOS!$C$19*BN16^2*DATOS!$C$48))))*DATOS!$C$48*DATOS!$C$19*BN16/DATOS!$C$40&gt;DATOS!$C$82*DATOS!$C$19*BN16,-1,(1-SQRT((1-2*BC16*1E5/(DATOS!$C$58*DATOS!$C$19*BN16^2*DATOS!$C$48))))*DATOS!$C$48*DATOS!$C$19*BN16/DATOS!$C$40)))-0.0001,MAX(DATOS!$C$29,CEILING(BO16/INDEX(TABLAS!$D$52:$D$58,MIN(MATCH(DATOS!$C$27,TABLAS!$B$52:$B$58,0)+1,7)),1)),MAX(MAX(DATOS!$C$29,CEILING(BO16/INDEX(TABLAS!$D$52:$D$58,MIN(MATCH(DATOS!$C$27,TABLAS!$B$52:$B$58,0)+1,7)),1)),2))&lt;=MIN(DATOS!$C$28,INT(((DATOS!$C$13-2*S16-2*IF(DATOS!$C$25=0,0,INDEX(TABLAS!$C$52:$C$58,MATCH(DATOS!$C$25,TABLAS!$B$52:$B$58,0))))+MAX(DATOS!$C$32,INDEX(TABLAS!$C$52:$C$58,MIN(MATCH(DATOS!$C$27,TABLAS!$B$52:$B$58,0)+1,7))))/(INDEX(TABLAS!$C$52:$C$58,MIN(MATCH(DATOS!$C$27,TABLAS!$B$52:$B$58,0)+1,7))+MAX(DATOS!$C$32,INDEX(TABLAS!$C$52:$C$58,MIN(MATCH(DATOS!$C$27,TABLAS!$B$52:$B$58,0)+1,7))))))),INDEX(TABLAS!$B$52:$B$58,MIN(MATCH(DATOS!$C$27,TABLAS!$B$52:$B$58,0)+1,7)),IF(AND(BO16&gt;=0,IF(MAX(DATOS!$C$29,CEILING(BO16/INDEX(TABLAS!$D$52:$D$58,MIN(MATCH(DATOS!$C$27,TABLAS!$B$52:$B$58,0)+2,7)),1))*INDEX(TABLAS!$D$52:$D$58,MIN(MATCH(DATOS!$C$27,TABLAS!$B$52:$B$58,0)+2,7))&gt;=4/3*IF(BC16&lt;=0,0,IF((1-2*BC16*1E5/(DATOS!$C$58*DATOS!$C$19*BN16^2*DATOS!$C$48))&lt;0,-1,IF((1-SQRT((1-2*BC16*1E5/(DATOS!$C$58*DATOS!$C$19*BN16^2*DATOS!$C$48))))*DATOS!$C$48*DATOS!$C$19*BN16/DATOS!$C$40&gt;DATOS!$C$82*DATOS!$C$19*BN16,-1,(1-SQRT((1-2*BC16*1E5/(DATOS!$C$58*DATOS!$C$19*BN16^2*DATOS!$C$48))))*DATOS!$C$48*DATOS!$C$19*BN16/DATOS!$C$40)))-0.0001,MAX(DATOS!$C$29,CEILING(BO16/INDEX(TABLAS!$D$52:$D$58,MIN(MATCH(DATOS!$C$27,TABLAS!$B$52:$B$58,0)+2,7)),1)),MAX(MAX(DATOS!$C$29,CEILING(BO16/INDEX(TABLAS!$D$52:$D$58,MIN(MATCH(DATOS!$C$27,TABLAS!$B$52:$B$58,0)+2,7)),1)),2))&lt;=MIN(DATOS!$C$28,INT(((DATOS!$C$13-2*S16-2*IF(DATOS!$C$25=0,0,INDEX(TABLAS!$C$52:$C$58,MATCH(DATOS!$C$25,TABLAS!$B$52:$B$58,0))))+MAX(DATOS!$C$32,INDEX(TABLAS!$C$52:$C$58,MIN(MATCH(DATOS!$C$27,TABLAS!$B$52:$B$58,0)+2,7))))/(INDEX(TABLAS!$C$52:$C$58,MIN(MATCH(DATOS!$C$27,TABLAS!$B$52:$B$58,0)+2,7))+MAX(DATOS!$C$32,INDEX(TABLAS!$C$52:$C$58,MIN(MATCH(DATOS!$C$27,TABLAS!$B$52:$B$58,0)+2,7))))))),INDEX(TABLAS!$B$52:$B$58,MIN(MATCH(DATOS!$C$27,TABLAS!$B$52:$B$58,0)+2,7)),IF(AND(BO16&gt;=0,IF(MAX(DATOS!$C$29,CEILING(BO16/INDEX(TABLAS!$D$52:$D$58,MIN(MATCH(DATOS!$C$27,TABLAS!$B$52:$B$58,0)+3,7)),1))*INDEX(TABLAS!$D$52:$D$58,MIN(MATCH(DATOS!$C$27,TABLAS!$B$52:$B$58,0)+3,7))&gt;=4/3*IF(BC16&lt;=0,0,IF((1-2*BC16*1E5/(DATOS!$C$58*DATOS!$C$19*BN16^2*DATOS!$C$48))&lt;0,-1,IF((1-SQRT((1-2*BC16*1E5/(DATOS!$C$58*DATOS!$C$19*BN16^2*DATOS!$C$48))))*DATOS!$C$48*DATOS!$C$19*BN16/DATOS!$C$40&gt;DATOS!$C$82*DATOS!$C$19*BN16,-1,(1-SQRT((1-2*BC16*1E5/(DATOS!$C$58*DATOS!$C$19*BN16^2*DATOS!$C$48))))*DATOS!$C$48*DATOS!$C$19*BN16/DATOS!$C$40)))-0.0001,MAX(DATOS!$C$29,CEILING(BO16/INDEX(TABLAS!$D$52:$D$58,MIN(MATCH(DATOS!$C$27,TABLAS!$B$52:$B$58,0)+3,7)),1)),MAX(MAX(DATOS!$C$29,CEILING(BO16/INDEX(TABLAS!$D$52:$D$58,MIN(MATCH(DATOS!$C$27,TABLAS!$B$52:$B$58,0)+3,7)),1)),2))&lt;=MIN(DATOS!$C$28,INT(((DATOS!$C$13-2*S16-2*IF(DATOS!$C$25=0,0,INDEX(TABLAS!$C$52:$C$58,MATCH(DATOS!$C$25,TABLAS!$B$52:$B$58,0))))+MAX(DATOS!$C$32,INDEX(TABLAS!$C$52:$C$58,MIN(MATCH(DATOS!$C$27,TABLAS!$B$52:$B$58,0)+3,7))))/(INDEX(TABLAS!$C$52:$C$58,MIN(MATCH(DATOS!$C$27,TABLAS!$B$52:$B$58,0)+3,7))+MAX(DATOS!$C$32,INDEX(TABLAS!$C$52:$C$58,MIN(MATCH(DATOS!$C$27,TABLAS!$B$52:$B$58,0)+3,7))))))),INDEX(TABLAS!$B$52:$B$58,MIN(MATCH(DATOS!$C$27,TABLAS!$B$52:$B$58,0)+3,7)),IF(AND(BO16&gt;=0,IF(MAX(DATOS!$C$29,CEILING(BO16/INDEX(TABLAS!$D$52:$D$58,MIN(MATCH(DATOS!$C$27,TABLAS!$B$52:$B$58,0)+4,7)),1))*INDEX(TABLAS!$D$52:$D$58,MIN(MATCH(DATOS!$C$27,TABLAS!$B$52:$B$58,0)+4,7))&gt;=4/3*IF(BC16&lt;=0,0,IF((1-2*BC16*1E5/(DATOS!$C$58*DATOS!$C$19*BN16^2*DATOS!$C$48))&lt;0,-1,IF((1-SQRT((1-2*BC16*1E5/(DATOS!$C$58*DATOS!$C$19*BN16^2*DATOS!$C$48))))*DATOS!$C$48*DATOS!$C$19*BN16/DATOS!$C$40&gt;DATOS!$C$82*DATOS!$C$19*BN16,-1,(1-SQRT((1-2*BC16*1E5/(DATOS!$C$58*DATOS!$C$19*BN16^2*DATOS!$C$48))))*DATOS!$C$48*DATOS!$C$19*BN16/DATOS!$C$40)))-0.0001,MAX(DATOS!$C$29,CEILING(BO16/INDEX(TABLAS!$D$52:$D$58,MIN(MATCH(DATOS!$C$27,TABLAS!$B$52:$B$58,0)+4,7)),1)),MAX(MAX(DATOS!$C$29,CEILING(BO16/INDEX(TABLAS!$D$52:$D$58,MIN(MATCH(DATOS!$C$27,TABLAS!$B$52:$B$58,0)+4,7)),1)),2))&lt;=MIN(DATOS!$C$28,INT(((DATOS!$C$13-2*S16-2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5</v>
      </c>
      <c r="BQ16" s="56">
        <f>IF(D16="HUECO",0,IF(BO16&lt;0,0,IF(MAX(DATOS!$C$29,CEILING(MAX(BO16,0)/INDEX(TABLAS!$D$52:$D$58,MATCH(BP16,TABLAS!$B$52:$B$58,0)),1))*INDEX(TABLAS!$D$52:$D$58,MATCH(BP16,TABLAS!$B$52:$B$58,0))&gt;=4/3*IF(BC16&lt;=0,0,IF((1-2*BC16*1E5/(DATOS!$C$58*DATOS!$C$19*BN16^2*DATOS!$C$48))&lt;0,-1,IF((1-SQRT((1-2*BC16*1E5/(DATOS!$C$58*DATOS!$C$19*BN16^2*DATOS!$C$48))))*DATOS!$C$48*DATOS!$C$19*BN16/DATOS!$C$40&gt;DATOS!$C$82*DATOS!$C$19*BN16,-1,(1-SQRT((1-2*BC16*1E5/(DATOS!$C$58*DATOS!$C$19*BN16^2*DATOS!$C$48))))*DATOS!$C$48*DATOS!$C$19*BN16/DATOS!$C$40)))-0.0001,MAX(DATOS!$C$29,CEILING(MAX(BO16,0)/INDEX(TABLAS!$D$52:$D$58,MATCH(BP16,TABLAS!$B$52:$B$58,0)),1)),MAX(MAX(DATOS!$C$29,CEILING(MAX(BO16,0)/INDEX(TABLAS!$D$52:$D$58,MATCH(BP16,TABLAS!$B$52:$B$58,0)),1)),2))))</f>
        <v>1</v>
      </c>
      <c r="BR16" s="43">
        <f>((DATOS!$C$15-S16-2*DATOS!$C$35-IF(DATOS!$C$25=0,0,INDEX(TABLAS!$C$52:$C$58,MATCH(DATOS!$C$25,TABLAS!$B$52:$B$58,0)))-INDEX(TABLAS!$C$52:$C$58,MATCH(BP16,TABLAS!$B$52:$B$58,0))/2)-IF(AND((DATOS!$C$15-S16-2*DATOS!$C$35-IF(DATOS!$C$25=0,0,INDEX(TABLAS!$C$52:$C$58,MATCH(DATOS!$C$25,TABLAS!$B$52:$B$58,0)))-INDEX(TABLAS!$C$52:$C$58,MATCH(BP16,TABLAS!$B$52:$B$58,0))/2)&lt;=20,DATOS!$C$18&lt;&gt;"SÍ"),2,0))</f>
        <v>19.229</v>
      </c>
      <c r="BS16" s="36">
        <f>IF(BQ16=0,0,DATOS!$C$58*BQ16*INDEX(TABLAS!$D$52:$D$58,MATCH(BP16,TABLAS!$B$52:$B$58,0))*DATOS!$C$40*(BR16-BQ16*INDEX(TABLAS!$D$52:$D$58,MATCH(BP16,TABLAS!$B$52:$B$58,0))*DATOS!$C$40/(DATOS!$C$48*DATOS!$C$19)/2)/1E5)</f>
        <v>1.29272758094118</v>
      </c>
      <c r="BT16" s="62">
        <f>IF(BO16&lt;0,9.99,IF(BS16&gt;0,BC16/BS16,0))</f>
        <v>0.530818885986379</v>
      </c>
      <c r="BU16" s="63">
        <f>IF(BQ16=0,"—",0.003*(BR16-(BQ16*INDEX(TABLAS!$D$52:$D$58,MATCH(BP16,TABLAS!$B$52:$B$58,0))*DATOS!$C$40/(DATOS!$C$48*DATOS!$C$19)/DATOS!$C$49))/(BQ16*INDEX(TABLAS!$D$52:$D$58,MATCH(BP16,TABLAS!$B$52:$B$58,0))*DATOS!$C$40/(DATOS!$C$48*DATOS!$C$19)/DATOS!$C$49))</f>
        <v>0.00952971906565657</v>
      </c>
      <c r="BV16" s="43">
        <f>(DATOS!$C$15-R16-IF(DATOS!$C$25=0,0,INDEX(TABLAS!$C$52:$C$58,MATCH(DATOS!$C$25,TABLAS!$B$52:$B$58,0)))-INDEX(TABLAS!$C$52:$C$58,MATCH(DATOS!$C$26,TABLAS!$B$52:$B$58,0))-INDEX(TABLAS!$C$52:$C$58,MATCH(DATOS!$C$26,TABLAS!$B$52:$B$58,0))/2)</f>
        <v>19.095</v>
      </c>
      <c r="BW16" s="43">
        <f>IF(D16="HUECO",0,IF(IF(BD16&lt;=0,0,IF((1-2*BD16*1E5/(DATOS!$C$58*Q16*BV16^2*DATOS!$C$48))&lt;0,-1,IF((1-SQRT((1-2*BD16*1E5/(DATOS!$C$58*Q16*BV16^2*DATOS!$C$48))))*DATOS!$C$48*Q16*BV16/DATOS!$C$40&gt;DATOS!$C$82*Q16*BV16,-1,(1-SQRT((1-2*BD16*1E5/(DATOS!$C$58*Q16*BV16^2*DATOS!$C$48))))*DATOS!$C$48*Q16*BV16/DATOS!$C$40)))&lt;0,-1,MAX(IF(BD16&lt;=0,0,IF((1-2*BD16*1E5/(DATOS!$C$58*Q16*BV16^2*DATOS!$C$48))&lt;0,-1,IF((1-SQRT((1-2*BD16*1E5/(DATOS!$C$58*Q16*BV16^2*DATOS!$C$48))))*DATOS!$C$48*Q16*BV16/DATOS!$C$40&gt;DATOS!$C$82*Q16*BV16,-1,(1-SQRT((1-2*BD16*1E5/(DATOS!$C$58*Q16*BV16^2*DATOS!$C$48))))*DATOS!$C$48*Q16*BV16/DATOS!$C$40))),MIN(DATOS!$C$83*DATOS!$C$13*BV16,4/3*IF(BD16&lt;=0,0,IF((1-2*BD16*1E5/(DATOS!$C$58*Q16*BV16^2*DATOS!$C$48))&lt;0,-1,IF((1-SQRT((1-2*BD16*1E5/(DATOS!$C$58*Q16*BV16^2*DATOS!$C$48))))*DATOS!$C$48*Q16*BV16/DATOS!$C$40&gt;DATOS!$C$82*Q16*BV16,-1,(1-SQRT((1-2*BD16*1E5/(DATOS!$C$58*Q16*BV16^2*DATOS!$C$48))))*DATOS!$C$48*Q16*BV16/DATOS!$C$40)))))))</f>
        <v>0.38048690487406</v>
      </c>
      <c r="BX16" s="41">
        <f>IF(AND(BW16&gt;=0,IF(MAX(DATOS!$C$29,CEILING(BW16/INDEX(TABLAS!$D$52:$D$58,MIN(MATCH(DATOS!$C$26,TABLAS!$B$52:$B$58,0)+0,7)),1))*INDEX(TABLAS!$D$52:$D$58,MIN(MATCH(DATOS!$C$26,TABLAS!$B$52:$B$58,0)+0,7))&gt;=4/3*IF(BD16&lt;=0,0,IF((1-2*BD16*1E5/(DATOS!$C$58*Q16*BV16^2*DATOS!$C$48))&lt;0,-1,IF((1-SQRT((1-2*BD16*1E5/(DATOS!$C$58*Q16*BV16^2*DATOS!$C$48))))*DATOS!$C$48*Q16*BV16/DATOS!$C$40&gt;DATOS!$C$82*Q16*BV16,-1,(1-SQRT((1-2*BD16*1E5/(DATOS!$C$58*Q16*BV16^2*DATOS!$C$48))))*DATOS!$C$48*Q16*BV16/DATOS!$C$40)))-0.0001,MAX(DATOS!$C$29,CEILING(BW16/INDEX(TABLAS!$D$52:$D$58,MIN(MATCH(DATOS!$C$26,TABLAS!$B$52:$B$58,0)+0,7)),1)),MAX(MAX(DATOS!$C$29,CEILING(BW16/INDEX(TABLAS!$D$52:$D$58,MIN(MATCH(DATOS!$C$26,TABLAS!$B$52:$B$58,0)+0,7)),1)),2))&lt;=MIN(DATOS!$C$28,INT(((DATOS!$C$13-2*R16-2*IF(DATOS!$C$25=0,0,INDEX(TABLAS!$C$52:$C$58,MATCH(DATOS!$C$25,TABLAS!$B$52:$B$58,0))))+MAX(DATOS!$C$32,INDEX(TABLAS!$C$52:$C$58,MIN(MATCH(DATOS!$C$26,TABLAS!$B$52:$B$58,0)+0,7))))/(INDEX(TABLAS!$C$52:$C$58,MIN(MATCH(DATOS!$C$26,TABLAS!$B$52:$B$58,0)+0,7))+MAX(DATOS!$C$32,INDEX(TABLAS!$C$52:$C$58,MIN(MATCH(DATOS!$C$26,TABLAS!$B$52:$B$58,0)+0,7))))))),INDEX(TABLAS!$B$52:$B$58,MIN(MATCH(DATOS!$C$26,TABLAS!$B$52:$B$58,0)+0,7)),IF(AND(BW16&gt;=0,IF(MAX(DATOS!$C$29,CEILING(BW16/INDEX(TABLAS!$D$52:$D$58,MIN(MATCH(DATOS!$C$26,TABLAS!$B$52:$B$58,0)+1,7)),1))*INDEX(TABLAS!$D$52:$D$58,MIN(MATCH(DATOS!$C$26,TABLAS!$B$52:$B$58,0)+1,7))&gt;=4/3*IF(BD16&lt;=0,0,IF((1-2*BD16*1E5/(DATOS!$C$58*Q16*BV16^2*DATOS!$C$48))&lt;0,-1,IF((1-SQRT((1-2*BD16*1E5/(DATOS!$C$58*Q16*BV16^2*DATOS!$C$48))))*DATOS!$C$48*Q16*BV16/DATOS!$C$40&gt;DATOS!$C$82*Q16*BV16,-1,(1-SQRT((1-2*BD16*1E5/(DATOS!$C$58*Q16*BV16^2*DATOS!$C$48))))*DATOS!$C$48*Q16*BV16/DATOS!$C$40)))-0.0001,MAX(DATOS!$C$29,CEILING(BW16/INDEX(TABLAS!$D$52:$D$58,MIN(MATCH(DATOS!$C$26,TABLAS!$B$52:$B$58,0)+1,7)),1)),MAX(MAX(DATOS!$C$29,CEILING(BW16/INDEX(TABLAS!$D$52:$D$58,MIN(MATCH(DATOS!$C$26,TABLAS!$B$52:$B$58,0)+1,7)),1)),2))&lt;=MIN(DATOS!$C$28,INT(((DATOS!$C$13-2*R16-2*IF(DATOS!$C$25=0,0,INDEX(TABLAS!$C$52:$C$58,MATCH(DATOS!$C$25,TABLAS!$B$52:$B$58,0))))+MAX(DATOS!$C$32,INDEX(TABLAS!$C$52:$C$58,MIN(MATCH(DATOS!$C$26,TABLAS!$B$52:$B$58,0)+1,7))))/(INDEX(TABLAS!$C$52:$C$58,MIN(MATCH(DATOS!$C$26,TABLAS!$B$52:$B$58,0)+1,7))+MAX(DATOS!$C$32,INDEX(TABLAS!$C$52:$C$58,MIN(MATCH(DATOS!$C$26,TABLAS!$B$52:$B$58,0)+1,7))))))),INDEX(TABLAS!$B$52:$B$58,MIN(MATCH(DATOS!$C$26,TABLAS!$B$52:$B$58,0)+1,7)),IF(AND(BW16&gt;=0,IF(MAX(DATOS!$C$29,CEILING(BW16/INDEX(TABLAS!$D$52:$D$58,MIN(MATCH(DATOS!$C$26,TABLAS!$B$52:$B$58,0)+2,7)),1))*INDEX(TABLAS!$D$52:$D$58,MIN(MATCH(DATOS!$C$26,TABLAS!$B$52:$B$58,0)+2,7))&gt;=4/3*IF(BD16&lt;=0,0,IF((1-2*BD16*1E5/(DATOS!$C$58*Q16*BV16^2*DATOS!$C$48))&lt;0,-1,IF((1-SQRT((1-2*BD16*1E5/(DATOS!$C$58*Q16*BV16^2*DATOS!$C$48))))*DATOS!$C$48*Q16*BV16/DATOS!$C$40&gt;DATOS!$C$82*Q16*BV16,-1,(1-SQRT((1-2*BD16*1E5/(DATOS!$C$58*Q16*BV16^2*DATOS!$C$48))))*DATOS!$C$48*Q16*BV16/DATOS!$C$40)))-0.0001,MAX(DATOS!$C$29,CEILING(BW16/INDEX(TABLAS!$D$52:$D$58,MIN(MATCH(DATOS!$C$26,TABLAS!$B$52:$B$58,0)+2,7)),1)),MAX(MAX(DATOS!$C$29,CEILING(BW16/INDEX(TABLAS!$D$52:$D$58,MIN(MATCH(DATOS!$C$26,TABLAS!$B$52:$B$58,0)+2,7)),1)),2))&lt;=MIN(DATOS!$C$28,INT(((DATOS!$C$13-2*R16-2*IF(DATOS!$C$25=0,0,INDEX(TABLAS!$C$52:$C$58,MATCH(DATOS!$C$25,TABLAS!$B$52:$B$58,0))))+MAX(DATOS!$C$32,INDEX(TABLAS!$C$52:$C$58,MIN(MATCH(DATOS!$C$26,TABLAS!$B$52:$B$58,0)+2,7))))/(INDEX(TABLAS!$C$52:$C$58,MIN(MATCH(DATOS!$C$26,TABLAS!$B$52:$B$58,0)+2,7))+MAX(DATOS!$C$32,INDEX(TABLAS!$C$52:$C$58,MIN(MATCH(DATOS!$C$26,TABLAS!$B$52:$B$58,0)+2,7))))))),INDEX(TABLAS!$B$52:$B$58,MIN(MATCH(DATOS!$C$26,TABLAS!$B$52:$B$58,0)+2,7)),IF(AND(BW16&gt;=0,IF(MAX(DATOS!$C$29,CEILING(BW16/INDEX(TABLAS!$D$52:$D$58,MIN(MATCH(DATOS!$C$26,TABLAS!$B$52:$B$58,0)+3,7)),1))*INDEX(TABLAS!$D$52:$D$58,MIN(MATCH(DATOS!$C$26,TABLAS!$B$52:$B$58,0)+3,7))&gt;=4/3*IF(BD16&lt;=0,0,IF((1-2*BD16*1E5/(DATOS!$C$58*Q16*BV16^2*DATOS!$C$48))&lt;0,-1,IF((1-SQRT((1-2*BD16*1E5/(DATOS!$C$58*Q16*BV16^2*DATOS!$C$48))))*DATOS!$C$48*Q16*BV16/DATOS!$C$40&gt;DATOS!$C$82*Q16*BV16,-1,(1-SQRT((1-2*BD16*1E5/(DATOS!$C$58*Q16*BV16^2*DATOS!$C$48))))*DATOS!$C$48*Q16*BV16/DATOS!$C$40)))-0.0001,MAX(DATOS!$C$29,CEILING(BW16/INDEX(TABLAS!$D$52:$D$58,MIN(MATCH(DATOS!$C$26,TABLAS!$B$52:$B$58,0)+3,7)),1)),MAX(MAX(DATOS!$C$29,CEILING(BW16/INDEX(TABLAS!$D$52:$D$58,MIN(MATCH(DATOS!$C$26,TABLAS!$B$52:$B$58,0)+3,7)),1)),2))&lt;=MIN(DATOS!$C$28,INT(((DATOS!$C$13-2*R16-2*IF(DATOS!$C$25=0,0,INDEX(TABLAS!$C$52:$C$58,MATCH(DATOS!$C$25,TABLAS!$B$52:$B$58,0))))+MAX(DATOS!$C$32,INDEX(TABLAS!$C$52:$C$58,MIN(MATCH(DATOS!$C$26,TABLAS!$B$52:$B$58,0)+3,7))))/(INDEX(TABLAS!$C$52:$C$58,MIN(MATCH(DATOS!$C$26,TABLAS!$B$52:$B$58,0)+3,7))+MAX(DATOS!$C$32,INDEX(TABLAS!$C$52:$C$58,MIN(MATCH(DATOS!$C$26,TABLAS!$B$52:$B$58,0)+3,7))))))),INDEX(TABLAS!$B$52:$B$58,MIN(MATCH(DATOS!$C$26,TABLAS!$B$52:$B$58,0)+3,7)),IF(AND(BW16&gt;=0,IF(MAX(DATOS!$C$29,CEILING(BW16/INDEX(TABLAS!$D$52:$D$58,MIN(MATCH(DATOS!$C$26,TABLAS!$B$52:$B$58,0)+4,7)),1))*INDEX(TABLAS!$D$52:$D$58,MIN(MATCH(DATOS!$C$26,TABLAS!$B$52:$B$58,0)+4,7))&gt;=4/3*IF(BD16&lt;=0,0,IF((1-2*BD16*1E5/(DATOS!$C$58*Q16*BV16^2*DATOS!$C$48))&lt;0,-1,IF((1-SQRT((1-2*BD16*1E5/(DATOS!$C$58*Q16*BV16^2*DATOS!$C$48))))*DATOS!$C$48*Q16*BV16/DATOS!$C$40&gt;DATOS!$C$82*Q16*BV16,-1,(1-SQRT((1-2*BD16*1E5/(DATOS!$C$58*Q16*BV16^2*DATOS!$C$48))))*DATOS!$C$48*Q16*BV16/DATOS!$C$40)))-0.0001,MAX(DATOS!$C$29,CEILING(BW16/INDEX(TABLAS!$D$52:$D$58,MIN(MATCH(DATOS!$C$26,TABLAS!$B$52:$B$58,0)+4,7)),1)),MAX(MAX(DATOS!$C$29,CEILING(BW16/INDEX(TABLAS!$D$52:$D$58,MIN(MATCH(DATOS!$C$26,TABLAS!$B$52:$B$58,0)+4,7)),1)),2))&lt;=MIN(DATOS!$C$28,INT(((DATOS!$C$13-2*R16-2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16" s="56">
        <f>IF(D16="HUECO",0,IF(BW16&lt;0,0,IF(MAX(DATOS!$C$29,CEILING(MAX(BW16,0)/INDEX(TABLAS!$D$52:$D$58,MATCH(BX16,TABLAS!$B$52:$B$58,0)),1))*INDEX(TABLAS!$D$52:$D$58,MATCH(BX16,TABLAS!$B$52:$B$58,0))&gt;=4/3*IF(BD16&lt;=0,0,IF((1-2*BD16*1E5/(DATOS!$C$58*Q16*BV16^2*DATOS!$C$48))&lt;0,-1,IF((1-SQRT((1-2*BD16*1E5/(DATOS!$C$58*Q16*BV16^2*DATOS!$C$48))))*DATOS!$C$48*Q16*BV16/DATOS!$C$40&gt;DATOS!$C$82*Q16*BV16,-1,(1-SQRT((1-2*BD16*1E5/(DATOS!$C$58*Q16*BV16^2*DATOS!$C$48))))*DATOS!$C$48*Q16*BV16/DATOS!$C$40)))-0.0001,MAX(DATOS!$C$29,CEILING(MAX(BW16,0)/INDEX(TABLAS!$D$52:$D$58,MATCH(BX16,TABLAS!$B$52:$B$58,0)),1)),MAX(MAX(DATOS!$C$29,CEILING(MAX(BW16,0)/INDEX(TABLAS!$D$52:$D$58,MATCH(BX16,TABLAS!$B$52:$B$58,0)),1)),2))))</f>
        <v>1</v>
      </c>
      <c r="BZ16" s="43">
        <f>DATOS!$C$15-R16-IF(DATOS!$C$25=0,0,INDEX(TABLAS!$C$52:$C$58,MATCH(DATOS!$C$25,TABLAS!$B$52:$B$58,0)))-INDEX(TABLAS!$C$52:$C$58,MATCH(BH16,TABLAS!$B$52:$B$58,0))-INDEX(TABLAS!$C$52:$C$58,MATCH(BX16,TABLAS!$B$52:$B$58,0))/2</f>
        <v>19.095</v>
      </c>
      <c r="CA16" s="36">
        <f>IF(BY16=0,0,DATOS!$C$58*BY16*INDEX(TABLAS!$D$52:$D$58,MATCH(BX16,TABLAS!$B$52:$B$58,0))*DATOS!$C$40*(BZ16-BY16*INDEX(TABLAS!$D$52:$D$58,MATCH(BX16,TABLAS!$B$52:$B$58,0))*DATOS!$C$40/(DATOS!$C$48*Q16)/2)/1E5)</f>
        <v>0.908067376588235</v>
      </c>
      <c r="CB16" s="62">
        <f>IF(BW16&lt;0,9.99,IF(CA16&gt;0,BD16/CA16,0))</f>
        <v>0.226348238726402</v>
      </c>
      <c r="CC16" s="63">
        <f>IF(BY16=0,"—",0.003*(BZ16-(BY16*INDEX(TABLAS!$D$52:$D$58,MATCH(BX16,TABLAS!$B$52:$B$58,0))*DATOS!$C$40/(DATOS!$C$48*Q16)/DATOS!$C$49))/(BY16*INDEX(TABLAS!$D$52:$D$58,MATCH(BX16,TABLAS!$B$52:$B$58,0))*DATOS!$C$40/(DATOS!$C$48*Q16)/DATOS!$C$49))</f>
        <v>0.13278875492126</v>
      </c>
      <c r="CD16" s="43">
        <f>((DATOS!$C$15-S16-2*DATOS!$C$35-IF(DATOS!$C$25=0,0,INDEX(TABLAS!$C$52:$C$58,MATCH(DATOS!$C$25,TABLAS!$B$52:$B$58,0)))-INDEX(TABLAS!$C$52:$C$58,MATCH(DATOS!$C$27,TABLAS!$B$52:$B$58,0))-INDEX(TABLAS!$C$52:$C$58,MATCH(DATOS!$C$27,TABLAS!$B$52:$B$58,0))/2)-IF(AND((DATOS!$C$15-S16-2*DATOS!$C$35-IF(DATOS!$C$25=0,0,INDEX(TABLAS!$C$52:$C$58,MATCH(DATOS!$C$25,TABLAS!$B$52:$B$58,0)))-INDEX(TABLAS!$C$52:$C$58,MATCH(DATOS!$C$27,TABLAS!$B$52:$B$58,0))-INDEX(TABLAS!$C$52:$C$58,MATCH(DATOS!$C$27,TABLAS!$B$52:$B$58,0))/2)&lt;=20,DATOS!$C$18&lt;&gt;"SÍ"),2,0))</f>
        <v>18.119</v>
      </c>
      <c r="CE16" s="43">
        <f>IF(D16="HUECO",0,IF(IF(BE16&lt;=0,0,IF((1-2*BE16*1E5/(DATOS!$C$58*DATOS!$C$19*CD16^2*DATOS!$C$48))&lt;0,-1,IF((1-SQRT((1-2*BE16*1E5/(DATOS!$C$58*DATOS!$C$19*CD16^2*DATOS!$C$48))))*DATOS!$C$48*DATOS!$C$19*CD16/DATOS!$C$40&gt;DATOS!$C$82*DATOS!$C$19*CD16,-1,(1-SQRT((1-2*BE16*1E5/(DATOS!$C$58*DATOS!$C$19*CD16^2*DATOS!$C$48))))*DATOS!$C$48*DATOS!$C$19*CD16/DATOS!$C$40)))&lt;0,-1,MAX(IF(BE16&lt;=0,0,IF((1-2*BE16*1E5/(DATOS!$C$58*DATOS!$C$19*CD16^2*DATOS!$C$48))&lt;0,-1,IF((1-SQRT((1-2*BE16*1E5/(DATOS!$C$58*DATOS!$C$19*CD16^2*DATOS!$C$48))))*DATOS!$C$48*DATOS!$C$19*CD16/DATOS!$C$40&gt;DATOS!$C$82*DATOS!$C$19*CD16,-1,(1-SQRT((1-2*BE16*1E5/(DATOS!$C$58*DATOS!$C$19*CD16^2*DATOS!$C$48))))*DATOS!$C$48*DATOS!$C$19*CD16/DATOS!$C$40))),MIN(DATOS!$C$83*DATOS!$C$13*CD16,4/3*IF(BE16&lt;=0,0,IF((1-2*BE16*1E5/(DATOS!$C$58*DATOS!$C$19*CD16^2*DATOS!$C$48))&lt;0,-1,IF((1-SQRT((1-2*BE16*1E5/(DATOS!$C$58*DATOS!$C$19*CD16^2*DATOS!$C$48))))*DATOS!$C$48*DATOS!$C$19*CD16/DATOS!$C$40&gt;DATOS!$C$82*DATOS!$C$19*CD16,-1,(1-SQRT((1-2*BE16*1E5/(DATOS!$C$58*DATOS!$C$19*CD16^2*DATOS!$C$48))))*DATOS!$C$48*DATOS!$C$19*CD16/DATOS!$C$40)))))))</f>
        <v>0.603966666666667</v>
      </c>
      <c r="CF16" s="41">
        <f>IF(AND(CE16&gt;=0,IF(MAX(DATOS!$C$29,CEILING(CE16/INDEX(TABLAS!$D$52:$D$58,MIN(MATCH(DATOS!$C$27,TABLAS!$B$52:$B$58,0)+0,7)),1))*INDEX(TABLAS!$D$52:$D$58,MIN(MATCH(DATOS!$C$27,TABLAS!$B$52:$B$58,0)+0,7))&gt;=4/3*IF(BE16&lt;=0,0,IF((1-2*BE16*1E5/(DATOS!$C$58*DATOS!$C$19*CD16^2*DATOS!$C$48))&lt;0,-1,IF((1-SQRT((1-2*BE16*1E5/(DATOS!$C$58*DATOS!$C$19*CD16^2*DATOS!$C$48))))*DATOS!$C$48*DATOS!$C$19*CD16/DATOS!$C$40&gt;DATOS!$C$82*DATOS!$C$19*CD16,-1,(1-SQRT((1-2*BE16*1E5/(DATOS!$C$58*DATOS!$C$19*CD16^2*DATOS!$C$48))))*DATOS!$C$48*DATOS!$C$19*CD16/DATOS!$C$40)))-0.0001,MAX(DATOS!$C$29,CEILING(CE16/INDEX(TABLAS!$D$52:$D$58,MIN(MATCH(DATOS!$C$27,TABLAS!$B$52:$B$58,0)+0,7)),1)),MAX(MAX(DATOS!$C$29,CEILING(CE16/INDEX(TABLAS!$D$52:$D$58,MIN(MATCH(DATOS!$C$27,TABLAS!$B$52:$B$58,0)+0,7)),1)),2))&lt;=MIN(DATOS!$C$28,INT(((DATOS!$C$13-2*S16-2*IF(DATOS!$C$25=0,0,INDEX(TABLAS!$C$52:$C$58,MATCH(DATOS!$C$25,TABLAS!$B$52:$B$58,0))))+MAX(DATOS!$C$32,INDEX(TABLAS!$C$52:$C$58,MIN(MATCH(DATOS!$C$27,TABLAS!$B$52:$B$58,0)+0,7))))/(INDEX(TABLAS!$C$52:$C$58,MIN(MATCH(DATOS!$C$27,TABLAS!$B$52:$B$58,0)+0,7))+MAX(DATOS!$C$32,INDEX(TABLAS!$C$52:$C$58,MIN(MATCH(DATOS!$C$27,TABLAS!$B$52:$B$58,0)+0,7))))))),INDEX(TABLAS!$B$52:$B$58,MIN(MATCH(DATOS!$C$27,TABLAS!$B$52:$B$58,0)+0,7)),IF(AND(CE16&gt;=0,IF(MAX(DATOS!$C$29,CEILING(CE16/INDEX(TABLAS!$D$52:$D$58,MIN(MATCH(DATOS!$C$27,TABLAS!$B$52:$B$58,0)+1,7)),1))*INDEX(TABLAS!$D$52:$D$58,MIN(MATCH(DATOS!$C$27,TABLAS!$B$52:$B$58,0)+1,7))&gt;=4/3*IF(BE16&lt;=0,0,IF((1-2*BE16*1E5/(DATOS!$C$58*DATOS!$C$19*CD16^2*DATOS!$C$48))&lt;0,-1,IF((1-SQRT((1-2*BE16*1E5/(DATOS!$C$58*DATOS!$C$19*CD16^2*DATOS!$C$48))))*DATOS!$C$48*DATOS!$C$19*CD16/DATOS!$C$40&gt;DATOS!$C$82*DATOS!$C$19*CD16,-1,(1-SQRT((1-2*BE16*1E5/(DATOS!$C$58*DATOS!$C$19*CD16^2*DATOS!$C$48))))*DATOS!$C$48*DATOS!$C$19*CD16/DATOS!$C$40)))-0.0001,MAX(DATOS!$C$29,CEILING(CE16/INDEX(TABLAS!$D$52:$D$58,MIN(MATCH(DATOS!$C$27,TABLAS!$B$52:$B$58,0)+1,7)),1)),MAX(MAX(DATOS!$C$29,CEILING(CE16/INDEX(TABLAS!$D$52:$D$58,MIN(MATCH(DATOS!$C$27,TABLAS!$B$52:$B$58,0)+1,7)),1)),2))&lt;=MIN(DATOS!$C$28,INT(((DATOS!$C$13-2*S16-2*IF(DATOS!$C$25=0,0,INDEX(TABLAS!$C$52:$C$58,MATCH(DATOS!$C$25,TABLAS!$B$52:$B$58,0))))+MAX(DATOS!$C$32,INDEX(TABLAS!$C$52:$C$58,MIN(MATCH(DATOS!$C$27,TABLAS!$B$52:$B$58,0)+1,7))))/(INDEX(TABLAS!$C$52:$C$58,MIN(MATCH(DATOS!$C$27,TABLAS!$B$52:$B$58,0)+1,7))+MAX(DATOS!$C$32,INDEX(TABLAS!$C$52:$C$58,MIN(MATCH(DATOS!$C$27,TABLAS!$B$52:$B$58,0)+1,7))))))),INDEX(TABLAS!$B$52:$B$58,MIN(MATCH(DATOS!$C$27,TABLAS!$B$52:$B$58,0)+1,7)),IF(AND(CE16&gt;=0,IF(MAX(DATOS!$C$29,CEILING(CE16/INDEX(TABLAS!$D$52:$D$58,MIN(MATCH(DATOS!$C$27,TABLAS!$B$52:$B$58,0)+2,7)),1))*INDEX(TABLAS!$D$52:$D$58,MIN(MATCH(DATOS!$C$27,TABLAS!$B$52:$B$58,0)+2,7))&gt;=4/3*IF(BE16&lt;=0,0,IF((1-2*BE16*1E5/(DATOS!$C$58*DATOS!$C$19*CD16^2*DATOS!$C$48))&lt;0,-1,IF((1-SQRT((1-2*BE16*1E5/(DATOS!$C$58*DATOS!$C$19*CD16^2*DATOS!$C$48))))*DATOS!$C$48*DATOS!$C$19*CD16/DATOS!$C$40&gt;DATOS!$C$82*DATOS!$C$19*CD16,-1,(1-SQRT((1-2*BE16*1E5/(DATOS!$C$58*DATOS!$C$19*CD16^2*DATOS!$C$48))))*DATOS!$C$48*DATOS!$C$19*CD16/DATOS!$C$40)))-0.0001,MAX(DATOS!$C$29,CEILING(CE16/INDEX(TABLAS!$D$52:$D$58,MIN(MATCH(DATOS!$C$27,TABLAS!$B$52:$B$58,0)+2,7)),1)),MAX(MAX(DATOS!$C$29,CEILING(CE16/INDEX(TABLAS!$D$52:$D$58,MIN(MATCH(DATOS!$C$27,TABLAS!$B$52:$B$58,0)+2,7)),1)),2))&lt;=MIN(DATOS!$C$28,INT(((DATOS!$C$13-2*S16-2*IF(DATOS!$C$25=0,0,INDEX(TABLAS!$C$52:$C$58,MATCH(DATOS!$C$25,TABLAS!$B$52:$B$58,0))))+MAX(DATOS!$C$32,INDEX(TABLAS!$C$52:$C$58,MIN(MATCH(DATOS!$C$27,TABLAS!$B$52:$B$58,0)+2,7))))/(INDEX(TABLAS!$C$52:$C$58,MIN(MATCH(DATOS!$C$27,TABLAS!$B$52:$B$58,0)+2,7))+MAX(DATOS!$C$32,INDEX(TABLAS!$C$52:$C$58,MIN(MATCH(DATOS!$C$27,TABLAS!$B$52:$B$58,0)+2,7))))))),INDEX(TABLAS!$B$52:$B$58,MIN(MATCH(DATOS!$C$27,TABLAS!$B$52:$B$58,0)+2,7)),IF(AND(CE16&gt;=0,IF(MAX(DATOS!$C$29,CEILING(CE16/INDEX(TABLAS!$D$52:$D$58,MIN(MATCH(DATOS!$C$27,TABLAS!$B$52:$B$58,0)+3,7)),1))*INDEX(TABLAS!$D$52:$D$58,MIN(MATCH(DATOS!$C$27,TABLAS!$B$52:$B$58,0)+3,7))&gt;=4/3*IF(BE16&lt;=0,0,IF((1-2*BE16*1E5/(DATOS!$C$58*DATOS!$C$19*CD16^2*DATOS!$C$48))&lt;0,-1,IF((1-SQRT((1-2*BE16*1E5/(DATOS!$C$58*DATOS!$C$19*CD16^2*DATOS!$C$48))))*DATOS!$C$48*DATOS!$C$19*CD16/DATOS!$C$40&gt;DATOS!$C$82*DATOS!$C$19*CD16,-1,(1-SQRT((1-2*BE16*1E5/(DATOS!$C$58*DATOS!$C$19*CD16^2*DATOS!$C$48))))*DATOS!$C$48*DATOS!$C$19*CD16/DATOS!$C$40)))-0.0001,MAX(DATOS!$C$29,CEILING(CE16/INDEX(TABLAS!$D$52:$D$58,MIN(MATCH(DATOS!$C$27,TABLAS!$B$52:$B$58,0)+3,7)),1)),MAX(MAX(DATOS!$C$29,CEILING(CE16/INDEX(TABLAS!$D$52:$D$58,MIN(MATCH(DATOS!$C$27,TABLAS!$B$52:$B$58,0)+3,7)),1)),2))&lt;=MIN(DATOS!$C$28,INT(((DATOS!$C$13-2*S16-2*IF(DATOS!$C$25=0,0,INDEX(TABLAS!$C$52:$C$58,MATCH(DATOS!$C$25,TABLAS!$B$52:$B$58,0))))+MAX(DATOS!$C$32,INDEX(TABLAS!$C$52:$C$58,MIN(MATCH(DATOS!$C$27,TABLAS!$B$52:$B$58,0)+3,7))))/(INDEX(TABLAS!$C$52:$C$58,MIN(MATCH(DATOS!$C$27,TABLAS!$B$52:$B$58,0)+3,7))+MAX(DATOS!$C$32,INDEX(TABLAS!$C$52:$C$58,MIN(MATCH(DATOS!$C$27,TABLAS!$B$52:$B$58,0)+3,7))))))),INDEX(TABLAS!$B$52:$B$58,MIN(MATCH(DATOS!$C$27,TABLAS!$B$52:$B$58,0)+3,7)),IF(AND(CE16&gt;=0,IF(MAX(DATOS!$C$29,CEILING(CE16/INDEX(TABLAS!$D$52:$D$58,MIN(MATCH(DATOS!$C$27,TABLAS!$B$52:$B$58,0)+4,7)),1))*INDEX(TABLAS!$D$52:$D$58,MIN(MATCH(DATOS!$C$27,TABLAS!$B$52:$B$58,0)+4,7))&gt;=4/3*IF(BE16&lt;=0,0,IF((1-2*BE16*1E5/(DATOS!$C$58*DATOS!$C$19*CD16^2*DATOS!$C$48))&lt;0,-1,IF((1-SQRT((1-2*BE16*1E5/(DATOS!$C$58*DATOS!$C$19*CD16^2*DATOS!$C$48))))*DATOS!$C$48*DATOS!$C$19*CD16/DATOS!$C$40&gt;DATOS!$C$82*DATOS!$C$19*CD16,-1,(1-SQRT((1-2*BE16*1E5/(DATOS!$C$58*DATOS!$C$19*CD16^2*DATOS!$C$48))))*DATOS!$C$48*DATOS!$C$19*CD16/DATOS!$C$40)))-0.0001,MAX(DATOS!$C$29,CEILING(CE16/INDEX(TABLAS!$D$52:$D$58,MIN(MATCH(DATOS!$C$27,TABLAS!$B$52:$B$58,0)+4,7)),1)),MAX(MAX(DATOS!$C$29,CEILING(CE16/INDEX(TABLAS!$D$52:$D$58,MIN(MATCH(DATOS!$C$27,TABLAS!$B$52:$B$58,0)+4,7)),1)),2))&lt;=MIN(DATOS!$C$28,INT(((DATOS!$C$13-2*S16-2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16" s="56">
        <f>IF(D16="HUECO",0,IF(CE16&lt;0,0,IF(MAX(DATOS!$C$29,CEILING(MAX(CE16,0)/INDEX(TABLAS!$D$52:$D$58,MATCH(CF16,TABLAS!$B$52:$B$58,0)),1))*INDEX(TABLAS!$D$52:$D$58,MATCH(CF16,TABLAS!$B$52:$B$58,0))&gt;=4/3*IF(BE16&lt;=0,0,IF((1-2*BE16*1E5/(DATOS!$C$58*DATOS!$C$19*CD16^2*DATOS!$C$48))&lt;0,-1,IF((1-SQRT((1-2*BE16*1E5/(DATOS!$C$58*DATOS!$C$19*CD16^2*DATOS!$C$48))))*DATOS!$C$48*DATOS!$C$19*CD16/DATOS!$C$40&gt;DATOS!$C$82*DATOS!$C$19*CD16,-1,(1-SQRT((1-2*BE16*1E5/(DATOS!$C$58*DATOS!$C$19*CD16^2*DATOS!$C$48))))*DATOS!$C$48*DATOS!$C$19*CD16/DATOS!$C$40)))-0.0001,MAX(DATOS!$C$29,CEILING(MAX(CE16,0)/INDEX(TABLAS!$D$52:$D$58,MATCH(CF16,TABLAS!$B$52:$B$58,0)),1)),MAX(MAX(DATOS!$C$29,CEILING(MAX(CE16,0)/INDEX(TABLAS!$D$52:$D$58,MATCH(CF16,TABLAS!$B$52:$B$58,0)),1)),2))))</f>
        <v>1</v>
      </c>
      <c r="CH16" s="43">
        <f>((DATOS!$C$15-S16-2*DATOS!$C$35-IF(DATOS!$C$25=0,0,INDEX(TABLAS!$C$52:$C$58,MATCH(DATOS!$C$25,TABLAS!$B$52:$B$58,0)))-INDEX(TABLAS!$C$52:$C$58,MATCH(BP16,TABLAS!$B$52:$B$58,0))-INDEX(TABLAS!$C$52:$C$58,MATCH(CF16,TABLAS!$B$52:$B$58,0))/2)-IF(AND((DATOS!$C$15-S16-2*DATOS!$C$35-IF(DATOS!$C$25=0,0,INDEX(TABLAS!$C$52:$C$58,MATCH(DATOS!$C$25,TABLAS!$B$52:$B$58,0)))-INDEX(TABLAS!$C$52:$C$58,MATCH(BP16,TABLAS!$B$52:$B$58,0))-INDEX(TABLAS!$C$52:$C$58,MATCH(CF16,TABLAS!$B$52:$B$58,0))/2)&lt;=20,DATOS!$C$18&lt;&gt;"SÍ"),2,0))</f>
        <v>17.799</v>
      </c>
      <c r="CI16" s="36">
        <f>IF(CG16=0,0,DATOS!$C$58*CG16*INDEX(TABLAS!$D$52:$D$58,MATCH(CF16,TABLAS!$B$52:$B$58,0))*DATOS!$C$40*(CH16-CG16*INDEX(TABLAS!$D$52:$D$58,MATCH(CF16,TABLAS!$B$52:$B$58,0))*DATOS!$C$40/(DATOS!$C$48*DATOS!$C$19)/2)/1E5)</f>
        <v>0.794208440117647</v>
      </c>
      <c r="CJ16" s="62">
        <f>IF(CE16&lt;0,9.99,IF(CI16&gt;0,BE16/CI16,0))</f>
        <v>0.494256381551969</v>
      </c>
      <c r="CK16" s="63">
        <f>IF(CG16=0,"—",0.003*(CH16-(CG16*INDEX(TABLAS!$D$52:$D$58,MATCH(CF16,TABLAS!$B$52:$B$58,0))*DATOS!$C$40/(DATOS!$C$48*DATOS!$C$19)/DATOS!$C$49))/(CG16*INDEX(TABLAS!$D$52:$D$58,MATCH(CF16,TABLAS!$B$52:$B$58,0))*DATOS!$C$40/(DATOS!$C$48*DATOS!$C$19)/DATOS!$C$49))</f>
        <v>0.0150818018841395</v>
      </c>
      <c r="CL16" s="52" t="str">
        <f>IF(D16="HUECO","—",IF(AND(D16="PERIMETRAL",J16*100&gt;=6*DATOS!$C$11,DATOS!$C$11&lt;=80,DATOS!$C$13&gt;=10,DATOS!$C$15&lt;=3.5*DATOS!$C$13,DATOS!$C$14&gt;=MAX(DATOS!$C$11/13,5)),"SÍ","NO"))</f>
        <v>NO</v>
      </c>
      <c r="CM16" s="36">
        <f>IF(D16="PERIMETRAL",MAX(0,(N16/2-BR16)/100)*(0.95-0.5*L16)*Y16*IF(AND(Z16&gt;0,Z16&lt;4),DATOS!$C$63,1)*DATOS!$C$16/100/1000+AX16,IF(D16="VOLADO",(Y16*MAX(0,N16-BR16)/100+DATOS!$C$55*BA16)*DATOS!$C$16/100/1000,0))</f>
        <v>0.664662411669416</v>
      </c>
      <c r="CN16" s="36">
        <f>IF(D16="HUECO",0,DATOS!$C$59*2*MIN(1,SQRT(2/(1+0.04*BR16)))*(BQ16*INDEX(TABLAS!$D$52:$D$58,MATCH(BP16,TABLAS!$B$52:$B$58,0))/(DATOS!$C$19*BR16))^(1/3)*SQRT(DATOS!$C$39)*DATOS!$C$19*BR16*IF(CL16="SÍ",DATOS!$C$62,1)/1000)</f>
        <v>0.992173126477597</v>
      </c>
      <c r="CO16" s="51" t="str">
        <f>IF(D16="HUECO","—",IF(CM16&lt;=CN16,"CUMPLE",IF(MAX(0,CEILING((IF(D16="VOLADO",(N16-(CN16*1E5/DATOS!$C$16-DATOS!$C$55*BA16)*100/Y16),IF(CN16&lt;=AX16,N16,N16/2-(CN16-AX16)/MAX(CM16-AX16,1E-9)*(N16/2-BR16)))-IF(INT((J16*100-DATOS!$C$17+DATOS!$C$13)/DATOS!$C$16)&gt;0,(J16*100-DATOS!$C$17-(INT((J16*100-DATOS!$C$17+DATOS!$C$13)/DATOS!$C$16)*DATOS!$C$11+(INT((J16*100-DATOS!$C$17+DATOS!$C$13)/DATOS!$C$16)-1)*DATOS!$C$13))/2,J16*100/2))/DATOS!$C$16,1))&lt;=0,"CUMPLE (basta el macizo de orilla)","MACIZAR "&amp;MAX(0,CEILING((IF(D16="VOLADO",(N16-(CN16*1E5/DATOS!$C$16-DATOS!$C$55*BA16)*100/Y16),IF(CN16&lt;=AX16,N16,N16/2-(CN16-AX16)/MAX(CM16-AX16,1E-9)*(N16/2-BR16)))-IF(INT((J16*100-DATOS!$C$17+DATOS!$C$13)/DATOS!$C$16)&gt;0,(J16*100-DATOS!$C$17-(INT((J16*100-DATOS!$C$17+DATOS!$C$13)/DATOS!$C$16)*DATOS!$C$11+(INT((J16*100-DATOS!$C$17+DATOS!$C$13)/DATOS!$C$16)-1)*DATOS!$C$13))/2,J16*100/2))/DATOS!$C$16,1))&amp;" hilera(s)")))</f>
        <v>CUMPLE</v>
      </c>
      <c r="CP16" s="43">
        <f>IF(D16="PERIMETRAL",((PRINCIPALES!$N$16*PRINCIPALES!$O$16^3/12/(5.497*100*IF(APOYOS!$G$57="CONTINUO",1,0.5)*DATOS!$C$77^3/12))+99+(PRINCIPALES!$N$34*PRINCIPALES!$O$34^3/12/(3.428*100*IF(APOYOS!$G$59="CONTINUO",1,0.5)*DATOS!$C$77^3/12))+99)/4,0)</f>
        <v>51.2212179693951</v>
      </c>
      <c r="CQ16" s="57">
        <f>IF(D16="PERIMETRAL",IF(CP16&gt;2,MAX(9,O16*(0.8+DATOS!$C$40/14000)/(36+9*(O16/MAX(N16,1)))),IF(CP16&gt;0.2,MAX(13,O16*(0.8+DATOS!$C$40/14000)/(36+5*(O16/MAX(N16,1))*(CP16-0.2))),MAX(13,O16/IF(Z16&gt;0,30,33))))*IF(AND(CP16&gt;0.2,OR(AND((APOYOS!$G$57="DISCONTINUO"),(PRINCIPALES!$N$16*PRINCIPALES!$O$16^3/12/(5.497*100*IF(APOYOS!$G$57="CONTINUO",1,0.5)*DATOS!$C$77^3/12))&lt;0.8),AND((APOYOS!$G$58="DISCONTINUO"),99&lt;0.8),AND((APOYOS!$G$59="DISCONTINUO"),(PRINCIPALES!$N$34*PRINCIPALES!$O$34^3/12/(3.428*100*IF(APOYOS!$G$59="CONTINUO",1,0.5)*DATOS!$C$77^3/12))&lt;0.8),AND((APOYOS!$G$60="DISCONTINUO"),99&lt;0.8))),1.1,1),IF(D16="VOLADO",MAX(25,J16*100/8),0))</f>
        <v>11.6054274036754</v>
      </c>
      <c r="CR16" s="57">
        <f>IF(D16="VOLADO",DATOS!$C$15,DATOS!$C$77)</f>
        <v>16.7232564120244</v>
      </c>
      <c r="CS16" s="52" t="str">
        <f>IF(D16="HUECO","—",IF(CR16&gt;=CQ16,"CUMPLE",IF(D16="VOLADO","NO CUMPLE","CALCULAR FLECHA")))</f>
        <v>CUMPLE</v>
      </c>
      <c r="CT16" s="52" t="str">
        <f>IF(D16="HUECO","—",IF(DATOS!$C$14&gt;=IF(IF(D16="VOLADO",J16,K16)&gt;=6,6,5),"CUMPLE","CAPA ≥ 6 cm"))</f>
        <v>CUMPLE</v>
      </c>
      <c r="CU16" s="59">
        <f>IF(D16="HUECO",0,IF(((4*((AL16*Y16*J16^2*1E-4*DATOS!$C$16/100/1000)+((MAX(AH16,AJ16)*Y16*J16^2*1E-4*DATOS!$C$16/100/1000)+(IF(AND(AH16&gt;0,AJ16&gt;0),MIN(AH16,AJ16),MAX(AH16,AJ16))*Y16*J16^2*1E-4*DATOS!$C$16/100/1000))/2)+BC16-(IF(AND(AH16&gt;0,AJ16&gt;0),MIN(AH16,AJ16),MAX(AH16,AJ16))*Y16*J16^2*1E-4*DATOS!$C$16/100/1000))^2-16*((AL16*Y16*J16^2*1E-4*DATOS!$C$16/100/1000)+((MAX(AH16,AJ16)*Y16*J16^2*1E-4*DATOS!$C$16/100/1000)+(IF(AND(AH16&gt;0,AJ16&gt;0),MIN(AH16,AJ16),MAX(AH16,AJ16))*Y16*J16^2*1E-4*DATOS!$C$16/100/1000))/2)*BC16)&lt;0,CEILING(N16,5),CEILING(MAX(N16*((4*((AL16*Y16*J16^2*1E-4*DATOS!$C$16/100/1000)+((MAX(AH16,AJ16)*Y16*J16^2*1E-4*DATOS!$C$16/100/1000)+(IF(AND(AH16&gt;0,AJ16&gt;0),MIN(AH16,AJ16),MAX(AH16,AJ16))*Y16*J16^2*1E-4*DATOS!$C$16/100/1000))/2)+BC16-(IF(AND(AH16&gt;0,AJ16&gt;0),MIN(AH16,AJ16),MAX(AH16,AJ16))*Y16*J16^2*1E-4*DATOS!$C$16/100/1000))-SQRT(MAX(0,((4*((AL16*Y16*J16^2*1E-4*DATOS!$C$16/100/1000)+((MAX(AH16,AJ16)*Y16*J16^2*1E-4*DATOS!$C$16/100/1000)+(IF(AND(AH16&gt;0,AJ16&gt;0),MIN(AH16,AJ16),MAX(AH16,AJ16))*Y16*J16^2*1E-4*DATOS!$C$16/100/1000))/2)+BC16-(IF(AND(AH16&gt;0,AJ16&gt;0),MIN(AH16,AJ16),MAX(AH16,AJ16))*Y16*J16^2*1E-4*DATOS!$C$16/100/1000))^2-16*((AL16*Y16*J16^2*1E-4*DATOS!$C$16/100/1000)+((MAX(AH16,AJ16)*Y16*J16^2*1E-4*DATOS!$C$16/100/1000)+(IF(AND(AH16&gt;0,AJ16&gt;0),MIN(AH16,AJ16),MAX(AH16,AJ16))*Y16*J16^2*1E-4*DATOS!$C$16/100/1000))/2)*BC16))))/(8*MAX(((AL16*Y16*J16^2*1E-4*DATOS!$C$16/100/1000)+((MAX(AH16,AJ16)*Y16*J16^2*1E-4*DATOS!$C$16/100/1000)+(IF(AND(AH16&gt;0,AJ16&gt;0),MIN(AH16,AJ16),MAX(AH16,AJ16))*Y16*J16^2*1E-4*DATOS!$C$16/100/1000))/2),1E-9))+MAX(BR16,12*INDEX(TABLAS!$C$52:$C$58,MATCH(BP16,TABLAS!$B$52:$B$58,0)),N16/16),IF(OR(S16&lt;INDEX(TABLAS!$C$52:$C$58,MATCH(BP16,TABLAS!$B$52:$B$58,0)),AND(BQ16&gt;=2,(DATOS!$C$13-2*S16-2*IF(DATOS!$C$25=0,0,INDEX(TABLAS!$C$52:$C$58,MATCH(DATOS!$C$25,TABLAS!$B$52:$B$58,0)))-BQ16*INDEX(TABLAS!$C$52:$C$58,MATCH(BP16,TABLAS!$B$52:$B$58,0)))/MAX(BQ16-1,1)&lt;2*INDEX(TABLAS!$C$52:$C$58,MATCH(BP16,TABLAS!$B$52:$B$58,0)))),INDEX(TABLAS!$I$52:$I$58,MATCH(BP16,TABLAS!$B$52:$B$58,0)),INDEX(TABLAS!$F$52:$F$58,MATCH(BP16,TABLAS!$B$52:$B$58,0)))),5)))</f>
        <v>105</v>
      </c>
      <c r="CV16" s="59">
        <f>IF(D16="HUECO",0,IF(((4*((AM16*Y16*J16^2*1E-4*DATOS!$C$16/100/1000)+((MAX(AI16,AK16)*Y16*J16^2*1E-4*DATOS!$C$16/100/1000)+(IF(AND(AI16&gt;0,AK16&gt;0),MIN(AI16,AK16),MAX(AI16,AK16))*Y16*J16^2*1E-4*DATOS!$C$16/100/1000))/2)+BE16-(IF(AND(AI16&gt;0,AK16&gt;0),MIN(AI16,AK16),MAX(AI16,AK16))*Y16*J16^2*1E-4*DATOS!$C$16/100/1000))^2-16*((AM16*Y16*J16^2*1E-4*DATOS!$C$16/100/1000)+((MAX(AI16,AK16)*Y16*J16^2*1E-4*DATOS!$C$16/100/1000)+(IF(AND(AI16&gt;0,AK16&gt;0),MIN(AI16,AK16),MAX(AI16,AK16))*Y16*J16^2*1E-4*DATOS!$C$16/100/1000))/2)*BE16)&lt;0,CEILING(O16,5),CEILING(MAX(O16*((4*((AM16*Y16*J16^2*1E-4*DATOS!$C$16/100/1000)+((MAX(AI16,AK16)*Y16*J16^2*1E-4*DATOS!$C$16/100/1000)+(IF(AND(AI16&gt;0,AK16&gt;0),MIN(AI16,AK16),MAX(AI16,AK16))*Y16*J16^2*1E-4*DATOS!$C$16/100/1000))/2)+BE16-(IF(AND(AI16&gt;0,AK16&gt;0),MIN(AI16,AK16),MAX(AI16,AK16))*Y16*J16^2*1E-4*DATOS!$C$16/100/1000))-SQRT(MAX(0,((4*((AM16*Y16*J16^2*1E-4*DATOS!$C$16/100/1000)+((MAX(AI16,AK16)*Y16*J16^2*1E-4*DATOS!$C$16/100/1000)+(IF(AND(AI16&gt;0,AK16&gt;0),MIN(AI16,AK16),MAX(AI16,AK16))*Y16*J16^2*1E-4*DATOS!$C$16/100/1000))/2)+BE16-(IF(AND(AI16&gt;0,AK16&gt;0),MIN(AI16,AK16),MAX(AI16,AK16))*Y16*J16^2*1E-4*DATOS!$C$16/100/1000))^2-16*((AM16*Y16*J16^2*1E-4*DATOS!$C$16/100/1000)+((MAX(AI16,AK16)*Y16*J16^2*1E-4*DATOS!$C$16/100/1000)+(IF(AND(AI16&gt;0,AK16&gt;0),MIN(AI16,AK16),MAX(AI16,AK16))*Y16*J16^2*1E-4*DATOS!$C$16/100/1000))/2)*BE16))))/(8*MAX(((AM16*Y16*J16^2*1E-4*DATOS!$C$16/100/1000)+((MAX(AI16,AK16)*Y16*J16^2*1E-4*DATOS!$C$16/100/1000)+(IF(AND(AI16&gt;0,AK16&gt;0),MIN(AI16,AK16),MAX(AI16,AK16))*Y16*J16^2*1E-4*DATOS!$C$16/100/1000))/2),1E-9))+MAX(CH16,12*INDEX(TABLAS!$C$52:$C$58,MATCH(CF16,TABLAS!$B$52:$B$58,0)),O16/16),IF(OR(S16&lt;INDEX(TABLAS!$C$52:$C$58,MATCH(CF16,TABLAS!$B$52:$B$58,0)),AND(CG16&gt;=2,(DATOS!$C$13-2*S16-2*IF(DATOS!$C$25=0,0,INDEX(TABLAS!$C$52:$C$58,MATCH(DATOS!$C$25,TABLAS!$B$52:$B$58,0)))-CG16*INDEX(TABLAS!$C$52:$C$58,MATCH(CF16,TABLAS!$B$52:$B$58,0)))/MAX(CG16-1,1)&lt;2*INDEX(TABLAS!$C$52:$C$58,MATCH(CF16,TABLAS!$B$52:$B$58,0)))),INDEX(TABLAS!$I$52:$I$58,MATCH(CF16,TABLAS!$B$52:$B$58,0)),INDEX(TABLAS!$F$52:$F$58,MATCH(CF16,TABLAS!$B$52:$B$58,0)))),5)))</f>
        <v>155</v>
      </c>
      <c r="CW16" s="56">
        <f>MAX(0,INT((F16*100-DATOS!$C$17+DATOS!$C$13)/DATOS!$C$16))</f>
        <v>4</v>
      </c>
      <c r="CX16" s="56">
        <f>MAX(0,INT((G16*100-DATOS!$C$17+DATOS!$C$13)/DATOS!$C$16))</f>
        <v>7</v>
      </c>
      <c r="CY16" s="51" t="str">
        <f>IF(COUNTIFS(TRIB!$C$6:$C$255,B16,TRIB!$K$6:$K$255,"NO CUMPLE*")+COUNTIFS(TRIB!$C$6:$C$255,B16,TRIB!$K$6:$K$255,"SIN APOYO*")&gt;0,"VER PRINCIPALES",IF((APOYOS!$F$57="LIBRE")+(APOYOS!$F$58="LIBRE")+(APOYOS!$F$59="LIBRE")+(APOYOS!$F$60="LIBRE")&gt;0,"REVISAR: borde libre","OK"))</f>
        <v>OK</v>
      </c>
      <c r="CZ16" s="64" t="str">
        <f>IF(D16="HUECO","HUECO — marco de nervaduras principales",IF(AND(MAX(BL16,BT16,CB16,CJ16)&lt;=1,NOT(OR(BI16&gt;MIN(DATOS!$C$28,INT(((DATOS!$C$13-2*R16-2*IF(DATOS!$C$25=0,0,INDEX(TABLAS!$C$52:$C$58,MATCH(DATOS!$C$25,TABLAS!$B$52:$B$58,0))))+DATOS!$C$32)/(INDEX(TABLAS!$C$52:$C$58,MATCH(BH16,TABLAS!$B$52:$B$58,0))+DATOS!$C$32))),BQ16&gt;MIN(DATOS!$C$28,INT(((DATOS!$C$13-2*S16-2*IF(DATOS!$C$25=0,0,INDEX(TABLAS!$C$52:$C$58,MATCH(DATOS!$C$25,TABLAS!$B$52:$B$58,0))))+DATOS!$C$32)/(INDEX(TABLAS!$C$52:$C$58,MATCH(BP16,TABLAS!$B$52:$B$58,0))+DATOS!$C$32))),BY16&gt;MIN(DATOS!$C$28,INT(((DATOS!$C$13-2*R16-2*IF(DATOS!$C$25=0,0,INDEX(TABLAS!$C$52:$C$58,MATCH(DATOS!$C$25,TABLAS!$B$52:$B$58,0))))+DATOS!$C$32)/(INDEX(TABLAS!$C$52:$C$58,MATCH(BX16,TABLAS!$B$52:$B$58,0))+DATOS!$C$32))),CG16&gt;MIN(DATOS!$C$28,INT(((DATOS!$C$13-2*S16-2*IF(DATOS!$C$25=0,0,INDEX(TABLAS!$C$52:$C$58,MATCH(DATOS!$C$25,TABLAS!$B$52:$B$58,0))))+DATOS!$C$32)/(INDEX(TABLAS!$C$52:$C$58,MATCH(CF16,TABLAS!$B$52:$B$58,0))+DATOS!$C$32))))),NOT(OR(AND(ISNUMBER(BM16),BM16&lt;0.005),AND(ISNUMBER(BU16),BU16&lt;0.005),AND(ISNUMBER(CC16),CC16&lt;0.005),AND(ISNUMBER(CK16),CK16&lt;0.005))),CS16="CUMPLE",CT16="CUMPLE"),IF(CY16="OK",IF(LEFT(CO16,6)="CUMPLE","CUMPLE","CUMPLE — "&amp;CO16)&amp;IF(LEFT(AZ16,5)="FUERA"," · fuera de 3.4.2.1 c)",""),IF(CY16="VER PRINCIPALES","VER PRINCIPALES","REVISAR APOYOS")),IF(AND(MAX(BL16,BT16,CB16,CJ16)&lt;=1,NOT(OR(BI16&gt;MIN(DATOS!$C$28,INT(((DATOS!$C$13-2*R16-2*IF(DATOS!$C$25=0,0,INDEX(TABLAS!$C$52:$C$58,MATCH(DATOS!$C$25,TABLAS!$B$52:$B$58,0))))+DATOS!$C$32)/(INDEX(TABLAS!$C$52:$C$58,MATCH(BH16,TABLAS!$B$52:$B$58,0))+DATOS!$C$32))),BQ16&gt;MIN(DATOS!$C$28,INT(((DATOS!$C$13-2*S16-2*IF(DATOS!$C$25=0,0,INDEX(TABLAS!$C$52:$C$58,MATCH(DATOS!$C$25,TABLAS!$B$52:$B$58,0))))+DATOS!$C$32)/(INDEX(TABLAS!$C$52:$C$58,MATCH(BP16,TABLAS!$B$52:$B$58,0))+DATOS!$C$32))),BY16&gt;MIN(DATOS!$C$28,INT(((DATOS!$C$13-2*R16-2*IF(DATOS!$C$25=0,0,INDEX(TABLAS!$C$52:$C$58,MATCH(DATOS!$C$25,TABLAS!$B$52:$B$58,0))))+DATOS!$C$32)/(INDEX(TABLAS!$C$52:$C$58,MATCH(BX16,TABLAS!$B$52:$B$58,0))+DATOS!$C$32))),CG16&gt;MIN(DATOS!$C$28,INT(((DATOS!$C$13-2*S16-2*IF(DATOS!$C$25=0,0,INDEX(TABLAS!$C$52:$C$58,MATCH(DATOS!$C$25,TABLAS!$B$52:$B$58,0))))+DATOS!$C$32)/(INDEX(TABLAS!$C$52:$C$58,MATCH(CF16,TABLAS!$B$52:$B$58,0))+DATOS!$C$32))))),NOT(OR(AND(ISNUMBER(BM16),BM16&lt;0.005),AND(ISNUMBER(BU16),BU16&lt;0.005),AND(ISNUMBER(CC16),CC16&lt;0.005),AND(ISNUMBER(CK16),CK16&lt;0.005))),CS16="CALCULAR FLECHA"),"REVISAR: calcular flecha (h_eq &lt; h mín.)","NO CUMPLE: "&amp;IF(MAX(BL16,BT16,CB16,CJ16)&gt;1,"flexión ","")&amp;IF(OR(BI16&gt;MIN(DATOS!$C$28,INT(((DATOS!$C$13-2*R16-2*IF(DATOS!$C$25=0,0,INDEX(TABLAS!$C$52:$C$58,MATCH(DATOS!$C$25,TABLAS!$B$52:$B$58,0))))+DATOS!$C$32)/(INDEX(TABLAS!$C$52:$C$58,MATCH(BH16,TABLAS!$B$52:$B$58,0))+DATOS!$C$32))),BQ16&gt;MIN(DATOS!$C$28,INT(((DATOS!$C$13-2*S16-2*IF(DATOS!$C$25=0,0,INDEX(TABLAS!$C$52:$C$58,MATCH(DATOS!$C$25,TABLAS!$B$52:$B$58,0))))+DATOS!$C$32)/(INDEX(TABLAS!$C$52:$C$58,MATCH(BP16,TABLAS!$B$52:$B$58,0))+DATOS!$C$32))),BY16&gt;MIN(DATOS!$C$28,INT(((DATOS!$C$13-2*R16-2*IF(DATOS!$C$25=0,0,INDEX(TABLAS!$C$52:$C$58,MATCH(DATOS!$C$25,TABLAS!$B$52:$B$58,0))))+DATOS!$C$32)/(INDEX(TABLAS!$C$52:$C$58,MATCH(BX16,TABLAS!$B$52:$B$58,0))+DATOS!$C$32))),CG16&gt;MIN(DATOS!$C$28,INT(((DATOS!$C$13-2*S16-2*IF(DATOS!$C$25=0,0,INDEX(TABLAS!$C$52:$C$58,MATCH(DATOS!$C$25,TABLAS!$B$52:$B$58,0))))+DATOS!$C$32)/(INDEX(TABLAS!$C$52:$C$58,MATCH(CF16,TABLAS!$B$52:$B$58,0))+DATOS!$C$32)))),"no caben ","")&amp;IF(OR(AND(ISNUMBER(BM16),BM16&lt;0.005),AND(ISNUMBER(BU16),BU16&lt;0.005),AND(ISNUMBER(CC16),CC16&lt;0.005),AND(ISNUMBER(CK16),CK16&lt;0.005)),"ε_t &lt; 0.005 ","")&amp;IF(CS16="NO CUMPLE","peralte ","")&amp;IF(CT16&lt;&gt;"CUMPLE","capa &lt; 6 cm",""))))</f>
        <v>CUMPLE · fuera de 3.4.2.1 c)</v>
      </c>
      <c r="DA16" s="65" t="str">
        <f>IF(AND(D16="PERIMETRAL",MIN(CW16,CX16)=0),"Tablero macizo (no cabe un casetón en el claro corto): no aplica 6.7.8. La resistencia se revisa con una nervadura de 10 cm cada 70 cm y r_np (conservador); "&amp;"como losa maciza lleva además As,mín = 0.0018·Ag en cada dirección cerca de la cara a tensión (6.7.6.1.1, p. 175). ",IF(AND(CL16="NO",D16="PERIMETRAL"),"No cumple 6.7.8.1.4 (a_c = "&amp;DATOS!$C$11&amp;" cm &gt; claro corto/6 = "&amp;TEXT(J16*100/6,"0")&amp;" cm): se diseña como losa apoyada en vigas (6.7.8.1.9): nervaduras con recubrimiento de viga r_np = "&amp;DATOS!$C$22&amp;" cm (Tabla 4.14.16.a), V_cR sin ×1.1 y cortante sin estribos por 5.5.3.8.1 (criterio del Proyectista). Para que cuente como encasetonada: casetón de "&amp;TEXT(FLOOR(MIN(80,J16*100/6),1),"0")&amp;" cm o menor. ",""))&amp;IF(LEFT(AZ16,5)="FUERA","M⁻ del borde común "&amp;AZ16&amp;": difieren más de 50% (3.4.2.1 c); se distribuyen 2/3 del desequilibrio (3.4.3.1) y conviene confirmar los momentos con el modelo. ","")&amp;"—"</f>
        <v>No cumple 6.7.8.1.4 (a_c = 60 cm &gt; claro corto/6 = 57 cm): se diseña como losa apoyada en vigas (6.7.8.1.9): nervaduras con recubrimiento de viga r_np = 4 cm (Tabla 4.14.16.a), V_cR sin ×1.1 y cortante sin estribos por 5.5.3.8.1 (criterio del Proyectista). Para que cuente como encasetonada: casetón de 57 cm o menor. M⁻ del borde común FUERA con F80008 F80011: difieren más de 50% (3.4.2.1 c); se distribuyen 2/3 del desequilibrio (3.4.3.1) y conviene confirmar los momentos con el modelo. —</v>
      </c>
    </row>
    <row r="17" ht="30" customHeight="1">
      <c r="B17" s="51" t="inlineStr">
        <is>
          <t>F80010 N+3.00</t>
        </is>
      </c>
      <c r="C17" s="52" t="inlineStr">
        <is>
          <t>N+3.00</t>
        </is>
      </c>
      <c r="D17" s="53" t="inlineStr">
        <is>
          <t>PERIMETRAL</t>
        </is>
      </c>
      <c r="E17" s="53" t="inlineStr">
        <is>
          <t>HABITACIÓN</t>
        </is>
      </c>
      <c r="F17" s="54" t="n">
        <v>3.427</v>
      </c>
      <c r="G17" s="54" t="n">
        <v>1.825</v>
      </c>
      <c r="H17" s="55" t="n">
        <v>3.427</v>
      </c>
      <c r="I17" s="55" t="n">
        <v>1.825</v>
      </c>
      <c r="J17" s="36">
        <f>MIN(H17,I17)</f>
        <v>1.825</v>
      </c>
      <c r="K17" s="36">
        <f>MAX(H17,I17)</f>
        <v>3.427</v>
      </c>
      <c r="L17" s="36">
        <f>IF(K17&gt;0,J17/K17,0)</f>
        <v>0.532535745550044</v>
      </c>
      <c r="M17" s="52" t="str">
        <f>IF(H17&lt;=I17,"X","Y")</f>
        <v>Y</v>
      </c>
      <c r="N17" s="56">
        <f>MAX(0,J17*100-IF(D17="VOLADO",DATOS!$C$17/2,DATOS!$C$17))</f>
        <v>167.5</v>
      </c>
      <c r="O17" s="56">
        <f>MAX(0,K17*100-DATOS!$C$17)</f>
        <v>327.7</v>
      </c>
      <c r="P17" s="57">
        <f>MIN(DATOS!$C$16,DATOS!$C$13+2*MIN(8*DATOS!$C$14,DATOS!$C$11/2,N17/8))</f>
        <v>51.875</v>
      </c>
      <c r="Q17" s="57">
        <f>MIN(DATOS!$C$16,DATOS!$C$13+2*MIN(8*DATOS!$C$14,DATOS!$C$11/2,O17/8))</f>
        <v>70</v>
      </c>
      <c r="R17" s="57">
        <f>IF(D17="VOLADO",DATOS!$C$21,IF(CL17="NO",DATOS!$C$22,DATOS!$C$20))</f>
        <v>4</v>
      </c>
      <c r="S17" s="57">
        <f>IF(OR(AND(C17="N+6.00",DATOS!$C$23="SÍ"),AND(D17="VOLADO",DATOS!$C$24="SÍ")),DATOS!$C$21,IF(CL17="NO",DATOS!$C$22,DATOS!$C$20))</f>
        <v>4</v>
      </c>
      <c r="T17" s="58" t="n">
        <v>240</v>
      </c>
      <c r="U17" s="56">
        <f>IF(E17="HABITACIÓN",DATOS!$C$89,DATOS!$C$92)</f>
        <v>190</v>
      </c>
      <c r="V17" s="56">
        <f>CARGAS!$C$9</f>
        <v>293.673469387755</v>
      </c>
      <c r="W17" s="56">
        <f>V17+T17</f>
        <v>533.673469387755</v>
      </c>
      <c r="X17" s="56">
        <f>W17+U17</f>
        <v>723.673469387755</v>
      </c>
      <c r="Y17" s="59">
        <f>MAX(DATOS!$C$55*W17+DATOS!$C$56*U17,IF(E17="AZOTEA",DATOS!$C$57*(W17+DATOS!$C$97),0))</f>
        <v>978.775510204082</v>
      </c>
      <c r="Z17" s="56">
        <f>(APOYOS!$G$61="DISCONTINUO")+(APOYOS!$G$62="DISCONTINUO")+(APOYOS!$G$63="DISCONTINUO")+(APOYOS!$G$64="DISCONTINUO")</f>
        <v>1</v>
      </c>
      <c r="AA17" s="56">
        <f>IF(M17="X",(APOYOS!$G$61="DISCONTINUO")+(APOYOS!$G$62="DISCONTINUO"),(APOYOS!$G$63="DISCONTINUO")+(APOYOS!$G$64="DISCONTINUO"))</f>
        <v>0</v>
      </c>
      <c r="AB17" s="56">
        <f>Z17-AA17</f>
        <v>1</v>
      </c>
      <c r="AC17" s="52" t="str">
        <f>IF(Z17=0,"INTERIOR",IF(Z17=1,IF(AA17=1,"BORDE-CORTO","BORDE-LARGO"),IF(Z17=2,IF(AA17=1,"ESQUINA",IF(AA17=2,"EXTREMO-LARGO","EXTREMO-CORTO")),IF(Z17=3,IF(AA17=2,"EXTREMO-LARGO","EXTREMO-CORTO"),"AISLADO"))))</f>
        <v>BORDE-LARGO</v>
      </c>
      <c r="AD17" s="53" t="inlineStr">
        <is>
          <t>AUTO</t>
        </is>
      </c>
      <c r="AE17" s="60" t="str">
        <f>IF(AD17="AUTO",AC17,AD17)</f>
        <v>BORDE-LARGO</v>
      </c>
      <c r="AF17" s="56">
        <f>MATCH(L17,TABLAS!$D$5:$J$5,1)</f>
        <v>2</v>
      </c>
      <c r="AG17" s="43">
        <f>IF(AF17&gt;=7,0,(L17-INDEX(TABLAS!$D$5:$J$5,AF17))/(INDEX(TABLAS!$D$5:$J$5,AF17+1)-INDEX(TABLAS!$D$5:$J$5,AF17)))</f>
        <v>0.325357455500438</v>
      </c>
      <c r="AH17" s="56">
        <f>INDEX(TABLAS!$D$6:$J$47,MATCH(AE17&amp;"|NIC",TABLAS!$B$6:$B$47,0),AF17)+AG17*(INDEX(TABLAS!$D$6:$J$47,MATCH(AE17&amp;"|NIC",TABLAS!$B$6:$B$47,0),MIN(AF17+1,7))-INDEX(TABLAS!$D$6:$J$47,MATCH(AE17&amp;"|NIC",TABLAS!$B$6:$B$47,0),AF17))</f>
        <v>1190.81383133936</v>
      </c>
      <c r="AI17" s="56">
        <f>INDEX(TABLAS!$D$6:$J$47,MATCH(AE17&amp;"|NIL",TABLAS!$B$6:$B$47,0),AF17)+AG17*(INDEX(TABLAS!$D$6:$J$47,MATCH(AE17&amp;"|NIL",TABLAS!$B$6:$B$47,0),MIN(AF17+1,7))-INDEX(TABLAS!$D$6:$J$47,MATCH(AE17&amp;"|NIL",TABLAS!$B$6:$B$47,0),AF17))</f>
        <v>557.540706156989</v>
      </c>
      <c r="AJ17" s="56">
        <f>INDEX(TABLAS!$D$6:$J$47,MATCH(AE17&amp;"|NDC",TABLAS!$B$6:$B$47,0),AF17)+AG17*(INDEX(TABLAS!$D$6:$J$47,MATCH(AE17&amp;"|NDC",TABLAS!$B$6:$B$47,0),MIN(AF17+1,7))-INDEX(TABLAS!$D$6:$J$47,MATCH(AE17&amp;"|NDC",TABLAS!$B$6:$B$47,0),AF17))</f>
        <v>348.660344324482</v>
      </c>
      <c r="AK17" s="56">
        <f>INDEX(TABLAS!$D$6:$J$47,MATCH(AE17&amp;"|NDL",TABLAS!$B$6:$B$47,0),AF17)+AG17*(INDEX(TABLAS!$D$6:$J$47,MATCH(AE17&amp;"|NDL",TABLAS!$B$6:$B$47,0),MIN(AF17+1,7))-INDEX(TABLAS!$D$6:$J$47,MATCH(AE17&amp;"|NDL",TABLAS!$B$6:$B$47,0),AF17))</f>
        <v>0</v>
      </c>
      <c r="AL17" s="56">
        <f>INDEX(TABLAS!$D$6:$J$47,MATCH(AE17&amp;"|PC",TABLAS!$B$6:$B$47,0),AF17)+AG17*(INDEX(TABLAS!$D$6:$J$47,MATCH(AE17&amp;"|PC",TABLAS!$B$6:$B$47,0),MIN(AF17+1,7))-INDEX(TABLAS!$D$6:$J$47,MATCH(AE17&amp;"|PC",TABLAS!$B$6:$B$47,0),AF17))</f>
        <v>449.866063612489</v>
      </c>
      <c r="AM17" s="56">
        <f>INDEX(TABLAS!$D$6:$J$47,MATCH(AE17&amp;"|PL",TABLAS!$B$6:$B$47,0),AF17)+AG17*(INDEX(TABLAS!$D$6:$J$47,MATCH(AE17&amp;"|PL",TABLAS!$B$6:$B$47,0),MIN(AF17+1,7))-INDEX(TABLAS!$D$6:$J$47,MATCH(AE17&amp;"|PL",TABLAS!$B$6:$B$47,0),AF17))</f>
        <v>223.507149110009</v>
      </c>
      <c r="AN17" s="36">
        <f>IF(D17="PERIMETRAL",IF(APOYOS!$G$61="CONTINUO",IF(M17="Y",AH17,AI17),IF(M17="Y",AJ17,AK17))*Y17*J17^2*1E-4*DATOS!$C$16/100/1000,0)</f>
        <v>0.0795626842468319</v>
      </c>
      <c r="AO17" s="36">
        <f>IF(D17="PERIMETRAL",IF(APOYOS!$G$62="CONTINUO",IF(M17="Y",AH17,AI17),IF(M17="Y",AJ17,AK17))*Y17*J17^2*1E-4*DATOS!$C$16/100/1000,0)</f>
        <v>0.271738230062206</v>
      </c>
      <c r="AP17" s="36">
        <f>IF(D17="PERIMETRAL",IF(APOYOS!$G$63="CONTINUO",IF(M17="X",AH17,AI17),IF(M17="X",AJ17,AK17))*Y17*J17^2*1E-4*DATOS!$C$16/100/1000,0)</f>
        <v>0.127228220475343</v>
      </c>
      <c r="AQ17" s="36">
        <f>IF(D17="PERIMETRAL",IF(APOYOS!$G$64="CONTINUO",IF(M17="X",AH17,AI17),IF(M17="X",AJ17,AK17))*Y17*J17^2*1E-4*DATOS!$C$16/100/1000,0)</f>
        <v>0.127228220475343</v>
      </c>
      <c r="AR17" s="56">
        <f>IF(D17="PERIMETRAL",IF(M17="X",BN17,CD17)^3/(J17*100),0)</f>
        <v>32.5941609816932</v>
      </c>
      <c r="AS17" s="56">
        <f>IF(D17="PERIMETRAL",IF(M17="Y",BN17,CD17)^3/(J17*100),0)</f>
        <v>39.9395680047616</v>
      </c>
      <c r="AT17" s="36">
        <f>IF(D17="PERIMETRAL",MAX(0,IF(M17="Y",IF(AND(OR(APOYOS!$G$62="CONTINUO",APOYOS!$G$55="CONTINUO"),AO17&gt;0,AP15&gt;0,AP15&gt;AO17),AO17+2/3*(AP15-AO17)*AS17/MAX(AS17+AS15,1E-9),0),0),IF(M17="Y",IF(AND(OR(APOYOS!$G$62="CONTINUO",APOYOS!$G$77="CONTINUO"),AO17&gt;0,AN21&gt;0,AN21&gt;AO17),AO17+2/3*(AN21-AO17)*AS17/MAX(AS17+AS21,1E-9),0),0),IF(M17="X",IF(AND(OR(APOYOS!$G$64="CONTINUO",APOYOS!$G$55="CONTINUO"),AQ17&gt;0,AP15&gt;0,AP15&gt;AQ17),AQ17+2/3*(AP15-AQ17)*AR17/MAX(AR17+AR15,1E-9),0),0)),0)</f>
        <v>0</v>
      </c>
      <c r="AU17" s="36">
        <f>IF(D17="PERIMETRAL",MAX(0,IF(M17&lt;&gt;"Y",IF(AND(OR(APOYOS!$G$62="CONTINUO",APOYOS!$G$55="CONTINUO"),AO17&gt;0,AP15&gt;0,AP15&gt;AO17),AO17+2/3*(AP15-AO17)*AS17/MAX(AS17+AS15,1E-9),0),0),IF(M17&lt;&gt;"Y",IF(AND(OR(APOYOS!$G$62="CONTINUO",APOYOS!$G$77="CONTINUO"),AO17&gt;0,AN21&gt;0,AN21&gt;AO17),AO17+2/3*(AN21-AO17)*AS17/MAX(AS17+AS21,1E-9),0),0),IF(M17&lt;&gt;"X",IF(AND(OR(APOYOS!$G$64="CONTINUO",APOYOS!$G$55="CONTINUO"),AQ17&gt;0,AP15&gt;0,AP15&gt;AQ17),AQ17+2/3*(AP15-AQ17)*AR17/MAX(AR17+AR15,1E-9),0),0)),0)</f>
        <v>0.163818634536577</v>
      </c>
      <c r="AV17" s="36">
        <f>IF(D17="PERIMETRAL",(IF(M17="Y",MAX(IF(AND(OR(APOYOS!$G$62="CONTINUO",APOYOS!$G$55="CONTINUO"),AO17&gt;0,AP15&gt;0,AO17&gt;AP15),2/3*(AO17-AP15)*AS17/MAX(AS17+AS15,1E-9),0),IF(AND(OR(APOYOS!$G$62="CONTINUO",APOYOS!$G$77="CONTINUO"),AO17&gt;0,AN21&gt;0,AO17&gt;AN21),2/3*(AO17-AN21)*AS17/MAX(AS17+AS21,1E-9),0)),0)+IF(M17="X",IF(AND(OR(APOYOS!$G$64="CONTINUO",APOYOS!$G$55="CONTINUO"),AQ17&gt;0,AP15&gt;0,AQ17&gt;AP15),2/3*(AQ17-AP15)*AR17/MAX(AR17+AR15,1E-9),0),0))/2,0)</f>
        <v>0.0129775278766998</v>
      </c>
      <c r="AW17" s="36">
        <f>IF(D17="PERIMETRAL",(IF(M17&lt;&gt;"Y",MAX(IF(AND(OR(APOYOS!$G$62="CONTINUO",APOYOS!$G$55="CONTINUO"),AO17&gt;0,AP15&gt;0,AO17&gt;AP15),2/3*(AO17-AP15)*AS17/MAX(AS17+AS15,1E-9),0),IF(AND(OR(APOYOS!$G$62="CONTINUO",APOYOS!$G$77="CONTINUO"),AO17&gt;0,AN21&gt;0,AO17&gt;AN21),2/3*(AO17-AN21)*AS17/MAX(AS17+AS21,1E-9),0)),0)+IF(M17&lt;&gt;"X",IF(AND(OR(APOYOS!$G$64="CONTINUO",APOYOS!$G$55="CONTINUO"),AQ17&gt;0,AP15&gt;0,AQ17&gt;AP15),2/3*(AQ17-AP15)*AR17/MAX(AR17+AR15,1E-9),0),0))/2,0)</f>
        <v>0</v>
      </c>
      <c r="AX17" s="36">
        <f>IF(D17="PERIMETRAL",MAX(0,IF(AND(APOYOS!$G$63="CONTINUO",D19="VOLADO"),MAX(0,BC19-AP17)/MAX(IF(M17="X",N17,O17)/100,0.01),0)),0)</f>
        <v>0.511501441341061</v>
      </c>
      <c r="AY17" s="52" t="str">
        <f>IF(D17&lt;&gt;"PERIMETRAL","",IF(OR(AND(OR(APOYOS!$G$62="CONTINUO",APOYOS!$G$55="CONTINUO"),AO17&gt;0,AP15&gt;0,ABS(AO17-AP15)&gt;0.5*MIN(AO17,AP15)),AND(OR(APOYOS!$G$64="CONTINUO",APOYOS!$G$55="CONTINUO"),AQ17&gt;0,AP15&gt;0,ABS(AQ17-AP15)&gt;0.5*MIN(AQ17,AP15)))," F80008","")&amp;IF(AND(OR(APOYOS!$G$62="CONTINUO",APOYOS!$G$77="CONTINUO"),AO17&gt;0,AN21&gt;0,ABS(AO17-AN21)&gt;0.5*MIN(AO17,AN21))," F80014",""))</f>
        <v> F80008</v>
      </c>
      <c r="AZ17" s="52" t="str">
        <f>IF(D17&lt;&gt;"PERIMETRAL","—",IF(AY17="","CUMPLE","FUERA con"&amp;AY17)&amp;IF(AND(D15="PERIMETRAL",APOYOS!$G$62&lt;&gt;APOYOS!$G$55)," · continuidad asimétrica con F80008 (cada uno con su momento; revisar APOYOS)","")&amp;IF(AND(D21="PERIMETRAL",APOYOS!$G$62&lt;&gt;APOYOS!$G$77)," · continuidad asimétrica con F80014 (cada uno con su momento; revisar APOYOS)","")&amp;IF(AND(APOYOS!$G$63="CONTINUO",D19="VOLADO")," · junto al volado F80012: se arma con su M⁻ y su cortante entra en V_u",""))</f>
        <v>FUERA con F80008 · junto al volado F80012: se arma con su M⁻ y su cortante entra en V_u</v>
      </c>
      <c r="BA17" s="61" t="n">
        <v>0</v>
      </c>
      <c r="BB17" s="36">
        <f>IF(D17="PERIMETRAL",AL17*Y17*J17^2*1E-4*DATOS!$C$16/100/1000+AV17,0)</f>
        <v>0.115634890995848</v>
      </c>
      <c r="BC17" s="36">
        <f>IF(D17="PERIMETRAL",MAX(MAX(AH17,AJ17)*Y17*J17^2*1E-4*DATOS!$C$16/100/1000,AT17),IF(D17="VOLADO",(Y17*(N17/100)^2/2+DATOS!$C$55*BA17*N17/100)*DATOS!$C$16/100/1000,0))</f>
        <v>0.271738230062206</v>
      </c>
      <c r="BD17" s="36">
        <f>IF(D17="PERIMETRAL",AM17*Y17*J17^2*1E-4*DATOS!$C$16/100/1000+AW17,0)</f>
        <v>0.0510033016975385</v>
      </c>
      <c r="BE17" s="36">
        <f>IF(D17="PERIMETRAL",MAX(MAX(AI17,AK17)*Y17*J17^2*1E-4*DATOS!$C$16/100/1000,AU17),0)</f>
        <v>0.163818634536577</v>
      </c>
      <c r="BF17" s="43">
        <f>(DATOS!$C$15-R17-IF(DATOS!$C$25=0,0,INDEX(TABLAS!$C$52:$C$58,MATCH(DATOS!$C$25,TABLAS!$B$52:$B$58,0)))-INDEX(TABLAS!$C$52:$C$58,MATCH(DATOS!$C$26,TABLAS!$B$52:$B$58,0))/2)</f>
        <v>20.365</v>
      </c>
      <c r="BG17" s="43">
        <f>IF(D17="HUECO",0,IF(IF(BB17&lt;=0,0,IF((1-2*BB17*1E5/(DATOS!$C$58*P17*BF17^2*DATOS!$C$48))&lt;0,-1,IF((1-SQRT((1-2*BB17*1E5/(DATOS!$C$58*P17*BF17^2*DATOS!$C$48))))*DATOS!$C$48*P17*BF17/DATOS!$C$40&gt;DATOS!$C$82*P17*BF17,-1,(1-SQRT((1-2*BB17*1E5/(DATOS!$C$58*P17*BF17^2*DATOS!$C$48))))*DATOS!$C$48*P17*BF17/DATOS!$C$40)))&lt;0,-1,MAX(IF(BB17&lt;=0,0,IF((1-2*BB17*1E5/(DATOS!$C$58*P17*BF17^2*DATOS!$C$48))&lt;0,-1,IF((1-SQRT((1-2*BB17*1E5/(DATOS!$C$58*P17*BF17^2*DATOS!$C$48))))*DATOS!$C$48*P17*BF17/DATOS!$C$40&gt;DATOS!$C$82*P17*BF17,-1,(1-SQRT((1-2*BB17*1E5/(DATOS!$C$58*P17*BF17^2*DATOS!$C$48))))*DATOS!$C$48*P17*BF17/DATOS!$C$40))),MIN(DATOS!$C$83*DATOS!$C$13*BF17,4/3*IF(BB17&lt;=0,0,IF((1-2*BB17*1E5/(DATOS!$C$58*P17*BF17^2*DATOS!$C$48))&lt;0,-1,IF((1-SQRT((1-2*BB17*1E5/(DATOS!$C$58*P17*BF17^2*DATOS!$C$48))))*DATOS!$C$48*P17*BF17/DATOS!$C$40&gt;DATOS!$C$82*P17*BF17,-1,(1-SQRT((1-2*BB17*1E5/(DATOS!$C$58*P17*BF17^2*DATOS!$C$48))))*DATOS!$C$48*P17*BF17/DATOS!$C$40)))))))</f>
        <v>0.200568611463456</v>
      </c>
      <c r="BH17" s="41">
        <f>IF(AND(BG17&gt;=0,IF(MAX(DATOS!$C$29,CEILING(BG17/INDEX(TABLAS!$D$52:$D$58,MIN(MATCH(DATOS!$C$26,TABLAS!$B$52:$B$58,0)+0,7)),1))*INDEX(TABLAS!$D$52:$D$58,MIN(MATCH(DATOS!$C$26,TABLAS!$B$52:$B$58,0)+0,7))&gt;=4/3*IF(BB17&lt;=0,0,IF((1-2*BB17*1E5/(DATOS!$C$58*P17*BF17^2*DATOS!$C$48))&lt;0,-1,IF((1-SQRT((1-2*BB17*1E5/(DATOS!$C$58*P17*BF17^2*DATOS!$C$48))))*DATOS!$C$48*P17*BF17/DATOS!$C$40&gt;DATOS!$C$82*P17*BF17,-1,(1-SQRT((1-2*BB17*1E5/(DATOS!$C$58*P17*BF17^2*DATOS!$C$48))))*DATOS!$C$48*P17*BF17/DATOS!$C$40)))-0.0001,MAX(DATOS!$C$29,CEILING(BG17/INDEX(TABLAS!$D$52:$D$58,MIN(MATCH(DATOS!$C$26,TABLAS!$B$52:$B$58,0)+0,7)),1)),MAX(MAX(DATOS!$C$29,CEILING(BG17/INDEX(TABLAS!$D$52:$D$58,MIN(MATCH(DATOS!$C$26,TABLAS!$B$52:$B$58,0)+0,7)),1)),2))&lt;=MIN(DATOS!$C$28,INT(((DATOS!$C$13-2*R17-2*IF(DATOS!$C$25=0,0,INDEX(TABLAS!$C$52:$C$58,MATCH(DATOS!$C$25,TABLAS!$B$52:$B$58,0))))+MAX(DATOS!$C$32,INDEX(TABLAS!$C$52:$C$58,MIN(MATCH(DATOS!$C$26,TABLAS!$B$52:$B$58,0)+0,7))))/(INDEX(TABLAS!$C$52:$C$58,MIN(MATCH(DATOS!$C$26,TABLAS!$B$52:$B$58,0)+0,7))+MAX(DATOS!$C$32,INDEX(TABLAS!$C$52:$C$58,MIN(MATCH(DATOS!$C$26,TABLAS!$B$52:$B$58,0)+0,7))))))),INDEX(TABLAS!$B$52:$B$58,MIN(MATCH(DATOS!$C$26,TABLAS!$B$52:$B$58,0)+0,7)),IF(AND(BG17&gt;=0,IF(MAX(DATOS!$C$29,CEILING(BG17/INDEX(TABLAS!$D$52:$D$58,MIN(MATCH(DATOS!$C$26,TABLAS!$B$52:$B$58,0)+1,7)),1))*INDEX(TABLAS!$D$52:$D$58,MIN(MATCH(DATOS!$C$26,TABLAS!$B$52:$B$58,0)+1,7))&gt;=4/3*IF(BB17&lt;=0,0,IF((1-2*BB17*1E5/(DATOS!$C$58*P17*BF17^2*DATOS!$C$48))&lt;0,-1,IF((1-SQRT((1-2*BB17*1E5/(DATOS!$C$58*P17*BF17^2*DATOS!$C$48))))*DATOS!$C$48*P17*BF17/DATOS!$C$40&gt;DATOS!$C$82*P17*BF17,-1,(1-SQRT((1-2*BB17*1E5/(DATOS!$C$58*P17*BF17^2*DATOS!$C$48))))*DATOS!$C$48*P17*BF17/DATOS!$C$40)))-0.0001,MAX(DATOS!$C$29,CEILING(BG17/INDEX(TABLAS!$D$52:$D$58,MIN(MATCH(DATOS!$C$26,TABLAS!$B$52:$B$58,0)+1,7)),1)),MAX(MAX(DATOS!$C$29,CEILING(BG17/INDEX(TABLAS!$D$52:$D$58,MIN(MATCH(DATOS!$C$26,TABLAS!$B$52:$B$58,0)+1,7)),1)),2))&lt;=MIN(DATOS!$C$28,INT(((DATOS!$C$13-2*R17-2*IF(DATOS!$C$25=0,0,INDEX(TABLAS!$C$52:$C$58,MATCH(DATOS!$C$25,TABLAS!$B$52:$B$58,0))))+MAX(DATOS!$C$32,INDEX(TABLAS!$C$52:$C$58,MIN(MATCH(DATOS!$C$26,TABLAS!$B$52:$B$58,0)+1,7))))/(INDEX(TABLAS!$C$52:$C$58,MIN(MATCH(DATOS!$C$26,TABLAS!$B$52:$B$58,0)+1,7))+MAX(DATOS!$C$32,INDEX(TABLAS!$C$52:$C$58,MIN(MATCH(DATOS!$C$26,TABLAS!$B$52:$B$58,0)+1,7))))))),INDEX(TABLAS!$B$52:$B$58,MIN(MATCH(DATOS!$C$26,TABLAS!$B$52:$B$58,0)+1,7)),IF(AND(BG17&gt;=0,IF(MAX(DATOS!$C$29,CEILING(BG17/INDEX(TABLAS!$D$52:$D$58,MIN(MATCH(DATOS!$C$26,TABLAS!$B$52:$B$58,0)+2,7)),1))*INDEX(TABLAS!$D$52:$D$58,MIN(MATCH(DATOS!$C$26,TABLAS!$B$52:$B$58,0)+2,7))&gt;=4/3*IF(BB17&lt;=0,0,IF((1-2*BB17*1E5/(DATOS!$C$58*P17*BF17^2*DATOS!$C$48))&lt;0,-1,IF((1-SQRT((1-2*BB17*1E5/(DATOS!$C$58*P17*BF17^2*DATOS!$C$48))))*DATOS!$C$48*P17*BF17/DATOS!$C$40&gt;DATOS!$C$82*P17*BF17,-1,(1-SQRT((1-2*BB17*1E5/(DATOS!$C$58*P17*BF17^2*DATOS!$C$48))))*DATOS!$C$48*P17*BF17/DATOS!$C$40)))-0.0001,MAX(DATOS!$C$29,CEILING(BG17/INDEX(TABLAS!$D$52:$D$58,MIN(MATCH(DATOS!$C$26,TABLAS!$B$52:$B$58,0)+2,7)),1)),MAX(MAX(DATOS!$C$29,CEILING(BG17/INDEX(TABLAS!$D$52:$D$58,MIN(MATCH(DATOS!$C$26,TABLAS!$B$52:$B$58,0)+2,7)),1)),2))&lt;=MIN(DATOS!$C$28,INT(((DATOS!$C$13-2*R17-2*IF(DATOS!$C$25=0,0,INDEX(TABLAS!$C$52:$C$58,MATCH(DATOS!$C$25,TABLAS!$B$52:$B$58,0))))+MAX(DATOS!$C$32,INDEX(TABLAS!$C$52:$C$58,MIN(MATCH(DATOS!$C$26,TABLAS!$B$52:$B$58,0)+2,7))))/(INDEX(TABLAS!$C$52:$C$58,MIN(MATCH(DATOS!$C$26,TABLAS!$B$52:$B$58,0)+2,7))+MAX(DATOS!$C$32,INDEX(TABLAS!$C$52:$C$58,MIN(MATCH(DATOS!$C$26,TABLAS!$B$52:$B$58,0)+2,7))))))),INDEX(TABLAS!$B$52:$B$58,MIN(MATCH(DATOS!$C$26,TABLAS!$B$52:$B$58,0)+2,7)),IF(AND(BG17&gt;=0,IF(MAX(DATOS!$C$29,CEILING(BG17/INDEX(TABLAS!$D$52:$D$58,MIN(MATCH(DATOS!$C$26,TABLAS!$B$52:$B$58,0)+3,7)),1))*INDEX(TABLAS!$D$52:$D$58,MIN(MATCH(DATOS!$C$26,TABLAS!$B$52:$B$58,0)+3,7))&gt;=4/3*IF(BB17&lt;=0,0,IF((1-2*BB17*1E5/(DATOS!$C$58*P17*BF17^2*DATOS!$C$48))&lt;0,-1,IF((1-SQRT((1-2*BB17*1E5/(DATOS!$C$58*P17*BF17^2*DATOS!$C$48))))*DATOS!$C$48*P17*BF17/DATOS!$C$40&gt;DATOS!$C$82*P17*BF17,-1,(1-SQRT((1-2*BB17*1E5/(DATOS!$C$58*P17*BF17^2*DATOS!$C$48))))*DATOS!$C$48*P17*BF17/DATOS!$C$40)))-0.0001,MAX(DATOS!$C$29,CEILING(BG17/INDEX(TABLAS!$D$52:$D$58,MIN(MATCH(DATOS!$C$26,TABLAS!$B$52:$B$58,0)+3,7)),1)),MAX(MAX(DATOS!$C$29,CEILING(BG17/INDEX(TABLAS!$D$52:$D$58,MIN(MATCH(DATOS!$C$26,TABLAS!$B$52:$B$58,0)+3,7)),1)),2))&lt;=MIN(DATOS!$C$28,INT(((DATOS!$C$13-2*R17-2*IF(DATOS!$C$25=0,0,INDEX(TABLAS!$C$52:$C$58,MATCH(DATOS!$C$25,TABLAS!$B$52:$B$58,0))))+MAX(DATOS!$C$32,INDEX(TABLAS!$C$52:$C$58,MIN(MATCH(DATOS!$C$26,TABLAS!$B$52:$B$58,0)+3,7))))/(INDEX(TABLAS!$C$52:$C$58,MIN(MATCH(DATOS!$C$26,TABLAS!$B$52:$B$58,0)+3,7))+MAX(DATOS!$C$32,INDEX(TABLAS!$C$52:$C$58,MIN(MATCH(DATOS!$C$26,TABLAS!$B$52:$B$58,0)+3,7))))))),INDEX(TABLAS!$B$52:$B$58,MIN(MATCH(DATOS!$C$26,TABLAS!$B$52:$B$58,0)+3,7)),IF(AND(BG17&gt;=0,IF(MAX(DATOS!$C$29,CEILING(BG17/INDEX(TABLAS!$D$52:$D$58,MIN(MATCH(DATOS!$C$26,TABLAS!$B$52:$B$58,0)+4,7)),1))*INDEX(TABLAS!$D$52:$D$58,MIN(MATCH(DATOS!$C$26,TABLAS!$B$52:$B$58,0)+4,7))&gt;=4/3*IF(BB17&lt;=0,0,IF((1-2*BB17*1E5/(DATOS!$C$58*P17*BF17^2*DATOS!$C$48))&lt;0,-1,IF((1-SQRT((1-2*BB17*1E5/(DATOS!$C$58*P17*BF17^2*DATOS!$C$48))))*DATOS!$C$48*P17*BF17/DATOS!$C$40&gt;DATOS!$C$82*P17*BF17,-1,(1-SQRT((1-2*BB17*1E5/(DATOS!$C$58*P17*BF17^2*DATOS!$C$48))))*DATOS!$C$48*P17*BF17/DATOS!$C$40)))-0.0001,MAX(DATOS!$C$29,CEILING(BG17/INDEX(TABLAS!$D$52:$D$58,MIN(MATCH(DATOS!$C$26,TABLAS!$B$52:$B$58,0)+4,7)),1)),MAX(MAX(DATOS!$C$29,CEILING(BG17/INDEX(TABLAS!$D$52:$D$58,MIN(MATCH(DATOS!$C$26,TABLAS!$B$52:$B$58,0)+4,7)),1)),2))&lt;=MIN(DATOS!$C$28,INT(((DATOS!$C$13-2*R17-2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17" s="56">
        <f>IF(D17="HUECO",0,IF(BG17&lt;0,0,IF(MAX(DATOS!$C$29,CEILING(MAX(BG17,0)/INDEX(TABLAS!$D$52:$D$58,MATCH(BH17,TABLAS!$B$52:$B$58,0)),1))*INDEX(TABLAS!$D$52:$D$58,MATCH(BH17,TABLAS!$B$52:$B$58,0))&gt;=4/3*IF(BB17&lt;=0,0,IF((1-2*BB17*1E5/(DATOS!$C$58*P17*BF17^2*DATOS!$C$48))&lt;0,-1,IF((1-SQRT((1-2*BB17*1E5/(DATOS!$C$58*P17*BF17^2*DATOS!$C$48))))*DATOS!$C$48*P17*BF17/DATOS!$C$40&gt;DATOS!$C$82*P17*BF17,-1,(1-SQRT((1-2*BB17*1E5/(DATOS!$C$58*P17*BF17^2*DATOS!$C$48))))*DATOS!$C$48*P17*BF17/DATOS!$C$40)))-0.0001,MAX(DATOS!$C$29,CEILING(MAX(BG17,0)/INDEX(TABLAS!$D$52:$D$58,MATCH(BH17,TABLAS!$B$52:$B$58,0)),1)),MAX(MAX(DATOS!$C$29,CEILING(MAX(BG17,0)/INDEX(TABLAS!$D$52:$D$58,MATCH(BH17,TABLAS!$B$52:$B$58,0)),1)),2))))</f>
        <v>1</v>
      </c>
      <c r="BJ17" s="43">
        <f>DATOS!$C$15-R17-IF(DATOS!$C$25=0,0,INDEX(TABLAS!$C$52:$C$58,MATCH(DATOS!$C$25,TABLAS!$B$52:$B$58,0)))-INDEX(TABLAS!$C$52:$C$58,MATCH(BH17,TABLAS!$B$52:$B$58,0))/2</f>
        <v>20.365</v>
      </c>
      <c r="BK17" s="36">
        <f>IF(BI17=0,0,DATOS!$C$58*BI17*INDEX(TABLAS!$D$52:$D$58,MATCH(BH17,TABLAS!$B$52:$B$58,0))*DATOS!$C$40*(BJ17-BI17*INDEX(TABLAS!$D$52:$D$58,MATCH(BH17,TABLAS!$B$52:$B$58,0))*DATOS!$C$40/(DATOS!$C$48*P17)/2)/1E5)</f>
        <v>0.96602766395039</v>
      </c>
      <c r="BL17" s="62">
        <f>IF(BG17&lt;0,9.99,IF(BK17&gt;0,BB17/BK17,0))</f>
        <v>0.119701428138177</v>
      </c>
      <c r="BM17" s="63">
        <f>IF(BI17=0,"—",0.003*(BJ17-(BI17*INDEX(TABLAS!$D$52:$D$58,MATCH(BH17,TABLAS!$B$52:$B$58,0))*DATOS!$C$40/(DATOS!$C$48*P17)/DATOS!$C$49))/(BI17*INDEX(TABLAS!$D$52:$D$58,MATCH(BH17,TABLAS!$B$52:$B$58,0))*DATOS!$C$40/(DATOS!$C$48*P17)/DATOS!$C$49))</f>
        <v>0.104321967932719</v>
      </c>
      <c r="BN17" s="43">
        <f>((DATOS!$C$15-S17-2*DATOS!$C$35-IF(DATOS!$C$25=0,0,INDEX(TABLAS!$C$52:$C$58,MATCH(DATOS!$C$25,TABLAS!$B$52:$B$58,0)))-INDEX(TABLAS!$C$52:$C$58,MATCH(DATOS!$C$27,TABLAS!$B$52:$B$58,0))/2)-IF(AND((DATOS!$C$15-S17-2*DATOS!$C$35-IF(DATOS!$C$25=0,0,INDEX(TABLAS!$C$52:$C$58,MATCH(DATOS!$C$25,TABLAS!$B$52:$B$58,0)))-INDEX(TABLAS!$C$52:$C$58,MATCH(DATOS!$C$27,TABLAS!$B$52:$B$58,0))/2)&lt;=20,DATOS!$C$18&lt;&gt;"SÍ"),2,0))</f>
        <v>19.389</v>
      </c>
      <c r="BO17" s="43">
        <f>IF(D17="HUECO",0,IF(IF(BC17&lt;=0,0,IF((1-2*BC17*1E5/(DATOS!$C$58*DATOS!$C$19*BN17^2*DATOS!$C$48))&lt;0,-1,IF((1-SQRT((1-2*BC17*1E5/(DATOS!$C$58*DATOS!$C$19*BN17^2*DATOS!$C$48))))*DATOS!$C$48*DATOS!$C$19*BN17/DATOS!$C$40&gt;DATOS!$C$82*DATOS!$C$19*BN17,-1,(1-SQRT((1-2*BC17*1E5/(DATOS!$C$58*DATOS!$C$19*BN17^2*DATOS!$C$48))))*DATOS!$C$48*DATOS!$C$19*BN17/DATOS!$C$40)))&lt;0,-1,MAX(IF(BC17&lt;=0,0,IF((1-2*BC17*1E5/(DATOS!$C$58*DATOS!$C$19*BN17^2*DATOS!$C$48))&lt;0,-1,IF((1-SQRT((1-2*BC17*1E5/(DATOS!$C$58*DATOS!$C$19*BN17^2*DATOS!$C$48))))*DATOS!$C$48*DATOS!$C$19*BN17/DATOS!$C$40&gt;DATOS!$C$82*DATOS!$C$19*BN17,-1,(1-SQRT((1-2*BC17*1E5/(DATOS!$C$58*DATOS!$C$19*BN17^2*DATOS!$C$48))))*DATOS!$C$48*DATOS!$C$19*BN17/DATOS!$C$40))),MIN(DATOS!$C$83*IF(D17="VOLADO",2*DATOS!$C$13,DATOS!$C$13)*BN17,4/3*IF(BC17&lt;=0,0,IF((1-2*BC17*1E5/(DATOS!$C$58*DATOS!$C$19*BN17^2*DATOS!$C$48))&lt;0,-1,IF((1-SQRT((1-2*BC17*1E5/(DATOS!$C$58*DATOS!$C$19*BN17^2*DATOS!$C$48))))*DATOS!$C$48*DATOS!$C$19*BN17/DATOS!$C$40&gt;DATOS!$C$82*DATOS!$C$19*BN17,-1,(1-SQRT((1-2*BC17*1E5/(DATOS!$C$58*DATOS!$C$19*BN17^2*DATOS!$C$48))))*DATOS!$C$48*DATOS!$C$19*BN17/DATOS!$C$40)))))))</f>
        <v>0.504071743765757</v>
      </c>
      <c r="BP17" s="41">
        <f>IF(AND(BO17&gt;=0,IF(MAX(DATOS!$C$29,CEILING(BO17/INDEX(TABLAS!$D$52:$D$58,MIN(MATCH(DATOS!$C$27,TABLAS!$B$52:$B$58,0)+0,7)),1))*INDEX(TABLAS!$D$52:$D$58,MIN(MATCH(DATOS!$C$27,TABLAS!$B$52:$B$58,0)+0,7))&gt;=4/3*IF(BC17&lt;=0,0,IF((1-2*BC17*1E5/(DATOS!$C$58*DATOS!$C$19*BN17^2*DATOS!$C$48))&lt;0,-1,IF((1-SQRT((1-2*BC17*1E5/(DATOS!$C$58*DATOS!$C$19*BN17^2*DATOS!$C$48))))*DATOS!$C$48*DATOS!$C$19*BN17/DATOS!$C$40&gt;DATOS!$C$82*DATOS!$C$19*BN17,-1,(1-SQRT((1-2*BC17*1E5/(DATOS!$C$58*DATOS!$C$19*BN17^2*DATOS!$C$48))))*DATOS!$C$48*DATOS!$C$19*BN17/DATOS!$C$40)))-0.0001,MAX(DATOS!$C$29,CEILING(BO17/INDEX(TABLAS!$D$52:$D$58,MIN(MATCH(DATOS!$C$27,TABLAS!$B$52:$B$58,0)+0,7)),1)),MAX(MAX(DATOS!$C$29,CEILING(BO17/INDEX(TABLAS!$D$52:$D$58,MIN(MATCH(DATOS!$C$27,TABLAS!$B$52:$B$58,0)+0,7)),1)),2))&lt;=MIN(DATOS!$C$28,INT(((DATOS!$C$13-2*S17-2*IF(DATOS!$C$25=0,0,INDEX(TABLAS!$C$52:$C$58,MATCH(DATOS!$C$25,TABLAS!$B$52:$B$58,0))))+MAX(DATOS!$C$32,INDEX(TABLAS!$C$52:$C$58,MIN(MATCH(DATOS!$C$27,TABLAS!$B$52:$B$58,0)+0,7))))/(INDEX(TABLAS!$C$52:$C$58,MIN(MATCH(DATOS!$C$27,TABLAS!$B$52:$B$58,0)+0,7))+MAX(DATOS!$C$32,INDEX(TABLAS!$C$52:$C$58,MIN(MATCH(DATOS!$C$27,TABLAS!$B$52:$B$58,0)+0,7))))))),INDEX(TABLAS!$B$52:$B$58,MIN(MATCH(DATOS!$C$27,TABLAS!$B$52:$B$58,0)+0,7)),IF(AND(BO17&gt;=0,IF(MAX(DATOS!$C$29,CEILING(BO17/INDEX(TABLAS!$D$52:$D$58,MIN(MATCH(DATOS!$C$27,TABLAS!$B$52:$B$58,0)+1,7)),1))*INDEX(TABLAS!$D$52:$D$58,MIN(MATCH(DATOS!$C$27,TABLAS!$B$52:$B$58,0)+1,7))&gt;=4/3*IF(BC17&lt;=0,0,IF((1-2*BC17*1E5/(DATOS!$C$58*DATOS!$C$19*BN17^2*DATOS!$C$48))&lt;0,-1,IF((1-SQRT((1-2*BC17*1E5/(DATOS!$C$58*DATOS!$C$19*BN17^2*DATOS!$C$48))))*DATOS!$C$48*DATOS!$C$19*BN17/DATOS!$C$40&gt;DATOS!$C$82*DATOS!$C$19*BN17,-1,(1-SQRT((1-2*BC17*1E5/(DATOS!$C$58*DATOS!$C$19*BN17^2*DATOS!$C$48))))*DATOS!$C$48*DATOS!$C$19*BN17/DATOS!$C$40)))-0.0001,MAX(DATOS!$C$29,CEILING(BO17/INDEX(TABLAS!$D$52:$D$58,MIN(MATCH(DATOS!$C$27,TABLAS!$B$52:$B$58,0)+1,7)),1)),MAX(MAX(DATOS!$C$29,CEILING(BO17/INDEX(TABLAS!$D$52:$D$58,MIN(MATCH(DATOS!$C$27,TABLAS!$B$52:$B$58,0)+1,7)),1)),2))&lt;=MIN(DATOS!$C$28,INT(((DATOS!$C$13-2*S17-2*IF(DATOS!$C$25=0,0,INDEX(TABLAS!$C$52:$C$58,MATCH(DATOS!$C$25,TABLAS!$B$52:$B$58,0))))+MAX(DATOS!$C$32,INDEX(TABLAS!$C$52:$C$58,MIN(MATCH(DATOS!$C$27,TABLAS!$B$52:$B$58,0)+1,7))))/(INDEX(TABLAS!$C$52:$C$58,MIN(MATCH(DATOS!$C$27,TABLAS!$B$52:$B$58,0)+1,7))+MAX(DATOS!$C$32,INDEX(TABLAS!$C$52:$C$58,MIN(MATCH(DATOS!$C$27,TABLAS!$B$52:$B$58,0)+1,7))))))),INDEX(TABLAS!$B$52:$B$58,MIN(MATCH(DATOS!$C$27,TABLAS!$B$52:$B$58,0)+1,7)),IF(AND(BO17&gt;=0,IF(MAX(DATOS!$C$29,CEILING(BO17/INDEX(TABLAS!$D$52:$D$58,MIN(MATCH(DATOS!$C$27,TABLAS!$B$52:$B$58,0)+2,7)),1))*INDEX(TABLAS!$D$52:$D$58,MIN(MATCH(DATOS!$C$27,TABLAS!$B$52:$B$58,0)+2,7))&gt;=4/3*IF(BC17&lt;=0,0,IF((1-2*BC17*1E5/(DATOS!$C$58*DATOS!$C$19*BN17^2*DATOS!$C$48))&lt;0,-1,IF((1-SQRT((1-2*BC17*1E5/(DATOS!$C$58*DATOS!$C$19*BN17^2*DATOS!$C$48))))*DATOS!$C$48*DATOS!$C$19*BN17/DATOS!$C$40&gt;DATOS!$C$82*DATOS!$C$19*BN17,-1,(1-SQRT((1-2*BC17*1E5/(DATOS!$C$58*DATOS!$C$19*BN17^2*DATOS!$C$48))))*DATOS!$C$48*DATOS!$C$19*BN17/DATOS!$C$40)))-0.0001,MAX(DATOS!$C$29,CEILING(BO17/INDEX(TABLAS!$D$52:$D$58,MIN(MATCH(DATOS!$C$27,TABLAS!$B$52:$B$58,0)+2,7)),1)),MAX(MAX(DATOS!$C$29,CEILING(BO17/INDEX(TABLAS!$D$52:$D$58,MIN(MATCH(DATOS!$C$27,TABLAS!$B$52:$B$58,0)+2,7)),1)),2))&lt;=MIN(DATOS!$C$28,INT(((DATOS!$C$13-2*S17-2*IF(DATOS!$C$25=0,0,INDEX(TABLAS!$C$52:$C$58,MATCH(DATOS!$C$25,TABLAS!$B$52:$B$58,0))))+MAX(DATOS!$C$32,INDEX(TABLAS!$C$52:$C$58,MIN(MATCH(DATOS!$C$27,TABLAS!$B$52:$B$58,0)+2,7))))/(INDEX(TABLAS!$C$52:$C$58,MIN(MATCH(DATOS!$C$27,TABLAS!$B$52:$B$58,0)+2,7))+MAX(DATOS!$C$32,INDEX(TABLAS!$C$52:$C$58,MIN(MATCH(DATOS!$C$27,TABLAS!$B$52:$B$58,0)+2,7))))))),INDEX(TABLAS!$B$52:$B$58,MIN(MATCH(DATOS!$C$27,TABLAS!$B$52:$B$58,0)+2,7)),IF(AND(BO17&gt;=0,IF(MAX(DATOS!$C$29,CEILING(BO17/INDEX(TABLAS!$D$52:$D$58,MIN(MATCH(DATOS!$C$27,TABLAS!$B$52:$B$58,0)+3,7)),1))*INDEX(TABLAS!$D$52:$D$58,MIN(MATCH(DATOS!$C$27,TABLAS!$B$52:$B$58,0)+3,7))&gt;=4/3*IF(BC17&lt;=0,0,IF((1-2*BC17*1E5/(DATOS!$C$58*DATOS!$C$19*BN17^2*DATOS!$C$48))&lt;0,-1,IF((1-SQRT((1-2*BC17*1E5/(DATOS!$C$58*DATOS!$C$19*BN17^2*DATOS!$C$48))))*DATOS!$C$48*DATOS!$C$19*BN17/DATOS!$C$40&gt;DATOS!$C$82*DATOS!$C$19*BN17,-1,(1-SQRT((1-2*BC17*1E5/(DATOS!$C$58*DATOS!$C$19*BN17^2*DATOS!$C$48))))*DATOS!$C$48*DATOS!$C$19*BN17/DATOS!$C$40)))-0.0001,MAX(DATOS!$C$29,CEILING(BO17/INDEX(TABLAS!$D$52:$D$58,MIN(MATCH(DATOS!$C$27,TABLAS!$B$52:$B$58,0)+3,7)),1)),MAX(MAX(DATOS!$C$29,CEILING(BO17/INDEX(TABLAS!$D$52:$D$58,MIN(MATCH(DATOS!$C$27,TABLAS!$B$52:$B$58,0)+3,7)),1)),2))&lt;=MIN(DATOS!$C$28,INT(((DATOS!$C$13-2*S17-2*IF(DATOS!$C$25=0,0,INDEX(TABLAS!$C$52:$C$58,MATCH(DATOS!$C$25,TABLAS!$B$52:$B$58,0))))+MAX(DATOS!$C$32,INDEX(TABLAS!$C$52:$C$58,MIN(MATCH(DATOS!$C$27,TABLAS!$B$52:$B$58,0)+3,7))))/(INDEX(TABLAS!$C$52:$C$58,MIN(MATCH(DATOS!$C$27,TABLAS!$B$52:$B$58,0)+3,7))+MAX(DATOS!$C$32,INDEX(TABLAS!$C$52:$C$58,MIN(MATCH(DATOS!$C$27,TABLAS!$B$52:$B$58,0)+3,7))))))),INDEX(TABLAS!$B$52:$B$58,MIN(MATCH(DATOS!$C$27,TABLAS!$B$52:$B$58,0)+3,7)),IF(AND(BO17&gt;=0,IF(MAX(DATOS!$C$29,CEILING(BO17/INDEX(TABLAS!$D$52:$D$58,MIN(MATCH(DATOS!$C$27,TABLAS!$B$52:$B$58,0)+4,7)),1))*INDEX(TABLAS!$D$52:$D$58,MIN(MATCH(DATOS!$C$27,TABLAS!$B$52:$B$58,0)+4,7))&gt;=4/3*IF(BC17&lt;=0,0,IF((1-2*BC17*1E5/(DATOS!$C$58*DATOS!$C$19*BN17^2*DATOS!$C$48))&lt;0,-1,IF((1-SQRT((1-2*BC17*1E5/(DATOS!$C$58*DATOS!$C$19*BN17^2*DATOS!$C$48))))*DATOS!$C$48*DATOS!$C$19*BN17/DATOS!$C$40&gt;DATOS!$C$82*DATOS!$C$19*BN17,-1,(1-SQRT((1-2*BC17*1E5/(DATOS!$C$58*DATOS!$C$19*BN17^2*DATOS!$C$48))))*DATOS!$C$48*DATOS!$C$19*BN17/DATOS!$C$40)))-0.0001,MAX(DATOS!$C$29,CEILING(BO17/INDEX(TABLAS!$D$52:$D$58,MIN(MATCH(DATOS!$C$27,TABLAS!$B$52:$B$58,0)+4,7)),1)),MAX(MAX(DATOS!$C$29,CEILING(BO17/INDEX(TABLAS!$D$52:$D$58,MIN(MATCH(DATOS!$C$27,TABLAS!$B$52:$B$58,0)+4,7)),1)),2))&lt;=MIN(DATOS!$C$28,INT(((DATOS!$C$13-2*S17-2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17" s="56">
        <f>IF(D17="HUECO",0,IF(BO17&lt;0,0,IF(MAX(DATOS!$C$29,CEILING(MAX(BO17,0)/INDEX(TABLAS!$D$52:$D$58,MATCH(BP17,TABLAS!$B$52:$B$58,0)),1))*INDEX(TABLAS!$D$52:$D$58,MATCH(BP17,TABLAS!$B$52:$B$58,0))&gt;=4/3*IF(BC17&lt;=0,0,IF((1-2*BC17*1E5/(DATOS!$C$58*DATOS!$C$19*BN17^2*DATOS!$C$48))&lt;0,-1,IF((1-SQRT((1-2*BC17*1E5/(DATOS!$C$58*DATOS!$C$19*BN17^2*DATOS!$C$48))))*DATOS!$C$48*DATOS!$C$19*BN17/DATOS!$C$40&gt;DATOS!$C$82*DATOS!$C$19*BN17,-1,(1-SQRT((1-2*BC17*1E5/(DATOS!$C$58*DATOS!$C$19*BN17^2*DATOS!$C$48))))*DATOS!$C$48*DATOS!$C$19*BN17/DATOS!$C$40)))-0.0001,MAX(DATOS!$C$29,CEILING(MAX(BO17,0)/INDEX(TABLAS!$D$52:$D$58,MATCH(BP17,TABLAS!$B$52:$B$58,0)),1)),MAX(MAX(DATOS!$C$29,CEILING(MAX(BO17,0)/INDEX(TABLAS!$D$52:$D$58,MATCH(BP17,TABLAS!$B$52:$B$58,0)),1)),2))))</f>
        <v>1</v>
      </c>
      <c r="BR17" s="43">
        <f>((DATOS!$C$15-S17-2*DATOS!$C$35-IF(DATOS!$C$25=0,0,INDEX(TABLAS!$C$52:$C$58,MATCH(DATOS!$C$25,TABLAS!$B$52:$B$58,0)))-INDEX(TABLAS!$C$52:$C$58,MATCH(BP17,TABLAS!$B$52:$B$58,0))/2)-IF(AND((DATOS!$C$15-S17-2*DATOS!$C$35-IF(DATOS!$C$25=0,0,INDEX(TABLAS!$C$52:$C$58,MATCH(DATOS!$C$25,TABLAS!$B$52:$B$58,0)))-INDEX(TABLAS!$C$52:$C$58,MATCH(BP17,TABLAS!$B$52:$B$58,0))/2)&lt;=20,DATOS!$C$18&lt;&gt;"SÍ"),2,0))</f>
        <v>19.389</v>
      </c>
      <c r="BS17" s="36">
        <f>IF(BQ17=0,0,DATOS!$C$58*BQ17*INDEX(TABLAS!$D$52:$D$58,MATCH(BP17,TABLAS!$B$52:$B$58,0))*DATOS!$C$40*(BR17-BQ17*INDEX(TABLAS!$D$52:$D$58,MATCH(BP17,TABLAS!$B$52:$B$58,0))*DATOS!$C$40/(DATOS!$C$48*DATOS!$C$19)/2)/1E5)</f>
        <v>0.870537980117647</v>
      </c>
      <c r="BT17" s="62">
        <f>IF(BO17&lt;0,9.99,IF(BS17&gt;0,BC17/BS17,0))</f>
        <v>0.312149769761317</v>
      </c>
      <c r="BU17" s="63">
        <f>IF(BQ17=0,"—",0.003*(BR17-(BQ17*INDEX(TABLAS!$D$52:$D$58,MATCH(BP17,TABLAS!$B$52:$B$58,0))*DATOS!$C$40/(DATOS!$C$48*DATOS!$C$19)/DATOS!$C$49))/(BQ17*INDEX(TABLAS!$D$52:$D$58,MATCH(BP17,TABLAS!$B$52:$B$58,0))*DATOS!$C$40/(DATOS!$C$48*DATOS!$C$19)/DATOS!$C$49))</f>
        <v>0.0166970648200225</v>
      </c>
      <c r="BV17" s="43">
        <f>(DATOS!$C$15-R17-IF(DATOS!$C$25=0,0,INDEX(TABLAS!$C$52:$C$58,MATCH(DATOS!$C$25,TABLAS!$B$52:$B$58,0)))-INDEX(TABLAS!$C$52:$C$58,MATCH(DATOS!$C$26,TABLAS!$B$52:$B$58,0))-INDEX(TABLAS!$C$52:$C$58,MATCH(DATOS!$C$26,TABLAS!$B$52:$B$58,0))/2)</f>
        <v>19.095</v>
      </c>
      <c r="BW17" s="43">
        <f>IF(D17="HUECO",0,IF(IF(BD17&lt;=0,0,IF((1-2*BD17*1E5/(DATOS!$C$58*Q17*BV17^2*DATOS!$C$48))&lt;0,-1,IF((1-SQRT((1-2*BD17*1E5/(DATOS!$C$58*Q17*BV17^2*DATOS!$C$48))))*DATOS!$C$48*Q17*BV17/DATOS!$C$40&gt;DATOS!$C$82*Q17*BV17,-1,(1-SQRT((1-2*BD17*1E5/(DATOS!$C$58*Q17*BV17^2*DATOS!$C$48))))*DATOS!$C$48*Q17*BV17/DATOS!$C$40)))&lt;0,-1,MAX(IF(BD17&lt;=0,0,IF((1-2*BD17*1E5/(DATOS!$C$58*Q17*BV17^2*DATOS!$C$48))&lt;0,-1,IF((1-SQRT((1-2*BD17*1E5/(DATOS!$C$58*Q17*BV17^2*DATOS!$C$48))))*DATOS!$C$48*Q17*BV17/DATOS!$C$40&gt;DATOS!$C$82*Q17*BV17,-1,(1-SQRT((1-2*BD17*1E5/(DATOS!$C$58*Q17*BV17^2*DATOS!$C$48))))*DATOS!$C$48*Q17*BV17/DATOS!$C$40))),MIN(DATOS!$C$83*DATOS!$C$13*BV17,4/3*IF(BD17&lt;=0,0,IF((1-2*BD17*1E5/(DATOS!$C$58*Q17*BV17^2*DATOS!$C$48))&lt;0,-1,IF((1-SQRT((1-2*BD17*1E5/(DATOS!$C$58*Q17*BV17^2*DATOS!$C$48))))*DATOS!$C$48*Q17*BV17/DATOS!$C$40&gt;DATOS!$C$82*Q17*BV17,-1,(1-SQRT((1-2*BD17*1E5/(DATOS!$C$58*Q17*BV17^2*DATOS!$C$48))))*DATOS!$C$48*Q17*BV17/DATOS!$C$40)))))))</f>
        <v>0.0942654689322797</v>
      </c>
      <c r="BX17" s="41">
        <f>IF(AND(BW17&gt;=0,IF(MAX(DATOS!$C$29,CEILING(BW17/INDEX(TABLAS!$D$52:$D$58,MIN(MATCH(DATOS!$C$26,TABLAS!$B$52:$B$58,0)+0,7)),1))*INDEX(TABLAS!$D$52:$D$58,MIN(MATCH(DATOS!$C$26,TABLAS!$B$52:$B$58,0)+0,7))&gt;=4/3*IF(BD17&lt;=0,0,IF((1-2*BD17*1E5/(DATOS!$C$58*Q17*BV17^2*DATOS!$C$48))&lt;0,-1,IF((1-SQRT((1-2*BD17*1E5/(DATOS!$C$58*Q17*BV17^2*DATOS!$C$48))))*DATOS!$C$48*Q17*BV17/DATOS!$C$40&gt;DATOS!$C$82*Q17*BV17,-1,(1-SQRT((1-2*BD17*1E5/(DATOS!$C$58*Q17*BV17^2*DATOS!$C$48))))*DATOS!$C$48*Q17*BV17/DATOS!$C$40)))-0.0001,MAX(DATOS!$C$29,CEILING(BW17/INDEX(TABLAS!$D$52:$D$58,MIN(MATCH(DATOS!$C$26,TABLAS!$B$52:$B$58,0)+0,7)),1)),MAX(MAX(DATOS!$C$29,CEILING(BW17/INDEX(TABLAS!$D$52:$D$58,MIN(MATCH(DATOS!$C$26,TABLAS!$B$52:$B$58,0)+0,7)),1)),2))&lt;=MIN(DATOS!$C$28,INT(((DATOS!$C$13-2*R17-2*IF(DATOS!$C$25=0,0,INDEX(TABLAS!$C$52:$C$58,MATCH(DATOS!$C$25,TABLAS!$B$52:$B$58,0))))+MAX(DATOS!$C$32,INDEX(TABLAS!$C$52:$C$58,MIN(MATCH(DATOS!$C$26,TABLAS!$B$52:$B$58,0)+0,7))))/(INDEX(TABLAS!$C$52:$C$58,MIN(MATCH(DATOS!$C$26,TABLAS!$B$52:$B$58,0)+0,7))+MAX(DATOS!$C$32,INDEX(TABLAS!$C$52:$C$58,MIN(MATCH(DATOS!$C$26,TABLAS!$B$52:$B$58,0)+0,7))))))),INDEX(TABLAS!$B$52:$B$58,MIN(MATCH(DATOS!$C$26,TABLAS!$B$52:$B$58,0)+0,7)),IF(AND(BW17&gt;=0,IF(MAX(DATOS!$C$29,CEILING(BW17/INDEX(TABLAS!$D$52:$D$58,MIN(MATCH(DATOS!$C$26,TABLAS!$B$52:$B$58,0)+1,7)),1))*INDEX(TABLAS!$D$52:$D$58,MIN(MATCH(DATOS!$C$26,TABLAS!$B$52:$B$58,0)+1,7))&gt;=4/3*IF(BD17&lt;=0,0,IF((1-2*BD17*1E5/(DATOS!$C$58*Q17*BV17^2*DATOS!$C$48))&lt;0,-1,IF((1-SQRT((1-2*BD17*1E5/(DATOS!$C$58*Q17*BV17^2*DATOS!$C$48))))*DATOS!$C$48*Q17*BV17/DATOS!$C$40&gt;DATOS!$C$82*Q17*BV17,-1,(1-SQRT((1-2*BD17*1E5/(DATOS!$C$58*Q17*BV17^2*DATOS!$C$48))))*DATOS!$C$48*Q17*BV17/DATOS!$C$40)))-0.0001,MAX(DATOS!$C$29,CEILING(BW17/INDEX(TABLAS!$D$52:$D$58,MIN(MATCH(DATOS!$C$26,TABLAS!$B$52:$B$58,0)+1,7)),1)),MAX(MAX(DATOS!$C$29,CEILING(BW17/INDEX(TABLAS!$D$52:$D$58,MIN(MATCH(DATOS!$C$26,TABLAS!$B$52:$B$58,0)+1,7)),1)),2))&lt;=MIN(DATOS!$C$28,INT(((DATOS!$C$13-2*R17-2*IF(DATOS!$C$25=0,0,INDEX(TABLAS!$C$52:$C$58,MATCH(DATOS!$C$25,TABLAS!$B$52:$B$58,0))))+MAX(DATOS!$C$32,INDEX(TABLAS!$C$52:$C$58,MIN(MATCH(DATOS!$C$26,TABLAS!$B$52:$B$58,0)+1,7))))/(INDEX(TABLAS!$C$52:$C$58,MIN(MATCH(DATOS!$C$26,TABLAS!$B$52:$B$58,0)+1,7))+MAX(DATOS!$C$32,INDEX(TABLAS!$C$52:$C$58,MIN(MATCH(DATOS!$C$26,TABLAS!$B$52:$B$58,0)+1,7))))))),INDEX(TABLAS!$B$52:$B$58,MIN(MATCH(DATOS!$C$26,TABLAS!$B$52:$B$58,0)+1,7)),IF(AND(BW17&gt;=0,IF(MAX(DATOS!$C$29,CEILING(BW17/INDEX(TABLAS!$D$52:$D$58,MIN(MATCH(DATOS!$C$26,TABLAS!$B$52:$B$58,0)+2,7)),1))*INDEX(TABLAS!$D$52:$D$58,MIN(MATCH(DATOS!$C$26,TABLAS!$B$52:$B$58,0)+2,7))&gt;=4/3*IF(BD17&lt;=0,0,IF((1-2*BD17*1E5/(DATOS!$C$58*Q17*BV17^2*DATOS!$C$48))&lt;0,-1,IF((1-SQRT((1-2*BD17*1E5/(DATOS!$C$58*Q17*BV17^2*DATOS!$C$48))))*DATOS!$C$48*Q17*BV17/DATOS!$C$40&gt;DATOS!$C$82*Q17*BV17,-1,(1-SQRT((1-2*BD17*1E5/(DATOS!$C$58*Q17*BV17^2*DATOS!$C$48))))*DATOS!$C$48*Q17*BV17/DATOS!$C$40)))-0.0001,MAX(DATOS!$C$29,CEILING(BW17/INDEX(TABLAS!$D$52:$D$58,MIN(MATCH(DATOS!$C$26,TABLAS!$B$52:$B$58,0)+2,7)),1)),MAX(MAX(DATOS!$C$29,CEILING(BW17/INDEX(TABLAS!$D$52:$D$58,MIN(MATCH(DATOS!$C$26,TABLAS!$B$52:$B$58,0)+2,7)),1)),2))&lt;=MIN(DATOS!$C$28,INT(((DATOS!$C$13-2*R17-2*IF(DATOS!$C$25=0,0,INDEX(TABLAS!$C$52:$C$58,MATCH(DATOS!$C$25,TABLAS!$B$52:$B$58,0))))+MAX(DATOS!$C$32,INDEX(TABLAS!$C$52:$C$58,MIN(MATCH(DATOS!$C$26,TABLAS!$B$52:$B$58,0)+2,7))))/(INDEX(TABLAS!$C$52:$C$58,MIN(MATCH(DATOS!$C$26,TABLAS!$B$52:$B$58,0)+2,7))+MAX(DATOS!$C$32,INDEX(TABLAS!$C$52:$C$58,MIN(MATCH(DATOS!$C$26,TABLAS!$B$52:$B$58,0)+2,7))))))),INDEX(TABLAS!$B$52:$B$58,MIN(MATCH(DATOS!$C$26,TABLAS!$B$52:$B$58,0)+2,7)),IF(AND(BW17&gt;=0,IF(MAX(DATOS!$C$29,CEILING(BW17/INDEX(TABLAS!$D$52:$D$58,MIN(MATCH(DATOS!$C$26,TABLAS!$B$52:$B$58,0)+3,7)),1))*INDEX(TABLAS!$D$52:$D$58,MIN(MATCH(DATOS!$C$26,TABLAS!$B$52:$B$58,0)+3,7))&gt;=4/3*IF(BD17&lt;=0,0,IF((1-2*BD17*1E5/(DATOS!$C$58*Q17*BV17^2*DATOS!$C$48))&lt;0,-1,IF((1-SQRT((1-2*BD17*1E5/(DATOS!$C$58*Q17*BV17^2*DATOS!$C$48))))*DATOS!$C$48*Q17*BV17/DATOS!$C$40&gt;DATOS!$C$82*Q17*BV17,-1,(1-SQRT((1-2*BD17*1E5/(DATOS!$C$58*Q17*BV17^2*DATOS!$C$48))))*DATOS!$C$48*Q17*BV17/DATOS!$C$40)))-0.0001,MAX(DATOS!$C$29,CEILING(BW17/INDEX(TABLAS!$D$52:$D$58,MIN(MATCH(DATOS!$C$26,TABLAS!$B$52:$B$58,0)+3,7)),1)),MAX(MAX(DATOS!$C$29,CEILING(BW17/INDEX(TABLAS!$D$52:$D$58,MIN(MATCH(DATOS!$C$26,TABLAS!$B$52:$B$58,0)+3,7)),1)),2))&lt;=MIN(DATOS!$C$28,INT(((DATOS!$C$13-2*R17-2*IF(DATOS!$C$25=0,0,INDEX(TABLAS!$C$52:$C$58,MATCH(DATOS!$C$25,TABLAS!$B$52:$B$58,0))))+MAX(DATOS!$C$32,INDEX(TABLAS!$C$52:$C$58,MIN(MATCH(DATOS!$C$26,TABLAS!$B$52:$B$58,0)+3,7))))/(INDEX(TABLAS!$C$52:$C$58,MIN(MATCH(DATOS!$C$26,TABLAS!$B$52:$B$58,0)+3,7))+MAX(DATOS!$C$32,INDEX(TABLAS!$C$52:$C$58,MIN(MATCH(DATOS!$C$26,TABLAS!$B$52:$B$58,0)+3,7))))))),INDEX(TABLAS!$B$52:$B$58,MIN(MATCH(DATOS!$C$26,TABLAS!$B$52:$B$58,0)+3,7)),IF(AND(BW17&gt;=0,IF(MAX(DATOS!$C$29,CEILING(BW17/INDEX(TABLAS!$D$52:$D$58,MIN(MATCH(DATOS!$C$26,TABLAS!$B$52:$B$58,0)+4,7)),1))*INDEX(TABLAS!$D$52:$D$58,MIN(MATCH(DATOS!$C$26,TABLAS!$B$52:$B$58,0)+4,7))&gt;=4/3*IF(BD17&lt;=0,0,IF((1-2*BD17*1E5/(DATOS!$C$58*Q17*BV17^2*DATOS!$C$48))&lt;0,-1,IF((1-SQRT((1-2*BD17*1E5/(DATOS!$C$58*Q17*BV17^2*DATOS!$C$48))))*DATOS!$C$48*Q17*BV17/DATOS!$C$40&gt;DATOS!$C$82*Q17*BV17,-1,(1-SQRT((1-2*BD17*1E5/(DATOS!$C$58*Q17*BV17^2*DATOS!$C$48))))*DATOS!$C$48*Q17*BV17/DATOS!$C$40)))-0.0001,MAX(DATOS!$C$29,CEILING(BW17/INDEX(TABLAS!$D$52:$D$58,MIN(MATCH(DATOS!$C$26,TABLAS!$B$52:$B$58,0)+4,7)),1)),MAX(MAX(DATOS!$C$29,CEILING(BW17/INDEX(TABLAS!$D$52:$D$58,MIN(MATCH(DATOS!$C$26,TABLAS!$B$52:$B$58,0)+4,7)),1)),2))&lt;=MIN(DATOS!$C$28,INT(((DATOS!$C$13-2*R17-2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17" s="56">
        <f>IF(D17="HUECO",0,IF(BW17&lt;0,0,IF(MAX(DATOS!$C$29,CEILING(MAX(BW17,0)/INDEX(TABLAS!$D$52:$D$58,MATCH(BX17,TABLAS!$B$52:$B$58,0)),1))*INDEX(TABLAS!$D$52:$D$58,MATCH(BX17,TABLAS!$B$52:$B$58,0))&gt;=4/3*IF(BD17&lt;=0,0,IF((1-2*BD17*1E5/(DATOS!$C$58*Q17*BV17^2*DATOS!$C$48))&lt;0,-1,IF((1-SQRT((1-2*BD17*1E5/(DATOS!$C$58*Q17*BV17^2*DATOS!$C$48))))*DATOS!$C$48*Q17*BV17/DATOS!$C$40&gt;DATOS!$C$82*Q17*BV17,-1,(1-SQRT((1-2*BD17*1E5/(DATOS!$C$58*Q17*BV17^2*DATOS!$C$48))))*DATOS!$C$48*Q17*BV17/DATOS!$C$40)))-0.0001,MAX(DATOS!$C$29,CEILING(MAX(BW17,0)/INDEX(TABLAS!$D$52:$D$58,MATCH(BX17,TABLAS!$B$52:$B$58,0)),1)),MAX(MAX(DATOS!$C$29,CEILING(MAX(BW17,0)/INDEX(TABLAS!$D$52:$D$58,MATCH(BX17,TABLAS!$B$52:$B$58,0)),1)),2))))</f>
        <v>1</v>
      </c>
      <c r="BZ17" s="43">
        <f>DATOS!$C$15-R17-IF(DATOS!$C$25=0,0,INDEX(TABLAS!$C$52:$C$58,MATCH(DATOS!$C$25,TABLAS!$B$52:$B$58,0)))-INDEX(TABLAS!$C$52:$C$58,MATCH(BH17,TABLAS!$B$52:$B$58,0))-INDEX(TABLAS!$C$52:$C$58,MATCH(BX17,TABLAS!$B$52:$B$58,0))/2</f>
        <v>19.095</v>
      </c>
      <c r="CA17" s="36">
        <f>IF(BY17=0,0,DATOS!$C$58*BY17*INDEX(TABLAS!$D$52:$D$58,MATCH(BX17,TABLAS!$B$52:$B$58,0))*DATOS!$C$40*(BZ17-BY17*INDEX(TABLAS!$D$52:$D$58,MATCH(BX17,TABLAS!$B$52:$B$58,0))*DATOS!$C$40/(DATOS!$C$48*Q17)/2)/1E5)</f>
        <v>0.908067376588235</v>
      </c>
      <c r="CB17" s="62">
        <f>IF(BW17&lt;0,9.99,IF(CA17&gt;0,BD17/CA17,0))</f>
        <v>0.0561668693452755</v>
      </c>
      <c r="CC17" s="63">
        <f>IF(BY17=0,"—",0.003*(BZ17-(BY17*INDEX(TABLAS!$D$52:$D$58,MATCH(BX17,TABLAS!$B$52:$B$58,0))*DATOS!$C$40/(DATOS!$C$48*Q17)/DATOS!$C$49))/(BY17*INDEX(TABLAS!$D$52:$D$58,MATCH(BX17,TABLAS!$B$52:$B$58,0))*DATOS!$C$40/(DATOS!$C$48*Q17)/DATOS!$C$49))</f>
        <v>0.13278875492126</v>
      </c>
      <c r="CD17" s="43">
        <f>((DATOS!$C$15-S17-2*DATOS!$C$35-IF(DATOS!$C$25=0,0,INDEX(TABLAS!$C$52:$C$58,MATCH(DATOS!$C$25,TABLAS!$B$52:$B$58,0)))-INDEX(TABLAS!$C$52:$C$58,MATCH(DATOS!$C$27,TABLAS!$B$52:$B$58,0))-INDEX(TABLAS!$C$52:$C$58,MATCH(DATOS!$C$27,TABLAS!$B$52:$B$58,0))/2)-IF(AND((DATOS!$C$15-S17-2*DATOS!$C$35-IF(DATOS!$C$25=0,0,INDEX(TABLAS!$C$52:$C$58,MATCH(DATOS!$C$25,TABLAS!$B$52:$B$58,0)))-INDEX(TABLAS!$C$52:$C$58,MATCH(DATOS!$C$27,TABLAS!$B$52:$B$58,0))-INDEX(TABLAS!$C$52:$C$58,MATCH(DATOS!$C$27,TABLAS!$B$52:$B$58,0))/2)&lt;=20,DATOS!$C$18&lt;&gt;"SÍ"),2,0))</f>
        <v>18.119</v>
      </c>
      <c r="CE17" s="43">
        <f>IF(D17="HUECO",0,IF(IF(BE17&lt;=0,0,IF((1-2*BE17*1E5/(DATOS!$C$58*DATOS!$C$19*CD17^2*DATOS!$C$48))&lt;0,-1,IF((1-SQRT((1-2*BE17*1E5/(DATOS!$C$58*DATOS!$C$19*CD17^2*DATOS!$C$48))))*DATOS!$C$48*DATOS!$C$19*CD17/DATOS!$C$40&gt;DATOS!$C$82*DATOS!$C$19*CD17,-1,(1-SQRT((1-2*BE17*1E5/(DATOS!$C$58*DATOS!$C$19*CD17^2*DATOS!$C$48))))*DATOS!$C$48*DATOS!$C$19*CD17/DATOS!$C$40)))&lt;0,-1,MAX(IF(BE17&lt;=0,0,IF((1-2*BE17*1E5/(DATOS!$C$58*DATOS!$C$19*CD17^2*DATOS!$C$48))&lt;0,-1,IF((1-SQRT((1-2*BE17*1E5/(DATOS!$C$58*DATOS!$C$19*CD17^2*DATOS!$C$48))))*DATOS!$C$48*DATOS!$C$19*CD17/DATOS!$C$40&gt;DATOS!$C$82*DATOS!$C$19*CD17,-1,(1-SQRT((1-2*BE17*1E5/(DATOS!$C$58*DATOS!$C$19*CD17^2*DATOS!$C$48))))*DATOS!$C$48*DATOS!$C$19*CD17/DATOS!$C$40))),MIN(DATOS!$C$83*DATOS!$C$13*CD17,4/3*IF(BE17&lt;=0,0,IF((1-2*BE17*1E5/(DATOS!$C$58*DATOS!$C$19*CD17^2*DATOS!$C$48))&lt;0,-1,IF((1-SQRT((1-2*BE17*1E5/(DATOS!$C$58*DATOS!$C$19*CD17^2*DATOS!$C$48))))*DATOS!$C$48*DATOS!$C$19*CD17/DATOS!$C$40&gt;DATOS!$C$82*DATOS!$C$19*CD17,-1,(1-SQRT((1-2*BE17*1E5/(DATOS!$C$58*DATOS!$C$19*CD17^2*DATOS!$C$48))))*DATOS!$C$48*DATOS!$C$19*CD17/DATOS!$C$40)))))))</f>
        <v>0.323188450639855</v>
      </c>
      <c r="CF17" s="41">
        <f>IF(AND(CE17&gt;=0,IF(MAX(DATOS!$C$29,CEILING(CE17/INDEX(TABLAS!$D$52:$D$58,MIN(MATCH(DATOS!$C$27,TABLAS!$B$52:$B$58,0)+0,7)),1))*INDEX(TABLAS!$D$52:$D$58,MIN(MATCH(DATOS!$C$27,TABLAS!$B$52:$B$58,0)+0,7))&gt;=4/3*IF(BE17&lt;=0,0,IF((1-2*BE17*1E5/(DATOS!$C$58*DATOS!$C$19*CD17^2*DATOS!$C$48))&lt;0,-1,IF((1-SQRT((1-2*BE17*1E5/(DATOS!$C$58*DATOS!$C$19*CD17^2*DATOS!$C$48))))*DATOS!$C$48*DATOS!$C$19*CD17/DATOS!$C$40&gt;DATOS!$C$82*DATOS!$C$19*CD17,-1,(1-SQRT((1-2*BE17*1E5/(DATOS!$C$58*DATOS!$C$19*CD17^2*DATOS!$C$48))))*DATOS!$C$48*DATOS!$C$19*CD17/DATOS!$C$40)))-0.0001,MAX(DATOS!$C$29,CEILING(CE17/INDEX(TABLAS!$D$52:$D$58,MIN(MATCH(DATOS!$C$27,TABLAS!$B$52:$B$58,0)+0,7)),1)),MAX(MAX(DATOS!$C$29,CEILING(CE17/INDEX(TABLAS!$D$52:$D$58,MIN(MATCH(DATOS!$C$27,TABLAS!$B$52:$B$58,0)+0,7)),1)),2))&lt;=MIN(DATOS!$C$28,INT(((DATOS!$C$13-2*S17-2*IF(DATOS!$C$25=0,0,INDEX(TABLAS!$C$52:$C$58,MATCH(DATOS!$C$25,TABLAS!$B$52:$B$58,0))))+MAX(DATOS!$C$32,INDEX(TABLAS!$C$52:$C$58,MIN(MATCH(DATOS!$C$27,TABLAS!$B$52:$B$58,0)+0,7))))/(INDEX(TABLAS!$C$52:$C$58,MIN(MATCH(DATOS!$C$27,TABLAS!$B$52:$B$58,0)+0,7))+MAX(DATOS!$C$32,INDEX(TABLAS!$C$52:$C$58,MIN(MATCH(DATOS!$C$27,TABLAS!$B$52:$B$58,0)+0,7))))))),INDEX(TABLAS!$B$52:$B$58,MIN(MATCH(DATOS!$C$27,TABLAS!$B$52:$B$58,0)+0,7)),IF(AND(CE17&gt;=0,IF(MAX(DATOS!$C$29,CEILING(CE17/INDEX(TABLAS!$D$52:$D$58,MIN(MATCH(DATOS!$C$27,TABLAS!$B$52:$B$58,0)+1,7)),1))*INDEX(TABLAS!$D$52:$D$58,MIN(MATCH(DATOS!$C$27,TABLAS!$B$52:$B$58,0)+1,7))&gt;=4/3*IF(BE17&lt;=0,0,IF((1-2*BE17*1E5/(DATOS!$C$58*DATOS!$C$19*CD17^2*DATOS!$C$48))&lt;0,-1,IF((1-SQRT((1-2*BE17*1E5/(DATOS!$C$58*DATOS!$C$19*CD17^2*DATOS!$C$48))))*DATOS!$C$48*DATOS!$C$19*CD17/DATOS!$C$40&gt;DATOS!$C$82*DATOS!$C$19*CD17,-1,(1-SQRT((1-2*BE17*1E5/(DATOS!$C$58*DATOS!$C$19*CD17^2*DATOS!$C$48))))*DATOS!$C$48*DATOS!$C$19*CD17/DATOS!$C$40)))-0.0001,MAX(DATOS!$C$29,CEILING(CE17/INDEX(TABLAS!$D$52:$D$58,MIN(MATCH(DATOS!$C$27,TABLAS!$B$52:$B$58,0)+1,7)),1)),MAX(MAX(DATOS!$C$29,CEILING(CE17/INDEX(TABLAS!$D$52:$D$58,MIN(MATCH(DATOS!$C$27,TABLAS!$B$52:$B$58,0)+1,7)),1)),2))&lt;=MIN(DATOS!$C$28,INT(((DATOS!$C$13-2*S17-2*IF(DATOS!$C$25=0,0,INDEX(TABLAS!$C$52:$C$58,MATCH(DATOS!$C$25,TABLAS!$B$52:$B$58,0))))+MAX(DATOS!$C$32,INDEX(TABLAS!$C$52:$C$58,MIN(MATCH(DATOS!$C$27,TABLAS!$B$52:$B$58,0)+1,7))))/(INDEX(TABLAS!$C$52:$C$58,MIN(MATCH(DATOS!$C$27,TABLAS!$B$52:$B$58,0)+1,7))+MAX(DATOS!$C$32,INDEX(TABLAS!$C$52:$C$58,MIN(MATCH(DATOS!$C$27,TABLAS!$B$52:$B$58,0)+1,7))))))),INDEX(TABLAS!$B$52:$B$58,MIN(MATCH(DATOS!$C$27,TABLAS!$B$52:$B$58,0)+1,7)),IF(AND(CE17&gt;=0,IF(MAX(DATOS!$C$29,CEILING(CE17/INDEX(TABLAS!$D$52:$D$58,MIN(MATCH(DATOS!$C$27,TABLAS!$B$52:$B$58,0)+2,7)),1))*INDEX(TABLAS!$D$52:$D$58,MIN(MATCH(DATOS!$C$27,TABLAS!$B$52:$B$58,0)+2,7))&gt;=4/3*IF(BE17&lt;=0,0,IF((1-2*BE17*1E5/(DATOS!$C$58*DATOS!$C$19*CD17^2*DATOS!$C$48))&lt;0,-1,IF((1-SQRT((1-2*BE17*1E5/(DATOS!$C$58*DATOS!$C$19*CD17^2*DATOS!$C$48))))*DATOS!$C$48*DATOS!$C$19*CD17/DATOS!$C$40&gt;DATOS!$C$82*DATOS!$C$19*CD17,-1,(1-SQRT((1-2*BE17*1E5/(DATOS!$C$58*DATOS!$C$19*CD17^2*DATOS!$C$48))))*DATOS!$C$48*DATOS!$C$19*CD17/DATOS!$C$40)))-0.0001,MAX(DATOS!$C$29,CEILING(CE17/INDEX(TABLAS!$D$52:$D$58,MIN(MATCH(DATOS!$C$27,TABLAS!$B$52:$B$58,0)+2,7)),1)),MAX(MAX(DATOS!$C$29,CEILING(CE17/INDEX(TABLAS!$D$52:$D$58,MIN(MATCH(DATOS!$C$27,TABLAS!$B$52:$B$58,0)+2,7)),1)),2))&lt;=MIN(DATOS!$C$28,INT(((DATOS!$C$13-2*S17-2*IF(DATOS!$C$25=0,0,INDEX(TABLAS!$C$52:$C$58,MATCH(DATOS!$C$25,TABLAS!$B$52:$B$58,0))))+MAX(DATOS!$C$32,INDEX(TABLAS!$C$52:$C$58,MIN(MATCH(DATOS!$C$27,TABLAS!$B$52:$B$58,0)+2,7))))/(INDEX(TABLAS!$C$52:$C$58,MIN(MATCH(DATOS!$C$27,TABLAS!$B$52:$B$58,0)+2,7))+MAX(DATOS!$C$32,INDEX(TABLAS!$C$52:$C$58,MIN(MATCH(DATOS!$C$27,TABLAS!$B$52:$B$58,0)+2,7))))))),INDEX(TABLAS!$B$52:$B$58,MIN(MATCH(DATOS!$C$27,TABLAS!$B$52:$B$58,0)+2,7)),IF(AND(CE17&gt;=0,IF(MAX(DATOS!$C$29,CEILING(CE17/INDEX(TABLAS!$D$52:$D$58,MIN(MATCH(DATOS!$C$27,TABLAS!$B$52:$B$58,0)+3,7)),1))*INDEX(TABLAS!$D$52:$D$58,MIN(MATCH(DATOS!$C$27,TABLAS!$B$52:$B$58,0)+3,7))&gt;=4/3*IF(BE17&lt;=0,0,IF((1-2*BE17*1E5/(DATOS!$C$58*DATOS!$C$19*CD17^2*DATOS!$C$48))&lt;0,-1,IF((1-SQRT((1-2*BE17*1E5/(DATOS!$C$58*DATOS!$C$19*CD17^2*DATOS!$C$48))))*DATOS!$C$48*DATOS!$C$19*CD17/DATOS!$C$40&gt;DATOS!$C$82*DATOS!$C$19*CD17,-1,(1-SQRT((1-2*BE17*1E5/(DATOS!$C$58*DATOS!$C$19*CD17^2*DATOS!$C$48))))*DATOS!$C$48*DATOS!$C$19*CD17/DATOS!$C$40)))-0.0001,MAX(DATOS!$C$29,CEILING(CE17/INDEX(TABLAS!$D$52:$D$58,MIN(MATCH(DATOS!$C$27,TABLAS!$B$52:$B$58,0)+3,7)),1)),MAX(MAX(DATOS!$C$29,CEILING(CE17/INDEX(TABLAS!$D$52:$D$58,MIN(MATCH(DATOS!$C$27,TABLAS!$B$52:$B$58,0)+3,7)),1)),2))&lt;=MIN(DATOS!$C$28,INT(((DATOS!$C$13-2*S17-2*IF(DATOS!$C$25=0,0,INDEX(TABLAS!$C$52:$C$58,MATCH(DATOS!$C$25,TABLAS!$B$52:$B$58,0))))+MAX(DATOS!$C$32,INDEX(TABLAS!$C$52:$C$58,MIN(MATCH(DATOS!$C$27,TABLAS!$B$52:$B$58,0)+3,7))))/(INDEX(TABLAS!$C$52:$C$58,MIN(MATCH(DATOS!$C$27,TABLAS!$B$52:$B$58,0)+3,7))+MAX(DATOS!$C$32,INDEX(TABLAS!$C$52:$C$58,MIN(MATCH(DATOS!$C$27,TABLAS!$B$52:$B$58,0)+3,7))))))),INDEX(TABLAS!$B$52:$B$58,MIN(MATCH(DATOS!$C$27,TABLAS!$B$52:$B$58,0)+3,7)),IF(AND(CE17&gt;=0,IF(MAX(DATOS!$C$29,CEILING(CE17/INDEX(TABLAS!$D$52:$D$58,MIN(MATCH(DATOS!$C$27,TABLAS!$B$52:$B$58,0)+4,7)),1))*INDEX(TABLAS!$D$52:$D$58,MIN(MATCH(DATOS!$C$27,TABLAS!$B$52:$B$58,0)+4,7))&gt;=4/3*IF(BE17&lt;=0,0,IF((1-2*BE17*1E5/(DATOS!$C$58*DATOS!$C$19*CD17^2*DATOS!$C$48))&lt;0,-1,IF((1-SQRT((1-2*BE17*1E5/(DATOS!$C$58*DATOS!$C$19*CD17^2*DATOS!$C$48))))*DATOS!$C$48*DATOS!$C$19*CD17/DATOS!$C$40&gt;DATOS!$C$82*DATOS!$C$19*CD17,-1,(1-SQRT((1-2*BE17*1E5/(DATOS!$C$58*DATOS!$C$19*CD17^2*DATOS!$C$48))))*DATOS!$C$48*DATOS!$C$19*CD17/DATOS!$C$40)))-0.0001,MAX(DATOS!$C$29,CEILING(CE17/INDEX(TABLAS!$D$52:$D$58,MIN(MATCH(DATOS!$C$27,TABLAS!$B$52:$B$58,0)+4,7)),1)),MAX(MAX(DATOS!$C$29,CEILING(CE17/INDEX(TABLAS!$D$52:$D$58,MIN(MATCH(DATOS!$C$27,TABLAS!$B$52:$B$58,0)+4,7)),1)),2))&lt;=MIN(DATOS!$C$28,INT(((DATOS!$C$13-2*S17-2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17" s="56">
        <f>IF(D17="HUECO",0,IF(CE17&lt;0,0,IF(MAX(DATOS!$C$29,CEILING(MAX(CE17,0)/INDEX(TABLAS!$D$52:$D$58,MATCH(CF17,TABLAS!$B$52:$B$58,0)),1))*INDEX(TABLAS!$D$52:$D$58,MATCH(CF17,TABLAS!$B$52:$B$58,0))&gt;=4/3*IF(BE17&lt;=0,0,IF((1-2*BE17*1E5/(DATOS!$C$58*DATOS!$C$19*CD17^2*DATOS!$C$48))&lt;0,-1,IF((1-SQRT((1-2*BE17*1E5/(DATOS!$C$58*DATOS!$C$19*CD17^2*DATOS!$C$48))))*DATOS!$C$48*DATOS!$C$19*CD17/DATOS!$C$40&gt;DATOS!$C$82*DATOS!$C$19*CD17,-1,(1-SQRT((1-2*BE17*1E5/(DATOS!$C$58*DATOS!$C$19*CD17^2*DATOS!$C$48))))*DATOS!$C$48*DATOS!$C$19*CD17/DATOS!$C$40)))-0.0001,MAX(DATOS!$C$29,CEILING(MAX(CE17,0)/INDEX(TABLAS!$D$52:$D$58,MATCH(CF17,TABLAS!$B$52:$B$58,0)),1)),MAX(MAX(DATOS!$C$29,CEILING(MAX(CE17,0)/INDEX(TABLAS!$D$52:$D$58,MATCH(CF17,TABLAS!$B$52:$B$58,0)),1)),2))))</f>
        <v>1</v>
      </c>
      <c r="CH17" s="43">
        <f>((DATOS!$C$15-S17-2*DATOS!$C$35-IF(DATOS!$C$25=0,0,INDEX(TABLAS!$C$52:$C$58,MATCH(DATOS!$C$25,TABLAS!$B$52:$B$58,0)))-INDEX(TABLAS!$C$52:$C$58,MATCH(BP17,TABLAS!$B$52:$B$58,0))-INDEX(TABLAS!$C$52:$C$58,MATCH(CF17,TABLAS!$B$52:$B$58,0))/2)-IF(AND((DATOS!$C$15-S17-2*DATOS!$C$35-IF(DATOS!$C$25=0,0,INDEX(TABLAS!$C$52:$C$58,MATCH(DATOS!$C$25,TABLAS!$B$52:$B$58,0)))-INDEX(TABLAS!$C$52:$C$58,MATCH(BP17,TABLAS!$B$52:$B$58,0))-INDEX(TABLAS!$C$52:$C$58,MATCH(CF17,TABLAS!$B$52:$B$58,0))/2)&lt;=20,DATOS!$C$18&lt;&gt;"SÍ"),2,0))</f>
        <v>18.119</v>
      </c>
      <c r="CI17" s="36">
        <f>IF(CG17=0,0,DATOS!$C$58*CG17*INDEX(TABLAS!$D$52:$D$58,MATCH(CF17,TABLAS!$B$52:$B$58,0))*DATOS!$C$40*(CH17-CG17*INDEX(TABLAS!$D$52:$D$58,MATCH(CF17,TABLAS!$B$52:$B$58,0))*DATOS!$C$40/(DATOS!$C$48*DATOS!$C$19)/2)/1E5)</f>
        <v>0.809570360117647</v>
      </c>
      <c r="CJ17" s="62">
        <f>IF(CE17&lt;0,9.99,IF(CI17&gt;0,BE17/CI17,0))</f>
        <v>0.202352559588238</v>
      </c>
      <c r="CK17" s="63">
        <f>IF(CG17=0,"—",0.003*(CH17-(CG17*INDEX(TABLAS!$D$52:$D$58,MATCH(CF17,TABLAS!$B$52:$B$58,0))*DATOS!$C$40/(DATOS!$C$48*DATOS!$C$19)/DATOS!$C$49))/(CG17*INDEX(TABLAS!$D$52:$D$58,MATCH(CF17,TABLAS!$B$52:$B$58,0))*DATOS!$C$40/(DATOS!$C$48*DATOS!$C$19)/DATOS!$C$49))</f>
        <v>0.0154068862485939</v>
      </c>
      <c r="CL17" s="52" t="str">
        <f>IF(D17="HUECO","—",IF(AND(D17="PERIMETRAL",J17*100&gt;=6*DATOS!$C$11,DATOS!$C$11&lt;=80,DATOS!$C$13&gt;=10,DATOS!$C$15&lt;=3.5*DATOS!$C$13,DATOS!$C$14&gt;=MAX(DATOS!$C$11/13,5)),"SÍ","NO"))</f>
        <v>NO</v>
      </c>
      <c r="CM17" s="36">
        <f>IF(D17="PERIMETRAL",MAX(0,(N17/2-BR17)/100)*(0.95-0.5*L17)*Y17*IF(AND(Z17&gt;0,Z17&lt;4),DATOS!$C$63,1)*DATOS!$C$16/100/1000+AX17,IF(D17="VOLADO",(Y17*MAX(0,N17-BR17)/100+DATOS!$C$55*BA17)*DATOS!$C$16/100/1000,0))</f>
        <v>0.858228507693602</v>
      </c>
      <c r="CN17" s="36">
        <f>IF(D17="HUECO",0,DATOS!$C$59*2*MIN(1,SQRT(2/(1+0.04*BR17)))*(BQ17*INDEX(TABLAS!$D$52:$D$58,MATCH(BP17,TABLAS!$B$52:$B$58,0))/(DATOS!$C$19*BR17))^(1/3)*SQRT(DATOS!$C$39)*DATOS!$C$19*BR17*IF(CL17="SÍ",DATOS!$C$62,1)/1000)</f>
        <v>0.860398102904257</v>
      </c>
      <c r="CO17" s="51" t="str">
        <f>IF(D17="HUECO","—",IF(CM17&lt;=CN17,"CUMPLE",IF(MAX(0,CEILING((IF(D17="VOLADO",(N17-(CN17*1E5/DATOS!$C$16-DATOS!$C$55*BA17)*100/Y17),IF(CN17&lt;=AX17,N17,N17/2-(CN17-AX17)/MAX(CM17-AX17,1E-9)*(N17/2-BR17)))-IF(INT((J17*100-DATOS!$C$17+DATOS!$C$13)/DATOS!$C$16)&gt;0,(J17*100-DATOS!$C$17-(INT((J17*100-DATOS!$C$17+DATOS!$C$13)/DATOS!$C$16)*DATOS!$C$11+(INT((J17*100-DATOS!$C$17+DATOS!$C$13)/DATOS!$C$16)-1)*DATOS!$C$13))/2,J17*100/2))/DATOS!$C$16,1))&lt;=0,"CUMPLE (basta el macizo de orilla)","MACIZAR "&amp;MAX(0,CEILING((IF(D17="VOLADO",(N17-(CN17*1E5/DATOS!$C$16-DATOS!$C$55*BA17)*100/Y17),IF(CN17&lt;=AX17,N17,N17/2-(CN17-AX17)/MAX(CM17-AX17,1E-9)*(N17/2-BR17)))-IF(INT((J17*100-DATOS!$C$17+DATOS!$C$13)/DATOS!$C$16)&gt;0,(J17*100-DATOS!$C$17-(INT((J17*100-DATOS!$C$17+DATOS!$C$13)/DATOS!$C$16)*DATOS!$C$11+(INT((J17*100-DATOS!$C$17+DATOS!$C$13)/DATOS!$C$16)-1)*DATOS!$C$13))/2,J17*100/2))/DATOS!$C$16,1))&amp;" hilera(s)")))</f>
        <v>CUMPLE</v>
      </c>
      <c r="CP17" s="43">
        <f>IF(D17="PERIMETRAL",((PRINCIPALES!$N$18*PRINCIPALES!$O$18^3/12/(1.825*100*IF(APOYOS!$G$61="CONTINUO",1,0.5)*DATOS!$C$77^3/12))+(PRINCIPALES!$N$20*PRINCIPALES!$O$20^3/12/(1.825*100*IF(APOYOS!$G$62="CONTINUO",1,0.5)*DATOS!$C$77^3/12))+99+(PRINCIPALES!$N$27*PRINCIPALES!$O$27^3/12/(3.427*100*IF(APOYOS!$G$64="CONTINUO",1,0.5)*DATOS!$C$77^3/12)))/4,0)</f>
        <v>27.8509898809221</v>
      </c>
      <c r="CQ17" s="57">
        <f>IF(D17="PERIMETRAL",IF(CP17&gt;2,MAX(9,O17*(0.8+DATOS!$C$40/14000)/(36+9*(O17/MAX(N17,1)))),IF(CP17&gt;0.2,MAX(13,O17*(0.8+DATOS!$C$40/14000)/(36+5*(O17/MAX(N17,1))*(CP17-0.2))),MAX(13,O17/IF(Z17&gt;0,30,33))))*IF(AND(CP17&gt;0.2,OR(AND((APOYOS!$G$61="DISCONTINUO"),(PRINCIPALES!$N$18*PRINCIPALES!$O$18^3/12/(1.825*100*IF(APOYOS!$G$61="CONTINUO",1,0.5)*DATOS!$C$77^3/12))&lt;0.8),AND((APOYOS!$G$62="DISCONTINUO"),(PRINCIPALES!$N$20*PRINCIPALES!$O$20^3/12/(1.825*100*IF(APOYOS!$G$62="CONTINUO",1,0.5)*DATOS!$C$77^3/12))&lt;0.8),AND((APOYOS!$G$63="DISCONTINUO"),99&lt;0.8),AND((APOYOS!$G$64="DISCONTINUO"),(PRINCIPALES!$N$27*PRINCIPALES!$O$27^3/12/(3.427*100*IF(APOYOS!$G$64="CONTINUO",1,0.5)*DATOS!$C$77^3/12))&lt;0.8))),1.1,1),IF(D17="VOLADO",MAX(25,J17*100/8),0))</f>
        <v>9</v>
      </c>
      <c r="CR17" s="57">
        <f>IF(D17="VOLADO",DATOS!$C$15,DATOS!$C$77)</f>
        <v>16.7232564120244</v>
      </c>
      <c r="CS17" s="52" t="str">
        <f>IF(D17="HUECO","—",IF(CR17&gt;=CQ17,"CUMPLE",IF(D17="VOLADO","NO CUMPLE","CALCULAR FLECHA")))</f>
        <v>CUMPLE</v>
      </c>
      <c r="CT17" s="52" t="str">
        <f>IF(D17="HUECO","—",IF(DATOS!$C$14&gt;=IF(IF(D17="VOLADO",J17,K17)&gt;=6,6,5),"CUMPLE","CAPA ≥ 6 cm"))</f>
        <v>CUMPLE</v>
      </c>
      <c r="CU17" s="59">
        <f>IF(D17="HUECO",0,IF(((4*((AL17*Y17*J17^2*1E-4*DATOS!$C$16/100/1000)+((MAX(AH17,AJ17)*Y17*J17^2*1E-4*DATOS!$C$16/100/1000)+(IF(AND(AH17&gt;0,AJ17&gt;0),MIN(AH17,AJ17),MAX(AH17,AJ17))*Y17*J17^2*1E-4*DATOS!$C$16/100/1000))/2)+BC17-(IF(AND(AH17&gt;0,AJ17&gt;0),MIN(AH17,AJ17),MAX(AH17,AJ17))*Y17*J17^2*1E-4*DATOS!$C$16/100/1000))^2-16*((AL17*Y17*J17^2*1E-4*DATOS!$C$16/100/1000)+((MAX(AH17,AJ17)*Y17*J17^2*1E-4*DATOS!$C$16/100/1000)+(IF(AND(AH17&gt;0,AJ17&gt;0),MIN(AH17,AJ17),MAX(AH17,AJ17))*Y17*J17^2*1E-4*DATOS!$C$16/100/1000))/2)*BC17)&lt;0,CEILING(N17,5),CEILING(MAX(N17*((4*((AL17*Y17*J17^2*1E-4*DATOS!$C$16/100/1000)+((MAX(AH17,AJ17)*Y17*J17^2*1E-4*DATOS!$C$16/100/1000)+(IF(AND(AH17&gt;0,AJ17&gt;0),MIN(AH17,AJ17),MAX(AH17,AJ17))*Y17*J17^2*1E-4*DATOS!$C$16/100/1000))/2)+BC17-(IF(AND(AH17&gt;0,AJ17&gt;0),MIN(AH17,AJ17),MAX(AH17,AJ17))*Y17*J17^2*1E-4*DATOS!$C$16/100/1000))-SQRT(MAX(0,((4*((AL17*Y17*J17^2*1E-4*DATOS!$C$16/100/1000)+((MAX(AH17,AJ17)*Y17*J17^2*1E-4*DATOS!$C$16/100/1000)+(IF(AND(AH17&gt;0,AJ17&gt;0),MIN(AH17,AJ17),MAX(AH17,AJ17))*Y17*J17^2*1E-4*DATOS!$C$16/100/1000))/2)+BC17-(IF(AND(AH17&gt;0,AJ17&gt;0),MIN(AH17,AJ17),MAX(AH17,AJ17))*Y17*J17^2*1E-4*DATOS!$C$16/100/1000))^2-16*((AL17*Y17*J17^2*1E-4*DATOS!$C$16/100/1000)+((MAX(AH17,AJ17)*Y17*J17^2*1E-4*DATOS!$C$16/100/1000)+(IF(AND(AH17&gt;0,AJ17&gt;0),MIN(AH17,AJ17),MAX(AH17,AJ17))*Y17*J17^2*1E-4*DATOS!$C$16/100/1000))/2)*BC17))))/(8*MAX(((AL17*Y17*J17^2*1E-4*DATOS!$C$16/100/1000)+((MAX(AH17,AJ17)*Y17*J17^2*1E-4*DATOS!$C$16/100/1000)+(IF(AND(AH17&gt;0,AJ17&gt;0),MIN(AH17,AJ17),MAX(AH17,AJ17))*Y17*J17^2*1E-4*DATOS!$C$16/100/1000))/2),1E-9))+MAX(BR17,12*INDEX(TABLAS!$C$52:$C$58,MATCH(BP17,TABLAS!$B$52:$B$58,0)),N17/16),IF(OR(S17&lt;INDEX(TABLAS!$C$52:$C$58,MATCH(BP17,TABLAS!$B$52:$B$58,0)),AND(BQ17&gt;=2,(DATOS!$C$13-2*S17-2*IF(DATOS!$C$25=0,0,INDEX(TABLAS!$C$52:$C$58,MATCH(DATOS!$C$25,TABLAS!$B$52:$B$58,0)))-BQ17*INDEX(TABLAS!$C$52:$C$58,MATCH(BP17,TABLAS!$B$52:$B$58,0)))/MAX(BQ17-1,1)&lt;2*INDEX(TABLAS!$C$52:$C$58,MATCH(BP17,TABLAS!$B$52:$B$58,0)))),INDEX(TABLAS!$I$52:$I$58,MATCH(BP17,TABLAS!$B$52:$B$58,0)),INDEX(TABLAS!$F$52:$F$58,MATCH(BP17,TABLAS!$B$52:$B$58,0)))),5)))</f>
        <v>65</v>
      </c>
      <c r="CV17" s="59">
        <f>IF(D17="HUECO",0,IF(((4*((AM17*Y17*J17^2*1E-4*DATOS!$C$16/100/1000)+((MAX(AI17,AK17)*Y17*J17^2*1E-4*DATOS!$C$16/100/1000)+(IF(AND(AI17&gt;0,AK17&gt;0),MIN(AI17,AK17),MAX(AI17,AK17))*Y17*J17^2*1E-4*DATOS!$C$16/100/1000))/2)+BE17-(IF(AND(AI17&gt;0,AK17&gt;0),MIN(AI17,AK17),MAX(AI17,AK17))*Y17*J17^2*1E-4*DATOS!$C$16/100/1000))^2-16*((AM17*Y17*J17^2*1E-4*DATOS!$C$16/100/1000)+((MAX(AI17,AK17)*Y17*J17^2*1E-4*DATOS!$C$16/100/1000)+(IF(AND(AI17&gt;0,AK17&gt;0),MIN(AI17,AK17),MAX(AI17,AK17))*Y17*J17^2*1E-4*DATOS!$C$16/100/1000))/2)*BE17)&lt;0,CEILING(O17,5),CEILING(MAX(O17*((4*((AM17*Y17*J17^2*1E-4*DATOS!$C$16/100/1000)+((MAX(AI17,AK17)*Y17*J17^2*1E-4*DATOS!$C$16/100/1000)+(IF(AND(AI17&gt;0,AK17&gt;0),MIN(AI17,AK17),MAX(AI17,AK17))*Y17*J17^2*1E-4*DATOS!$C$16/100/1000))/2)+BE17-(IF(AND(AI17&gt;0,AK17&gt;0),MIN(AI17,AK17),MAX(AI17,AK17))*Y17*J17^2*1E-4*DATOS!$C$16/100/1000))-SQRT(MAX(0,((4*((AM17*Y17*J17^2*1E-4*DATOS!$C$16/100/1000)+((MAX(AI17,AK17)*Y17*J17^2*1E-4*DATOS!$C$16/100/1000)+(IF(AND(AI17&gt;0,AK17&gt;0),MIN(AI17,AK17),MAX(AI17,AK17))*Y17*J17^2*1E-4*DATOS!$C$16/100/1000))/2)+BE17-(IF(AND(AI17&gt;0,AK17&gt;0),MIN(AI17,AK17),MAX(AI17,AK17))*Y17*J17^2*1E-4*DATOS!$C$16/100/1000))^2-16*((AM17*Y17*J17^2*1E-4*DATOS!$C$16/100/1000)+((MAX(AI17,AK17)*Y17*J17^2*1E-4*DATOS!$C$16/100/1000)+(IF(AND(AI17&gt;0,AK17&gt;0),MIN(AI17,AK17),MAX(AI17,AK17))*Y17*J17^2*1E-4*DATOS!$C$16/100/1000))/2)*BE17))))/(8*MAX(((AM17*Y17*J17^2*1E-4*DATOS!$C$16/100/1000)+((MAX(AI17,AK17)*Y17*J17^2*1E-4*DATOS!$C$16/100/1000)+(IF(AND(AI17&gt;0,AK17&gt;0),MIN(AI17,AK17),MAX(AI17,AK17))*Y17*J17^2*1E-4*DATOS!$C$16/100/1000))/2),1E-9))+MAX(CH17,12*INDEX(TABLAS!$C$52:$C$58,MATCH(CF17,TABLAS!$B$52:$B$58,0)),O17/16),IF(OR(S17&lt;INDEX(TABLAS!$C$52:$C$58,MATCH(CF17,TABLAS!$B$52:$B$58,0)),AND(CG17&gt;=2,(DATOS!$C$13-2*S17-2*IF(DATOS!$C$25=0,0,INDEX(TABLAS!$C$52:$C$58,MATCH(DATOS!$C$25,TABLAS!$B$52:$B$58,0)))-CG17*INDEX(TABLAS!$C$52:$C$58,MATCH(CF17,TABLAS!$B$52:$B$58,0)))/MAX(CG17-1,1)&lt;2*INDEX(TABLAS!$C$52:$C$58,MATCH(CF17,TABLAS!$B$52:$B$58,0)))),INDEX(TABLAS!$I$52:$I$58,MATCH(CF17,TABLAS!$B$52:$B$58,0)),INDEX(TABLAS!$F$52:$F$58,MATCH(CF17,TABLAS!$B$52:$B$58,0)))),5)))</f>
        <v>125</v>
      </c>
      <c r="CW17" s="56">
        <f>MAX(0,INT((F17*100-DATOS!$C$17+DATOS!$C$13)/DATOS!$C$16))</f>
        <v>4</v>
      </c>
      <c r="CX17" s="56">
        <f>MAX(0,INT((G17*100-DATOS!$C$17+DATOS!$C$13)/DATOS!$C$16))</f>
        <v>2</v>
      </c>
      <c r="CY17" s="51" t="str">
        <f>IF(COUNTIFS(TRIB!$C$6:$C$255,B17,TRIB!$K$6:$K$255,"NO CUMPLE*")+COUNTIFS(TRIB!$C$6:$C$255,B17,TRIB!$K$6:$K$255,"SIN APOYO*")&gt;0,"VER PRINCIPALES",IF((APOYOS!$F$61="LIBRE")+(APOYOS!$F$62="LIBRE")+(APOYOS!$F$63="LIBRE")+(APOYOS!$F$64="LIBRE")&gt;0,"REVISAR: borde libre","OK"))</f>
        <v>OK</v>
      </c>
      <c r="CZ17" s="64" t="str">
        <f>IF(D17="HUECO","HUECO — marco de nervaduras principales",IF(AND(MAX(BL17,BT17,CB17,CJ17)&lt;=1,NOT(OR(BI17&gt;MIN(DATOS!$C$28,INT(((DATOS!$C$13-2*R17-2*IF(DATOS!$C$25=0,0,INDEX(TABLAS!$C$52:$C$58,MATCH(DATOS!$C$25,TABLAS!$B$52:$B$58,0))))+DATOS!$C$32)/(INDEX(TABLAS!$C$52:$C$58,MATCH(BH17,TABLAS!$B$52:$B$58,0))+DATOS!$C$32))),BQ17&gt;MIN(DATOS!$C$28,INT(((DATOS!$C$13-2*S17-2*IF(DATOS!$C$25=0,0,INDEX(TABLAS!$C$52:$C$58,MATCH(DATOS!$C$25,TABLAS!$B$52:$B$58,0))))+DATOS!$C$32)/(INDEX(TABLAS!$C$52:$C$58,MATCH(BP17,TABLAS!$B$52:$B$58,0))+DATOS!$C$32))),BY17&gt;MIN(DATOS!$C$28,INT(((DATOS!$C$13-2*R17-2*IF(DATOS!$C$25=0,0,INDEX(TABLAS!$C$52:$C$58,MATCH(DATOS!$C$25,TABLAS!$B$52:$B$58,0))))+DATOS!$C$32)/(INDEX(TABLAS!$C$52:$C$58,MATCH(BX17,TABLAS!$B$52:$B$58,0))+DATOS!$C$32))),CG17&gt;MIN(DATOS!$C$28,INT(((DATOS!$C$13-2*S17-2*IF(DATOS!$C$25=0,0,INDEX(TABLAS!$C$52:$C$58,MATCH(DATOS!$C$25,TABLAS!$B$52:$B$58,0))))+DATOS!$C$32)/(INDEX(TABLAS!$C$52:$C$58,MATCH(CF17,TABLAS!$B$52:$B$58,0))+DATOS!$C$32))))),NOT(OR(AND(ISNUMBER(BM17),BM17&lt;0.005),AND(ISNUMBER(BU17),BU17&lt;0.005),AND(ISNUMBER(CC17),CC17&lt;0.005),AND(ISNUMBER(CK17),CK17&lt;0.005))),CS17="CUMPLE",CT17="CUMPLE"),IF(CY17="OK",IF(LEFT(CO17,6)="CUMPLE","CUMPLE","CUMPLE — "&amp;CO17)&amp;IF(LEFT(AZ17,5)="FUERA"," · fuera de 3.4.2.1 c)",""),IF(CY17="VER PRINCIPALES","VER PRINCIPALES","REVISAR APOYOS")),IF(AND(MAX(BL17,BT17,CB17,CJ17)&lt;=1,NOT(OR(BI17&gt;MIN(DATOS!$C$28,INT(((DATOS!$C$13-2*R17-2*IF(DATOS!$C$25=0,0,INDEX(TABLAS!$C$52:$C$58,MATCH(DATOS!$C$25,TABLAS!$B$52:$B$58,0))))+DATOS!$C$32)/(INDEX(TABLAS!$C$52:$C$58,MATCH(BH17,TABLAS!$B$52:$B$58,0))+DATOS!$C$32))),BQ17&gt;MIN(DATOS!$C$28,INT(((DATOS!$C$13-2*S17-2*IF(DATOS!$C$25=0,0,INDEX(TABLAS!$C$52:$C$58,MATCH(DATOS!$C$25,TABLAS!$B$52:$B$58,0))))+DATOS!$C$32)/(INDEX(TABLAS!$C$52:$C$58,MATCH(BP17,TABLAS!$B$52:$B$58,0))+DATOS!$C$32))),BY17&gt;MIN(DATOS!$C$28,INT(((DATOS!$C$13-2*R17-2*IF(DATOS!$C$25=0,0,INDEX(TABLAS!$C$52:$C$58,MATCH(DATOS!$C$25,TABLAS!$B$52:$B$58,0))))+DATOS!$C$32)/(INDEX(TABLAS!$C$52:$C$58,MATCH(BX17,TABLAS!$B$52:$B$58,0))+DATOS!$C$32))),CG17&gt;MIN(DATOS!$C$28,INT(((DATOS!$C$13-2*S17-2*IF(DATOS!$C$25=0,0,INDEX(TABLAS!$C$52:$C$58,MATCH(DATOS!$C$25,TABLAS!$B$52:$B$58,0))))+DATOS!$C$32)/(INDEX(TABLAS!$C$52:$C$58,MATCH(CF17,TABLAS!$B$52:$B$58,0))+DATOS!$C$32))))),NOT(OR(AND(ISNUMBER(BM17),BM17&lt;0.005),AND(ISNUMBER(BU17),BU17&lt;0.005),AND(ISNUMBER(CC17),CC17&lt;0.005),AND(ISNUMBER(CK17),CK17&lt;0.005))),CS17="CALCULAR FLECHA"),"REVISAR: calcular flecha (h_eq &lt; h mín.)","NO CUMPLE: "&amp;IF(MAX(BL17,BT17,CB17,CJ17)&gt;1,"flexión ","")&amp;IF(OR(BI17&gt;MIN(DATOS!$C$28,INT(((DATOS!$C$13-2*R17-2*IF(DATOS!$C$25=0,0,INDEX(TABLAS!$C$52:$C$58,MATCH(DATOS!$C$25,TABLAS!$B$52:$B$58,0))))+DATOS!$C$32)/(INDEX(TABLAS!$C$52:$C$58,MATCH(BH17,TABLAS!$B$52:$B$58,0))+DATOS!$C$32))),BQ17&gt;MIN(DATOS!$C$28,INT(((DATOS!$C$13-2*S17-2*IF(DATOS!$C$25=0,0,INDEX(TABLAS!$C$52:$C$58,MATCH(DATOS!$C$25,TABLAS!$B$52:$B$58,0))))+DATOS!$C$32)/(INDEX(TABLAS!$C$52:$C$58,MATCH(BP17,TABLAS!$B$52:$B$58,0))+DATOS!$C$32))),BY17&gt;MIN(DATOS!$C$28,INT(((DATOS!$C$13-2*R17-2*IF(DATOS!$C$25=0,0,INDEX(TABLAS!$C$52:$C$58,MATCH(DATOS!$C$25,TABLAS!$B$52:$B$58,0))))+DATOS!$C$32)/(INDEX(TABLAS!$C$52:$C$58,MATCH(BX17,TABLAS!$B$52:$B$58,0))+DATOS!$C$32))),CG17&gt;MIN(DATOS!$C$28,INT(((DATOS!$C$13-2*S17-2*IF(DATOS!$C$25=0,0,INDEX(TABLAS!$C$52:$C$58,MATCH(DATOS!$C$25,TABLAS!$B$52:$B$58,0))))+DATOS!$C$32)/(INDEX(TABLAS!$C$52:$C$58,MATCH(CF17,TABLAS!$B$52:$B$58,0))+DATOS!$C$32)))),"no caben ","")&amp;IF(OR(AND(ISNUMBER(BM17),BM17&lt;0.005),AND(ISNUMBER(BU17),BU17&lt;0.005),AND(ISNUMBER(CC17),CC17&lt;0.005),AND(ISNUMBER(CK17),CK17&lt;0.005)),"ε_t &lt; 0.005 ","")&amp;IF(CS17="NO CUMPLE","peralte ","")&amp;IF(CT17&lt;&gt;"CUMPLE","capa &lt; 6 cm",""))))</f>
        <v>CUMPLE · fuera de 3.4.2.1 c)</v>
      </c>
      <c r="DA17" s="65" t="str">
        <f>IF(AND(D17="PERIMETRAL",MIN(CW17,CX17)=0),"Tablero macizo (no cabe un casetón en el claro corto): no aplica 6.7.8. La resistencia se revisa con una nervadura de 10 cm cada 70 cm y r_np (conservador); "&amp;"como losa maciza lleva además As,mín = 0.0018·Ag en cada dirección cerca de la cara a tensión (6.7.6.1.1, p. 175). ",IF(AND(CL17="NO",D17="PERIMETRAL"),"No cumple 6.7.8.1.4 (a_c = "&amp;DATOS!$C$11&amp;" cm &gt; claro corto/6 = "&amp;TEXT(J17*100/6,"0")&amp;" cm): se diseña como losa apoyada en vigas (6.7.8.1.9): nervaduras con recubrimiento de viga r_np = "&amp;DATOS!$C$22&amp;" cm (Tabla 4.14.16.a), V_cR sin ×1.1 y cortante sin estribos por 5.5.3.8.1 (criterio del Proyectista). Para que cuente como encasetonada: casetón de "&amp;TEXT(FLOOR(MIN(80,J17*100/6),1),"0")&amp;" cm o menor. ",""))&amp;IF(LEFT(AZ17,5)="FUERA","M⁻ del borde común "&amp;AZ17&amp;": difieren más de 50% (3.4.2.1 c); se distribuyen 2/3 del desequilibrio (3.4.3.1) y conviene confirmar los momentos con el modelo. ","")&amp;"—"</f>
        <v>No cumple 6.7.8.1.4 (a_c = 60 cm &gt; claro corto/6 = 30 cm): se diseña como losa apoyada en vigas (6.7.8.1.9): nervaduras con recubrimiento de viga r_np = 4 cm (Tabla 4.14.16.a), V_cR sin ×1.1 y cortante sin estribos por 5.5.3.8.1 (criterio del Proyectista). Para que cuente como encasetonada: casetón de 30 cm o menor. M⁻ del borde común FUERA con F80008 · junto al volado F80012: se arma con su M⁻ y su cortante entra en V_u: difieren más de 50% (3.4.2.1 c); se distribuyen 2/3 del desequilibrio (3.4.3.1) y conviene confirmar los momentos con el modelo. —</v>
      </c>
    </row>
    <row r="18" ht="30" customHeight="1">
      <c r="B18" s="51" t="inlineStr">
        <is>
          <t>F80011 N+3.00</t>
        </is>
      </c>
      <c r="C18" s="52" t="inlineStr">
        <is>
          <t>N+3.00</t>
        </is>
      </c>
      <c r="D18" s="53" t="inlineStr">
        <is>
          <t>PERIMETRAL</t>
        </is>
      </c>
      <c r="E18" s="53" t="inlineStr">
        <is>
          <t>HABITACIÓN</t>
        </is>
      </c>
      <c r="F18" s="54" t="n">
        <v>3.428</v>
      </c>
      <c r="G18" s="54" t="n">
        <v>0.399</v>
      </c>
      <c r="H18" s="55" t="n">
        <v>3.428</v>
      </c>
      <c r="I18" s="55" t="n">
        <v>0.399</v>
      </c>
      <c r="J18" s="36">
        <f>MIN(H18,I18)</f>
        <v>0.399</v>
      </c>
      <c r="K18" s="36">
        <f>MAX(H18,I18)</f>
        <v>3.428</v>
      </c>
      <c r="L18" s="36">
        <f>IF(K18&gt;0,J18/K18,0)</f>
        <v>0.116394399066511</v>
      </c>
      <c r="M18" s="52" t="str">
        <f>IF(H18&lt;=I18,"X","Y")</f>
        <v>Y</v>
      </c>
      <c r="N18" s="56">
        <f>MAX(0,J18*100-IF(D18="VOLADO",DATOS!$C$17/2,DATOS!$C$17))</f>
        <v>24.9</v>
      </c>
      <c r="O18" s="56">
        <f>MAX(0,K18*100-DATOS!$C$17)</f>
        <v>327.8</v>
      </c>
      <c r="P18" s="57">
        <f>MIN(DATOS!$C$16,DATOS!$C$13+2*MIN(8*DATOS!$C$14,DATOS!$C$11/2,N18/8))</f>
        <v>16.225</v>
      </c>
      <c r="Q18" s="57">
        <f>MIN(DATOS!$C$16,DATOS!$C$13+2*MIN(8*DATOS!$C$14,DATOS!$C$11/2,O18/8))</f>
        <v>70</v>
      </c>
      <c r="R18" s="57">
        <f>IF(D18="VOLADO",DATOS!$C$21,IF(CL18="NO",DATOS!$C$22,DATOS!$C$20))</f>
        <v>4</v>
      </c>
      <c r="S18" s="57">
        <f>IF(OR(AND(C18="N+6.00",DATOS!$C$23="SÍ"),AND(D18="VOLADO",DATOS!$C$24="SÍ")),DATOS!$C$21,IF(CL18="NO",DATOS!$C$22,DATOS!$C$20))</f>
        <v>4</v>
      </c>
      <c r="T18" s="58" t="n">
        <v>230</v>
      </c>
      <c r="U18" s="56">
        <f>IF(E18="HABITACIÓN",DATOS!$C$89,DATOS!$C$92)</f>
        <v>190</v>
      </c>
      <c r="V18" s="56">
        <f>CARGAS!$C$9</f>
        <v>293.673469387755</v>
      </c>
      <c r="W18" s="56">
        <f>V18+T18</f>
        <v>523.673469387755</v>
      </c>
      <c r="X18" s="56">
        <f>W18+U18</f>
        <v>713.673469387755</v>
      </c>
      <c r="Y18" s="59">
        <f>MAX(DATOS!$C$55*W18+DATOS!$C$56*U18,IF(E18="AZOTEA",DATOS!$C$57*(W18+DATOS!$C$97),0))</f>
        <v>965.775510204082</v>
      </c>
      <c r="Z18" s="56">
        <f>(APOYOS!$G$65="DISCONTINUO")+(APOYOS!$G$66="DISCONTINUO")+(APOYOS!$G$67="DISCONTINUO")+(APOYOS!$G$68="DISCONTINUO")</f>
        <v>1</v>
      </c>
      <c r="AA18" s="56">
        <f>IF(M18="X",(APOYOS!$G$65="DISCONTINUO")+(APOYOS!$G$66="DISCONTINUO"),(APOYOS!$G$67="DISCONTINUO")+(APOYOS!$G$68="DISCONTINUO"))</f>
        <v>1</v>
      </c>
      <c r="AB18" s="56">
        <f>Z18-AA18</f>
        <v>0</v>
      </c>
      <c r="AC18" s="52" t="str">
        <f>IF(Z18=0,"INTERIOR",IF(Z18=1,IF(AA18=1,"BORDE-CORTO","BORDE-LARGO"),IF(Z18=2,IF(AA18=1,"ESQUINA",IF(AA18=2,"EXTREMO-LARGO","EXTREMO-CORTO")),IF(Z18=3,IF(AA18=2,"EXTREMO-LARGO","EXTREMO-CORTO"),"AISLADO"))))</f>
        <v>BORDE-CORTO</v>
      </c>
      <c r="AD18" s="53" t="inlineStr">
        <is>
          <t>AUTO</t>
        </is>
      </c>
      <c r="AE18" s="60" t="str">
        <f>IF(AD18="AUTO",AC18,AD18)</f>
        <v>BORDE-CORTO</v>
      </c>
      <c r="AF18" s="56">
        <f>MATCH(L18,TABLAS!$D$5:$J$5,1)</f>
        <v>1</v>
      </c>
      <c r="AG18" s="43">
        <f>IF(AF18&gt;=7,0,(L18-INDEX(TABLAS!$D$5:$J$5,AF18))/(INDEX(TABLAS!$D$5:$J$5,AF18+1)-INDEX(TABLAS!$D$5:$J$5,AF18)))</f>
        <v>0.232788798133022</v>
      </c>
      <c r="AH18" s="56">
        <f>INDEX(TABLAS!$D$6:$J$47,MATCH(AE18&amp;"|NIC",TABLAS!$B$6:$B$47,0),AF18)+AG18*(INDEX(TABLAS!$D$6:$J$47,MATCH(AE18&amp;"|NIC",TABLAS!$B$6:$B$47,0),MIN(AF18+1,7))-INDEX(TABLAS!$D$6:$J$47,MATCH(AE18&amp;"|NIC",TABLAS!$B$6:$B$47,0),AF18))</f>
        <v>1036.41015169195</v>
      </c>
      <c r="AI18" s="56">
        <f>INDEX(TABLAS!$D$6:$J$47,MATCH(AE18&amp;"|NIL",TABLAS!$B$6:$B$47,0),AF18)+AG18*(INDEX(TABLAS!$D$6:$J$47,MATCH(AE18&amp;"|NIL",TABLAS!$B$6:$B$47,0),MIN(AF18+1,7))-INDEX(TABLAS!$D$6:$J$47,MATCH(AE18&amp;"|NIL",TABLAS!$B$6:$B$47,0),AF18))</f>
        <v>526.475495915986</v>
      </c>
      <c r="AJ18" s="56">
        <f>INDEX(TABLAS!$D$6:$J$47,MATCH(AE18&amp;"|NDC",TABLAS!$B$6:$B$47,0),AF18)+AG18*(INDEX(TABLAS!$D$6:$J$47,MATCH(AE18&amp;"|NDC",TABLAS!$B$6:$B$47,0),MIN(AF18+1,7))-INDEX(TABLAS!$D$6:$J$47,MATCH(AE18&amp;"|NDC",TABLAS!$B$6:$B$47,0),AF18))</f>
        <v>0</v>
      </c>
      <c r="AK18" s="56">
        <f>INDEX(TABLAS!$D$6:$J$47,MATCH(AE18&amp;"|NDL",TABLAS!$B$6:$B$47,0),AF18)+AG18*(INDEX(TABLAS!$D$6:$J$47,MATCH(AE18&amp;"|NDL",TABLAS!$B$6:$B$47,0),MIN(AF18+1,7))-INDEX(TABLAS!$D$6:$J$47,MATCH(AE18&amp;"|NDL",TABLAS!$B$6:$B$47,0),AF18))</f>
        <v>310.170361726954</v>
      </c>
      <c r="AL18" s="56">
        <f>INDEX(TABLAS!$D$6:$J$47,MATCH(AE18&amp;"|PC",TABLAS!$B$6:$B$47,0),AF18)+AG18*(INDEX(TABLAS!$D$6:$J$47,MATCH(AE18&amp;"|PC",TABLAS!$B$6:$B$47,0),MIN(AF18+1,7))-INDEX(TABLAS!$D$6:$J$47,MATCH(AE18&amp;"|PC",TABLAS!$B$6:$B$47,0),AF18))</f>
        <v>559.93057176196</v>
      </c>
      <c r="AM18" s="56">
        <f>INDEX(TABLAS!$D$6:$J$47,MATCH(AE18&amp;"|PL",TABLAS!$B$6:$B$47,0),AF18)+AG18*(INDEX(TABLAS!$D$6:$J$47,MATCH(AE18&amp;"|PL",TABLAS!$B$6:$B$47,0),MIN(AF18+1,7))-INDEX(TABLAS!$D$6:$J$47,MATCH(AE18&amp;"|PL",TABLAS!$B$6:$B$47,0),AF18))</f>
        <v>191.33780630105</v>
      </c>
      <c r="AN18" s="36">
        <f>IF(D18="PERIMETRAL",IF(APOYOS!$G$65="CONTINUO",IF(M18="Y",AH18,AI18),IF(M18="Y",AJ18,AK18))*Y18*J18^2*1E-4*DATOS!$C$16/100/1000,0)</f>
        <v>0.0111545403333053</v>
      </c>
      <c r="AO18" s="36">
        <f>IF(D18="PERIMETRAL",IF(APOYOS!$G$66="CONTINUO",IF(M18="Y",AH18,AI18),IF(M18="Y",AJ18,AK18))*Y18*J18^2*1E-4*DATOS!$C$16/100/1000,0)</f>
        <v>0.0111545403333053</v>
      </c>
      <c r="AP18" s="36">
        <f>IF(D18="PERIMETRAL",IF(APOYOS!$G$67="CONTINUO",IF(M18="X",AH18,AI18),IF(M18="X",AJ18,AK18))*Y18*J18^2*1E-4*DATOS!$C$16/100/1000,0)</f>
        <v>0.0056662819677178</v>
      </c>
      <c r="AQ18" s="36">
        <f>IF(D18="PERIMETRAL",IF(APOYOS!$G$68="CONTINUO",IF(M18="X",AH18,AI18),IF(M18="X",AJ18,AK18))*Y18*J18^2*1E-4*DATOS!$C$16/100/1000,0)</f>
        <v>0.0033382612129291</v>
      </c>
      <c r="AR18" s="56">
        <f>IF(D18="PERIMETRAL",IF(M18="X",BN18,CD18)^3/(J18*100),0)</f>
        <v>149.083568399975</v>
      </c>
      <c r="AS18" s="56">
        <f>IF(D18="PERIMETRAL",IF(M18="Y",BN18,CD18)^3/(J18*100),0)</f>
        <v>182.680981475414</v>
      </c>
      <c r="AT18" s="36">
        <f>IF(D18="PERIMETRAL",MAX(0,IF(M18="Y",IF(AND(OR(APOYOS!$G$65="CONTINUO",APOYOS!$G$58="CONTINUO"),AN18&gt;0,AO16&gt;0,AO16&gt;AN18),AN18+2/3*(AO16-AN18)*AS18/MAX(AS18+AS16,1E-9),0),0),IF(M18="Y",IF(AND(OR(APOYOS!$G$66="CONTINUO",APOYOS!$G$73="CONTINUO"),AO18&gt;0,AN20&gt;0,AN20&gt;AO18),AO18+2/3*(AN20-AO18)*AS18/MAX(AS18+AS20,1E-9),0),0),IF(M18="Y",IF(AND(OR(APOYOS!$G$66="CONTINUO",APOYOS!$G$81="CONTINUO"),AO18&gt;0,AN22&gt;0,AN22&gt;AO18),AO18+2/3*(AN22-AO18)*AS18/MAX(AS18+AS22,1E-9),0),0),IF(M18="X",IF(AND(OR(APOYOS!$G$67="CONTINUO",APOYOS!$G$76="CONTINUO"),AP18&gt;0,AQ20&gt;0,AQ20&gt;AP18),AP18+2/3*(AQ20-AP18)*AR18/MAX(AR18+AR20,1E-9),0),0)),0)</f>
        <v>0.243356820839974</v>
      </c>
      <c r="AU18" s="36">
        <f>IF(D18="PERIMETRAL",MAX(0,IF(M18&lt;&gt;"Y",IF(AND(OR(APOYOS!$G$65="CONTINUO",APOYOS!$G$58="CONTINUO"),AN18&gt;0,AO16&gt;0,AO16&gt;AN18),AN18+2/3*(AO16-AN18)*AS18/MAX(AS18+AS16,1E-9),0),0),IF(M18&lt;&gt;"Y",IF(AND(OR(APOYOS!$G$66="CONTINUO",APOYOS!$G$73="CONTINUO"),AO18&gt;0,AN20&gt;0,AN20&gt;AO18),AO18+2/3*(AN20-AO18)*AS18/MAX(AS18+AS20,1E-9),0),0),IF(M18&lt;&gt;"Y",IF(AND(OR(APOYOS!$G$66="CONTINUO",APOYOS!$G$81="CONTINUO"),AO18&gt;0,AN22&gt;0,AN22&gt;AO18),AO18+2/3*(AN22-AO18)*AS18/MAX(AS18+AS22,1E-9),0),0),IF(M18&lt;&gt;"X",IF(AND(OR(APOYOS!$G$67="CONTINUO",APOYOS!$G$76="CONTINUO"),AP18&gt;0,AQ20&gt;0,AQ20&gt;AP18),AP18+2/3*(AQ20-AP18)*AR18/MAX(AR18+AR20,1E-9),0),0)),0)</f>
        <v>0.0275286480998399</v>
      </c>
      <c r="AV18" s="36">
        <f>IF(D18="PERIMETRAL",(IF(M18="Y",IF(AND(OR(APOYOS!$G$65="CONTINUO",APOYOS!$G$58="CONTINUO"),AN18&gt;0,AO16&gt;0,AN18&gt;AO16),2/3*(AN18-AO16)*AS18/MAX(AS18+AS16,1E-9),0),0)+IF(M18="Y",MAX(IF(AND(OR(APOYOS!$G$66="CONTINUO",APOYOS!$G$73="CONTINUO"),AO18&gt;0,AN20&gt;0,AO18&gt;AN20),2/3*(AO18-AN20)*AS18/MAX(AS18+AS20,1E-9),0),IF(AND(OR(APOYOS!$G$66="CONTINUO",APOYOS!$G$81="CONTINUO"),AO18&gt;0,AN22&gt;0,AO18&gt;AN22),2/3*(AO18-AN22)*AS18/MAX(AS18+AS22,1E-9),0)),0)+IF(M18="X",IF(AND(OR(APOYOS!$G$67="CONTINUO",APOYOS!$G$76="CONTINUO"),AP18&gt;0,AQ20&gt;0,AP18&gt;AQ20),2/3*(AP18-AQ20)*AR18/MAX(AR18+AR20,1E-9),0),0))/2,0)</f>
        <v>0</v>
      </c>
      <c r="AW18" s="36">
        <f>IF(D18="PERIMETRAL",(IF(M18&lt;&gt;"Y",IF(AND(OR(APOYOS!$G$65="CONTINUO",APOYOS!$G$58="CONTINUO"),AN18&gt;0,AO16&gt;0,AN18&gt;AO16),2/3*(AN18-AO16)*AS18/MAX(AS18+AS16,1E-9),0),0)+IF(M18&lt;&gt;"Y",MAX(IF(AND(OR(APOYOS!$G$66="CONTINUO",APOYOS!$G$73="CONTINUO"),AO18&gt;0,AN20&gt;0,AO18&gt;AN20),2/3*(AO18-AN20)*AS18/MAX(AS18+AS20,1E-9),0),IF(AND(OR(APOYOS!$G$66="CONTINUO",APOYOS!$G$81="CONTINUO"),AO18&gt;0,AN22&gt;0,AO18&gt;AN22),2/3*(AO18-AN22)*AS18/MAX(AS18+AS22,1E-9),0)),0)+IF(M18&lt;&gt;"X",IF(AND(OR(APOYOS!$G$67="CONTINUO",APOYOS!$G$76="CONTINUO"),AP18&gt;0,AQ20&gt;0,AP18&gt;AQ20),2/3*(AP18-AQ20)*AR18/MAX(AR18+AR20,1E-9),0),0))/2,0)</f>
        <v>0</v>
      </c>
      <c r="AX18" s="36">
        <f>IF(D18="PERIMETRAL",MAX(0,0),0)</f>
        <v>0</v>
      </c>
      <c r="AY18" s="52" t="str">
        <f>IF(D18&lt;&gt;"PERIMETRAL","",IF(AND(OR(APOYOS!$G$65="CONTINUO",APOYOS!$G$58="CONTINUO"),AN18&gt;0,AO16&gt;0,ABS(AN18-AO16)&gt;0.5*MIN(AN18,AO16))," F80009","")&amp;IF(OR(AND(OR(APOYOS!$G$66="CONTINUO",APOYOS!$G$73="CONTINUO"),AO18&gt;0,AN20&gt;0,ABS(AO18-AN20)&gt;0.5*MIN(AO18,AN20)),AND(OR(APOYOS!$G$67="CONTINUO",APOYOS!$G$76="CONTINUO"),AP18&gt;0,AQ20&gt;0,ABS(AP18-AQ20)&gt;0.5*MIN(AP18,AQ20)))," F80013","")&amp;IF(AND(OR(APOYOS!$G$66="CONTINUO",APOYOS!$G$81="CONTINUO"),AO18&gt;0,AN22&gt;0,ABS(AO18-AN22)&gt;0.5*MIN(AO18,AN22))," F80015",""))</f>
        <v> F80009 F80013 F80015</v>
      </c>
      <c r="AZ18" s="52" t="str">
        <f>IF(D18&lt;&gt;"PERIMETRAL","—",IF(AY18="","CUMPLE","FUERA con"&amp;AY18)&amp;IF(AND(D16="PERIMETRAL",APOYOS!$G$65&lt;&gt;APOYOS!$G$58)," · continuidad asimétrica con F80009 (cada uno con su momento; revisar APOYOS)","")&amp;IF(AND(D20="PERIMETRAL",APOYOS!$G$66&lt;&gt;APOYOS!$G$73)," · continuidad asimétrica con F80013 (cada uno con su momento; revisar APOYOS)","")&amp;IF(AND(D22="PERIMETRAL",APOYOS!$G$66&lt;&gt;APOYOS!$G$81)," · continuidad asimétrica con F80015 (cada uno con su momento; revisar APOYOS)",""))</f>
        <v>FUERA con F80009 F80013 F80015</v>
      </c>
      <c r="BA18" s="61" t="n">
        <v>0</v>
      </c>
      <c r="BB18" s="36">
        <f>IF(D18="PERIMETRAL",AL18*Y18*J18^2*1E-4*DATOS!$C$16/100/1000+AV18,0)</f>
        <v>0.00602634790519293</v>
      </c>
      <c r="BC18" s="36">
        <f>IF(D18="PERIMETRAL",MAX(MAX(AH18,AJ18)*Y18*J18^2*1E-4*DATOS!$C$16/100/1000,AT18),IF(D18="VOLADO",(Y18*(N18/100)^2/2+DATOS!$C$55*BA18*N18/100)*DATOS!$C$16/100/1000,0))</f>
        <v>0.243356820839974</v>
      </c>
      <c r="BD18" s="36">
        <f>IF(D18="PERIMETRAL",AM18*Y18*J18^2*1E-4*DATOS!$C$16/100/1000+AW18,0)</f>
        <v>0.00205930564669497</v>
      </c>
      <c r="BE18" s="36">
        <f>IF(D18="PERIMETRAL",MAX(MAX(AI18,AK18)*Y18*J18^2*1E-4*DATOS!$C$16/100/1000,AU18),0)</f>
        <v>0.0275286480998399</v>
      </c>
      <c r="BF18" s="43">
        <f>(DATOS!$C$15-R18-IF(DATOS!$C$25=0,0,INDEX(TABLAS!$C$52:$C$58,MATCH(DATOS!$C$25,TABLAS!$B$52:$B$58,0)))-INDEX(TABLAS!$C$52:$C$58,MATCH(DATOS!$C$26,TABLAS!$B$52:$B$58,0))/2)</f>
        <v>20.365</v>
      </c>
      <c r="BG18" s="43">
        <f>IF(D18="HUECO",0,IF(IF(BB18&lt;=0,0,IF((1-2*BB18*1E5/(DATOS!$C$58*P18*BF18^2*DATOS!$C$48))&lt;0,-1,IF((1-SQRT((1-2*BB18*1E5/(DATOS!$C$58*P18*BF18^2*DATOS!$C$48))))*DATOS!$C$48*P18*BF18/DATOS!$C$40&gt;DATOS!$C$82*P18*BF18,-1,(1-SQRT((1-2*BB18*1E5/(DATOS!$C$58*P18*BF18^2*DATOS!$C$48))))*DATOS!$C$48*P18*BF18/DATOS!$C$40)))&lt;0,-1,MAX(IF(BB18&lt;=0,0,IF((1-2*BB18*1E5/(DATOS!$C$58*P18*BF18^2*DATOS!$C$48))&lt;0,-1,IF((1-SQRT((1-2*BB18*1E5/(DATOS!$C$58*P18*BF18^2*DATOS!$C$48))))*DATOS!$C$48*P18*BF18/DATOS!$C$40&gt;DATOS!$C$82*P18*BF18,-1,(1-SQRT((1-2*BB18*1E5/(DATOS!$C$58*P18*BF18^2*DATOS!$C$48))))*DATOS!$C$48*P18*BF18/DATOS!$C$40))),MIN(DATOS!$C$83*DATOS!$C$13*BF18,4/3*IF(BB18&lt;=0,0,IF((1-2*BB18*1E5/(DATOS!$C$58*P18*BF18^2*DATOS!$C$48))&lt;0,-1,IF((1-SQRT((1-2*BB18*1E5/(DATOS!$C$58*P18*BF18^2*DATOS!$C$48))))*DATOS!$C$48*P18*BF18/DATOS!$C$40&gt;DATOS!$C$82*P18*BF18,-1,(1-SQRT((1-2*BB18*1E5/(DATOS!$C$58*P18*BF18^2*DATOS!$C$48))))*DATOS!$C$48*P18*BF18/DATOS!$C$40)))))))</f>
        <v>0.0104404313598741</v>
      </c>
      <c r="BH18" s="41">
        <f>IF(AND(BG18&gt;=0,IF(MAX(DATOS!$C$29,CEILING(BG18/INDEX(TABLAS!$D$52:$D$58,MIN(MATCH(DATOS!$C$26,TABLAS!$B$52:$B$58,0)+0,7)),1))*INDEX(TABLAS!$D$52:$D$58,MIN(MATCH(DATOS!$C$26,TABLAS!$B$52:$B$58,0)+0,7))&gt;=4/3*IF(BB18&lt;=0,0,IF((1-2*BB18*1E5/(DATOS!$C$58*P18*BF18^2*DATOS!$C$48))&lt;0,-1,IF((1-SQRT((1-2*BB18*1E5/(DATOS!$C$58*P18*BF18^2*DATOS!$C$48))))*DATOS!$C$48*P18*BF18/DATOS!$C$40&gt;DATOS!$C$82*P18*BF18,-1,(1-SQRT((1-2*BB18*1E5/(DATOS!$C$58*P18*BF18^2*DATOS!$C$48))))*DATOS!$C$48*P18*BF18/DATOS!$C$40)))-0.0001,MAX(DATOS!$C$29,CEILING(BG18/INDEX(TABLAS!$D$52:$D$58,MIN(MATCH(DATOS!$C$26,TABLAS!$B$52:$B$58,0)+0,7)),1)),MAX(MAX(DATOS!$C$29,CEILING(BG18/INDEX(TABLAS!$D$52:$D$58,MIN(MATCH(DATOS!$C$26,TABLAS!$B$52:$B$58,0)+0,7)),1)),2))&lt;=MIN(DATOS!$C$28,INT(((DATOS!$C$13-2*R18-2*IF(DATOS!$C$25=0,0,INDEX(TABLAS!$C$52:$C$58,MATCH(DATOS!$C$25,TABLAS!$B$52:$B$58,0))))+MAX(DATOS!$C$32,INDEX(TABLAS!$C$52:$C$58,MIN(MATCH(DATOS!$C$26,TABLAS!$B$52:$B$58,0)+0,7))))/(INDEX(TABLAS!$C$52:$C$58,MIN(MATCH(DATOS!$C$26,TABLAS!$B$52:$B$58,0)+0,7))+MAX(DATOS!$C$32,INDEX(TABLAS!$C$52:$C$58,MIN(MATCH(DATOS!$C$26,TABLAS!$B$52:$B$58,0)+0,7))))))),INDEX(TABLAS!$B$52:$B$58,MIN(MATCH(DATOS!$C$26,TABLAS!$B$52:$B$58,0)+0,7)),IF(AND(BG18&gt;=0,IF(MAX(DATOS!$C$29,CEILING(BG18/INDEX(TABLAS!$D$52:$D$58,MIN(MATCH(DATOS!$C$26,TABLAS!$B$52:$B$58,0)+1,7)),1))*INDEX(TABLAS!$D$52:$D$58,MIN(MATCH(DATOS!$C$26,TABLAS!$B$52:$B$58,0)+1,7))&gt;=4/3*IF(BB18&lt;=0,0,IF((1-2*BB18*1E5/(DATOS!$C$58*P18*BF18^2*DATOS!$C$48))&lt;0,-1,IF((1-SQRT((1-2*BB18*1E5/(DATOS!$C$58*P18*BF18^2*DATOS!$C$48))))*DATOS!$C$48*P18*BF18/DATOS!$C$40&gt;DATOS!$C$82*P18*BF18,-1,(1-SQRT((1-2*BB18*1E5/(DATOS!$C$58*P18*BF18^2*DATOS!$C$48))))*DATOS!$C$48*P18*BF18/DATOS!$C$40)))-0.0001,MAX(DATOS!$C$29,CEILING(BG18/INDEX(TABLAS!$D$52:$D$58,MIN(MATCH(DATOS!$C$26,TABLAS!$B$52:$B$58,0)+1,7)),1)),MAX(MAX(DATOS!$C$29,CEILING(BG18/INDEX(TABLAS!$D$52:$D$58,MIN(MATCH(DATOS!$C$26,TABLAS!$B$52:$B$58,0)+1,7)),1)),2))&lt;=MIN(DATOS!$C$28,INT(((DATOS!$C$13-2*R18-2*IF(DATOS!$C$25=0,0,INDEX(TABLAS!$C$52:$C$58,MATCH(DATOS!$C$25,TABLAS!$B$52:$B$58,0))))+MAX(DATOS!$C$32,INDEX(TABLAS!$C$52:$C$58,MIN(MATCH(DATOS!$C$26,TABLAS!$B$52:$B$58,0)+1,7))))/(INDEX(TABLAS!$C$52:$C$58,MIN(MATCH(DATOS!$C$26,TABLAS!$B$52:$B$58,0)+1,7))+MAX(DATOS!$C$32,INDEX(TABLAS!$C$52:$C$58,MIN(MATCH(DATOS!$C$26,TABLAS!$B$52:$B$58,0)+1,7))))))),INDEX(TABLAS!$B$52:$B$58,MIN(MATCH(DATOS!$C$26,TABLAS!$B$52:$B$58,0)+1,7)),IF(AND(BG18&gt;=0,IF(MAX(DATOS!$C$29,CEILING(BG18/INDEX(TABLAS!$D$52:$D$58,MIN(MATCH(DATOS!$C$26,TABLAS!$B$52:$B$58,0)+2,7)),1))*INDEX(TABLAS!$D$52:$D$58,MIN(MATCH(DATOS!$C$26,TABLAS!$B$52:$B$58,0)+2,7))&gt;=4/3*IF(BB18&lt;=0,0,IF((1-2*BB18*1E5/(DATOS!$C$58*P18*BF18^2*DATOS!$C$48))&lt;0,-1,IF((1-SQRT((1-2*BB18*1E5/(DATOS!$C$58*P18*BF18^2*DATOS!$C$48))))*DATOS!$C$48*P18*BF18/DATOS!$C$40&gt;DATOS!$C$82*P18*BF18,-1,(1-SQRT((1-2*BB18*1E5/(DATOS!$C$58*P18*BF18^2*DATOS!$C$48))))*DATOS!$C$48*P18*BF18/DATOS!$C$40)))-0.0001,MAX(DATOS!$C$29,CEILING(BG18/INDEX(TABLAS!$D$52:$D$58,MIN(MATCH(DATOS!$C$26,TABLAS!$B$52:$B$58,0)+2,7)),1)),MAX(MAX(DATOS!$C$29,CEILING(BG18/INDEX(TABLAS!$D$52:$D$58,MIN(MATCH(DATOS!$C$26,TABLAS!$B$52:$B$58,0)+2,7)),1)),2))&lt;=MIN(DATOS!$C$28,INT(((DATOS!$C$13-2*R18-2*IF(DATOS!$C$25=0,0,INDEX(TABLAS!$C$52:$C$58,MATCH(DATOS!$C$25,TABLAS!$B$52:$B$58,0))))+MAX(DATOS!$C$32,INDEX(TABLAS!$C$52:$C$58,MIN(MATCH(DATOS!$C$26,TABLAS!$B$52:$B$58,0)+2,7))))/(INDEX(TABLAS!$C$52:$C$58,MIN(MATCH(DATOS!$C$26,TABLAS!$B$52:$B$58,0)+2,7))+MAX(DATOS!$C$32,INDEX(TABLAS!$C$52:$C$58,MIN(MATCH(DATOS!$C$26,TABLAS!$B$52:$B$58,0)+2,7))))))),INDEX(TABLAS!$B$52:$B$58,MIN(MATCH(DATOS!$C$26,TABLAS!$B$52:$B$58,0)+2,7)),IF(AND(BG18&gt;=0,IF(MAX(DATOS!$C$29,CEILING(BG18/INDEX(TABLAS!$D$52:$D$58,MIN(MATCH(DATOS!$C$26,TABLAS!$B$52:$B$58,0)+3,7)),1))*INDEX(TABLAS!$D$52:$D$58,MIN(MATCH(DATOS!$C$26,TABLAS!$B$52:$B$58,0)+3,7))&gt;=4/3*IF(BB18&lt;=0,0,IF((1-2*BB18*1E5/(DATOS!$C$58*P18*BF18^2*DATOS!$C$48))&lt;0,-1,IF((1-SQRT((1-2*BB18*1E5/(DATOS!$C$58*P18*BF18^2*DATOS!$C$48))))*DATOS!$C$48*P18*BF18/DATOS!$C$40&gt;DATOS!$C$82*P18*BF18,-1,(1-SQRT((1-2*BB18*1E5/(DATOS!$C$58*P18*BF18^2*DATOS!$C$48))))*DATOS!$C$48*P18*BF18/DATOS!$C$40)))-0.0001,MAX(DATOS!$C$29,CEILING(BG18/INDEX(TABLAS!$D$52:$D$58,MIN(MATCH(DATOS!$C$26,TABLAS!$B$52:$B$58,0)+3,7)),1)),MAX(MAX(DATOS!$C$29,CEILING(BG18/INDEX(TABLAS!$D$52:$D$58,MIN(MATCH(DATOS!$C$26,TABLAS!$B$52:$B$58,0)+3,7)),1)),2))&lt;=MIN(DATOS!$C$28,INT(((DATOS!$C$13-2*R18-2*IF(DATOS!$C$25=0,0,INDEX(TABLAS!$C$52:$C$58,MATCH(DATOS!$C$25,TABLAS!$B$52:$B$58,0))))+MAX(DATOS!$C$32,INDEX(TABLAS!$C$52:$C$58,MIN(MATCH(DATOS!$C$26,TABLAS!$B$52:$B$58,0)+3,7))))/(INDEX(TABLAS!$C$52:$C$58,MIN(MATCH(DATOS!$C$26,TABLAS!$B$52:$B$58,0)+3,7))+MAX(DATOS!$C$32,INDEX(TABLAS!$C$52:$C$58,MIN(MATCH(DATOS!$C$26,TABLAS!$B$52:$B$58,0)+3,7))))))),INDEX(TABLAS!$B$52:$B$58,MIN(MATCH(DATOS!$C$26,TABLAS!$B$52:$B$58,0)+3,7)),IF(AND(BG18&gt;=0,IF(MAX(DATOS!$C$29,CEILING(BG18/INDEX(TABLAS!$D$52:$D$58,MIN(MATCH(DATOS!$C$26,TABLAS!$B$52:$B$58,0)+4,7)),1))*INDEX(TABLAS!$D$52:$D$58,MIN(MATCH(DATOS!$C$26,TABLAS!$B$52:$B$58,0)+4,7))&gt;=4/3*IF(BB18&lt;=0,0,IF((1-2*BB18*1E5/(DATOS!$C$58*P18*BF18^2*DATOS!$C$48))&lt;0,-1,IF((1-SQRT((1-2*BB18*1E5/(DATOS!$C$58*P18*BF18^2*DATOS!$C$48))))*DATOS!$C$48*P18*BF18/DATOS!$C$40&gt;DATOS!$C$82*P18*BF18,-1,(1-SQRT((1-2*BB18*1E5/(DATOS!$C$58*P18*BF18^2*DATOS!$C$48))))*DATOS!$C$48*P18*BF18/DATOS!$C$40)))-0.0001,MAX(DATOS!$C$29,CEILING(BG18/INDEX(TABLAS!$D$52:$D$58,MIN(MATCH(DATOS!$C$26,TABLAS!$B$52:$B$58,0)+4,7)),1)),MAX(MAX(DATOS!$C$29,CEILING(BG18/INDEX(TABLAS!$D$52:$D$58,MIN(MATCH(DATOS!$C$26,TABLAS!$B$52:$B$58,0)+4,7)),1)),2))&lt;=MIN(DATOS!$C$28,INT(((DATOS!$C$13-2*R18-2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18" s="56">
        <f>IF(D18="HUECO",0,IF(BG18&lt;0,0,IF(MAX(DATOS!$C$29,CEILING(MAX(BG18,0)/INDEX(TABLAS!$D$52:$D$58,MATCH(BH18,TABLAS!$B$52:$B$58,0)),1))*INDEX(TABLAS!$D$52:$D$58,MATCH(BH18,TABLAS!$B$52:$B$58,0))&gt;=4/3*IF(BB18&lt;=0,0,IF((1-2*BB18*1E5/(DATOS!$C$58*P18*BF18^2*DATOS!$C$48))&lt;0,-1,IF((1-SQRT((1-2*BB18*1E5/(DATOS!$C$58*P18*BF18^2*DATOS!$C$48))))*DATOS!$C$48*P18*BF18/DATOS!$C$40&gt;DATOS!$C$82*P18*BF18,-1,(1-SQRT((1-2*BB18*1E5/(DATOS!$C$58*P18*BF18^2*DATOS!$C$48))))*DATOS!$C$48*P18*BF18/DATOS!$C$40)))-0.0001,MAX(DATOS!$C$29,CEILING(MAX(BG18,0)/INDEX(TABLAS!$D$52:$D$58,MATCH(BH18,TABLAS!$B$52:$B$58,0)),1)),MAX(MAX(DATOS!$C$29,CEILING(MAX(BG18,0)/INDEX(TABLAS!$D$52:$D$58,MATCH(BH18,TABLAS!$B$52:$B$58,0)),1)),2))))</f>
        <v>1</v>
      </c>
      <c r="BJ18" s="43">
        <f>DATOS!$C$15-R18-IF(DATOS!$C$25=0,0,INDEX(TABLAS!$C$52:$C$58,MATCH(DATOS!$C$25,TABLAS!$B$52:$B$58,0)))-INDEX(TABLAS!$C$52:$C$58,MATCH(BH18,TABLAS!$B$52:$B$58,0))/2</f>
        <v>20.365</v>
      </c>
      <c r="BK18" s="36">
        <f>IF(BI18=0,0,DATOS!$C$58*BI18*INDEX(TABLAS!$D$52:$D$58,MATCH(BH18,TABLAS!$B$52:$B$58,0))*DATOS!$C$40*(BJ18-BI18*INDEX(TABLAS!$D$52:$D$58,MATCH(BH18,TABLAS!$B$52:$B$58,0))*DATOS!$C$40/(DATOS!$C$48*P18)/2)/1E5)</f>
        <v>0.940507919502402</v>
      </c>
      <c r="BL18" s="62">
        <f>IF(BG18&lt;0,9.99,IF(BK18&gt;0,BB18/BK18,0))</f>
        <v>0.00640754615695455</v>
      </c>
      <c r="BM18" s="63">
        <f>IF(BI18=0,"—",0.003*(BJ18-(BI18*INDEX(TABLAS!$D$52:$D$58,MATCH(BH18,TABLAS!$B$52:$B$58,0))*DATOS!$C$40/(DATOS!$C$48*P18)/DATOS!$C$49))/(BI18*INDEX(TABLAS!$D$52:$D$58,MATCH(BH18,TABLAS!$B$52:$B$58,0))*DATOS!$C$40/(DATOS!$C$48*P18)/DATOS!$C$49))</f>
        <v>0.0305672082835349</v>
      </c>
      <c r="BN18" s="43">
        <f>((DATOS!$C$15-S18-2*DATOS!$C$35-IF(DATOS!$C$25=0,0,INDEX(TABLAS!$C$52:$C$58,MATCH(DATOS!$C$25,TABLAS!$B$52:$B$58,0)))-INDEX(TABLAS!$C$52:$C$58,MATCH(DATOS!$C$27,TABLAS!$B$52:$B$58,0))/2)-IF(AND((DATOS!$C$15-S18-2*DATOS!$C$35-IF(DATOS!$C$25=0,0,INDEX(TABLAS!$C$52:$C$58,MATCH(DATOS!$C$25,TABLAS!$B$52:$B$58,0)))-INDEX(TABLAS!$C$52:$C$58,MATCH(DATOS!$C$27,TABLAS!$B$52:$B$58,0))/2)&lt;=20,DATOS!$C$18&lt;&gt;"SÍ"),2,0))</f>
        <v>19.389</v>
      </c>
      <c r="BO18" s="43">
        <f>IF(D18="HUECO",0,IF(IF(BC18&lt;=0,0,IF((1-2*BC18*1E5/(DATOS!$C$58*DATOS!$C$19*BN18^2*DATOS!$C$48))&lt;0,-1,IF((1-SQRT((1-2*BC18*1E5/(DATOS!$C$58*DATOS!$C$19*BN18^2*DATOS!$C$48))))*DATOS!$C$48*DATOS!$C$19*BN18/DATOS!$C$40&gt;DATOS!$C$82*DATOS!$C$19*BN18,-1,(1-SQRT((1-2*BC18*1E5/(DATOS!$C$58*DATOS!$C$19*BN18^2*DATOS!$C$48))))*DATOS!$C$48*DATOS!$C$19*BN18/DATOS!$C$40)))&lt;0,-1,MAX(IF(BC18&lt;=0,0,IF((1-2*BC18*1E5/(DATOS!$C$58*DATOS!$C$19*BN18^2*DATOS!$C$48))&lt;0,-1,IF((1-SQRT((1-2*BC18*1E5/(DATOS!$C$58*DATOS!$C$19*BN18^2*DATOS!$C$48))))*DATOS!$C$48*DATOS!$C$19*BN18/DATOS!$C$40&gt;DATOS!$C$82*DATOS!$C$19*BN18,-1,(1-SQRT((1-2*BC18*1E5/(DATOS!$C$58*DATOS!$C$19*BN18^2*DATOS!$C$48))))*DATOS!$C$48*DATOS!$C$19*BN18/DATOS!$C$40))),MIN(DATOS!$C$83*IF(D18="VOLADO",2*DATOS!$C$13,DATOS!$C$13)*BN18,4/3*IF(BC18&lt;=0,0,IF((1-2*BC18*1E5/(DATOS!$C$58*DATOS!$C$19*BN18^2*DATOS!$C$48))&lt;0,-1,IF((1-SQRT((1-2*BC18*1E5/(DATOS!$C$58*DATOS!$C$19*BN18^2*DATOS!$C$48))))*DATOS!$C$48*DATOS!$C$19*BN18/DATOS!$C$40&gt;DATOS!$C$82*DATOS!$C$19*BN18,-1,(1-SQRT((1-2*BC18*1E5/(DATOS!$C$58*DATOS!$C$19*BN18^2*DATOS!$C$48))))*DATOS!$C$48*DATOS!$C$19*BN18/DATOS!$C$40)))))))</f>
        <v>0.450483563801667</v>
      </c>
      <c r="BP18" s="41">
        <f>IF(AND(BO18&gt;=0,IF(MAX(DATOS!$C$29,CEILING(BO18/INDEX(TABLAS!$D$52:$D$58,MIN(MATCH(DATOS!$C$27,TABLAS!$B$52:$B$58,0)+0,7)),1))*INDEX(TABLAS!$D$52:$D$58,MIN(MATCH(DATOS!$C$27,TABLAS!$B$52:$B$58,0)+0,7))&gt;=4/3*IF(BC18&lt;=0,0,IF((1-2*BC18*1E5/(DATOS!$C$58*DATOS!$C$19*BN18^2*DATOS!$C$48))&lt;0,-1,IF((1-SQRT((1-2*BC18*1E5/(DATOS!$C$58*DATOS!$C$19*BN18^2*DATOS!$C$48))))*DATOS!$C$48*DATOS!$C$19*BN18/DATOS!$C$40&gt;DATOS!$C$82*DATOS!$C$19*BN18,-1,(1-SQRT((1-2*BC18*1E5/(DATOS!$C$58*DATOS!$C$19*BN18^2*DATOS!$C$48))))*DATOS!$C$48*DATOS!$C$19*BN18/DATOS!$C$40)))-0.0001,MAX(DATOS!$C$29,CEILING(BO18/INDEX(TABLAS!$D$52:$D$58,MIN(MATCH(DATOS!$C$27,TABLAS!$B$52:$B$58,0)+0,7)),1)),MAX(MAX(DATOS!$C$29,CEILING(BO18/INDEX(TABLAS!$D$52:$D$58,MIN(MATCH(DATOS!$C$27,TABLAS!$B$52:$B$58,0)+0,7)),1)),2))&lt;=MIN(DATOS!$C$28,INT(((DATOS!$C$13-2*S18-2*IF(DATOS!$C$25=0,0,INDEX(TABLAS!$C$52:$C$58,MATCH(DATOS!$C$25,TABLAS!$B$52:$B$58,0))))+MAX(DATOS!$C$32,INDEX(TABLAS!$C$52:$C$58,MIN(MATCH(DATOS!$C$27,TABLAS!$B$52:$B$58,0)+0,7))))/(INDEX(TABLAS!$C$52:$C$58,MIN(MATCH(DATOS!$C$27,TABLAS!$B$52:$B$58,0)+0,7))+MAX(DATOS!$C$32,INDEX(TABLAS!$C$52:$C$58,MIN(MATCH(DATOS!$C$27,TABLAS!$B$52:$B$58,0)+0,7))))))),INDEX(TABLAS!$B$52:$B$58,MIN(MATCH(DATOS!$C$27,TABLAS!$B$52:$B$58,0)+0,7)),IF(AND(BO18&gt;=0,IF(MAX(DATOS!$C$29,CEILING(BO18/INDEX(TABLAS!$D$52:$D$58,MIN(MATCH(DATOS!$C$27,TABLAS!$B$52:$B$58,0)+1,7)),1))*INDEX(TABLAS!$D$52:$D$58,MIN(MATCH(DATOS!$C$27,TABLAS!$B$52:$B$58,0)+1,7))&gt;=4/3*IF(BC18&lt;=0,0,IF((1-2*BC18*1E5/(DATOS!$C$58*DATOS!$C$19*BN18^2*DATOS!$C$48))&lt;0,-1,IF((1-SQRT((1-2*BC18*1E5/(DATOS!$C$58*DATOS!$C$19*BN18^2*DATOS!$C$48))))*DATOS!$C$48*DATOS!$C$19*BN18/DATOS!$C$40&gt;DATOS!$C$82*DATOS!$C$19*BN18,-1,(1-SQRT((1-2*BC18*1E5/(DATOS!$C$58*DATOS!$C$19*BN18^2*DATOS!$C$48))))*DATOS!$C$48*DATOS!$C$19*BN18/DATOS!$C$40)))-0.0001,MAX(DATOS!$C$29,CEILING(BO18/INDEX(TABLAS!$D$52:$D$58,MIN(MATCH(DATOS!$C$27,TABLAS!$B$52:$B$58,0)+1,7)),1)),MAX(MAX(DATOS!$C$29,CEILING(BO18/INDEX(TABLAS!$D$52:$D$58,MIN(MATCH(DATOS!$C$27,TABLAS!$B$52:$B$58,0)+1,7)),1)),2))&lt;=MIN(DATOS!$C$28,INT(((DATOS!$C$13-2*S18-2*IF(DATOS!$C$25=0,0,INDEX(TABLAS!$C$52:$C$58,MATCH(DATOS!$C$25,TABLAS!$B$52:$B$58,0))))+MAX(DATOS!$C$32,INDEX(TABLAS!$C$52:$C$58,MIN(MATCH(DATOS!$C$27,TABLAS!$B$52:$B$58,0)+1,7))))/(INDEX(TABLAS!$C$52:$C$58,MIN(MATCH(DATOS!$C$27,TABLAS!$B$52:$B$58,0)+1,7))+MAX(DATOS!$C$32,INDEX(TABLAS!$C$52:$C$58,MIN(MATCH(DATOS!$C$27,TABLAS!$B$52:$B$58,0)+1,7))))))),INDEX(TABLAS!$B$52:$B$58,MIN(MATCH(DATOS!$C$27,TABLAS!$B$52:$B$58,0)+1,7)),IF(AND(BO18&gt;=0,IF(MAX(DATOS!$C$29,CEILING(BO18/INDEX(TABLAS!$D$52:$D$58,MIN(MATCH(DATOS!$C$27,TABLAS!$B$52:$B$58,0)+2,7)),1))*INDEX(TABLAS!$D$52:$D$58,MIN(MATCH(DATOS!$C$27,TABLAS!$B$52:$B$58,0)+2,7))&gt;=4/3*IF(BC18&lt;=0,0,IF((1-2*BC18*1E5/(DATOS!$C$58*DATOS!$C$19*BN18^2*DATOS!$C$48))&lt;0,-1,IF((1-SQRT((1-2*BC18*1E5/(DATOS!$C$58*DATOS!$C$19*BN18^2*DATOS!$C$48))))*DATOS!$C$48*DATOS!$C$19*BN18/DATOS!$C$40&gt;DATOS!$C$82*DATOS!$C$19*BN18,-1,(1-SQRT((1-2*BC18*1E5/(DATOS!$C$58*DATOS!$C$19*BN18^2*DATOS!$C$48))))*DATOS!$C$48*DATOS!$C$19*BN18/DATOS!$C$40)))-0.0001,MAX(DATOS!$C$29,CEILING(BO18/INDEX(TABLAS!$D$52:$D$58,MIN(MATCH(DATOS!$C$27,TABLAS!$B$52:$B$58,0)+2,7)),1)),MAX(MAX(DATOS!$C$29,CEILING(BO18/INDEX(TABLAS!$D$52:$D$58,MIN(MATCH(DATOS!$C$27,TABLAS!$B$52:$B$58,0)+2,7)),1)),2))&lt;=MIN(DATOS!$C$28,INT(((DATOS!$C$13-2*S18-2*IF(DATOS!$C$25=0,0,INDEX(TABLAS!$C$52:$C$58,MATCH(DATOS!$C$25,TABLAS!$B$52:$B$58,0))))+MAX(DATOS!$C$32,INDEX(TABLAS!$C$52:$C$58,MIN(MATCH(DATOS!$C$27,TABLAS!$B$52:$B$58,0)+2,7))))/(INDEX(TABLAS!$C$52:$C$58,MIN(MATCH(DATOS!$C$27,TABLAS!$B$52:$B$58,0)+2,7))+MAX(DATOS!$C$32,INDEX(TABLAS!$C$52:$C$58,MIN(MATCH(DATOS!$C$27,TABLAS!$B$52:$B$58,0)+2,7))))))),INDEX(TABLAS!$B$52:$B$58,MIN(MATCH(DATOS!$C$27,TABLAS!$B$52:$B$58,0)+2,7)),IF(AND(BO18&gt;=0,IF(MAX(DATOS!$C$29,CEILING(BO18/INDEX(TABLAS!$D$52:$D$58,MIN(MATCH(DATOS!$C$27,TABLAS!$B$52:$B$58,0)+3,7)),1))*INDEX(TABLAS!$D$52:$D$58,MIN(MATCH(DATOS!$C$27,TABLAS!$B$52:$B$58,0)+3,7))&gt;=4/3*IF(BC18&lt;=0,0,IF((1-2*BC18*1E5/(DATOS!$C$58*DATOS!$C$19*BN18^2*DATOS!$C$48))&lt;0,-1,IF((1-SQRT((1-2*BC18*1E5/(DATOS!$C$58*DATOS!$C$19*BN18^2*DATOS!$C$48))))*DATOS!$C$48*DATOS!$C$19*BN18/DATOS!$C$40&gt;DATOS!$C$82*DATOS!$C$19*BN18,-1,(1-SQRT((1-2*BC18*1E5/(DATOS!$C$58*DATOS!$C$19*BN18^2*DATOS!$C$48))))*DATOS!$C$48*DATOS!$C$19*BN18/DATOS!$C$40)))-0.0001,MAX(DATOS!$C$29,CEILING(BO18/INDEX(TABLAS!$D$52:$D$58,MIN(MATCH(DATOS!$C$27,TABLAS!$B$52:$B$58,0)+3,7)),1)),MAX(MAX(DATOS!$C$29,CEILING(BO18/INDEX(TABLAS!$D$52:$D$58,MIN(MATCH(DATOS!$C$27,TABLAS!$B$52:$B$58,0)+3,7)),1)),2))&lt;=MIN(DATOS!$C$28,INT(((DATOS!$C$13-2*S18-2*IF(DATOS!$C$25=0,0,INDEX(TABLAS!$C$52:$C$58,MATCH(DATOS!$C$25,TABLAS!$B$52:$B$58,0))))+MAX(DATOS!$C$32,INDEX(TABLAS!$C$52:$C$58,MIN(MATCH(DATOS!$C$27,TABLAS!$B$52:$B$58,0)+3,7))))/(INDEX(TABLAS!$C$52:$C$58,MIN(MATCH(DATOS!$C$27,TABLAS!$B$52:$B$58,0)+3,7))+MAX(DATOS!$C$32,INDEX(TABLAS!$C$52:$C$58,MIN(MATCH(DATOS!$C$27,TABLAS!$B$52:$B$58,0)+3,7))))))),INDEX(TABLAS!$B$52:$B$58,MIN(MATCH(DATOS!$C$27,TABLAS!$B$52:$B$58,0)+3,7)),IF(AND(BO18&gt;=0,IF(MAX(DATOS!$C$29,CEILING(BO18/INDEX(TABLAS!$D$52:$D$58,MIN(MATCH(DATOS!$C$27,TABLAS!$B$52:$B$58,0)+4,7)),1))*INDEX(TABLAS!$D$52:$D$58,MIN(MATCH(DATOS!$C$27,TABLAS!$B$52:$B$58,0)+4,7))&gt;=4/3*IF(BC18&lt;=0,0,IF((1-2*BC18*1E5/(DATOS!$C$58*DATOS!$C$19*BN18^2*DATOS!$C$48))&lt;0,-1,IF((1-SQRT((1-2*BC18*1E5/(DATOS!$C$58*DATOS!$C$19*BN18^2*DATOS!$C$48))))*DATOS!$C$48*DATOS!$C$19*BN18/DATOS!$C$40&gt;DATOS!$C$82*DATOS!$C$19*BN18,-1,(1-SQRT((1-2*BC18*1E5/(DATOS!$C$58*DATOS!$C$19*BN18^2*DATOS!$C$48))))*DATOS!$C$48*DATOS!$C$19*BN18/DATOS!$C$40)))-0.0001,MAX(DATOS!$C$29,CEILING(BO18/INDEX(TABLAS!$D$52:$D$58,MIN(MATCH(DATOS!$C$27,TABLAS!$B$52:$B$58,0)+4,7)),1)),MAX(MAX(DATOS!$C$29,CEILING(BO18/INDEX(TABLAS!$D$52:$D$58,MIN(MATCH(DATOS!$C$27,TABLAS!$B$52:$B$58,0)+4,7)),1)),2))&lt;=MIN(DATOS!$C$28,INT(((DATOS!$C$13-2*S18-2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18" s="56">
        <f>IF(D18="HUECO",0,IF(BO18&lt;0,0,IF(MAX(DATOS!$C$29,CEILING(MAX(BO18,0)/INDEX(TABLAS!$D$52:$D$58,MATCH(BP18,TABLAS!$B$52:$B$58,0)),1))*INDEX(TABLAS!$D$52:$D$58,MATCH(BP18,TABLAS!$B$52:$B$58,0))&gt;=4/3*IF(BC18&lt;=0,0,IF((1-2*BC18*1E5/(DATOS!$C$58*DATOS!$C$19*BN18^2*DATOS!$C$48))&lt;0,-1,IF((1-SQRT((1-2*BC18*1E5/(DATOS!$C$58*DATOS!$C$19*BN18^2*DATOS!$C$48))))*DATOS!$C$48*DATOS!$C$19*BN18/DATOS!$C$40&gt;DATOS!$C$82*DATOS!$C$19*BN18,-1,(1-SQRT((1-2*BC18*1E5/(DATOS!$C$58*DATOS!$C$19*BN18^2*DATOS!$C$48))))*DATOS!$C$48*DATOS!$C$19*BN18/DATOS!$C$40)))-0.0001,MAX(DATOS!$C$29,CEILING(MAX(BO18,0)/INDEX(TABLAS!$D$52:$D$58,MATCH(BP18,TABLAS!$B$52:$B$58,0)),1)),MAX(MAX(DATOS!$C$29,CEILING(MAX(BO18,0)/INDEX(TABLAS!$D$52:$D$58,MATCH(BP18,TABLAS!$B$52:$B$58,0)),1)),2))))</f>
        <v>1</v>
      </c>
      <c r="BR18" s="43">
        <f>((DATOS!$C$15-S18-2*DATOS!$C$35-IF(DATOS!$C$25=0,0,INDEX(TABLAS!$C$52:$C$58,MATCH(DATOS!$C$25,TABLAS!$B$52:$B$58,0)))-INDEX(TABLAS!$C$52:$C$58,MATCH(BP18,TABLAS!$B$52:$B$58,0))/2)-IF(AND((DATOS!$C$15-S18-2*DATOS!$C$35-IF(DATOS!$C$25=0,0,INDEX(TABLAS!$C$52:$C$58,MATCH(DATOS!$C$25,TABLAS!$B$52:$B$58,0)))-INDEX(TABLAS!$C$52:$C$58,MATCH(BP18,TABLAS!$B$52:$B$58,0))/2)&lt;=20,DATOS!$C$18&lt;&gt;"SÍ"),2,0))</f>
        <v>19.389</v>
      </c>
      <c r="BS18" s="36">
        <f>IF(BQ18=0,0,DATOS!$C$58*BQ18*INDEX(TABLAS!$D$52:$D$58,MATCH(BP18,TABLAS!$B$52:$B$58,0))*DATOS!$C$40*(BR18-BQ18*INDEX(TABLAS!$D$52:$D$58,MATCH(BP18,TABLAS!$B$52:$B$58,0))*DATOS!$C$40/(DATOS!$C$48*DATOS!$C$19)/2)/1E5)</f>
        <v>0.870537980117647</v>
      </c>
      <c r="BT18" s="62">
        <f>IF(BO18&lt;0,9.99,IF(BS18&gt;0,BC18/BS18,0))</f>
        <v>0.279547620434764</v>
      </c>
      <c r="BU18" s="63">
        <f>IF(BQ18=0,"—",0.003*(BR18-(BQ18*INDEX(TABLAS!$D$52:$D$58,MATCH(BP18,TABLAS!$B$52:$B$58,0))*DATOS!$C$40/(DATOS!$C$48*DATOS!$C$19)/DATOS!$C$49))/(BQ18*INDEX(TABLAS!$D$52:$D$58,MATCH(BP18,TABLAS!$B$52:$B$58,0))*DATOS!$C$40/(DATOS!$C$48*DATOS!$C$19)/DATOS!$C$49))</f>
        <v>0.0166970648200225</v>
      </c>
      <c r="BV18" s="43">
        <f>(DATOS!$C$15-R18-IF(DATOS!$C$25=0,0,INDEX(TABLAS!$C$52:$C$58,MATCH(DATOS!$C$25,TABLAS!$B$52:$B$58,0)))-INDEX(TABLAS!$C$52:$C$58,MATCH(DATOS!$C$26,TABLAS!$B$52:$B$58,0))-INDEX(TABLAS!$C$52:$C$58,MATCH(DATOS!$C$26,TABLAS!$B$52:$B$58,0))/2)</f>
        <v>19.095</v>
      </c>
      <c r="BW18" s="43">
        <f>IF(D18="HUECO",0,IF(IF(BD18&lt;=0,0,IF((1-2*BD18*1E5/(DATOS!$C$58*Q18*BV18^2*DATOS!$C$48))&lt;0,-1,IF((1-SQRT((1-2*BD18*1E5/(DATOS!$C$58*Q18*BV18^2*DATOS!$C$48))))*DATOS!$C$48*Q18*BV18/DATOS!$C$40&gt;DATOS!$C$82*Q18*BV18,-1,(1-SQRT((1-2*BD18*1E5/(DATOS!$C$58*Q18*BV18^2*DATOS!$C$48))))*DATOS!$C$48*Q18*BV18/DATOS!$C$40)))&lt;0,-1,MAX(IF(BD18&lt;=0,0,IF((1-2*BD18*1E5/(DATOS!$C$58*Q18*BV18^2*DATOS!$C$48))&lt;0,-1,IF((1-SQRT((1-2*BD18*1E5/(DATOS!$C$58*Q18*BV18^2*DATOS!$C$48))))*DATOS!$C$48*Q18*BV18/DATOS!$C$40&gt;DATOS!$C$82*Q18*BV18,-1,(1-SQRT((1-2*BD18*1E5/(DATOS!$C$58*Q18*BV18^2*DATOS!$C$48))))*DATOS!$C$48*Q18*BV18/DATOS!$C$40))),MIN(DATOS!$C$83*DATOS!$C$13*BV18,4/3*IF(BD18&lt;=0,0,IF((1-2*BD18*1E5/(DATOS!$C$58*Q18*BV18^2*DATOS!$C$48))&lt;0,-1,IF((1-SQRT((1-2*BD18*1E5/(DATOS!$C$58*Q18*BV18^2*DATOS!$C$48))))*DATOS!$C$48*Q18*BV18/DATOS!$C$40&gt;DATOS!$C$82*Q18*BV18,-1,(1-SQRT((1-2*BD18*1E5/(DATOS!$C$58*Q18*BV18^2*DATOS!$C$48))))*DATOS!$C$48*Q18*BV18/DATOS!$C$40)))))))</f>
        <v>0.00380414660536908</v>
      </c>
      <c r="BX18" s="41">
        <f>IF(AND(BW18&gt;=0,IF(MAX(DATOS!$C$29,CEILING(BW18/INDEX(TABLAS!$D$52:$D$58,MIN(MATCH(DATOS!$C$26,TABLAS!$B$52:$B$58,0)+0,7)),1))*INDEX(TABLAS!$D$52:$D$58,MIN(MATCH(DATOS!$C$26,TABLAS!$B$52:$B$58,0)+0,7))&gt;=4/3*IF(BD18&lt;=0,0,IF((1-2*BD18*1E5/(DATOS!$C$58*Q18*BV18^2*DATOS!$C$48))&lt;0,-1,IF((1-SQRT((1-2*BD18*1E5/(DATOS!$C$58*Q18*BV18^2*DATOS!$C$48))))*DATOS!$C$48*Q18*BV18/DATOS!$C$40&gt;DATOS!$C$82*Q18*BV18,-1,(1-SQRT((1-2*BD18*1E5/(DATOS!$C$58*Q18*BV18^2*DATOS!$C$48))))*DATOS!$C$48*Q18*BV18/DATOS!$C$40)))-0.0001,MAX(DATOS!$C$29,CEILING(BW18/INDEX(TABLAS!$D$52:$D$58,MIN(MATCH(DATOS!$C$26,TABLAS!$B$52:$B$58,0)+0,7)),1)),MAX(MAX(DATOS!$C$29,CEILING(BW18/INDEX(TABLAS!$D$52:$D$58,MIN(MATCH(DATOS!$C$26,TABLAS!$B$52:$B$58,0)+0,7)),1)),2))&lt;=MIN(DATOS!$C$28,INT(((DATOS!$C$13-2*R18-2*IF(DATOS!$C$25=0,0,INDEX(TABLAS!$C$52:$C$58,MATCH(DATOS!$C$25,TABLAS!$B$52:$B$58,0))))+MAX(DATOS!$C$32,INDEX(TABLAS!$C$52:$C$58,MIN(MATCH(DATOS!$C$26,TABLAS!$B$52:$B$58,0)+0,7))))/(INDEX(TABLAS!$C$52:$C$58,MIN(MATCH(DATOS!$C$26,TABLAS!$B$52:$B$58,0)+0,7))+MAX(DATOS!$C$32,INDEX(TABLAS!$C$52:$C$58,MIN(MATCH(DATOS!$C$26,TABLAS!$B$52:$B$58,0)+0,7))))))),INDEX(TABLAS!$B$52:$B$58,MIN(MATCH(DATOS!$C$26,TABLAS!$B$52:$B$58,0)+0,7)),IF(AND(BW18&gt;=0,IF(MAX(DATOS!$C$29,CEILING(BW18/INDEX(TABLAS!$D$52:$D$58,MIN(MATCH(DATOS!$C$26,TABLAS!$B$52:$B$58,0)+1,7)),1))*INDEX(TABLAS!$D$52:$D$58,MIN(MATCH(DATOS!$C$26,TABLAS!$B$52:$B$58,0)+1,7))&gt;=4/3*IF(BD18&lt;=0,0,IF((1-2*BD18*1E5/(DATOS!$C$58*Q18*BV18^2*DATOS!$C$48))&lt;0,-1,IF((1-SQRT((1-2*BD18*1E5/(DATOS!$C$58*Q18*BV18^2*DATOS!$C$48))))*DATOS!$C$48*Q18*BV18/DATOS!$C$40&gt;DATOS!$C$82*Q18*BV18,-1,(1-SQRT((1-2*BD18*1E5/(DATOS!$C$58*Q18*BV18^2*DATOS!$C$48))))*DATOS!$C$48*Q18*BV18/DATOS!$C$40)))-0.0001,MAX(DATOS!$C$29,CEILING(BW18/INDEX(TABLAS!$D$52:$D$58,MIN(MATCH(DATOS!$C$26,TABLAS!$B$52:$B$58,0)+1,7)),1)),MAX(MAX(DATOS!$C$29,CEILING(BW18/INDEX(TABLAS!$D$52:$D$58,MIN(MATCH(DATOS!$C$26,TABLAS!$B$52:$B$58,0)+1,7)),1)),2))&lt;=MIN(DATOS!$C$28,INT(((DATOS!$C$13-2*R18-2*IF(DATOS!$C$25=0,0,INDEX(TABLAS!$C$52:$C$58,MATCH(DATOS!$C$25,TABLAS!$B$52:$B$58,0))))+MAX(DATOS!$C$32,INDEX(TABLAS!$C$52:$C$58,MIN(MATCH(DATOS!$C$26,TABLAS!$B$52:$B$58,0)+1,7))))/(INDEX(TABLAS!$C$52:$C$58,MIN(MATCH(DATOS!$C$26,TABLAS!$B$52:$B$58,0)+1,7))+MAX(DATOS!$C$32,INDEX(TABLAS!$C$52:$C$58,MIN(MATCH(DATOS!$C$26,TABLAS!$B$52:$B$58,0)+1,7))))))),INDEX(TABLAS!$B$52:$B$58,MIN(MATCH(DATOS!$C$26,TABLAS!$B$52:$B$58,0)+1,7)),IF(AND(BW18&gt;=0,IF(MAX(DATOS!$C$29,CEILING(BW18/INDEX(TABLAS!$D$52:$D$58,MIN(MATCH(DATOS!$C$26,TABLAS!$B$52:$B$58,0)+2,7)),1))*INDEX(TABLAS!$D$52:$D$58,MIN(MATCH(DATOS!$C$26,TABLAS!$B$52:$B$58,0)+2,7))&gt;=4/3*IF(BD18&lt;=0,0,IF((1-2*BD18*1E5/(DATOS!$C$58*Q18*BV18^2*DATOS!$C$48))&lt;0,-1,IF((1-SQRT((1-2*BD18*1E5/(DATOS!$C$58*Q18*BV18^2*DATOS!$C$48))))*DATOS!$C$48*Q18*BV18/DATOS!$C$40&gt;DATOS!$C$82*Q18*BV18,-1,(1-SQRT((1-2*BD18*1E5/(DATOS!$C$58*Q18*BV18^2*DATOS!$C$48))))*DATOS!$C$48*Q18*BV18/DATOS!$C$40)))-0.0001,MAX(DATOS!$C$29,CEILING(BW18/INDEX(TABLAS!$D$52:$D$58,MIN(MATCH(DATOS!$C$26,TABLAS!$B$52:$B$58,0)+2,7)),1)),MAX(MAX(DATOS!$C$29,CEILING(BW18/INDEX(TABLAS!$D$52:$D$58,MIN(MATCH(DATOS!$C$26,TABLAS!$B$52:$B$58,0)+2,7)),1)),2))&lt;=MIN(DATOS!$C$28,INT(((DATOS!$C$13-2*R18-2*IF(DATOS!$C$25=0,0,INDEX(TABLAS!$C$52:$C$58,MATCH(DATOS!$C$25,TABLAS!$B$52:$B$58,0))))+MAX(DATOS!$C$32,INDEX(TABLAS!$C$52:$C$58,MIN(MATCH(DATOS!$C$26,TABLAS!$B$52:$B$58,0)+2,7))))/(INDEX(TABLAS!$C$52:$C$58,MIN(MATCH(DATOS!$C$26,TABLAS!$B$52:$B$58,0)+2,7))+MAX(DATOS!$C$32,INDEX(TABLAS!$C$52:$C$58,MIN(MATCH(DATOS!$C$26,TABLAS!$B$52:$B$58,0)+2,7))))))),INDEX(TABLAS!$B$52:$B$58,MIN(MATCH(DATOS!$C$26,TABLAS!$B$52:$B$58,0)+2,7)),IF(AND(BW18&gt;=0,IF(MAX(DATOS!$C$29,CEILING(BW18/INDEX(TABLAS!$D$52:$D$58,MIN(MATCH(DATOS!$C$26,TABLAS!$B$52:$B$58,0)+3,7)),1))*INDEX(TABLAS!$D$52:$D$58,MIN(MATCH(DATOS!$C$26,TABLAS!$B$52:$B$58,0)+3,7))&gt;=4/3*IF(BD18&lt;=0,0,IF((1-2*BD18*1E5/(DATOS!$C$58*Q18*BV18^2*DATOS!$C$48))&lt;0,-1,IF((1-SQRT((1-2*BD18*1E5/(DATOS!$C$58*Q18*BV18^2*DATOS!$C$48))))*DATOS!$C$48*Q18*BV18/DATOS!$C$40&gt;DATOS!$C$82*Q18*BV18,-1,(1-SQRT((1-2*BD18*1E5/(DATOS!$C$58*Q18*BV18^2*DATOS!$C$48))))*DATOS!$C$48*Q18*BV18/DATOS!$C$40)))-0.0001,MAX(DATOS!$C$29,CEILING(BW18/INDEX(TABLAS!$D$52:$D$58,MIN(MATCH(DATOS!$C$26,TABLAS!$B$52:$B$58,0)+3,7)),1)),MAX(MAX(DATOS!$C$29,CEILING(BW18/INDEX(TABLAS!$D$52:$D$58,MIN(MATCH(DATOS!$C$26,TABLAS!$B$52:$B$58,0)+3,7)),1)),2))&lt;=MIN(DATOS!$C$28,INT(((DATOS!$C$13-2*R18-2*IF(DATOS!$C$25=0,0,INDEX(TABLAS!$C$52:$C$58,MATCH(DATOS!$C$25,TABLAS!$B$52:$B$58,0))))+MAX(DATOS!$C$32,INDEX(TABLAS!$C$52:$C$58,MIN(MATCH(DATOS!$C$26,TABLAS!$B$52:$B$58,0)+3,7))))/(INDEX(TABLAS!$C$52:$C$58,MIN(MATCH(DATOS!$C$26,TABLAS!$B$52:$B$58,0)+3,7))+MAX(DATOS!$C$32,INDEX(TABLAS!$C$52:$C$58,MIN(MATCH(DATOS!$C$26,TABLAS!$B$52:$B$58,0)+3,7))))))),INDEX(TABLAS!$B$52:$B$58,MIN(MATCH(DATOS!$C$26,TABLAS!$B$52:$B$58,0)+3,7)),IF(AND(BW18&gt;=0,IF(MAX(DATOS!$C$29,CEILING(BW18/INDEX(TABLAS!$D$52:$D$58,MIN(MATCH(DATOS!$C$26,TABLAS!$B$52:$B$58,0)+4,7)),1))*INDEX(TABLAS!$D$52:$D$58,MIN(MATCH(DATOS!$C$26,TABLAS!$B$52:$B$58,0)+4,7))&gt;=4/3*IF(BD18&lt;=0,0,IF((1-2*BD18*1E5/(DATOS!$C$58*Q18*BV18^2*DATOS!$C$48))&lt;0,-1,IF((1-SQRT((1-2*BD18*1E5/(DATOS!$C$58*Q18*BV18^2*DATOS!$C$48))))*DATOS!$C$48*Q18*BV18/DATOS!$C$40&gt;DATOS!$C$82*Q18*BV18,-1,(1-SQRT((1-2*BD18*1E5/(DATOS!$C$58*Q18*BV18^2*DATOS!$C$48))))*DATOS!$C$48*Q18*BV18/DATOS!$C$40)))-0.0001,MAX(DATOS!$C$29,CEILING(BW18/INDEX(TABLAS!$D$52:$D$58,MIN(MATCH(DATOS!$C$26,TABLAS!$B$52:$B$58,0)+4,7)),1)),MAX(MAX(DATOS!$C$29,CEILING(BW18/INDEX(TABLAS!$D$52:$D$58,MIN(MATCH(DATOS!$C$26,TABLAS!$B$52:$B$58,0)+4,7)),1)),2))&lt;=MIN(DATOS!$C$28,INT(((DATOS!$C$13-2*R18-2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18" s="56">
        <f>IF(D18="HUECO",0,IF(BW18&lt;0,0,IF(MAX(DATOS!$C$29,CEILING(MAX(BW18,0)/INDEX(TABLAS!$D$52:$D$58,MATCH(BX18,TABLAS!$B$52:$B$58,0)),1))*INDEX(TABLAS!$D$52:$D$58,MATCH(BX18,TABLAS!$B$52:$B$58,0))&gt;=4/3*IF(BD18&lt;=0,0,IF((1-2*BD18*1E5/(DATOS!$C$58*Q18*BV18^2*DATOS!$C$48))&lt;0,-1,IF((1-SQRT((1-2*BD18*1E5/(DATOS!$C$58*Q18*BV18^2*DATOS!$C$48))))*DATOS!$C$48*Q18*BV18/DATOS!$C$40&gt;DATOS!$C$82*Q18*BV18,-1,(1-SQRT((1-2*BD18*1E5/(DATOS!$C$58*Q18*BV18^2*DATOS!$C$48))))*DATOS!$C$48*Q18*BV18/DATOS!$C$40)))-0.0001,MAX(DATOS!$C$29,CEILING(MAX(BW18,0)/INDEX(TABLAS!$D$52:$D$58,MATCH(BX18,TABLAS!$B$52:$B$58,0)),1)),MAX(MAX(DATOS!$C$29,CEILING(MAX(BW18,0)/INDEX(TABLAS!$D$52:$D$58,MATCH(BX18,TABLAS!$B$52:$B$58,0)),1)),2))))</f>
        <v>1</v>
      </c>
      <c r="BZ18" s="43">
        <f>DATOS!$C$15-R18-IF(DATOS!$C$25=0,0,INDEX(TABLAS!$C$52:$C$58,MATCH(DATOS!$C$25,TABLAS!$B$52:$B$58,0)))-INDEX(TABLAS!$C$52:$C$58,MATCH(BH18,TABLAS!$B$52:$B$58,0))-INDEX(TABLAS!$C$52:$C$58,MATCH(BX18,TABLAS!$B$52:$B$58,0))/2</f>
        <v>19.095</v>
      </c>
      <c r="CA18" s="36">
        <f>IF(BY18=0,0,DATOS!$C$58*BY18*INDEX(TABLAS!$D$52:$D$58,MATCH(BX18,TABLAS!$B$52:$B$58,0))*DATOS!$C$40*(BZ18-BY18*INDEX(TABLAS!$D$52:$D$58,MATCH(BX18,TABLAS!$B$52:$B$58,0))*DATOS!$C$40/(DATOS!$C$48*Q18)/2)/1E5)</f>
        <v>0.908067376588235</v>
      </c>
      <c r="CB18" s="62">
        <f>IF(BW18&lt;0,9.99,IF(CA18&gt;0,BD18/CA18,0))</f>
        <v>0.00226778948323431</v>
      </c>
      <c r="CC18" s="63">
        <f>IF(BY18=0,"—",0.003*(BZ18-(BY18*INDEX(TABLAS!$D$52:$D$58,MATCH(BX18,TABLAS!$B$52:$B$58,0))*DATOS!$C$40/(DATOS!$C$48*Q18)/DATOS!$C$49))/(BY18*INDEX(TABLAS!$D$52:$D$58,MATCH(BX18,TABLAS!$B$52:$B$58,0))*DATOS!$C$40/(DATOS!$C$48*Q18)/DATOS!$C$49))</f>
        <v>0.13278875492126</v>
      </c>
      <c r="CD18" s="43">
        <f>((DATOS!$C$15-S18-2*DATOS!$C$35-IF(DATOS!$C$25=0,0,INDEX(TABLAS!$C$52:$C$58,MATCH(DATOS!$C$25,TABLAS!$B$52:$B$58,0)))-INDEX(TABLAS!$C$52:$C$58,MATCH(DATOS!$C$27,TABLAS!$B$52:$B$58,0))-INDEX(TABLAS!$C$52:$C$58,MATCH(DATOS!$C$27,TABLAS!$B$52:$B$58,0))/2)-IF(AND((DATOS!$C$15-S18-2*DATOS!$C$35-IF(DATOS!$C$25=0,0,INDEX(TABLAS!$C$52:$C$58,MATCH(DATOS!$C$25,TABLAS!$B$52:$B$58,0)))-INDEX(TABLAS!$C$52:$C$58,MATCH(DATOS!$C$27,TABLAS!$B$52:$B$58,0))-INDEX(TABLAS!$C$52:$C$58,MATCH(DATOS!$C$27,TABLAS!$B$52:$B$58,0))/2)&lt;=20,DATOS!$C$18&lt;&gt;"SÍ"),2,0))</f>
        <v>18.119</v>
      </c>
      <c r="CE18" s="43">
        <f>IF(D18="HUECO",0,IF(IF(BE18&lt;=0,0,IF((1-2*BE18*1E5/(DATOS!$C$58*DATOS!$C$19*CD18^2*DATOS!$C$48))&lt;0,-1,IF((1-SQRT((1-2*BE18*1E5/(DATOS!$C$58*DATOS!$C$19*CD18^2*DATOS!$C$48))))*DATOS!$C$48*DATOS!$C$19*CD18/DATOS!$C$40&gt;DATOS!$C$82*DATOS!$C$19*CD18,-1,(1-SQRT((1-2*BE18*1E5/(DATOS!$C$58*DATOS!$C$19*CD18^2*DATOS!$C$48))))*DATOS!$C$48*DATOS!$C$19*CD18/DATOS!$C$40)))&lt;0,-1,MAX(IF(BE18&lt;=0,0,IF((1-2*BE18*1E5/(DATOS!$C$58*DATOS!$C$19*CD18^2*DATOS!$C$48))&lt;0,-1,IF((1-SQRT((1-2*BE18*1E5/(DATOS!$C$58*DATOS!$C$19*CD18^2*DATOS!$C$48))))*DATOS!$C$48*DATOS!$C$19*CD18/DATOS!$C$40&gt;DATOS!$C$82*DATOS!$C$19*CD18,-1,(1-SQRT((1-2*BE18*1E5/(DATOS!$C$58*DATOS!$C$19*CD18^2*DATOS!$C$48))))*DATOS!$C$48*DATOS!$C$19*CD18/DATOS!$C$40))),MIN(DATOS!$C$83*DATOS!$C$13*CD18,4/3*IF(BE18&lt;=0,0,IF((1-2*BE18*1E5/(DATOS!$C$58*DATOS!$C$19*CD18^2*DATOS!$C$48))&lt;0,-1,IF((1-SQRT((1-2*BE18*1E5/(DATOS!$C$58*DATOS!$C$19*CD18^2*DATOS!$C$48))))*DATOS!$C$48*DATOS!$C$19*CD18/DATOS!$C$40&gt;DATOS!$C$82*DATOS!$C$19*CD18,-1,(1-SQRT((1-2*BE18*1E5/(DATOS!$C$58*DATOS!$C$19*CD18^2*DATOS!$C$48))))*DATOS!$C$48*DATOS!$C$19*CD18/DATOS!$C$40)))))))</f>
        <v>0.0537097106854469</v>
      </c>
      <c r="CF18" s="41">
        <f>IF(AND(CE18&gt;=0,IF(MAX(DATOS!$C$29,CEILING(CE18/INDEX(TABLAS!$D$52:$D$58,MIN(MATCH(DATOS!$C$27,TABLAS!$B$52:$B$58,0)+0,7)),1))*INDEX(TABLAS!$D$52:$D$58,MIN(MATCH(DATOS!$C$27,TABLAS!$B$52:$B$58,0)+0,7))&gt;=4/3*IF(BE18&lt;=0,0,IF((1-2*BE18*1E5/(DATOS!$C$58*DATOS!$C$19*CD18^2*DATOS!$C$48))&lt;0,-1,IF((1-SQRT((1-2*BE18*1E5/(DATOS!$C$58*DATOS!$C$19*CD18^2*DATOS!$C$48))))*DATOS!$C$48*DATOS!$C$19*CD18/DATOS!$C$40&gt;DATOS!$C$82*DATOS!$C$19*CD18,-1,(1-SQRT((1-2*BE18*1E5/(DATOS!$C$58*DATOS!$C$19*CD18^2*DATOS!$C$48))))*DATOS!$C$48*DATOS!$C$19*CD18/DATOS!$C$40)))-0.0001,MAX(DATOS!$C$29,CEILING(CE18/INDEX(TABLAS!$D$52:$D$58,MIN(MATCH(DATOS!$C$27,TABLAS!$B$52:$B$58,0)+0,7)),1)),MAX(MAX(DATOS!$C$29,CEILING(CE18/INDEX(TABLAS!$D$52:$D$58,MIN(MATCH(DATOS!$C$27,TABLAS!$B$52:$B$58,0)+0,7)),1)),2))&lt;=MIN(DATOS!$C$28,INT(((DATOS!$C$13-2*S18-2*IF(DATOS!$C$25=0,0,INDEX(TABLAS!$C$52:$C$58,MATCH(DATOS!$C$25,TABLAS!$B$52:$B$58,0))))+MAX(DATOS!$C$32,INDEX(TABLAS!$C$52:$C$58,MIN(MATCH(DATOS!$C$27,TABLAS!$B$52:$B$58,0)+0,7))))/(INDEX(TABLAS!$C$52:$C$58,MIN(MATCH(DATOS!$C$27,TABLAS!$B$52:$B$58,0)+0,7))+MAX(DATOS!$C$32,INDEX(TABLAS!$C$52:$C$58,MIN(MATCH(DATOS!$C$27,TABLAS!$B$52:$B$58,0)+0,7))))))),INDEX(TABLAS!$B$52:$B$58,MIN(MATCH(DATOS!$C$27,TABLAS!$B$52:$B$58,0)+0,7)),IF(AND(CE18&gt;=0,IF(MAX(DATOS!$C$29,CEILING(CE18/INDEX(TABLAS!$D$52:$D$58,MIN(MATCH(DATOS!$C$27,TABLAS!$B$52:$B$58,0)+1,7)),1))*INDEX(TABLAS!$D$52:$D$58,MIN(MATCH(DATOS!$C$27,TABLAS!$B$52:$B$58,0)+1,7))&gt;=4/3*IF(BE18&lt;=0,0,IF((1-2*BE18*1E5/(DATOS!$C$58*DATOS!$C$19*CD18^2*DATOS!$C$48))&lt;0,-1,IF((1-SQRT((1-2*BE18*1E5/(DATOS!$C$58*DATOS!$C$19*CD18^2*DATOS!$C$48))))*DATOS!$C$48*DATOS!$C$19*CD18/DATOS!$C$40&gt;DATOS!$C$82*DATOS!$C$19*CD18,-1,(1-SQRT((1-2*BE18*1E5/(DATOS!$C$58*DATOS!$C$19*CD18^2*DATOS!$C$48))))*DATOS!$C$48*DATOS!$C$19*CD18/DATOS!$C$40)))-0.0001,MAX(DATOS!$C$29,CEILING(CE18/INDEX(TABLAS!$D$52:$D$58,MIN(MATCH(DATOS!$C$27,TABLAS!$B$52:$B$58,0)+1,7)),1)),MAX(MAX(DATOS!$C$29,CEILING(CE18/INDEX(TABLAS!$D$52:$D$58,MIN(MATCH(DATOS!$C$27,TABLAS!$B$52:$B$58,0)+1,7)),1)),2))&lt;=MIN(DATOS!$C$28,INT(((DATOS!$C$13-2*S18-2*IF(DATOS!$C$25=0,0,INDEX(TABLAS!$C$52:$C$58,MATCH(DATOS!$C$25,TABLAS!$B$52:$B$58,0))))+MAX(DATOS!$C$32,INDEX(TABLAS!$C$52:$C$58,MIN(MATCH(DATOS!$C$27,TABLAS!$B$52:$B$58,0)+1,7))))/(INDEX(TABLAS!$C$52:$C$58,MIN(MATCH(DATOS!$C$27,TABLAS!$B$52:$B$58,0)+1,7))+MAX(DATOS!$C$32,INDEX(TABLAS!$C$52:$C$58,MIN(MATCH(DATOS!$C$27,TABLAS!$B$52:$B$58,0)+1,7))))))),INDEX(TABLAS!$B$52:$B$58,MIN(MATCH(DATOS!$C$27,TABLAS!$B$52:$B$58,0)+1,7)),IF(AND(CE18&gt;=0,IF(MAX(DATOS!$C$29,CEILING(CE18/INDEX(TABLAS!$D$52:$D$58,MIN(MATCH(DATOS!$C$27,TABLAS!$B$52:$B$58,0)+2,7)),1))*INDEX(TABLAS!$D$52:$D$58,MIN(MATCH(DATOS!$C$27,TABLAS!$B$52:$B$58,0)+2,7))&gt;=4/3*IF(BE18&lt;=0,0,IF((1-2*BE18*1E5/(DATOS!$C$58*DATOS!$C$19*CD18^2*DATOS!$C$48))&lt;0,-1,IF((1-SQRT((1-2*BE18*1E5/(DATOS!$C$58*DATOS!$C$19*CD18^2*DATOS!$C$48))))*DATOS!$C$48*DATOS!$C$19*CD18/DATOS!$C$40&gt;DATOS!$C$82*DATOS!$C$19*CD18,-1,(1-SQRT((1-2*BE18*1E5/(DATOS!$C$58*DATOS!$C$19*CD18^2*DATOS!$C$48))))*DATOS!$C$48*DATOS!$C$19*CD18/DATOS!$C$40)))-0.0001,MAX(DATOS!$C$29,CEILING(CE18/INDEX(TABLAS!$D$52:$D$58,MIN(MATCH(DATOS!$C$27,TABLAS!$B$52:$B$58,0)+2,7)),1)),MAX(MAX(DATOS!$C$29,CEILING(CE18/INDEX(TABLAS!$D$52:$D$58,MIN(MATCH(DATOS!$C$27,TABLAS!$B$52:$B$58,0)+2,7)),1)),2))&lt;=MIN(DATOS!$C$28,INT(((DATOS!$C$13-2*S18-2*IF(DATOS!$C$25=0,0,INDEX(TABLAS!$C$52:$C$58,MATCH(DATOS!$C$25,TABLAS!$B$52:$B$58,0))))+MAX(DATOS!$C$32,INDEX(TABLAS!$C$52:$C$58,MIN(MATCH(DATOS!$C$27,TABLAS!$B$52:$B$58,0)+2,7))))/(INDEX(TABLAS!$C$52:$C$58,MIN(MATCH(DATOS!$C$27,TABLAS!$B$52:$B$58,0)+2,7))+MAX(DATOS!$C$32,INDEX(TABLAS!$C$52:$C$58,MIN(MATCH(DATOS!$C$27,TABLAS!$B$52:$B$58,0)+2,7))))))),INDEX(TABLAS!$B$52:$B$58,MIN(MATCH(DATOS!$C$27,TABLAS!$B$52:$B$58,0)+2,7)),IF(AND(CE18&gt;=0,IF(MAX(DATOS!$C$29,CEILING(CE18/INDEX(TABLAS!$D$52:$D$58,MIN(MATCH(DATOS!$C$27,TABLAS!$B$52:$B$58,0)+3,7)),1))*INDEX(TABLAS!$D$52:$D$58,MIN(MATCH(DATOS!$C$27,TABLAS!$B$52:$B$58,0)+3,7))&gt;=4/3*IF(BE18&lt;=0,0,IF((1-2*BE18*1E5/(DATOS!$C$58*DATOS!$C$19*CD18^2*DATOS!$C$48))&lt;0,-1,IF((1-SQRT((1-2*BE18*1E5/(DATOS!$C$58*DATOS!$C$19*CD18^2*DATOS!$C$48))))*DATOS!$C$48*DATOS!$C$19*CD18/DATOS!$C$40&gt;DATOS!$C$82*DATOS!$C$19*CD18,-1,(1-SQRT((1-2*BE18*1E5/(DATOS!$C$58*DATOS!$C$19*CD18^2*DATOS!$C$48))))*DATOS!$C$48*DATOS!$C$19*CD18/DATOS!$C$40)))-0.0001,MAX(DATOS!$C$29,CEILING(CE18/INDEX(TABLAS!$D$52:$D$58,MIN(MATCH(DATOS!$C$27,TABLAS!$B$52:$B$58,0)+3,7)),1)),MAX(MAX(DATOS!$C$29,CEILING(CE18/INDEX(TABLAS!$D$52:$D$58,MIN(MATCH(DATOS!$C$27,TABLAS!$B$52:$B$58,0)+3,7)),1)),2))&lt;=MIN(DATOS!$C$28,INT(((DATOS!$C$13-2*S18-2*IF(DATOS!$C$25=0,0,INDEX(TABLAS!$C$52:$C$58,MATCH(DATOS!$C$25,TABLAS!$B$52:$B$58,0))))+MAX(DATOS!$C$32,INDEX(TABLAS!$C$52:$C$58,MIN(MATCH(DATOS!$C$27,TABLAS!$B$52:$B$58,0)+3,7))))/(INDEX(TABLAS!$C$52:$C$58,MIN(MATCH(DATOS!$C$27,TABLAS!$B$52:$B$58,0)+3,7))+MAX(DATOS!$C$32,INDEX(TABLAS!$C$52:$C$58,MIN(MATCH(DATOS!$C$27,TABLAS!$B$52:$B$58,0)+3,7))))))),INDEX(TABLAS!$B$52:$B$58,MIN(MATCH(DATOS!$C$27,TABLAS!$B$52:$B$58,0)+3,7)),IF(AND(CE18&gt;=0,IF(MAX(DATOS!$C$29,CEILING(CE18/INDEX(TABLAS!$D$52:$D$58,MIN(MATCH(DATOS!$C$27,TABLAS!$B$52:$B$58,0)+4,7)),1))*INDEX(TABLAS!$D$52:$D$58,MIN(MATCH(DATOS!$C$27,TABLAS!$B$52:$B$58,0)+4,7))&gt;=4/3*IF(BE18&lt;=0,0,IF((1-2*BE18*1E5/(DATOS!$C$58*DATOS!$C$19*CD18^2*DATOS!$C$48))&lt;0,-1,IF((1-SQRT((1-2*BE18*1E5/(DATOS!$C$58*DATOS!$C$19*CD18^2*DATOS!$C$48))))*DATOS!$C$48*DATOS!$C$19*CD18/DATOS!$C$40&gt;DATOS!$C$82*DATOS!$C$19*CD18,-1,(1-SQRT((1-2*BE18*1E5/(DATOS!$C$58*DATOS!$C$19*CD18^2*DATOS!$C$48))))*DATOS!$C$48*DATOS!$C$19*CD18/DATOS!$C$40)))-0.0001,MAX(DATOS!$C$29,CEILING(CE18/INDEX(TABLAS!$D$52:$D$58,MIN(MATCH(DATOS!$C$27,TABLAS!$B$52:$B$58,0)+4,7)),1)),MAX(MAX(DATOS!$C$29,CEILING(CE18/INDEX(TABLAS!$D$52:$D$58,MIN(MATCH(DATOS!$C$27,TABLAS!$B$52:$B$58,0)+4,7)),1)),2))&lt;=MIN(DATOS!$C$28,INT(((DATOS!$C$13-2*S18-2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18" s="56">
        <f>IF(D18="HUECO",0,IF(CE18&lt;0,0,IF(MAX(DATOS!$C$29,CEILING(MAX(CE18,0)/INDEX(TABLAS!$D$52:$D$58,MATCH(CF18,TABLAS!$B$52:$B$58,0)),1))*INDEX(TABLAS!$D$52:$D$58,MATCH(CF18,TABLAS!$B$52:$B$58,0))&gt;=4/3*IF(BE18&lt;=0,0,IF((1-2*BE18*1E5/(DATOS!$C$58*DATOS!$C$19*CD18^2*DATOS!$C$48))&lt;0,-1,IF((1-SQRT((1-2*BE18*1E5/(DATOS!$C$58*DATOS!$C$19*CD18^2*DATOS!$C$48))))*DATOS!$C$48*DATOS!$C$19*CD18/DATOS!$C$40&gt;DATOS!$C$82*DATOS!$C$19*CD18,-1,(1-SQRT((1-2*BE18*1E5/(DATOS!$C$58*DATOS!$C$19*CD18^2*DATOS!$C$48))))*DATOS!$C$48*DATOS!$C$19*CD18/DATOS!$C$40)))-0.0001,MAX(DATOS!$C$29,CEILING(MAX(CE18,0)/INDEX(TABLAS!$D$52:$D$58,MATCH(CF18,TABLAS!$B$52:$B$58,0)),1)),MAX(MAX(DATOS!$C$29,CEILING(MAX(CE18,0)/INDEX(TABLAS!$D$52:$D$58,MATCH(CF18,TABLAS!$B$52:$B$58,0)),1)),2))))</f>
        <v>1</v>
      </c>
      <c r="CH18" s="43">
        <f>((DATOS!$C$15-S18-2*DATOS!$C$35-IF(DATOS!$C$25=0,0,INDEX(TABLAS!$C$52:$C$58,MATCH(DATOS!$C$25,TABLAS!$B$52:$B$58,0)))-INDEX(TABLAS!$C$52:$C$58,MATCH(BP18,TABLAS!$B$52:$B$58,0))-INDEX(TABLAS!$C$52:$C$58,MATCH(CF18,TABLAS!$B$52:$B$58,0))/2)-IF(AND((DATOS!$C$15-S18-2*DATOS!$C$35-IF(DATOS!$C$25=0,0,INDEX(TABLAS!$C$52:$C$58,MATCH(DATOS!$C$25,TABLAS!$B$52:$B$58,0)))-INDEX(TABLAS!$C$52:$C$58,MATCH(BP18,TABLAS!$B$52:$B$58,0))-INDEX(TABLAS!$C$52:$C$58,MATCH(CF18,TABLAS!$B$52:$B$58,0))/2)&lt;=20,DATOS!$C$18&lt;&gt;"SÍ"),2,0))</f>
        <v>18.119</v>
      </c>
      <c r="CI18" s="36">
        <f>IF(CG18=0,0,DATOS!$C$58*CG18*INDEX(TABLAS!$D$52:$D$58,MATCH(CF18,TABLAS!$B$52:$B$58,0))*DATOS!$C$40*(CH18-CG18*INDEX(TABLAS!$D$52:$D$58,MATCH(CF18,TABLAS!$B$52:$B$58,0))*DATOS!$C$40/(DATOS!$C$48*DATOS!$C$19)/2)/1E5)</f>
        <v>0.809570360117647</v>
      </c>
      <c r="CJ18" s="62">
        <f>IF(CE18&lt;0,9.99,IF(CI18&gt;0,BE18/CI18,0))</f>
        <v>0.0340040217083039</v>
      </c>
      <c r="CK18" s="63">
        <f>IF(CG18=0,"—",0.003*(CH18-(CG18*INDEX(TABLAS!$D$52:$D$58,MATCH(CF18,TABLAS!$B$52:$B$58,0))*DATOS!$C$40/(DATOS!$C$48*DATOS!$C$19)/DATOS!$C$49))/(CG18*INDEX(TABLAS!$D$52:$D$58,MATCH(CF18,TABLAS!$B$52:$B$58,0))*DATOS!$C$40/(DATOS!$C$48*DATOS!$C$19)/DATOS!$C$49))</f>
        <v>0.0154068862485939</v>
      </c>
      <c r="CL18" s="52" t="str">
        <f>IF(D18="HUECO","—",IF(AND(D18="PERIMETRAL",J18*100&gt;=6*DATOS!$C$11,DATOS!$C$11&lt;=80,DATOS!$C$13&gt;=10,DATOS!$C$15&lt;=3.5*DATOS!$C$13,DATOS!$C$14&gt;=MAX(DATOS!$C$11/13,5)),"SÍ","NO"))</f>
        <v>NO</v>
      </c>
      <c r="CM18" s="36">
        <f>IF(D18="PERIMETRAL",MAX(0,(N18/2-BR18)/100)*(0.95-0.5*L18)*Y18*IF(AND(Z18&gt;0,Z18&lt;4),DATOS!$C$63,1)*DATOS!$C$16/100/1000+AX18,IF(D18="VOLADO",(Y18*MAX(0,N18-BR18)/100+DATOS!$C$55*BA18)*DATOS!$C$16/100/1000,0))</f>
        <v>0</v>
      </c>
      <c r="CN18" s="36">
        <f>IF(D18="HUECO",0,DATOS!$C$59*2*MIN(1,SQRT(2/(1+0.04*BR18)))*(BQ18*INDEX(TABLAS!$D$52:$D$58,MATCH(BP18,TABLAS!$B$52:$B$58,0))/(DATOS!$C$19*BR18))^(1/3)*SQRT(DATOS!$C$39)*DATOS!$C$19*BR18*IF(CL18="SÍ",DATOS!$C$62,1)/1000)</f>
        <v>0.860398102904257</v>
      </c>
      <c r="CO18" s="51" t="str">
        <f>IF(D18="HUECO","—",IF(CM18&lt;=CN18,"CUMPLE",IF(MAX(0,CEILING((IF(D18="VOLADO",(N18-(CN18*1E5/DATOS!$C$16-DATOS!$C$55*BA18)*100/Y18),IF(CN18&lt;=AX18,N18,N18/2-(CN18-AX18)/MAX(CM18-AX18,1E-9)*(N18/2-BR18)))-IF(INT((J18*100-DATOS!$C$17+DATOS!$C$13)/DATOS!$C$16)&gt;0,(J18*100-DATOS!$C$17-(INT((J18*100-DATOS!$C$17+DATOS!$C$13)/DATOS!$C$16)*DATOS!$C$11+(INT((J18*100-DATOS!$C$17+DATOS!$C$13)/DATOS!$C$16)-1)*DATOS!$C$13))/2,J18*100/2))/DATOS!$C$16,1))&lt;=0,"CUMPLE (basta el macizo de orilla)","MACIZAR "&amp;MAX(0,CEILING((IF(D18="VOLADO",(N18-(CN18*1E5/DATOS!$C$16-DATOS!$C$55*BA18)*100/Y18),IF(CN18&lt;=AX18,N18,N18/2-(CN18-AX18)/MAX(CM18-AX18,1E-9)*(N18/2-BR18)))-IF(INT((J18*100-DATOS!$C$17+DATOS!$C$13)/DATOS!$C$16)&gt;0,(J18*100-DATOS!$C$17-(INT((J18*100-DATOS!$C$17+DATOS!$C$13)/DATOS!$C$16)*DATOS!$C$11+(INT((J18*100-DATOS!$C$17+DATOS!$C$13)/DATOS!$C$16)-1)*DATOS!$C$13))/2,J18*100/2))/DATOS!$C$16,1))&amp;" hilera(s)")))</f>
        <v>CUMPLE</v>
      </c>
      <c r="CP18" s="43">
        <f>IF(D18="PERIMETRAL",(99+(PRINCIPALES!$N$21*PRINCIPALES!$O$21^3/12/(0.399*100*IF(APOYOS!$G$66="CONTINUO",1,0.5)*DATOS!$C$77^3/12))+(PRINCIPALES!$N$35*PRINCIPALES!$O$35^3/12/(3.428*100*IF(APOYOS!$G$67="CONTINUO",1,0.5)*DATOS!$C$77^3/12))+99)/4,0)</f>
        <v>52.2257734236146</v>
      </c>
      <c r="CQ18" s="57">
        <f>IF(D18="PERIMETRAL",IF(CP18&gt;2,MAX(9,O18*(0.8+DATOS!$C$40/14000)/(36+9*(O18/MAX(N18,1)))),IF(CP18&gt;0.2,MAX(13,O18*(0.8+DATOS!$C$40/14000)/(36+5*(O18/MAX(N18,1))*(CP18-0.2))),MAX(13,O18/IF(Z18&gt;0,30,33))))*IF(AND(CP18&gt;0.2,OR(AND((APOYOS!$G$65="DISCONTINUO"),99&lt;0.8),AND((APOYOS!$G$66="DISCONTINUO"),(PRINCIPALES!$N$21*PRINCIPALES!$O$21^3/12/(0.399*100*IF(APOYOS!$G$66="CONTINUO",1,0.5)*DATOS!$C$77^3/12))&lt;0.8),AND((APOYOS!$G$67="DISCONTINUO"),(PRINCIPALES!$N$35*PRINCIPALES!$O$35^3/12/(3.428*100*IF(APOYOS!$G$67="CONTINUO",1,0.5)*DATOS!$C$77^3/12))&lt;0.8),AND((APOYOS!$G$68="DISCONTINUO"),99&lt;0.8))),1.1,1),IF(D18="VOLADO",MAX(25,J18*100/8),0))</f>
        <v>9</v>
      </c>
      <c r="CR18" s="57">
        <f>IF(D18="VOLADO",DATOS!$C$15,DATOS!$C$77)</f>
        <v>16.7232564120244</v>
      </c>
      <c r="CS18" s="52" t="str">
        <f>IF(D18="HUECO","—",IF(CR18&gt;=CQ18,"CUMPLE",IF(D18="VOLADO","NO CUMPLE","CALCULAR FLECHA")))</f>
        <v>CUMPLE</v>
      </c>
      <c r="CT18" s="52" t="str">
        <f>IF(D18="HUECO","—",IF(DATOS!$C$14&gt;=IF(IF(D18="VOLADO",J18,K18)&gt;=6,6,5),"CUMPLE","CAPA ≥ 6 cm"))</f>
        <v>CUMPLE</v>
      </c>
      <c r="CU18" s="59">
        <f>IF(D18="HUECO",0,IF(((4*((AL18*Y18*J18^2*1E-4*DATOS!$C$16/100/1000)+((MAX(AH18,AJ18)*Y18*J18^2*1E-4*DATOS!$C$16/100/1000)+(IF(AND(AH18&gt;0,AJ18&gt;0),MIN(AH18,AJ18),MAX(AH18,AJ18))*Y18*J18^2*1E-4*DATOS!$C$16/100/1000))/2)+BC18-(IF(AND(AH18&gt;0,AJ18&gt;0),MIN(AH18,AJ18),MAX(AH18,AJ18))*Y18*J18^2*1E-4*DATOS!$C$16/100/1000))^2-16*((AL18*Y18*J18^2*1E-4*DATOS!$C$16/100/1000)+((MAX(AH18,AJ18)*Y18*J18^2*1E-4*DATOS!$C$16/100/1000)+(IF(AND(AH18&gt;0,AJ18&gt;0),MIN(AH18,AJ18),MAX(AH18,AJ18))*Y18*J18^2*1E-4*DATOS!$C$16/100/1000))/2)*BC18)&lt;0,CEILING(N18,5),CEILING(MAX(N18*((4*((AL18*Y18*J18^2*1E-4*DATOS!$C$16/100/1000)+((MAX(AH18,AJ18)*Y18*J18^2*1E-4*DATOS!$C$16/100/1000)+(IF(AND(AH18&gt;0,AJ18&gt;0),MIN(AH18,AJ18),MAX(AH18,AJ18))*Y18*J18^2*1E-4*DATOS!$C$16/100/1000))/2)+BC18-(IF(AND(AH18&gt;0,AJ18&gt;0),MIN(AH18,AJ18),MAX(AH18,AJ18))*Y18*J18^2*1E-4*DATOS!$C$16/100/1000))-SQRT(MAX(0,((4*((AL18*Y18*J18^2*1E-4*DATOS!$C$16/100/1000)+((MAX(AH18,AJ18)*Y18*J18^2*1E-4*DATOS!$C$16/100/1000)+(IF(AND(AH18&gt;0,AJ18&gt;0),MIN(AH18,AJ18),MAX(AH18,AJ18))*Y18*J18^2*1E-4*DATOS!$C$16/100/1000))/2)+BC18-(IF(AND(AH18&gt;0,AJ18&gt;0),MIN(AH18,AJ18),MAX(AH18,AJ18))*Y18*J18^2*1E-4*DATOS!$C$16/100/1000))^2-16*((AL18*Y18*J18^2*1E-4*DATOS!$C$16/100/1000)+((MAX(AH18,AJ18)*Y18*J18^2*1E-4*DATOS!$C$16/100/1000)+(IF(AND(AH18&gt;0,AJ18&gt;0),MIN(AH18,AJ18),MAX(AH18,AJ18))*Y18*J18^2*1E-4*DATOS!$C$16/100/1000))/2)*BC18))))/(8*MAX(((AL18*Y18*J18^2*1E-4*DATOS!$C$16/100/1000)+((MAX(AH18,AJ18)*Y18*J18^2*1E-4*DATOS!$C$16/100/1000)+(IF(AND(AH18&gt;0,AJ18&gt;0),MIN(AH18,AJ18),MAX(AH18,AJ18))*Y18*J18^2*1E-4*DATOS!$C$16/100/1000))/2),1E-9))+MAX(BR18,12*INDEX(TABLAS!$C$52:$C$58,MATCH(BP18,TABLAS!$B$52:$B$58,0)),N18/16),IF(OR(S18&lt;INDEX(TABLAS!$C$52:$C$58,MATCH(BP18,TABLAS!$B$52:$B$58,0)),AND(BQ18&gt;=2,(DATOS!$C$13-2*S18-2*IF(DATOS!$C$25=0,0,INDEX(TABLAS!$C$52:$C$58,MATCH(DATOS!$C$25,TABLAS!$B$52:$B$58,0)))-BQ18*INDEX(TABLAS!$C$52:$C$58,MATCH(BP18,TABLAS!$B$52:$B$58,0)))/MAX(BQ18-1,1)&lt;2*INDEX(TABLAS!$C$52:$C$58,MATCH(BP18,TABLAS!$B$52:$B$58,0)))),INDEX(TABLAS!$I$52:$I$58,MATCH(BP18,TABLAS!$B$52:$B$58,0)),INDEX(TABLAS!$F$52:$F$58,MATCH(BP18,TABLAS!$B$52:$B$58,0)))),5)))</f>
        <v>55</v>
      </c>
      <c r="CV18" s="59">
        <f>IF(D18="HUECO",0,IF(((4*((AM18*Y18*J18^2*1E-4*DATOS!$C$16/100/1000)+((MAX(AI18,AK18)*Y18*J18^2*1E-4*DATOS!$C$16/100/1000)+(IF(AND(AI18&gt;0,AK18&gt;0),MIN(AI18,AK18),MAX(AI18,AK18))*Y18*J18^2*1E-4*DATOS!$C$16/100/1000))/2)+BE18-(IF(AND(AI18&gt;0,AK18&gt;0),MIN(AI18,AK18),MAX(AI18,AK18))*Y18*J18^2*1E-4*DATOS!$C$16/100/1000))^2-16*((AM18*Y18*J18^2*1E-4*DATOS!$C$16/100/1000)+((MAX(AI18,AK18)*Y18*J18^2*1E-4*DATOS!$C$16/100/1000)+(IF(AND(AI18&gt;0,AK18&gt;0),MIN(AI18,AK18),MAX(AI18,AK18))*Y18*J18^2*1E-4*DATOS!$C$16/100/1000))/2)*BE18)&lt;0,CEILING(O18,5),CEILING(MAX(O18*((4*((AM18*Y18*J18^2*1E-4*DATOS!$C$16/100/1000)+((MAX(AI18,AK18)*Y18*J18^2*1E-4*DATOS!$C$16/100/1000)+(IF(AND(AI18&gt;0,AK18&gt;0),MIN(AI18,AK18),MAX(AI18,AK18))*Y18*J18^2*1E-4*DATOS!$C$16/100/1000))/2)+BE18-(IF(AND(AI18&gt;0,AK18&gt;0),MIN(AI18,AK18),MAX(AI18,AK18))*Y18*J18^2*1E-4*DATOS!$C$16/100/1000))-SQRT(MAX(0,((4*((AM18*Y18*J18^2*1E-4*DATOS!$C$16/100/1000)+((MAX(AI18,AK18)*Y18*J18^2*1E-4*DATOS!$C$16/100/1000)+(IF(AND(AI18&gt;0,AK18&gt;0),MIN(AI18,AK18),MAX(AI18,AK18))*Y18*J18^2*1E-4*DATOS!$C$16/100/1000))/2)+BE18-(IF(AND(AI18&gt;0,AK18&gt;0),MIN(AI18,AK18),MAX(AI18,AK18))*Y18*J18^2*1E-4*DATOS!$C$16/100/1000))^2-16*((AM18*Y18*J18^2*1E-4*DATOS!$C$16/100/1000)+((MAX(AI18,AK18)*Y18*J18^2*1E-4*DATOS!$C$16/100/1000)+(IF(AND(AI18&gt;0,AK18&gt;0),MIN(AI18,AK18),MAX(AI18,AK18))*Y18*J18^2*1E-4*DATOS!$C$16/100/1000))/2)*BE18))))/(8*MAX(((AM18*Y18*J18^2*1E-4*DATOS!$C$16/100/1000)+((MAX(AI18,AK18)*Y18*J18^2*1E-4*DATOS!$C$16/100/1000)+(IF(AND(AI18&gt;0,AK18&gt;0),MIN(AI18,AK18),MAX(AI18,AK18))*Y18*J18^2*1E-4*DATOS!$C$16/100/1000))/2),1E-9))+MAX(CH18,12*INDEX(TABLAS!$C$52:$C$58,MATCH(CF18,TABLAS!$B$52:$B$58,0)),O18/16),IF(OR(S18&lt;INDEX(TABLAS!$C$52:$C$58,MATCH(CF18,TABLAS!$B$52:$B$58,0)),AND(CG18&gt;=2,(DATOS!$C$13-2*S18-2*IF(DATOS!$C$25=0,0,INDEX(TABLAS!$C$52:$C$58,MATCH(DATOS!$C$25,TABLAS!$B$52:$B$58,0)))-CG18*INDEX(TABLAS!$C$52:$C$58,MATCH(CF18,TABLAS!$B$52:$B$58,0)))/MAX(CG18-1,1)&lt;2*INDEX(TABLAS!$C$52:$C$58,MATCH(CF18,TABLAS!$B$52:$B$58,0)))),INDEX(TABLAS!$I$52:$I$58,MATCH(CF18,TABLAS!$B$52:$B$58,0)),INDEX(TABLAS!$F$52:$F$58,MATCH(CF18,TABLAS!$B$52:$B$58,0)))),5)))</f>
        <v>330</v>
      </c>
      <c r="CW18" s="56">
        <f>MAX(0,INT((F18*100-DATOS!$C$17+DATOS!$C$13)/DATOS!$C$16))</f>
        <v>4</v>
      </c>
      <c r="CX18" s="56">
        <f>MAX(0,INT((G18*100-DATOS!$C$17+DATOS!$C$13)/DATOS!$C$16))</f>
        <v>0</v>
      </c>
      <c r="CY18" s="51" t="str">
        <f>IF(COUNTIFS(TRIB!$C$6:$C$255,B18,TRIB!$K$6:$K$255,"NO CUMPLE*")+COUNTIFS(TRIB!$C$6:$C$255,B18,TRIB!$K$6:$K$255,"SIN APOYO*")&gt;0,"VER PRINCIPALES",IF((APOYOS!$F$65="LIBRE")+(APOYOS!$F$66="LIBRE")+(APOYOS!$F$67="LIBRE")+(APOYOS!$F$68="LIBRE")&gt;0,"REVISAR: borde libre","OK"))</f>
        <v>OK</v>
      </c>
      <c r="CZ18" s="64" t="str">
        <f>IF(D18="HUECO","HUECO — marco de nervaduras principales",IF(AND(MAX(BL18,BT18,CB18,CJ18)&lt;=1,NOT(OR(BI18&gt;MIN(DATOS!$C$28,INT(((DATOS!$C$13-2*R18-2*IF(DATOS!$C$25=0,0,INDEX(TABLAS!$C$52:$C$58,MATCH(DATOS!$C$25,TABLAS!$B$52:$B$58,0))))+DATOS!$C$32)/(INDEX(TABLAS!$C$52:$C$58,MATCH(BH18,TABLAS!$B$52:$B$58,0))+DATOS!$C$32))),BQ18&gt;MIN(DATOS!$C$28,INT(((DATOS!$C$13-2*S18-2*IF(DATOS!$C$25=0,0,INDEX(TABLAS!$C$52:$C$58,MATCH(DATOS!$C$25,TABLAS!$B$52:$B$58,0))))+DATOS!$C$32)/(INDEX(TABLAS!$C$52:$C$58,MATCH(BP18,TABLAS!$B$52:$B$58,0))+DATOS!$C$32))),BY18&gt;MIN(DATOS!$C$28,INT(((DATOS!$C$13-2*R18-2*IF(DATOS!$C$25=0,0,INDEX(TABLAS!$C$52:$C$58,MATCH(DATOS!$C$25,TABLAS!$B$52:$B$58,0))))+DATOS!$C$32)/(INDEX(TABLAS!$C$52:$C$58,MATCH(BX18,TABLAS!$B$52:$B$58,0))+DATOS!$C$32))),CG18&gt;MIN(DATOS!$C$28,INT(((DATOS!$C$13-2*S18-2*IF(DATOS!$C$25=0,0,INDEX(TABLAS!$C$52:$C$58,MATCH(DATOS!$C$25,TABLAS!$B$52:$B$58,0))))+DATOS!$C$32)/(INDEX(TABLAS!$C$52:$C$58,MATCH(CF18,TABLAS!$B$52:$B$58,0))+DATOS!$C$32))))),NOT(OR(AND(ISNUMBER(BM18),BM18&lt;0.005),AND(ISNUMBER(BU18),BU18&lt;0.005),AND(ISNUMBER(CC18),CC18&lt;0.005),AND(ISNUMBER(CK18),CK18&lt;0.005))),CS18="CUMPLE",CT18="CUMPLE"),IF(CY18="OK",IF(LEFT(CO18,6)="CUMPLE","CUMPLE","CUMPLE — "&amp;CO18)&amp;IF(LEFT(AZ18,5)="FUERA"," · fuera de 3.4.2.1 c)",""),IF(CY18="VER PRINCIPALES","VER PRINCIPALES","REVISAR APOYOS")),IF(AND(MAX(BL18,BT18,CB18,CJ18)&lt;=1,NOT(OR(BI18&gt;MIN(DATOS!$C$28,INT(((DATOS!$C$13-2*R18-2*IF(DATOS!$C$25=0,0,INDEX(TABLAS!$C$52:$C$58,MATCH(DATOS!$C$25,TABLAS!$B$52:$B$58,0))))+DATOS!$C$32)/(INDEX(TABLAS!$C$52:$C$58,MATCH(BH18,TABLAS!$B$52:$B$58,0))+DATOS!$C$32))),BQ18&gt;MIN(DATOS!$C$28,INT(((DATOS!$C$13-2*S18-2*IF(DATOS!$C$25=0,0,INDEX(TABLAS!$C$52:$C$58,MATCH(DATOS!$C$25,TABLAS!$B$52:$B$58,0))))+DATOS!$C$32)/(INDEX(TABLAS!$C$52:$C$58,MATCH(BP18,TABLAS!$B$52:$B$58,0))+DATOS!$C$32))),BY18&gt;MIN(DATOS!$C$28,INT(((DATOS!$C$13-2*R18-2*IF(DATOS!$C$25=0,0,INDEX(TABLAS!$C$52:$C$58,MATCH(DATOS!$C$25,TABLAS!$B$52:$B$58,0))))+DATOS!$C$32)/(INDEX(TABLAS!$C$52:$C$58,MATCH(BX18,TABLAS!$B$52:$B$58,0))+DATOS!$C$32))),CG18&gt;MIN(DATOS!$C$28,INT(((DATOS!$C$13-2*S18-2*IF(DATOS!$C$25=0,0,INDEX(TABLAS!$C$52:$C$58,MATCH(DATOS!$C$25,TABLAS!$B$52:$B$58,0))))+DATOS!$C$32)/(INDEX(TABLAS!$C$52:$C$58,MATCH(CF18,TABLAS!$B$52:$B$58,0))+DATOS!$C$32))))),NOT(OR(AND(ISNUMBER(BM18),BM18&lt;0.005),AND(ISNUMBER(BU18),BU18&lt;0.005),AND(ISNUMBER(CC18),CC18&lt;0.005),AND(ISNUMBER(CK18),CK18&lt;0.005))),CS18="CALCULAR FLECHA"),"REVISAR: calcular flecha (h_eq &lt; h mín.)","NO CUMPLE: "&amp;IF(MAX(BL18,BT18,CB18,CJ18)&gt;1,"flexión ","")&amp;IF(OR(BI18&gt;MIN(DATOS!$C$28,INT(((DATOS!$C$13-2*R18-2*IF(DATOS!$C$25=0,0,INDEX(TABLAS!$C$52:$C$58,MATCH(DATOS!$C$25,TABLAS!$B$52:$B$58,0))))+DATOS!$C$32)/(INDEX(TABLAS!$C$52:$C$58,MATCH(BH18,TABLAS!$B$52:$B$58,0))+DATOS!$C$32))),BQ18&gt;MIN(DATOS!$C$28,INT(((DATOS!$C$13-2*S18-2*IF(DATOS!$C$25=0,0,INDEX(TABLAS!$C$52:$C$58,MATCH(DATOS!$C$25,TABLAS!$B$52:$B$58,0))))+DATOS!$C$32)/(INDEX(TABLAS!$C$52:$C$58,MATCH(BP18,TABLAS!$B$52:$B$58,0))+DATOS!$C$32))),BY18&gt;MIN(DATOS!$C$28,INT(((DATOS!$C$13-2*R18-2*IF(DATOS!$C$25=0,0,INDEX(TABLAS!$C$52:$C$58,MATCH(DATOS!$C$25,TABLAS!$B$52:$B$58,0))))+DATOS!$C$32)/(INDEX(TABLAS!$C$52:$C$58,MATCH(BX18,TABLAS!$B$52:$B$58,0))+DATOS!$C$32))),CG18&gt;MIN(DATOS!$C$28,INT(((DATOS!$C$13-2*S18-2*IF(DATOS!$C$25=0,0,INDEX(TABLAS!$C$52:$C$58,MATCH(DATOS!$C$25,TABLAS!$B$52:$B$58,0))))+DATOS!$C$32)/(INDEX(TABLAS!$C$52:$C$58,MATCH(CF18,TABLAS!$B$52:$B$58,0))+DATOS!$C$32)))),"no caben ","")&amp;IF(OR(AND(ISNUMBER(BM18),BM18&lt;0.005),AND(ISNUMBER(BU18),BU18&lt;0.005),AND(ISNUMBER(CC18),CC18&lt;0.005),AND(ISNUMBER(CK18),CK18&lt;0.005)),"ε_t &lt; 0.005 ","")&amp;IF(CS18="NO CUMPLE","peralte ","")&amp;IF(CT18&lt;&gt;"CUMPLE","capa &lt; 6 cm",""))))</f>
        <v>CUMPLE · fuera de 3.4.2.1 c)</v>
      </c>
      <c r="DA18" s="65" t="str">
        <f>IF(AND(D18="PERIMETRAL",MIN(CW18,CX18)=0),"Tablero macizo (no cabe un casetón en el claro corto): no aplica 6.7.8. La resistencia se revisa con una nervadura de 10 cm cada 70 cm y r_np (conservador); "&amp;"como losa maciza lleva además As,mín = 0.0018·Ag en cada dirección cerca de la cara a tensión (6.7.6.1.1, p. 175). ",IF(AND(CL18="NO",D18="PERIMETRAL"),"No cumple 6.7.8.1.4 (a_c = "&amp;DATOS!$C$11&amp;" cm &gt; claro corto/6 = "&amp;TEXT(J18*100/6,"0")&amp;" cm): se diseña como losa apoyada en vigas (6.7.8.1.9): nervaduras con recubrimiento de viga r_np = "&amp;DATOS!$C$22&amp;" cm (Tabla 4.14.16.a), V_cR sin ×1.1 y cortante sin estribos por 5.5.3.8.1 (criterio del Proyectista). Para que cuente como encasetonada: casetón de "&amp;TEXT(FLOOR(MIN(80,J18*100/6),1),"0")&amp;" cm o menor. ",""))&amp;IF(LEFT(AZ18,5)="FUERA","M⁻ del borde común "&amp;AZ18&amp;": difieren más de 50% (3.4.2.1 c); se distribuyen 2/3 del desequilibrio (3.4.3.1) y conviene confirmar los momentos con el modelo. ","")&amp;"—"</f>
        <v>Tablero macizo (no cabe un casetón en el claro corto): no aplica 6.7.8. La resistencia se revisa con una nervadura de 10 cm cada 70 cm y r_np (conservador); como losa maciza lleva además As,mín = 0.0018·Ag en cada dirección cerca de la cara a tensión (6.7.6.1.1, p. 175). M⁻ del borde común FUERA con F80009 F80013 F80015: difieren más de 50% (3.4.2.1 c); se distribuyen 2/3 del desequilibrio (3.4.3.1) y conviene confirmar los momentos con el modelo. —</v>
      </c>
    </row>
    <row r="19" ht="30" customHeight="1">
      <c r="B19" s="51" t="inlineStr">
        <is>
          <t>F80012 N+3.00</t>
        </is>
      </c>
      <c r="C19" s="52" t="inlineStr">
        <is>
          <t>N+3.00</t>
        </is>
      </c>
      <c r="D19" s="53" t="inlineStr">
        <is>
          <t>VOLADO</t>
        </is>
      </c>
      <c r="E19" s="53" t="inlineStr">
        <is>
          <t>HABITACIÓN</t>
        </is>
      </c>
      <c r="F19" s="54" t="n">
        <v>2</v>
      </c>
      <c r="G19" s="54" t="n">
        <v>3.425</v>
      </c>
      <c r="H19" s="55" t="n">
        <v>2</v>
      </c>
      <c r="I19" s="55" t="n">
        <v>3.425</v>
      </c>
      <c r="J19" s="36">
        <f>MIN(H19,I19)</f>
        <v>2</v>
      </c>
      <c r="K19" s="36">
        <f>MAX(H19,I19)</f>
        <v>3.425</v>
      </c>
      <c r="L19" s="36">
        <f>IF(K19&gt;0,J19/K19,0)</f>
        <v>0.583941605839416</v>
      </c>
      <c r="M19" s="52" t="str">
        <f>IF(H19&lt;=I19,"X","Y")</f>
        <v>X</v>
      </c>
      <c r="N19" s="56">
        <f>MAX(0,J19*100-IF(D19="VOLADO",DATOS!$C$17/2,DATOS!$C$17))</f>
        <v>192.5</v>
      </c>
      <c r="O19" s="56">
        <f>MAX(0,K19*100-DATOS!$C$17)</f>
        <v>327.5</v>
      </c>
      <c r="P19" s="57">
        <f>MIN(DATOS!$C$16,DATOS!$C$13+2*MIN(8*DATOS!$C$14,DATOS!$C$11/2,N19/8))</f>
        <v>58.125</v>
      </c>
      <c r="Q19" s="57">
        <f>MIN(DATOS!$C$16,DATOS!$C$13+2*MIN(8*DATOS!$C$14,DATOS!$C$11/2,O19/8))</f>
        <v>70</v>
      </c>
      <c r="R19" s="57">
        <f>IF(D19="VOLADO",DATOS!$C$21,IF(CL19="NO",DATOS!$C$22,DATOS!$C$20))</f>
        <v>4</v>
      </c>
      <c r="S19" s="57">
        <f>IF(OR(AND(C19="N+6.00",DATOS!$C$23="SÍ"),AND(D19="VOLADO",DATOS!$C$24="SÍ")),DATOS!$C$21,IF(CL19="NO",DATOS!$C$22,DATOS!$C$20))</f>
        <v>4</v>
      </c>
      <c r="T19" s="58" t="n">
        <v>210</v>
      </c>
      <c r="U19" s="56">
        <f>IF(E19="HABITACIÓN",DATOS!$C$89,DATOS!$C$92)</f>
        <v>190</v>
      </c>
      <c r="V19" s="56">
        <f>CARGAS!$C$9</f>
        <v>293.673469387755</v>
      </c>
      <c r="W19" s="56">
        <f>V19+T19</f>
        <v>503.673469387755</v>
      </c>
      <c r="X19" s="56">
        <f>W19+U19</f>
        <v>693.673469387755</v>
      </c>
      <c r="Y19" s="59">
        <f>MAX(DATOS!$C$55*W19+DATOS!$C$56*U19,IF(E19="AZOTEA",DATOS!$C$57*(W19+DATOS!$C$97),0))</f>
        <v>939.775510204082</v>
      </c>
      <c r="Z19" s="56">
        <f>(APOYOS!$G$69="DISCONTINUO")+(APOYOS!$G$70="DISCONTINUO")+(APOYOS!$G$71="DISCONTINUO")+(APOYOS!$G$72="DISCONTINUO")</f>
        <v>3</v>
      </c>
      <c r="AA19" s="56">
        <f>IF(M19="X",(APOYOS!$G$69="DISCONTINUO")+(APOYOS!$G$70="DISCONTINUO"),(APOYOS!$G$71="DISCONTINUO")+(APOYOS!$G$72="DISCONTINUO"))</f>
        <v>2</v>
      </c>
      <c r="AB19" s="56">
        <f>Z19-AA19</f>
        <v>1</v>
      </c>
      <c r="AC19" s="52" t="str">
        <f>IF(Z19=0,"INTERIOR",IF(Z19=1,IF(AA19=1,"BORDE-CORTO","BORDE-LARGO"),IF(Z19=2,IF(AA19=1,"ESQUINA",IF(AA19=2,"EXTREMO-LARGO","EXTREMO-CORTO")),IF(Z19=3,IF(AA19=2,"EXTREMO-LARGO","EXTREMO-CORTO"),"AISLADO"))))</f>
        <v>EXTREMO-LARGO</v>
      </c>
      <c r="AD19" s="53" t="inlineStr">
        <is>
          <t>AUTO</t>
        </is>
      </c>
      <c r="AE19" s="60" t="str">
        <f>IF(AD19="AUTO",AC19,AD19)</f>
        <v>EXTREMO-LARGO</v>
      </c>
      <c r="AF19" s="56">
        <f>MATCH(L19,TABLAS!$D$5:$J$5,1)</f>
        <v>2</v>
      </c>
      <c r="AG19" s="43">
        <f>IF(AF19&gt;=7,0,(L19-INDEX(TABLAS!$D$5:$J$5,AF19))/(INDEX(TABLAS!$D$5:$J$5,AF19+1)-INDEX(TABLAS!$D$5:$J$5,AF19)))</f>
        <v>0.839416058394161</v>
      </c>
      <c r="AH19" s="56">
        <f>INDEX(TABLAS!$D$6:$J$47,MATCH(AE19&amp;"|NIC",TABLAS!$B$6:$B$47,0),AF19)+AG19*(INDEX(TABLAS!$D$6:$J$47,MATCH(AE19&amp;"|NIC",TABLAS!$B$6:$B$47,0),MIN(AF19+1,7))-INDEX(TABLAS!$D$6:$J$47,MATCH(AE19&amp;"|NIC",TABLAS!$B$6:$B$47,0),AF19))</f>
        <v>1166.13138686131</v>
      </c>
      <c r="AI19" s="56">
        <f>INDEX(TABLAS!$D$6:$J$47,MATCH(AE19&amp;"|NIL",TABLAS!$B$6:$B$47,0),AF19)+AG19*(INDEX(TABLAS!$D$6:$J$47,MATCH(AE19&amp;"|NIL",TABLAS!$B$6:$B$47,0),MIN(AF19+1,7))-INDEX(TABLAS!$D$6:$J$47,MATCH(AE19&amp;"|NIL",TABLAS!$B$6:$B$47,0),AF19))</f>
        <v>0</v>
      </c>
      <c r="AJ19" s="56">
        <f>INDEX(TABLAS!$D$6:$J$47,MATCH(AE19&amp;"|NDC",TABLAS!$B$6:$B$47,0),AF19)+AG19*(INDEX(TABLAS!$D$6:$J$47,MATCH(AE19&amp;"|NDC",TABLAS!$B$6:$B$47,0),MIN(AF19+1,7))-INDEX(TABLAS!$D$6:$J$47,MATCH(AE19&amp;"|NDC",TABLAS!$B$6:$B$47,0),AF19))</f>
        <v>344.817518248175</v>
      </c>
      <c r="AK19" s="56">
        <f>INDEX(TABLAS!$D$6:$J$47,MATCH(AE19&amp;"|NDL",TABLAS!$B$6:$B$47,0),AF19)+AG19*(INDEX(TABLAS!$D$6:$J$47,MATCH(AE19&amp;"|NDL",TABLAS!$B$6:$B$47,0),MIN(AF19+1,7))-INDEX(TABLAS!$D$6:$J$47,MATCH(AE19&amp;"|NDL",TABLAS!$B$6:$B$47,0),AF19))</f>
        <v>340.85401459854</v>
      </c>
      <c r="AL19" s="56">
        <f>INDEX(TABLAS!$D$6:$J$47,MATCH(AE19&amp;"|PC",TABLAS!$B$6:$B$47,0),AF19)+AG19*(INDEX(TABLAS!$D$6:$J$47,MATCH(AE19&amp;"|PC",TABLAS!$B$6:$B$47,0),MIN(AF19+1,7))-INDEX(TABLAS!$D$6:$J$47,MATCH(AE19&amp;"|PC",TABLAS!$B$6:$B$47,0),AF19))</f>
        <v>679.63503649635</v>
      </c>
      <c r="AM19" s="56">
        <f>INDEX(TABLAS!$D$6:$J$47,MATCH(AE19&amp;"|PL",TABLAS!$B$6:$B$47,0),AF19)+AG19*(INDEX(TABLAS!$D$6:$J$47,MATCH(AE19&amp;"|PL",TABLAS!$B$6:$B$47,0),MIN(AF19+1,7))-INDEX(TABLAS!$D$6:$J$47,MATCH(AE19&amp;"|PL",TABLAS!$B$6:$B$47,0),AF19))</f>
        <v>430</v>
      </c>
      <c r="AN19" s="36">
        <f>IF(D19="PERIMETRAL",IF(APOYOS!$G$69="CONTINUO",IF(M19="Y",AH19,AI19),IF(M19="Y",AJ19,AK19))*Y19*J19^2*1E-4*DATOS!$C$16/100/1000,0)</f>
        <v>0</v>
      </c>
      <c r="AO19" s="36">
        <f>IF(D19="PERIMETRAL",IF(APOYOS!$G$70="CONTINUO",IF(M19="Y",AH19,AI19),IF(M19="Y",AJ19,AK19))*Y19*J19^2*1E-4*DATOS!$C$16/100/1000,0)</f>
        <v>0</v>
      </c>
      <c r="AP19" s="36">
        <f>IF(D19="PERIMETRAL",IF(APOYOS!$G$71="CONTINUO",IF(M19="X",AH19,AI19),IF(M19="X",AJ19,AK19))*Y19*J19^2*1E-4*DATOS!$C$16/100/1000,0)</f>
        <v>0</v>
      </c>
      <c r="AQ19" s="36">
        <f>IF(D19="PERIMETRAL",IF(APOYOS!$G$72="CONTINUO",IF(M19="X",AH19,AI19),IF(M19="X",AJ19,AK19))*Y19*J19^2*1E-4*DATOS!$C$16/100/1000,0)</f>
        <v>0</v>
      </c>
      <c r="AR19" s="56">
        <f>IF(D19="PERIMETRAL",IF(M19="X",BN19,CD19)^3/(J19*100),0)</f>
        <v>0</v>
      </c>
      <c r="AS19" s="56">
        <f>IF(D19="PERIMETRAL",IF(M19="Y",BN19,CD19)^3/(J19*100),0)</f>
        <v>0</v>
      </c>
      <c r="AT19" s="36">
        <f>IF(D19="PERIMETRAL",MAX(0,IF(M19="X",IF(AND(OR(APOYOS!$G$72="CONTINUO",APOYOS!$G$63="CONTINUO"),AQ19&gt;0,AP17&gt;0,AP17&gt;AQ19),AQ19+2/3*(AP17-AQ19)*AR19/MAX(AR19+AR17,1E-9),0),0),IF(M19="X",IF(AND(OR(APOYOS!$G$72="CONTINUO",APOYOS!$G$79="CONTINUO"),AQ19&gt;0,AP21&gt;0,AP21&gt;AQ19),AQ19+2/3*(AP21-AQ19)*AR19/MAX(AR19+AR21,1E-9),0),0)),0)</f>
        <v>0</v>
      </c>
      <c r="AU19" s="36">
        <f>IF(D19="PERIMETRAL",MAX(0,IF(M19&lt;&gt;"X",IF(AND(OR(APOYOS!$G$72="CONTINUO",APOYOS!$G$63="CONTINUO"),AQ19&gt;0,AP17&gt;0,AP17&gt;AQ19),AQ19+2/3*(AP17-AQ19)*AR19/MAX(AR19+AR17,1E-9),0),0),IF(M19&lt;&gt;"X",IF(AND(OR(APOYOS!$G$72="CONTINUO",APOYOS!$G$79="CONTINUO"),AQ19&gt;0,AP21&gt;0,AP21&gt;AQ19),AQ19+2/3*(AP21-AQ19)*AR19/MAX(AR19+AR21,1E-9),0),0)),0)</f>
        <v>0</v>
      </c>
      <c r="AV19" s="36">
        <f>IF(D19="PERIMETRAL",(IF(M19="X",MAX(IF(AND(OR(APOYOS!$G$72="CONTINUO",APOYOS!$G$63="CONTINUO"),AQ19&gt;0,AP17&gt;0,AQ19&gt;AP17),2/3*(AQ19-AP17)*AR19/MAX(AR19+AR17,1E-9),0),IF(AND(OR(APOYOS!$G$72="CONTINUO",APOYOS!$G$79="CONTINUO"),AQ19&gt;0,AP21&gt;0,AQ19&gt;AP21),2/3*(AQ19-AP21)*AR19/MAX(AR19+AR21,1E-9),0)),0))/2,0)</f>
        <v>0</v>
      </c>
      <c r="AW19" s="36">
        <f>IF(D19="PERIMETRAL",(IF(M19&lt;&gt;"X",MAX(IF(AND(OR(APOYOS!$G$72="CONTINUO",APOYOS!$G$63="CONTINUO"),AQ19&gt;0,AP17&gt;0,AQ19&gt;AP17),2/3*(AQ19-AP17)*AR19/MAX(AR19+AR17,1E-9),0),IF(AND(OR(APOYOS!$G$72="CONTINUO",APOYOS!$G$79="CONTINUO"),AQ19&gt;0,AP21&gt;0,AQ19&gt;AP21),2/3*(AQ19-AP21)*AR19/MAX(AR19+AR21,1E-9),0)),0))/2,0)</f>
        <v>0</v>
      </c>
      <c r="AX19" s="36">
        <f>IF(D19="PERIMETRAL",MAX(0,0),0)</f>
        <v>0</v>
      </c>
      <c r="AY19" s="52" t="str">
        <f>IF(D19&lt;&gt;"PERIMETRAL","",IF(AND(OR(APOYOS!$G$72="CONTINUO",APOYOS!$G$63="CONTINUO"),AQ19&gt;0,AP17&gt;0,ABS(AQ19-AP17)&gt;0.5*MIN(AQ19,AP17))," F80010","")&amp;IF(AND(OR(APOYOS!$G$72="CONTINUO",APOYOS!$G$79="CONTINUO"),AQ19&gt;0,AP21&gt;0,ABS(AQ19-AP21)&gt;0.5*MIN(AQ19,AP21))," F80014",""))</f>
        <v/>
      </c>
      <c r="AZ19" s="52" t="str">
        <f>IF(D19&lt;&gt;"PERIMETRAL","—",IF(AY19="","CUMPLE","FUERA con"&amp;AY19)&amp;IF(AND(D17="PERIMETRAL",APOYOS!$G$72&lt;&gt;APOYOS!$G$63)," · continuidad asimétrica con F80010 (cada uno con su momento; revisar APOYOS)","")&amp;IF(AND(D21="PERIMETRAL",APOYOS!$G$72&lt;&gt;APOYOS!$G$79)," · continuidad asimétrica con F80014 (cada uno con su momento; revisar APOYOS)",""))</f>
        <v>—</v>
      </c>
      <c r="BA19" s="61" t="n">
        <v>333.7</v>
      </c>
      <c r="BB19" s="36">
        <f>IF(D19="PERIMETRAL",AL19*Y19*J19^2*1E-4*DATOS!$C$16/100/1000+AV19,0)</f>
        <v>0</v>
      </c>
      <c r="BC19" s="36">
        <f>IF(D19="PERIMETRAL",MAX(MAX(AH19,AJ19)*Y19*J19^2*1E-4*DATOS!$C$16/100/1000,AT19),IF(D19="VOLADO",(Y19*(N19/100)^2/2+DATOS!$C$55*BA19*N19/100)*DATOS!$C$16/100/1000,0))</f>
        <v>1.80341844375</v>
      </c>
      <c r="BD19" s="36">
        <f>IF(D19="PERIMETRAL",AM19*Y19*J19^2*1E-4*DATOS!$C$16/100/1000+AW19,0)</f>
        <v>0</v>
      </c>
      <c r="BE19" s="36">
        <f>IF(D19="PERIMETRAL",MAX(MAX(AI19,AK19)*Y19*J19^2*1E-4*DATOS!$C$16/100/1000,AU19),0)</f>
        <v>0</v>
      </c>
      <c r="BF19" s="43">
        <f>(DATOS!$C$15-R19-IF(DATOS!$C$25=0,0,INDEX(TABLAS!$C$52:$C$58,MATCH(DATOS!$C$25,TABLAS!$B$52:$B$58,0)))-INDEX(TABLAS!$C$52:$C$58,MATCH(DATOS!$C$26,TABLAS!$B$52:$B$58,0))/2)</f>
        <v>20.365</v>
      </c>
      <c r="BG19" s="43">
        <f>IF(D19="HUECO",0,IF(IF(BB19&lt;=0,0,IF((1-2*BB19*1E5/(DATOS!$C$58*P19*BF19^2*DATOS!$C$48))&lt;0,-1,IF((1-SQRT((1-2*BB19*1E5/(DATOS!$C$58*P19*BF19^2*DATOS!$C$48))))*DATOS!$C$48*P19*BF19/DATOS!$C$40&gt;DATOS!$C$82*P19*BF19,-1,(1-SQRT((1-2*BB19*1E5/(DATOS!$C$58*P19*BF19^2*DATOS!$C$48))))*DATOS!$C$48*P19*BF19/DATOS!$C$40)))&lt;0,-1,MAX(IF(BB19&lt;=0,0,IF((1-2*BB19*1E5/(DATOS!$C$58*P19*BF19^2*DATOS!$C$48))&lt;0,-1,IF((1-SQRT((1-2*BB19*1E5/(DATOS!$C$58*P19*BF19^2*DATOS!$C$48))))*DATOS!$C$48*P19*BF19/DATOS!$C$40&gt;DATOS!$C$82*P19*BF19,-1,(1-SQRT((1-2*BB19*1E5/(DATOS!$C$58*P19*BF19^2*DATOS!$C$48))))*DATOS!$C$48*P19*BF19/DATOS!$C$40))),MIN(DATOS!$C$83*DATOS!$C$13*BF19,4/3*IF(BB19&lt;=0,0,IF((1-2*BB19*1E5/(DATOS!$C$58*P19*BF19^2*DATOS!$C$48))&lt;0,-1,IF((1-SQRT((1-2*BB19*1E5/(DATOS!$C$58*P19*BF19^2*DATOS!$C$48))))*DATOS!$C$48*P19*BF19/DATOS!$C$40&gt;DATOS!$C$82*P19*BF19,-1,(1-SQRT((1-2*BB19*1E5/(DATOS!$C$58*P19*BF19^2*DATOS!$C$48))))*DATOS!$C$48*P19*BF19/DATOS!$C$40)))))))</f>
        <v>0</v>
      </c>
      <c r="BH19" s="41">
        <f>IF(AND(BG19&gt;=0,IF(MAX(DATOS!$C$29,CEILING(BG19/INDEX(TABLAS!$D$52:$D$58,MIN(MATCH(DATOS!$C$26,TABLAS!$B$52:$B$58,0)+0,7)),1))*INDEX(TABLAS!$D$52:$D$58,MIN(MATCH(DATOS!$C$26,TABLAS!$B$52:$B$58,0)+0,7))&gt;=4/3*IF(BB19&lt;=0,0,IF((1-2*BB19*1E5/(DATOS!$C$58*P19*BF19^2*DATOS!$C$48))&lt;0,-1,IF((1-SQRT((1-2*BB19*1E5/(DATOS!$C$58*P19*BF19^2*DATOS!$C$48))))*DATOS!$C$48*P19*BF19/DATOS!$C$40&gt;DATOS!$C$82*P19*BF19,-1,(1-SQRT((1-2*BB19*1E5/(DATOS!$C$58*P19*BF19^2*DATOS!$C$48))))*DATOS!$C$48*P19*BF19/DATOS!$C$40)))-0.0001,MAX(DATOS!$C$29,CEILING(BG19/INDEX(TABLAS!$D$52:$D$58,MIN(MATCH(DATOS!$C$26,TABLAS!$B$52:$B$58,0)+0,7)),1)),MAX(MAX(DATOS!$C$29,CEILING(BG19/INDEX(TABLAS!$D$52:$D$58,MIN(MATCH(DATOS!$C$26,TABLAS!$B$52:$B$58,0)+0,7)),1)),2))&lt;=MIN(DATOS!$C$28,INT(((DATOS!$C$13-2*R19-2*IF(DATOS!$C$25=0,0,INDEX(TABLAS!$C$52:$C$58,MATCH(DATOS!$C$25,TABLAS!$B$52:$B$58,0))))+MAX(DATOS!$C$32,INDEX(TABLAS!$C$52:$C$58,MIN(MATCH(DATOS!$C$26,TABLAS!$B$52:$B$58,0)+0,7))))/(INDEX(TABLAS!$C$52:$C$58,MIN(MATCH(DATOS!$C$26,TABLAS!$B$52:$B$58,0)+0,7))+MAX(DATOS!$C$32,INDEX(TABLAS!$C$52:$C$58,MIN(MATCH(DATOS!$C$26,TABLAS!$B$52:$B$58,0)+0,7))))))),INDEX(TABLAS!$B$52:$B$58,MIN(MATCH(DATOS!$C$26,TABLAS!$B$52:$B$58,0)+0,7)),IF(AND(BG19&gt;=0,IF(MAX(DATOS!$C$29,CEILING(BG19/INDEX(TABLAS!$D$52:$D$58,MIN(MATCH(DATOS!$C$26,TABLAS!$B$52:$B$58,0)+1,7)),1))*INDEX(TABLAS!$D$52:$D$58,MIN(MATCH(DATOS!$C$26,TABLAS!$B$52:$B$58,0)+1,7))&gt;=4/3*IF(BB19&lt;=0,0,IF((1-2*BB19*1E5/(DATOS!$C$58*P19*BF19^2*DATOS!$C$48))&lt;0,-1,IF((1-SQRT((1-2*BB19*1E5/(DATOS!$C$58*P19*BF19^2*DATOS!$C$48))))*DATOS!$C$48*P19*BF19/DATOS!$C$40&gt;DATOS!$C$82*P19*BF19,-1,(1-SQRT((1-2*BB19*1E5/(DATOS!$C$58*P19*BF19^2*DATOS!$C$48))))*DATOS!$C$48*P19*BF19/DATOS!$C$40)))-0.0001,MAX(DATOS!$C$29,CEILING(BG19/INDEX(TABLAS!$D$52:$D$58,MIN(MATCH(DATOS!$C$26,TABLAS!$B$52:$B$58,0)+1,7)),1)),MAX(MAX(DATOS!$C$29,CEILING(BG19/INDEX(TABLAS!$D$52:$D$58,MIN(MATCH(DATOS!$C$26,TABLAS!$B$52:$B$58,0)+1,7)),1)),2))&lt;=MIN(DATOS!$C$28,INT(((DATOS!$C$13-2*R19-2*IF(DATOS!$C$25=0,0,INDEX(TABLAS!$C$52:$C$58,MATCH(DATOS!$C$25,TABLAS!$B$52:$B$58,0))))+MAX(DATOS!$C$32,INDEX(TABLAS!$C$52:$C$58,MIN(MATCH(DATOS!$C$26,TABLAS!$B$52:$B$58,0)+1,7))))/(INDEX(TABLAS!$C$52:$C$58,MIN(MATCH(DATOS!$C$26,TABLAS!$B$52:$B$58,0)+1,7))+MAX(DATOS!$C$32,INDEX(TABLAS!$C$52:$C$58,MIN(MATCH(DATOS!$C$26,TABLAS!$B$52:$B$58,0)+1,7))))))),INDEX(TABLAS!$B$52:$B$58,MIN(MATCH(DATOS!$C$26,TABLAS!$B$52:$B$58,0)+1,7)),IF(AND(BG19&gt;=0,IF(MAX(DATOS!$C$29,CEILING(BG19/INDEX(TABLAS!$D$52:$D$58,MIN(MATCH(DATOS!$C$26,TABLAS!$B$52:$B$58,0)+2,7)),1))*INDEX(TABLAS!$D$52:$D$58,MIN(MATCH(DATOS!$C$26,TABLAS!$B$52:$B$58,0)+2,7))&gt;=4/3*IF(BB19&lt;=0,0,IF((1-2*BB19*1E5/(DATOS!$C$58*P19*BF19^2*DATOS!$C$48))&lt;0,-1,IF((1-SQRT((1-2*BB19*1E5/(DATOS!$C$58*P19*BF19^2*DATOS!$C$48))))*DATOS!$C$48*P19*BF19/DATOS!$C$40&gt;DATOS!$C$82*P19*BF19,-1,(1-SQRT((1-2*BB19*1E5/(DATOS!$C$58*P19*BF19^2*DATOS!$C$48))))*DATOS!$C$48*P19*BF19/DATOS!$C$40)))-0.0001,MAX(DATOS!$C$29,CEILING(BG19/INDEX(TABLAS!$D$52:$D$58,MIN(MATCH(DATOS!$C$26,TABLAS!$B$52:$B$58,0)+2,7)),1)),MAX(MAX(DATOS!$C$29,CEILING(BG19/INDEX(TABLAS!$D$52:$D$58,MIN(MATCH(DATOS!$C$26,TABLAS!$B$52:$B$58,0)+2,7)),1)),2))&lt;=MIN(DATOS!$C$28,INT(((DATOS!$C$13-2*R19-2*IF(DATOS!$C$25=0,0,INDEX(TABLAS!$C$52:$C$58,MATCH(DATOS!$C$25,TABLAS!$B$52:$B$58,0))))+MAX(DATOS!$C$32,INDEX(TABLAS!$C$52:$C$58,MIN(MATCH(DATOS!$C$26,TABLAS!$B$52:$B$58,0)+2,7))))/(INDEX(TABLAS!$C$52:$C$58,MIN(MATCH(DATOS!$C$26,TABLAS!$B$52:$B$58,0)+2,7))+MAX(DATOS!$C$32,INDEX(TABLAS!$C$52:$C$58,MIN(MATCH(DATOS!$C$26,TABLAS!$B$52:$B$58,0)+2,7))))))),INDEX(TABLAS!$B$52:$B$58,MIN(MATCH(DATOS!$C$26,TABLAS!$B$52:$B$58,0)+2,7)),IF(AND(BG19&gt;=0,IF(MAX(DATOS!$C$29,CEILING(BG19/INDEX(TABLAS!$D$52:$D$58,MIN(MATCH(DATOS!$C$26,TABLAS!$B$52:$B$58,0)+3,7)),1))*INDEX(TABLAS!$D$52:$D$58,MIN(MATCH(DATOS!$C$26,TABLAS!$B$52:$B$58,0)+3,7))&gt;=4/3*IF(BB19&lt;=0,0,IF((1-2*BB19*1E5/(DATOS!$C$58*P19*BF19^2*DATOS!$C$48))&lt;0,-1,IF((1-SQRT((1-2*BB19*1E5/(DATOS!$C$58*P19*BF19^2*DATOS!$C$48))))*DATOS!$C$48*P19*BF19/DATOS!$C$40&gt;DATOS!$C$82*P19*BF19,-1,(1-SQRT((1-2*BB19*1E5/(DATOS!$C$58*P19*BF19^2*DATOS!$C$48))))*DATOS!$C$48*P19*BF19/DATOS!$C$40)))-0.0001,MAX(DATOS!$C$29,CEILING(BG19/INDEX(TABLAS!$D$52:$D$58,MIN(MATCH(DATOS!$C$26,TABLAS!$B$52:$B$58,0)+3,7)),1)),MAX(MAX(DATOS!$C$29,CEILING(BG19/INDEX(TABLAS!$D$52:$D$58,MIN(MATCH(DATOS!$C$26,TABLAS!$B$52:$B$58,0)+3,7)),1)),2))&lt;=MIN(DATOS!$C$28,INT(((DATOS!$C$13-2*R19-2*IF(DATOS!$C$25=0,0,INDEX(TABLAS!$C$52:$C$58,MATCH(DATOS!$C$25,TABLAS!$B$52:$B$58,0))))+MAX(DATOS!$C$32,INDEX(TABLAS!$C$52:$C$58,MIN(MATCH(DATOS!$C$26,TABLAS!$B$52:$B$58,0)+3,7))))/(INDEX(TABLAS!$C$52:$C$58,MIN(MATCH(DATOS!$C$26,TABLAS!$B$52:$B$58,0)+3,7))+MAX(DATOS!$C$32,INDEX(TABLAS!$C$52:$C$58,MIN(MATCH(DATOS!$C$26,TABLAS!$B$52:$B$58,0)+3,7))))))),INDEX(TABLAS!$B$52:$B$58,MIN(MATCH(DATOS!$C$26,TABLAS!$B$52:$B$58,0)+3,7)),IF(AND(BG19&gt;=0,IF(MAX(DATOS!$C$29,CEILING(BG19/INDEX(TABLAS!$D$52:$D$58,MIN(MATCH(DATOS!$C$26,TABLAS!$B$52:$B$58,0)+4,7)),1))*INDEX(TABLAS!$D$52:$D$58,MIN(MATCH(DATOS!$C$26,TABLAS!$B$52:$B$58,0)+4,7))&gt;=4/3*IF(BB19&lt;=0,0,IF((1-2*BB19*1E5/(DATOS!$C$58*P19*BF19^2*DATOS!$C$48))&lt;0,-1,IF((1-SQRT((1-2*BB19*1E5/(DATOS!$C$58*P19*BF19^2*DATOS!$C$48))))*DATOS!$C$48*P19*BF19/DATOS!$C$40&gt;DATOS!$C$82*P19*BF19,-1,(1-SQRT((1-2*BB19*1E5/(DATOS!$C$58*P19*BF19^2*DATOS!$C$48))))*DATOS!$C$48*P19*BF19/DATOS!$C$40)))-0.0001,MAX(DATOS!$C$29,CEILING(BG19/INDEX(TABLAS!$D$52:$D$58,MIN(MATCH(DATOS!$C$26,TABLAS!$B$52:$B$58,0)+4,7)),1)),MAX(MAX(DATOS!$C$29,CEILING(BG19/INDEX(TABLAS!$D$52:$D$58,MIN(MATCH(DATOS!$C$26,TABLAS!$B$52:$B$58,0)+4,7)),1)),2))&lt;=MIN(DATOS!$C$28,INT(((DATOS!$C$13-2*R19-2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19" s="56">
        <f>IF(D19="HUECO",0,IF(BG19&lt;0,0,IF(MAX(DATOS!$C$29,CEILING(MAX(BG19,0)/INDEX(TABLAS!$D$52:$D$58,MATCH(BH19,TABLAS!$B$52:$B$58,0)),1))*INDEX(TABLAS!$D$52:$D$58,MATCH(BH19,TABLAS!$B$52:$B$58,0))&gt;=4/3*IF(BB19&lt;=0,0,IF((1-2*BB19*1E5/(DATOS!$C$58*P19*BF19^2*DATOS!$C$48))&lt;0,-1,IF((1-SQRT((1-2*BB19*1E5/(DATOS!$C$58*P19*BF19^2*DATOS!$C$48))))*DATOS!$C$48*P19*BF19/DATOS!$C$40&gt;DATOS!$C$82*P19*BF19,-1,(1-SQRT((1-2*BB19*1E5/(DATOS!$C$58*P19*BF19^2*DATOS!$C$48))))*DATOS!$C$48*P19*BF19/DATOS!$C$40)))-0.0001,MAX(DATOS!$C$29,CEILING(MAX(BG19,0)/INDEX(TABLAS!$D$52:$D$58,MATCH(BH19,TABLAS!$B$52:$B$58,0)),1)),MAX(MAX(DATOS!$C$29,CEILING(MAX(BG19,0)/INDEX(TABLAS!$D$52:$D$58,MATCH(BH19,TABLAS!$B$52:$B$58,0)),1)),2))))</f>
        <v>1</v>
      </c>
      <c r="BJ19" s="43">
        <f>DATOS!$C$15-R19-IF(DATOS!$C$25=0,0,INDEX(TABLAS!$C$52:$C$58,MATCH(DATOS!$C$25,TABLAS!$B$52:$B$58,0)))-INDEX(TABLAS!$C$52:$C$58,MATCH(BH19,TABLAS!$B$52:$B$58,0))/2</f>
        <v>20.365</v>
      </c>
      <c r="BK19" s="36">
        <f>IF(BI19=0,0,DATOS!$C$58*BI19*INDEX(TABLAS!$D$52:$D$58,MATCH(BH19,TABLAS!$B$52:$B$58,0))*DATOS!$C$40*(BJ19-BI19*INDEX(TABLAS!$D$52:$D$58,MATCH(BH19,TABLAS!$B$52:$B$58,0))*DATOS!$C$40/(DATOS!$C$48*P19)/2)/1E5)</f>
        <v>0.967276537719165</v>
      </c>
      <c r="BL19" s="62">
        <f>IF(BG19&lt;0,9.99,IF(BK19&gt;0,BB19/BK19,0))</f>
        <v>0</v>
      </c>
      <c r="BM19" s="63">
        <f>IF(BI19=0,"—",0.003*(BJ19-(BI19*INDEX(TABLAS!$D$52:$D$58,MATCH(BH19,TABLAS!$B$52:$B$58,0))*DATOS!$C$40/(DATOS!$C$48*P19)/DATOS!$C$49))/(BI19*INDEX(TABLAS!$D$52:$D$58,MATCH(BH19,TABLAS!$B$52:$B$58,0))*DATOS!$C$40/(DATOS!$C$48*P19)/DATOS!$C$49))</f>
        <v>0.117252325514975</v>
      </c>
      <c r="BN19" s="43">
        <f>((DATOS!$C$15-S19-2*DATOS!$C$35-IF(DATOS!$C$25=0,0,INDEX(TABLAS!$C$52:$C$58,MATCH(DATOS!$C$25,TABLAS!$B$52:$B$58,0)))-INDEX(TABLAS!$C$52:$C$58,MATCH(DATOS!$C$27,TABLAS!$B$52:$B$58,0))/2)-IF(AND((DATOS!$C$15-S19-2*DATOS!$C$35-IF(DATOS!$C$25=0,0,INDEX(TABLAS!$C$52:$C$58,MATCH(DATOS!$C$25,TABLAS!$B$52:$B$58,0)))-INDEX(TABLAS!$C$52:$C$58,MATCH(DATOS!$C$27,TABLAS!$B$52:$B$58,0))/2)&lt;=20,DATOS!$C$18&lt;&gt;"SÍ"),2,0))</f>
        <v>19.389</v>
      </c>
      <c r="BO19" s="43">
        <f>IF(D19="HUECO",0,IF(IF(BC19&lt;=0,0,IF((1-2*BC19*1E5/(DATOS!$C$58*DATOS!$C$19*BN19^2*DATOS!$C$48))&lt;0,-1,IF((1-SQRT((1-2*BC19*1E5/(DATOS!$C$58*DATOS!$C$19*BN19^2*DATOS!$C$48))))*DATOS!$C$48*DATOS!$C$19*BN19/DATOS!$C$40&gt;DATOS!$C$82*DATOS!$C$19*BN19,-1,(1-SQRT((1-2*BC19*1E5/(DATOS!$C$58*DATOS!$C$19*BN19^2*DATOS!$C$48))))*DATOS!$C$48*DATOS!$C$19*BN19/DATOS!$C$40)))&lt;0,-1,MAX(IF(BC19&lt;=0,0,IF((1-2*BC19*1E5/(DATOS!$C$58*DATOS!$C$19*BN19^2*DATOS!$C$48))&lt;0,-1,IF((1-SQRT((1-2*BC19*1E5/(DATOS!$C$58*DATOS!$C$19*BN19^2*DATOS!$C$48))))*DATOS!$C$48*DATOS!$C$19*BN19/DATOS!$C$40&gt;DATOS!$C$82*DATOS!$C$19*BN19,-1,(1-SQRT((1-2*BC19*1E5/(DATOS!$C$58*DATOS!$C$19*BN19^2*DATOS!$C$48))))*DATOS!$C$48*DATOS!$C$19*BN19/DATOS!$C$40))),MIN(DATOS!$C$83*IF(D19="VOLADO",2*DATOS!$C$13,DATOS!$C$13)*BN19,4/3*IF(BC19&lt;=0,0,IF((1-2*BC19*1E5/(DATOS!$C$58*DATOS!$C$19*BN19^2*DATOS!$C$48))&lt;0,-1,IF((1-SQRT((1-2*BC19*1E5/(DATOS!$C$58*DATOS!$C$19*BN19^2*DATOS!$C$48))))*DATOS!$C$48*DATOS!$C$19*BN19/DATOS!$C$40&gt;DATOS!$C$82*DATOS!$C$19*BN19,-1,(1-SQRT((1-2*BC19*1E5/(DATOS!$C$58*DATOS!$C$19*BN19^2*DATOS!$C$48))))*DATOS!$C$48*DATOS!$C$19*BN19/DATOS!$C$40)))))))</f>
        <v>2.8848189782902</v>
      </c>
      <c r="BP19" s="41">
        <f>IF(AND(BO19&gt;=0,IF(MAX(DATOS!$C$29,CEILING(BO19/INDEX(TABLAS!$D$52:$D$58,MIN(MATCH(DATOS!$C$27,TABLAS!$B$52:$B$58,0)+0,7)),1))*INDEX(TABLAS!$D$52:$D$58,MIN(MATCH(DATOS!$C$27,TABLAS!$B$52:$B$58,0)+0,7))&gt;=4/3*IF(BC19&lt;=0,0,IF((1-2*BC19*1E5/(DATOS!$C$58*DATOS!$C$19*BN19^2*DATOS!$C$48))&lt;0,-1,IF((1-SQRT((1-2*BC19*1E5/(DATOS!$C$58*DATOS!$C$19*BN19^2*DATOS!$C$48))))*DATOS!$C$48*DATOS!$C$19*BN19/DATOS!$C$40&gt;DATOS!$C$82*DATOS!$C$19*BN19,-1,(1-SQRT((1-2*BC19*1E5/(DATOS!$C$58*DATOS!$C$19*BN19^2*DATOS!$C$48))))*DATOS!$C$48*DATOS!$C$19*BN19/DATOS!$C$40)))-0.0001,MAX(DATOS!$C$29,CEILING(BO19/INDEX(TABLAS!$D$52:$D$58,MIN(MATCH(DATOS!$C$27,TABLAS!$B$52:$B$58,0)+0,7)),1)),MAX(MAX(DATOS!$C$29,CEILING(BO19/INDEX(TABLAS!$D$52:$D$58,MIN(MATCH(DATOS!$C$27,TABLAS!$B$52:$B$58,0)+0,7)),1)),2))&lt;=MIN(DATOS!$C$28,INT(((DATOS!$C$13-2*S19-2*IF(DATOS!$C$25=0,0,INDEX(TABLAS!$C$52:$C$58,MATCH(DATOS!$C$25,TABLAS!$B$52:$B$58,0))))+MAX(DATOS!$C$32,INDEX(TABLAS!$C$52:$C$58,MIN(MATCH(DATOS!$C$27,TABLAS!$B$52:$B$58,0)+0,7))))/(INDEX(TABLAS!$C$52:$C$58,MIN(MATCH(DATOS!$C$27,TABLAS!$B$52:$B$58,0)+0,7))+MAX(DATOS!$C$32,INDEX(TABLAS!$C$52:$C$58,MIN(MATCH(DATOS!$C$27,TABLAS!$B$52:$B$58,0)+0,7))))))),INDEX(TABLAS!$B$52:$B$58,MIN(MATCH(DATOS!$C$27,TABLAS!$B$52:$B$58,0)+0,7)),IF(AND(BO19&gt;=0,IF(MAX(DATOS!$C$29,CEILING(BO19/INDEX(TABLAS!$D$52:$D$58,MIN(MATCH(DATOS!$C$27,TABLAS!$B$52:$B$58,0)+1,7)),1))*INDEX(TABLAS!$D$52:$D$58,MIN(MATCH(DATOS!$C$27,TABLAS!$B$52:$B$58,0)+1,7))&gt;=4/3*IF(BC19&lt;=0,0,IF((1-2*BC19*1E5/(DATOS!$C$58*DATOS!$C$19*BN19^2*DATOS!$C$48))&lt;0,-1,IF((1-SQRT((1-2*BC19*1E5/(DATOS!$C$58*DATOS!$C$19*BN19^2*DATOS!$C$48))))*DATOS!$C$48*DATOS!$C$19*BN19/DATOS!$C$40&gt;DATOS!$C$82*DATOS!$C$19*BN19,-1,(1-SQRT((1-2*BC19*1E5/(DATOS!$C$58*DATOS!$C$19*BN19^2*DATOS!$C$48))))*DATOS!$C$48*DATOS!$C$19*BN19/DATOS!$C$40)))-0.0001,MAX(DATOS!$C$29,CEILING(BO19/INDEX(TABLAS!$D$52:$D$58,MIN(MATCH(DATOS!$C$27,TABLAS!$B$52:$B$58,0)+1,7)),1)),MAX(MAX(DATOS!$C$29,CEILING(BO19/INDEX(TABLAS!$D$52:$D$58,MIN(MATCH(DATOS!$C$27,TABLAS!$B$52:$B$58,0)+1,7)),1)),2))&lt;=MIN(DATOS!$C$28,INT(((DATOS!$C$13-2*S19-2*IF(DATOS!$C$25=0,0,INDEX(TABLAS!$C$52:$C$58,MATCH(DATOS!$C$25,TABLAS!$B$52:$B$58,0))))+MAX(DATOS!$C$32,INDEX(TABLAS!$C$52:$C$58,MIN(MATCH(DATOS!$C$27,TABLAS!$B$52:$B$58,0)+1,7))))/(INDEX(TABLAS!$C$52:$C$58,MIN(MATCH(DATOS!$C$27,TABLAS!$B$52:$B$58,0)+1,7))+MAX(DATOS!$C$32,INDEX(TABLAS!$C$52:$C$58,MIN(MATCH(DATOS!$C$27,TABLAS!$B$52:$B$58,0)+1,7))))))),INDEX(TABLAS!$B$52:$B$58,MIN(MATCH(DATOS!$C$27,TABLAS!$B$52:$B$58,0)+1,7)),IF(AND(BO19&gt;=0,IF(MAX(DATOS!$C$29,CEILING(BO19/INDEX(TABLAS!$D$52:$D$58,MIN(MATCH(DATOS!$C$27,TABLAS!$B$52:$B$58,0)+2,7)),1))*INDEX(TABLAS!$D$52:$D$58,MIN(MATCH(DATOS!$C$27,TABLAS!$B$52:$B$58,0)+2,7))&gt;=4/3*IF(BC19&lt;=0,0,IF((1-2*BC19*1E5/(DATOS!$C$58*DATOS!$C$19*BN19^2*DATOS!$C$48))&lt;0,-1,IF((1-SQRT((1-2*BC19*1E5/(DATOS!$C$58*DATOS!$C$19*BN19^2*DATOS!$C$48))))*DATOS!$C$48*DATOS!$C$19*BN19/DATOS!$C$40&gt;DATOS!$C$82*DATOS!$C$19*BN19,-1,(1-SQRT((1-2*BC19*1E5/(DATOS!$C$58*DATOS!$C$19*BN19^2*DATOS!$C$48))))*DATOS!$C$48*DATOS!$C$19*BN19/DATOS!$C$40)))-0.0001,MAX(DATOS!$C$29,CEILING(BO19/INDEX(TABLAS!$D$52:$D$58,MIN(MATCH(DATOS!$C$27,TABLAS!$B$52:$B$58,0)+2,7)),1)),MAX(MAX(DATOS!$C$29,CEILING(BO19/INDEX(TABLAS!$D$52:$D$58,MIN(MATCH(DATOS!$C$27,TABLAS!$B$52:$B$58,0)+2,7)),1)),2))&lt;=MIN(DATOS!$C$28,INT(((DATOS!$C$13-2*S19-2*IF(DATOS!$C$25=0,0,INDEX(TABLAS!$C$52:$C$58,MATCH(DATOS!$C$25,TABLAS!$B$52:$B$58,0))))+MAX(DATOS!$C$32,INDEX(TABLAS!$C$52:$C$58,MIN(MATCH(DATOS!$C$27,TABLAS!$B$52:$B$58,0)+2,7))))/(INDEX(TABLAS!$C$52:$C$58,MIN(MATCH(DATOS!$C$27,TABLAS!$B$52:$B$58,0)+2,7))+MAX(DATOS!$C$32,INDEX(TABLAS!$C$52:$C$58,MIN(MATCH(DATOS!$C$27,TABLAS!$B$52:$B$58,0)+2,7))))))),INDEX(TABLAS!$B$52:$B$58,MIN(MATCH(DATOS!$C$27,TABLAS!$B$52:$B$58,0)+2,7)),IF(AND(BO19&gt;=0,IF(MAX(DATOS!$C$29,CEILING(BO19/INDEX(TABLAS!$D$52:$D$58,MIN(MATCH(DATOS!$C$27,TABLAS!$B$52:$B$58,0)+3,7)),1))*INDEX(TABLAS!$D$52:$D$58,MIN(MATCH(DATOS!$C$27,TABLAS!$B$52:$B$58,0)+3,7))&gt;=4/3*IF(BC19&lt;=0,0,IF((1-2*BC19*1E5/(DATOS!$C$58*DATOS!$C$19*BN19^2*DATOS!$C$48))&lt;0,-1,IF((1-SQRT((1-2*BC19*1E5/(DATOS!$C$58*DATOS!$C$19*BN19^2*DATOS!$C$48))))*DATOS!$C$48*DATOS!$C$19*BN19/DATOS!$C$40&gt;DATOS!$C$82*DATOS!$C$19*BN19,-1,(1-SQRT((1-2*BC19*1E5/(DATOS!$C$58*DATOS!$C$19*BN19^2*DATOS!$C$48))))*DATOS!$C$48*DATOS!$C$19*BN19/DATOS!$C$40)))-0.0001,MAX(DATOS!$C$29,CEILING(BO19/INDEX(TABLAS!$D$52:$D$58,MIN(MATCH(DATOS!$C$27,TABLAS!$B$52:$B$58,0)+3,7)),1)),MAX(MAX(DATOS!$C$29,CEILING(BO19/INDEX(TABLAS!$D$52:$D$58,MIN(MATCH(DATOS!$C$27,TABLAS!$B$52:$B$58,0)+3,7)),1)),2))&lt;=MIN(DATOS!$C$28,INT(((DATOS!$C$13-2*S19-2*IF(DATOS!$C$25=0,0,INDEX(TABLAS!$C$52:$C$58,MATCH(DATOS!$C$25,TABLAS!$B$52:$B$58,0))))+MAX(DATOS!$C$32,INDEX(TABLAS!$C$52:$C$58,MIN(MATCH(DATOS!$C$27,TABLAS!$B$52:$B$58,0)+3,7))))/(INDEX(TABLAS!$C$52:$C$58,MIN(MATCH(DATOS!$C$27,TABLAS!$B$52:$B$58,0)+3,7))+MAX(DATOS!$C$32,INDEX(TABLAS!$C$52:$C$58,MIN(MATCH(DATOS!$C$27,TABLAS!$B$52:$B$58,0)+3,7))))))),INDEX(TABLAS!$B$52:$B$58,MIN(MATCH(DATOS!$C$27,TABLAS!$B$52:$B$58,0)+3,7)),IF(AND(BO19&gt;=0,IF(MAX(DATOS!$C$29,CEILING(BO19/INDEX(TABLAS!$D$52:$D$58,MIN(MATCH(DATOS!$C$27,TABLAS!$B$52:$B$58,0)+4,7)),1))*INDEX(TABLAS!$D$52:$D$58,MIN(MATCH(DATOS!$C$27,TABLAS!$B$52:$B$58,0)+4,7))&gt;=4/3*IF(BC19&lt;=0,0,IF((1-2*BC19*1E5/(DATOS!$C$58*DATOS!$C$19*BN19^2*DATOS!$C$48))&lt;0,-1,IF((1-SQRT((1-2*BC19*1E5/(DATOS!$C$58*DATOS!$C$19*BN19^2*DATOS!$C$48))))*DATOS!$C$48*DATOS!$C$19*BN19/DATOS!$C$40&gt;DATOS!$C$82*DATOS!$C$19*BN19,-1,(1-SQRT((1-2*BC19*1E5/(DATOS!$C$58*DATOS!$C$19*BN19^2*DATOS!$C$48))))*DATOS!$C$48*DATOS!$C$19*BN19/DATOS!$C$40)))-0.0001,MAX(DATOS!$C$29,CEILING(BO19/INDEX(TABLAS!$D$52:$D$58,MIN(MATCH(DATOS!$C$27,TABLAS!$B$52:$B$58,0)+4,7)),1)),MAX(MAX(DATOS!$C$29,CEILING(BO19/INDEX(TABLAS!$D$52:$D$58,MIN(MATCH(DATOS!$C$27,TABLAS!$B$52:$B$58,0)+4,7)),1)),2))&lt;=MIN(DATOS!$C$28,INT(((DATOS!$C$13-2*S19-2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8</v>
      </c>
      <c r="BQ19" s="56">
        <f>IF(D19="HUECO",0,IF(BO19&lt;0,0,IF(MAX(DATOS!$C$29,CEILING(MAX(BO19,0)/INDEX(TABLAS!$D$52:$D$58,MATCH(BP19,TABLAS!$B$52:$B$58,0)),1))*INDEX(TABLAS!$D$52:$D$58,MATCH(BP19,TABLAS!$B$52:$B$58,0))&gt;=4/3*IF(BC19&lt;=0,0,IF((1-2*BC19*1E5/(DATOS!$C$58*DATOS!$C$19*BN19^2*DATOS!$C$48))&lt;0,-1,IF((1-SQRT((1-2*BC19*1E5/(DATOS!$C$58*DATOS!$C$19*BN19^2*DATOS!$C$48))))*DATOS!$C$48*DATOS!$C$19*BN19/DATOS!$C$40&gt;DATOS!$C$82*DATOS!$C$19*BN19,-1,(1-SQRT((1-2*BC19*1E5/(DATOS!$C$58*DATOS!$C$19*BN19^2*DATOS!$C$48))))*DATOS!$C$48*DATOS!$C$19*BN19/DATOS!$C$40)))-0.0001,MAX(DATOS!$C$29,CEILING(MAX(BO19,0)/INDEX(TABLAS!$D$52:$D$58,MATCH(BP19,TABLAS!$B$52:$B$58,0)),1)),MAX(MAX(DATOS!$C$29,CEILING(MAX(BO19,0)/INDEX(TABLAS!$D$52:$D$58,MATCH(BP19,TABLAS!$B$52:$B$58,0)),1)),2))))</f>
        <v>1</v>
      </c>
      <c r="BR19" s="43">
        <f>((DATOS!$C$15-S19-2*DATOS!$C$35-IF(DATOS!$C$25=0,0,INDEX(TABLAS!$C$52:$C$58,MATCH(DATOS!$C$25,TABLAS!$B$52:$B$58,0)))-INDEX(TABLAS!$C$52:$C$58,MATCH(BP19,TABLAS!$B$52:$B$58,0))/2)-IF(AND((DATOS!$C$15-S19-2*DATOS!$C$35-IF(DATOS!$C$25=0,0,INDEX(TABLAS!$C$52:$C$58,MATCH(DATOS!$C$25,TABLAS!$B$52:$B$58,0)))-INDEX(TABLAS!$C$52:$C$58,MATCH(BP19,TABLAS!$B$52:$B$58,0))/2)&lt;=20,DATOS!$C$18&lt;&gt;"SÍ"),2,0))</f>
        <v>18.754</v>
      </c>
      <c r="BS19" s="36">
        <f>IF(BQ19=0,0,DATOS!$C$58*BQ19*INDEX(TABLAS!$D$52:$D$58,MATCH(BP19,TABLAS!$B$52:$B$58,0))*DATOS!$C$40*(BR19-BQ19*INDEX(TABLAS!$D$52:$D$58,MATCH(BP19,TABLAS!$B$52:$B$58,0))*DATOS!$C$40/(DATOS!$C$48*DATOS!$C$19)/2)/1E5)</f>
        <v>2.63391498423529</v>
      </c>
      <c r="BT19" s="62">
        <f>IF(BO19&lt;0,9.99,IF(BS19&gt;0,BC19/BS19,0))</f>
        <v>0.684691212337511</v>
      </c>
      <c r="BU19" s="63">
        <f>IF(BQ19=0,"—",0.003*(BR19-(BQ19*INDEX(TABLAS!$D$52:$D$58,MATCH(BP19,TABLAS!$B$52:$B$58,0))*DATOS!$C$40/(DATOS!$C$48*DATOS!$C$19)/DATOS!$C$49))/(BQ19*INDEX(TABLAS!$D$52:$D$58,MATCH(BP19,TABLAS!$B$52:$B$58,0))*DATOS!$C$40/(DATOS!$C$48*DATOS!$C$19)/DATOS!$C$49))</f>
        <v>0.00177238834883066</v>
      </c>
      <c r="BV19" s="43">
        <f>(DATOS!$C$15-R19-IF(DATOS!$C$25=0,0,INDEX(TABLAS!$C$52:$C$58,MATCH(DATOS!$C$25,TABLAS!$B$52:$B$58,0)))-INDEX(TABLAS!$C$52:$C$58,MATCH(DATOS!$C$26,TABLAS!$B$52:$B$58,0))-INDEX(TABLAS!$C$52:$C$58,MATCH(DATOS!$C$26,TABLAS!$B$52:$B$58,0))/2)</f>
        <v>19.095</v>
      </c>
      <c r="BW19" s="43">
        <f>IF(D19="HUECO",0,IF(IF(BD19&lt;=0,0,IF((1-2*BD19*1E5/(DATOS!$C$58*Q19*BV19^2*DATOS!$C$48))&lt;0,-1,IF((1-SQRT((1-2*BD19*1E5/(DATOS!$C$58*Q19*BV19^2*DATOS!$C$48))))*DATOS!$C$48*Q19*BV19/DATOS!$C$40&gt;DATOS!$C$82*Q19*BV19,-1,(1-SQRT((1-2*BD19*1E5/(DATOS!$C$58*Q19*BV19^2*DATOS!$C$48))))*DATOS!$C$48*Q19*BV19/DATOS!$C$40)))&lt;0,-1,MAX(IF(BD19&lt;=0,0,IF((1-2*BD19*1E5/(DATOS!$C$58*Q19*BV19^2*DATOS!$C$48))&lt;0,-1,IF((1-SQRT((1-2*BD19*1E5/(DATOS!$C$58*Q19*BV19^2*DATOS!$C$48))))*DATOS!$C$48*Q19*BV19/DATOS!$C$40&gt;DATOS!$C$82*Q19*BV19,-1,(1-SQRT((1-2*BD19*1E5/(DATOS!$C$58*Q19*BV19^2*DATOS!$C$48))))*DATOS!$C$48*Q19*BV19/DATOS!$C$40))),MIN(DATOS!$C$83*DATOS!$C$13*BV19,4/3*IF(BD19&lt;=0,0,IF((1-2*BD19*1E5/(DATOS!$C$58*Q19*BV19^2*DATOS!$C$48))&lt;0,-1,IF((1-SQRT((1-2*BD19*1E5/(DATOS!$C$58*Q19*BV19^2*DATOS!$C$48))))*DATOS!$C$48*Q19*BV19/DATOS!$C$40&gt;DATOS!$C$82*Q19*BV19,-1,(1-SQRT((1-2*BD19*1E5/(DATOS!$C$58*Q19*BV19^2*DATOS!$C$48))))*DATOS!$C$48*Q19*BV19/DATOS!$C$40)))))))</f>
        <v>0</v>
      </c>
      <c r="BX19" s="41">
        <f>IF(AND(BW19&gt;=0,IF(MAX(DATOS!$C$29,CEILING(BW19/INDEX(TABLAS!$D$52:$D$58,MIN(MATCH(DATOS!$C$26,TABLAS!$B$52:$B$58,0)+0,7)),1))*INDEX(TABLAS!$D$52:$D$58,MIN(MATCH(DATOS!$C$26,TABLAS!$B$52:$B$58,0)+0,7))&gt;=4/3*IF(BD19&lt;=0,0,IF((1-2*BD19*1E5/(DATOS!$C$58*Q19*BV19^2*DATOS!$C$48))&lt;0,-1,IF((1-SQRT((1-2*BD19*1E5/(DATOS!$C$58*Q19*BV19^2*DATOS!$C$48))))*DATOS!$C$48*Q19*BV19/DATOS!$C$40&gt;DATOS!$C$82*Q19*BV19,-1,(1-SQRT((1-2*BD19*1E5/(DATOS!$C$58*Q19*BV19^2*DATOS!$C$48))))*DATOS!$C$48*Q19*BV19/DATOS!$C$40)))-0.0001,MAX(DATOS!$C$29,CEILING(BW19/INDEX(TABLAS!$D$52:$D$58,MIN(MATCH(DATOS!$C$26,TABLAS!$B$52:$B$58,0)+0,7)),1)),MAX(MAX(DATOS!$C$29,CEILING(BW19/INDEX(TABLAS!$D$52:$D$58,MIN(MATCH(DATOS!$C$26,TABLAS!$B$52:$B$58,0)+0,7)),1)),2))&lt;=MIN(DATOS!$C$28,INT(((DATOS!$C$13-2*R19-2*IF(DATOS!$C$25=0,0,INDEX(TABLAS!$C$52:$C$58,MATCH(DATOS!$C$25,TABLAS!$B$52:$B$58,0))))+MAX(DATOS!$C$32,INDEX(TABLAS!$C$52:$C$58,MIN(MATCH(DATOS!$C$26,TABLAS!$B$52:$B$58,0)+0,7))))/(INDEX(TABLAS!$C$52:$C$58,MIN(MATCH(DATOS!$C$26,TABLAS!$B$52:$B$58,0)+0,7))+MAX(DATOS!$C$32,INDEX(TABLAS!$C$52:$C$58,MIN(MATCH(DATOS!$C$26,TABLAS!$B$52:$B$58,0)+0,7))))))),INDEX(TABLAS!$B$52:$B$58,MIN(MATCH(DATOS!$C$26,TABLAS!$B$52:$B$58,0)+0,7)),IF(AND(BW19&gt;=0,IF(MAX(DATOS!$C$29,CEILING(BW19/INDEX(TABLAS!$D$52:$D$58,MIN(MATCH(DATOS!$C$26,TABLAS!$B$52:$B$58,0)+1,7)),1))*INDEX(TABLAS!$D$52:$D$58,MIN(MATCH(DATOS!$C$26,TABLAS!$B$52:$B$58,0)+1,7))&gt;=4/3*IF(BD19&lt;=0,0,IF((1-2*BD19*1E5/(DATOS!$C$58*Q19*BV19^2*DATOS!$C$48))&lt;0,-1,IF((1-SQRT((1-2*BD19*1E5/(DATOS!$C$58*Q19*BV19^2*DATOS!$C$48))))*DATOS!$C$48*Q19*BV19/DATOS!$C$40&gt;DATOS!$C$82*Q19*BV19,-1,(1-SQRT((1-2*BD19*1E5/(DATOS!$C$58*Q19*BV19^2*DATOS!$C$48))))*DATOS!$C$48*Q19*BV19/DATOS!$C$40)))-0.0001,MAX(DATOS!$C$29,CEILING(BW19/INDEX(TABLAS!$D$52:$D$58,MIN(MATCH(DATOS!$C$26,TABLAS!$B$52:$B$58,0)+1,7)),1)),MAX(MAX(DATOS!$C$29,CEILING(BW19/INDEX(TABLAS!$D$52:$D$58,MIN(MATCH(DATOS!$C$26,TABLAS!$B$52:$B$58,0)+1,7)),1)),2))&lt;=MIN(DATOS!$C$28,INT(((DATOS!$C$13-2*R19-2*IF(DATOS!$C$25=0,0,INDEX(TABLAS!$C$52:$C$58,MATCH(DATOS!$C$25,TABLAS!$B$52:$B$58,0))))+MAX(DATOS!$C$32,INDEX(TABLAS!$C$52:$C$58,MIN(MATCH(DATOS!$C$26,TABLAS!$B$52:$B$58,0)+1,7))))/(INDEX(TABLAS!$C$52:$C$58,MIN(MATCH(DATOS!$C$26,TABLAS!$B$52:$B$58,0)+1,7))+MAX(DATOS!$C$32,INDEX(TABLAS!$C$52:$C$58,MIN(MATCH(DATOS!$C$26,TABLAS!$B$52:$B$58,0)+1,7))))))),INDEX(TABLAS!$B$52:$B$58,MIN(MATCH(DATOS!$C$26,TABLAS!$B$52:$B$58,0)+1,7)),IF(AND(BW19&gt;=0,IF(MAX(DATOS!$C$29,CEILING(BW19/INDEX(TABLAS!$D$52:$D$58,MIN(MATCH(DATOS!$C$26,TABLAS!$B$52:$B$58,0)+2,7)),1))*INDEX(TABLAS!$D$52:$D$58,MIN(MATCH(DATOS!$C$26,TABLAS!$B$52:$B$58,0)+2,7))&gt;=4/3*IF(BD19&lt;=0,0,IF((1-2*BD19*1E5/(DATOS!$C$58*Q19*BV19^2*DATOS!$C$48))&lt;0,-1,IF((1-SQRT((1-2*BD19*1E5/(DATOS!$C$58*Q19*BV19^2*DATOS!$C$48))))*DATOS!$C$48*Q19*BV19/DATOS!$C$40&gt;DATOS!$C$82*Q19*BV19,-1,(1-SQRT((1-2*BD19*1E5/(DATOS!$C$58*Q19*BV19^2*DATOS!$C$48))))*DATOS!$C$48*Q19*BV19/DATOS!$C$40)))-0.0001,MAX(DATOS!$C$29,CEILING(BW19/INDEX(TABLAS!$D$52:$D$58,MIN(MATCH(DATOS!$C$26,TABLAS!$B$52:$B$58,0)+2,7)),1)),MAX(MAX(DATOS!$C$29,CEILING(BW19/INDEX(TABLAS!$D$52:$D$58,MIN(MATCH(DATOS!$C$26,TABLAS!$B$52:$B$58,0)+2,7)),1)),2))&lt;=MIN(DATOS!$C$28,INT(((DATOS!$C$13-2*R19-2*IF(DATOS!$C$25=0,0,INDEX(TABLAS!$C$52:$C$58,MATCH(DATOS!$C$25,TABLAS!$B$52:$B$58,0))))+MAX(DATOS!$C$32,INDEX(TABLAS!$C$52:$C$58,MIN(MATCH(DATOS!$C$26,TABLAS!$B$52:$B$58,0)+2,7))))/(INDEX(TABLAS!$C$52:$C$58,MIN(MATCH(DATOS!$C$26,TABLAS!$B$52:$B$58,0)+2,7))+MAX(DATOS!$C$32,INDEX(TABLAS!$C$52:$C$58,MIN(MATCH(DATOS!$C$26,TABLAS!$B$52:$B$58,0)+2,7))))))),INDEX(TABLAS!$B$52:$B$58,MIN(MATCH(DATOS!$C$26,TABLAS!$B$52:$B$58,0)+2,7)),IF(AND(BW19&gt;=0,IF(MAX(DATOS!$C$29,CEILING(BW19/INDEX(TABLAS!$D$52:$D$58,MIN(MATCH(DATOS!$C$26,TABLAS!$B$52:$B$58,0)+3,7)),1))*INDEX(TABLAS!$D$52:$D$58,MIN(MATCH(DATOS!$C$26,TABLAS!$B$52:$B$58,0)+3,7))&gt;=4/3*IF(BD19&lt;=0,0,IF((1-2*BD19*1E5/(DATOS!$C$58*Q19*BV19^2*DATOS!$C$48))&lt;0,-1,IF((1-SQRT((1-2*BD19*1E5/(DATOS!$C$58*Q19*BV19^2*DATOS!$C$48))))*DATOS!$C$48*Q19*BV19/DATOS!$C$40&gt;DATOS!$C$82*Q19*BV19,-1,(1-SQRT((1-2*BD19*1E5/(DATOS!$C$58*Q19*BV19^2*DATOS!$C$48))))*DATOS!$C$48*Q19*BV19/DATOS!$C$40)))-0.0001,MAX(DATOS!$C$29,CEILING(BW19/INDEX(TABLAS!$D$52:$D$58,MIN(MATCH(DATOS!$C$26,TABLAS!$B$52:$B$58,0)+3,7)),1)),MAX(MAX(DATOS!$C$29,CEILING(BW19/INDEX(TABLAS!$D$52:$D$58,MIN(MATCH(DATOS!$C$26,TABLAS!$B$52:$B$58,0)+3,7)),1)),2))&lt;=MIN(DATOS!$C$28,INT(((DATOS!$C$13-2*R19-2*IF(DATOS!$C$25=0,0,INDEX(TABLAS!$C$52:$C$58,MATCH(DATOS!$C$25,TABLAS!$B$52:$B$58,0))))+MAX(DATOS!$C$32,INDEX(TABLAS!$C$52:$C$58,MIN(MATCH(DATOS!$C$26,TABLAS!$B$52:$B$58,0)+3,7))))/(INDEX(TABLAS!$C$52:$C$58,MIN(MATCH(DATOS!$C$26,TABLAS!$B$52:$B$58,0)+3,7))+MAX(DATOS!$C$32,INDEX(TABLAS!$C$52:$C$58,MIN(MATCH(DATOS!$C$26,TABLAS!$B$52:$B$58,0)+3,7))))))),INDEX(TABLAS!$B$52:$B$58,MIN(MATCH(DATOS!$C$26,TABLAS!$B$52:$B$58,0)+3,7)),IF(AND(BW19&gt;=0,IF(MAX(DATOS!$C$29,CEILING(BW19/INDEX(TABLAS!$D$52:$D$58,MIN(MATCH(DATOS!$C$26,TABLAS!$B$52:$B$58,0)+4,7)),1))*INDEX(TABLAS!$D$52:$D$58,MIN(MATCH(DATOS!$C$26,TABLAS!$B$52:$B$58,0)+4,7))&gt;=4/3*IF(BD19&lt;=0,0,IF((1-2*BD19*1E5/(DATOS!$C$58*Q19*BV19^2*DATOS!$C$48))&lt;0,-1,IF((1-SQRT((1-2*BD19*1E5/(DATOS!$C$58*Q19*BV19^2*DATOS!$C$48))))*DATOS!$C$48*Q19*BV19/DATOS!$C$40&gt;DATOS!$C$82*Q19*BV19,-1,(1-SQRT((1-2*BD19*1E5/(DATOS!$C$58*Q19*BV19^2*DATOS!$C$48))))*DATOS!$C$48*Q19*BV19/DATOS!$C$40)))-0.0001,MAX(DATOS!$C$29,CEILING(BW19/INDEX(TABLAS!$D$52:$D$58,MIN(MATCH(DATOS!$C$26,TABLAS!$B$52:$B$58,0)+4,7)),1)),MAX(MAX(DATOS!$C$29,CEILING(BW19/INDEX(TABLAS!$D$52:$D$58,MIN(MATCH(DATOS!$C$26,TABLAS!$B$52:$B$58,0)+4,7)),1)),2))&lt;=MIN(DATOS!$C$28,INT(((DATOS!$C$13-2*R19-2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19" s="56">
        <f>IF(D19="HUECO",0,IF(BW19&lt;0,0,IF(MAX(DATOS!$C$29,CEILING(MAX(BW19,0)/INDEX(TABLAS!$D$52:$D$58,MATCH(BX19,TABLAS!$B$52:$B$58,0)),1))*INDEX(TABLAS!$D$52:$D$58,MATCH(BX19,TABLAS!$B$52:$B$58,0))&gt;=4/3*IF(BD19&lt;=0,0,IF((1-2*BD19*1E5/(DATOS!$C$58*Q19*BV19^2*DATOS!$C$48))&lt;0,-1,IF((1-SQRT((1-2*BD19*1E5/(DATOS!$C$58*Q19*BV19^2*DATOS!$C$48))))*DATOS!$C$48*Q19*BV19/DATOS!$C$40&gt;DATOS!$C$82*Q19*BV19,-1,(1-SQRT((1-2*BD19*1E5/(DATOS!$C$58*Q19*BV19^2*DATOS!$C$48))))*DATOS!$C$48*Q19*BV19/DATOS!$C$40)))-0.0001,MAX(DATOS!$C$29,CEILING(MAX(BW19,0)/INDEX(TABLAS!$D$52:$D$58,MATCH(BX19,TABLAS!$B$52:$B$58,0)),1)),MAX(MAX(DATOS!$C$29,CEILING(MAX(BW19,0)/INDEX(TABLAS!$D$52:$D$58,MATCH(BX19,TABLAS!$B$52:$B$58,0)),1)),2))))</f>
        <v>1</v>
      </c>
      <c r="BZ19" s="43">
        <f>DATOS!$C$15-R19-IF(DATOS!$C$25=0,0,INDEX(TABLAS!$C$52:$C$58,MATCH(DATOS!$C$25,TABLAS!$B$52:$B$58,0)))-INDEX(TABLAS!$C$52:$C$58,MATCH(BH19,TABLAS!$B$52:$B$58,0))-INDEX(TABLAS!$C$52:$C$58,MATCH(BX19,TABLAS!$B$52:$B$58,0))/2</f>
        <v>19.095</v>
      </c>
      <c r="CA19" s="36">
        <f>IF(BY19=0,0,DATOS!$C$58*BY19*INDEX(TABLAS!$D$52:$D$58,MATCH(BX19,TABLAS!$B$52:$B$58,0))*DATOS!$C$40*(BZ19-BY19*INDEX(TABLAS!$D$52:$D$58,MATCH(BX19,TABLAS!$B$52:$B$58,0))*DATOS!$C$40/(DATOS!$C$48*Q19)/2)/1E5)</f>
        <v>0.908067376588235</v>
      </c>
      <c r="CB19" s="62">
        <f>IF(BW19&lt;0,9.99,IF(CA19&gt;0,BD19/CA19,0))</f>
        <v>0</v>
      </c>
      <c r="CC19" s="63">
        <f>IF(BY19=0,"—",0.003*(BZ19-(BY19*INDEX(TABLAS!$D$52:$D$58,MATCH(BX19,TABLAS!$B$52:$B$58,0))*DATOS!$C$40/(DATOS!$C$48*Q19)/DATOS!$C$49))/(BY19*INDEX(TABLAS!$D$52:$D$58,MATCH(BX19,TABLAS!$B$52:$B$58,0))*DATOS!$C$40/(DATOS!$C$48*Q19)/DATOS!$C$49))</f>
        <v>0.13278875492126</v>
      </c>
      <c r="CD19" s="43">
        <f>((DATOS!$C$15-S19-2*DATOS!$C$35-IF(DATOS!$C$25=0,0,INDEX(TABLAS!$C$52:$C$58,MATCH(DATOS!$C$25,TABLAS!$B$52:$B$58,0)))-INDEX(TABLAS!$C$52:$C$58,MATCH(DATOS!$C$27,TABLAS!$B$52:$B$58,0))-INDEX(TABLAS!$C$52:$C$58,MATCH(DATOS!$C$27,TABLAS!$B$52:$B$58,0))/2)-IF(AND((DATOS!$C$15-S19-2*DATOS!$C$35-IF(DATOS!$C$25=0,0,INDEX(TABLAS!$C$52:$C$58,MATCH(DATOS!$C$25,TABLAS!$B$52:$B$58,0)))-INDEX(TABLAS!$C$52:$C$58,MATCH(DATOS!$C$27,TABLAS!$B$52:$B$58,0))-INDEX(TABLAS!$C$52:$C$58,MATCH(DATOS!$C$27,TABLAS!$B$52:$B$58,0))/2)&lt;=20,DATOS!$C$18&lt;&gt;"SÍ"),2,0))</f>
        <v>18.119</v>
      </c>
      <c r="CE19" s="43">
        <f>IF(D19="HUECO",0,IF(IF(BE19&lt;=0,0,IF((1-2*BE19*1E5/(DATOS!$C$58*DATOS!$C$19*CD19^2*DATOS!$C$48))&lt;0,-1,IF((1-SQRT((1-2*BE19*1E5/(DATOS!$C$58*DATOS!$C$19*CD19^2*DATOS!$C$48))))*DATOS!$C$48*DATOS!$C$19*CD19/DATOS!$C$40&gt;DATOS!$C$82*DATOS!$C$19*CD19,-1,(1-SQRT((1-2*BE19*1E5/(DATOS!$C$58*DATOS!$C$19*CD19^2*DATOS!$C$48))))*DATOS!$C$48*DATOS!$C$19*CD19/DATOS!$C$40)))&lt;0,-1,MAX(IF(BE19&lt;=0,0,IF((1-2*BE19*1E5/(DATOS!$C$58*DATOS!$C$19*CD19^2*DATOS!$C$48))&lt;0,-1,IF((1-SQRT((1-2*BE19*1E5/(DATOS!$C$58*DATOS!$C$19*CD19^2*DATOS!$C$48))))*DATOS!$C$48*DATOS!$C$19*CD19/DATOS!$C$40&gt;DATOS!$C$82*DATOS!$C$19*CD19,-1,(1-SQRT((1-2*BE19*1E5/(DATOS!$C$58*DATOS!$C$19*CD19^2*DATOS!$C$48))))*DATOS!$C$48*DATOS!$C$19*CD19/DATOS!$C$40))),MIN(DATOS!$C$83*DATOS!$C$13*CD19,4/3*IF(BE19&lt;=0,0,IF((1-2*BE19*1E5/(DATOS!$C$58*DATOS!$C$19*CD19^2*DATOS!$C$48))&lt;0,-1,IF((1-SQRT((1-2*BE19*1E5/(DATOS!$C$58*DATOS!$C$19*CD19^2*DATOS!$C$48))))*DATOS!$C$48*DATOS!$C$19*CD19/DATOS!$C$40&gt;DATOS!$C$82*DATOS!$C$19*CD19,-1,(1-SQRT((1-2*BE19*1E5/(DATOS!$C$58*DATOS!$C$19*CD19^2*DATOS!$C$48))))*DATOS!$C$48*DATOS!$C$19*CD19/DATOS!$C$40)))))))</f>
        <v>0</v>
      </c>
      <c r="CF19" s="41">
        <f>IF(AND(CE19&gt;=0,IF(MAX(DATOS!$C$29,CEILING(CE19/INDEX(TABLAS!$D$52:$D$58,MIN(MATCH(DATOS!$C$27,TABLAS!$B$52:$B$58,0)+0,7)),1))*INDEX(TABLAS!$D$52:$D$58,MIN(MATCH(DATOS!$C$27,TABLAS!$B$52:$B$58,0)+0,7))&gt;=4/3*IF(BE19&lt;=0,0,IF((1-2*BE19*1E5/(DATOS!$C$58*DATOS!$C$19*CD19^2*DATOS!$C$48))&lt;0,-1,IF((1-SQRT((1-2*BE19*1E5/(DATOS!$C$58*DATOS!$C$19*CD19^2*DATOS!$C$48))))*DATOS!$C$48*DATOS!$C$19*CD19/DATOS!$C$40&gt;DATOS!$C$82*DATOS!$C$19*CD19,-1,(1-SQRT((1-2*BE19*1E5/(DATOS!$C$58*DATOS!$C$19*CD19^2*DATOS!$C$48))))*DATOS!$C$48*DATOS!$C$19*CD19/DATOS!$C$40)))-0.0001,MAX(DATOS!$C$29,CEILING(CE19/INDEX(TABLAS!$D$52:$D$58,MIN(MATCH(DATOS!$C$27,TABLAS!$B$52:$B$58,0)+0,7)),1)),MAX(MAX(DATOS!$C$29,CEILING(CE19/INDEX(TABLAS!$D$52:$D$58,MIN(MATCH(DATOS!$C$27,TABLAS!$B$52:$B$58,0)+0,7)),1)),2))&lt;=MIN(DATOS!$C$28,INT(((DATOS!$C$13-2*S19-2*IF(DATOS!$C$25=0,0,INDEX(TABLAS!$C$52:$C$58,MATCH(DATOS!$C$25,TABLAS!$B$52:$B$58,0))))+MAX(DATOS!$C$32,INDEX(TABLAS!$C$52:$C$58,MIN(MATCH(DATOS!$C$27,TABLAS!$B$52:$B$58,0)+0,7))))/(INDEX(TABLAS!$C$52:$C$58,MIN(MATCH(DATOS!$C$27,TABLAS!$B$52:$B$58,0)+0,7))+MAX(DATOS!$C$32,INDEX(TABLAS!$C$52:$C$58,MIN(MATCH(DATOS!$C$27,TABLAS!$B$52:$B$58,0)+0,7))))))),INDEX(TABLAS!$B$52:$B$58,MIN(MATCH(DATOS!$C$27,TABLAS!$B$52:$B$58,0)+0,7)),IF(AND(CE19&gt;=0,IF(MAX(DATOS!$C$29,CEILING(CE19/INDEX(TABLAS!$D$52:$D$58,MIN(MATCH(DATOS!$C$27,TABLAS!$B$52:$B$58,0)+1,7)),1))*INDEX(TABLAS!$D$52:$D$58,MIN(MATCH(DATOS!$C$27,TABLAS!$B$52:$B$58,0)+1,7))&gt;=4/3*IF(BE19&lt;=0,0,IF((1-2*BE19*1E5/(DATOS!$C$58*DATOS!$C$19*CD19^2*DATOS!$C$48))&lt;0,-1,IF((1-SQRT((1-2*BE19*1E5/(DATOS!$C$58*DATOS!$C$19*CD19^2*DATOS!$C$48))))*DATOS!$C$48*DATOS!$C$19*CD19/DATOS!$C$40&gt;DATOS!$C$82*DATOS!$C$19*CD19,-1,(1-SQRT((1-2*BE19*1E5/(DATOS!$C$58*DATOS!$C$19*CD19^2*DATOS!$C$48))))*DATOS!$C$48*DATOS!$C$19*CD19/DATOS!$C$40)))-0.0001,MAX(DATOS!$C$29,CEILING(CE19/INDEX(TABLAS!$D$52:$D$58,MIN(MATCH(DATOS!$C$27,TABLAS!$B$52:$B$58,0)+1,7)),1)),MAX(MAX(DATOS!$C$29,CEILING(CE19/INDEX(TABLAS!$D$52:$D$58,MIN(MATCH(DATOS!$C$27,TABLAS!$B$52:$B$58,0)+1,7)),1)),2))&lt;=MIN(DATOS!$C$28,INT(((DATOS!$C$13-2*S19-2*IF(DATOS!$C$25=0,0,INDEX(TABLAS!$C$52:$C$58,MATCH(DATOS!$C$25,TABLAS!$B$52:$B$58,0))))+MAX(DATOS!$C$32,INDEX(TABLAS!$C$52:$C$58,MIN(MATCH(DATOS!$C$27,TABLAS!$B$52:$B$58,0)+1,7))))/(INDEX(TABLAS!$C$52:$C$58,MIN(MATCH(DATOS!$C$27,TABLAS!$B$52:$B$58,0)+1,7))+MAX(DATOS!$C$32,INDEX(TABLAS!$C$52:$C$58,MIN(MATCH(DATOS!$C$27,TABLAS!$B$52:$B$58,0)+1,7))))))),INDEX(TABLAS!$B$52:$B$58,MIN(MATCH(DATOS!$C$27,TABLAS!$B$52:$B$58,0)+1,7)),IF(AND(CE19&gt;=0,IF(MAX(DATOS!$C$29,CEILING(CE19/INDEX(TABLAS!$D$52:$D$58,MIN(MATCH(DATOS!$C$27,TABLAS!$B$52:$B$58,0)+2,7)),1))*INDEX(TABLAS!$D$52:$D$58,MIN(MATCH(DATOS!$C$27,TABLAS!$B$52:$B$58,0)+2,7))&gt;=4/3*IF(BE19&lt;=0,0,IF((1-2*BE19*1E5/(DATOS!$C$58*DATOS!$C$19*CD19^2*DATOS!$C$48))&lt;0,-1,IF((1-SQRT((1-2*BE19*1E5/(DATOS!$C$58*DATOS!$C$19*CD19^2*DATOS!$C$48))))*DATOS!$C$48*DATOS!$C$19*CD19/DATOS!$C$40&gt;DATOS!$C$82*DATOS!$C$19*CD19,-1,(1-SQRT((1-2*BE19*1E5/(DATOS!$C$58*DATOS!$C$19*CD19^2*DATOS!$C$48))))*DATOS!$C$48*DATOS!$C$19*CD19/DATOS!$C$40)))-0.0001,MAX(DATOS!$C$29,CEILING(CE19/INDEX(TABLAS!$D$52:$D$58,MIN(MATCH(DATOS!$C$27,TABLAS!$B$52:$B$58,0)+2,7)),1)),MAX(MAX(DATOS!$C$29,CEILING(CE19/INDEX(TABLAS!$D$52:$D$58,MIN(MATCH(DATOS!$C$27,TABLAS!$B$52:$B$58,0)+2,7)),1)),2))&lt;=MIN(DATOS!$C$28,INT(((DATOS!$C$13-2*S19-2*IF(DATOS!$C$25=0,0,INDEX(TABLAS!$C$52:$C$58,MATCH(DATOS!$C$25,TABLAS!$B$52:$B$58,0))))+MAX(DATOS!$C$32,INDEX(TABLAS!$C$52:$C$58,MIN(MATCH(DATOS!$C$27,TABLAS!$B$52:$B$58,0)+2,7))))/(INDEX(TABLAS!$C$52:$C$58,MIN(MATCH(DATOS!$C$27,TABLAS!$B$52:$B$58,0)+2,7))+MAX(DATOS!$C$32,INDEX(TABLAS!$C$52:$C$58,MIN(MATCH(DATOS!$C$27,TABLAS!$B$52:$B$58,0)+2,7))))))),INDEX(TABLAS!$B$52:$B$58,MIN(MATCH(DATOS!$C$27,TABLAS!$B$52:$B$58,0)+2,7)),IF(AND(CE19&gt;=0,IF(MAX(DATOS!$C$29,CEILING(CE19/INDEX(TABLAS!$D$52:$D$58,MIN(MATCH(DATOS!$C$27,TABLAS!$B$52:$B$58,0)+3,7)),1))*INDEX(TABLAS!$D$52:$D$58,MIN(MATCH(DATOS!$C$27,TABLAS!$B$52:$B$58,0)+3,7))&gt;=4/3*IF(BE19&lt;=0,0,IF((1-2*BE19*1E5/(DATOS!$C$58*DATOS!$C$19*CD19^2*DATOS!$C$48))&lt;0,-1,IF((1-SQRT((1-2*BE19*1E5/(DATOS!$C$58*DATOS!$C$19*CD19^2*DATOS!$C$48))))*DATOS!$C$48*DATOS!$C$19*CD19/DATOS!$C$40&gt;DATOS!$C$82*DATOS!$C$19*CD19,-1,(1-SQRT((1-2*BE19*1E5/(DATOS!$C$58*DATOS!$C$19*CD19^2*DATOS!$C$48))))*DATOS!$C$48*DATOS!$C$19*CD19/DATOS!$C$40)))-0.0001,MAX(DATOS!$C$29,CEILING(CE19/INDEX(TABLAS!$D$52:$D$58,MIN(MATCH(DATOS!$C$27,TABLAS!$B$52:$B$58,0)+3,7)),1)),MAX(MAX(DATOS!$C$29,CEILING(CE19/INDEX(TABLAS!$D$52:$D$58,MIN(MATCH(DATOS!$C$27,TABLAS!$B$52:$B$58,0)+3,7)),1)),2))&lt;=MIN(DATOS!$C$28,INT(((DATOS!$C$13-2*S19-2*IF(DATOS!$C$25=0,0,INDEX(TABLAS!$C$52:$C$58,MATCH(DATOS!$C$25,TABLAS!$B$52:$B$58,0))))+MAX(DATOS!$C$32,INDEX(TABLAS!$C$52:$C$58,MIN(MATCH(DATOS!$C$27,TABLAS!$B$52:$B$58,0)+3,7))))/(INDEX(TABLAS!$C$52:$C$58,MIN(MATCH(DATOS!$C$27,TABLAS!$B$52:$B$58,0)+3,7))+MAX(DATOS!$C$32,INDEX(TABLAS!$C$52:$C$58,MIN(MATCH(DATOS!$C$27,TABLAS!$B$52:$B$58,0)+3,7))))))),INDEX(TABLAS!$B$52:$B$58,MIN(MATCH(DATOS!$C$27,TABLAS!$B$52:$B$58,0)+3,7)),IF(AND(CE19&gt;=0,IF(MAX(DATOS!$C$29,CEILING(CE19/INDEX(TABLAS!$D$52:$D$58,MIN(MATCH(DATOS!$C$27,TABLAS!$B$52:$B$58,0)+4,7)),1))*INDEX(TABLAS!$D$52:$D$58,MIN(MATCH(DATOS!$C$27,TABLAS!$B$52:$B$58,0)+4,7))&gt;=4/3*IF(BE19&lt;=0,0,IF((1-2*BE19*1E5/(DATOS!$C$58*DATOS!$C$19*CD19^2*DATOS!$C$48))&lt;0,-1,IF((1-SQRT((1-2*BE19*1E5/(DATOS!$C$58*DATOS!$C$19*CD19^2*DATOS!$C$48))))*DATOS!$C$48*DATOS!$C$19*CD19/DATOS!$C$40&gt;DATOS!$C$82*DATOS!$C$19*CD19,-1,(1-SQRT((1-2*BE19*1E5/(DATOS!$C$58*DATOS!$C$19*CD19^2*DATOS!$C$48))))*DATOS!$C$48*DATOS!$C$19*CD19/DATOS!$C$40)))-0.0001,MAX(DATOS!$C$29,CEILING(CE19/INDEX(TABLAS!$D$52:$D$58,MIN(MATCH(DATOS!$C$27,TABLAS!$B$52:$B$58,0)+4,7)),1)),MAX(MAX(DATOS!$C$29,CEILING(CE19/INDEX(TABLAS!$D$52:$D$58,MIN(MATCH(DATOS!$C$27,TABLAS!$B$52:$B$58,0)+4,7)),1)),2))&lt;=MIN(DATOS!$C$28,INT(((DATOS!$C$13-2*S19-2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19" s="56">
        <f>IF(D19="HUECO",0,IF(CE19&lt;0,0,IF(MAX(DATOS!$C$29,CEILING(MAX(CE19,0)/INDEX(TABLAS!$D$52:$D$58,MATCH(CF19,TABLAS!$B$52:$B$58,0)),1))*INDEX(TABLAS!$D$52:$D$58,MATCH(CF19,TABLAS!$B$52:$B$58,0))&gt;=4/3*IF(BE19&lt;=0,0,IF((1-2*BE19*1E5/(DATOS!$C$58*DATOS!$C$19*CD19^2*DATOS!$C$48))&lt;0,-1,IF((1-SQRT((1-2*BE19*1E5/(DATOS!$C$58*DATOS!$C$19*CD19^2*DATOS!$C$48))))*DATOS!$C$48*DATOS!$C$19*CD19/DATOS!$C$40&gt;DATOS!$C$82*DATOS!$C$19*CD19,-1,(1-SQRT((1-2*BE19*1E5/(DATOS!$C$58*DATOS!$C$19*CD19^2*DATOS!$C$48))))*DATOS!$C$48*DATOS!$C$19*CD19/DATOS!$C$40)))-0.0001,MAX(DATOS!$C$29,CEILING(MAX(CE19,0)/INDEX(TABLAS!$D$52:$D$58,MATCH(CF19,TABLAS!$B$52:$B$58,0)),1)),MAX(MAX(DATOS!$C$29,CEILING(MAX(CE19,0)/INDEX(TABLAS!$D$52:$D$58,MATCH(CF19,TABLAS!$B$52:$B$58,0)),1)),2))))</f>
        <v>1</v>
      </c>
      <c r="CH19" s="43">
        <f>((DATOS!$C$15-S19-2*DATOS!$C$35-IF(DATOS!$C$25=0,0,INDEX(TABLAS!$C$52:$C$58,MATCH(DATOS!$C$25,TABLAS!$B$52:$B$58,0)))-INDEX(TABLAS!$C$52:$C$58,MATCH(BP19,TABLAS!$B$52:$B$58,0))-INDEX(TABLAS!$C$52:$C$58,MATCH(CF19,TABLAS!$B$52:$B$58,0))/2)-IF(AND((DATOS!$C$15-S19-2*DATOS!$C$35-IF(DATOS!$C$25=0,0,INDEX(TABLAS!$C$52:$C$58,MATCH(DATOS!$C$25,TABLAS!$B$52:$B$58,0)))-INDEX(TABLAS!$C$52:$C$58,MATCH(BP19,TABLAS!$B$52:$B$58,0))-INDEX(TABLAS!$C$52:$C$58,MATCH(CF19,TABLAS!$B$52:$B$58,0))/2)&lt;=20,DATOS!$C$18&lt;&gt;"SÍ"),2,0))</f>
        <v>16.849</v>
      </c>
      <c r="CI19" s="36">
        <f>IF(CG19=0,0,DATOS!$C$58*CG19*INDEX(TABLAS!$D$52:$D$58,MATCH(CF19,TABLAS!$B$52:$B$58,0))*DATOS!$C$40*(CH19-CG19*INDEX(TABLAS!$D$52:$D$58,MATCH(CF19,TABLAS!$B$52:$B$58,0))*DATOS!$C$40/(DATOS!$C$48*DATOS!$C$19)/2)/1E5)</f>
        <v>0.748602740117647</v>
      </c>
      <c r="CJ19" s="62">
        <f>IF(CE19&lt;0,9.99,IF(CI19&gt;0,BE19/CI19,0))</f>
        <v>0</v>
      </c>
      <c r="CK19" s="63">
        <f>IF(CG19=0,"—",0.003*(CH19-(CG19*INDEX(TABLAS!$D$52:$D$58,MATCH(CF19,TABLAS!$B$52:$B$58,0))*DATOS!$C$40/(DATOS!$C$48*DATOS!$C$19)/DATOS!$C$49))/(CG19*INDEX(TABLAS!$D$52:$D$58,MATCH(CF19,TABLAS!$B$52:$B$58,0))*DATOS!$C$40/(DATOS!$C$48*DATOS!$C$19)/DATOS!$C$49))</f>
        <v>0.0141167076771654</v>
      </c>
      <c r="CL19" s="52" t="str">
        <f>IF(D19="HUECO","—",IF(AND(D19="PERIMETRAL",J19*100&gt;=6*DATOS!$C$11,DATOS!$C$11&lt;=80,DATOS!$C$13&gt;=10,DATOS!$C$15&lt;=3.5*DATOS!$C$13,DATOS!$C$14&gt;=MAX(DATOS!$C$11/13,5)),"SÍ","NO"))</f>
        <v>NO</v>
      </c>
      <c r="CM19" s="36">
        <f>IF(D19="PERIMETRAL",MAX(0,(N19/2-BR19)/100)*(0.95-0.5*L19)*Y19*IF(AND(Z19&gt;0,Z19&lt;4),DATOS!$C$63,1)*DATOS!$C$16/100/1000+AX19,IF(D19="VOLADO",(Y19*MAX(0,N19-BR19)/100+DATOS!$C$55*BA19)*DATOS!$C$16/100/1000,0))</f>
        <v>1.44664265057143</v>
      </c>
      <c r="CN19" s="36">
        <f>IF(D19="HUECO",0,DATOS!$C$59*2*MIN(1,SQRT(2/(1+0.04*BR19)))*(BQ19*INDEX(TABLAS!$D$52:$D$58,MATCH(BP19,TABLAS!$B$52:$B$58,0))/(DATOS!$C$19*BR19))^(1/3)*SQRT(DATOS!$C$39)*DATOS!$C$19*BR19*IF(CL19="SÍ",DATOS!$C$62,1)/1000)</f>
        <v>1.33493419422131</v>
      </c>
      <c r="CO19" s="51" t="str">
        <f>IF(D19="HUECO","—",IF(CM19&lt;=CN19,"CUMPLE",IF(MAX(0,CEILING((IF(D19="VOLADO",(N19-(CN19*1E5/DATOS!$C$16-DATOS!$C$55*BA19)*100/Y19),IF(CN19&lt;=AX19,N19,N19/2-(CN19-AX19)/MAX(CM19-AX19,1E-9)*(N19/2-BR19)))-IF(INT((J19*100-DATOS!$C$17+DATOS!$C$13)/DATOS!$C$16)&gt;0,(J19*100-DATOS!$C$17-(INT((J19*100-DATOS!$C$17+DATOS!$C$13)/DATOS!$C$16)*DATOS!$C$11+(INT((J19*100-DATOS!$C$17+DATOS!$C$13)/DATOS!$C$16)-1)*DATOS!$C$13))/2,J19*100/2))/DATOS!$C$16,1))&lt;=0,"CUMPLE (basta el macizo de orilla)","MACIZAR "&amp;MAX(0,CEILING((IF(D19="VOLADO",(N19-(CN19*1E5/DATOS!$C$16-DATOS!$C$55*BA19)*100/Y19),IF(CN19&lt;=AX19,N19,N19/2-(CN19-AX19)/MAX(CM19-AX19,1E-9)*(N19/2-BR19)))-IF(INT((J19*100-DATOS!$C$17+DATOS!$C$13)/DATOS!$C$16)&gt;0,(J19*100-DATOS!$C$17-(INT((J19*100-DATOS!$C$17+DATOS!$C$13)/DATOS!$C$16)*DATOS!$C$11+(INT((J19*100-DATOS!$C$17+DATOS!$C$13)/DATOS!$C$16)-1)*DATOS!$C$13))/2,J19*100/2))/DATOS!$C$16,1))&amp;" hilera(s)")))</f>
        <v>MACIZAR 1 hilera(s)</v>
      </c>
      <c r="CP19" s="43">
        <f>IF(D19="PERIMETRAL",((PRINCIPALES!$N$17*PRINCIPALES!$O$17^3/12/(3.425*100*IF(APOYOS!$G$69="CONTINUO",1,0.5)*DATOS!$C$77^3/12))+(PRINCIPALES!$N$22*PRINCIPALES!$O$22^3/12/(3.425*100*IF(APOYOS!$G$70="CONTINUO",1,0.5)*DATOS!$C$77^3/12))+(PRINCIPALES!$N$25*PRINCIPALES!$O$25^3/12/(2.000*100*IF(APOYOS!$G$71="CONTINUO",1,0.5)*DATOS!$C$77^3/12))+99)/4,0)</f>
        <v>0</v>
      </c>
      <c r="CQ19" s="57">
        <f>IF(D19="PERIMETRAL",IF(CP19&gt;2,MAX(9,O19*(0.8+DATOS!$C$40/14000)/(36+9*(O19/MAX(N19,1)))),IF(CP19&gt;0.2,MAX(13,O19*(0.8+DATOS!$C$40/14000)/(36+5*(O19/MAX(N19,1))*(CP19-0.2))),MAX(13,O19/IF(Z19&gt;0,30,33))))*IF(AND(CP19&gt;0.2,OR(AND((APOYOS!$G$69="DISCONTINUO"),(PRINCIPALES!$N$17*PRINCIPALES!$O$17^3/12/(3.425*100*IF(APOYOS!$G$69="CONTINUO",1,0.5)*DATOS!$C$77^3/12))&lt;0.8),AND((APOYOS!$G$70="DISCONTINUO"),(PRINCIPALES!$N$22*PRINCIPALES!$O$22^3/12/(3.425*100*IF(APOYOS!$G$70="CONTINUO",1,0.5)*DATOS!$C$77^3/12))&lt;0.8),AND((APOYOS!$G$71="DISCONTINUO"),(PRINCIPALES!$N$25*PRINCIPALES!$O$25^3/12/(2.000*100*IF(APOYOS!$G$71="CONTINUO",1,0.5)*DATOS!$C$77^3/12))&lt;0.8),AND((APOYOS!$G$72="DISCONTINUO"),99&lt;0.8))),1.1,1),IF(D19="VOLADO",MAX(25,J19*100/8),0))</f>
        <v>25</v>
      </c>
      <c r="CR19" s="57">
        <f>IF(D19="VOLADO",DATOS!$C$15,DATOS!$C$77)</f>
        <v>25</v>
      </c>
      <c r="CS19" s="52" t="str">
        <f>IF(D19="HUECO","—",IF(CR19&gt;=CQ19,"CUMPLE",IF(D19="VOLADO","NO CUMPLE","CALCULAR FLECHA")))</f>
        <v>CUMPLE</v>
      </c>
      <c r="CT19" s="52" t="str">
        <f>IF(D19="HUECO","—",IF(DATOS!$C$14&gt;=IF(IF(D19="VOLADO",J19,K19)&gt;=6,6,5),"CUMPLE","CAPA ≥ 6 cm"))</f>
        <v>CUMPLE</v>
      </c>
      <c r="CU19" s="59">
        <f>CEILING(MAX(IF((0.5*(0.9*DATOS!$C$70*DATOS!$C$16/100/1000)*3.029+BC19/3.029)^2-4*(0.5*(0.9*DATOS!$C$70*DATOS!$C$16/100/1000))*BC19&lt;0,3.029,MIN(3.029,((0.5*(0.9*DATOS!$C$70*DATOS!$C$16/100/1000)*3.029+BC19/3.029)-SQRT((0.5*(0.9*DATOS!$C$70*DATOS!$C$16/100/1000)*3.029+BC19/3.029)^2-4*(0.5*(0.9*DATOS!$C$70*DATOS!$C$16/100/1000))*BC19))/(2*(0.5*(0.9*DATOS!$C$70*DATOS!$C$16/100/1000)))))*100+MAX(BR19,12*INDEX(TABLAS!$C$52:$C$58,MATCH(BP19,TABLAS!$B$52:$B$58,0)),302.9/16),IF(OR(S19&lt;INDEX(TABLAS!$C$52:$C$58,MATCH(BP19,TABLAS!$B$52:$B$58,0)),AND(BQ19&gt;=2,(DATOS!$C$13-2*S19-2*IF(DATOS!$C$25=0,0,INDEX(TABLAS!$C$52:$C$58,MATCH(DATOS!$C$25,TABLAS!$B$52:$B$58,0)))-BQ19*INDEX(TABLAS!$C$52:$C$58,MATCH(BP19,TABLAS!$B$52:$B$58,0)))/MAX(BQ19-1,1)&lt;2*INDEX(TABLAS!$C$52:$C$58,MATCH(BP19,TABLAS!$B$52:$B$58,0)))),INDEX(TABLAS!$I$52:$I$58,MATCH(BP19,TABLAS!$B$52:$B$58,0)),INDEX(TABLAS!$F$52:$F$58,MATCH(BP19,TABLAS!$B$52:$B$58,0)))),5)</f>
        <v>335</v>
      </c>
      <c r="CV19" s="56" t="n">
        <v>0</v>
      </c>
      <c r="CW19" s="56">
        <f>MAX(0,INT((F19*100-DATOS!$C$17+DATOS!$C$13)/DATOS!$C$16))</f>
        <v>2</v>
      </c>
      <c r="CX19" s="56">
        <f>MAX(0,INT((G19*100-DATOS!$C$17+DATOS!$C$13)/DATOS!$C$16))</f>
        <v>4</v>
      </c>
      <c r="CY19" s="51" t="str">
        <f>IF(COUNTIFS(TRIB!$C$6:$C$255,B19,TRIB!$K$6:$K$255,"NO CUMPLE*")+COUNTIFS(TRIB!$C$6:$C$255,B19,TRIB!$K$6:$K$255,"SIN APOYO*")&gt;0,"VER PRINCIPALES",IF((APOYOS!$F$69="LIBRE")+(APOYOS!$F$70="LIBRE")+(APOYOS!$F$71="LIBRE")+(APOYOS!$F$72="LIBRE")&gt;0,"REVISAR: borde libre","OK"))</f>
        <v>OK</v>
      </c>
      <c r="CZ19" s="64" t="str">
        <f>IF(D19="HUECO","HUECO — marco de nervaduras principales",IF(AND(MAX(BL19,BT19,CB19,CJ19)&lt;=1,NOT(OR(BI19&gt;MIN(DATOS!$C$28,INT(((DATOS!$C$13-2*R19-2*IF(DATOS!$C$25=0,0,INDEX(TABLAS!$C$52:$C$58,MATCH(DATOS!$C$25,TABLAS!$B$52:$B$58,0))))+DATOS!$C$32)/(INDEX(TABLAS!$C$52:$C$58,MATCH(BH19,TABLAS!$B$52:$B$58,0))+DATOS!$C$32))),BQ19&gt;MIN(DATOS!$C$28,INT(((DATOS!$C$13-2*S19-2*IF(DATOS!$C$25=0,0,INDEX(TABLAS!$C$52:$C$58,MATCH(DATOS!$C$25,TABLAS!$B$52:$B$58,0))))+DATOS!$C$32)/(INDEX(TABLAS!$C$52:$C$58,MATCH(BP19,TABLAS!$B$52:$B$58,0))+DATOS!$C$32))),BY19&gt;MIN(DATOS!$C$28,INT(((DATOS!$C$13-2*R19-2*IF(DATOS!$C$25=0,0,INDEX(TABLAS!$C$52:$C$58,MATCH(DATOS!$C$25,TABLAS!$B$52:$B$58,0))))+DATOS!$C$32)/(INDEX(TABLAS!$C$52:$C$58,MATCH(BX19,TABLAS!$B$52:$B$58,0))+DATOS!$C$32))),CG19&gt;MIN(DATOS!$C$28,INT(((DATOS!$C$13-2*S19-2*IF(DATOS!$C$25=0,0,INDEX(TABLAS!$C$52:$C$58,MATCH(DATOS!$C$25,TABLAS!$B$52:$B$58,0))))+DATOS!$C$32)/(INDEX(TABLAS!$C$52:$C$58,MATCH(CF19,TABLAS!$B$52:$B$58,0))+DATOS!$C$32))))),NOT(OR(AND(ISNUMBER(BM19),BM19&lt;0.005),AND(ISNUMBER(BU19),BU19&lt;0.005),AND(ISNUMBER(CC19),CC19&lt;0.005),AND(ISNUMBER(CK19),CK19&lt;0.005))),CS19="CUMPLE",CT19="CUMPLE"),IF(CY19="OK",IF(LEFT(CO19,6)="CUMPLE","CUMPLE","CUMPLE — "&amp;CO19)&amp;IF(LEFT(AZ19,5)="FUERA"," · fuera de 3.4.2.1 c)",""),IF(CY19="VER PRINCIPALES","VER PRINCIPALES","REVISAR APOYOS")),IF(AND(MAX(BL19,BT19,CB19,CJ19)&lt;=1,NOT(OR(BI19&gt;MIN(DATOS!$C$28,INT(((DATOS!$C$13-2*R19-2*IF(DATOS!$C$25=0,0,INDEX(TABLAS!$C$52:$C$58,MATCH(DATOS!$C$25,TABLAS!$B$52:$B$58,0))))+DATOS!$C$32)/(INDEX(TABLAS!$C$52:$C$58,MATCH(BH19,TABLAS!$B$52:$B$58,0))+DATOS!$C$32))),BQ19&gt;MIN(DATOS!$C$28,INT(((DATOS!$C$13-2*S19-2*IF(DATOS!$C$25=0,0,INDEX(TABLAS!$C$52:$C$58,MATCH(DATOS!$C$25,TABLAS!$B$52:$B$58,0))))+DATOS!$C$32)/(INDEX(TABLAS!$C$52:$C$58,MATCH(BP19,TABLAS!$B$52:$B$58,0))+DATOS!$C$32))),BY19&gt;MIN(DATOS!$C$28,INT(((DATOS!$C$13-2*R19-2*IF(DATOS!$C$25=0,0,INDEX(TABLAS!$C$52:$C$58,MATCH(DATOS!$C$25,TABLAS!$B$52:$B$58,0))))+DATOS!$C$32)/(INDEX(TABLAS!$C$52:$C$58,MATCH(BX19,TABLAS!$B$52:$B$58,0))+DATOS!$C$32))),CG19&gt;MIN(DATOS!$C$28,INT(((DATOS!$C$13-2*S19-2*IF(DATOS!$C$25=0,0,INDEX(TABLAS!$C$52:$C$58,MATCH(DATOS!$C$25,TABLAS!$B$52:$B$58,0))))+DATOS!$C$32)/(INDEX(TABLAS!$C$52:$C$58,MATCH(CF19,TABLAS!$B$52:$B$58,0))+DATOS!$C$32))))),NOT(OR(AND(ISNUMBER(BM19),BM19&lt;0.005),AND(ISNUMBER(BU19),BU19&lt;0.005),AND(ISNUMBER(CC19),CC19&lt;0.005),AND(ISNUMBER(CK19),CK19&lt;0.005))),CS19="CALCULAR FLECHA"),"REVISAR: calcular flecha (h_eq &lt; h mín.)","NO CUMPLE: "&amp;IF(MAX(BL19,BT19,CB19,CJ19)&gt;1,"flexión ","")&amp;IF(OR(BI19&gt;MIN(DATOS!$C$28,INT(((DATOS!$C$13-2*R19-2*IF(DATOS!$C$25=0,0,INDEX(TABLAS!$C$52:$C$58,MATCH(DATOS!$C$25,TABLAS!$B$52:$B$58,0))))+DATOS!$C$32)/(INDEX(TABLAS!$C$52:$C$58,MATCH(BH19,TABLAS!$B$52:$B$58,0))+DATOS!$C$32))),BQ19&gt;MIN(DATOS!$C$28,INT(((DATOS!$C$13-2*S19-2*IF(DATOS!$C$25=0,0,INDEX(TABLAS!$C$52:$C$58,MATCH(DATOS!$C$25,TABLAS!$B$52:$B$58,0))))+DATOS!$C$32)/(INDEX(TABLAS!$C$52:$C$58,MATCH(BP19,TABLAS!$B$52:$B$58,0))+DATOS!$C$32))),BY19&gt;MIN(DATOS!$C$28,INT(((DATOS!$C$13-2*R19-2*IF(DATOS!$C$25=0,0,INDEX(TABLAS!$C$52:$C$58,MATCH(DATOS!$C$25,TABLAS!$B$52:$B$58,0))))+DATOS!$C$32)/(INDEX(TABLAS!$C$52:$C$58,MATCH(BX19,TABLAS!$B$52:$B$58,0))+DATOS!$C$32))),CG19&gt;MIN(DATOS!$C$28,INT(((DATOS!$C$13-2*S19-2*IF(DATOS!$C$25=0,0,INDEX(TABLAS!$C$52:$C$58,MATCH(DATOS!$C$25,TABLAS!$B$52:$B$58,0))))+DATOS!$C$32)/(INDEX(TABLAS!$C$52:$C$58,MATCH(CF19,TABLAS!$B$52:$B$58,0))+DATOS!$C$32)))),"no caben ","")&amp;IF(OR(AND(ISNUMBER(BM19),BM19&lt;0.005),AND(ISNUMBER(BU19),BU19&lt;0.005),AND(ISNUMBER(CC19),CC19&lt;0.005),AND(ISNUMBER(CK19),CK19&lt;0.005)),"ε_t &lt; 0.005 ","")&amp;IF(CS19="NO CUMPLE","peralte ","")&amp;IF(CT19&lt;&gt;"CUMPLE","capa &lt; 6 cm",""))))</f>
        <v>NO CUMPLE: no caben ε_t &lt; 0.005 </v>
      </c>
      <c r="DA19" s="65" t="str">
        <f>IF(AND(D19="PERIMETRAL",MIN(CW19,CX19)=0),"Tablero macizo (no cabe un casetón en el claro corto): no aplica 6.7.8. La resistencia se revisa con una nervadura de 10 cm cada 70 cm y r_np (conservador); "&amp;"como losa maciza lleva además As,mín = 0.0018·Ag en cada dirección cerca de la cara a tensión (6.7.6.1.1, p. 175). ",IF(AND(CL19="NO",D19="PERIMETRAL"),"No cumple 6.7.8.1.4 (a_c = "&amp;DATOS!$C$11&amp;" cm &gt; claro corto/6 = "&amp;TEXT(J19*100/6,"0")&amp;" cm): se diseña como losa apoyada en vigas (6.7.8.1.9): nervaduras con recubrimiento de viga r_np = "&amp;DATOS!$C$22&amp;" cm (Tabla 4.14.16.a), V_cR sin ×1.1 y cortante sin estribos por 5.5.3.8.1 (criterio del Proyectista). Para que cuente como encasetonada: casetón de "&amp;TEXT(FLOOR(MIN(80,J19*100/6),1),"0")&amp;" cm o menor. ",""))&amp;IF(LEFT(AZ19,5)="FUERA","M⁻ del borde común "&amp;AZ19&amp;": difieren más de 50% (3.4.2.1 c); se distribuyen 2/3 del desequilibrio (3.4.3.1) y conviene confirmar los momentos con el modelo. ","")&amp;"Volado de 2.00 m desde el borde derecho (muro); orilla libre con 333.7 kg/m del E2K. Cara inferior a la intemperie (r = r_ext); cara superior a la intemperie si DATOS lo indica (r = r_ext). Si la oril"&amp;"la lleva pretil de block u otro elemento frágil, el L/8 no basta: calcular flecha (13.4). Bastón superior: se prolonga hacia el claro de respaldo (3.03 m) hasta pasar el punto donde se anula el moment"&amp;"o con 0.9·PP y sin carga viva (NTC-Criterios 3.4.1 c y 5.1.2.2)."</f>
        <v>Volado de 2.00 m desde el borde derecho (muro); orilla libre con 333.7 kg/m del E2K. Cara inferior a la intemperie (r = r_ext); cara superior a la intemperie si DATOS lo indica (r = r_ext). Si la orilla lleva pretil de block u otro elemento frágil, el L/8 no basta: calcular flecha (13.4). Bastón superior: se prolonga hacia el claro de respaldo (3.03 m) hasta pasar el punto donde se anula el momento con 0.9·PP y sin carga viva (NTC-Criterios 3.4.1 c y 5.1.2.2).</v>
      </c>
    </row>
    <row r="20" ht="30" customHeight="1">
      <c r="B20" s="51" t="inlineStr">
        <is>
          <t>F80013 N+3.00</t>
        </is>
      </c>
      <c r="C20" s="52" t="inlineStr">
        <is>
          <t>N+3.00</t>
        </is>
      </c>
      <c r="D20" s="53" t="inlineStr">
        <is>
          <t>PERIMETRAL</t>
        </is>
      </c>
      <c r="E20" s="53" t="inlineStr">
        <is>
          <t>HABITACIÓN</t>
        </is>
      </c>
      <c r="F20" s="54" t="n">
        <v>0.897</v>
      </c>
      <c r="G20" s="54" t="n">
        <v>1.999</v>
      </c>
      <c r="H20" s="55" t="n">
        <v>0.897</v>
      </c>
      <c r="I20" s="55" t="n">
        <v>1.999</v>
      </c>
      <c r="J20" s="36">
        <f>MIN(H20,I20)</f>
        <v>0.897</v>
      </c>
      <c r="K20" s="36">
        <f>MAX(H20,I20)</f>
        <v>1.999</v>
      </c>
      <c r="L20" s="36">
        <f>IF(K20&gt;0,J20/K20,0)</f>
        <v>0.448724362181091</v>
      </c>
      <c r="M20" s="52" t="str">
        <f>IF(H20&lt;=I20,"X","Y")</f>
        <v>X</v>
      </c>
      <c r="N20" s="56">
        <f>MAX(0,J20*100-IF(D20="VOLADO",DATOS!$C$17/2,DATOS!$C$17))</f>
        <v>74.7</v>
      </c>
      <c r="O20" s="56">
        <f>MAX(0,K20*100-DATOS!$C$17)</f>
        <v>184.9</v>
      </c>
      <c r="P20" s="57">
        <f>MIN(DATOS!$C$16,DATOS!$C$13+2*MIN(8*DATOS!$C$14,DATOS!$C$11/2,N20/8))</f>
        <v>28.675</v>
      </c>
      <c r="Q20" s="57">
        <f>MIN(DATOS!$C$16,DATOS!$C$13+2*MIN(8*DATOS!$C$14,DATOS!$C$11/2,O20/8))</f>
        <v>56.225</v>
      </c>
      <c r="R20" s="57">
        <f>IF(D20="VOLADO",DATOS!$C$21,IF(CL20="NO",DATOS!$C$22,DATOS!$C$20))</f>
        <v>4</v>
      </c>
      <c r="S20" s="57">
        <f>IF(OR(AND(C20="N+6.00",DATOS!$C$23="SÍ"),AND(D20="VOLADO",DATOS!$C$24="SÍ")),DATOS!$C$21,IF(CL20="NO",DATOS!$C$22,DATOS!$C$20))</f>
        <v>4</v>
      </c>
      <c r="T20" s="58" t="n">
        <v>160</v>
      </c>
      <c r="U20" s="56">
        <f>IF(E20="HABITACIÓN",DATOS!$C$89,DATOS!$C$92)</f>
        <v>190</v>
      </c>
      <c r="V20" s="56">
        <f>CARGAS!$C$9</f>
        <v>293.673469387755</v>
      </c>
      <c r="W20" s="56">
        <f>V20+T20</f>
        <v>453.673469387755</v>
      </c>
      <c r="X20" s="56">
        <f>W20+U20</f>
        <v>643.673469387755</v>
      </c>
      <c r="Y20" s="59">
        <f>MAX(DATOS!$C$55*W20+DATOS!$C$56*U20,IF(E20="AZOTEA",DATOS!$C$57*(W20+DATOS!$C$97),0))</f>
        <v>874.775510204082</v>
      </c>
      <c r="Z20" s="56">
        <f>(APOYOS!$G$73="DISCONTINUO")+(APOYOS!$G$74="DISCONTINUO")+(APOYOS!$G$75="DISCONTINUO")+(APOYOS!$G$76="DISCONTINUO")</f>
        <v>0</v>
      </c>
      <c r="AA20" s="56">
        <f>IF(M20="X",(APOYOS!$G$73="DISCONTINUO")+(APOYOS!$G$74="DISCONTINUO"),(APOYOS!$G$75="DISCONTINUO")+(APOYOS!$G$76="DISCONTINUO"))</f>
        <v>0</v>
      </c>
      <c r="AB20" s="56">
        <f>Z20-AA20</f>
        <v>0</v>
      </c>
      <c r="AC20" s="52" t="str">
        <f>IF(Z20=0,"INTERIOR",IF(Z20=1,IF(AA20=1,"BORDE-CORTO","BORDE-LARGO"),IF(Z20=2,IF(AA20=1,"ESQUINA",IF(AA20=2,"EXTREMO-LARGO","EXTREMO-CORTO")),IF(Z20=3,IF(AA20=2,"EXTREMO-LARGO","EXTREMO-CORTO"),"AISLADO"))))</f>
        <v>INTERIOR</v>
      </c>
      <c r="AD20" s="53" t="inlineStr">
        <is>
          <t>AUTO</t>
        </is>
      </c>
      <c r="AE20" s="60" t="str">
        <f>IF(AD20="AUTO",AC20,AD20)</f>
        <v>INTERIOR</v>
      </c>
      <c r="AF20" s="56">
        <f>MATCH(L20,TABLAS!$D$5:$J$5,1)</f>
        <v>1</v>
      </c>
      <c r="AG20" s="43">
        <f>IF(AF20&gt;=7,0,(L20-INDEX(TABLAS!$D$5:$J$5,AF20))/(INDEX(TABLAS!$D$5:$J$5,AF20+1)-INDEX(TABLAS!$D$5:$J$5,AF20)))</f>
        <v>0.897448724362181</v>
      </c>
      <c r="AH20" s="56">
        <f>INDEX(TABLAS!$D$6:$J$47,MATCH(AE20&amp;"|NIC",TABLAS!$B$6:$B$47,0),AF20)+AG20*(INDEX(TABLAS!$D$6:$J$47,MATCH(AE20&amp;"|NIC",TABLAS!$B$6:$B$47,0),MIN(AF20+1,7))-INDEX(TABLAS!$D$6:$J$47,MATCH(AE20&amp;"|NIC",TABLAS!$B$6:$B$47,0),AF20))</f>
        <v>1143.38669334667</v>
      </c>
      <c r="AI20" s="56">
        <f>INDEX(TABLAS!$D$6:$J$47,MATCH(AE20&amp;"|NIL",TABLAS!$B$6:$B$47,0),AF20)+AG20*(INDEX(TABLAS!$D$6:$J$47,MATCH(AE20&amp;"|NIL",TABLAS!$B$6:$B$47,0),MIN(AF20+1,7))-INDEX(TABLAS!$D$6:$J$47,MATCH(AE20&amp;"|NIL",TABLAS!$B$6:$B$47,0),AF20))</f>
        <v>546.513256628314</v>
      </c>
      <c r="AJ20" s="56">
        <f>INDEX(TABLAS!$D$6:$J$47,MATCH(AE20&amp;"|NDC",TABLAS!$B$6:$B$47,0),AF20)+AG20*(INDEX(TABLAS!$D$6:$J$47,MATCH(AE20&amp;"|NDC",TABLAS!$B$6:$B$47,0),MIN(AF20+1,7))-INDEX(TABLAS!$D$6:$J$47,MATCH(AE20&amp;"|NDC",TABLAS!$B$6:$B$47,0),AF20))</f>
        <v>0</v>
      </c>
      <c r="AK20" s="56">
        <f>INDEX(TABLAS!$D$6:$J$47,MATCH(AE20&amp;"|NDL",TABLAS!$B$6:$B$47,0),AF20)+AG20*(INDEX(TABLAS!$D$6:$J$47,MATCH(AE20&amp;"|NDL",TABLAS!$B$6:$B$47,0),MIN(AF20+1,7))-INDEX(TABLAS!$D$6:$J$47,MATCH(AE20&amp;"|NDL",TABLAS!$B$6:$B$47,0),AF20))</f>
        <v>0</v>
      </c>
      <c r="AL20" s="56">
        <f>INDEX(TABLAS!$D$6:$J$47,MATCH(AE20&amp;"|PC",TABLAS!$B$6:$B$47,0),AF20)+AG20*(INDEX(TABLAS!$D$6:$J$47,MATCH(AE20&amp;"|PC",TABLAS!$B$6:$B$47,0),MIN(AF20+1,7))-INDEX(TABLAS!$D$6:$J$47,MATCH(AE20&amp;"|PC",TABLAS!$B$6:$B$47,0),AF20))</f>
        <v>344.611305652826</v>
      </c>
      <c r="AM20" s="56">
        <f>INDEX(TABLAS!$D$6:$J$47,MATCH(AE20&amp;"|PL",TABLAS!$B$6:$B$47,0),AF20)+AG20*(INDEX(TABLAS!$D$6:$J$47,MATCH(AE20&amp;"|PL",TABLAS!$B$6:$B$47,0),MIN(AF20+1,7))-INDEX(TABLAS!$D$6:$J$47,MATCH(AE20&amp;"|PL",TABLAS!$B$6:$B$47,0),AF20))</f>
        <v>142.691845922961</v>
      </c>
      <c r="AN20" s="36">
        <f>IF(D20="PERIMETRAL",IF(APOYOS!$G$73="CONTINUO",IF(M20="Y",AH20,AI20),IF(M20="Y",AJ20,AK20))*Y20*J20^2*1E-4*DATOS!$C$16/100/1000,0)</f>
        <v>0.0269265209155124</v>
      </c>
      <c r="AO20" s="36">
        <f>IF(D20="PERIMETRAL",IF(APOYOS!$G$74="CONTINUO",IF(M20="Y",AH20,AI20),IF(M20="Y",AJ20,AK20))*Y20*J20^2*1E-4*DATOS!$C$16/100/1000,0)</f>
        <v>0.0269265209155124</v>
      </c>
      <c r="AP20" s="36">
        <f>IF(D20="PERIMETRAL",IF(APOYOS!$G$75="CONTINUO",IF(M20="X",AH20,AI20),IF(M20="X",AJ20,AK20))*Y20*J20^2*1E-4*DATOS!$C$16/100/1000,0)</f>
        <v>0.0563342706503758</v>
      </c>
      <c r="AQ20" s="36">
        <f>IF(D20="PERIMETRAL",IF(APOYOS!$G$76="CONTINUO",IF(M20="X",AH20,AI20),IF(M20="X",AJ20,AK20))*Y20*J20^2*1E-4*DATOS!$C$16/100/1000,0)</f>
        <v>0.0563342706503758</v>
      </c>
      <c r="AR20" s="56">
        <f>IF(D20="PERIMETRAL",IF(M20="X",BN20,CD20)^3/(J20*100),0)</f>
        <v>81.2594332315385</v>
      </c>
      <c r="AS20" s="56">
        <f>IF(D20="PERIMETRAL",IF(M20="Y",BN20,CD20)^3/(J20*100),0)</f>
        <v>66.3147645391193</v>
      </c>
      <c r="AT20" s="36">
        <f>IF(D20="PERIMETRAL",MAX(0,IF(M20="Y",IF(AND(OR(APOYOS!$G$73="CONTINUO",APOYOS!$G$54="CONTINUO"),AN20&gt;0,AO15&gt;0,AO15&gt;AN20),AN20+2/3*(AO15-AN20)*AS20/MAX(AS20+AS15,1E-9),0),0),IF(M20="Y",IF(AND(APOYOS!$G$73="CONTINUO",AN20&gt;0,AO16&gt;0,AO16&gt;AN20),AN20+2/3*(AO16-AN20)*AS20/MAX(AS20+AS16,1E-9),0),0),IF(M20="Y",IF(AND(OR(APOYOS!$G$73="CONTINUO",APOYOS!$G$66="CONTINUO"),AN20&gt;0,AO18&gt;0,AO18&gt;AN20),AN20+2/3*(AO18-AN20)*AS20/MAX(AS20+AS18,1E-9),0),0),IF(M20="Y",IF(AND(OR(APOYOS!$G$74="CONTINUO",APOYOS!$G$93="CONTINUO"),AO20&gt;0,AN25&gt;0,AN25&gt;AO20),AO20+2/3*(AN25-AO20)*AS20/MAX(AS20+AS25,1E-9),0),0),IF(M20="X",IF(AND(OR(APOYOS!$G$75="CONTINUO",APOYOS!$G$54="CONTINUO"),AP20&gt;0,AO15&gt;0,AO15&gt;AP20),AP20+2/3*(AO15-AP20)*AR20/MAX(AR20+AR15,1E-9),0),0),IF(M20="X",IF(AND(OR(APOYOS!$G$76="CONTINUO",APOYOS!$G$67="CONTINUO"),AQ20&gt;0,AP18&gt;0,AP18&gt;AQ20),AQ20+2/3*(AP18-AQ20)*AR20/MAX(AR20+AR18,1E-9),0),0),IF(M20="X",IF(AND(OR(APOYOS!$G$76="CONTINUO",APOYOS!$G$83="CONTINUO"),AQ20&gt;0,AP22&gt;0,AP22&gt;AQ20),AQ20+2/3*(AP22-AQ20)*AR20/MAX(AR20+AR22,1E-9),0),0)),0)</f>
        <v>0.0899763595320191</v>
      </c>
      <c r="AU20" s="36">
        <f>IF(D20="PERIMETRAL",MAX(0,IF(M20&lt;&gt;"Y",IF(AND(OR(APOYOS!$G$73="CONTINUO",APOYOS!$G$54="CONTINUO"),AN20&gt;0,AO15&gt;0,AO15&gt;AN20),AN20+2/3*(AO15-AN20)*AS20/MAX(AS20+AS15,1E-9),0),0),IF(M20&lt;&gt;"Y",IF(AND(APOYOS!$G$73="CONTINUO",AN20&gt;0,AO16&gt;0,AO16&gt;AN20),AN20+2/3*(AO16-AN20)*AS20/MAX(AS20+AS16,1E-9),0),0),IF(M20&lt;&gt;"Y",IF(AND(OR(APOYOS!$G$73="CONTINUO",APOYOS!$G$66="CONTINUO"),AN20&gt;0,AO18&gt;0,AO18&gt;AN20),AN20+2/3*(AO18-AN20)*AS20/MAX(AS20+AS18,1E-9),0),0),IF(M20&lt;&gt;"Y",IF(AND(OR(APOYOS!$G$74="CONTINUO",APOYOS!$G$93="CONTINUO"),AO20&gt;0,AN25&gt;0,AN25&gt;AO20),AO20+2/3*(AN25-AO20)*AS20/MAX(AS20+AS25,1E-9),0),0),IF(M20&lt;&gt;"X",IF(AND(OR(APOYOS!$G$75="CONTINUO",APOYOS!$G$54="CONTINUO"),AP20&gt;0,AO15&gt;0,AO15&gt;AP20),AP20+2/3*(AO15-AP20)*AR20/MAX(AR20+AR15,1E-9),0),0),IF(M20&lt;&gt;"X",IF(AND(OR(APOYOS!$G$76="CONTINUO",APOYOS!$G$67="CONTINUO"),AQ20&gt;0,AP18&gt;0,AP18&gt;AQ20),AQ20+2/3*(AP18-AQ20)*AR20/MAX(AR20+AR18,1E-9),0),0),IF(M20&lt;&gt;"X",IF(AND(OR(APOYOS!$G$76="CONTINUO",APOYOS!$G$83="CONTINUO"),AQ20&gt;0,AP22&gt;0,AP22&gt;AQ20),AQ20+2/3*(AP22-AQ20)*AR20/MAX(AR20+AR22,1E-9),0),0)),0)</f>
        <v>0.236060745161643</v>
      </c>
      <c r="AV20" s="36">
        <f>IF(D20="PERIMETRAL",(IF(M20="Y",MAX(IF(AND(OR(APOYOS!$G$73="CONTINUO",APOYOS!$G$54="CONTINUO"),AN20&gt;0,AO15&gt;0,AN20&gt;AO15),2/3*(AN20-AO15)*AS20/MAX(AS20+AS15,1E-9),0),IF(AND(APOYOS!$G$73="CONTINUO",AN20&gt;0,AO16&gt;0,AN20&gt;AO16),2/3*(AN20-AO16)*AS20/MAX(AS20+AS16,1E-9),0),IF(AND(OR(APOYOS!$G$73="CONTINUO",APOYOS!$G$66="CONTINUO"),AN20&gt;0,AO18&gt;0,AN20&gt;AO18),2/3*(AN20-AO18)*AS20/MAX(AS20+AS18,1E-9),0)),0)+IF(M20="Y",IF(AND(OR(APOYOS!$G$74="CONTINUO",APOYOS!$G$93="CONTINUO"),AO20&gt;0,AN25&gt;0,AO20&gt;AN25),2/3*(AO20-AN25)*AS20/MAX(AS20+AS25,1E-9),0),0)+IF(M20="X",IF(AND(OR(APOYOS!$G$75="CONTINUO",APOYOS!$G$54="CONTINUO"),AP20&gt;0,AO15&gt;0,AP20&gt;AO15),2/3*(AP20-AO15)*AR20/MAX(AR20+AR15,1E-9),0),0)+IF(M20="X",MAX(IF(AND(OR(APOYOS!$G$76="CONTINUO",APOYOS!$G$67="CONTINUO"),AQ20&gt;0,AP18&gt;0,AQ20&gt;AP18),2/3*(AQ20-AP18)*AR20/MAX(AR20+AR18,1E-9),0),IF(AND(OR(APOYOS!$G$76="CONTINUO",APOYOS!$G$83="CONTINUO"),AQ20&gt;0,AP22&gt;0,AQ20&gt;AP22),2/3*(AQ20-AP22)*AR20/MAX(AR20+AR22,1E-9),0)),0))/2,0)</f>
        <v>0.00595814649482497</v>
      </c>
      <c r="AW20" s="36">
        <f>IF(D20="PERIMETRAL",(IF(M20&lt;&gt;"Y",MAX(IF(AND(OR(APOYOS!$G$73="CONTINUO",APOYOS!$G$54="CONTINUO"),AN20&gt;0,AO15&gt;0,AN20&gt;AO15),2/3*(AN20-AO15)*AS20/MAX(AS20+AS15,1E-9),0),IF(AND(APOYOS!$G$73="CONTINUO",AN20&gt;0,AO16&gt;0,AN20&gt;AO16),2/3*(AN20-AO16)*AS20/MAX(AS20+AS16,1E-9),0),IF(AND(OR(APOYOS!$G$73="CONTINUO",APOYOS!$G$66="CONTINUO"),AN20&gt;0,AO18&gt;0,AN20&gt;AO18),2/3*(AN20-AO18)*AS20/MAX(AS20+AS18,1E-9),0)),0)+IF(M20&lt;&gt;"Y",IF(AND(OR(APOYOS!$G$74="CONTINUO",APOYOS!$G$93="CONTINUO"),AO20&gt;0,AN25&gt;0,AO20&gt;AN25),2/3*(AO20-AN25)*AS20/MAX(AS20+AS25,1E-9),0),0)+IF(M20&lt;&gt;"X",IF(AND(OR(APOYOS!$G$75="CONTINUO",APOYOS!$G$54="CONTINUO"),AP20&gt;0,AO15&gt;0,AP20&gt;AO15),2/3*(AP20-AO15)*AR20/MAX(AR20+AR15,1E-9),0),0)+IF(M20&lt;&gt;"X",MAX(IF(AND(OR(APOYOS!$G$76="CONTINUO",APOYOS!$G$67="CONTINUO"),AQ20&gt;0,AP18&gt;0,AQ20&gt;AP18),2/3*(AQ20-AP18)*AR20/MAX(AR20+AR18,1E-9),0),IF(AND(OR(APOYOS!$G$76="CONTINUO",APOYOS!$G$83="CONTINUO"),AQ20&gt;0,AP22&gt;0,AQ20&gt;AP22),2/3*(AQ20-AP22)*AR20/MAX(AR20+AR22,1E-9),0)),0))/2,0)</f>
        <v>0.00140017810928596</v>
      </c>
      <c r="AX20" s="36">
        <f>IF(D20="PERIMETRAL",MAX(0,0),0)</f>
        <v>0</v>
      </c>
      <c r="AY20" s="52" t="str">
        <f>IF(D20&lt;&gt;"PERIMETRAL","",IF(OR(AND(OR(APOYOS!$G$73="CONTINUO",APOYOS!$G$54="CONTINUO"),AN20&gt;0,AO15&gt;0,ABS(AN20-AO15)&gt;0.5*MIN(AN20,AO15)),AND(OR(APOYOS!$G$75="CONTINUO",APOYOS!$G$54="CONTINUO"),AP20&gt;0,AO15&gt;0,ABS(AP20-AO15)&gt;0.5*MIN(AP20,AO15)))," F80008","")&amp;IF(AND(APOYOS!$G$73="CONTINUO",AN20&gt;0,AO16&gt;0,ABS(AN20-AO16)&gt;0.5*MIN(AN20,AO16))," F80009","")&amp;IF(OR(AND(OR(APOYOS!$G$73="CONTINUO",APOYOS!$G$66="CONTINUO"),AN20&gt;0,AO18&gt;0,ABS(AN20-AO18)&gt;0.5*MIN(AN20,AO18)),AND(OR(APOYOS!$G$76="CONTINUO",APOYOS!$G$67="CONTINUO"),AQ20&gt;0,AP18&gt;0,ABS(AQ20-AP18)&gt;0.5*MIN(AQ20,AP18)))," F80011","")&amp;IF(AND(OR(APOYOS!$G$74="CONTINUO",APOYOS!$G$93="CONTINUO"),AO20&gt;0,AN25&gt;0,ABS(AO20-AN25)&gt;0.5*MIN(AO20,AN25))," F80018","")&amp;IF(AND(OR(APOYOS!$G$76="CONTINUO",APOYOS!$G$83="CONTINUO"),AQ20&gt;0,AP22&gt;0,ABS(AQ20-AP22)&gt;0.5*MIN(AQ20,AP22))," F80015",""))</f>
        <v> F80008 F80009 F80011 F80018 F80015</v>
      </c>
      <c r="AZ20" s="52" t="str">
        <f>IF(D20&lt;&gt;"PERIMETRAL","—",IF(AY20="","CUMPLE","FUERA con"&amp;AY20)&amp;IF(AND(D15="PERIMETRAL",APOYOS!$G$73&lt;&gt;APOYOS!$G$54)," · continuidad asimétrica con F80008 (cada uno con su momento; revisar APOYOS)","")&amp;IF(AND(D18="PERIMETRAL",APOYOS!$G$73&lt;&gt;APOYOS!$G$66)," · continuidad asimétrica con F80011 (cada uno con su momento; revisar APOYOS)","")&amp;IF(AND(D25="PERIMETRAL",APOYOS!$G$74&lt;&gt;APOYOS!$G$93)," · continuidad asimétrica con F80018 (cada uno con su momento; revisar APOYOS)","")&amp;IF(AND(D22="PERIMETRAL",APOYOS!$G$76&lt;&gt;APOYOS!$G$83)," · continuidad asimétrica con F80015 (cada uno con su momento; revisar APOYOS)",""))</f>
        <v>FUERA con F80008 F80009 F80011 F80018 F80015</v>
      </c>
      <c r="BA20" s="61" t="n">
        <v>0</v>
      </c>
      <c r="BB20" s="36">
        <f>IF(D20="PERIMETRAL",AL20*Y20*J20^2*1E-4*DATOS!$C$16/100/1000+AV20,0)</f>
        <v>0.0229370274585372</v>
      </c>
      <c r="BC20" s="36">
        <f>IF(D20="PERIMETRAL",MAX(MAX(AH20,AJ20)*Y20*J20^2*1E-4*DATOS!$C$16/100/1000,AT20),IF(D20="VOLADO",(Y20*(N20/100)^2/2+DATOS!$C$55*BA20*N20/100)*DATOS!$C$16/100/1000,0))</f>
        <v>0.0899763595320191</v>
      </c>
      <c r="BD20" s="36">
        <f>IF(D20="PERIMETRAL",AM20*Y20*J20^2*1E-4*DATOS!$C$16/100/1000+AW20,0)</f>
        <v>0.00843055647086848</v>
      </c>
      <c r="BE20" s="36">
        <f>IF(D20="PERIMETRAL",MAX(MAX(AI20,AK20)*Y20*J20^2*1E-4*DATOS!$C$16/100/1000,AU20),0)</f>
        <v>0.236060745161643</v>
      </c>
      <c r="BF20" s="43">
        <f>(DATOS!$C$15-R20-IF(DATOS!$C$25=0,0,INDEX(TABLAS!$C$52:$C$58,MATCH(DATOS!$C$25,TABLAS!$B$52:$B$58,0)))-INDEX(TABLAS!$C$52:$C$58,MATCH(DATOS!$C$26,TABLAS!$B$52:$B$58,0))/2)</f>
        <v>20.365</v>
      </c>
      <c r="BG20" s="43">
        <f>IF(D20="HUECO",0,IF(IF(BB20&lt;=0,0,IF((1-2*BB20*1E5/(DATOS!$C$58*P20*BF20^2*DATOS!$C$48))&lt;0,-1,IF((1-SQRT((1-2*BB20*1E5/(DATOS!$C$58*P20*BF20^2*DATOS!$C$48))))*DATOS!$C$48*P20*BF20/DATOS!$C$40&gt;DATOS!$C$82*P20*BF20,-1,(1-SQRT((1-2*BB20*1E5/(DATOS!$C$58*P20*BF20^2*DATOS!$C$48))))*DATOS!$C$48*P20*BF20/DATOS!$C$40)))&lt;0,-1,MAX(IF(BB20&lt;=0,0,IF((1-2*BB20*1E5/(DATOS!$C$58*P20*BF20^2*DATOS!$C$48))&lt;0,-1,IF((1-SQRT((1-2*BB20*1E5/(DATOS!$C$58*P20*BF20^2*DATOS!$C$48))))*DATOS!$C$48*P20*BF20/DATOS!$C$40&gt;DATOS!$C$82*P20*BF20,-1,(1-SQRT((1-2*BB20*1E5/(DATOS!$C$58*P20*BF20^2*DATOS!$C$48))))*DATOS!$C$48*P20*BF20/DATOS!$C$40))),MIN(DATOS!$C$83*DATOS!$C$13*BF20,4/3*IF(BB20&lt;=0,0,IF((1-2*BB20*1E5/(DATOS!$C$58*P20*BF20^2*DATOS!$C$48))&lt;0,-1,IF((1-SQRT((1-2*BB20*1E5/(DATOS!$C$58*P20*BF20^2*DATOS!$C$48))))*DATOS!$C$48*P20*BF20/DATOS!$C$40&gt;DATOS!$C$82*P20*BF20,-1,(1-SQRT((1-2*BB20*1E5/(DATOS!$C$58*P20*BF20^2*DATOS!$C$48))))*DATOS!$C$48*P20*BF20/DATOS!$C$40)))))))</f>
        <v>0.0397483229145229</v>
      </c>
      <c r="BH20" s="41">
        <f>IF(AND(BG20&gt;=0,IF(MAX(DATOS!$C$29,CEILING(BG20/INDEX(TABLAS!$D$52:$D$58,MIN(MATCH(DATOS!$C$26,TABLAS!$B$52:$B$58,0)+0,7)),1))*INDEX(TABLAS!$D$52:$D$58,MIN(MATCH(DATOS!$C$26,TABLAS!$B$52:$B$58,0)+0,7))&gt;=4/3*IF(BB20&lt;=0,0,IF((1-2*BB20*1E5/(DATOS!$C$58*P20*BF20^2*DATOS!$C$48))&lt;0,-1,IF((1-SQRT((1-2*BB20*1E5/(DATOS!$C$58*P20*BF20^2*DATOS!$C$48))))*DATOS!$C$48*P20*BF20/DATOS!$C$40&gt;DATOS!$C$82*P20*BF20,-1,(1-SQRT((1-2*BB20*1E5/(DATOS!$C$58*P20*BF20^2*DATOS!$C$48))))*DATOS!$C$48*P20*BF20/DATOS!$C$40)))-0.0001,MAX(DATOS!$C$29,CEILING(BG20/INDEX(TABLAS!$D$52:$D$58,MIN(MATCH(DATOS!$C$26,TABLAS!$B$52:$B$58,0)+0,7)),1)),MAX(MAX(DATOS!$C$29,CEILING(BG20/INDEX(TABLAS!$D$52:$D$58,MIN(MATCH(DATOS!$C$26,TABLAS!$B$52:$B$58,0)+0,7)),1)),2))&lt;=MIN(DATOS!$C$28,INT(((DATOS!$C$13-2*R20-2*IF(DATOS!$C$25=0,0,INDEX(TABLAS!$C$52:$C$58,MATCH(DATOS!$C$25,TABLAS!$B$52:$B$58,0))))+MAX(DATOS!$C$32,INDEX(TABLAS!$C$52:$C$58,MIN(MATCH(DATOS!$C$26,TABLAS!$B$52:$B$58,0)+0,7))))/(INDEX(TABLAS!$C$52:$C$58,MIN(MATCH(DATOS!$C$26,TABLAS!$B$52:$B$58,0)+0,7))+MAX(DATOS!$C$32,INDEX(TABLAS!$C$52:$C$58,MIN(MATCH(DATOS!$C$26,TABLAS!$B$52:$B$58,0)+0,7))))))),INDEX(TABLAS!$B$52:$B$58,MIN(MATCH(DATOS!$C$26,TABLAS!$B$52:$B$58,0)+0,7)),IF(AND(BG20&gt;=0,IF(MAX(DATOS!$C$29,CEILING(BG20/INDEX(TABLAS!$D$52:$D$58,MIN(MATCH(DATOS!$C$26,TABLAS!$B$52:$B$58,0)+1,7)),1))*INDEX(TABLAS!$D$52:$D$58,MIN(MATCH(DATOS!$C$26,TABLAS!$B$52:$B$58,0)+1,7))&gt;=4/3*IF(BB20&lt;=0,0,IF((1-2*BB20*1E5/(DATOS!$C$58*P20*BF20^2*DATOS!$C$48))&lt;0,-1,IF((1-SQRT((1-2*BB20*1E5/(DATOS!$C$58*P20*BF20^2*DATOS!$C$48))))*DATOS!$C$48*P20*BF20/DATOS!$C$40&gt;DATOS!$C$82*P20*BF20,-1,(1-SQRT((1-2*BB20*1E5/(DATOS!$C$58*P20*BF20^2*DATOS!$C$48))))*DATOS!$C$48*P20*BF20/DATOS!$C$40)))-0.0001,MAX(DATOS!$C$29,CEILING(BG20/INDEX(TABLAS!$D$52:$D$58,MIN(MATCH(DATOS!$C$26,TABLAS!$B$52:$B$58,0)+1,7)),1)),MAX(MAX(DATOS!$C$29,CEILING(BG20/INDEX(TABLAS!$D$52:$D$58,MIN(MATCH(DATOS!$C$26,TABLAS!$B$52:$B$58,0)+1,7)),1)),2))&lt;=MIN(DATOS!$C$28,INT(((DATOS!$C$13-2*R20-2*IF(DATOS!$C$25=0,0,INDEX(TABLAS!$C$52:$C$58,MATCH(DATOS!$C$25,TABLAS!$B$52:$B$58,0))))+MAX(DATOS!$C$32,INDEX(TABLAS!$C$52:$C$58,MIN(MATCH(DATOS!$C$26,TABLAS!$B$52:$B$58,0)+1,7))))/(INDEX(TABLAS!$C$52:$C$58,MIN(MATCH(DATOS!$C$26,TABLAS!$B$52:$B$58,0)+1,7))+MAX(DATOS!$C$32,INDEX(TABLAS!$C$52:$C$58,MIN(MATCH(DATOS!$C$26,TABLAS!$B$52:$B$58,0)+1,7))))))),INDEX(TABLAS!$B$52:$B$58,MIN(MATCH(DATOS!$C$26,TABLAS!$B$52:$B$58,0)+1,7)),IF(AND(BG20&gt;=0,IF(MAX(DATOS!$C$29,CEILING(BG20/INDEX(TABLAS!$D$52:$D$58,MIN(MATCH(DATOS!$C$26,TABLAS!$B$52:$B$58,0)+2,7)),1))*INDEX(TABLAS!$D$52:$D$58,MIN(MATCH(DATOS!$C$26,TABLAS!$B$52:$B$58,0)+2,7))&gt;=4/3*IF(BB20&lt;=0,0,IF((1-2*BB20*1E5/(DATOS!$C$58*P20*BF20^2*DATOS!$C$48))&lt;0,-1,IF((1-SQRT((1-2*BB20*1E5/(DATOS!$C$58*P20*BF20^2*DATOS!$C$48))))*DATOS!$C$48*P20*BF20/DATOS!$C$40&gt;DATOS!$C$82*P20*BF20,-1,(1-SQRT((1-2*BB20*1E5/(DATOS!$C$58*P20*BF20^2*DATOS!$C$48))))*DATOS!$C$48*P20*BF20/DATOS!$C$40)))-0.0001,MAX(DATOS!$C$29,CEILING(BG20/INDEX(TABLAS!$D$52:$D$58,MIN(MATCH(DATOS!$C$26,TABLAS!$B$52:$B$58,0)+2,7)),1)),MAX(MAX(DATOS!$C$29,CEILING(BG20/INDEX(TABLAS!$D$52:$D$58,MIN(MATCH(DATOS!$C$26,TABLAS!$B$52:$B$58,0)+2,7)),1)),2))&lt;=MIN(DATOS!$C$28,INT(((DATOS!$C$13-2*R20-2*IF(DATOS!$C$25=0,0,INDEX(TABLAS!$C$52:$C$58,MATCH(DATOS!$C$25,TABLAS!$B$52:$B$58,0))))+MAX(DATOS!$C$32,INDEX(TABLAS!$C$52:$C$58,MIN(MATCH(DATOS!$C$26,TABLAS!$B$52:$B$58,0)+2,7))))/(INDEX(TABLAS!$C$52:$C$58,MIN(MATCH(DATOS!$C$26,TABLAS!$B$52:$B$58,0)+2,7))+MAX(DATOS!$C$32,INDEX(TABLAS!$C$52:$C$58,MIN(MATCH(DATOS!$C$26,TABLAS!$B$52:$B$58,0)+2,7))))))),INDEX(TABLAS!$B$52:$B$58,MIN(MATCH(DATOS!$C$26,TABLAS!$B$52:$B$58,0)+2,7)),IF(AND(BG20&gt;=0,IF(MAX(DATOS!$C$29,CEILING(BG20/INDEX(TABLAS!$D$52:$D$58,MIN(MATCH(DATOS!$C$26,TABLAS!$B$52:$B$58,0)+3,7)),1))*INDEX(TABLAS!$D$52:$D$58,MIN(MATCH(DATOS!$C$26,TABLAS!$B$52:$B$58,0)+3,7))&gt;=4/3*IF(BB20&lt;=0,0,IF((1-2*BB20*1E5/(DATOS!$C$58*P20*BF20^2*DATOS!$C$48))&lt;0,-1,IF((1-SQRT((1-2*BB20*1E5/(DATOS!$C$58*P20*BF20^2*DATOS!$C$48))))*DATOS!$C$48*P20*BF20/DATOS!$C$40&gt;DATOS!$C$82*P20*BF20,-1,(1-SQRT((1-2*BB20*1E5/(DATOS!$C$58*P20*BF20^2*DATOS!$C$48))))*DATOS!$C$48*P20*BF20/DATOS!$C$40)))-0.0001,MAX(DATOS!$C$29,CEILING(BG20/INDEX(TABLAS!$D$52:$D$58,MIN(MATCH(DATOS!$C$26,TABLAS!$B$52:$B$58,0)+3,7)),1)),MAX(MAX(DATOS!$C$29,CEILING(BG20/INDEX(TABLAS!$D$52:$D$58,MIN(MATCH(DATOS!$C$26,TABLAS!$B$52:$B$58,0)+3,7)),1)),2))&lt;=MIN(DATOS!$C$28,INT(((DATOS!$C$13-2*R20-2*IF(DATOS!$C$25=0,0,INDEX(TABLAS!$C$52:$C$58,MATCH(DATOS!$C$25,TABLAS!$B$52:$B$58,0))))+MAX(DATOS!$C$32,INDEX(TABLAS!$C$52:$C$58,MIN(MATCH(DATOS!$C$26,TABLAS!$B$52:$B$58,0)+3,7))))/(INDEX(TABLAS!$C$52:$C$58,MIN(MATCH(DATOS!$C$26,TABLAS!$B$52:$B$58,0)+3,7))+MAX(DATOS!$C$32,INDEX(TABLAS!$C$52:$C$58,MIN(MATCH(DATOS!$C$26,TABLAS!$B$52:$B$58,0)+3,7))))))),INDEX(TABLAS!$B$52:$B$58,MIN(MATCH(DATOS!$C$26,TABLAS!$B$52:$B$58,0)+3,7)),IF(AND(BG20&gt;=0,IF(MAX(DATOS!$C$29,CEILING(BG20/INDEX(TABLAS!$D$52:$D$58,MIN(MATCH(DATOS!$C$26,TABLAS!$B$52:$B$58,0)+4,7)),1))*INDEX(TABLAS!$D$52:$D$58,MIN(MATCH(DATOS!$C$26,TABLAS!$B$52:$B$58,0)+4,7))&gt;=4/3*IF(BB20&lt;=0,0,IF((1-2*BB20*1E5/(DATOS!$C$58*P20*BF20^2*DATOS!$C$48))&lt;0,-1,IF((1-SQRT((1-2*BB20*1E5/(DATOS!$C$58*P20*BF20^2*DATOS!$C$48))))*DATOS!$C$48*P20*BF20/DATOS!$C$40&gt;DATOS!$C$82*P20*BF20,-1,(1-SQRT((1-2*BB20*1E5/(DATOS!$C$58*P20*BF20^2*DATOS!$C$48))))*DATOS!$C$48*P20*BF20/DATOS!$C$40)))-0.0001,MAX(DATOS!$C$29,CEILING(BG20/INDEX(TABLAS!$D$52:$D$58,MIN(MATCH(DATOS!$C$26,TABLAS!$B$52:$B$58,0)+4,7)),1)),MAX(MAX(DATOS!$C$29,CEILING(BG20/INDEX(TABLAS!$D$52:$D$58,MIN(MATCH(DATOS!$C$26,TABLAS!$B$52:$B$58,0)+4,7)),1)),2))&lt;=MIN(DATOS!$C$28,INT(((DATOS!$C$13-2*R20-2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20" s="56">
        <f>IF(D20="HUECO",0,IF(BG20&lt;0,0,IF(MAX(DATOS!$C$29,CEILING(MAX(BG20,0)/INDEX(TABLAS!$D$52:$D$58,MATCH(BH20,TABLAS!$B$52:$B$58,0)),1))*INDEX(TABLAS!$D$52:$D$58,MATCH(BH20,TABLAS!$B$52:$B$58,0))&gt;=4/3*IF(BB20&lt;=0,0,IF((1-2*BB20*1E5/(DATOS!$C$58*P20*BF20^2*DATOS!$C$48))&lt;0,-1,IF((1-SQRT((1-2*BB20*1E5/(DATOS!$C$58*P20*BF20^2*DATOS!$C$48))))*DATOS!$C$48*P20*BF20/DATOS!$C$40&gt;DATOS!$C$82*P20*BF20,-1,(1-SQRT((1-2*BB20*1E5/(DATOS!$C$58*P20*BF20^2*DATOS!$C$48))))*DATOS!$C$48*P20*BF20/DATOS!$C$40)))-0.0001,MAX(DATOS!$C$29,CEILING(MAX(BG20,0)/INDEX(TABLAS!$D$52:$D$58,MATCH(BH20,TABLAS!$B$52:$B$58,0)),1)),MAX(MAX(DATOS!$C$29,CEILING(MAX(BG20,0)/INDEX(TABLAS!$D$52:$D$58,MATCH(BH20,TABLAS!$B$52:$B$58,0)),1)),2))))</f>
        <v>1</v>
      </c>
      <c r="BJ20" s="43">
        <f>DATOS!$C$15-R20-IF(DATOS!$C$25=0,0,INDEX(TABLAS!$C$52:$C$58,MATCH(DATOS!$C$25,TABLAS!$B$52:$B$58,0)))-INDEX(TABLAS!$C$52:$C$58,MATCH(BH20,TABLAS!$B$52:$B$58,0))/2</f>
        <v>20.365</v>
      </c>
      <c r="BK20" s="36">
        <f>IF(BI20=0,0,DATOS!$C$58*BI20*INDEX(TABLAS!$D$52:$D$58,MATCH(BH20,TABLAS!$B$52:$B$58,0))*DATOS!$C$40*(BJ20-BI20*INDEX(TABLAS!$D$52:$D$58,MATCH(BH20,TABLAS!$B$52:$B$58,0))*DATOS!$C$40/(DATOS!$C$48*P20)/2)/1E5)</f>
        <v>0.956630732673983</v>
      </c>
      <c r="BL20" s="62">
        <f>IF(BG20&lt;0,9.99,IF(BK20&gt;0,BB20/BK20,0))</f>
        <v>0.0239768875022689</v>
      </c>
      <c r="BM20" s="63">
        <f>IF(BI20=0,"—",0.003*(BJ20-(BI20*INDEX(TABLAS!$D$52:$D$58,MATCH(BH20,TABLAS!$B$52:$B$58,0))*DATOS!$C$40/(DATOS!$C$48*P20)/DATOS!$C$49))/(BI20*INDEX(TABLAS!$D$52:$D$58,MATCH(BH20,TABLAS!$B$52:$B$58,0))*DATOS!$C$40/(DATOS!$C$48*P20)/DATOS!$C$49))</f>
        <v>0.0563244805873875</v>
      </c>
      <c r="BN20" s="43">
        <f>((DATOS!$C$15-S20-2*DATOS!$C$35-IF(DATOS!$C$25=0,0,INDEX(TABLAS!$C$52:$C$58,MATCH(DATOS!$C$25,TABLAS!$B$52:$B$58,0)))-INDEX(TABLAS!$C$52:$C$58,MATCH(DATOS!$C$27,TABLAS!$B$52:$B$58,0))/2)-IF(AND((DATOS!$C$15-S20-2*DATOS!$C$35-IF(DATOS!$C$25=0,0,INDEX(TABLAS!$C$52:$C$58,MATCH(DATOS!$C$25,TABLAS!$B$52:$B$58,0)))-INDEX(TABLAS!$C$52:$C$58,MATCH(DATOS!$C$27,TABLAS!$B$52:$B$58,0))/2)&lt;=20,DATOS!$C$18&lt;&gt;"SÍ"),2,0))</f>
        <v>19.389</v>
      </c>
      <c r="BO20" s="43">
        <f>IF(D20="HUECO",0,IF(IF(BC20&lt;=0,0,IF((1-2*BC20*1E5/(DATOS!$C$58*DATOS!$C$19*BN20^2*DATOS!$C$48))&lt;0,-1,IF((1-SQRT((1-2*BC20*1E5/(DATOS!$C$58*DATOS!$C$19*BN20^2*DATOS!$C$48))))*DATOS!$C$48*DATOS!$C$19*BN20/DATOS!$C$40&gt;DATOS!$C$82*DATOS!$C$19*BN20,-1,(1-SQRT((1-2*BC20*1E5/(DATOS!$C$58*DATOS!$C$19*BN20^2*DATOS!$C$48))))*DATOS!$C$48*DATOS!$C$19*BN20/DATOS!$C$40)))&lt;0,-1,MAX(IF(BC20&lt;=0,0,IF((1-2*BC20*1E5/(DATOS!$C$58*DATOS!$C$19*BN20^2*DATOS!$C$48))&lt;0,-1,IF((1-SQRT((1-2*BC20*1E5/(DATOS!$C$58*DATOS!$C$19*BN20^2*DATOS!$C$48))))*DATOS!$C$48*DATOS!$C$19*BN20/DATOS!$C$40&gt;DATOS!$C$82*DATOS!$C$19*BN20,-1,(1-SQRT((1-2*BC20*1E5/(DATOS!$C$58*DATOS!$C$19*BN20^2*DATOS!$C$48))))*DATOS!$C$48*DATOS!$C$19*BN20/DATOS!$C$40))),MIN(DATOS!$C$83*IF(D20="VOLADO",2*DATOS!$C$13,DATOS!$C$13)*BN20,4/3*IF(BC20&lt;=0,0,IF((1-2*BC20*1E5/(DATOS!$C$58*DATOS!$C$19*BN20^2*DATOS!$C$48))&lt;0,-1,IF((1-SQRT((1-2*BC20*1E5/(DATOS!$C$58*DATOS!$C$19*BN20^2*DATOS!$C$48))))*DATOS!$C$48*DATOS!$C$19*BN20/DATOS!$C$40&gt;DATOS!$C$82*DATOS!$C$19*BN20,-1,(1-SQRT((1-2*BC20*1E5/(DATOS!$C$58*DATOS!$C$19*BN20^2*DATOS!$C$48))))*DATOS!$C$48*DATOS!$C$19*BN20/DATOS!$C$40)))))))</f>
        <v>0.164726441348781</v>
      </c>
      <c r="BP20" s="41">
        <f>IF(AND(BO20&gt;=0,IF(MAX(DATOS!$C$29,CEILING(BO20/INDEX(TABLAS!$D$52:$D$58,MIN(MATCH(DATOS!$C$27,TABLAS!$B$52:$B$58,0)+0,7)),1))*INDEX(TABLAS!$D$52:$D$58,MIN(MATCH(DATOS!$C$27,TABLAS!$B$52:$B$58,0)+0,7))&gt;=4/3*IF(BC20&lt;=0,0,IF((1-2*BC20*1E5/(DATOS!$C$58*DATOS!$C$19*BN20^2*DATOS!$C$48))&lt;0,-1,IF((1-SQRT((1-2*BC20*1E5/(DATOS!$C$58*DATOS!$C$19*BN20^2*DATOS!$C$48))))*DATOS!$C$48*DATOS!$C$19*BN20/DATOS!$C$40&gt;DATOS!$C$82*DATOS!$C$19*BN20,-1,(1-SQRT((1-2*BC20*1E5/(DATOS!$C$58*DATOS!$C$19*BN20^2*DATOS!$C$48))))*DATOS!$C$48*DATOS!$C$19*BN20/DATOS!$C$40)))-0.0001,MAX(DATOS!$C$29,CEILING(BO20/INDEX(TABLAS!$D$52:$D$58,MIN(MATCH(DATOS!$C$27,TABLAS!$B$52:$B$58,0)+0,7)),1)),MAX(MAX(DATOS!$C$29,CEILING(BO20/INDEX(TABLAS!$D$52:$D$58,MIN(MATCH(DATOS!$C$27,TABLAS!$B$52:$B$58,0)+0,7)),1)),2))&lt;=MIN(DATOS!$C$28,INT(((DATOS!$C$13-2*S20-2*IF(DATOS!$C$25=0,0,INDEX(TABLAS!$C$52:$C$58,MATCH(DATOS!$C$25,TABLAS!$B$52:$B$58,0))))+MAX(DATOS!$C$32,INDEX(TABLAS!$C$52:$C$58,MIN(MATCH(DATOS!$C$27,TABLAS!$B$52:$B$58,0)+0,7))))/(INDEX(TABLAS!$C$52:$C$58,MIN(MATCH(DATOS!$C$27,TABLAS!$B$52:$B$58,0)+0,7))+MAX(DATOS!$C$32,INDEX(TABLAS!$C$52:$C$58,MIN(MATCH(DATOS!$C$27,TABLAS!$B$52:$B$58,0)+0,7))))))),INDEX(TABLAS!$B$52:$B$58,MIN(MATCH(DATOS!$C$27,TABLAS!$B$52:$B$58,0)+0,7)),IF(AND(BO20&gt;=0,IF(MAX(DATOS!$C$29,CEILING(BO20/INDEX(TABLAS!$D$52:$D$58,MIN(MATCH(DATOS!$C$27,TABLAS!$B$52:$B$58,0)+1,7)),1))*INDEX(TABLAS!$D$52:$D$58,MIN(MATCH(DATOS!$C$27,TABLAS!$B$52:$B$58,0)+1,7))&gt;=4/3*IF(BC20&lt;=0,0,IF((1-2*BC20*1E5/(DATOS!$C$58*DATOS!$C$19*BN20^2*DATOS!$C$48))&lt;0,-1,IF((1-SQRT((1-2*BC20*1E5/(DATOS!$C$58*DATOS!$C$19*BN20^2*DATOS!$C$48))))*DATOS!$C$48*DATOS!$C$19*BN20/DATOS!$C$40&gt;DATOS!$C$82*DATOS!$C$19*BN20,-1,(1-SQRT((1-2*BC20*1E5/(DATOS!$C$58*DATOS!$C$19*BN20^2*DATOS!$C$48))))*DATOS!$C$48*DATOS!$C$19*BN20/DATOS!$C$40)))-0.0001,MAX(DATOS!$C$29,CEILING(BO20/INDEX(TABLAS!$D$52:$D$58,MIN(MATCH(DATOS!$C$27,TABLAS!$B$52:$B$58,0)+1,7)),1)),MAX(MAX(DATOS!$C$29,CEILING(BO20/INDEX(TABLAS!$D$52:$D$58,MIN(MATCH(DATOS!$C$27,TABLAS!$B$52:$B$58,0)+1,7)),1)),2))&lt;=MIN(DATOS!$C$28,INT(((DATOS!$C$13-2*S20-2*IF(DATOS!$C$25=0,0,INDEX(TABLAS!$C$52:$C$58,MATCH(DATOS!$C$25,TABLAS!$B$52:$B$58,0))))+MAX(DATOS!$C$32,INDEX(TABLAS!$C$52:$C$58,MIN(MATCH(DATOS!$C$27,TABLAS!$B$52:$B$58,0)+1,7))))/(INDEX(TABLAS!$C$52:$C$58,MIN(MATCH(DATOS!$C$27,TABLAS!$B$52:$B$58,0)+1,7))+MAX(DATOS!$C$32,INDEX(TABLAS!$C$52:$C$58,MIN(MATCH(DATOS!$C$27,TABLAS!$B$52:$B$58,0)+1,7))))))),INDEX(TABLAS!$B$52:$B$58,MIN(MATCH(DATOS!$C$27,TABLAS!$B$52:$B$58,0)+1,7)),IF(AND(BO20&gt;=0,IF(MAX(DATOS!$C$29,CEILING(BO20/INDEX(TABLAS!$D$52:$D$58,MIN(MATCH(DATOS!$C$27,TABLAS!$B$52:$B$58,0)+2,7)),1))*INDEX(TABLAS!$D$52:$D$58,MIN(MATCH(DATOS!$C$27,TABLAS!$B$52:$B$58,0)+2,7))&gt;=4/3*IF(BC20&lt;=0,0,IF((1-2*BC20*1E5/(DATOS!$C$58*DATOS!$C$19*BN20^2*DATOS!$C$48))&lt;0,-1,IF((1-SQRT((1-2*BC20*1E5/(DATOS!$C$58*DATOS!$C$19*BN20^2*DATOS!$C$48))))*DATOS!$C$48*DATOS!$C$19*BN20/DATOS!$C$40&gt;DATOS!$C$82*DATOS!$C$19*BN20,-1,(1-SQRT((1-2*BC20*1E5/(DATOS!$C$58*DATOS!$C$19*BN20^2*DATOS!$C$48))))*DATOS!$C$48*DATOS!$C$19*BN20/DATOS!$C$40)))-0.0001,MAX(DATOS!$C$29,CEILING(BO20/INDEX(TABLAS!$D$52:$D$58,MIN(MATCH(DATOS!$C$27,TABLAS!$B$52:$B$58,0)+2,7)),1)),MAX(MAX(DATOS!$C$29,CEILING(BO20/INDEX(TABLAS!$D$52:$D$58,MIN(MATCH(DATOS!$C$27,TABLAS!$B$52:$B$58,0)+2,7)),1)),2))&lt;=MIN(DATOS!$C$28,INT(((DATOS!$C$13-2*S20-2*IF(DATOS!$C$25=0,0,INDEX(TABLAS!$C$52:$C$58,MATCH(DATOS!$C$25,TABLAS!$B$52:$B$58,0))))+MAX(DATOS!$C$32,INDEX(TABLAS!$C$52:$C$58,MIN(MATCH(DATOS!$C$27,TABLAS!$B$52:$B$58,0)+2,7))))/(INDEX(TABLAS!$C$52:$C$58,MIN(MATCH(DATOS!$C$27,TABLAS!$B$52:$B$58,0)+2,7))+MAX(DATOS!$C$32,INDEX(TABLAS!$C$52:$C$58,MIN(MATCH(DATOS!$C$27,TABLAS!$B$52:$B$58,0)+2,7))))))),INDEX(TABLAS!$B$52:$B$58,MIN(MATCH(DATOS!$C$27,TABLAS!$B$52:$B$58,0)+2,7)),IF(AND(BO20&gt;=0,IF(MAX(DATOS!$C$29,CEILING(BO20/INDEX(TABLAS!$D$52:$D$58,MIN(MATCH(DATOS!$C$27,TABLAS!$B$52:$B$58,0)+3,7)),1))*INDEX(TABLAS!$D$52:$D$58,MIN(MATCH(DATOS!$C$27,TABLAS!$B$52:$B$58,0)+3,7))&gt;=4/3*IF(BC20&lt;=0,0,IF((1-2*BC20*1E5/(DATOS!$C$58*DATOS!$C$19*BN20^2*DATOS!$C$48))&lt;0,-1,IF((1-SQRT((1-2*BC20*1E5/(DATOS!$C$58*DATOS!$C$19*BN20^2*DATOS!$C$48))))*DATOS!$C$48*DATOS!$C$19*BN20/DATOS!$C$40&gt;DATOS!$C$82*DATOS!$C$19*BN20,-1,(1-SQRT((1-2*BC20*1E5/(DATOS!$C$58*DATOS!$C$19*BN20^2*DATOS!$C$48))))*DATOS!$C$48*DATOS!$C$19*BN20/DATOS!$C$40)))-0.0001,MAX(DATOS!$C$29,CEILING(BO20/INDEX(TABLAS!$D$52:$D$58,MIN(MATCH(DATOS!$C$27,TABLAS!$B$52:$B$58,0)+3,7)),1)),MAX(MAX(DATOS!$C$29,CEILING(BO20/INDEX(TABLAS!$D$52:$D$58,MIN(MATCH(DATOS!$C$27,TABLAS!$B$52:$B$58,0)+3,7)),1)),2))&lt;=MIN(DATOS!$C$28,INT(((DATOS!$C$13-2*S20-2*IF(DATOS!$C$25=0,0,INDEX(TABLAS!$C$52:$C$58,MATCH(DATOS!$C$25,TABLAS!$B$52:$B$58,0))))+MAX(DATOS!$C$32,INDEX(TABLAS!$C$52:$C$58,MIN(MATCH(DATOS!$C$27,TABLAS!$B$52:$B$58,0)+3,7))))/(INDEX(TABLAS!$C$52:$C$58,MIN(MATCH(DATOS!$C$27,TABLAS!$B$52:$B$58,0)+3,7))+MAX(DATOS!$C$32,INDEX(TABLAS!$C$52:$C$58,MIN(MATCH(DATOS!$C$27,TABLAS!$B$52:$B$58,0)+3,7))))))),INDEX(TABLAS!$B$52:$B$58,MIN(MATCH(DATOS!$C$27,TABLAS!$B$52:$B$58,0)+3,7)),IF(AND(BO20&gt;=0,IF(MAX(DATOS!$C$29,CEILING(BO20/INDEX(TABLAS!$D$52:$D$58,MIN(MATCH(DATOS!$C$27,TABLAS!$B$52:$B$58,0)+4,7)),1))*INDEX(TABLAS!$D$52:$D$58,MIN(MATCH(DATOS!$C$27,TABLAS!$B$52:$B$58,0)+4,7))&gt;=4/3*IF(BC20&lt;=0,0,IF((1-2*BC20*1E5/(DATOS!$C$58*DATOS!$C$19*BN20^2*DATOS!$C$48))&lt;0,-1,IF((1-SQRT((1-2*BC20*1E5/(DATOS!$C$58*DATOS!$C$19*BN20^2*DATOS!$C$48))))*DATOS!$C$48*DATOS!$C$19*BN20/DATOS!$C$40&gt;DATOS!$C$82*DATOS!$C$19*BN20,-1,(1-SQRT((1-2*BC20*1E5/(DATOS!$C$58*DATOS!$C$19*BN20^2*DATOS!$C$48))))*DATOS!$C$48*DATOS!$C$19*BN20/DATOS!$C$40)))-0.0001,MAX(DATOS!$C$29,CEILING(BO20/INDEX(TABLAS!$D$52:$D$58,MIN(MATCH(DATOS!$C$27,TABLAS!$B$52:$B$58,0)+4,7)),1)),MAX(MAX(DATOS!$C$29,CEILING(BO20/INDEX(TABLAS!$D$52:$D$58,MIN(MATCH(DATOS!$C$27,TABLAS!$B$52:$B$58,0)+4,7)),1)),2))&lt;=MIN(DATOS!$C$28,INT(((DATOS!$C$13-2*S20-2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20" s="56">
        <f>IF(D20="HUECO",0,IF(BO20&lt;0,0,IF(MAX(DATOS!$C$29,CEILING(MAX(BO20,0)/INDEX(TABLAS!$D$52:$D$58,MATCH(BP20,TABLAS!$B$52:$B$58,0)),1))*INDEX(TABLAS!$D$52:$D$58,MATCH(BP20,TABLAS!$B$52:$B$58,0))&gt;=4/3*IF(BC20&lt;=0,0,IF((1-2*BC20*1E5/(DATOS!$C$58*DATOS!$C$19*BN20^2*DATOS!$C$48))&lt;0,-1,IF((1-SQRT((1-2*BC20*1E5/(DATOS!$C$58*DATOS!$C$19*BN20^2*DATOS!$C$48))))*DATOS!$C$48*DATOS!$C$19*BN20/DATOS!$C$40&gt;DATOS!$C$82*DATOS!$C$19*BN20,-1,(1-SQRT((1-2*BC20*1E5/(DATOS!$C$58*DATOS!$C$19*BN20^2*DATOS!$C$48))))*DATOS!$C$48*DATOS!$C$19*BN20/DATOS!$C$40)))-0.0001,MAX(DATOS!$C$29,CEILING(MAX(BO20,0)/INDEX(TABLAS!$D$52:$D$58,MATCH(BP20,TABLAS!$B$52:$B$58,0)),1)),MAX(MAX(DATOS!$C$29,CEILING(MAX(BO20,0)/INDEX(TABLAS!$D$52:$D$58,MATCH(BP20,TABLAS!$B$52:$B$58,0)),1)),2))))</f>
        <v>1</v>
      </c>
      <c r="BR20" s="43">
        <f>((DATOS!$C$15-S20-2*DATOS!$C$35-IF(DATOS!$C$25=0,0,INDEX(TABLAS!$C$52:$C$58,MATCH(DATOS!$C$25,TABLAS!$B$52:$B$58,0)))-INDEX(TABLAS!$C$52:$C$58,MATCH(BP20,TABLAS!$B$52:$B$58,0))/2)-IF(AND((DATOS!$C$15-S20-2*DATOS!$C$35-IF(DATOS!$C$25=0,0,INDEX(TABLAS!$C$52:$C$58,MATCH(DATOS!$C$25,TABLAS!$B$52:$B$58,0)))-INDEX(TABLAS!$C$52:$C$58,MATCH(BP20,TABLAS!$B$52:$B$58,0))/2)&lt;=20,DATOS!$C$18&lt;&gt;"SÍ"),2,0))</f>
        <v>19.389</v>
      </c>
      <c r="BS20" s="36">
        <f>IF(BQ20=0,0,DATOS!$C$58*BQ20*INDEX(TABLAS!$D$52:$D$58,MATCH(BP20,TABLAS!$B$52:$B$58,0))*DATOS!$C$40*(BR20-BQ20*INDEX(TABLAS!$D$52:$D$58,MATCH(BP20,TABLAS!$B$52:$B$58,0))*DATOS!$C$40/(DATOS!$C$48*DATOS!$C$19)/2)/1E5)</f>
        <v>0.870537980117647</v>
      </c>
      <c r="BT20" s="62">
        <f>IF(BO20&lt;0,9.99,IF(BS20&gt;0,BC20/BS20,0))</f>
        <v>0.103357190136448</v>
      </c>
      <c r="BU20" s="63">
        <f>IF(BQ20=0,"—",0.003*(BR20-(BQ20*INDEX(TABLAS!$D$52:$D$58,MATCH(BP20,TABLAS!$B$52:$B$58,0))*DATOS!$C$40/(DATOS!$C$48*DATOS!$C$19)/DATOS!$C$49))/(BQ20*INDEX(TABLAS!$D$52:$D$58,MATCH(BP20,TABLAS!$B$52:$B$58,0))*DATOS!$C$40/(DATOS!$C$48*DATOS!$C$19)/DATOS!$C$49))</f>
        <v>0.0166970648200225</v>
      </c>
      <c r="BV20" s="43">
        <f>(DATOS!$C$15-R20-IF(DATOS!$C$25=0,0,INDEX(TABLAS!$C$52:$C$58,MATCH(DATOS!$C$25,TABLAS!$B$52:$B$58,0)))-INDEX(TABLAS!$C$52:$C$58,MATCH(DATOS!$C$26,TABLAS!$B$52:$B$58,0))-INDEX(TABLAS!$C$52:$C$58,MATCH(DATOS!$C$26,TABLAS!$B$52:$B$58,0))/2)</f>
        <v>19.095</v>
      </c>
      <c r="BW20" s="43">
        <f>IF(D20="HUECO",0,IF(IF(BD20&lt;=0,0,IF((1-2*BD20*1E5/(DATOS!$C$58*Q20*BV20^2*DATOS!$C$48))&lt;0,-1,IF((1-SQRT((1-2*BD20*1E5/(DATOS!$C$58*Q20*BV20^2*DATOS!$C$48))))*DATOS!$C$48*Q20*BV20/DATOS!$C$40&gt;DATOS!$C$82*Q20*BV20,-1,(1-SQRT((1-2*BD20*1E5/(DATOS!$C$58*Q20*BV20^2*DATOS!$C$48))))*DATOS!$C$48*Q20*BV20/DATOS!$C$40)))&lt;0,-1,MAX(IF(BD20&lt;=0,0,IF((1-2*BD20*1E5/(DATOS!$C$58*Q20*BV20^2*DATOS!$C$48))&lt;0,-1,IF((1-SQRT((1-2*BD20*1E5/(DATOS!$C$58*Q20*BV20^2*DATOS!$C$48))))*DATOS!$C$48*Q20*BV20/DATOS!$C$40&gt;DATOS!$C$82*Q20*BV20,-1,(1-SQRT((1-2*BD20*1E5/(DATOS!$C$58*Q20*BV20^2*DATOS!$C$48))))*DATOS!$C$48*Q20*BV20/DATOS!$C$40))),MIN(DATOS!$C$83*DATOS!$C$13*BV20,4/3*IF(BD20&lt;=0,0,IF((1-2*BD20*1E5/(DATOS!$C$58*Q20*BV20^2*DATOS!$C$48))&lt;0,-1,IF((1-SQRT((1-2*BD20*1E5/(DATOS!$C$58*Q20*BV20^2*DATOS!$C$48))))*DATOS!$C$48*Q20*BV20/DATOS!$C$40&gt;DATOS!$C$82*Q20*BV20,-1,(1-SQRT((1-2*BD20*1E5/(DATOS!$C$58*Q20*BV20^2*DATOS!$C$48))))*DATOS!$C$48*Q20*BV20/DATOS!$C$40)))))))</f>
        <v>0.0155750774575371</v>
      </c>
      <c r="BX20" s="41">
        <f>IF(AND(BW20&gt;=0,IF(MAX(DATOS!$C$29,CEILING(BW20/INDEX(TABLAS!$D$52:$D$58,MIN(MATCH(DATOS!$C$26,TABLAS!$B$52:$B$58,0)+0,7)),1))*INDEX(TABLAS!$D$52:$D$58,MIN(MATCH(DATOS!$C$26,TABLAS!$B$52:$B$58,0)+0,7))&gt;=4/3*IF(BD20&lt;=0,0,IF((1-2*BD20*1E5/(DATOS!$C$58*Q20*BV20^2*DATOS!$C$48))&lt;0,-1,IF((1-SQRT((1-2*BD20*1E5/(DATOS!$C$58*Q20*BV20^2*DATOS!$C$48))))*DATOS!$C$48*Q20*BV20/DATOS!$C$40&gt;DATOS!$C$82*Q20*BV20,-1,(1-SQRT((1-2*BD20*1E5/(DATOS!$C$58*Q20*BV20^2*DATOS!$C$48))))*DATOS!$C$48*Q20*BV20/DATOS!$C$40)))-0.0001,MAX(DATOS!$C$29,CEILING(BW20/INDEX(TABLAS!$D$52:$D$58,MIN(MATCH(DATOS!$C$26,TABLAS!$B$52:$B$58,0)+0,7)),1)),MAX(MAX(DATOS!$C$29,CEILING(BW20/INDEX(TABLAS!$D$52:$D$58,MIN(MATCH(DATOS!$C$26,TABLAS!$B$52:$B$58,0)+0,7)),1)),2))&lt;=MIN(DATOS!$C$28,INT(((DATOS!$C$13-2*R20-2*IF(DATOS!$C$25=0,0,INDEX(TABLAS!$C$52:$C$58,MATCH(DATOS!$C$25,TABLAS!$B$52:$B$58,0))))+MAX(DATOS!$C$32,INDEX(TABLAS!$C$52:$C$58,MIN(MATCH(DATOS!$C$26,TABLAS!$B$52:$B$58,0)+0,7))))/(INDEX(TABLAS!$C$52:$C$58,MIN(MATCH(DATOS!$C$26,TABLAS!$B$52:$B$58,0)+0,7))+MAX(DATOS!$C$32,INDEX(TABLAS!$C$52:$C$58,MIN(MATCH(DATOS!$C$26,TABLAS!$B$52:$B$58,0)+0,7))))))),INDEX(TABLAS!$B$52:$B$58,MIN(MATCH(DATOS!$C$26,TABLAS!$B$52:$B$58,0)+0,7)),IF(AND(BW20&gt;=0,IF(MAX(DATOS!$C$29,CEILING(BW20/INDEX(TABLAS!$D$52:$D$58,MIN(MATCH(DATOS!$C$26,TABLAS!$B$52:$B$58,0)+1,7)),1))*INDEX(TABLAS!$D$52:$D$58,MIN(MATCH(DATOS!$C$26,TABLAS!$B$52:$B$58,0)+1,7))&gt;=4/3*IF(BD20&lt;=0,0,IF((1-2*BD20*1E5/(DATOS!$C$58*Q20*BV20^2*DATOS!$C$48))&lt;0,-1,IF((1-SQRT((1-2*BD20*1E5/(DATOS!$C$58*Q20*BV20^2*DATOS!$C$48))))*DATOS!$C$48*Q20*BV20/DATOS!$C$40&gt;DATOS!$C$82*Q20*BV20,-1,(1-SQRT((1-2*BD20*1E5/(DATOS!$C$58*Q20*BV20^2*DATOS!$C$48))))*DATOS!$C$48*Q20*BV20/DATOS!$C$40)))-0.0001,MAX(DATOS!$C$29,CEILING(BW20/INDEX(TABLAS!$D$52:$D$58,MIN(MATCH(DATOS!$C$26,TABLAS!$B$52:$B$58,0)+1,7)),1)),MAX(MAX(DATOS!$C$29,CEILING(BW20/INDEX(TABLAS!$D$52:$D$58,MIN(MATCH(DATOS!$C$26,TABLAS!$B$52:$B$58,0)+1,7)),1)),2))&lt;=MIN(DATOS!$C$28,INT(((DATOS!$C$13-2*R20-2*IF(DATOS!$C$25=0,0,INDEX(TABLAS!$C$52:$C$58,MATCH(DATOS!$C$25,TABLAS!$B$52:$B$58,0))))+MAX(DATOS!$C$32,INDEX(TABLAS!$C$52:$C$58,MIN(MATCH(DATOS!$C$26,TABLAS!$B$52:$B$58,0)+1,7))))/(INDEX(TABLAS!$C$52:$C$58,MIN(MATCH(DATOS!$C$26,TABLAS!$B$52:$B$58,0)+1,7))+MAX(DATOS!$C$32,INDEX(TABLAS!$C$52:$C$58,MIN(MATCH(DATOS!$C$26,TABLAS!$B$52:$B$58,0)+1,7))))))),INDEX(TABLAS!$B$52:$B$58,MIN(MATCH(DATOS!$C$26,TABLAS!$B$52:$B$58,0)+1,7)),IF(AND(BW20&gt;=0,IF(MAX(DATOS!$C$29,CEILING(BW20/INDEX(TABLAS!$D$52:$D$58,MIN(MATCH(DATOS!$C$26,TABLAS!$B$52:$B$58,0)+2,7)),1))*INDEX(TABLAS!$D$52:$D$58,MIN(MATCH(DATOS!$C$26,TABLAS!$B$52:$B$58,0)+2,7))&gt;=4/3*IF(BD20&lt;=0,0,IF((1-2*BD20*1E5/(DATOS!$C$58*Q20*BV20^2*DATOS!$C$48))&lt;0,-1,IF((1-SQRT((1-2*BD20*1E5/(DATOS!$C$58*Q20*BV20^2*DATOS!$C$48))))*DATOS!$C$48*Q20*BV20/DATOS!$C$40&gt;DATOS!$C$82*Q20*BV20,-1,(1-SQRT((1-2*BD20*1E5/(DATOS!$C$58*Q20*BV20^2*DATOS!$C$48))))*DATOS!$C$48*Q20*BV20/DATOS!$C$40)))-0.0001,MAX(DATOS!$C$29,CEILING(BW20/INDEX(TABLAS!$D$52:$D$58,MIN(MATCH(DATOS!$C$26,TABLAS!$B$52:$B$58,0)+2,7)),1)),MAX(MAX(DATOS!$C$29,CEILING(BW20/INDEX(TABLAS!$D$52:$D$58,MIN(MATCH(DATOS!$C$26,TABLAS!$B$52:$B$58,0)+2,7)),1)),2))&lt;=MIN(DATOS!$C$28,INT(((DATOS!$C$13-2*R20-2*IF(DATOS!$C$25=0,0,INDEX(TABLAS!$C$52:$C$58,MATCH(DATOS!$C$25,TABLAS!$B$52:$B$58,0))))+MAX(DATOS!$C$32,INDEX(TABLAS!$C$52:$C$58,MIN(MATCH(DATOS!$C$26,TABLAS!$B$52:$B$58,0)+2,7))))/(INDEX(TABLAS!$C$52:$C$58,MIN(MATCH(DATOS!$C$26,TABLAS!$B$52:$B$58,0)+2,7))+MAX(DATOS!$C$32,INDEX(TABLAS!$C$52:$C$58,MIN(MATCH(DATOS!$C$26,TABLAS!$B$52:$B$58,0)+2,7))))))),INDEX(TABLAS!$B$52:$B$58,MIN(MATCH(DATOS!$C$26,TABLAS!$B$52:$B$58,0)+2,7)),IF(AND(BW20&gt;=0,IF(MAX(DATOS!$C$29,CEILING(BW20/INDEX(TABLAS!$D$52:$D$58,MIN(MATCH(DATOS!$C$26,TABLAS!$B$52:$B$58,0)+3,7)),1))*INDEX(TABLAS!$D$52:$D$58,MIN(MATCH(DATOS!$C$26,TABLAS!$B$52:$B$58,0)+3,7))&gt;=4/3*IF(BD20&lt;=0,0,IF((1-2*BD20*1E5/(DATOS!$C$58*Q20*BV20^2*DATOS!$C$48))&lt;0,-1,IF((1-SQRT((1-2*BD20*1E5/(DATOS!$C$58*Q20*BV20^2*DATOS!$C$48))))*DATOS!$C$48*Q20*BV20/DATOS!$C$40&gt;DATOS!$C$82*Q20*BV20,-1,(1-SQRT((1-2*BD20*1E5/(DATOS!$C$58*Q20*BV20^2*DATOS!$C$48))))*DATOS!$C$48*Q20*BV20/DATOS!$C$40)))-0.0001,MAX(DATOS!$C$29,CEILING(BW20/INDEX(TABLAS!$D$52:$D$58,MIN(MATCH(DATOS!$C$26,TABLAS!$B$52:$B$58,0)+3,7)),1)),MAX(MAX(DATOS!$C$29,CEILING(BW20/INDEX(TABLAS!$D$52:$D$58,MIN(MATCH(DATOS!$C$26,TABLAS!$B$52:$B$58,0)+3,7)),1)),2))&lt;=MIN(DATOS!$C$28,INT(((DATOS!$C$13-2*R20-2*IF(DATOS!$C$25=0,0,INDEX(TABLAS!$C$52:$C$58,MATCH(DATOS!$C$25,TABLAS!$B$52:$B$58,0))))+MAX(DATOS!$C$32,INDEX(TABLAS!$C$52:$C$58,MIN(MATCH(DATOS!$C$26,TABLAS!$B$52:$B$58,0)+3,7))))/(INDEX(TABLAS!$C$52:$C$58,MIN(MATCH(DATOS!$C$26,TABLAS!$B$52:$B$58,0)+3,7))+MAX(DATOS!$C$32,INDEX(TABLAS!$C$52:$C$58,MIN(MATCH(DATOS!$C$26,TABLAS!$B$52:$B$58,0)+3,7))))))),INDEX(TABLAS!$B$52:$B$58,MIN(MATCH(DATOS!$C$26,TABLAS!$B$52:$B$58,0)+3,7)),IF(AND(BW20&gt;=0,IF(MAX(DATOS!$C$29,CEILING(BW20/INDEX(TABLAS!$D$52:$D$58,MIN(MATCH(DATOS!$C$26,TABLAS!$B$52:$B$58,0)+4,7)),1))*INDEX(TABLAS!$D$52:$D$58,MIN(MATCH(DATOS!$C$26,TABLAS!$B$52:$B$58,0)+4,7))&gt;=4/3*IF(BD20&lt;=0,0,IF((1-2*BD20*1E5/(DATOS!$C$58*Q20*BV20^2*DATOS!$C$48))&lt;0,-1,IF((1-SQRT((1-2*BD20*1E5/(DATOS!$C$58*Q20*BV20^2*DATOS!$C$48))))*DATOS!$C$48*Q20*BV20/DATOS!$C$40&gt;DATOS!$C$82*Q20*BV20,-1,(1-SQRT((1-2*BD20*1E5/(DATOS!$C$58*Q20*BV20^2*DATOS!$C$48))))*DATOS!$C$48*Q20*BV20/DATOS!$C$40)))-0.0001,MAX(DATOS!$C$29,CEILING(BW20/INDEX(TABLAS!$D$52:$D$58,MIN(MATCH(DATOS!$C$26,TABLAS!$B$52:$B$58,0)+4,7)),1)),MAX(MAX(DATOS!$C$29,CEILING(BW20/INDEX(TABLAS!$D$52:$D$58,MIN(MATCH(DATOS!$C$26,TABLAS!$B$52:$B$58,0)+4,7)),1)),2))&lt;=MIN(DATOS!$C$28,INT(((DATOS!$C$13-2*R20-2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20" s="56">
        <f>IF(D20="HUECO",0,IF(BW20&lt;0,0,IF(MAX(DATOS!$C$29,CEILING(MAX(BW20,0)/INDEX(TABLAS!$D$52:$D$58,MATCH(BX20,TABLAS!$B$52:$B$58,0)),1))*INDEX(TABLAS!$D$52:$D$58,MATCH(BX20,TABLAS!$B$52:$B$58,0))&gt;=4/3*IF(BD20&lt;=0,0,IF((1-2*BD20*1E5/(DATOS!$C$58*Q20*BV20^2*DATOS!$C$48))&lt;0,-1,IF((1-SQRT((1-2*BD20*1E5/(DATOS!$C$58*Q20*BV20^2*DATOS!$C$48))))*DATOS!$C$48*Q20*BV20/DATOS!$C$40&gt;DATOS!$C$82*Q20*BV20,-1,(1-SQRT((1-2*BD20*1E5/(DATOS!$C$58*Q20*BV20^2*DATOS!$C$48))))*DATOS!$C$48*Q20*BV20/DATOS!$C$40)))-0.0001,MAX(DATOS!$C$29,CEILING(MAX(BW20,0)/INDEX(TABLAS!$D$52:$D$58,MATCH(BX20,TABLAS!$B$52:$B$58,0)),1)),MAX(MAX(DATOS!$C$29,CEILING(MAX(BW20,0)/INDEX(TABLAS!$D$52:$D$58,MATCH(BX20,TABLAS!$B$52:$B$58,0)),1)),2))))</f>
        <v>1</v>
      </c>
      <c r="BZ20" s="43">
        <f>DATOS!$C$15-R20-IF(DATOS!$C$25=0,0,INDEX(TABLAS!$C$52:$C$58,MATCH(DATOS!$C$25,TABLAS!$B$52:$B$58,0)))-INDEX(TABLAS!$C$52:$C$58,MATCH(BH20,TABLAS!$B$52:$B$58,0))-INDEX(TABLAS!$C$52:$C$58,MATCH(BX20,TABLAS!$B$52:$B$58,0))/2</f>
        <v>19.095</v>
      </c>
      <c r="CA20" s="36">
        <f>IF(BY20=0,0,DATOS!$C$58*BY20*INDEX(TABLAS!$D$52:$D$58,MATCH(BX20,TABLAS!$B$52:$B$58,0))*DATOS!$C$40*(BZ20-BY20*INDEX(TABLAS!$D$52:$D$58,MATCH(BX20,TABLAS!$B$52:$B$58,0))*DATOS!$C$40/(DATOS!$C$48*Q20)/2)/1E5)</f>
        <v>0.905958633337954</v>
      </c>
      <c r="CB20" s="62">
        <f>IF(BW20&lt;0,9.99,IF(CA20&gt;0,BD20/CA20,0))</f>
        <v>0.00930567485162823</v>
      </c>
      <c r="CC20" s="63">
        <f>IF(BY20=0,"—",0.003*(BZ20-(BY20*INDEX(TABLAS!$D$52:$D$58,MATCH(BX20,TABLAS!$B$52:$B$58,0))*DATOS!$C$40/(DATOS!$C$48*Q20)/DATOS!$C$49))/(BY20*INDEX(TABLAS!$D$52:$D$58,MATCH(BX20,TABLAS!$B$52:$B$58,0))*DATOS!$C$40/(DATOS!$C$48*Q20)/DATOS!$C$49))</f>
        <v>0.106067467792112</v>
      </c>
      <c r="CD20" s="43">
        <f>((DATOS!$C$15-S20-2*DATOS!$C$35-IF(DATOS!$C$25=0,0,INDEX(TABLAS!$C$52:$C$58,MATCH(DATOS!$C$25,TABLAS!$B$52:$B$58,0)))-INDEX(TABLAS!$C$52:$C$58,MATCH(DATOS!$C$27,TABLAS!$B$52:$B$58,0))-INDEX(TABLAS!$C$52:$C$58,MATCH(DATOS!$C$27,TABLAS!$B$52:$B$58,0))/2)-IF(AND((DATOS!$C$15-S20-2*DATOS!$C$35-IF(DATOS!$C$25=0,0,INDEX(TABLAS!$C$52:$C$58,MATCH(DATOS!$C$25,TABLAS!$B$52:$B$58,0)))-INDEX(TABLAS!$C$52:$C$58,MATCH(DATOS!$C$27,TABLAS!$B$52:$B$58,0))-INDEX(TABLAS!$C$52:$C$58,MATCH(DATOS!$C$27,TABLAS!$B$52:$B$58,0))/2)&lt;=20,DATOS!$C$18&lt;&gt;"SÍ"),2,0))</f>
        <v>18.119</v>
      </c>
      <c r="CE20" s="43">
        <f>IF(D20="HUECO",0,IF(IF(BE20&lt;=0,0,IF((1-2*BE20*1E5/(DATOS!$C$58*DATOS!$C$19*CD20^2*DATOS!$C$48))&lt;0,-1,IF((1-SQRT((1-2*BE20*1E5/(DATOS!$C$58*DATOS!$C$19*CD20^2*DATOS!$C$48))))*DATOS!$C$48*DATOS!$C$19*CD20/DATOS!$C$40&gt;DATOS!$C$82*DATOS!$C$19*CD20,-1,(1-SQRT((1-2*BE20*1E5/(DATOS!$C$58*DATOS!$C$19*CD20^2*DATOS!$C$48))))*DATOS!$C$48*DATOS!$C$19*CD20/DATOS!$C$40)))&lt;0,-1,MAX(IF(BE20&lt;=0,0,IF((1-2*BE20*1E5/(DATOS!$C$58*DATOS!$C$19*CD20^2*DATOS!$C$48))&lt;0,-1,IF((1-SQRT((1-2*BE20*1E5/(DATOS!$C$58*DATOS!$C$19*CD20^2*DATOS!$C$48))))*DATOS!$C$48*DATOS!$C$19*CD20/DATOS!$C$40&gt;DATOS!$C$82*DATOS!$C$19*CD20,-1,(1-SQRT((1-2*BE20*1E5/(DATOS!$C$58*DATOS!$C$19*CD20^2*DATOS!$C$48))))*DATOS!$C$48*DATOS!$C$19*CD20/DATOS!$C$40))),MIN(DATOS!$C$83*DATOS!$C$13*CD20,4/3*IF(BE20&lt;=0,0,IF((1-2*BE20*1E5/(DATOS!$C$58*DATOS!$C$19*CD20^2*DATOS!$C$48))&lt;0,-1,IF((1-SQRT((1-2*BE20*1E5/(DATOS!$C$58*DATOS!$C$19*CD20^2*DATOS!$C$48))))*DATOS!$C$48*DATOS!$C$19*CD20/DATOS!$C$40&gt;DATOS!$C$82*DATOS!$C$19*CD20,-1,(1-SQRT((1-2*BE20*1E5/(DATOS!$C$58*DATOS!$C$19*CD20^2*DATOS!$C$48))))*DATOS!$C$48*DATOS!$C$19*CD20/DATOS!$C$40)))))))</f>
        <v>0.468533783987236</v>
      </c>
      <c r="CF20" s="41">
        <f>IF(AND(CE20&gt;=0,IF(MAX(DATOS!$C$29,CEILING(CE20/INDEX(TABLAS!$D$52:$D$58,MIN(MATCH(DATOS!$C$27,TABLAS!$B$52:$B$58,0)+0,7)),1))*INDEX(TABLAS!$D$52:$D$58,MIN(MATCH(DATOS!$C$27,TABLAS!$B$52:$B$58,0)+0,7))&gt;=4/3*IF(BE20&lt;=0,0,IF((1-2*BE20*1E5/(DATOS!$C$58*DATOS!$C$19*CD20^2*DATOS!$C$48))&lt;0,-1,IF((1-SQRT((1-2*BE20*1E5/(DATOS!$C$58*DATOS!$C$19*CD20^2*DATOS!$C$48))))*DATOS!$C$48*DATOS!$C$19*CD20/DATOS!$C$40&gt;DATOS!$C$82*DATOS!$C$19*CD20,-1,(1-SQRT((1-2*BE20*1E5/(DATOS!$C$58*DATOS!$C$19*CD20^2*DATOS!$C$48))))*DATOS!$C$48*DATOS!$C$19*CD20/DATOS!$C$40)))-0.0001,MAX(DATOS!$C$29,CEILING(CE20/INDEX(TABLAS!$D$52:$D$58,MIN(MATCH(DATOS!$C$27,TABLAS!$B$52:$B$58,0)+0,7)),1)),MAX(MAX(DATOS!$C$29,CEILING(CE20/INDEX(TABLAS!$D$52:$D$58,MIN(MATCH(DATOS!$C$27,TABLAS!$B$52:$B$58,0)+0,7)),1)),2))&lt;=MIN(DATOS!$C$28,INT(((DATOS!$C$13-2*S20-2*IF(DATOS!$C$25=0,0,INDEX(TABLAS!$C$52:$C$58,MATCH(DATOS!$C$25,TABLAS!$B$52:$B$58,0))))+MAX(DATOS!$C$32,INDEX(TABLAS!$C$52:$C$58,MIN(MATCH(DATOS!$C$27,TABLAS!$B$52:$B$58,0)+0,7))))/(INDEX(TABLAS!$C$52:$C$58,MIN(MATCH(DATOS!$C$27,TABLAS!$B$52:$B$58,0)+0,7))+MAX(DATOS!$C$32,INDEX(TABLAS!$C$52:$C$58,MIN(MATCH(DATOS!$C$27,TABLAS!$B$52:$B$58,0)+0,7))))))),INDEX(TABLAS!$B$52:$B$58,MIN(MATCH(DATOS!$C$27,TABLAS!$B$52:$B$58,0)+0,7)),IF(AND(CE20&gt;=0,IF(MAX(DATOS!$C$29,CEILING(CE20/INDEX(TABLAS!$D$52:$D$58,MIN(MATCH(DATOS!$C$27,TABLAS!$B$52:$B$58,0)+1,7)),1))*INDEX(TABLAS!$D$52:$D$58,MIN(MATCH(DATOS!$C$27,TABLAS!$B$52:$B$58,0)+1,7))&gt;=4/3*IF(BE20&lt;=0,0,IF((1-2*BE20*1E5/(DATOS!$C$58*DATOS!$C$19*CD20^2*DATOS!$C$48))&lt;0,-1,IF((1-SQRT((1-2*BE20*1E5/(DATOS!$C$58*DATOS!$C$19*CD20^2*DATOS!$C$48))))*DATOS!$C$48*DATOS!$C$19*CD20/DATOS!$C$40&gt;DATOS!$C$82*DATOS!$C$19*CD20,-1,(1-SQRT((1-2*BE20*1E5/(DATOS!$C$58*DATOS!$C$19*CD20^2*DATOS!$C$48))))*DATOS!$C$48*DATOS!$C$19*CD20/DATOS!$C$40)))-0.0001,MAX(DATOS!$C$29,CEILING(CE20/INDEX(TABLAS!$D$52:$D$58,MIN(MATCH(DATOS!$C$27,TABLAS!$B$52:$B$58,0)+1,7)),1)),MAX(MAX(DATOS!$C$29,CEILING(CE20/INDEX(TABLAS!$D$52:$D$58,MIN(MATCH(DATOS!$C$27,TABLAS!$B$52:$B$58,0)+1,7)),1)),2))&lt;=MIN(DATOS!$C$28,INT(((DATOS!$C$13-2*S20-2*IF(DATOS!$C$25=0,0,INDEX(TABLAS!$C$52:$C$58,MATCH(DATOS!$C$25,TABLAS!$B$52:$B$58,0))))+MAX(DATOS!$C$32,INDEX(TABLAS!$C$52:$C$58,MIN(MATCH(DATOS!$C$27,TABLAS!$B$52:$B$58,0)+1,7))))/(INDEX(TABLAS!$C$52:$C$58,MIN(MATCH(DATOS!$C$27,TABLAS!$B$52:$B$58,0)+1,7))+MAX(DATOS!$C$32,INDEX(TABLAS!$C$52:$C$58,MIN(MATCH(DATOS!$C$27,TABLAS!$B$52:$B$58,0)+1,7))))))),INDEX(TABLAS!$B$52:$B$58,MIN(MATCH(DATOS!$C$27,TABLAS!$B$52:$B$58,0)+1,7)),IF(AND(CE20&gt;=0,IF(MAX(DATOS!$C$29,CEILING(CE20/INDEX(TABLAS!$D$52:$D$58,MIN(MATCH(DATOS!$C$27,TABLAS!$B$52:$B$58,0)+2,7)),1))*INDEX(TABLAS!$D$52:$D$58,MIN(MATCH(DATOS!$C$27,TABLAS!$B$52:$B$58,0)+2,7))&gt;=4/3*IF(BE20&lt;=0,0,IF((1-2*BE20*1E5/(DATOS!$C$58*DATOS!$C$19*CD20^2*DATOS!$C$48))&lt;0,-1,IF((1-SQRT((1-2*BE20*1E5/(DATOS!$C$58*DATOS!$C$19*CD20^2*DATOS!$C$48))))*DATOS!$C$48*DATOS!$C$19*CD20/DATOS!$C$40&gt;DATOS!$C$82*DATOS!$C$19*CD20,-1,(1-SQRT((1-2*BE20*1E5/(DATOS!$C$58*DATOS!$C$19*CD20^2*DATOS!$C$48))))*DATOS!$C$48*DATOS!$C$19*CD20/DATOS!$C$40)))-0.0001,MAX(DATOS!$C$29,CEILING(CE20/INDEX(TABLAS!$D$52:$D$58,MIN(MATCH(DATOS!$C$27,TABLAS!$B$52:$B$58,0)+2,7)),1)),MAX(MAX(DATOS!$C$29,CEILING(CE20/INDEX(TABLAS!$D$52:$D$58,MIN(MATCH(DATOS!$C$27,TABLAS!$B$52:$B$58,0)+2,7)),1)),2))&lt;=MIN(DATOS!$C$28,INT(((DATOS!$C$13-2*S20-2*IF(DATOS!$C$25=0,0,INDEX(TABLAS!$C$52:$C$58,MATCH(DATOS!$C$25,TABLAS!$B$52:$B$58,0))))+MAX(DATOS!$C$32,INDEX(TABLAS!$C$52:$C$58,MIN(MATCH(DATOS!$C$27,TABLAS!$B$52:$B$58,0)+2,7))))/(INDEX(TABLAS!$C$52:$C$58,MIN(MATCH(DATOS!$C$27,TABLAS!$B$52:$B$58,0)+2,7))+MAX(DATOS!$C$32,INDEX(TABLAS!$C$52:$C$58,MIN(MATCH(DATOS!$C$27,TABLAS!$B$52:$B$58,0)+2,7))))))),INDEX(TABLAS!$B$52:$B$58,MIN(MATCH(DATOS!$C$27,TABLAS!$B$52:$B$58,0)+2,7)),IF(AND(CE20&gt;=0,IF(MAX(DATOS!$C$29,CEILING(CE20/INDEX(TABLAS!$D$52:$D$58,MIN(MATCH(DATOS!$C$27,TABLAS!$B$52:$B$58,0)+3,7)),1))*INDEX(TABLAS!$D$52:$D$58,MIN(MATCH(DATOS!$C$27,TABLAS!$B$52:$B$58,0)+3,7))&gt;=4/3*IF(BE20&lt;=0,0,IF((1-2*BE20*1E5/(DATOS!$C$58*DATOS!$C$19*CD20^2*DATOS!$C$48))&lt;0,-1,IF((1-SQRT((1-2*BE20*1E5/(DATOS!$C$58*DATOS!$C$19*CD20^2*DATOS!$C$48))))*DATOS!$C$48*DATOS!$C$19*CD20/DATOS!$C$40&gt;DATOS!$C$82*DATOS!$C$19*CD20,-1,(1-SQRT((1-2*BE20*1E5/(DATOS!$C$58*DATOS!$C$19*CD20^2*DATOS!$C$48))))*DATOS!$C$48*DATOS!$C$19*CD20/DATOS!$C$40)))-0.0001,MAX(DATOS!$C$29,CEILING(CE20/INDEX(TABLAS!$D$52:$D$58,MIN(MATCH(DATOS!$C$27,TABLAS!$B$52:$B$58,0)+3,7)),1)),MAX(MAX(DATOS!$C$29,CEILING(CE20/INDEX(TABLAS!$D$52:$D$58,MIN(MATCH(DATOS!$C$27,TABLAS!$B$52:$B$58,0)+3,7)),1)),2))&lt;=MIN(DATOS!$C$28,INT(((DATOS!$C$13-2*S20-2*IF(DATOS!$C$25=0,0,INDEX(TABLAS!$C$52:$C$58,MATCH(DATOS!$C$25,TABLAS!$B$52:$B$58,0))))+MAX(DATOS!$C$32,INDEX(TABLAS!$C$52:$C$58,MIN(MATCH(DATOS!$C$27,TABLAS!$B$52:$B$58,0)+3,7))))/(INDEX(TABLAS!$C$52:$C$58,MIN(MATCH(DATOS!$C$27,TABLAS!$B$52:$B$58,0)+3,7))+MAX(DATOS!$C$32,INDEX(TABLAS!$C$52:$C$58,MIN(MATCH(DATOS!$C$27,TABLAS!$B$52:$B$58,0)+3,7))))))),INDEX(TABLAS!$B$52:$B$58,MIN(MATCH(DATOS!$C$27,TABLAS!$B$52:$B$58,0)+3,7)),IF(AND(CE20&gt;=0,IF(MAX(DATOS!$C$29,CEILING(CE20/INDEX(TABLAS!$D$52:$D$58,MIN(MATCH(DATOS!$C$27,TABLAS!$B$52:$B$58,0)+4,7)),1))*INDEX(TABLAS!$D$52:$D$58,MIN(MATCH(DATOS!$C$27,TABLAS!$B$52:$B$58,0)+4,7))&gt;=4/3*IF(BE20&lt;=0,0,IF((1-2*BE20*1E5/(DATOS!$C$58*DATOS!$C$19*CD20^2*DATOS!$C$48))&lt;0,-1,IF((1-SQRT((1-2*BE20*1E5/(DATOS!$C$58*DATOS!$C$19*CD20^2*DATOS!$C$48))))*DATOS!$C$48*DATOS!$C$19*CD20/DATOS!$C$40&gt;DATOS!$C$82*DATOS!$C$19*CD20,-1,(1-SQRT((1-2*BE20*1E5/(DATOS!$C$58*DATOS!$C$19*CD20^2*DATOS!$C$48))))*DATOS!$C$48*DATOS!$C$19*CD20/DATOS!$C$40)))-0.0001,MAX(DATOS!$C$29,CEILING(CE20/INDEX(TABLAS!$D$52:$D$58,MIN(MATCH(DATOS!$C$27,TABLAS!$B$52:$B$58,0)+4,7)),1)),MAX(MAX(DATOS!$C$29,CEILING(CE20/INDEX(TABLAS!$D$52:$D$58,MIN(MATCH(DATOS!$C$27,TABLAS!$B$52:$B$58,0)+4,7)),1)),2))&lt;=MIN(DATOS!$C$28,INT(((DATOS!$C$13-2*S20-2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20" s="56">
        <f>IF(D20="HUECO",0,IF(CE20&lt;0,0,IF(MAX(DATOS!$C$29,CEILING(MAX(CE20,0)/INDEX(TABLAS!$D$52:$D$58,MATCH(CF20,TABLAS!$B$52:$B$58,0)),1))*INDEX(TABLAS!$D$52:$D$58,MATCH(CF20,TABLAS!$B$52:$B$58,0))&gt;=4/3*IF(BE20&lt;=0,0,IF((1-2*BE20*1E5/(DATOS!$C$58*DATOS!$C$19*CD20^2*DATOS!$C$48))&lt;0,-1,IF((1-SQRT((1-2*BE20*1E5/(DATOS!$C$58*DATOS!$C$19*CD20^2*DATOS!$C$48))))*DATOS!$C$48*DATOS!$C$19*CD20/DATOS!$C$40&gt;DATOS!$C$82*DATOS!$C$19*CD20,-1,(1-SQRT((1-2*BE20*1E5/(DATOS!$C$58*DATOS!$C$19*CD20^2*DATOS!$C$48))))*DATOS!$C$48*DATOS!$C$19*CD20/DATOS!$C$40)))-0.0001,MAX(DATOS!$C$29,CEILING(MAX(CE20,0)/INDEX(TABLAS!$D$52:$D$58,MATCH(CF20,TABLAS!$B$52:$B$58,0)),1)),MAX(MAX(DATOS!$C$29,CEILING(MAX(CE20,0)/INDEX(TABLAS!$D$52:$D$58,MATCH(CF20,TABLAS!$B$52:$B$58,0)),1)),2))))</f>
        <v>1</v>
      </c>
      <c r="CH20" s="43">
        <f>((DATOS!$C$15-S20-2*DATOS!$C$35-IF(DATOS!$C$25=0,0,INDEX(TABLAS!$C$52:$C$58,MATCH(DATOS!$C$25,TABLAS!$B$52:$B$58,0)))-INDEX(TABLAS!$C$52:$C$58,MATCH(BP20,TABLAS!$B$52:$B$58,0))-INDEX(TABLAS!$C$52:$C$58,MATCH(CF20,TABLAS!$B$52:$B$58,0))/2)-IF(AND((DATOS!$C$15-S20-2*DATOS!$C$35-IF(DATOS!$C$25=0,0,INDEX(TABLAS!$C$52:$C$58,MATCH(DATOS!$C$25,TABLAS!$B$52:$B$58,0)))-INDEX(TABLAS!$C$52:$C$58,MATCH(BP20,TABLAS!$B$52:$B$58,0))-INDEX(TABLAS!$C$52:$C$58,MATCH(CF20,TABLAS!$B$52:$B$58,0))/2)&lt;=20,DATOS!$C$18&lt;&gt;"SÍ"),2,0))</f>
        <v>18.119</v>
      </c>
      <c r="CI20" s="36">
        <f>IF(CG20=0,0,DATOS!$C$58*CG20*INDEX(TABLAS!$D$52:$D$58,MATCH(CF20,TABLAS!$B$52:$B$58,0))*DATOS!$C$40*(CH20-CG20*INDEX(TABLAS!$D$52:$D$58,MATCH(CF20,TABLAS!$B$52:$B$58,0))*DATOS!$C$40/(DATOS!$C$48*DATOS!$C$19)/2)/1E5)</f>
        <v>0.809570360117647</v>
      </c>
      <c r="CJ20" s="62">
        <f>IF(CE20&lt;0,9.99,IF(CI20&gt;0,BE20/CI20,0))</f>
        <v>0.291587682542304</v>
      </c>
      <c r="CK20" s="63">
        <f>IF(CG20=0,"—",0.003*(CH20-(CG20*INDEX(TABLAS!$D$52:$D$58,MATCH(CF20,TABLAS!$B$52:$B$58,0))*DATOS!$C$40/(DATOS!$C$48*DATOS!$C$19)/DATOS!$C$49))/(CG20*INDEX(TABLAS!$D$52:$D$58,MATCH(CF20,TABLAS!$B$52:$B$58,0))*DATOS!$C$40/(DATOS!$C$48*DATOS!$C$19)/DATOS!$C$49))</f>
        <v>0.0154068862485939</v>
      </c>
      <c r="CL20" s="52" t="str">
        <f>IF(D20="HUECO","—",IF(AND(D20="PERIMETRAL",J20*100&gt;=6*DATOS!$C$11,DATOS!$C$11&lt;=80,DATOS!$C$13&gt;=10,DATOS!$C$15&lt;=3.5*DATOS!$C$13,DATOS!$C$14&gt;=MAX(DATOS!$C$11/13,5)),"SÍ","NO"))</f>
        <v>NO</v>
      </c>
      <c r="CM20" s="36">
        <f>IF(D20="PERIMETRAL",MAX(0,(N20/2-BR20)/100)*(0.95-0.5*L20)*Y20*IF(AND(Z20&gt;0,Z20&lt;4),DATOS!$C$63,1)*DATOS!$C$16/100/1000+AX20,IF(D20="VOLADO",(Y20*MAX(0,N20-BR20)/100+DATOS!$C$55*BA20)*DATOS!$C$16/100/1000,0))</f>
        <v>0.0798077520879868</v>
      </c>
      <c r="CN20" s="36">
        <f>IF(D20="HUECO",0,DATOS!$C$59*2*MIN(1,SQRT(2/(1+0.04*BR20)))*(BQ20*INDEX(TABLAS!$D$52:$D$58,MATCH(BP20,TABLAS!$B$52:$B$58,0))/(DATOS!$C$19*BR20))^(1/3)*SQRT(DATOS!$C$39)*DATOS!$C$19*BR20*IF(CL20="SÍ",DATOS!$C$62,1)/1000)</f>
        <v>0.860398102904257</v>
      </c>
      <c r="CO20" s="51" t="str">
        <f>IF(D20="HUECO","—",IF(CM20&lt;=CN20,"CUMPLE",IF(MAX(0,CEILING((IF(D20="VOLADO",(N20-(CN20*1E5/DATOS!$C$16-DATOS!$C$55*BA20)*100/Y20),IF(CN20&lt;=AX20,N20,N20/2-(CN20-AX20)/MAX(CM20-AX20,1E-9)*(N20/2-BR20)))-IF(INT((J20*100-DATOS!$C$17+DATOS!$C$13)/DATOS!$C$16)&gt;0,(J20*100-DATOS!$C$17-(INT((J20*100-DATOS!$C$17+DATOS!$C$13)/DATOS!$C$16)*DATOS!$C$11+(INT((J20*100-DATOS!$C$17+DATOS!$C$13)/DATOS!$C$16)-1)*DATOS!$C$13))/2,J20*100/2))/DATOS!$C$16,1))&lt;=0,"CUMPLE (basta el macizo de orilla)","MACIZAR "&amp;MAX(0,CEILING((IF(D20="VOLADO",(N20-(CN20*1E5/DATOS!$C$16-DATOS!$C$55*BA20)*100/Y20),IF(CN20&lt;=AX20,N20,N20/2-(CN20-AX20)/MAX(CM20-AX20,1E-9)*(N20/2-BR20)))-IF(INT((J20*100-DATOS!$C$17+DATOS!$C$13)/DATOS!$C$16)&gt;0,(J20*100-DATOS!$C$17-(INT((J20*100-DATOS!$C$17+DATOS!$C$13)/DATOS!$C$16)*DATOS!$C$11+(INT((J20*100-DATOS!$C$17+DATOS!$C$13)/DATOS!$C$16)-1)*DATOS!$C$13))/2,J20*100/2))/DATOS!$C$16,1))&amp;" hilera(s)")))</f>
        <v>CUMPLE</v>
      </c>
      <c r="CP20" s="43">
        <f>IF(D20="PERIMETRAL",(99+99+99+(PRINCIPALES!$N$36*PRINCIPALES!$O$36^3/12/(0.897*100*IF(APOYOS!$G$76="CONTINUO",1,0.5)*DATOS!$C$77^3/12)))/4,0)</f>
        <v>74.3896678039375</v>
      </c>
      <c r="CQ20" s="57">
        <f>IF(D20="PERIMETRAL",IF(CP20&gt;2,MAX(9,O20*(0.8+DATOS!$C$40/14000)/(36+9*(O20/MAX(N20,1)))),IF(CP20&gt;0.2,MAX(13,O20*(0.8+DATOS!$C$40/14000)/(36+5*(O20/MAX(N20,1))*(CP20-0.2))),MAX(13,O20/IF(Z20&gt;0,30,33))))*IF(AND(CP20&gt;0.2,OR(AND((APOYOS!$G$73="DISCONTINUO"),99&lt;0.8),AND((APOYOS!$G$74="DISCONTINUO"),99&lt;0.8),AND((APOYOS!$G$75="DISCONTINUO"),99&lt;0.8),AND((APOYOS!$G$76="DISCONTINUO"),(PRINCIPALES!$N$36*PRINCIPALES!$O$36^3/12/(0.897*100*IF(APOYOS!$G$76="CONTINUO",1,0.5)*DATOS!$C$77^3/12))&lt;0.8))),1.1,1),IF(D20="VOLADO",MAX(25,J20*100/8),0))</f>
        <v>9</v>
      </c>
      <c r="CR20" s="57">
        <f>IF(D20="VOLADO",DATOS!$C$15,DATOS!$C$77)</f>
        <v>16.7232564120244</v>
      </c>
      <c r="CS20" s="52" t="str">
        <f>IF(D20="HUECO","—",IF(CR20&gt;=CQ20,"CUMPLE",IF(D20="VOLADO","NO CUMPLE","CALCULAR FLECHA")))</f>
        <v>CUMPLE</v>
      </c>
      <c r="CT20" s="52" t="str">
        <f>IF(D20="HUECO","—",IF(DATOS!$C$14&gt;=IF(IF(D20="VOLADO",J20,K20)&gt;=6,6,5),"CUMPLE","CAPA ≥ 6 cm"))</f>
        <v>CUMPLE</v>
      </c>
      <c r="CU20" s="59">
        <f>IF(D20="HUECO",0,IF(((4*((AL20*Y20*J20^2*1E-4*DATOS!$C$16/100/1000)+((MAX(AH20,AJ20)*Y20*J20^2*1E-4*DATOS!$C$16/100/1000)+(IF(AND(AH20&gt;0,AJ20&gt;0),MIN(AH20,AJ20),MAX(AH20,AJ20))*Y20*J20^2*1E-4*DATOS!$C$16/100/1000))/2)+BC20-(IF(AND(AH20&gt;0,AJ20&gt;0),MIN(AH20,AJ20),MAX(AH20,AJ20))*Y20*J20^2*1E-4*DATOS!$C$16/100/1000))^2-16*((AL20*Y20*J20^2*1E-4*DATOS!$C$16/100/1000)+((MAX(AH20,AJ20)*Y20*J20^2*1E-4*DATOS!$C$16/100/1000)+(IF(AND(AH20&gt;0,AJ20&gt;0),MIN(AH20,AJ20),MAX(AH20,AJ20))*Y20*J20^2*1E-4*DATOS!$C$16/100/1000))/2)*BC20)&lt;0,CEILING(N20,5),CEILING(MAX(N20*((4*((AL20*Y20*J20^2*1E-4*DATOS!$C$16/100/1000)+((MAX(AH20,AJ20)*Y20*J20^2*1E-4*DATOS!$C$16/100/1000)+(IF(AND(AH20&gt;0,AJ20&gt;0),MIN(AH20,AJ20),MAX(AH20,AJ20))*Y20*J20^2*1E-4*DATOS!$C$16/100/1000))/2)+BC20-(IF(AND(AH20&gt;0,AJ20&gt;0),MIN(AH20,AJ20),MAX(AH20,AJ20))*Y20*J20^2*1E-4*DATOS!$C$16/100/1000))-SQRT(MAX(0,((4*((AL20*Y20*J20^2*1E-4*DATOS!$C$16/100/1000)+((MAX(AH20,AJ20)*Y20*J20^2*1E-4*DATOS!$C$16/100/1000)+(IF(AND(AH20&gt;0,AJ20&gt;0),MIN(AH20,AJ20),MAX(AH20,AJ20))*Y20*J20^2*1E-4*DATOS!$C$16/100/1000))/2)+BC20-(IF(AND(AH20&gt;0,AJ20&gt;0),MIN(AH20,AJ20),MAX(AH20,AJ20))*Y20*J20^2*1E-4*DATOS!$C$16/100/1000))^2-16*((AL20*Y20*J20^2*1E-4*DATOS!$C$16/100/1000)+((MAX(AH20,AJ20)*Y20*J20^2*1E-4*DATOS!$C$16/100/1000)+(IF(AND(AH20&gt;0,AJ20&gt;0),MIN(AH20,AJ20),MAX(AH20,AJ20))*Y20*J20^2*1E-4*DATOS!$C$16/100/1000))/2)*BC20))))/(8*MAX(((AL20*Y20*J20^2*1E-4*DATOS!$C$16/100/1000)+((MAX(AH20,AJ20)*Y20*J20^2*1E-4*DATOS!$C$16/100/1000)+(IF(AND(AH20&gt;0,AJ20&gt;0),MIN(AH20,AJ20),MAX(AH20,AJ20))*Y20*J20^2*1E-4*DATOS!$C$16/100/1000))/2),1E-9))+MAX(BR20,12*INDEX(TABLAS!$C$52:$C$58,MATCH(BP20,TABLAS!$B$52:$B$58,0)),N20/16),IF(OR(S20&lt;INDEX(TABLAS!$C$52:$C$58,MATCH(BP20,TABLAS!$B$52:$B$58,0)),AND(BQ20&gt;=2,(DATOS!$C$13-2*S20-2*IF(DATOS!$C$25=0,0,INDEX(TABLAS!$C$52:$C$58,MATCH(DATOS!$C$25,TABLAS!$B$52:$B$58,0)))-BQ20*INDEX(TABLAS!$C$52:$C$58,MATCH(BP20,TABLAS!$B$52:$B$58,0)))/MAX(BQ20-1,1)&lt;2*INDEX(TABLAS!$C$52:$C$58,MATCH(BP20,TABLAS!$B$52:$B$58,0)))),INDEX(TABLAS!$I$52:$I$58,MATCH(BP20,TABLAS!$B$52:$B$58,0)),INDEX(TABLAS!$F$52:$F$58,MATCH(BP20,TABLAS!$B$52:$B$58,0)))),5)))</f>
        <v>60</v>
      </c>
      <c r="CV20" s="59">
        <f>IF(D20="HUECO",0,IF(((4*((AM20*Y20*J20^2*1E-4*DATOS!$C$16/100/1000)+((MAX(AI20,AK20)*Y20*J20^2*1E-4*DATOS!$C$16/100/1000)+(IF(AND(AI20&gt;0,AK20&gt;0),MIN(AI20,AK20),MAX(AI20,AK20))*Y20*J20^2*1E-4*DATOS!$C$16/100/1000))/2)+BE20-(IF(AND(AI20&gt;0,AK20&gt;0),MIN(AI20,AK20),MAX(AI20,AK20))*Y20*J20^2*1E-4*DATOS!$C$16/100/1000))^2-16*((AM20*Y20*J20^2*1E-4*DATOS!$C$16/100/1000)+((MAX(AI20,AK20)*Y20*J20^2*1E-4*DATOS!$C$16/100/1000)+(IF(AND(AI20&gt;0,AK20&gt;0),MIN(AI20,AK20),MAX(AI20,AK20))*Y20*J20^2*1E-4*DATOS!$C$16/100/1000))/2)*BE20)&lt;0,CEILING(O20,5),CEILING(MAX(O20*((4*((AM20*Y20*J20^2*1E-4*DATOS!$C$16/100/1000)+((MAX(AI20,AK20)*Y20*J20^2*1E-4*DATOS!$C$16/100/1000)+(IF(AND(AI20&gt;0,AK20&gt;0),MIN(AI20,AK20),MAX(AI20,AK20))*Y20*J20^2*1E-4*DATOS!$C$16/100/1000))/2)+BE20-(IF(AND(AI20&gt;0,AK20&gt;0),MIN(AI20,AK20),MAX(AI20,AK20))*Y20*J20^2*1E-4*DATOS!$C$16/100/1000))-SQRT(MAX(0,((4*((AM20*Y20*J20^2*1E-4*DATOS!$C$16/100/1000)+((MAX(AI20,AK20)*Y20*J20^2*1E-4*DATOS!$C$16/100/1000)+(IF(AND(AI20&gt;0,AK20&gt;0),MIN(AI20,AK20),MAX(AI20,AK20))*Y20*J20^2*1E-4*DATOS!$C$16/100/1000))/2)+BE20-(IF(AND(AI20&gt;0,AK20&gt;0),MIN(AI20,AK20),MAX(AI20,AK20))*Y20*J20^2*1E-4*DATOS!$C$16/100/1000))^2-16*((AM20*Y20*J20^2*1E-4*DATOS!$C$16/100/1000)+((MAX(AI20,AK20)*Y20*J20^2*1E-4*DATOS!$C$16/100/1000)+(IF(AND(AI20&gt;0,AK20&gt;0),MIN(AI20,AK20),MAX(AI20,AK20))*Y20*J20^2*1E-4*DATOS!$C$16/100/1000))/2)*BE20))))/(8*MAX(((AM20*Y20*J20^2*1E-4*DATOS!$C$16/100/1000)+((MAX(AI20,AK20)*Y20*J20^2*1E-4*DATOS!$C$16/100/1000)+(IF(AND(AI20&gt;0,AK20&gt;0),MIN(AI20,AK20),MAX(AI20,AK20))*Y20*J20^2*1E-4*DATOS!$C$16/100/1000))/2),1E-9))+MAX(CH20,12*INDEX(TABLAS!$C$52:$C$58,MATCH(CF20,TABLAS!$B$52:$B$58,0)),O20/16),IF(OR(S20&lt;INDEX(TABLAS!$C$52:$C$58,MATCH(CF20,TABLAS!$B$52:$B$58,0)),AND(CG20&gt;=2,(DATOS!$C$13-2*S20-2*IF(DATOS!$C$25=0,0,INDEX(TABLAS!$C$52:$C$58,MATCH(DATOS!$C$25,TABLAS!$B$52:$B$58,0)))-CG20*INDEX(TABLAS!$C$52:$C$58,MATCH(CF20,TABLAS!$B$52:$B$58,0)))/MAX(CG20-1,1)&lt;2*INDEX(TABLAS!$C$52:$C$58,MATCH(CF20,TABLAS!$B$52:$B$58,0)))),INDEX(TABLAS!$I$52:$I$58,MATCH(CF20,TABLAS!$B$52:$B$58,0)),INDEX(TABLAS!$F$52:$F$58,MATCH(CF20,TABLAS!$B$52:$B$58,0)))),5)))</f>
        <v>185</v>
      </c>
      <c r="CW20" s="56">
        <f>MAX(0,INT((F20*100-DATOS!$C$17+DATOS!$C$13)/DATOS!$C$16))</f>
        <v>1</v>
      </c>
      <c r="CX20" s="56">
        <f>MAX(0,INT((G20*100-DATOS!$C$17+DATOS!$C$13)/DATOS!$C$16))</f>
        <v>2</v>
      </c>
      <c r="CY20" s="51" t="str">
        <f>IF(COUNTIFS(TRIB!$C$6:$C$255,B20,TRIB!$K$6:$K$255,"NO CUMPLE*")+COUNTIFS(TRIB!$C$6:$C$255,B20,TRIB!$K$6:$K$255,"SIN APOYO*")&gt;0,"VER PRINCIPALES",IF((APOYOS!$F$73="LIBRE")+(APOYOS!$F$74="LIBRE")+(APOYOS!$F$75="LIBRE")+(APOYOS!$F$76="LIBRE")&gt;0,"REVISAR: borde libre","OK"))</f>
        <v>OK</v>
      </c>
      <c r="CZ20" s="64" t="str">
        <f>IF(D20="HUECO","HUECO — marco de nervaduras principales",IF(AND(MAX(BL20,BT20,CB20,CJ20)&lt;=1,NOT(OR(BI20&gt;MIN(DATOS!$C$28,INT(((DATOS!$C$13-2*R20-2*IF(DATOS!$C$25=0,0,INDEX(TABLAS!$C$52:$C$58,MATCH(DATOS!$C$25,TABLAS!$B$52:$B$58,0))))+DATOS!$C$32)/(INDEX(TABLAS!$C$52:$C$58,MATCH(BH20,TABLAS!$B$52:$B$58,0))+DATOS!$C$32))),BQ20&gt;MIN(DATOS!$C$28,INT(((DATOS!$C$13-2*S20-2*IF(DATOS!$C$25=0,0,INDEX(TABLAS!$C$52:$C$58,MATCH(DATOS!$C$25,TABLAS!$B$52:$B$58,0))))+DATOS!$C$32)/(INDEX(TABLAS!$C$52:$C$58,MATCH(BP20,TABLAS!$B$52:$B$58,0))+DATOS!$C$32))),BY20&gt;MIN(DATOS!$C$28,INT(((DATOS!$C$13-2*R20-2*IF(DATOS!$C$25=0,0,INDEX(TABLAS!$C$52:$C$58,MATCH(DATOS!$C$25,TABLAS!$B$52:$B$58,0))))+DATOS!$C$32)/(INDEX(TABLAS!$C$52:$C$58,MATCH(BX20,TABLAS!$B$52:$B$58,0))+DATOS!$C$32))),CG20&gt;MIN(DATOS!$C$28,INT(((DATOS!$C$13-2*S20-2*IF(DATOS!$C$25=0,0,INDEX(TABLAS!$C$52:$C$58,MATCH(DATOS!$C$25,TABLAS!$B$52:$B$58,0))))+DATOS!$C$32)/(INDEX(TABLAS!$C$52:$C$58,MATCH(CF20,TABLAS!$B$52:$B$58,0))+DATOS!$C$32))))),NOT(OR(AND(ISNUMBER(BM20),BM20&lt;0.005),AND(ISNUMBER(BU20),BU20&lt;0.005),AND(ISNUMBER(CC20),CC20&lt;0.005),AND(ISNUMBER(CK20),CK20&lt;0.005))),CS20="CUMPLE",CT20="CUMPLE"),IF(CY20="OK",IF(LEFT(CO20,6)="CUMPLE","CUMPLE","CUMPLE — "&amp;CO20)&amp;IF(LEFT(AZ20,5)="FUERA"," · fuera de 3.4.2.1 c)",""),IF(CY20="VER PRINCIPALES","VER PRINCIPALES","REVISAR APOYOS")),IF(AND(MAX(BL20,BT20,CB20,CJ20)&lt;=1,NOT(OR(BI20&gt;MIN(DATOS!$C$28,INT(((DATOS!$C$13-2*R20-2*IF(DATOS!$C$25=0,0,INDEX(TABLAS!$C$52:$C$58,MATCH(DATOS!$C$25,TABLAS!$B$52:$B$58,0))))+DATOS!$C$32)/(INDEX(TABLAS!$C$52:$C$58,MATCH(BH20,TABLAS!$B$52:$B$58,0))+DATOS!$C$32))),BQ20&gt;MIN(DATOS!$C$28,INT(((DATOS!$C$13-2*S20-2*IF(DATOS!$C$25=0,0,INDEX(TABLAS!$C$52:$C$58,MATCH(DATOS!$C$25,TABLAS!$B$52:$B$58,0))))+DATOS!$C$32)/(INDEX(TABLAS!$C$52:$C$58,MATCH(BP20,TABLAS!$B$52:$B$58,0))+DATOS!$C$32))),BY20&gt;MIN(DATOS!$C$28,INT(((DATOS!$C$13-2*R20-2*IF(DATOS!$C$25=0,0,INDEX(TABLAS!$C$52:$C$58,MATCH(DATOS!$C$25,TABLAS!$B$52:$B$58,0))))+DATOS!$C$32)/(INDEX(TABLAS!$C$52:$C$58,MATCH(BX20,TABLAS!$B$52:$B$58,0))+DATOS!$C$32))),CG20&gt;MIN(DATOS!$C$28,INT(((DATOS!$C$13-2*S20-2*IF(DATOS!$C$25=0,0,INDEX(TABLAS!$C$52:$C$58,MATCH(DATOS!$C$25,TABLAS!$B$52:$B$58,0))))+DATOS!$C$32)/(INDEX(TABLAS!$C$52:$C$58,MATCH(CF20,TABLAS!$B$52:$B$58,0))+DATOS!$C$32))))),NOT(OR(AND(ISNUMBER(BM20),BM20&lt;0.005),AND(ISNUMBER(BU20),BU20&lt;0.005),AND(ISNUMBER(CC20),CC20&lt;0.005),AND(ISNUMBER(CK20),CK20&lt;0.005))),CS20="CALCULAR FLECHA"),"REVISAR: calcular flecha (h_eq &lt; h mín.)","NO CUMPLE: "&amp;IF(MAX(BL20,BT20,CB20,CJ20)&gt;1,"flexión ","")&amp;IF(OR(BI20&gt;MIN(DATOS!$C$28,INT(((DATOS!$C$13-2*R20-2*IF(DATOS!$C$25=0,0,INDEX(TABLAS!$C$52:$C$58,MATCH(DATOS!$C$25,TABLAS!$B$52:$B$58,0))))+DATOS!$C$32)/(INDEX(TABLAS!$C$52:$C$58,MATCH(BH20,TABLAS!$B$52:$B$58,0))+DATOS!$C$32))),BQ20&gt;MIN(DATOS!$C$28,INT(((DATOS!$C$13-2*S20-2*IF(DATOS!$C$25=0,0,INDEX(TABLAS!$C$52:$C$58,MATCH(DATOS!$C$25,TABLAS!$B$52:$B$58,0))))+DATOS!$C$32)/(INDEX(TABLAS!$C$52:$C$58,MATCH(BP20,TABLAS!$B$52:$B$58,0))+DATOS!$C$32))),BY20&gt;MIN(DATOS!$C$28,INT(((DATOS!$C$13-2*R20-2*IF(DATOS!$C$25=0,0,INDEX(TABLAS!$C$52:$C$58,MATCH(DATOS!$C$25,TABLAS!$B$52:$B$58,0))))+DATOS!$C$32)/(INDEX(TABLAS!$C$52:$C$58,MATCH(BX20,TABLAS!$B$52:$B$58,0))+DATOS!$C$32))),CG20&gt;MIN(DATOS!$C$28,INT(((DATOS!$C$13-2*S20-2*IF(DATOS!$C$25=0,0,INDEX(TABLAS!$C$52:$C$58,MATCH(DATOS!$C$25,TABLAS!$B$52:$B$58,0))))+DATOS!$C$32)/(INDEX(TABLAS!$C$52:$C$58,MATCH(CF20,TABLAS!$B$52:$B$58,0))+DATOS!$C$32)))),"no caben ","")&amp;IF(OR(AND(ISNUMBER(BM20),BM20&lt;0.005),AND(ISNUMBER(BU20),BU20&lt;0.005),AND(ISNUMBER(CC20),CC20&lt;0.005),AND(ISNUMBER(CK20),CK20&lt;0.005)),"ε_t &lt; 0.005 ","")&amp;IF(CS20="NO CUMPLE","peralte ","")&amp;IF(CT20&lt;&gt;"CUMPLE","capa &lt; 6 cm",""))))</f>
        <v>CUMPLE · fuera de 3.4.2.1 c)</v>
      </c>
      <c r="DA20" s="65" t="str">
        <f>IF(AND(D20="PERIMETRAL",MIN(CW20,CX20)=0),"Tablero macizo (no cabe un casetón en el claro corto): no aplica 6.7.8. La resistencia se revisa con una nervadura de 10 cm cada 70 cm y r_np (conservador); "&amp;"como losa maciza lleva además As,mín = 0.0018·Ag en cada dirección cerca de la cara a tensión (6.7.6.1.1, p. 175). ",IF(AND(CL20="NO",D20="PERIMETRAL"),"No cumple 6.7.8.1.4 (a_c = "&amp;DATOS!$C$11&amp;" cm &gt; claro corto/6 = "&amp;TEXT(J20*100/6,"0")&amp;" cm): se diseña como losa apoyada en vigas (6.7.8.1.9): nervaduras con recubrimiento de viga r_np = "&amp;DATOS!$C$22&amp;" cm (Tabla 4.14.16.a), V_cR sin ×1.1 y cortante sin estribos por 5.5.3.8.1 (criterio del Proyectista). Para que cuente como encasetonada: casetón de "&amp;TEXT(FLOOR(MIN(80,J20*100/6),1),"0")&amp;" cm o menor. ",""))&amp;IF(LEFT(AZ20,5)="FUERA","M⁻ del borde común "&amp;AZ20&amp;": difieren más de 50% (3.4.2.1 c); se distribuyen 2/3 del desequilibrio (3.4.3.1) y conviene confirmar los momentos con el modelo. ","")&amp;"Forma de L: rectángulo envolvente."</f>
        <v>No cumple 6.7.8.1.4 (a_c = 60 cm &gt; claro corto/6 = 15 cm): se diseña como losa apoyada en vigas (6.7.8.1.9): nervaduras con recubrimiento de viga r_np = 4 cm (Tabla 4.14.16.a), V_cR sin ×1.1 y cortante sin estribos por 5.5.3.8.1 (criterio del Proyectista). Para que cuente como encasetonada: casetón de 14 cm o menor. M⁻ del borde común FUERA con F80008 F80009 F80011 F80018 F80015: difieren más de 50% (3.4.2.1 c); se distribuyen 2/3 del desequilibrio (3.4.3.1) y conviene confirmar los momentos con el modelo. Forma de L: rectángulo envolvente.</v>
      </c>
    </row>
    <row r="21" ht="30" customHeight="1">
      <c r="B21" s="51" t="inlineStr">
        <is>
          <t>F80014 N+3.00</t>
        </is>
      </c>
      <c r="C21" s="52" t="inlineStr">
        <is>
          <t>N+3.00</t>
        </is>
      </c>
      <c r="D21" s="53" t="inlineStr">
        <is>
          <t>PERIMETRAL</t>
        </is>
      </c>
      <c r="E21" s="53" t="inlineStr">
        <is>
          <t>HABITACIÓN</t>
        </is>
      </c>
      <c r="F21" s="54" t="n">
        <v>3.029</v>
      </c>
      <c r="G21" s="54" t="n">
        <v>1.6</v>
      </c>
      <c r="H21" s="55" t="n">
        <v>3.029</v>
      </c>
      <c r="I21" s="55" t="n">
        <v>1.6</v>
      </c>
      <c r="J21" s="36">
        <f>MIN(H21,I21)</f>
        <v>1.6</v>
      </c>
      <c r="K21" s="36">
        <f>MAX(H21,I21)</f>
        <v>3.029</v>
      </c>
      <c r="L21" s="36">
        <f>IF(K21&gt;0,J21/K21,0)</f>
        <v>0.528227137669198</v>
      </c>
      <c r="M21" s="52" t="str">
        <f>IF(H21&lt;=I21,"X","Y")</f>
        <v>Y</v>
      </c>
      <c r="N21" s="56">
        <f>MAX(0,J21*100-IF(D21="VOLADO",DATOS!$C$17/2,DATOS!$C$17))</f>
        <v>145</v>
      </c>
      <c r="O21" s="56">
        <f>MAX(0,K21*100-DATOS!$C$17)</f>
        <v>287.9</v>
      </c>
      <c r="P21" s="57">
        <f>MIN(DATOS!$C$16,DATOS!$C$13+2*MIN(8*DATOS!$C$14,DATOS!$C$11/2,N21/8))</f>
        <v>46.25</v>
      </c>
      <c r="Q21" s="57">
        <f>MIN(DATOS!$C$16,DATOS!$C$13+2*MIN(8*DATOS!$C$14,DATOS!$C$11/2,O21/8))</f>
        <v>70</v>
      </c>
      <c r="R21" s="57">
        <f>IF(D21="VOLADO",DATOS!$C$21,IF(CL21="NO",DATOS!$C$22,DATOS!$C$20))</f>
        <v>4</v>
      </c>
      <c r="S21" s="57">
        <f>IF(OR(AND(C21="N+6.00",DATOS!$C$23="SÍ"),AND(D21="VOLADO",DATOS!$C$24="SÍ")),DATOS!$C$21,IF(CL21="NO",DATOS!$C$22,DATOS!$C$20))</f>
        <v>4</v>
      </c>
      <c r="T21" s="58" t="n">
        <v>230</v>
      </c>
      <c r="U21" s="56">
        <f>IF(E21="HABITACIÓN",DATOS!$C$89,DATOS!$C$92)</f>
        <v>190</v>
      </c>
      <c r="V21" s="56">
        <f>CARGAS!$C$9</f>
        <v>293.673469387755</v>
      </c>
      <c r="W21" s="56">
        <f>V21+T21</f>
        <v>523.673469387755</v>
      </c>
      <c r="X21" s="56">
        <f>W21+U21</f>
        <v>713.673469387755</v>
      </c>
      <c r="Y21" s="59">
        <f>MAX(DATOS!$C$55*W21+DATOS!$C$56*U21,IF(E21="AZOTEA",DATOS!$C$57*(W21+DATOS!$C$97),0))</f>
        <v>965.775510204082</v>
      </c>
      <c r="Z21" s="56">
        <f>(APOYOS!$G$77="DISCONTINUO")+(APOYOS!$G$78="DISCONTINUO")+(APOYOS!$G$79="DISCONTINUO")+(APOYOS!$G$80="DISCONTINUO")</f>
        <v>0</v>
      </c>
      <c r="AA21" s="56">
        <f>IF(M21="X",(APOYOS!$G$77="DISCONTINUO")+(APOYOS!$G$78="DISCONTINUO"),(APOYOS!$G$79="DISCONTINUO")+(APOYOS!$G$80="DISCONTINUO"))</f>
        <v>0</v>
      </c>
      <c r="AB21" s="56">
        <f>Z21-AA21</f>
        <v>0</v>
      </c>
      <c r="AC21" s="52" t="str">
        <f>IF(Z21=0,"INTERIOR",IF(Z21=1,IF(AA21=1,"BORDE-CORTO","BORDE-LARGO"),IF(Z21=2,IF(AA21=1,"ESQUINA",IF(AA21=2,"EXTREMO-LARGO","EXTREMO-CORTO")),IF(Z21=3,IF(AA21=2,"EXTREMO-LARGO","EXTREMO-CORTO"),"AISLADO"))))</f>
        <v>INTERIOR</v>
      </c>
      <c r="AD21" s="53" t="inlineStr">
        <is>
          <t>AUTO</t>
        </is>
      </c>
      <c r="AE21" s="60" t="str">
        <f>IF(AD21="AUTO",AC21,AD21)</f>
        <v>INTERIOR</v>
      </c>
      <c r="AF21" s="56">
        <f>MATCH(L21,TABLAS!$D$5:$J$5,1)</f>
        <v>2</v>
      </c>
      <c r="AG21" s="43">
        <f>IF(AF21&gt;=7,0,(L21-INDEX(TABLAS!$D$5:$J$5,AF21))/(INDEX(TABLAS!$D$5:$J$5,AF21+1)-INDEX(TABLAS!$D$5:$J$5,AF21)))</f>
        <v>0.282271376691978</v>
      </c>
      <c r="AH21" s="56">
        <f>INDEX(TABLAS!$D$6:$J$47,MATCH(AE21&amp;"|NIC",TABLAS!$B$6:$B$47,0),AF21)+AG21*(INDEX(TABLAS!$D$6:$J$47,MATCH(AE21&amp;"|NIC",TABLAS!$B$6:$B$47,0),MIN(AF21+1,7))-INDEX(TABLAS!$D$6:$J$47,MATCH(AE21&amp;"|NIC",TABLAS!$B$6:$B$47,0),AF21))</f>
        <v>1088.58534169693</v>
      </c>
      <c r="AI21" s="56">
        <f>INDEX(TABLAS!$D$6:$J$47,MATCH(AE21&amp;"|NIL",TABLAS!$B$6:$B$47,0),AF21)+AG21*(INDEX(TABLAS!$D$6:$J$47,MATCH(AE21&amp;"|NIL",TABLAS!$B$6:$B$47,0),MIN(AF21+1,7))-INDEX(TABLAS!$D$6:$J$47,MATCH(AE21&amp;"|NIL",TABLAS!$B$6:$B$47,0),AF21))</f>
        <v>540.685044569165</v>
      </c>
      <c r="AJ21" s="56">
        <f>INDEX(TABLAS!$D$6:$J$47,MATCH(AE21&amp;"|NDC",TABLAS!$B$6:$B$47,0),AF21)+AG21*(INDEX(TABLAS!$D$6:$J$47,MATCH(AE21&amp;"|NDC",TABLAS!$B$6:$B$47,0),MIN(AF21+1,7))-INDEX(TABLAS!$D$6:$J$47,MATCH(AE21&amp;"|NDC",TABLAS!$B$6:$B$47,0),AF21))</f>
        <v>0</v>
      </c>
      <c r="AK21" s="56">
        <f>INDEX(TABLAS!$D$6:$J$47,MATCH(AE21&amp;"|NDL",TABLAS!$B$6:$B$47,0),AF21)+AG21*(INDEX(TABLAS!$D$6:$J$47,MATCH(AE21&amp;"|NDL",TABLAS!$B$6:$B$47,0),MIN(AF21+1,7))-INDEX(TABLAS!$D$6:$J$47,MATCH(AE21&amp;"|NDL",TABLAS!$B$6:$B$47,0),AF21))</f>
        <v>0</v>
      </c>
      <c r="AL21" s="56">
        <f>INDEX(TABLAS!$D$6:$J$47,MATCH(AE21&amp;"|PC",TABLAS!$B$6:$B$47,0),AF21)+AG21*(INDEX(TABLAS!$D$6:$J$47,MATCH(AE21&amp;"|PC",TABLAS!$B$6:$B$47,0),MIN(AF21+1,7))-INDEX(TABLAS!$D$6:$J$47,MATCH(AE21&amp;"|PC",TABLAS!$B$6:$B$47,0),AF21))</f>
        <v>317.363156157148</v>
      </c>
      <c r="AM21" s="56">
        <f>INDEX(TABLAS!$D$6:$J$47,MATCH(AE21&amp;"|PL",TABLAS!$B$6:$B$47,0),AF21)+AG21*(INDEX(TABLAS!$D$6:$J$47,MATCH(AE21&amp;"|PL",TABLAS!$B$6:$B$47,0),MIN(AF21+1,7))-INDEX(TABLAS!$D$6:$J$47,MATCH(AE21&amp;"|PL",TABLAS!$B$6:$B$47,0),AF21))</f>
        <v>148.879498184219</v>
      </c>
      <c r="AN21" s="36">
        <f>IF(D21="PERIMETRAL",IF(APOYOS!$G$77="CONTINUO",IF(M21="Y",AH21,AI21),IF(M21="Y",AJ21,AK21))*Y21*J21^2*1E-4*DATOS!$C$16/100/1000,0)</f>
        <v>0.188398168229024</v>
      </c>
      <c r="AO21" s="36">
        <f>IF(D21="PERIMETRAL",IF(APOYOS!$G$78="CONTINUO",IF(M21="Y",AH21,AI21),IF(M21="Y",AJ21,AK21))*Y21*J21^2*1E-4*DATOS!$C$16/100/1000,0)</f>
        <v>0.188398168229024</v>
      </c>
      <c r="AP21" s="36">
        <f>IF(D21="PERIMETRAL",IF(APOYOS!$G$79="CONTINUO",IF(M21="X",AH21,AI21),IF(M21="X",AJ21,AK21))*Y21*J21^2*1E-4*DATOS!$C$16/100/1000,0)</f>
        <v>0.0935747231603075</v>
      </c>
      <c r="AQ21" s="36">
        <f>IF(D21="PERIMETRAL",IF(APOYOS!$G$80="CONTINUO",IF(M21="X",AH21,AI21),IF(M21="X",AJ21,AK21))*Y21*J21^2*1E-4*DATOS!$C$16/100/1000,0)</f>
        <v>0.0935747231603075</v>
      </c>
      <c r="AR21" s="56">
        <f>IF(D21="PERIMETRAL",IF(M21="X",BN21,CD21)^3/(J21*100),0)</f>
        <v>37.1777148697438</v>
      </c>
      <c r="AS21" s="56">
        <f>IF(D21="PERIMETRAL",IF(M21="Y",BN21,CD21)^3/(J21*100),0)</f>
        <v>45.5560697554312</v>
      </c>
      <c r="AT21" s="36">
        <f>IF(D21="PERIMETRAL",MAX(0,IF(M21="Y",IF(AND(OR(APOYOS!$G$77="CONTINUO",APOYOS!$G$62="CONTINUO"),AN21&gt;0,AO17&gt;0,AO17&gt;AN21),AN21+2/3*(AO17-AN21)*AS21/MAX(AS21+AS17,1E-9),0),0),IF(M21="Y",IF(AND(OR(APOYOS!$G$78="CONTINUO",APOYOS!$G$85="CONTINUO"),AO21&gt;0,AN23&gt;0,AN23&gt;AO21),AO21+2/3*(AN23-AO21)*AS21/MAX(AS21+AS23,1E-9),0),0),IF(M21="X",IF(AND(OR(APOYOS!$G$80="CONTINUO",APOYOS!$G$55="CONTINUO"),AQ21&gt;0,AP15&gt;0,AP15&gt;AQ21),AQ21+2/3*(AP15-AQ21)*AR21/MAX(AR21+AR15,1E-9),0),0)),0)</f>
        <v>0.33734065200949</v>
      </c>
      <c r="AU21" s="36">
        <f>IF(D21="PERIMETRAL",MAX(0,IF(M21&lt;&gt;"Y",IF(AND(OR(APOYOS!$G$77="CONTINUO",APOYOS!$G$62="CONTINUO"),AN21&gt;0,AO17&gt;0,AO17&gt;AN21),AN21+2/3*(AO17-AN21)*AS21/MAX(AS21+AS17,1E-9),0),0),IF(M21&lt;&gt;"Y",IF(AND(OR(APOYOS!$G$78="CONTINUO",APOYOS!$G$85="CONTINUO"),AO21&gt;0,AN23&gt;0,AN23&gt;AO21),AO21+2/3*(AN23-AO21)*AS21/MAX(AS21+AS23,1E-9),0),0),IF(M21&lt;&gt;"X",IF(AND(OR(APOYOS!$G$80="CONTINUO",APOYOS!$G$55="CONTINUO"),AQ21&gt;0,AP15&gt;0,AP15&gt;AQ21),AQ21+2/3*(AP15-AQ21)*AR21/MAX(AR21+AR15,1E-9),0),0)),0)</f>
        <v>0.144030969589326</v>
      </c>
      <c r="AV21" s="36">
        <f>IF(D21="PERIMETRAL",(IF(M21="Y",IF(AND(OR(APOYOS!$G$77="CONTINUO",APOYOS!$G$62="CONTINUO"),AN21&gt;0,AO17&gt;0,AN21&gt;AO17),2/3*(AN21-AO17)*AS21/MAX(AS21+AS17,1E-9),0),0)+IF(M21="Y",IF(AND(OR(APOYOS!$G$78="CONTINUO",APOYOS!$G$85="CONTINUO"),AO21&gt;0,AN23&gt;0,AO21&gt;AN23),2/3*(AO21-AN23)*AS21/MAX(AS21+AS23,1E-9),0),0)+IF(M21="X",IF(AND(OR(APOYOS!$G$80="CONTINUO",APOYOS!$G$55="CONTINUO"),AQ21&gt;0,AP15&gt;0,AQ21&gt;AP15),2/3*(AQ21-AP15)*AR21/MAX(AR21+AR15,1E-9),0),0))/2,0)</f>
        <v>0</v>
      </c>
      <c r="AW21" s="36">
        <f>IF(D21="PERIMETRAL",(IF(M21&lt;&gt;"Y",IF(AND(OR(APOYOS!$G$77="CONTINUO",APOYOS!$G$62="CONTINUO"),AN21&gt;0,AO17&gt;0,AN21&gt;AO17),2/3*(AN21-AO17)*AS21/MAX(AS21+AS17,1E-9),0),0)+IF(M21&lt;&gt;"Y",IF(AND(OR(APOYOS!$G$78="CONTINUO",APOYOS!$G$85="CONTINUO"),AO21&gt;0,AN23&gt;0,AO21&gt;AN23),2/3*(AO21-AN23)*AS21/MAX(AS21+AS23,1E-9),0),0)+IF(M21&lt;&gt;"X",IF(AND(OR(APOYOS!$G$80="CONTINUO",APOYOS!$G$55="CONTINUO"),AQ21&gt;0,AP15&gt;0,AQ21&gt;AP15),2/3*(AQ21-AP15)*AR21/MAX(AR21+AR15,1E-9),0),0))/2,0)</f>
        <v>0</v>
      </c>
      <c r="AX21" s="36">
        <f>IF(D21="PERIMETRAL",MAX(0,IF(AND(APOYOS!$G$79="CONTINUO",D19="VOLADO"),MAX(0,BC19-AP21)/MAX(IF(M21="X",N21,O21)/100,0.01),0)),0)</f>
        <v>0.593901952271515</v>
      </c>
      <c r="AY21" s="52" t="str">
        <f>IF(D21&lt;&gt;"PERIMETRAL","",IF(AND(OR(APOYOS!$G$77="CONTINUO",APOYOS!$G$62="CONTINUO"),AN21&gt;0,AO17&gt;0,ABS(AN21-AO17)&gt;0.5*MIN(AN21,AO17))," F80010","")&amp;IF(AND(OR(APOYOS!$G$78="CONTINUO",APOYOS!$G$85="CONTINUO"),AO21&gt;0,AN23&gt;0,ABS(AO21-AN23)&gt;0.5*MIN(AO21,AN23))," F80016","")&amp;IF(AND(OR(APOYOS!$G$80="CONTINUO",APOYOS!$G$55="CONTINUO"),AQ21&gt;0,AP15&gt;0,ABS(AQ21-AP15)&gt;0.5*MIN(AQ21,AP15))," F80008",""))</f>
        <v> F80016 F80008</v>
      </c>
      <c r="AZ21" s="52" t="str">
        <f>IF(D21&lt;&gt;"PERIMETRAL","—",IF(AY21="","CUMPLE","FUERA con"&amp;AY21)&amp;IF(AND(D17="PERIMETRAL",APOYOS!$G$77&lt;&gt;APOYOS!$G$62)," · continuidad asimétrica con F80010 (cada uno con su momento; revisar APOYOS)","")&amp;IF(AND(D23="PERIMETRAL",APOYOS!$G$78&lt;&gt;APOYOS!$G$85)," · continuidad asimétrica con F80016 (cada uno con su momento; revisar APOYOS)","")&amp;IF(AND(D15="PERIMETRAL",APOYOS!$G$80&lt;&gt;APOYOS!$G$55)," · continuidad asimétrica con F80008 (cada uno con su momento; revisar APOYOS)","")&amp;IF(AND(APOYOS!$G$79="CONTINUO",D19="VOLADO")," · junto al volado F80012: se arma con su M⁻ y su cortante entra en V_u",""))</f>
        <v>FUERA con F80016 F80008 · junto al volado F80012: se arma con su M⁻ y su cortante entra en V_u</v>
      </c>
      <c r="BA21" s="61" t="n">
        <v>0</v>
      </c>
      <c r="BB21" s="36">
        <f>IF(D21="PERIMETRAL",AL21*Y21*J21^2*1E-4*DATOS!$C$16/100/1000+AV21,0)</f>
        <v>0.0549250802791303</v>
      </c>
      <c r="BC21" s="36">
        <f>IF(D21="PERIMETRAL",MAX(MAX(AH21,AJ21)*Y21*J21^2*1E-4*DATOS!$C$16/100/1000,AT21),IF(D21="VOLADO",(Y21*(N21/100)^2/2+DATOS!$C$55*BA21*N21/100)*DATOS!$C$16/100/1000,0))</f>
        <v>0.33734065200949</v>
      </c>
      <c r="BD21" s="36">
        <f>IF(D21="PERIMETRAL",AM21*Y21*J21^2*1E-4*DATOS!$C$16/100/1000+AW21,0)</f>
        <v>0.0257661238585483</v>
      </c>
      <c r="BE21" s="36">
        <f>IF(D21="PERIMETRAL",MAX(MAX(AI21,AK21)*Y21*J21^2*1E-4*DATOS!$C$16/100/1000,AU21),0)</f>
        <v>0.144030969589326</v>
      </c>
      <c r="BF21" s="43">
        <f>(DATOS!$C$15-R21-IF(DATOS!$C$25=0,0,INDEX(TABLAS!$C$52:$C$58,MATCH(DATOS!$C$25,TABLAS!$B$52:$B$58,0)))-INDEX(TABLAS!$C$52:$C$58,MATCH(DATOS!$C$26,TABLAS!$B$52:$B$58,0))/2)</f>
        <v>20.365</v>
      </c>
      <c r="BG21" s="43">
        <f>IF(D21="HUECO",0,IF(IF(BB21&lt;=0,0,IF((1-2*BB21*1E5/(DATOS!$C$58*P21*BF21^2*DATOS!$C$48))&lt;0,-1,IF((1-SQRT((1-2*BB21*1E5/(DATOS!$C$58*P21*BF21^2*DATOS!$C$48))))*DATOS!$C$48*P21*BF21/DATOS!$C$40&gt;DATOS!$C$82*P21*BF21,-1,(1-SQRT((1-2*BB21*1E5/(DATOS!$C$58*P21*BF21^2*DATOS!$C$48))))*DATOS!$C$48*P21*BF21/DATOS!$C$40)))&lt;0,-1,MAX(IF(BB21&lt;=0,0,IF((1-2*BB21*1E5/(DATOS!$C$58*P21*BF21^2*DATOS!$C$48))&lt;0,-1,IF((1-SQRT((1-2*BB21*1E5/(DATOS!$C$58*P21*BF21^2*DATOS!$C$48))))*DATOS!$C$48*P21*BF21/DATOS!$C$40&gt;DATOS!$C$82*P21*BF21,-1,(1-SQRT((1-2*BB21*1E5/(DATOS!$C$58*P21*BF21^2*DATOS!$C$48))))*DATOS!$C$48*P21*BF21/DATOS!$C$40))),MIN(DATOS!$C$83*DATOS!$C$13*BF21,4/3*IF(BB21&lt;=0,0,IF((1-2*BB21*1E5/(DATOS!$C$58*P21*BF21^2*DATOS!$C$48))&lt;0,-1,IF((1-SQRT((1-2*BB21*1E5/(DATOS!$C$58*P21*BF21^2*DATOS!$C$48))))*DATOS!$C$48*P21*BF21/DATOS!$C$40&gt;DATOS!$C$82*P21*BF21,-1,(1-SQRT((1-2*BB21*1E5/(DATOS!$C$58*P21*BF21^2*DATOS!$C$48))))*DATOS!$C$48*P21*BF21/DATOS!$C$40)))))))</f>
        <v>0.0952047699370598</v>
      </c>
      <c r="BH21" s="41">
        <f>IF(AND(BG21&gt;=0,IF(MAX(DATOS!$C$29,CEILING(BG21/INDEX(TABLAS!$D$52:$D$58,MIN(MATCH(DATOS!$C$26,TABLAS!$B$52:$B$58,0)+0,7)),1))*INDEX(TABLAS!$D$52:$D$58,MIN(MATCH(DATOS!$C$26,TABLAS!$B$52:$B$58,0)+0,7))&gt;=4/3*IF(BB21&lt;=0,0,IF((1-2*BB21*1E5/(DATOS!$C$58*P21*BF21^2*DATOS!$C$48))&lt;0,-1,IF((1-SQRT((1-2*BB21*1E5/(DATOS!$C$58*P21*BF21^2*DATOS!$C$48))))*DATOS!$C$48*P21*BF21/DATOS!$C$40&gt;DATOS!$C$82*P21*BF21,-1,(1-SQRT((1-2*BB21*1E5/(DATOS!$C$58*P21*BF21^2*DATOS!$C$48))))*DATOS!$C$48*P21*BF21/DATOS!$C$40)))-0.0001,MAX(DATOS!$C$29,CEILING(BG21/INDEX(TABLAS!$D$52:$D$58,MIN(MATCH(DATOS!$C$26,TABLAS!$B$52:$B$58,0)+0,7)),1)),MAX(MAX(DATOS!$C$29,CEILING(BG21/INDEX(TABLAS!$D$52:$D$58,MIN(MATCH(DATOS!$C$26,TABLAS!$B$52:$B$58,0)+0,7)),1)),2))&lt;=MIN(DATOS!$C$28,INT(((DATOS!$C$13-2*R21-2*IF(DATOS!$C$25=0,0,INDEX(TABLAS!$C$52:$C$58,MATCH(DATOS!$C$25,TABLAS!$B$52:$B$58,0))))+MAX(DATOS!$C$32,INDEX(TABLAS!$C$52:$C$58,MIN(MATCH(DATOS!$C$26,TABLAS!$B$52:$B$58,0)+0,7))))/(INDEX(TABLAS!$C$52:$C$58,MIN(MATCH(DATOS!$C$26,TABLAS!$B$52:$B$58,0)+0,7))+MAX(DATOS!$C$32,INDEX(TABLAS!$C$52:$C$58,MIN(MATCH(DATOS!$C$26,TABLAS!$B$52:$B$58,0)+0,7))))))),INDEX(TABLAS!$B$52:$B$58,MIN(MATCH(DATOS!$C$26,TABLAS!$B$52:$B$58,0)+0,7)),IF(AND(BG21&gt;=0,IF(MAX(DATOS!$C$29,CEILING(BG21/INDEX(TABLAS!$D$52:$D$58,MIN(MATCH(DATOS!$C$26,TABLAS!$B$52:$B$58,0)+1,7)),1))*INDEX(TABLAS!$D$52:$D$58,MIN(MATCH(DATOS!$C$26,TABLAS!$B$52:$B$58,0)+1,7))&gt;=4/3*IF(BB21&lt;=0,0,IF((1-2*BB21*1E5/(DATOS!$C$58*P21*BF21^2*DATOS!$C$48))&lt;0,-1,IF((1-SQRT((1-2*BB21*1E5/(DATOS!$C$58*P21*BF21^2*DATOS!$C$48))))*DATOS!$C$48*P21*BF21/DATOS!$C$40&gt;DATOS!$C$82*P21*BF21,-1,(1-SQRT((1-2*BB21*1E5/(DATOS!$C$58*P21*BF21^2*DATOS!$C$48))))*DATOS!$C$48*P21*BF21/DATOS!$C$40)))-0.0001,MAX(DATOS!$C$29,CEILING(BG21/INDEX(TABLAS!$D$52:$D$58,MIN(MATCH(DATOS!$C$26,TABLAS!$B$52:$B$58,0)+1,7)),1)),MAX(MAX(DATOS!$C$29,CEILING(BG21/INDEX(TABLAS!$D$52:$D$58,MIN(MATCH(DATOS!$C$26,TABLAS!$B$52:$B$58,0)+1,7)),1)),2))&lt;=MIN(DATOS!$C$28,INT(((DATOS!$C$13-2*R21-2*IF(DATOS!$C$25=0,0,INDEX(TABLAS!$C$52:$C$58,MATCH(DATOS!$C$25,TABLAS!$B$52:$B$58,0))))+MAX(DATOS!$C$32,INDEX(TABLAS!$C$52:$C$58,MIN(MATCH(DATOS!$C$26,TABLAS!$B$52:$B$58,0)+1,7))))/(INDEX(TABLAS!$C$52:$C$58,MIN(MATCH(DATOS!$C$26,TABLAS!$B$52:$B$58,0)+1,7))+MAX(DATOS!$C$32,INDEX(TABLAS!$C$52:$C$58,MIN(MATCH(DATOS!$C$26,TABLAS!$B$52:$B$58,0)+1,7))))))),INDEX(TABLAS!$B$52:$B$58,MIN(MATCH(DATOS!$C$26,TABLAS!$B$52:$B$58,0)+1,7)),IF(AND(BG21&gt;=0,IF(MAX(DATOS!$C$29,CEILING(BG21/INDEX(TABLAS!$D$52:$D$58,MIN(MATCH(DATOS!$C$26,TABLAS!$B$52:$B$58,0)+2,7)),1))*INDEX(TABLAS!$D$52:$D$58,MIN(MATCH(DATOS!$C$26,TABLAS!$B$52:$B$58,0)+2,7))&gt;=4/3*IF(BB21&lt;=0,0,IF((1-2*BB21*1E5/(DATOS!$C$58*P21*BF21^2*DATOS!$C$48))&lt;0,-1,IF((1-SQRT((1-2*BB21*1E5/(DATOS!$C$58*P21*BF21^2*DATOS!$C$48))))*DATOS!$C$48*P21*BF21/DATOS!$C$40&gt;DATOS!$C$82*P21*BF21,-1,(1-SQRT((1-2*BB21*1E5/(DATOS!$C$58*P21*BF21^2*DATOS!$C$48))))*DATOS!$C$48*P21*BF21/DATOS!$C$40)))-0.0001,MAX(DATOS!$C$29,CEILING(BG21/INDEX(TABLAS!$D$52:$D$58,MIN(MATCH(DATOS!$C$26,TABLAS!$B$52:$B$58,0)+2,7)),1)),MAX(MAX(DATOS!$C$29,CEILING(BG21/INDEX(TABLAS!$D$52:$D$58,MIN(MATCH(DATOS!$C$26,TABLAS!$B$52:$B$58,0)+2,7)),1)),2))&lt;=MIN(DATOS!$C$28,INT(((DATOS!$C$13-2*R21-2*IF(DATOS!$C$25=0,0,INDEX(TABLAS!$C$52:$C$58,MATCH(DATOS!$C$25,TABLAS!$B$52:$B$58,0))))+MAX(DATOS!$C$32,INDEX(TABLAS!$C$52:$C$58,MIN(MATCH(DATOS!$C$26,TABLAS!$B$52:$B$58,0)+2,7))))/(INDEX(TABLAS!$C$52:$C$58,MIN(MATCH(DATOS!$C$26,TABLAS!$B$52:$B$58,0)+2,7))+MAX(DATOS!$C$32,INDEX(TABLAS!$C$52:$C$58,MIN(MATCH(DATOS!$C$26,TABLAS!$B$52:$B$58,0)+2,7))))))),INDEX(TABLAS!$B$52:$B$58,MIN(MATCH(DATOS!$C$26,TABLAS!$B$52:$B$58,0)+2,7)),IF(AND(BG21&gt;=0,IF(MAX(DATOS!$C$29,CEILING(BG21/INDEX(TABLAS!$D$52:$D$58,MIN(MATCH(DATOS!$C$26,TABLAS!$B$52:$B$58,0)+3,7)),1))*INDEX(TABLAS!$D$52:$D$58,MIN(MATCH(DATOS!$C$26,TABLAS!$B$52:$B$58,0)+3,7))&gt;=4/3*IF(BB21&lt;=0,0,IF((1-2*BB21*1E5/(DATOS!$C$58*P21*BF21^2*DATOS!$C$48))&lt;0,-1,IF((1-SQRT((1-2*BB21*1E5/(DATOS!$C$58*P21*BF21^2*DATOS!$C$48))))*DATOS!$C$48*P21*BF21/DATOS!$C$40&gt;DATOS!$C$82*P21*BF21,-1,(1-SQRT((1-2*BB21*1E5/(DATOS!$C$58*P21*BF21^2*DATOS!$C$48))))*DATOS!$C$48*P21*BF21/DATOS!$C$40)))-0.0001,MAX(DATOS!$C$29,CEILING(BG21/INDEX(TABLAS!$D$52:$D$58,MIN(MATCH(DATOS!$C$26,TABLAS!$B$52:$B$58,0)+3,7)),1)),MAX(MAX(DATOS!$C$29,CEILING(BG21/INDEX(TABLAS!$D$52:$D$58,MIN(MATCH(DATOS!$C$26,TABLAS!$B$52:$B$58,0)+3,7)),1)),2))&lt;=MIN(DATOS!$C$28,INT(((DATOS!$C$13-2*R21-2*IF(DATOS!$C$25=0,0,INDEX(TABLAS!$C$52:$C$58,MATCH(DATOS!$C$25,TABLAS!$B$52:$B$58,0))))+MAX(DATOS!$C$32,INDEX(TABLAS!$C$52:$C$58,MIN(MATCH(DATOS!$C$26,TABLAS!$B$52:$B$58,0)+3,7))))/(INDEX(TABLAS!$C$52:$C$58,MIN(MATCH(DATOS!$C$26,TABLAS!$B$52:$B$58,0)+3,7))+MAX(DATOS!$C$32,INDEX(TABLAS!$C$52:$C$58,MIN(MATCH(DATOS!$C$26,TABLAS!$B$52:$B$58,0)+3,7))))))),INDEX(TABLAS!$B$52:$B$58,MIN(MATCH(DATOS!$C$26,TABLAS!$B$52:$B$58,0)+3,7)),IF(AND(BG21&gt;=0,IF(MAX(DATOS!$C$29,CEILING(BG21/INDEX(TABLAS!$D$52:$D$58,MIN(MATCH(DATOS!$C$26,TABLAS!$B$52:$B$58,0)+4,7)),1))*INDEX(TABLAS!$D$52:$D$58,MIN(MATCH(DATOS!$C$26,TABLAS!$B$52:$B$58,0)+4,7))&gt;=4/3*IF(BB21&lt;=0,0,IF((1-2*BB21*1E5/(DATOS!$C$58*P21*BF21^2*DATOS!$C$48))&lt;0,-1,IF((1-SQRT((1-2*BB21*1E5/(DATOS!$C$58*P21*BF21^2*DATOS!$C$48))))*DATOS!$C$48*P21*BF21/DATOS!$C$40&gt;DATOS!$C$82*P21*BF21,-1,(1-SQRT((1-2*BB21*1E5/(DATOS!$C$58*P21*BF21^2*DATOS!$C$48))))*DATOS!$C$48*P21*BF21/DATOS!$C$40)))-0.0001,MAX(DATOS!$C$29,CEILING(BG21/INDEX(TABLAS!$D$52:$D$58,MIN(MATCH(DATOS!$C$26,TABLAS!$B$52:$B$58,0)+4,7)),1)),MAX(MAX(DATOS!$C$29,CEILING(BG21/INDEX(TABLAS!$D$52:$D$58,MIN(MATCH(DATOS!$C$26,TABLAS!$B$52:$B$58,0)+4,7)),1)),2))&lt;=MIN(DATOS!$C$28,INT(((DATOS!$C$13-2*R21-2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21" s="56">
        <f>IF(D21="HUECO",0,IF(BG21&lt;0,0,IF(MAX(DATOS!$C$29,CEILING(MAX(BG21,0)/INDEX(TABLAS!$D$52:$D$58,MATCH(BH21,TABLAS!$B$52:$B$58,0)),1))*INDEX(TABLAS!$D$52:$D$58,MATCH(BH21,TABLAS!$B$52:$B$58,0))&gt;=4/3*IF(BB21&lt;=0,0,IF((1-2*BB21*1E5/(DATOS!$C$58*P21*BF21^2*DATOS!$C$48))&lt;0,-1,IF((1-SQRT((1-2*BB21*1E5/(DATOS!$C$58*P21*BF21^2*DATOS!$C$48))))*DATOS!$C$48*P21*BF21/DATOS!$C$40&gt;DATOS!$C$82*P21*BF21,-1,(1-SQRT((1-2*BB21*1E5/(DATOS!$C$58*P21*BF21^2*DATOS!$C$48))))*DATOS!$C$48*P21*BF21/DATOS!$C$40)))-0.0001,MAX(DATOS!$C$29,CEILING(MAX(BG21,0)/INDEX(TABLAS!$D$52:$D$58,MATCH(BH21,TABLAS!$B$52:$B$58,0)),1)),MAX(MAX(DATOS!$C$29,CEILING(MAX(BG21,0)/INDEX(TABLAS!$D$52:$D$58,MATCH(BH21,TABLAS!$B$52:$B$58,0)),1)),2))))</f>
        <v>1</v>
      </c>
      <c r="BJ21" s="43">
        <f>DATOS!$C$15-R21-IF(DATOS!$C$25=0,0,INDEX(TABLAS!$C$52:$C$58,MATCH(DATOS!$C$25,TABLAS!$B$52:$B$58,0)))-INDEX(TABLAS!$C$52:$C$58,MATCH(BH21,TABLAS!$B$52:$B$58,0))/2</f>
        <v>20.365</v>
      </c>
      <c r="BK21" s="36">
        <f>IF(BI21=0,0,DATOS!$C$58*BI21*INDEX(TABLAS!$D$52:$D$58,MATCH(BH21,TABLAS!$B$52:$B$58,0))*DATOS!$C$40*(BJ21-BI21*INDEX(TABLAS!$D$52:$D$58,MATCH(BH21,TABLAS!$B$52:$B$58,0))*DATOS!$C$40/(DATOS!$C$48*P21)/2)/1E5)</f>
        <v>0.96461508645787</v>
      </c>
      <c r="BL21" s="62">
        <f>IF(BG21&lt;0,9.99,IF(BK21&gt;0,BB21/BK21,0))</f>
        <v>0.0569398934872757</v>
      </c>
      <c r="BM21" s="63">
        <f>IF(BI21=0,"—",0.003*(BJ21-(BI21*INDEX(TABLAS!$D$52:$D$58,MATCH(BH21,TABLAS!$B$52:$B$58,0))*DATOS!$C$40/(DATOS!$C$48*P21)/DATOS!$C$49))/(BI21*INDEX(TABLAS!$D$52:$D$58,MATCH(BH21,TABLAS!$B$52:$B$58,0))*DATOS!$C$40/(DATOS!$C$48*P21)/DATOS!$C$49))</f>
        <v>0.0926846461086895</v>
      </c>
      <c r="BN21" s="43">
        <f>((DATOS!$C$15-S21-2*DATOS!$C$35-IF(DATOS!$C$25=0,0,INDEX(TABLAS!$C$52:$C$58,MATCH(DATOS!$C$25,TABLAS!$B$52:$B$58,0)))-INDEX(TABLAS!$C$52:$C$58,MATCH(DATOS!$C$27,TABLAS!$B$52:$B$58,0))/2)-IF(AND((DATOS!$C$15-S21-2*DATOS!$C$35-IF(DATOS!$C$25=0,0,INDEX(TABLAS!$C$52:$C$58,MATCH(DATOS!$C$25,TABLAS!$B$52:$B$58,0)))-INDEX(TABLAS!$C$52:$C$58,MATCH(DATOS!$C$27,TABLAS!$B$52:$B$58,0))/2)&lt;=20,DATOS!$C$18&lt;&gt;"SÍ"),2,0))</f>
        <v>19.389</v>
      </c>
      <c r="BO21" s="43">
        <f>IF(D21="HUECO",0,IF(IF(BC21&lt;=0,0,IF((1-2*BC21*1E5/(DATOS!$C$58*DATOS!$C$19*BN21^2*DATOS!$C$48))&lt;0,-1,IF((1-SQRT((1-2*BC21*1E5/(DATOS!$C$58*DATOS!$C$19*BN21^2*DATOS!$C$48))))*DATOS!$C$48*DATOS!$C$19*BN21/DATOS!$C$40&gt;DATOS!$C$82*DATOS!$C$19*BN21,-1,(1-SQRT((1-2*BC21*1E5/(DATOS!$C$58*DATOS!$C$19*BN21^2*DATOS!$C$48))))*DATOS!$C$48*DATOS!$C$19*BN21/DATOS!$C$40)))&lt;0,-1,MAX(IF(BC21&lt;=0,0,IF((1-2*BC21*1E5/(DATOS!$C$58*DATOS!$C$19*BN21^2*DATOS!$C$48))&lt;0,-1,IF((1-SQRT((1-2*BC21*1E5/(DATOS!$C$58*DATOS!$C$19*BN21^2*DATOS!$C$48))))*DATOS!$C$48*DATOS!$C$19*BN21/DATOS!$C$40&gt;DATOS!$C$82*DATOS!$C$19*BN21,-1,(1-SQRT((1-2*BC21*1E5/(DATOS!$C$58*DATOS!$C$19*BN21^2*DATOS!$C$48))))*DATOS!$C$48*DATOS!$C$19*BN21/DATOS!$C$40))),MIN(DATOS!$C$83*IF(D21="VOLADO",2*DATOS!$C$13,DATOS!$C$13)*BN21,4/3*IF(BC21&lt;=0,0,IF((1-2*BC21*1E5/(DATOS!$C$58*DATOS!$C$19*BN21^2*DATOS!$C$48))&lt;0,-1,IF((1-SQRT((1-2*BC21*1E5/(DATOS!$C$58*DATOS!$C$19*BN21^2*DATOS!$C$48))))*DATOS!$C$48*DATOS!$C$19*BN21/DATOS!$C$40&gt;DATOS!$C$82*DATOS!$C$19*BN21,-1,(1-SQRT((1-2*BC21*1E5/(DATOS!$C$58*DATOS!$C$19*BN21^2*DATOS!$C$48))))*DATOS!$C$48*DATOS!$C$19*BN21/DATOS!$C$40)))))))</f>
        <v>0.628821201524142</v>
      </c>
      <c r="BP21" s="41">
        <f>IF(AND(BO21&gt;=0,IF(MAX(DATOS!$C$29,CEILING(BO21/INDEX(TABLAS!$D$52:$D$58,MIN(MATCH(DATOS!$C$27,TABLAS!$B$52:$B$58,0)+0,7)),1))*INDEX(TABLAS!$D$52:$D$58,MIN(MATCH(DATOS!$C$27,TABLAS!$B$52:$B$58,0)+0,7))&gt;=4/3*IF(BC21&lt;=0,0,IF((1-2*BC21*1E5/(DATOS!$C$58*DATOS!$C$19*BN21^2*DATOS!$C$48))&lt;0,-1,IF((1-SQRT((1-2*BC21*1E5/(DATOS!$C$58*DATOS!$C$19*BN21^2*DATOS!$C$48))))*DATOS!$C$48*DATOS!$C$19*BN21/DATOS!$C$40&gt;DATOS!$C$82*DATOS!$C$19*BN21,-1,(1-SQRT((1-2*BC21*1E5/(DATOS!$C$58*DATOS!$C$19*BN21^2*DATOS!$C$48))))*DATOS!$C$48*DATOS!$C$19*BN21/DATOS!$C$40)))-0.0001,MAX(DATOS!$C$29,CEILING(BO21/INDEX(TABLAS!$D$52:$D$58,MIN(MATCH(DATOS!$C$27,TABLAS!$B$52:$B$58,0)+0,7)),1)),MAX(MAX(DATOS!$C$29,CEILING(BO21/INDEX(TABLAS!$D$52:$D$58,MIN(MATCH(DATOS!$C$27,TABLAS!$B$52:$B$58,0)+0,7)),1)),2))&lt;=MIN(DATOS!$C$28,INT(((DATOS!$C$13-2*S21-2*IF(DATOS!$C$25=0,0,INDEX(TABLAS!$C$52:$C$58,MATCH(DATOS!$C$25,TABLAS!$B$52:$B$58,0))))+MAX(DATOS!$C$32,INDEX(TABLAS!$C$52:$C$58,MIN(MATCH(DATOS!$C$27,TABLAS!$B$52:$B$58,0)+0,7))))/(INDEX(TABLAS!$C$52:$C$58,MIN(MATCH(DATOS!$C$27,TABLAS!$B$52:$B$58,0)+0,7))+MAX(DATOS!$C$32,INDEX(TABLAS!$C$52:$C$58,MIN(MATCH(DATOS!$C$27,TABLAS!$B$52:$B$58,0)+0,7))))))),INDEX(TABLAS!$B$52:$B$58,MIN(MATCH(DATOS!$C$27,TABLAS!$B$52:$B$58,0)+0,7)),IF(AND(BO21&gt;=0,IF(MAX(DATOS!$C$29,CEILING(BO21/INDEX(TABLAS!$D$52:$D$58,MIN(MATCH(DATOS!$C$27,TABLAS!$B$52:$B$58,0)+1,7)),1))*INDEX(TABLAS!$D$52:$D$58,MIN(MATCH(DATOS!$C$27,TABLAS!$B$52:$B$58,0)+1,7))&gt;=4/3*IF(BC21&lt;=0,0,IF((1-2*BC21*1E5/(DATOS!$C$58*DATOS!$C$19*BN21^2*DATOS!$C$48))&lt;0,-1,IF((1-SQRT((1-2*BC21*1E5/(DATOS!$C$58*DATOS!$C$19*BN21^2*DATOS!$C$48))))*DATOS!$C$48*DATOS!$C$19*BN21/DATOS!$C$40&gt;DATOS!$C$82*DATOS!$C$19*BN21,-1,(1-SQRT((1-2*BC21*1E5/(DATOS!$C$58*DATOS!$C$19*BN21^2*DATOS!$C$48))))*DATOS!$C$48*DATOS!$C$19*BN21/DATOS!$C$40)))-0.0001,MAX(DATOS!$C$29,CEILING(BO21/INDEX(TABLAS!$D$52:$D$58,MIN(MATCH(DATOS!$C$27,TABLAS!$B$52:$B$58,0)+1,7)),1)),MAX(MAX(DATOS!$C$29,CEILING(BO21/INDEX(TABLAS!$D$52:$D$58,MIN(MATCH(DATOS!$C$27,TABLAS!$B$52:$B$58,0)+1,7)),1)),2))&lt;=MIN(DATOS!$C$28,INT(((DATOS!$C$13-2*S21-2*IF(DATOS!$C$25=0,0,INDEX(TABLAS!$C$52:$C$58,MATCH(DATOS!$C$25,TABLAS!$B$52:$B$58,0))))+MAX(DATOS!$C$32,INDEX(TABLAS!$C$52:$C$58,MIN(MATCH(DATOS!$C$27,TABLAS!$B$52:$B$58,0)+1,7))))/(INDEX(TABLAS!$C$52:$C$58,MIN(MATCH(DATOS!$C$27,TABLAS!$B$52:$B$58,0)+1,7))+MAX(DATOS!$C$32,INDEX(TABLAS!$C$52:$C$58,MIN(MATCH(DATOS!$C$27,TABLAS!$B$52:$B$58,0)+1,7))))))),INDEX(TABLAS!$B$52:$B$58,MIN(MATCH(DATOS!$C$27,TABLAS!$B$52:$B$58,0)+1,7)),IF(AND(BO21&gt;=0,IF(MAX(DATOS!$C$29,CEILING(BO21/INDEX(TABLAS!$D$52:$D$58,MIN(MATCH(DATOS!$C$27,TABLAS!$B$52:$B$58,0)+2,7)),1))*INDEX(TABLAS!$D$52:$D$58,MIN(MATCH(DATOS!$C$27,TABLAS!$B$52:$B$58,0)+2,7))&gt;=4/3*IF(BC21&lt;=0,0,IF((1-2*BC21*1E5/(DATOS!$C$58*DATOS!$C$19*BN21^2*DATOS!$C$48))&lt;0,-1,IF((1-SQRT((1-2*BC21*1E5/(DATOS!$C$58*DATOS!$C$19*BN21^2*DATOS!$C$48))))*DATOS!$C$48*DATOS!$C$19*BN21/DATOS!$C$40&gt;DATOS!$C$82*DATOS!$C$19*BN21,-1,(1-SQRT((1-2*BC21*1E5/(DATOS!$C$58*DATOS!$C$19*BN21^2*DATOS!$C$48))))*DATOS!$C$48*DATOS!$C$19*BN21/DATOS!$C$40)))-0.0001,MAX(DATOS!$C$29,CEILING(BO21/INDEX(TABLAS!$D$52:$D$58,MIN(MATCH(DATOS!$C$27,TABLAS!$B$52:$B$58,0)+2,7)),1)),MAX(MAX(DATOS!$C$29,CEILING(BO21/INDEX(TABLAS!$D$52:$D$58,MIN(MATCH(DATOS!$C$27,TABLAS!$B$52:$B$58,0)+2,7)),1)),2))&lt;=MIN(DATOS!$C$28,INT(((DATOS!$C$13-2*S21-2*IF(DATOS!$C$25=0,0,INDEX(TABLAS!$C$52:$C$58,MATCH(DATOS!$C$25,TABLAS!$B$52:$B$58,0))))+MAX(DATOS!$C$32,INDEX(TABLAS!$C$52:$C$58,MIN(MATCH(DATOS!$C$27,TABLAS!$B$52:$B$58,0)+2,7))))/(INDEX(TABLAS!$C$52:$C$58,MIN(MATCH(DATOS!$C$27,TABLAS!$B$52:$B$58,0)+2,7))+MAX(DATOS!$C$32,INDEX(TABLAS!$C$52:$C$58,MIN(MATCH(DATOS!$C$27,TABLAS!$B$52:$B$58,0)+2,7))))))),INDEX(TABLAS!$B$52:$B$58,MIN(MATCH(DATOS!$C$27,TABLAS!$B$52:$B$58,0)+2,7)),IF(AND(BO21&gt;=0,IF(MAX(DATOS!$C$29,CEILING(BO21/INDEX(TABLAS!$D$52:$D$58,MIN(MATCH(DATOS!$C$27,TABLAS!$B$52:$B$58,0)+3,7)),1))*INDEX(TABLAS!$D$52:$D$58,MIN(MATCH(DATOS!$C$27,TABLAS!$B$52:$B$58,0)+3,7))&gt;=4/3*IF(BC21&lt;=0,0,IF((1-2*BC21*1E5/(DATOS!$C$58*DATOS!$C$19*BN21^2*DATOS!$C$48))&lt;0,-1,IF((1-SQRT((1-2*BC21*1E5/(DATOS!$C$58*DATOS!$C$19*BN21^2*DATOS!$C$48))))*DATOS!$C$48*DATOS!$C$19*BN21/DATOS!$C$40&gt;DATOS!$C$82*DATOS!$C$19*BN21,-1,(1-SQRT((1-2*BC21*1E5/(DATOS!$C$58*DATOS!$C$19*BN21^2*DATOS!$C$48))))*DATOS!$C$48*DATOS!$C$19*BN21/DATOS!$C$40)))-0.0001,MAX(DATOS!$C$29,CEILING(BO21/INDEX(TABLAS!$D$52:$D$58,MIN(MATCH(DATOS!$C$27,TABLAS!$B$52:$B$58,0)+3,7)),1)),MAX(MAX(DATOS!$C$29,CEILING(BO21/INDEX(TABLAS!$D$52:$D$58,MIN(MATCH(DATOS!$C$27,TABLAS!$B$52:$B$58,0)+3,7)),1)),2))&lt;=MIN(DATOS!$C$28,INT(((DATOS!$C$13-2*S21-2*IF(DATOS!$C$25=0,0,INDEX(TABLAS!$C$52:$C$58,MATCH(DATOS!$C$25,TABLAS!$B$52:$B$58,0))))+MAX(DATOS!$C$32,INDEX(TABLAS!$C$52:$C$58,MIN(MATCH(DATOS!$C$27,TABLAS!$B$52:$B$58,0)+3,7))))/(INDEX(TABLAS!$C$52:$C$58,MIN(MATCH(DATOS!$C$27,TABLAS!$B$52:$B$58,0)+3,7))+MAX(DATOS!$C$32,INDEX(TABLAS!$C$52:$C$58,MIN(MATCH(DATOS!$C$27,TABLAS!$B$52:$B$58,0)+3,7))))))),INDEX(TABLAS!$B$52:$B$58,MIN(MATCH(DATOS!$C$27,TABLAS!$B$52:$B$58,0)+3,7)),IF(AND(BO21&gt;=0,IF(MAX(DATOS!$C$29,CEILING(BO21/INDEX(TABLAS!$D$52:$D$58,MIN(MATCH(DATOS!$C$27,TABLAS!$B$52:$B$58,0)+4,7)),1))*INDEX(TABLAS!$D$52:$D$58,MIN(MATCH(DATOS!$C$27,TABLAS!$B$52:$B$58,0)+4,7))&gt;=4/3*IF(BC21&lt;=0,0,IF((1-2*BC21*1E5/(DATOS!$C$58*DATOS!$C$19*BN21^2*DATOS!$C$48))&lt;0,-1,IF((1-SQRT((1-2*BC21*1E5/(DATOS!$C$58*DATOS!$C$19*BN21^2*DATOS!$C$48))))*DATOS!$C$48*DATOS!$C$19*BN21/DATOS!$C$40&gt;DATOS!$C$82*DATOS!$C$19*BN21,-1,(1-SQRT((1-2*BC21*1E5/(DATOS!$C$58*DATOS!$C$19*BN21^2*DATOS!$C$48))))*DATOS!$C$48*DATOS!$C$19*BN21/DATOS!$C$40)))-0.0001,MAX(DATOS!$C$29,CEILING(BO21/INDEX(TABLAS!$D$52:$D$58,MIN(MATCH(DATOS!$C$27,TABLAS!$B$52:$B$58,0)+4,7)),1)),MAX(MAX(DATOS!$C$29,CEILING(BO21/INDEX(TABLAS!$D$52:$D$58,MIN(MATCH(DATOS!$C$27,TABLAS!$B$52:$B$58,0)+4,7)),1)),2))&lt;=MIN(DATOS!$C$28,INT(((DATOS!$C$13-2*S21-2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21" s="56">
        <f>IF(D21="HUECO",0,IF(BO21&lt;0,0,IF(MAX(DATOS!$C$29,CEILING(MAX(BO21,0)/INDEX(TABLAS!$D$52:$D$58,MATCH(BP21,TABLAS!$B$52:$B$58,0)),1))*INDEX(TABLAS!$D$52:$D$58,MATCH(BP21,TABLAS!$B$52:$B$58,0))&gt;=4/3*IF(BC21&lt;=0,0,IF((1-2*BC21*1E5/(DATOS!$C$58*DATOS!$C$19*BN21^2*DATOS!$C$48))&lt;0,-1,IF((1-SQRT((1-2*BC21*1E5/(DATOS!$C$58*DATOS!$C$19*BN21^2*DATOS!$C$48))))*DATOS!$C$48*DATOS!$C$19*BN21/DATOS!$C$40&gt;DATOS!$C$82*DATOS!$C$19*BN21,-1,(1-SQRT((1-2*BC21*1E5/(DATOS!$C$58*DATOS!$C$19*BN21^2*DATOS!$C$48))))*DATOS!$C$48*DATOS!$C$19*BN21/DATOS!$C$40)))-0.0001,MAX(DATOS!$C$29,CEILING(MAX(BO21,0)/INDEX(TABLAS!$D$52:$D$58,MATCH(BP21,TABLAS!$B$52:$B$58,0)),1)),MAX(MAX(DATOS!$C$29,CEILING(MAX(BO21,0)/INDEX(TABLAS!$D$52:$D$58,MATCH(BP21,TABLAS!$B$52:$B$58,0)),1)),2))))</f>
        <v>1</v>
      </c>
      <c r="BR21" s="43">
        <f>((DATOS!$C$15-S21-2*DATOS!$C$35-IF(DATOS!$C$25=0,0,INDEX(TABLAS!$C$52:$C$58,MATCH(DATOS!$C$25,TABLAS!$B$52:$B$58,0)))-INDEX(TABLAS!$C$52:$C$58,MATCH(BP21,TABLAS!$B$52:$B$58,0))/2)-IF(AND((DATOS!$C$15-S21-2*DATOS!$C$35-IF(DATOS!$C$25=0,0,INDEX(TABLAS!$C$52:$C$58,MATCH(DATOS!$C$25,TABLAS!$B$52:$B$58,0)))-INDEX(TABLAS!$C$52:$C$58,MATCH(BP21,TABLAS!$B$52:$B$58,0))/2)&lt;=20,DATOS!$C$18&lt;&gt;"SÍ"),2,0))</f>
        <v>19.389</v>
      </c>
      <c r="BS21" s="36">
        <f>IF(BQ21=0,0,DATOS!$C$58*BQ21*INDEX(TABLAS!$D$52:$D$58,MATCH(BP21,TABLAS!$B$52:$B$58,0))*DATOS!$C$40*(BR21-BQ21*INDEX(TABLAS!$D$52:$D$58,MATCH(BP21,TABLAS!$B$52:$B$58,0))*DATOS!$C$40/(DATOS!$C$48*DATOS!$C$19)/2)/1E5)</f>
        <v>0.870537980117647</v>
      </c>
      <c r="BT21" s="62">
        <f>IF(BO21&lt;0,9.99,IF(BS21&gt;0,BC21/BS21,0))</f>
        <v>0.387508253188334</v>
      </c>
      <c r="BU21" s="63">
        <f>IF(BQ21=0,"—",0.003*(BR21-(BQ21*INDEX(TABLAS!$D$52:$D$58,MATCH(BP21,TABLAS!$B$52:$B$58,0))*DATOS!$C$40/(DATOS!$C$48*DATOS!$C$19)/DATOS!$C$49))/(BQ21*INDEX(TABLAS!$D$52:$D$58,MATCH(BP21,TABLAS!$B$52:$B$58,0))*DATOS!$C$40/(DATOS!$C$48*DATOS!$C$19)/DATOS!$C$49))</f>
        <v>0.0166970648200225</v>
      </c>
      <c r="BV21" s="43">
        <f>(DATOS!$C$15-R21-IF(DATOS!$C$25=0,0,INDEX(TABLAS!$C$52:$C$58,MATCH(DATOS!$C$25,TABLAS!$B$52:$B$58,0)))-INDEX(TABLAS!$C$52:$C$58,MATCH(DATOS!$C$26,TABLAS!$B$52:$B$58,0))-INDEX(TABLAS!$C$52:$C$58,MATCH(DATOS!$C$26,TABLAS!$B$52:$B$58,0))/2)</f>
        <v>19.095</v>
      </c>
      <c r="BW21" s="43">
        <f>IF(D21="HUECO",0,IF(IF(BD21&lt;=0,0,IF((1-2*BD21*1E5/(DATOS!$C$58*Q21*BV21^2*DATOS!$C$48))&lt;0,-1,IF((1-SQRT((1-2*BD21*1E5/(DATOS!$C$58*Q21*BV21^2*DATOS!$C$48))))*DATOS!$C$48*Q21*BV21/DATOS!$C$40&gt;DATOS!$C$82*Q21*BV21,-1,(1-SQRT((1-2*BD21*1E5/(DATOS!$C$58*Q21*BV21^2*DATOS!$C$48))))*DATOS!$C$48*Q21*BV21/DATOS!$C$40)))&lt;0,-1,MAX(IF(BD21&lt;=0,0,IF((1-2*BD21*1E5/(DATOS!$C$58*Q21*BV21^2*DATOS!$C$48))&lt;0,-1,IF((1-SQRT((1-2*BD21*1E5/(DATOS!$C$58*Q21*BV21^2*DATOS!$C$48))))*DATOS!$C$48*Q21*BV21/DATOS!$C$40&gt;DATOS!$C$82*Q21*BV21,-1,(1-SQRT((1-2*BD21*1E5/(DATOS!$C$58*Q21*BV21^2*DATOS!$C$48))))*DATOS!$C$48*Q21*BV21/DATOS!$C$40))),MIN(DATOS!$C$83*DATOS!$C$13*BV21,4/3*IF(BD21&lt;=0,0,IF((1-2*BD21*1E5/(DATOS!$C$58*Q21*BV21^2*DATOS!$C$48))&lt;0,-1,IF((1-SQRT((1-2*BD21*1E5/(DATOS!$C$58*Q21*BV21^2*DATOS!$C$48))))*DATOS!$C$48*Q21*BV21/DATOS!$C$40&gt;DATOS!$C$82*Q21*BV21,-1,(1-SQRT((1-2*BD21*1E5/(DATOS!$C$58*Q21*BV21^2*DATOS!$C$48))))*DATOS!$C$48*Q21*BV21/DATOS!$C$40)))))))</f>
        <v>0.0476092160950899</v>
      </c>
      <c r="BX21" s="41">
        <f>IF(AND(BW21&gt;=0,IF(MAX(DATOS!$C$29,CEILING(BW21/INDEX(TABLAS!$D$52:$D$58,MIN(MATCH(DATOS!$C$26,TABLAS!$B$52:$B$58,0)+0,7)),1))*INDEX(TABLAS!$D$52:$D$58,MIN(MATCH(DATOS!$C$26,TABLAS!$B$52:$B$58,0)+0,7))&gt;=4/3*IF(BD21&lt;=0,0,IF((1-2*BD21*1E5/(DATOS!$C$58*Q21*BV21^2*DATOS!$C$48))&lt;0,-1,IF((1-SQRT((1-2*BD21*1E5/(DATOS!$C$58*Q21*BV21^2*DATOS!$C$48))))*DATOS!$C$48*Q21*BV21/DATOS!$C$40&gt;DATOS!$C$82*Q21*BV21,-1,(1-SQRT((1-2*BD21*1E5/(DATOS!$C$58*Q21*BV21^2*DATOS!$C$48))))*DATOS!$C$48*Q21*BV21/DATOS!$C$40)))-0.0001,MAX(DATOS!$C$29,CEILING(BW21/INDEX(TABLAS!$D$52:$D$58,MIN(MATCH(DATOS!$C$26,TABLAS!$B$52:$B$58,0)+0,7)),1)),MAX(MAX(DATOS!$C$29,CEILING(BW21/INDEX(TABLAS!$D$52:$D$58,MIN(MATCH(DATOS!$C$26,TABLAS!$B$52:$B$58,0)+0,7)),1)),2))&lt;=MIN(DATOS!$C$28,INT(((DATOS!$C$13-2*R21-2*IF(DATOS!$C$25=0,0,INDEX(TABLAS!$C$52:$C$58,MATCH(DATOS!$C$25,TABLAS!$B$52:$B$58,0))))+MAX(DATOS!$C$32,INDEX(TABLAS!$C$52:$C$58,MIN(MATCH(DATOS!$C$26,TABLAS!$B$52:$B$58,0)+0,7))))/(INDEX(TABLAS!$C$52:$C$58,MIN(MATCH(DATOS!$C$26,TABLAS!$B$52:$B$58,0)+0,7))+MAX(DATOS!$C$32,INDEX(TABLAS!$C$52:$C$58,MIN(MATCH(DATOS!$C$26,TABLAS!$B$52:$B$58,0)+0,7))))))),INDEX(TABLAS!$B$52:$B$58,MIN(MATCH(DATOS!$C$26,TABLAS!$B$52:$B$58,0)+0,7)),IF(AND(BW21&gt;=0,IF(MAX(DATOS!$C$29,CEILING(BW21/INDEX(TABLAS!$D$52:$D$58,MIN(MATCH(DATOS!$C$26,TABLAS!$B$52:$B$58,0)+1,7)),1))*INDEX(TABLAS!$D$52:$D$58,MIN(MATCH(DATOS!$C$26,TABLAS!$B$52:$B$58,0)+1,7))&gt;=4/3*IF(BD21&lt;=0,0,IF((1-2*BD21*1E5/(DATOS!$C$58*Q21*BV21^2*DATOS!$C$48))&lt;0,-1,IF((1-SQRT((1-2*BD21*1E5/(DATOS!$C$58*Q21*BV21^2*DATOS!$C$48))))*DATOS!$C$48*Q21*BV21/DATOS!$C$40&gt;DATOS!$C$82*Q21*BV21,-1,(1-SQRT((1-2*BD21*1E5/(DATOS!$C$58*Q21*BV21^2*DATOS!$C$48))))*DATOS!$C$48*Q21*BV21/DATOS!$C$40)))-0.0001,MAX(DATOS!$C$29,CEILING(BW21/INDEX(TABLAS!$D$52:$D$58,MIN(MATCH(DATOS!$C$26,TABLAS!$B$52:$B$58,0)+1,7)),1)),MAX(MAX(DATOS!$C$29,CEILING(BW21/INDEX(TABLAS!$D$52:$D$58,MIN(MATCH(DATOS!$C$26,TABLAS!$B$52:$B$58,0)+1,7)),1)),2))&lt;=MIN(DATOS!$C$28,INT(((DATOS!$C$13-2*R21-2*IF(DATOS!$C$25=0,0,INDEX(TABLAS!$C$52:$C$58,MATCH(DATOS!$C$25,TABLAS!$B$52:$B$58,0))))+MAX(DATOS!$C$32,INDEX(TABLAS!$C$52:$C$58,MIN(MATCH(DATOS!$C$26,TABLAS!$B$52:$B$58,0)+1,7))))/(INDEX(TABLAS!$C$52:$C$58,MIN(MATCH(DATOS!$C$26,TABLAS!$B$52:$B$58,0)+1,7))+MAX(DATOS!$C$32,INDEX(TABLAS!$C$52:$C$58,MIN(MATCH(DATOS!$C$26,TABLAS!$B$52:$B$58,0)+1,7))))))),INDEX(TABLAS!$B$52:$B$58,MIN(MATCH(DATOS!$C$26,TABLAS!$B$52:$B$58,0)+1,7)),IF(AND(BW21&gt;=0,IF(MAX(DATOS!$C$29,CEILING(BW21/INDEX(TABLAS!$D$52:$D$58,MIN(MATCH(DATOS!$C$26,TABLAS!$B$52:$B$58,0)+2,7)),1))*INDEX(TABLAS!$D$52:$D$58,MIN(MATCH(DATOS!$C$26,TABLAS!$B$52:$B$58,0)+2,7))&gt;=4/3*IF(BD21&lt;=0,0,IF((1-2*BD21*1E5/(DATOS!$C$58*Q21*BV21^2*DATOS!$C$48))&lt;0,-1,IF((1-SQRT((1-2*BD21*1E5/(DATOS!$C$58*Q21*BV21^2*DATOS!$C$48))))*DATOS!$C$48*Q21*BV21/DATOS!$C$40&gt;DATOS!$C$82*Q21*BV21,-1,(1-SQRT((1-2*BD21*1E5/(DATOS!$C$58*Q21*BV21^2*DATOS!$C$48))))*DATOS!$C$48*Q21*BV21/DATOS!$C$40)))-0.0001,MAX(DATOS!$C$29,CEILING(BW21/INDEX(TABLAS!$D$52:$D$58,MIN(MATCH(DATOS!$C$26,TABLAS!$B$52:$B$58,0)+2,7)),1)),MAX(MAX(DATOS!$C$29,CEILING(BW21/INDEX(TABLAS!$D$52:$D$58,MIN(MATCH(DATOS!$C$26,TABLAS!$B$52:$B$58,0)+2,7)),1)),2))&lt;=MIN(DATOS!$C$28,INT(((DATOS!$C$13-2*R21-2*IF(DATOS!$C$25=0,0,INDEX(TABLAS!$C$52:$C$58,MATCH(DATOS!$C$25,TABLAS!$B$52:$B$58,0))))+MAX(DATOS!$C$32,INDEX(TABLAS!$C$52:$C$58,MIN(MATCH(DATOS!$C$26,TABLAS!$B$52:$B$58,0)+2,7))))/(INDEX(TABLAS!$C$52:$C$58,MIN(MATCH(DATOS!$C$26,TABLAS!$B$52:$B$58,0)+2,7))+MAX(DATOS!$C$32,INDEX(TABLAS!$C$52:$C$58,MIN(MATCH(DATOS!$C$26,TABLAS!$B$52:$B$58,0)+2,7))))))),INDEX(TABLAS!$B$52:$B$58,MIN(MATCH(DATOS!$C$26,TABLAS!$B$52:$B$58,0)+2,7)),IF(AND(BW21&gt;=0,IF(MAX(DATOS!$C$29,CEILING(BW21/INDEX(TABLAS!$D$52:$D$58,MIN(MATCH(DATOS!$C$26,TABLAS!$B$52:$B$58,0)+3,7)),1))*INDEX(TABLAS!$D$52:$D$58,MIN(MATCH(DATOS!$C$26,TABLAS!$B$52:$B$58,0)+3,7))&gt;=4/3*IF(BD21&lt;=0,0,IF((1-2*BD21*1E5/(DATOS!$C$58*Q21*BV21^2*DATOS!$C$48))&lt;0,-1,IF((1-SQRT((1-2*BD21*1E5/(DATOS!$C$58*Q21*BV21^2*DATOS!$C$48))))*DATOS!$C$48*Q21*BV21/DATOS!$C$40&gt;DATOS!$C$82*Q21*BV21,-1,(1-SQRT((1-2*BD21*1E5/(DATOS!$C$58*Q21*BV21^2*DATOS!$C$48))))*DATOS!$C$48*Q21*BV21/DATOS!$C$40)))-0.0001,MAX(DATOS!$C$29,CEILING(BW21/INDEX(TABLAS!$D$52:$D$58,MIN(MATCH(DATOS!$C$26,TABLAS!$B$52:$B$58,0)+3,7)),1)),MAX(MAX(DATOS!$C$29,CEILING(BW21/INDEX(TABLAS!$D$52:$D$58,MIN(MATCH(DATOS!$C$26,TABLAS!$B$52:$B$58,0)+3,7)),1)),2))&lt;=MIN(DATOS!$C$28,INT(((DATOS!$C$13-2*R21-2*IF(DATOS!$C$25=0,0,INDEX(TABLAS!$C$52:$C$58,MATCH(DATOS!$C$25,TABLAS!$B$52:$B$58,0))))+MAX(DATOS!$C$32,INDEX(TABLAS!$C$52:$C$58,MIN(MATCH(DATOS!$C$26,TABLAS!$B$52:$B$58,0)+3,7))))/(INDEX(TABLAS!$C$52:$C$58,MIN(MATCH(DATOS!$C$26,TABLAS!$B$52:$B$58,0)+3,7))+MAX(DATOS!$C$32,INDEX(TABLAS!$C$52:$C$58,MIN(MATCH(DATOS!$C$26,TABLAS!$B$52:$B$58,0)+3,7))))))),INDEX(TABLAS!$B$52:$B$58,MIN(MATCH(DATOS!$C$26,TABLAS!$B$52:$B$58,0)+3,7)),IF(AND(BW21&gt;=0,IF(MAX(DATOS!$C$29,CEILING(BW21/INDEX(TABLAS!$D$52:$D$58,MIN(MATCH(DATOS!$C$26,TABLAS!$B$52:$B$58,0)+4,7)),1))*INDEX(TABLAS!$D$52:$D$58,MIN(MATCH(DATOS!$C$26,TABLAS!$B$52:$B$58,0)+4,7))&gt;=4/3*IF(BD21&lt;=0,0,IF((1-2*BD21*1E5/(DATOS!$C$58*Q21*BV21^2*DATOS!$C$48))&lt;0,-1,IF((1-SQRT((1-2*BD21*1E5/(DATOS!$C$58*Q21*BV21^2*DATOS!$C$48))))*DATOS!$C$48*Q21*BV21/DATOS!$C$40&gt;DATOS!$C$82*Q21*BV21,-1,(1-SQRT((1-2*BD21*1E5/(DATOS!$C$58*Q21*BV21^2*DATOS!$C$48))))*DATOS!$C$48*Q21*BV21/DATOS!$C$40)))-0.0001,MAX(DATOS!$C$29,CEILING(BW21/INDEX(TABLAS!$D$52:$D$58,MIN(MATCH(DATOS!$C$26,TABLAS!$B$52:$B$58,0)+4,7)),1)),MAX(MAX(DATOS!$C$29,CEILING(BW21/INDEX(TABLAS!$D$52:$D$58,MIN(MATCH(DATOS!$C$26,TABLAS!$B$52:$B$58,0)+4,7)),1)),2))&lt;=MIN(DATOS!$C$28,INT(((DATOS!$C$13-2*R21-2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21" s="56">
        <f>IF(D21="HUECO",0,IF(BW21&lt;0,0,IF(MAX(DATOS!$C$29,CEILING(MAX(BW21,0)/INDEX(TABLAS!$D$52:$D$58,MATCH(BX21,TABLAS!$B$52:$B$58,0)),1))*INDEX(TABLAS!$D$52:$D$58,MATCH(BX21,TABLAS!$B$52:$B$58,0))&gt;=4/3*IF(BD21&lt;=0,0,IF((1-2*BD21*1E5/(DATOS!$C$58*Q21*BV21^2*DATOS!$C$48))&lt;0,-1,IF((1-SQRT((1-2*BD21*1E5/(DATOS!$C$58*Q21*BV21^2*DATOS!$C$48))))*DATOS!$C$48*Q21*BV21/DATOS!$C$40&gt;DATOS!$C$82*Q21*BV21,-1,(1-SQRT((1-2*BD21*1E5/(DATOS!$C$58*Q21*BV21^2*DATOS!$C$48))))*DATOS!$C$48*Q21*BV21/DATOS!$C$40)))-0.0001,MAX(DATOS!$C$29,CEILING(MAX(BW21,0)/INDEX(TABLAS!$D$52:$D$58,MATCH(BX21,TABLAS!$B$52:$B$58,0)),1)),MAX(MAX(DATOS!$C$29,CEILING(MAX(BW21,0)/INDEX(TABLAS!$D$52:$D$58,MATCH(BX21,TABLAS!$B$52:$B$58,0)),1)),2))))</f>
        <v>1</v>
      </c>
      <c r="BZ21" s="43">
        <f>DATOS!$C$15-R21-IF(DATOS!$C$25=0,0,INDEX(TABLAS!$C$52:$C$58,MATCH(DATOS!$C$25,TABLAS!$B$52:$B$58,0)))-INDEX(TABLAS!$C$52:$C$58,MATCH(BH21,TABLAS!$B$52:$B$58,0))-INDEX(TABLAS!$C$52:$C$58,MATCH(BX21,TABLAS!$B$52:$B$58,0))/2</f>
        <v>19.095</v>
      </c>
      <c r="CA21" s="36">
        <f>IF(BY21=0,0,DATOS!$C$58*BY21*INDEX(TABLAS!$D$52:$D$58,MATCH(BX21,TABLAS!$B$52:$B$58,0))*DATOS!$C$40*(BZ21-BY21*INDEX(TABLAS!$D$52:$D$58,MATCH(BX21,TABLAS!$B$52:$B$58,0))*DATOS!$C$40/(DATOS!$C$48*Q21)/2)/1E5)</f>
        <v>0.908067376588235</v>
      </c>
      <c r="CB21" s="62">
        <f>IF(BW21&lt;0,9.99,IF(CA21&gt;0,BD21/CA21,0))</f>
        <v>0.0283746828956196</v>
      </c>
      <c r="CC21" s="63">
        <f>IF(BY21=0,"—",0.003*(BZ21-(BY21*INDEX(TABLAS!$D$52:$D$58,MATCH(BX21,TABLAS!$B$52:$B$58,0))*DATOS!$C$40/(DATOS!$C$48*Q21)/DATOS!$C$49))/(BY21*INDEX(TABLAS!$D$52:$D$58,MATCH(BX21,TABLAS!$B$52:$B$58,0))*DATOS!$C$40/(DATOS!$C$48*Q21)/DATOS!$C$49))</f>
        <v>0.13278875492126</v>
      </c>
      <c r="CD21" s="43">
        <f>((DATOS!$C$15-S21-2*DATOS!$C$35-IF(DATOS!$C$25=0,0,INDEX(TABLAS!$C$52:$C$58,MATCH(DATOS!$C$25,TABLAS!$B$52:$B$58,0)))-INDEX(TABLAS!$C$52:$C$58,MATCH(DATOS!$C$27,TABLAS!$B$52:$B$58,0))-INDEX(TABLAS!$C$52:$C$58,MATCH(DATOS!$C$27,TABLAS!$B$52:$B$58,0))/2)-IF(AND((DATOS!$C$15-S21-2*DATOS!$C$35-IF(DATOS!$C$25=0,0,INDEX(TABLAS!$C$52:$C$58,MATCH(DATOS!$C$25,TABLAS!$B$52:$B$58,0)))-INDEX(TABLAS!$C$52:$C$58,MATCH(DATOS!$C$27,TABLAS!$B$52:$B$58,0))-INDEX(TABLAS!$C$52:$C$58,MATCH(DATOS!$C$27,TABLAS!$B$52:$B$58,0))/2)&lt;=20,DATOS!$C$18&lt;&gt;"SÍ"),2,0))</f>
        <v>18.119</v>
      </c>
      <c r="CE21" s="43">
        <f>IF(D21="HUECO",0,IF(IF(BE21&lt;=0,0,IF((1-2*BE21*1E5/(DATOS!$C$58*DATOS!$C$19*CD21^2*DATOS!$C$48))&lt;0,-1,IF((1-SQRT((1-2*BE21*1E5/(DATOS!$C$58*DATOS!$C$19*CD21^2*DATOS!$C$48))))*DATOS!$C$48*DATOS!$C$19*CD21/DATOS!$C$40&gt;DATOS!$C$82*DATOS!$C$19*CD21,-1,(1-SQRT((1-2*BE21*1E5/(DATOS!$C$58*DATOS!$C$19*CD21^2*DATOS!$C$48))))*DATOS!$C$48*DATOS!$C$19*CD21/DATOS!$C$40)))&lt;0,-1,MAX(IF(BE21&lt;=0,0,IF((1-2*BE21*1E5/(DATOS!$C$58*DATOS!$C$19*CD21^2*DATOS!$C$48))&lt;0,-1,IF((1-SQRT((1-2*BE21*1E5/(DATOS!$C$58*DATOS!$C$19*CD21^2*DATOS!$C$48))))*DATOS!$C$48*DATOS!$C$19*CD21/DATOS!$C$40&gt;DATOS!$C$82*DATOS!$C$19*CD21,-1,(1-SQRT((1-2*BE21*1E5/(DATOS!$C$58*DATOS!$C$19*CD21^2*DATOS!$C$48))))*DATOS!$C$48*DATOS!$C$19*CD21/DATOS!$C$40))),MIN(DATOS!$C$83*DATOS!$C$13*CD21,4/3*IF(BE21&lt;=0,0,IF((1-2*BE21*1E5/(DATOS!$C$58*DATOS!$C$19*CD21^2*DATOS!$C$48))&lt;0,-1,IF((1-SQRT((1-2*BE21*1E5/(DATOS!$C$58*DATOS!$C$19*CD21^2*DATOS!$C$48))))*DATOS!$C$48*DATOS!$C$19*CD21/DATOS!$C$40&gt;DATOS!$C$82*DATOS!$C$19*CD21,-1,(1-SQRT((1-2*BE21*1E5/(DATOS!$C$58*DATOS!$C$19*CD21^2*DATOS!$C$48))))*DATOS!$C$48*DATOS!$C$19*CD21/DATOS!$C$40)))))))</f>
        <v>0.283685946847851</v>
      </c>
      <c r="CF21" s="41">
        <f>IF(AND(CE21&gt;=0,IF(MAX(DATOS!$C$29,CEILING(CE21/INDEX(TABLAS!$D$52:$D$58,MIN(MATCH(DATOS!$C$27,TABLAS!$B$52:$B$58,0)+0,7)),1))*INDEX(TABLAS!$D$52:$D$58,MIN(MATCH(DATOS!$C$27,TABLAS!$B$52:$B$58,0)+0,7))&gt;=4/3*IF(BE21&lt;=0,0,IF((1-2*BE21*1E5/(DATOS!$C$58*DATOS!$C$19*CD21^2*DATOS!$C$48))&lt;0,-1,IF((1-SQRT((1-2*BE21*1E5/(DATOS!$C$58*DATOS!$C$19*CD21^2*DATOS!$C$48))))*DATOS!$C$48*DATOS!$C$19*CD21/DATOS!$C$40&gt;DATOS!$C$82*DATOS!$C$19*CD21,-1,(1-SQRT((1-2*BE21*1E5/(DATOS!$C$58*DATOS!$C$19*CD21^2*DATOS!$C$48))))*DATOS!$C$48*DATOS!$C$19*CD21/DATOS!$C$40)))-0.0001,MAX(DATOS!$C$29,CEILING(CE21/INDEX(TABLAS!$D$52:$D$58,MIN(MATCH(DATOS!$C$27,TABLAS!$B$52:$B$58,0)+0,7)),1)),MAX(MAX(DATOS!$C$29,CEILING(CE21/INDEX(TABLAS!$D$52:$D$58,MIN(MATCH(DATOS!$C$27,TABLAS!$B$52:$B$58,0)+0,7)),1)),2))&lt;=MIN(DATOS!$C$28,INT(((DATOS!$C$13-2*S21-2*IF(DATOS!$C$25=0,0,INDEX(TABLAS!$C$52:$C$58,MATCH(DATOS!$C$25,TABLAS!$B$52:$B$58,0))))+MAX(DATOS!$C$32,INDEX(TABLAS!$C$52:$C$58,MIN(MATCH(DATOS!$C$27,TABLAS!$B$52:$B$58,0)+0,7))))/(INDEX(TABLAS!$C$52:$C$58,MIN(MATCH(DATOS!$C$27,TABLAS!$B$52:$B$58,0)+0,7))+MAX(DATOS!$C$32,INDEX(TABLAS!$C$52:$C$58,MIN(MATCH(DATOS!$C$27,TABLAS!$B$52:$B$58,0)+0,7))))))),INDEX(TABLAS!$B$52:$B$58,MIN(MATCH(DATOS!$C$27,TABLAS!$B$52:$B$58,0)+0,7)),IF(AND(CE21&gt;=0,IF(MAX(DATOS!$C$29,CEILING(CE21/INDEX(TABLAS!$D$52:$D$58,MIN(MATCH(DATOS!$C$27,TABLAS!$B$52:$B$58,0)+1,7)),1))*INDEX(TABLAS!$D$52:$D$58,MIN(MATCH(DATOS!$C$27,TABLAS!$B$52:$B$58,0)+1,7))&gt;=4/3*IF(BE21&lt;=0,0,IF((1-2*BE21*1E5/(DATOS!$C$58*DATOS!$C$19*CD21^2*DATOS!$C$48))&lt;0,-1,IF((1-SQRT((1-2*BE21*1E5/(DATOS!$C$58*DATOS!$C$19*CD21^2*DATOS!$C$48))))*DATOS!$C$48*DATOS!$C$19*CD21/DATOS!$C$40&gt;DATOS!$C$82*DATOS!$C$19*CD21,-1,(1-SQRT((1-2*BE21*1E5/(DATOS!$C$58*DATOS!$C$19*CD21^2*DATOS!$C$48))))*DATOS!$C$48*DATOS!$C$19*CD21/DATOS!$C$40)))-0.0001,MAX(DATOS!$C$29,CEILING(CE21/INDEX(TABLAS!$D$52:$D$58,MIN(MATCH(DATOS!$C$27,TABLAS!$B$52:$B$58,0)+1,7)),1)),MAX(MAX(DATOS!$C$29,CEILING(CE21/INDEX(TABLAS!$D$52:$D$58,MIN(MATCH(DATOS!$C$27,TABLAS!$B$52:$B$58,0)+1,7)),1)),2))&lt;=MIN(DATOS!$C$28,INT(((DATOS!$C$13-2*S21-2*IF(DATOS!$C$25=0,0,INDEX(TABLAS!$C$52:$C$58,MATCH(DATOS!$C$25,TABLAS!$B$52:$B$58,0))))+MAX(DATOS!$C$32,INDEX(TABLAS!$C$52:$C$58,MIN(MATCH(DATOS!$C$27,TABLAS!$B$52:$B$58,0)+1,7))))/(INDEX(TABLAS!$C$52:$C$58,MIN(MATCH(DATOS!$C$27,TABLAS!$B$52:$B$58,0)+1,7))+MAX(DATOS!$C$32,INDEX(TABLAS!$C$52:$C$58,MIN(MATCH(DATOS!$C$27,TABLAS!$B$52:$B$58,0)+1,7))))))),INDEX(TABLAS!$B$52:$B$58,MIN(MATCH(DATOS!$C$27,TABLAS!$B$52:$B$58,0)+1,7)),IF(AND(CE21&gt;=0,IF(MAX(DATOS!$C$29,CEILING(CE21/INDEX(TABLAS!$D$52:$D$58,MIN(MATCH(DATOS!$C$27,TABLAS!$B$52:$B$58,0)+2,7)),1))*INDEX(TABLAS!$D$52:$D$58,MIN(MATCH(DATOS!$C$27,TABLAS!$B$52:$B$58,0)+2,7))&gt;=4/3*IF(BE21&lt;=0,0,IF((1-2*BE21*1E5/(DATOS!$C$58*DATOS!$C$19*CD21^2*DATOS!$C$48))&lt;0,-1,IF((1-SQRT((1-2*BE21*1E5/(DATOS!$C$58*DATOS!$C$19*CD21^2*DATOS!$C$48))))*DATOS!$C$48*DATOS!$C$19*CD21/DATOS!$C$40&gt;DATOS!$C$82*DATOS!$C$19*CD21,-1,(1-SQRT((1-2*BE21*1E5/(DATOS!$C$58*DATOS!$C$19*CD21^2*DATOS!$C$48))))*DATOS!$C$48*DATOS!$C$19*CD21/DATOS!$C$40)))-0.0001,MAX(DATOS!$C$29,CEILING(CE21/INDEX(TABLAS!$D$52:$D$58,MIN(MATCH(DATOS!$C$27,TABLAS!$B$52:$B$58,0)+2,7)),1)),MAX(MAX(DATOS!$C$29,CEILING(CE21/INDEX(TABLAS!$D$52:$D$58,MIN(MATCH(DATOS!$C$27,TABLAS!$B$52:$B$58,0)+2,7)),1)),2))&lt;=MIN(DATOS!$C$28,INT(((DATOS!$C$13-2*S21-2*IF(DATOS!$C$25=0,0,INDEX(TABLAS!$C$52:$C$58,MATCH(DATOS!$C$25,TABLAS!$B$52:$B$58,0))))+MAX(DATOS!$C$32,INDEX(TABLAS!$C$52:$C$58,MIN(MATCH(DATOS!$C$27,TABLAS!$B$52:$B$58,0)+2,7))))/(INDEX(TABLAS!$C$52:$C$58,MIN(MATCH(DATOS!$C$27,TABLAS!$B$52:$B$58,0)+2,7))+MAX(DATOS!$C$32,INDEX(TABLAS!$C$52:$C$58,MIN(MATCH(DATOS!$C$27,TABLAS!$B$52:$B$58,0)+2,7))))))),INDEX(TABLAS!$B$52:$B$58,MIN(MATCH(DATOS!$C$27,TABLAS!$B$52:$B$58,0)+2,7)),IF(AND(CE21&gt;=0,IF(MAX(DATOS!$C$29,CEILING(CE21/INDEX(TABLAS!$D$52:$D$58,MIN(MATCH(DATOS!$C$27,TABLAS!$B$52:$B$58,0)+3,7)),1))*INDEX(TABLAS!$D$52:$D$58,MIN(MATCH(DATOS!$C$27,TABLAS!$B$52:$B$58,0)+3,7))&gt;=4/3*IF(BE21&lt;=0,0,IF((1-2*BE21*1E5/(DATOS!$C$58*DATOS!$C$19*CD21^2*DATOS!$C$48))&lt;0,-1,IF((1-SQRT((1-2*BE21*1E5/(DATOS!$C$58*DATOS!$C$19*CD21^2*DATOS!$C$48))))*DATOS!$C$48*DATOS!$C$19*CD21/DATOS!$C$40&gt;DATOS!$C$82*DATOS!$C$19*CD21,-1,(1-SQRT((1-2*BE21*1E5/(DATOS!$C$58*DATOS!$C$19*CD21^2*DATOS!$C$48))))*DATOS!$C$48*DATOS!$C$19*CD21/DATOS!$C$40)))-0.0001,MAX(DATOS!$C$29,CEILING(CE21/INDEX(TABLAS!$D$52:$D$58,MIN(MATCH(DATOS!$C$27,TABLAS!$B$52:$B$58,0)+3,7)),1)),MAX(MAX(DATOS!$C$29,CEILING(CE21/INDEX(TABLAS!$D$52:$D$58,MIN(MATCH(DATOS!$C$27,TABLAS!$B$52:$B$58,0)+3,7)),1)),2))&lt;=MIN(DATOS!$C$28,INT(((DATOS!$C$13-2*S21-2*IF(DATOS!$C$25=0,0,INDEX(TABLAS!$C$52:$C$58,MATCH(DATOS!$C$25,TABLAS!$B$52:$B$58,0))))+MAX(DATOS!$C$32,INDEX(TABLAS!$C$52:$C$58,MIN(MATCH(DATOS!$C$27,TABLAS!$B$52:$B$58,0)+3,7))))/(INDEX(TABLAS!$C$52:$C$58,MIN(MATCH(DATOS!$C$27,TABLAS!$B$52:$B$58,0)+3,7))+MAX(DATOS!$C$32,INDEX(TABLAS!$C$52:$C$58,MIN(MATCH(DATOS!$C$27,TABLAS!$B$52:$B$58,0)+3,7))))))),INDEX(TABLAS!$B$52:$B$58,MIN(MATCH(DATOS!$C$27,TABLAS!$B$52:$B$58,0)+3,7)),IF(AND(CE21&gt;=0,IF(MAX(DATOS!$C$29,CEILING(CE21/INDEX(TABLAS!$D$52:$D$58,MIN(MATCH(DATOS!$C$27,TABLAS!$B$52:$B$58,0)+4,7)),1))*INDEX(TABLAS!$D$52:$D$58,MIN(MATCH(DATOS!$C$27,TABLAS!$B$52:$B$58,0)+4,7))&gt;=4/3*IF(BE21&lt;=0,0,IF((1-2*BE21*1E5/(DATOS!$C$58*DATOS!$C$19*CD21^2*DATOS!$C$48))&lt;0,-1,IF((1-SQRT((1-2*BE21*1E5/(DATOS!$C$58*DATOS!$C$19*CD21^2*DATOS!$C$48))))*DATOS!$C$48*DATOS!$C$19*CD21/DATOS!$C$40&gt;DATOS!$C$82*DATOS!$C$19*CD21,-1,(1-SQRT((1-2*BE21*1E5/(DATOS!$C$58*DATOS!$C$19*CD21^2*DATOS!$C$48))))*DATOS!$C$48*DATOS!$C$19*CD21/DATOS!$C$40)))-0.0001,MAX(DATOS!$C$29,CEILING(CE21/INDEX(TABLAS!$D$52:$D$58,MIN(MATCH(DATOS!$C$27,TABLAS!$B$52:$B$58,0)+4,7)),1)),MAX(MAX(DATOS!$C$29,CEILING(CE21/INDEX(TABLAS!$D$52:$D$58,MIN(MATCH(DATOS!$C$27,TABLAS!$B$52:$B$58,0)+4,7)),1)),2))&lt;=MIN(DATOS!$C$28,INT(((DATOS!$C$13-2*S21-2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21" s="56">
        <f>IF(D21="HUECO",0,IF(CE21&lt;0,0,IF(MAX(DATOS!$C$29,CEILING(MAX(CE21,0)/INDEX(TABLAS!$D$52:$D$58,MATCH(CF21,TABLAS!$B$52:$B$58,0)),1))*INDEX(TABLAS!$D$52:$D$58,MATCH(CF21,TABLAS!$B$52:$B$58,0))&gt;=4/3*IF(BE21&lt;=0,0,IF((1-2*BE21*1E5/(DATOS!$C$58*DATOS!$C$19*CD21^2*DATOS!$C$48))&lt;0,-1,IF((1-SQRT((1-2*BE21*1E5/(DATOS!$C$58*DATOS!$C$19*CD21^2*DATOS!$C$48))))*DATOS!$C$48*DATOS!$C$19*CD21/DATOS!$C$40&gt;DATOS!$C$82*DATOS!$C$19*CD21,-1,(1-SQRT((1-2*BE21*1E5/(DATOS!$C$58*DATOS!$C$19*CD21^2*DATOS!$C$48))))*DATOS!$C$48*DATOS!$C$19*CD21/DATOS!$C$40)))-0.0001,MAX(DATOS!$C$29,CEILING(MAX(CE21,0)/INDEX(TABLAS!$D$52:$D$58,MATCH(CF21,TABLAS!$B$52:$B$58,0)),1)),MAX(MAX(DATOS!$C$29,CEILING(MAX(CE21,0)/INDEX(TABLAS!$D$52:$D$58,MATCH(CF21,TABLAS!$B$52:$B$58,0)),1)),2))))</f>
        <v>1</v>
      </c>
      <c r="CH21" s="43">
        <f>((DATOS!$C$15-S21-2*DATOS!$C$35-IF(DATOS!$C$25=0,0,INDEX(TABLAS!$C$52:$C$58,MATCH(DATOS!$C$25,TABLAS!$B$52:$B$58,0)))-INDEX(TABLAS!$C$52:$C$58,MATCH(BP21,TABLAS!$B$52:$B$58,0))-INDEX(TABLAS!$C$52:$C$58,MATCH(CF21,TABLAS!$B$52:$B$58,0))/2)-IF(AND((DATOS!$C$15-S21-2*DATOS!$C$35-IF(DATOS!$C$25=0,0,INDEX(TABLAS!$C$52:$C$58,MATCH(DATOS!$C$25,TABLAS!$B$52:$B$58,0)))-INDEX(TABLAS!$C$52:$C$58,MATCH(BP21,TABLAS!$B$52:$B$58,0))-INDEX(TABLAS!$C$52:$C$58,MATCH(CF21,TABLAS!$B$52:$B$58,0))/2)&lt;=20,DATOS!$C$18&lt;&gt;"SÍ"),2,0))</f>
        <v>18.119</v>
      </c>
      <c r="CI21" s="36">
        <f>IF(CG21=0,0,DATOS!$C$58*CG21*INDEX(TABLAS!$D$52:$D$58,MATCH(CF21,TABLAS!$B$52:$B$58,0))*DATOS!$C$40*(CH21-CG21*INDEX(TABLAS!$D$52:$D$58,MATCH(CF21,TABLAS!$B$52:$B$58,0))*DATOS!$C$40/(DATOS!$C$48*DATOS!$C$19)/2)/1E5)</f>
        <v>0.809570360117647</v>
      </c>
      <c r="CJ21" s="62">
        <f>IF(CE21&lt;0,9.99,IF(CI21&gt;0,BE21/CI21,0))</f>
        <v>0.177910378992131</v>
      </c>
      <c r="CK21" s="63">
        <f>IF(CG21=0,"—",0.003*(CH21-(CG21*INDEX(TABLAS!$D$52:$D$58,MATCH(CF21,TABLAS!$B$52:$B$58,0))*DATOS!$C$40/(DATOS!$C$48*DATOS!$C$19)/DATOS!$C$49))/(CG21*INDEX(TABLAS!$D$52:$D$58,MATCH(CF21,TABLAS!$B$52:$B$58,0))*DATOS!$C$40/(DATOS!$C$48*DATOS!$C$19)/DATOS!$C$49))</f>
        <v>0.0154068862485939</v>
      </c>
      <c r="CL21" s="52" t="str">
        <f>IF(D21="HUECO","—",IF(AND(D21="PERIMETRAL",J21*100&gt;=6*DATOS!$C$11,DATOS!$C$11&lt;=80,DATOS!$C$13&gt;=10,DATOS!$C$15&lt;=3.5*DATOS!$C$13,DATOS!$C$14&gt;=MAX(DATOS!$C$11/13,5)),"SÍ","NO"))</f>
        <v>NO</v>
      </c>
      <c r="CM21" s="36">
        <f>IF(D21="PERIMETRAL",MAX(0,(N21/2-BR21)/100)*(0.95-0.5*L21)*Y21*IF(AND(Z21&gt;0,Z21&lt;4),DATOS!$C$63,1)*DATOS!$C$16/100/1000+AX21,IF(D21="VOLADO",(Y21*MAX(0,N21-BR21)/100+DATOS!$C$55*BA21)*DATOS!$C$16/100/1000,0))</f>
        <v>0.840171616620907</v>
      </c>
      <c r="CN21" s="36">
        <f>IF(D21="HUECO",0,DATOS!$C$59*2*MIN(1,SQRT(2/(1+0.04*BR21)))*(BQ21*INDEX(TABLAS!$D$52:$D$58,MATCH(BP21,TABLAS!$B$52:$B$58,0))/(DATOS!$C$19*BR21))^(1/3)*SQRT(DATOS!$C$39)*DATOS!$C$19*BR21*IF(CL21="SÍ",DATOS!$C$62,1)/1000)</f>
        <v>0.860398102904257</v>
      </c>
      <c r="CO21" s="51" t="str">
        <f>IF(D21="HUECO","—",IF(CM21&lt;=CN21,"CUMPLE",IF(MAX(0,CEILING((IF(D21="VOLADO",(N21-(CN21*1E5/DATOS!$C$16-DATOS!$C$55*BA21)*100/Y21),IF(CN21&lt;=AX21,N21,N21/2-(CN21-AX21)/MAX(CM21-AX21,1E-9)*(N21/2-BR21)))-IF(INT((J21*100-DATOS!$C$17+DATOS!$C$13)/DATOS!$C$16)&gt;0,(J21*100-DATOS!$C$17-(INT((J21*100-DATOS!$C$17+DATOS!$C$13)/DATOS!$C$16)*DATOS!$C$11+(INT((J21*100-DATOS!$C$17+DATOS!$C$13)/DATOS!$C$16)-1)*DATOS!$C$13))/2,J21*100/2))/DATOS!$C$16,1))&lt;=0,"CUMPLE (basta el macizo de orilla)","MACIZAR "&amp;MAX(0,CEILING((IF(D21="VOLADO",(N21-(CN21*1E5/DATOS!$C$16-DATOS!$C$55*BA21)*100/Y21),IF(CN21&lt;=AX21,N21,N21/2-(CN21-AX21)/MAX(CM21-AX21,1E-9)*(N21/2-BR21)))-IF(INT((J21*100-DATOS!$C$17+DATOS!$C$13)/DATOS!$C$16)&gt;0,(J21*100-DATOS!$C$17-(INT((J21*100-DATOS!$C$17+DATOS!$C$13)/DATOS!$C$16)*DATOS!$C$11+(INT((J21*100-DATOS!$C$17+DATOS!$C$13)/DATOS!$C$16)-1)*DATOS!$C$13))/2,J21*100/2))/DATOS!$C$16,1))&amp;" hilera(s)")))</f>
        <v>CUMPLE</v>
      </c>
      <c r="CP21" s="43">
        <f>IF(D21="PERIMETRAL",((PRINCIPALES!$N$20*PRINCIPALES!$O$20^3/12/(1.600*100*IF(APOYOS!$G$77="CONTINUO",1,0.5)*DATOS!$C$77^3/12))+(PRINCIPALES!$N$23*PRINCIPALES!$O$23^3/12/(1.600*100*IF(APOYOS!$G$78="CONTINUO",1,0.5)*DATOS!$C$77^3/12))+99+(PRINCIPALES!$N$26*PRINCIPALES!$O$26^3/12/(3.029*100*IF(APOYOS!$G$80="CONTINUO",1,0.5)*DATOS!$C$77^3/12)))/4,0)</f>
        <v>28.2190769226186</v>
      </c>
      <c r="CQ21" s="57">
        <f>IF(D21="PERIMETRAL",IF(CP21&gt;2,MAX(9,O21*(0.8+DATOS!$C$40/14000)/(36+9*(O21/MAX(N21,1)))),IF(CP21&gt;0.2,MAX(13,O21*(0.8+DATOS!$C$40/14000)/(36+5*(O21/MAX(N21,1))*(CP21-0.2))),MAX(13,O21/IF(Z21&gt;0,30,33))))*IF(AND(CP21&gt;0.2,OR(AND((APOYOS!$G$77="DISCONTINUO"),(PRINCIPALES!$N$20*PRINCIPALES!$O$20^3/12/(1.600*100*IF(APOYOS!$G$77="CONTINUO",1,0.5)*DATOS!$C$77^3/12))&lt;0.8),AND((APOYOS!$G$78="DISCONTINUO"),(PRINCIPALES!$N$23*PRINCIPALES!$O$23^3/12/(1.600*100*IF(APOYOS!$G$78="CONTINUO",1,0.5)*DATOS!$C$77^3/12))&lt;0.8),AND((APOYOS!$G$79="DISCONTINUO"),99&lt;0.8),AND((APOYOS!$G$80="DISCONTINUO"),(PRINCIPALES!$N$26*PRINCIPALES!$O$26^3/12/(3.029*100*IF(APOYOS!$G$80="CONTINUO",1,0.5)*DATOS!$C$77^3/12))&lt;0.8))),1.1,1),IF(D21="VOLADO",MAX(25,J21*100/8),0))</f>
        <v>9</v>
      </c>
      <c r="CR21" s="57">
        <f>IF(D21="VOLADO",DATOS!$C$15,DATOS!$C$77)</f>
        <v>16.7232564120244</v>
      </c>
      <c r="CS21" s="52" t="str">
        <f>IF(D21="HUECO","—",IF(CR21&gt;=CQ21,"CUMPLE",IF(D21="VOLADO","NO CUMPLE","CALCULAR FLECHA")))</f>
        <v>CUMPLE</v>
      </c>
      <c r="CT21" s="52" t="str">
        <f>IF(D21="HUECO","—",IF(DATOS!$C$14&gt;=IF(IF(D21="VOLADO",J21,K21)&gt;=6,6,5),"CUMPLE","CAPA ≥ 6 cm"))</f>
        <v>CUMPLE</v>
      </c>
      <c r="CU21" s="59">
        <f>IF(D21="HUECO",0,IF(((4*((AL21*Y21*J21^2*1E-4*DATOS!$C$16/100/1000)+((MAX(AH21,AJ21)*Y21*J21^2*1E-4*DATOS!$C$16/100/1000)+(IF(AND(AH21&gt;0,AJ21&gt;0),MIN(AH21,AJ21),MAX(AH21,AJ21))*Y21*J21^2*1E-4*DATOS!$C$16/100/1000))/2)+BC21-(IF(AND(AH21&gt;0,AJ21&gt;0),MIN(AH21,AJ21),MAX(AH21,AJ21))*Y21*J21^2*1E-4*DATOS!$C$16/100/1000))^2-16*((AL21*Y21*J21^2*1E-4*DATOS!$C$16/100/1000)+((MAX(AH21,AJ21)*Y21*J21^2*1E-4*DATOS!$C$16/100/1000)+(IF(AND(AH21&gt;0,AJ21&gt;0),MIN(AH21,AJ21),MAX(AH21,AJ21))*Y21*J21^2*1E-4*DATOS!$C$16/100/1000))/2)*BC21)&lt;0,CEILING(N21,5),CEILING(MAX(N21*((4*((AL21*Y21*J21^2*1E-4*DATOS!$C$16/100/1000)+((MAX(AH21,AJ21)*Y21*J21^2*1E-4*DATOS!$C$16/100/1000)+(IF(AND(AH21&gt;0,AJ21&gt;0),MIN(AH21,AJ21),MAX(AH21,AJ21))*Y21*J21^2*1E-4*DATOS!$C$16/100/1000))/2)+BC21-(IF(AND(AH21&gt;0,AJ21&gt;0),MIN(AH21,AJ21),MAX(AH21,AJ21))*Y21*J21^2*1E-4*DATOS!$C$16/100/1000))-SQRT(MAX(0,((4*((AL21*Y21*J21^2*1E-4*DATOS!$C$16/100/1000)+((MAX(AH21,AJ21)*Y21*J21^2*1E-4*DATOS!$C$16/100/1000)+(IF(AND(AH21&gt;0,AJ21&gt;0),MIN(AH21,AJ21),MAX(AH21,AJ21))*Y21*J21^2*1E-4*DATOS!$C$16/100/1000))/2)+BC21-(IF(AND(AH21&gt;0,AJ21&gt;0),MIN(AH21,AJ21),MAX(AH21,AJ21))*Y21*J21^2*1E-4*DATOS!$C$16/100/1000))^2-16*((AL21*Y21*J21^2*1E-4*DATOS!$C$16/100/1000)+((MAX(AH21,AJ21)*Y21*J21^2*1E-4*DATOS!$C$16/100/1000)+(IF(AND(AH21&gt;0,AJ21&gt;0),MIN(AH21,AJ21),MAX(AH21,AJ21))*Y21*J21^2*1E-4*DATOS!$C$16/100/1000))/2)*BC21))))/(8*MAX(((AL21*Y21*J21^2*1E-4*DATOS!$C$16/100/1000)+((MAX(AH21,AJ21)*Y21*J21^2*1E-4*DATOS!$C$16/100/1000)+(IF(AND(AH21&gt;0,AJ21&gt;0),MIN(AH21,AJ21),MAX(AH21,AJ21))*Y21*J21^2*1E-4*DATOS!$C$16/100/1000))/2),1E-9))+MAX(BR21,12*INDEX(TABLAS!$C$52:$C$58,MATCH(BP21,TABLAS!$B$52:$B$58,0)),N21/16),IF(OR(S21&lt;INDEX(TABLAS!$C$52:$C$58,MATCH(BP21,TABLAS!$B$52:$B$58,0)),AND(BQ21&gt;=2,(DATOS!$C$13-2*S21-2*IF(DATOS!$C$25=0,0,INDEX(TABLAS!$C$52:$C$58,MATCH(DATOS!$C$25,TABLAS!$B$52:$B$58,0)))-BQ21*INDEX(TABLAS!$C$52:$C$58,MATCH(BP21,TABLAS!$B$52:$B$58,0)))/MAX(BQ21-1,1)&lt;2*INDEX(TABLAS!$C$52:$C$58,MATCH(BP21,TABLAS!$B$52:$B$58,0)))),INDEX(TABLAS!$I$52:$I$58,MATCH(BP21,TABLAS!$B$52:$B$58,0)),INDEX(TABLAS!$F$52:$F$58,MATCH(BP21,TABLAS!$B$52:$B$58,0)))),5)))</f>
        <v>145</v>
      </c>
      <c r="CV21" s="59">
        <f>IF(D21="HUECO",0,IF(((4*((AM21*Y21*J21^2*1E-4*DATOS!$C$16/100/1000)+((MAX(AI21,AK21)*Y21*J21^2*1E-4*DATOS!$C$16/100/1000)+(IF(AND(AI21&gt;0,AK21&gt;0),MIN(AI21,AK21),MAX(AI21,AK21))*Y21*J21^2*1E-4*DATOS!$C$16/100/1000))/2)+BE21-(IF(AND(AI21&gt;0,AK21&gt;0),MIN(AI21,AK21),MAX(AI21,AK21))*Y21*J21^2*1E-4*DATOS!$C$16/100/1000))^2-16*((AM21*Y21*J21^2*1E-4*DATOS!$C$16/100/1000)+((MAX(AI21,AK21)*Y21*J21^2*1E-4*DATOS!$C$16/100/1000)+(IF(AND(AI21&gt;0,AK21&gt;0),MIN(AI21,AK21),MAX(AI21,AK21))*Y21*J21^2*1E-4*DATOS!$C$16/100/1000))/2)*BE21)&lt;0,CEILING(O21,5),CEILING(MAX(O21*((4*((AM21*Y21*J21^2*1E-4*DATOS!$C$16/100/1000)+((MAX(AI21,AK21)*Y21*J21^2*1E-4*DATOS!$C$16/100/1000)+(IF(AND(AI21&gt;0,AK21&gt;0),MIN(AI21,AK21),MAX(AI21,AK21))*Y21*J21^2*1E-4*DATOS!$C$16/100/1000))/2)+BE21-(IF(AND(AI21&gt;0,AK21&gt;0),MIN(AI21,AK21),MAX(AI21,AK21))*Y21*J21^2*1E-4*DATOS!$C$16/100/1000))-SQRT(MAX(0,((4*((AM21*Y21*J21^2*1E-4*DATOS!$C$16/100/1000)+((MAX(AI21,AK21)*Y21*J21^2*1E-4*DATOS!$C$16/100/1000)+(IF(AND(AI21&gt;0,AK21&gt;0),MIN(AI21,AK21),MAX(AI21,AK21))*Y21*J21^2*1E-4*DATOS!$C$16/100/1000))/2)+BE21-(IF(AND(AI21&gt;0,AK21&gt;0),MIN(AI21,AK21),MAX(AI21,AK21))*Y21*J21^2*1E-4*DATOS!$C$16/100/1000))^2-16*((AM21*Y21*J21^2*1E-4*DATOS!$C$16/100/1000)+((MAX(AI21,AK21)*Y21*J21^2*1E-4*DATOS!$C$16/100/1000)+(IF(AND(AI21&gt;0,AK21&gt;0),MIN(AI21,AK21),MAX(AI21,AK21))*Y21*J21^2*1E-4*DATOS!$C$16/100/1000))/2)*BE21))))/(8*MAX(((AM21*Y21*J21^2*1E-4*DATOS!$C$16/100/1000)+((MAX(AI21,AK21)*Y21*J21^2*1E-4*DATOS!$C$16/100/1000)+(IF(AND(AI21&gt;0,AK21&gt;0),MIN(AI21,AK21),MAX(AI21,AK21))*Y21*J21^2*1E-4*DATOS!$C$16/100/1000))/2),1E-9))+MAX(CH21,12*INDEX(TABLAS!$C$52:$C$58,MATCH(CF21,TABLAS!$B$52:$B$58,0)),O21/16),IF(OR(S21&lt;INDEX(TABLAS!$C$52:$C$58,MATCH(CF21,TABLAS!$B$52:$B$58,0)),AND(CG21&gt;=2,(DATOS!$C$13-2*S21-2*IF(DATOS!$C$25=0,0,INDEX(TABLAS!$C$52:$C$58,MATCH(DATOS!$C$25,TABLAS!$B$52:$B$58,0)))-CG21*INDEX(TABLAS!$C$52:$C$58,MATCH(CF21,TABLAS!$B$52:$B$58,0)))/MAX(CG21-1,1)&lt;2*INDEX(TABLAS!$C$52:$C$58,MATCH(CF21,TABLAS!$B$52:$B$58,0)))),INDEX(TABLAS!$I$52:$I$58,MATCH(CF21,TABLAS!$B$52:$B$58,0)),INDEX(TABLAS!$F$52:$F$58,MATCH(CF21,TABLAS!$B$52:$B$58,0)))),5)))</f>
        <v>160</v>
      </c>
      <c r="CW21" s="56">
        <f>MAX(0,INT((F21*100-DATOS!$C$17+DATOS!$C$13)/DATOS!$C$16))</f>
        <v>4</v>
      </c>
      <c r="CX21" s="56">
        <f>MAX(0,INT((G21*100-DATOS!$C$17+DATOS!$C$13)/DATOS!$C$16))</f>
        <v>2</v>
      </c>
      <c r="CY21" s="51" t="str">
        <f>IF(COUNTIFS(TRIB!$C$6:$C$255,B21,TRIB!$K$6:$K$255,"NO CUMPLE*")+COUNTIFS(TRIB!$C$6:$C$255,B21,TRIB!$K$6:$K$255,"SIN APOYO*")&gt;0,"VER PRINCIPALES",IF((APOYOS!$F$77="LIBRE")+(APOYOS!$F$78="LIBRE")+(APOYOS!$F$79="LIBRE")+(APOYOS!$F$80="LIBRE")&gt;0,"REVISAR: borde libre","OK"))</f>
        <v>OK</v>
      </c>
      <c r="CZ21" s="64" t="str">
        <f>IF(D21="HUECO","HUECO — marco de nervaduras principales",IF(AND(MAX(BL21,BT21,CB21,CJ21)&lt;=1,NOT(OR(BI21&gt;MIN(DATOS!$C$28,INT(((DATOS!$C$13-2*R21-2*IF(DATOS!$C$25=0,0,INDEX(TABLAS!$C$52:$C$58,MATCH(DATOS!$C$25,TABLAS!$B$52:$B$58,0))))+DATOS!$C$32)/(INDEX(TABLAS!$C$52:$C$58,MATCH(BH21,TABLAS!$B$52:$B$58,0))+DATOS!$C$32))),BQ21&gt;MIN(DATOS!$C$28,INT(((DATOS!$C$13-2*S21-2*IF(DATOS!$C$25=0,0,INDEX(TABLAS!$C$52:$C$58,MATCH(DATOS!$C$25,TABLAS!$B$52:$B$58,0))))+DATOS!$C$32)/(INDEX(TABLAS!$C$52:$C$58,MATCH(BP21,TABLAS!$B$52:$B$58,0))+DATOS!$C$32))),BY21&gt;MIN(DATOS!$C$28,INT(((DATOS!$C$13-2*R21-2*IF(DATOS!$C$25=0,0,INDEX(TABLAS!$C$52:$C$58,MATCH(DATOS!$C$25,TABLAS!$B$52:$B$58,0))))+DATOS!$C$32)/(INDEX(TABLAS!$C$52:$C$58,MATCH(BX21,TABLAS!$B$52:$B$58,0))+DATOS!$C$32))),CG21&gt;MIN(DATOS!$C$28,INT(((DATOS!$C$13-2*S21-2*IF(DATOS!$C$25=0,0,INDEX(TABLAS!$C$52:$C$58,MATCH(DATOS!$C$25,TABLAS!$B$52:$B$58,0))))+DATOS!$C$32)/(INDEX(TABLAS!$C$52:$C$58,MATCH(CF21,TABLAS!$B$52:$B$58,0))+DATOS!$C$32))))),NOT(OR(AND(ISNUMBER(BM21),BM21&lt;0.005),AND(ISNUMBER(BU21),BU21&lt;0.005),AND(ISNUMBER(CC21),CC21&lt;0.005),AND(ISNUMBER(CK21),CK21&lt;0.005))),CS21="CUMPLE",CT21="CUMPLE"),IF(CY21="OK",IF(LEFT(CO21,6)="CUMPLE","CUMPLE","CUMPLE — "&amp;CO21)&amp;IF(LEFT(AZ21,5)="FUERA"," · fuera de 3.4.2.1 c)",""),IF(CY21="VER PRINCIPALES","VER PRINCIPALES","REVISAR APOYOS")),IF(AND(MAX(BL21,BT21,CB21,CJ21)&lt;=1,NOT(OR(BI21&gt;MIN(DATOS!$C$28,INT(((DATOS!$C$13-2*R21-2*IF(DATOS!$C$25=0,0,INDEX(TABLAS!$C$52:$C$58,MATCH(DATOS!$C$25,TABLAS!$B$52:$B$58,0))))+DATOS!$C$32)/(INDEX(TABLAS!$C$52:$C$58,MATCH(BH21,TABLAS!$B$52:$B$58,0))+DATOS!$C$32))),BQ21&gt;MIN(DATOS!$C$28,INT(((DATOS!$C$13-2*S21-2*IF(DATOS!$C$25=0,0,INDEX(TABLAS!$C$52:$C$58,MATCH(DATOS!$C$25,TABLAS!$B$52:$B$58,0))))+DATOS!$C$32)/(INDEX(TABLAS!$C$52:$C$58,MATCH(BP21,TABLAS!$B$52:$B$58,0))+DATOS!$C$32))),BY21&gt;MIN(DATOS!$C$28,INT(((DATOS!$C$13-2*R21-2*IF(DATOS!$C$25=0,0,INDEX(TABLAS!$C$52:$C$58,MATCH(DATOS!$C$25,TABLAS!$B$52:$B$58,0))))+DATOS!$C$32)/(INDEX(TABLAS!$C$52:$C$58,MATCH(BX21,TABLAS!$B$52:$B$58,0))+DATOS!$C$32))),CG21&gt;MIN(DATOS!$C$28,INT(((DATOS!$C$13-2*S21-2*IF(DATOS!$C$25=0,0,INDEX(TABLAS!$C$52:$C$58,MATCH(DATOS!$C$25,TABLAS!$B$52:$B$58,0))))+DATOS!$C$32)/(INDEX(TABLAS!$C$52:$C$58,MATCH(CF21,TABLAS!$B$52:$B$58,0))+DATOS!$C$32))))),NOT(OR(AND(ISNUMBER(BM21),BM21&lt;0.005),AND(ISNUMBER(BU21),BU21&lt;0.005),AND(ISNUMBER(CC21),CC21&lt;0.005),AND(ISNUMBER(CK21),CK21&lt;0.005))),CS21="CALCULAR FLECHA"),"REVISAR: calcular flecha (h_eq &lt; h mín.)","NO CUMPLE: "&amp;IF(MAX(BL21,BT21,CB21,CJ21)&gt;1,"flexión ","")&amp;IF(OR(BI21&gt;MIN(DATOS!$C$28,INT(((DATOS!$C$13-2*R21-2*IF(DATOS!$C$25=0,0,INDEX(TABLAS!$C$52:$C$58,MATCH(DATOS!$C$25,TABLAS!$B$52:$B$58,0))))+DATOS!$C$32)/(INDEX(TABLAS!$C$52:$C$58,MATCH(BH21,TABLAS!$B$52:$B$58,0))+DATOS!$C$32))),BQ21&gt;MIN(DATOS!$C$28,INT(((DATOS!$C$13-2*S21-2*IF(DATOS!$C$25=0,0,INDEX(TABLAS!$C$52:$C$58,MATCH(DATOS!$C$25,TABLAS!$B$52:$B$58,0))))+DATOS!$C$32)/(INDEX(TABLAS!$C$52:$C$58,MATCH(BP21,TABLAS!$B$52:$B$58,0))+DATOS!$C$32))),BY21&gt;MIN(DATOS!$C$28,INT(((DATOS!$C$13-2*R21-2*IF(DATOS!$C$25=0,0,INDEX(TABLAS!$C$52:$C$58,MATCH(DATOS!$C$25,TABLAS!$B$52:$B$58,0))))+DATOS!$C$32)/(INDEX(TABLAS!$C$52:$C$58,MATCH(BX21,TABLAS!$B$52:$B$58,0))+DATOS!$C$32))),CG21&gt;MIN(DATOS!$C$28,INT(((DATOS!$C$13-2*S21-2*IF(DATOS!$C$25=0,0,INDEX(TABLAS!$C$52:$C$58,MATCH(DATOS!$C$25,TABLAS!$B$52:$B$58,0))))+DATOS!$C$32)/(INDEX(TABLAS!$C$52:$C$58,MATCH(CF21,TABLAS!$B$52:$B$58,0))+DATOS!$C$32)))),"no caben ","")&amp;IF(OR(AND(ISNUMBER(BM21),BM21&lt;0.005),AND(ISNUMBER(BU21),BU21&lt;0.005),AND(ISNUMBER(CC21),CC21&lt;0.005),AND(ISNUMBER(CK21),CK21&lt;0.005)),"ε_t &lt; 0.005 ","")&amp;IF(CS21="NO CUMPLE","peralte ","")&amp;IF(CT21&lt;&gt;"CUMPLE","capa &lt; 6 cm",""))))</f>
        <v>CUMPLE · fuera de 3.4.2.1 c)</v>
      </c>
      <c r="DA21" s="65" t="str">
        <f>IF(AND(D21="PERIMETRAL",MIN(CW21,CX21)=0),"Tablero macizo (no cabe un casetón en el claro corto): no aplica 6.7.8. La resistencia se revisa con una nervadura de 10 cm cada 70 cm y r_np (conservador); "&amp;"como losa maciza lleva además As,mín = 0.0018·Ag en cada dirección cerca de la cara a tensión (6.7.6.1.1, p. 175). ",IF(AND(CL21="NO",D21="PERIMETRAL"),"No cumple 6.7.8.1.4 (a_c = "&amp;DATOS!$C$11&amp;" cm &gt; claro corto/6 = "&amp;TEXT(J21*100/6,"0")&amp;" cm): se diseña como losa apoyada en vigas (6.7.8.1.9): nervaduras con recubrimiento de viga r_np = "&amp;DATOS!$C$22&amp;" cm (Tabla 4.14.16.a), V_cR sin ×1.1 y cortante sin estribos por 5.5.3.8.1 (criterio del Proyectista). Para que cuente como encasetonada: casetón de "&amp;TEXT(FLOOR(MIN(80,J21*100/6),1),"0")&amp;" cm o menor. ",""))&amp;IF(LEFT(AZ21,5)="FUERA","M⁻ del borde común "&amp;AZ21&amp;": difieren más de 50% (3.4.2.1 c); se distribuyen 2/3 del desequilibrio (3.4.3.1) y conviene confirmar los momentos con el modelo. ","")&amp;"—"</f>
        <v>No cumple 6.7.8.1.4 (a_c = 60 cm &gt; claro corto/6 = 27 cm): se diseña como losa apoyada en vigas (6.7.8.1.9): nervaduras con recubrimiento de viga r_np = 4 cm (Tabla 4.14.16.a), V_cR sin ×1.1 y cortante sin estribos por 5.5.3.8.1 (criterio del Proyectista). Para que cuente como encasetonada: casetón de 26 cm o menor. M⁻ del borde común FUERA con F80016 F80008 · junto al volado F80012: se arma con su M⁻ y su cortante entra en V_u: difieren más de 50% (3.4.2.1 c); se distribuyen 2/3 del desequilibrio (3.4.3.1) y conviene confirmar los momentos con el modelo. —</v>
      </c>
    </row>
    <row r="22" ht="30" customHeight="1">
      <c r="B22" s="51" t="inlineStr">
        <is>
          <t>F80015 N+3.00</t>
        </is>
      </c>
      <c r="C22" s="52" t="inlineStr">
        <is>
          <t>N+3.00</t>
        </is>
      </c>
      <c r="D22" s="53" t="inlineStr">
        <is>
          <t>PERIMETRAL</t>
        </is>
      </c>
      <c r="E22" s="53" t="inlineStr">
        <is>
          <t>HABITACIÓN</t>
        </is>
      </c>
      <c r="F22" s="54" t="n">
        <v>3.028</v>
      </c>
      <c r="G22" s="54" t="n">
        <v>1.6</v>
      </c>
      <c r="H22" s="55" t="n">
        <v>3.028</v>
      </c>
      <c r="I22" s="55" t="n">
        <v>1.6</v>
      </c>
      <c r="J22" s="36">
        <f>MIN(H22,I22)</f>
        <v>1.6</v>
      </c>
      <c r="K22" s="36">
        <f>MAX(H22,I22)</f>
        <v>3.028</v>
      </c>
      <c r="L22" s="36">
        <f>IF(K22&gt;0,J22/K22,0)</f>
        <v>0.528401585204756</v>
      </c>
      <c r="M22" s="52" t="str">
        <f>IF(H22&lt;=I22,"X","Y")</f>
        <v>Y</v>
      </c>
      <c r="N22" s="56">
        <f>MAX(0,J22*100-IF(D22="VOLADO",DATOS!$C$17/2,DATOS!$C$17))</f>
        <v>145</v>
      </c>
      <c r="O22" s="56">
        <f>MAX(0,K22*100-DATOS!$C$17)</f>
        <v>287.8</v>
      </c>
      <c r="P22" s="57">
        <f>MIN(DATOS!$C$16,DATOS!$C$13+2*MIN(8*DATOS!$C$14,DATOS!$C$11/2,N22/8))</f>
        <v>46.25</v>
      </c>
      <c r="Q22" s="57">
        <f>MIN(DATOS!$C$16,DATOS!$C$13+2*MIN(8*DATOS!$C$14,DATOS!$C$11/2,O22/8))</f>
        <v>70</v>
      </c>
      <c r="R22" s="57">
        <f>IF(D22="VOLADO",DATOS!$C$21,IF(CL22="NO",DATOS!$C$22,DATOS!$C$20))</f>
        <v>4</v>
      </c>
      <c r="S22" s="57">
        <f>IF(OR(AND(C22="N+6.00",DATOS!$C$23="SÍ"),AND(D22="VOLADO",DATOS!$C$24="SÍ")),DATOS!$C$21,IF(CL22="NO",DATOS!$C$22,DATOS!$C$20))</f>
        <v>4</v>
      </c>
      <c r="T22" s="58" t="n">
        <v>230</v>
      </c>
      <c r="U22" s="56">
        <f>IF(E22="HABITACIÓN",DATOS!$C$89,DATOS!$C$92)</f>
        <v>190</v>
      </c>
      <c r="V22" s="56">
        <f>CARGAS!$C$9</f>
        <v>293.673469387755</v>
      </c>
      <c r="W22" s="56">
        <f>V22+T22</f>
        <v>523.673469387755</v>
      </c>
      <c r="X22" s="56">
        <f>W22+U22</f>
        <v>713.673469387755</v>
      </c>
      <c r="Y22" s="59">
        <f>MAX(DATOS!$C$55*W22+DATOS!$C$56*U22,IF(E22="AZOTEA",DATOS!$C$57*(W22+DATOS!$C$97),0))</f>
        <v>965.775510204082</v>
      </c>
      <c r="Z22" s="56">
        <f>(APOYOS!$G$81="DISCONTINUO")+(APOYOS!$G$82="DISCONTINUO")+(APOYOS!$G$83="DISCONTINUO")+(APOYOS!$G$84="DISCONTINUO")</f>
        <v>1</v>
      </c>
      <c r="AA22" s="56">
        <f>IF(M22="X",(APOYOS!$G$81="DISCONTINUO")+(APOYOS!$G$82="DISCONTINUO"),(APOYOS!$G$83="DISCONTINUO")+(APOYOS!$G$84="DISCONTINUO"))</f>
        <v>1</v>
      </c>
      <c r="AB22" s="56">
        <f>Z22-AA22</f>
        <v>0</v>
      </c>
      <c r="AC22" s="52" t="str">
        <f>IF(Z22=0,"INTERIOR",IF(Z22=1,IF(AA22=1,"BORDE-CORTO","BORDE-LARGO"),IF(Z22=2,IF(AA22=1,"ESQUINA",IF(AA22=2,"EXTREMO-LARGO","EXTREMO-CORTO")),IF(Z22=3,IF(AA22=2,"EXTREMO-LARGO","EXTREMO-CORTO"),"AISLADO"))))</f>
        <v>BORDE-CORTO</v>
      </c>
      <c r="AD22" s="53" t="inlineStr">
        <is>
          <t>AUTO</t>
        </is>
      </c>
      <c r="AE22" s="60" t="str">
        <f>IF(AD22="AUTO",AC22,AD22)</f>
        <v>BORDE-CORTO</v>
      </c>
      <c r="AF22" s="56">
        <f>MATCH(L22,TABLAS!$D$5:$J$5,1)</f>
        <v>2</v>
      </c>
      <c r="AG22" s="43">
        <f>IF(AF22&gt;=7,0,(L22-INDEX(TABLAS!$D$5:$J$5,AF22))/(INDEX(TABLAS!$D$5:$J$5,AF22+1)-INDEX(TABLAS!$D$5:$J$5,AF22)))</f>
        <v>0.284015852047557</v>
      </c>
      <c r="AH22" s="56">
        <f>INDEX(TABLAS!$D$6:$J$47,MATCH(AE22&amp;"|NIC",TABLAS!$B$6:$B$47,0),AF22)+AG22*(INDEX(TABLAS!$D$6:$J$47,MATCH(AE22&amp;"|NIC",TABLAS!$B$6:$B$47,0),MIN(AF22+1,7))-INDEX(TABLAS!$D$6:$J$47,MATCH(AE22&amp;"|NIC",TABLAS!$B$6:$B$47,0),AF22))</f>
        <v>1106.76486129458</v>
      </c>
      <c r="AI22" s="56">
        <f>INDEX(TABLAS!$D$6:$J$47,MATCH(AE22&amp;"|NIL",TABLAS!$B$6:$B$47,0),AF22)+AG22*(INDEX(TABLAS!$D$6:$J$47,MATCH(AE22&amp;"|NIL",TABLAS!$B$6:$B$47,0),MIN(AF22+1,7))-INDEX(TABLAS!$D$6:$J$47,MATCH(AE22&amp;"|NIL",TABLAS!$B$6:$B$47,0),AF22))</f>
        <v>550.775429326288</v>
      </c>
      <c r="AJ22" s="56">
        <f>INDEX(TABLAS!$D$6:$J$47,MATCH(AE22&amp;"|NDC",TABLAS!$B$6:$B$47,0),AF22)+AG22*(INDEX(TABLAS!$D$6:$J$47,MATCH(AE22&amp;"|NDC",TABLAS!$B$6:$B$47,0),MIN(AF22+1,7))-INDEX(TABLAS!$D$6:$J$47,MATCH(AE22&amp;"|NDC",TABLAS!$B$6:$B$47,0),AF22))</f>
        <v>0</v>
      </c>
      <c r="AK22" s="56">
        <f>INDEX(TABLAS!$D$6:$J$47,MATCH(AE22&amp;"|NDL",TABLAS!$B$6:$B$47,0),AF22)+AG22*(INDEX(TABLAS!$D$6:$J$47,MATCH(AE22&amp;"|NDL",TABLAS!$B$6:$B$47,0),MIN(AF22+1,7))-INDEX(TABLAS!$D$6:$J$47,MATCH(AE22&amp;"|NDL",TABLAS!$B$6:$B$47,0),AF22))</f>
        <v>255.159841479524</v>
      </c>
      <c r="AL22" s="56">
        <f>INDEX(TABLAS!$D$6:$J$47,MATCH(AE22&amp;"|PC",TABLAS!$B$6:$B$47,0),AF22)+AG22*(INDEX(TABLAS!$D$6:$J$47,MATCH(AE22&amp;"|PC",TABLAS!$B$6:$B$47,0),MIN(AF22+1,7))-INDEX(TABLAS!$D$6:$J$47,MATCH(AE22&amp;"|PC",TABLAS!$B$6:$B$47,0),AF22))</f>
        <v>318.49141347424</v>
      </c>
      <c r="AM22" s="56">
        <f>INDEX(TABLAS!$D$6:$J$47,MATCH(AE22&amp;"|PL",TABLAS!$B$6:$B$47,0),AF22)+AG22*(INDEX(TABLAS!$D$6:$J$47,MATCH(AE22&amp;"|PL",TABLAS!$B$6:$B$47,0),MIN(AF22+1,7))-INDEX(TABLAS!$D$6:$J$47,MATCH(AE22&amp;"|PL",TABLAS!$B$6:$B$47,0),AF22))</f>
        <v>240.804491413474</v>
      </c>
      <c r="AN22" s="36">
        <f>IF(D22="PERIMETRAL",IF(APOYOS!$G$81="CONTINUO",IF(M22="Y",AH22,AI22),IF(M22="Y",AJ22,AK22))*Y22*J22^2*1E-4*DATOS!$C$16/100/1000,0)</f>
        <v>0.191544442627817</v>
      </c>
      <c r="AO22" s="36">
        <f>IF(D22="PERIMETRAL",IF(APOYOS!$G$82="CONTINUO",IF(M22="Y",AH22,AI22),IF(M22="Y",AJ22,AK22))*Y22*J22^2*1E-4*DATOS!$C$16/100/1000,0)</f>
        <v>0.191544442627817</v>
      </c>
      <c r="AP22" s="36">
        <f>IF(D22="PERIMETRAL",IF(APOYOS!$G$83="CONTINUO",IF(M22="X",AH22,AI22),IF(M22="X",AJ22,AK22))*Y22*J22^2*1E-4*DATOS!$C$16/100/1000,0)</f>
        <v>0.0953210354907719</v>
      </c>
      <c r="AQ22" s="36">
        <f>IF(D22="PERIMETRAL",IF(APOYOS!$G$84="CONTINUO",IF(M22="X",AH22,AI22),IF(M22="X",AJ22,AK22))*Y22*J22^2*1E-4*DATOS!$C$16/100/1000,0)</f>
        <v>0.0441597409950557</v>
      </c>
      <c r="AR22" s="56">
        <f>IF(D22="PERIMETRAL",IF(M22="X",BN22,CD22)^3/(J22*100),0)</f>
        <v>37.1777148697438</v>
      </c>
      <c r="AS22" s="56">
        <f>IF(D22="PERIMETRAL",IF(M22="Y",BN22,CD22)^3/(J22*100),0)</f>
        <v>45.5560697554312</v>
      </c>
      <c r="AT22" s="36">
        <f>IF(D22="PERIMETRAL",MAX(0,IF(M22="Y",IF(AND(OR(APOYOS!$G$81="CONTINUO",APOYOS!$G$66="CONTINUO"),AN22&gt;0,AO18&gt;0,AO18&gt;AN22),AN22+2/3*(AO18-AN22)*AS22/MAX(AS22+AS18,1E-9),0),0),IF(M22="Y",IF(AND(OR(APOYOS!$G$82="CONTINUO",APOYOS!$G$93="CONTINUO"),AO22&gt;0,AN25&gt;0,AN25&gt;AO22),AO22+2/3*(AN25-AO22)*AS22/MAX(AS22+AS25,1E-9),0),0),IF(M22="X",IF(AND(OR(APOYOS!$G$83="CONTINUO",APOYOS!$G$76="CONTINUO"),AP22&gt;0,AQ20&gt;0,AQ20&gt;AP22),AP22+2/3*(AQ20-AP22)*AR22/MAX(AR22+AR20,1E-9),0),0)),0)</f>
        <v>0.304789458986205</v>
      </c>
      <c r="AU22" s="36">
        <f>IF(D22="PERIMETRAL",MAX(0,IF(M22&lt;&gt;"Y",IF(AND(OR(APOYOS!$G$81="CONTINUO",APOYOS!$G$66="CONTINUO"),AN22&gt;0,AO18&gt;0,AO18&gt;AN22),AN22+2/3*(AO18-AN22)*AS22/MAX(AS22+AS18,1E-9),0),0),IF(M22&lt;&gt;"Y",IF(AND(OR(APOYOS!$G$82="CONTINUO",APOYOS!$G$93="CONTINUO"),AO22&gt;0,AN25&gt;0,AN25&gt;AO22),AO22+2/3*(AN25-AO22)*AS22/MAX(AS22+AS25,1E-9),0),0),IF(M22&lt;&gt;"X",IF(AND(OR(APOYOS!$G$83="CONTINUO",APOYOS!$G$76="CONTINUO"),AP22&gt;0,AQ20&gt;0,AQ20&gt;AP22),AP22+2/3*(AQ20-AP22)*AR22/MAX(AR22+AR20,1E-9),0),0)),0)</f>
        <v>0</v>
      </c>
      <c r="AV22" s="36">
        <f>IF(D22="PERIMETRAL",(IF(M22="Y",IF(AND(OR(APOYOS!$G$81="CONTINUO",APOYOS!$G$66="CONTINUO"),AN22&gt;0,AO18&gt;0,AN22&gt;AO18),2/3*(AN22-AO18)*AS22/MAX(AS22+AS18,1E-9),0),0)+IF(M22="Y",IF(AND(OR(APOYOS!$G$82="CONTINUO",APOYOS!$G$93="CONTINUO"),AO22&gt;0,AN25&gt;0,AO22&gt;AN25),2/3*(AO22-AN25)*AS22/MAX(AS22+AS25,1E-9),0),0)+IF(M22="X",IF(AND(OR(APOYOS!$G$83="CONTINUO",APOYOS!$G$76="CONTINUO"),AP22&gt;0,AQ20&gt;0,AP22&gt;AQ20),2/3*(AP22-AQ20)*AR22/MAX(AR22+AR20,1E-9),0),0))/2,0)</f>
        <v>0.0120019294673187</v>
      </c>
      <c r="AW22" s="36">
        <f>IF(D22="PERIMETRAL",(IF(M22&lt;&gt;"Y",IF(AND(OR(APOYOS!$G$81="CONTINUO",APOYOS!$G$66="CONTINUO"),AN22&gt;0,AO18&gt;0,AN22&gt;AO18),2/3*(AN22-AO18)*AS22/MAX(AS22+AS18,1E-9),0),0)+IF(M22&lt;&gt;"Y",IF(AND(OR(APOYOS!$G$82="CONTINUO",APOYOS!$G$93="CONTINUO"),AO22&gt;0,AN25&gt;0,AO22&gt;AN25),2/3*(AO22-AN25)*AS22/MAX(AS22+AS25,1E-9),0),0)+IF(M22&lt;&gt;"X",IF(AND(OR(APOYOS!$G$83="CONTINUO",APOYOS!$G$76="CONTINUO"),AP22&gt;0,AQ20&gt;0,AP22&gt;AQ20),2/3*(AP22-AQ20)*AR22/MAX(AR22+AR20,1E-9),0),0))/2,0)</f>
        <v>0.00407934742932316</v>
      </c>
      <c r="AX22" s="36">
        <f>IF(D22="PERIMETRAL",MAX(0,0),0)</f>
        <v>0</v>
      </c>
      <c r="AY22" s="52" t="str">
        <f>IF(D22&lt;&gt;"PERIMETRAL","",IF(AND(OR(APOYOS!$G$81="CONTINUO",APOYOS!$G$66="CONTINUO"),AN22&gt;0,AO18&gt;0,ABS(AN22-AO18)&gt;0.5*MIN(AN22,AO18))," F80011","")&amp;IF(AND(OR(APOYOS!$G$82="CONTINUO",APOYOS!$G$93="CONTINUO"),AO22&gt;0,AN25&gt;0,ABS(AO22-AN25)&gt;0.5*MIN(AO22,AN25))," F80018","")&amp;IF(AND(OR(APOYOS!$G$83="CONTINUO",APOYOS!$G$76="CONTINUO"),AP22&gt;0,AQ20&gt;0,ABS(AP22-AQ20)&gt;0.5*MIN(AP22,AQ20))," F80013",""))</f>
        <v> F80011 F80018 F80013</v>
      </c>
      <c r="AZ22" s="52" t="str">
        <f>IF(D22&lt;&gt;"PERIMETRAL","—",IF(AY22="","CUMPLE","FUERA con"&amp;AY22)&amp;IF(AND(D18="PERIMETRAL",APOYOS!$G$81&lt;&gt;APOYOS!$G$66)," · continuidad asimétrica con F80011 (cada uno con su momento; revisar APOYOS)","")&amp;IF(AND(D25="PERIMETRAL",APOYOS!$G$82&lt;&gt;APOYOS!$G$93)," · continuidad asimétrica con F80018 (cada uno con su momento; revisar APOYOS)","")&amp;IF(AND(D20="PERIMETRAL",APOYOS!$G$83&lt;&gt;APOYOS!$G$76)," · continuidad asimétrica con F80013 (cada uno con su momento; revisar APOYOS)",""))</f>
        <v>FUERA con F80011 F80018 F80013</v>
      </c>
      <c r="BA22" s="61" t="n">
        <v>0</v>
      </c>
      <c r="BB22" s="36">
        <f>IF(D22="PERIMETRAL",AL22*Y22*J22^2*1E-4*DATOS!$C$16/100/1000+AV22,0)</f>
        <v>0.0671222738233104</v>
      </c>
      <c r="BC22" s="36">
        <f>IF(D22="PERIMETRAL",MAX(MAX(AH22,AJ22)*Y22*J22^2*1E-4*DATOS!$C$16/100/1000,AT22),IF(D22="VOLADO",(Y22*(N22/100)^2/2+DATOS!$C$55*BA22*N22/100)*DATOS!$C$16/100/1000,0))</f>
        <v>0.304789458986205</v>
      </c>
      <c r="BD22" s="36">
        <f>IF(D22="PERIMETRAL",AM22*Y22*J22^2*1E-4*DATOS!$C$16/100/1000+AW22,0)</f>
        <v>0.0457546514646506</v>
      </c>
      <c r="BE22" s="36">
        <f>IF(D22="PERIMETRAL",MAX(MAX(AI22,AK22)*Y22*J22^2*1E-4*DATOS!$C$16/100/1000,AU22),0)</f>
        <v>0.0953210354907719</v>
      </c>
      <c r="BF22" s="43">
        <f>(DATOS!$C$15-R22-IF(DATOS!$C$25=0,0,INDEX(TABLAS!$C$52:$C$58,MATCH(DATOS!$C$25,TABLAS!$B$52:$B$58,0)))-INDEX(TABLAS!$C$52:$C$58,MATCH(DATOS!$C$26,TABLAS!$B$52:$B$58,0))/2)</f>
        <v>20.365</v>
      </c>
      <c r="BG22" s="43">
        <f>IF(D22="HUECO",0,IF(IF(BB22&lt;=0,0,IF((1-2*BB22*1E5/(DATOS!$C$58*P22*BF22^2*DATOS!$C$48))&lt;0,-1,IF((1-SQRT((1-2*BB22*1E5/(DATOS!$C$58*P22*BF22^2*DATOS!$C$48))))*DATOS!$C$48*P22*BF22/DATOS!$C$40&gt;DATOS!$C$82*P22*BF22,-1,(1-SQRT((1-2*BB22*1E5/(DATOS!$C$58*P22*BF22^2*DATOS!$C$48))))*DATOS!$C$48*P22*BF22/DATOS!$C$40)))&lt;0,-1,MAX(IF(BB22&lt;=0,0,IF((1-2*BB22*1E5/(DATOS!$C$58*P22*BF22^2*DATOS!$C$48))&lt;0,-1,IF((1-SQRT((1-2*BB22*1E5/(DATOS!$C$58*P22*BF22^2*DATOS!$C$48))))*DATOS!$C$48*P22*BF22/DATOS!$C$40&gt;DATOS!$C$82*P22*BF22,-1,(1-SQRT((1-2*BB22*1E5/(DATOS!$C$58*P22*BF22^2*DATOS!$C$48))))*DATOS!$C$48*P22*BF22/DATOS!$C$40))),MIN(DATOS!$C$83*DATOS!$C$13*BF22,4/3*IF(BB22&lt;=0,0,IF((1-2*BB22*1E5/(DATOS!$C$58*P22*BF22^2*DATOS!$C$48))&lt;0,-1,IF((1-SQRT((1-2*BB22*1E5/(DATOS!$C$58*P22*BF22^2*DATOS!$C$48))))*DATOS!$C$48*P22*BF22/DATOS!$C$40&gt;DATOS!$C$82*P22*BF22,-1,(1-SQRT((1-2*BB22*1E5/(DATOS!$C$58*P22*BF22^2*DATOS!$C$48))))*DATOS!$C$48*P22*BF22/DATOS!$C$40)))))))</f>
        <v>0.116366252271767</v>
      </c>
      <c r="BH22" s="41">
        <f>IF(AND(BG22&gt;=0,IF(MAX(DATOS!$C$29,CEILING(BG22/INDEX(TABLAS!$D$52:$D$58,MIN(MATCH(DATOS!$C$26,TABLAS!$B$52:$B$58,0)+0,7)),1))*INDEX(TABLAS!$D$52:$D$58,MIN(MATCH(DATOS!$C$26,TABLAS!$B$52:$B$58,0)+0,7))&gt;=4/3*IF(BB22&lt;=0,0,IF((1-2*BB22*1E5/(DATOS!$C$58*P22*BF22^2*DATOS!$C$48))&lt;0,-1,IF((1-SQRT((1-2*BB22*1E5/(DATOS!$C$58*P22*BF22^2*DATOS!$C$48))))*DATOS!$C$48*P22*BF22/DATOS!$C$40&gt;DATOS!$C$82*P22*BF22,-1,(1-SQRT((1-2*BB22*1E5/(DATOS!$C$58*P22*BF22^2*DATOS!$C$48))))*DATOS!$C$48*P22*BF22/DATOS!$C$40)))-0.0001,MAX(DATOS!$C$29,CEILING(BG22/INDEX(TABLAS!$D$52:$D$58,MIN(MATCH(DATOS!$C$26,TABLAS!$B$52:$B$58,0)+0,7)),1)),MAX(MAX(DATOS!$C$29,CEILING(BG22/INDEX(TABLAS!$D$52:$D$58,MIN(MATCH(DATOS!$C$26,TABLAS!$B$52:$B$58,0)+0,7)),1)),2))&lt;=MIN(DATOS!$C$28,INT(((DATOS!$C$13-2*R22-2*IF(DATOS!$C$25=0,0,INDEX(TABLAS!$C$52:$C$58,MATCH(DATOS!$C$25,TABLAS!$B$52:$B$58,0))))+MAX(DATOS!$C$32,INDEX(TABLAS!$C$52:$C$58,MIN(MATCH(DATOS!$C$26,TABLAS!$B$52:$B$58,0)+0,7))))/(INDEX(TABLAS!$C$52:$C$58,MIN(MATCH(DATOS!$C$26,TABLAS!$B$52:$B$58,0)+0,7))+MAX(DATOS!$C$32,INDEX(TABLAS!$C$52:$C$58,MIN(MATCH(DATOS!$C$26,TABLAS!$B$52:$B$58,0)+0,7))))))),INDEX(TABLAS!$B$52:$B$58,MIN(MATCH(DATOS!$C$26,TABLAS!$B$52:$B$58,0)+0,7)),IF(AND(BG22&gt;=0,IF(MAX(DATOS!$C$29,CEILING(BG22/INDEX(TABLAS!$D$52:$D$58,MIN(MATCH(DATOS!$C$26,TABLAS!$B$52:$B$58,0)+1,7)),1))*INDEX(TABLAS!$D$52:$D$58,MIN(MATCH(DATOS!$C$26,TABLAS!$B$52:$B$58,0)+1,7))&gt;=4/3*IF(BB22&lt;=0,0,IF((1-2*BB22*1E5/(DATOS!$C$58*P22*BF22^2*DATOS!$C$48))&lt;0,-1,IF((1-SQRT((1-2*BB22*1E5/(DATOS!$C$58*P22*BF22^2*DATOS!$C$48))))*DATOS!$C$48*P22*BF22/DATOS!$C$40&gt;DATOS!$C$82*P22*BF22,-1,(1-SQRT((1-2*BB22*1E5/(DATOS!$C$58*P22*BF22^2*DATOS!$C$48))))*DATOS!$C$48*P22*BF22/DATOS!$C$40)))-0.0001,MAX(DATOS!$C$29,CEILING(BG22/INDEX(TABLAS!$D$52:$D$58,MIN(MATCH(DATOS!$C$26,TABLAS!$B$52:$B$58,0)+1,7)),1)),MAX(MAX(DATOS!$C$29,CEILING(BG22/INDEX(TABLAS!$D$52:$D$58,MIN(MATCH(DATOS!$C$26,TABLAS!$B$52:$B$58,0)+1,7)),1)),2))&lt;=MIN(DATOS!$C$28,INT(((DATOS!$C$13-2*R22-2*IF(DATOS!$C$25=0,0,INDEX(TABLAS!$C$52:$C$58,MATCH(DATOS!$C$25,TABLAS!$B$52:$B$58,0))))+MAX(DATOS!$C$32,INDEX(TABLAS!$C$52:$C$58,MIN(MATCH(DATOS!$C$26,TABLAS!$B$52:$B$58,0)+1,7))))/(INDEX(TABLAS!$C$52:$C$58,MIN(MATCH(DATOS!$C$26,TABLAS!$B$52:$B$58,0)+1,7))+MAX(DATOS!$C$32,INDEX(TABLAS!$C$52:$C$58,MIN(MATCH(DATOS!$C$26,TABLAS!$B$52:$B$58,0)+1,7))))))),INDEX(TABLAS!$B$52:$B$58,MIN(MATCH(DATOS!$C$26,TABLAS!$B$52:$B$58,0)+1,7)),IF(AND(BG22&gt;=0,IF(MAX(DATOS!$C$29,CEILING(BG22/INDEX(TABLAS!$D$52:$D$58,MIN(MATCH(DATOS!$C$26,TABLAS!$B$52:$B$58,0)+2,7)),1))*INDEX(TABLAS!$D$52:$D$58,MIN(MATCH(DATOS!$C$26,TABLAS!$B$52:$B$58,0)+2,7))&gt;=4/3*IF(BB22&lt;=0,0,IF((1-2*BB22*1E5/(DATOS!$C$58*P22*BF22^2*DATOS!$C$48))&lt;0,-1,IF((1-SQRT((1-2*BB22*1E5/(DATOS!$C$58*P22*BF22^2*DATOS!$C$48))))*DATOS!$C$48*P22*BF22/DATOS!$C$40&gt;DATOS!$C$82*P22*BF22,-1,(1-SQRT((1-2*BB22*1E5/(DATOS!$C$58*P22*BF22^2*DATOS!$C$48))))*DATOS!$C$48*P22*BF22/DATOS!$C$40)))-0.0001,MAX(DATOS!$C$29,CEILING(BG22/INDEX(TABLAS!$D$52:$D$58,MIN(MATCH(DATOS!$C$26,TABLAS!$B$52:$B$58,0)+2,7)),1)),MAX(MAX(DATOS!$C$29,CEILING(BG22/INDEX(TABLAS!$D$52:$D$58,MIN(MATCH(DATOS!$C$26,TABLAS!$B$52:$B$58,0)+2,7)),1)),2))&lt;=MIN(DATOS!$C$28,INT(((DATOS!$C$13-2*R22-2*IF(DATOS!$C$25=0,0,INDEX(TABLAS!$C$52:$C$58,MATCH(DATOS!$C$25,TABLAS!$B$52:$B$58,0))))+MAX(DATOS!$C$32,INDEX(TABLAS!$C$52:$C$58,MIN(MATCH(DATOS!$C$26,TABLAS!$B$52:$B$58,0)+2,7))))/(INDEX(TABLAS!$C$52:$C$58,MIN(MATCH(DATOS!$C$26,TABLAS!$B$52:$B$58,0)+2,7))+MAX(DATOS!$C$32,INDEX(TABLAS!$C$52:$C$58,MIN(MATCH(DATOS!$C$26,TABLAS!$B$52:$B$58,0)+2,7))))))),INDEX(TABLAS!$B$52:$B$58,MIN(MATCH(DATOS!$C$26,TABLAS!$B$52:$B$58,0)+2,7)),IF(AND(BG22&gt;=0,IF(MAX(DATOS!$C$29,CEILING(BG22/INDEX(TABLAS!$D$52:$D$58,MIN(MATCH(DATOS!$C$26,TABLAS!$B$52:$B$58,0)+3,7)),1))*INDEX(TABLAS!$D$52:$D$58,MIN(MATCH(DATOS!$C$26,TABLAS!$B$52:$B$58,0)+3,7))&gt;=4/3*IF(BB22&lt;=0,0,IF((1-2*BB22*1E5/(DATOS!$C$58*P22*BF22^2*DATOS!$C$48))&lt;0,-1,IF((1-SQRT((1-2*BB22*1E5/(DATOS!$C$58*P22*BF22^2*DATOS!$C$48))))*DATOS!$C$48*P22*BF22/DATOS!$C$40&gt;DATOS!$C$82*P22*BF22,-1,(1-SQRT((1-2*BB22*1E5/(DATOS!$C$58*P22*BF22^2*DATOS!$C$48))))*DATOS!$C$48*P22*BF22/DATOS!$C$40)))-0.0001,MAX(DATOS!$C$29,CEILING(BG22/INDEX(TABLAS!$D$52:$D$58,MIN(MATCH(DATOS!$C$26,TABLAS!$B$52:$B$58,0)+3,7)),1)),MAX(MAX(DATOS!$C$29,CEILING(BG22/INDEX(TABLAS!$D$52:$D$58,MIN(MATCH(DATOS!$C$26,TABLAS!$B$52:$B$58,0)+3,7)),1)),2))&lt;=MIN(DATOS!$C$28,INT(((DATOS!$C$13-2*R22-2*IF(DATOS!$C$25=0,0,INDEX(TABLAS!$C$52:$C$58,MATCH(DATOS!$C$25,TABLAS!$B$52:$B$58,0))))+MAX(DATOS!$C$32,INDEX(TABLAS!$C$52:$C$58,MIN(MATCH(DATOS!$C$26,TABLAS!$B$52:$B$58,0)+3,7))))/(INDEX(TABLAS!$C$52:$C$58,MIN(MATCH(DATOS!$C$26,TABLAS!$B$52:$B$58,0)+3,7))+MAX(DATOS!$C$32,INDEX(TABLAS!$C$52:$C$58,MIN(MATCH(DATOS!$C$26,TABLAS!$B$52:$B$58,0)+3,7))))))),INDEX(TABLAS!$B$52:$B$58,MIN(MATCH(DATOS!$C$26,TABLAS!$B$52:$B$58,0)+3,7)),IF(AND(BG22&gt;=0,IF(MAX(DATOS!$C$29,CEILING(BG22/INDEX(TABLAS!$D$52:$D$58,MIN(MATCH(DATOS!$C$26,TABLAS!$B$52:$B$58,0)+4,7)),1))*INDEX(TABLAS!$D$52:$D$58,MIN(MATCH(DATOS!$C$26,TABLAS!$B$52:$B$58,0)+4,7))&gt;=4/3*IF(BB22&lt;=0,0,IF((1-2*BB22*1E5/(DATOS!$C$58*P22*BF22^2*DATOS!$C$48))&lt;0,-1,IF((1-SQRT((1-2*BB22*1E5/(DATOS!$C$58*P22*BF22^2*DATOS!$C$48))))*DATOS!$C$48*P22*BF22/DATOS!$C$40&gt;DATOS!$C$82*P22*BF22,-1,(1-SQRT((1-2*BB22*1E5/(DATOS!$C$58*P22*BF22^2*DATOS!$C$48))))*DATOS!$C$48*P22*BF22/DATOS!$C$40)))-0.0001,MAX(DATOS!$C$29,CEILING(BG22/INDEX(TABLAS!$D$52:$D$58,MIN(MATCH(DATOS!$C$26,TABLAS!$B$52:$B$58,0)+4,7)),1)),MAX(MAX(DATOS!$C$29,CEILING(BG22/INDEX(TABLAS!$D$52:$D$58,MIN(MATCH(DATOS!$C$26,TABLAS!$B$52:$B$58,0)+4,7)),1)),2))&lt;=MIN(DATOS!$C$28,INT(((DATOS!$C$13-2*R22-2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22" s="56">
        <f>IF(D22="HUECO",0,IF(BG22&lt;0,0,IF(MAX(DATOS!$C$29,CEILING(MAX(BG22,0)/INDEX(TABLAS!$D$52:$D$58,MATCH(BH22,TABLAS!$B$52:$B$58,0)),1))*INDEX(TABLAS!$D$52:$D$58,MATCH(BH22,TABLAS!$B$52:$B$58,0))&gt;=4/3*IF(BB22&lt;=0,0,IF((1-2*BB22*1E5/(DATOS!$C$58*P22*BF22^2*DATOS!$C$48))&lt;0,-1,IF((1-SQRT((1-2*BB22*1E5/(DATOS!$C$58*P22*BF22^2*DATOS!$C$48))))*DATOS!$C$48*P22*BF22/DATOS!$C$40&gt;DATOS!$C$82*P22*BF22,-1,(1-SQRT((1-2*BB22*1E5/(DATOS!$C$58*P22*BF22^2*DATOS!$C$48))))*DATOS!$C$48*P22*BF22/DATOS!$C$40)))-0.0001,MAX(DATOS!$C$29,CEILING(MAX(BG22,0)/INDEX(TABLAS!$D$52:$D$58,MATCH(BH22,TABLAS!$B$52:$B$58,0)),1)),MAX(MAX(DATOS!$C$29,CEILING(MAX(BG22,0)/INDEX(TABLAS!$D$52:$D$58,MATCH(BH22,TABLAS!$B$52:$B$58,0)),1)),2))))</f>
        <v>1</v>
      </c>
      <c r="BJ22" s="43">
        <f>DATOS!$C$15-R22-IF(DATOS!$C$25=0,0,INDEX(TABLAS!$C$52:$C$58,MATCH(DATOS!$C$25,TABLAS!$B$52:$B$58,0)))-INDEX(TABLAS!$C$52:$C$58,MATCH(BH22,TABLAS!$B$52:$B$58,0))/2</f>
        <v>20.365</v>
      </c>
      <c r="BK22" s="36">
        <f>IF(BI22=0,0,DATOS!$C$58*BI22*INDEX(TABLAS!$D$52:$D$58,MATCH(BH22,TABLAS!$B$52:$B$58,0))*DATOS!$C$40*(BJ22-BI22*INDEX(TABLAS!$D$52:$D$58,MATCH(BH22,TABLAS!$B$52:$B$58,0))*DATOS!$C$40/(DATOS!$C$48*P22)/2)/1E5)</f>
        <v>0.96461508645787</v>
      </c>
      <c r="BL22" s="62">
        <f>IF(BG22&lt;0,9.99,IF(BK22&gt;0,BB22/BK22,0))</f>
        <v>0.0695845159023873</v>
      </c>
      <c r="BM22" s="63">
        <f>IF(BI22=0,"—",0.003*(BJ22-(BI22*INDEX(TABLAS!$D$52:$D$58,MATCH(BH22,TABLAS!$B$52:$B$58,0))*DATOS!$C$40/(DATOS!$C$48*P22)/DATOS!$C$49))/(BI22*INDEX(TABLAS!$D$52:$D$58,MATCH(BH22,TABLAS!$B$52:$B$58,0))*DATOS!$C$40/(DATOS!$C$48*P22)/DATOS!$C$49))</f>
        <v>0.0926846461086895</v>
      </c>
      <c r="BN22" s="43">
        <f>((DATOS!$C$15-S22-2*DATOS!$C$35-IF(DATOS!$C$25=0,0,INDEX(TABLAS!$C$52:$C$58,MATCH(DATOS!$C$25,TABLAS!$B$52:$B$58,0)))-INDEX(TABLAS!$C$52:$C$58,MATCH(DATOS!$C$27,TABLAS!$B$52:$B$58,0))/2)-IF(AND((DATOS!$C$15-S22-2*DATOS!$C$35-IF(DATOS!$C$25=0,0,INDEX(TABLAS!$C$52:$C$58,MATCH(DATOS!$C$25,TABLAS!$B$52:$B$58,0)))-INDEX(TABLAS!$C$52:$C$58,MATCH(DATOS!$C$27,TABLAS!$B$52:$B$58,0))/2)&lt;=20,DATOS!$C$18&lt;&gt;"SÍ"),2,0))</f>
        <v>19.389</v>
      </c>
      <c r="BO22" s="43">
        <f>IF(D22="HUECO",0,IF(IF(BC22&lt;=0,0,IF((1-2*BC22*1E5/(DATOS!$C$58*DATOS!$C$19*BN22^2*DATOS!$C$48))&lt;0,-1,IF((1-SQRT((1-2*BC22*1E5/(DATOS!$C$58*DATOS!$C$19*BN22^2*DATOS!$C$48))))*DATOS!$C$48*DATOS!$C$19*BN22/DATOS!$C$40&gt;DATOS!$C$82*DATOS!$C$19*BN22,-1,(1-SQRT((1-2*BC22*1E5/(DATOS!$C$58*DATOS!$C$19*BN22^2*DATOS!$C$48))))*DATOS!$C$48*DATOS!$C$19*BN22/DATOS!$C$40)))&lt;0,-1,MAX(IF(BC22&lt;=0,0,IF((1-2*BC22*1E5/(DATOS!$C$58*DATOS!$C$19*BN22^2*DATOS!$C$48))&lt;0,-1,IF((1-SQRT((1-2*BC22*1E5/(DATOS!$C$58*DATOS!$C$19*BN22^2*DATOS!$C$48))))*DATOS!$C$48*DATOS!$C$19*BN22/DATOS!$C$40&gt;DATOS!$C$82*DATOS!$C$19*BN22,-1,(1-SQRT((1-2*BC22*1E5/(DATOS!$C$58*DATOS!$C$19*BN22^2*DATOS!$C$48))))*DATOS!$C$48*DATOS!$C$19*BN22/DATOS!$C$40))),MIN(DATOS!$C$83*IF(D22="VOLADO",2*DATOS!$C$13,DATOS!$C$13)*BN22,4/3*IF(BC22&lt;=0,0,IF((1-2*BC22*1E5/(DATOS!$C$58*DATOS!$C$19*BN22^2*DATOS!$C$48))&lt;0,-1,IF((1-SQRT((1-2*BC22*1E5/(DATOS!$C$58*DATOS!$C$19*BN22^2*DATOS!$C$48))))*DATOS!$C$48*DATOS!$C$19*BN22/DATOS!$C$40&gt;DATOS!$C$82*DATOS!$C$19*BN22,-1,(1-SQRT((1-2*BC22*1E5/(DATOS!$C$58*DATOS!$C$19*BN22^2*DATOS!$C$48))))*DATOS!$C$48*DATOS!$C$19*BN22/DATOS!$C$40)))))))</f>
        <v>0.566766453266368</v>
      </c>
      <c r="BP22" s="41">
        <f>IF(AND(BO22&gt;=0,IF(MAX(DATOS!$C$29,CEILING(BO22/INDEX(TABLAS!$D$52:$D$58,MIN(MATCH(DATOS!$C$27,TABLAS!$B$52:$B$58,0)+0,7)),1))*INDEX(TABLAS!$D$52:$D$58,MIN(MATCH(DATOS!$C$27,TABLAS!$B$52:$B$58,0)+0,7))&gt;=4/3*IF(BC22&lt;=0,0,IF((1-2*BC22*1E5/(DATOS!$C$58*DATOS!$C$19*BN22^2*DATOS!$C$48))&lt;0,-1,IF((1-SQRT((1-2*BC22*1E5/(DATOS!$C$58*DATOS!$C$19*BN22^2*DATOS!$C$48))))*DATOS!$C$48*DATOS!$C$19*BN22/DATOS!$C$40&gt;DATOS!$C$82*DATOS!$C$19*BN22,-1,(1-SQRT((1-2*BC22*1E5/(DATOS!$C$58*DATOS!$C$19*BN22^2*DATOS!$C$48))))*DATOS!$C$48*DATOS!$C$19*BN22/DATOS!$C$40)))-0.0001,MAX(DATOS!$C$29,CEILING(BO22/INDEX(TABLAS!$D$52:$D$58,MIN(MATCH(DATOS!$C$27,TABLAS!$B$52:$B$58,0)+0,7)),1)),MAX(MAX(DATOS!$C$29,CEILING(BO22/INDEX(TABLAS!$D$52:$D$58,MIN(MATCH(DATOS!$C$27,TABLAS!$B$52:$B$58,0)+0,7)),1)),2))&lt;=MIN(DATOS!$C$28,INT(((DATOS!$C$13-2*S22-2*IF(DATOS!$C$25=0,0,INDEX(TABLAS!$C$52:$C$58,MATCH(DATOS!$C$25,TABLAS!$B$52:$B$58,0))))+MAX(DATOS!$C$32,INDEX(TABLAS!$C$52:$C$58,MIN(MATCH(DATOS!$C$27,TABLAS!$B$52:$B$58,0)+0,7))))/(INDEX(TABLAS!$C$52:$C$58,MIN(MATCH(DATOS!$C$27,TABLAS!$B$52:$B$58,0)+0,7))+MAX(DATOS!$C$32,INDEX(TABLAS!$C$52:$C$58,MIN(MATCH(DATOS!$C$27,TABLAS!$B$52:$B$58,0)+0,7))))))),INDEX(TABLAS!$B$52:$B$58,MIN(MATCH(DATOS!$C$27,TABLAS!$B$52:$B$58,0)+0,7)),IF(AND(BO22&gt;=0,IF(MAX(DATOS!$C$29,CEILING(BO22/INDEX(TABLAS!$D$52:$D$58,MIN(MATCH(DATOS!$C$27,TABLAS!$B$52:$B$58,0)+1,7)),1))*INDEX(TABLAS!$D$52:$D$58,MIN(MATCH(DATOS!$C$27,TABLAS!$B$52:$B$58,0)+1,7))&gt;=4/3*IF(BC22&lt;=0,0,IF((1-2*BC22*1E5/(DATOS!$C$58*DATOS!$C$19*BN22^2*DATOS!$C$48))&lt;0,-1,IF((1-SQRT((1-2*BC22*1E5/(DATOS!$C$58*DATOS!$C$19*BN22^2*DATOS!$C$48))))*DATOS!$C$48*DATOS!$C$19*BN22/DATOS!$C$40&gt;DATOS!$C$82*DATOS!$C$19*BN22,-1,(1-SQRT((1-2*BC22*1E5/(DATOS!$C$58*DATOS!$C$19*BN22^2*DATOS!$C$48))))*DATOS!$C$48*DATOS!$C$19*BN22/DATOS!$C$40)))-0.0001,MAX(DATOS!$C$29,CEILING(BO22/INDEX(TABLAS!$D$52:$D$58,MIN(MATCH(DATOS!$C$27,TABLAS!$B$52:$B$58,0)+1,7)),1)),MAX(MAX(DATOS!$C$29,CEILING(BO22/INDEX(TABLAS!$D$52:$D$58,MIN(MATCH(DATOS!$C$27,TABLAS!$B$52:$B$58,0)+1,7)),1)),2))&lt;=MIN(DATOS!$C$28,INT(((DATOS!$C$13-2*S22-2*IF(DATOS!$C$25=0,0,INDEX(TABLAS!$C$52:$C$58,MATCH(DATOS!$C$25,TABLAS!$B$52:$B$58,0))))+MAX(DATOS!$C$32,INDEX(TABLAS!$C$52:$C$58,MIN(MATCH(DATOS!$C$27,TABLAS!$B$52:$B$58,0)+1,7))))/(INDEX(TABLAS!$C$52:$C$58,MIN(MATCH(DATOS!$C$27,TABLAS!$B$52:$B$58,0)+1,7))+MAX(DATOS!$C$32,INDEX(TABLAS!$C$52:$C$58,MIN(MATCH(DATOS!$C$27,TABLAS!$B$52:$B$58,0)+1,7))))))),INDEX(TABLAS!$B$52:$B$58,MIN(MATCH(DATOS!$C$27,TABLAS!$B$52:$B$58,0)+1,7)),IF(AND(BO22&gt;=0,IF(MAX(DATOS!$C$29,CEILING(BO22/INDEX(TABLAS!$D$52:$D$58,MIN(MATCH(DATOS!$C$27,TABLAS!$B$52:$B$58,0)+2,7)),1))*INDEX(TABLAS!$D$52:$D$58,MIN(MATCH(DATOS!$C$27,TABLAS!$B$52:$B$58,0)+2,7))&gt;=4/3*IF(BC22&lt;=0,0,IF((1-2*BC22*1E5/(DATOS!$C$58*DATOS!$C$19*BN22^2*DATOS!$C$48))&lt;0,-1,IF((1-SQRT((1-2*BC22*1E5/(DATOS!$C$58*DATOS!$C$19*BN22^2*DATOS!$C$48))))*DATOS!$C$48*DATOS!$C$19*BN22/DATOS!$C$40&gt;DATOS!$C$82*DATOS!$C$19*BN22,-1,(1-SQRT((1-2*BC22*1E5/(DATOS!$C$58*DATOS!$C$19*BN22^2*DATOS!$C$48))))*DATOS!$C$48*DATOS!$C$19*BN22/DATOS!$C$40)))-0.0001,MAX(DATOS!$C$29,CEILING(BO22/INDEX(TABLAS!$D$52:$D$58,MIN(MATCH(DATOS!$C$27,TABLAS!$B$52:$B$58,0)+2,7)),1)),MAX(MAX(DATOS!$C$29,CEILING(BO22/INDEX(TABLAS!$D$52:$D$58,MIN(MATCH(DATOS!$C$27,TABLAS!$B$52:$B$58,0)+2,7)),1)),2))&lt;=MIN(DATOS!$C$28,INT(((DATOS!$C$13-2*S22-2*IF(DATOS!$C$25=0,0,INDEX(TABLAS!$C$52:$C$58,MATCH(DATOS!$C$25,TABLAS!$B$52:$B$58,0))))+MAX(DATOS!$C$32,INDEX(TABLAS!$C$52:$C$58,MIN(MATCH(DATOS!$C$27,TABLAS!$B$52:$B$58,0)+2,7))))/(INDEX(TABLAS!$C$52:$C$58,MIN(MATCH(DATOS!$C$27,TABLAS!$B$52:$B$58,0)+2,7))+MAX(DATOS!$C$32,INDEX(TABLAS!$C$52:$C$58,MIN(MATCH(DATOS!$C$27,TABLAS!$B$52:$B$58,0)+2,7))))))),INDEX(TABLAS!$B$52:$B$58,MIN(MATCH(DATOS!$C$27,TABLAS!$B$52:$B$58,0)+2,7)),IF(AND(BO22&gt;=0,IF(MAX(DATOS!$C$29,CEILING(BO22/INDEX(TABLAS!$D$52:$D$58,MIN(MATCH(DATOS!$C$27,TABLAS!$B$52:$B$58,0)+3,7)),1))*INDEX(TABLAS!$D$52:$D$58,MIN(MATCH(DATOS!$C$27,TABLAS!$B$52:$B$58,0)+3,7))&gt;=4/3*IF(BC22&lt;=0,0,IF((1-2*BC22*1E5/(DATOS!$C$58*DATOS!$C$19*BN22^2*DATOS!$C$48))&lt;0,-1,IF((1-SQRT((1-2*BC22*1E5/(DATOS!$C$58*DATOS!$C$19*BN22^2*DATOS!$C$48))))*DATOS!$C$48*DATOS!$C$19*BN22/DATOS!$C$40&gt;DATOS!$C$82*DATOS!$C$19*BN22,-1,(1-SQRT((1-2*BC22*1E5/(DATOS!$C$58*DATOS!$C$19*BN22^2*DATOS!$C$48))))*DATOS!$C$48*DATOS!$C$19*BN22/DATOS!$C$40)))-0.0001,MAX(DATOS!$C$29,CEILING(BO22/INDEX(TABLAS!$D$52:$D$58,MIN(MATCH(DATOS!$C$27,TABLAS!$B$52:$B$58,0)+3,7)),1)),MAX(MAX(DATOS!$C$29,CEILING(BO22/INDEX(TABLAS!$D$52:$D$58,MIN(MATCH(DATOS!$C$27,TABLAS!$B$52:$B$58,0)+3,7)),1)),2))&lt;=MIN(DATOS!$C$28,INT(((DATOS!$C$13-2*S22-2*IF(DATOS!$C$25=0,0,INDEX(TABLAS!$C$52:$C$58,MATCH(DATOS!$C$25,TABLAS!$B$52:$B$58,0))))+MAX(DATOS!$C$32,INDEX(TABLAS!$C$52:$C$58,MIN(MATCH(DATOS!$C$27,TABLAS!$B$52:$B$58,0)+3,7))))/(INDEX(TABLAS!$C$52:$C$58,MIN(MATCH(DATOS!$C$27,TABLAS!$B$52:$B$58,0)+3,7))+MAX(DATOS!$C$32,INDEX(TABLAS!$C$52:$C$58,MIN(MATCH(DATOS!$C$27,TABLAS!$B$52:$B$58,0)+3,7))))))),INDEX(TABLAS!$B$52:$B$58,MIN(MATCH(DATOS!$C$27,TABLAS!$B$52:$B$58,0)+3,7)),IF(AND(BO22&gt;=0,IF(MAX(DATOS!$C$29,CEILING(BO22/INDEX(TABLAS!$D$52:$D$58,MIN(MATCH(DATOS!$C$27,TABLAS!$B$52:$B$58,0)+4,7)),1))*INDEX(TABLAS!$D$52:$D$58,MIN(MATCH(DATOS!$C$27,TABLAS!$B$52:$B$58,0)+4,7))&gt;=4/3*IF(BC22&lt;=0,0,IF((1-2*BC22*1E5/(DATOS!$C$58*DATOS!$C$19*BN22^2*DATOS!$C$48))&lt;0,-1,IF((1-SQRT((1-2*BC22*1E5/(DATOS!$C$58*DATOS!$C$19*BN22^2*DATOS!$C$48))))*DATOS!$C$48*DATOS!$C$19*BN22/DATOS!$C$40&gt;DATOS!$C$82*DATOS!$C$19*BN22,-1,(1-SQRT((1-2*BC22*1E5/(DATOS!$C$58*DATOS!$C$19*BN22^2*DATOS!$C$48))))*DATOS!$C$48*DATOS!$C$19*BN22/DATOS!$C$40)))-0.0001,MAX(DATOS!$C$29,CEILING(BO22/INDEX(TABLAS!$D$52:$D$58,MIN(MATCH(DATOS!$C$27,TABLAS!$B$52:$B$58,0)+4,7)),1)),MAX(MAX(DATOS!$C$29,CEILING(BO22/INDEX(TABLAS!$D$52:$D$58,MIN(MATCH(DATOS!$C$27,TABLAS!$B$52:$B$58,0)+4,7)),1)),2))&lt;=MIN(DATOS!$C$28,INT(((DATOS!$C$13-2*S22-2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22" s="56">
        <f>IF(D22="HUECO",0,IF(BO22&lt;0,0,IF(MAX(DATOS!$C$29,CEILING(MAX(BO22,0)/INDEX(TABLAS!$D$52:$D$58,MATCH(BP22,TABLAS!$B$52:$B$58,0)),1))*INDEX(TABLAS!$D$52:$D$58,MATCH(BP22,TABLAS!$B$52:$B$58,0))&gt;=4/3*IF(BC22&lt;=0,0,IF((1-2*BC22*1E5/(DATOS!$C$58*DATOS!$C$19*BN22^2*DATOS!$C$48))&lt;0,-1,IF((1-SQRT((1-2*BC22*1E5/(DATOS!$C$58*DATOS!$C$19*BN22^2*DATOS!$C$48))))*DATOS!$C$48*DATOS!$C$19*BN22/DATOS!$C$40&gt;DATOS!$C$82*DATOS!$C$19*BN22,-1,(1-SQRT((1-2*BC22*1E5/(DATOS!$C$58*DATOS!$C$19*BN22^2*DATOS!$C$48))))*DATOS!$C$48*DATOS!$C$19*BN22/DATOS!$C$40)))-0.0001,MAX(DATOS!$C$29,CEILING(MAX(BO22,0)/INDEX(TABLAS!$D$52:$D$58,MATCH(BP22,TABLAS!$B$52:$B$58,0)),1)),MAX(MAX(DATOS!$C$29,CEILING(MAX(BO22,0)/INDEX(TABLAS!$D$52:$D$58,MATCH(BP22,TABLAS!$B$52:$B$58,0)),1)),2))))</f>
        <v>1</v>
      </c>
      <c r="BR22" s="43">
        <f>((DATOS!$C$15-S22-2*DATOS!$C$35-IF(DATOS!$C$25=0,0,INDEX(TABLAS!$C$52:$C$58,MATCH(DATOS!$C$25,TABLAS!$B$52:$B$58,0)))-INDEX(TABLAS!$C$52:$C$58,MATCH(BP22,TABLAS!$B$52:$B$58,0))/2)-IF(AND((DATOS!$C$15-S22-2*DATOS!$C$35-IF(DATOS!$C$25=0,0,INDEX(TABLAS!$C$52:$C$58,MATCH(DATOS!$C$25,TABLAS!$B$52:$B$58,0)))-INDEX(TABLAS!$C$52:$C$58,MATCH(BP22,TABLAS!$B$52:$B$58,0))/2)&lt;=20,DATOS!$C$18&lt;&gt;"SÍ"),2,0))</f>
        <v>19.389</v>
      </c>
      <c r="BS22" s="36">
        <f>IF(BQ22=0,0,DATOS!$C$58*BQ22*INDEX(TABLAS!$D$52:$D$58,MATCH(BP22,TABLAS!$B$52:$B$58,0))*DATOS!$C$40*(BR22-BQ22*INDEX(TABLAS!$D$52:$D$58,MATCH(BP22,TABLAS!$B$52:$B$58,0))*DATOS!$C$40/(DATOS!$C$48*DATOS!$C$19)/2)/1E5)</f>
        <v>0.870537980117647</v>
      </c>
      <c r="BT22" s="62">
        <f>IF(BO22&lt;0,9.99,IF(BS22&gt;0,BC22/BS22,0))</f>
        <v>0.35011621083438</v>
      </c>
      <c r="BU22" s="63">
        <f>IF(BQ22=0,"—",0.003*(BR22-(BQ22*INDEX(TABLAS!$D$52:$D$58,MATCH(BP22,TABLAS!$B$52:$B$58,0))*DATOS!$C$40/(DATOS!$C$48*DATOS!$C$19)/DATOS!$C$49))/(BQ22*INDEX(TABLAS!$D$52:$D$58,MATCH(BP22,TABLAS!$B$52:$B$58,0))*DATOS!$C$40/(DATOS!$C$48*DATOS!$C$19)/DATOS!$C$49))</f>
        <v>0.0166970648200225</v>
      </c>
      <c r="BV22" s="43">
        <f>(DATOS!$C$15-R22-IF(DATOS!$C$25=0,0,INDEX(TABLAS!$C$52:$C$58,MATCH(DATOS!$C$25,TABLAS!$B$52:$B$58,0)))-INDEX(TABLAS!$C$52:$C$58,MATCH(DATOS!$C$26,TABLAS!$B$52:$B$58,0))-INDEX(TABLAS!$C$52:$C$58,MATCH(DATOS!$C$26,TABLAS!$B$52:$B$58,0))/2)</f>
        <v>19.095</v>
      </c>
      <c r="BW22" s="43">
        <f>IF(D22="HUECO",0,IF(IF(BD22&lt;=0,0,IF((1-2*BD22*1E5/(DATOS!$C$58*Q22*BV22^2*DATOS!$C$48))&lt;0,-1,IF((1-SQRT((1-2*BD22*1E5/(DATOS!$C$58*Q22*BV22^2*DATOS!$C$48))))*DATOS!$C$48*Q22*BV22/DATOS!$C$40&gt;DATOS!$C$82*Q22*BV22,-1,(1-SQRT((1-2*BD22*1E5/(DATOS!$C$58*Q22*BV22^2*DATOS!$C$48))))*DATOS!$C$48*Q22*BV22/DATOS!$C$40)))&lt;0,-1,MAX(IF(BD22&lt;=0,0,IF((1-2*BD22*1E5/(DATOS!$C$58*Q22*BV22^2*DATOS!$C$48))&lt;0,-1,IF((1-SQRT((1-2*BD22*1E5/(DATOS!$C$58*Q22*BV22^2*DATOS!$C$48))))*DATOS!$C$48*Q22*BV22/DATOS!$C$40&gt;DATOS!$C$82*Q22*BV22,-1,(1-SQRT((1-2*BD22*1E5/(DATOS!$C$58*Q22*BV22^2*DATOS!$C$48))))*DATOS!$C$48*Q22*BV22/DATOS!$C$40))),MIN(DATOS!$C$83*DATOS!$C$13*BV22,4/3*IF(BD22&lt;=0,0,IF((1-2*BD22*1E5/(DATOS!$C$58*Q22*BV22^2*DATOS!$C$48))&lt;0,-1,IF((1-SQRT((1-2*BD22*1E5/(DATOS!$C$58*Q22*BV22^2*DATOS!$C$48))))*DATOS!$C$48*Q22*BV22/DATOS!$C$40&gt;DATOS!$C$82*Q22*BV22,-1,(1-SQRT((1-2*BD22*1E5/(DATOS!$C$58*Q22*BV22^2*DATOS!$C$48))))*DATOS!$C$48*Q22*BV22/DATOS!$C$40)))))))</f>
        <v>0.0845602404497663</v>
      </c>
      <c r="BX22" s="41">
        <f>IF(AND(BW22&gt;=0,IF(MAX(DATOS!$C$29,CEILING(BW22/INDEX(TABLAS!$D$52:$D$58,MIN(MATCH(DATOS!$C$26,TABLAS!$B$52:$B$58,0)+0,7)),1))*INDEX(TABLAS!$D$52:$D$58,MIN(MATCH(DATOS!$C$26,TABLAS!$B$52:$B$58,0)+0,7))&gt;=4/3*IF(BD22&lt;=0,0,IF((1-2*BD22*1E5/(DATOS!$C$58*Q22*BV22^2*DATOS!$C$48))&lt;0,-1,IF((1-SQRT((1-2*BD22*1E5/(DATOS!$C$58*Q22*BV22^2*DATOS!$C$48))))*DATOS!$C$48*Q22*BV22/DATOS!$C$40&gt;DATOS!$C$82*Q22*BV22,-1,(1-SQRT((1-2*BD22*1E5/(DATOS!$C$58*Q22*BV22^2*DATOS!$C$48))))*DATOS!$C$48*Q22*BV22/DATOS!$C$40)))-0.0001,MAX(DATOS!$C$29,CEILING(BW22/INDEX(TABLAS!$D$52:$D$58,MIN(MATCH(DATOS!$C$26,TABLAS!$B$52:$B$58,0)+0,7)),1)),MAX(MAX(DATOS!$C$29,CEILING(BW22/INDEX(TABLAS!$D$52:$D$58,MIN(MATCH(DATOS!$C$26,TABLAS!$B$52:$B$58,0)+0,7)),1)),2))&lt;=MIN(DATOS!$C$28,INT(((DATOS!$C$13-2*R22-2*IF(DATOS!$C$25=0,0,INDEX(TABLAS!$C$52:$C$58,MATCH(DATOS!$C$25,TABLAS!$B$52:$B$58,0))))+MAX(DATOS!$C$32,INDEX(TABLAS!$C$52:$C$58,MIN(MATCH(DATOS!$C$26,TABLAS!$B$52:$B$58,0)+0,7))))/(INDEX(TABLAS!$C$52:$C$58,MIN(MATCH(DATOS!$C$26,TABLAS!$B$52:$B$58,0)+0,7))+MAX(DATOS!$C$32,INDEX(TABLAS!$C$52:$C$58,MIN(MATCH(DATOS!$C$26,TABLAS!$B$52:$B$58,0)+0,7))))))),INDEX(TABLAS!$B$52:$B$58,MIN(MATCH(DATOS!$C$26,TABLAS!$B$52:$B$58,0)+0,7)),IF(AND(BW22&gt;=0,IF(MAX(DATOS!$C$29,CEILING(BW22/INDEX(TABLAS!$D$52:$D$58,MIN(MATCH(DATOS!$C$26,TABLAS!$B$52:$B$58,0)+1,7)),1))*INDEX(TABLAS!$D$52:$D$58,MIN(MATCH(DATOS!$C$26,TABLAS!$B$52:$B$58,0)+1,7))&gt;=4/3*IF(BD22&lt;=0,0,IF((1-2*BD22*1E5/(DATOS!$C$58*Q22*BV22^2*DATOS!$C$48))&lt;0,-1,IF((1-SQRT((1-2*BD22*1E5/(DATOS!$C$58*Q22*BV22^2*DATOS!$C$48))))*DATOS!$C$48*Q22*BV22/DATOS!$C$40&gt;DATOS!$C$82*Q22*BV22,-1,(1-SQRT((1-2*BD22*1E5/(DATOS!$C$58*Q22*BV22^2*DATOS!$C$48))))*DATOS!$C$48*Q22*BV22/DATOS!$C$40)))-0.0001,MAX(DATOS!$C$29,CEILING(BW22/INDEX(TABLAS!$D$52:$D$58,MIN(MATCH(DATOS!$C$26,TABLAS!$B$52:$B$58,0)+1,7)),1)),MAX(MAX(DATOS!$C$29,CEILING(BW22/INDEX(TABLAS!$D$52:$D$58,MIN(MATCH(DATOS!$C$26,TABLAS!$B$52:$B$58,0)+1,7)),1)),2))&lt;=MIN(DATOS!$C$28,INT(((DATOS!$C$13-2*R22-2*IF(DATOS!$C$25=0,0,INDEX(TABLAS!$C$52:$C$58,MATCH(DATOS!$C$25,TABLAS!$B$52:$B$58,0))))+MAX(DATOS!$C$32,INDEX(TABLAS!$C$52:$C$58,MIN(MATCH(DATOS!$C$26,TABLAS!$B$52:$B$58,0)+1,7))))/(INDEX(TABLAS!$C$52:$C$58,MIN(MATCH(DATOS!$C$26,TABLAS!$B$52:$B$58,0)+1,7))+MAX(DATOS!$C$32,INDEX(TABLAS!$C$52:$C$58,MIN(MATCH(DATOS!$C$26,TABLAS!$B$52:$B$58,0)+1,7))))))),INDEX(TABLAS!$B$52:$B$58,MIN(MATCH(DATOS!$C$26,TABLAS!$B$52:$B$58,0)+1,7)),IF(AND(BW22&gt;=0,IF(MAX(DATOS!$C$29,CEILING(BW22/INDEX(TABLAS!$D$52:$D$58,MIN(MATCH(DATOS!$C$26,TABLAS!$B$52:$B$58,0)+2,7)),1))*INDEX(TABLAS!$D$52:$D$58,MIN(MATCH(DATOS!$C$26,TABLAS!$B$52:$B$58,0)+2,7))&gt;=4/3*IF(BD22&lt;=0,0,IF((1-2*BD22*1E5/(DATOS!$C$58*Q22*BV22^2*DATOS!$C$48))&lt;0,-1,IF((1-SQRT((1-2*BD22*1E5/(DATOS!$C$58*Q22*BV22^2*DATOS!$C$48))))*DATOS!$C$48*Q22*BV22/DATOS!$C$40&gt;DATOS!$C$82*Q22*BV22,-1,(1-SQRT((1-2*BD22*1E5/(DATOS!$C$58*Q22*BV22^2*DATOS!$C$48))))*DATOS!$C$48*Q22*BV22/DATOS!$C$40)))-0.0001,MAX(DATOS!$C$29,CEILING(BW22/INDEX(TABLAS!$D$52:$D$58,MIN(MATCH(DATOS!$C$26,TABLAS!$B$52:$B$58,0)+2,7)),1)),MAX(MAX(DATOS!$C$29,CEILING(BW22/INDEX(TABLAS!$D$52:$D$58,MIN(MATCH(DATOS!$C$26,TABLAS!$B$52:$B$58,0)+2,7)),1)),2))&lt;=MIN(DATOS!$C$28,INT(((DATOS!$C$13-2*R22-2*IF(DATOS!$C$25=0,0,INDEX(TABLAS!$C$52:$C$58,MATCH(DATOS!$C$25,TABLAS!$B$52:$B$58,0))))+MAX(DATOS!$C$32,INDEX(TABLAS!$C$52:$C$58,MIN(MATCH(DATOS!$C$26,TABLAS!$B$52:$B$58,0)+2,7))))/(INDEX(TABLAS!$C$52:$C$58,MIN(MATCH(DATOS!$C$26,TABLAS!$B$52:$B$58,0)+2,7))+MAX(DATOS!$C$32,INDEX(TABLAS!$C$52:$C$58,MIN(MATCH(DATOS!$C$26,TABLAS!$B$52:$B$58,0)+2,7))))))),INDEX(TABLAS!$B$52:$B$58,MIN(MATCH(DATOS!$C$26,TABLAS!$B$52:$B$58,0)+2,7)),IF(AND(BW22&gt;=0,IF(MAX(DATOS!$C$29,CEILING(BW22/INDEX(TABLAS!$D$52:$D$58,MIN(MATCH(DATOS!$C$26,TABLAS!$B$52:$B$58,0)+3,7)),1))*INDEX(TABLAS!$D$52:$D$58,MIN(MATCH(DATOS!$C$26,TABLAS!$B$52:$B$58,0)+3,7))&gt;=4/3*IF(BD22&lt;=0,0,IF((1-2*BD22*1E5/(DATOS!$C$58*Q22*BV22^2*DATOS!$C$48))&lt;0,-1,IF((1-SQRT((1-2*BD22*1E5/(DATOS!$C$58*Q22*BV22^2*DATOS!$C$48))))*DATOS!$C$48*Q22*BV22/DATOS!$C$40&gt;DATOS!$C$82*Q22*BV22,-1,(1-SQRT((1-2*BD22*1E5/(DATOS!$C$58*Q22*BV22^2*DATOS!$C$48))))*DATOS!$C$48*Q22*BV22/DATOS!$C$40)))-0.0001,MAX(DATOS!$C$29,CEILING(BW22/INDEX(TABLAS!$D$52:$D$58,MIN(MATCH(DATOS!$C$26,TABLAS!$B$52:$B$58,0)+3,7)),1)),MAX(MAX(DATOS!$C$29,CEILING(BW22/INDEX(TABLAS!$D$52:$D$58,MIN(MATCH(DATOS!$C$26,TABLAS!$B$52:$B$58,0)+3,7)),1)),2))&lt;=MIN(DATOS!$C$28,INT(((DATOS!$C$13-2*R22-2*IF(DATOS!$C$25=0,0,INDEX(TABLAS!$C$52:$C$58,MATCH(DATOS!$C$25,TABLAS!$B$52:$B$58,0))))+MAX(DATOS!$C$32,INDEX(TABLAS!$C$52:$C$58,MIN(MATCH(DATOS!$C$26,TABLAS!$B$52:$B$58,0)+3,7))))/(INDEX(TABLAS!$C$52:$C$58,MIN(MATCH(DATOS!$C$26,TABLAS!$B$52:$B$58,0)+3,7))+MAX(DATOS!$C$32,INDEX(TABLAS!$C$52:$C$58,MIN(MATCH(DATOS!$C$26,TABLAS!$B$52:$B$58,0)+3,7))))))),INDEX(TABLAS!$B$52:$B$58,MIN(MATCH(DATOS!$C$26,TABLAS!$B$52:$B$58,0)+3,7)),IF(AND(BW22&gt;=0,IF(MAX(DATOS!$C$29,CEILING(BW22/INDEX(TABLAS!$D$52:$D$58,MIN(MATCH(DATOS!$C$26,TABLAS!$B$52:$B$58,0)+4,7)),1))*INDEX(TABLAS!$D$52:$D$58,MIN(MATCH(DATOS!$C$26,TABLAS!$B$52:$B$58,0)+4,7))&gt;=4/3*IF(BD22&lt;=0,0,IF((1-2*BD22*1E5/(DATOS!$C$58*Q22*BV22^2*DATOS!$C$48))&lt;0,-1,IF((1-SQRT((1-2*BD22*1E5/(DATOS!$C$58*Q22*BV22^2*DATOS!$C$48))))*DATOS!$C$48*Q22*BV22/DATOS!$C$40&gt;DATOS!$C$82*Q22*BV22,-1,(1-SQRT((1-2*BD22*1E5/(DATOS!$C$58*Q22*BV22^2*DATOS!$C$48))))*DATOS!$C$48*Q22*BV22/DATOS!$C$40)))-0.0001,MAX(DATOS!$C$29,CEILING(BW22/INDEX(TABLAS!$D$52:$D$58,MIN(MATCH(DATOS!$C$26,TABLAS!$B$52:$B$58,0)+4,7)),1)),MAX(MAX(DATOS!$C$29,CEILING(BW22/INDEX(TABLAS!$D$52:$D$58,MIN(MATCH(DATOS!$C$26,TABLAS!$B$52:$B$58,0)+4,7)),1)),2))&lt;=MIN(DATOS!$C$28,INT(((DATOS!$C$13-2*R22-2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22" s="56">
        <f>IF(D22="HUECO",0,IF(BW22&lt;0,0,IF(MAX(DATOS!$C$29,CEILING(MAX(BW22,0)/INDEX(TABLAS!$D$52:$D$58,MATCH(BX22,TABLAS!$B$52:$B$58,0)),1))*INDEX(TABLAS!$D$52:$D$58,MATCH(BX22,TABLAS!$B$52:$B$58,0))&gt;=4/3*IF(BD22&lt;=0,0,IF((1-2*BD22*1E5/(DATOS!$C$58*Q22*BV22^2*DATOS!$C$48))&lt;0,-1,IF((1-SQRT((1-2*BD22*1E5/(DATOS!$C$58*Q22*BV22^2*DATOS!$C$48))))*DATOS!$C$48*Q22*BV22/DATOS!$C$40&gt;DATOS!$C$82*Q22*BV22,-1,(1-SQRT((1-2*BD22*1E5/(DATOS!$C$58*Q22*BV22^2*DATOS!$C$48))))*DATOS!$C$48*Q22*BV22/DATOS!$C$40)))-0.0001,MAX(DATOS!$C$29,CEILING(MAX(BW22,0)/INDEX(TABLAS!$D$52:$D$58,MATCH(BX22,TABLAS!$B$52:$B$58,0)),1)),MAX(MAX(DATOS!$C$29,CEILING(MAX(BW22,0)/INDEX(TABLAS!$D$52:$D$58,MATCH(BX22,TABLAS!$B$52:$B$58,0)),1)),2))))</f>
        <v>1</v>
      </c>
      <c r="BZ22" s="43">
        <f>DATOS!$C$15-R22-IF(DATOS!$C$25=0,0,INDEX(TABLAS!$C$52:$C$58,MATCH(DATOS!$C$25,TABLAS!$B$52:$B$58,0)))-INDEX(TABLAS!$C$52:$C$58,MATCH(BH22,TABLAS!$B$52:$B$58,0))-INDEX(TABLAS!$C$52:$C$58,MATCH(BX22,TABLAS!$B$52:$B$58,0))/2</f>
        <v>19.095</v>
      </c>
      <c r="CA22" s="36">
        <f>IF(BY22=0,0,DATOS!$C$58*BY22*INDEX(TABLAS!$D$52:$D$58,MATCH(BX22,TABLAS!$B$52:$B$58,0))*DATOS!$C$40*(BZ22-BY22*INDEX(TABLAS!$D$52:$D$58,MATCH(BX22,TABLAS!$B$52:$B$58,0))*DATOS!$C$40/(DATOS!$C$48*Q22)/2)/1E5)</f>
        <v>0.908067376588235</v>
      </c>
      <c r="CB22" s="62">
        <f>IF(BW22&lt;0,9.99,IF(CA22&gt;0,BD22/CA22,0))</f>
        <v>0.0503868464436622</v>
      </c>
      <c r="CC22" s="63">
        <f>IF(BY22=0,"—",0.003*(BZ22-(BY22*INDEX(TABLAS!$D$52:$D$58,MATCH(BX22,TABLAS!$B$52:$B$58,0))*DATOS!$C$40/(DATOS!$C$48*Q22)/DATOS!$C$49))/(BY22*INDEX(TABLAS!$D$52:$D$58,MATCH(BX22,TABLAS!$B$52:$B$58,0))*DATOS!$C$40/(DATOS!$C$48*Q22)/DATOS!$C$49))</f>
        <v>0.13278875492126</v>
      </c>
      <c r="CD22" s="43">
        <f>((DATOS!$C$15-S22-2*DATOS!$C$35-IF(DATOS!$C$25=0,0,INDEX(TABLAS!$C$52:$C$58,MATCH(DATOS!$C$25,TABLAS!$B$52:$B$58,0)))-INDEX(TABLAS!$C$52:$C$58,MATCH(DATOS!$C$27,TABLAS!$B$52:$B$58,0))-INDEX(TABLAS!$C$52:$C$58,MATCH(DATOS!$C$27,TABLAS!$B$52:$B$58,0))/2)-IF(AND((DATOS!$C$15-S22-2*DATOS!$C$35-IF(DATOS!$C$25=0,0,INDEX(TABLAS!$C$52:$C$58,MATCH(DATOS!$C$25,TABLAS!$B$52:$B$58,0)))-INDEX(TABLAS!$C$52:$C$58,MATCH(DATOS!$C$27,TABLAS!$B$52:$B$58,0))-INDEX(TABLAS!$C$52:$C$58,MATCH(DATOS!$C$27,TABLAS!$B$52:$B$58,0))/2)&lt;=20,DATOS!$C$18&lt;&gt;"SÍ"),2,0))</f>
        <v>18.119</v>
      </c>
      <c r="CE22" s="43">
        <f>IF(D22="HUECO",0,IF(IF(BE22&lt;=0,0,IF((1-2*BE22*1E5/(DATOS!$C$58*DATOS!$C$19*CD22^2*DATOS!$C$48))&lt;0,-1,IF((1-SQRT((1-2*BE22*1E5/(DATOS!$C$58*DATOS!$C$19*CD22^2*DATOS!$C$48))))*DATOS!$C$48*DATOS!$C$19*CD22/DATOS!$C$40&gt;DATOS!$C$82*DATOS!$C$19*CD22,-1,(1-SQRT((1-2*BE22*1E5/(DATOS!$C$58*DATOS!$C$19*CD22^2*DATOS!$C$48))))*DATOS!$C$48*DATOS!$C$19*CD22/DATOS!$C$40)))&lt;0,-1,MAX(IF(BE22&lt;=0,0,IF((1-2*BE22*1E5/(DATOS!$C$58*DATOS!$C$19*CD22^2*DATOS!$C$48))&lt;0,-1,IF((1-SQRT((1-2*BE22*1E5/(DATOS!$C$58*DATOS!$C$19*CD22^2*DATOS!$C$48))))*DATOS!$C$48*DATOS!$C$19*CD22/DATOS!$C$40&gt;DATOS!$C$82*DATOS!$C$19*CD22,-1,(1-SQRT((1-2*BE22*1E5/(DATOS!$C$58*DATOS!$C$19*CD22^2*DATOS!$C$48))))*DATOS!$C$48*DATOS!$C$19*CD22/DATOS!$C$40))),MIN(DATOS!$C$83*DATOS!$C$13*CD22,4/3*IF(BE22&lt;=0,0,IF((1-2*BE22*1E5/(DATOS!$C$58*DATOS!$C$19*CD22^2*DATOS!$C$48))&lt;0,-1,IF((1-SQRT((1-2*BE22*1E5/(DATOS!$C$58*DATOS!$C$19*CD22^2*DATOS!$C$48))))*DATOS!$C$48*DATOS!$C$19*CD22/DATOS!$C$40&gt;DATOS!$C$82*DATOS!$C$19*CD22,-1,(1-SQRT((1-2*BE22*1E5/(DATOS!$C$58*DATOS!$C$19*CD22^2*DATOS!$C$48))))*DATOS!$C$48*DATOS!$C$19*CD22/DATOS!$C$40)))))))</f>
        <v>0.186997714403389</v>
      </c>
      <c r="CF22" s="41">
        <f>IF(AND(CE22&gt;=0,IF(MAX(DATOS!$C$29,CEILING(CE22/INDEX(TABLAS!$D$52:$D$58,MIN(MATCH(DATOS!$C$27,TABLAS!$B$52:$B$58,0)+0,7)),1))*INDEX(TABLAS!$D$52:$D$58,MIN(MATCH(DATOS!$C$27,TABLAS!$B$52:$B$58,0)+0,7))&gt;=4/3*IF(BE22&lt;=0,0,IF((1-2*BE22*1E5/(DATOS!$C$58*DATOS!$C$19*CD22^2*DATOS!$C$48))&lt;0,-1,IF((1-SQRT((1-2*BE22*1E5/(DATOS!$C$58*DATOS!$C$19*CD22^2*DATOS!$C$48))))*DATOS!$C$48*DATOS!$C$19*CD22/DATOS!$C$40&gt;DATOS!$C$82*DATOS!$C$19*CD22,-1,(1-SQRT((1-2*BE22*1E5/(DATOS!$C$58*DATOS!$C$19*CD22^2*DATOS!$C$48))))*DATOS!$C$48*DATOS!$C$19*CD22/DATOS!$C$40)))-0.0001,MAX(DATOS!$C$29,CEILING(CE22/INDEX(TABLAS!$D$52:$D$58,MIN(MATCH(DATOS!$C$27,TABLAS!$B$52:$B$58,0)+0,7)),1)),MAX(MAX(DATOS!$C$29,CEILING(CE22/INDEX(TABLAS!$D$52:$D$58,MIN(MATCH(DATOS!$C$27,TABLAS!$B$52:$B$58,0)+0,7)),1)),2))&lt;=MIN(DATOS!$C$28,INT(((DATOS!$C$13-2*S22-2*IF(DATOS!$C$25=0,0,INDEX(TABLAS!$C$52:$C$58,MATCH(DATOS!$C$25,TABLAS!$B$52:$B$58,0))))+MAX(DATOS!$C$32,INDEX(TABLAS!$C$52:$C$58,MIN(MATCH(DATOS!$C$27,TABLAS!$B$52:$B$58,0)+0,7))))/(INDEX(TABLAS!$C$52:$C$58,MIN(MATCH(DATOS!$C$27,TABLAS!$B$52:$B$58,0)+0,7))+MAX(DATOS!$C$32,INDEX(TABLAS!$C$52:$C$58,MIN(MATCH(DATOS!$C$27,TABLAS!$B$52:$B$58,0)+0,7))))))),INDEX(TABLAS!$B$52:$B$58,MIN(MATCH(DATOS!$C$27,TABLAS!$B$52:$B$58,0)+0,7)),IF(AND(CE22&gt;=0,IF(MAX(DATOS!$C$29,CEILING(CE22/INDEX(TABLAS!$D$52:$D$58,MIN(MATCH(DATOS!$C$27,TABLAS!$B$52:$B$58,0)+1,7)),1))*INDEX(TABLAS!$D$52:$D$58,MIN(MATCH(DATOS!$C$27,TABLAS!$B$52:$B$58,0)+1,7))&gt;=4/3*IF(BE22&lt;=0,0,IF((1-2*BE22*1E5/(DATOS!$C$58*DATOS!$C$19*CD22^2*DATOS!$C$48))&lt;0,-1,IF((1-SQRT((1-2*BE22*1E5/(DATOS!$C$58*DATOS!$C$19*CD22^2*DATOS!$C$48))))*DATOS!$C$48*DATOS!$C$19*CD22/DATOS!$C$40&gt;DATOS!$C$82*DATOS!$C$19*CD22,-1,(1-SQRT((1-2*BE22*1E5/(DATOS!$C$58*DATOS!$C$19*CD22^2*DATOS!$C$48))))*DATOS!$C$48*DATOS!$C$19*CD22/DATOS!$C$40)))-0.0001,MAX(DATOS!$C$29,CEILING(CE22/INDEX(TABLAS!$D$52:$D$58,MIN(MATCH(DATOS!$C$27,TABLAS!$B$52:$B$58,0)+1,7)),1)),MAX(MAX(DATOS!$C$29,CEILING(CE22/INDEX(TABLAS!$D$52:$D$58,MIN(MATCH(DATOS!$C$27,TABLAS!$B$52:$B$58,0)+1,7)),1)),2))&lt;=MIN(DATOS!$C$28,INT(((DATOS!$C$13-2*S22-2*IF(DATOS!$C$25=0,0,INDEX(TABLAS!$C$52:$C$58,MATCH(DATOS!$C$25,TABLAS!$B$52:$B$58,0))))+MAX(DATOS!$C$32,INDEX(TABLAS!$C$52:$C$58,MIN(MATCH(DATOS!$C$27,TABLAS!$B$52:$B$58,0)+1,7))))/(INDEX(TABLAS!$C$52:$C$58,MIN(MATCH(DATOS!$C$27,TABLAS!$B$52:$B$58,0)+1,7))+MAX(DATOS!$C$32,INDEX(TABLAS!$C$52:$C$58,MIN(MATCH(DATOS!$C$27,TABLAS!$B$52:$B$58,0)+1,7))))))),INDEX(TABLAS!$B$52:$B$58,MIN(MATCH(DATOS!$C$27,TABLAS!$B$52:$B$58,0)+1,7)),IF(AND(CE22&gt;=0,IF(MAX(DATOS!$C$29,CEILING(CE22/INDEX(TABLAS!$D$52:$D$58,MIN(MATCH(DATOS!$C$27,TABLAS!$B$52:$B$58,0)+2,7)),1))*INDEX(TABLAS!$D$52:$D$58,MIN(MATCH(DATOS!$C$27,TABLAS!$B$52:$B$58,0)+2,7))&gt;=4/3*IF(BE22&lt;=0,0,IF((1-2*BE22*1E5/(DATOS!$C$58*DATOS!$C$19*CD22^2*DATOS!$C$48))&lt;0,-1,IF((1-SQRT((1-2*BE22*1E5/(DATOS!$C$58*DATOS!$C$19*CD22^2*DATOS!$C$48))))*DATOS!$C$48*DATOS!$C$19*CD22/DATOS!$C$40&gt;DATOS!$C$82*DATOS!$C$19*CD22,-1,(1-SQRT((1-2*BE22*1E5/(DATOS!$C$58*DATOS!$C$19*CD22^2*DATOS!$C$48))))*DATOS!$C$48*DATOS!$C$19*CD22/DATOS!$C$40)))-0.0001,MAX(DATOS!$C$29,CEILING(CE22/INDEX(TABLAS!$D$52:$D$58,MIN(MATCH(DATOS!$C$27,TABLAS!$B$52:$B$58,0)+2,7)),1)),MAX(MAX(DATOS!$C$29,CEILING(CE22/INDEX(TABLAS!$D$52:$D$58,MIN(MATCH(DATOS!$C$27,TABLAS!$B$52:$B$58,0)+2,7)),1)),2))&lt;=MIN(DATOS!$C$28,INT(((DATOS!$C$13-2*S22-2*IF(DATOS!$C$25=0,0,INDEX(TABLAS!$C$52:$C$58,MATCH(DATOS!$C$25,TABLAS!$B$52:$B$58,0))))+MAX(DATOS!$C$32,INDEX(TABLAS!$C$52:$C$58,MIN(MATCH(DATOS!$C$27,TABLAS!$B$52:$B$58,0)+2,7))))/(INDEX(TABLAS!$C$52:$C$58,MIN(MATCH(DATOS!$C$27,TABLAS!$B$52:$B$58,0)+2,7))+MAX(DATOS!$C$32,INDEX(TABLAS!$C$52:$C$58,MIN(MATCH(DATOS!$C$27,TABLAS!$B$52:$B$58,0)+2,7))))))),INDEX(TABLAS!$B$52:$B$58,MIN(MATCH(DATOS!$C$27,TABLAS!$B$52:$B$58,0)+2,7)),IF(AND(CE22&gt;=0,IF(MAX(DATOS!$C$29,CEILING(CE22/INDEX(TABLAS!$D$52:$D$58,MIN(MATCH(DATOS!$C$27,TABLAS!$B$52:$B$58,0)+3,7)),1))*INDEX(TABLAS!$D$52:$D$58,MIN(MATCH(DATOS!$C$27,TABLAS!$B$52:$B$58,0)+3,7))&gt;=4/3*IF(BE22&lt;=0,0,IF((1-2*BE22*1E5/(DATOS!$C$58*DATOS!$C$19*CD22^2*DATOS!$C$48))&lt;0,-1,IF((1-SQRT((1-2*BE22*1E5/(DATOS!$C$58*DATOS!$C$19*CD22^2*DATOS!$C$48))))*DATOS!$C$48*DATOS!$C$19*CD22/DATOS!$C$40&gt;DATOS!$C$82*DATOS!$C$19*CD22,-1,(1-SQRT((1-2*BE22*1E5/(DATOS!$C$58*DATOS!$C$19*CD22^2*DATOS!$C$48))))*DATOS!$C$48*DATOS!$C$19*CD22/DATOS!$C$40)))-0.0001,MAX(DATOS!$C$29,CEILING(CE22/INDEX(TABLAS!$D$52:$D$58,MIN(MATCH(DATOS!$C$27,TABLAS!$B$52:$B$58,0)+3,7)),1)),MAX(MAX(DATOS!$C$29,CEILING(CE22/INDEX(TABLAS!$D$52:$D$58,MIN(MATCH(DATOS!$C$27,TABLAS!$B$52:$B$58,0)+3,7)),1)),2))&lt;=MIN(DATOS!$C$28,INT(((DATOS!$C$13-2*S22-2*IF(DATOS!$C$25=0,0,INDEX(TABLAS!$C$52:$C$58,MATCH(DATOS!$C$25,TABLAS!$B$52:$B$58,0))))+MAX(DATOS!$C$32,INDEX(TABLAS!$C$52:$C$58,MIN(MATCH(DATOS!$C$27,TABLAS!$B$52:$B$58,0)+3,7))))/(INDEX(TABLAS!$C$52:$C$58,MIN(MATCH(DATOS!$C$27,TABLAS!$B$52:$B$58,0)+3,7))+MAX(DATOS!$C$32,INDEX(TABLAS!$C$52:$C$58,MIN(MATCH(DATOS!$C$27,TABLAS!$B$52:$B$58,0)+3,7))))))),INDEX(TABLAS!$B$52:$B$58,MIN(MATCH(DATOS!$C$27,TABLAS!$B$52:$B$58,0)+3,7)),IF(AND(CE22&gt;=0,IF(MAX(DATOS!$C$29,CEILING(CE22/INDEX(TABLAS!$D$52:$D$58,MIN(MATCH(DATOS!$C$27,TABLAS!$B$52:$B$58,0)+4,7)),1))*INDEX(TABLAS!$D$52:$D$58,MIN(MATCH(DATOS!$C$27,TABLAS!$B$52:$B$58,0)+4,7))&gt;=4/3*IF(BE22&lt;=0,0,IF((1-2*BE22*1E5/(DATOS!$C$58*DATOS!$C$19*CD22^2*DATOS!$C$48))&lt;0,-1,IF((1-SQRT((1-2*BE22*1E5/(DATOS!$C$58*DATOS!$C$19*CD22^2*DATOS!$C$48))))*DATOS!$C$48*DATOS!$C$19*CD22/DATOS!$C$40&gt;DATOS!$C$82*DATOS!$C$19*CD22,-1,(1-SQRT((1-2*BE22*1E5/(DATOS!$C$58*DATOS!$C$19*CD22^2*DATOS!$C$48))))*DATOS!$C$48*DATOS!$C$19*CD22/DATOS!$C$40)))-0.0001,MAX(DATOS!$C$29,CEILING(CE22/INDEX(TABLAS!$D$52:$D$58,MIN(MATCH(DATOS!$C$27,TABLAS!$B$52:$B$58,0)+4,7)),1)),MAX(MAX(DATOS!$C$29,CEILING(CE22/INDEX(TABLAS!$D$52:$D$58,MIN(MATCH(DATOS!$C$27,TABLAS!$B$52:$B$58,0)+4,7)),1)),2))&lt;=MIN(DATOS!$C$28,INT(((DATOS!$C$13-2*S22-2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22" s="56">
        <f>IF(D22="HUECO",0,IF(CE22&lt;0,0,IF(MAX(DATOS!$C$29,CEILING(MAX(CE22,0)/INDEX(TABLAS!$D$52:$D$58,MATCH(CF22,TABLAS!$B$52:$B$58,0)),1))*INDEX(TABLAS!$D$52:$D$58,MATCH(CF22,TABLAS!$B$52:$B$58,0))&gt;=4/3*IF(BE22&lt;=0,0,IF((1-2*BE22*1E5/(DATOS!$C$58*DATOS!$C$19*CD22^2*DATOS!$C$48))&lt;0,-1,IF((1-SQRT((1-2*BE22*1E5/(DATOS!$C$58*DATOS!$C$19*CD22^2*DATOS!$C$48))))*DATOS!$C$48*DATOS!$C$19*CD22/DATOS!$C$40&gt;DATOS!$C$82*DATOS!$C$19*CD22,-1,(1-SQRT((1-2*BE22*1E5/(DATOS!$C$58*DATOS!$C$19*CD22^2*DATOS!$C$48))))*DATOS!$C$48*DATOS!$C$19*CD22/DATOS!$C$40)))-0.0001,MAX(DATOS!$C$29,CEILING(MAX(CE22,0)/INDEX(TABLAS!$D$52:$D$58,MATCH(CF22,TABLAS!$B$52:$B$58,0)),1)),MAX(MAX(DATOS!$C$29,CEILING(MAX(CE22,0)/INDEX(TABLAS!$D$52:$D$58,MATCH(CF22,TABLAS!$B$52:$B$58,0)),1)),2))))</f>
        <v>1</v>
      </c>
      <c r="CH22" s="43">
        <f>((DATOS!$C$15-S22-2*DATOS!$C$35-IF(DATOS!$C$25=0,0,INDEX(TABLAS!$C$52:$C$58,MATCH(DATOS!$C$25,TABLAS!$B$52:$B$58,0)))-INDEX(TABLAS!$C$52:$C$58,MATCH(BP22,TABLAS!$B$52:$B$58,0))-INDEX(TABLAS!$C$52:$C$58,MATCH(CF22,TABLAS!$B$52:$B$58,0))/2)-IF(AND((DATOS!$C$15-S22-2*DATOS!$C$35-IF(DATOS!$C$25=0,0,INDEX(TABLAS!$C$52:$C$58,MATCH(DATOS!$C$25,TABLAS!$B$52:$B$58,0)))-INDEX(TABLAS!$C$52:$C$58,MATCH(BP22,TABLAS!$B$52:$B$58,0))-INDEX(TABLAS!$C$52:$C$58,MATCH(CF22,TABLAS!$B$52:$B$58,0))/2)&lt;=20,DATOS!$C$18&lt;&gt;"SÍ"),2,0))</f>
        <v>18.119</v>
      </c>
      <c r="CI22" s="36">
        <f>IF(CG22=0,0,DATOS!$C$58*CG22*INDEX(TABLAS!$D$52:$D$58,MATCH(CF22,TABLAS!$B$52:$B$58,0))*DATOS!$C$40*(CH22-CG22*INDEX(TABLAS!$D$52:$D$58,MATCH(CF22,TABLAS!$B$52:$B$58,0))*DATOS!$C$40/(DATOS!$C$48*DATOS!$C$19)/2)/1E5)</f>
        <v>0.809570360117647</v>
      </c>
      <c r="CJ22" s="62">
        <f>IF(CE22&lt;0,9.99,IF(CI22&gt;0,BE22/CI22,0))</f>
        <v>0.117742743789335</v>
      </c>
      <c r="CK22" s="63">
        <f>IF(CG22=0,"—",0.003*(CH22-(CG22*INDEX(TABLAS!$D$52:$D$58,MATCH(CF22,TABLAS!$B$52:$B$58,0))*DATOS!$C$40/(DATOS!$C$48*DATOS!$C$19)/DATOS!$C$49))/(CG22*INDEX(TABLAS!$D$52:$D$58,MATCH(CF22,TABLAS!$B$52:$B$58,0))*DATOS!$C$40/(DATOS!$C$48*DATOS!$C$19)/DATOS!$C$49))</f>
        <v>0.0154068862485939</v>
      </c>
      <c r="CL22" s="52" t="str">
        <f>IF(D22="HUECO","—",IF(AND(D22="PERIMETRAL",J22*100&gt;=6*DATOS!$C$11,DATOS!$C$11&lt;=80,DATOS!$C$13&gt;=10,DATOS!$C$15&lt;=3.5*DATOS!$C$13,DATOS!$C$14&gt;=MAX(DATOS!$C$11/13,5)),"SÍ","NO"))</f>
        <v>NO</v>
      </c>
      <c r="CM22" s="36">
        <f>IF(D22="PERIMETRAL",MAX(0,(N22/2-BR22)/100)*(0.95-0.5*L22)*Y22*IF(AND(Z22&gt;0,Z22&lt;4),DATOS!$C$63,1)*DATOS!$C$16/100/1000+AX22,IF(D22="VOLADO",(Y22*MAX(0,N22-BR22)/100+DATOS!$C$55*BA22)*DATOS!$C$16/100/1000,0))</f>
        <v>0.283174098340761</v>
      </c>
      <c r="CN22" s="36">
        <f>IF(D22="HUECO",0,DATOS!$C$59*2*MIN(1,SQRT(2/(1+0.04*BR22)))*(BQ22*INDEX(TABLAS!$D$52:$D$58,MATCH(BP22,TABLAS!$B$52:$B$58,0))/(DATOS!$C$19*BR22))^(1/3)*SQRT(DATOS!$C$39)*DATOS!$C$19*BR22*IF(CL22="SÍ",DATOS!$C$62,1)/1000)</f>
        <v>0.860398102904257</v>
      </c>
      <c r="CO22" s="51" t="str">
        <f>IF(D22="HUECO","—",IF(CM22&lt;=CN22,"CUMPLE",IF(MAX(0,CEILING((IF(D22="VOLADO",(N22-(CN22*1E5/DATOS!$C$16-DATOS!$C$55*BA22)*100/Y22),IF(CN22&lt;=AX22,N22,N22/2-(CN22-AX22)/MAX(CM22-AX22,1E-9)*(N22/2-BR22)))-IF(INT((J22*100-DATOS!$C$17+DATOS!$C$13)/DATOS!$C$16)&gt;0,(J22*100-DATOS!$C$17-(INT((J22*100-DATOS!$C$17+DATOS!$C$13)/DATOS!$C$16)*DATOS!$C$11+(INT((J22*100-DATOS!$C$17+DATOS!$C$13)/DATOS!$C$16)-1)*DATOS!$C$13))/2,J22*100/2))/DATOS!$C$16,1))&lt;=0,"CUMPLE (basta el macizo de orilla)","MACIZAR "&amp;MAX(0,CEILING((IF(D22="VOLADO",(N22-(CN22*1E5/DATOS!$C$16-DATOS!$C$55*BA22)*100/Y22),IF(CN22&lt;=AX22,N22,N22/2-(CN22-AX22)/MAX(CM22-AX22,1E-9)*(N22/2-BR22)))-IF(INT((J22*100-DATOS!$C$17+DATOS!$C$13)/DATOS!$C$16)&gt;0,(J22*100-DATOS!$C$17-(INT((J22*100-DATOS!$C$17+DATOS!$C$13)/DATOS!$C$16)*DATOS!$C$11+(INT((J22*100-DATOS!$C$17+DATOS!$C$13)/DATOS!$C$16)-1)*DATOS!$C$13))/2,J22*100/2))/DATOS!$C$16,1))&amp;" hilera(s)")))</f>
        <v>CUMPLE</v>
      </c>
      <c r="CP22" s="43">
        <f>IF(D22="PERIMETRAL",((PRINCIPALES!$N$21*PRINCIPALES!$O$21^3/12/(1.600*100*IF(APOYOS!$G$81="CONTINUO",1,0.5)*DATOS!$C$77^3/12))+99+(PRINCIPALES!$N$36*PRINCIPALES!$O$36^3/12/(3.028*100*IF(APOYOS!$G$83="CONTINUO",1,0.5)*DATOS!$C$77^3/12))+99)/4,0)</f>
        <v>50.1502451291131</v>
      </c>
      <c r="CQ22" s="57">
        <f>IF(D22="PERIMETRAL",IF(CP22&gt;2,MAX(9,O22*(0.8+DATOS!$C$40/14000)/(36+9*(O22/MAX(N22,1)))),IF(CP22&gt;0.2,MAX(13,O22*(0.8+DATOS!$C$40/14000)/(36+5*(O22/MAX(N22,1))*(CP22-0.2))),MAX(13,O22/IF(Z22&gt;0,30,33))))*IF(AND(CP22&gt;0.2,OR(AND((APOYOS!$G$81="DISCONTINUO"),(PRINCIPALES!$N$21*PRINCIPALES!$O$21^3/12/(1.600*100*IF(APOYOS!$G$81="CONTINUO",1,0.5)*DATOS!$C$77^3/12))&lt;0.8),AND((APOYOS!$G$82="DISCONTINUO"),99&lt;0.8),AND((APOYOS!$G$83="DISCONTINUO"),(PRINCIPALES!$N$36*PRINCIPALES!$O$36^3/12/(3.028*100*IF(APOYOS!$G$83="CONTINUO",1,0.5)*DATOS!$C$77^3/12))&lt;0.8),AND((APOYOS!$G$84="DISCONTINUO"),99&lt;0.8))),1.1,1),IF(D22="VOLADO",MAX(25,J22*100/8),0))</f>
        <v>9</v>
      </c>
      <c r="CR22" s="57">
        <f>IF(D22="VOLADO",DATOS!$C$15,DATOS!$C$77)</f>
        <v>16.7232564120244</v>
      </c>
      <c r="CS22" s="52" t="str">
        <f>IF(D22="HUECO","—",IF(CR22&gt;=CQ22,"CUMPLE",IF(D22="VOLADO","NO CUMPLE","CALCULAR FLECHA")))</f>
        <v>CUMPLE</v>
      </c>
      <c r="CT22" s="52" t="str">
        <f>IF(D22="HUECO","—",IF(DATOS!$C$14&gt;=IF(IF(D22="VOLADO",J22,K22)&gt;=6,6,5),"CUMPLE","CAPA ≥ 6 cm"))</f>
        <v>CUMPLE</v>
      </c>
      <c r="CU22" s="59">
        <f>IF(D22="HUECO",0,IF(((4*((AL22*Y22*J22^2*1E-4*DATOS!$C$16/100/1000)+((MAX(AH22,AJ22)*Y22*J22^2*1E-4*DATOS!$C$16/100/1000)+(IF(AND(AH22&gt;0,AJ22&gt;0),MIN(AH22,AJ22),MAX(AH22,AJ22))*Y22*J22^2*1E-4*DATOS!$C$16/100/1000))/2)+BC22-(IF(AND(AH22&gt;0,AJ22&gt;0),MIN(AH22,AJ22),MAX(AH22,AJ22))*Y22*J22^2*1E-4*DATOS!$C$16/100/1000))^2-16*((AL22*Y22*J22^2*1E-4*DATOS!$C$16/100/1000)+((MAX(AH22,AJ22)*Y22*J22^2*1E-4*DATOS!$C$16/100/1000)+(IF(AND(AH22&gt;0,AJ22&gt;0),MIN(AH22,AJ22),MAX(AH22,AJ22))*Y22*J22^2*1E-4*DATOS!$C$16/100/1000))/2)*BC22)&lt;0,CEILING(N22,5),CEILING(MAX(N22*((4*((AL22*Y22*J22^2*1E-4*DATOS!$C$16/100/1000)+((MAX(AH22,AJ22)*Y22*J22^2*1E-4*DATOS!$C$16/100/1000)+(IF(AND(AH22&gt;0,AJ22&gt;0),MIN(AH22,AJ22),MAX(AH22,AJ22))*Y22*J22^2*1E-4*DATOS!$C$16/100/1000))/2)+BC22-(IF(AND(AH22&gt;0,AJ22&gt;0),MIN(AH22,AJ22),MAX(AH22,AJ22))*Y22*J22^2*1E-4*DATOS!$C$16/100/1000))-SQRT(MAX(0,((4*((AL22*Y22*J22^2*1E-4*DATOS!$C$16/100/1000)+((MAX(AH22,AJ22)*Y22*J22^2*1E-4*DATOS!$C$16/100/1000)+(IF(AND(AH22&gt;0,AJ22&gt;0),MIN(AH22,AJ22),MAX(AH22,AJ22))*Y22*J22^2*1E-4*DATOS!$C$16/100/1000))/2)+BC22-(IF(AND(AH22&gt;0,AJ22&gt;0),MIN(AH22,AJ22),MAX(AH22,AJ22))*Y22*J22^2*1E-4*DATOS!$C$16/100/1000))^2-16*((AL22*Y22*J22^2*1E-4*DATOS!$C$16/100/1000)+((MAX(AH22,AJ22)*Y22*J22^2*1E-4*DATOS!$C$16/100/1000)+(IF(AND(AH22&gt;0,AJ22&gt;0),MIN(AH22,AJ22),MAX(AH22,AJ22))*Y22*J22^2*1E-4*DATOS!$C$16/100/1000))/2)*BC22))))/(8*MAX(((AL22*Y22*J22^2*1E-4*DATOS!$C$16/100/1000)+((MAX(AH22,AJ22)*Y22*J22^2*1E-4*DATOS!$C$16/100/1000)+(IF(AND(AH22&gt;0,AJ22&gt;0),MIN(AH22,AJ22),MAX(AH22,AJ22))*Y22*J22^2*1E-4*DATOS!$C$16/100/1000))/2),1E-9))+MAX(BR22,12*INDEX(TABLAS!$C$52:$C$58,MATCH(BP22,TABLAS!$B$52:$B$58,0)),N22/16),IF(OR(S22&lt;INDEX(TABLAS!$C$52:$C$58,MATCH(BP22,TABLAS!$B$52:$B$58,0)),AND(BQ22&gt;=2,(DATOS!$C$13-2*S22-2*IF(DATOS!$C$25=0,0,INDEX(TABLAS!$C$52:$C$58,MATCH(DATOS!$C$25,TABLAS!$B$52:$B$58,0)))-BQ22*INDEX(TABLAS!$C$52:$C$58,MATCH(BP22,TABLAS!$B$52:$B$58,0)))/MAX(BQ22-1,1)&lt;2*INDEX(TABLAS!$C$52:$C$58,MATCH(BP22,TABLAS!$B$52:$B$58,0)))),INDEX(TABLAS!$I$52:$I$58,MATCH(BP22,TABLAS!$B$52:$B$58,0)),INDEX(TABLAS!$F$52:$F$58,MATCH(BP22,TABLAS!$B$52:$B$58,0)))),5)))</f>
        <v>95</v>
      </c>
      <c r="CV22" s="59">
        <f>IF(D22="HUECO",0,IF(((4*((AM22*Y22*J22^2*1E-4*DATOS!$C$16/100/1000)+((MAX(AI22,AK22)*Y22*J22^2*1E-4*DATOS!$C$16/100/1000)+(IF(AND(AI22&gt;0,AK22&gt;0),MIN(AI22,AK22),MAX(AI22,AK22))*Y22*J22^2*1E-4*DATOS!$C$16/100/1000))/2)+BE22-(IF(AND(AI22&gt;0,AK22&gt;0),MIN(AI22,AK22),MAX(AI22,AK22))*Y22*J22^2*1E-4*DATOS!$C$16/100/1000))^2-16*((AM22*Y22*J22^2*1E-4*DATOS!$C$16/100/1000)+((MAX(AI22,AK22)*Y22*J22^2*1E-4*DATOS!$C$16/100/1000)+(IF(AND(AI22&gt;0,AK22&gt;0),MIN(AI22,AK22),MAX(AI22,AK22))*Y22*J22^2*1E-4*DATOS!$C$16/100/1000))/2)*BE22)&lt;0,CEILING(O22,5),CEILING(MAX(O22*((4*((AM22*Y22*J22^2*1E-4*DATOS!$C$16/100/1000)+((MAX(AI22,AK22)*Y22*J22^2*1E-4*DATOS!$C$16/100/1000)+(IF(AND(AI22&gt;0,AK22&gt;0),MIN(AI22,AK22),MAX(AI22,AK22))*Y22*J22^2*1E-4*DATOS!$C$16/100/1000))/2)+BE22-(IF(AND(AI22&gt;0,AK22&gt;0),MIN(AI22,AK22),MAX(AI22,AK22))*Y22*J22^2*1E-4*DATOS!$C$16/100/1000))-SQRT(MAX(0,((4*((AM22*Y22*J22^2*1E-4*DATOS!$C$16/100/1000)+((MAX(AI22,AK22)*Y22*J22^2*1E-4*DATOS!$C$16/100/1000)+(IF(AND(AI22&gt;0,AK22&gt;0),MIN(AI22,AK22),MAX(AI22,AK22))*Y22*J22^2*1E-4*DATOS!$C$16/100/1000))/2)+BE22-(IF(AND(AI22&gt;0,AK22&gt;0),MIN(AI22,AK22),MAX(AI22,AK22))*Y22*J22^2*1E-4*DATOS!$C$16/100/1000))^2-16*((AM22*Y22*J22^2*1E-4*DATOS!$C$16/100/1000)+((MAX(AI22,AK22)*Y22*J22^2*1E-4*DATOS!$C$16/100/1000)+(IF(AND(AI22&gt;0,AK22&gt;0),MIN(AI22,AK22),MAX(AI22,AK22))*Y22*J22^2*1E-4*DATOS!$C$16/100/1000))/2)*BE22))))/(8*MAX(((AM22*Y22*J22^2*1E-4*DATOS!$C$16/100/1000)+((MAX(AI22,AK22)*Y22*J22^2*1E-4*DATOS!$C$16/100/1000)+(IF(AND(AI22&gt;0,AK22&gt;0),MIN(AI22,AK22),MAX(AI22,AK22))*Y22*J22^2*1E-4*DATOS!$C$16/100/1000))/2),1E-9))+MAX(CH22,12*INDEX(TABLAS!$C$52:$C$58,MATCH(CF22,TABLAS!$B$52:$B$58,0)),O22/16),IF(OR(S22&lt;INDEX(TABLAS!$C$52:$C$58,MATCH(CF22,TABLAS!$B$52:$B$58,0)),AND(CG22&gt;=2,(DATOS!$C$13-2*S22-2*IF(DATOS!$C$25=0,0,INDEX(TABLAS!$C$52:$C$58,MATCH(DATOS!$C$25,TABLAS!$B$52:$B$58,0)))-CG22*INDEX(TABLAS!$C$52:$C$58,MATCH(CF22,TABLAS!$B$52:$B$58,0)))/MAX(CG22-1,1)&lt;2*INDEX(TABLAS!$C$52:$C$58,MATCH(CF22,TABLAS!$B$52:$B$58,0)))),INDEX(TABLAS!$I$52:$I$58,MATCH(CF22,TABLAS!$B$52:$B$58,0)),INDEX(TABLAS!$F$52:$F$58,MATCH(CF22,TABLAS!$B$52:$B$58,0)))),5)))</f>
        <v>90</v>
      </c>
      <c r="CW22" s="56">
        <f>MAX(0,INT((F22*100-DATOS!$C$17+DATOS!$C$13)/DATOS!$C$16))</f>
        <v>4</v>
      </c>
      <c r="CX22" s="56">
        <f>MAX(0,INT((G22*100-DATOS!$C$17+DATOS!$C$13)/DATOS!$C$16))</f>
        <v>2</v>
      </c>
      <c r="CY22" s="51" t="str">
        <f>IF(COUNTIFS(TRIB!$C$6:$C$255,B22,TRIB!$K$6:$K$255,"NO CUMPLE*")+COUNTIFS(TRIB!$C$6:$C$255,B22,TRIB!$K$6:$K$255,"SIN APOYO*")&gt;0,"VER PRINCIPALES",IF((APOYOS!$F$81="LIBRE")+(APOYOS!$F$82="LIBRE")+(APOYOS!$F$83="LIBRE")+(APOYOS!$F$84="LIBRE")&gt;0,"REVISAR: borde libre","OK"))</f>
        <v>OK</v>
      </c>
      <c r="CZ22" s="64" t="str">
        <f>IF(D22="HUECO","HUECO — marco de nervaduras principales",IF(AND(MAX(BL22,BT22,CB22,CJ22)&lt;=1,NOT(OR(BI22&gt;MIN(DATOS!$C$28,INT(((DATOS!$C$13-2*R22-2*IF(DATOS!$C$25=0,0,INDEX(TABLAS!$C$52:$C$58,MATCH(DATOS!$C$25,TABLAS!$B$52:$B$58,0))))+DATOS!$C$32)/(INDEX(TABLAS!$C$52:$C$58,MATCH(BH22,TABLAS!$B$52:$B$58,0))+DATOS!$C$32))),BQ22&gt;MIN(DATOS!$C$28,INT(((DATOS!$C$13-2*S22-2*IF(DATOS!$C$25=0,0,INDEX(TABLAS!$C$52:$C$58,MATCH(DATOS!$C$25,TABLAS!$B$52:$B$58,0))))+DATOS!$C$32)/(INDEX(TABLAS!$C$52:$C$58,MATCH(BP22,TABLAS!$B$52:$B$58,0))+DATOS!$C$32))),BY22&gt;MIN(DATOS!$C$28,INT(((DATOS!$C$13-2*R22-2*IF(DATOS!$C$25=0,0,INDEX(TABLAS!$C$52:$C$58,MATCH(DATOS!$C$25,TABLAS!$B$52:$B$58,0))))+DATOS!$C$32)/(INDEX(TABLAS!$C$52:$C$58,MATCH(BX22,TABLAS!$B$52:$B$58,0))+DATOS!$C$32))),CG22&gt;MIN(DATOS!$C$28,INT(((DATOS!$C$13-2*S22-2*IF(DATOS!$C$25=0,0,INDEX(TABLAS!$C$52:$C$58,MATCH(DATOS!$C$25,TABLAS!$B$52:$B$58,0))))+DATOS!$C$32)/(INDEX(TABLAS!$C$52:$C$58,MATCH(CF22,TABLAS!$B$52:$B$58,0))+DATOS!$C$32))))),NOT(OR(AND(ISNUMBER(BM22),BM22&lt;0.005),AND(ISNUMBER(BU22),BU22&lt;0.005),AND(ISNUMBER(CC22),CC22&lt;0.005),AND(ISNUMBER(CK22),CK22&lt;0.005))),CS22="CUMPLE",CT22="CUMPLE"),IF(CY22="OK",IF(LEFT(CO22,6)="CUMPLE","CUMPLE","CUMPLE — "&amp;CO22)&amp;IF(LEFT(AZ22,5)="FUERA"," · fuera de 3.4.2.1 c)",""),IF(CY22="VER PRINCIPALES","VER PRINCIPALES","REVISAR APOYOS")),IF(AND(MAX(BL22,BT22,CB22,CJ22)&lt;=1,NOT(OR(BI22&gt;MIN(DATOS!$C$28,INT(((DATOS!$C$13-2*R22-2*IF(DATOS!$C$25=0,0,INDEX(TABLAS!$C$52:$C$58,MATCH(DATOS!$C$25,TABLAS!$B$52:$B$58,0))))+DATOS!$C$32)/(INDEX(TABLAS!$C$52:$C$58,MATCH(BH22,TABLAS!$B$52:$B$58,0))+DATOS!$C$32))),BQ22&gt;MIN(DATOS!$C$28,INT(((DATOS!$C$13-2*S22-2*IF(DATOS!$C$25=0,0,INDEX(TABLAS!$C$52:$C$58,MATCH(DATOS!$C$25,TABLAS!$B$52:$B$58,0))))+DATOS!$C$32)/(INDEX(TABLAS!$C$52:$C$58,MATCH(BP22,TABLAS!$B$52:$B$58,0))+DATOS!$C$32))),BY22&gt;MIN(DATOS!$C$28,INT(((DATOS!$C$13-2*R22-2*IF(DATOS!$C$25=0,0,INDEX(TABLAS!$C$52:$C$58,MATCH(DATOS!$C$25,TABLAS!$B$52:$B$58,0))))+DATOS!$C$32)/(INDEX(TABLAS!$C$52:$C$58,MATCH(BX22,TABLAS!$B$52:$B$58,0))+DATOS!$C$32))),CG22&gt;MIN(DATOS!$C$28,INT(((DATOS!$C$13-2*S22-2*IF(DATOS!$C$25=0,0,INDEX(TABLAS!$C$52:$C$58,MATCH(DATOS!$C$25,TABLAS!$B$52:$B$58,0))))+DATOS!$C$32)/(INDEX(TABLAS!$C$52:$C$58,MATCH(CF22,TABLAS!$B$52:$B$58,0))+DATOS!$C$32))))),NOT(OR(AND(ISNUMBER(BM22),BM22&lt;0.005),AND(ISNUMBER(BU22),BU22&lt;0.005),AND(ISNUMBER(CC22),CC22&lt;0.005),AND(ISNUMBER(CK22),CK22&lt;0.005))),CS22="CALCULAR FLECHA"),"REVISAR: calcular flecha (h_eq &lt; h mín.)","NO CUMPLE: "&amp;IF(MAX(BL22,BT22,CB22,CJ22)&gt;1,"flexión ","")&amp;IF(OR(BI22&gt;MIN(DATOS!$C$28,INT(((DATOS!$C$13-2*R22-2*IF(DATOS!$C$25=0,0,INDEX(TABLAS!$C$52:$C$58,MATCH(DATOS!$C$25,TABLAS!$B$52:$B$58,0))))+DATOS!$C$32)/(INDEX(TABLAS!$C$52:$C$58,MATCH(BH22,TABLAS!$B$52:$B$58,0))+DATOS!$C$32))),BQ22&gt;MIN(DATOS!$C$28,INT(((DATOS!$C$13-2*S22-2*IF(DATOS!$C$25=0,0,INDEX(TABLAS!$C$52:$C$58,MATCH(DATOS!$C$25,TABLAS!$B$52:$B$58,0))))+DATOS!$C$32)/(INDEX(TABLAS!$C$52:$C$58,MATCH(BP22,TABLAS!$B$52:$B$58,0))+DATOS!$C$32))),BY22&gt;MIN(DATOS!$C$28,INT(((DATOS!$C$13-2*R22-2*IF(DATOS!$C$25=0,0,INDEX(TABLAS!$C$52:$C$58,MATCH(DATOS!$C$25,TABLAS!$B$52:$B$58,0))))+DATOS!$C$32)/(INDEX(TABLAS!$C$52:$C$58,MATCH(BX22,TABLAS!$B$52:$B$58,0))+DATOS!$C$32))),CG22&gt;MIN(DATOS!$C$28,INT(((DATOS!$C$13-2*S22-2*IF(DATOS!$C$25=0,0,INDEX(TABLAS!$C$52:$C$58,MATCH(DATOS!$C$25,TABLAS!$B$52:$B$58,0))))+DATOS!$C$32)/(INDEX(TABLAS!$C$52:$C$58,MATCH(CF22,TABLAS!$B$52:$B$58,0))+DATOS!$C$32)))),"no caben ","")&amp;IF(OR(AND(ISNUMBER(BM22),BM22&lt;0.005),AND(ISNUMBER(BU22),BU22&lt;0.005),AND(ISNUMBER(CC22),CC22&lt;0.005),AND(ISNUMBER(CK22),CK22&lt;0.005)),"ε_t &lt; 0.005 ","")&amp;IF(CS22="NO CUMPLE","peralte ","")&amp;IF(CT22&lt;&gt;"CUMPLE","capa &lt; 6 cm",""))))</f>
        <v>CUMPLE · fuera de 3.4.2.1 c)</v>
      </c>
      <c r="DA22" s="65" t="str">
        <f>IF(AND(D22="PERIMETRAL",MIN(CW22,CX22)=0),"Tablero macizo (no cabe un casetón en el claro corto): no aplica 6.7.8. La resistencia se revisa con una nervadura de 10 cm cada 70 cm y r_np (conservador); "&amp;"como losa maciza lleva además As,mín = 0.0018·Ag en cada dirección cerca de la cara a tensión (6.7.6.1.1, p. 175). ",IF(AND(CL22="NO",D22="PERIMETRAL"),"No cumple 6.7.8.1.4 (a_c = "&amp;DATOS!$C$11&amp;" cm &gt; claro corto/6 = "&amp;TEXT(J22*100/6,"0")&amp;" cm): se diseña como losa apoyada en vigas (6.7.8.1.9): nervaduras con recubrimiento de viga r_np = "&amp;DATOS!$C$22&amp;" cm (Tabla 4.14.16.a), V_cR sin ×1.1 y cortante sin estribos por 5.5.3.8.1 (criterio del Proyectista). Para que cuente como encasetonada: casetón de "&amp;TEXT(FLOOR(MIN(80,J22*100/6),1),"0")&amp;" cm o menor. ",""))&amp;IF(LEFT(AZ22,5)="FUERA","M⁻ del borde común "&amp;AZ22&amp;": difieren más de 50% (3.4.2.1 c); se distribuyen 2/3 del desequilibrio (3.4.3.1) y conviene confirmar los momentos con el modelo. ","")&amp;"—"</f>
        <v>No cumple 6.7.8.1.4 (a_c = 60 cm &gt; claro corto/6 = 27 cm): se diseña como losa apoyada en vigas (6.7.8.1.9): nervaduras con recubrimiento de viga r_np = 4 cm (Tabla 4.14.16.a), V_cR sin ×1.1 y cortante sin estribos por 5.5.3.8.1 (criterio del Proyectista). Para que cuente como encasetonada: casetón de 26 cm o menor. M⁻ del borde común FUERA con F80011 F80018 F80013: difieren más de 50% (3.4.2.1 c); se distribuyen 2/3 del desequilibrio (3.4.3.1) y conviene confirmar los momentos con el modelo. —</v>
      </c>
    </row>
    <row r="23" ht="30" customHeight="1">
      <c r="B23" s="51" t="inlineStr">
        <is>
          <t>F80016 N+3.00</t>
        </is>
      </c>
      <c r="C23" s="52" t="inlineStr">
        <is>
          <t>N+3.00</t>
        </is>
      </c>
      <c r="D23" s="53" t="inlineStr">
        <is>
          <t>PERIMETRAL</t>
        </is>
      </c>
      <c r="E23" s="53" t="inlineStr">
        <is>
          <t>HABITACIÓN</t>
        </is>
      </c>
      <c r="F23" s="54" t="n">
        <v>4.426</v>
      </c>
      <c r="G23" s="54" t="n">
        <v>4</v>
      </c>
      <c r="H23" s="55" t="n">
        <v>4.426</v>
      </c>
      <c r="I23" s="55" t="n">
        <v>4</v>
      </c>
      <c r="J23" s="36">
        <f>MIN(H23,I23)</f>
        <v>4</v>
      </c>
      <c r="K23" s="36">
        <f>MAX(H23,I23)</f>
        <v>4.426</v>
      </c>
      <c r="L23" s="36">
        <f>IF(K23&gt;0,J23/K23,0)</f>
        <v>0.903750564844103</v>
      </c>
      <c r="M23" s="52" t="str">
        <f>IF(H23&lt;=I23,"X","Y")</f>
        <v>Y</v>
      </c>
      <c r="N23" s="56">
        <f>MAX(0,J23*100-IF(D23="VOLADO",DATOS!$C$17/2,DATOS!$C$17))</f>
        <v>385</v>
      </c>
      <c r="O23" s="56">
        <f>MAX(0,K23*100-DATOS!$C$17)</f>
        <v>427.6</v>
      </c>
      <c r="P23" s="57">
        <f>MIN(DATOS!$C$16,DATOS!$C$13+2*MIN(8*DATOS!$C$14,DATOS!$C$11/2,N23/8))</f>
        <v>70</v>
      </c>
      <c r="Q23" s="57">
        <f>MIN(DATOS!$C$16,DATOS!$C$13+2*MIN(8*DATOS!$C$14,DATOS!$C$11/2,O23/8))</f>
        <v>70</v>
      </c>
      <c r="R23" s="57">
        <f>IF(D23="VOLADO",DATOS!$C$21,IF(CL23="NO",DATOS!$C$22,DATOS!$C$20))</f>
        <v>2</v>
      </c>
      <c r="S23" s="57">
        <f>IF(OR(AND(C23="N+6.00",DATOS!$C$23="SÍ"),AND(D23="VOLADO",DATOS!$C$24="SÍ")),DATOS!$C$21,IF(CL23="NO",DATOS!$C$22,DATOS!$C$20))</f>
        <v>2</v>
      </c>
      <c r="T23" s="58" t="n">
        <v>160</v>
      </c>
      <c r="U23" s="56">
        <f>IF(E23="HABITACIÓN",DATOS!$C$89,DATOS!$C$92)</f>
        <v>190</v>
      </c>
      <c r="V23" s="56">
        <f>CARGAS!$C$9</f>
        <v>293.673469387755</v>
      </c>
      <c r="W23" s="56">
        <f>V23+T23</f>
        <v>453.673469387755</v>
      </c>
      <c r="X23" s="56">
        <f>W23+U23</f>
        <v>643.673469387755</v>
      </c>
      <c r="Y23" s="59">
        <f>MAX(DATOS!$C$55*W23+DATOS!$C$56*U23,IF(E23="AZOTEA",DATOS!$C$57*(W23+DATOS!$C$97),0))</f>
        <v>874.775510204082</v>
      </c>
      <c r="Z23" s="56">
        <f>(APOYOS!$G$85="DISCONTINUO")+(APOYOS!$G$86="DISCONTINUO")+(APOYOS!$G$87="DISCONTINUO")+(APOYOS!$G$88="DISCONTINUO")</f>
        <v>1</v>
      </c>
      <c r="AA23" s="56">
        <f>IF(M23="X",(APOYOS!$G$85="DISCONTINUO")+(APOYOS!$G$86="DISCONTINUO"),(APOYOS!$G$87="DISCONTINUO")+(APOYOS!$G$88="DISCONTINUO"))</f>
        <v>1</v>
      </c>
      <c r="AB23" s="56">
        <f>Z23-AA23</f>
        <v>0</v>
      </c>
      <c r="AC23" s="52" t="str">
        <f>IF(Z23=0,"INTERIOR",IF(Z23=1,IF(AA23=1,"BORDE-CORTO","BORDE-LARGO"),IF(Z23=2,IF(AA23=1,"ESQUINA",IF(AA23=2,"EXTREMO-LARGO","EXTREMO-CORTO")),IF(Z23=3,IF(AA23=2,"EXTREMO-LARGO","EXTREMO-CORTO"),"AISLADO"))))</f>
        <v>BORDE-CORTO</v>
      </c>
      <c r="AD23" s="53" t="inlineStr">
        <is>
          <t>AUTO</t>
        </is>
      </c>
      <c r="AE23" s="60" t="str">
        <f>IF(AD23="AUTO",AC23,AD23)</f>
        <v>BORDE-CORTO</v>
      </c>
      <c r="AF23" s="56">
        <f>MATCH(L23,TABLAS!$D$5:$J$5,1)</f>
        <v>6</v>
      </c>
      <c r="AG23" s="43">
        <f>IF(AF23&gt;=7,0,(L23-INDEX(TABLAS!$D$5:$J$5,AF23))/(INDEX(TABLAS!$D$5:$J$5,AF23+1)-INDEX(TABLAS!$D$5:$J$5,AF23)))</f>
        <v>0.0375056484410297</v>
      </c>
      <c r="AH23" s="56">
        <f>INDEX(TABLAS!$D$6:$J$47,MATCH(AE23&amp;"|NIC",TABLAS!$B$6:$B$47,0),AF23)+AG23*(INDEX(TABLAS!$D$6:$J$47,MATCH(AE23&amp;"|NIC",TABLAS!$B$6:$B$47,0),MIN(AF23+1,7))-INDEX(TABLAS!$D$6:$J$47,MATCH(AE23&amp;"|NIC",TABLAS!$B$6:$B$47,0),AF23))</f>
        <v>542.774514234072</v>
      </c>
      <c r="AI23" s="56">
        <f>INDEX(TABLAS!$D$6:$J$47,MATCH(AE23&amp;"|NIL",TABLAS!$B$6:$B$47,0),AF23)+AG23*(INDEX(TABLAS!$D$6:$J$47,MATCH(AE23&amp;"|NIL",TABLAS!$B$6:$B$47,0),MIN(AF23+1,7))-INDEX(TABLAS!$D$6:$J$47,MATCH(AE23&amp;"|NIL",TABLAS!$B$6:$B$47,0),AF23))</f>
        <v>439.28739267962</v>
      </c>
      <c r="AJ23" s="56">
        <f>INDEX(TABLAS!$D$6:$J$47,MATCH(AE23&amp;"|NDC",TABLAS!$B$6:$B$47,0),AF23)+AG23*(INDEX(TABLAS!$D$6:$J$47,MATCH(AE23&amp;"|NDC",TABLAS!$B$6:$B$47,0),MIN(AF23+1,7))-INDEX(TABLAS!$D$6:$J$47,MATCH(AE23&amp;"|NDC",TABLAS!$B$6:$B$47,0),AF23))</f>
        <v>0</v>
      </c>
      <c r="AK23" s="56">
        <f>INDEX(TABLAS!$D$6:$J$47,MATCH(AE23&amp;"|NDL",TABLAS!$B$6:$B$47,0),AF23)+AG23*(INDEX(TABLAS!$D$6:$J$47,MATCH(AE23&amp;"|NDL",TABLAS!$B$6:$B$47,0),MIN(AF23+1,7))-INDEX(TABLAS!$D$6:$J$47,MATCH(AE23&amp;"|NDL",TABLAS!$B$6:$B$47,0),AF23))</f>
        <v>205.399909624944</v>
      </c>
      <c r="AL23" s="56">
        <f>INDEX(TABLAS!$D$6:$J$47,MATCH(AE23&amp;"|PC",TABLAS!$B$6:$B$47,0),AF23)+AG23*(INDEX(TABLAS!$D$6:$J$47,MATCH(AE23&amp;"|PC",TABLAS!$B$6:$B$47,0),MIN(AF23+1,7))-INDEX(TABLAS!$D$6:$J$47,MATCH(AE23&amp;"|PC",TABLAS!$B$6:$B$47,0),AF23))</f>
        <v>274.574785359241</v>
      </c>
      <c r="AM23" s="56">
        <f>INDEX(TABLAS!$D$6:$J$47,MATCH(AE23&amp;"|PL",TABLAS!$B$6:$B$47,0),AF23)+AG23*(INDEX(TABLAS!$D$6:$J$47,MATCH(AE23&amp;"|PL",TABLAS!$B$6:$B$47,0),MIN(AF23+1,7))-INDEX(TABLAS!$D$6:$J$47,MATCH(AE23&amp;"|PL",TABLAS!$B$6:$B$47,0),AF23))</f>
        <v>263.862629914144</v>
      </c>
      <c r="AN23" s="36">
        <f>IF(D23="PERIMETRAL",IF(APOYOS!$G$85="CONTINUO",IF(M23="Y",AH23,AI23),IF(M23="Y",AJ23,AK23))*Y23*J23^2*1E-4*DATOS!$C$16/100/1000,0)</f>
        <v>0.531782554928668</v>
      </c>
      <c r="AO23" s="36">
        <f>IF(D23="PERIMETRAL",IF(APOYOS!$G$86="CONTINUO",IF(M23="Y",AH23,AI23),IF(M23="Y",AJ23,AK23))*Y23*J23^2*1E-4*DATOS!$C$16/100/1000,0)</f>
        <v>0.531782554928668</v>
      </c>
      <c r="AP23" s="36">
        <f>IF(D23="PERIMETRAL",IF(APOYOS!$G$87="CONTINUO",IF(M23="X",AH23,AI23),IF(M23="X",AJ23,AK23))*Y23*J23^2*1E-4*DATOS!$C$16/100/1000,0)</f>
        <v>0.201240268026596</v>
      </c>
      <c r="AQ23" s="36">
        <f>IF(D23="PERIMETRAL",IF(APOYOS!$G$88="CONTINUO",IF(M23="X",AH23,AI23),IF(M23="X",AJ23,AK23))*Y23*J23^2*1E-4*DATOS!$C$16/100/1000,0)</f>
        <v>0.43039119542444</v>
      </c>
      <c r="AR23" s="56">
        <f>IF(D23="PERIMETRAL",IF(M23="X",BN23,CD23)^3/(J23*100),0)</f>
        <v>20.3591283628975</v>
      </c>
      <c r="AS23" s="56">
        <f>IF(D23="PERIMETRAL",IF(M23="Y",BN23,CD23)^3/(J23*100),0)</f>
        <v>24.4630977171725</v>
      </c>
      <c r="AT23" s="36">
        <f>IF(D23="PERIMETRAL",MAX(0,IF(M23="Y",IF(AND(OR(APOYOS!$G$85="CONTINUO",APOYOS!$G$54="CONTINUO"),AN23&gt;0,AO15&gt;0,AO15&gt;AN23),AN23+2/3*(AO15-AN23)*AS23/MAX(AS23+AS15,1E-9),0),0),IF(M23="Y",IF(AND(OR(APOYOS!$G$85="CONTINUO",APOYOS!$G$78="CONTINUO"),AN23&gt;0,AO21&gt;0,AO21&gt;AN23),AN23+2/3*(AO21-AN23)*AS23/MAX(AS23+AS21,1E-9),0),0),IF(M23="X",IF(AND(OR(APOYOS!$G$88="CONTINUO",APOYOS!$G$91="CONTINUO"),AQ23&gt;0,AP24&gt;0,AP24&gt;AQ23),AQ23+2/3*(AP24-AQ23)*AR23/MAX(AR23+AR24,1E-9),0),0)),0)</f>
        <v>0</v>
      </c>
      <c r="AU23" s="36">
        <f>IF(D23="PERIMETRAL",MAX(0,IF(M23&lt;&gt;"Y",IF(AND(OR(APOYOS!$G$85="CONTINUO",APOYOS!$G$54="CONTINUO"),AN23&gt;0,AO15&gt;0,AO15&gt;AN23),AN23+2/3*(AO15-AN23)*AS23/MAX(AS23+AS15,1E-9),0),0),IF(M23&lt;&gt;"Y",IF(AND(OR(APOYOS!$G$85="CONTINUO",APOYOS!$G$78="CONTINUO"),AN23&gt;0,AO21&gt;0,AO21&gt;AN23),AN23+2/3*(AO21-AN23)*AS23/MAX(AS23+AS21,1E-9),0),0),IF(M23&lt;&gt;"X",IF(AND(OR(APOYOS!$G$88="CONTINUO",APOYOS!$G$91="CONTINUO"),AQ23&gt;0,AP24&gt;0,AP24&gt;AQ23),AQ23+2/3*(AP24-AQ23)*AR23/MAX(AR23+AR24,1E-9),0),0)),0)</f>
        <v>0</v>
      </c>
      <c r="AV23" s="36">
        <f>IF(D23="PERIMETRAL",(IF(M23="Y",MAX(IF(AND(OR(APOYOS!$G$85="CONTINUO",APOYOS!$G$54="CONTINUO"),AN23&gt;0,AO15&gt;0,AN23&gt;AO15),2/3*(AN23-AO15)*AS23/MAX(AS23+AS15,1E-9),0),IF(AND(OR(APOYOS!$G$85="CONTINUO",APOYOS!$G$78="CONTINUO"),AN23&gt;0,AO21&gt;0,AN23&gt;AO21),2/3*(AN23-AO21)*AS23/MAX(AS23+AS21,1E-9),0)),0)+IF(M23="X",IF(AND(OR(APOYOS!$G$88="CONTINUO",APOYOS!$G$91="CONTINUO"),AQ23&gt;0,AP24&gt;0,AQ23&gt;AP24),2/3*(AQ23-AP24)*AR23/MAX(AR23+AR24,1E-9),0),0))/2,0)</f>
        <v>0.0604362165974767</v>
      </c>
      <c r="AW23" s="36">
        <f>IF(D23="PERIMETRAL",(IF(M23&lt;&gt;"Y",MAX(IF(AND(OR(APOYOS!$G$85="CONTINUO",APOYOS!$G$54="CONTINUO"),AN23&gt;0,AO15&gt;0,AN23&gt;AO15),2/3*(AN23-AO15)*AS23/MAX(AS23+AS15,1E-9),0),IF(AND(OR(APOYOS!$G$85="CONTINUO",APOYOS!$G$78="CONTINUO"),AN23&gt;0,AO21&gt;0,AN23&gt;AO21),2/3*(AN23-AO21)*AS23/MAX(AS23+AS21,1E-9),0)),0)+IF(M23&lt;&gt;"X",IF(AND(OR(APOYOS!$G$88="CONTINUO",APOYOS!$G$91="CONTINUO"),AQ23&gt;0,AP24&gt;0,AQ23&gt;AP24),2/3*(AQ23-AP24)*AR23/MAX(AR23+AR24,1E-9),0),0))/2,0)</f>
        <v>0.016904012604177</v>
      </c>
      <c r="AX23" s="36">
        <f>IF(D23="PERIMETRAL",MAX(0,IF(AND(APOYOS!$G$86="CONTINUO",D26="VOLADO"),MAX(0,BC26-AO23)/MAX(IF(M23="Y",N23,O23)/100,0.01),0)),0)</f>
        <v>0.330295036057489</v>
      </c>
      <c r="AY23" s="52" t="str">
        <f>IF(D23&lt;&gt;"PERIMETRAL","",IF(AND(OR(APOYOS!$G$85="CONTINUO",APOYOS!$G$54="CONTINUO"),AN23&gt;0,AO15&gt;0,ABS(AN23-AO15)&gt;0.5*MIN(AN23,AO15))," F80008","")&amp;IF(AND(OR(APOYOS!$G$85="CONTINUO",APOYOS!$G$78="CONTINUO"),AN23&gt;0,AO21&gt;0,ABS(AN23-AO21)&gt;0.5*MIN(AN23,AO21))," F80014","")&amp;IF(AND(OR(APOYOS!$G$88="CONTINUO",APOYOS!$G$91="CONTINUO"),AQ23&gt;0,AP24&gt;0,ABS(AQ23-AP24)&gt;0.5*MIN(AQ23,AP24))," F80017",""))</f>
        <v> F80008 F80014 F80017</v>
      </c>
      <c r="AZ23" s="52" t="str">
        <f>IF(D23&lt;&gt;"PERIMETRAL","—",IF(AY23="","CUMPLE","FUERA con"&amp;AY23)&amp;IF(AND(D15="PERIMETRAL",APOYOS!$G$85&lt;&gt;APOYOS!$G$54)," · continuidad asimétrica con F80008 (cada uno con su momento; revisar APOYOS)","")&amp;IF(AND(D21="PERIMETRAL",APOYOS!$G$85&lt;&gt;APOYOS!$G$78)," · continuidad asimétrica con F80014 (cada uno con su momento; revisar APOYOS)","")&amp;IF(AND(D24="PERIMETRAL",APOYOS!$G$88&lt;&gt;APOYOS!$G$91)," · continuidad asimétrica con F80017 (cada uno con su momento; revisar APOYOS)","")&amp;IF(AND(APOYOS!$G$86="CONTINUO",D26="VOLADO")," · junto al volado F80019: se arma con su M⁻ y su cortante entra en V_u",""))</f>
        <v>FUERA con F80008 F80014 F80017 · junto al volado F80019: se arma con su M⁻ y su cortante entra en V_u</v>
      </c>
      <c r="BA23" s="61" t="n">
        <v>0</v>
      </c>
      <c r="BB23" s="36">
        <f>IF(D23="PERIMETRAL",AL23*Y23*J23^2*1E-4*DATOS!$C$16/100/1000+AV23,0)</f>
        <v>0.3294504703035</v>
      </c>
      <c r="BC23" s="36">
        <f>IF(D23="PERIMETRAL",MAX(MAX(AH23,AJ23)*Y23*J23^2*1E-4*DATOS!$C$16/100/1000,AT23),IF(D23="VOLADO",(Y23*(N23/100)^2/2+DATOS!$C$55*BA23*N23/100)*DATOS!$C$16/100/1000,0))</f>
        <v>0.531782554928668</v>
      </c>
      <c r="BD23" s="36">
        <f>IF(D23="PERIMETRAL",AM23*Y23*J23^2*1E-4*DATOS!$C$16/100/1000+AW23,0)</f>
        <v>0.275423047315945</v>
      </c>
      <c r="BE23" s="36">
        <f>IF(D23="PERIMETRAL",MAX(MAX(AI23,AK23)*Y23*J23^2*1E-4*DATOS!$C$16/100/1000,AU23),0)</f>
        <v>0.43039119542444</v>
      </c>
      <c r="BF23" s="43">
        <f>(DATOS!$C$15-R23-IF(DATOS!$C$25=0,0,INDEX(TABLAS!$C$52:$C$58,MATCH(DATOS!$C$25,TABLAS!$B$52:$B$58,0)))-INDEX(TABLAS!$C$52:$C$58,MATCH(DATOS!$C$26,TABLAS!$B$52:$B$58,0))/2)</f>
        <v>22.365</v>
      </c>
      <c r="BG23" s="43">
        <f>IF(D23="HUECO",0,IF(IF(BB23&lt;=0,0,IF((1-2*BB23*1E5/(DATOS!$C$58*P23*BF23^2*DATOS!$C$48))&lt;0,-1,IF((1-SQRT((1-2*BB23*1E5/(DATOS!$C$58*P23*BF23^2*DATOS!$C$48))))*DATOS!$C$48*P23*BF23/DATOS!$C$40&gt;DATOS!$C$82*P23*BF23,-1,(1-SQRT((1-2*BB23*1E5/(DATOS!$C$58*P23*BF23^2*DATOS!$C$48))))*DATOS!$C$48*P23*BF23/DATOS!$C$40)))&lt;0,-1,MAX(IF(BB23&lt;=0,0,IF((1-2*BB23*1E5/(DATOS!$C$58*P23*BF23^2*DATOS!$C$48))&lt;0,-1,IF((1-SQRT((1-2*BB23*1E5/(DATOS!$C$58*P23*BF23^2*DATOS!$C$48))))*DATOS!$C$48*P23*BF23/DATOS!$C$40&gt;DATOS!$C$82*P23*BF23,-1,(1-SQRT((1-2*BB23*1E5/(DATOS!$C$58*P23*BF23^2*DATOS!$C$48))))*DATOS!$C$48*P23*BF23/DATOS!$C$40))),MIN(DATOS!$C$83*DATOS!$C$13*BF23,4/3*IF(BB23&lt;=0,0,IF((1-2*BB23*1E5/(DATOS!$C$58*P23*BF23^2*DATOS!$C$48))&lt;0,-1,IF((1-SQRT((1-2*BB23*1E5/(DATOS!$C$58*P23*BF23^2*DATOS!$C$48))))*DATOS!$C$48*P23*BF23/DATOS!$C$40&gt;DATOS!$C$82*P23*BF23,-1,(1-SQRT((1-2*BB23*1E5/(DATOS!$C$58*P23*BF23^2*DATOS!$C$48))))*DATOS!$C$48*P23*BF23/DATOS!$C$40)))))))</f>
        <v>0.520883336393713</v>
      </c>
      <c r="BH23" s="41">
        <f>IF(AND(BG23&gt;=0,IF(MAX(DATOS!$C$29,CEILING(BG23/INDEX(TABLAS!$D$52:$D$58,MIN(MATCH(DATOS!$C$26,TABLAS!$B$52:$B$58,0)+0,7)),1))*INDEX(TABLAS!$D$52:$D$58,MIN(MATCH(DATOS!$C$26,TABLAS!$B$52:$B$58,0)+0,7))&gt;=4/3*IF(BB23&lt;=0,0,IF((1-2*BB23*1E5/(DATOS!$C$58*P23*BF23^2*DATOS!$C$48))&lt;0,-1,IF((1-SQRT((1-2*BB23*1E5/(DATOS!$C$58*P23*BF23^2*DATOS!$C$48))))*DATOS!$C$48*P23*BF23/DATOS!$C$40&gt;DATOS!$C$82*P23*BF23,-1,(1-SQRT((1-2*BB23*1E5/(DATOS!$C$58*P23*BF23^2*DATOS!$C$48))))*DATOS!$C$48*P23*BF23/DATOS!$C$40)))-0.0001,MAX(DATOS!$C$29,CEILING(BG23/INDEX(TABLAS!$D$52:$D$58,MIN(MATCH(DATOS!$C$26,TABLAS!$B$52:$B$58,0)+0,7)),1)),MAX(MAX(DATOS!$C$29,CEILING(BG23/INDEX(TABLAS!$D$52:$D$58,MIN(MATCH(DATOS!$C$26,TABLAS!$B$52:$B$58,0)+0,7)),1)),2))&lt;=MIN(DATOS!$C$28,INT(((DATOS!$C$13-2*R23-2*IF(DATOS!$C$25=0,0,INDEX(TABLAS!$C$52:$C$58,MATCH(DATOS!$C$25,TABLAS!$B$52:$B$58,0))))+MAX(DATOS!$C$32,INDEX(TABLAS!$C$52:$C$58,MIN(MATCH(DATOS!$C$26,TABLAS!$B$52:$B$58,0)+0,7))))/(INDEX(TABLAS!$C$52:$C$58,MIN(MATCH(DATOS!$C$26,TABLAS!$B$52:$B$58,0)+0,7))+MAX(DATOS!$C$32,INDEX(TABLAS!$C$52:$C$58,MIN(MATCH(DATOS!$C$26,TABLAS!$B$52:$B$58,0)+0,7))))))),INDEX(TABLAS!$B$52:$B$58,MIN(MATCH(DATOS!$C$26,TABLAS!$B$52:$B$58,0)+0,7)),IF(AND(BG23&gt;=0,IF(MAX(DATOS!$C$29,CEILING(BG23/INDEX(TABLAS!$D$52:$D$58,MIN(MATCH(DATOS!$C$26,TABLAS!$B$52:$B$58,0)+1,7)),1))*INDEX(TABLAS!$D$52:$D$58,MIN(MATCH(DATOS!$C$26,TABLAS!$B$52:$B$58,0)+1,7))&gt;=4/3*IF(BB23&lt;=0,0,IF((1-2*BB23*1E5/(DATOS!$C$58*P23*BF23^2*DATOS!$C$48))&lt;0,-1,IF((1-SQRT((1-2*BB23*1E5/(DATOS!$C$58*P23*BF23^2*DATOS!$C$48))))*DATOS!$C$48*P23*BF23/DATOS!$C$40&gt;DATOS!$C$82*P23*BF23,-1,(1-SQRT((1-2*BB23*1E5/(DATOS!$C$58*P23*BF23^2*DATOS!$C$48))))*DATOS!$C$48*P23*BF23/DATOS!$C$40)))-0.0001,MAX(DATOS!$C$29,CEILING(BG23/INDEX(TABLAS!$D$52:$D$58,MIN(MATCH(DATOS!$C$26,TABLAS!$B$52:$B$58,0)+1,7)),1)),MAX(MAX(DATOS!$C$29,CEILING(BG23/INDEX(TABLAS!$D$52:$D$58,MIN(MATCH(DATOS!$C$26,TABLAS!$B$52:$B$58,0)+1,7)),1)),2))&lt;=MIN(DATOS!$C$28,INT(((DATOS!$C$13-2*R23-2*IF(DATOS!$C$25=0,0,INDEX(TABLAS!$C$52:$C$58,MATCH(DATOS!$C$25,TABLAS!$B$52:$B$58,0))))+MAX(DATOS!$C$32,INDEX(TABLAS!$C$52:$C$58,MIN(MATCH(DATOS!$C$26,TABLAS!$B$52:$B$58,0)+1,7))))/(INDEX(TABLAS!$C$52:$C$58,MIN(MATCH(DATOS!$C$26,TABLAS!$B$52:$B$58,0)+1,7))+MAX(DATOS!$C$32,INDEX(TABLAS!$C$52:$C$58,MIN(MATCH(DATOS!$C$26,TABLAS!$B$52:$B$58,0)+1,7))))))),INDEX(TABLAS!$B$52:$B$58,MIN(MATCH(DATOS!$C$26,TABLAS!$B$52:$B$58,0)+1,7)),IF(AND(BG23&gt;=0,IF(MAX(DATOS!$C$29,CEILING(BG23/INDEX(TABLAS!$D$52:$D$58,MIN(MATCH(DATOS!$C$26,TABLAS!$B$52:$B$58,0)+2,7)),1))*INDEX(TABLAS!$D$52:$D$58,MIN(MATCH(DATOS!$C$26,TABLAS!$B$52:$B$58,0)+2,7))&gt;=4/3*IF(BB23&lt;=0,0,IF((1-2*BB23*1E5/(DATOS!$C$58*P23*BF23^2*DATOS!$C$48))&lt;0,-1,IF((1-SQRT((1-2*BB23*1E5/(DATOS!$C$58*P23*BF23^2*DATOS!$C$48))))*DATOS!$C$48*P23*BF23/DATOS!$C$40&gt;DATOS!$C$82*P23*BF23,-1,(1-SQRT((1-2*BB23*1E5/(DATOS!$C$58*P23*BF23^2*DATOS!$C$48))))*DATOS!$C$48*P23*BF23/DATOS!$C$40)))-0.0001,MAX(DATOS!$C$29,CEILING(BG23/INDEX(TABLAS!$D$52:$D$58,MIN(MATCH(DATOS!$C$26,TABLAS!$B$52:$B$58,0)+2,7)),1)),MAX(MAX(DATOS!$C$29,CEILING(BG23/INDEX(TABLAS!$D$52:$D$58,MIN(MATCH(DATOS!$C$26,TABLAS!$B$52:$B$58,0)+2,7)),1)),2))&lt;=MIN(DATOS!$C$28,INT(((DATOS!$C$13-2*R23-2*IF(DATOS!$C$25=0,0,INDEX(TABLAS!$C$52:$C$58,MATCH(DATOS!$C$25,TABLAS!$B$52:$B$58,0))))+MAX(DATOS!$C$32,INDEX(TABLAS!$C$52:$C$58,MIN(MATCH(DATOS!$C$26,TABLAS!$B$52:$B$58,0)+2,7))))/(INDEX(TABLAS!$C$52:$C$58,MIN(MATCH(DATOS!$C$26,TABLAS!$B$52:$B$58,0)+2,7))+MAX(DATOS!$C$32,INDEX(TABLAS!$C$52:$C$58,MIN(MATCH(DATOS!$C$26,TABLAS!$B$52:$B$58,0)+2,7))))))),INDEX(TABLAS!$B$52:$B$58,MIN(MATCH(DATOS!$C$26,TABLAS!$B$52:$B$58,0)+2,7)),IF(AND(BG23&gt;=0,IF(MAX(DATOS!$C$29,CEILING(BG23/INDEX(TABLAS!$D$52:$D$58,MIN(MATCH(DATOS!$C$26,TABLAS!$B$52:$B$58,0)+3,7)),1))*INDEX(TABLAS!$D$52:$D$58,MIN(MATCH(DATOS!$C$26,TABLAS!$B$52:$B$58,0)+3,7))&gt;=4/3*IF(BB23&lt;=0,0,IF((1-2*BB23*1E5/(DATOS!$C$58*P23*BF23^2*DATOS!$C$48))&lt;0,-1,IF((1-SQRT((1-2*BB23*1E5/(DATOS!$C$58*P23*BF23^2*DATOS!$C$48))))*DATOS!$C$48*P23*BF23/DATOS!$C$40&gt;DATOS!$C$82*P23*BF23,-1,(1-SQRT((1-2*BB23*1E5/(DATOS!$C$58*P23*BF23^2*DATOS!$C$48))))*DATOS!$C$48*P23*BF23/DATOS!$C$40)))-0.0001,MAX(DATOS!$C$29,CEILING(BG23/INDEX(TABLAS!$D$52:$D$58,MIN(MATCH(DATOS!$C$26,TABLAS!$B$52:$B$58,0)+3,7)),1)),MAX(MAX(DATOS!$C$29,CEILING(BG23/INDEX(TABLAS!$D$52:$D$58,MIN(MATCH(DATOS!$C$26,TABLAS!$B$52:$B$58,0)+3,7)),1)),2))&lt;=MIN(DATOS!$C$28,INT(((DATOS!$C$13-2*R23-2*IF(DATOS!$C$25=0,0,INDEX(TABLAS!$C$52:$C$58,MATCH(DATOS!$C$25,TABLAS!$B$52:$B$58,0))))+MAX(DATOS!$C$32,INDEX(TABLAS!$C$52:$C$58,MIN(MATCH(DATOS!$C$26,TABLAS!$B$52:$B$58,0)+3,7))))/(INDEX(TABLAS!$C$52:$C$58,MIN(MATCH(DATOS!$C$26,TABLAS!$B$52:$B$58,0)+3,7))+MAX(DATOS!$C$32,INDEX(TABLAS!$C$52:$C$58,MIN(MATCH(DATOS!$C$26,TABLAS!$B$52:$B$58,0)+3,7))))))),INDEX(TABLAS!$B$52:$B$58,MIN(MATCH(DATOS!$C$26,TABLAS!$B$52:$B$58,0)+3,7)),IF(AND(BG23&gt;=0,IF(MAX(DATOS!$C$29,CEILING(BG23/INDEX(TABLAS!$D$52:$D$58,MIN(MATCH(DATOS!$C$26,TABLAS!$B$52:$B$58,0)+4,7)),1))*INDEX(TABLAS!$D$52:$D$58,MIN(MATCH(DATOS!$C$26,TABLAS!$B$52:$B$58,0)+4,7))&gt;=4/3*IF(BB23&lt;=0,0,IF((1-2*BB23*1E5/(DATOS!$C$58*P23*BF23^2*DATOS!$C$48))&lt;0,-1,IF((1-SQRT((1-2*BB23*1E5/(DATOS!$C$58*P23*BF23^2*DATOS!$C$48))))*DATOS!$C$48*P23*BF23/DATOS!$C$40&gt;DATOS!$C$82*P23*BF23,-1,(1-SQRT((1-2*BB23*1E5/(DATOS!$C$58*P23*BF23^2*DATOS!$C$48))))*DATOS!$C$48*P23*BF23/DATOS!$C$40)))-0.0001,MAX(DATOS!$C$29,CEILING(BG23/INDEX(TABLAS!$D$52:$D$58,MIN(MATCH(DATOS!$C$26,TABLAS!$B$52:$B$58,0)+4,7)),1)),MAX(MAX(DATOS!$C$29,CEILING(BG23/INDEX(TABLAS!$D$52:$D$58,MIN(MATCH(DATOS!$C$26,TABLAS!$B$52:$B$58,0)+4,7)),1)),2))&lt;=MIN(DATOS!$C$28,INT(((DATOS!$C$13-2*R23-2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23" s="56">
        <f>IF(D23="HUECO",0,IF(BG23&lt;0,0,IF(MAX(DATOS!$C$29,CEILING(MAX(BG23,0)/INDEX(TABLAS!$D$52:$D$58,MATCH(BH23,TABLAS!$B$52:$B$58,0)),1))*INDEX(TABLAS!$D$52:$D$58,MATCH(BH23,TABLAS!$B$52:$B$58,0))&gt;=4/3*IF(BB23&lt;=0,0,IF((1-2*BB23*1E5/(DATOS!$C$58*P23*BF23^2*DATOS!$C$48))&lt;0,-1,IF((1-SQRT((1-2*BB23*1E5/(DATOS!$C$58*P23*BF23^2*DATOS!$C$48))))*DATOS!$C$48*P23*BF23/DATOS!$C$40&gt;DATOS!$C$82*P23*BF23,-1,(1-SQRT((1-2*BB23*1E5/(DATOS!$C$58*P23*BF23^2*DATOS!$C$48))))*DATOS!$C$48*P23*BF23/DATOS!$C$40)))-0.0001,MAX(DATOS!$C$29,CEILING(MAX(BG23,0)/INDEX(TABLAS!$D$52:$D$58,MATCH(BH23,TABLAS!$B$52:$B$58,0)),1)),MAX(MAX(DATOS!$C$29,CEILING(MAX(BG23,0)/INDEX(TABLAS!$D$52:$D$58,MATCH(BH23,TABLAS!$B$52:$B$58,0)),1)),2))))</f>
        <v>1</v>
      </c>
      <c r="BJ23" s="43">
        <f>DATOS!$C$15-R23-IF(DATOS!$C$25=0,0,INDEX(TABLAS!$C$52:$C$58,MATCH(DATOS!$C$25,TABLAS!$B$52:$B$58,0)))-INDEX(TABLAS!$C$52:$C$58,MATCH(BH23,TABLAS!$B$52:$B$58,0))/2</f>
        <v>22.365</v>
      </c>
      <c r="BK23" s="36">
        <f>IF(BI23=0,0,DATOS!$C$58*BI23*INDEX(TABLAS!$D$52:$D$58,MATCH(BH23,TABLAS!$B$52:$B$58,0))*DATOS!$C$40*(BJ23-BI23*INDEX(TABLAS!$D$52:$D$58,MATCH(BH23,TABLAS!$B$52:$B$58,0))*DATOS!$C$40/(DATOS!$C$48*P23)/2)/1E5)</f>
        <v>1.06504699658824</v>
      </c>
      <c r="BL23" s="62">
        <f>IF(BG23&lt;0,9.99,IF(BK23&gt;0,BB23/BK23,0))</f>
        <v>0.309329514433503</v>
      </c>
      <c r="BM23" s="63">
        <f>IF(BI23=0,"—",0.003*(BJ23-(BI23*INDEX(TABLAS!$D$52:$D$58,MATCH(BH23,TABLAS!$B$52:$B$58,0))*DATOS!$C$40/(DATOS!$C$48*P23)/DATOS!$C$49))/(BI23*INDEX(TABLAS!$D$52:$D$58,MATCH(BH23,TABLAS!$B$52:$B$58,0))*DATOS!$C$40/(DATOS!$C$48*P23)/DATOS!$C$49))</f>
        <v>0.156042445866142</v>
      </c>
      <c r="BN23" s="43">
        <f>((DATOS!$C$15-S23-2*DATOS!$C$35-IF(DATOS!$C$25=0,0,INDEX(TABLAS!$C$52:$C$58,MATCH(DATOS!$C$25,TABLAS!$B$52:$B$58,0)))-INDEX(TABLAS!$C$52:$C$58,MATCH(DATOS!$C$27,TABLAS!$B$52:$B$58,0))/2)-IF(AND((DATOS!$C$15-S23-2*DATOS!$C$35-IF(DATOS!$C$25=0,0,INDEX(TABLAS!$C$52:$C$58,MATCH(DATOS!$C$25,TABLAS!$B$52:$B$58,0)))-INDEX(TABLAS!$C$52:$C$58,MATCH(DATOS!$C$27,TABLAS!$B$52:$B$58,0))/2)&lt;=20,DATOS!$C$18&lt;&gt;"SÍ"),2,0))</f>
        <v>21.389</v>
      </c>
      <c r="BO23" s="43">
        <f>IF(D23="HUECO",0,IF(IF(BC23&lt;=0,0,IF((1-2*BC23*1E5/(DATOS!$C$58*DATOS!$C$19*BN23^2*DATOS!$C$48))&lt;0,-1,IF((1-SQRT((1-2*BC23*1E5/(DATOS!$C$58*DATOS!$C$19*BN23^2*DATOS!$C$48))))*DATOS!$C$48*DATOS!$C$19*BN23/DATOS!$C$40&gt;DATOS!$C$82*DATOS!$C$19*BN23,-1,(1-SQRT((1-2*BC23*1E5/(DATOS!$C$58*DATOS!$C$19*BN23^2*DATOS!$C$48))))*DATOS!$C$48*DATOS!$C$19*BN23/DATOS!$C$40)))&lt;0,-1,MAX(IF(BC23&lt;=0,0,IF((1-2*BC23*1E5/(DATOS!$C$58*DATOS!$C$19*BN23^2*DATOS!$C$48))&lt;0,-1,IF((1-SQRT((1-2*BC23*1E5/(DATOS!$C$58*DATOS!$C$19*BN23^2*DATOS!$C$48))))*DATOS!$C$48*DATOS!$C$19*BN23/DATOS!$C$40&gt;DATOS!$C$82*DATOS!$C$19*BN23,-1,(1-SQRT((1-2*BC23*1E5/(DATOS!$C$58*DATOS!$C$19*BN23^2*DATOS!$C$48))))*DATOS!$C$48*DATOS!$C$19*BN23/DATOS!$C$40))),MIN(DATOS!$C$83*IF(D23="VOLADO",2*DATOS!$C$13,DATOS!$C$13)*BN23,4/3*IF(BC23&lt;=0,0,IF((1-2*BC23*1E5/(DATOS!$C$58*DATOS!$C$19*BN23^2*DATOS!$C$48))&lt;0,-1,IF((1-SQRT((1-2*BC23*1E5/(DATOS!$C$58*DATOS!$C$19*BN23^2*DATOS!$C$48))))*DATOS!$C$48*DATOS!$C$19*BN23/DATOS!$C$40&gt;DATOS!$C$82*DATOS!$C$19*BN23,-1,(1-SQRT((1-2*BC23*1E5/(DATOS!$C$58*DATOS!$C$19*BN23^2*DATOS!$C$48))))*DATOS!$C$48*DATOS!$C$19*BN23/DATOS!$C$40)))))))</f>
        <v>0.712966666666667</v>
      </c>
      <c r="BP23" s="41">
        <f>IF(AND(BO23&gt;=0,IF(MAX(DATOS!$C$29,CEILING(BO23/INDEX(TABLAS!$D$52:$D$58,MIN(MATCH(DATOS!$C$27,TABLAS!$B$52:$B$58,0)+0,7)),1))*INDEX(TABLAS!$D$52:$D$58,MIN(MATCH(DATOS!$C$27,TABLAS!$B$52:$B$58,0)+0,7))&gt;=4/3*IF(BC23&lt;=0,0,IF((1-2*BC23*1E5/(DATOS!$C$58*DATOS!$C$19*BN23^2*DATOS!$C$48))&lt;0,-1,IF((1-SQRT((1-2*BC23*1E5/(DATOS!$C$58*DATOS!$C$19*BN23^2*DATOS!$C$48))))*DATOS!$C$48*DATOS!$C$19*BN23/DATOS!$C$40&gt;DATOS!$C$82*DATOS!$C$19*BN23,-1,(1-SQRT((1-2*BC23*1E5/(DATOS!$C$58*DATOS!$C$19*BN23^2*DATOS!$C$48))))*DATOS!$C$48*DATOS!$C$19*BN23/DATOS!$C$40)))-0.0001,MAX(DATOS!$C$29,CEILING(BO23/INDEX(TABLAS!$D$52:$D$58,MIN(MATCH(DATOS!$C$27,TABLAS!$B$52:$B$58,0)+0,7)),1)),MAX(MAX(DATOS!$C$29,CEILING(BO23/INDEX(TABLAS!$D$52:$D$58,MIN(MATCH(DATOS!$C$27,TABLAS!$B$52:$B$58,0)+0,7)),1)),2))&lt;=MIN(DATOS!$C$28,INT(((DATOS!$C$13-2*S23-2*IF(DATOS!$C$25=0,0,INDEX(TABLAS!$C$52:$C$58,MATCH(DATOS!$C$25,TABLAS!$B$52:$B$58,0))))+MAX(DATOS!$C$32,INDEX(TABLAS!$C$52:$C$58,MIN(MATCH(DATOS!$C$27,TABLAS!$B$52:$B$58,0)+0,7))))/(INDEX(TABLAS!$C$52:$C$58,MIN(MATCH(DATOS!$C$27,TABLAS!$B$52:$B$58,0)+0,7))+MAX(DATOS!$C$32,INDEX(TABLAS!$C$52:$C$58,MIN(MATCH(DATOS!$C$27,TABLAS!$B$52:$B$58,0)+0,7))))))),INDEX(TABLAS!$B$52:$B$58,MIN(MATCH(DATOS!$C$27,TABLAS!$B$52:$B$58,0)+0,7)),IF(AND(BO23&gt;=0,IF(MAX(DATOS!$C$29,CEILING(BO23/INDEX(TABLAS!$D$52:$D$58,MIN(MATCH(DATOS!$C$27,TABLAS!$B$52:$B$58,0)+1,7)),1))*INDEX(TABLAS!$D$52:$D$58,MIN(MATCH(DATOS!$C$27,TABLAS!$B$52:$B$58,0)+1,7))&gt;=4/3*IF(BC23&lt;=0,0,IF((1-2*BC23*1E5/(DATOS!$C$58*DATOS!$C$19*BN23^2*DATOS!$C$48))&lt;0,-1,IF((1-SQRT((1-2*BC23*1E5/(DATOS!$C$58*DATOS!$C$19*BN23^2*DATOS!$C$48))))*DATOS!$C$48*DATOS!$C$19*BN23/DATOS!$C$40&gt;DATOS!$C$82*DATOS!$C$19*BN23,-1,(1-SQRT((1-2*BC23*1E5/(DATOS!$C$58*DATOS!$C$19*BN23^2*DATOS!$C$48))))*DATOS!$C$48*DATOS!$C$19*BN23/DATOS!$C$40)))-0.0001,MAX(DATOS!$C$29,CEILING(BO23/INDEX(TABLAS!$D$52:$D$58,MIN(MATCH(DATOS!$C$27,TABLAS!$B$52:$B$58,0)+1,7)),1)),MAX(MAX(DATOS!$C$29,CEILING(BO23/INDEX(TABLAS!$D$52:$D$58,MIN(MATCH(DATOS!$C$27,TABLAS!$B$52:$B$58,0)+1,7)),1)),2))&lt;=MIN(DATOS!$C$28,INT(((DATOS!$C$13-2*S23-2*IF(DATOS!$C$25=0,0,INDEX(TABLAS!$C$52:$C$58,MATCH(DATOS!$C$25,TABLAS!$B$52:$B$58,0))))+MAX(DATOS!$C$32,INDEX(TABLAS!$C$52:$C$58,MIN(MATCH(DATOS!$C$27,TABLAS!$B$52:$B$58,0)+1,7))))/(INDEX(TABLAS!$C$52:$C$58,MIN(MATCH(DATOS!$C$27,TABLAS!$B$52:$B$58,0)+1,7))+MAX(DATOS!$C$32,INDEX(TABLAS!$C$52:$C$58,MIN(MATCH(DATOS!$C$27,TABLAS!$B$52:$B$58,0)+1,7))))))),INDEX(TABLAS!$B$52:$B$58,MIN(MATCH(DATOS!$C$27,TABLAS!$B$52:$B$58,0)+1,7)),IF(AND(BO23&gt;=0,IF(MAX(DATOS!$C$29,CEILING(BO23/INDEX(TABLAS!$D$52:$D$58,MIN(MATCH(DATOS!$C$27,TABLAS!$B$52:$B$58,0)+2,7)),1))*INDEX(TABLAS!$D$52:$D$58,MIN(MATCH(DATOS!$C$27,TABLAS!$B$52:$B$58,0)+2,7))&gt;=4/3*IF(BC23&lt;=0,0,IF((1-2*BC23*1E5/(DATOS!$C$58*DATOS!$C$19*BN23^2*DATOS!$C$48))&lt;0,-1,IF((1-SQRT((1-2*BC23*1E5/(DATOS!$C$58*DATOS!$C$19*BN23^2*DATOS!$C$48))))*DATOS!$C$48*DATOS!$C$19*BN23/DATOS!$C$40&gt;DATOS!$C$82*DATOS!$C$19*BN23,-1,(1-SQRT((1-2*BC23*1E5/(DATOS!$C$58*DATOS!$C$19*BN23^2*DATOS!$C$48))))*DATOS!$C$48*DATOS!$C$19*BN23/DATOS!$C$40)))-0.0001,MAX(DATOS!$C$29,CEILING(BO23/INDEX(TABLAS!$D$52:$D$58,MIN(MATCH(DATOS!$C$27,TABLAS!$B$52:$B$58,0)+2,7)),1)),MAX(MAX(DATOS!$C$29,CEILING(BO23/INDEX(TABLAS!$D$52:$D$58,MIN(MATCH(DATOS!$C$27,TABLAS!$B$52:$B$58,0)+2,7)),1)),2))&lt;=MIN(DATOS!$C$28,INT(((DATOS!$C$13-2*S23-2*IF(DATOS!$C$25=0,0,INDEX(TABLAS!$C$52:$C$58,MATCH(DATOS!$C$25,TABLAS!$B$52:$B$58,0))))+MAX(DATOS!$C$32,INDEX(TABLAS!$C$52:$C$58,MIN(MATCH(DATOS!$C$27,TABLAS!$B$52:$B$58,0)+2,7))))/(INDEX(TABLAS!$C$52:$C$58,MIN(MATCH(DATOS!$C$27,TABLAS!$B$52:$B$58,0)+2,7))+MAX(DATOS!$C$32,INDEX(TABLAS!$C$52:$C$58,MIN(MATCH(DATOS!$C$27,TABLAS!$B$52:$B$58,0)+2,7))))))),INDEX(TABLAS!$B$52:$B$58,MIN(MATCH(DATOS!$C$27,TABLAS!$B$52:$B$58,0)+2,7)),IF(AND(BO23&gt;=0,IF(MAX(DATOS!$C$29,CEILING(BO23/INDEX(TABLAS!$D$52:$D$58,MIN(MATCH(DATOS!$C$27,TABLAS!$B$52:$B$58,0)+3,7)),1))*INDEX(TABLAS!$D$52:$D$58,MIN(MATCH(DATOS!$C$27,TABLAS!$B$52:$B$58,0)+3,7))&gt;=4/3*IF(BC23&lt;=0,0,IF((1-2*BC23*1E5/(DATOS!$C$58*DATOS!$C$19*BN23^2*DATOS!$C$48))&lt;0,-1,IF((1-SQRT((1-2*BC23*1E5/(DATOS!$C$58*DATOS!$C$19*BN23^2*DATOS!$C$48))))*DATOS!$C$48*DATOS!$C$19*BN23/DATOS!$C$40&gt;DATOS!$C$82*DATOS!$C$19*BN23,-1,(1-SQRT((1-2*BC23*1E5/(DATOS!$C$58*DATOS!$C$19*BN23^2*DATOS!$C$48))))*DATOS!$C$48*DATOS!$C$19*BN23/DATOS!$C$40)))-0.0001,MAX(DATOS!$C$29,CEILING(BO23/INDEX(TABLAS!$D$52:$D$58,MIN(MATCH(DATOS!$C$27,TABLAS!$B$52:$B$58,0)+3,7)),1)),MAX(MAX(DATOS!$C$29,CEILING(BO23/INDEX(TABLAS!$D$52:$D$58,MIN(MATCH(DATOS!$C$27,TABLAS!$B$52:$B$58,0)+3,7)),1)),2))&lt;=MIN(DATOS!$C$28,INT(((DATOS!$C$13-2*S23-2*IF(DATOS!$C$25=0,0,INDEX(TABLAS!$C$52:$C$58,MATCH(DATOS!$C$25,TABLAS!$B$52:$B$58,0))))+MAX(DATOS!$C$32,INDEX(TABLAS!$C$52:$C$58,MIN(MATCH(DATOS!$C$27,TABLAS!$B$52:$B$58,0)+3,7))))/(INDEX(TABLAS!$C$52:$C$58,MIN(MATCH(DATOS!$C$27,TABLAS!$B$52:$B$58,0)+3,7))+MAX(DATOS!$C$32,INDEX(TABLAS!$C$52:$C$58,MIN(MATCH(DATOS!$C$27,TABLAS!$B$52:$B$58,0)+3,7))))))),INDEX(TABLAS!$B$52:$B$58,MIN(MATCH(DATOS!$C$27,TABLAS!$B$52:$B$58,0)+3,7)),IF(AND(BO23&gt;=0,IF(MAX(DATOS!$C$29,CEILING(BO23/INDEX(TABLAS!$D$52:$D$58,MIN(MATCH(DATOS!$C$27,TABLAS!$B$52:$B$58,0)+4,7)),1))*INDEX(TABLAS!$D$52:$D$58,MIN(MATCH(DATOS!$C$27,TABLAS!$B$52:$B$58,0)+4,7))&gt;=4/3*IF(BC23&lt;=0,0,IF((1-2*BC23*1E5/(DATOS!$C$58*DATOS!$C$19*BN23^2*DATOS!$C$48))&lt;0,-1,IF((1-SQRT((1-2*BC23*1E5/(DATOS!$C$58*DATOS!$C$19*BN23^2*DATOS!$C$48))))*DATOS!$C$48*DATOS!$C$19*BN23/DATOS!$C$40&gt;DATOS!$C$82*DATOS!$C$19*BN23,-1,(1-SQRT((1-2*BC23*1E5/(DATOS!$C$58*DATOS!$C$19*BN23^2*DATOS!$C$48))))*DATOS!$C$48*DATOS!$C$19*BN23/DATOS!$C$40)))-0.0001,MAX(DATOS!$C$29,CEILING(BO23/INDEX(TABLAS!$D$52:$D$58,MIN(MATCH(DATOS!$C$27,TABLAS!$B$52:$B$58,0)+4,7)),1)),MAX(MAX(DATOS!$C$29,CEILING(BO23/INDEX(TABLAS!$D$52:$D$58,MIN(MATCH(DATOS!$C$27,TABLAS!$B$52:$B$58,0)+4,7)),1)),2))&lt;=MIN(DATOS!$C$28,INT(((DATOS!$C$13-2*S23-2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23" s="56">
        <f>IF(D23="HUECO",0,IF(BO23&lt;0,0,IF(MAX(DATOS!$C$29,CEILING(MAX(BO23,0)/INDEX(TABLAS!$D$52:$D$58,MATCH(BP23,TABLAS!$B$52:$B$58,0)),1))*INDEX(TABLAS!$D$52:$D$58,MATCH(BP23,TABLAS!$B$52:$B$58,0))&gt;=4/3*IF(BC23&lt;=0,0,IF((1-2*BC23*1E5/(DATOS!$C$58*DATOS!$C$19*BN23^2*DATOS!$C$48))&lt;0,-1,IF((1-SQRT((1-2*BC23*1E5/(DATOS!$C$58*DATOS!$C$19*BN23^2*DATOS!$C$48))))*DATOS!$C$48*DATOS!$C$19*BN23/DATOS!$C$40&gt;DATOS!$C$82*DATOS!$C$19*BN23,-1,(1-SQRT((1-2*BC23*1E5/(DATOS!$C$58*DATOS!$C$19*BN23^2*DATOS!$C$48))))*DATOS!$C$48*DATOS!$C$19*BN23/DATOS!$C$40)))-0.0001,MAX(DATOS!$C$29,CEILING(MAX(BO23,0)/INDEX(TABLAS!$D$52:$D$58,MATCH(BP23,TABLAS!$B$52:$B$58,0)),1)),MAX(MAX(DATOS!$C$29,CEILING(MAX(BO23,0)/INDEX(TABLAS!$D$52:$D$58,MATCH(BP23,TABLAS!$B$52:$B$58,0)),1)),2))))</f>
        <v>1</v>
      </c>
      <c r="BR23" s="43">
        <f>((DATOS!$C$15-S23-2*DATOS!$C$35-IF(DATOS!$C$25=0,0,INDEX(TABLAS!$C$52:$C$58,MATCH(DATOS!$C$25,TABLAS!$B$52:$B$58,0)))-INDEX(TABLAS!$C$52:$C$58,MATCH(BP23,TABLAS!$B$52:$B$58,0))/2)-IF(AND((DATOS!$C$15-S23-2*DATOS!$C$35-IF(DATOS!$C$25=0,0,INDEX(TABLAS!$C$52:$C$58,MATCH(DATOS!$C$25,TABLAS!$B$52:$B$58,0)))-INDEX(TABLAS!$C$52:$C$58,MATCH(BP23,TABLAS!$B$52:$B$58,0))/2)&lt;=20,DATOS!$C$18&lt;&gt;"SÍ"),2,0))</f>
        <v>21.389</v>
      </c>
      <c r="BS23" s="36">
        <f>IF(BQ23=0,0,DATOS!$C$58*BQ23*INDEX(TABLAS!$D$52:$D$58,MATCH(BP23,TABLAS!$B$52:$B$58,0))*DATOS!$C$40*(BR23-BQ23*INDEX(TABLAS!$D$52:$D$58,MATCH(BP23,TABLAS!$B$52:$B$58,0))*DATOS!$C$40/(DATOS!$C$48*DATOS!$C$19)/2)/1E5)</f>
        <v>0.966549980117647</v>
      </c>
      <c r="BT23" s="62">
        <f>IF(BO23&lt;0,9.99,IF(BS23&gt;0,BC23/BS23,0))</f>
        <v>0.550186297519701</v>
      </c>
      <c r="BU23" s="63">
        <f>IF(BQ23=0,"—",0.003*(BR23-(BQ23*INDEX(TABLAS!$D$52:$D$58,MATCH(BP23,TABLAS!$B$52:$B$58,0))*DATOS!$C$40/(DATOS!$C$48*DATOS!$C$19)/DATOS!$C$49))/(BQ23*INDEX(TABLAS!$D$52:$D$58,MATCH(BP23,TABLAS!$B$52:$B$58,0))*DATOS!$C$40/(DATOS!$C$48*DATOS!$C$19)/DATOS!$C$49))</f>
        <v>0.0187288420978628</v>
      </c>
      <c r="BV23" s="43">
        <f>(DATOS!$C$15-R23-IF(DATOS!$C$25=0,0,INDEX(TABLAS!$C$52:$C$58,MATCH(DATOS!$C$25,TABLAS!$B$52:$B$58,0)))-INDEX(TABLAS!$C$52:$C$58,MATCH(DATOS!$C$26,TABLAS!$B$52:$B$58,0))-INDEX(TABLAS!$C$52:$C$58,MATCH(DATOS!$C$26,TABLAS!$B$52:$B$58,0))/2)</f>
        <v>21.095</v>
      </c>
      <c r="BW23" s="43">
        <f>IF(D23="HUECO",0,IF(IF(BD23&lt;=0,0,IF((1-2*BD23*1E5/(DATOS!$C$58*Q23*BV23^2*DATOS!$C$48))&lt;0,-1,IF((1-SQRT((1-2*BD23*1E5/(DATOS!$C$58*Q23*BV23^2*DATOS!$C$48))))*DATOS!$C$48*Q23*BV23/DATOS!$C$40&gt;DATOS!$C$82*Q23*BV23,-1,(1-SQRT((1-2*BD23*1E5/(DATOS!$C$58*Q23*BV23^2*DATOS!$C$48))))*DATOS!$C$48*Q23*BV23/DATOS!$C$40)))&lt;0,-1,MAX(IF(BD23&lt;=0,0,IF((1-2*BD23*1E5/(DATOS!$C$58*Q23*BV23^2*DATOS!$C$48))&lt;0,-1,IF((1-SQRT((1-2*BD23*1E5/(DATOS!$C$58*Q23*BV23^2*DATOS!$C$48))))*DATOS!$C$48*Q23*BV23/DATOS!$C$40&gt;DATOS!$C$82*Q23*BV23,-1,(1-SQRT((1-2*BD23*1E5/(DATOS!$C$58*Q23*BV23^2*DATOS!$C$48))))*DATOS!$C$48*Q23*BV23/DATOS!$C$40))),MIN(DATOS!$C$83*DATOS!$C$13*BV23,4/3*IF(BD23&lt;=0,0,IF((1-2*BD23*1E5/(DATOS!$C$58*Q23*BV23^2*DATOS!$C$48))&lt;0,-1,IF((1-SQRT((1-2*BD23*1E5/(DATOS!$C$58*Q23*BV23^2*DATOS!$C$48))))*DATOS!$C$48*Q23*BV23/DATOS!$C$40&gt;DATOS!$C$82*Q23*BV23,-1,(1-SQRT((1-2*BD23*1E5/(DATOS!$C$58*Q23*BV23^2*DATOS!$C$48))))*DATOS!$C$48*Q23*BV23/DATOS!$C$40)))))))</f>
        <v>0.461609882557827</v>
      </c>
      <c r="BX23" s="41">
        <f>IF(AND(BW23&gt;=0,IF(MAX(DATOS!$C$29,CEILING(BW23/INDEX(TABLAS!$D$52:$D$58,MIN(MATCH(DATOS!$C$26,TABLAS!$B$52:$B$58,0)+0,7)),1))*INDEX(TABLAS!$D$52:$D$58,MIN(MATCH(DATOS!$C$26,TABLAS!$B$52:$B$58,0)+0,7))&gt;=4/3*IF(BD23&lt;=0,0,IF((1-2*BD23*1E5/(DATOS!$C$58*Q23*BV23^2*DATOS!$C$48))&lt;0,-1,IF((1-SQRT((1-2*BD23*1E5/(DATOS!$C$58*Q23*BV23^2*DATOS!$C$48))))*DATOS!$C$48*Q23*BV23/DATOS!$C$40&gt;DATOS!$C$82*Q23*BV23,-1,(1-SQRT((1-2*BD23*1E5/(DATOS!$C$58*Q23*BV23^2*DATOS!$C$48))))*DATOS!$C$48*Q23*BV23/DATOS!$C$40)))-0.0001,MAX(DATOS!$C$29,CEILING(BW23/INDEX(TABLAS!$D$52:$D$58,MIN(MATCH(DATOS!$C$26,TABLAS!$B$52:$B$58,0)+0,7)),1)),MAX(MAX(DATOS!$C$29,CEILING(BW23/INDEX(TABLAS!$D$52:$D$58,MIN(MATCH(DATOS!$C$26,TABLAS!$B$52:$B$58,0)+0,7)),1)),2))&lt;=MIN(DATOS!$C$28,INT(((DATOS!$C$13-2*R23-2*IF(DATOS!$C$25=0,0,INDEX(TABLAS!$C$52:$C$58,MATCH(DATOS!$C$25,TABLAS!$B$52:$B$58,0))))+MAX(DATOS!$C$32,INDEX(TABLAS!$C$52:$C$58,MIN(MATCH(DATOS!$C$26,TABLAS!$B$52:$B$58,0)+0,7))))/(INDEX(TABLAS!$C$52:$C$58,MIN(MATCH(DATOS!$C$26,TABLAS!$B$52:$B$58,0)+0,7))+MAX(DATOS!$C$32,INDEX(TABLAS!$C$52:$C$58,MIN(MATCH(DATOS!$C$26,TABLAS!$B$52:$B$58,0)+0,7))))))),INDEX(TABLAS!$B$52:$B$58,MIN(MATCH(DATOS!$C$26,TABLAS!$B$52:$B$58,0)+0,7)),IF(AND(BW23&gt;=0,IF(MAX(DATOS!$C$29,CEILING(BW23/INDEX(TABLAS!$D$52:$D$58,MIN(MATCH(DATOS!$C$26,TABLAS!$B$52:$B$58,0)+1,7)),1))*INDEX(TABLAS!$D$52:$D$58,MIN(MATCH(DATOS!$C$26,TABLAS!$B$52:$B$58,0)+1,7))&gt;=4/3*IF(BD23&lt;=0,0,IF((1-2*BD23*1E5/(DATOS!$C$58*Q23*BV23^2*DATOS!$C$48))&lt;0,-1,IF((1-SQRT((1-2*BD23*1E5/(DATOS!$C$58*Q23*BV23^2*DATOS!$C$48))))*DATOS!$C$48*Q23*BV23/DATOS!$C$40&gt;DATOS!$C$82*Q23*BV23,-1,(1-SQRT((1-2*BD23*1E5/(DATOS!$C$58*Q23*BV23^2*DATOS!$C$48))))*DATOS!$C$48*Q23*BV23/DATOS!$C$40)))-0.0001,MAX(DATOS!$C$29,CEILING(BW23/INDEX(TABLAS!$D$52:$D$58,MIN(MATCH(DATOS!$C$26,TABLAS!$B$52:$B$58,0)+1,7)),1)),MAX(MAX(DATOS!$C$29,CEILING(BW23/INDEX(TABLAS!$D$52:$D$58,MIN(MATCH(DATOS!$C$26,TABLAS!$B$52:$B$58,0)+1,7)),1)),2))&lt;=MIN(DATOS!$C$28,INT(((DATOS!$C$13-2*R23-2*IF(DATOS!$C$25=0,0,INDEX(TABLAS!$C$52:$C$58,MATCH(DATOS!$C$25,TABLAS!$B$52:$B$58,0))))+MAX(DATOS!$C$32,INDEX(TABLAS!$C$52:$C$58,MIN(MATCH(DATOS!$C$26,TABLAS!$B$52:$B$58,0)+1,7))))/(INDEX(TABLAS!$C$52:$C$58,MIN(MATCH(DATOS!$C$26,TABLAS!$B$52:$B$58,0)+1,7))+MAX(DATOS!$C$32,INDEX(TABLAS!$C$52:$C$58,MIN(MATCH(DATOS!$C$26,TABLAS!$B$52:$B$58,0)+1,7))))))),INDEX(TABLAS!$B$52:$B$58,MIN(MATCH(DATOS!$C$26,TABLAS!$B$52:$B$58,0)+1,7)),IF(AND(BW23&gt;=0,IF(MAX(DATOS!$C$29,CEILING(BW23/INDEX(TABLAS!$D$52:$D$58,MIN(MATCH(DATOS!$C$26,TABLAS!$B$52:$B$58,0)+2,7)),1))*INDEX(TABLAS!$D$52:$D$58,MIN(MATCH(DATOS!$C$26,TABLAS!$B$52:$B$58,0)+2,7))&gt;=4/3*IF(BD23&lt;=0,0,IF((1-2*BD23*1E5/(DATOS!$C$58*Q23*BV23^2*DATOS!$C$48))&lt;0,-1,IF((1-SQRT((1-2*BD23*1E5/(DATOS!$C$58*Q23*BV23^2*DATOS!$C$48))))*DATOS!$C$48*Q23*BV23/DATOS!$C$40&gt;DATOS!$C$82*Q23*BV23,-1,(1-SQRT((1-2*BD23*1E5/(DATOS!$C$58*Q23*BV23^2*DATOS!$C$48))))*DATOS!$C$48*Q23*BV23/DATOS!$C$40)))-0.0001,MAX(DATOS!$C$29,CEILING(BW23/INDEX(TABLAS!$D$52:$D$58,MIN(MATCH(DATOS!$C$26,TABLAS!$B$52:$B$58,0)+2,7)),1)),MAX(MAX(DATOS!$C$29,CEILING(BW23/INDEX(TABLAS!$D$52:$D$58,MIN(MATCH(DATOS!$C$26,TABLAS!$B$52:$B$58,0)+2,7)),1)),2))&lt;=MIN(DATOS!$C$28,INT(((DATOS!$C$13-2*R23-2*IF(DATOS!$C$25=0,0,INDEX(TABLAS!$C$52:$C$58,MATCH(DATOS!$C$25,TABLAS!$B$52:$B$58,0))))+MAX(DATOS!$C$32,INDEX(TABLAS!$C$52:$C$58,MIN(MATCH(DATOS!$C$26,TABLAS!$B$52:$B$58,0)+2,7))))/(INDEX(TABLAS!$C$52:$C$58,MIN(MATCH(DATOS!$C$26,TABLAS!$B$52:$B$58,0)+2,7))+MAX(DATOS!$C$32,INDEX(TABLAS!$C$52:$C$58,MIN(MATCH(DATOS!$C$26,TABLAS!$B$52:$B$58,0)+2,7))))))),INDEX(TABLAS!$B$52:$B$58,MIN(MATCH(DATOS!$C$26,TABLAS!$B$52:$B$58,0)+2,7)),IF(AND(BW23&gt;=0,IF(MAX(DATOS!$C$29,CEILING(BW23/INDEX(TABLAS!$D$52:$D$58,MIN(MATCH(DATOS!$C$26,TABLAS!$B$52:$B$58,0)+3,7)),1))*INDEX(TABLAS!$D$52:$D$58,MIN(MATCH(DATOS!$C$26,TABLAS!$B$52:$B$58,0)+3,7))&gt;=4/3*IF(BD23&lt;=0,0,IF((1-2*BD23*1E5/(DATOS!$C$58*Q23*BV23^2*DATOS!$C$48))&lt;0,-1,IF((1-SQRT((1-2*BD23*1E5/(DATOS!$C$58*Q23*BV23^2*DATOS!$C$48))))*DATOS!$C$48*Q23*BV23/DATOS!$C$40&gt;DATOS!$C$82*Q23*BV23,-1,(1-SQRT((1-2*BD23*1E5/(DATOS!$C$58*Q23*BV23^2*DATOS!$C$48))))*DATOS!$C$48*Q23*BV23/DATOS!$C$40)))-0.0001,MAX(DATOS!$C$29,CEILING(BW23/INDEX(TABLAS!$D$52:$D$58,MIN(MATCH(DATOS!$C$26,TABLAS!$B$52:$B$58,0)+3,7)),1)),MAX(MAX(DATOS!$C$29,CEILING(BW23/INDEX(TABLAS!$D$52:$D$58,MIN(MATCH(DATOS!$C$26,TABLAS!$B$52:$B$58,0)+3,7)),1)),2))&lt;=MIN(DATOS!$C$28,INT(((DATOS!$C$13-2*R23-2*IF(DATOS!$C$25=0,0,INDEX(TABLAS!$C$52:$C$58,MATCH(DATOS!$C$25,TABLAS!$B$52:$B$58,0))))+MAX(DATOS!$C$32,INDEX(TABLAS!$C$52:$C$58,MIN(MATCH(DATOS!$C$26,TABLAS!$B$52:$B$58,0)+3,7))))/(INDEX(TABLAS!$C$52:$C$58,MIN(MATCH(DATOS!$C$26,TABLAS!$B$52:$B$58,0)+3,7))+MAX(DATOS!$C$32,INDEX(TABLAS!$C$52:$C$58,MIN(MATCH(DATOS!$C$26,TABLAS!$B$52:$B$58,0)+3,7))))))),INDEX(TABLAS!$B$52:$B$58,MIN(MATCH(DATOS!$C$26,TABLAS!$B$52:$B$58,0)+3,7)),IF(AND(BW23&gt;=0,IF(MAX(DATOS!$C$29,CEILING(BW23/INDEX(TABLAS!$D$52:$D$58,MIN(MATCH(DATOS!$C$26,TABLAS!$B$52:$B$58,0)+4,7)),1))*INDEX(TABLAS!$D$52:$D$58,MIN(MATCH(DATOS!$C$26,TABLAS!$B$52:$B$58,0)+4,7))&gt;=4/3*IF(BD23&lt;=0,0,IF((1-2*BD23*1E5/(DATOS!$C$58*Q23*BV23^2*DATOS!$C$48))&lt;0,-1,IF((1-SQRT((1-2*BD23*1E5/(DATOS!$C$58*Q23*BV23^2*DATOS!$C$48))))*DATOS!$C$48*Q23*BV23/DATOS!$C$40&gt;DATOS!$C$82*Q23*BV23,-1,(1-SQRT((1-2*BD23*1E5/(DATOS!$C$58*Q23*BV23^2*DATOS!$C$48))))*DATOS!$C$48*Q23*BV23/DATOS!$C$40)))-0.0001,MAX(DATOS!$C$29,CEILING(BW23/INDEX(TABLAS!$D$52:$D$58,MIN(MATCH(DATOS!$C$26,TABLAS!$B$52:$B$58,0)+4,7)),1)),MAX(MAX(DATOS!$C$29,CEILING(BW23/INDEX(TABLAS!$D$52:$D$58,MIN(MATCH(DATOS!$C$26,TABLAS!$B$52:$B$58,0)+4,7)),1)),2))&lt;=MIN(DATOS!$C$28,INT(((DATOS!$C$13-2*R23-2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23" s="56">
        <f>IF(D23="HUECO",0,IF(BW23&lt;0,0,IF(MAX(DATOS!$C$29,CEILING(MAX(BW23,0)/INDEX(TABLAS!$D$52:$D$58,MATCH(BX23,TABLAS!$B$52:$B$58,0)),1))*INDEX(TABLAS!$D$52:$D$58,MATCH(BX23,TABLAS!$B$52:$B$58,0))&gt;=4/3*IF(BD23&lt;=0,0,IF((1-2*BD23*1E5/(DATOS!$C$58*Q23*BV23^2*DATOS!$C$48))&lt;0,-1,IF((1-SQRT((1-2*BD23*1E5/(DATOS!$C$58*Q23*BV23^2*DATOS!$C$48))))*DATOS!$C$48*Q23*BV23/DATOS!$C$40&gt;DATOS!$C$82*Q23*BV23,-1,(1-SQRT((1-2*BD23*1E5/(DATOS!$C$58*Q23*BV23^2*DATOS!$C$48))))*DATOS!$C$48*Q23*BV23/DATOS!$C$40)))-0.0001,MAX(DATOS!$C$29,CEILING(MAX(BW23,0)/INDEX(TABLAS!$D$52:$D$58,MATCH(BX23,TABLAS!$B$52:$B$58,0)),1)),MAX(MAX(DATOS!$C$29,CEILING(MAX(BW23,0)/INDEX(TABLAS!$D$52:$D$58,MATCH(BX23,TABLAS!$B$52:$B$58,0)),1)),2))))</f>
        <v>1</v>
      </c>
      <c r="BZ23" s="43">
        <f>DATOS!$C$15-R23-IF(DATOS!$C$25=0,0,INDEX(TABLAS!$C$52:$C$58,MATCH(DATOS!$C$25,TABLAS!$B$52:$B$58,0)))-INDEX(TABLAS!$C$52:$C$58,MATCH(BH23,TABLAS!$B$52:$B$58,0))-INDEX(TABLAS!$C$52:$C$58,MATCH(BX23,TABLAS!$B$52:$B$58,0))/2</f>
        <v>21.095</v>
      </c>
      <c r="CA23" s="36">
        <f>IF(BY23=0,0,DATOS!$C$58*BY23*INDEX(TABLAS!$D$52:$D$58,MATCH(BX23,TABLAS!$B$52:$B$58,0))*DATOS!$C$40*(BZ23-BY23*INDEX(TABLAS!$D$52:$D$58,MATCH(BX23,TABLAS!$B$52:$B$58,0))*DATOS!$C$40/(DATOS!$C$48*Q23)/2)/1E5)</f>
        <v>1.00407937658824</v>
      </c>
      <c r="CB23" s="62">
        <f>IF(BW23&lt;0,9.99,IF(CA23&gt;0,BD23/CA23,0))</f>
        <v>0.274304057764642</v>
      </c>
      <c r="CC23" s="63">
        <f>IF(BY23=0,"—",0.003*(BZ23-(BY23*INDEX(TABLAS!$D$52:$D$58,MATCH(BX23,TABLAS!$B$52:$B$58,0))*DATOS!$C$40/(DATOS!$C$48*Q23)/DATOS!$C$49))/(BY23*INDEX(TABLAS!$D$52:$D$58,MATCH(BX23,TABLAS!$B$52:$B$58,0))*DATOS!$C$40/(DATOS!$C$48*Q23)/DATOS!$C$49))</f>
        <v>0.147011195866142</v>
      </c>
      <c r="CD23" s="43">
        <f>((DATOS!$C$15-S23-2*DATOS!$C$35-IF(DATOS!$C$25=0,0,INDEX(TABLAS!$C$52:$C$58,MATCH(DATOS!$C$25,TABLAS!$B$52:$B$58,0)))-INDEX(TABLAS!$C$52:$C$58,MATCH(DATOS!$C$27,TABLAS!$B$52:$B$58,0))-INDEX(TABLAS!$C$52:$C$58,MATCH(DATOS!$C$27,TABLAS!$B$52:$B$58,0))/2)-IF(AND((DATOS!$C$15-S23-2*DATOS!$C$35-IF(DATOS!$C$25=0,0,INDEX(TABLAS!$C$52:$C$58,MATCH(DATOS!$C$25,TABLAS!$B$52:$B$58,0)))-INDEX(TABLAS!$C$52:$C$58,MATCH(DATOS!$C$27,TABLAS!$B$52:$B$58,0))-INDEX(TABLAS!$C$52:$C$58,MATCH(DATOS!$C$27,TABLAS!$B$52:$B$58,0))/2)&lt;=20,DATOS!$C$18&lt;&gt;"SÍ"),2,0))</f>
        <v>20.119</v>
      </c>
      <c r="CE23" s="43">
        <f>IF(D23="HUECO",0,IF(IF(BE23&lt;=0,0,IF((1-2*BE23*1E5/(DATOS!$C$58*DATOS!$C$19*CD23^2*DATOS!$C$48))&lt;0,-1,IF((1-SQRT((1-2*BE23*1E5/(DATOS!$C$58*DATOS!$C$19*CD23^2*DATOS!$C$48))))*DATOS!$C$48*DATOS!$C$19*CD23/DATOS!$C$40&gt;DATOS!$C$82*DATOS!$C$19*CD23,-1,(1-SQRT((1-2*BE23*1E5/(DATOS!$C$58*DATOS!$C$19*CD23^2*DATOS!$C$48))))*DATOS!$C$48*DATOS!$C$19*CD23/DATOS!$C$40)))&lt;0,-1,MAX(IF(BE23&lt;=0,0,IF((1-2*BE23*1E5/(DATOS!$C$58*DATOS!$C$19*CD23^2*DATOS!$C$48))&lt;0,-1,IF((1-SQRT((1-2*BE23*1E5/(DATOS!$C$58*DATOS!$C$19*CD23^2*DATOS!$C$48))))*DATOS!$C$48*DATOS!$C$19*CD23/DATOS!$C$40&gt;DATOS!$C$82*DATOS!$C$19*CD23,-1,(1-SQRT((1-2*BE23*1E5/(DATOS!$C$58*DATOS!$C$19*CD23^2*DATOS!$C$48))))*DATOS!$C$48*DATOS!$C$19*CD23/DATOS!$C$40))),MIN(DATOS!$C$83*DATOS!$C$13*CD23,4/3*IF(BE23&lt;=0,0,IF((1-2*BE23*1E5/(DATOS!$C$58*DATOS!$C$19*CD23^2*DATOS!$C$48))&lt;0,-1,IF((1-SQRT((1-2*BE23*1E5/(DATOS!$C$58*DATOS!$C$19*CD23^2*DATOS!$C$48))))*DATOS!$C$48*DATOS!$C$19*CD23/DATOS!$C$40&gt;DATOS!$C$82*DATOS!$C$19*CD23,-1,(1-SQRT((1-2*BE23*1E5/(DATOS!$C$58*DATOS!$C$19*CD23^2*DATOS!$C$48))))*DATOS!$C$48*DATOS!$C$19*CD23/DATOS!$C$40)))))))</f>
        <v>0.670633333333333</v>
      </c>
      <c r="CF23" s="41">
        <f>IF(AND(CE23&gt;=0,IF(MAX(DATOS!$C$29,CEILING(CE23/INDEX(TABLAS!$D$52:$D$58,MIN(MATCH(DATOS!$C$27,TABLAS!$B$52:$B$58,0)+0,7)),1))*INDEX(TABLAS!$D$52:$D$58,MIN(MATCH(DATOS!$C$27,TABLAS!$B$52:$B$58,0)+0,7))&gt;=4/3*IF(BE23&lt;=0,0,IF((1-2*BE23*1E5/(DATOS!$C$58*DATOS!$C$19*CD23^2*DATOS!$C$48))&lt;0,-1,IF((1-SQRT((1-2*BE23*1E5/(DATOS!$C$58*DATOS!$C$19*CD23^2*DATOS!$C$48))))*DATOS!$C$48*DATOS!$C$19*CD23/DATOS!$C$40&gt;DATOS!$C$82*DATOS!$C$19*CD23,-1,(1-SQRT((1-2*BE23*1E5/(DATOS!$C$58*DATOS!$C$19*CD23^2*DATOS!$C$48))))*DATOS!$C$48*DATOS!$C$19*CD23/DATOS!$C$40)))-0.0001,MAX(DATOS!$C$29,CEILING(CE23/INDEX(TABLAS!$D$52:$D$58,MIN(MATCH(DATOS!$C$27,TABLAS!$B$52:$B$58,0)+0,7)),1)),MAX(MAX(DATOS!$C$29,CEILING(CE23/INDEX(TABLAS!$D$52:$D$58,MIN(MATCH(DATOS!$C$27,TABLAS!$B$52:$B$58,0)+0,7)),1)),2))&lt;=MIN(DATOS!$C$28,INT(((DATOS!$C$13-2*S23-2*IF(DATOS!$C$25=0,0,INDEX(TABLAS!$C$52:$C$58,MATCH(DATOS!$C$25,TABLAS!$B$52:$B$58,0))))+MAX(DATOS!$C$32,INDEX(TABLAS!$C$52:$C$58,MIN(MATCH(DATOS!$C$27,TABLAS!$B$52:$B$58,0)+0,7))))/(INDEX(TABLAS!$C$52:$C$58,MIN(MATCH(DATOS!$C$27,TABLAS!$B$52:$B$58,0)+0,7))+MAX(DATOS!$C$32,INDEX(TABLAS!$C$52:$C$58,MIN(MATCH(DATOS!$C$27,TABLAS!$B$52:$B$58,0)+0,7))))))),INDEX(TABLAS!$B$52:$B$58,MIN(MATCH(DATOS!$C$27,TABLAS!$B$52:$B$58,0)+0,7)),IF(AND(CE23&gt;=0,IF(MAX(DATOS!$C$29,CEILING(CE23/INDEX(TABLAS!$D$52:$D$58,MIN(MATCH(DATOS!$C$27,TABLAS!$B$52:$B$58,0)+1,7)),1))*INDEX(TABLAS!$D$52:$D$58,MIN(MATCH(DATOS!$C$27,TABLAS!$B$52:$B$58,0)+1,7))&gt;=4/3*IF(BE23&lt;=0,0,IF((1-2*BE23*1E5/(DATOS!$C$58*DATOS!$C$19*CD23^2*DATOS!$C$48))&lt;0,-1,IF((1-SQRT((1-2*BE23*1E5/(DATOS!$C$58*DATOS!$C$19*CD23^2*DATOS!$C$48))))*DATOS!$C$48*DATOS!$C$19*CD23/DATOS!$C$40&gt;DATOS!$C$82*DATOS!$C$19*CD23,-1,(1-SQRT((1-2*BE23*1E5/(DATOS!$C$58*DATOS!$C$19*CD23^2*DATOS!$C$48))))*DATOS!$C$48*DATOS!$C$19*CD23/DATOS!$C$40)))-0.0001,MAX(DATOS!$C$29,CEILING(CE23/INDEX(TABLAS!$D$52:$D$58,MIN(MATCH(DATOS!$C$27,TABLAS!$B$52:$B$58,0)+1,7)),1)),MAX(MAX(DATOS!$C$29,CEILING(CE23/INDEX(TABLAS!$D$52:$D$58,MIN(MATCH(DATOS!$C$27,TABLAS!$B$52:$B$58,0)+1,7)),1)),2))&lt;=MIN(DATOS!$C$28,INT(((DATOS!$C$13-2*S23-2*IF(DATOS!$C$25=0,0,INDEX(TABLAS!$C$52:$C$58,MATCH(DATOS!$C$25,TABLAS!$B$52:$B$58,0))))+MAX(DATOS!$C$32,INDEX(TABLAS!$C$52:$C$58,MIN(MATCH(DATOS!$C$27,TABLAS!$B$52:$B$58,0)+1,7))))/(INDEX(TABLAS!$C$52:$C$58,MIN(MATCH(DATOS!$C$27,TABLAS!$B$52:$B$58,0)+1,7))+MAX(DATOS!$C$32,INDEX(TABLAS!$C$52:$C$58,MIN(MATCH(DATOS!$C$27,TABLAS!$B$52:$B$58,0)+1,7))))))),INDEX(TABLAS!$B$52:$B$58,MIN(MATCH(DATOS!$C$27,TABLAS!$B$52:$B$58,0)+1,7)),IF(AND(CE23&gt;=0,IF(MAX(DATOS!$C$29,CEILING(CE23/INDEX(TABLAS!$D$52:$D$58,MIN(MATCH(DATOS!$C$27,TABLAS!$B$52:$B$58,0)+2,7)),1))*INDEX(TABLAS!$D$52:$D$58,MIN(MATCH(DATOS!$C$27,TABLAS!$B$52:$B$58,0)+2,7))&gt;=4/3*IF(BE23&lt;=0,0,IF((1-2*BE23*1E5/(DATOS!$C$58*DATOS!$C$19*CD23^2*DATOS!$C$48))&lt;0,-1,IF((1-SQRT((1-2*BE23*1E5/(DATOS!$C$58*DATOS!$C$19*CD23^2*DATOS!$C$48))))*DATOS!$C$48*DATOS!$C$19*CD23/DATOS!$C$40&gt;DATOS!$C$82*DATOS!$C$19*CD23,-1,(1-SQRT((1-2*BE23*1E5/(DATOS!$C$58*DATOS!$C$19*CD23^2*DATOS!$C$48))))*DATOS!$C$48*DATOS!$C$19*CD23/DATOS!$C$40)))-0.0001,MAX(DATOS!$C$29,CEILING(CE23/INDEX(TABLAS!$D$52:$D$58,MIN(MATCH(DATOS!$C$27,TABLAS!$B$52:$B$58,0)+2,7)),1)),MAX(MAX(DATOS!$C$29,CEILING(CE23/INDEX(TABLAS!$D$52:$D$58,MIN(MATCH(DATOS!$C$27,TABLAS!$B$52:$B$58,0)+2,7)),1)),2))&lt;=MIN(DATOS!$C$28,INT(((DATOS!$C$13-2*S23-2*IF(DATOS!$C$25=0,0,INDEX(TABLAS!$C$52:$C$58,MATCH(DATOS!$C$25,TABLAS!$B$52:$B$58,0))))+MAX(DATOS!$C$32,INDEX(TABLAS!$C$52:$C$58,MIN(MATCH(DATOS!$C$27,TABLAS!$B$52:$B$58,0)+2,7))))/(INDEX(TABLAS!$C$52:$C$58,MIN(MATCH(DATOS!$C$27,TABLAS!$B$52:$B$58,0)+2,7))+MAX(DATOS!$C$32,INDEX(TABLAS!$C$52:$C$58,MIN(MATCH(DATOS!$C$27,TABLAS!$B$52:$B$58,0)+2,7))))))),INDEX(TABLAS!$B$52:$B$58,MIN(MATCH(DATOS!$C$27,TABLAS!$B$52:$B$58,0)+2,7)),IF(AND(CE23&gt;=0,IF(MAX(DATOS!$C$29,CEILING(CE23/INDEX(TABLAS!$D$52:$D$58,MIN(MATCH(DATOS!$C$27,TABLAS!$B$52:$B$58,0)+3,7)),1))*INDEX(TABLAS!$D$52:$D$58,MIN(MATCH(DATOS!$C$27,TABLAS!$B$52:$B$58,0)+3,7))&gt;=4/3*IF(BE23&lt;=0,0,IF((1-2*BE23*1E5/(DATOS!$C$58*DATOS!$C$19*CD23^2*DATOS!$C$48))&lt;0,-1,IF((1-SQRT((1-2*BE23*1E5/(DATOS!$C$58*DATOS!$C$19*CD23^2*DATOS!$C$48))))*DATOS!$C$48*DATOS!$C$19*CD23/DATOS!$C$40&gt;DATOS!$C$82*DATOS!$C$19*CD23,-1,(1-SQRT((1-2*BE23*1E5/(DATOS!$C$58*DATOS!$C$19*CD23^2*DATOS!$C$48))))*DATOS!$C$48*DATOS!$C$19*CD23/DATOS!$C$40)))-0.0001,MAX(DATOS!$C$29,CEILING(CE23/INDEX(TABLAS!$D$52:$D$58,MIN(MATCH(DATOS!$C$27,TABLAS!$B$52:$B$58,0)+3,7)),1)),MAX(MAX(DATOS!$C$29,CEILING(CE23/INDEX(TABLAS!$D$52:$D$58,MIN(MATCH(DATOS!$C$27,TABLAS!$B$52:$B$58,0)+3,7)),1)),2))&lt;=MIN(DATOS!$C$28,INT(((DATOS!$C$13-2*S23-2*IF(DATOS!$C$25=0,0,INDEX(TABLAS!$C$52:$C$58,MATCH(DATOS!$C$25,TABLAS!$B$52:$B$58,0))))+MAX(DATOS!$C$32,INDEX(TABLAS!$C$52:$C$58,MIN(MATCH(DATOS!$C$27,TABLAS!$B$52:$B$58,0)+3,7))))/(INDEX(TABLAS!$C$52:$C$58,MIN(MATCH(DATOS!$C$27,TABLAS!$B$52:$B$58,0)+3,7))+MAX(DATOS!$C$32,INDEX(TABLAS!$C$52:$C$58,MIN(MATCH(DATOS!$C$27,TABLAS!$B$52:$B$58,0)+3,7))))))),INDEX(TABLAS!$B$52:$B$58,MIN(MATCH(DATOS!$C$27,TABLAS!$B$52:$B$58,0)+3,7)),IF(AND(CE23&gt;=0,IF(MAX(DATOS!$C$29,CEILING(CE23/INDEX(TABLAS!$D$52:$D$58,MIN(MATCH(DATOS!$C$27,TABLAS!$B$52:$B$58,0)+4,7)),1))*INDEX(TABLAS!$D$52:$D$58,MIN(MATCH(DATOS!$C$27,TABLAS!$B$52:$B$58,0)+4,7))&gt;=4/3*IF(BE23&lt;=0,0,IF((1-2*BE23*1E5/(DATOS!$C$58*DATOS!$C$19*CD23^2*DATOS!$C$48))&lt;0,-1,IF((1-SQRT((1-2*BE23*1E5/(DATOS!$C$58*DATOS!$C$19*CD23^2*DATOS!$C$48))))*DATOS!$C$48*DATOS!$C$19*CD23/DATOS!$C$40&gt;DATOS!$C$82*DATOS!$C$19*CD23,-1,(1-SQRT((1-2*BE23*1E5/(DATOS!$C$58*DATOS!$C$19*CD23^2*DATOS!$C$48))))*DATOS!$C$48*DATOS!$C$19*CD23/DATOS!$C$40)))-0.0001,MAX(DATOS!$C$29,CEILING(CE23/INDEX(TABLAS!$D$52:$D$58,MIN(MATCH(DATOS!$C$27,TABLAS!$B$52:$B$58,0)+4,7)),1)),MAX(MAX(DATOS!$C$29,CEILING(CE23/INDEX(TABLAS!$D$52:$D$58,MIN(MATCH(DATOS!$C$27,TABLAS!$B$52:$B$58,0)+4,7)),1)),2))&lt;=MIN(DATOS!$C$28,INT(((DATOS!$C$13-2*S23-2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23" s="56">
        <f>IF(D23="HUECO",0,IF(CE23&lt;0,0,IF(MAX(DATOS!$C$29,CEILING(MAX(CE23,0)/INDEX(TABLAS!$D$52:$D$58,MATCH(CF23,TABLAS!$B$52:$B$58,0)),1))*INDEX(TABLAS!$D$52:$D$58,MATCH(CF23,TABLAS!$B$52:$B$58,0))&gt;=4/3*IF(BE23&lt;=0,0,IF((1-2*BE23*1E5/(DATOS!$C$58*DATOS!$C$19*CD23^2*DATOS!$C$48))&lt;0,-1,IF((1-SQRT((1-2*BE23*1E5/(DATOS!$C$58*DATOS!$C$19*CD23^2*DATOS!$C$48))))*DATOS!$C$48*DATOS!$C$19*CD23/DATOS!$C$40&gt;DATOS!$C$82*DATOS!$C$19*CD23,-1,(1-SQRT((1-2*BE23*1E5/(DATOS!$C$58*DATOS!$C$19*CD23^2*DATOS!$C$48))))*DATOS!$C$48*DATOS!$C$19*CD23/DATOS!$C$40)))-0.0001,MAX(DATOS!$C$29,CEILING(MAX(CE23,0)/INDEX(TABLAS!$D$52:$D$58,MATCH(CF23,TABLAS!$B$52:$B$58,0)),1)),MAX(MAX(DATOS!$C$29,CEILING(MAX(CE23,0)/INDEX(TABLAS!$D$52:$D$58,MATCH(CF23,TABLAS!$B$52:$B$58,0)),1)),2))))</f>
        <v>1</v>
      </c>
      <c r="CH23" s="43">
        <f>((DATOS!$C$15-S23-2*DATOS!$C$35-IF(DATOS!$C$25=0,0,INDEX(TABLAS!$C$52:$C$58,MATCH(DATOS!$C$25,TABLAS!$B$52:$B$58,0)))-INDEX(TABLAS!$C$52:$C$58,MATCH(BP23,TABLAS!$B$52:$B$58,0))-INDEX(TABLAS!$C$52:$C$58,MATCH(CF23,TABLAS!$B$52:$B$58,0))/2)-IF(AND((DATOS!$C$15-S23-2*DATOS!$C$35-IF(DATOS!$C$25=0,0,INDEX(TABLAS!$C$52:$C$58,MATCH(DATOS!$C$25,TABLAS!$B$52:$B$58,0)))-INDEX(TABLAS!$C$52:$C$58,MATCH(BP23,TABLAS!$B$52:$B$58,0))-INDEX(TABLAS!$C$52:$C$58,MATCH(CF23,TABLAS!$B$52:$B$58,0))/2)&lt;=20,DATOS!$C$18&lt;&gt;"SÍ"),2,0))</f>
        <v>20.119</v>
      </c>
      <c r="CI23" s="36">
        <f>IF(CG23=0,0,DATOS!$C$58*CG23*INDEX(TABLAS!$D$52:$D$58,MATCH(CF23,TABLAS!$B$52:$B$58,0))*DATOS!$C$40*(CH23-CG23*INDEX(TABLAS!$D$52:$D$58,MATCH(CF23,TABLAS!$B$52:$B$58,0))*DATOS!$C$40/(DATOS!$C$48*DATOS!$C$19)/2)/1E5)</f>
        <v>0.905582360117647</v>
      </c>
      <c r="CJ23" s="62">
        <f>IF(CE23&lt;0,9.99,IF(CI23&gt;0,BE23/CI23,0))</f>
        <v>0.475264552821597</v>
      </c>
      <c r="CK23" s="63">
        <f>IF(CG23=0,"—",0.003*(CH23-(CG23*INDEX(TABLAS!$D$52:$D$58,MATCH(CF23,TABLAS!$B$52:$B$58,0))*DATOS!$C$40/(DATOS!$C$48*DATOS!$C$19)/DATOS!$C$49))/(CG23*INDEX(TABLAS!$D$52:$D$58,MATCH(CF23,TABLAS!$B$52:$B$58,0))*DATOS!$C$40/(DATOS!$C$48*DATOS!$C$19)/DATOS!$C$49))</f>
        <v>0.0174386635264342</v>
      </c>
      <c r="CL23" s="52" t="str">
        <f>IF(D23="HUECO","—",IF(AND(D23="PERIMETRAL",J23*100&gt;=6*DATOS!$C$11,DATOS!$C$11&lt;=80,DATOS!$C$13&gt;=10,DATOS!$C$15&lt;=3.5*DATOS!$C$13,DATOS!$C$14&gt;=MAX(DATOS!$C$11/13,5)),"SÍ","NO"))</f>
        <v>SÍ</v>
      </c>
      <c r="CM23" s="36">
        <f>IF(D23="PERIMETRAL",MAX(0,(N23/2-BR23)/100)*(0.95-0.5*L23)*Y23*IF(AND(Z23&gt;0,Z23&lt;4),DATOS!$C$63,1)*DATOS!$C$16/100/1000+AX23,IF(D23="VOLADO",(Y23*MAX(0,N23-BR23)/100+DATOS!$C$55*BA23)*DATOS!$C$16/100/1000,0))</f>
        <v>0.930512349333298</v>
      </c>
      <c r="CN23" s="36">
        <f>IF(D23="HUECO",0,DATOS!$C$59*2*MIN(1,SQRT(2/(1+0.04*BR23)))*(BQ23*INDEX(TABLAS!$D$52:$D$58,MATCH(BP23,TABLAS!$B$52:$B$58,0))/(DATOS!$C$19*BR23))^(1/3)*SQRT(DATOS!$C$39)*DATOS!$C$19*BR23*IF(CL23="SÍ",DATOS!$C$62,1)/1000)</f>
        <v>1.0104515843408</v>
      </c>
      <c r="CO23" s="51" t="str">
        <f>IF(D23="HUECO","—",IF(CM23&lt;=CN23,"CUMPLE",IF(MAX(0,CEILING((IF(D23="VOLADO",(N23-(CN23*1E5/DATOS!$C$16-DATOS!$C$55*BA23)*100/Y23),IF(CN23&lt;=AX23,N23,N23/2-(CN23-AX23)/MAX(CM23-AX23,1E-9)*(N23/2-BR23)))-IF(INT((J23*100-DATOS!$C$17+DATOS!$C$13)/DATOS!$C$16)&gt;0,(J23*100-DATOS!$C$17-(INT((J23*100-DATOS!$C$17+DATOS!$C$13)/DATOS!$C$16)*DATOS!$C$11+(INT((J23*100-DATOS!$C$17+DATOS!$C$13)/DATOS!$C$16)-1)*DATOS!$C$13))/2,J23*100/2))/DATOS!$C$16,1))&lt;=0,"CUMPLE (basta el macizo de orilla)","MACIZAR "&amp;MAX(0,CEILING((IF(D23="VOLADO",(N23-(CN23*1E5/DATOS!$C$16-DATOS!$C$55*BA23)*100/Y23),IF(CN23&lt;=AX23,N23,N23/2-(CN23-AX23)/MAX(CM23-AX23,1E-9)*(N23/2-BR23)))-IF(INT((J23*100-DATOS!$C$17+DATOS!$C$13)/DATOS!$C$16)&gt;0,(J23*100-DATOS!$C$17-(INT((J23*100-DATOS!$C$17+DATOS!$C$13)/DATOS!$C$16)*DATOS!$C$11+(INT((J23*100-DATOS!$C$17+DATOS!$C$13)/DATOS!$C$16)-1)*DATOS!$C$13))/2,J23*100/2))/DATOS!$C$16,1))&amp;" hilera(s)")))</f>
        <v>CUMPLE</v>
      </c>
      <c r="CP23" s="43">
        <f>IF(D23="PERIMETRAL",((PRINCIPALES!$N$23*PRINCIPALES!$O$23^3/12/(4.000*100*IF(APOYOS!$G$85="CONTINUO",1,0.5)*DATOS!$C$77^3/12))+99+99+(PRINCIPALES!$N$32*PRINCIPALES!$O$32^3/12/(4.426*100*IF(APOYOS!$G$88="CONTINUO",1,0.5)*DATOS!$C$77^3/12)))/4,0)</f>
        <v>51.0294068211523</v>
      </c>
      <c r="CQ23" s="57">
        <f>IF(D23="PERIMETRAL",IF(CP23&gt;2,MAX(9,O23*(0.8+DATOS!$C$40/14000)/(36+9*(O23/MAX(N23,1)))),IF(CP23&gt;0.2,MAX(13,O23*(0.8+DATOS!$C$40/14000)/(36+5*(O23/MAX(N23,1))*(CP23-0.2))),MAX(13,O23/IF(Z23&gt;0,30,33))))*IF(AND(CP23&gt;0.2,OR(AND((APOYOS!$G$85="DISCONTINUO"),(PRINCIPALES!$N$23*PRINCIPALES!$O$23^3/12/(4.000*100*IF(APOYOS!$G$85="CONTINUO",1,0.5)*DATOS!$C$77^3/12))&lt;0.8),AND((APOYOS!$G$86="DISCONTINUO"),99&lt;0.8),AND((APOYOS!$G$87="DISCONTINUO"),99&lt;0.8),AND((APOYOS!$G$88="DISCONTINUO"),(PRINCIPALES!$N$32*PRINCIPALES!$O$32^3/12/(4.426*100*IF(APOYOS!$G$88="CONTINUO",1,0.5)*DATOS!$C$77^3/12))&lt;0.8))),1.1,1),IF(D23="VOLADO",MAX(25,J23*100/8),0))</f>
        <v>10.2261412662917</v>
      </c>
      <c r="CR23" s="57">
        <f>IF(D23="VOLADO",DATOS!$C$15,DATOS!$C$77)</f>
        <v>16.7232564120244</v>
      </c>
      <c r="CS23" s="52" t="str">
        <f>IF(D23="HUECO","—",IF(CR23&gt;=CQ23,"CUMPLE",IF(D23="VOLADO","NO CUMPLE","CALCULAR FLECHA")))</f>
        <v>CUMPLE</v>
      </c>
      <c r="CT23" s="52" t="str">
        <f>IF(D23="HUECO","—",IF(DATOS!$C$14&gt;=IF(IF(D23="VOLADO",J23,K23)&gt;=6,6,5),"CUMPLE","CAPA ≥ 6 cm"))</f>
        <v>CUMPLE</v>
      </c>
      <c r="CU23" s="59">
        <f>IF(D23="HUECO",0,IF(((4*((AL23*Y23*J23^2*1E-4*DATOS!$C$16/100/1000)+((MAX(AH23,AJ23)*Y23*J23^2*1E-4*DATOS!$C$16/100/1000)+(IF(AND(AH23&gt;0,AJ23&gt;0),MIN(AH23,AJ23),MAX(AH23,AJ23))*Y23*J23^2*1E-4*DATOS!$C$16/100/1000))/2)+BC23-(IF(AND(AH23&gt;0,AJ23&gt;0),MIN(AH23,AJ23),MAX(AH23,AJ23))*Y23*J23^2*1E-4*DATOS!$C$16/100/1000))^2-16*((AL23*Y23*J23^2*1E-4*DATOS!$C$16/100/1000)+((MAX(AH23,AJ23)*Y23*J23^2*1E-4*DATOS!$C$16/100/1000)+(IF(AND(AH23&gt;0,AJ23&gt;0),MIN(AH23,AJ23),MAX(AH23,AJ23))*Y23*J23^2*1E-4*DATOS!$C$16/100/1000))/2)*BC23)&lt;0,CEILING(N23,5),CEILING(MAX(N23*((4*((AL23*Y23*J23^2*1E-4*DATOS!$C$16/100/1000)+((MAX(AH23,AJ23)*Y23*J23^2*1E-4*DATOS!$C$16/100/1000)+(IF(AND(AH23&gt;0,AJ23&gt;0),MIN(AH23,AJ23),MAX(AH23,AJ23))*Y23*J23^2*1E-4*DATOS!$C$16/100/1000))/2)+BC23-(IF(AND(AH23&gt;0,AJ23&gt;0),MIN(AH23,AJ23),MAX(AH23,AJ23))*Y23*J23^2*1E-4*DATOS!$C$16/100/1000))-SQRT(MAX(0,((4*((AL23*Y23*J23^2*1E-4*DATOS!$C$16/100/1000)+((MAX(AH23,AJ23)*Y23*J23^2*1E-4*DATOS!$C$16/100/1000)+(IF(AND(AH23&gt;0,AJ23&gt;0),MIN(AH23,AJ23),MAX(AH23,AJ23))*Y23*J23^2*1E-4*DATOS!$C$16/100/1000))/2)+BC23-(IF(AND(AH23&gt;0,AJ23&gt;0),MIN(AH23,AJ23),MAX(AH23,AJ23))*Y23*J23^2*1E-4*DATOS!$C$16/100/1000))^2-16*((AL23*Y23*J23^2*1E-4*DATOS!$C$16/100/1000)+((MAX(AH23,AJ23)*Y23*J23^2*1E-4*DATOS!$C$16/100/1000)+(IF(AND(AH23&gt;0,AJ23&gt;0),MIN(AH23,AJ23),MAX(AH23,AJ23))*Y23*J23^2*1E-4*DATOS!$C$16/100/1000))/2)*BC23))))/(8*MAX(((AL23*Y23*J23^2*1E-4*DATOS!$C$16/100/1000)+((MAX(AH23,AJ23)*Y23*J23^2*1E-4*DATOS!$C$16/100/1000)+(IF(AND(AH23&gt;0,AJ23&gt;0),MIN(AH23,AJ23),MAX(AH23,AJ23))*Y23*J23^2*1E-4*DATOS!$C$16/100/1000))/2),1E-9))+MAX(BR23,12*INDEX(TABLAS!$C$52:$C$58,MATCH(BP23,TABLAS!$B$52:$B$58,0)),N23/16),IF(OR(S23&lt;INDEX(TABLAS!$C$52:$C$58,MATCH(BP23,TABLAS!$B$52:$B$58,0)),AND(BQ23&gt;=2,(DATOS!$C$13-2*S23-2*IF(DATOS!$C$25=0,0,INDEX(TABLAS!$C$52:$C$58,MATCH(DATOS!$C$25,TABLAS!$B$52:$B$58,0)))-BQ23*INDEX(TABLAS!$C$52:$C$58,MATCH(BP23,TABLAS!$B$52:$B$58,0)))/MAX(BQ23-1,1)&lt;2*INDEX(TABLAS!$C$52:$C$58,MATCH(BP23,TABLAS!$B$52:$B$58,0)))),INDEX(TABLAS!$I$52:$I$58,MATCH(BP23,TABLAS!$B$52:$B$58,0)),INDEX(TABLAS!$F$52:$F$58,MATCH(BP23,TABLAS!$B$52:$B$58,0)))),5)))</f>
        <v>105</v>
      </c>
      <c r="CV23" s="59">
        <f>IF(D23="HUECO",0,IF(((4*((AM23*Y23*J23^2*1E-4*DATOS!$C$16/100/1000)+((MAX(AI23,AK23)*Y23*J23^2*1E-4*DATOS!$C$16/100/1000)+(IF(AND(AI23&gt;0,AK23&gt;0),MIN(AI23,AK23),MAX(AI23,AK23))*Y23*J23^2*1E-4*DATOS!$C$16/100/1000))/2)+BE23-(IF(AND(AI23&gt;0,AK23&gt;0),MIN(AI23,AK23),MAX(AI23,AK23))*Y23*J23^2*1E-4*DATOS!$C$16/100/1000))^2-16*((AM23*Y23*J23^2*1E-4*DATOS!$C$16/100/1000)+((MAX(AI23,AK23)*Y23*J23^2*1E-4*DATOS!$C$16/100/1000)+(IF(AND(AI23&gt;0,AK23&gt;0),MIN(AI23,AK23),MAX(AI23,AK23))*Y23*J23^2*1E-4*DATOS!$C$16/100/1000))/2)*BE23)&lt;0,CEILING(O23,5),CEILING(MAX(O23*((4*((AM23*Y23*J23^2*1E-4*DATOS!$C$16/100/1000)+((MAX(AI23,AK23)*Y23*J23^2*1E-4*DATOS!$C$16/100/1000)+(IF(AND(AI23&gt;0,AK23&gt;0),MIN(AI23,AK23),MAX(AI23,AK23))*Y23*J23^2*1E-4*DATOS!$C$16/100/1000))/2)+BE23-(IF(AND(AI23&gt;0,AK23&gt;0),MIN(AI23,AK23),MAX(AI23,AK23))*Y23*J23^2*1E-4*DATOS!$C$16/100/1000))-SQRT(MAX(0,((4*((AM23*Y23*J23^2*1E-4*DATOS!$C$16/100/1000)+((MAX(AI23,AK23)*Y23*J23^2*1E-4*DATOS!$C$16/100/1000)+(IF(AND(AI23&gt;0,AK23&gt;0),MIN(AI23,AK23),MAX(AI23,AK23))*Y23*J23^2*1E-4*DATOS!$C$16/100/1000))/2)+BE23-(IF(AND(AI23&gt;0,AK23&gt;0),MIN(AI23,AK23),MAX(AI23,AK23))*Y23*J23^2*1E-4*DATOS!$C$16/100/1000))^2-16*((AM23*Y23*J23^2*1E-4*DATOS!$C$16/100/1000)+((MAX(AI23,AK23)*Y23*J23^2*1E-4*DATOS!$C$16/100/1000)+(IF(AND(AI23&gt;0,AK23&gt;0),MIN(AI23,AK23),MAX(AI23,AK23))*Y23*J23^2*1E-4*DATOS!$C$16/100/1000))/2)*BE23))))/(8*MAX(((AM23*Y23*J23^2*1E-4*DATOS!$C$16/100/1000)+((MAX(AI23,AK23)*Y23*J23^2*1E-4*DATOS!$C$16/100/1000)+(IF(AND(AI23&gt;0,AK23&gt;0),MIN(AI23,AK23),MAX(AI23,AK23))*Y23*J23^2*1E-4*DATOS!$C$16/100/1000))/2),1E-9))+MAX(CH23,12*INDEX(TABLAS!$C$52:$C$58,MATCH(CF23,TABLAS!$B$52:$B$58,0)),O23/16),IF(OR(S23&lt;INDEX(TABLAS!$C$52:$C$58,MATCH(CF23,TABLAS!$B$52:$B$58,0)),AND(CG23&gt;=2,(DATOS!$C$13-2*S23-2*IF(DATOS!$C$25=0,0,INDEX(TABLAS!$C$52:$C$58,MATCH(DATOS!$C$25,TABLAS!$B$52:$B$58,0)))-CG23*INDEX(TABLAS!$C$52:$C$58,MATCH(CF23,TABLAS!$B$52:$B$58,0)))/MAX(CG23-1,1)&lt;2*INDEX(TABLAS!$C$52:$C$58,MATCH(CF23,TABLAS!$B$52:$B$58,0)))),INDEX(TABLAS!$I$52:$I$58,MATCH(CF23,TABLAS!$B$52:$B$58,0)),INDEX(TABLAS!$F$52:$F$58,MATCH(CF23,TABLAS!$B$52:$B$58,0)))),5)))</f>
        <v>120</v>
      </c>
      <c r="CW23" s="56">
        <f>MAX(0,INT((F23*100-DATOS!$C$17+DATOS!$C$13)/DATOS!$C$16))</f>
        <v>6</v>
      </c>
      <c r="CX23" s="56">
        <f>MAX(0,INT((G23*100-DATOS!$C$17+DATOS!$C$13)/DATOS!$C$16))</f>
        <v>5</v>
      </c>
      <c r="CY23" s="51" t="str">
        <f>IF(COUNTIFS(TRIB!$C$6:$C$255,B23,TRIB!$K$6:$K$255,"NO CUMPLE*")+COUNTIFS(TRIB!$C$6:$C$255,B23,TRIB!$K$6:$K$255,"SIN APOYO*")&gt;0,"VER PRINCIPALES",IF((APOYOS!$F$85="LIBRE")+(APOYOS!$F$86="LIBRE")+(APOYOS!$F$87="LIBRE")+(APOYOS!$F$88="LIBRE")&gt;0,"REVISAR: borde libre","OK"))</f>
        <v>OK</v>
      </c>
      <c r="CZ23" s="64" t="str">
        <f>IF(D23="HUECO","HUECO — marco de nervaduras principales",IF(AND(MAX(BL23,BT23,CB23,CJ23)&lt;=1,NOT(OR(BI23&gt;MIN(DATOS!$C$28,INT(((DATOS!$C$13-2*R23-2*IF(DATOS!$C$25=0,0,INDEX(TABLAS!$C$52:$C$58,MATCH(DATOS!$C$25,TABLAS!$B$52:$B$58,0))))+DATOS!$C$32)/(INDEX(TABLAS!$C$52:$C$58,MATCH(BH23,TABLAS!$B$52:$B$58,0))+DATOS!$C$32))),BQ23&gt;MIN(DATOS!$C$28,INT(((DATOS!$C$13-2*S23-2*IF(DATOS!$C$25=0,0,INDEX(TABLAS!$C$52:$C$58,MATCH(DATOS!$C$25,TABLAS!$B$52:$B$58,0))))+DATOS!$C$32)/(INDEX(TABLAS!$C$52:$C$58,MATCH(BP23,TABLAS!$B$52:$B$58,0))+DATOS!$C$32))),BY23&gt;MIN(DATOS!$C$28,INT(((DATOS!$C$13-2*R23-2*IF(DATOS!$C$25=0,0,INDEX(TABLAS!$C$52:$C$58,MATCH(DATOS!$C$25,TABLAS!$B$52:$B$58,0))))+DATOS!$C$32)/(INDEX(TABLAS!$C$52:$C$58,MATCH(BX23,TABLAS!$B$52:$B$58,0))+DATOS!$C$32))),CG23&gt;MIN(DATOS!$C$28,INT(((DATOS!$C$13-2*S23-2*IF(DATOS!$C$25=0,0,INDEX(TABLAS!$C$52:$C$58,MATCH(DATOS!$C$25,TABLAS!$B$52:$B$58,0))))+DATOS!$C$32)/(INDEX(TABLAS!$C$52:$C$58,MATCH(CF23,TABLAS!$B$52:$B$58,0))+DATOS!$C$32))))),NOT(OR(AND(ISNUMBER(BM23),BM23&lt;0.005),AND(ISNUMBER(BU23),BU23&lt;0.005),AND(ISNUMBER(CC23),CC23&lt;0.005),AND(ISNUMBER(CK23),CK23&lt;0.005))),CS23="CUMPLE",CT23="CUMPLE"),IF(CY23="OK",IF(LEFT(CO23,6)="CUMPLE","CUMPLE","CUMPLE — "&amp;CO23)&amp;IF(LEFT(AZ23,5)="FUERA"," · fuera de 3.4.2.1 c)",""),IF(CY23="VER PRINCIPALES","VER PRINCIPALES","REVISAR APOYOS")),IF(AND(MAX(BL23,BT23,CB23,CJ23)&lt;=1,NOT(OR(BI23&gt;MIN(DATOS!$C$28,INT(((DATOS!$C$13-2*R23-2*IF(DATOS!$C$25=0,0,INDEX(TABLAS!$C$52:$C$58,MATCH(DATOS!$C$25,TABLAS!$B$52:$B$58,0))))+DATOS!$C$32)/(INDEX(TABLAS!$C$52:$C$58,MATCH(BH23,TABLAS!$B$52:$B$58,0))+DATOS!$C$32))),BQ23&gt;MIN(DATOS!$C$28,INT(((DATOS!$C$13-2*S23-2*IF(DATOS!$C$25=0,0,INDEX(TABLAS!$C$52:$C$58,MATCH(DATOS!$C$25,TABLAS!$B$52:$B$58,0))))+DATOS!$C$32)/(INDEX(TABLAS!$C$52:$C$58,MATCH(BP23,TABLAS!$B$52:$B$58,0))+DATOS!$C$32))),BY23&gt;MIN(DATOS!$C$28,INT(((DATOS!$C$13-2*R23-2*IF(DATOS!$C$25=0,0,INDEX(TABLAS!$C$52:$C$58,MATCH(DATOS!$C$25,TABLAS!$B$52:$B$58,0))))+DATOS!$C$32)/(INDEX(TABLAS!$C$52:$C$58,MATCH(BX23,TABLAS!$B$52:$B$58,0))+DATOS!$C$32))),CG23&gt;MIN(DATOS!$C$28,INT(((DATOS!$C$13-2*S23-2*IF(DATOS!$C$25=0,0,INDEX(TABLAS!$C$52:$C$58,MATCH(DATOS!$C$25,TABLAS!$B$52:$B$58,0))))+DATOS!$C$32)/(INDEX(TABLAS!$C$52:$C$58,MATCH(CF23,TABLAS!$B$52:$B$58,0))+DATOS!$C$32))))),NOT(OR(AND(ISNUMBER(BM23),BM23&lt;0.005),AND(ISNUMBER(BU23),BU23&lt;0.005),AND(ISNUMBER(CC23),CC23&lt;0.005),AND(ISNUMBER(CK23),CK23&lt;0.005))),CS23="CALCULAR FLECHA"),"REVISAR: calcular flecha (h_eq &lt; h mín.)","NO CUMPLE: "&amp;IF(MAX(BL23,BT23,CB23,CJ23)&gt;1,"flexión ","")&amp;IF(OR(BI23&gt;MIN(DATOS!$C$28,INT(((DATOS!$C$13-2*R23-2*IF(DATOS!$C$25=0,0,INDEX(TABLAS!$C$52:$C$58,MATCH(DATOS!$C$25,TABLAS!$B$52:$B$58,0))))+DATOS!$C$32)/(INDEX(TABLAS!$C$52:$C$58,MATCH(BH23,TABLAS!$B$52:$B$58,0))+DATOS!$C$32))),BQ23&gt;MIN(DATOS!$C$28,INT(((DATOS!$C$13-2*S23-2*IF(DATOS!$C$25=0,0,INDEX(TABLAS!$C$52:$C$58,MATCH(DATOS!$C$25,TABLAS!$B$52:$B$58,0))))+DATOS!$C$32)/(INDEX(TABLAS!$C$52:$C$58,MATCH(BP23,TABLAS!$B$52:$B$58,0))+DATOS!$C$32))),BY23&gt;MIN(DATOS!$C$28,INT(((DATOS!$C$13-2*R23-2*IF(DATOS!$C$25=0,0,INDEX(TABLAS!$C$52:$C$58,MATCH(DATOS!$C$25,TABLAS!$B$52:$B$58,0))))+DATOS!$C$32)/(INDEX(TABLAS!$C$52:$C$58,MATCH(BX23,TABLAS!$B$52:$B$58,0))+DATOS!$C$32))),CG23&gt;MIN(DATOS!$C$28,INT(((DATOS!$C$13-2*S23-2*IF(DATOS!$C$25=0,0,INDEX(TABLAS!$C$52:$C$58,MATCH(DATOS!$C$25,TABLAS!$B$52:$B$58,0))))+DATOS!$C$32)/(INDEX(TABLAS!$C$52:$C$58,MATCH(CF23,TABLAS!$B$52:$B$58,0))+DATOS!$C$32)))),"no caben ","")&amp;IF(OR(AND(ISNUMBER(BM23),BM23&lt;0.005),AND(ISNUMBER(BU23),BU23&lt;0.005),AND(ISNUMBER(CC23),CC23&lt;0.005),AND(ISNUMBER(CK23),CK23&lt;0.005)),"ε_t &lt; 0.005 ","")&amp;IF(CS23="NO CUMPLE","peralte ","")&amp;IF(CT23&lt;&gt;"CUMPLE","capa &lt; 6 cm",""))))</f>
        <v>CUMPLE · fuera de 3.4.2.1 c)</v>
      </c>
      <c r="DA23" s="65" t="str">
        <f>IF(AND(D23="PERIMETRAL",MIN(CW23,CX23)=0),"Tablero macizo (no cabe un casetón en el claro corto): no aplica 6.7.8. La resistencia se revisa con una nervadura de 10 cm cada 70 cm y r_np (conservador); "&amp;"como losa maciza lleva además As,mín = 0.0018·Ag en cada dirección cerca de la cara a tensión (6.7.6.1.1, p. 175). ",IF(AND(CL23="NO",D23="PERIMETRAL"),"No cumple 6.7.8.1.4 (a_c = "&amp;DATOS!$C$11&amp;" cm &gt; claro corto/6 = "&amp;TEXT(J23*100/6,"0")&amp;" cm): se diseña como losa apoyada en vigas (6.7.8.1.9): nervaduras con recubrimiento de viga r_np = "&amp;DATOS!$C$22&amp;" cm (Tabla 4.14.16.a), V_cR sin ×1.1 y cortante sin estribos por 5.5.3.8.1 (criterio del Proyectista). Para que cuente como encasetonada: casetón de "&amp;TEXT(FLOOR(MIN(80,J23*100/6),1),"0")&amp;" cm o menor. ",""))&amp;IF(LEFT(AZ23,5)="FUERA","M⁻ del borde común "&amp;AZ23&amp;": difieren más de 50% (3.4.2.1 c); se distribuyen 2/3 del desequilibrio (3.4.3.1) y conviene confirmar los momentos con el modelo. ","")&amp;"—"</f>
        <v>M⁻ del borde común FUERA con F80008 F80014 F80017 · junto al volado F80019: se arma con su M⁻ y su cortante entra en V_u: difieren más de 50% (3.4.2.1 c); se distribuyen 2/3 del desequilibrio (3.4.3.1) y conviene confirmar los momentos con el modelo. —</v>
      </c>
    </row>
    <row r="24" ht="30" customHeight="1">
      <c r="B24" s="51" t="inlineStr">
        <is>
          <t>F80017 N+3.00</t>
        </is>
      </c>
      <c r="C24" s="52" t="inlineStr">
        <is>
          <t>N+3.00</t>
        </is>
      </c>
      <c r="D24" s="53" t="inlineStr">
        <is>
          <t>PERIMETRAL</t>
        </is>
      </c>
      <c r="E24" s="53" t="inlineStr">
        <is>
          <t>HABITACIÓN</t>
        </is>
      </c>
      <c r="F24" s="54" t="n">
        <v>0.499</v>
      </c>
      <c r="G24" s="54" t="n">
        <v>4</v>
      </c>
      <c r="H24" s="55" t="n">
        <v>0.499</v>
      </c>
      <c r="I24" s="55" t="n">
        <v>4</v>
      </c>
      <c r="J24" s="36">
        <f>MIN(H24,I24)</f>
        <v>0.499</v>
      </c>
      <c r="K24" s="36">
        <f>MAX(H24,I24)</f>
        <v>4</v>
      </c>
      <c r="L24" s="36">
        <f>IF(K24&gt;0,J24/K24,0)</f>
        <v>0.12475</v>
      </c>
      <c r="M24" s="52" t="str">
        <f>IF(H24&lt;=I24,"X","Y")</f>
        <v>X</v>
      </c>
      <c r="N24" s="56">
        <f>MAX(0,J24*100-IF(D24="VOLADO",DATOS!$C$17/2,DATOS!$C$17))</f>
        <v>34.9</v>
      </c>
      <c r="O24" s="56">
        <f>MAX(0,K24*100-DATOS!$C$17)</f>
        <v>385</v>
      </c>
      <c r="P24" s="57">
        <f>MIN(DATOS!$C$16,DATOS!$C$13+2*MIN(8*DATOS!$C$14,DATOS!$C$11/2,N24/8))</f>
        <v>18.725</v>
      </c>
      <c r="Q24" s="57">
        <f>MIN(DATOS!$C$16,DATOS!$C$13+2*MIN(8*DATOS!$C$14,DATOS!$C$11/2,O24/8))</f>
        <v>70</v>
      </c>
      <c r="R24" s="57">
        <f>IF(D24="VOLADO",DATOS!$C$21,IF(CL24="NO",DATOS!$C$22,DATOS!$C$20))</f>
        <v>4</v>
      </c>
      <c r="S24" s="57">
        <f>IF(OR(AND(C24="N+6.00",DATOS!$C$23="SÍ"),AND(D24="VOLADO",DATOS!$C$24="SÍ")),DATOS!$C$21,IF(CL24="NO",DATOS!$C$22,DATOS!$C$20))</f>
        <v>4</v>
      </c>
      <c r="T24" s="58" t="n">
        <v>160</v>
      </c>
      <c r="U24" s="56">
        <f>IF(E24="HABITACIÓN",DATOS!$C$89,DATOS!$C$92)</f>
        <v>190</v>
      </c>
      <c r="V24" s="56">
        <f>CARGAS!$C$9</f>
        <v>293.673469387755</v>
      </c>
      <c r="W24" s="56">
        <f>V24+T24</f>
        <v>453.673469387755</v>
      </c>
      <c r="X24" s="56">
        <f>W24+U24</f>
        <v>643.673469387755</v>
      </c>
      <c r="Y24" s="59">
        <f>MAX(DATOS!$C$55*W24+DATOS!$C$56*U24,IF(E24="AZOTEA",DATOS!$C$57*(W24+DATOS!$C$97),0))</f>
        <v>874.775510204082</v>
      </c>
      <c r="Z24" s="56">
        <f>(APOYOS!$G$89="DISCONTINUO")+(APOYOS!$G$90="DISCONTINUO")+(APOYOS!$G$91="DISCONTINUO")+(APOYOS!$G$92="DISCONTINUO")</f>
        <v>0</v>
      </c>
      <c r="AA24" s="56">
        <f>IF(M24="X",(APOYOS!$G$89="DISCONTINUO")+(APOYOS!$G$90="DISCONTINUO"),(APOYOS!$G$91="DISCONTINUO")+(APOYOS!$G$92="DISCONTINUO"))</f>
        <v>0</v>
      </c>
      <c r="AB24" s="56">
        <f>Z24-AA24</f>
        <v>0</v>
      </c>
      <c r="AC24" s="52" t="str">
        <f>IF(Z24=0,"INTERIOR",IF(Z24=1,IF(AA24=1,"BORDE-CORTO","BORDE-LARGO"),IF(Z24=2,IF(AA24=1,"ESQUINA",IF(AA24=2,"EXTREMO-LARGO","EXTREMO-CORTO")),IF(Z24=3,IF(AA24=2,"EXTREMO-LARGO","EXTREMO-CORTO"),"AISLADO"))))</f>
        <v>INTERIOR</v>
      </c>
      <c r="AD24" s="53" t="inlineStr">
        <is>
          <t>AUTO</t>
        </is>
      </c>
      <c r="AE24" s="60" t="str">
        <f>IF(AD24="AUTO",AC24,AD24)</f>
        <v>INTERIOR</v>
      </c>
      <c r="AF24" s="56">
        <f>MATCH(L24,TABLAS!$D$5:$J$5,1)</f>
        <v>1</v>
      </c>
      <c r="AG24" s="43">
        <f>IF(AF24&gt;=7,0,(L24-INDEX(TABLAS!$D$5:$J$5,AF24))/(INDEX(TABLAS!$D$5:$J$5,AF24+1)-INDEX(TABLAS!$D$5:$J$5,AF24)))</f>
        <v>0.2495</v>
      </c>
      <c r="AH24" s="56">
        <f>INDEX(TABLAS!$D$6:$J$47,MATCH(AE24&amp;"|NIC",TABLAS!$B$6:$B$47,0),AF24)+AG24*(INDEX(TABLAS!$D$6:$J$47,MATCH(AE24&amp;"|NIC",TABLAS!$B$6:$B$47,0),MIN(AF24+1,7))-INDEX(TABLAS!$D$6:$J$47,MATCH(AE24&amp;"|NIC",TABLAS!$B$6:$B$47,0),AF24))</f>
        <v>1038.419</v>
      </c>
      <c r="AI24" s="56">
        <f>INDEX(TABLAS!$D$6:$J$47,MATCH(AE24&amp;"|NIL",TABLAS!$B$6:$B$47,0),AF24)+AG24*(INDEX(TABLAS!$D$6:$J$47,MATCH(AE24&amp;"|NIL",TABLAS!$B$6:$B$47,0),MIN(AF24+1,7))-INDEX(TABLAS!$D$6:$J$47,MATCH(AE24&amp;"|NIL",TABLAS!$B$6:$B$47,0),AF24))</f>
        <v>524.483</v>
      </c>
      <c r="AJ24" s="56">
        <f>INDEX(TABLAS!$D$6:$J$47,MATCH(AE24&amp;"|NDC",TABLAS!$B$6:$B$47,0),AF24)+AG24*(INDEX(TABLAS!$D$6:$J$47,MATCH(AE24&amp;"|NDC",TABLAS!$B$6:$B$47,0),MIN(AF24+1,7))-INDEX(TABLAS!$D$6:$J$47,MATCH(AE24&amp;"|NDC",TABLAS!$B$6:$B$47,0),AF24))</f>
        <v>0</v>
      </c>
      <c r="AK24" s="56">
        <f>INDEX(TABLAS!$D$6:$J$47,MATCH(AE24&amp;"|NDL",TABLAS!$B$6:$B$47,0),AF24)+AG24*(INDEX(TABLAS!$D$6:$J$47,MATCH(AE24&amp;"|NDL",TABLAS!$B$6:$B$47,0),MIN(AF24+1,7))-INDEX(TABLAS!$D$6:$J$47,MATCH(AE24&amp;"|NDL",TABLAS!$B$6:$B$47,0),AF24))</f>
        <v>0</v>
      </c>
      <c r="AL24" s="56">
        <f>INDEX(TABLAS!$D$6:$J$47,MATCH(AE24&amp;"|PC",TABLAS!$B$6:$B$47,0),AF24)+AG24*(INDEX(TABLAS!$D$6:$J$47,MATCH(AE24&amp;"|PC",TABLAS!$B$6:$B$47,0),MIN(AF24+1,7))-INDEX(TABLAS!$D$6:$J$47,MATCH(AE24&amp;"|PC",TABLAS!$B$6:$B$47,0),AF24))</f>
        <v>550.659</v>
      </c>
      <c r="AM24" s="56">
        <f>INDEX(TABLAS!$D$6:$J$47,MATCH(AE24&amp;"|PL",TABLAS!$B$6:$B$47,0),AF24)+AG24*(INDEX(TABLAS!$D$6:$J$47,MATCH(AE24&amp;"|PL",TABLAS!$B$6:$B$47,0),MIN(AF24+1,7))-INDEX(TABLAS!$D$6:$J$47,MATCH(AE24&amp;"|PL",TABLAS!$B$6:$B$47,0),AF24))</f>
        <v>166.018</v>
      </c>
      <c r="AN24" s="36">
        <f>IF(D24="PERIMETRAL",IF(APOYOS!$G$89="CONTINUO",IF(M24="Y",AH24,AI24),IF(M24="Y",AJ24,AK24))*Y24*J24^2*1E-4*DATOS!$C$16/100/1000,0)</f>
        <v>0.00799700124303901</v>
      </c>
      <c r="AO24" s="36">
        <f>IF(D24="PERIMETRAL",IF(APOYOS!$G$90="CONTINUO",IF(M24="Y",AH24,AI24),IF(M24="Y",AJ24,AK24))*Y24*J24^2*1E-4*DATOS!$C$16/100/1000,0)</f>
        <v>0.00799700124303901</v>
      </c>
      <c r="AP24" s="36">
        <f>IF(D24="PERIMETRAL",IF(APOYOS!$G$91="CONTINUO",IF(M24="X",AH24,AI24),IF(M24="X",AJ24,AK24))*Y24*J24^2*1E-4*DATOS!$C$16/100/1000,0)</f>
        <v>0.0158331881753943</v>
      </c>
      <c r="AQ24" s="36">
        <f>IF(D24="PERIMETRAL",IF(APOYOS!$G$92="CONTINUO",IF(M24="X",AH24,AI24),IF(M24="X",AJ24,AK24))*Y24*J24^2*1E-4*DATOS!$C$16/100/1000,0)</f>
        <v>0.0158331881753943</v>
      </c>
      <c r="AR24" s="56">
        <f>IF(D24="PERIMETRAL",IF(M24="X",BN24,CD24)^3/(J24*100),0)</f>
        <v>146.07156635008</v>
      </c>
      <c r="AS24" s="56">
        <f>IF(D24="PERIMETRAL",IF(M24="Y",BN24,CD24)^3/(J24*100),0)</f>
        <v>119.207101786754</v>
      </c>
      <c r="AT24" s="36">
        <f>IF(D24="PERIMETRAL",MAX(0,IF(M24="Y",IF(AND(OR(APOYOS!$G$89="CONTINUO",APOYOS!$G$54="CONTINUO"),AN24&gt;0,AO15&gt;0,AO15&gt;AN24),AN24+2/3*(AO15-AN24)*AS24/MAX(AS24+AS15,1E-9),0),0),IF(M24="X",IF(AND(OR(APOYOS!$G$91="CONTINUO",APOYOS!$G$88="CONTINUO"),AP24&gt;0,AQ23&gt;0,AQ23&gt;AP24),AP24+2/3*(AQ23-AP24)*AR24/MAX(AR24+AR23,1E-9),0),0),IF(M24="X",IF(AND(OR(APOYOS!$G$92="CONTINUO",APOYOS!$G$95="CONTINUO"),AQ24&gt;0,AP25&gt;0,AP25&gt;AQ24),AQ24+2/3*(AP25-AQ24)*AR24/MAX(AR24+AR25,1E-9),0),0)),0)</f>
        <v>0.258397167799737</v>
      </c>
      <c r="AU24" s="36">
        <f>IF(D24="PERIMETRAL",MAX(0,IF(M24&lt;&gt;"Y",IF(AND(OR(APOYOS!$G$89="CONTINUO",APOYOS!$G$54="CONTINUO"),AN24&gt;0,AO15&gt;0,AO15&gt;AN24),AN24+2/3*(AO15-AN24)*AS24/MAX(AS24+AS15,1E-9),0),0),IF(M24&lt;&gt;"X",IF(AND(OR(APOYOS!$G$91="CONTINUO",APOYOS!$G$88="CONTINUO"),AP24&gt;0,AQ23&gt;0,AQ23&gt;AP24),AP24+2/3*(AQ23-AP24)*AR24/MAX(AR24+AR23,1E-9),0),0),IF(M24&lt;&gt;"X",IF(AND(OR(APOYOS!$G$92="CONTINUO",APOYOS!$G$95="CONTINUO"),AQ24&gt;0,AP25&gt;0,AP25&gt;AQ24),AQ24+2/3*(AP25-AQ24)*AR24/MAX(AR24+AR25,1E-9),0),0)),0)</f>
        <v>0.0727850883951923</v>
      </c>
      <c r="AV24" s="36">
        <f>IF(D24="PERIMETRAL",(IF(M24="Y",IF(AND(OR(APOYOS!$G$89="CONTINUO",APOYOS!$G$54="CONTINUO"),AN24&gt;0,AO15&gt;0,AN24&gt;AO15),2/3*(AN24-AO15)*AS24/MAX(AS24+AS15,1E-9),0),0)+IF(M24="X",IF(AND(OR(APOYOS!$G$91="CONTINUO",APOYOS!$G$88="CONTINUO"),AP24&gt;0,AQ23&gt;0,AP24&gt;AQ23),2/3*(AP24-AQ23)*AR24/MAX(AR24+AR23,1E-9),0),0)+IF(M24="X",IF(AND(OR(APOYOS!$G$92="CONTINUO",APOYOS!$G$95="CONTINUO"),AQ24&gt;0,AP25&gt;0,AQ24&gt;AP25),2/3*(AQ24-AP25)*AR24/MAX(AR24+AR25,1E-9),0),0))/2,0)</f>
        <v>0</v>
      </c>
      <c r="AW24" s="36">
        <f>IF(D24="PERIMETRAL",(IF(M24&lt;&gt;"Y",IF(AND(OR(APOYOS!$G$89="CONTINUO",APOYOS!$G$54="CONTINUO"),AN24&gt;0,AO15&gt;0,AN24&gt;AO15),2/3*(AN24-AO15)*AS24/MAX(AS24+AS15,1E-9),0),0)+IF(M24&lt;&gt;"X",IF(AND(OR(APOYOS!$G$91="CONTINUO",APOYOS!$G$88="CONTINUO"),AP24&gt;0,AQ23&gt;0,AP24&gt;AQ23),2/3*(AP24-AQ23)*AR24/MAX(AR24+AR23,1E-9),0),0)+IF(M24&lt;&gt;"X",IF(AND(OR(APOYOS!$G$92="CONTINUO",APOYOS!$G$95="CONTINUO"),AQ24&gt;0,AP25&gt;0,AQ24&gt;AP25),2/3*(AQ24-AP25)*AR24/MAX(AR24+AR25,1E-9),0),0))/2,0)</f>
        <v>0</v>
      </c>
      <c r="AX24" s="36">
        <f>IF(D24="PERIMETRAL",MAX(0,IF(AND(APOYOS!$G$90="CONTINUO",D26="VOLADO"),MAX(0,BC26-AO24)/MAX(IF(M24="Y",N24,O24)/100,0.01),0)),0)</f>
        <v>0.46634323181999</v>
      </c>
      <c r="AY24" s="52" t="str">
        <f>IF(D24&lt;&gt;"PERIMETRAL","",IF(AND(OR(APOYOS!$G$89="CONTINUO",APOYOS!$G$54="CONTINUO"),AN24&gt;0,AO15&gt;0,ABS(AN24-AO15)&gt;0.5*MIN(AN24,AO15))," F80008","")&amp;IF(AND(OR(APOYOS!$G$91="CONTINUO",APOYOS!$G$88="CONTINUO"),AP24&gt;0,AQ23&gt;0,ABS(AP24-AQ23)&gt;0.5*MIN(AP24,AQ23))," F80016","")&amp;IF(AND(OR(APOYOS!$G$92="CONTINUO",APOYOS!$G$95="CONTINUO"),AQ24&gt;0,AP25&gt;0,ABS(AQ24-AP25)&gt;0.5*MIN(AQ24,AP25))," F80018",""))</f>
        <v> F80008 F80016 F80018</v>
      </c>
      <c r="AZ24" s="52" t="str">
        <f>IF(D24&lt;&gt;"PERIMETRAL","—",IF(AY24="","CUMPLE","FUERA con"&amp;AY24)&amp;IF(AND(D15="PERIMETRAL",APOYOS!$G$89&lt;&gt;APOYOS!$G$54)," · continuidad asimétrica con F80008 (cada uno con su momento; revisar APOYOS)","")&amp;IF(AND(D23="PERIMETRAL",APOYOS!$G$91&lt;&gt;APOYOS!$G$88)," · continuidad asimétrica con F80016 (cada uno con su momento; revisar APOYOS)","")&amp;IF(AND(D25="PERIMETRAL",APOYOS!$G$92&lt;&gt;APOYOS!$G$95)," · continuidad asimétrica con F80018 (cada uno con su momento; revisar APOYOS)","")&amp;IF(AND(APOYOS!$G$90="CONTINUO",D26="VOLADO")," · junto al volado F80019: se arma con su M⁻ y su cortante entra en V_u",""))</f>
        <v>FUERA con F80008 F80016 F80018 · junto al volado F80019: se arma con su M⁻ y su cortante entra en V_u</v>
      </c>
      <c r="BA24" s="61" t="n">
        <v>0</v>
      </c>
      <c r="BB24" s="36">
        <f>IF(D24="PERIMETRAL",AL24*Y24*J24^2*1E-4*DATOS!$C$16/100/1000+AV24,0)</f>
        <v>0.00839611714295911</v>
      </c>
      <c r="BC24" s="36">
        <f>IF(D24="PERIMETRAL",MAX(MAX(AH24,AJ24)*Y24*J24^2*1E-4*DATOS!$C$16/100/1000,AT24),IF(D24="VOLADO",(Y24*(N24/100)^2/2+DATOS!$C$55*BA24*N24/100)*DATOS!$C$16/100/1000,0))</f>
        <v>0.258397167799737</v>
      </c>
      <c r="BD24" s="36">
        <f>IF(D24="PERIMETRAL",AM24*Y24*J24^2*1E-4*DATOS!$C$16/100/1000+AW24,0)</f>
        <v>0.0025313425837765</v>
      </c>
      <c r="BE24" s="36">
        <f>IF(D24="PERIMETRAL",MAX(MAX(AI24,AK24)*Y24*J24^2*1E-4*DATOS!$C$16/100/1000,AU24),0)</f>
        <v>0.0727850883951923</v>
      </c>
      <c r="BF24" s="43">
        <f>(DATOS!$C$15-R24-IF(DATOS!$C$25=0,0,INDEX(TABLAS!$C$52:$C$58,MATCH(DATOS!$C$25,TABLAS!$B$52:$B$58,0)))-INDEX(TABLAS!$C$52:$C$58,MATCH(DATOS!$C$26,TABLAS!$B$52:$B$58,0))/2)</f>
        <v>20.365</v>
      </c>
      <c r="BG24" s="43">
        <f>IF(D24="HUECO",0,IF(IF(BB24&lt;=0,0,IF((1-2*BB24*1E5/(DATOS!$C$58*P24*BF24^2*DATOS!$C$48))&lt;0,-1,IF((1-SQRT((1-2*BB24*1E5/(DATOS!$C$58*P24*BF24^2*DATOS!$C$48))))*DATOS!$C$48*P24*BF24/DATOS!$C$40&gt;DATOS!$C$82*P24*BF24,-1,(1-SQRT((1-2*BB24*1E5/(DATOS!$C$58*P24*BF24^2*DATOS!$C$48))))*DATOS!$C$48*P24*BF24/DATOS!$C$40)))&lt;0,-1,MAX(IF(BB24&lt;=0,0,IF((1-2*BB24*1E5/(DATOS!$C$58*P24*BF24^2*DATOS!$C$48))&lt;0,-1,IF((1-SQRT((1-2*BB24*1E5/(DATOS!$C$58*P24*BF24^2*DATOS!$C$48))))*DATOS!$C$48*P24*BF24/DATOS!$C$40&gt;DATOS!$C$82*P24*BF24,-1,(1-SQRT((1-2*BB24*1E5/(DATOS!$C$58*P24*BF24^2*DATOS!$C$48))))*DATOS!$C$48*P24*BF24/DATOS!$C$40))),MIN(DATOS!$C$83*DATOS!$C$13*BF24,4/3*IF(BB24&lt;=0,0,IF((1-2*BB24*1E5/(DATOS!$C$58*P24*BF24^2*DATOS!$C$48))&lt;0,-1,IF((1-SQRT((1-2*BB24*1E5/(DATOS!$C$58*P24*BF24^2*DATOS!$C$48))))*DATOS!$C$48*P24*BF24/DATOS!$C$40&gt;DATOS!$C$82*P24*BF24,-1,(1-SQRT((1-2*BB24*1E5/(DATOS!$C$58*P24*BF24^2*DATOS!$C$48))))*DATOS!$C$48*P24*BF24/DATOS!$C$40)))))))</f>
        <v>0.0145466777838423</v>
      </c>
      <c r="BH24" s="41">
        <f>IF(AND(BG24&gt;=0,IF(MAX(DATOS!$C$29,CEILING(BG24/INDEX(TABLAS!$D$52:$D$58,MIN(MATCH(DATOS!$C$26,TABLAS!$B$52:$B$58,0)+0,7)),1))*INDEX(TABLAS!$D$52:$D$58,MIN(MATCH(DATOS!$C$26,TABLAS!$B$52:$B$58,0)+0,7))&gt;=4/3*IF(BB24&lt;=0,0,IF((1-2*BB24*1E5/(DATOS!$C$58*P24*BF24^2*DATOS!$C$48))&lt;0,-1,IF((1-SQRT((1-2*BB24*1E5/(DATOS!$C$58*P24*BF24^2*DATOS!$C$48))))*DATOS!$C$48*P24*BF24/DATOS!$C$40&gt;DATOS!$C$82*P24*BF24,-1,(1-SQRT((1-2*BB24*1E5/(DATOS!$C$58*P24*BF24^2*DATOS!$C$48))))*DATOS!$C$48*P24*BF24/DATOS!$C$40)))-0.0001,MAX(DATOS!$C$29,CEILING(BG24/INDEX(TABLAS!$D$52:$D$58,MIN(MATCH(DATOS!$C$26,TABLAS!$B$52:$B$58,0)+0,7)),1)),MAX(MAX(DATOS!$C$29,CEILING(BG24/INDEX(TABLAS!$D$52:$D$58,MIN(MATCH(DATOS!$C$26,TABLAS!$B$52:$B$58,0)+0,7)),1)),2))&lt;=MIN(DATOS!$C$28,INT(((DATOS!$C$13-2*R24-2*IF(DATOS!$C$25=0,0,INDEX(TABLAS!$C$52:$C$58,MATCH(DATOS!$C$25,TABLAS!$B$52:$B$58,0))))+MAX(DATOS!$C$32,INDEX(TABLAS!$C$52:$C$58,MIN(MATCH(DATOS!$C$26,TABLAS!$B$52:$B$58,0)+0,7))))/(INDEX(TABLAS!$C$52:$C$58,MIN(MATCH(DATOS!$C$26,TABLAS!$B$52:$B$58,0)+0,7))+MAX(DATOS!$C$32,INDEX(TABLAS!$C$52:$C$58,MIN(MATCH(DATOS!$C$26,TABLAS!$B$52:$B$58,0)+0,7))))))),INDEX(TABLAS!$B$52:$B$58,MIN(MATCH(DATOS!$C$26,TABLAS!$B$52:$B$58,0)+0,7)),IF(AND(BG24&gt;=0,IF(MAX(DATOS!$C$29,CEILING(BG24/INDEX(TABLAS!$D$52:$D$58,MIN(MATCH(DATOS!$C$26,TABLAS!$B$52:$B$58,0)+1,7)),1))*INDEX(TABLAS!$D$52:$D$58,MIN(MATCH(DATOS!$C$26,TABLAS!$B$52:$B$58,0)+1,7))&gt;=4/3*IF(BB24&lt;=0,0,IF((1-2*BB24*1E5/(DATOS!$C$58*P24*BF24^2*DATOS!$C$48))&lt;0,-1,IF((1-SQRT((1-2*BB24*1E5/(DATOS!$C$58*P24*BF24^2*DATOS!$C$48))))*DATOS!$C$48*P24*BF24/DATOS!$C$40&gt;DATOS!$C$82*P24*BF24,-1,(1-SQRT((1-2*BB24*1E5/(DATOS!$C$58*P24*BF24^2*DATOS!$C$48))))*DATOS!$C$48*P24*BF24/DATOS!$C$40)))-0.0001,MAX(DATOS!$C$29,CEILING(BG24/INDEX(TABLAS!$D$52:$D$58,MIN(MATCH(DATOS!$C$26,TABLAS!$B$52:$B$58,0)+1,7)),1)),MAX(MAX(DATOS!$C$29,CEILING(BG24/INDEX(TABLAS!$D$52:$D$58,MIN(MATCH(DATOS!$C$26,TABLAS!$B$52:$B$58,0)+1,7)),1)),2))&lt;=MIN(DATOS!$C$28,INT(((DATOS!$C$13-2*R24-2*IF(DATOS!$C$25=0,0,INDEX(TABLAS!$C$52:$C$58,MATCH(DATOS!$C$25,TABLAS!$B$52:$B$58,0))))+MAX(DATOS!$C$32,INDEX(TABLAS!$C$52:$C$58,MIN(MATCH(DATOS!$C$26,TABLAS!$B$52:$B$58,0)+1,7))))/(INDEX(TABLAS!$C$52:$C$58,MIN(MATCH(DATOS!$C$26,TABLAS!$B$52:$B$58,0)+1,7))+MAX(DATOS!$C$32,INDEX(TABLAS!$C$52:$C$58,MIN(MATCH(DATOS!$C$26,TABLAS!$B$52:$B$58,0)+1,7))))))),INDEX(TABLAS!$B$52:$B$58,MIN(MATCH(DATOS!$C$26,TABLAS!$B$52:$B$58,0)+1,7)),IF(AND(BG24&gt;=0,IF(MAX(DATOS!$C$29,CEILING(BG24/INDEX(TABLAS!$D$52:$D$58,MIN(MATCH(DATOS!$C$26,TABLAS!$B$52:$B$58,0)+2,7)),1))*INDEX(TABLAS!$D$52:$D$58,MIN(MATCH(DATOS!$C$26,TABLAS!$B$52:$B$58,0)+2,7))&gt;=4/3*IF(BB24&lt;=0,0,IF((1-2*BB24*1E5/(DATOS!$C$58*P24*BF24^2*DATOS!$C$48))&lt;0,-1,IF((1-SQRT((1-2*BB24*1E5/(DATOS!$C$58*P24*BF24^2*DATOS!$C$48))))*DATOS!$C$48*P24*BF24/DATOS!$C$40&gt;DATOS!$C$82*P24*BF24,-1,(1-SQRT((1-2*BB24*1E5/(DATOS!$C$58*P24*BF24^2*DATOS!$C$48))))*DATOS!$C$48*P24*BF24/DATOS!$C$40)))-0.0001,MAX(DATOS!$C$29,CEILING(BG24/INDEX(TABLAS!$D$52:$D$58,MIN(MATCH(DATOS!$C$26,TABLAS!$B$52:$B$58,0)+2,7)),1)),MAX(MAX(DATOS!$C$29,CEILING(BG24/INDEX(TABLAS!$D$52:$D$58,MIN(MATCH(DATOS!$C$26,TABLAS!$B$52:$B$58,0)+2,7)),1)),2))&lt;=MIN(DATOS!$C$28,INT(((DATOS!$C$13-2*R24-2*IF(DATOS!$C$25=0,0,INDEX(TABLAS!$C$52:$C$58,MATCH(DATOS!$C$25,TABLAS!$B$52:$B$58,0))))+MAX(DATOS!$C$32,INDEX(TABLAS!$C$52:$C$58,MIN(MATCH(DATOS!$C$26,TABLAS!$B$52:$B$58,0)+2,7))))/(INDEX(TABLAS!$C$52:$C$58,MIN(MATCH(DATOS!$C$26,TABLAS!$B$52:$B$58,0)+2,7))+MAX(DATOS!$C$32,INDEX(TABLAS!$C$52:$C$58,MIN(MATCH(DATOS!$C$26,TABLAS!$B$52:$B$58,0)+2,7))))))),INDEX(TABLAS!$B$52:$B$58,MIN(MATCH(DATOS!$C$26,TABLAS!$B$52:$B$58,0)+2,7)),IF(AND(BG24&gt;=0,IF(MAX(DATOS!$C$29,CEILING(BG24/INDEX(TABLAS!$D$52:$D$58,MIN(MATCH(DATOS!$C$26,TABLAS!$B$52:$B$58,0)+3,7)),1))*INDEX(TABLAS!$D$52:$D$58,MIN(MATCH(DATOS!$C$26,TABLAS!$B$52:$B$58,0)+3,7))&gt;=4/3*IF(BB24&lt;=0,0,IF((1-2*BB24*1E5/(DATOS!$C$58*P24*BF24^2*DATOS!$C$48))&lt;0,-1,IF((1-SQRT((1-2*BB24*1E5/(DATOS!$C$58*P24*BF24^2*DATOS!$C$48))))*DATOS!$C$48*P24*BF24/DATOS!$C$40&gt;DATOS!$C$82*P24*BF24,-1,(1-SQRT((1-2*BB24*1E5/(DATOS!$C$58*P24*BF24^2*DATOS!$C$48))))*DATOS!$C$48*P24*BF24/DATOS!$C$40)))-0.0001,MAX(DATOS!$C$29,CEILING(BG24/INDEX(TABLAS!$D$52:$D$58,MIN(MATCH(DATOS!$C$26,TABLAS!$B$52:$B$58,0)+3,7)),1)),MAX(MAX(DATOS!$C$29,CEILING(BG24/INDEX(TABLAS!$D$52:$D$58,MIN(MATCH(DATOS!$C$26,TABLAS!$B$52:$B$58,0)+3,7)),1)),2))&lt;=MIN(DATOS!$C$28,INT(((DATOS!$C$13-2*R24-2*IF(DATOS!$C$25=0,0,INDEX(TABLAS!$C$52:$C$58,MATCH(DATOS!$C$25,TABLAS!$B$52:$B$58,0))))+MAX(DATOS!$C$32,INDEX(TABLAS!$C$52:$C$58,MIN(MATCH(DATOS!$C$26,TABLAS!$B$52:$B$58,0)+3,7))))/(INDEX(TABLAS!$C$52:$C$58,MIN(MATCH(DATOS!$C$26,TABLAS!$B$52:$B$58,0)+3,7))+MAX(DATOS!$C$32,INDEX(TABLAS!$C$52:$C$58,MIN(MATCH(DATOS!$C$26,TABLAS!$B$52:$B$58,0)+3,7))))))),INDEX(TABLAS!$B$52:$B$58,MIN(MATCH(DATOS!$C$26,TABLAS!$B$52:$B$58,0)+3,7)),IF(AND(BG24&gt;=0,IF(MAX(DATOS!$C$29,CEILING(BG24/INDEX(TABLAS!$D$52:$D$58,MIN(MATCH(DATOS!$C$26,TABLAS!$B$52:$B$58,0)+4,7)),1))*INDEX(TABLAS!$D$52:$D$58,MIN(MATCH(DATOS!$C$26,TABLAS!$B$52:$B$58,0)+4,7))&gt;=4/3*IF(BB24&lt;=0,0,IF((1-2*BB24*1E5/(DATOS!$C$58*P24*BF24^2*DATOS!$C$48))&lt;0,-1,IF((1-SQRT((1-2*BB24*1E5/(DATOS!$C$58*P24*BF24^2*DATOS!$C$48))))*DATOS!$C$48*P24*BF24/DATOS!$C$40&gt;DATOS!$C$82*P24*BF24,-1,(1-SQRT((1-2*BB24*1E5/(DATOS!$C$58*P24*BF24^2*DATOS!$C$48))))*DATOS!$C$48*P24*BF24/DATOS!$C$40)))-0.0001,MAX(DATOS!$C$29,CEILING(BG24/INDEX(TABLAS!$D$52:$D$58,MIN(MATCH(DATOS!$C$26,TABLAS!$B$52:$B$58,0)+4,7)),1)),MAX(MAX(DATOS!$C$29,CEILING(BG24/INDEX(TABLAS!$D$52:$D$58,MIN(MATCH(DATOS!$C$26,TABLAS!$B$52:$B$58,0)+4,7)),1)),2))&lt;=MIN(DATOS!$C$28,INT(((DATOS!$C$13-2*R24-2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24" s="56">
        <f>IF(D24="HUECO",0,IF(BG24&lt;0,0,IF(MAX(DATOS!$C$29,CEILING(MAX(BG24,0)/INDEX(TABLAS!$D$52:$D$58,MATCH(BH24,TABLAS!$B$52:$B$58,0)),1))*INDEX(TABLAS!$D$52:$D$58,MATCH(BH24,TABLAS!$B$52:$B$58,0))&gt;=4/3*IF(BB24&lt;=0,0,IF((1-2*BB24*1E5/(DATOS!$C$58*P24*BF24^2*DATOS!$C$48))&lt;0,-1,IF((1-SQRT((1-2*BB24*1E5/(DATOS!$C$58*P24*BF24^2*DATOS!$C$48))))*DATOS!$C$48*P24*BF24/DATOS!$C$40&gt;DATOS!$C$82*P24*BF24,-1,(1-SQRT((1-2*BB24*1E5/(DATOS!$C$58*P24*BF24^2*DATOS!$C$48))))*DATOS!$C$48*P24*BF24/DATOS!$C$40)))-0.0001,MAX(DATOS!$C$29,CEILING(MAX(BG24,0)/INDEX(TABLAS!$D$52:$D$58,MATCH(BH24,TABLAS!$B$52:$B$58,0)),1)),MAX(MAX(DATOS!$C$29,CEILING(MAX(BG24,0)/INDEX(TABLAS!$D$52:$D$58,MATCH(BH24,TABLAS!$B$52:$B$58,0)),1)),2))))</f>
        <v>1</v>
      </c>
      <c r="BJ24" s="43">
        <f>DATOS!$C$15-R24-IF(DATOS!$C$25=0,0,INDEX(TABLAS!$C$52:$C$58,MATCH(DATOS!$C$25,TABLAS!$B$52:$B$58,0)))-INDEX(TABLAS!$C$52:$C$58,MATCH(BH24,TABLAS!$B$52:$B$58,0))/2</f>
        <v>20.365</v>
      </c>
      <c r="BK24" s="36">
        <f>IF(BI24=0,0,DATOS!$C$58*BI24*INDEX(TABLAS!$D$52:$D$58,MATCH(BH24,TABLAS!$B$52:$B$58,0))*DATOS!$C$40*(BJ24-BI24*INDEX(TABLAS!$D$52:$D$58,MATCH(BH24,TABLAS!$B$52:$B$58,0))*DATOS!$C$40/(DATOS!$C$48*P24)/2)/1E5)</f>
        <v>0.945465766030786</v>
      </c>
      <c r="BL24" s="62">
        <f>IF(BG24&lt;0,9.99,IF(BK24&gt;0,BB24/BK24,0))</f>
        <v>0.00888040312470258</v>
      </c>
      <c r="BM24" s="63">
        <f>IF(BI24=0,"—",0.003*(BJ24-(BI24*INDEX(TABLAS!$D$52:$D$58,MATCH(BH24,TABLAS!$B$52:$B$58,0))*DATOS!$C$40/(DATOS!$C$48*P24)/DATOS!$C$49))/(BI24*INDEX(TABLAS!$D$52:$D$58,MATCH(BH24,TABLAS!$B$52:$B$58,0))*DATOS!$C$40/(DATOS!$C$48*P24)/DATOS!$C$49))</f>
        <v>0.035739351316437</v>
      </c>
      <c r="BN24" s="43">
        <f>((DATOS!$C$15-S24-2*DATOS!$C$35-IF(DATOS!$C$25=0,0,INDEX(TABLAS!$C$52:$C$58,MATCH(DATOS!$C$25,TABLAS!$B$52:$B$58,0)))-INDEX(TABLAS!$C$52:$C$58,MATCH(DATOS!$C$27,TABLAS!$B$52:$B$58,0))/2)-IF(AND((DATOS!$C$15-S24-2*DATOS!$C$35-IF(DATOS!$C$25=0,0,INDEX(TABLAS!$C$52:$C$58,MATCH(DATOS!$C$25,TABLAS!$B$52:$B$58,0)))-INDEX(TABLAS!$C$52:$C$58,MATCH(DATOS!$C$27,TABLAS!$B$52:$B$58,0))/2)&lt;=20,DATOS!$C$18&lt;&gt;"SÍ"),2,0))</f>
        <v>19.389</v>
      </c>
      <c r="BO24" s="43">
        <f>IF(D24="HUECO",0,IF(IF(BC24&lt;=0,0,IF((1-2*BC24*1E5/(DATOS!$C$58*DATOS!$C$19*BN24^2*DATOS!$C$48))&lt;0,-1,IF((1-SQRT((1-2*BC24*1E5/(DATOS!$C$58*DATOS!$C$19*BN24^2*DATOS!$C$48))))*DATOS!$C$48*DATOS!$C$19*BN24/DATOS!$C$40&gt;DATOS!$C$82*DATOS!$C$19*BN24,-1,(1-SQRT((1-2*BC24*1E5/(DATOS!$C$58*DATOS!$C$19*BN24^2*DATOS!$C$48))))*DATOS!$C$48*DATOS!$C$19*BN24/DATOS!$C$40)))&lt;0,-1,MAX(IF(BC24&lt;=0,0,IF((1-2*BC24*1E5/(DATOS!$C$58*DATOS!$C$19*BN24^2*DATOS!$C$48))&lt;0,-1,IF((1-SQRT((1-2*BC24*1E5/(DATOS!$C$58*DATOS!$C$19*BN24^2*DATOS!$C$48))))*DATOS!$C$48*DATOS!$C$19*BN24/DATOS!$C$40&gt;DATOS!$C$82*DATOS!$C$19*BN24,-1,(1-SQRT((1-2*BC24*1E5/(DATOS!$C$58*DATOS!$C$19*BN24^2*DATOS!$C$48))))*DATOS!$C$48*DATOS!$C$19*BN24/DATOS!$C$40))),MIN(DATOS!$C$83*IF(D24="VOLADO",2*DATOS!$C$13,DATOS!$C$13)*BN24,4/3*IF(BC24&lt;=0,0,IF((1-2*BC24*1E5/(DATOS!$C$58*DATOS!$C$19*BN24^2*DATOS!$C$48))&lt;0,-1,IF((1-SQRT((1-2*BC24*1E5/(DATOS!$C$58*DATOS!$C$19*BN24^2*DATOS!$C$48))))*DATOS!$C$48*DATOS!$C$19*BN24/DATOS!$C$40&gt;DATOS!$C$82*DATOS!$C$19*BN24,-1,(1-SQRT((1-2*BC24*1E5/(DATOS!$C$58*DATOS!$C$19*BN24^2*DATOS!$C$48))))*DATOS!$C$48*DATOS!$C$19*BN24/DATOS!$C$40)))))))</f>
        <v>0.478853516051537</v>
      </c>
      <c r="BP24" s="41">
        <f>IF(AND(BO24&gt;=0,IF(MAX(DATOS!$C$29,CEILING(BO24/INDEX(TABLAS!$D$52:$D$58,MIN(MATCH(DATOS!$C$27,TABLAS!$B$52:$B$58,0)+0,7)),1))*INDEX(TABLAS!$D$52:$D$58,MIN(MATCH(DATOS!$C$27,TABLAS!$B$52:$B$58,0)+0,7))&gt;=4/3*IF(BC24&lt;=0,0,IF((1-2*BC24*1E5/(DATOS!$C$58*DATOS!$C$19*BN24^2*DATOS!$C$48))&lt;0,-1,IF((1-SQRT((1-2*BC24*1E5/(DATOS!$C$58*DATOS!$C$19*BN24^2*DATOS!$C$48))))*DATOS!$C$48*DATOS!$C$19*BN24/DATOS!$C$40&gt;DATOS!$C$82*DATOS!$C$19*BN24,-1,(1-SQRT((1-2*BC24*1E5/(DATOS!$C$58*DATOS!$C$19*BN24^2*DATOS!$C$48))))*DATOS!$C$48*DATOS!$C$19*BN24/DATOS!$C$40)))-0.0001,MAX(DATOS!$C$29,CEILING(BO24/INDEX(TABLAS!$D$52:$D$58,MIN(MATCH(DATOS!$C$27,TABLAS!$B$52:$B$58,0)+0,7)),1)),MAX(MAX(DATOS!$C$29,CEILING(BO24/INDEX(TABLAS!$D$52:$D$58,MIN(MATCH(DATOS!$C$27,TABLAS!$B$52:$B$58,0)+0,7)),1)),2))&lt;=MIN(DATOS!$C$28,INT(((DATOS!$C$13-2*S24-2*IF(DATOS!$C$25=0,0,INDEX(TABLAS!$C$52:$C$58,MATCH(DATOS!$C$25,TABLAS!$B$52:$B$58,0))))+MAX(DATOS!$C$32,INDEX(TABLAS!$C$52:$C$58,MIN(MATCH(DATOS!$C$27,TABLAS!$B$52:$B$58,0)+0,7))))/(INDEX(TABLAS!$C$52:$C$58,MIN(MATCH(DATOS!$C$27,TABLAS!$B$52:$B$58,0)+0,7))+MAX(DATOS!$C$32,INDEX(TABLAS!$C$52:$C$58,MIN(MATCH(DATOS!$C$27,TABLAS!$B$52:$B$58,0)+0,7))))))),INDEX(TABLAS!$B$52:$B$58,MIN(MATCH(DATOS!$C$27,TABLAS!$B$52:$B$58,0)+0,7)),IF(AND(BO24&gt;=0,IF(MAX(DATOS!$C$29,CEILING(BO24/INDEX(TABLAS!$D$52:$D$58,MIN(MATCH(DATOS!$C$27,TABLAS!$B$52:$B$58,0)+1,7)),1))*INDEX(TABLAS!$D$52:$D$58,MIN(MATCH(DATOS!$C$27,TABLAS!$B$52:$B$58,0)+1,7))&gt;=4/3*IF(BC24&lt;=0,0,IF((1-2*BC24*1E5/(DATOS!$C$58*DATOS!$C$19*BN24^2*DATOS!$C$48))&lt;0,-1,IF((1-SQRT((1-2*BC24*1E5/(DATOS!$C$58*DATOS!$C$19*BN24^2*DATOS!$C$48))))*DATOS!$C$48*DATOS!$C$19*BN24/DATOS!$C$40&gt;DATOS!$C$82*DATOS!$C$19*BN24,-1,(1-SQRT((1-2*BC24*1E5/(DATOS!$C$58*DATOS!$C$19*BN24^2*DATOS!$C$48))))*DATOS!$C$48*DATOS!$C$19*BN24/DATOS!$C$40)))-0.0001,MAX(DATOS!$C$29,CEILING(BO24/INDEX(TABLAS!$D$52:$D$58,MIN(MATCH(DATOS!$C$27,TABLAS!$B$52:$B$58,0)+1,7)),1)),MAX(MAX(DATOS!$C$29,CEILING(BO24/INDEX(TABLAS!$D$52:$D$58,MIN(MATCH(DATOS!$C$27,TABLAS!$B$52:$B$58,0)+1,7)),1)),2))&lt;=MIN(DATOS!$C$28,INT(((DATOS!$C$13-2*S24-2*IF(DATOS!$C$25=0,0,INDEX(TABLAS!$C$52:$C$58,MATCH(DATOS!$C$25,TABLAS!$B$52:$B$58,0))))+MAX(DATOS!$C$32,INDEX(TABLAS!$C$52:$C$58,MIN(MATCH(DATOS!$C$27,TABLAS!$B$52:$B$58,0)+1,7))))/(INDEX(TABLAS!$C$52:$C$58,MIN(MATCH(DATOS!$C$27,TABLAS!$B$52:$B$58,0)+1,7))+MAX(DATOS!$C$32,INDEX(TABLAS!$C$52:$C$58,MIN(MATCH(DATOS!$C$27,TABLAS!$B$52:$B$58,0)+1,7))))))),INDEX(TABLAS!$B$52:$B$58,MIN(MATCH(DATOS!$C$27,TABLAS!$B$52:$B$58,0)+1,7)),IF(AND(BO24&gt;=0,IF(MAX(DATOS!$C$29,CEILING(BO24/INDEX(TABLAS!$D$52:$D$58,MIN(MATCH(DATOS!$C$27,TABLAS!$B$52:$B$58,0)+2,7)),1))*INDEX(TABLAS!$D$52:$D$58,MIN(MATCH(DATOS!$C$27,TABLAS!$B$52:$B$58,0)+2,7))&gt;=4/3*IF(BC24&lt;=0,0,IF((1-2*BC24*1E5/(DATOS!$C$58*DATOS!$C$19*BN24^2*DATOS!$C$48))&lt;0,-1,IF((1-SQRT((1-2*BC24*1E5/(DATOS!$C$58*DATOS!$C$19*BN24^2*DATOS!$C$48))))*DATOS!$C$48*DATOS!$C$19*BN24/DATOS!$C$40&gt;DATOS!$C$82*DATOS!$C$19*BN24,-1,(1-SQRT((1-2*BC24*1E5/(DATOS!$C$58*DATOS!$C$19*BN24^2*DATOS!$C$48))))*DATOS!$C$48*DATOS!$C$19*BN24/DATOS!$C$40)))-0.0001,MAX(DATOS!$C$29,CEILING(BO24/INDEX(TABLAS!$D$52:$D$58,MIN(MATCH(DATOS!$C$27,TABLAS!$B$52:$B$58,0)+2,7)),1)),MAX(MAX(DATOS!$C$29,CEILING(BO24/INDEX(TABLAS!$D$52:$D$58,MIN(MATCH(DATOS!$C$27,TABLAS!$B$52:$B$58,0)+2,7)),1)),2))&lt;=MIN(DATOS!$C$28,INT(((DATOS!$C$13-2*S24-2*IF(DATOS!$C$25=0,0,INDEX(TABLAS!$C$52:$C$58,MATCH(DATOS!$C$25,TABLAS!$B$52:$B$58,0))))+MAX(DATOS!$C$32,INDEX(TABLAS!$C$52:$C$58,MIN(MATCH(DATOS!$C$27,TABLAS!$B$52:$B$58,0)+2,7))))/(INDEX(TABLAS!$C$52:$C$58,MIN(MATCH(DATOS!$C$27,TABLAS!$B$52:$B$58,0)+2,7))+MAX(DATOS!$C$32,INDEX(TABLAS!$C$52:$C$58,MIN(MATCH(DATOS!$C$27,TABLAS!$B$52:$B$58,0)+2,7))))))),INDEX(TABLAS!$B$52:$B$58,MIN(MATCH(DATOS!$C$27,TABLAS!$B$52:$B$58,0)+2,7)),IF(AND(BO24&gt;=0,IF(MAX(DATOS!$C$29,CEILING(BO24/INDEX(TABLAS!$D$52:$D$58,MIN(MATCH(DATOS!$C$27,TABLAS!$B$52:$B$58,0)+3,7)),1))*INDEX(TABLAS!$D$52:$D$58,MIN(MATCH(DATOS!$C$27,TABLAS!$B$52:$B$58,0)+3,7))&gt;=4/3*IF(BC24&lt;=0,0,IF((1-2*BC24*1E5/(DATOS!$C$58*DATOS!$C$19*BN24^2*DATOS!$C$48))&lt;0,-1,IF((1-SQRT((1-2*BC24*1E5/(DATOS!$C$58*DATOS!$C$19*BN24^2*DATOS!$C$48))))*DATOS!$C$48*DATOS!$C$19*BN24/DATOS!$C$40&gt;DATOS!$C$82*DATOS!$C$19*BN24,-1,(1-SQRT((1-2*BC24*1E5/(DATOS!$C$58*DATOS!$C$19*BN24^2*DATOS!$C$48))))*DATOS!$C$48*DATOS!$C$19*BN24/DATOS!$C$40)))-0.0001,MAX(DATOS!$C$29,CEILING(BO24/INDEX(TABLAS!$D$52:$D$58,MIN(MATCH(DATOS!$C$27,TABLAS!$B$52:$B$58,0)+3,7)),1)),MAX(MAX(DATOS!$C$29,CEILING(BO24/INDEX(TABLAS!$D$52:$D$58,MIN(MATCH(DATOS!$C$27,TABLAS!$B$52:$B$58,0)+3,7)),1)),2))&lt;=MIN(DATOS!$C$28,INT(((DATOS!$C$13-2*S24-2*IF(DATOS!$C$25=0,0,INDEX(TABLAS!$C$52:$C$58,MATCH(DATOS!$C$25,TABLAS!$B$52:$B$58,0))))+MAX(DATOS!$C$32,INDEX(TABLAS!$C$52:$C$58,MIN(MATCH(DATOS!$C$27,TABLAS!$B$52:$B$58,0)+3,7))))/(INDEX(TABLAS!$C$52:$C$58,MIN(MATCH(DATOS!$C$27,TABLAS!$B$52:$B$58,0)+3,7))+MAX(DATOS!$C$32,INDEX(TABLAS!$C$52:$C$58,MIN(MATCH(DATOS!$C$27,TABLAS!$B$52:$B$58,0)+3,7))))))),INDEX(TABLAS!$B$52:$B$58,MIN(MATCH(DATOS!$C$27,TABLAS!$B$52:$B$58,0)+3,7)),IF(AND(BO24&gt;=0,IF(MAX(DATOS!$C$29,CEILING(BO24/INDEX(TABLAS!$D$52:$D$58,MIN(MATCH(DATOS!$C$27,TABLAS!$B$52:$B$58,0)+4,7)),1))*INDEX(TABLAS!$D$52:$D$58,MIN(MATCH(DATOS!$C$27,TABLAS!$B$52:$B$58,0)+4,7))&gt;=4/3*IF(BC24&lt;=0,0,IF((1-2*BC24*1E5/(DATOS!$C$58*DATOS!$C$19*BN24^2*DATOS!$C$48))&lt;0,-1,IF((1-SQRT((1-2*BC24*1E5/(DATOS!$C$58*DATOS!$C$19*BN24^2*DATOS!$C$48))))*DATOS!$C$48*DATOS!$C$19*BN24/DATOS!$C$40&gt;DATOS!$C$82*DATOS!$C$19*BN24,-1,(1-SQRT((1-2*BC24*1E5/(DATOS!$C$58*DATOS!$C$19*BN24^2*DATOS!$C$48))))*DATOS!$C$48*DATOS!$C$19*BN24/DATOS!$C$40)))-0.0001,MAX(DATOS!$C$29,CEILING(BO24/INDEX(TABLAS!$D$52:$D$58,MIN(MATCH(DATOS!$C$27,TABLAS!$B$52:$B$58,0)+4,7)),1)),MAX(MAX(DATOS!$C$29,CEILING(BO24/INDEX(TABLAS!$D$52:$D$58,MIN(MATCH(DATOS!$C$27,TABLAS!$B$52:$B$58,0)+4,7)),1)),2))&lt;=MIN(DATOS!$C$28,INT(((DATOS!$C$13-2*S24-2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24" s="56">
        <f>IF(D24="HUECO",0,IF(BO24&lt;0,0,IF(MAX(DATOS!$C$29,CEILING(MAX(BO24,0)/INDEX(TABLAS!$D$52:$D$58,MATCH(BP24,TABLAS!$B$52:$B$58,0)),1))*INDEX(TABLAS!$D$52:$D$58,MATCH(BP24,TABLAS!$B$52:$B$58,0))&gt;=4/3*IF(BC24&lt;=0,0,IF((1-2*BC24*1E5/(DATOS!$C$58*DATOS!$C$19*BN24^2*DATOS!$C$48))&lt;0,-1,IF((1-SQRT((1-2*BC24*1E5/(DATOS!$C$58*DATOS!$C$19*BN24^2*DATOS!$C$48))))*DATOS!$C$48*DATOS!$C$19*BN24/DATOS!$C$40&gt;DATOS!$C$82*DATOS!$C$19*BN24,-1,(1-SQRT((1-2*BC24*1E5/(DATOS!$C$58*DATOS!$C$19*BN24^2*DATOS!$C$48))))*DATOS!$C$48*DATOS!$C$19*BN24/DATOS!$C$40)))-0.0001,MAX(DATOS!$C$29,CEILING(MAX(BO24,0)/INDEX(TABLAS!$D$52:$D$58,MATCH(BP24,TABLAS!$B$52:$B$58,0)),1)),MAX(MAX(DATOS!$C$29,CEILING(MAX(BO24,0)/INDEX(TABLAS!$D$52:$D$58,MATCH(BP24,TABLAS!$B$52:$B$58,0)),1)),2))))</f>
        <v>1</v>
      </c>
      <c r="BR24" s="43">
        <f>((DATOS!$C$15-S24-2*DATOS!$C$35-IF(DATOS!$C$25=0,0,INDEX(TABLAS!$C$52:$C$58,MATCH(DATOS!$C$25,TABLAS!$B$52:$B$58,0)))-INDEX(TABLAS!$C$52:$C$58,MATCH(BP24,TABLAS!$B$52:$B$58,0))/2)-IF(AND((DATOS!$C$15-S24-2*DATOS!$C$35-IF(DATOS!$C$25=0,0,INDEX(TABLAS!$C$52:$C$58,MATCH(DATOS!$C$25,TABLAS!$B$52:$B$58,0)))-INDEX(TABLAS!$C$52:$C$58,MATCH(BP24,TABLAS!$B$52:$B$58,0))/2)&lt;=20,DATOS!$C$18&lt;&gt;"SÍ"),2,0))</f>
        <v>19.389</v>
      </c>
      <c r="BS24" s="36">
        <f>IF(BQ24=0,0,DATOS!$C$58*BQ24*INDEX(TABLAS!$D$52:$D$58,MATCH(BP24,TABLAS!$B$52:$B$58,0))*DATOS!$C$40*(BR24-BQ24*INDEX(TABLAS!$D$52:$D$58,MATCH(BP24,TABLAS!$B$52:$B$58,0))*DATOS!$C$40/(DATOS!$C$48*DATOS!$C$19)/2)/1E5)</f>
        <v>0.870537980117647</v>
      </c>
      <c r="BT24" s="62">
        <f>IF(BO24&lt;0,9.99,IF(BS24&gt;0,BC24/BS24,0))</f>
        <v>0.296824691973597</v>
      </c>
      <c r="BU24" s="63">
        <f>IF(BQ24=0,"—",0.003*(BR24-(BQ24*INDEX(TABLAS!$D$52:$D$58,MATCH(BP24,TABLAS!$B$52:$B$58,0))*DATOS!$C$40/(DATOS!$C$48*DATOS!$C$19)/DATOS!$C$49))/(BQ24*INDEX(TABLAS!$D$52:$D$58,MATCH(BP24,TABLAS!$B$52:$B$58,0))*DATOS!$C$40/(DATOS!$C$48*DATOS!$C$19)/DATOS!$C$49))</f>
        <v>0.0166970648200225</v>
      </c>
      <c r="BV24" s="43">
        <f>(DATOS!$C$15-R24-IF(DATOS!$C$25=0,0,INDEX(TABLAS!$C$52:$C$58,MATCH(DATOS!$C$25,TABLAS!$B$52:$B$58,0)))-INDEX(TABLAS!$C$52:$C$58,MATCH(DATOS!$C$26,TABLAS!$B$52:$B$58,0))-INDEX(TABLAS!$C$52:$C$58,MATCH(DATOS!$C$26,TABLAS!$B$52:$B$58,0))/2)</f>
        <v>19.095</v>
      </c>
      <c r="BW24" s="43">
        <f>IF(D24="HUECO",0,IF(IF(BD24&lt;=0,0,IF((1-2*BD24*1E5/(DATOS!$C$58*Q24*BV24^2*DATOS!$C$48))&lt;0,-1,IF((1-SQRT((1-2*BD24*1E5/(DATOS!$C$58*Q24*BV24^2*DATOS!$C$48))))*DATOS!$C$48*Q24*BV24/DATOS!$C$40&gt;DATOS!$C$82*Q24*BV24,-1,(1-SQRT((1-2*BD24*1E5/(DATOS!$C$58*Q24*BV24^2*DATOS!$C$48))))*DATOS!$C$48*Q24*BV24/DATOS!$C$40)))&lt;0,-1,MAX(IF(BD24&lt;=0,0,IF((1-2*BD24*1E5/(DATOS!$C$58*Q24*BV24^2*DATOS!$C$48))&lt;0,-1,IF((1-SQRT((1-2*BD24*1E5/(DATOS!$C$58*Q24*BV24^2*DATOS!$C$48))))*DATOS!$C$48*Q24*BV24/DATOS!$C$40&gt;DATOS!$C$82*Q24*BV24,-1,(1-SQRT((1-2*BD24*1E5/(DATOS!$C$58*Q24*BV24^2*DATOS!$C$48))))*DATOS!$C$48*Q24*BV24/DATOS!$C$40))),MIN(DATOS!$C$83*DATOS!$C$13*BV24,4/3*IF(BD24&lt;=0,0,IF((1-2*BD24*1E5/(DATOS!$C$58*Q24*BV24^2*DATOS!$C$48))&lt;0,-1,IF((1-SQRT((1-2*BD24*1E5/(DATOS!$C$58*Q24*BV24^2*DATOS!$C$48))))*DATOS!$C$48*Q24*BV24/DATOS!$C$40&gt;DATOS!$C$82*Q24*BV24,-1,(1-SQRT((1-2*BD24*1E5/(DATOS!$C$58*Q24*BV24^2*DATOS!$C$48))))*DATOS!$C$48*Q24*BV24/DATOS!$C$40)))))))</f>
        <v>0.00467616105273634</v>
      </c>
      <c r="BX24" s="41">
        <f>IF(AND(BW24&gt;=0,IF(MAX(DATOS!$C$29,CEILING(BW24/INDEX(TABLAS!$D$52:$D$58,MIN(MATCH(DATOS!$C$26,TABLAS!$B$52:$B$58,0)+0,7)),1))*INDEX(TABLAS!$D$52:$D$58,MIN(MATCH(DATOS!$C$26,TABLAS!$B$52:$B$58,0)+0,7))&gt;=4/3*IF(BD24&lt;=0,0,IF((1-2*BD24*1E5/(DATOS!$C$58*Q24*BV24^2*DATOS!$C$48))&lt;0,-1,IF((1-SQRT((1-2*BD24*1E5/(DATOS!$C$58*Q24*BV24^2*DATOS!$C$48))))*DATOS!$C$48*Q24*BV24/DATOS!$C$40&gt;DATOS!$C$82*Q24*BV24,-1,(1-SQRT((1-2*BD24*1E5/(DATOS!$C$58*Q24*BV24^2*DATOS!$C$48))))*DATOS!$C$48*Q24*BV24/DATOS!$C$40)))-0.0001,MAX(DATOS!$C$29,CEILING(BW24/INDEX(TABLAS!$D$52:$D$58,MIN(MATCH(DATOS!$C$26,TABLAS!$B$52:$B$58,0)+0,7)),1)),MAX(MAX(DATOS!$C$29,CEILING(BW24/INDEX(TABLAS!$D$52:$D$58,MIN(MATCH(DATOS!$C$26,TABLAS!$B$52:$B$58,0)+0,7)),1)),2))&lt;=MIN(DATOS!$C$28,INT(((DATOS!$C$13-2*R24-2*IF(DATOS!$C$25=0,0,INDEX(TABLAS!$C$52:$C$58,MATCH(DATOS!$C$25,TABLAS!$B$52:$B$58,0))))+MAX(DATOS!$C$32,INDEX(TABLAS!$C$52:$C$58,MIN(MATCH(DATOS!$C$26,TABLAS!$B$52:$B$58,0)+0,7))))/(INDEX(TABLAS!$C$52:$C$58,MIN(MATCH(DATOS!$C$26,TABLAS!$B$52:$B$58,0)+0,7))+MAX(DATOS!$C$32,INDEX(TABLAS!$C$52:$C$58,MIN(MATCH(DATOS!$C$26,TABLAS!$B$52:$B$58,0)+0,7))))))),INDEX(TABLAS!$B$52:$B$58,MIN(MATCH(DATOS!$C$26,TABLAS!$B$52:$B$58,0)+0,7)),IF(AND(BW24&gt;=0,IF(MAX(DATOS!$C$29,CEILING(BW24/INDEX(TABLAS!$D$52:$D$58,MIN(MATCH(DATOS!$C$26,TABLAS!$B$52:$B$58,0)+1,7)),1))*INDEX(TABLAS!$D$52:$D$58,MIN(MATCH(DATOS!$C$26,TABLAS!$B$52:$B$58,0)+1,7))&gt;=4/3*IF(BD24&lt;=0,0,IF((1-2*BD24*1E5/(DATOS!$C$58*Q24*BV24^2*DATOS!$C$48))&lt;0,-1,IF((1-SQRT((1-2*BD24*1E5/(DATOS!$C$58*Q24*BV24^2*DATOS!$C$48))))*DATOS!$C$48*Q24*BV24/DATOS!$C$40&gt;DATOS!$C$82*Q24*BV24,-1,(1-SQRT((1-2*BD24*1E5/(DATOS!$C$58*Q24*BV24^2*DATOS!$C$48))))*DATOS!$C$48*Q24*BV24/DATOS!$C$40)))-0.0001,MAX(DATOS!$C$29,CEILING(BW24/INDEX(TABLAS!$D$52:$D$58,MIN(MATCH(DATOS!$C$26,TABLAS!$B$52:$B$58,0)+1,7)),1)),MAX(MAX(DATOS!$C$29,CEILING(BW24/INDEX(TABLAS!$D$52:$D$58,MIN(MATCH(DATOS!$C$26,TABLAS!$B$52:$B$58,0)+1,7)),1)),2))&lt;=MIN(DATOS!$C$28,INT(((DATOS!$C$13-2*R24-2*IF(DATOS!$C$25=0,0,INDEX(TABLAS!$C$52:$C$58,MATCH(DATOS!$C$25,TABLAS!$B$52:$B$58,0))))+MAX(DATOS!$C$32,INDEX(TABLAS!$C$52:$C$58,MIN(MATCH(DATOS!$C$26,TABLAS!$B$52:$B$58,0)+1,7))))/(INDEX(TABLAS!$C$52:$C$58,MIN(MATCH(DATOS!$C$26,TABLAS!$B$52:$B$58,0)+1,7))+MAX(DATOS!$C$32,INDEX(TABLAS!$C$52:$C$58,MIN(MATCH(DATOS!$C$26,TABLAS!$B$52:$B$58,0)+1,7))))))),INDEX(TABLAS!$B$52:$B$58,MIN(MATCH(DATOS!$C$26,TABLAS!$B$52:$B$58,0)+1,7)),IF(AND(BW24&gt;=0,IF(MAX(DATOS!$C$29,CEILING(BW24/INDEX(TABLAS!$D$52:$D$58,MIN(MATCH(DATOS!$C$26,TABLAS!$B$52:$B$58,0)+2,7)),1))*INDEX(TABLAS!$D$52:$D$58,MIN(MATCH(DATOS!$C$26,TABLAS!$B$52:$B$58,0)+2,7))&gt;=4/3*IF(BD24&lt;=0,0,IF((1-2*BD24*1E5/(DATOS!$C$58*Q24*BV24^2*DATOS!$C$48))&lt;0,-1,IF((1-SQRT((1-2*BD24*1E5/(DATOS!$C$58*Q24*BV24^2*DATOS!$C$48))))*DATOS!$C$48*Q24*BV24/DATOS!$C$40&gt;DATOS!$C$82*Q24*BV24,-1,(1-SQRT((1-2*BD24*1E5/(DATOS!$C$58*Q24*BV24^2*DATOS!$C$48))))*DATOS!$C$48*Q24*BV24/DATOS!$C$40)))-0.0001,MAX(DATOS!$C$29,CEILING(BW24/INDEX(TABLAS!$D$52:$D$58,MIN(MATCH(DATOS!$C$26,TABLAS!$B$52:$B$58,0)+2,7)),1)),MAX(MAX(DATOS!$C$29,CEILING(BW24/INDEX(TABLAS!$D$52:$D$58,MIN(MATCH(DATOS!$C$26,TABLAS!$B$52:$B$58,0)+2,7)),1)),2))&lt;=MIN(DATOS!$C$28,INT(((DATOS!$C$13-2*R24-2*IF(DATOS!$C$25=0,0,INDEX(TABLAS!$C$52:$C$58,MATCH(DATOS!$C$25,TABLAS!$B$52:$B$58,0))))+MAX(DATOS!$C$32,INDEX(TABLAS!$C$52:$C$58,MIN(MATCH(DATOS!$C$26,TABLAS!$B$52:$B$58,0)+2,7))))/(INDEX(TABLAS!$C$52:$C$58,MIN(MATCH(DATOS!$C$26,TABLAS!$B$52:$B$58,0)+2,7))+MAX(DATOS!$C$32,INDEX(TABLAS!$C$52:$C$58,MIN(MATCH(DATOS!$C$26,TABLAS!$B$52:$B$58,0)+2,7))))))),INDEX(TABLAS!$B$52:$B$58,MIN(MATCH(DATOS!$C$26,TABLAS!$B$52:$B$58,0)+2,7)),IF(AND(BW24&gt;=0,IF(MAX(DATOS!$C$29,CEILING(BW24/INDEX(TABLAS!$D$52:$D$58,MIN(MATCH(DATOS!$C$26,TABLAS!$B$52:$B$58,0)+3,7)),1))*INDEX(TABLAS!$D$52:$D$58,MIN(MATCH(DATOS!$C$26,TABLAS!$B$52:$B$58,0)+3,7))&gt;=4/3*IF(BD24&lt;=0,0,IF((1-2*BD24*1E5/(DATOS!$C$58*Q24*BV24^2*DATOS!$C$48))&lt;0,-1,IF((1-SQRT((1-2*BD24*1E5/(DATOS!$C$58*Q24*BV24^2*DATOS!$C$48))))*DATOS!$C$48*Q24*BV24/DATOS!$C$40&gt;DATOS!$C$82*Q24*BV24,-1,(1-SQRT((1-2*BD24*1E5/(DATOS!$C$58*Q24*BV24^2*DATOS!$C$48))))*DATOS!$C$48*Q24*BV24/DATOS!$C$40)))-0.0001,MAX(DATOS!$C$29,CEILING(BW24/INDEX(TABLAS!$D$52:$D$58,MIN(MATCH(DATOS!$C$26,TABLAS!$B$52:$B$58,0)+3,7)),1)),MAX(MAX(DATOS!$C$29,CEILING(BW24/INDEX(TABLAS!$D$52:$D$58,MIN(MATCH(DATOS!$C$26,TABLAS!$B$52:$B$58,0)+3,7)),1)),2))&lt;=MIN(DATOS!$C$28,INT(((DATOS!$C$13-2*R24-2*IF(DATOS!$C$25=0,0,INDEX(TABLAS!$C$52:$C$58,MATCH(DATOS!$C$25,TABLAS!$B$52:$B$58,0))))+MAX(DATOS!$C$32,INDEX(TABLAS!$C$52:$C$58,MIN(MATCH(DATOS!$C$26,TABLAS!$B$52:$B$58,0)+3,7))))/(INDEX(TABLAS!$C$52:$C$58,MIN(MATCH(DATOS!$C$26,TABLAS!$B$52:$B$58,0)+3,7))+MAX(DATOS!$C$32,INDEX(TABLAS!$C$52:$C$58,MIN(MATCH(DATOS!$C$26,TABLAS!$B$52:$B$58,0)+3,7))))))),INDEX(TABLAS!$B$52:$B$58,MIN(MATCH(DATOS!$C$26,TABLAS!$B$52:$B$58,0)+3,7)),IF(AND(BW24&gt;=0,IF(MAX(DATOS!$C$29,CEILING(BW24/INDEX(TABLAS!$D$52:$D$58,MIN(MATCH(DATOS!$C$26,TABLAS!$B$52:$B$58,0)+4,7)),1))*INDEX(TABLAS!$D$52:$D$58,MIN(MATCH(DATOS!$C$26,TABLAS!$B$52:$B$58,0)+4,7))&gt;=4/3*IF(BD24&lt;=0,0,IF((1-2*BD24*1E5/(DATOS!$C$58*Q24*BV24^2*DATOS!$C$48))&lt;0,-1,IF((1-SQRT((1-2*BD24*1E5/(DATOS!$C$58*Q24*BV24^2*DATOS!$C$48))))*DATOS!$C$48*Q24*BV24/DATOS!$C$40&gt;DATOS!$C$82*Q24*BV24,-1,(1-SQRT((1-2*BD24*1E5/(DATOS!$C$58*Q24*BV24^2*DATOS!$C$48))))*DATOS!$C$48*Q24*BV24/DATOS!$C$40)))-0.0001,MAX(DATOS!$C$29,CEILING(BW24/INDEX(TABLAS!$D$52:$D$58,MIN(MATCH(DATOS!$C$26,TABLAS!$B$52:$B$58,0)+4,7)),1)),MAX(MAX(DATOS!$C$29,CEILING(BW24/INDEX(TABLAS!$D$52:$D$58,MIN(MATCH(DATOS!$C$26,TABLAS!$B$52:$B$58,0)+4,7)),1)),2))&lt;=MIN(DATOS!$C$28,INT(((DATOS!$C$13-2*R24-2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24" s="56">
        <f>IF(D24="HUECO",0,IF(BW24&lt;0,0,IF(MAX(DATOS!$C$29,CEILING(MAX(BW24,0)/INDEX(TABLAS!$D$52:$D$58,MATCH(BX24,TABLAS!$B$52:$B$58,0)),1))*INDEX(TABLAS!$D$52:$D$58,MATCH(BX24,TABLAS!$B$52:$B$58,0))&gt;=4/3*IF(BD24&lt;=0,0,IF((1-2*BD24*1E5/(DATOS!$C$58*Q24*BV24^2*DATOS!$C$48))&lt;0,-1,IF((1-SQRT((1-2*BD24*1E5/(DATOS!$C$58*Q24*BV24^2*DATOS!$C$48))))*DATOS!$C$48*Q24*BV24/DATOS!$C$40&gt;DATOS!$C$82*Q24*BV24,-1,(1-SQRT((1-2*BD24*1E5/(DATOS!$C$58*Q24*BV24^2*DATOS!$C$48))))*DATOS!$C$48*Q24*BV24/DATOS!$C$40)))-0.0001,MAX(DATOS!$C$29,CEILING(MAX(BW24,0)/INDEX(TABLAS!$D$52:$D$58,MATCH(BX24,TABLAS!$B$52:$B$58,0)),1)),MAX(MAX(DATOS!$C$29,CEILING(MAX(BW24,0)/INDEX(TABLAS!$D$52:$D$58,MATCH(BX24,TABLAS!$B$52:$B$58,0)),1)),2))))</f>
        <v>1</v>
      </c>
      <c r="BZ24" s="43">
        <f>DATOS!$C$15-R24-IF(DATOS!$C$25=0,0,INDEX(TABLAS!$C$52:$C$58,MATCH(DATOS!$C$25,TABLAS!$B$52:$B$58,0)))-INDEX(TABLAS!$C$52:$C$58,MATCH(BH24,TABLAS!$B$52:$B$58,0))-INDEX(TABLAS!$C$52:$C$58,MATCH(BX24,TABLAS!$B$52:$B$58,0))/2</f>
        <v>19.095</v>
      </c>
      <c r="CA24" s="36">
        <f>IF(BY24=0,0,DATOS!$C$58*BY24*INDEX(TABLAS!$D$52:$D$58,MATCH(BX24,TABLAS!$B$52:$B$58,0))*DATOS!$C$40*(BZ24-BY24*INDEX(TABLAS!$D$52:$D$58,MATCH(BX24,TABLAS!$B$52:$B$58,0))*DATOS!$C$40/(DATOS!$C$48*Q24)/2)/1E5)</f>
        <v>0.908067376588235</v>
      </c>
      <c r="CB24" s="62">
        <f>IF(BW24&lt;0,9.99,IF(CA24&gt;0,BD24/CA24,0))</f>
        <v>0.00278761537859359</v>
      </c>
      <c r="CC24" s="63">
        <f>IF(BY24=0,"—",0.003*(BZ24-(BY24*INDEX(TABLAS!$D$52:$D$58,MATCH(BX24,TABLAS!$B$52:$B$58,0))*DATOS!$C$40/(DATOS!$C$48*Q24)/DATOS!$C$49))/(BY24*INDEX(TABLAS!$D$52:$D$58,MATCH(BX24,TABLAS!$B$52:$B$58,0))*DATOS!$C$40/(DATOS!$C$48*Q24)/DATOS!$C$49))</f>
        <v>0.13278875492126</v>
      </c>
      <c r="CD24" s="43">
        <f>((DATOS!$C$15-S24-2*DATOS!$C$35-IF(DATOS!$C$25=0,0,INDEX(TABLAS!$C$52:$C$58,MATCH(DATOS!$C$25,TABLAS!$B$52:$B$58,0)))-INDEX(TABLAS!$C$52:$C$58,MATCH(DATOS!$C$27,TABLAS!$B$52:$B$58,0))-INDEX(TABLAS!$C$52:$C$58,MATCH(DATOS!$C$27,TABLAS!$B$52:$B$58,0))/2)-IF(AND((DATOS!$C$15-S24-2*DATOS!$C$35-IF(DATOS!$C$25=0,0,INDEX(TABLAS!$C$52:$C$58,MATCH(DATOS!$C$25,TABLAS!$B$52:$B$58,0)))-INDEX(TABLAS!$C$52:$C$58,MATCH(DATOS!$C$27,TABLAS!$B$52:$B$58,0))-INDEX(TABLAS!$C$52:$C$58,MATCH(DATOS!$C$27,TABLAS!$B$52:$B$58,0))/2)&lt;=20,DATOS!$C$18&lt;&gt;"SÍ"),2,0))</f>
        <v>18.119</v>
      </c>
      <c r="CE24" s="43">
        <f>IF(D24="HUECO",0,IF(IF(BE24&lt;=0,0,IF((1-2*BE24*1E5/(DATOS!$C$58*DATOS!$C$19*CD24^2*DATOS!$C$48))&lt;0,-1,IF((1-SQRT((1-2*BE24*1E5/(DATOS!$C$58*DATOS!$C$19*CD24^2*DATOS!$C$48))))*DATOS!$C$48*DATOS!$C$19*CD24/DATOS!$C$40&gt;DATOS!$C$82*DATOS!$C$19*CD24,-1,(1-SQRT((1-2*BE24*1E5/(DATOS!$C$58*DATOS!$C$19*CD24^2*DATOS!$C$48))))*DATOS!$C$48*DATOS!$C$19*CD24/DATOS!$C$40)))&lt;0,-1,MAX(IF(BE24&lt;=0,0,IF((1-2*BE24*1E5/(DATOS!$C$58*DATOS!$C$19*CD24^2*DATOS!$C$48))&lt;0,-1,IF((1-SQRT((1-2*BE24*1E5/(DATOS!$C$58*DATOS!$C$19*CD24^2*DATOS!$C$48))))*DATOS!$C$48*DATOS!$C$19*CD24/DATOS!$C$40&gt;DATOS!$C$82*DATOS!$C$19*CD24,-1,(1-SQRT((1-2*BE24*1E5/(DATOS!$C$58*DATOS!$C$19*CD24^2*DATOS!$C$48))))*DATOS!$C$48*DATOS!$C$19*CD24/DATOS!$C$40))),MIN(DATOS!$C$83*DATOS!$C$13*CD24,4/3*IF(BE24&lt;=0,0,IF((1-2*BE24*1E5/(DATOS!$C$58*DATOS!$C$19*CD24^2*DATOS!$C$48))&lt;0,-1,IF((1-SQRT((1-2*BE24*1E5/(DATOS!$C$58*DATOS!$C$19*CD24^2*DATOS!$C$48))))*DATOS!$C$48*DATOS!$C$19*CD24/DATOS!$C$40&gt;DATOS!$C$82*DATOS!$C$19*CD24,-1,(1-SQRT((1-2*BE24*1E5/(DATOS!$C$58*DATOS!$C$19*CD24^2*DATOS!$C$48))))*DATOS!$C$48*DATOS!$C$19*CD24/DATOS!$C$40)))))))</f>
        <v>0.142526148838527</v>
      </c>
      <c r="CF24" s="41">
        <f>IF(AND(CE24&gt;=0,IF(MAX(DATOS!$C$29,CEILING(CE24/INDEX(TABLAS!$D$52:$D$58,MIN(MATCH(DATOS!$C$27,TABLAS!$B$52:$B$58,0)+0,7)),1))*INDEX(TABLAS!$D$52:$D$58,MIN(MATCH(DATOS!$C$27,TABLAS!$B$52:$B$58,0)+0,7))&gt;=4/3*IF(BE24&lt;=0,0,IF((1-2*BE24*1E5/(DATOS!$C$58*DATOS!$C$19*CD24^2*DATOS!$C$48))&lt;0,-1,IF((1-SQRT((1-2*BE24*1E5/(DATOS!$C$58*DATOS!$C$19*CD24^2*DATOS!$C$48))))*DATOS!$C$48*DATOS!$C$19*CD24/DATOS!$C$40&gt;DATOS!$C$82*DATOS!$C$19*CD24,-1,(1-SQRT((1-2*BE24*1E5/(DATOS!$C$58*DATOS!$C$19*CD24^2*DATOS!$C$48))))*DATOS!$C$48*DATOS!$C$19*CD24/DATOS!$C$40)))-0.0001,MAX(DATOS!$C$29,CEILING(CE24/INDEX(TABLAS!$D$52:$D$58,MIN(MATCH(DATOS!$C$27,TABLAS!$B$52:$B$58,0)+0,7)),1)),MAX(MAX(DATOS!$C$29,CEILING(CE24/INDEX(TABLAS!$D$52:$D$58,MIN(MATCH(DATOS!$C$27,TABLAS!$B$52:$B$58,0)+0,7)),1)),2))&lt;=MIN(DATOS!$C$28,INT(((DATOS!$C$13-2*S24-2*IF(DATOS!$C$25=0,0,INDEX(TABLAS!$C$52:$C$58,MATCH(DATOS!$C$25,TABLAS!$B$52:$B$58,0))))+MAX(DATOS!$C$32,INDEX(TABLAS!$C$52:$C$58,MIN(MATCH(DATOS!$C$27,TABLAS!$B$52:$B$58,0)+0,7))))/(INDEX(TABLAS!$C$52:$C$58,MIN(MATCH(DATOS!$C$27,TABLAS!$B$52:$B$58,0)+0,7))+MAX(DATOS!$C$32,INDEX(TABLAS!$C$52:$C$58,MIN(MATCH(DATOS!$C$27,TABLAS!$B$52:$B$58,0)+0,7))))))),INDEX(TABLAS!$B$52:$B$58,MIN(MATCH(DATOS!$C$27,TABLAS!$B$52:$B$58,0)+0,7)),IF(AND(CE24&gt;=0,IF(MAX(DATOS!$C$29,CEILING(CE24/INDEX(TABLAS!$D$52:$D$58,MIN(MATCH(DATOS!$C$27,TABLAS!$B$52:$B$58,0)+1,7)),1))*INDEX(TABLAS!$D$52:$D$58,MIN(MATCH(DATOS!$C$27,TABLAS!$B$52:$B$58,0)+1,7))&gt;=4/3*IF(BE24&lt;=0,0,IF((1-2*BE24*1E5/(DATOS!$C$58*DATOS!$C$19*CD24^2*DATOS!$C$48))&lt;0,-1,IF((1-SQRT((1-2*BE24*1E5/(DATOS!$C$58*DATOS!$C$19*CD24^2*DATOS!$C$48))))*DATOS!$C$48*DATOS!$C$19*CD24/DATOS!$C$40&gt;DATOS!$C$82*DATOS!$C$19*CD24,-1,(1-SQRT((1-2*BE24*1E5/(DATOS!$C$58*DATOS!$C$19*CD24^2*DATOS!$C$48))))*DATOS!$C$48*DATOS!$C$19*CD24/DATOS!$C$40)))-0.0001,MAX(DATOS!$C$29,CEILING(CE24/INDEX(TABLAS!$D$52:$D$58,MIN(MATCH(DATOS!$C$27,TABLAS!$B$52:$B$58,0)+1,7)),1)),MAX(MAX(DATOS!$C$29,CEILING(CE24/INDEX(TABLAS!$D$52:$D$58,MIN(MATCH(DATOS!$C$27,TABLAS!$B$52:$B$58,0)+1,7)),1)),2))&lt;=MIN(DATOS!$C$28,INT(((DATOS!$C$13-2*S24-2*IF(DATOS!$C$25=0,0,INDEX(TABLAS!$C$52:$C$58,MATCH(DATOS!$C$25,TABLAS!$B$52:$B$58,0))))+MAX(DATOS!$C$32,INDEX(TABLAS!$C$52:$C$58,MIN(MATCH(DATOS!$C$27,TABLAS!$B$52:$B$58,0)+1,7))))/(INDEX(TABLAS!$C$52:$C$58,MIN(MATCH(DATOS!$C$27,TABLAS!$B$52:$B$58,0)+1,7))+MAX(DATOS!$C$32,INDEX(TABLAS!$C$52:$C$58,MIN(MATCH(DATOS!$C$27,TABLAS!$B$52:$B$58,0)+1,7))))))),INDEX(TABLAS!$B$52:$B$58,MIN(MATCH(DATOS!$C$27,TABLAS!$B$52:$B$58,0)+1,7)),IF(AND(CE24&gt;=0,IF(MAX(DATOS!$C$29,CEILING(CE24/INDEX(TABLAS!$D$52:$D$58,MIN(MATCH(DATOS!$C$27,TABLAS!$B$52:$B$58,0)+2,7)),1))*INDEX(TABLAS!$D$52:$D$58,MIN(MATCH(DATOS!$C$27,TABLAS!$B$52:$B$58,0)+2,7))&gt;=4/3*IF(BE24&lt;=0,0,IF((1-2*BE24*1E5/(DATOS!$C$58*DATOS!$C$19*CD24^2*DATOS!$C$48))&lt;0,-1,IF((1-SQRT((1-2*BE24*1E5/(DATOS!$C$58*DATOS!$C$19*CD24^2*DATOS!$C$48))))*DATOS!$C$48*DATOS!$C$19*CD24/DATOS!$C$40&gt;DATOS!$C$82*DATOS!$C$19*CD24,-1,(1-SQRT((1-2*BE24*1E5/(DATOS!$C$58*DATOS!$C$19*CD24^2*DATOS!$C$48))))*DATOS!$C$48*DATOS!$C$19*CD24/DATOS!$C$40)))-0.0001,MAX(DATOS!$C$29,CEILING(CE24/INDEX(TABLAS!$D$52:$D$58,MIN(MATCH(DATOS!$C$27,TABLAS!$B$52:$B$58,0)+2,7)),1)),MAX(MAX(DATOS!$C$29,CEILING(CE24/INDEX(TABLAS!$D$52:$D$58,MIN(MATCH(DATOS!$C$27,TABLAS!$B$52:$B$58,0)+2,7)),1)),2))&lt;=MIN(DATOS!$C$28,INT(((DATOS!$C$13-2*S24-2*IF(DATOS!$C$25=0,0,INDEX(TABLAS!$C$52:$C$58,MATCH(DATOS!$C$25,TABLAS!$B$52:$B$58,0))))+MAX(DATOS!$C$32,INDEX(TABLAS!$C$52:$C$58,MIN(MATCH(DATOS!$C$27,TABLAS!$B$52:$B$58,0)+2,7))))/(INDEX(TABLAS!$C$52:$C$58,MIN(MATCH(DATOS!$C$27,TABLAS!$B$52:$B$58,0)+2,7))+MAX(DATOS!$C$32,INDEX(TABLAS!$C$52:$C$58,MIN(MATCH(DATOS!$C$27,TABLAS!$B$52:$B$58,0)+2,7))))))),INDEX(TABLAS!$B$52:$B$58,MIN(MATCH(DATOS!$C$27,TABLAS!$B$52:$B$58,0)+2,7)),IF(AND(CE24&gt;=0,IF(MAX(DATOS!$C$29,CEILING(CE24/INDEX(TABLAS!$D$52:$D$58,MIN(MATCH(DATOS!$C$27,TABLAS!$B$52:$B$58,0)+3,7)),1))*INDEX(TABLAS!$D$52:$D$58,MIN(MATCH(DATOS!$C$27,TABLAS!$B$52:$B$58,0)+3,7))&gt;=4/3*IF(BE24&lt;=0,0,IF((1-2*BE24*1E5/(DATOS!$C$58*DATOS!$C$19*CD24^2*DATOS!$C$48))&lt;0,-1,IF((1-SQRT((1-2*BE24*1E5/(DATOS!$C$58*DATOS!$C$19*CD24^2*DATOS!$C$48))))*DATOS!$C$48*DATOS!$C$19*CD24/DATOS!$C$40&gt;DATOS!$C$82*DATOS!$C$19*CD24,-1,(1-SQRT((1-2*BE24*1E5/(DATOS!$C$58*DATOS!$C$19*CD24^2*DATOS!$C$48))))*DATOS!$C$48*DATOS!$C$19*CD24/DATOS!$C$40)))-0.0001,MAX(DATOS!$C$29,CEILING(CE24/INDEX(TABLAS!$D$52:$D$58,MIN(MATCH(DATOS!$C$27,TABLAS!$B$52:$B$58,0)+3,7)),1)),MAX(MAX(DATOS!$C$29,CEILING(CE24/INDEX(TABLAS!$D$52:$D$58,MIN(MATCH(DATOS!$C$27,TABLAS!$B$52:$B$58,0)+3,7)),1)),2))&lt;=MIN(DATOS!$C$28,INT(((DATOS!$C$13-2*S24-2*IF(DATOS!$C$25=0,0,INDEX(TABLAS!$C$52:$C$58,MATCH(DATOS!$C$25,TABLAS!$B$52:$B$58,0))))+MAX(DATOS!$C$32,INDEX(TABLAS!$C$52:$C$58,MIN(MATCH(DATOS!$C$27,TABLAS!$B$52:$B$58,0)+3,7))))/(INDEX(TABLAS!$C$52:$C$58,MIN(MATCH(DATOS!$C$27,TABLAS!$B$52:$B$58,0)+3,7))+MAX(DATOS!$C$32,INDEX(TABLAS!$C$52:$C$58,MIN(MATCH(DATOS!$C$27,TABLAS!$B$52:$B$58,0)+3,7))))))),INDEX(TABLAS!$B$52:$B$58,MIN(MATCH(DATOS!$C$27,TABLAS!$B$52:$B$58,0)+3,7)),IF(AND(CE24&gt;=0,IF(MAX(DATOS!$C$29,CEILING(CE24/INDEX(TABLAS!$D$52:$D$58,MIN(MATCH(DATOS!$C$27,TABLAS!$B$52:$B$58,0)+4,7)),1))*INDEX(TABLAS!$D$52:$D$58,MIN(MATCH(DATOS!$C$27,TABLAS!$B$52:$B$58,0)+4,7))&gt;=4/3*IF(BE24&lt;=0,0,IF((1-2*BE24*1E5/(DATOS!$C$58*DATOS!$C$19*CD24^2*DATOS!$C$48))&lt;0,-1,IF((1-SQRT((1-2*BE24*1E5/(DATOS!$C$58*DATOS!$C$19*CD24^2*DATOS!$C$48))))*DATOS!$C$48*DATOS!$C$19*CD24/DATOS!$C$40&gt;DATOS!$C$82*DATOS!$C$19*CD24,-1,(1-SQRT((1-2*BE24*1E5/(DATOS!$C$58*DATOS!$C$19*CD24^2*DATOS!$C$48))))*DATOS!$C$48*DATOS!$C$19*CD24/DATOS!$C$40)))-0.0001,MAX(DATOS!$C$29,CEILING(CE24/INDEX(TABLAS!$D$52:$D$58,MIN(MATCH(DATOS!$C$27,TABLAS!$B$52:$B$58,0)+4,7)),1)),MAX(MAX(DATOS!$C$29,CEILING(CE24/INDEX(TABLAS!$D$52:$D$58,MIN(MATCH(DATOS!$C$27,TABLAS!$B$52:$B$58,0)+4,7)),1)),2))&lt;=MIN(DATOS!$C$28,INT(((DATOS!$C$13-2*S24-2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24" s="56">
        <f>IF(D24="HUECO",0,IF(CE24&lt;0,0,IF(MAX(DATOS!$C$29,CEILING(MAX(CE24,0)/INDEX(TABLAS!$D$52:$D$58,MATCH(CF24,TABLAS!$B$52:$B$58,0)),1))*INDEX(TABLAS!$D$52:$D$58,MATCH(CF24,TABLAS!$B$52:$B$58,0))&gt;=4/3*IF(BE24&lt;=0,0,IF((1-2*BE24*1E5/(DATOS!$C$58*DATOS!$C$19*CD24^2*DATOS!$C$48))&lt;0,-1,IF((1-SQRT((1-2*BE24*1E5/(DATOS!$C$58*DATOS!$C$19*CD24^2*DATOS!$C$48))))*DATOS!$C$48*DATOS!$C$19*CD24/DATOS!$C$40&gt;DATOS!$C$82*DATOS!$C$19*CD24,-1,(1-SQRT((1-2*BE24*1E5/(DATOS!$C$58*DATOS!$C$19*CD24^2*DATOS!$C$48))))*DATOS!$C$48*DATOS!$C$19*CD24/DATOS!$C$40)))-0.0001,MAX(DATOS!$C$29,CEILING(MAX(CE24,0)/INDEX(TABLAS!$D$52:$D$58,MATCH(CF24,TABLAS!$B$52:$B$58,0)),1)),MAX(MAX(DATOS!$C$29,CEILING(MAX(CE24,0)/INDEX(TABLAS!$D$52:$D$58,MATCH(CF24,TABLAS!$B$52:$B$58,0)),1)),2))))</f>
        <v>1</v>
      </c>
      <c r="CH24" s="43">
        <f>((DATOS!$C$15-S24-2*DATOS!$C$35-IF(DATOS!$C$25=0,0,INDEX(TABLAS!$C$52:$C$58,MATCH(DATOS!$C$25,TABLAS!$B$52:$B$58,0)))-INDEX(TABLAS!$C$52:$C$58,MATCH(BP24,TABLAS!$B$52:$B$58,0))-INDEX(TABLAS!$C$52:$C$58,MATCH(CF24,TABLAS!$B$52:$B$58,0))/2)-IF(AND((DATOS!$C$15-S24-2*DATOS!$C$35-IF(DATOS!$C$25=0,0,INDEX(TABLAS!$C$52:$C$58,MATCH(DATOS!$C$25,TABLAS!$B$52:$B$58,0)))-INDEX(TABLAS!$C$52:$C$58,MATCH(BP24,TABLAS!$B$52:$B$58,0))-INDEX(TABLAS!$C$52:$C$58,MATCH(CF24,TABLAS!$B$52:$B$58,0))/2)&lt;=20,DATOS!$C$18&lt;&gt;"SÍ"),2,0))</f>
        <v>18.119</v>
      </c>
      <c r="CI24" s="36">
        <f>IF(CG24=0,0,DATOS!$C$58*CG24*INDEX(TABLAS!$D$52:$D$58,MATCH(CF24,TABLAS!$B$52:$B$58,0))*DATOS!$C$40*(CH24-CG24*INDEX(TABLAS!$D$52:$D$58,MATCH(CF24,TABLAS!$B$52:$B$58,0))*DATOS!$C$40/(DATOS!$C$48*DATOS!$C$19)/2)/1E5)</f>
        <v>0.809570360117647</v>
      </c>
      <c r="CJ24" s="62">
        <f>IF(CE24&lt;0,9.99,IF(CI24&gt;0,BE24/CI24,0))</f>
        <v>0.0899058216318778</v>
      </c>
      <c r="CK24" s="63">
        <f>IF(CG24=0,"—",0.003*(CH24-(CG24*INDEX(TABLAS!$D$52:$D$58,MATCH(CF24,TABLAS!$B$52:$B$58,0))*DATOS!$C$40/(DATOS!$C$48*DATOS!$C$19)/DATOS!$C$49))/(CG24*INDEX(TABLAS!$D$52:$D$58,MATCH(CF24,TABLAS!$B$52:$B$58,0))*DATOS!$C$40/(DATOS!$C$48*DATOS!$C$19)/DATOS!$C$49))</f>
        <v>0.0154068862485939</v>
      </c>
      <c r="CL24" s="52" t="str">
        <f>IF(D24="HUECO","—",IF(AND(D24="PERIMETRAL",J24*100&gt;=6*DATOS!$C$11,DATOS!$C$11&lt;=80,DATOS!$C$13&gt;=10,DATOS!$C$15&lt;=3.5*DATOS!$C$13,DATOS!$C$14&gt;=MAX(DATOS!$C$11/13,5)),"SÍ","NO"))</f>
        <v>NO</v>
      </c>
      <c r="CM24" s="36">
        <f>IF(D24="PERIMETRAL",MAX(0,(N24/2-BR24)/100)*(0.95-0.5*L24)*Y24*IF(AND(Z24&gt;0,Z24&lt;4),DATOS!$C$63,1)*DATOS!$C$16/100/1000+AX24,IF(D24="VOLADO",(Y24*MAX(0,N24-BR24)/100+DATOS!$C$55*BA24)*DATOS!$C$16/100/1000,0))</f>
        <v>0.46634323181999</v>
      </c>
      <c r="CN24" s="36">
        <f>IF(D24="HUECO",0,DATOS!$C$59*2*MIN(1,SQRT(2/(1+0.04*BR24)))*(BQ24*INDEX(TABLAS!$D$52:$D$58,MATCH(BP24,TABLAS!$B$52:$B$58,0))/(DATOS!$C$19*BR24))^(1/3)*SQRT(DATOS!$C$39)*DATOS!$C$19*BR24*IF(CL24="SÍ",DATOS!$C$62,1)/1000)</f>
        <v>0.860398102904257</v>
      </c>
      <c r="CO24" s="51" t="str">
        <f>IF(D24="HUECO","—",IF(CM24&lt;=CN24,"CUMPLE",IF(MAX(0,CEILING((IF(D24="VOLADO",(N24-(CN24*1E5/DATOS!$C$16-DATOS!$C$55*BA24)*100/Y24),IF(CN24&lt;=AX24,N24,N24/2-(CN24-AX24)/MAX(CM24-AX24,1E-9)*(N24/2-BR24)))-IF(INT((J24*100-DATOS!$C$17+DATOS!$C$13)/DATOS!$C$16)&gt;0,(J24*100-DATOS!$C$17-(INT((J24*100-DATOS!$C$17+DATOS!$C$13)/DATOS!$C$16)*DATOS!$C$11+(INT((J24*100-DATOS!$C$17+DATOS!$C$13)/DATOS!$C$16)-1)*DATOS!$C$13))/2,J24*100/2))/DATOS!$C$16,1))&lt;=0,"CUMPLE (basta el macizo de orilla)","MACIZAR "&amp;MAX(0,CEILING((IF(D24="VOLADO",(N24-(CN24*1E5/DATOS!$C$16-DATOS!$C$55*BA24)*100/Y24),IF(CN24&lt;=AX24,N24,N24/2-(CN24-AX24)/MAX(CM24-AX24,1E-9)*(N24/2-BR24)))-IF(INT((J24*100-DATOS!$C$17+DATOS!$C$13)/DATOS!$C$16)&gt;0,(J24*100-DATOS!$C$17-(INT((J24*100-DATOS!$C$17+DATOS!$C$13)/DATOS!$C$16)*DATOS!$C$11+(INT((J24*100-DATOS!$C$17+DATOS!$C$13)/DATOS!$C$16)-1)*DATOS!$C$13))/2,J24*100/2))/DATOS!$C$16,1))&amp;" hilera(s)")))</f>
        <v>CUMPLE</v>
      </c>
      <c r="CP24" s="43">
        <f>IF(D24="PERIMETRAL",((PRINCIPALES!$N$23*PRINCIPALES!$O$23^3/12/(4.000*100*IF(APOYOS!$G$89="CONTINUO",1,0.5)*DATOS!$C$77^3/12))+99+(PRINCIPALES!$N$32*PRINCIPALES!$O$32^3/12/(0.499*100*IF(APOYOS!$G$91="CONTINUO",1,0.5)*DATOS!$C$77^3/12))+99)/4,0)</f>
        <v>54.1920083224415</v>
      </c>
      <c r="CQ24" s="57">
        <f>IF(D24="PERIMETRAL",IF(CP24&gt;2,MAX(9,O24*(0.8+DATOS!$C$40/14000)/(36+9*(O24/MAX(N24,1)))),IF(CP24&gt;0.2,MAX(13,O24*(0.8+DATOS!$C$40/14000)/(36+5*(O24/MAX(N24,1))*(CP24-0.2))),MAX(13,O24/IF(Z24&gt;0,30,33))))*IF(AND(CP24&gt;0.2,OR(AND((APOYOS!$G$89="DISCONTINUO"),(PRINCIPALES!$N$23*PRINCIPALES!$O$23^3/12/(4.000*100*IF(APOYOS!$G$89="CONTINUO",1,0.5)*DATOS!$C$77^3/12))&lt;0.8),AND((APOYOS!$G$90="DISCONTINUO"),99&lt;0.8),AND((APOYOS!$G$91="DISCONTINUO"),(PRINCIPALES!$N$32*PRINCIPALES!$O$32^3/12/(0.499*100*IF(APOYOS!$G$91="CONTINUO",1,0.5)*DATOS!$C$77^3/12))&lt;0.8),AND((APOYOS!$G$92="DISCONTINUO"),99&lt;0.8))),1.1,1),IF(D24="VOLADO",MAX(25,J24*100/8),0))</f>
        <v>9</v>
      </c>
      <c r="CR24" s="57">
        <f>IF(D24="VOLADO",DATOS!$C$15,DATOS!$C$77)</f>
        <v>16.7232564120244</v>
      </c>
      <c r="CS24" s="52" t="str">
        <f>IF(D24="HUECO","—",IF(CR24&gt;=CQ24,"CUMPLE",IF(D24="VOLADO","NO CUMPLE","CALCULAR FLECHA")))</f>
        <v>CUMPLE</v>
      </c>
      <c r="CT24" s="52" t="str">
        <f>IF(D24="HUECO","—",IF(DATOS!$C$14&gt;=IF(IF(D24="VOLADO",J24,K24)&gt;=6,6,5),"CUMPLE","CAPA ≥ 6 cm"))</f>
        <v>CUMPLE</v>
      </c>
      <c r="CU24" s="59">
        <f>IF(D24="HUECO",0,IF(((4*((AL24*Y24*J24^2*1E-4*DATOS!$C$16/100/1000)+((MAX(AH24,AJ24)*Y24*J24^2*1E-4*DATOS!$C$16/100/1000)+(IF(AND(AH24&gt;0,AJ24&gt;0),MIN(AH24,AJ24),MAX(AH24,AJ24))*Y24*J24^2*1E-4*DATOS!$C$16/100/1000))/2)+BC24-(IF(AND(AH24&gt;0,AJ24&gt;0),MIN(AH24,AJ24),MAX(AH24,AJ24))*Y24*J24^2*1E-4*DATOS!$C$16/100/1000))^2-16*((AL24*Y24*J24^2*1E-4*DATOS!$C$16/100/1000)+((MAX(AH24,AJ24)*Y24*J24^2*1E-4*DATOS!$C$16/100/1000)+(IF(AND(AH24&gt;0,AJ24&gt;0),MIN(AH24,AJ24),MAX(AH24,AJ24))*Y24*J24^2*1E-4*DATOS!$C$16/100/1000))/2)*BC24)&lt;0,CEILING(N24,5),CEILING(MAX(N24*((4*((AL24*Y24*J24^2*1E-4*DATOS!$C$16/100/1000)+((MAX(AH24,AJ24)*Y24*J24^2*1E-4*DATOS!$C$16/100/1000)+(IF(AND(AH24&gt;0,AJ24&gt;0),MIN(AH24,AJ24),MAX(AH24,AJ24))*Y24*J24^2*1E-4*DATOS!$C$16/100/1000))/2)+BC24-(IF(AND(AH24&gt;0,AJ24&gt;0),MIN(AH24,AJ24),MAX(AH24,AJ24))*Y24*J24^2*1E-4*DATOS!$C$16/100/1000))-SQRT(MAX(0,((4*((AL24*Y24*J24^2*1E-4*DATOS!$C$16/100/1000)+((MAX(AH24,AJ24)*Y24*J24^2*1E-4*DATOS!$C$16/100/1000)+(IF(AND(AH24&gt;0,AJ24&gt;0),MIN(AH24,AJ24),MAX(AH24,AJ24))*Y24*J24^2*1E-4*DATOS!$C$16/100/1000))/2)+BC24-(IF(AND(AH24&gt;0,AJ24&gt;0),MIN(AH24,AJ24),MAX(AH24,AJ24))*Y24*J24^2*1E-4*DATOS!$C$16/100/1000))^2-16*((AL24*Y24*J24^2*1E-4*DATOS!$C$16/100/1000)+((MAX(AH24,AJ24)*Y24*J24^2*1E-4*DATOS!$C$16/100/1000)+(IF(AND(AH24&gt;0,AJ24&gt;0),MIN(AH24,AJ24),MAX(AH24,AJ24))*Y24*J24^2*1E-4*DATOS!$C$16/100/1000))/2)*BC24))))/(8*MAX(((AL24*Y24*J24^2*1E-4*DATOS!$C$16/100/1000)+((MAX(AH24,AJ24)*Y24*J24^2*1E-4*DATOS!$C$16/100/1000)+(IF(AND(AH24&gt;0,AJ24&gt;0),MIN(AH24,AJ24),MAX(AH24,AJ24))*Y24*J24^2*1E-4*DATOS!$C$16/100/1000))/2),1E-9))+MAX(BR24,12*INDEX(TABLAS!$C$52:$C$58,MATCH(BP24,TABLAS!$B$52:$B$58,0)),N24/16),IF(OR(S24&lt;INDEX(TABLAS!$C$52:$C$58,MATCH(BP24,TABLAS!$B$52:$B$58,0)),AND(BQ24&gt;=2,(DATOS!$C$13-2*S24-2*IF(DATOS!$C$25=0,0,INDEX(TABLAS!$C$52:$C$58,MATCH(DATOS!$C$25,TABLAS!$B$52:$B$58,0)))-BQ24*INDEX(TABLAS!$C$52:$C$58,MATCH(BP24,TABLAS!$B$52:$B$58,0)))/MAX(BQ24-1,1)&lt;2*INDEX(TABLAS!$C$52:$C$58,MATCH(BP24,TABLAS!$B$52:$B$58,0)))),INDEX(TABLAS!$I$52:$I$58,MATCH(BP24,TABLAS!$B$52:$B$58,0)),INDEX(TABLAS!$F$52:$F$58,MATCH(BP24,TABLAS!$B$52:$B$58,0)))),5)))</f>
        <v>60</v>
      </c>
      <c r="CV24" s="59">
        <f>IF(D24="HUECO",0,IF(((4*((AM24*Y24*J24^2*1E-4*DATOS!$C$16/100/1000)+((MAX(AI24,AK24)*Y24*J24^2*1E-4*DATOS!$C$16/100/1000)+(IF(AND(AI24&gt;0,AK24&gt;0),MIN(AI24,AK24),MAX(AI24,AK24))*Y24*J24^2*1E-4*DATOS!$C$16/100/1000))/2)+BE24-(IF(AND(AI24&gt;0,AK24&gt;0),MIN(AI24,AK24),MAX(AI24,AK24))*Y24*J24^2*1E-4*DATOS!$C$16/100/1000))^2-16*((AM24*Y24*J24^2*1E-4*DATOS!$C$16/100/1000)+((MAX(AI24,AK24)*Y24*J24^2*1E-4*DATOS!$C$16/100/1000)+(IF(AND(AI24&gt;0,AK24&gt;0),MIN(AI24,AK24),MAX(AI24,AK24))*Y24*J24^2*1E-4*DATOS!$C$16/100/1000))/2)*BE24)&lt;0,CEILING(O24,5),CEILING(MAX(O24*((4*((AM24*Y24*J24^2*1E-4*DATOS!$C$16/100/1000)+((MAX(AI24,AK24)*Y24*J24^2*1E-4*DATOS!$C$16/100/1000)+(IF(AND(AI24&gt;0,AK24&gt;0),MIN(AI24,AK24),MAX(AI24,AK24))*Y24*J24^2*1E-4*DATOS!$C$16/100/1000))/2)+BE24-(IF(AND(AI24&gt;0,AK24&gt;0),MIN(AI24,AK24),MAX(AI24,AK24))*Y24*J24^2*1E-4*DATOS!$C$16/100/1000))-SQRT(MAX(0,((4*((AM24*Y24*J24^2*1E-4*DATOS!$C$16/100/1000)+((MAX(AI24,AK24)*Y24*J24^2*1E-4*DATOS!$C$16/100/1000)+(IF(AND(AI24&gt;0,AK24&gt;0),MIN(AI24,AK24),MAX(AI24,AK24))*Y24*J24^2*1E-4*DATOS!$C$16/100/1000))/2)+BE24-(IF(AND(AI24&gt;0,AK24&gt;0),MIN(AI24,AK24),MAX(AI24,AK24))*Y24*J24^2*1E-4*DATOS!$C$16/100/1000))^2-16*((AM24*Y24*J24^2*1E-4*DATOS!$C$16/100/1000)+((MAX(AI24,AK24)*Y24*J24^2*1E-4*DATOS!$C$16/100/1000)+(IF(AND(AI24&gt;0,AK24&gt;0),MIN(AI24,AK24),MAX(AI24,AK24))*Y24*J24^2*1E-4*DATOS!$C$16/100/1000))/2)*BE24))))/(8*MAX(((AM24*Y24*J24^2*1E-4*DATOS!$C$16/100/1000)+((MAX(AI24,AK24)*Y24*J24^2*1E-4*DATOS!$C$16/100/1000)+(IF(AND(AI24&gt;0,AK24&gt;0),MIN(AI24,AK24),MAX(AI24,AK24))*Y24*J24^2*1E-4*DATOS!$C$16/100/1000))/2),1E-9))+MAX(CH24,12*INDEX(TABLAS!$C$52:$C$58,MATCH(CF24,TABLAS!$B$52:$B$58,0)),O24/16),IF(OR(S24&lt;INDEX(TABLAS!$C$52:$C$58,MATCH(CF24,TABLAS!$B$52:$B$58,0)),AND(CG24&gt;=2,(DATOS!$C$13-2*S24-2*IF(DATOS!$C$25=0,0,INDEX(TABLAS!$C$52:$C$58,MATCH(DATOS!$C$25,TABLAS!$B$52:$B$58,0)))-CG24*INDEX(TABLAS!$C$52:$C$58,MATCH(CF24,TABLAS!$B$52:$B$58,0)))/MAX(CG24-1,1)&lt;2*INDEX(TABLAS!$C$52:$C$58,MATCH(CF24,TABLAS!$B$52:$B$58,0)))),INDEX(TABLAS!$I$52:$I$58,MATCH(CF24,TABLAS!$B$52:$B$58,0)),INDEX(TABLAS!$F$52:$F$58,MATCH(CF24,TABLAS!$B$52:$B$58,0)))),5)))</f>
        <v>385</v>
      </c>
      <c r="CW24" s="56">
        <f>MAX(0,INT((F24*100-DATOS!$C$17+DATOS!$C$13)/DATOS!$C$16))</f>
        <v>0</v>
      </c>
      <c r="CX24" s="56">
        <f>MAX(0,INT((G24*100-DATOS!$C$17+DATOS!$C$13)/DATOS!$C$16))</f>
        <v>5</v>
      </c>
      <c r="CY24" s="51" t="str">
        <f>IF(COUNTIFS(TRIB!$C$6:$C$255,B24,TRIB!$K$6:$K$255,"NO CUMPLE*")+COUNTIFS(TRIB!$C$6:$C$255,B24,TRIB!$K$6:$K$255,"SIN APOYO*")&gt;0,"VER PRINCIPALES",IF((APOYOS!$F$89="LIBRE")+(APOYOS!$F$90="LIBRE")+(APOYOS!$F$91="LIBRE")+(APOYOS!$F$92="LIBRE")&gt;0,"REVISAR: borde libre","OK"))</f>
        <v>OK</v>
      </c>
      <c r="CZ24" s="64" t="str">
        <f>IF(D24="HUECO","HUECO — marco de nervaduras principales",IF(AND(MAX(BL24,BT24,CB24,CJ24)&lt;=1,NOT(OR(BI24&gt;MIN(DATOS!$C$28,INT(((DATOS!$C$13-2*R24-2*IF(DATOS!$C$25=0,0,INDEX(TABLAS!$C$52:$C$58,MATCH(DATOS!$C$25,TABLAS!$B$52:$B$58,0))))+DATOS!$C$32)/(INDEX(TABLAS!$C$52:$C$58,MATCH(BH24,TABLAS!$B$52:$B$58,0))+DATOS!$C$32))),BQ24&gt;MIN(DATOS!$C$28,INT(((DATOS!$C$13-2*S24-2*IF(DATOS!$C$25=0,0,INDEX(TABLAS!$C$52:$C$58,MATCH(DATOS!$C$25,TABLAS!$B$52:$B$58,0))))+DATOS!$C$32)/(INDEX(TABLAS!$C$52:$C$58,MATCH(BP24,TABLAS!$B$52:$B$58,0))+DATOS!$C$32))),BY24&gt;MIN(DATOS!$C$28,INT(((DATOS!$C$13-2*R24-2*IF(DATOS!$C$25=0,0,INDEX(TABLAS!$C$52:$C$58,MATCH(DATOS!$C$25,TABLAS!$B$52:$B$58,0))))+DATOS!$C$32)/(INDEX(TABLAS!$C$52:$C$58,MATCH(BX24,TABLAS!$B$52:$B$58,0))+DATOS!$C$32))),CG24&gt;MIN(DATOS!$C$28,INT(((DATOS!$C$13-2*S24-2*IF(DATOS!$C$25=0,0,INDEX(TABLAS!$C$52:$C$58,MATCH(DATOS!$C$25,TABLAS!$B$52:$B$58,0))))+DATOS!$C$32)/(INDEX(TABLAS!$C$52:$C$58,MATCH(CF24,TABLAS!$B$52:$B$58,0))+DATOS!$C$32))))),NOT(OR(AND(ISNUMBER(BM24),BM24&lt;0.005),AND(ISNUMBER(BU24),BU24&lt;0.005),AND(ISNUMBER(CC24),CC24&lt;0.005),AND(ISNUMBER(CK24),CK24&lt;0.005))),CS24="CUMPLE",CT24="CUMPLE"),IF(CY24="OK",IF(LEFT(CO24,6)="CUMPLE","CUMPLE","CUMPLE — "&amp;CO24)&amp;IF(LEFT(AZ24,5)="FUERA"," · fuera de 3.4.2.1 c)",""),IF(CY24="VER PRINCIPALES","VER PRINCIPALES","REVISAR APOYOS")),IF(AND(MAX(BL24,BT24,CB24,CJ24)&lt;=1,NOT(OR(BI24&gt;MIN(DATOS!$C$28,INT(((DATOS!$C$13-2*R24-2*IF(DATOS!$C$25=0,0,INDEX(TABLAS!$C$52:$C$58,MATCH(DATOS!$C$25,TABLAS!$B$52:$B$58,0))))+DATOS!$C$32)/(INDEX(TABLAS!$C$52:$C$58,MATCH(BH24,TABLAS!$B$52:$B$58,0))+DATOS!$C$32))),BQ24&gt;MIN(DATOS!$C$28,INT(((DATOS!$C$13-2*S24-2*IF(DATOS!$C$25=0,0,INDEX(TABLAS!$C$52:$C$58,MATCH(DATOS!$C$25,TABLAS!$B$52:$B$58,0))))+DATOS!$C$32)/(INDEX(TABLAS!$C$52:$C$58,MATCH(BP24,TABLAS!$B$52:$B$58,0))+DATOS!$C$32))),BY24&gt;MIN(DATOS!$C$28,INT(((DATOS!$C$13-2*R24-2*IF(DATOS!$C$25=0,0,INDEX(TABLAS!$C$52:$C$58,MATCH(DATOS!$C$25,TABLAS!$B$52:$B$58,0))))+DATOS!$C$32)/(INDEX(TABLAS!$C$52:$C$58,MATCH(BX24,TABLAS!$B$52:$B$58,0))+DATOS!$C$32))),CG24&gt;MIN(DATOS!$C$28,INT(((DATOS!$C$13-2*S24-2*IF(DATOS!$C$25=0,0,INDEX(TABLAS!$C$52:$C$58,MATCH(DATOS!$C$25,TABLAS!$B$52:$B$58,0))))+DATOS!$C$32)/(INDEX(TABLAS!$C$52:$C$58,MATCH(CF24,TABLAS!$B$52:$B$58,0))+DATOS!$C$32))))),NOT(OR(AND(ISNUMBER(BM24),BM24&lt;0.005),AND(ISNUMBER(BU24),BU24&lt;0.005),AND(ISNUMBER(CC24),CC24&lt;0.005),AND(ISNUMBER(CK24),CK24&lt;0.005))),CS24="CALCULAR FLECHA"),"REVISAR: calcular flecha (h_eq &lt; h mín.)","NO CUMPLE: "&amp;IF(MAX(BL24,BT24,CB24,CJ24)&gt;1,"flexión ","")&amp;IF(OR(BI24&gt;MIN(DATOS!$C$28,INT(((DATOS!$C$13-2*R24-2*IF(DATOS!$C$25=0,0,INDEX(TABLAS!$C$52:$C$58,MATCH(DATOS!$C$25,TABLAS!$B$52:$B$58,0))))+DATOS!$C$32)/(INDEX(TABLAS!$C$52:$C$58,MATCH(BH24,TABLAS!$B$52:$B$58,0))+DATOS!$C$32))),BQ24&gt;MIN(DATOS!$C$28,INT(((DATOS!$C$13-2*S24-2*IF(DATOS!$C$25=0,0,INDEX(TABLAS!$C$52:$C$58,MATCH(DATOS!$C$25,TABLAS!$B$52:$B$58,0))))+DATOS!$C$32)/(INDEX(TABLAS!$C$52:$C$58,MATCH(BP24,TABLAS!$B$52:$B$58,0))+DATOS!$C$32))),BY24&gt;MIN(DATOS!$C$28,INT(((DATOS!$C$13-2*R24-2*IF(DATOS!$C$25=0,0,INDEX(TABLAS!$C$52:$C$58,MATCH(DATOS!$C$25,TABLAS!$B$52:$B$58,0))))+DATOS!$C$32)/(INDEX(TABLAS!$C$52:$C$58,MATCH(BX24,TABLAS!$B$52:$B$58,0))+DATOS!$C$32))),CG24&gt;MIN(DATOS!$C$28,INT(((DATOS!$C$13-2*S24-2*IF(DATOS!$C$25=0,0,INDEX(TABLAS!$C$52:$C$58,MATCH(DATOS!$C$25,TABLAS!$B$52:$B$58,0))))+DATOS!$C$32)/(INDEX(TABLAS!$C$52:$C$58,MATCH(CF24,TABLAS!$B$52:$B$58,0))+DATOS!$C$32)))),"no caben ","")&amp;IF(OR(AND(ISNUMBER(BM24),BM24&lt;0.005),AND(ISNUMBER(BU24),BU24&lt;0.005),AND(ISNUMBER(CC24),CC24&lt;0.005),AND(ISNUMBER(CK24),CK24&lt;0.005)),"ε_t &lt; 0.005 ","")&amp;IF(CS24="NO CUMPLE","peralte ","")&amp;IF(CT24&lt;&gt;"CUMPLE","capa &lt; 6 cm",""))))</f>
        <v>CUMPLE · fuera de 3.4.2.1 c)</v>
      </c>
      <c r="DA24" s="65" t="str">
        <f>IF(AND(D24="PERIMETRAL",MIN(CW24,CX24)=0),"Tablero macizo (no cabe un casetón en el claro corto): no aplica 6.7.8. La resistencia se revisa con una nervadura de 10 cm cada 70 cm y r_np (conservador); "&amp;"como losa maciza lleva además As,mín = 0.0018·Ag en cada dirección cerca de la cara a tensión (6.7.6.1.1, p. 175). ",IF(AND(CL24="NO",D24="PERIMETRAL"),"No cumple 6.7.8.1.4 (a_c = "&amp;DATOS!$C$11&amp;" cm &gt; claro corto/6 = "&amp;TEXT(J24*100/6,"0")&amp;" cm): se diseña como losa apoyada en vigas (6.7.8.1.9): nervaduras con recubrimiento de viga r_np = "&amp;DATOS!$C$22&amp;" cm (Tabla 4.14.16.a), V_cR sin ×1.1 y cortante sin estribos por 5.5.3.8.1 (criterio del Proyectista). Para que cuente como encasetonada: casetón de "&amp;TEXT(FLOOR(MIN(80,J24*100/6),1),"0")&amp;" cm o menor. ",""))&amp;IF(LEFT(AZ24,5)="FUERA","M⁻ del borde común "&amp;AZ24&amp;": difieren más de 50% (3.4.2.1 c); se distribuyen 2/3 del desequilibrio (3.4.3.1) y conviene confirmar los momentos con el modelo. ","")&amp;"—"</f>
        <v>Tablero macizo (no cabe un casetón en el claro corto): no aplica 6.7.8. La resistencia se revisa con una nervadura de 10 cm cada 70 cm y r_np (conservador); como losa maciza lleva además As,mín = 0.0018·Ag en cada dirección cerca de la cara a tensión (6.7.6.1.1, p. 175). M⁻ del borde común FUERA con F80008 F80016 F80018 · junto al volado F80019: se arma con su M⁻ y su cortante entra en V_u: difieren más de 50% (3.4.2.1 c); se distribuyen 2/3 del desequilibrio (3.4.3.1) y conviene confirmar los momentos con el modelo. —</v>
      </c>
    </row>
    <row r="25" ht="30" customHeight="1">
      <c r="B25" s="51" t="inlineStr">
        <is>
          <t>F80018 N+3.00</t>
        </is>
      </c>
      <c r="C25" s="52" t="inlineStr">
        <is>
          <t>N+3.00</t>
        </is>
      </c>
      <c r="D25" s="53" t="inlineStr">
        <is>
          <t>PERIMETRAL</t>
        </is>
      </c>
      <c r="E25" s="53" t="inlineStr">
        <is>
          <t>HABITACIÓN</t>
        </is>
      </c>
      <c r="F25" s="54" t="n">
        <v>3.925</v>
      </c>
      <c r="G25" s="54" t="n">
        <v>4</v>
      </c>
      <c r="H25" s="55" t="n">
        <v>3.925</v>
      </c>
      <c r="I25" s="55" t="n">
        <v>4</v>
      </c>
      <c r="J25" s="36">
        <f>MIN(H25,I25)</f>
        <v>3.925</v>
      </c>
      <c r="K25" s="36">
        <f>MAX(H25,I25)</f>
        <v>4</v>
      </c>
      <c r="L25" s="36">
        <f>IF(K25&gt;0,J25/K25,0)</f>
        <v>0.98125</v>
      </c>
      <c r="M25" s="52" t="str">
        <f>IF(H25&lt;=I25,"X","Y")</f>
        <v>X</v>
      </c>
      <c r="N25" s="56">
        <f>MAX(0,J25*100-IF(D25="VOLADO",DATOS!$C$17/2,DATOS!$C$17))</f>
        <v>377.5</v>
      </c>
      <c r="O25" s="56">
        <f>MAX(0,K25*100-DATOS!$C$17)</f>
        <v>385</v>
      </c>
      <c r="P25" s="57">
        <f>MIN(DATOS!$C$16,DATOS!$C$13+2*MIN(8*DATOS!$C$14,DATOS!$C$11/2,N25/8))</f>
        <v>70</v>
      </c>
      <c r="Q25" s="57">
        <f>MIN(DATOS!$C$16,DATOS!$C$13+2*MIN(8*DATOS!$C$14,DATOS!$C$11/2,O25/8))</f>
        <v>70</v>
      </c>
      <c r="R25" s="57">
        <f>IF(D25="VOLADO",DATOS!$C$21,IF(CL25="NO",DATOS!$C$22,DATOS!$C$20))</f>
        <v>2</v>
      </c>
      <c r="S25" s="57">
        <f>IF(OR(AND(C25="N+6.00",DATOS!$C$23="SÍ"),AND(D25="VOLADO",DATOS!$C$24="SÍ")),DATOS!$C$21,IF(CL25="NO",DATOS!$C$22,DATOS!$C$20))</f>
        <v>2</v>
      </c>
      <c r="T25" s="58" t="n">
        <v>160</v>
      </c>
      <c r="U25" s="56">
        <f>IF(E25="HABITACIÓN",DATOS!$C$89,DATOS!$C$92)</f>
        <v>190</v>
      </c>
      <c r="V25" s="56">
        <f>CARGAS!$C$9</f>
        <v>293.673469387755</v>
      </c>
      <c r="W25" s="56">
        <f>V25+T25</f>
        <v>453.673469387755</v>
      </c>
      <c r="X25" s="56">
        <f>W25+U25</f>
        <v>643.673469387755</v>
      </c>
      <c r="Y25" s="59">
        <f>MAX(DATOS!$C$55*W25+DATOS!$C$56*U25,IF(E25="AZOTEA",DATOS!$C$57*(W25+DATOS!$C$97),0))</f>
        <v>874.775510204082</v>
      </c>
      <c r="Z25" s="56">
        <f>(APOYOS!$G$93="DISCONTINUO")+(APOYOS!$G$94="DISCONTINUO")+(APOYOS!$G$95="DISCONTINUO")+(APOYOS!$G$96="DISCONTINUO")</f>
        <v>1</v>
      </c>
      <c r="AA25" s="56">
        <f>IF(M25="X",(APOYOS!$G$93="DISCONTINUO")+(APOYOS!$G$94="DISCONTINUO"),(APOYOS!$G$95="DISCONTINUO")+(APOYOS!$G$96="DISCONTINUO"))</f>
        <v>0</v>
      </c>
      <c r="AB25" s="56">
        <f>Z25-AA25</f>
        <v>1</v>
      </c>
      <c r="AC25" s="52" t="str">
        <f>IF(Z25=0,"INTERIOR",IF(Z25=1,IF(AA25=1,"BORDE-CORTO","BORDE-LARGO"),IF(Z25=2,IF(AA25=1,"ESQUINA",IF(AA25=2,"EXTREMO-LARGO","EXTREMO-CORTO")),IF(Z25=3,IF(AA25=2,"EXTREMO-LARGO","EXTREMO-CORTO"),"AISLADO"))))</f>
        <v>BORDE-LARGO</v>
      </c>
      <c r="AD25" s="53" t="inlineStr">
        <is>
          <t>AUTO</t>
        </is>
      </c>
      <c r="AE25" s="60" t="str">
        <f>IF(AD25="AUTO",AC25,AD25)</f>
        <v>BORDE-LARGO</v>
      </c>
      <c r="AF25" s="56">
        <f>MATCH(L25,TABLAS!$D$5:$J$5,1)</f>
        <v>6</v>
      </c>
      <c r="AG25" s="43">
        <f>IF(AF25&gt;=7,0,(L25-INDEX(TABLAS!$D$5:$J$5,AF25))/(INDEX(TABLAS!$D$5:$J$5,AF25+1)-INDEX(TABLAS!$D$5:$J$5,AF25)))</f>
        <v>0.8125</v>
      </c>
      <c r="AH25" s="56">
        <f>INDEX(TABLAS!$D$6:$J$47,MATCH(AE25&amp;"|NIC",TABLAS!$B$6:$B$47,0),AF25)+AG25*(INDEX(TABLAS!$D$6:$J$47,MATCH(AE25&amp;"|NIC",TABLAS!$B$6:$B$47,0),MIN(AF25+1,7))-INDEX(TABLAS!$D$6:$J$47,MATCH(AE25&amp;"|NIC",TABLAS!$B$6:$B$47,0),AF25))</f>
        <v>438.0625</v>
      </c>
      <c r="AI25" s="56">
        <f>INDEX(TABLAS!$D$6:$J$47,MATCH(AE25&amp;"|NIL",TABLAS!$B$6:$B$47,0),AF25)+AG25*(INDEX(TABLAS!$D$6:$J$47,MATCH(AE25&amp;"|NIL",TABLAS!$B$6:$B$47,0),MIN(AF25+1,7))-INDEX(TABLAS!$D$6:$J$47,MATCH(AE25&amp;"|NIL",TABLAS!$B$6:$B$47,0),AF25))</f>
        <v>465.125</v>
      </c>
      <c r="AJ25" s="56">
        <f>INDEX(TABLAS!$D$6:$J$47,MATCH(AE25&amp;"|NDC",TABLAS!$B$6:$B$47,0),AF25)+AG25*(INDEX(TABLAS!$D$6:$J$47,MATCH(AE25&amp;"|NDC",TABLAS!$B$6:$B$47,0),MIN(AF25+1,7))-INDEX(TABLAS!$D$6:$J$47,MATCH(AE25&amp;"|NDC",TABLAS!$B$6:$B$47,0),AF25))</f>
        <v>195.4375</v>
      </c>
      <c r="AK25" s="56">
        <f>INDEX(TABLAS!$D$6:$J$47,MATCH(AE25&amp;"|NDL",TABLAS!$B$6:$B$47,0),AF25)+AG25*(INDEX(TABLAS!$D$6:$J$47,MATCH(AE25&amp;"|NDL",TABLAS!$B$6:$B$47,0),MIN(AF25+1,7))-INDEX(TABLAS!$D$6:$J$47,MATCH(AE25&amp;"|NDL",TABLAS!$B$6:$B$47,0),AF25))</f>
        <v>0</v>
      </c>
      <c r="AL25" s="56">
        <f>INDEX(TABLAS!$D$6:$J$47,MATCH(AE25&amp;"|PC",TABLAS!$B$6:$B$47,0),AF25)+AG25*(INDEX(TABLAS!$D$6:$J$47,MATCH(AE25&amp;"|PC",TABLAS!$B$6:$B$47,0),MIN(AF25+1,7))-INDEX(TABLAS!$D$6:$J$47,MATCH(AE25&amp;"|PC",TABLAS!$B$6:$B$47,0),AF25))</f>
        <v>287.3125</v>
      </c>
      <c r="AM25" s="56">
        <f>INDEX(TABLAS!$D$6:$J$47,MATCH(AE25&amp;"|PL",TABLAS!$B$6:$B$47,0),AF25)+AG25*(INDEX(TABLAS!$D$6:$J$47,MATCH(AE25&amp;"|PL",TABLAS!$B$6:$B$47,0),MIN(AF25+1,7))-INDEX(TABLAS!$D$6:$J$47,MATCH(AE25&amp;"|PL",TABLAS!$B$6:$B$47,0),AF25))</f>
        <v>238.9375</v>
      </c>
      <c r="AN25" s="36">
        <f>IF(D25="PERIMETRAL",IF(APOYOS!$G$93="CONTINUO",IF(M25="Y",AH25,AI25),IF(M25="Y",AJ25,AK25))*Y25*J25^2*1E-4*DATOS!$C$16/100/1000,0)</f>
        <v>0.438776804983928</v>
      </c>
      <c r="AO25" s="36">
        <f>IF(D25="PERIMETRAL",IF(APOYOS!$G$94="CONTINUO",IF(M25="Y",AH25,AI25),IF(M25="Y",AJ25,AK25))*Y25*J25^2*1E-4*DATOS!$C$16/100/1000,0)</f>
        <v>0.438776804983928</v>
      </c>
      <c r="AP25" s="36">
        <f>IF(D25="PERIMETRAL",IF(APOYOS!$G$95="CONTINUO",IF(M25="X",AH25,AI25),IF(M25="X",AJ25,AK25))*Y25*J25^2*1E-4*DATOS!$C$16/100/1000,0)</f>
        <v>0.413247329499107</v>
      </c>
      <c r="AQ25" s="36">
        <f>IF(D25="PERIMETRAL",IF(APOYOS!$G$96="CONTINUO",IF(M25="X",AH25,AI25),IF(M25="X",AJ25,AK25))*Y25*J25^2*1E-4*DATOS!$C$16/100/1000,0)</f>
        <v>0.184366443050893</v>
      </c>
      <c r="AR25" s="56">
        <f>IF(D25="PERIMETRAL",IF(M25="X",BN25,CD25)^3/(J25*100),0)</f>
        <v>24.9305454442522</v>
      </c>
      <c r="AS25" s="56">
        <f>IF(D25="PERIMETRAL",IF(M25="Y",BN25,CD25)^3/(J25*100),0)</f>
        <v>20.7481562933987</v>
      </c>
      <c r="AT25" s="36">
        <f>IF(D25="PERIMETRAL",MAX(0,IF(M25="Y",IF(AND(OR(APOYOS!$G$93="CONTINUO",APOYOS!$G$74="CONTINUO"),AN25&gt;0,AO20&gt;0,AO20&gt;AN25),AN25+2/3*(AO20-AN25)*AS25/MAX(AS25+AS20,1E-9),0),0),IF(M25="Y",IF(AND(OR(APOYOS!$G$93="CONTINUO",APOYOS!$G$82="CONTINUO"),AN25&gt;0,AO22&gt;0,AO22&gt;AN25),AN25+2/3*(AO22-AN25)*AS25/MAX(AS25+AS22,1E-9),0),0),IF(M25="Y",IF(AND(OR(APOYOS!$G$94="CONTINUO",APOYOS!$G$101="CONTINUO"),AO25&gt;0,AN27&gt;0,AN27&gt;AO25),AO25+2/3*(AN27-AO25)*AS25/MAX(AS25+AS27,1E-9),0),0),IF(M25="X",IF(AND(OR(APOYOS!$G$95="CONTINUO",APOYOS!$G$92="CONTINUO"),AP25&gt;0,AQ24&gt;0,AQ24&gt;AP25),AP25+2/3*(AQ24-AP25)*AR25/MAX(AR25+AR24,1E-9),0),0)),0)</f>
        <v>0</v>
      </c>
      <c r="AU25" s="36">
        <f>IF(D25="PERIMETRAL",MAX(0,IF(M25&lt;&gt;"Y",IF(AND(OR(APOYOS!$G$93="CONTINUO",APOYOS!$G$74="CONTINUO"),AN25&gt;0,AO20&gt;0,AO20&gt;AN25),AN25+2/3*(AO20-AN25)*AS25/MAX(AS25+AS20,1E-9),0),0),IF(M25&lt;&gt;"Y",IF(AND(OR(APOYOS!$G$93="CONTINUO",APOYOS!$G$82="CONTINUO"),AN25&gt;0,AO22&gt;0,AO22&gt;AN25),AN25+2/3*(AO22-AN25)*AS25/MAX(AS25+AS22,1E-9),0),0),IF(M25&lt;&gt;"Y",IF(AND(OR(APOYOS!$G$94="CONTINUO",APOYOS!$G$101="CONTINUO"),AO25&gt;0,AN27&gt;0,AN27&gt;AO25),AO25+2/3*(AN27-AO25)*AS25/MAX(AS25+AS27,1E-9),0),0),IF(M25&lt;&gt;"X",IF(AND(OR(APOYOS!$G$95="CONTINUO",APOYOS!$G$92="CONTINUO"),AP25&gt;0,AQ24&gt;0,AQ24&gt;AP25),AP25+2/3*(AQ24-AP25)*AR25/MAX(AR25+AR24,1E-9),0),0)),0)</f>
        <v>0</v>
      </c>
      <c r="AV25" s="36">
        <f>IF(D25="PERIMETRAL",(IF(M25="Y",MAX(IF(AND(OR(APOYOS!$G$93="CONTINUO",APOYOS!$G$74="CONTINUO"),AN25&gt;0,AO20&gt;0,AN25&gt;AO20),2/3*(AN25-AO20)*AS25/MAX(AS25+AS20,1E-9),0),IF(AND(OR(APOYOS!$G$93="CONTINUO",APOYOS!$G$82="CONTINUO"),AN25&gt;0,AO22&gt;0,AN25&gt;AO22),2/3*(AN25-AO22)*AS25/MAX(AS25+AS22,1E-9),0)),0)+IF(M25="Y",IF(AND(OR(APOYOS!$G$94="CONTINUO",APOYOS!$G$101="CONTINUO"),AO25&gt;0,AN27&gt;0,AO25&gt;AN27),2/3*(AO25-AN27)*AS25/MAX(AS25+AS27,1E-9),0),0)+IF(M25="X",IF(AND(OR(APOYOS!$G$95="CONTINUO",APOYOS!$G$92="CONTINUO"),AP25&gt;0,AQ24&gt;0,AP25&gt;AQ24),2/3*(AP25-AQ24)*AR25/MAX(AR25+AR24,1E-9),0),0))/2,0)</f>
        <v>0.0193131168703062</v>
      </c>
      <c r="AW25" s="36">
        <f>IF(D25="PERIMETRAL",(IF(M25&lt;&gt;"Y",MAX(IF(AND(OR(APOYOS!$G$93="CONTINUO",APOYOS!$G$74="CONTINUO"),AN25&gt;0,AO20&gt;0,AN25&gt;AO20),2/3*(AN25-AO20)*AS25/MAX(AS25+AS20,1E-9),0),IF(AND(OR(APOYOS!$G$93="CONTINUO",APOYOS!$G$82="CONTINUO"),AN25&gt;0,AO22&gt;0,AN25&gt;AO22),2/3*(AN25-AO22)*AS25/MAX(AS25+AS22,1E-9),0)),0)+IF(M25&lt;&gt;"Y",IF(AND(OR(APOYOS!$G$94="CONTINUO",APOYOS!$G$101="CONTINUO"),AO25&gt;0,AN27&gt;0,AO25&gt;AN27),2/3*(AO25-AN27)*AS25/MAX(AS25+AS27,1E-9),0),0)+IF(M25&lt;&gt;"X",IF(AND(OR(APOYOS!$G$95="CONTINUO",APOYOS!$G$92="CONTINUO"),AP25&gt;0,AQ24&gt;0,AP25&gt;AQ24),2/3*(AP25-AQ24)*AR25/MAX(AR25+AR24,1E-9),0),0))/2,0)</f>
        <v>0.073537644314805</v>
      </c>
      <c r="AX25" s="36">
        <f>IF(D25="PERIMETRAL",MAX(0,IF(AND(APOYOS!$G$94="CONTINUO",D26="VOLADO"),MAX(0,BC26-AO25)/MAX(IF(M25="Y",N25,O25)/100,0.01),0)),0)</f>
        <v>0.354452373705473</v>
      </c>
      <c r="AY25" s="52" t="str">
        <f>IF(D25&lt;&gt;"PERIMETRAL","",IF(AND(OR(APOYOS!$G$93="CONTINUO",APOYOS!$G$74="CONTINUO"),AN25&gt;0,AO20&gt;0,ABS(AN25-AO20)&gt;0.5*MIN(AN25,AO20))," F80013","")&amp;IF(AND(OR(APOYOS!$G$93="CONTINUO",APOYOS!$G$82="CONTINUO"),AN25&gt;0,AO22&gt;0,ABS(AN25-AO22)&gt;0.5*MIN(AN25,AO22))," F80015","")&amp;IF(AND(OR(APOYOS!$G$94="CONTINUO",APOYOS!$G$101="CONTINUO"),AO25&gt;0,AN27&gt;0,ABS(AO25-AN27)&gt;0.5*MIN(AO25,AN27))," F80020","")&amp;IF(AND(OR(APOYOS!$G$95="CONTINUO",APOYOS!$G$92="CONTINUO"),AP25&gt;0,AQ24&gt;0,ABS(AP25-AQ24)&gt;0.5*MIN(AP25,AQ24))," F80017",""))</f>
        <v> F80013 F80015 F80020 F80017</v>
      </c>
      <c r="AZ25" s="52" t="str">
        <f>IF(D25&lt;&gt;"PERIMETRAL","—",IF(AY25="","CUMPLE","FUERA con"&amp;AY25)&amp;IF(AND(D20="PERIMETRAL",APOYOS!$G$93&lt;&gt;APOYOS!$G$74)," · continuidad asimétrica con F80013 (cada uno con su momento; revisar APOYOS)","")&amp;IF(AND(D22="PERIMETRAL",APOYOS!$G$93&lt;&gt;APOYOS!$G$82)," · continuidad asimétrica con F80015 (cada uno con su momento; revisar APOYOS)","")&amp;IF(AND(D27="PERIMETRAL",APOYOS!$G$94&lt;&gt;APOYOS!$G$101)," · continuidad asimétrica con F80020 (cada uno con su momento; revisar APOYOS)","")&amp;IF(AND(D24="PERIMETRAL",APOYOS!$G$95&lt;&gt;APOYOS!$G$92)," · continuidad asimétrica con F80017 (cada uno con su momento; revisar APOYOS)","")&amp;IF(AND(APOYOS!$G$94="CONTINUO",D26="VOLADO")," · junto al volado F80019: se arma con su M⁻ y su cortante entra en V_u",""))</f>
        <v>FUERA con F80013 F80015 F80020 F80017 · junto al volado F80019: se arma con su M⁻ y su cortante entra en V_u</v>
      </c>
      <c r="BA25" s="61" t="n">
        <v>0</v>
      </c>
      <c r="BB25" s="36">
        <f>IF(D25="PERIMETRAL",AL25*Y25*J25^2*1E-4*DATOS!$C$16/100/1000+AV25,0)</f>
        <v>0.290350065608699</v>
      </c>
      <c r="BC25" s="36">
        <f>IF(D25="PERIMETRAL",MAX(MAX(AH25,AJ25)*Y25*J25^2*1E-4*DATOS!$C$16/100/1000,AT25),IF(D25="VOLADO",(Y25*(N25/100)^2/2+DATOS!$C$55*BA25*N25/100)*DATOS!$C$16/100/1000,0))</f>
        <v>0.413247329499107</v>
      </c>
      <c r="BD25" s="36">
        <f>IF(D25="PERIMETRAL",AM25*Y25*J25^2*1E-4*DATOS!$C$16/100/1000+AW25,0)</f>
        <v>0.298939918629984</v>
      </c>
      <c r="BE25" s="36">
        <f>IF(D25="PERIMETRAL",MAX(MAX(AI25,AK25)*Y25*J25^2*1E-4*DATOS!$C$16/100/1000,AU25),0)</f>
        <v>0.438776804983928</v>
      </c>
      <c r="BF25" s="43">
        <f>(DATOS!$C$15-R25-IF(DATOS!$C$25=0,0,INDEX(TABLAS!$C$52:$C$58,MATCH(DATOS!$C$25,TABLAS!$B$52:$B$58,0)))-INDEX(TABLAS!$C$52:$C$58,MATCH(DATOS!$C$26,TABLAS!$B$52:$B$58,0))/2)</f>
        <v>22.365</v>
      </c>
      <c r="BG25" s="43">
        <f>IF(D25="HUECO",0,IF(IF(BB25&lt;=0,0,IF((1-2*BB25*1E5/(DATOS!$C$58*P25*BF25^2*DATOS!$C$48))&lt;0,-1,IF((1-SQRT((1-2*BB25*1E5/(DATOS!$C$58*P25*BF25^2*DATOS!$C$48))))*DATOS!$C$48*P25*BF25/DATOS!$C$40&gt;DATOS!$C$82*P25*BF25,-1,(1-SQRT((1-2*BB25*1E5/(DATOS!$C$58*P25*BF25^2*DATOS!$C$48))))*DATOS!$C$48*P25*BF25/DATOS!$C$40)))&lt;0,-1,MAX(IF(BB25&lt;=0,0,IF((1-2*BB25*1E5/(DATOS!$C$58*P25*BF25^2*DATOS!$C$48))&lt;0,-1,IF((1-SQRT((1-2*BB25*1E5/(DATOS!$C$58*P25*BF25^2*DATOS!$C$48))))*DATOS!$C$48*P25*BF25/DATOS!$C$40&gt;DATOS!$C$82*P25*BF25,-1,(1-SQRT((1-2*BB25*1E5/(DATOS!$C$58*P25*BF25^2*DATOS!$C$48))))*DATOS!$C$48*P25*BF25/DATOS!$C$40))),MIN(DATOS!$C$83*DATOS!$C$13*BF25,4/3*IF(BB25&lt;=0,0,IF((1-2*BB25*1E5/(DATOS!$C$58*P25*BF25^2*DATOS!$C$48))&lt;0,-1,IF((1-SQRT((1-2*BB25*1E5/(DATOS!$C$58*P25*BF25^2*DATOS!$C$48))))*DATOS!$C$48*P25*BF25/DATOS!$C$40&gt;DATOS!$C$82*P25*BF25,-1,(1-SQRT((1-2*BB25*1E5/(DATOS!$C$58*P25*BF25^2*DATOS!$C$48))))*DATOS!$C$48*P25*BF25/DATOS!$C$40)))))))</f>
        <v>0.458928025657868</v>
      </c>
      <c r="BH25" s="41">
        <f>IF(AND(BG25&gt;=0,IF(MAX(DATOS!$C$29,CEILING(BG25/INDEX(TABLAS!$D$52:$D$58,MIN(MATCH(DATOS!$C$26,TABLAS!$B$52:$B$58,0)+0,7)),1))*INDEX(TABLAS!$D$52:$D$58,MIN(MATCH(DATOS!$C$26,TABLAS!$B$52:$B$58,0)+0,7))&gt;=4/3*IF(BB25&lt;=0,0,IF((1-2*BB25*1E5/(DATOS!$C$58*P25*BF25^2*DATOS!$C$48))&lt;0,-1,IF((1-SQRT((1-2*BB25*1E5/(DATOS!$C$58*P25*BF25^2*DATOS!$C$48))))*DATOS!$C$48*P25*BF25/DATOS!$C$40&gt;DATOS!$C$82*P25*BF25,-1,(1-SQRT((1-2*BB25*1E5/(DATOS!$C$58*P25*BF25^2*DATOS!$C$48))))*DATOS!$C$48*P25*BF25/DATOS!$C$40)))-0.0001,MAX(DATOS!$C$29,CEILING(BG25/INDEX(TABLAS!$D$52:$D$58,MIN(MATCH(DATOS!$C$26,TABLAS!$B$52:$B$58,0)+0,7)),1)),MAX(MAX(DATOS!$C$29,CEILING(BG25/INDEX(TABLAS!$D$52:$D$58,MIN(MATCH(DATOS!$C$26,TABLAS!$B$52:$B$58,0)+0,7)),1)),2))&lt;=MIN(DATOS!$C$28,INT(((DATOS!$C$13-2*R25-2*IF(DATOS!$C$25=0,0,INDEX(TABLAS!$C$52:$C$58,MATCH(DATOS!$C$25,TABLAS!$B$52:$B$58,0))))+MAX(DATOS!$C$32,INDEX(TABLAS!$C$52:$C$58,MIN(MATCH(DATOS!$C$26,TABLAS!$B$52:$B$58,0)+0,7))))/(INDEX(TABLAS!$C$52:$C$58,MIN(MATCH(DATOS!$C$26,TABLAS!$B$52:$B$58,0)+0,7))+MAX(DATOS!$C$32,INDEX(TABLAS!$C$52:$C$58,MIN(MATCH(DATOS!$C$26,TABLAS!$B$52:$B$58,0)+0,7))))))),INDEX(TABLAS!$B$52:$B$58,MIN(MATCH(DATOS!$C$26,TABLAS!$B$52:$B$58,0)+0,7)),IF(AND(BG25&gt;=0,IF(MAX(DATOS!$C$29,CEILING(BG25/INDEX(TABLAS!$D$52:$D$58,MIN(MATCH(DATOS!$C$26,TABLAS!$B$52:$B$58,0)+1,7)),1))*INDEX(TABLAS!$D$52:$D$58,MIN(MATCH(DATOS!$C$26,TABLAS!$B$52:$B$58,0)+1,7))&gt;=4/3*IF(BB25&lt;=0,0,IF((1-2*BB25*1E5/(DATOS!$C$58*P25*BF25^2*DATOS!$C$48))&lt;0,-1,IF((1-SQRT((1-2*BB25*1E5/(DATOS!$C$58*P25*BF25^2*DATOS!$C$48))))*DATOS!$C$48*P25*BF25/DATOS!$C$40&gt;DATOS!$C$82*P25*BF25,-1,(1-SQRT((1-2*BB25*1E5/(DATOS!$C$58*P25*BF25^2*DATOS!$C$48))))*DATOS!$C$48*P25*BF25/DATOS!$C$40)))-0.0001,MAX(DATOS!$C$29,CEILING(BG25/INDEX(TABLAS!$D$52:$D$58,MIN(MATCH(DATOS!$C$26,TABLAS!$B$52:$B$58,0)+1,7)),1)),MAX(MAX(DATOS!$C$29,CEILING(BG25/INDEX(TABLAS!$D$52:$D$58,MIN(MATCH(DATOS!$C$26,TABLAS!$B$52:$B$58,0)+1,7)),1)),2))&lt;=MIN(DATOS!$C$28,INT(((DATOS!$C$13-2*R25-2*IF(DATOS!$C$25=0,0,INDEX(TABLAS!$C$52:$C$58,MATCH(DATOS!$C$25,TABLAS!$B$52:$B$58,0))))+MAX(DATOS!$C$32,INDEX(TABLAS!$C$52:$C$58,MIN(MATCH(DATOS!$C$26,TABLAS!$B$52:$B$58,0)+1,7))))/(INDEX(TABLAS!$C$52:$C$58,MIN(MATCH(DATOS!$C$26,TABLAS!$B$52:$B$58,0)+1,7))+MAX(DATOS!$C$32,INDEX(TABLAS!$C$52:$C$58,MIN(MATCH(DATOS!$C$26,TABLAS!$B$52:$B$58,0)+1,7))))))),INDEX(TABLAS!$B$52:$B$58,MIN(MATCH(DATOS!$C$26,TABLAS!$B$52:$B$58,0)+1,7)),IF(AND(BG25&gt;=0,IF(MAX(DATOS!$C$29,CEILING(BG25/INDEX(TABLAS!$D$52:$D$58,MIN(MATCH(DATOS!$C$26,TABLAS!$B$52:$B$58,0)+2,7)),1))*INDEX(TABLAS!$D$52:$D$58,MIN(MATCH(DATOS!$C$26,TABLAS!$B$52:$B$58,0)+2,7))&gt;=4/3*IF(BB25&lt;=0,0,IF((1-2*BB25*1E5/(DATOS!$C$58*P25*BF25^2*DATOS!$C$48))&lt;0,-1,IF((1-SQRT((1-2*BB25*1E5/(DATOS!$C$58*P25*BF25^2*DATOS!$C$48))))*DATOS!$C$48*P25*BF25/DATOS!$C$40&gt;DATOS!$C$82*P25*BF25,-1,(1-SQRT((1-2*BB25*1E5/(DATOS!$C$58*P25*BF25^2*DATOS!$C$48))))*DATOS!$C$48*P25*BF25/DATOS!$C$40)))-0.0001,MAX(DATOS!$C$29,CEILING(BG25/INDEX(TABLAS!$D$52:$D$58,MIN(MATCH(DATOS!$C$26,TABLAS!$B$52:$B$58,0)+2,7)),1)),MAX(MAX(DATOS!$C$29,CEILING(BG25/INDEX(TABLAS!$D$52:$D$58,MIN(MATCH(DATOS!$C$26,TABLAS!$B$52:$B$58,0)+2,7)),1)),2))&lt;=MIN(DATOS!$C$28,INT(((DATOS!$C$13-2*R25-2*IF(DATOS!$C$25=0,0,INDEX(TABLAS!$C$52:$C$58,MATCH(DATOS!$C$25,TABLAS!$B$52:$B$58,0))))+MAX(DATOS!$C$32,INDEX(TABLAS!$C$52:$C$58,MIN(MATCH(DATOS!$C$26,TABLAS!$B$52:$B$58,0)+2,7))))/(INDEX(TABLAS!$C$52:$C$58,MIN(MATCH(DATOS!$C$26,TABLAS!$B$52:$B$58,0)+2,7))+MAX(DATOS!$C$32,INDEX(TABLAS!$C$52:$C$58,MIN(MATCH(DATOS!$C$26,TABLAS!$B$52:$B$58,0)+2,7))))))),INDEX(TABLAS!$B$52:$B$58,MIN(MATCH(DATOS!$C$26,TABLAS!$B$52:$B$58,0)+2,7)),IF(AND(BG25&gt;=0,IF(MAX(DATOS!$C$29,CEILING(BG25/INDEX(TABLAS!$D$52:$D$58,MIN(MATCH(DATOS!$C$26,TABLAS!$B$52:$B$58,0)+3,7)),1))*INDEX(TABLAS!$D$52:$D$58,MIN(MATCH(DATOS!$C$26,TABLAS!$B$52:$B$58,0)+3,7))&gt;=4/3*IF(BB25&lt;=0,0,IF((1-2*BB25*1E5/(DATOS!$C$58*P25*BF25^2*DATOS!$C$48))&lt;0,-1,IF((1-SQRT((1-2*BB25*1E5/(DATOS!$C$58*P25*BF25^2*DATOS!$C$48))))*DATOS!$C$48*P25*BF25/DATOS!$C$40&gt;DATOS!$C$82*P25*BF25,-1,(1-SQRT((1-2*BB25*1E5/(DATOS!$C$58*P25*BF25^2*DATOS!$C$48))))*DATOS!$C$48*P25*BF25/DATOS!$C$40)))-0.0001,MAX(DATOS!$C$29,CEILING(BG25/INDEX(TABLAS!$D$52:$D$58,MIN(MATCH(DATOS!$C$26,TABLAS!$B$52:$B$58,0)+3,7)),1)),MAX(MAX(DATOS!$C$29,CEILING(BG25/INDEX(TABLAS!$D$52:$D$58,MIN(MATCH(DATOS!$C$26,TABLAS!$B$52:$B$58,0)+3,7)),1)),2))&lt;=MIN(DATOS!$C$28,INT(((DATOS!$C$13-2*R25-2*IF(DATOS!$C$25=0,0,INDEX(TABLAS!$C$52:$C$58,MATCH(DATOS!$C$25,TABLAS!$B$52:$B$58,0))))+MAX(DATOS!$C$32,INDEX(TABLAS!$C$52:$C$58,MIN(MATCH(DATOS!$C$26,TABLAS!$B$52:$B$58,0)+3,7))))/(INDEX(TABLAS!$C$52:$C$58,MIN(MATCH(DATOS!$C$26,TABLAS!$B$52:$B$58,0)+3,7))+MAX(DATOS!$C$32,INDEX(TABLAS!$C$52:$C$58,MIN(MATCH(DATOS!$C$26,TABLAS!$B$52:$B$58,0)+3,7))))))),INDEX(TABLAS!$B$52:$B$58,MIN(MATCH(DATOS!$C$26,TABLAS!$B$52:$B$58,0)+3,7)),IF(AND(BG25&gt;=0,IF(MAX(DATOS!$C$29,CEILING(BG25/INDEX(TABLAS!$D$52:$D$58,MIN(MATCH(DATOS!$C$26,TABLAS!$B$52:$B$58,0)+4,7)),1))*INDEX(TABLAS!$D$52:$D$58,MIN(MATCH(DATOS!$C$26,TABLAS!$B$52:$B$58,0)+4,7))&gt;=4/3*IF(BB25&lt;=0,0,IF((1-2*BB25*1E5/(DATOS!$C$58*P25*BF25^2*DATOS!$C$48))&lt;0,-1,IF((1-SQRT((1-2*BB25*1E5/(DATOS!$C$58*P25*BF25^2*DATOS!$C$48))))*DATOS!$C$48*P25*BF25/DATOS!$C$40&gt;DATOS!$C$82*P25*BF25,-1,(1-SQRT((1-2*BB25*1E5/(DATOS!$C$58*P25*BF25^2*DATOS!$C$48))))*DATOS!$C$48*P25*BF25/DATOS!$C$40)))-0.0001,MAX(DATOS!$C$29,CEILING(BG25/INDEX(TABLAS!$D$52:$D$58,MIN(MATCH(DATOS!$C$26,TABLAS!$B$52:$B$58,0)+4,7)),1)),MAX(MAX(DATOS!$C$29,CEILING(BG25/INDEX(TABLAS!$D$52:$D$58,MIN(MATCH(DATOS!$C$26,TABLAS!$B$52:$B$58,0)+4,7)),1)),2))&lt;=MIN(DATOS!$C$28,INT(((DATOS!$C$13-2*R25-2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25" s="56">
        <f>IF(D25="HUECO",0,IF(BG25&lt;0,0,IF(MAX(DATOS!$C$29,CEILING(MAX(BG25,0)/INDEX(TABLAS!$D$52:$D$58,MATCH(BH25,TABLAS!$B$52:$B$58,0)),1))*INDEX(TABLAS!$D$52:$D$58,MATCH(BH25,TABLAS!$B$52:$B$58,0))&gt;=4/3*IF(BB25&lt;=0,0,IF((1-2*BB25*1E5/(DATOS!$C$58*P25*BF25^2*DATOS!$C$48))&lt;0,-1,IF((1-SQRT((1-2*BB25*1E5/(DATOS!$C$58*P25*BF25^2*DATOS!$C$48))))*DATOS!$C$48*P25*BF25/DATOS!$C$40&gt;DATOS!$C$82*P25*BF25,-1,(1-SQRT((1-2*BB25*1E5/(DATOS!$C$58*P25*BF25^2*DATOS!$C$48))))*DATOS!$C$48*P25*BF25/DATOS!$C$40)))-0.0001,MAX(DATOS!$C$29,CEILING(MAX(BG25,0)/INDEX(TABLAS!$D$52:$D$58,MATCH(BH25,TABLAS!$B$52:$B$58,0)),1)),MAX(MAX(DATOS!$C$29,CEILING(MAX(BG25,0)/INDEX(TABLAS!$D$52:$D$58,MATCH(BH25,TABLAS!$B$52:$B$58,0)),1)),2))))</f>
        <v>1</v>
      </c>
      <c r="BJ25" s="43">
        <f>DATOS!$C$15-R25-IF(DATOS!$C$25=0,0,INDEX(TABLAS!$C$52:$C$58,MATCH(DATOS!$C$25,TABLAS!$B$52:$B$58,0)))-INDEX(TABLAS!$C$52:$C$58,MATCH(BH25,TABLAS!$B$52:$B$58,0))/2</f>
        <v>22.365</v>
      </c>
      <c r="BK25" s="36">
        <f>IF(BI25=0,0,DATOS!$C$58*BI25*INDEX(TABLAS!$D$52:$D$58,MATCH(BH25,TABLAS!$B$52:$B$58,0))*DATOS!$C$40*(BJ25-BI25*INDEX(TABLAS!$D$52:$D$58,MATCH(BH25,TABLAS!$B$52:$B$58,0))*DATOS!$C$40/(DATOS!$C$48*P25)/2)/1E5)</f>
        <v>1.06504699658824</v>
      </c>
      <c r="BL25" s="62">
        <f>IF(BG25&lt;0,9.99,IF(BK25&gt;0,BB25/BK25,0))</f>
        <v>0.27261713946784</v>
      </c>
      <c r="BM25" s="63">
        <f>IF(BI25=0,"—",0.003*(BJ25-(BI25*INDEX(TABLAS!$D$52:$D$58,MATCH(BH25,TABLAS!$B$52:$B$58,0))*DATOS!$C$40/(DATOS!$C$48*P25)/DATOS!$C$49))/(BI25*INDEX(TABLAS!$D$52:$D$58,MATCH(BH25,TABLAS!$B$52:$B$58,0))*DATOS!$C$40/(DATOS!$C$48*P25)/DATOS!$C$49))</f>
        <v>0.156042445866142</v>
      </c>
      <c r="BN25" s="43">
        <f>((DATOS!$C$15-S25-2*DATOS!$C$35-IF(DATOS!$C$25=0,0,INDEX(TABLAS!$C$52:$C$58,MATCH(DATOS!$C$25,TABLAS!$B$52:$B$58,0)))-INDEX(TABLAS!$C$52:$C$58,MATCH(DATOS!$C$27,TABLAS!$B$52:$B$58,0))/2)-IF(AND((DATOS!$C$15-S25-2*DATOS!$C$35-IF(DATOS!$C$25=0,0,INDEX(TABLAS!$C$52:$C$58,MATCH(DATOS!$C$25,TABLAS!$B$52:$B$58,0)))-INDEX(TABLAS!$C$52:$C$58,MATCH(DATOS!$C$27,TABLAS!$B$52:$B$58,0))/2)&lt;=20,DATOS!$C$18&lt;&gt;"SÍ"),2,0))</f>
        <v>21.389</v>
      </c>
      <c r="BO25" s="43">
        <f>IF(D25="HUECO",0,IF(IF(BC25&lt;=0,0,IF((1-2*BC25*1E5/(DATOS!$C$58*DATOS!$C$19*BN25^2*DATOS!$C$48))&lt;0,-1,IF((1-SQRT((1-2*BC25*1E5/(DATOS!$C$58*DATOS!$C$19*BN25^2*DATOS!$C$48))))*DATOS!$C$48*DATOS!$C$19*BN25/DATOS!$C$40&gt;DATOS!$C$82*DATOS!$C$19*BN25,-1,(1-SQRT((1-2*BC25*1E5/(DATOS!$C$58*DATOS!$C$19*BN25^2*DATOS!$C$48))))*DATOS!$C$48*DATOS!$C$19*BN25/DATOS!$C$40)))&lt;0,-1,MAX(IF(BC25&lt;=0,0,IF((1-2*BC25*1E5/(DATOS!$C$58*DATOS!$C$19*BN25^2*DATOS!$C$48))&lt;0,-1,IF((1-SQRT((1-2*BC25*1E5/(DATOS!$C$58*DATOS!$C$19*BN25^2*DATOS!$C$48))))*DATOS!$C$48*DATOS!$C$19*BN25/DATOS!$C$40&gt;DATOS!$C$82*DATOS!$C$19*BN25,-1,(1-SQRT((1-2*BC25*1E5/(DATOS!$C$58*DATOS!$C$19*BN25^2*DATOS!$C$48))))*DATOS!$C$48*DATOS!$C$19*BN25/DATOS!$C$40))),MIN(DATOS!$C$83*IF(D25="VOLADO",2*DATOS!$C$13,DATOS!$C$13)*BN25,4/3*IF(BC25&lt;=0,0,IF((1-2*BC25*1E5/(DATOS!$C$58*DATOS!$C$19*BN25^2*DATOS!$C$48))&lt;0,-1,IF((1-SQRT((1-2*BC25*1E5/(DATOS!$C$58*DATOS!$C$19*BN25^2*DATOS!$C$48))))*DATOS!$C$48*DATOS!$C$19*BN25/DATOS!$C$40&gt;DATOS!$C$82*DATOS!$C$19*BN25,-1,(1-SQRT((1-2*BC25*1E5/(DATOS!$C$58*DATOS!$C$19*BN25^2*DATOS!$C$48))))*DATOS!$C$48*DATOS!$C$19*BN25/DATOS!$C$40)))))))</f>
        <v>0.698403238319856</v>
      </c>
      <c r="BP25" s="41">
        <f>IF(AND(BO25&gt;=0,IF(MAX(DATOS!$C$29,CEILING(BO25/INDEX(TABLAS!$D$52:$D$58,MIN(MATCH(DATOS!$C$27,TABLAS!$B$52:$B$58,0)+0,7)),1))*INDEX(TABLAS!$D$52:$D$58,MIN(MATCH(DATOS!$C$27,TABLAS!$B$52:$B$58,0)+0,7))&gt;=4/3*IF(BC25&lt;=0,0,IF((1-2*BC25*1E5/(DATOS!$C$58*DATOS!$C$19*BN25^2*DATOS!$C$48))&lt;0,-1,IF((1-SQRT((1-2*BC25*1E5/(DATOS!$C$58*DATOS!$C$19*BN25^2*DATOS!$C$48))))*DATOS!$C$48*DATOS!$C$19*BN25/DATOS!$C$40&gt;DATOS!$C$82*DATOS!$C$19*BN25,-1,(1-SQRT((1-2*BC25*1E5/(DATOS!$C$58*DATOS!$C$19*BN25^2*DATOS!$C$48))))*DATOS!$C$48*DATOS!$C$19*BN25/DATOS!$C$40)))-0.0001,MAX(DATOS!$C$29,CEILING(BO25/INDEX(TABLAS!$D$52:$D$58,MIN(MATCH(DATOS!$C$27,TABLAS!$B$52:$B$58,0)+0,7)),1)),MAX(MAX(DATOS!$C$29,CEILING(BO25/INDEX(TABLAS!$D$52:$D$58,MIN(MATCH(DATOS!$C$27,TABLAS!$B$52:$B$58,0)+0,7)),1)),2))&lt;=MIN(DATOS!$C$28,INT(((DATOS!$C$13-2*S25-2*IF(DATOS!$C$25=0,0,INDEX(TABLAS!$C$52:$C$58,MATCH(DATOS!$C$25,TABLAS!$B$52:$B$58,0))))+MAX(DATOS!$C$32,INDEX(TABLAS!$C$52:$C$58,MIN(MATCH(DATOS!$C$27,TABLAS!$B$52:$B$58,0)+0,7))))/(INDEX(TABLAS!$C$52:$C$58,MIN(MATCH(DATOS!$C$27,TABLAS!$B$52:$B$58,0)+0,7))+MAX(DATOS!$C$32,INDEX(TABLAS!$C$52:$C$58,MIN(MATCH(DATOS!$C$27,TABLAS!$B$52:$B$58,0)+0,7))))))),INDEX(TABLAS!$B$52:$B$58,MIN(MATCH(DATOS!$C$27,TABLAS!$B$52:$B$58,0)+0,7)),IF(AND(BO25&gt;=0,IF(MAX(DATOS!$C$29,CEILING(BO25/INDEX(TABLAS!$D$52:$D$58,MIN(MATCH(DATOS!$C$27,TABLAS!$B$52:$B$58,0)+1,7)),1))*INDEX(TABLAS!$D$52:$D$58,MIN(MATCH(DATOS!$C$27,TABLAS!$B$52:$B$58,0)+1,7))&gt;=4/3*IF(BC25&lt;=0,0,IF((1-2*BC25*1E5/(DATOS!$C$58*DATOS!$C$19*BN25^2*DATOS!$C$48))&lt;0,-1,IF((1-SQRT((1-2*BC25*1E5/(DATOS!$C$58*DATOS!$C$19*BN25^2*DATOS!$C$48))))*DATOS!$C$48*DATOS!$C$19*BN25/DATOS!$C$40&gt;DATOS!$C$82*DATOS!$C$19*BN25,-1,(1-SQRT((1-2*BC25*1E5/(DATOS!$C$58*DATOS!$C$19*BN25^2*DATOS!$C$48))))*DATOS!$C$48*DATOS!$C$19*BN25/DATOS!$C$40)))-0.0001,MAX(DATOS!$C$29,CEILING(BO25/INDEX(TABLAS!$D$52:$D$58,MIN(MATCH(DATOS!$C$27,TABLAS!$B$52:$B$58,0)+1,7)),1)),MAX(MAX(DATOS!$C$29,CEILING(BO25/INDEX(TABLAS!$D$52:$D$58,MIN(MATCH(DATOS!$C$27,TABLAS!$B$52:$B$58,0)+1,7)),1)),2))&lt;=MIN(DATOS!$C$28,INT(((DATOS!$C$13-2*S25-2*IF(DATOS!$C$25=0,0,INDEX(TABLAS!$C$52:$C$58,MATCH(DATOS!$C$25,TABLAS!$B$52:$B$58,0))))+MAX(DATOS!$C$32,INDEX(TABLAS!$C$52:$C$58,MIN(MATCH(DATOS!$C$27,TABLAS!$B$52:$B$58,0)+1,7))))/(INDEX(TABLAS!$C$52:$C$58,MIN(MATCH(DATOS!$C$27,TABLAS!$B$52:$B$58,0)+1,7))+MAX(DATOS!$C$32,INDEX(TABLAS!$C$52:$C$58,MIN(MATCH(DATOS!$C$27,TABLAS!$B$52:$B$58,0)+1,7))))))),INDEX(TABLAS!$B$52:$B$58,MIN(MATCH(DATOS!$C$27,TABLAS!$B$52:$B$58,0)+1,7)),IF(AND(BO25&gt;=0,IF(MAX(DATOS!$C$29,CEILING(BO25/INDEX(TABLAS!$D$52:$D$58,MIN(MATCH(DATOS!$C$27,TABLAS!$B$52:$B$58,0)+2,7)),1))*INDEX(TABLAS!$D$52:$D$58,MIN(MATCH(DATOS!$C$27,TABLAS!$B$52:$B$58,0)+2,7))&gt;=4/3*IF(BC25&lt;=0,0,IF((1-2*BC25*1E5/(DATOS!$C$58*DATOS!$C$19*BN25^2*DATOS!$C$48))&lt;0,-1,IF((1-SQRT((1-2*BC25*1E5/(DATOS!$C$58*DATOS!$C$19*BN25^2*DATOS!$C$48))))*DATOS!$C$48*DATOS!$C$19*BN25/DATOS!$C$40&gt;DATOS!$C$82*DATOS!$C$19*BN25,-1,(1-SQRT((1-2*BC25*1E5/(DATOS!$C$58*DATOS!$C$19*BN25^2*DATOS!$C$48))))*DATOS!$C$48*DATOS!$C$19*BN25/DATOS!$C$40)))-0.0001,MAX(DATOS!$C$29,CEILING(BO25/INDEX(TABLAS!$D$52:$D$58,MIN(MATCH(DATOS!$C$27,TABLAS!$B$52:$B$58,0)+2,7)),1)),MAX(MAX(DATOS!$C$29,CEILING(BO25/INDEX(TABLAS!$D$52:$D$58,MIN(MATCH(DATOS!$C$27,TABLAS!$B$52:$B$58,0)+2,7)),1)),2))&lt;=MIN(DATOS!$C$28,INT(((DATOS!$C$13-2*S25-2*IF(DATOS!$C$25=0,0,INDEX(TABLAS!$C$52:$C$58,MATCH(DATOS!$C$25,TABLAS!$B$52:$B$58,0))))+MAX(DATOS!$C$32,INDEX(TABLAS!$C$52:$C$58,MIN(MATCH(DATOS!$C$27,TABLAS!$B$52:$B$58,0)+2,7))))/(INDEX(TABLAS!$C$52:$C$58,MIN(MATCH(DATOS!$C$27,TABLAS!$B$52:$B$58,0)+2,7))+MAX(DATOS!$C$32,INDEX(TABLAS!$C$52:$C$58,MIN(MATCH(DATOS!$C$27,TABLAS!$B$52:$B$58,0)+2,7))))))),INDEX(TABLAS!$B$52:$B$58,MIN(MATCH(DATOS!$C$27,TABLAS!$B$52:$B$58,0)+2,7)),IF(AND(BO25&gt;=0,IF(MAX(DATOS!$C$29,CEILING(BO25/INDEX(TABLAS!$D$52:$D$58,MIN(MATCH(DATOS!$C$27,TABLAS!$B$52:$B$58,0)+3,7)),1))*INDEX(TABLAS!$D$52:$D$58,MIN(MATCH(DATOS!$C$27,TABLAS!$B$52:$B$58,0)+3,7))&gt;=4/3*IF(BC25&lt;=0,0,IF((1-2*BC25*1E5/(DATOS!$C$58*DATOS!$C$19*BN25^2*DATOS!$C$48))&lt;0,-1,IF((1-SQRT((1-2*BC25*1E5/(DATOS!$C$58*DATOS!$C$19*BN25^2*DATOS!$C$48))))*DATOS!$C$48*DATOS!$C$19*BN25/DATOS!$C$40&gt;DATOS!$C$82*DATOS!$C$19*BN25,-1,(1-SQRT((1-2*BC25*1E5/(DATOS!$C$58*DATOS!$C$19*BN25^2*DATOS!$C$48))))*DATOS!$C$48*DATOS!$C$19*BN25/DATOS!$C$40)))-0.0001,MAX(DATOS!$C$29,CEILING(BO25/INDEX(TABLAS!$D$52:$D$58,MIN(MATCH(DATOS!$C$27,TABLAS!$B$52:$B$58,0)+3,7)),1)),MAX(MAX(DATOS!$C$29,CEILING(BO25/INDEX(TABLAS!$D$52:$D$58,MIN(MATCH(DATOS!$C$27,TABLAS!$B$52:$B$58,0)+3,7)),1)),2))&lt;=MIN(DATOS!$C$28,INT(((DATOS!$C$13-2*S25-2*IF(DATOS!$C$25=0,0,INDEX(TABLAS!$C$52:$C$58,MATCH(DATOS!$C$25,TABLAS!$B$52:$B$58,0))))+MAX(DATOS!$C$32,INDEX(TABLAS!$C$52:$C$58,MIN(MATCH(DATOS!$C$27,TABLAS!$B$52:$B$58,0)+3,7))))/(INDEX(TABLAS!$C$52:$C$58,MIN(MATCH(DATOS!$C$27,TABLAS!$B$52:$B$58,0)+3,7))+MAX(DATOS!$C$32,INDEX(TABLAS!$C$52:$C$58,MIN(MATCH(DATOS!$C$27,TABLAS!$B$52:$B$58,0)+3,7))))))),INDEX(TABLAS!$B$52:$B$58,MIN(MATCH(DATOS!$C$27,TABLAS!$B$52:$B$58,0)+3,7)),IF(AND(BO25&gt;=0,IF(MAX(DATOS!$C$29,CEILING(BO25/INDEX(TABLAS!$D$52:$D$58,MIN(MATCH(DATOS!$C$27,TABLAS!$B$52:$B$58,0)+4,7)),1))*INDEX(TABLAS!$D$52:$D$58,MIN(MATCH(DATOS!$C$27,TABLAS!$B$52:$B$58,0)+4,7))&gt;=4/3*IF(BC25&lt;=0,0,IF((1-2*BC25*1E5/(DATOS!$C$58*DATOS!$C$19*BN25^2*DATOS!$C$48))&lt;0,-1,IF((1-SQRT((1-2*BC25*1E5/(DATOS!$C$58*DATOS!$C$19*BN25^2*DATOS!$C$48))))*DATOS!$C$48*DATOS!$C$19*BN25/DATOS!$C$40&gt;DATOS!$C$82*DATOS!$C$19*BN25,-1,(1-SQRT((1-2*BC25*1E5/(DATOS!$C$58*DATOS!$C$19*BN25^2*DATOS!$C$48))))*DATOS!$C$48*DATOS!$C$19*BN25/DATOS!$C$40)))-0.0001,MAX(DATOS!$C$29,CEILING(BO25/INDEX(TABLAS!$D$52:$D$58,MIN(MATCH(DATOS!$C$27,TABLAS!$B$52:$B$58,0)+4,7)),1)),MAX(MAX(DATOS!$C$29,CEILING(BO25/INDEX(TABLAS!$D$52:$D$58,MIN(MATCH(DATOS!$C$27,TABLAS!$B$52:$B$58,0)+4,7)),1)),2))&lt;=MIN(DATOS!$C$28,INT(((DATOS!$C$13-2*S25-2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25" s="56">
        <f>IF(D25="HUECO",0,IF(BO25&lt;0,0,IF(MAX(DATOS!$C$29,CEILING(MAX(BO25,0)/INDEX(TABLAS!$D$52:$D$58,MATCH(BP25,TABLAS!$B$52:$B$58,0)),1))*INDEX(TABLAS!$D$52:$D$58,MATCH(BP25,TABLAS!$B$52:$B$58,0))&gt;=4/3*IF(BC25&lt;=0,0,IF((1-2*BC25*1E5/(DATOS!$C$58*DATOS!$C$19*BN25^2*DATOS!$C$48))&lt;0,-1,IF((1-SQRT((1-2*BC25*1E5/(DATOS!$C$58*DATOS!$C$19*BN25^2*DATOS!$C$48))))*DATOS!$C$48*DATOS!$C$19*BN25/DATOS!$C$40&gt;DATOS!$C$82*DATOS!$C$19*BN25,-1,(1-SQRT((1-2*BC25*1E5/(DATOS!$C$58*DATOS!$C$19*BN25^2*DATOS!$C$48))))*DATOS!$C$48*DATOS!$C$19*BN25/DATOS!$C$40)))-0.0001,MAX(DATOS!$C$29,CEILING(MAX(BO25,0)/INDEX(TABLAS!$D$52:$D$58,MATCH(BP25,TABLAS!$B$52:$B$58,0)),1)),MAX(MAX(DATOS!$C$29,CEILING(MAX(BO25,0)/INDEX(TABLAS!$D$52:$D$58,MATCH(BP25,TABLAS!$B$52:$B$58,0)),1)),2))))</f>
        <v>1</v>
      </c>
      <c r="BR25" s="43">
        <f>((DATOS!$C$15-S25-2*DATOS!$C$35-IF(DATOS!$C$25=0,0,INDEX(TABLAS!$C$52:$C$58,MATCH(DATOS!$C$25,TABLAS!$B$52:$B$58,0)))-INDEX(TABLAS!$C$52:$C$58,MATCH(BP25,TABLAS!$B$52:$B$58,0))/2)-IF(AND((DATOS!$C$15-S25-2*DATOS!$C$35-IF(DATOS!$C$25=0,0,INDEX(TABLAS!$C$52:$C$58,MATCH(DATOS!$C$25,TABLAS!$B$52:$B$58,0)))-INDEX(TABLAS!$C$52:$C$58,MATCH(BP25,TABLAS!$B$52:$B$58,0))/2)&lt;=20,DATOS!$C$18&lt;&gt;"SÍ"),2,0))</f>
        <v>21.389</v>
      </c>
      <c r="BS25" s="36">
        <f>IF(BQ25=0,0,DATOS!$C$58*BQ25*INDEX(TABLAS!$D$52:$D$58,MATCH(BP25,TABLAS!$B$52:$B$58,0))*DATOS!$C$40*(BR25-BQ25*INDEX(TABLAS!$D$52:$D$58,MATCH(BP25,TABLAS!$B$52:$B$58,0))*DATOS!$C$40/(DATOS!$C$48*DATOS!$C$19)/2)/1E5)</f>
        <v>0.966549980117647</v>
      </c>
      <c r="BT25" s="62">
        <f>IF(BO25&lt;0,9.99,IF(BS25&gt;0,BC25/BS25,0))</f>
        <v>0.427548846929579</v>
      </c>
      <c r="BU25" s="63">
        <f>IF(BQ25=0,"—",0.003*(BR25-(BQ25*INDEX(TABLAS!$D$52:$D$58,MATCH(BP25,TABLAS!$B$52:$B$58,0))*DATOS!$C$40/(DATOS!$C$48*DATOS!$C$19)/DATOS!$C$49))/(BQ25*INDEX(TABLAS!$D$52:$D$58,MATCH(BP25,TABLAS!$B$52:$B$58,0))*DATOS!$C$40/(DATOS!$C$48*DATOS!$C$19)/DATOS!$C$49))</f>
        <v>0.0187288420978628</v>
      </c>
      <c r="BV25" s="43">
        <f>(DATOS!$C$15-R25-IF(DATOS!$C$25=0,0,INDEX(TABLAS!$C$52:$C$58,MATCH(DATOS!$C$25,TABLAS!$B$52:$B$58,0)))-INDEX(TABLAS!$C$52:$C$58,MATCH(DATOS!$C$26,TABLAS!$B$52:$B$58,0))-INDEX(TABLAS!$C$52:$C$58,MATCH(DATOS!$C$26,TABLAS!$B$52:$B$58,0))/2)</f>
        <v>21.095</v>
      </c>
      <c r="BW25" s="43">
        <f>IF(D25="HUECO",0,IF(IF(BD25&lt;=0,0,IF((1-2*BD25*1E5/(DATOS!$C$58*Q25*BV25^2*DATOS!$C$48))&lt;0,-1,IF((1-SQRT((1-2*BD25*1E5/(DATOS!$C$58*Q25*BV25^2*DATOS!$C$48))))*DATOS!$C$48*Q25*BV25/DATOS!$C$40&gt;DATOS!$C$82*Q25*BV25,-1,(1-SQRT((1-2*BD25*1E5/(DATOS!$C$58*Q25*BV25^2*DATOS!$C$48))))*DATOS!$C$48*Q25*BV25/DATOS!$C$40)))&lt;0,-1,MAX(IF(BD25&lt;=0,0,IF((1-2*BD25*1E5/(DATOS!$C$58*Q25*BV25^2*DATOS!$C$48))&lt;0,-1,IF((1-SQRT((1-2*BD25*1E5/(DATOS!$C$58*Q25*BV25^2*DATOS!$C$48))))*DATOS!$C$48*Q25*BV25/DATOS!$C$40&gt;DATOS!$C$82*Q25*BV25,-1,(1-SQRT((1-2*BD25*1E5/(DATOS!$C$58*Q25*BV25^2*DATOS!$C$48))))*DATOS!$C$48*Q25*BV25/DATOS!$C$40))),MIN(DATOS!$C$83*DATOS!$C$13*BV25,4/3*IF(BD25&lt;=0,0,IF((1-2*BD25*1E5/(DATOS!$C$58*Q25*BV25^2*DATOS!$C$48))&lt;0,-1,IF((1-SQRT((1-2*BD25*1E5/(DATOS!$C$58*Q25*BV25^2*DATOS!$C$48))))*DATOS!$C$48*Q25*BV25/DATOS!$C$40&gt;DATOS!$C$82*Q25*BV25,-1,(1-SQRT((1-2*BD25*1E5/(DATOS!$C$58*Q25*BV25^2*DATOS!$C$48))))*DATOS!$C$48*Q25*BV25/DATOS!$C$40)))))))</f>
        <v>0.501123852057948</v>
      </c>
      <c r="BX25" s="41">
        <f>IF(AND(BW25&gt;=0,IF(MAX(DATOS!$C$29,CEILING(BW25/INDEX(TABLAS!$D$52:$D$58,MIN(MATCH(DATOS!$C$26,TABLAS!$B$52:$B$58,0)+0,7)),1))*INDEX(TABLAS!$D$52:$D$58,MIN(MATCH(DATOS!$C$26,TABLAS!$B$52:$B$58,0)+0,7))&gt;=4/3*IF(BD25&lt;=0,0,IF((1-2*BD25*1E5/(DATOS!$C$58*Q25*BV25^2*DATOS!$C$48))&lt;0,-1,IF((1-SQRT((1-2*BD25*1E5/(DATOS!$C$58*Q25*BV25^2*DATOS!$C$48))))*DATOS!$C$48*Q25*BV25/DATOS!$C$40&gt;DATOS!$C$82*Q25*BV25,-1,(1-SQRT((1-2*BD25*1E5/(DATOS!$C$58*Q25*BV25^2*DATOS!$C$48))))*DATOS!$C$48*Q25*BV25/DATOS!$C$40)))-0.0001,MAX(DATOS!$C$29,CEILING(BW25/INDEX(TABLAS!$D$52:$D$58,MIN(MATCH(DATOS!$C$26,TABLAS!$B$52:$B$58,0)+0,7)),1)),MAX(MAX(DATOS!$C$29,CEILING(BW25/INDEX(TABLAS!$D$52:$D$58,MIN(MATCH(DATOS!$C$26,TABLAS!$B$52:$B$58,0)+0,7)),1)),2))&lt;=MIN(DATOS!$C$28,INT(((DATOS!$C$13-2*R25-2*IF(DATOS!$C$25=0,0,INDEX(TABLAS!$C$52:$C$58,MATCH(DATOS!$C$25,TABLAS!$B$52:$B$58,0))))+MAX(DATOS!$C$32,INDEX(TABLAS!$C$52:$C$58,MIN(MATCH(DATOS!$C$26,TABLAS!$B$52:$B$58,0)+0,7))))/(INDEX(TABLAS!$C$52:$C$58,MIN(MATCH(DATOS!$C$26,TABLAS!$B$52:$B$58,0)+0,7))+MAX(DATOS!$C$32,INDEX(TABLAS!$C$52:$C$58,MIN(MATCH(DATOS!$C$26,TABLAS!$B$52:$B$58,0)+0,7))))))),INDEX(TABLAS!$B$52:$B$58,MIN(MATCH(DATOS!$C$26,TABLAS!$B$52:$B$58,0)+0,7)),IF(AND(BW25&gt;=0,IF(MAX(DATOS!$C$29,CEILING(BW25/INDEX(TABLAS!$D$52:$D$58,MIN(MATCH(DATOS!$C$26,TABLAS!$B$52:$B$58,0)+1,7)),1))*INDEX(TABLAS!$D$52:$D$58,MIN(MATCH(DATOS!$C$26,TABLAS!$B$52:$B$58,0)+1,7))&gt;=4/3*IF(BD25&lt;=0,0,IF((1-2*BD25*1E5/(DATOS!$C$58*Q25*BV25^2*DATOS!$C$48))&lt;0,-1,IF((1-SQRT((1-2*BD25*1E5/(DATOS!$C$58*Q25*BV25^2*DATOS!$C$48))))*DATOS!$C$48*Q25*BV25/DATOS!$C$40&gt;DATOS!$C$82*Q25*BV25,-1,(1-SQRT((1-2*BD25*1E5/(DATOS!$C$58*Q25*BV25^2*DATOS!$C$48))))*DATOS!$C$48*Q25*BV25/DATOS!$C$40)))-0.0001,MAX(DATOS!$C$29,CEILING(BW25/INDEX(TABLAS!$D$52:$D$58,MIN(MATCH(DATOS!$C$26,TABLAS!$B$52:$B$58,0)+1,7)),1)),MAX(MAX(DATOS!$C$29,CEILING(BW25/INDEX(TABLAS!$D$52:$D$58,MIN(MATCH(DATOS!$C$26,TABLAS!$B$52:$B$58,0)+1,7)),1)),2))&lt;=MIN(DATOS!$C$28,INT(((DATOS!$C$13-2*R25-2*IF(DATOS!$C$25=0,0,INDEX(TABLAS!$C$52:$C$58,MATCH(DATOS!$C$25,TABLAS!$B$52:$B$58,0))))+MAX(DATOS!$C$32,INDEX(TABLAS!$C$52:$C$58,MIN(MATCH(DATOS!$C$26,TABLAS!$B$52:$B$58,0)+1,7))))/(INDEX(TABLAS!$C$52:$C$58,MIN(MATCH(DATOS!$C$26,TABLAS!$B$52:$B$58,0)+1,7))+MAX(DATOS!$C$32,INDEX(TABLAS!$C$52:$C$58,MIN(MATCH(DATOS!$C$26,TABLAS!$B$52:$B$58,0)+1,7))))))),INDEX(TABLAS!$B$52:$B$58,MIN(MATCH(DATOS!$C$26,TABLAS!$B$52:$B$58,0)+1,7)),IF(AND(BW25&gt;=0,IF(MAX(DATOS!$C$29,CEILING(BW25/INDEX(TABLAS!$D$52:$D$58,MIN(MATCH(DATOS!$C$26,TABLAS!$B$52:$B$58,0)+2,7)),1))*INDEX(TABLAS!$D$52:$D$58,MIN(MATCH(DATOS!$C$26,TABLAS!$B$52:$B$58,0)+2,7))&gt;=4/3*IF(BD25&lt;=0,0,IF((1-2*BD25*1E5/(DATOS!$C$58*Q25*BV25^2*DATOS!$C$48))&lt;0,-1,IF((1-SQRT((1-2*BD25*1E5/(DATOS!$C$58*Q25*BV25^2*DATOS!$C$48))))*DATOS!$C$48*Q25*BV25/DATOS!$C$40&gt;DATOS!$C$82*Q25*BV25,-1,(1-SQRT((1-2*BD25*1E5/(DATOS!$C$58*Q25*BV25^2*DATOS!$C$48))))*DATOS!$C$48*Q25*BV25/DATOS!$C$40)))-0.0001,MAX(DATOS!$C$29,CEILING(BW25/INDEX(TABLAS!$D$52:$D$58,MIN(MATCH(DATOS!$C$26,TABLAS!$B$52:$B$58,0)+2,7)),1)),MAX(MAX(DATOS!$C$29,CEILING(BW25/INDEX(TABLAS!$D$52:$D$58,MIN(MATCH(DATOS!$C$26,TABLAS!$B$52:$B$58,0)+2,7)),1)),2))&lt;=MIN(DATOS!$C$28,INT(((DATOS!$C$13-2*R25-2*IF(DATOS!$C$25=0,0,INDEX(TABLAS!$C$52:$C$58,MATCH(DATOS!$C$25,TABLAS!$B$52:$B$58,0))))+MAX(DATOS!$C$32,INDEX(TABLAS!$C$52:$C$58,MIN(MATCH(DATOS!$C$26,TABLAS!$B$52:$B$58,0)+2,7))))/(INDEX(TABLAS!$C$52:$C$58,MIN(MATCH(DATOS!$C$26,TABLAS!$B$52:$B$58,0)+2,7))+MAX(DATOS!$C$32,INDEX(TABLAS!$C$52:$C$58,MIN(MATCH(DATOS!$C$26,TABLAS!$B$52:$B$58,0)+2,7))))))),INDEX(TABLAS!$B$52:$B$58,MIN(MATCH(DATOS!$C$26,TABLAS!$B$52:$B$58,0)+2,7)),IF(AND(BW25&gt;=0,IF(MAX(DATOS!$C$29,CEILING(BW25/INDEX(TABLAS!$D$52:$D$58,MIN(MATCH(DATOS!$C$26,TABLAS!$B$52:$B$58,0)+3,7)),1))*INDEX(TABLAS!$D$52:$D$58,MIN(MATCH(DATOS!$C$26,TABLAS!$B$52:$B$58,0)+3,7))&gt;=4/3*IF(BD25&lt;=0,0,IF((1-2*BD25*1E5/(DATOS!$C$58*Q25*BV25^2*DATOS!$C$48))&lt;0,-1,IF((1-SQRT((1-2*BD25*1E5/(DATOS!$C$58*Q25*BV25^2*DATOS!$C$48))))*DATOS!$C$48*Q25*BV25/DATOS!$C$40&gt;DATOS!$C$82*Q25*BV25,-1,(1-SQRT((1-2*BD25*1E5/(DATOS!$C$58*Q25*BV25^2*DATOS!$C$48))))*DATOS!$C$48*Q25*BV25/DATOS!$C$40)))-0.0001,MAX(DATOS!$C$29,CEILING(BW25/INDEX(TABLAS!$D$52:$D$58,MIN(MATCH(DATOS!$C$26,TABLAS!$B$52:$B$58,0)+3,7)),1)),MAX(MAX(DATOS!$C$29,CEILING(BW25/INDEX(TABLAS!$D$52:$D$58,MIN(MATCH(DATOS!$C$26,TABLAS!$B$52:$B$58,0)+3,7)),1)),2))&lt;=MIN(DATOS!$C$28,INT(((DATOS!$C$13-2*R25-2*IF(DATOS!$C$25=0,0,INDEX(TABLAS!$C$52:$C$58,MATCH(DATOS!$C$25,TABLAS!$B$52:$B$58,0))))+MAX(DATOS!$C$32,INDEX(TABLAS!$C$52:$C$58,MIN(MATCH(DATOS!$C$26,TABLAS!$B$52:$B$58,0)+3,7))))/(INDEX(TABLAS!$C$52:$C$58,MIN(MATCH(DATOS!$C$26,TABLAS!$B$52:$B$58,0)+3,7))+MAX(DATOS!$C$32,INDEX(TABLAS!$C$52:$C$58,MIN(MATCH(DATOS!$C$26,TABLAS!$B$52:$B$58,0)+3,7))))))),INDEX(TABLAS!$B$52:$B$58,MIN(MATCH(DATOS!$C$26,TABLAS!$B$52:$B$58,0)+3,7)),IF(AND(BW25&gt;=0,IF(MAX(DATOS!$C$29,CEILING(BW25/INDEX(TABLAS!$D$52:$D$58,MIN(MATCH(DATOS!$C$26,TABLAS!$B$52:$B$58,0)+4,7)),1))*INDEX(TABLAS!$D$52:$D$58,MIN(MATCH(DATOS!$C$26,TABLAS!$B$52:$B$58,0)+4,7))&gt;=4/3*IF(BD25&lt;=0,0,IF((1-2*BD25*1E5/(DATOS!$C$58*Q25*BV25^2*DATOS!$C$48))&lt;0,-1,IF((1-SQRT((1-2*BD25*1E5/(DATOS!$C$58*Q25*BV25^2*DATOS!$C$48))))*DATOS!$C$48*Q25*BV25/DATOS!$C$40&gt;DATOS!$C$82*Q25*BV25,-1,(1-SQRT((1-2*BD25*1E5/(DATOS!$C$58*Q25*BV25^2*DATOS!$C$48))))*DATOS!$C$48*Q25*BV25/DATOS!$C$40)))-0.0001,MAX(DATOS!$C$29,CEILING(BW25/INDEX(TABLAS!$D$52:$D$58,MIN(MATCH(DATOS!$C$26,TABLAS!$B$52:$B$58,0)+4,7)),1)),MAX(MAX(DATOS!$C$29,CEILING(BW25/INDEX(TABLAS!$D$52:$D$58,MIN(MATCH(DATOS!$C$26,TABLAS!$B$52:$B$58,0)+4,7)),1)),2))&lt;=MIN(DATOS!$C$28,INT(((DATOS!$C$13-2*R25-2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25" s="56">
        <f>IF(D25="HUECO",0,IF(BW25&lt;0,0,IF(MAX(DATOS!$C$29,CEILING(MAX(BW25,0)/INDEX(TABLAS!$D$52:$D$58,MATCH(BX25,TABLAS!$B$52:$B$58,0)),1))*INDEX(TABLAS!$D$52:$D$58,MATCH(BX25,TABLAS!$B$52:$B$58,0))&gt;=4/3*IF(BD25&lt;=0,0,IF((1-2*BD25*1E5/(DATOS!$C$58*Q25*BV25^2*DATOS!$C$48))&lt;0,-1,IF((1-SQRT((1-2*BD25*1E5/(DATOS!$C$58*Q25*BV25^2*DATOS!$C$48))))*DATOS!$C$48*Q25*BV25/DATOS!$C$40&gt;DATOS!$C$82*Q25*BV25,-1,(1-SQRT((1-2*BD25*1E5/(DATOS!$C$58*Q25*BV25^2*DATOS!$C$48))))*DATOS!$C$48*Q25*BV25/DATOS!$C$40)))-0.0001,MAX(DATOS!$C$29,CEILING(MAX(BW25,0)/INDEX(TABLAS!$D$52:$D$58,MATCH(BX25,TABLAS!$B$52:$B$58,0)),1)),MAX(MAX(DATOS!$C$29,CEILING(MAX(BW25,0)/INDEX(TABLAS!$D$52:$D$58,MATCH(BX25,TABLAS!$B$52:$B$58,0)),1)),2))))</f>
        <v>1</v>
      </c>
      <c r="BZ25" s="43">
        <f>DATOS!$C$15-R25-IF(DATOS!$C$25=0,0,INDEX(TABLAS!$C$52:$C$58,MATCH(DATOS!$C$25,TABLAS!$B$52:$B$58,0)))-INDEX(TABLAS!$C$52:$C$58,MATCH(BH25,TABLAS!$B$52:$B$58,0))-INDEX(TABLAS!$C$52:$C$58,MATCH(BX25,TABLAS!$B$52:$B$58,0))/2</f>
        <v>21.095</v>
      </c>
      <c r="CA25" s="36">
        <f>IF(BY25=0,0,DATOS!$C$58*BY25*INDEX(TABLAS!$D$52:$D$58,MATCH(BX25,TABLAS!$B$52:$B$58,0))*DATOS!$C$40*(BZ25-BY25*INDEX(TABLAS!$D$52:$D$58,MATCH(BX25,TABLAS!$B$52:$B$58,0))*DATOS!$C$40/(DATOS!$C$48*Q25)/2)/1E5)</f>
        <v>1.00407937658824</v>
      </c>
      <c r="CB25" s="62">
        <f>IF(BW25&lt;0,9.99,IF(CA25&gt;0,BD25/CA25,0))</f>
        <v>0.297725384666053</v>
      </c>
      <c r="CC25" s="63">
        <f>IF(BY25=0,"—",0.003*(BZ25-(BY25*INDEX(TABLAS!$D$52:$D$58,MATCH(BX25,TABLAS!$B$52:$B$58,0))*DATOS!$C$40/(DATOS!$C$48*Q25)/DATOS!$C$49))/(BY25*INDEX(TABLAS!$D$52:$D$58,MATCH(BX25,TABLAS!$B$52:$B$58,0))*DATOS!$C$40/(DATOS!$C$48*Q25)/DATOS!$C$49))</f>
        <v>0.147011195866142</v>
      </c>
      <c r="CD25" s="43">
        <f>((DATOS!$C$15-S25-2*DATOS!$C$35-IF(DATOS!$C$25=0,0,INDEX(TABLAS!$C$52:$C$58,MATCH(DATOS!$C$25,TABLAS!$B$52:$B$58,0)))-INDEX(TABLAS!$C$52:$C$58,MATCH(DATOS!$C$27,TABLAS!$B$52:$B$58,0))-INDEX(TABLAS!$C$52:$C$58,MATCH(DATOS!$C$27,TABLAS!$B$52:$B$58,0))/2)-IF(AND((DATOS!$C$15-S25-2*DATOS!$C$35-IF(DATOS!$C$25=0,0,INDEX(TABLAS!$C$52:$C$58,MATCH(DATOS!$C$25,TABLAS!$B$52:$B$58,0)))-INDEX(TABLAS!$C$52:$C$58,MATCH(DATOS!$C$27,TABLAS!$B$52:$B$58,0))-INDEX(TABLAS!$C$52:$C$58,MATCH(DATOS!$C$27,TABLAS!$B$52:$B$58,0))/2)&lt;=20,DATOS!$C$18&lt;&gt;"SÍ"),2,0))</f>
        <v>20.119</v>
      </c>
      <c r="CE25" s="43">
        <f>IF(D25="HUECO",0,IF(IF(BE25&lt;=0,0,IF((1-2*BE25*1E5/(DATOS!$C$58*DATOS!$C$19*CD25^2*DATOS!$C$48))&lt;0,-1,IF((1-SQRT((1-2*BE25*1E5/(DATOS!$C$58*DATOS!$C$19*CD25^2*DATOS!$C$48))))*DATOS!$C$48*DATOS!$C$19*CD25/DATOS!$C$40&gt;DATOS!$C$82*DATOS!$C$19*CD25,-1,(1-SQRT((1-2*BE25*1E5/(DATOS!$C$58*DATOS!$C$19*CD25^2*DATOS!$C$48))))*DATOS!$C$48*DATOS!$C$19*CD25/DATOS!$C$40)))&lt;0,-1,MAX(IF(BE25&lt;=0,0,IF((1-2*BE25*1E5/(DATOS!$C$58*DATOS!$C$19*CD25^2*DATOS!$C$48))&lt;0,-1,IF((1-SQRT((1-2*BE25*1E5/(DATOS!$C$58*DATOS!$C$19*CD25^2*DATOS!$C$48))))*DATOS!$C$48*DATOS!$C$19*CD25/DATOS!$C$40&gt;DATOS!$C$82*DATOS!$C$19*CD25,-1,(1-SQRT((1-2*BE25*1E5/(DATOS!$C$58*DATOS!$C$19*CD25^2*DATOS!$C$48))))*DATOS!$C$48*DATOS!$C$19*CD25/DATOS!$C$40))),MIN(DATOS!$C$83*DATOS!$C$13*CD25,4/3*IF(BE25&lt;=0,0,IF((1-2*BE25*1E5/(DATOS!$C$58*DATOS!$C$19*CD25^2*DATOS!$C$48))&lt;0,-1,IF((1-SQRT((1-2*BE25*1E5/(DATOS!$C$58*DATOS!$C$19*CD25^2*DATOS!$C$48))))*DATOS!$C$48*DATOS!$C$19*CD25/DATOS!$C$40&gt;DATOS!$C$82*DATOS!$C$19*CD25,-1,(1-SQRT((1-2*BE25*1E5/(DATOS!$C$58*DATOS!$C$19*CD25^2*DATOS!$C$48))))*DATOS!$C$48*DATOS!$C$19*CD25/DATOS!$C$40)))))))</f>
        <v>0.670633333333333</v>
      </c>
      <c r="CF25" s="41">
        <f>IF(AND(CE25&gt;=0,IF(MAX(DATOS!$C$29,CEILING(CE25/INDEX(TABLAS!$D$52:$D$58,MIN(MATCH(DATOS!$C$27,TABLAS!$B$52:$B$58,0)+0,7)),1))*INDEX(TABLAS!$D$52:$D$58,MIN(MATCH(DATOS!$C$27,TABLAS!$B$52:$B$58,0)+0,7))&gt;=4/3*IF(BE25&lt;=0,0,IF((1-2*BE25*1E5/(DATOS!$C$58*DATOS!$C$19*CD25^2*DATOS!$C$48))&lt;0,-1,IF((1-SQRT((1-2*BE25*1E5/(DATOS!$C$58*DATOS!$C$19*CD25^2*DATOS!$C$48))))*DATOS!$C$48*DATOS!$C$19*CD25/DATOS!$C$40&gt;DATOS!$C$82*DATOS!$C$19*CD25,-1,(1-SQRT((1-2*BE25*1E5/(DATOS!$C$58*DATOS!$C$19*CD25^2*DATOS!$C$48))))*DATOS!$C$48*DATOS!$C$19*CD25/DATOS!$C$40)))-0.0001,MAX(DATOS!$C$29,CEILING(CE25/INDEX(TABLAS!$D$52:$D$58,MIN(MATCH(DATOS!$C$27,TABLAS!$B$52:$B$58,0)+0,7)),1)),MAX(MAX(DATOS!$C$29,CEILING(CE25/INDEX(TABLAS!$D$52:$D$58,MIN(MATCH(DATOS!$C$27,TABLAS!$B$52:$B$58,0)+0,7)),1)),2))&lt;=MIN(DATOS!$C$28,INT(((DATOS!$C$13-2*S25-2*IF(DATOS!$C$25=0,0,INDEX(TABLAS!$C$52:$C$58,MATCH(DATOS!$C$25,TABLAS!$B$52:$B$58,0))))+MAX(DATOS!$C$32,INDEX(TABLAS!$C$52:$C$58,MIN(MATCH(DATOS!$C$27,TABLAS!$B$52:$B$58,0)+0,7))))/(INDEX(TABLAS!$C$52:$C$58,MIN(MATCH(DATOS!$C$27,TABLAS!$B$52:$B$58,0)+0,7))+MAX(DATOS!$C$32,INDEX(TABLAS!$C$52:$C$58,MIN(MATCH(DATOS!$C$27,TABLAS!$B$52:$B$58,0)+0,7))))))),INDEX(TABLAS!$B$52:$B$58,MIN(MATCH(DATOS!$C$27,TABLAS!$B$52:$B$58,0)+0,7)),IF(AND(CE25&gt;=0,IF(MAX(DATOS!$C$29,CEILING(CE25/INDEX(TABLAS!$D$52:$D$58,MIN(MATCH(DATOS!$C$27,TABLAS!$B$52:$B$58,0)+1,7)),1))*INDEX(TABLAS!$D$52:$D$58,MIN(MATCH(DATOS!$C$27,TABLAS!$B$52:$B$58,0)+1,7))&gt;=4/3*IF(BE25&lt;=0,0,IF((1-2*BE25*1E5/(DATOS!$C$58*DATOS!$C$19*CD25^2*DATOS!$C$48))&lt;0,-1,IF((1-SQRT((1-2*BE25*1E5/(DATOS!$C$58*DATOS!$C$19*CD25^2*DATOS!$C$48))))*DATOS!$C$48*DATOS!$C$19*CD25/DATOS!$C$40&gt;DATOS!$C$82*DATOS!$C$19*CD25,-1,(1-SQRT((1-2*BE25*1E5/(DATOS!$C$58*DATOS!$C$19*CD25^2*DATOS!$C$48))))*DATOS!$C$48*DATOS!$C$19*CD25/DATOS!$C$40)))-0.0001,MAX(DATOS!$C$29,CEILING(CE25/INDEX(TABLAS!$D$52:$D$58,MIN(MATCH(DATOS!$C$27,TABLAS!$B$52:$B$58,0)+1,7)),1)),MAX(MAX(DATOS!$C$29,CEILING(CE25/INDEX(TABLAS!$D$52:$D$58,MIN(MATCH(DATOS!$C$27,TABLAS!$B$52:$B$58,0)+1,7)),1)),2))&lt;=MIN(DATOS!$C$28,INT(((DATOS!$C$13-2*S25-2*IF(DATOS!$C$25=0,0,INDEX(TABLAS!$C$52:$C$58,MATCH(DATOS!$C$25,TABLAS!$B$52:$B$58,0))))+MAX(DATOS!$C$32,INDEX(TABLAS!$C$52:$C$58,MIN(MATCH(DATOS!$C$27,TABLAS!$B$52:$B$58,0)+1,7))))/(INDEX(TABLAS!$C$52:$C$58,MIN(MATCH(DATOS!$C$27,TABLAS!$B$52:$B$58,0)+1,7))+MAX(DATOS!$C$32,INDEX(TABLAS!$C$52:$C$58,MIN(MATCH(DATOS!$C$27,TABLAS!$B$52:$B$58,0)+1,7))))))),INDEX(TABLAS!$B$52:$B$58,MIN(MATCH(DATOS!$C$27,TABLAS!$B$52:$B$58,0)+1,7)),IF(AND(CE25&gt;=0,IF(MAX(DATOS!$C$29,CEILING(CE25/INDEX(TABLAS!$D$52:$D$58,MIN(MATCH(DATOS!$C$27,TABLAS!$B$52:$B$58,0)+2,7)),1))*INDEX(TABLAS!$D$52:$D$58,MIN(MATCH(DATOS!$C$27,TABLAS!$B$52:$B$58,0)+2,7))&gt;=4/3*IF(BE25&lt;=0,0,IF((1-2*BE25*1E5/(DATOS!$C$58*DATOS!$C$19*CD25^2*DATOS!$C$48))&lt;0,-1,IF((1-SQRT((1-2*BE25*1E5/(DATOS!$C$58*DATOS!$C$19*CD25^2*DATOS!$C$48))))*DATOS!$C$48*DATOS!$C$19*CD25/DATOS!$C$40&gt;DATOS!$C$82*DATOS!$C$19*CD25,-1,(1-SQRT((1-2*BE25*1E5/(DATOS!$C$58*DATOS!$C$19*CD25^2*DATOS!$C$48))))*DATOS!$C$48*DATOS!$C$19*CD25/DATOS!$C$40)))-0.0001,MAX(DATOS!$C$29,CEILING(CE25/INDEX(TABLAS!$D$52:$D$58,MIN(MATCH(DATOS!$C$27,TABLAS!$B$52:$B$58,0)+2,7)),1)),MAX(MAX(DATOS!$C$29,CEILING(CE25/INDEX(TABLAS!$D$52:$D$58,MIN(MATCH(DATOS!$C$27,TABLAS!$B$52:$B$58,0)+2,7)),1)),2))&lt;=MIN(DATOS!$C$28,INT(((DATOS!$C$13-2*S25-2*IF(DATOS!$C$25=0,0,INDEX(TABLAS!$C$52:$C$58,MATCH(DATOS!$C$25,TABLAS!$B$52:$B$58,0))))+MAX(DATOS!$C$32,INDEX(TABLAS!$C$52:$C$58,MIN(MATCH(DATOS!$C$27,TABLAS!$B$52:$B$58,0)+2,7))))/(INDEX(TABLAS!$C$52:$C$58,MIN(MATCH(DATOS!$C$27,TABLAS!$B$52:$B$58,0)+2,7))+MAX(DATOS!$C$32,INDEX(TABLAS!$C$52:$C$58,MIN(MATCH(DATOS!$C$27,TABLAS!$B$52:$B$58,0)+2,7))))))),INDEX(TABLAS!$B$52:$B$58,MIN(MATCH(DATOS!$C$27,TABLAS!$B$52:$B$58,0)+2,7)),IF(AND(CE25&gt;=0,IF(MAX(DATOS!$C$29,CEILING(CE25/INDEX(TABLAS!$D$52:$D$58,MIN(MATCH(DATOS!$C$27,TABLAS!$B$52:$B$58,0)+3,7)),1))*INDEX(TABLAS!$D$52:$D$58,MIN(MATCH(DATOS!$C$27,TABLAS!$B$52:$B$58,0)+3,7))&gt;=4/3*IF(BE25&lt;=0,0,IF((1-2*BE25*1E5/(DATOS!$C$58*DATOS!$C$19*CD25^2*DATOS!$C$48))&lt;0,-1,IF((1-SQRT((1-2*BE25*1E5/(DATOS!$C$58*DATOS!$C$19*CD25^2*DATOS!$C$48))))*DATOS!$C$48*DATOS!$C$19*CD25/DATOS!$C$40&gt;DATOS!$C$82*DATOS!$C$19*CD25,-1,(1-SQRT((1-2*BE25*1E5/(DATOS!$C$58*DATOS!$C$19*CD25^2*DATOS!$C$48))))*DATOS!$C$48*DATOS!$C$19*CD25/DATOS!$C$40)))-0.0001,MAX(DATOS!$C$29,CEILING(CE25/INDEX(TABLAS!$D$52:$D$58,MIN(MATCH(DATOS!$C$27,TABLAS!$B$52:$B$58,0)+3,7)),1)),MAX(MAX(DATOS!$C$29,CEILING(CE25/INDEX(TABLAS!$D$52:$D$58,MIN(MATCH(DATOS!$C$27,TABLAS!$B$52:$B$58,0)+3,7)),1)),2))&lt;=MIN(DATOS!$C$28,INT(((DATOS!$C$13-2*S25-2*IF(DATOS!$C$25=0,0,INDEX(TABLAS!$C$52:$C$58,MATCH(DATOS!$C$25,TABLAS!$B$52:$B$58,0))))+MAX(DATOS!$C$32,INDEX(TABLAS!$C$52:$C$58,MIN(MATCH(DATOS!$C$27,TABLAS!$B$52:$B$58,0)+3,7))))/(INDEX(TABLAS!$C$52:$C$58,MIN(MATCH(DATOS!$C$27,TABLAS!$B$52:$B$58,0)+3,7))+MAX(DATOS!$C$32,INDEX(TABLAS!$C$52:$C$58,MIN(MATCH(DATOS!$C$27,TABLAS!$B$52:$B$58,0)+3,7))))))),INDEX(TABLAS!$B$52:$B$58,MIN(MATCH(DATOS!$C$27,TABLAS!$B$52:$B$58,0)+3,7)),IF(AND(CE25&gt;=0,IF(MAX(DATOS!$C$29,CEILING(CE25/INDEX(TABLAS!$D$52:$D$58,MIN(MATCH(DATOS!$C$27,TABLAS!$B$52:$B$58,0)+4,7)),1))*INDEX(TABLAS!$D$52:$D$58,MIN(MATCH(DATOS!$C$27,TABLAS!$B$52:$B$58,0)+4,7))&gt;=4/3*IF(BE25&lt;=0,0,IF((1-2*BE25*1E5/(DATOS!$C$58*DATOS!$C$19*CD25^2*DATOS!$C$48))&lt;0,-1,IF((1-SQRT((1-2*BE25*1E5/(DATOS!$C$58*DATOS!$C$19*CD25^2*DATOS!$C$48))))*DATOS!$C$48*DATOS!$C$19*CD25/DATOS!$C$40&gt;DATOS!$C$82*DATOS!$C$19*CD25,-1,(1-SQRT((1-2*BE25*1E5/(DATOS!$C$58*DATOS!$C$19*CD25^2*DATOS!$C$48))))*DATOS!$C$48*DATOS!$C$19*CD25/DATOS!$C$40)))-0.0001,MAX(DATOS!$C$29,CEILING(CE25/INDEX(TABLAS!$D$52:$D$58,MIN(MATCH(DATOS!$C$27,TABLAS!$B$52:$B$58,0)+4,7)),1)),MAX(MAX(DATOS!$C$29,CEILING(CE25/INDEX(TABLAS!$D$52:$D$58,MIN(MATCH(DATOS!$C$27,TABLAS!$B$52:$B$58,0)+4,7)),1)),2))&lt;=MIN(DATOS!$C$28,INT(((DATOS!$C$13-2*S25-2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25" s="56">
        <f>IF(D25="HUECO",0,IF(CE25&lt;0,0,IF(MAX(DATOS!$C$29,CEILING(MAX(CE25,0)/INDEX(TABLAS!$D$52:$D$58,MATCH(CF25,TABLAS!$B$52:$B$58,0)),1))*INDEX(TABLAS!$D$52:$D$58,MATCH(CF25,TABLAS!$B$52:$B$58,0))&gt;=4/3*IF(BE25&lt;=0,0,IF((1-2*BE25*1E5/(DATOS!$C$58*DATOS!$C$19*CD25^2*DATOS!$C$48))&lt;0,-1,IF((1-SQRT((1-2*BE25*1E5/(DATOS!$C$58*DATOS!$C$19*CD25^2*DATOS!$C$48))))*DATOS!$C$48*DATOS!$C$19*CD25/DATOS!$C$40&gt;DATOS!$C$82*DATOS!$C$19*CD25,-1,(1-SQRT((1-2*BE25*1E5/(DATOS!$C$58*DATOS!$C$19*CD25^2*DATOS!$C$48))))*DATOS!$C$48*DATOS!$C$19*CD25/DATOS!$C$40)))-0.0001,MAX(DATOS!$C$29,CEILING(MAX(CE25,0)/INDEX(TABLAS!$D$52:$D$58,MATCH(CF25,TABLAS!$B$52:$B$58,0)),1)),MAX(MAX(DATOS!$C$29,CEILING(MAX(CE25,0)/INDEX(TABLAS!$D$52:$D$58,MATCH(CF25,TABLAS!$B$52:$B$58,0)),1)),2))))</f>
        <v>1</v>
      </c>
      <c r="CH25" s="43">
        <f>((DATOS!$C$15-S25-2*DATOS!$C$35-IF(DATOS!$C$25=0,0,INDEX(TABLAS!$C$52:$C$58,MATCH(DATOS!$C$25,TABLAS!$B$52:$B$58,0)))-INDEX(TABLAS!$C$52:$C$58,MATCH(BP25,TABLAS!$B$52:$B$58,0))-INDEX(TABLAS!$C$52:$C$58,MATCH(CF25,TABLAS!$B$52:$B$58,0))/2)-IF(AND((DATOS!$C$15-S25-2*DATOS!$C$35-IF(DATOS!$C$25=0,0,INDEX(TABLAS!$C$52:$C$58,MATCH(DATOS!$C$25,TABLAS!$B$52:$B$58,0)))-INDEX(TABLAS!$C$52:$C$58,MATCH(BP25,TABLAS!$B$52:$B$58,0))-INDEX(TABLAS!$C$52:$C$58,MATCH(CF25,TABLAS!$B$52:$B$58,0))/2)&lt;=20,DATOS!$C$18&lt;&gt;"SÍ"),2,0))</f>
        <v>20.119</v>
      </c>
      <c r="CI25" s="36">
        <f>IF(CG25=0,0,DATOS!$C$58*CG25*INDEX(TABLAS!$D$52:$D$58,MATCH(CF25,TABLAS!$B$52:$B$58,0))*DATOS!$C$40*(CH25-CG25*INDEX(TABLAS!$D$52:$D$58,MATCH(CF25,TABLAS!$B$52:$B$58,0))*DATOS!$C$40/(DATOS!$C$48*DATOS!$C$19)/2)/1E5)</f>
        <v>0.905582360117647</v>
      </c>
      <c r="CJ25" s="62">
        <f>IF(CE25&lt;0,9.99,IF(CI25&gt;0,BE25/CI25,0))</f>
        <v>0.484524461062742</v>
      </c>
      <c r="CK25" s="63">
        <f>IF(CG25=0,"—",0.003*(CH25-(CG25*INDEX(TABLAS!$D$52:$D$58,MATCH(CF25,TABLAS!$B$52:$B$58,0))*DATOS!$C$40/(DATOS!$C$48*DATOS!$C$19)/DATOS!$C$49))/(CG25*INDEX(TABLAS!$D$52:$D$58,MATCH(CF25,TABLAS!$B$52:$B$58,0))*DATOS!$C$40/(DATOS!$C$48*DATOS!$C$19)/DATOS!$C$49))</f>
        <v>0.0174386635264342</v>
      </c>
      <c r="CL25" s="52" t="str">
        <f>IF(D25="HUECO","—",IF(AND(D25="PERIMETRAL",J25*100&gt;=6*DATOS!$C$11,DATOS!$C$11&lt;=80,DATOS!$C$13&gt;=10,DATOS!$C$15&lt;=3.5*DATOS!$C$13,DATOS!$C$14&gt;=MAX(DATOS!$C$11/13,5)),"SÍ","NO"))</f>
        <v>SÍ</v>
      </c>
      <c r="CM25" s="36">
        <f>IF(D25="PERIMETRAL",MAX(0,(N25/2-BR25)/100)*(0.95-0.5*L25)*Y25*IF(AND(Z25&gt;0,Z25&lt;4),DATOS!$C$63,1)*DATOS!$C$16/100/1000+AX25,IF(D25="VOLADO",(Y25*MAX(0,N25-BR25)/100+DATOS!$C$55*BA25)*DATOS!$C$16/100/1000,0))</f>
        <v>0.895847217397973</v>
      </c>
      <c r="CN25" s="36">
        <f>IF(D25="HUECO",0,DATOS!$C$59*2*MIN(1,SQRT(2/(1+0.04*BR25)))*(BQ25*INDEX(TABLAS!$D$52:$D$58,MATCH(BP25,TABLAS!$B$52:$B$58,0))/(DATOS!$C$19*BR25))^(1/3)*SQRT(DATOS!$C$39)*DATOS!$C$19*BR25*IF(CL25="SÍ",DATOS!$C$62,1)/1000)</f>
        <v>1.0104515843408</v>
      </c>
      <c r="CO25" s="51" t="str">
        <f>IF(D25="HUECO","—",IF(CM25&lt;=CN25,"CUMPLE",IF(MAX(0,CEILING((IF(D25="VOLADO",(N25-(CN25*1E5/DATOS!$C$16-DATOS!$C$55*BA25)*100/Y25),IF(CN25&lt;=AX25,N25,N25/2-(CN25-AX25)/MAX(CM25-AX25,1E-9)*(N25/2-BR25)))-IF(INT((J25*100-DATOS!$C$17+DATOS!$C$13)/DATOS!$C$16)&gt;0,(J25*100-DATOS!$C$17-(INT((J25*100-DATOS!$C$17+DATOS!$C$13)/DATOS!$C$16)*DATOS!$C$11+(INT((J25*100-DATOS!$C$17+DATOS!$C$13)/DATOS!$C$16)-1)*DATOS!$C$13))/2,J25*100/2))/DATOS!$C$16,1))&lt;=0,"CUMPLE (basta el macizo de orilla)","MACIZAR "&amp;MAX(0,CEILING((IF(D25="VOLADO",(N25-(CN25*1E5/DATOS!$C$16-DATOS!$C$55*BA25)*100/Y25),IF(CN25&lt;=AX25,N25,N25/2-(CN25-AX25)/MAX(CM25-AX25,1E-9)*(N25/2-BR25)))-IF(INT((J25*100-DATOS!$C$17+DATOS!$C$13)/DATOS!$C$16)&gt;0,(J25*100-DATOS!$C$17-(INT((J25*100-DATOS!$C$17+DATOS!$C$13)/DATOS!$C$16)*DATOS!$C$11+(INT((J25*100-DATOS!$C$17+DATOS!$C$13)/DATOS!$C$16)-1)*DATOS!$C$13))/2,J25*100/2))/DATOS!$C$16,1))&amp;" hilera(s)")))</f>
        <v>CUMPLE</v>
      </c>
      <c r="CP25" s="43">
        <f>IF(D25="PERIMETRAL",(99+99+99+99)/4,0)</f>
        <v>99</v>
      </c>
      <c r="CQ25" s="57">
        <f>IF(D25="PERIMETRAL",IF(CP25&gt;2,MAX(9,O25*(0.8+DATOS!$C$40/14000)/(36+9*(O25/MAX(N25,1)))),IF(CP25&gt;0.2,MAX(13,O25*(0.8+DATOS!$C$40/14000)/(36+5*(O25/MAX(N25,1))*(CP25-0.2))),MAX(13,O25/IF(Z25&gt;0,30,33))))*IF(AND(CP25&gt;0.2,OR(AND((APOYOS!$G$93="DISCONTINUO"),99&lt;0.8),AND((APOYOS!$G$94="DISCONTINUO"),99&lt;0.8),AND((APOYOS!$G$95="DISCONTINUO"),99&lt;0.8),AND((APOYOS!$G$96="DISCONTINUO"),99&lt;0.8))),1.1,1),IF(D25="VOLADO",MAX(25,J25*100/8),0))</f>
        <v>9.37386396951041</v>
      </c>
      <c r="CR25" s="57">
        <f>IF(D25="VOLADO",DATOS!$C$15,DATOS!$C$77)</f>
        <v>16.7232564120244</v>
      </c>
      <c r="CS25" s="52" t="str">
        <f>IF(D25="HUECO","—",IF(CR25&gt;=CQ25,"CUMPLE",IF(D25="VOLADO","NO CUMPLE","CALCULAR FLECHA")))</f>
        <v>CUMPLE</v>
      </c>
      <c r="CT25" s="52" t="str">
        <f>IF(D25="HUECO","—",IF(DATOS!$C$14&gt;=IF(IF(D25="VOLADO",J25,K25)&gt;=6,6,5),"CUMPLE","CAPA ≥ 6 cm"))</f>
        <v>CUMPLE</v>
      </c>
      <c r="CU25" s="59">
        <f>IF(D25="HUECO",0,IF(((4*((AL25*Y25*J25^2*1E-4*DATOS!$C$16/100/1000)+((MAX(AH25,AJ25)*Y25*J25^2*1E-4*DATOS!$C$16/100/1000)+(IF(AND(AH25&gt;0,AJ25&gt;0),MIN(AH25,AJ25),MAX(AH25,AJ25))*Y25*J25^2*1E-4*DATOS!$C$16/100/1000))/2)+BC25-(IF(AND(AH25&gt;0,AJ25&gt;0),MIN(AH25,AJ25),MAX(AH25,AJ25))*Y25*J25^2*1E-4*DATOS!$C$16/100/1000))^2-16*((AL25*Y25*J25^2*1E-4*DATOS!$C$16/100/1000)+((MAX(AH25,AJ25)*Y25*J25^2*1E-4*DATOS!$C$16/100/1000)+(IF(AND(AH25&gt;0,AJ25&gt;0),MIN(AH25,AJ25),MAX(AH25,AJ25))*Y25*J25^2*1E-4*DATOS!$C$16/100/1000))/2)*BC25)&lt;0,CEILING(N25,5),CEILING(MAX(N25*((4*((AL25*Y25*J25^2*1E-4*DATOS!$C$16/100/1000)+((MAX(AH25,AJ25)*Y25*J25^2*1E-4*DATOS!$C$16/100/1000)+(IF(AND(AH25&gt;0,AJ25&gt;0),MIN(AH25,AJ25),MAX(AH25,AJ25))*Y25*J25^2*1E-4*DATOS!$C$16/100/1000))/2)+BC25-(IF(AND(AH25&gt;0,AJ25&gt;0),MIN(AH25,AJ25),MAX(AH25,AJ25))*Y25*J25^2*1E-4*DATOS!$C$16/100/1000))-SQRT(MAX(0,((4*((AL25*Y25*J25^2*1E-4*DATOS!$C$16/100/1000)+((MAX(AH25,AJ25)*Y25*J25^2*1E-4*DATOS!$C$16/100/1000)+(IF(AND(AH25&gt;0,AJ25&gt;0),MIN(AH25,AJ25),MAX(AH25,AJ25))*Y25*J25^2*1E-4*DATOS!$C$16/100/1000))/2)+BC25-(IF(AND(AH25&gt;0,AJ25&gt;0),MIN(AH25,AJ25),MAX(AH25,AJ25))*Y25*J25^2*1E-4*DATOS!$C$16/100/1000))^2-16*((AL25*Y25*J25^2*1E-4*DATOS!$C$16/100/1000)+((MAX(AH25,AJ25)*Y25*J25^2*1E-4*DATOS!$C$16/100/1000)+(IF(AND(AH25&gt;0,AJ25&gt;0),MIN(AH25,AJ25),MAX(AH25,AJ25))*Y25*J25^2*1E-4*DATOS!$C$16/100/1000))/2)*BC25))))/(8*MAX(((AL25*Y25*J25^2*1E-4*DATOS!$C$16/100/1000)+((MAX(AH25,AJ25)*Y25*J25^2*1E-4*DATOS!$C$16/100/1000)+(IF(AND(AH25&gt;0,AJ25&gt;0),MIN(AH25,AJ25),MAX(AH25,AJ25))*Y25*J25^2*1E-4*DATOS!$C$16/100/1000))/2),1E-9))+MAX(BR25,12*INDEX(TABLAS!$C$52:$C$58,MATCH(BP25,TABLAS!$B$52:$B$58,0)),N25/16),IF(OR(S25&lt;INDEX(TABLAS!$C$52:$C$58,MATCH(BP25,TABLAS!$B$52:$B$58,0)),AND(BQ25&gt;=2,(DATOS!$C$13-2*S25-2*IF(DATOS!$C$25=0,0,INDEX(TABLAS!$C$52:$C$58,MATCH(DATOS!$C$25,TABLAS!$B$52:$B$58,0)))-BQ25*INDEX(TABLAS!$C$52:$C$58,MATCH(BP25,TABLAS!$B$52:$B$58,0)))/MAX(BQ25-1,1)&lt;2*INDEX(TABLAS!$C$52:$C$58,MATCH(BP25,TABLAS!$B$52:$B$58,0)))),INDEX(TABLAS!$I$52:$I$58,MATCH(BP25,TABLAS!$B$52:$B$58,0)),INDEX(TABLAS!$F$52:$F$58,MATCH(BP25,TABLAS!$B$52:$B$58,0)))),5)))</f>
        <v>100</v>
      </c>
      <c r="CV25" s="59">
        <f>IF(D25="HUECO",0,IF(((4*((AM25*Y25*J25^2*1E-4*DATOS!$C$16/100/1000)+((MAX(AI25,AK25)*Y25*J25^2*1E-4*DATOS!$C$16/100/1000)+(IF(AND(AI25&gt;0,AK25&gt;0),MIN(AI25,AK25),MAX(AI25,AK25))*Y25*J25^2*1E-4*DATOS!$C$16/100/1000))/2)+BE25-(IF(AND(AI25&gt;0,AK25&gt;0),MIN(AI25,AK25),MAX(AI25,AK25))*Y25*J25^2*1E-4*DATOS!$C$16/100/1000))^2-16*((AM25*Y25*J25^2*1E-4*DATOS!$C$16/100/1000)+((MAX(AI25,AK25)*Y25*J25^2*1E-4*DATOS!$C$16/100/1000)+(IF(AND(AI25&gt;0,AK25&gt;0),MIN(AI25,AK25),MAX(AI25,AK25))*Y25*J25^2*1E-4*DATOS!$C$16/100/1000))/2)*BE25)&lt;0,CEILING(O25,5),CEILING(MAX(O25*((4*((AM25*Y25*J25^2*1E-4*DATOS!$C$16/100/1000)+((MAX(AI25,AK25)*Y25*J25^2*1E-4*DATOS!$C$16/100/1000)+(IF(AND(AI25&gt;0,AK25&gt;0),MIN(AI25,AK25),MAX(AI25,AK25))*Y25*J25^2*1E-4*DATOS!$C$16/100/1000))/2)+BE25-(IF(AND(AI25&gt;0,AK25&gt;0),MIN(AI25,AK25),MAX(AI25,AK25))*Y25*J25^2*1E-4*DATOS!$C$16/100/1000))-SQRT(MAX(0,((4*((AM25*Y25*J25^2*1E-4*DATOS!$C$16/100/1000)+((MAX(AI25,AK25)*Y25*J25^2*1E-4*DATOS!$C$16/100/1000)+(IF(AND(AI25&gt;0,AK25&gt;0),MIN(AI25,AK25),MAX(AI25,AK25))*Y25*J25^2*1E-4*DATOS!$C$16/100/1000))/2)+BE25-(IF(AND(AI25&gt;0,AK25&gt;0),MIN(AI25,AK25),MAX(AI25,AK25))*Y25*J25^2*1E-4*DATOS!$C$16/100/1000))^2-16*((AM25*Y25*J25^2*1E-4*DATOS!$C$16/100/1000)+((MAX(AI25,AK25)*Y25*J25^2*1E-4*DATOS!$C$16/100/1000)+(IF(AND(AI25&gt;0,AK25&gt;0),MIN(AI25,AK25),MAX(AI25,AK25))*Y25*J25^2*1E-4*DATOS!$C$16/100/1000))/2)*BE25))))/(8*MAX(((AM25*Y25*J25^2*1E-4*DATOS!$C$16/100/1000)+((MAX(AI25,AK25)*Y25*J25^2*1E-4*DATOS!$C$16/100/1000)+(IF(AND(AI25&gt;0,AK25&gt;0),MIN(AI25,AK25),MAX(AI25,AK25))*Y25*J25^2*1E-4*DATOS!$C$16/100/1000))/2),1E-9))+MAX(CH25,12*INDEX(TABLAS!$C$52:$C$58,MATCH(CF25,TABLAS!$B$52:$B$58,0)),O25/16),IF(OR(S25&lt;INDEX(TABLAS!$C$52:$C$58,MATCH(CF25,TABLAS!$B$52:$B$58,0)),AND(CG25&gt;=2,(DATOS!$C$13-2*S25-2*IF(DATOS!$C$25=0,0,INDEX(TABLAS!$C$52:$C$58,MATCH(DATOS!$C$25,TABLAS!$B$52:$B$58,0)))-CG25*INDEX(TABLAS!$C$52:$C$58,MATCH(CF25,TABLAS!$B$52:$B$58,0)))/MAX(CG25-1,1)&lt;2*INDEX(TABLAS!$C$52:$C$58,MATCH(CF25,TABLAS!$B$52:$B$58,0)))),INDEX(TABLAS!$I$52:$I$58,MATCH(CF25,TABLAS!$B$52:$B$58,0)),INDEX(TABLAS!$F$52:$F$58,MATCH(CF25,TABLAS!$B$52:$B$58,0)))),5)))</f>
        <v>105</v>
      </c>
      <c r="CW25" s="56">
        <f>MAX(0,INT((F25*100-DATOS!$C$17+DATOS!$C$13)/DATOS!$C$16))</f>
        <v>5</v>
      </c>
      <c r="CX25" s="56">
        <f>MAX(0,INT((G25*100-DATOS!$C$17+DATOS!$C$13)/DATOS!$C$16))</f>
        <v>5</v>
      </c>
      <c r="CY25" s="51" t="str">
        <f>IF(COUNTIFS(TRIB!$C$6:$C$255,B25,TRIB!$K$6:$K$255,"NO CUMPLE*")+COUNTIFS(TRIB!$C$6:$C$255,B25,TRIB!$K$6:$K$255,"SIN APOYO*")&gt;0,"VER PRINCIPALES",IF((APOYOS!$F$93="LIBRE")+(APOYOS!$F$94="LIBRE")+(APOYOS!$F$95="LIBRE")+(APOYOS!$F$96="LIBRE")&gt;0,"REVISAR: borde libre","OK"))</f>
        <v>OK</v>
      </c>
      <c r="CZ25" s="64" t="str">
        <f>IF(D25="HUECO","HUECO — marco de nervaduras principales",IF(AND(MAX(BL25,BT25,CB25,CJ25)&lt;=1,NOT(OR(BI25&gt;MIN(DATOS!$C$28,INT(((DATOS!$C$13-2*R25-2*IF(DATOS!$C$25=0,0,INDEX(TABLAS!$C$52:$C$58,MATCH(DATOS!$C$25,TABLAS!$B$52:$B$58,0))))+DATOS!$C$32)/(INDEX(TABLAS!$C$52:$C$58,MATCH(BH25,TABLAS!$B$52:$B$58,0))+DATOS!$C$32))),BQ25&gt;MIN(DATOS!$C$28,INT(((DATOS!$C$13-2*S25-2*IF(DATOS!$C$25=0,0,INDEX(TABLAS!$C$52:$C$58,MATCH(DATOS!$C$25,TABLAS!$B$52:$B$58,0))))+DATOS!$C$32)/(INDEX(TABLAS!$C$52:$C$58,MATCH(BP25,TABLAS!$B$52:$B$58,0))+DATOS!$C$32))),BY25&gt;MIN(DATOS!$C$28,INT(((DATOS!$C$13-2*R25-2*IF(DATOS!$C$25=0,0,INDEX(TABLAS!$C$52:$C$58,MATCH(DATOS!$C$25,TABLAS!$B$52:$B$58,0))))+DATOS!$C$32)/(INDEX(TABLAS!$C$52:$C$58,MATCH(BX25,TABLAS!$B$52:$B$58,0))+DATOS!$C$32))),CG25&gt;MIN(DATOS!$C$28,INT(((DATOS!$C$13-2*S25-2*IF(DATOS!$C$25=0,0,INDEX(TABLAS!$C$52:$C$58,MATCH(DATOS!$C$25,TABLAS!$B$52:$B$58,0))))+DATOS!$C$32)/(INDEX(TABLAS!$C$52:$C$58,MATCH(CF25,TABLAS!$B$52:$B$58,0))+DATOS!$C$32))))),NOT(OR(AND(ISNUMBER(BM25),BM25&lt;0.005),AND(ISNUMBER(BU25),BU25&lt;0.005),AND(ISNUMBER(CC25),CC25&lt;0.005),AND(ISNUMBER(CK25),CK25&lt;0.005))),CS25="CUMPLE",CT25="CUMPLE"),IF(CY25="OK",IF(LEFT(CO25,6)="CUMPLE","CUMPLE","CUMPLE — "&amp;CO25)&amp;IF(LEFT(AZ25,5)="FUERA"," · fuera de 3.4.2.1 c)",""),IF(CY25="VER PRINCIPALES","VER PRINCIPALES","REVISAR APOYOS")),IF(AND(MAX(BL25,BT25,CB25,CJ25)&lt;=1,NOT(OR(BI25&gt;MIN(DATOS!$C$28,INT(((DATOS!$C$13-2*R25-2*IF(DATOS!$C$25=0,0,INDEX(TABLAS!$C$52:$C$58,MATCH(DATOS!$C$25,TABLAS!$B$52:$B$58,0))))+DATOS!$C$32)/(INDEX(TABLAS!$C$52:$C$58,MATCH(BH25,TABLAS!$B$52:$B$58,0))+DATOS!$C$32))),BQ25&gt;MIN(DATOS!$C$28,INT(((DATOS!$C$13-2*S25-2*IF(DATOS!$C$25=0,0,INDEX(TABLAS!$C$52:$C$58,MATCH(DATOS!$C$25,TABLAS!$B$52:$B$58,0))))+DATOS!$C$32)/(INDEX(TABLAS!$C$52:$C$58,MATCH(BP25,TABLAS!$B$52:$B$58,0))+DATOS!$C$32))),BY25&gt;MIN(DATOS!$C$28,INT(((DATOS!$C$13-2*R25-2*IF(DATOS!$C$25=0,0,INDEX(TABLAS!$C$52:$C$58,MATCH(DATOS!$C$25,TABLAS!$B$52:$B$58,0))))+DATOS!$C$32)/(INDEX(TABLAS!$C$52:$C$58,MATCH(BX25,TABLAS!$B$52:$B$58,0))+DATOS!$C$32))),CG25&gt;MIN(DATOS!$C$28,INT(((DATOS!$C$13-2*S25-2*IF(DATOS!$C$25=0,0,INDEX(TABLAS!$C$52:$C$58,MATCH(DATOS!$C$25,TABLAS!$B$52:$B$58,0))))+DATOS!$C$32)/(INDEX(TABLAS!$C$52:$C$58,MATCH(CF25,TABLAS!$B$52:$B$58,0))+DATOS!$C$32))))),NOT(OR(AND(ISNUMBER(BM25),BM25&lt;0.005),AND(ISNUMBER(BU25),BU25&lt;0.005),AND(ISNUMBER(CC25),CC25&lt;0.005),AND(ISNUMBER(CK25),CK25&lt;0.005))),CS25="CALCULAR FLECHA"),"REVISAR: calcular flecha (h_eq &lt; h mín.)","NO CUMPLE: "&amp;IF(MAX(BL25,BT25,CB25,CJ25)&gt;1,"flexión ","")&amp;IF(OR(BI25&gt;MIN(DATOS!$C$28,INT(((DATOS!$C$13-2*R25-2*IF(DATOS!$C$25=0,0,INDEX(TABLAS!$C$52:$C$58,MATCH(DATOS!$C$25,TABLAS!$B$52:$B$58,0))))+DATOS!$C$32)/(INDEX(TABLAS!$C$52:$C$58,MATCH(BH25,TABLAS!$B$52:$B$58,0))+DATOS!$C$32))),BQ25&gt;MIN(DATOS!$C$28,INT(((DATOS!$C$13-2*S25-2*IF(DATOS!$C$25=0,0,INDEX(TABLAS!$C$52:$C$58,MATCH(DATOS!$C$25,TABLAS!$B$52:$B$58,0))))+DATOS!$C$32)/(INDEX(TABLAS!$C$52:$C$58,MATCH(BP25,TABLAS!$B$52:$B$58,0))+DATOS!$C$32))),BY25&gt;MIN(DATOS!$C$28,INT(((DATOS!$C$13-2*R25-2*IF(DATOS!$C$25=0,0,INDEX(TABLAS!$C$52:$C$58,MATCH(DATOS!$C$25,TABLAS!$B$52:$B$58,0))))+DATOS!$C$32)/(INDEX(TABLAS!$C$52:$C$58,MATCH(BX25,TABLAS!$B$52:$B$58,0))+DATOS!$C$32))),CG25&gt;MIN(DATOS!$C$28,INT(((DATOS!$C$13-2*S25-2*IF(DATOS!$C$25=0,0,INDEX(TABLAS!$C$52:$C$58,MATCH(DATOS!$C$25,TABLAS!$B$52:$B$58,0))))+DATOS!$C$32)/(INDEX(TABLAS!$C$52:$C$58,MATCH(CF25,TABLAS!$B$52:$B$58,0))+DATOS!$C$32)))),"no caben ","")&amp;IF(OR(AND(ISNUMBER(BM25),BM25&lt;0.005),AND(ISNUMBER(BU25),BU25&lt;0.005),AND(ISNUMBER(CC25),CC25&lt;0.005),AND(ISNUMBER(CK25),CK25&lt;0.005)),"ε_t &lt; 0.005 ","")&amp;IF(CS25="NO CUMPLE","peralte ","")&amp;IF(CT25&lt;&gt;"CUMPLE","capa &lt; 6 cm",""))))</f>
        <v>CUMPLE · fuera de 3.4.2.1 c)</v>
      </c>
      <c r="DA25" s="65" t="str">
        <f>IF(AND(D25="PERIMETRAL",MIN(CW25,CX25)=0),"Tablero macizo (no cabe un casetón en el claro corto): no aplica 6.7.8. La resistencia se revisa con una nervadura de 10 cm cada 70 cm y r_np (conservador); "&amp;"como losa maciza lleva además As,mín = 0.0018·Ag en cada dirección cerca de la cara a tensión (6.7.6.1.1, p. 175). ",IF(AND(CL25="NO",D25="PERIMETRAL"),"No cumple 6.7.8.1.4 (a_c = "&amp;DATOS!$C$11&amp;" cm &gt; claro corto/6 = "&amp;TEXT(J25*100/6,"0")&amp;" cm): se diseña como losa apoyada en vigas (6.7.8.1.9): nervaduras con recubrimiento de viga r_np = "&amp;DATOS!$C$22&amp;" cm (Tabla 4.14.16.a), V_cR sin ×1.1 y cortante sin estribos por 5.5.3.8.1 (criterio del Proyectista). Para que cuente como encasetonada: casetón de "&amp;TEXT(FLOOR(MIN(80,J25*100/6),1),"0")&amp;" cm o menor. ",""))&amp;IF(LEFT(AZ25,5)="FUERA","M⁻ del borde común "&amp;AZ25&amp;": difieren más de 50% (3.4.2.1 c); se distribuyen 2/3 del desequilibrio (3.4.3.1) y conviene confirmar los momentos con el modelo. ","")&amp;"—"</f>
        <v>M⁻ del borde común FUERA con F80013 F80015 F80020 F80017 · junto al volado F80019: se arma con su M⁻ y su cortante entra en V_u: difieren más de 50% (3.4.2.1 c); se distribuyen 2/3 del desequilibrio (3.4.3.1) y conviene confirmar los momentos con el modelo. —</v>
      </c>
    </row>
    <row r="26" ht="30" customHeight="1">
      <c r="B26" s="51" t="inlineStr">
        <is>
          <t>F80019 N+3.00</t>
        </is>
      </c>
      <c r="C26" s="52" t="inlineStr">
        <is>
          <t>N+3.00</t>
        </is>
      </c>
      <c r="D26" s="53" t="inlineStr">
        <is>
          <t>VOLADO</t>
        </is>
      </c>
      <c r="E26" s="53" t="inlineStr">
        <is>
          <t>HABITACIÓN</t>
        </is>
      </c>
      <c r="F26" s="54" t="n">
        <v>7.25</v>
      </c>
      <c r="G26" s="54" t="n">
        <v>2</v>
      </c>
      <c r="H26" s="55" t="n">
        <v>7.25</v>
      </c>
      <c r="I26" s="55" t="n">
        <v>2</v>
      </c>
      <c r="J26" s="36">
        <f>MIN(H26,I26)</f>
        <v>2</v>
      </c>
      <c r="K26" s="36">
        <f>MAX(H26,I26)</f>
        <v>7.25</v>
      </c>
      <c r="L26" s="36">
        <f>IF(K26&gt;0,J26/K26,0)</f>
        <v>0.275862068965517</v>
      </c>
      <c r="M26" s="52" t="str">
        <f>IF(H26&lt;=I26,"X","Y")</f>
        <v>Y</v>
      </c>
      <c r="N26" s="56">
        <f>MAX(0,J26*100-IF(D26="VOLADO",DATOS!$C$17/2,DATOS!$C$17))</f>
        <v>192.5</v>
      </c>
      <c r="O26" s="56">
        <f>MAX(0,K26*100-DATOS!$C$17)</f>
        <v>710</v>
      </c>
      <c r="P26" s="57">
        <f>MIN(DATOS!$C$16,DATOS!$C$13+2*MIN(8*DATOS!$C$14,DATOS!$C$11/2,N26/8))</f>
        <v>58.125</v>
      </c>
      <c r="Q26" s="57">
        <f>MIN(DATOS!$C$16,DATOS!$C$13+2*MIN(8*DATOS!$C$14,DATOS!$C$11/2,O26/8))</f>
        <v>70</v>
      </c>
      <c r="R26" s="57">
        <f>IF(D26="VOLADO",DATOS!$C$21,IF(CL26="NO",DATOS!$C$22,DATOS!$C$20))</f>
        <v>4</v>
      </c>
      <c r="S26" s="57">
        <f>IF(OR(AND(C26="N+6.00",DATOS!$C$23="SÍ"),AND(D26="VOLADO",DATOS!$C$24="SÍ")),DATOS!$C$21,IF(CL26="NO",DATOS!$C$22,DATOS!$C$20))</f>
        <v>4</v>
      </c>
      <c r="T26" s="58" t="n">
        <v>210</v>
      </c>
      <c r="U26" s="56">
        <f>IF(E26="HABITACIÓN",DATOS!$C$89,DATOS!$C$92)</f>
        <v>190</v>
      </c>
      <c r="V26" s="56">
        <f>CARGAS!$C$9</f>
        <v>293.673469387755</v>
      </c>
      <c r="W26" s="56">
        <f>V26+T26</f>
        <v>503.673469387755</v>
      </c>
      <c r="X26" s="56">
        <f>W26+U26</f>
        <v>693.673469387755</v>
      </c>
      <c r="Y26" s="59">
        <f>MAX(DATOS!$C$55*W26+DATOS!$C$56*U26,IF(E26="AZOTEA",DATOS!$C$57*(W26+DATOS!$C$97),0))</f>
        <v>939.775510204082</v>
      </c>
      <c r="Z26" s="56">
        <f>(APOYOS!$G$97="DISCONTINUO")+(APOYOS!$G$98="DISCONTINUO")+(APOYOS!$G$99="DISCONTINUO")+(APOYOS!$G$100="DISCONTINUO")</f>
        <v>1</v>
      </c>
      <c r="AA26" s="56">
        <f>IF(M26="X",(APOYOS!$G$97="DISCONTINUO")+(APOYOS!$G$98="DISCONTINUO"),(APOYOS!$G$99="DISCONTINUO")+(APOYOS!$G$100="DISCONTINUO"))</f>
        <v>0</v>
      </c>
      <c r="AB26" s="56">
        <f>Z26-AA26</f>
        <v>1</v>
      </c>
      <c r="AC26" s="52" t="str">
        <f>IF(Z26=0,"INTERIOR",IF(Z26=1,IF(AA26=1,"BORDE-CORTO","BORDE-LARGO"),IF(Z26=2,IF(AA26=1,"ESQUINA",IF(AA26=2,"EXTREMO-LARGO","EXTREMO-CORTO")),IF(Z26=3,IF(AA26=2,"EXTREMO-LARGO","EXTREMO-CORTO"),"AISLADO"))))</f>
        <v>BORDE-LARGO</v>
      </c>
      <c r="AD26" s="53" t="inlineStr">
        <is>
          <t>AUTO</t>
        </is>
      </c>
      <c r="AE26" s="60" t="str">
        <f>IF(AD26="AUTO",AC26,AD26)</f>
        <v>BORDE-LARGO</v>
      </c>
      <c r="AF26" s="56">
        <f>MATCH(L26,TABLAS!$D$5:$J$5,1)</f>
        <v>1</v>
      </c>
      <c r="AG26" s="43">
        <f>IF(AF26&gt;=7,0,(L26-INDEX(TABLAS!$D$5:$J$5,AF26))/(INDEX(TABLAS!$D$5:$J$5,AF26+1)-INDEX(TABLAS!$D$5:$J$5,AF26)))</f>
        <v>0.551724137931035</v>
      </c>
      <c r="AH26" s="56">
        <f>INDEX(TABLAS!$D$6:$J$47,MATCH(AE26&amp;"|NIC",TABLAS!$B$6:$B$47,0),AF26)+AG26*(INDEX(TABLAS!$D$6:$J$47,MATCH(AE26&amp;"|NIC",TABLAS!$B$6:$B$47,0),MIN(AF26+1,7))-INDEX(TABLAS!$D$6:$J$47,MATCH(AE26&amp;"|NIC",TABLAS!$B$6:$B$47,0),AF26))</f>
        <v>1188</v>
      </c>
      <c r="AI26" s="56">
        <f>INDEX(TABLAS!$D$6:$J$47,MATCH(AE26&amp;"|NIL",TABLAS!$B$6:$B$47,0),AF26)+AG26*(INDEX(TABLAS!$D$6:$J$47,MATCH(AE26&amp;"|NIL",TABLAS!$B$6:$B$47,0),MIN(AF26+1,7))-INDEX(TABLAS!$D$6:$J$47,MATCH(AE26&amp;"|NIL",TABLAS!$B$6:$B$47,0),AF26))</f>
        <v>575.413793103448</v>
      </c>
      <c r="AJ26" s="56">
        <f>INDEX(TABLAS!$D$6:$J$47,MATCH(AE26&amp;"|NDC",TABLAS!$B$6:$B$47,0),AF26)+AG26*(INDEX(TABLAS!$D$6:$J$47,MATCH(AE26&amp;"|NDC",TABLAS!$B$6:$B$47,0),MIN(AF26+1,7))-INDEX(TABLAS!$D$6:$J$47,MATCH(AE26&amp;"|NDC",TABLAS!$B$6:$B$47,0),AF26))</f>
        <v>491.551724137931</v>
      </c>
      <c r="AK26" s="56">
        <f>INDEX(TABLAS!$D$6:$J$47,MATCH(AE26&amp;"|NDL",TABLAS!$B$6:$B$47,0),AF26)+AG26*(INDEX(TABLAS!$D$6:$J$47,MATCH(AE26&amp;"|NDL",TABLAS!$B$6:$B$47,0),MIN(AF26+1,7))-INDEX(TABLAS!$D$6:$J$47,MATCH(AE26&amp;"|NDL",TABLAS!$B$6:$B$47,0),AF26))</f>
        <v>0</v>
      </c>
      <c r="AL26" s="56">
        <f>INDEX(TABLAS!$D$6:$J$47,MATCH(AE26&amp;"|PC",TABLAS!$B$6:$B$47,0),AF26)+AG26*(INDEX(TABLAS!$D$6:$J$47,MATCH(AE26&amp;"|PC",TABLAS!$B$6:$B$47,0),MIN(AF26+1,7))-INDEX(TABLAS!$D$6:$J$47,MATCH(AE26&amp;"|PC",TABLAS!$B$6:$B$47,0),AF26))</f>
        <v>589.344827586207</v>
      </c>
      <c r="AM26" s="56">
        <f>INDEX(TABLAS!$D$6:$J$47,MATCH(AE26&amp;"|PL",TABLAS!$B$6:$B$47,0),AF26)+AG26*(INDEX(TABLAS!$D$6:$J$47,MATCH(AE26&amp;"|PL",TABLAS!$B$6:$B$47,0),MIN(AF26+1,7))-INDEX(TABLAS!$D$6:$J$47,MATCH(AE26&amp;"|PL",TABLAS!$B$6:$B$47,0),AF26))</f>
        <v>202.655172413793</v>
      </c>
      <c r="AN26" s="36">
        <f>IF(D26="PERIMETRAL",IF(APOYOS!$G$97="CONTINUO",IF(M26="Y",AH26,AI26),IF(M26="Y",AJ26,AK26))*Y26*J26^2*1E-4*DATOS!$C$16/100/1000,0)</f>
        <v>0</v>
      </c>
      <c r="AO26" s="36">
        <f>IF(D26="PERIMETRAL",IF(APOYOS!$G$98="CONTINUO",IF(M26="Y",AH26,AI26),IF(M26="Y",AJ26,AK26))*Y26*J26^2*1E-4*DATOS!$C$16/100/1000,0)</f>
        <v>0</v>
      </c>
      <c r="AP26" s="36">
        <f>IF(D26="PERIMETRAL",IF(APOYOS!$G$99="CONTINUO",IF(M26="X",AH26,AI26),IF(M26="X",AJ26,AK26))*Y26*J26^2*1E-4*DATOS!$C$16/100/1000,0)</f>
        <v>0</v>
      </c>
      <c r="AQ26" s="36">
        <f>IF(D26="PERIMETRAL",IF(APOYOS!$G$100="CONTINUO",IF(M26="X",AH26,AI26),IF(M26="X",AJ26,AK26))*Y26*J26^2*1E-4*DATOS!$C$16/100/1000,0)</f>
        <v>0</v>
      </c>
      <c r="AR26" s="56">
        <f>IF(D26="PERIMETRAL",IF(M26="X",BN26,CD26)^3/(J26*100),0)</f>
        <v>0</v>
      </c>
      <c r="AS26" s="56">
        <f>IF(D26="PERIMETRAL",IF(M26="Y",BN26,CD26)^3/(J26*100),0)</f>
        <v>0</v>
      </c>
      <c r="AT26" s="36">
        <f>IF(D26="PERIMETRAL",MAX(0,IF(M26="Y",IF(AND(OR(APOYOS!$G$97="CONTINUO",APOYOS!$G$86="CONTINUO"),AN26&gt;0,AO23&gt;0,AO23&gt;AN26),AN26+2/3*(AO23-AN26)*AS26/MAX(AS26+AS23,1E-9),0),0),IF(M26="Y",IF(AND(OR(APOYOS!$G$97="CONTINUO",APOYOS!$G$90="CONTINUO"),AN26&gt;0,AO24&gt;0,AO24&gt;AN26),AN26+2/3*(AO24-AN26)*AS26/MAX(AS26+AS24,1E-9),0),0),IF(M26="Y",IF(AND(OR(APOYOS!$G$97="CONTINUO",APOYOS!$G$94="CONTINUO"),AN26&gt;0,AO25&gt;0,AO25&gt;AN26),AN26+2/3*(AO25-AN26)*AS26/MAX(AS26+AS25,1E-9),0),0),IF(M26="X",IF(AND(OR(APOYOS!$G$99="CONTINUO",APOYOS!$G$108="CONTINUO"),AP26&gt;0,AQ28&gt;0,AQ28&gt;AP26),AP26+2/3*(AQ28-AP26)*AR26/MAX(AR26+AR28,1E-9),0),0),IF(M26="X",IF(AND(OR(APOYOS!$G$100="CONTINUO",APOYOS!$G$103="CONTINUO"),AQ26&gt;0,AP27&gt;0,AP27&gt;AQ26),AQ26+2/3*(AP27-AQ26)*AR26/MAX(AR26+AR27,1E-9),0),0)),0)</f>
        <v>0</v>
      </c>
      <c r="AU26" s="36">
        <f>IF(D26="PERIMETRAL",MAX(0,IF(M26&lt;&gt;"Y",IF(AND(OR(APOYOS!$G$97="CONTINUO",APOYOS!$G$86="CONTINUO"),AN26&gt;0,AO23&gt;0,AO23&gt;AN26),AN26+2/3*(AO23-AN26)*AS26/MAX(AS26+AS23,1E-9),0),0),IF(M26&lt;&gt;"Y",IF(AND(OR(APOYOS!$G$97="CONTINUO",APOYOS!$G$90="CONTINUO"),AN26&gt;0,AO24&gt;0,AO24&gt;AN26),AN26+2/3*(AO24-AN26)*AS26/MAX(AS26+AS24,1E-9),0),0),IF(M26&lt;&gt;"Y",IF(AND(OR(APOYOS!$G$97="CONTINUO",APOYOS!$G$94="CONTINUO"),AN26&gt;0,AO25&gt;0,AO25&gt;AN26),AN26+2/3*(AO25-AN26)*AS26/MAX(AS26+AS25,1E-9),0),0),IF(M26&lt;&gt;"X",IF(AND(OR(APOYOS!$G$99="CONTINUO",APOYOS!$G$108="CONTINUO"),AP26&gt;0,AQ28&gt;0,AQ28&gt;AP26),AP26+2/3*(AQ28-AP26)*AR26/MAX(AR26+AR28,1E-9),0),0),IF(M26&lt;&gt;"X",IF(AND(OR(APOYOS!$G$100="CONTINUO",APOYOS!$G$103="CONTINUO"),AQ26&gt;0,AP27&gt;0,AP27&gt;AQ26),AQ26+2/3*(AP27-AQ26)*AR26/MAX(AR26+AR27,1E-9),0),0)),0)</f>
        <v>0</v>
      </c>
      <c r="AV26" s="36">
        <f>IF(D26="PERIMETRAL",(IF(M26="Y",MAX(IF(AND(OR(APOYOS!$G$97="CONTINUO",APOYOS!$G$86="CONTINUO"),AN26&gt;0,AO23&gt;0,AN26&gt;AO23),2/3*(AN26-AO23)*AS26/MAX(AS26+AS23,1E-9),0),IF(AND(OR(APOYOS!$G$97="CONTINUO",APOYOS!$G$90="CONTINUO"),AN26&gt;0,AO24&gt;0,AN26&gt;AO24),2/3*(AN26-AO24)*AS26/MAX(AS26+AS24,1E-9),0),IF(AND(OR(APOYOS!$G$97="CONTINUO",APOYOS!$G$94="CONTINUO"),AN26&gt;0,AO25&gt;0,AN26&gt;AO25),2/3*(AN26-AO25)*AS26/MAX(AS26+AS25,1E-9),0)),0)+IF(M26="X",IF(AND(OR(APOYOS!$G$99="CONTINUO",APOYOS!$G$108="CONTINUO"),AP26&gt;0,AQ28&gt;0,AP26&gt;AQ28),2/3*(AP26-AQ28)*AR26/MAX(AR26+AR28,1E-9),0),0)+IF(M26="X",IF(AND(OR(APOYOS!$G$100="CONTINUO",APOYOS!$G$103="CONTINUO"),AQ26&gt;0,AP27&gt;0,AQ26&gt;AP27),2/3*(AQ26-AP27)*AR26/MAX(AR26+AR27,1E-9),0),0))/2,0)</f>
        <v>0</v>
      </c>
      <c r="AW26" s="36">
        <f>IF(D26="PERIMETRAL",(IF(M26&lt;&gt;"Y",MAX(IF(AND(OR(APOYOS!$G$97="CONTINUO",APOYOS!$G$86="CONTINUO"),AN26&gt;0,AO23&gt;0,AN26&gt;AO23),2/3*(AN26-AO23)*AS26/MAX(AS26+AS23,1E-9),0),IF(AND(OR(APOYOS!$G$97="CONTINUO",APOYOS!$G$90="CONTINUO"),AN26&gt;0,AO24&gt;0,AN26&gt;AO24),2/3*(AN26-AO24)*AS26/MAX(AS26+AS24,1E-9),0),IF(AND(OR(APOYOS!$G$97="CONTINUO",APOYOS!$G$94="CONTINUO"),AN26&gt;0,AO25&gt;0,AN26&gt;AO25),2/3*(AN26-AO25)*AS26/MAX(AS26+AS25,1E-9),0)),0)+IF(M26&lt;&gt;"X",IF(AND(OR(APOYOS!$G$99="CONTINUO",APOYOS!$G$108="CONTINUO"),AP26&gt;0,AQ28&gt;0,AP26&gt;AQ28),2/3*(AP26-AQ28)*AR26/MAX(AR26+AR28,1E-9),0),0)+IF(M26&lt;&gt;"X",IF(AND(OR(APOYOS!$G$100="CONTINUO",APOYOS!$G$103="CONTINUO"),AQ26&gt;0,AP27&gt;0,AQ26&gt;AP27),2/3*(AQ26-AP27)*AR26/MAX(AR26+AR27,1E-9),0),0))/2,0)</f>
        <v>0</v>
      </c>
      <c r="AX26" s="36">
        <f>IF(D26="PERIMETRAL",MAX(0,0),0)</f>
        <v>0</v>
      </c>
      <c r="AY26" s="52" t="str">
        <f>IF(D26&lt;&gt;"PERIMETRAL","",IF(AND(OR(APOYOS!$G$97="CONTINUO",APOYOS!$G$86="CONTINUO"),AN26&gt;0,AO23&gt;0,ABS(AN26-AO23)&gt;0.5*MIN(AN26,AO23))," F80016","")&amp;IF(AND(OR(APOYOS!$G$97="CONTINUO",APOYOS!$G$90="CONTINUO"),AN26&gt;0,AO24&gt;0,ABS(AN26-AO24)&gt;0.5*MIN(AN26,AO24))," F80017","")&amp;IF(AND(OR(APOYOS!$G$97="CONTINUO",APOYOS!$G$94="CONTINUO"),AN26&gt;0,AO25&gt;0,ABS(AN26-AO25)&gt;0.5*MIN(AN26,AO25))," F80018","")&amp;IF(AND(OR(APOYOS!$G$99="CONTINUO",APOYOS!$G$108="CONTINUO"),AP26&gt;0,AQ28&gt;0,ABS(AP26-AQ28)&gt;0.5*MIN(AP26,AQ28))," F80021","")&amp;IF(AND(OR(APOYOS!$G$100="CONTINUO",APOYOS!$G$103="CONTINUO"),AQ26&gt;0,AP27&gt;0,ABS(AQ26-AP27)&gt;0.5*MIN(AQ26,AP27))," F80020",""))</f>
        <v/>
      </c>
      <c r="AZ26" s="52" t="str">
        <f>IF(D26&lt;&gt;"PERIMETRAL","—",IF(AY26="","CUMPLE","FUERA con"&amp;AY26)&amp;IF(AND(D23="PERIMETRAL",APOYOS!$G$97&lt;&gt;APOYOS!$G$86)," · continuidad asimétrica con F80016 (cada uno con su momento; revisar APOYOS)","")&amp;IF(AND(D24="PERIMETRAL",APOYOS!$G$97&lt;&gt;APOYOS!$G$90)," · continuidad asimétrica con F80017 (cada uno con su momento; revisar APOYOS)","")&amp;IF(AND(D25="PERIMETRAL",APOYOS!$G$97&lt;&gt;APOYOS!$G$94)," · continuidad asimétrica con F80018 (cada uno con su momento; revisar APOYOS)","")&amp;IF(AND(D28="PERIMETRAL",APOYOS!$G$99&lt;&gt;APOYOS!$G$108)," · continuidad asimétrica con F80021 (cada uno con su momento; revisar APOYOS)","")&amp;IF(AND(D27="PERIMETRAL",APOYOS!$G$100&lt;&gt;APOYOS!$G$103)," · continuidad asimétrica con F80020 (cada uno con su momento; revisar APOYOS)",""))</f>
        <v>—</v>
      </c>
      <c r="BA26" s="61" t="n">
        <v>333.7</v>
      </c>
      <c r="BB26" s="36">
        <f>IF(D26="PERIMETRAL",AL26*Y26*J26^2*1E-4*DATOS!$C$16/100/1000+AV26,0)</f>
        <v>0</v>
      </c>
      <c r="BC26" s="36">
        <f>IF(D26="PERIMETRAL",MAX(MAX(AH26,AJ26)*Y26*J26^2*1E-4*DATOS!$C$16/100/1000,AT26),IF(D26="VOLADO",(Y26*(N26/100)^2/2+DATOS!$C$55*BA26*N26/100)*DATOS!$C$16/100/1000,0))</f>
        <v>1.80341844375</v>
      </c>
      <c r="BD26" s="36">
        <f>IF(D26="PERIMETRAL",AM26*Y26*J26^2*1E-4*DATOS!$C$16/100/1000+AW26,0)</f>
        <v>0</v>
      </c>
      <c r="BE26" s="36">
        <f>IF(D26="PERIMETRAL",MAX(MAX(AI26,AK26)*Y26*J26^2*1E-4*DATOS!$C$16/100/1000,AU26),0)</f>
        <v>0</v>
      </c>
      <c r="BF26" s="43">
        <f>(DATOS!$C$15-R26-IF(DATOS!$C$25=0,0,INDEX(TABLAS!$C$52:$C$58,MATCH(DATOS!$C$25,TABLAS!$B$52:$B$58,0)))-INDEX(TABLAS!$C$52:$C$58,MATCH(DATOS!$C$26,TABLAS!$B$52:$B$58,0))/2)</f>
        <v>20.365</v>
      </c>
      <c r="BG26" s="43">
        <f>IF(D26="HUECO",0,IF(IF(BB26&lt;=0,0,IF((1-2*BB26*1E5/(DATOS!$C$58*P26*BF26^2*DATOS!$C$48))&lt;0,-1,IF((1-SQRT((1-2*BB26*1E5/(DATOS!$C$58*P26*BF26^2*DATOS!$C$48))))*DATOS!$C$48*P26*BF26/DATOS!$C$40&gt;DATOS!$C$82*P26*BF26,-1,(1-SQRT((1-2*BB26*1E5/(DATOS!$C$58*P26*BF26^2*DATOS!$C$48))))*DATOS!$C$48*P26*BF26/DATOS!$C$40)))&lt;0,-1,MAX(IF(BB26&lt;=0,0,IF((1-2*BB26*1E5/(DATOS!$C$58*P26*BF26^2*DATOS!$C$48))&lt;0,-1,IF((1-SQRT((1-2*BB26*1E5/(DATOS!$C$58*P26*BF26^2*DATOS!$C$48))))*DATOS!$C$48*P26*BF26/DATOS!$C$40&gt;DATOS!$C$82*P26*BF26,-1,(1-SQRT((1-2*BB26*1E5/(DATOS!$C$58*P26*BF26^2*DATOS!$C$48))))*DATOS!$C$48*P26*BF26/DATOS!$C$40))),MIN(DATOS!$C$83*DATOS!$C$13*BF26,4/3*IF(BB26&lt;=0,0,IF((1-2*BB26*1E5/(DATOS!$C$58*P26*BF26^2*DATOS!$C$48))&lt;0,-1,IF((1-SQRT((1-2*BB26*1E5/(DATOS!$C$58*P26*BF26^2*DATOS!$C$48))))*DATOS!$C$48*P26*BF26/DATOS!$C$40&gt;DATOS!$C$82*P26*BF26,-1,(1-SQRT((1-2*BB26*1E5/(DATOS!$C$58*P26*BF26^2*DATOS!$C$48))))*DATOS!$C$48*P26*BF26/DATOS!$C$40)))))))</f>
        <v>0</v>
      </c>
      <c r="BH26" s="41">
        <f>IF(AND(BG26&gt;=0,IF(MAX(DATOS!$C$29,CEILING(BG26/INDEX(TABLAS!$D$52:$D$58,MIN(MATCH(DATOS!$C$26,TABLAS!$B$52:$B$58,0)+0,7)),1))*INDEX(TABLAS!$D$52:$D$58,MIN(MATCH(DATOS!$C$26,TABLAS!$B$52:$B$58,0)+0,7))&gt;=4/3*IF(BB26&lt;=0,0,IF((1-2*BB26*1E5/(DATOS!$C$58*P26*BF26^2*DATOS!$C$48))&lt;0,-1,IF((1-SQRT((1-2*BB26*1E5/(DATOS!$C$58*P26*BF26^2*DATOS!$C$48))))*DATOS!$C$48*P26*BF26/DATOS!$C$40&gt;DATOS!$C$82*P26*BF26,-1,(1-SQRT((1-2*BB26*1E5/(DATOS!$C$58*P26*BF26^2*DATOS!$C$48))))*DATOS!$C$48*P26*BF26/DATOS!$C$40)))-0.0001,MAX(DATOS!$C$29,CEILING(BG26/INDEX(TABLAS!$D$52:$D$58,MIN(MATCH(DATOS!$C$26,TABLAS!$B$52:$B$58,0)+0,7)),1)),MAX(MAX(DATOS!$C$29,CEILING(BG26/INDEX(TABLAS!$D$52:$D$58,MIN(MATCH(DATOS!$C$26,TABLAS!$B$52:$B$58,0)+0,7)),1)),2))&lt;=MIN(DATOS!$C$28,INT(((DATOS!$C$13-2*R26-2*IF(DATOS!$C$25=0,0,INDEX(TABLAS!$C$52:$C$58,MATCH(DATOS!$C$25,TABLAS!$B$52:$B$58,0))))+MAX(DATOS!$C$32,INDEX(TABLAS!$C$52:$C$58,MIN(MATCH(DATOS!$C$26,TABLAS!$B$52:$B$58,0)+0,7))))/(INDEX(TABLAS!$C$52:$C$58,MIN(MATCH(DATOS!$C$26,TABLAS!$B$52:$B$58,0)+0,7))+MAX(DATOS!$C$32,INDEX(TABLAS!$C$52:$C$58,MIN(MATCH(DATOS!$C$26,TABLAS!$B$52:$B$58,0)+0,7))))))),INDEX(TABLAS!$B$52:$B$58,MIN(MATCH(DATOS!$C$26,TABLAS!$B$52:$B$58,0)+0,7)),IF(AND(BG26&gt;=0,IF(MAX(DATOS!$C$29,CEILING(BG26/INDEX(TABLAS!$D$52:$D$58,MIN(MATCH(DATOS!$C$26,TABLAS!$B$52:$B$58,0)+1,7)),1))*INDEX(TABLAS!$D$52:$D$58,MIN(MATCH(DATOS!$C$26,TABLAS!$B$52:$B$58,0)+1,7))&gt;=4/3*IF(BB26&lt;=0,0,IF((1-2*BB26*1E5/(DATOS!$C$58*P26*BF26^2*DATOS!$C$48))&lt;0,-1,IF((1-SQRT((1-2*BB26*1E5/(DATOS!$C$58*P26*BF26^2*DATOS!$C$48))))*DATOS!$C$48*P26*BF26/DATOS!$C$40&gt;DATOS!$C$82*P26*BF26,-1,(1-SQRT((1-2*BB26*1E5/(DATOS!$C$58*P26*BF26^2*DATOS!$C$48))))*DATOS!$C$48*P26*BF26/DATOS!$C$40)))-0.0001,MAX(DATOS!$C$29,CEILING(BG26/INDEX(TABLAS!$D$52:$D$58,MIN(MATCH(DATOS!$C$26,TABLAS!$B$52:$B$58,0)+1,7)),1)),MAX(MAX(DATOS!$C$29,CEILING(BG26/INDEX(TABLAS!$D$52:$D$58,MIN(MATCH(DATOS!$C$26,TABLAS!$B$52:$B$58,0)+1,7)),1)),2))&lt;=MIN(DATOS!$C$28,INT(((DATOS!$C$13-2*R26-2*IF(DATOS!$C$25=0,0,INDEX(TABLAS!$C$52:$C$58,MATCH(DATOS!$C$25,TABLAS!$B$52:$B$58,0))))+MAX(DATOS!$C$32,INDEX(TABLAS!$C$52:$C$58,MIN(MATCH(DATOS!$C$26,TABLAS!$B$52:$B$58,0)+1,7))))/(INDEX(TABLAS!$C$52:$C$58,MIN(MATCH(DATOS!$C$26,TABLAS!$B$52:$B$58,0)+1,7))+MAX(DATOS!$C$32,INDEX(TABLAS!$C$52:$C$58,MIN(MATCH(DATOS!$C$26,TABLAS!$B$52:$B$58,0)+1,7))))))),INDEX(TABLAS!$B$52:$B$58,MIN(MATCH(DATOS!$C$26,TABLAS!$B$52:$B$58,0)+1,7)),IF(AND(BG26&gt;=0,IF(MAX(DATOS!$C$29,CEILING(BG26/INDEX(TABLAS!$D$52:$D$58,MIN(MATCH(DATOS!$C$26,TABLAS!$B$52:$B$58,0)+2,7)),1))*INDEX(TABLAS!$D$52:$D$58,MIN(MATCH(DATOS!$C$26,TABLAS!$B$52:$B$58,0)+2,7))&gt;=4/3*IF(BB26&lt;=0,0,IF((1-2*BB26*1E5/(DATOS!$C$58*P26*BF26^2*DATOS!$C$48))&lt;0,-1,IF((1-SQRT((1-2*BB26*1E5/(DATOS!$C$58*P26*BF26^2*DATOS!$C$48))))*DATOS!$C$48*P26*BF26/DATOS!$C$40&gt;DATOS!$C$82*P26*BF26,-1,(1-SQRT((1-2*BB26*1E5/(DATOS!$C$58*P26*BF26^2*DATOS!$C$48))))*DATOS!$C$48*P26*BF26/DATOS!$C$40)))-0.0001,MAX(DATOS!$C$29,CEILING(BG26/INDEX(TABLAS!$D$52:$D$58,MIN(MATCH(DATOS!$C$26,TABLAS!$B$52:$B$58,0)+2,7)),1)),MAX(MAX(DATOS!$C$29,CEILING(BG26/INDEX(TABLAS!$D$52:$D$58,MIN(MATCH(DATOS!$C$26,TABLAS!$B$52:$B$58,0)+2,7)),1)),2))&lt;=MIN(DATOS!$C$28,INT(((DATOS!$C$13-2*R26-2*IF(DATOS!$C$25=0,0,INDEX(TABLAS!$C$52:$C$58,MATCH(DATOS!$C$25,TABLAS!$B$52:$B$58,0))))+MAX(DATOS!$C$32,INDEX(TABLAS!$C$52:$C$58,MIN(MATCH(DATOS!$C$26,TABLAS!$B$52:$B$58,0)+2,7))))/(INDEX(TABLAS!$C$52:$C$58,MIN(MATCH(DATOS!$C$26,TABLAS!$B$52:$B$58,0)+2,7))+MAX(DATOS!$C$32,INDEX(TABLAS!$C$52:$C$58,MIN(MATCH(DATOS!$C$26,TABLAS!$B$52:$B$58,0)+2,7))))))),INDEX(TABLAS!$B$52:$B$58,MIN(MATCH(DATOS!$C$26,TABLAS!$B$52:$B$58,0)+2,7)),IF(AND(BG26&gt;=0,IF(MAX(DATOS!$C$29,CEILING(BG26/INDEX(TABLAS!$D$52:$D$58,MIN(MATCH(DATOS!$C$26,TABLAS!$B$52:$B$58,0)+3,7)),1))*INDEX(TABLAS!$D$52:$D$58,MIN(MATCH(DATOS!$C$26,TABLAS!$B$52:$B$58,0)+3,7))&gt;=4/3*IF(BB26&lt;=0,0,IF((1-2*BB26*1E5/(DATOS!$C$58*P26*BF26^2*DATOS!$C$48))&lt;0,-1,IF((1-SQRT((1-2*BB26*1E5/(DATOS!$C$58*P26*BF26^2*DATOS!$C$48))))*DATOS!$C$48*P26*BF26/DATOS!$C$40&gt;DATOS!$C$82*P26*BF26,-1,(1-SQRT((1-2*BB26*1E5/(DATOS!$C$58*P26*BF26^2*DATOS!$C$48))))*DATOS!$C$48*P26*BF26/DATOS!$C$40)))-0.0001,MAX(DATOS!$C$29,CEILING(BG26/INDEX(TABLAS!$D$52:$D$58,MIN(MATCH(DATOS!$C$26,TABLAS!$B$52:$B$58,0)+3,7)),1)),MAX(MAX(DATOS!$C$29,CEILING(BG26/INDEX(TABLAS!$D$52:$D$58,MIN(MATCH(DATOS!$C$26,TABLAS!$B$52:$B$58,0)+3,7)),1)),2))&lt;=MIN(DATOS!$C$28,INT(((DATOS!$C$13-2*R26-2*IF(DATOS!$C$25=0,0,INDEX(TABLAS!$C$52:$C$58,MATCH(DATOS!$C$25,TABLAS!$B$52:$B$58,0))))+MAX(DATOS!$C$32,INDEX(TABLAS!$C$52:$C$58,MIN(MATCH(DATOS!$C$26,TABLAS!$B$52:$B$58,0)+3,7))))/(INDEX(TABLAS!$C$52:$C$58,MIN(MATCH(DATOS!$C$26,TABLAS!$B$52:$B$58,0)+3,7))+MAX(DATOS!$C$32,INDEX(TABLAS!$C$52:$C$58,MIN(MATCH(DATOS!$C$26,TABLAS!$B$52:$B$58,0)+3,7))))))),INDEX(TABLAS!$B$52:$B$58,MIN(MATCH(DATOS!$C$26,TABLAS!$B$52:$B$58,0)+3,7)),IF(AND(BG26&gt;=0,IF(MAX(DATOS!$C$29,CEILING(BG26/INDEX(TABLAS!$D$52:$D$58,MIN(MATCH(DATOS!$C$26,TABLAS!$B$52:$B$58,0)+4,7)),1))*INDEX(TABLAS!$D$52:$D$58,MIN(MATCH(DATOS!$C$26,TABLAS!$B$52:$B$58,0)+4,7))&gt;=4/3*IF(BB26&lt;=0,0,IF((1-2*BB26*1E5/(DATOS!$C$58*P26*BF26^2*DATOS!$C$48))&lt;0,-1,IF((1-SQRT((1-2*BB26*1E5/(DATOS!$C$58*P26*BF26^2*DATOS!$C$48))))*DATOS!$C$48*P26*BF26/DATOS!$C$40&gt;DATOS!$C$82*P26*BF26,-1,(1-SQRT((1-2*BB26*1E5/(DATOS!$C$58*P26*BF26^2*DATOS!$C$48))))*DATOS!$C$48*P26*BF26/DATOS!$C$40)))-0.0001,MAX(DATOS!$C$29,CEILING(BG26/INDEX(TABLAS!$D$52:$D$58,MIN(MATCH(DATOS!$C$26,TABLAS!$B$52:$B$58,0)+4,7)),1)),MAX(MAX(DATOS!$C$29,CEILING(BG26/INDEX(TABLAS!$D$52:$D$58,MIN(MATCH(DATOS!$C$26,TABLAS!$B$52:$B$58,0)+4,7)),1)),2))&lt;=MIN(DATOS!$C$28,INT(((DATOS!$C$13-2*R26-2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26" s="56">
        <f>IF(D26="HUECO",0,IF(BG26&lt;0,0,IF(MAX(DATOS!$C$29,CEILING(MAX(BG26,0)/INDEX(TABLAS!$D$52:$D$58,MATCH(BH26,TABLAS!$B$52:$B$58,0)),1))*INDEX(TABLAS!$D$52:$D$58,MATCH(BH26,TABLAS!$B$52:$B$58,0))&gt;=4/3*IF(BB26&lt;=0,0,IF((1-2*BB26*1E5/(DATOS!$C$58*P26*BF26^2*DATOS!$C$48))&lt;0,-1,IF((1-SQRT((1-2*BB26*1E5/(DATOS!$C$58*P26*BF26^2*DATOS!$C$48))))*DATOS!$C$48*P26*BF26/DATOS!$C$40&gt;DATOS!$C$82*P26*BF26,-1,(1-SQRT((1-2*BB26*1E5/(DATOS!$C$58*P26*BF26^2*DATOS!$C$48))))*DATOS!$C$48*P26*BF26/DATOS!$C$40)))-0.0001,MAX(DATOS!$C$29,CEILING(MAX(BG26,0)/INDEX(TABLAS!$D$52:$D$58,MATCH(BH26,TABLAS!$B$52:$B$58,0)),1)),MAX(MAX(DATOS!$C$29,CEILING(MAX(BG26,0)/INDEX(TABLAS!$D$52:$D$58,MATCH(BH26,TABLAS!$B$52:$B$58,0)),1)),2))))</f>
        <v>1</v>
      </c>
      <c r="BJ26" s="43">
        <f>DATOS!$C$15-R26-IF(DATOS!$C$25=0,0,INDEX(TABLAS!$C$52:$C$58,MATCH(DATOS!$C$25,TABLAS!$B$52:$B$58,0)))-INDEX(TABLAS!$C$52:$C$58,MATCH(BH26,TABLAS!$B$52:$B$58,0))/2</f>
        <v>20.365</v>
      </c>
      <c r="BK26" s="36">
        <f>IF(BI26=0,0,DATOS!$C$58*BI26*INDEX(TABLAS!$D$52:$D$58,MATCH(BH26,TABLAS!$B$52:$B$58,0))*DATOS!$C$40*(BJ26-BI26*INDEX(TABLAS!$D$52:$D$58,MATCH(BH26,TABLAS!$B$52:$B$58,0))*DATOS!$C$40/(DATOS!$C$48*P26)/2)/1E5)</f>
        <v>0.967276537719165</v>
      </c>
      <c r="BL26" s="62">
        <f>IF(BG26&lt;0,9.99,IF(BK26&gt;0,BB26/BK26,0))</f>
        <v>0</v>
      </c>
      <c r="BM26" s="63">
        <f>IF(BI26=0,"—",0.003*(BJ26-(BI26*INDEX(TABLAS!$D$52:$D$58,MATCH(BH26,TABLAS!$B$52:$B$58,0))*DATOS!$C$40/(DATOS!$C$48*P26)/DATOS!$C$49))/(BI26*INDEX(TABLAS!$D$52:$D$58,MATCH(BH26,TABLAS!$B$52:$B$58,0))*DATOS!$C$40/(DATOS!$C$48*P26)/DATOS!$C$49))</f>
        <v>0.117252325514975</v>
      </c>
      <c r="BN26" s="43">
        <f>((DATOS!$C$15-S26-2*DATOS!$C$35-IF(DATOS!$C$25=0,0,INDEX(TABLAS!$C$52:$C$58,MATCH(DATOS!$C$25,TABLAS!$B$52:$B$58,0)))-INDEX(TABLAS!$C$52:$C$58,MATCH(DATOS!$C$27,TABLAS!$B$52:$B$58,0))/2)-IF(AND((DATOS!$C$15-S26-2*DATOS!$C$35-IF(DATOS!$C$25=0,0,INDEX(TABLAS!$C$52:$C$58,MATCH(DATOS!$C$25,TABLAS!$B$52:$B$58,0)))-INDEX(TABLAS!$C$52:$C$58,MATCH(DATOS!$C$27,TABLAS!$B$52:$B$58,0))/2)&lt;=20,DATOS!$C$18&lt;&gt;"SÍ"),2,0))</f>
        <v>19.389</v>
      </c>
      <c r="BO26" s="43">
        <f>IF(D26="HUECO",0,IF(IF(BC26&lt;=0,0,IF((1-2*BC26*1E5/(DATOS!$C$58*DATOS!$C$19*BN26^2*DATOS!$C$48))&lt;0,-1,IF((1-SQRT((1-2*BC26*1E5/(DATOS!$C$58*DATOS!$C$19*BN26^2*DATOS!$C$48))))*DATOS!$C$48*DATOS!$C$19*BN26/DATOS!$C$40&gt;DATOS!$C$82*DATOS!$C$19*BN26,-1,(1-SQRT((1-2*BC26*1E5/(DATOS!$C$58*DATOS!$C$19*BN26^2*DATOS!$C$48))))*DATOS!$C$48*DATOS!$C$19*BN26/DATOS!$C$40)))&lt;0,-1,MAX(IF(BC26&lt;=0,0,IF((1-2*BC26*1E5/(DATOS!$C$58*DATOS!$C$19*BN26^2*DATOS!$C$48))&lt;0,-1,IF((1-SQRT((1-2*BC26*1E5/(DATOS!$C$58*DATOS!$C$19*BN26^2*DATOS!$C$48))))*DATOS!$C$48*DATOS!$C$19*BN26/DATOS!$C$40&gt;DATOS!$C$82*DATOS!$C$19*BN26,-1,(1-SQRT((1-2*BC26*1E5/(DATOS!$C$58*DATOS!$C$19*BN26^2*DATOS!$C$48))))*DATOS!$C$48*DATOS!$C$19*BN26/DATOS!$C$40))),MIN(DATOS!$C$83*IF(D26="VOLADO",2*DATOS!$C$13,DATOS!$C$13)*BN26,4/3*IF(BC26&lt;=0,0,IF((1-2*BC26*1E5/(DATOS!$C$58*DATOS!$C$19*BN26^2*DATOS!$C$48))&lt;0,-1,IF((1-SQRT((1-2*BC26*1E5/(DATOS!$C$58*DATOS!$C$19*BN26^2*DATOS!$C$48))))*DATOS!$C$48*DATOS!$C$19*BN26/DATOS!$C$40&gt;DATOS!$C$82*DATOS!$C$19*BN26,-1,(1-SQRT((1-2*BC26*1E5/(DATOS!$C$58*DATOS!$C$19*BN26^2*DATOS!$C$48))))*DATOS!$C$48*DATOS!$C$19*BN26/DATOS!$C$40)))))))</f>
        <v>2.8848189782902</v>
      </c>
      <c r="BP26" s="41">
        <f>IF(AND(BO26&gt;=0,IF(MAX(DATOS!$C$29,CEILING(BO26/INDEX(TABLAS!$D$52:$D$58,MIN(MATCH(DATOS!$C$27,TABLAS!$B$52:$B$58,0)+0,7)),1))*INDEX(TABLAS!$D$52:$D$58,MIN(MATCH(DATOS!$C$27,TABLAS!$B$52:$B$58,0)+0,7))&gt;=4/3*IF(BC26&lt;=0,0,IF((1-2*BC26*1E5/(DATOS!$C$58*DATOS!$C$19*BN26^2*DATOS!$C$48))&lt;0,-1,IF((1-SQRT((1-2*BC26*1E5/(DATOS!$C$58*DATOS!$C$19*BN26^2*DATOS!$C$48))))*DATOS!$C$48*DATOS!$C$19*BN26/DATOS!$C$40&gt;DATOS!$C$82*DATOS!$C$19*BN26,-1,(1-SQRT((1-2*BC26*1E5/(DATOS!$C$58*DATOS!$C$19*BN26^2*DATOS!$C$48))))*DATOS!$C$48*DATOS!$C$19*BN26/DATOS!$C$40)))-0.0001,MAX(DATOS!$C$29,CEILING(BO26/INDEX(TABLAS!$D$52:$D$58,MIN(MATCH(DATOS!$C$27,TABLAS!$B$52:$B$58,0)+0,7)),1)),MAX(MAX(DATOS!$C$29,CEILING(BO26/INDEX(TABLAS!$D$52:$D$58,MIN(MATCH(DATOS!$C$27,TABLAS!$B$52:$B$58,0)+0,7)),1)),2))&lt;=MIN(DATOS!$C$28,INT(((DATOS!$C$13-2*S26-2*IF(DATOS!$C$25=0,0,INDEX(TABLAS!$C$52:$C$58,MATCH(DATOS!$C$25,TABLAS!$B$52:$B$58,0))))+MAX(DATOS!$C$32,INDEX(TABLAS!$C$52:$C$58,MIN(MATCH(DATOS!$C$27,TABLAS!$B$52:$B$58,0)+0,7))))/(INDEX(TABLAS!$C$52:$C$58,MIN(MATCH(DATOS!$C$27,TABLAS!$B$52:$B$58,0)+0,7))+MAX(DATOS!$C$32,INDEX(TABLAS!$C$52:$C$58,MIN(MATCH(DATOS!$C$27,TABLAS!$B$52:$B$58,0)+0,7))))))),INDEX(TABLAS!$B$52:$B$58,MIN(MATCH(DATOS!$C$27,TABLAS!$B$52:$B$58,0)+0,7)),IF(AND(BO26&gt;=0,IF(MAX(DATOS!$C$29,CEILING(BO26/INDEX(TABLAS!$D$52:$D$58,MIN(MATCH(DATOS!$C$27,TABLAS!$B$52:$B$58,0)+1,7)),1))*INDEX(TABLAS!$D$52:$D$58,MIN(MATCH(DATOS!$C$27,TABLAS!$B$52:$B$58,0)+1,7))&gt;=4/3*IF(BC26&lt;=0,0,IF((1-2*BC26*1E5/(DATOS!$C$58*DATOS!$C$19*BN26^2*DATOS!$C$48))&lt;0,-1,IF((1-SQRT((1-2*BC26*1E5/(DATOS!$C$58*DATOS!$C$19*BN26^2*DATOS!$C$48))))*DATOS!$C$48*DATOS!$C$19*BN26/DATOS!$C$40&gt;DATOS!$C$82*DATOS!$C$19*BN26,-1,(1-SQRT((1-2*BC26*1E5/(DATOS!$C$58*DATOS!$C$19*BN26^2*DATOS!$C$48))))*DATOS!$C$48*DATOS!$C$19*BN26/DATOS!$C$40)))-0.0001,MAX(DATOS!$C$29,CEILING(BO26/INDEX(TABLAS!$D$52:$D$58,MIN(MATCH(DATOS!$C$27,TABLAS!$B$52:$B$58,0)+1,7)),1)),MAX(MAX(DATOS!$C$29,CEILING(BO26/INDEX(TABLAS!$D$52:$D$58,MIN(MATCH(DATOS!$C$27,TABLAS!$B$52:$B$58,0)+1,7)),1)),2))&lt;=MIN(DATOS!$C$28,INT(((DATOS!$C$13-2*S26-2*IF(DATOS!$C$25=0,0,INDEX(TABLAS!$C$52:$C$58,MATCH(DATOS!$C$25,TABLAS!$B$52:$B$58,0))))+MAX(DATOS!$C$32,INDEX(TABLAS!$C$52:$C$58,MIN(MATCH(DATOS!$C$27,TABLAS!$B$52:$B$58,0)+1,7))))/(INDEX(TABLAS!$C$52:$C$58,MIN(MATCH(DATOS!$C$27,TABLAS!$B$52:$B$58,0)+1,7))+MAX(DATOS!$C$32,INDEX(TABLAS!$C$52:$C$58,MIN(MATCH(DATOS!$C$27,TABLAS!$B$52:$B$58,0)+1,7))))))),INDEX(TABLAS!$B$52:$B$58,MIN(MATCH(DATOS!$C$27,TABLAS!$B$52:$B$58,0)+1,7)),IF(AND(BO26&gt;=0,IF(MAX(DATOS!$C$29,CEILING(BO26/INDEX(TABLAS!$D$52:$D$58,MIN(MATCH(DATOS!$C$27,TABLAS!$B$52:$B$58,0)+2,7)),1))*INDEX(TABLAS!$D$52:$D$58,MIN(MATCH(DATOS!$C$27,TABLAS!$B$52:$B$58,0)+2,7))&gt;=4/3*IF(BC26&lt;=0,0,IF((1-2*BC26*1E5/(DATOS!$C$58*DATOS!$C$19*BN26^2*DATOS!$C$48))&lt;0,-1,IF((1-SQRT((1-2*BC26*1E5/(DATOS!$C$58*DATOS!$C$19*BN26^2*DATOS!$C$48))))*DATOS!$C$48*DATOS!$C$19*BN26/DATOS!$C$40&gt;DATOS!$C$82*DATOS!$C$19*BN26,-1,(1-SQRT((1-2*BC26*1E5/(DATOS!$C$58*DATOS!$C$19*BN26^2*DATOS!$C$48))))*DATOS!$C$48*DATOS!$C$19*BN26/DATOS!$C$40)))-0.0001,MAX(DATOS!$C$29,CEILING(BO26/INDEX(TABLAS!$D$52:$D$58,MIN(MATCH(DATOS!$C$27,TABLAS!$B$52:$B$58,0)+2,7)),1)),MAX(MAX(DATOS!$C$29,CEILING(BO26/INDEX(TABLAS!$D$52:$D$58,MIN(MATCH(DATOS!$C$27,TABLAS!$B$52:$B$58,0)+2,7)),1)),2))&lt;=MIN(DATOS!$C$28,INT(((DATOS!$C$13-2*S26-2*IF(DATOS!$C$25=0,0,INDEX(TABLAS!$C$52:$C$58,MATCH(DATOS!$C$25,TABLAS!$B$52:$B$58,0))))+MAX(DATOS!$C$32,INDEX(TABLAS!$C$52:$C$58,MIN(MATCH(DATOS!$C$27,TABLAS!$B$52:$B$58,0)+2,7))))/(INDEX(TABLAS!$C$52:$C$58,MIN(MATCH(DATOS!$C$27,TABLAS!$B$52:$B$58,0)+2,7))+MAX(DATOS!$C$32,INDEX(TABLAS!$C$52:$C$58,MIN(MATCH(DATOS!$C$27,TABLAS!$B$52:$B$58,0)+2,7))))))),INDEX(TABLAS!$B$52:$B$58,MIN(MATCH(DATOS!$C$27,TABLAS!$B$52:$B$58,0)+2,7)),IF(AND(BO26&gt;=0,IF(MAX(DATOS!$C$29,CEILING(BO26/INDEX(TABLAS!$D$52:$D$58,MIN(MATCH(DATOS!$C$27,TABLAS!$B$52:$B$58,0)+3,7)),1))*INDEX(TABLAS!$D$52:$D$58,MIN(MATCH(DATOS!$C$27,TABLAS!$B$52:$B$58,0)+3,7))&gt;=4/3*IF(BC26&lt;=0,0,IF((1-2*BC26*1E5/(DATOS!$C$58*DATOS!$C$19*BN26^2*DATOS!$C$48))&lt;0,-1,IF((1-SQRT((1-2*BC26*1E5/(DATOS!$C$58*DATOS!$C$19*BN26^2*DATOS!$C$48))))*DATOS!$C$48*DATOS!$C$19*BN26/DATOS!$C$40&gt;DATOS!$C$82*DATOS!$C$19*BN26,-1,(1-SQRT((1-2*BC26*1E5/(DATOS!$C$58*DATOS!$C$19*BN26^2*DATOS!$C$48))))*DATOS!$C$48*DATOS!$C$19*BN26/DATOS!$C$40)))-0.0001,MAX(DATOS!$C$29,CEILING(BO26/INDEX(TABLAS!$D$52:$D$58,MIN(MATCH(DATOS!$C$27,TABLAS!$B$52:$B$58,0)+3,7)),1)),MAX(MAX(DATOS!$C$29,CEILING(BO26/INDEX(TABLAS!$D$52:$D$58,MIN(MATCH(DATOS!$C$27,TABLAS!$B$52:$B$58,0)+3,7)),1)),2))&lt;=MIN(DATOS!$C$28,INT(((DATOS!$C$13-2*S26-2*IF(DATOS!$C$25=0,0,INDEX(TABLAS!$C$52:$C$58,MATCH(DATOS!$C$25,TABLAS!$B$52:$B$58,0))))+MAX(DATOS!$C$32,INDEX(TABLAS!$C$52:$C$58,MIN(MATCH(DATOS!$C$27,TABLAS!$B$52:$B$58,0)+3,7))))/(INDEX(TABLAS!$C$52:$C$58,MIN(MATCH(DATOS!$C$27,TABLAS!$B$52:$B$58,0)+3,7))+MAX(DATOS!$C$32,INDEX(TABLAS!$C$52:$C$58,MIN(MATCH(DATOS!$C$27,TABLAS!$B$52:$B$58,0)+3,7))))))),INDEX(TABLAS!$B$52:$B$58,MIN(MATCH(DATOS!$C$27,TABLAS!$B$52:$B$58,0)+3,7)),IF(AND(BO26&gt;=0,IF(MAX(DATOS!$C$29,CEILING(BO26/INDEX(TABLAS!$D$52:$D$58,MIN(MATCH(DATOS!$C$27,TABLAS!$B$52:$B$58,0)+4,7)),1))*INDEX(TABLAS!$D$52:$D$58,MIN(MATCH(DATOS!$C$27,TABLAS!$B$52:$B$58,0)+4,7))&gt;=4/3*IF(BC26&lt;=0,0,IF((1-2*BC26*1E5/(DATOS!$C$58*DATOS!$C$19*BN26^2*DATOS!$C$48))&lt;0,-1,IF((1-SQRT((1-2*BC26*1E5/(DATOS!$C$58*DATOS!$C$19*BN26^2*DATOS!$C$48))))*DATOS!$C$48*DATOS!$C$19*BN26/DATOS!$C$40&gt;DATOS!$C$82*DATOS!$C$19*BN26,-1,(1-SQRT((1-2*BC26*1E5/(DATOS!$C$58*DATOS!$C$19*BN26^2*DATOS!$C$48))))*DATOS!$C$48*DATOS!$C$19*BN26/DATOS!$C$40)))-0.0001,MAX(DATOS!$C$29,CEILING(BO26/INDEX(TABLAS!$D$52:$D$58,MIN(MATCH(DATOS!$C$27,TABLAS!$B$52:$B$58,0)+4,7)),1)),MAX(MAX(DATOS!$C$29,CEILING(BO26/INDEX(TABLAS!$D$52:$D$58,MIN(MATCH(DATOS!$C$27,TABLAS!$B$52:$B$58,0)+4,7)),1)),2))&lt;=MIN(DATOS!$C$28,INT(((DATOS!$C$13-2*S26-2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8</v>
      </c>
      <c r="BQ26" s="56">
        <f>IF(D26="HUECO",0,IF(BO26&lt;0,0,IF(MAX(DATOS!$C$29,CEILING(MAX(BO26,0)/INDEX(TABLAS!$D$52:$D$58,MATCH(BP26,TABLAS!$B$52:$B$58,0)),1))*INDEX(TABLAS!$D$52:$D$58,MATCH(BP26,TABLAS!$B$52:$B$58,0))&gt;=4/3*IF(BC26&lt;=0,0,IF((1-2*BC26*1E5/(DATOS!$C$58*DATOS!$C$19*BN26^2*DATOS!$C$48))&lt;0,-1,IF((1-SQRT((1-2*BC26*1E5/(DATOS!$C$58*DATOS!$C$19*BN26^2*DATOS!$C$48))))*DATOS!$C$48*DATOS!$C$19*BN26/DATOS!$C$40&gt;DATOS!$C$82*DATOS!$C$19*BN26,-1,(1-SQRT((1-2*BC26*1E5/(DATOS!$C$58*DATOS!$C$19*BN26^2*DATOS!$C$48))))*DATOS!$C$48*DATOS!$C$19*BN26/DATOS!$C$40)))-0.0001,MAX(DATOS!$C$29,CEILING(MAX(BO26,0)/INDEX(TABLAS!$D$52:$D$58,MATCH(BP26,TABLAS!$B$52:$B$58,0)),1)),MAX(MAX(DATOS!$C$29,CEILING(MAX(BO26,0)/INDEX(TABLAS!$D$52:$D$58,MATCH(BP26,TABLAS!$B$52:$B$58,0)),1)),2))))</f>
        <v>1</v>
      </c>
      <c r="BR26" s="43">
        <f>((DATOS!$C$15-S26-2*DATOS!$C$35-IF(DATOS!$C$25=0,0,INDEX(TABLAS!$C$52:$C$58,MATCH(DATOS!$C$25,TABLAS!$B$52:$B$58,0)))-INDEX(TABLAS!$C$52:$C$58,MATCH(BP26,TABLAS!$B$52:$B$58,0))/2)-IF(AND((DATOS!$C$15-S26-2*DATOS!$C$35-IF(DATOS!$C$25=0,0,INDEX(TABLAS!$C$52:$C$58,MATCH(DATOS!$C$25,TABLAS!$B$52:$B$58,0)))-INDEX(TABLAS!$C$52:$C$58,MATCH(BP26,TABLAS!$B$52:$B$58,0))/2)&lt;=20,DATOS!$C$18&lt;&gt;"SÍ"),2,0))</f>
        <v>18.754</v>
      </c>
      <c r="BS26" s="36">
        <f>IF(BQ26=0,0,DATOS!$C$58*BQ26*INDEX(TABLAS!$D$52:$D$58,MATCH(BP26,TABLAS!$B$52:$B$58,0))*DATOS!$C$40*(BR26-BQ26*INDEX(TABLAS!$D$52:$D$58,MATCH(BP26,TABLAS!$B$52:$B$58,0))*DATOS!$C$40/(DATOS!$C$48*DATOS!$C$19)/2)/1E5)</f>
        <v>2.63391498423529</v>
      </c>
      <c r="BT26" s="62">
        <f>IF(BO26&lt;0,9.99,IF(BS26&gt;0,BC26/BS26,0))</f>
        <v>0.684691212337511</v>
      </c>
      <c r="BU26" s="63">
        <f>IF(BQ26=0,"—",0.003*(BR26-(BQ26*INDEX(TABLAS!$D$52:$D$58,MATCH(BP26,TABLAS!$B$52:$B$58,0))*DATOS!$C$40/(DATOS!$C$48*DATOS!$C$19)/DATOS!$C$49))/(BQ26*INDEX(TABLAS!$D$52:$D$58,MATCH(BP26,TABLAS!$B$52:$B$58,0))*DATOS!$C$40/(DATOS!$C$48*DATOS!$C$19)/DATOS!$C$49))</f>
        <v>0.00177238834883066</v>
      </c>
      <c r="BV26" s="43">
        <f>(DATOS!$C$15-R26-IF(DATOS!$C$25=0,0,INDEX(TABLAS!$C$52:$C$58,MATCH(DATOS!$C$25,TABLAS!$B$52:$B$58,0)))-INDEX(TABLAS!$C$52:$C$58,MATCH(DATOS!$C$26,TABLAS!$B$52:$B$58,0))-INDEX(TABLAS!$C$52:$C$58,MATCH(DATOS!$C$26,TABLAS!$B$52:$B$58,0))/2)</f>
        <v>19.095</v>
      </c>
      <c r="BW26" s="43">
        <f>IF(D26="HUECO",0,IF(IF(BD26&lt;=0,0,IF((1-2*BD26*1E5/(DATOS!$C$58*Q26*BV26^2*DATOS!$C$48))&lt;0,-1,IF((1-SQRT((1-2*BD26*1E5/(DATOS!$C$58*Q26*BV26^2*DATOS!$C$48))))*DATOS!$C$48*Q26*BV26/DATOS!$C$40&gt;DATOS!$C$82*Q26*BV26,-1,(1-SQRT((1-2*BD26*1E5/(DATOS!$C$58*Q26*BV26^2*DATOS!$C$48))))*DATOS!$C$48*Q26*BV26/DATOS!$C$40)))&lt;0,-1,MAX(IF(BD26&lt;=0,0,IF((1-2*BD26*1E5/(DATOS!$C$58*Q26*BV26^2*DATOS!$C$48))&lt;0,-1,IF((1-SQRT((1-2*BD26*1E5/(DATOS!$C$58*Q26*BV26^2*DATOS!$C$48))))*DATOS!$C$48*Q26*BV26/DATOS!$C$40&gt;DATOS!$C$82*Q26*BV26,-1,(1-SQRT((1-2*BD26*1E5/(DATOS!$C$58*Q26*BV26^2*DATOS!$C$48))))*DATOS!$C$48*Q26*BV26/DATOS!$C$40))),MIN(DATOS!$C$83*DATOS!$C$13*BV26,4/3*IF(BD26&lt;=0,0,IF((1-2*BD26*1E5/(DATOS!$C$58*Q26*BV26^2*DATOS!$C$48))&lt;0,-1,IF((1-SQRT((1-2*BD26*1E5/(DATOS!$C$58*Q26*BV26^2*DATOS!$C$48))))*DATOS!$C$48*Q26*BV26/DATOS!$C$40&gt;DATOS!$C$82*Q26*BV26,-1,(1-SQRT((1-2*BD26*1E5/(DATOS!$C$58*Q26*BV26^2*DATOS!$C$48))))*DATOS!$C$48*Q26*BV26/DATOS!$C$40)))))))</f>
        <v>0</v>
      </c>
      <c r="BX26" s="41">
        <f>IF(AND(BW26&gt;=0,IF(MAX(DATOS!$C$29,CEILING(BW26/INDEX(TABLAS!$D$52:$D$58,MIN(MATCH(DATOS!$C$26,TABLAS!$B$52:$B$58,0)+0,7)),1))*INDEX(TABLAS!$D$52:$D$58,MIN(MATCH(DATOS!$C$26,TABLAS!$B$52:$B$58,0)+0,7))&gt;=4/3*IF(BD26&lt;=0,0,IF((1-2*BD26*1E5/(DATOS!$C$58*Q26*BV26^2*DATOS!$C$48))&lt;0,-1,IF((1-SQRT((1-2*BD26*1E5/(DATOS!$C$58*Q26*BV26^2*DATOS!$C$48))))*DATOS!$C$48*Q26*BV26/DATOS!$C$40&gt;DATOS!$C$82*Q26*BV26,-1,(1-SQRT((1-2*BD26*1E5/(DATOS!$C$58*Q26*BV26^2*DATOS!$C$48))))*DATOS!$C$48*Q26*BV26/DATOS!$C$40)))-0.0001,MAX(DATOS!$C$29,CEILING(BW26/INDEX(TABLAS!$D$52:$D$58,MIN(MATCH(DATOS!$C$26,TABLAS!$B$52:$B$58,0)+0,7)),1)),MAX(MAX(DATOS!$C$29,CEILING(BW26/INDEX(TABLAS!$D$52:$D$58,MIN(MATCH(DATOS!$C$26,TABLAS!$B$52:$B$58,0)+0,7)),1)),2))&lt;=MIN(DATOS!$C$28,INT(((DATOS!$C$13-2*R26-2*IF(DATOS!$C$25=0,0,INDEX(TABLAS!$C$52:$C$58,MATCH(DATOS!$C$25,TABLAS!$B$52:$B$58,0))))+MAX(DATOS!$C$32,INDEX(TABLAS!$C$52:$C$58,MIN(MATCH(DATOS!$C$26,TABLAS!$B$52:$B$58,0)+0,7))))/(INDEX(TABLAS!$C$52:$C$58,MIN(MATCH(DATOS!$C$26,TABLAS!$B$52:$B$58,0)+0,7))+MAX(DATOS!$C$32,INDEX(TABLAS!$C$52:$C$58,MIN(MATCH(DATOS!$C$26,TABLAS!$B$52:$B$58,0)+0,7))))))),INDEX(TABLAS!$B$52:$B$58,MIN(MATCH(DATOS!$C$26,TABLAS!$B$52:$B$58,0)+0,7)),IF(AND(BW26&gt;=0,IF(MAX(DATOS!$C$29,CEILING(BW26/INDEX(TABLAS!$D$52:$D$58,MIN(MATCH(DATOS!$C$26,TABLAS!$B$52:$B$58,0)+1,7)),1))*INDEX(TABLAS!$D$52:$D$58,MIN(MATCH(DATOS!$C$26,TABLAS!$B$52:$B$58,0)+1,7))&gt;=4/3*IF(BD26&lt;=0,0,IF((1-2*BD26*1E5/(DATOS!$C$58*Q26*BV26^2*DATOS!$C$48))&lt;0,-1,IF((1-SQRT((1-2*BD26*1E5/(DATOS!$C$58*Q26*BV26^2*DATOS!$C$48))))*DATOS!$C$48*Q26*BV26/DATOS!$C$40&gt;DATOS!$C$82*Q26*BV26,-1,(1-SQRT((1-2*BD26*1E5/(DATOS!$C$58*Q26*BV26^2*DATOS!$C$48))))*DATOS!$C$48*Q26*BV26/DATOS!$C$40)))-0.0001,MAX(DATOS!$C$29,CEILING(BW26/INDEX(TABLAS!$D$52:$D$58,MIN(MATCH(DATOS!$C$26,TABLAS!$B$52:$B$58,0)+1,7)),1)),MAX(MAX(DATOS!$C$29,CEILING(BW26/INDEX(TABLAS!$D$52:$D$58,MIN(MATCH(DATOS!$C$26,TABLAS!$B$52:$B$58,0)+1,7)),1)),2))&lt;=MIN(DATOS!$C$28,INT(((DATOS!$C$13-2*R26-2*IF(DATOS!$C$25=0,0,INDEX(TABLAS!$C$52:$C$58,MATCH(DATOS!$C$25,TABLAS!$B$52:$B$58,0))))+MAX(DATOS!$C$32,INDEX(TABLAS!$C$52:$C$58,MIN(MATCH(DATOS!$C$26,TABLAS!$B$52:$B$58,0)+1,7))))/(INDEX(TABLAS!$C$52:$C$58,MIN(MATCH(DATOS!$C$26,TABLAS!$B$52:$B$58,0)+1,7))+MAX(DATOS!$C$32,INDEX(TABLAS!$C$52:$C$58,MIN(MATCH(DATOS!$C$26,TABLAS!$B$52:$B$58,0)+1,7))))))),INDEX(TABLAS!$B$52:$B$58,MIN(MATCH(DATOS!$C$26,TABLAS!$B$52:$B$58,0)+1,7)),IF(AND(BW26&gt;=0,IF(MAX(DATOS!$C$29,CEILING(BW26/INDEX(TABLAS!$D$52:$D$58,MIN(MATCH(DATOS!$C$26,TABLAS!$B$52:$B$58,0)+2,7)),1))*INDEX(TABLAS!$D$52:$D$58,MIN(MATCH(DATOS!$C$26,TABLAS!$B$52:$B$58,0)+2,7))&gt;=4/3*IF(BD26&lt;=0,0,IF((1-2*BD26*1E5/(DATOS!$C$58*Q26*BV26^2*DATOS!$C$48))&lt;0,-1,IF((1-SQRT((1-2*BD26*1E5/(DATOS!$C$58*Q26*BV26^2*DATOS!$C$48))))*DATOS!$C$48*Q26*BV26/DATOS!$C$40&gt;DATOS!$C$82*Q26*BV26,-1,(1-SQRT((1-2*BD26*1E5/(DATOS!$C$58*Q26*BV26^2*DATOS!$C$48))))*DATOS!$C$48*Q26*BV26/DATOS!$C$40)))-0.0001,MAX(DATOS!$C$29,CEILING(BW26/INDEX(TABLAS!$D$52:$D$58,MIN(MATCH(DATOS!$C$26,TABLAS!$B$52:$B$58,0)+2,7)),1)),MAX(MAX(DATOS!$C$29,CEILING(BW26/INDEX(TABLAS!$D$52:$D$58,MIN(MATCH(DATOS!$C$26,TABLAS!$B$52:$B$58,0)+2,7)),1)),2))&lt;=MIN(DATOS!$C$28,INT(((DATOS!$C$13-2*R26-2*IF(DATOS!$C$25=0,0,INDEX(TABLAS!$C$52:$C$58,MATCH(DATOS!$C$25,TABLAS!$B$52:$B$58,0))))+MAX(DATOS!$C$32,INDEX(TABLAS!$C$52:$C$58,MIN(MATCH(DATOS!$C$26,TABLAS!$B$52:$B$58,0)+2,7))))/(INDEX(TABLAS!$C$52:$C$58,MIN(MATCH(DATOS!$C$26,TABLAS!$B$52:$B$58,0)+2,7))+MAX(DATOS!$C$32,INDEX(TABLAS!$C$52:$C$58,MIN(MATCH(DATOS!$C$26,TABLAS!$B$52:$B$58,0)+2,7))))))),INDEX(TABLAS!$B$52:$B$58,MIN(MATCH(DATOS!$C$26,TABLAS!$B$52:$B$58,0)+2,7)),IF(AND(BW26&gt;=0,IF(MAX(DATOS!$C$29,CEILING(BW26/INDEX(TABLAS!$D$52:$D$58,MIN(MATCH(DATOS!$C$26,TABLAS!$B$52:$B$58,0)+3,7)),1))*INDEX(TABLAS!$D$52:$D$58,MIN(MATCH(DATOS!$C$26,TABLAS!$B$52:$B$58,0)+3,7))&gt;=4/3*IF(BD26&lt;=0,0,IF((1-2*BD26*1E5/(DATOS!$C$58*Q26*BV26^2*DATOS!$C$48))&lt;0,-1,IF((1-SQRT((1-2*BD26*1E5/(DATOS!$C$58*Q26*BV26^2*DATOS!$C$48))))*DATOS!$C$48*Q26*BV26/DATOS!$C$40&gt;DATOS!$C$82*Q26*BV26,-1,(1-SQRT((1-2*BD26*1E5/(DATOS!$C$58*Q26*BV26^2*DATOS!$C$48))))*DATOS!$C$48*Q26*BV26/DATOS!$C$40)))-0.0001,MAX(DATOS!$C$29,CEILING(BW26/INDEX(TABLAS!$D$52:$D$58,MIN(MATCH(DATOS!$C$26,TABLAS!$B$52:$B$58,0)+3,7)),1)),MAX(MAX(DATOS!$C$29,CEILING(BW26/INDEX(TABLAS!$D$52:$D$58,MIN(MATCH(DATOS!$C$26,TABLAS!$B$52:$B$58,0)+3,7)),1)),2))&lt;=MIN(DATOS!$C$28,INT(((DATOS!$C$13-2*R26-2*IF(DATOS!$C$25=0,0,INDEX(TABLAS!$C$52:$C$58,MATCH(DATOS!$C$25,TABLAS!$B$52:$B$58,0))))+MAX(DATOS!$C$32,INDEX(TABLAS!$C$52:$C$58,MIN(MATCH(DATOS!$C$26,TABLAS!$B$52:$B$58,0)+3,7))))/(INDEX(TABLAS!$C$52:$C$58,MIN(MATCH(DATOS!$C$26,TABLAS!$B$52:$B$58,0)+3,7))+MAX(DATOS!$C$32,INDEX(TABLAS!$C$52:$C$58,MIN(MATCH(DATOS!$C$26,TABLAS!$B$52:$B$58,0)+3,7))))))),INDEX(TABLAS!$B$52:$B$58,MIN(MATCH(DATOS!$C$26,TABLAS!$B$52:$B$58,0)+3,7)),IF(AND(BW26&gt;=0,IF(MAX(DATOS!$C$29,CEILING(BW26/INDEX(TABLAS!$D$52:$D$58,MIN(MATCH(DATOS!$C$26,TABLAS!$B$52:$B$58,0)+4,7)),1))*INDEX(TABLAS!$D$52:$D$58,MIN(MATCH(DATOS!$C$26,TABLAS!$B$52:$B$58,0)+4,7))&gt;=4/3*IF(BD26&lt;=0,0,IF((1-2*BD26*1E5/(DATOS!$C$58*Q26*BV26^2*DATOS!$C$48))&lt;0,-1,IF((1-SQRT((1-2*BD26*1E5/(DATOS!$C$58*Q26*BV26^2*DATOS!$C$48))))*DATOS!$C$48*Q26*BV26/DATOS!$C$40&gt;DATOS!$C$82*Q26*BV26,-1,(1-SQRT((1-2*BD26*1E5/(DATOS!$C$58*Q26*BV26^2*DATOS!$C$48))))*DATOS!$C$48*Q26*BV26/DATOS!$C$40)))-0.0001,MAX(DATOS!$C$29,CEILING(BW26/INDEX(TABLAS!$D$52:$D$58,MIN(MATCH(DATOS!$C$26,TABLAS!$B$52:$B$58,0)+4,7)),1)),MAX(MAX(DATOS!$C$29,CEILING(BW26/INDEX(TABLAS!$D$52:$D$58,MIN(MATCH(DATOS!$C$26,TABLAS!$B$52:$B$58,0)+4,7)),1)),2))&lt;=MIN(DATOS!$C$28,INT(((DATOS!$C$13-2*R26-2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26" s="56">
        <f>IF(D26="HUECO",0,IF(BW26&lt;0,0,IF(MAX(DATOS!$C$29,CEILING(MAX(BW26,0)/INDEX(TABLAS!$D$52:$D$58,MATCH(BX26,TABLAS!$B$52:$B$58,0)),1))*INDEX(TABLAS!$D$52:$D$58,MATCH(BX26,TABLAS!$B$52:$B$58,0))&gt;=4/3*IF(BD26&lt;=0,0,IF((1-2*BD26*1E5/(DATOS!$C$58*Q26*BV26^2*DATOS!$C$48))&lt;0,-1,IF((1-SQRT((1-2*BD26*1E5/(DATOS!$C$58*Q26*BV26^2*DATOS!$C$48))))*DATOS!$C$48*Q26*BV26/DATOS!$C$40&gt;DATOS!$C$82*Q26*BV26,-1,(1-SQRT((1-2*BD26*1E5/(DATOS!$C$58*Q26*BV26^2*DATOS!$C$48))))*DATOS!$C$48*Q26*BV26/DATOS!$C$40)))-0.0001,MAX(DATOS!$C$29,CEILING(MAX(BW26,0)/INDEX(TABLAS!$D$52:$D$58,MATCH(BX26,TABLAS!$B$52:$B$58,0)),1)),MAX(MAX(DATOS!$C$29,CEILING(MAX(BW26,0)/INDEX(TABLAS!$D$52:$D$58,MATCH(BX26,TABLAS!$B$52:$B$58,0)),1)),2))))</f>
        <v>1</v>
      </c>
      <c r="BZ26" s="43">
        <f>DATOS!$C$15-R26-IF(DATOS!$C$25=0,0,INDEX(TABLAS!$C$52:$C$58,MATCH(DATOS!$C$25,TABLAS!$B$52:$B$58,0)))-INDEX(TABLAS!$C$52:$C$58,MATCH(BH26,TABLAS!$B$52:$B$58,0))-INDEX(TABLAS!$C$52:$C$58,MATCH(BX26,TABLAS!$B$52:$B$58,0))/2</f>
        <v>19.095</v>
      </c>
      <c r="CA26" s="36">
        <f>IF(BY26=0,0,DATOS!$C$58*BY26*INDEX(TABLAS!$D$52:$D$58,MATCH(BX26,TABLAS!$B$52:$B$58,0))*DATOS!$C$40*(BZ26-BY26*INDEX(TABLAS!$D$52:$D$58,MATCH(BX26,TABLAS!$B$52:$B$58,0))*DATOS!$C$40/(DATOS!$C$48*Q26)/2)/1E5)</f>
        <v>0.908067376588235</v>
      </c>
      <c r="CB26" s="62">
        <f>IF(BW26&lt;0,9.99,IF(CA26&gt;0,BD26/CA26,0))</f>
        <v>0</v>
      </c>
      <c r="CC26" s="63">
        <f>IF(BY26=0,"—",0.003*(BZ26-(BY26*INDEX(TABLAS!$D$52:$D$58,MATCH(BX26,TABLAS!$B$52:$B$58,0))*DATOS!$C$40/(DATOS!$C$48*Q26)/DATOS!$C$49))/(BY26*INDEX(TABLAS!$D$52:$D$58,MATCH(BX26,TABLAS!$B$52:$B$58,0))*DATOS!$C$40/(DATOS!$C$48*Q26)/DATOS!$C$49))</f>
        <v>0.13278875492126</v>
      </c>
      <c r="CD26" s="43">
        <f>((DATOS!$C$15-S26-2*DATOS!$C$35-IF(DATOS!$C$25=0,0,INDEX(TABLAS!$C$52:$C$58,MATCH(DATOS!$C$25,TABLAS!$B$52:$B$58,0)))-INDEX(TABLAS!$C$52:$C$58,MATCH(DATOS!$C$27,TABLAS!$B$52:$B$58,0))-INDEX(TABLAS!$C$52:$C$58,MATCH(DATOS!$C$27,TABLAS!$B$52:$B$58,0))/2)-IF(AND((DATOS!$C$15-S26-2*DATOS!$C$35-IF(DATOS!$C$25=0,0,INDEX(TABLAS!$C$52:$C$58,MATCH(DATOS!$C$25,TABLAS!$B$52:$B$58,0)))-INDEX(TABLAS!$C$52:$C$58,MATCH(DATOS!$C$27,TABLAS!$B$52:$B$58,0))-INDEX(TABLAS!$C$52:$C$58,MATCH(DATOS!$C$27,TABLAS!$B$52:$B$58,0))/2)&lt;=20,DATOS!$C$18&lt;&gt;"SÍ"),2,0))</f>
        <v>18.119</v>
      </c>
      <c r="CE26" s="43">
        <f>IF(D26="HUECO",0,IF(IF(BE26&lt;=0,0,IF((1-2*BE26*1E5/(DATOS!$C$58*DATOS!$C$19*CD26^2*DATOS!$C$48))&lt;0,-1,IF((1-SQRT((1-2*BE26*1E5/(DATOS!$C$58*DATOS!$C$19*CD26^2*DATOS!$C$48))))*DATOS!$C$48*DATOS!$C$19*CD26/DATOS!$C$40&gt;DATOS!$C$82*DATOS!$C$19*CD26,-1,(1-SQRT((1-2*BE26*1E5/(DATOS!$C$58*DATOS!$C$19*CD26^2*DATOS!$C$48))))*DATOS!$C$48*DATOS!$C$19*CD26/DATOS!$C$40)))&lt;0,-1,MAX(IF(BE26&lt;=0,0,IF((1-2*BE26*1E5/(DATOS!$C$58*DATOS!$C$19*CD26^2*DATOS!$C$48))&lt;0,-1,IF((1-SQRT((1-2*BE26*1E5/(DATOS!$C$58*DATOS!$C$19*CD26^2*DATOS!$C$48))))*DATOS!$C$48*DATOS!$C$19*CD26/DATOS!$C$40&gt;DATOS!$C$82*DATOS!$C$19*CD26,-1,(1-SQRT((1-2*BE26*1E5/(DATOS!$C$58*DATOS!$C$19*CD26^2*DATOS!$C$48))))*DATOS!$C$48*DATOS!$C$19*CD26/DATOS!$C$40))),MIN(DATOS!$C$83*DATOS!$C$13*CD26,4/3*IF(BE26&lt;=0,0,IF((1-2*BE26*1E5/(DATOS!$C$58*DATOS!$C$19*CD26^2*DATOS!$C$48))&lt;0,-1,IF((1-SQRT((1-2*BE26*1E5/(DATOS!$C$58*DATOS!$C$19*CD26^2*DATOS!$C$48))))*DATOS!$C$48*DATOS!$C$19*CD26/DATOS!$C$40&gt;DATOS!$C$82*DATOS!$C$19*CD26,-1,(1-SQRT((1-2*BE26*1E5/(DATOS!$C$58*DATOS!$C$19*CD26^2*DATOS!$C$48))))*DATOS!$C$48*DATOS!$C$19*CD26/DATOS!$C$40)))))))</f>
        <v>0</v>
      </c>
      <c r="CF26" s="41">
        <f>IF(AND(CE26&gt;=0,IF(MAX(DATOS!$C$29,CEILING(CE26/INDEX(TABLAS!$D$52:$D$58,MIN(MATCH(DATOS!$C$27,TABLAS!$B$52:$B$58,0)+0,7)),1))*INDEX(TABLAS!$D$52:$D$58,MIN(MATCH(DATOS!$C$27,TABLAS!$B$52:$B$58,0)+0,7))&gt;=4/3*IF(BE26&lt;=0,0,IF((1-2*BE26*1E5/(DATOS!$C$58*DATOS!$C$19*CD26^2*DATOS!$C$48))&lt;0,-1,IF((1-SQRT((1-2*BE26*1E5/(DATOS!$C$58*DATOS!$C$19*CD26^2*DATOS!$C$48))))*DATOS!$C$48*DATOS!$C$19*CD26/DATOS!$C$40&gt;DATOS!$C$82*DATOS!$C$19*CD26,-1,(1-SQRT((1-2*BE26*1E5/(DATOS!$C$58*DATOS!$C$19*CD26^2*DATOS!$C$48))))*DATOS!$C$48*DATOS!$C$19*CD26/DATOS!$C$40)))-0.0001,MAX(DATOS!$C$29,CEILING(CE26/INDEX(TABLAS!$D$52:$D$58,MIN(MATCH(DATOS!$C$27,TABLAS!$B$52:$B$58,0)+0,7)),1)),MAX(MAX(DATOS!$C$29,CEILING(CE26/INDEX(TABLAS!$D$52:$D$58,MIN(MATCH(DATOS!$C$27,TABLAS!$B$52:$B$58,0)+0,7)),1)),2))&lt;=MIN(DATOS!$C$28,INT(((DATOS!$C$13-2*S26-2*IF(DATOS!$C$25=0,0,INDEX(TABLAS!$C$52:$C$58,MATCH(DATOS!$C$25,TABLAS!$B$52:$B$58,0))))+MAX(DATOS!$C$32,INDEX(TABLAS!$C$52:$C$58,MIN(MATCH(DATOS!$C$27,TABLAS!$B$52:$B$58,0)+0,7))))/(INDEX(TABLAS!$C$52:$C$58,MIN(MATCH(DATOS!$C$27,TABLAS!$B$52:$B$58,0)+0,7))+MAX(DATOS!$C$32,INDEX(TABLAS!$C$52:$C$58,MIN(MATCH(DATOS!$C$27,TABLAS!$B$52:$B$58,0)+0,7))))))),INDEX(TABLAS!$B$52:$B$58,MIN(MATCH(DATOS!$C$27,TABLAS!$B$52:$B$58,0)+0,7)),IF(AND(CE26&gt;=0,IF(MAX(DATOS!$C$29,CEILING(CE26/INDEX(TABLAS!$D$52:$D$58,MIN(MATCH(DATOS!$C$27,TABLAS!$B$52:$B$58,0)+1,7)),1))*INDEX(TABLAS!$D$52:$D$58,MIN(MATCH(DATOS!$C$27,TABLAS!$B$52:$B$58,0)+1,7))&gt;=4/3*IF(BE26&lt;=0,0,IF((1-2*BE26*1E5/(DATOS!$C$58*DATOS!$C$19*CD26^2*DATOS!$C$48))&lt;0,-1,IF((1-SQRT((1-2*BE26*1E5/(DATOS!$C$58*DATOS!$C$19*CD26^2*DATOS!$C$48))))*DATOS!$C$48*DATOS!$C$19*CD26/DATOS!$C$40&gt;DATOS!$C$82*DATOS!$C$19*CD26,-1,(1-SQRT((1-2*BE26*1E5/(DATOS!$C$58*DATOS!$C$19*CD26^2*DATOS!$C$48))))*DATOS!$C$48*DATOS!$C$19*CD26/DATOS!$C$40)))-0.0001,MAX(DATOS!$C$29,CEILING(CE26/INDEX(TABLAS!$D$52:$D$58,MIN(MATCH(DATOS!$C$27,TABLAS!$B$52:$B$58,0)+1,7)),1)),MAX(MAX(DATOS!$C$29,CEILING(CE26/INDEX(TABLAS!$D$52:$D$58,MIN(MATCH(DATOS!$C$27,TABLAS!$B$52:$B$58,0)+1,7)),1)),2))&lt;=MIN(DATOS!$C$28,INT(((DATOS!$C$13-2*S26-2*IF(DATOS!$C$25=0,0,INDEX(TABLAS!$C$52:$C$58,MATCH(DATOS!$C$25,TABLAS!$B$52:$B$58,0))))+MAX(DATOS!$C$32,INDEX(TABLAS!$C$52:$C$58,MIN(MATCH(DATOS!$C$27,TABLAS!$B$52:$B$58,0)+1,7))))/(INDEX(TABLAS!$C$52:$C$58,MIN(MATCH(DATOS!$C$27,TABLAS!$B$52:$B$58,0)+1,7))+MAX(DATOS!$C$32,INDEX(TABLAS!$C$52:$C$58,MIN(MATCH(DATOS!$C$27,TABLAS!$B$52:$B$58,0)+1,7))))))),INDEX(TABLAS!$B$52:$B$58,MIN(MATCH(DATOS!$C$27,TABLAS!$B$52:$B$58,0)+1,7)),IF(AND(CE26&gt;=0,IF(MAX(DATOS!$C$29,CEILING(CE26/INDEX(TABLAS!$D$52:$D$58,MIN(MATCH(DATOS!$C$27,TABLAS!$B$52:$B$58,0)+2,7)),1))*INDEX(TABLAS!$D$52:$D$58,MIN(MATCH(DATOS!$C$27,TABLAS!$B$52:$B$58,0)+2,7))&gt;=4/3*IF(BE26&lt;=0,0,IF((1-2*BE26*1E5/(DATOS!$C$58*DATOS!$C$19*CD26^2*DATOS!$C$48))&lt;0,-1,IF((1-SQRT((1-2*BE26*1E5/(DATOS!$C$58*DATOS!$C$19*CD26^2*DATOS!$C$48))))*DATOS!$C$48*DATOS!$C$19*CD26/DATOS!$C$40&gt;DATOS!$C$82*DATOS!$C$19*CD26,-1,(1-SQRT((1-2*BE26*1E5/(DATOS!$C$58*DATOS!$C$19*CD26^2*DATOS!$C$48))))*DATOS!$C$48*DATOS!$C$19*CD26/DATOS!$C$40)))-0.0001,MAX(DATOS!$C$29,CEILING(CE26/INDEX(TABLAS!$D$52:$D$58,MIN(MATCH(DATOS!$C$27,TABLAS!$B$52:$B$58,0)+2,7)),1)),MAX(MAX(DATOS!$C$29,CEILING(CE26/INDEX(TABLAS!$D$52:$D$58,MIN(MATCH(DATOS!$C$27,TABLAS!$B$52:$B$58,0)+2,7)),1)),2))&lt;=MIN(DATOS!$C$28,INT(((DATOS!$C$13-2*S26-2*IF(DATOS!$C$25=0,0,INDEX(TABLAS!$C$52:$C$58,MATCH(DATOS!$C$25,TABLAS!$B$52:$B$58,0))))+MAX(DATOS!$C$32,INDEX(TABLAS!$C$52:$C$58,MIN(MATCH(DATOS!$C$27,TABLAS!$B$52:$B$58,0)+2,7))))/(INDEX(TABLAS!$C$52:$C$58,MIN(MATCH(DATOS!$C$27,TABLAS!$B$52:$B$58,0)+2,7))+MAX(DATOS!$C$32,INDEX(TABLAS!$C$52:$C$58,MIN(MATCH(DATOS!$C$27,TABLAS!$B$52:$B$58,0)+2,7))))))),INDEX(TABLAS!$B$52:$B$58,MIN(MATCH(DATOS!$C$27,TABLAS!$B$52:$B$58,0)+2,7)),IF(AND(CE26&gt;=0,IF(MAX(DATOS!$C$29,CEILING(CE26/INDEX(TABLAS!$D$52:$D$58,MIN(MATCH(DATOS!$C$27,TABLAS!$B$52:$B$58,0)+3,7)),1))*INDEX(TABLAS!$D$52:$D$58,MIN(MATCH(DATOS!$C$27,TABLAS!$B$52:$B$58,0)+3,7))&gt;=4/3*IF(BE26&lt;=0,0,IF((1-2*BE26*1E5/(DATOS!$C$58*DATOS!$C$19*CD26^2*DATOS!$C$48))&lt;0,-1,IF((1-SQRT((1-2*BE26*1E5/(DATOS!$C$58*DATOS!$C$19*CD26^2*DATOS!$C$48))))*DATOS!$C$48*DATOS!$C$19*CD26/DATOS!$C$40&gt;DATOS!$C$82*DATOS!$C$19*CD26,-1,(1-SQRT((1-2*BE26*1E5/(DATOS!$C$58*DATOS!$C$19*CD26^2*DATOS!$C$48))))*DATOS!$C$48*DATOS!$C$19*CD26/DATOS!$C$40)))-0.0001,MAX(DATOS!$C$29,CEILING(CE26/INDEX(TABLAS!$D$52:$D$58,MIN(MATCH(DATOS!$C$27,TABLAS!$B$52:$B$58,0)+3,7)),1)),MAX(MAX(DATOS!$C$29,CEILING(CE26/INDEX(TABLAS!$D$52:$D$58,MIN(MATCH(DATOS!$C$27,TABLAS!$B$52:$B$58,0)+3,7)),1)),2))&lt;=MIN(DATOS!$C$28,INT(((DATOS!$C$13-2*S26-2*IF(DATOS!$C$25=0,0,INDEX(TABLAS!$C$52:$C$58,MATCH(DATOS!$C$25,TABLAS!$B$52:$B$58,0))))+MAX(DATOS!$C$32,INDEX(TABLAS!$C$52:$C$58,MIN(MATCH(DATOS!$C$27,TABLAS!$B$52:$B$58,0)+3,7))))/(INDEX(TABLAS!$C$52:$C$58,MIN(MATCH(DATOS!$C$27,TABLAS!$B$52:$B$58,0)+3,7))+MAX(DATOS!$C$32,INDEX(TABLAS!$C$52:$C$58,MIN(MATCH(DATOS!$C$27,TABLAS!$B$52:$B$58,0)+3,7))))))),INDEX(TABLAS!$B$52:$B$58,MIN(MATCH(DATOS!$C$27,TABLAS!$B$52:$B$58,0)+3,7)),IF(AND(CE26&gt;=0,IF(MAX(DATOS!$C$29,CEILING(CE26/INDEX(TABLAS!$D$52:$D$58,MIN(MATCH(DATOS!$C$27,TABLAS!$B$52:$B$58,0)+4,7)),1))*INDEX(TABLAS!$D$52:$D$58,MIN(MATCH(DATOS!$C$27,TABLAS!$B$52:$B$58,0)+4,7))&gt;=4/3*IF(BE26&lt;=0,0,IF((1-2*BE26*1E5/(DATOS!$C$58*DATOS!$C$19*CD26^2*DATOS!$C$48))&lt;0,-1,IF((1-SQRT((1-2*BE26*1E5/(DATOS!$C$58*DATOS!$C$19*CD26^2*DATOS!$C$48))))*DATOS!$C$48*DATOS!$C$19*CD26/DATOS!$C$40&gt;DATOS!$C$82*DATOS!$C$19*CD26,-1,(1-SQRT((1-2*BE26*1E5/(DATOS!$C$58*DATOS!$C$19*CD26^2*DATOS!$C$48))))*DATOS!$C$48*DATOS!$C$19*CD26/DATOS!$C$40)))-0.0001,MAX(DATOS!$C$29,CEILING(CE26/INDEX(TABLAS!$D$52:$D$58,MIN(MATCH(DATOS!$C$27,TABLAS!$B$52:$B$58,0)+4,7)),1)),MAX(MAX(DATOS!$C$29,CEILING(CE26/INDEX(TABLAS!$D$52:$D$58,MIN(MATCH(DATOS!$C$27,TABLAS!$B$52:$B$58,0)+4,7)),1)),2))&lt;=MIN(DATOS!$C$28,INT(((DATOS!$C$13-2*S26-2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26" s="56">
        <f>IF(D26="HUECO",0,IF(CE26&lt;0,0,IF(MAX(DATOS!$C$29,CEILING(MAX(CE26,0)/INDEX(TABLAS!$D$52:$D$58,MATCH(CF26,TABLAS!$B$52:$B$58,0)),1))*INDEX(TABLAS!$D$52:$D$58,MATCH(CF26,TABLAS!$B$52:$B$58,0))&gt;=4/3*IF(BE26&lt;=0,0,IF((1-2*BE26*1E5/(DATOS!$C$58*DATOS!$C$19*CD26^2*DATOS!$C$48))&lt;0,-1,IF((1-SQRT((1-2*BE26*1E5/(DATOS!$C$58*DATOS!$C$19*CD26^2*DATOS!$C$48))))*DATOS!$C$48*DATOS!$C$19*CD26/DATOS!$C$40&gt;DATOS!$C$82*DATOS!$C$19*CD26,-1,(1-SQRT((1-2*BE26*1E5/(DATOS!$C$58*DATOS!$C$19*CD26^2*DATOS!$C$48))))*DATOS!$C$48*DATOS!$C$19*CD26/DATOS!$C$40)))-0.0001,MAX(DATOS!$C$29,CEILING(MAX(CE26,0)/INDEX(TABLAS!$D$52:$D$58,MATCH(CF26,TABLAS!$B$52:$B$58,0)),1)),MAX(MAX(DATOS!$C$29,CEILING(MAX(CE26,0)/INDEX(TABLAS!$D$52:$D$58,MATCH(CF26,TABLAS!$B$52:$B$58,0)),1)),2))))</f>
        <v>1</v>
      </c>
      <c r="CH26" s="43">
        <f>((DATOS!$C$15-S26-2*DATOS!$C$35-IF(DATOS!$C$25=0,0,INDEX(TABLAS!$C$52:$C$58,MATCH(DATOS!$C$25,TABLAS!$B$52:$B$58,0)))-INDEX(TABLAS!$C$52:$C$58,MATCH(BP26,TABLAS!$B$52:$B$58,0))-INDEX(TABLAS!$C$52:$C$58,MATCH(CF26,TABLAS!$B$52:$B$58,0))/2)-IF(AND((DATOS!$C$15-S26-2*DATOS!$C$35-IF(DATOS!$C$25=0,0,INDEX(TABLAS!$C$52:$C$58,MATCH(DATOS!$C$25,TABLAS!$B$52:$B$58,0)))-INDEX(TABLAS!$C$52:$C$58,MATCH(BP26,TABLAS!$B$52:$B$58,0))-INDEX(TABLAS!$C$52:$C$58,MATCH(CF26,TABLAS!$B$52:$B$58,0))/2)&lt;=20,DATOS!$C$18&lt;&gt;"SÍ"),2,0))</f>
        <v>16.849</v>
      </c>
      <c r="CI26" s="36">
        <f>IF(CG26=0,0,DATOS!$C$58*CG26*INDEX(TABLAS!$D$52:$D$58,MATCH(CF26,TABLAS!$B$52:$B$58,0))*DATOS!$C$40*(CH26-CG26*INDEX(TABLAS!$D$52:$D$58,MATCH(CF26,TABLAS!$B$52:$B$58,0))*DATOS!$C$40/(DATOS!$C$48*DATOS!$C$19)/2)/1E5)</f>
        <v>0.748602740117647</v>
      </c>
      <c r="CJ26" s="62">
        <f>IF(CE26&lt;0,9.99,IF(CI26&gt;0,BE26/CI26,0))</f>
        <v>0</v>
      </c>
      <c r="CK26" s="63">
        <f>IF(CG26=0,"—",0.003*(CH26-(CG26*INDEX(TABLAS!$D$52:$D$58,MATCH(CF26,TABLAS!$B$52:$B$58,0))*DATOS!$C$40/(DATOS!$C$48*DATOS!$C$19)/DATOS!$C$49))/(CG26*INDEX(TABLAS!$D$52:$D$58,MATCH(CF26,TABLAS!$B$52:$B$58,0))*DATOS!$C$40/(DATOS!$C$48*DATOS!$C$19)/DATOS!$C$49))</f>
        <v>0.0141167076771654</v>
      </c>
      <c r="CL26" s="52" t="str">
        <f>IF(D26="HUECO","—",IF(AND(D26="PERIMETRAL",J26*100&gt;=6*DATOS!$C$11,DATOS!$C$11&lt;=80,DATOS!$C$13&gt;=10,DATOS!$C$15&lt;=3.5*DATOS!$C$13,DATOS!$C$14&gt;=MAX(DATOS!$C$11/13,5)),"SÍ","NO"))</f>
        <v>NO</v>
      </c>
      <c r="CM26" s="36">
        <f>IF(D26="PERIMETRAL",MAX(0,(N26/2-BR26)/100)*(0.95-0.5*L26)*Y26*IF(AND(Z26&gt;0,Z26&lt;4),DATOS!$C$63,1)*DATOS!$C$16/100/1000+AX26,IF(D26="VOLADO",(Y26*MAX(0,N26-BR26)/100+DATOS!$C$55*BA26)*DATOS!$C$16/100/1000,0))</f>
        <v>1.44664265057143</v>
      </c>
      <c r="CN26" s="36">
        <f>IF(D26="HUECO",0,DATOS!$C$59*2*MIN(1,SQRT(2/(1+0.04*BR26)))*(BQ26*INDEX(TABLAS!$D$52:$D$58,MATCH(BP26,TABLAS!$B$52:$B$58,0))/(DATOS!$C$19*BR26))^(1/3)*SQRT(DATOS!$C$39)*DATOS!$C$19*BR26*IF(CL26="SÍ",DATOS!$C$62,1)/1000)</f>
        <v>1.33493419422131</v>
      </c>
      <c r="CO26" s="51" t="str">
        <f>IF(D26="HUECO","—",IF(CM26&lt;=CN26,"CUMPLE",IF(MAX(0,CEILING((IF(D26="VOLADO",(N26-(CN26*1E5/DATOS!$C$16-DATOS!$C$55*BA26)*100/Y26),IF(CN26&lt;=AX26,N26,N26/2-(CN26-AX26)/MAX(CM26-AX26,1E-9)*(N26/2-BR26)))-IF(INT((J26*100-DATOS!$C$17+DATOS!$C$13)/DATOS!$C$16)&gt;0,(J26*100-DATOS!$C$17-(INT((J26*100-DATOS!$C$17+DATOS!$C$13)/DATOS!$C$16)*DATOS!$C$11+(INT((J26*100-DATOS!$C$17+DATOS!$C$13)/DATOS!$C$16)-1)*DATOS!$C$13))/2,J26*100/2))/DATOS!$C$16,1))&lt;=0,"CUMPLE (basta el macizo de orilla)","MACIZAR "&amp;MAX(0,CEILING((IF(D26="VOLADO",(N26-(CN26*1E5/DATOS!$C$16-DATOS!$C$55*BA26)*100/Y26),IF(CN26&lt;=AX26,N26,N26/2-(CN26-AX26)/MAX(CM26-AX26,1E-9)*(N26/2-BR26)))-IF(INT((J26*100-DATOS!$C$17+DATOS!$C$13)/DATOS!$C$16)&gt;0,(J26*100-DATOS!$C$17-(INT((J26*100-DATOS!$C$17+DATOS!$C$13)/DATOS!$C$16)*DATOS!$C$11+(INT((J26*100-DATOS!$C$17+DATOS!$C$13)/DATOS!$C$16)-1)*DATOS!$C$13))/2,J26*100/2))/DATOS!$C$16,1))&amp;" hilera(s)")))</f>
        <v>MACIZAR 1 hilera(s)</v>
      </c>
      <c r="CP26" s="43">
        <f>IF(D26="PERIMETRAL",(99+(PRINCIPALES!$N$24*PRINCIPALES!$O$24^3/12/(2.000*100*IF(APOYOS!$G$98="CONTINUO",1,0.5)*DATOS!$C$77^3/12))+99+99)/4,0)</f>
        <v>0</v>
      </c>
      <c r="CQ26" s="57">
        <f>IF(D26="PERIMETRAL",IF(CP26&gt;2,MAX(9,O26*(0.8+DATOS!$C$40/14000)/(36+9*(O26/MAX(N26,1)))),IF(CP26&gt;0.2,MAX(13,O26*(0.8+DATOS!$C$40/14000)/(36+5*(O26/MAX(N26,1))*(CP26-0.2))),MAX(13,O26/IF(Z26&gt;0,30,33))))*IF(AND(CP26&gt;0.2,OR(AND((APOYOS!$G$97="DISCONTINUO"),99&lt;0.8),AND((APOYOS!$G$98="DISCONTINUO"),(PRINCIPALES!$N$24*PRINCIPALES!$O$24^3/12/(2.000*100*IF(APOYOS!$G$98="CONTINUO",1,0.5)*DATOS!$C$77^3/12))&lt;0.8),AND((APOYOS!$G$99="DISCONTINUO"),99&lt;0.8),AND((APOYOS!$G$100="DISCONTINUO"),99&lt;0.8))),1.1,1),IF(D26="VOLADO",MAX(25,J26*100/8),0))</f>
        <v>25</v>
      </c>
      <c r="CR26" s="57">
        <f>IF(D26="VOLADO",DATOS!$C$15,DATOS!$C$77)</f>
        <v>25</v>
      </c>
      <c r="CS26" s="52" t="str">
        <f>IF(D26="HUECO","—",IF(CR26&gt;=CQ26,"CUMPLE",IF(D26="VOLADO","NO CUMPLE","CALCULAR FLECHA")))</f>
        <v>CUMPLE</v>
      </c>
      <c r="CT26" s="52" t="str">
        <f>IF(D26="HUECO","—",IF(DATOS!$C$14&gt;=IF(IF(D26="VOLADO",J26,K26)&gt;=6,6,5),"CUMPLE","CAPA ≥ 6 cm"))</f>
        <v>CUMPLE</v>
      </c>
      <c r="CU26" s="59">
        <f>CEILING(MAX(IF((0.5*(0.9*DATOS!$C$70*DATOS!$C$16/100/1000)*4.000+BC26/4.000)^2-4*(0.5*(0.9*DATOS!$C$70*DATOS!$C$16/100/1000))*BC26&lt;0,4.000,MIN(4.000,((0.5*(0.9*DATOS!$C$70*DATOS!$C$16/100/1000)*4.000+BC26/4.000)-SQRT((0.5*(0.9*DATOS!$C$70*DATOS!$C$16/100/1000)*4.000+BC26/4.000)^2-4*(0.5*(0.9*DATOS!$C$70*DATOS!$C$16/100/1000))*BC26))/(2*(0.5*(0.9*DATOS!$C$70*DATOS!$C$16/100/1000)))))*100+MAX(BR26,12*INDEX(TABLAS!$C$52:$C$58,MATCH(BP26,TABLAS!$B$52:$B$58,0)),400.0/16),IF(OR(S26&lt;INDEX(TABLAS!$C$52:$C$58,MATCH(BP26,TABLAS!$B$52:$B$58,0)),AND(BQ26&gt;=2,(DATOS!$C$13-2*S26-2*IF(DATOS!$C$25=0,0,INDEX(TABLAS!$C$52:$C$58,MATCH(DATOS!$C$25,TABLAS!$B$52:$B$58,0)))-BQ26*INDEX(TABLAS!$C$52:$C$58,MATCH(BP26,TABLAS!$B$52:$B$58,0)))/MAX(BQ26-1,1)&lt;2*INDEX(TABLAS!$C$52:$C$58,MATCH(BP26,TABLAS!$B$52:$B$58,0)))),INDEX(TABLAS!$I$52:$I$58,MATCH(BP26,TABLAS!$B$52:$B$58,0)),INDEX(TABLAS!$F$52:$F$58,MATCH(BP26,TABLAS!$B$52:$B$58,0)))),5)</f>
        <v>435</v>
      </c>
      <c r="CV26" s="56" t="n">
        <v>0</v>
      </c>
      <c r="CW26" s="56">
        <f>MAX(0,INT((F26*100-DATOS!$C$17+DATOS!$C$13)/DATOS!$C$16))</f>
        <v>10</v>
      </c>
      <c r="CX26" s="56">
        <f>MAX(0,INT((G26*100-DATOS!$C$17+DATOS!$C$13)/DATOS!$C$16))</f>
        <v>2</v>
      </c>
      <c r="CY26" s="51" t="str">
        <f>IF(COUNTIFS(TRIB!$C$6:$C$255,B26,TRIB!$K$6:$K$255,"NO CUMPLE*")+COUNTIFS(TRIB!$C$6:$C$255,B26,TRIB!$K$6:$K$255,"SIN APOYO*")&gt;0,"VER PRINCIPALES",IF((APOYOS!$F$97="LIBRE")+(APOYOS!$F$98="LIBRE")+(APOYOS!$F$99="LIBRE")+(APOYOS!$F$100="LIBRE")&gt;0,"REVISAR: borde libre","OK"))</f>
        <v>OK</v>
      </c>
      <c r="CZ26" s="64" t="str">
        <f>IF(D26="HUECO","HUECO — marco de nervaduras principales",IF(AND(MAX(BL26,BT26,CB26,CJ26)&lt;=1,NOT(OR(BI26&gt;MIN(DATOS!$C$28,INT(((DATOS!$C$13-2*R26-2*IF(DATOS!$C$25=0,0,INDEX(TABLAS!$C$52:$C$58,MATCH(DATOS!$C$25,TABLAS!$B$52:$B$58,0))))+DATOS!$C$32)/(INDEX(TABLAS!$C$52:$C$58,MATCH(BH26,TABLAS!$B$52:$B$58,0))+DATOS!$C$32))),BQ26&gt;MIN(DATOS!$C$28,INT(((DATOS!$C$13-2*S26-2*IF(DATOS!$C$25=0,0,INDEX(TABLAS!$C$52:$C$58,MATCH(DATOS!$C$25,TABLAS!$B$52:$B$58,0))))+DATOS!$C$32)/(INDEX(TABLAS!$C$52:$C$58,MATCH(BP26,TABLAS!$B$52:$B$58,0))+DATOS!$C$32))),BY26&gt;MIN(DATOS!$C$28,INT(((DATOS!$C$13-2*R26-2*IF(DATOS!$C$25=0,0,INDEX(TABLAS!$C$52:$C$58,MATCH(DATOS!$C$25,TABLAS!$B$52:$B$58,0))))+DATOS!$C$32)/(INDEX(TABLAS!$C$52:$C$58,MATCH(BX26,TABLAS!$B$52:$B$58,0))+DATOS!$C$32))),CG26&gt;MIN(DATOS!$C$28,INT(((DATOS!$C$13-2*S26-2*IF(DATOS!$C$25=0,0,INDEX(TABLAS!$C$52:$C$58,MATCH(DATOS!$C$25,TABLAS!$B$52:$B$58,0))))+DATOS!$C$32)/(INDEX(TABLAS!$C$52:$C$58,MATCH(CF26,TABLAS!$B$52:$B$58,0))+DATOS!$C$32))))),NOT(OR(AND(ISNUMBER(BM26),BM26&lt;0.005),AND(ISNUMBER(BU26),BU26&lt;0.005),AND(ISNUMBER(CC26),CC26&lt;0.005),AND(ISNUMBER(CK26),CK26&lt;0.005))),CS26="CUMPLE",CT26="CUMPLE"),IF(CY26="OK",IF(LEFT(CO26,6)="CUMPLE","CUMPLE","CUMPLE — "&amp;CO26)&amp;IF(LEFT(AZ26,5)="FUERA"," · fuera de 3.4.2.1 c)",""),IF(CY26="VER PRINCIPALES","VER PRINCIPALES","REVISAR APOYOS")),IF(AND(MAX(BL26,BT26,CB26,CJ26)&lt;=1,NOT(OR(BI26&gt;MIN(DATOS!$C$28,INT(((DATOS!$C$13-2*R26-2*IF(DATOS!$C$25=0,0,INDEX(TABLAS!$C$52:$C$58,MATCH(DATOS!$C$25,TABLAS!$B$52:$B$58,0))))+DATOS!$C$32)/(INDEX(TABLAS!$C$52:$C$58,MATCH(BH26,TABLAS!$B$52:$B$58,0))+DATOS!$C$32))),BQ26&gt;MIN(DATOS!$C$28,INT(((DATOS!$C$13-2*S26-2*IF(DATOS!$C$25=0,0,INDEX(TABLAS!$C$52:$C$58,MATCH(DATOS!$C$25,TABLAS!$B$52:$B$58,0))))+DATOS!$C$32)/(INDEX(TABLAS!$C$52:$C$58,MATCH(BP26,TABLAS!$B$52:$B$58,0))+DATOS!$C$32))),BY26&gt;MIN(DATOS!$C$28,INT(((DATOS!$C$13-2*R26-2*IF(DATOS!$C$25=0,0,INDEX(TABLAS!$C$52:$C$58,MATCH(DATOS!$C$25,TABLAS!$B$52:$B$58,0))))+DATOS!$C$32)/(INDEX(TABLAS!$C$52:$C$58,MATCH(BX26,TABLAS!$B$52:$B$58,0))+DATOS!$C$32))),CG26&gt;MIN(DATOS!$C$28,INT(((DATOS!$C$13-2*S26-2*IF(DATOS!$C$25=0,0,INDEX(TABLAS!$C$52:$C$58,MATCH(DATOS!$C$25,TABLAS!$B$52:$B$58,0))))+DATOS!$C$32)/(INDEX(TABLAS!$C$52:$C$58,MATCH(CF26,TABLAS!$B$52:$B$58,0))+DATOS!$C$32))))),NOT(OR(AND(ISNUMBER(BM26),BM26&lt;0.005),AND(ISNUMBER(BU26),BU26&lt;0.005),AND(ISNUMBER(CC26),CC26&lt;0.005),AND(ISNUMBER(CK26),CK26&lt;0.005))),CS26="CALCULAR FLECHA"),"REVISAR: calcular flecha (h_eq &lt; h mín.)","NO CUMPLE: "&amp;IF(MAX(BL26,BT26,CB26,CJ26)&gt;1,"flexión ","")&amp;IF(OR(BI26&gt;MIN(DATOS!$C$28,INT(((DATOS!$C$13-2*R26-2*IF(DATOS!$C$25=0,0,INDEX(TABLAS!$C$52:$C$58,MATCH(DATOS!$C$25,TABLAS!$B$52:$B$58,0))))+DATOS!$C$32)/(INDEX(TABLAS!$C$52:$C$58,MATCH(BH26,TABLAS!$B$52:$B$58,0))+DATOS!$C$32))),BQ26&gt;MIN(DATOS!$C$28,INT(((DATOS!$C$13-2*S26-2*IF(DATOS!$C$25=0,0,INDEX(TABLAS!$C$52:$C$58,MATCH(DATOS!$C$25,TABLAS!$B$52:$B$58,0))))+DATOS!$C$32)/(INDEX(TABLAS!$C$52:$C$58,MATCH(BP26,TABLAS!$B$52:$B$58,0))+DATOS!$C$32))),BY26&gt;MIN(DATOS!$C$28,INT(((DATOS!$C$13-2*R26-2*IF(DATOS!$C$25=0,0,INDEX(TABLAS!$C$52:$C$58,MATCH(DATOS!$C$25,TABLAS!$B$52:$B$58,0))))+DATOS!$C$32)/(INDEX(TABLAS!$C$52:$C$58,MATCH(BX26,TABLAS!$B$52:$B$58,0))+DATOS!$C$32))),CG26&gt;MIN(DATOS!$C$28,INT(((DATOS!$C$13-2*S26-2*IF(DATOS!$C$25=0,0,INDEX(TABLAS!$C$52:$C$58,MATCH(DATOS!$C$25,TABLAS!$B$52:$B$58,0))))+DATOS!$C$32)/(INDEX(TABLAS!$C$52:$C$58,MATCH(CF26,TABLAS!$B$52:$B$58,0))+DATOS!$C$32)))),"no caben ","")&amp;IF(OR(AND(ISNUMBER(BM26),BM26&lt;0.005),AND(ISNUMBER(BU26),BU26&lt;0.005),AND(ISNUMBER(CC26),CC26&lt;0.005),AND(ISNUMBER(CK26),CK26&lt;0.005)),"ε_t &lt; 0.005 ","")&amp;IF(CS26="NO CUMPLE","peralte ","")&amp;IF(CT26&lt;&gt;"CUMPLE","capa &lt; 6 cm",""))))</f>
        <v>NO CUMPLE: no caben ε_t &lt; 0.005 </v>
      </c>
      <c r="DA26" s="65" t="str">
        <f>IF(AND(D26="PERIMETRAL",MIN(CW26,CX26)=0),"Tablero macizo (no cabe un casetón en el claro corto): no aplica 6.7.8. La resistencia se revisa con una nervadura de 10 cm cada 70 cm y r_np (conservador); "&amp;"como losa maciza lleva además As,mín = 0.0018·Ag en cada dirección cerca de la cara a tensión (6.7.6.1.1, p. 175). ",IF(AND(CL26="NO",D26="PERIMETRAL"),"No cumple 6.7.8.1.4 (a_c = "&amp;DATOS!$C$11&amp;" cm &gt; claro corto/6 = "&amp;TEXT(J26*100/6,"0")&amp;" cm): se diseña como losa apoyada en vigas (6.7.8.1.9): nervaduras con recubrimiento de viga r_np = "&amp;DATOS!$C$22&amp;" cm (Tabla 4.14.16.a), V_cR sin ×1.1 y cortante sin estribos por 5.5.3.8.1 (criterio del Proyectista). Para que cuente como encasetonada: casetón de "&amp;TEXT(FLOOR(MIN(80,J26*100/6),1),"0")&amp;" cm o menor. ",""))&amp;IF(LEFT(AZ26,5)="FUERA","M⁻ del borde común "&amp;AZ26&amp;": difieren más de 50% (3.4.2.1 c); se distribuyen 2/3 del desequilibrio (3.4.3.1) y conviene confirmar los momentos con el modelo. ","")&amp;"Volado de 2.00 m desde el borde inferior (muro); orilla libre con 333.7 kg/m del E2K. Cara inferior a la intemperie (r = r_ext); cara superior a la intemperie si DATOS lo indica (r = r_ext). Si la ori"&amp;"lla lleva pretil de block u otro elemento frágil, el L/8 no basta: calcular flecha (13.4). Bastón superior: se prolonga hacia el claro de respaldo (4.00 m) hasta pasar el punto donde se anula el momen"&amp;"to con 0.9·PP y sin carga viva (NTC-Criterios 3.4.1 c y 5.1.2.2)."</f>
        <v>Volado de 2.00 m desde el borde inferior (muro); orilla libre con 333.7 kg/m del E2K. Cara inferior a la intemperie (r = r_ext); cara superior a la intemperie si DATOS lo indica (r = r_ext). Si la orilla lleva pretil de block u otro elemento frágil, el L/8 no basta: calcular flecha (13.4). Bastón superior: se prolonga hacia el claro de respaldo (4.00 m) hasta pasar el punto donde se anula el momento con 0.9·PP y sin carga viva (NTC-Criterios 3.4.1 c y 5.1.2.2).</v>
      </c>
    </row>
    <row r="27" ht="30" customHeight="1">
      <c r="B27" s="51" t="inlineStr">
        <is>
          <t>F80020 N+3.00</t>
        </is>
      </c>
      <c r="C27" s="52" t="inlineStr">
        <is>
          <t>N+3.00</t>
        </is>
      </c>
      <c r="D27" s="53" t="inlineStr">
        <is>
          <t>PERIMETRAL</t>
        </is>
      </c>
      <c r="E27" s="53" t="inlineStr">
        <is>
          <t>HABITACIÓN</t>
        </is>
      </c>
      <c r="F27" s="54" t="n">
        <v>1.6</v>
      </c>
      <c r="G27" s="54" t="n">
        <v>2.925</v>
      </c>
      <c r="H27" s="55" t="n">
        <v>1.6</v>
      </c>
      <c r="I27" s="55" t="n">
        <v>2.925</v>
      </c>
      <c r="J27" s="36">
        <f>MIN(H27,I27)</f>
        <v>1.6</v>
      </c>
      <c r="K27" s="36">
        <f>MAX(H27,I27)</f>
        <v>2.925</v>
      </c>
      <c r="L27" s="36">
        <f>IF(K27&gt;0,J27/K27,0)</f>
        <v>0.547008547008547</v>
      </c>
      <c r="M27" s="52" t="str">
        <f>IF(H27&lt;=I27,"X","Y")</f>
        <v>X</v>
      </c>
      <c r="N27" s="56">
        <f>MAX(0,J27*100-IF(D27="VOLADO",DATOS!$C$17/2,DATOS!$C$17))</f>
        <v>145</v>
      </c>
      <c r="O27" s="56">
        <f>MAX(0,K27*100-DATOS!$C$17)</f>
        <v>277.5</v>
      </c>
      <c r="P27" s="57">
        <f>MIN(DATOS!$C$16,DATOS!$C$13+2*MIN(8*DATOS!$C$14,DATOS!$C$11/2,N27/8))</f>
        <v>46.25</v>
      </c>
      <c r="Q27" s="57">
        <f>MIN(DATOS!$C$16,DATOS!$C$13+2*MIN(8*DATOS!$C$14,DATOS!$C$11/2,O27/8))</f>
        <v>70</v>
      </c>
      <c r="R27" s="57">
        <f>IF(D27="VOLADO",DATOS!$C$21,IF(CL27="NO",DATOS!$C$22,DATOS!$C$20))</f>
        <v>4</v>
      </c>
      <c r="S27" s="57">
        <f>IF(OR(AND(C27="N+6.00",DATOS!$C$23="SÍ"),AND(D27="VOLADO",DATOS!$C$24="SÍ")),DATOS!$C$21,IF(CL27="NO",DATOS!$C$22,DATOS!$C$20))</f>
        <v>4</v>
      </c>
      <c r="T27" s="58" t="n">
        <v>225</v>
      </c>
      <c r="U27" s="56">
        <f>IF(E27="HABITACIÓN",DATOS!$C$89,DATOS!$C$92)</f>
        <v>190</v>
      </c>
      <c r="V27" s="56">
        <f>CARGAS!$C$9</f>
        <v>293.673469387755</v>
      </c>
      <c r="W27" s="56">
        <f>V27+T27</f>
        <v>518.673469387755</v>
      </c>
      <c r="X27" s="56">
        <f>W27+U27</f>
        <v>708.673469387755</v>
      </c>
      <c r="Y27" s="59">
        <f>MAX(DATOS!$C$55*W27+DATOS!$C$56*U27,IF(E27="AZOTEA",DATOS!$C$57*(W27+DATOS!$C$97),0))</f>
        <v>959.275510204082</v>
      </c>
      <c r="Z27" s="56">
        <f>(APOYOS!$G$101="DISCONTINUO")+(APOYOS!$G$102="DISCONTINUO")+(APOYOS!$G$103="DISCONTINUO")+(APOYOS!$G$104="DISCONTINUO")</f>
        <v>2</v>
      </c>
      <c r="AA27" s="56">
        <f>IF(M27="X",(APOYOS!$G$101="DISCONTINUO")+(APOYOS!$G$102="DISCONTINUO"),(APOYOS!$G$103="DISCONTINUO")+(APOYOS!$G$104="DISCONTINUO"))</f>
        <v>1</v>
      </c>
      <c r="AB27" s="56">
        <f>Z27-AA27</f>
        <v>1</v>
      </c>
      <c r="AC27" s="52" t="str">
        <f>IF(Z27=0,"INTERIOR",IF(Z27=1,IF(AA27=1,"BORDE-CORTO","BORDE-LARGO"),IF(Z27=2,IF(AA27=1,"ESQUINA",IF(AA27=2,"EXTREMO-LARGO","EXTREMO-CORTO")),IF(Z27=3,IF(AA27=2,"EXTREMO-LARGO","EXTREMO-CORTO"),"AISLADO"))))</f>
        <v>ESQUINA</v>
      </c>
      <c r="AD27" s="53" t="inlineStr">
        <is>
          <t>AUTO</t>
        </is>
      </c>
      <c r="AE27" s="60" t="str">
        <f>IF(AD27="AUTO",AC27,AD27)</f>
        <v>ESQUINA</v>
      </c>
      <c r="AF27" s="56">
        <f>MATCH(L27,TABLAS!$D$5:$J$5,1)</f>
        <v>2</v>
      </c>
      <c r="AG27" s="43">
        <f>IF(AF27&gt;=7,0,(L27-INDEX(TABLAS!$D$5:$J$5,AF27))/(INDEX(TABLAS!$D$5:$J$5,AF27+1)-INDEX(TABLAS!$D$5:$J$5,AF27)))</f>
        <v>0.470085470085471</v>
      </c>
      <c r="AH27" s="56">
        <f>INDEX(TABLAS!$D$6:$J$47,MATCH(AE27&amp;"|NIC",TABLAS!$B$6:$B$47,0),AF27)+AG27*(INDEX(TABLAS!$D$6:$J$47,MATCH(AE27&amp;"|NIC",TABLAS!$B$6:$B$47,0),MIN(AF27+1,7))-INDEX(TABLAS!$D$6:$J$47,MATCH(AE27&amp;"|NIC",TABLAS!$B$6:$B$47,0),AF27))</f>
        <v>1224.05128205128</v>
      </c>
      <c r="AI27" s="56">
        <f>INDEX(TABLAS!$D$6:$J$47,MATCH(AE27&amp;"|NIL",TABLAS!$B$6:$B$47,0),AF27)+AG27*(INDEX(TABLAS!$D$6:$J$47,MATCH(AE27&amp;"|NIL",TABLAS!$B$6:$B$47,0),MIN(AF27+1,7))-INDEX(TABLAS!$D$6:$J$47,MATCH(AE27&amp;"|NIL",TABLAS!$B$6:$B$47,0),AF27))</f>
        <v>563.547008547009</v>
      </c>
      <c r="AJ27" s="56">
        <f>INDEX(TABLAS!$D$6:$J$47,MATCH(AE27&amp;"|NDC",TABLAS!$B$6:$B$47,0),AF27)+AG27*(INDEX(TABLAS!$D$6:$J$47,MATCH(AE27&amp;"|NDC",TABLAS!$B$6:$B$47,0),MIN(AF27+1,7))-INDEX(TABLAS!$D$6:$J$47,MATCH(AE27&amp;"|NDC",TABLAS!$B$6:$B$47,0),AF27))</f>
        <v>342.726495726496</v>
      </c>
      <c r="AK27" s="56">
        <f>INDEX(TABLAS!$D$6:$J$47,MATCH(AE27&amp;"|NDL",TABLAS!$B$6:$B$47,0),AF27)+AG27*(INDEX(TABLAS!$D$6:$J$47,MATCH(AE27&amp;"|NDL",TABLAS!$B$6:$B$47,0),MIN(AF27+1,7))-INDEX(TABLAS!$D$6:$J$47,MATCH(AE27&amp;"|NDL",TABLAS!$B$6:$B$47,0),AF27))</f>
        <v>326.888888888889</v>
      </c>
      <c r="AL27" s="56">
        <f>INDEX(TABLAS!$D$6:$J$47,MATCH(AE27&amp;"|PC",TABLAS!$B$6:$B$47,0),AF27)+AG27*(INDEX(TABLAS!$D$6:$J$47,MATCH(AE27&amp;"|PC",TABLAS!$B$6:$B$47,0),MIN(AF27+1,7))-INDEX(TABLAS!$D$6:$J$47,MATCH(AE27&amp;"|PC",TABLAS!$B$6:$B$47,0),AF27))</f>
        <v>444.948717948718</v>
      </c>
      <c r="AM27" s="56">
        <f>INDEX(TABLAS!$D$6:$J$47,MATCH(AE27&amp;"|PL",TABLAS!$B$6:$B$47,0),AF27)+AG27*(INDEX(TABLAS!$D$6:$J$47,MATCH(AE27&amp;"|PL",TABLAS!$B$6:$B$47,0),MIN(AF27+1,7))-INDEX(TABLAS!$D$6:$J$47,MATCH(AE27&amp;"|PL",TABLAS!$B$6:$B$47,0),AF27))</f>
        <v>296.119658119658</v>
      </c>
      <c r="AN27" s="36">
        <f>IF(D27="PERIMETRAL",IF(APOYOS!$G$101="CONTINUO",IF(M27="Y",AH27,AI27),IF(M27="Y",AJ27,AK27))*Y27*J27^2*1E-4*DATOS!$C$16/100/1000,0)</f>
        <v>0.0968749544713065</v>
      </c>
      <c r="AO27" s="36">
        <f>IF(D27="PERIMETRAL",IF(APOYOS!$G$102="CONTINUO",IF(M27="Y",AH27,AI27),IF(M27="Y",AJ27,AK27))*Y27*J27^2*1E-4*DATOS!$C$16/100/1000,0)</f>
        <v>0.056192909815873</v>
      </c>
      <c r="AP27" s="36">
        <f>IF(D27="PERIMETRAL",IF(APOYOS!$G$103="CONTINUO",IF(M27="X",AH27,AI27),IF(M27="X",AJ27,AK27))*Y27*J27^2*1E-4*DATOS!$C$16/100/1000,0)</f>
        <v>0.210417073324542</v>
      </c>
      <c r="AQ27" s="36">
        <f>IF(D27="PERIMETRAL",IF(APOYOS!$G$104="CONTINUO",IF(M27="X",AH27,AI27),IF(M27="X",AJ27,AK27))*Y27*J27^2*1E-4*DATOS!$C$16/100/1000,0)</f>
        <v>0.0589154288214896</v>
      </c>
      <c r="AR27" s="56">
        <f>IF(D27="PERIMETRAL",IF(M27="X",BN27,CD27)^3/(J27*100),0)</f>
        <v>45.5560697554312</v>
      </c>
      <c r="AS27" s="56">
        <f>IF(D27="PERIMETRAL",IF(M27="Y",BN27,CD27)^3/(J27*100),0)</f>
        <v>37.1777148697438</v>
      </c>
      <c r="AT27" s="36">
        <f>IF(D27="PERIMETRAL",MAX(0,IF(M27="Y",IF(AND(OR(APOYOS!$G$101="CONTINUO",APOYOS!$G$94="CONTINUO"),AN27&gt;0,AO25&gt;0,AO25&gt;AN27),AN27+2/3*(AO25-AN27)*AS27/MAX(AS27+AS25,1E-9),0),0)),0)</f>
        <v>0</v>
      </c>
      <c r="AU27" s="36">
        <f>IF(D27="PERIMETRAL",MAX(0,IF(M27&lt;&gt;"Y",IF(AND(OR(APOYOS!$G$101="CONTINUO",APOYOS!$G$94="CONTINUO"),AN27&gt;0,AO25&gt;0,AO25&gt;AN27),AN27+2/3*(AO25-AN27)*AS27/MAX(AS27+AS25,1E-9),0),0)),0)</f>
        <v>0.243166864649591</v>
      </c>
      <c r="AV27" s="36">
        <f>IF(D27="PERIMETRAL",(IF(M27="Y",IF(AND(OR(APOYOS!$G$101="CONTINUO",APOYOS!$G$94="CONTINUO"),AN27&gt;0,AO25&gt;0,AN27&gt;AO25),2/3*(AN27-AO25)*AS27/MAX(AS27+AS25,1E-9),0),0))/2,0)</f>
        <v>0</v>
      </c>
      <c r="AW27" s="36">
        <f>IF(D27="PERIMETRAL",(IF(M27&lt;&gt;"Y",IF(AND(OR(APOYOS!$G$101="CONTINUO",APOYOS!$G$94="CONTINUO"),AN27&gt;0,AO25&gt;0,AN27&gt;AO25),2/3*(AN27-AO25)*AS27/MAX(AS27+AS25,1E-9),0),0))/2,0)</f>
        <v>0</v>
      </c>
      <c r="AX27" s="36">
        <f>IF(D27="PERIMETRAL",MAX(0,IF(AND(APOYOS!$G$103="CONTINUO",D26="VOLADO"),MAX(0,BC26-AP27)/MAX(IF(M27="X",N27,O27)/100,0.01),0)),0)</f>
        <v>1.09862163477618</v>
      </c>
      <c r="AY27" s="52" t="str">
        <f>IF(D27&lt;&gt;"PERIMETRAL","",IF(AND(OR(APOYOS!$G$101="CONTINUO",APOYOS!$G$94="CONTINUO"),AN27&gt;0,AO25&gt;0,ABS(AN27-AO25)&gt;0.5*MIN(AN27,AO25))," F80018",""))</f>
        <v> F80018</v>
      </c>
      <c r="AZ27" s="52" t="str">
        <f>IF(D27&lt;&gt;"PERIMETRAL","—",IF(AY27="","CUMPLE","FUERA con"&amp;AY27)&amp;IF(AND(D25="PERIMETRAL",APOYOS!$G$101&lt;&gt;APOYOS!$G$94)," · continuidad asimétrica con F80018 (cada uno con su momento; revisar APOYOS)","")&amp;IF(AND(APOYOS!$G$103="CONTINUO",D26="VOLADO")," · junto al volado F80019: se arma con su M⁻ y su cortante entra en V_u",""))</f>
        <v>FUERA con F80018 · junto al volado F80019: se arma con su M⁻ y su cortante entra en V_u</v>
      </c>
      <c r="BA27" s="61" t="n">
        <v>0</v>
      </c>
      <c r="BB27" s="36">
        <f>IF(D27="PERIMETRAL",AL27*Y27*J27^2*1E-4*DATOS!$C$16/100/1000+AV27,0)</f>
        <v>0.0764876507897436</v>
      </c>
      <c r="BC27" s="36">
        <f>IF(D27="PERIMETRAL",MAX(MAX(AH27,AJ27)*Y27*J27^2*1E-4*DATOS!$C$16/100/1000,AT27),IF(D27="VOLADO",(Y27*(N27/100)^2/2+DATOS!$C$55*BA27*N27/100)*DATOS!$C$16/100/1000,0))</f>
        <v>0.210417073324542</v>
      </c>
      <c r="BD27" s="36">
        <f>IF(D27="PERIMETRAL",AM27*Y27*J27^2*1E-4*DATOS!$C$16/100/1000+AW27,0)</f>
        <v>0.0509036122334555</v>
      </c>
      <c r="BE27" s="36">
        <f>IF(D27="PERIMETRAL",MAX(MAX(AI27,AK27)*Y27*J27^2*1E-4*DATOS!$C$16/100/1000,AU27),0)</f>
        <v>0.243166864649591</v>
      </c>
      <c r="BF27" s="43">
        <f>(DATOS!$C$15-R27-IF(DATOS!$C$25=0,0,INDEX(TABLAS!$C$52:$C$58,MATCH(DATOS!$C$25,TABLAS!$B$52:$B$58,0)))-INDEX(TABLAS!$C$52:$C$58,MATCH(DATOS!$C$26,TABLAS!$B$52:$B$58,0))/2)</f>
        <v>20.365</v>
      </c>
      <c r="BG27" s="43">
        <f>IF(D27="HUECO",0,IF(IF(BB27&lt;=0,0,IF((1-2*BB27*1E5/(DATOS!$C$58*P27*BF27^2*DATOS!$C$48))&lt;0,-1,IF((1-SQRT((1-2*BB27*1E5/(DATOS!$C$58*P27*BF27^2*DATOS!$C$48))))*DATOS!$C$48*P27*BF27/DATOS!$C$40&gt;DATOS!$C$82*P27*BF27,-1,(1-SQRT((1-2*BB27*1E5/(DATOS!$C$58*P27*BF27^2*DATOS!$C$48))))*DATOS!$C$48*P27*BF27/DATOS!$C$40)))&lt;0,-1,MAX(IF(BB27&lt;=0,0,IF((1-2*BB27*1E5/(DATOS!$C$58*P27*BF27^2*DATOS!$C$48))&lt;0,-1,IF((1-SQRT((1-2*BB27*1E5/(DATOS!$C$58*P27*BF27^2*DATOS!$C$48))))*DATOS!$C$48*P27*BF27/DATOS!$C$40&gt;DATOS!$C$82*P27*BF27,-1,(1-SQRT((1-2*BB27*1E5/(DATOS!$C$58*P27*BF27^2*DATOS!$C$48))))*DATOS!$C$48*P27*BF27/DATOS!$C$40))),MIN(DATOS!$C$83*DATOS!$C$13*BF27,4/3*IF(BB27&lt;=0,0,IF((1-2*BB27*1E5/(DATOS!$C$58*P27*BF27^2*DATOS!$C$48))&lt;0,-1,IF((1-SQRT((1-2*BB27*1E5/(DATOS!$C$58*P27*BF27^2*DATOS!$C$48))))*DATOS!$C$48*P27*BF27/DATOS!$C$40&gt;DATOS!$C$82*P27*BF27,-1,(1-SQRT((1-2*BB27*1E5/(DATOS!$C$58*P27*BF27^2*DATOS!$C$48))))*DATOS!$C$48*P27*BF27/DATOS!$C$40)))))))</f>
        <v>0.132619476657878</v>
      </c>
      <c r="BH27" s="41">
        <f>IF(AND(BG27&gt;=0,IF(MAX(DATOS!$C$29,CEILING(BG27/INDEX(TABLAS!$D$52:$D$58,MIN(MATCH(DATOS!$C$26,TABLAS!$B$52:$B$58,0)+0,7)),1))*INDEX(TABLAS!$D$52:$D$58,MIN(MATCH(DATOS!$C$26,TABLAS!$B$52:$B$58,0)+0,7))&gt;=4/3*IF(BB27&lt;=0,0,IF((1-2*BB27*1E5/(DATOS!$C$58*P27*BF27^2*DATOS!$C$48))&lt;0,-1,IF((1-SQRT((1-2*BB27*1E5/(DATOS!$C$58*P27*BF27^2*DATOS!$C$48))))*DATOS!$C$48*P27*BF27/DATOS!$C$40&gt;DATOS!$C$82*P27*BF27,-1,(1-SQRT((1-2*BB27*1E5/(DATOS!$C$58*P27*BF27^2*DATOS!$C$48))))*DATOS!$C$48*P27*BF27/DATOS!$C$40)))-0.0001,MAX(DATOS!$C$29,CEILING(BG27/INDEX(TABLAS!$D$52:$D$58,MIN(MATCH(DATOS!$C$26,TABLAS!$B$52:$B$58,0)+0,7)),1)),MAX(MAX(DATOS!$C$29,CEILING(BG27/INDEX(TABLAS!$D$52:$D$58,MIN(MATCH(DATOS!$C$26,TABLAS!$B$52:$B$58,0)+0,7)),1)),2))&lt;=MIN(DATOS!$C$28,INT(((DATOS!$C$13-2*R27-2*IF(DATOS!$C$25=0,0,INDEX(TABLAS!$C$52:$C$58,MATCH(DATOS!$C$25,TABLAS!$B$52:$B$58,0))))+MAX(DATOS!$C$32,INDEX(TABLAS!$C$52:$C$58,MIN(MATCH(DATOS!$C$26,TABLAS!$B$52:$B$58,0)+0,7))))/(INDEX(TABLAS!$C$52:$C$58,MIN(MATCH(DATOS!$C$26,TABLAS!$B$52:$B$58,0)+0,7))+MAX(DATOS!$C$32,INDEX(TABLAS!$C$52:$C$58,MIN(MATCH(DATOS!$C$26,TABLAS!$B$52:$B$58,0)+0,7))))))),INDEX(TABLAS!$B$52:$B$58,MIN(MATCH(DATOS!$C$26,TABLAS!$B$52:$B$58,0)+0,7)),IF(AND(BG27&gt;=0,IF(MAX(DATOS!$C$29,CEILING(BG27/INDEX(TABLAS!$D$52:$D$58,MIN(MATCH(DATOS!$C$26,TABLAS!$B$52:$B$58,0)+1,7)),1))*INDEX(TABLAS!$D$52:$D$58,MIN(MATCH(DATOS!$C$26,TABLAS!$B$52:$B$58,0)+1,7))&gt;=4/3*IF(BB27&lt;=0,0,IF((1-2*BB27*1E5/(DATOS!$C$58*P27*BF27^2*DATOS!$C$48))&lt;0,-1,IF((1-SQRT((1-2*BB27*1E5/(DATOS!$C$58*P27*BF27^2*DATOS!$C$48))))*DATOS!$C$48*P27*BF27/DATOS!$C$40&gt;DATOS!$C$82*P27*BF27,-1,(1-SQRT((1-2*BB27*1E5/(DATOS!$C$58*P27*BF27^2*DATOS!$C$48))))*DATOS!$C$48*P27*BF27/DATOS!$C$40)))-0.0001,MAX(DATOS!$C$29,CEILING(BG27/INDEX(TABLAS!$D$52:$D$58,MIN(MATCH(DATOS!$C$26,TABLAS!$B$52:$B$58,0)+1,7)),1)),MAX(MAX(DATOS!$C$29,CEILING(BG27/INDEX(TABLAS!$D$52:$D$58,MIN(MATCH(DATOS!$C$26,TABLAS!$B$52:$B$58,0)+1,7)),1)),2))&lt;=MIN(DATOS!$C$28,INT(((DATOS!$C$13-2*R27-2*IF(DATOS!$C$25=0,0,INDEX(TABLAS!$C$52:$C$58,MATCH(DATOS!$C$25,TABLAS!$B$52:$B$58,0))))+MAX(DATOS!$C$32,INDEX(TABLAS!$C$52:$C$58,MIN(MATCH(DATOS!$C$26,TABLAS!$B$52:$B$58,0)+1,7))))/(INDEX(TABLAS!$C$52:$C$58,MIN(MATCH(DATOS!$C$26,TABLAS!$B$52:$B$58,0)+1,7))+MAX(DATOS!$C$32,INDEX(TABLAS!$C$52:$C$58,MIN(MATCH(DATOS!$C$26,TABLAS!$B$52:$B$58,0)+1,7))))))),INDEX(TABLAS!$B$52:$B$58,MIN(MATCH(DATOS!$C$26,TABLAS!$B$52:$B$58,0)+1,7)),IF(AND(BG27&gt;=0,IF(MAX(DATOS!$C$29,CEILING(BG27/INDEX(TABLAS!$D$52:$D$58,MIN(MATCH(DATOS!$C$26,TABLAS!$B$52:$B$58,0)+2,7)),1))*INDEX(TABLAS!$D$52:$D$58,MIN(MATCH(DATOS!$C$26,TABLAS!$B$52:$B$58,0)+2,7))&gt;=4/3*IF(BB27&lt;=0,0,IF((1-2*BB27*1E5/(DATOS!$C$58*P27*BF27^2*DATOS!$C$48))&lt;0,-1,IF((1-SQRT((1-2*BB27*1E5/(DATOS!$C$58*P27*BF27^2*DATOS!$C$48))))*DATOS!$C$48*P27*BF27/DATOS!$C$40&gt;DATOS!$C$82*P27*BF27,-1,(1-SQRT((1-2*BB27*1E5/(DATOS!$C$58*P27*BF27^2*DATOS!$C$48))))*DATOS!$C$48*P27*BF27/DATOS!$C$40)))-0.0001,MAX(DATOS!$C$29,CEILING(BG27/INDEX(TABLAS!$D$52:$D$58,MIN(MATCH(DATOS!$C$26,TABLAS!$B$52:$B$58,0)+2,7)),1)),MAX(MAX(DATOS!$C$29,CEILING(BG27/INDEX(TABLAS!$D$52:$D$58,MIN(MATCH(DATOS!$C$26,TABLAS!$B$52:$B$58,0)+2,7)),1)),2))&lt;=MIN(DATOS!$C$28,INT(((DATOS!$C$13-2*R27-2*IF(DATOS!$C$25=0,0,INDEX(TABLAS!$C$52:$C$58,MATCH(DATOS!$C$25,TABLAS!$B$52:$B$58,0))))+MAX(DATOS!$C$32,INDEX(TABLAS!$C$52:$C$58,MIN(MATCH(DATOS!$C$26,TABLAS!$B$52:$B$58,0)+2,7))))/(INDEX(TABLAS!$C$52:$C$58,MIN(MATCH(DATOS!$C$26,TABLAS!$B$52:$B$58,0)+2,7))+MAX(DATOS!$C$32,INDEX(TABLAS!$C$52:$C$58,MIN(MATCH(DATOS!$C$26,TABLAS!$B$52:$B$58,0)+2,7))))))),INDEX(TABLAS!$B$52:$B$58,MIN(MATCH(DATOS!$C$26,TABLAS!$B$52:$B$58,0)+2,7)),IF(AND(BG27&gt;=0,IF(MAX(DATOS!$C$29,CEILING(BG27/INDEX(TABLAS!$D$52:$D$58,MIN(MATCH(DATOS!$C$26,TABLAS!$B$52:$B$58,0)+3,7)),1))*INDEX(TABLAS!$D$52:$D$58,MIN(MATCH(DATOS!$C$26,TABLAS!$B$52:$B$58,0)+3,7))&gt;=4/3*IF(BB27&lt;=0,0,IF((1-2*BB27*1E5/(DATOS!$C$58*P27*BF27^2*DATOS!$C$48))&lt;0,-1,IF((1-SQRT((1-2*BB27*1E5/(DATOS!$C$58*P27*BF27^2*DATOS!$C$48))))*DATOS!$C$48*P27*BF27/DATOS!$C$40&gt;DATOS!$C$82*P27*BF27,-1,(1-SQRT((1-2*BB27*1E5/(DATOS!$C$58*P27*BF27^2*DATOS!$C$48))))*DATOS!$C$48*P27*BF27/DATOS!$C$40)))-0.0001,MAX(DATOS!$C$29,CEILING(BG27/INDEX(TABLAS!$D$52:$D$58,MIN(MATCH(DATOS!$C$26,TABLAS!$B$52:$B$58,0)+3,7)),1)),MAX(MAX(DATOS!$C$29,CEILING(BG27/INDEX(TABLAS!$D$52:$D$58,MIN(MATCH(DATOS!$C$26,TABLAS!$B$52:$B$58,0)+3,7)),1)),2))&lt;=MIN(DATOS!$C$28,INT(((DATOS!$C$13-2*R27-2*IF(DATOS!$C$25=0,0,INDEX(TABLAS!$C$52:$C$58,MATCH(DATOS!$C$25,TABLAS!$B$52:$B$58,0))))+MAX(DATOS!$C$32,INDEX(TABLAS!$C$52:$C$58,MIN(MATCH(DATOS!$C$26,TABLAS!$B$52:$B$58,0)+3,7))))/(INDEX(TABLAS!$C$52:$C$58,MIN(MATCH(DATOS!$C$26,TABLAS!$B$52:$B$58,0)+3,7))+MAX(DATOS!$C$32,INDEX(TABLAS!$C$52:$C$58,MIN(MATCH(DATOS!$C$26,TABLAS!$B$52:$B$58,0)+3,7))))))),INDEX(TABLAS!$B$52:$B$58,MIN(MATCH(DATOS!$C$26,TABLAS!$B$52:$B$58,0)+3,7)),IF(AND(BG27&gt;=0,IF(MAX(DATOS!$C$29,CEILING(BG27/INDEX(TABLAS!$D$52:$D$58,MIN(MATCH(DATOS!$C$26,TABLAS!$B$52:$B$58,0)+4,7)),1))*INDEX(TABLAS!$D$52:$D$58,MIN(MATCH(DATOS!$C$26,TABLAS!$B$52:$B$58,0)+4,7))&gt;=4/3*IF(BB27&lt;=0,0,IF((1-2*BB27*1E5/(DATOS!$C$58*P27*BF27^2*DATOS!$C$48))&lt;0,-1,IF((1-SQRT((1-2*BB27*1E5/(DATOS!$C$58*P27*BF27^2*DATOS!$C$48))))*DATOS!$C$48*P27*BF27/DATOS!$C$40&gt;DATOS!$C$82*P27*BF27,-1,(1-SQRT((1-2*BB27*1E5/(DATOS!$C$58*P27*BF27^2*DATOS!$C$48))))*DATOS!$C$48*P27*BF27/DATOS!$C$40)))-0.0001,MAX(DATOS!$C$29,CEILING(BG27/INDEX(TABLAS!$D$52:$D$58,MIN(MATCH(DATOS!$C$26,TABLAS!$B$52:$B$58,0)+4,7)),1)),MAX(MAX(DATOS!$C$29,CEILING(BG27/INDEX(TABLAS!$D$52:$D$58,MIN(MATCH(DATOS!$C$26,TABLAS!$B$52:$B$58,0)+4,7)),1)),2))&lt;=MIN(DATOS!$C$28,INT(((DATOS!$C$13-2*R27-2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27" s="56">
        <f>IF(D27="HUECO",0,IF(BG27&lt;0,0,IF(MAX(DATOS!$C$29,CEILING(MAX(BG27,0)/INDEX(TABLAS!$D$52:$D$58,MATCH(BH27,TABLAS!$B$52:$B$58,0)),1))*INDEX(TABLAS!$D$52:$D$58,MATCH(BH27,TABLAS!$B$52:$B$58,0))&gt;=4/3*IF(BB27&lt;=0,0,IF((1-2*BB27*1E5/(DATOS!$C$58*P27*BF27^2*DATOS!$C$48))&lt;0,-1,IF((1-SQRT((1-2*BB27*1E5/(DATOS!$C$58*P27*BF27^2*DATOS!$C$48))))*DATOS!$C$48*P27*BF27/DATOS!$C$40&gt;DATOS!$C$82*P27*BF27,-1,(1-SQRT((1-2*BB27*1E5/(DATOS!$C$58*P27*BF27^2*DATOS!$C$48))))*DATOS!$C$48*P27*BF27/DATOS!$C$40)))-0.0001,MAX(DATOS!$C$29,CEILING(MAX(BG27,0)/INDEX(TABLAS!$D$52:$D$58,MATCH(BH27,TABLAS!$B$52:$B$58,0)),1)),MAX(MAX(DATOS!$C$29,CEILING(MAX(BG27,0)/INDEX(TABLAS!$D$52:$D$58,MATCH(BH27,TABLAS!$B$52:$B$58,0)),1)),2))))</f>
        <v>1</v>
      </c>
      <c r="BJ27" s="43">
        <f>DATOS!$C$15-R27-IF(DATOS!$C$25=0,0,INDEX(TABLAS!$C$52:$C$58,MATCH(DATOS!$C$25,TABLAS!$B$52:$B$58,0)))-INDEX(TABLAS!$C$52:$C$58,MATCH(BH27,TABLAS!$B$52:$B$58,0))/2</f>
        <v>20.365</v>
      </c>
      <c r="BK27" s="36">
        <f>IF(BI27=0,0,DATOS!$C$58*BI27*INDEX(TABLAS!$D$52:$D$58,MATCH(BH27,TABLAS!$B$52:$B$58,0))*DATOS!$C$40*(BJ27-BI27*INDEX(TABLAS!$D$52:$D$58,MATCH(BH27,TABLAS!$B$52:$B$58,0))*DATOS!$C$40/(DATOS!$C$48*P27)/2)/1E5)</f>
        <v>0.96461508645787</v>
      </c>
      <c r="BL27" s="62">
        <f>IF(BG27&lt;0,9.99,IF(BK27&gt;0,BB27/BK27,0))</f>
        <v>0.079293442393288</v>
      </c>
      <c r="BM27" s="63">
        <f>IF(BI27=0,"—",0.003*(BJ27-(BI27*INDEX(TABLAS!$D$52:$D$58,MATCH(BH27,TABLAS!$B$52:$B$58,0))*DATOS!$C$40/(DATOS!$C$48*P27)/DATOS!$C$49))/(BI27*INDEX(TABLAS!$D$52:$D$58,MATCH(BH27,TABLAS!$B$52:$B$58,0))*DATOS!$C$40/(DATOS!$C$48*P27)/DATOS!$C$49))</f>
        <v>0.0926846461086895</v>
      </c>
      <c r="BN27" s="43">
        <f>((DATOS!$C$15-S27-2*DATOS!$C$35-IF(DATOS!$C$25=0,0,INDEX(TABLAS!$C$52:$C$58,MATCH(DATOS!$C$25,TABLAS!$B$52:$B$58,0)))-INDEX(TABLAS!$C$52:$C$58,MATCH(DATOS!$C$27,TABLAS!$B$52:$B$58,0))/2)-IF(AND((DATOS!$C$15-S27-2*DATOS!$C$35-IF(DATOS!$C$25=0,0,INDEX(TABLAS!$C$52:$C$58,MATCH(DATOS!$C$25,TABLAS!$B$52:$B$58,0)))-INDEX(TABLAS!$C$52:$C$58,MATCH(DATOS!$C$27,TABLAS!$B$52:$B$58,0))/2)&lt;=20,DATOS!$C$18&lt;&gt;"SÍ"),2,0))</f>
        <v>19.389</v>
      </c>
      <c r="BO27" s="43">
        <f>IF(D27="HUECO",0,IF(IF(BC27&lt;=0,0,IF((1-2*BC27*1E5/(DATOS!$C$58*DATOS!$C$19*BN27^2*DATOS!$C$48))&lt;0,-1,IF((1-SQRT((1-2*BC27*1E5/(DATOS!$C$58*DATOS!$C$19*BN27^2*DATOS!$C$48))))*DATOS!$C$48*DATOS!$C$19*BN27/DATOS!$C$40&gt;DATOS!$C$82*DATOS!$C$19*BN27,-1,(1-SQRT((1-2*BC27*1E5/(DATOS!$C$58*DATOS!$C$19*BN27^2*DATOS!$C$48))))*DATOS!$C$48*DATOS!$C$19*BN27/DATOS!$C$40)))&lt;0,-1,MAX(IF(BC27&lt;=0,0,IF((1-2*BC27*1E5/(DATOS!$C$58*DATOS!$C$19*BN27^2*DATOS!$C$48))&lt;0,-1,IF((1-SQRT((1-2*BC27*1E5/(DATOS!$C$58*DATOS!$C$19*BN27^2*DATOS!$C$48))))*DATOS!$C$48*DATOS!$C$19*BN27/DATOS!$C$40&gt;DATOS!$C$82*DATOS!$C$19*BN27,-1,(1-SQRT((1-2*BC27*1E5/(DATOS!$C$58*DATOS!$C$19*BN27^2*DATOS!$C$48))))*DATOS!$C$48*DATOS!$C$19*BN27/DATOS!$C$40))),MIN(DATOS!$C$83*IF(D27="VOLADO",2*DATOS!$C$13,DATOS!$C$13)*BN27,4/3*IF(BC27&lt;=0,0,IF((1-2*BC27*1E5/(DATOS!$C$58*DATOS!$C$19*BN27^2*DATOS!$C$48))&lt;0,-1,IF((1-SQRT((1-2*BC27*1E5/(DATOS!$C$58*DATOS!$C$19*BN27^2*DATOS!$C$48))))*DATOS!$C$48*DATOS!$C$19*BN27/DATOS!$C$40&gt;DATOS!$C$82*DATOS!$C$19*BN27,-1,(1-SQRT((1-2*BC27*1E5/(DATOS!$C$58*DATOS!$C$19*BN27^2*DATOS!$C$48))))*DATOS!$C$48*DATOS!$C$19*BN27/DATOS!$C$40)))))))</f>
        <v>0.38857228603051</v>
      </c>
      <c r="BP27" s="41">
        <f>IF(AND(BO27&gt;=0,IF(MAX(DATOS!$C$29,CEILING(BO27/INDEX(TABLAS!$D$52:$D$58,MIN(MATCH(DATOS!$C$27,TABLAS!$B$52:$B$58,0)+0,7)),1))*INDEX(TABLAS!$D$52:$D$58,MIN(MATCH(DATOS!$C$27,TABLAS!$B$52:$B$58,0)+0,7))&gt;=4/3*IF(BC27&lt;=0,0,IF((1-2*BC27*1E5/(DATOS!$C$58*DATOS!$C$19*BN27^2*DATOS!$C$48))&lt;0,-1,IF((1-SQRT((1-2*BC27*1E5/(DATOS!$C$58*DATOS!$C$19*BN27^2*DATOS!$C$48))))*DATOS!$C$48*DATOS!$C$19*BN27/DATOS!$C$40&gt;DATOS!$C$82*DATOS!$C$19*BN27,-1,(1-SQRT((1-2*BC27*1E5/(DATOS!$C$58*DATOS!$C$19*BN27^2*DATOS!$C$48))))*DATOS!$C$48*DATOS!$C$19*BN27/DATOS!$C$40)))-0.0001,MAX(DATOS!$C$29,CEILING(BO27/INDEX(TABLAS!$D$52:$D$58,MIN(MATCH(DATOS!$C$27,TABLAS!$B$52:$B$58,0)+0,7)),1)),MAX(MAX(DATOS!$C$29,CEILING(BO27/INDEX(TABLAS!$D$52:$D$58,MIN(MATCH(DATOS!$C$27,TABLAS!$B$52:$B$58,0)+0,7)),1)),2))&lt;=MIN(DATOS!$C$28,INT(((DATOS!$C$13-2*S27-2*IF(DATOS!$C$25=0,0,INDEX(TABLAS!$C$52:$C$58,MATCH(DATOS!$C$25,TABLAS!$B$52:$B$58,0))))+MAX(DATOS!$C$32,INDEX(TABLAS!$C$52:$C$58,MIN(MATCH(DATOS!$C$27,TABLAS!$B$52:$B$58,0)+0,7))))/(INDEX(TABLAS!$C$52:$C$58,MIN(MATCH(DATOS!$C$27,TABLAS!$B$52:$B$58,0)+0,7))+MAX(DATOS!$C$32,INDEX(TABLAS!$C$52:$C$58,MIN(MATCH(DATOS!$C$27,TABLAS!$B$52:$B$58,0)+0,7))))))),INDEX(TABLAS!$B$52:$B$58,MIN(MATCH(DATOS!$C$27,TABLAS!$B$52:$B$58,0)+0,7)),IF(AND(BO27&gt;=0,IF(MAX(DATOS!$C$29,CEILING(BO27/INDEX(TABLAS!$D$52:$D$58,MIN(MATCH(DATOS!$C$27,TABLAS!$B$52:$B$58,0)+1,7)),1))*INDEX(TABLAS!$D$52:$D$58,MIN(MATCH(DATOS!$C$27,TABLAS!$B$52:$B$58,0)+1,7))&gt;=4/3*IF(BC27&lt;=0,0,IF((1-2*BC27*1E5/(DATOS!$C$58*DATOS!$C$19*BN27^2*DATOS!$C$48))&lt;0,-1,IF((1-SQRT((1-2*BC27*1E5/(DATOS!$C$58*DATOS!$C$19*BN27^2*DATOS!$C$48))))*DATOS!$C$48*DATOS!$C$19*BN27/DATOS!$C$40&gt;DATOS!$C$82*DATOS!$C$19*BN27,-1,(1-SQRT((1-2*BC27*1E5/(DATOS!$C$58*DATOS!$C$19*BN27^2*DATOS!$C$48))))*DATOS!$C$48*DATOS!$C$19*BN27/DATOS!$C$40)))-0.0001,MAX(DATOS!$C$29,CEILING(BO27/INDEX(TABLAS!$D$52:$D$58,MIN(MATCH(DATOS!$C$27,TABLAS!$B$52:$B$58,0)+1,7)),1)),MAX(MAX(DATOS!$C$29,CEILING(BO27/INDEX(TABLAS!$D$52:$D$58,MIN(MATCH(DATOS!$C$27,TABLAS!$B$52:$B$58,0)+1,7)),1)),2))&lt;=MIN(DATOS!$C$28,INT(((DATOS!$C$13-2*S27-2*IF(DATOS!$C$25=0,0,INDEX(TABLAS!$C$52:$C$58,MATCH(DATOS!$C$25,TABLAS!$B$52:$B$58,0))))+MAX(DATOS!$C$32,INDEX(TABLAS!$C$52:$C$58,MIN(MATCH(DATOS!$C$27,TABLAS!$B$52:$B$58,0)+1,7))))/(INDEX(TABLAS!$C$52:$C$58,MIN(MATCH(DATOS!$C$27,TABLAS!$B$52:$B$58,0)+1,7))+MAX(DATOS!$C$32,INDEX(TABLAS!$C$52:$C$58,MIN(MATCH(DATOS!$C$27,TABLAS!$B$52:$B$58,0)+1,7))))))),INDEX(TABLAS!$B$52:$B$58,MIN(MATCH(DATOS!$C$27,TABLAS!$B$52:$B$58,0)+1,7)),IF(AND(BO27&gt;=0,IF(MAX(DATOS!$C$29,CEILING(BO27/INDEX(TABLAS!$D$52:$D$58,MIN(MATCH(DATOS!$C$27,TABLAS!$B$52:$B$58,0)+2,7)),1))*INDEX(TABLAS!$D$52:$D$58,MIN(MATCH(DATOS!$C$27,TABLAS!$B$52:$B$58,0)+2,7))&gt;=4/3*IF(BC27&lt;=0,0,IF((1-2*BC27*1E5/(DATOS!$C$58*DATOS!$C$19*BN27^2*DATOS!$C$48))&lt;0,-1,IF((1-SQRT((1-2*BC27*1E5/(DATOS!$C$58*DATOS!$C$19*BN27^2*DATOS!$C$48))))*DATOS!$C$48*DATOS!$C$19*BN27/DATOS!$C$40&gt;DATOS!$C$82*DATOS!$C$19*BN27,-1,(1-SQRT((1-2*BC27*1E5/(DATOS!$C$58*DATOS!$C$19*BN27^2*DATOS!$C$48))))*DATOS!$C$48*DATOS!$C$19*BN27/DATOS!$C$40)))-0.0001,MAX(DATOS!$C$29,CEILING(BO27/INDEX(TABLAS!$D$52:$D$58,MIN(MATCH(DATOS!$C$27,TABLAS!$B$52:$B$58,0)+2,7)),1)),MAX(MAX(DATOS!$C$29,CEILING(BO27/INDEX(TABLAS!$D$52:$D$58,MIN(MATCH(DATOS!$C$27,TABLAS!$B$52:$B$58,0)+2,7)),1)),2))&lt;=MIN(DATOS!$C$28,INT(((DATOS!$C$13-2*S27-2*IF(DATOS!$C$25=0,0,INDEX(TABLAS!$C$52:$C$58,MATCH(DATOS!$C$25,TABLAS!$B$52:$B$58,0))))+MAX(DATOS!$C$32,INDEX(TABLAS!$C$52:$C$58,MIN(MATCH(DATOS!$C$27,TABLAS!$B$52:$B$58,0)+2,7))))/(INDEX(TABLAS!$C$52:$C$58,MIN(MATCH(DATOS!$C$27,TABLAS!$B$52:$B$58,0)+2,7))+MAX(DATOS!$C$32,INDEX(TABLAS!$C$52:$C$58,MIN(MATCH(DATOS!$C$27,TABLAS!$B$52:$B$58,0)+2,7))))))),INDEX(TABLAS!$B$52:$B$58,MIN(MATCH(DATOS!$C$27,TABLAS!$B$52:$B$58,0)+2,7)),IF(AND(BO27&gt;=0,IF(MAX(DATOS!$C$29,CEILING(BO27/INDEX(TABLAS!$D$52:$D$58,MIN(MATCH(DATOS!$C$27,TABLAS!$B$52:$B$58,0)+3,7)),1))*INDEX(TABLAS!$D$52:$D$58,MIN(MATCH(DATOS!$C$27,TABLAS!$B$52:$B$58,0)+3,7))&gt;=4/3*IF(BC27&lt;=0,0,IF((1-2*BC27*1E5/(DATOS!$C$58*DATOS!$C$19*BN27^2*DATOS!$C$48))&lt;0,-1,IF((1-SQRT((1-2*BC27*1E5/(DATOS!$C$58*DATOS!$C$19*BN27^2*DATOS!$C$48))))*DATOS!$C$48*DATOS!$C$19*BN27/DATOS!$C$40&gt;DATOS!$C$82*DATOS!$C$19*BN27,-1,(1-SQRT((1-2*BC27*1E5/(DATOS!$C$58*DATOS!$C$19*BN27^2*DATOS!$C$48))))*DATOS!$C$48*DATOS!$C$19*BN27/DATOS!$C$40)))-0.0001,MAX(DATOS!$C$29,CEILING(BO27/INDEX(TABLAS!$D$52:$D$58,MIN(MATCH(DATOS!$C$27,TABLAS!$B$52:$B$58,0)+3,7)),1)),MAX(MAX(DATOS!$C$29,CEILING(BO27/INDEX(TABLAS!$D$52:$D$58,MIN(MATCH(DATOS!$C$27,TABLAS!$B$52:$B$58,0)+3,7)),1)),2))&lt;=MIN(DATOS!$C$28,INT(((DATOS!$C$13-2*S27-2*IF(DATOS!$C$25=0,0,INDEX(TABLAS!$C$52:$C$58,MATCH(DATOS!$C$25,TABLAS!$B$52:$B$58,0))))+MAX(DATOS!$C$32,INDEX(TABLAS!$C$52:$C$58,MIN(MATCH(DATOS!$C$27,TABLAS!$B$52:$B$58,0)+3,7))))/(INDEX(TABLAS!$C$52:$C$58,MIN(MATCH(DATOS!$C$27,TABLAS!$B$52:$B$58,0)+3,7))+MAX(DATOS!$C$32,INDEX(TABLAS!$C$52:$C$58,MIN(MATCH(DATOS!$C$27,TABLAS!$B$52:$B$58,0)+3,7))))))),INDEX(TABLAS!$B$52:$B$58,MIN(MATCH(DATOS!$C$27,TABLAS!$B$52:$B$58,0)+3,7)),IF(AND(BO27&gt;=0,IF(MAX(DATOS!$C$29,CEILING(BO27/INDEX(TABLAS!$D$52:$D$58,MIN(MATCH(DATOS!$C$27,TABLAS!$B$52:$B$58,0)+4,7)),1))*INDEX(TABLAS!$D$52:$D$58,MIN(MATCH(DATOS!$C$27,TABLAS!$B$52:$B$58,0)+4,7))&gt;=4/3*IF(BC27&lt;=0,0,IF((1-2*BC27*1E5/(DATOS!$C$58*DATOS!$C$19*BN27^2*DATOS!$C$48))&lt;0,-1,IF((1-SQRT((1-2*BC27*1E5/(DATOS!$C$58*DATOS!$C$19*BN27^2*DATOS!$C$48))))*DATOS!$C$48*DATOS!$C$19*BN27/DATOS!$C$40&gt;DATOS!$C$82*DATOS!$C$19*BN27,-1,(1-SQRT((1-2*BC27*1E5/(DATOS!$C$58*DATOS!$C$19*BN27^2*DATOS!$C$48))))*DATOS!$C$48*DATOS!$C$19*BN27/DATOS!$C$40)))-0.0001,MAX(DATOS!$C$29,CEILING(BO27/INDEX(TABLAS!$D$52:$D$58,MIN(MATCH(DATOS!$C$27,TABLAS!$B$52:$B$58,0)+4,7)),1)),MAX(MAX(DATOS!$C$29,CEILING(BO27/INDEX(TABLAS!$D$52:$D$58,MIN(MATCH(DATOS!$C$27,TABLAS!$B$52:$B$58,0)+4,7)),1)),2))&lt;=MIN(DATOS!$C$28,INT(((DATOS!$C$13-2*S27-2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27" s="56">
        <f>IF(D27="HUECO",0,IF(BO27&lt;0,0,IF(MAX(DATOS!$C$29,CEILING(MAX(BO27,0)/INDEX(TABLAS!$D$52:$D$58,MATCH(BP27,TABLAS!$B$52:$B$58,0)),1))*INDEX(TABLAS!$D$52:$D$58,MATCH(BP27,TABLAS!$B$52:$B$58,0))&gt;=4/3*IF(BC27&lt;=0,0,IF((1-2*BC27*1E5/(DATOS!$C$58*DATOS!$C$19*BN27^2*DATOS!$C$48))&lt;0,-1,IF((1-SQRT((1-2*BC27*1E5/(DATOS!$C$58*DATOS!$C$19*BN27^2*DATOS!$C$48))))*DATOS!$C$48*DATOS!$C$19*BN27/DATOS!$C$40&gt;DATOS!$C$82*DATOS!$C$19*BN27,-1,(1-SQRT((1-2*BC27*1E5/(DATOS!$C$58*DATOS!$C$19*BN27^2*DATOS!$C$48))))*DATOS!$C$48*DATOS!$C$19*BN27/DATOS!$C$40)))-0.0001,MAX(DATOS!$C$29,CEILING(MAX(BO27,0)/INDEX(TABLAS!$D$52:$D$58,MATCH(BP27,TABLAS!$B$52:$B$58,0)),1)),MAX(MAX(DATOS!$C$29,CEILING(MAX(BO27,0)/INDEX(TABLAS!$D$52:$D$58,MATCH(BP27,TABLAS!$B$52:$B$58,0)),1)),2))))</f>
        <v>1</v>
      </c>
      <c r="BR27" s="43">
        <f>((DATOS!$C$15-S27-2*DATOS!$C$35-IF(DATOS!$C$25=0,0,INDEX(TABLAS!$C$52:$C$58,MATCH(DATOS!$C$25,TABLAS!$B$52:$B$58,0)))-INDEX(TABLAS!$C$52:$C$58,MATCH(BP27,TABLAS!$B$52:$B$58,0))/2)-IF(AND((DATOS!$C$15-S27-2*DATOS!$C$35-IF(DATOS!$C$25=0,0,INDEX(TABLAS!$C$52:$C$58,MATCH(DATOS!$C$25,TABLAS!$B$52:$B$58,0)))-INDEX(TABLAS!$C$52:$C$58,MATCH(BP27,TABLAS!$B$52:$B$58,0))/2)&lt;=20,DATOS!$C$18&lt;&gt;"SÍ"),2,0))</f>
        <v>19.389</v>
      </c>
      <c r="BS27" s="36">
        <f>IF(BQ27=0,0,DATOS!$C$58*BQ27*INDEX(TABLAS!$D$52:$D$58,MATCH(BP27,TABLAS!$B$52:$B$58,0))*DATOS!$C$40*(BR27-BQ27*INDEX(TABLAS!$D$52:$D$58,MATCH(BP27,TABLAS!$B$52:$B$58,0))*DATOS!$C$40/(DATOS!$C$48*DATOS!$C$19)/2)/1E5)</f>
        <v>0.870537980117647</v>
      </c>
      <c r="BT27" s="62">
        <f>IF(BO27&lt;0,9.99,IF(BS27&gt;0,BC27/BS27,0))</f>
        <v>0.241709239723356</v>
      </c>
      <c r="BU27" s="63">
        <f>IF(BQ27=0,"—",0.003*(BR27-(BQ27*INDEX(TABLAS!$D$52:$D$58,MATCH(BP27,TABLAS!$B$52:$B$58,0))*DATOS!$C$40/(DATOS!$C$48*DATOS!$C$19)/DATOS!$C$49))/(BQ27*INDEX(TABLAS!$D$52:$D$58,MATCH(BP27,TABLAS!$B$52:$B$58,0))*DATOS!$C$40/(DATOS!$C$48*DATOS!$C$19)/DATOS!$C$49))</f>
        <v>0.0166970648200225</v>
      </c>
      <c r="BV27" s="43">
        <f>(DATOS!$C$15-R27-IF(DATOS!$C$25=0,0,INDEX(TABLAS!$C$52:$C$58,MATCH(DATOS!$C$25,TABLAS!$B$52:$B$58,0)))-INDEX(TABLAS!$C$52:$C$58,MATCH(DATOS!$C$26,TABLAS!$B$52:$B$58,0))-INDEX(TABLAS!$C$52:$C$58,MATCH(DATOS!$C$26,TABLAS!$B$52:$B$58,0))/2)</f>
        <v>19.095</v>
      </c>
      <c r="BW27" s="43">
        <f>IF(D27="HUECO",0,IF(IF(BD27&lt;=0,0,IF((1-2*BD27*1E5/(DATOS!$C$58*Q27*BV27^2*DATOS!$C$48))&lt;0,-1,IF((1-SQRT((1-2*BD27*1E5/(DATOS!$C$58*Q27*BV27^2*DATOS!$C$48))))*DATOS!$C$48*Q27*BV27/DATOS!$C$40&gt;DATOS!$C$82*Q27*BV27,-1,(1-SQRT((1-2*BD27*1E5/(DATOS!$C$58*Q27*BV27^2*DATOS!$C$48))))*DATOS!$C$48*Q27*BV27/DATOS!$C$40)))&lt;0,-1,MAX(IF(BD27&lt;=0,0,IF((1-2*BD27*1E5/(DATOS!$C$58*Q27*BV27^2*DATOS!$C$48))&lt;0,-1,IF((1-SQRT((1-2*BD27*1E5/(DATOS!$C$58*Q27*BV27^2*DATOS!$C$48))))*DATOS!$C$48*Q27*BV27/DATOS!$C$40&gt;DATOS!$C$82*Q27*BV27,-1,(1-SQRT((1-2*BD27*1E5/(DATOS!$C$58*Q27*BV27^2*DATOS!$C$48))))*DATOS!$C$48*Q27*BV27/DATOS!$C$40))),MIN(DATOS!$C$83*DATOS!$C$13*BV27,4/3*IF(BD27&lt;=0,0,IF((1-2*BD27*1E5/(DATOS!$C$58*Q27*BV27^2*DATOS!$C$48))&lt;0,-1,IF((1-SQRT((1-2*BD27*1E5/(DATOS!$C$58*Q27*BV27^2*DATOS!$C$48))))*DATOS!$C$48*Q27*BV27/DATOS!$C$40&gt;DATOS!$C$82*Q27*BV27,-1,(1-SQRT((1-2*BD27*1E5/(DATOS!$C$58*Q27*BV27^2*DATOS!$C$48))))*DATOS!$C$48*Q27*BV27/DATOS!$C$40)))))))</f>
        <v>0.0940811243646367</v>
      </c>
      <c r="BX27" s="41">
        <f>IF(AND(BW27&gt;=0,IF(MAX(DATOS!$C$29,CEILING(BW27/INDEX(TABLAS!$D$52:$D$58,MIN(MATCH(DATOS!$C$26,TABLAS!$B$52:$B$58,0)+0,7)),1))*INDEX(TABLAS!$D$52:$D$58,MIN(MATCH(DATOS!$C$26,TABLAS!$B$52:$B$58,0)+0,7))&gt;=4/3*IF(BD27&lt;=0,0,IF((1-2*BD27*1E5/(DATOS!$C$58*Q27*BV27^2*DATOS!$C$48))&lt;0,-1,IF((1-SQRT((1-2*BD27*1E5/(DATOS!$C$58*Q27*BV27^2*DATOS!$C$48))))*DATOS!$C$48*Q27*BV27/DATOS!$C$40&gt;DATOS!$C$82*Q27*BV27,-1,(1-SQRT((1-2*BD27*1E5/(DATOS!$C$58*Q27*BV27^2*DATOS!$C$48))))*DATOS!$C$48*Q27*BV27/DATOS!$C$40)))-0.0001,MAX(DATOS!$C$29,CEILING(BW27/INDEX(TABLAS!$D$52:$D$58,MIN(MATCH(DATOS!$C$26,TABLAS!$B$52:$B$58,0)+0,7)),1)),MAX(MAX(DATOS!$C$29,CEILING(BW27/INDEX(TABLAS!$D$52:$D$58,MIN(MATCH(DATOS!$C$26,TABLAS!$B$52:$B$58,0)+0,7)),1)),2))&lt;=MIN(DATOS!$C$28,INT(((DATOS!$C$13-2*R27-2*IF(DATOS!$C$25=0,0,INDEX(TABLAS!$C$52:$C$58,MATCH(DATOS!$C$25,TABLAS!$B$52:$B$58,0))))+MAX(DATOS!$C$32,INDEX(TABLAS!$C$52:$C$58,MIN(MATCH(DATOS!$C$26,TABLAS!$B$52:$B$58,0)+0,7))))/(INDEX(TABLAS!$C$52:$C$58,MIN(MATCH(DATOS!$C$26,TABLAS!$B$52:$B$58,0)+0,7))+MAX(DATOS!$C$32,INDEX(TABLAS!$C$52:$C$58,MIN(MATCH(DATOS!$C$26,TABLAS!$B$52:$B$58,0)+0,7))))))),INDEX(TABLAS!$B$52:$B$58,MIN(MATCH(DATOS!$C$26,TABLAS!$B$52:$B$58,0)+0,7)),IF(AND(BW27&gt;=0,IF(MAX(DATOS!$C$29,CEILING(BW27/INDEX(TABLAS!$D$52:$D$58,MIN(MATCH(DATOS!$C$26,TABLAS!$B$52:$B$58,0)+1,7)),1))*INDEX(TABLAS!$D$52:$D$58,MIN(MATCH(DATOS!$C$26,TABLAS!$B$52:$B$58,0)+1,7))&gt;=4/3*IF(BD27&lt;=0,0,IF((1-2*BD27*1E5/(DATOS!$C$58*Q27*BV27^2*DATOS!$C$48))&lt;0,-1,IF((1-SQRT((1-2*BD27*1E5/(DATOS!$C$58*Q27*BV27^2*DATOS!$C$48))))*DATOS!$C$48*Q27*BV27/DATOS!$C$40&gt;DATOS!$C$82*Q27*BV27,-1,(1-SQRT((1-2*BD27*1E5/(DATOS!$C$58*Q27*BV27^2*DATOS!$C$48))))*DATOS!$C$48*Q27*BV27/DATOS!$C$40)))-0.0001,MAX(DATOS!$C$29,CEILING(BW27/INDEX(TABLAS!$D$52:$D$58,MIN(MATCH(DATOS!$C$26,TABLAS!$B$52:$B$58,0)+1,7)),1)),MAX(MAX(DATOS!$C$29,CEILING(BW27/INDEX(TABLAS!$D$52:$D$58,MIN(MATCH(DATOS!$C$26,TABLAS!$B$52:$B$58,0)+1,7)),1)),2))&lt;=MIN(DATOS!$C$28,INT(((DATOS!$C$13-2*R27-2*IF(DATOS!$C$25=0,0,INDEX(TABLAS!$C$52:$C$58,MATCH(DATOS!$C$25,TABLAS!$B$52:$B$58,0))))+MAX(DATOS!$C$32,INDEX(TABLAS!$C$52:$C$58,MIN(MATCH(DATOS!$C$26,TABLAS!$B$52:$B$58,0)+1,7))))/(INDEX(TABLAS!$C$52:$C$58,MIN(MATCH(DATOS!$C$26,TABLAS!$B$52:$B$58,0)+1,7))+MAX(DATOS!$C$32,INDEX(TABLAS!$C$52:$C$58,MIN(MATCH(DATOS!$C$26,TABLAS!$B$52:$B$58,0)+1,7))))))),INDEX(TABLAS!$B$52:$B$58,MIN(MATCH(DATOS!$C$26,TABLAS!$B$52:$B$58,0)+1,7)),IF(AND(BW27&gt;=0,IF(MAX(DATOS!$C$29,CEILING(BW27/INDEX(TABLAS!$D$52:$D$58,MIN(MATCH(DATOS!$C$26,TABLAS!$B$52:$B$58,0)+2,7)),1))*INDEX(TABLAS!$D$52:$D$58,MIN(MATCH(DATOS!$C$26,TABLAS!$B$52:$B$58,0)+2,7))&gt;=4/3*IF(BD27&lt;=0,0,IF((1-2*BD27*1E5/(DATOS!$C$58*Q27*BV27^2*DATOS!$C$48))&lt;0,-1,IF((1-SQRT((1-2*BD27*1E5/(DATOS!$C$58*Q27*BV27^2*DATOS!$C$48))))*DATOS!$C$48*Q27*BV27/DATOS!$C$40&gt;DATOS!$C$82*Q27*BV27,-1,(1-SQRT((1-2*BD27*1E5/(DATOS!$C$58*Q27*BV27^2*DATOS!$C$48))))*DATOS!$C$48*Q27*BV27/DATOS!$C$40)))-0.0001,MAX(DATOS!$C$29,CEILING(BW27/INDEX(TABLAS!$D$52:$D$58,MIN(MATCH(DATOS!$C$26,TABLAS!$B$52:$B$58,0)+2,7)),1)),MAX(MAX(DATOS!$C$29,CEILING(BW27/INDEX(TABLAS!$D$52:$D$58,MIN(MATCH(DATOS!$C$26,TABLAS!$B$52:$B$58,0)+2,7)),1)),2))&lt;=MIN(DATOS!$C$28,INT(((DATOS!$C$13-2*R27-2*IF(DATOS!$C$25=0,0,INDEX(TABLAS!$C$52:$C$58,MATCH(DATOS!$C$25,TABLAS!$B$52:$B$58,0))))+MAX(DATOS!$C$32,INDEX(TABLAS!$C$52:$C$58,MIN(MATCH(DATOS!$C$26,TABLAS!$B$52:$B$58,0)+2,7))))/(INDEX(TABLAS!$C$52:$C$58,MIN(MATCH(DATOS!$C$26,TABLAS!$B$52:$B$58,0)+2,7))+MAX(DATOS!$C$32,INDEX(TABLAS!$C$52:$C$58,MIN(MATCH(DATOS!$C$26,TABLAS!$B$52:$B$58,0)+2,7))))))),INDEX(TABLAS!$B$52:$B$58,MIN(MATCH(DATOS!$C$26,TABLAS!$B$52:$B$58,0)+2,7)),IF(AND(BW27&gt;=0,IF(MAX(DATOS!$C$29,CEILING(BW27/INDEX(TABLAS!$D$52:$D$58,MIN(MATCH(DATOS!$C$26,TABLAS!$B$52:$B$58,0)+3,7)),1))*INDEX(TABLAS!$D$52:$D$58,MIN(MATCH(DATOS!$C$26,TABLAS!$B$52:$B$58,0)+3,7))&gt;=4/3*IF(BD27&lt;=0,0,IF((1-2*BD27*1E5/(DATOS!$C$58*Q27*BV27^2*DATOS!$C$48))&lt;0,-1,IF((1-SQRT((1-2*BD27*1E5/(DATOS!$C$58*Q27*BV27^2*DATOS!$C$48))))*DATOS!$C$48*Q27*BV27/DATOS!$C$40&gt;DATOS!$C$82*Q27*BV27,-1,(1-SQRT((1-2*BD27*1E5/(DATOS!$C$58*Q27*BV27^2*DATOS!$C$48))))*DATOS!$C$48*Q27*BV27/DATOS!$C$40)))-0.0001,MAX(DATOS!$C$29,CEILING(BW27/INDEX(TABLAS!$D$52:$D$58,MIN(MATCH(DATOS!$C$26,TABLAS!$B$52:$B$58,0)+3,7)),1)),MAX(MAX(DATOS!$C$29,CEILING(BW27/INDEX(TABLAS!$D$52:$D$58,MIN(MATCH(DATOS!$C$26,TABLAS!$B$52:$B$58,0)+3,7)),1)),2))&lt;=MIN(DATOS!$C$28,INT(((DATOS!$C$13-2*R27-2*IF(DATOS!$C$25=0,0,INDEX(TABLAS!$C$52:$C$58,MATCH(DATOS!$C$25,TABLAS!$B$52:$B$58,0))))+MAX(DATOS!$C$32,INDEX(TABLAS!$C$52:$C$58,MIN(MATCH(DATOS!$C$26,TABLAS!$B$52:$B$58,0)+3,7))))/(INDEX(TABLAS!$C$52:$C$58,MIN(MATCH(DATOS!$C$26,TABLAS!$B$52:$B$58,0)+3,7))+MAX(DATOS!$C$32,INDEX(TABLAS!$C$52:$C$58,MIN(MATCH(DATOS!$C$26,TABLAS!$B$52:$B$58,0)+3,7))))))),INDEX(TABLAS!$B$52:$B$58,MIN(MATCH(DATOS!$C$26,TABLAS!$B$52:$B$58,0)+3,7)),IF(AND(BW27&gt;=0,IF(MAX(DATOS!$C$29,CEILING(BW27/INDEX(TABLAS!$D$52:$D$58,MIN(MATCH(DATOS!$C$26,TABLAS!$B$52:$B$58,0)+4,7)),1))*INDEX(TABLAS!$D$52:$D$58,MIN(MATCH(DATOS!$C$26,TABLAS!$B$52:$B$58,0)+4,7))&gt;=4/3*IF(BD27&lt;=0,0,IF((1-2*BD27*1E5/(DATOS!$C$58*Q27*BV27^2*DATOS!$C$48))&lt;0,-1,IF((1-SQRT((1-2*BD27*1E5/(DATOS!$C$58*Q27*BV27^2*DATOS!$C$48))))*DATOS!$C$48*Q27*BV27/DATOS!$C$40&gt;DATOS!$C$82*Q27*BV27,-1,(1-SQRT((1-2*BD27*1E5/(DATOS!$C$58*Q27*BV27^2*DATOS!$C$48))))*DATOS!$C$48*Q27*BV27/DATOS!$C$40)))-0.0001,MAX(DATOS!$C$29,CEILING(BW27/INDEX(TABLAS!$D$52:$D$58,MIN(MATCH(DATOS!$C$26,TABLAS!$B$52:$B$58,0)+4,7)),1)),MAX(MAX(DATOS!$C$29,CEILING(BW27/INDEX(TABLAS!$D$52:$D$58,MIN(MATCH(DATOS!$C$26,TABLAS!$B$52:$B$58,0)+4,7)),1)),2))&lt;=MIN(DATOS!$C$28,INT(((DATOS!$C$13-2*R27-2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27" s="56">
        <f>IF(D27="HUECO",0,IF(BW27&lt;0,0,IF(MAX(DATOS!$C$29,CEILING(MAX(BW27,0)/INDEX(TABLAS!$D$52:$D$58,MATCH(BX27,TABLAS!$B$52:$B$58,0)),1))*INDEX(TABLAS!$D$52:$D$58,MATCH(BX27,TABLAS!$B$52:$B$58,0))&gt;=4/3*IF(BD27&lt;=0,0,IF((1-2*BD27*1E5/(DATOS!$C$58*Q27*BV27^2*DATOS!$C$48))&lt;0,-1,IF((1-SQRT((1-2*BD27*1E5/(DATOS!$C$58*Q27*BV27^2*DATOS!$C$48))))*DATOS!$C$48*Q27*BV27/DATOS!$C$40&gt;DATOS!$C$82*Q27*BV27,-1,(1-SQRT((1-2*BD27*1E5/(DATOS!$C$58*Q27*BV27^2*DATOS!$C$48))))*DATOS!$C$48*Q27*BV27/DATOS!$C$40)))-0.0001,MAX(DATOS!$C$29,CEILING(MAX(BW27,0)/INDEX(TABLAS!$D$52:$D$58,MATCH(BX27,TABLAS!$B$52:$B$58,0)),1)),MAX(MAX(DATOS!$C$29,CEILING(MAX(BW27,0)/INDEX(TABLAS!$D$52:$D$58,MATCH(BX27,TABLAS!$B$52:$B$58,0)),1)),2))))</f>
        <v>1</v>
      </c>
      <c r="BZ27" s="43">
        <f>DATOS!$C$15-R27-IF(DATOS!$C$25=0,0,INDEX(TABLAS!$C$52:$C$58,MATCH(DATOS!$C$25,TABLAS!$B$52:$B$58,0)))-INDEX(TABLAS!$C$52:$C$58,MATCH(BH27,TABLAS!$B$52:$B$58,0))-INDEX(TABLAS!$C$52:$C$58,MATCH(BX27,TABLAS!$B$52:$B$58,0))/2</f>
        <v>19.095</v>
      </c>
      <c r="CA27" s="36">
        <f>IF(BY27=0,0,DATOS!$C$58*BY27*INDEX(TABLAS!$D$52:$D$58,MATCH(BX27,TABLAS!$B$52:$B$58,0))*DATOS!$C$40*(BZ27-BY27*INDEX(TABLAS!$D$52:$D$58,MATCH(BX27,TABLAS!$B$52:$B$58,0))*DATOS!$C$40/(DATOS!$C$48*Q27)/2)/1E5)</f>
        <v>0.908067376588235</v>
      </c>
      <c r="CB27" s="62">
        <f>IF(BW27&lt;0,9.99,IF(CA27&gt;0,BD27/CA27,0))</f>
        <v>0.0560570873327804</v>
      </c>
      <c r="CC27" s="63">
        <f>IF(BY27=0,"—",0.003*(BZ27-(BY27*INDEX(TABLAS!$D$52:$D$58,MATCH(BX27,TABLAS!$B$52:$B$58,0))*DATOS!$C$40/(DATOS!$C$48*Q27)/DATOS!$C$49))/(BY27*INDEX(TABLAS!$D$52:$D$58,MATCH(BX27,TABLAS!$B$52:$B$58,0))*DATOS!$C$40/(DATOS!$C$48*Q27)/DATOS!$C$49))</f>
        <v>0.13278875492126</v>
      </c>
      <c r="CD27" s="43">
        <f>((DATOS!$C$15-S27-2*DATOS!$C$35-IF(DATOS!$C$25=0,0,INDEX(TABLAS!$C$52:$C$58,MATCH(DATOS!$C$25,TABLAS!$B$52:$B$58,0)))-INDEX(TABLAS!$C$52:$C$58,MATCH(DATOS!$C$27,TABLAS!$B$52:$B$58,0))-INDEX(TABLAS!$C$52:$C$58,MATCH(DATOS!$C$27,TABLAS!$B$52:$B$58,0))/2)-IF(AND((DATOS!$C$15-S27-2*DATOS!$C$35-IF(DATOS!$C$25=0,0,INDEX(TABLAS!$C$52:$C$58,MATCH(DATOS!$C$25,TABLAS!$B$52:$B$58,0)))-INDEX(TABLAS!$C$52:$C$58,MATCH(DATOS!$C$27,TABLAS!$B$52:$B$58,0))-INDEX(TABLAS!$C$52:$C$58,MATCH(DATOS!$C$27,TABLAS!$B$52:$B$58,0))/2)&lt;=20,DATOS!$C$18&lt;&gt;"SÍ"),2,0))</f>
        <v>18.119</v>
      </c>
      <c r="CE27" s="43">
        <f>IF(D27="HUECO",0,IF(IF(BE27&lt;=0,0,IF((1-2*BE27*1E5/(DATOS!$C$58*DATOS!$C$19*CD27^2*DATOS!$C$48))&lt;0,-1,IF((1-SQRT((1-2*BE27*1E5/(DATOS!$C$58*DATOS!$C$19*CD27^2*DATOS!$C$48))))*DATOS!$C$48*DATOS!$C$19*CD27/DATOS!$C$40&gt;DATOS!$C$82*DATOS!$C$19*CD27,-1,(1-SQRT((1-2*BE27*1E5/(DATOS!$C$58*DATOS!$C$19*CD27^2*DATOS!$C$48))))*DATOS!$C$48*DATOS!$C$19*CD27/DATOS!$C$40)))&lt;0,-1,MAX(IF(BE27&lt;=0,0,IF((1-2*BE27*1E5/(DATOS!$C$58*DATOS!$C$19*CD27^2*DATOS!$C$48))&lt;0,-1,IF((1-SQRT((1-2*BE27*1E5/(DATOS!$C$58*DATOS!$C$19*CD27^2*DATOS!$C$48))))*DATOS!$C$48*DATOS!$C$19*CD27/DATOS!$C$40&gt;DATOS!$C$82*DATOS!$C$19*CD27,-1,(1-SQRT((1-2*BE27*1E5/(DATOS!$C$58*DATOS!$C$19*CD27^2*DATOS!$C$48))))*DATOS!$C$48*DATOS!$C$19*CD27/DATOS!$C$40))),MIN(DATOS!$C$83*DATOS!$C$13*CD27,4/3*IF(BE27&lt;=0,0,IF((1-2*BE27*1E5/(DATOS!$C$58*DATOS!$C$19*CD27^2*DATOS!$C$48))&lt;0,-1,IF((1-SQRT((1-2*BE27*1E5/(DATOS!$C$58*DATOS!$C$19*CD27^2*DATOS!$C$48))))*DATOS!$C$48*DATOS!$C$19*CD27/DATOS!$C$40&gt;DATOS!$C$82*DATOS!$C$19*CD27,-1,(1-SQRT((1-2*BE27*1E5/(DATOS!$C$58*DATOS!$C$19*CD27^2*DATOS!$C$48))))*DATOS!$C$48*DATOS!$C$19*CD27/DATOS!$C$40)))))))</f>
        <v>0.482927930409328</v>
      </c>
      <c r="CF27" s="41">
        <f>IF(AND(CE27&gt;=0,IF(MAX(DATOS!$C$29,CEILING(CE27/INDEX(TABLAS!$D$52:$D$58,MIN(MATCH(DATOS!$C$27,TABLAS!$B$52:$B$58,0)+0,7)),1))*INDEX(TABLAS!$D$52:$D$58,MIN(MATCH(DATOS!$C$27,TABLAS!$B$52:$B$58,0)+0,7))&gt;=4/3*IF(BE27&lt;=0,0,IF((1-2*BE27*1E5/(DATOS!$C$58*DATOS!$C$19*CD27^2*DATOS!$C$48))&lt;0,-1,IF((1-SQRT((1-2*BE27*1E5/(DATOS!$C$58*DATOS!$C$19*CD27^2*DATOS!$C$48))))*DATOS!$C$48*DATOS!$C$19*CD27/DATOS!$C$40&gt;DATOS!$C$82*DATOS!$C$19*CD27,-1,(1-SQRT((1-2*BE27*1E5/(DATOS!$C$58*DATOS!$C$19*CD27^2*DATOS!$C$48))))*DATOS!$C$48*DATOS!$C$19*CD27/DATOS!$C$40)))-0.0001,MAX(DATOS!$C$29,CEILING(CE27/INDEX(TABLAS!$D$52:$D$58,MIN(MATCH(DATOS!$C$27,TABLAS!$B$52:$B$58,0)+0,7)),1)),MAX(MAX(DATOS!$C$29,CEILING(CE27/INDEX(TABLAS!$D$52:$D$58,MIN(MATCH(DATOS!$C$27,TABLAS!$B$52:$B$58,0)+0,7)),1)),2))&lt;=MIN(DATOS!$C$28,INT(((DATOS!$C$13-2*S27-2*IF(DATOS!$C$25=0,0,INDEX(TABLAS!$C$52:$C$58,MATCH(DATOS!$C$25,TABLAS!$B$52:$B$58,0))))+MAX(DATOS!$C$32,INDEX(TABLAS!$C$52:$C$58,MIN(MATCH(DATOS!$C$27,TABLAS!$B$52:$B$58,0)+0,7))))/(INDEX(TABLAS!$C$52:$C$58,MIN(MATCH(DATOS!$C$27,TABLAS!$B$52:$B$58,0)+0,7))+MAX(DATOS!$C$32,INDEX(TABLAS!$C$52:$C$58,MIN(MATCH(DATOS!$C$27,TABLAS!$B$52:$B$58,0)+0,7))))))),INDEX(TABLAS!$B$52:$B$58,MIN(MATCH(DATOS!$C$27,TABLAS!$B$52:$B$58,0)+0,7)),IF(AND(CE27&gt;=0,IF(MAX(DATOS!$C$29,CEILING(CE27/INDEX(TABLAS!$D$52:$D$58,MIN(MATCH(DATOS!$C$27,TABLAS!$B$52:$B$58,0)+1,7)),1))*INDEX(TABLAS!$D$52:$D$58,MIN(MATCH(DATOS!$C$27,TABLAS!$B$52:$B$58,0)+1,7))&gt;=4/3*IF(BE27&lt;=0,0,IF((1-2*BE27*1E5/(DATOS!$C$58*DATOS!$C$19*CD27^2*DATOS!$C$48))&lt;0,-1,IF((1-SQRT((1-2*BE27*1E5/(DATOS!$C$58*DATOS!$C$19*CD27^2*DATOS!$C$48))))*DATOS!$C$48*DATOS!$C$19*CD27/DATOS!$C$40&gt;DATOS!$C$82*DATOS!$C$19*CD27,-1,(1-SQRT((1-2*BE27*1E5/(DATOS!$C$58*DATOS!$C$19*CD27^2*DATOS!$C$48))))*DATOS!$C$48*DATOS!$C$19*CD27/DATOS!$C$40)))-0.0001,MAX(DATOS!$C$29,CEILING(CE27/INDEX(TABLAS!$D$52:$D$58,MIN(MATCH(DATOS!$C$27,TABLAS!$B$52:$B$58,0)+1,7)),1)),MAX(MAX(DATOS!$C$29,CEILING(CE27/INDEX(TABLAS!$D$52:$D$58,MIN(MATCH(DATOS!$C$27,TABLAS!$B$52:$B$58,0)+1,7)),1)),2))&lt;=MIN(DATOS!$C$28,INT(((DATOS!$C$13-2*S27-2*IF(DATOS!$C$25=0,0,INDEX(TABLAS!$C$52:$C$58,MATCH(DATOS!$C$25,TABLAS!$B$52:$B$58,0))))+MAX(DATOS!$C$32,INDEX(TABLAS!$C$52:$C$58,MIN(MATCH(DATOS!$C$27,TABLAS!$B$52:$B$58,0)+1,7))))/(INDEX(TABLAS!$C$52:$C$58,MIN(MATCH(DATOS!$C$27,TABLAS!$B$52:$B$58,0)+1,7))+MAX(DATOS!$C$32,INDEX(TABLAS!$C$52:$C$58,MIN(MATCH(DATOS!$C$27,TABLAS!$B$52:$B$58,0)+1,7))))))),INDEX(TABLAS!$B$52:$B$58,MIN(MATCH(DATOS!$C$27,TABLAS!$B$52:$B$58,0)+1,7)),IF(AND(CE27&gt;=0,IF(MAX(DATOS!$C$29,CEILING(CE27/INDEX(TABLAS!$D$52:$D$58,MIN(MATCH(DATOS!$C$27,TABLAS!$B$52:$B$58,0)+2,7)),1))*INDEX(TABLAS!$D$52:$D$58,MIN(MATCH(DATOS!$C$27,TABLAS!$B$52:$B$58,0)+2,7))&gt;=4/3*IF(BE27&lt;=0,0,IF((1-2*BE27*1E5/(DATOS!$C$58*DATOS!$C$19*CD27^2*DATOS!$C$48))&lt;0,-1,IF((1-SQRT((1-2*BE27*1E5/(DATOS!$C$58*DATOS!$C$19*CD27^2*DATOS!$C$48))))*DATOS!$C$48*DATOS!$C$19*CD27/DATOS!$C$40&gt;DATOS!$C$82*DATOS!$C$19*CD27,-1,(1-SQRT((1-2*BE27*1E5/(DATOS!$C$58*DATOS!$C$19*CD27^2*DATOS!$C$48))))*DATOS!$C$48*DATOS!$C$19*CD27/DATOS!$C$40)))-0.0001,MAX(DATOS!$C$29,CEILING(CE27/INDEX(TABLAS!$D$52:$D$58,MIN(MATCH(DATOS!$C$27,TABLAS!$B$52:$B$58,0)+2,7)),1)),MAX(MAX(DATOS!$C$29,CEILING(CE27/INDEX(TABLAS!$D$52:$D$58,MIN(MATCH(DATOS!$C$27,TABLAS!$B$52:$B$58,0)+2,7)),1)),2))&lt;=MIN(DATOS!$C$28,INT(((DATOS!$C$13-2*S27-2*IF(DATOS!$C$25=0,0,INDEX(TABLAS!$C$52:$C$58,MATCH(DATOS!$C$25,TABLAS!$B$52:$B$58,0))))+MAX(DATOS!$C$32,INDEX(TABLAS!$C$52:$C$58,MIN(MATCH(DATOS!$C$27,TABLAS!$B$52:$B$58,0)+2,7))))/(INDEX(TABLAS!$C$52:$C$58,MIN(MATCH(DATOS!$C$27,TABLAS!$B$52:$B$58,0)+2,7))+MAX(DATOS!$C$32,INDEX(TABLAS!$C$52:$C$58,MIN(MATCH(DATOS!$C$27,TABLAS!$B$52:$B$58,0)+2,7))))))),INDEX(TABLAS!$B$52:$B$58,MIN(MATCH(DATOS!$C$27,TABLAS!$B$52:$B$58,0)+2,7)),IF(AND(CE27&gt;=0,IF(MAX(DATOS!$C$29,CEILING(CE27/INDEX(TABLAS!$D$52:$D$58,MIN(MATCH(DATOS!$C$27,TABLAS!$B$52:$B$58,0)+3,7)),1))*INDEX(TABLAS!$D$52:$D$58,MIN(MATCH(DATOS!$C$27,TABLAS!$B$52:$B$58,0)+3,7))&gt;=4/3*IF(BE27&lt;=0,0,IF((1-2*BE27*1E5/(DATOS!$C$58*DATOS!$C$19*CD27^2*DATOS!$C$48))&lt;0,-1,IF((1-SQRT((1-2*BE27*1E5/(DATOS!$C$58*DATOS!$C$19*CD27^2*DATOS!$C$48))))*DATOS!$C$48*DATOS!$C$19*CD27/DATOS!$C$40&gt;DATOS!$C$82*DATOS!$C$19*CD27,-1,(1-SQRT((1-2*BE27*1E5/(DATOS!$C$58*DATOS!$C$19*CD27^2*DATOS!$C$48))))*DATOS!$C$48*DATOS!$C$19*CD27/DATOS!$C$40)))-0.0001,MAX(DATOS!$C$29,CEILING(CE27/INDEX(TABLAS!$D$52:$D$58,MIN(MATCH(DATOS!$C$27,TABLAS!$B$52:$B$58,0)+3,7)),1)),MAX(MAX(DATOS!$C$29,CEILING(CE27/INDEX(TABLAS!$D$52:$D$58,MIN(MATCH(DATOS!$C$27,TABLAS!$B$52:$B$58,0)+3,7)),1)),2))&lt;=MIN(DATOS!$C$28,INT(((DATOS!$C$13-2*S27-2*IF(DATOS!$C$25=0,0,INDEX(TABLAS!$C$52:$C$58,MATCH(DATOS!$C$25,TABLAS!$B$52:$B$58,0))))+MAX(DATOS!$C$32,INDEX(TABLAS!$C$52:$C$58,MIN(MATCH(DATOS!$C$27,TABLAS!$B$52:$B$58,0)+3,7))))/(INDEX(TABLAS!$C$52:$C$58,MIN(MATCH(DATOS!$C$27,TABLAS!$B$52:$B$58,0)+3,7))+MAX(DATOS!$C$32,INDEX(TABLAS!$C$52:$C$58,MIN(MATCH(DATOS!$C$27,TABLAS!$B$52:$B$58,0)+3,7))))))),INDEX(TABLAS!$B$52:$B$58,MIN(MATCH(DATOS!$C$27,TABLAS!$B$52:$B$58,0)+3,7)),IF(AND(CE27&gt;=0,IF(MAX(DATOS!$C$29,CEILING(CE27/INDEX(TABLAS!$D$52:$D$58,MIN(MATCH(DATOS!$C$27,TABLAS!$B$52:$B$58,0)+4,7)),1))*INDEX(TABLAS!$D$52:$D$58,MIN(MATCH(DATOS!$C$27,TABLAS!$B$52:$B$58,0)+4,7))&gt;=4/3*IF(BE27&lt;=0,0,IF((1-2*BE27*1E5/(DATOS!$C$58*DATOS!$C$19*CD27^2*DATOS!$C$48))&lt;0,-1,IF((1-SQRT((1-2*BE27*1E5/(DATOS!$C$58*DATOS!$C$19*CD27^2*DATOS!$C$48))))*DATOS!$C$48*DATOS!$C$19*CD27/DATOS!$C$40&gt;DATOS!$C$82*DATOS!$C$19*CD27,-1,(1-SQRT((1-2*BE27*1E5/(DATOS!$C$58*DATOS!$C$19*CD27^2*DATOS!$C$48))))*DATOS!$C$48*DATOS!$C$19*CD27/DATOS!$C$40)))-0.0001,MAX(DATOS!$C$29,CEILING(CE27/INDEX(TABLAS!$D$52:$D$58,MIN(MATCH(DATOS!$C$27,TABLAS!$B$52:$B$58,0)+4,7)),1)),MAX(MAX(DATOS!$C$29,CEILING(CE27/INDEX(TABLAS!$D$52:$D$58,MIN(MATCH(DATOS!$C$27,TABLAS!$B$52:$B$58,0)+4,7)),1)),2))&lt;=MIN(DATOS!$C$28,INT(((DATOS!$C$13-2*S27-2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27" s="56">
        <f>IF(D27="HUECO",0,IF(CE27&lt;0,0,IF(MAX(DATOS!$C$29,CEILING(MAX(CE27,0)/INDEX(TABLAS!$D$52:$D$58,MATCH(CF27,TABLAS!$B$52:$B$58,0)),1))*INDEX(TABLAS!$D$52:$D$58,MATCH(CF27,TABLAS!$B$52:$B$58,0))&gt;=4/3*IF(BE27&lt;=0,0,IF((1-2*BE27*1E5/(DATOS!$C$58*DATOS!$C$19*CD27^2*DATOS!$C$48))&lt;0,-1,IF((1-SQRT((1-2*BE27*1E5/(DATOS!$C$58*DATOS!$C$19*CD27^2*DATOS!$C$48))))*DATOS!$C$48*DATOS!$C$19*CD27/DATOS!$C$40&gt;DATOS!$C$82*DATOS!$C$19*CD27,-1,(1-SQRT((1-2*BE27*1E5/(DATOS!$C$58*DATOS!$C$19*CD27^2*DATOS!$C$48))))*DATOS!$C$48*DATOS!$C$19*CD27/DATOS!$C$40)))-0.0001,MAX(DATOS!$C$29,CEILING(MAX(CE27,0)/INDEX(TABLAS!$D$52:$D$58,MATCH(CF27,TABLAS!$B$52:$B$58,0)),1)),MAX(MAX(DATOS!$C$29,CEILING(MAX(CE27,0)/INDEX(TABLAS!$D$52:$D$58,MATCH(CF27,TABLAS!$B$52:$B$58,0)),1)),2))))</f>
        <v>1</v>
      </c>
      <c r="CH27" s="43">
        <f>((DATOS!$C$15-S27-2*DATOS!$C$35-IF(DATOS!$C$25=0,0,INDEX(TABLAS!$C$52:$C$58,MATCH(DATOS!$C$25,TABLAS!$B$52:$B$58,0)))-INDEX(TABLAS!$C$52:$C$58,MATCH(BP27,TABLAS!$B$52:$B$58,0))-INDEX(TABLAS!$C$52:$C$58,MATCH(CF27,TABLAS!$B$52:$B$58,0))/2)-IF(AND((DATOS!$C$15-S27-2*DATOS!$C$35-IF(DATOS!$C$25=0,0,INDEX(TABLAS!$C$52:$C$58,MATCH(DATOS!$C$25,TABLAS!$B$52:$B$58,0)))-INDEX(TABLAS!$C$52:$C$58,MATCH(BP27,TABLAS!$B$52:$B$58,0))-INDEX(TABLAS!$C$52:$C$58,MATCH(CF27,TABLAS!$B$52:$B$58,0))/2)&lt;=20,DATOS!$C$18&lt;&gt;"SÍ"),2,0))</f>
        <v>18.119</v>
      </c>
      <c r="CI27" s="36">
        <f>IF(CG27=0,0,DATOS!$C$58*CG27*INDEX(TABLAS!$D$52:$D$58,MATCH(CF27,TABLAS!$B$52:$B$58,0))*DATOS!$C$40*(CH27-CG27*INDEX(TABLAS!$D$52:$D$58,MATCH(CF27,TABLAS!$B$52:$B$58,0))*DATOS!$C$40/(DATOS!$C$48*DATOS!$C$19)/2)/1E5)</f>
        <v>0.809570360117647</v>
      </c>
      <c r="CJ27" s="62">
        <f>IF(CE27&lt;0,9.99,IF(CI27&gt;0,BE27/CI27,0))</f>
        <v>0.300365325398344</v>
      </c>
      <c r="CK27" s="63">
        <f>IF(CG27=0,"—",0.003*(CH27-(CG27*INDEX(TABLAS!$D$52:$D$58,MATCH(CF27,TABLAS!$B$52:$B$58,0))*DATOS!$C$40/(DATOS!$C$48*DATOS!$C$19)/DATOS!$C$49))/(CG27*INDEX(TABLAS!$D$52:$D$58,MATCH(CF27,TABLAS!$B$52:$B$58,0))*DATOS!$C$40/(DATOS!$C$48*DATOS!$C$19)/DATOS!$C$49))</f>
        <v>0.0154068862485939</v>
      </c>
      <c r="CL27" s="52" t="str">
        <f>IF(D27="HUECO","—",IF(AND(D27="PERIMETRAL",J27*100&gt;=6*DATOS!$C$11,DATOS!$C$11&lt;=80,DATOS!$C$13&gt;=10,DATOS!$C$15&lt;=3.5*DATOS!$C$13,DATOS!$C$14&gt;=MAX(DATOS!$C$11/13,5)),"SÍ","NO"))</f>
        <v>NO</v>
      </c>
      <c r="CM27" s="36">
        <f>IF(D27="PERIMETRAL",MAX(0,(N27/2-BR27)/100)*(0.95-0.5*L27)*Y27*IF(AND(Z27&gt;0,Z27&lt;4),DATOS!$C$63,1)*DATOS!$C$16/100/1000+AX27,IF(D27="VOLADO",(Y27*MAX(0,N27-BR27)/100+DATOS!$C$55*BA27)*DATOS!$C$16/100/1000,0))</f>
        <v>1.37607421867665</v>
      </c>
      <c r="CN27" s="36">
        <f>IF(D27="HUECO",0,DATOS!$C$59*2*MIN(1,SQRT(2/(1+0.04*BR27)))*(BQ27*INDEX(TABLAS!$D$52:$D$58,MATCH(BP27,TABLAS!$B$52:$B$58,0))/(DATOS!$C$19*BR27))^(1/3)*SQRT(DATOS!$C$39)*DATOS!$C$19*BR27*IF(CL27="SÍ",DATOS!$C$62,1)/1000)</f>
        <v>0.860398102904257</v>
      </c>
      <c r="CO27" s="51" t="str">
        <f>IF(D27="HUECO","—",IF(CM27&lt;=CN27,"CUMPLE",IF(MAX(0,CEILING((IF(D27="VOLADO",(N27-(CN27*1E5/DATOS!$C$16-DATOS!$C$55*BA27)*100/Y27),IF(CN27&lt;=AX27,N27,N27/2-(CN27-AX27)/MAX(CM27-AX27,1E-9)*(N27/2-BR27)))-IF(INT((J27*100-DATOS!$C$17+DATOS!$C$13)/DATOS!$C$16)&gt;0,(J27*100-DATOS!$C$17-(INT((J27*100-DATOS!$C$17+DATOS!$C$13)/DATOS!$C$16)*DATOS!$C$11+(INT((J27*100-DATOS!$C$17+DATOS!$C$13)/DATOS!$C$16)-1)*DATOS!$C$13))/2,J27*100/2))/DATOS!$C$16,1))&lt;=0,"CUMPLE (basta el macizo de orilla)","MACIZAR "&amp;MAX(0,CEILING((IF(D27="VOLADO",(N27-(CN27*1E5/DATOS!$C$16-DATOS!$C$55*BA27)*100/Y27),IF(CN27&lt;=AX27,N27,N27/2-(CN27-AX27)/MAX(CM27-AX27,1E-9)*(N27/2-BR27)))-IF(INT((J27*100-DATOS!$C$17+DATOS!$C$13)/DATOS!$C$16)&gt;0,(J27*100-DATOS!$C$17-(INT((J27*100-DATOS!$C$17+DATOS!$C$13)/DATOS!$C$16)*DATOS!$C$11+(INT((J27*100-DATOS!$C$17+DATOS!$C$13)/DATOS!$C$16)-1)*DATOS!$C$13))/2,J27*100/2))/DATOS!$C$16,1))&amp;" hilera(s)")))</f>
        <v>MACIZAR 2 hilera(s)</v>
      </c>
      <c r="CP27" s="43">
        <f>IF(D27="PERIMETRAL",(99+99+99+99)/4,0)</f>
        <v>99</v>
      </c>
      <c r="CQ27" s="57">
        <f>IF(D27="PERIMETRAL",IF(CP27&gt;2,MAX(9,O27*(0.8+DATOS!$C$40/14000)/(36+9*(O27/MAX(N27,1)))),IF(CP27&gt;0.2,MAX(13,O27*(0.8+DATOS!$C$40/14000)/(36+5*(O27/MAX(N27,1))*(CP27-0.2))),MAX(13,O27/IF(Z27&gt;0,30,33))))*IF(AND(CP27&gt;0.2,OR(AND((APOYOS!$G$101="DISCONTINUO"),99&lt;0.8),AND((APOYOS!$G$102="DISCONTINUO"),99&lt;0.8),AND((APOYOS!$G$103="DISCONTINUO"),99&lt;0.8),AND((APOYOS!$G$104="DISCONTINUO"),99&lt;0.8))),1.1,1),IF(D27="VOLADO",MAX(25,J27*100/8),0))</f>
        <v>9</v>
      </c>
      <c r="CR27" s="57">
        <f>IF(D27="VOLADO",DATOS!$C$15,DATOS!$C$77)</f>
        <v>16.7232564120244</v>
      </c>
      <c r="CS27" s="52" t="str">
        <f>IF(D27="HUECO","—",IF(CR27&gt;=CQ27,"CUMPLE",IF(D27="VOLADO","NO CUMPLE","CALCULAR FLECHA")))</f>
        <v>CUMPLE</v>
      </c>
      <c r="CT27" s="52" t="str">
        <f>IF(D27="HUECO","—",IF(DATOS!$C$14&gt;=IF(IF(D27="VOLADO",J27,K27)&gt;=6,6,5),"CUMPLE","CAPA ≥ 6 cm"))</f>
        <v>CUMPLE</v>
      </c>
      <c r="CU27" s="59">
        <f>IF(D27="HUECO",0,IF(((4*((AL27*Y27*J27^2*1E-4*DATOS!$C$16/100/1000)+((MAX(AH27,AJ27)*Y27*J27^2*1E-4*DATOS!$C$16/100/1000)+(IF(AND(AH27&gt;0,AJ27&gt;0),MIN(AH27,AJ27),MAX(AH27,AJ27))*Y27*J27^2*1E-4*DATOS!$C$16/100/1000))/2)+BC27-(IF(AND(AH27&gt;0,AJ27&gt;0),MIN(AH27,AJ27),MAX(AH27,AJ27))*Y27*J27^2*1E-4*DATOS!$C$16/100/1000))^2-16*((AL27*Y27*J27^2*1E-4*DATOS!$C$16/100/1000)+((MAX(AH27,AJ27)*Y27*J27^2*1E-4*DATOS!$C$16/100/1000)+(IF(AND(AH27&gt;0,AJ27&gt;0),MIN(AH27,AJ27),MAX(AH27,AJ27))*Y27*J27^2*1E-4*DATOS!$C$16/100/1000))/2)*BC27)&lt;0,CEILING(N27,5),CEILING(MAX(N27*((4*((AL27*Y27*J27^2*1E-4*DATOS!$C$16/100/1000)+((MAX(AH27,AJ27)*Y27*J27^2*1E-4*DATOS!$C$16/100/1000)+(IF(AND(AH27&gt;0,AJ27&gt;0),MIN(AH27,AJ27),MAX(AH27,AJ27))*Y27*J27^2*1E-4*DATOS!$C$16/100/1000))/2)+BC27-(IF(AND(AH27&gt;0,AJ27&gt;0),MIN(AH27,AJ27),MAX(AH27,AJ27))*Y27*J27^2*1E-4*DATOS!$C$16/100/1000))-SQRT(MAX(0,((4*((AL27*Y27*J27^2*1E-4*DATOS!$C$16/100/1000)+((MAX(AH27,AJ27)*Y27*J27^2*1E-4*DATOS!$C$16/100/1000)+(IF(AND(AH27&gt;0,AJ27&gt;0),MIN(AH27,AJ27),MAX(AH27,AJ27))*Y27*J27^2*1E-4*DATOS!$C$16/100/1000))/2)+BC27-(IF(AND(AH27&gt;0,AJ27&gt;0),MIN(AH27,AJ27),MAX(AH27,AJ27))*Y27*J27^2*1E-4*DATOS!$C$16/100/1000))^2-16*((AL27*Y27*J27^2*1E-4*DATOS!$C$16/100/1000)+((MAX(AH27,AJ27)*Y27*J27^2*1E-4*DATOS!$C$16/100/1000)+(IF(AND(AH27&gt;0,AJ27&gt;0),MIN(AH27,AJ27),MAX(AH27,AJ27))*Y27*J27^2*1E-4*DATOS!$C$16/100/1000))/2)*BC27))))/(8*MAX(((AL27*Y27*J27^2*1E-4*DATOS!$C$16/100/1000)+((MAX(AH27,AJ27)*Y27*J27^2*1E-4*DATOS!$C$16/100/1000)+(IF(AND(AH27&gt;0,AJ27&gt;0),MIN(AH27,AJ27),MAX(AH27,AJ27))*Y27*J27^2*1E-4*DATOS!$C$16/100/1000))/2),1E-9))+MAX(BR27,12*INDEX(TABLAS!$C$52:$C$58,MATCH(BP27,TABLAS!$B$52:$B$58,0)),N27/16),IF(OR(S27&lt;INDEX(TABLAS!$C$52:$C$58,MATCH(BP27,TABLAS!$B$52:$B$58,0)),AND(BQ27&gt;=2,(DATOS!$C$13-2*S27-2*IF(DATOS!$C$25=0,0,INDEX(TABLAS!$C$52:$C$58,MATCH(DATOS!$C$25,TABLAS!$B$52:$B$58,0)))-BQ27*INDEX(TABLAS!$C$52:$C$58,MATCH(BP27,TABLAS!$B$52:$B$58,0)))/MAX(BQ27-1,1)&lt;2*INDEX(TABLAS!$C$52:$C$58,MATCH(BP27,TABLAS!$B$52:$B$58,0)))),INDEX(TABLAS!$I$52:$I$58,MATCH(BP27,TABLAS!$B$52:$B$58,0)),INDEX(TABLAS!$F$52:$F$58,MATCH(BP27,TABLAS!$B$52:$B$58,0)))),5)))</f>
        <v>60</v>
      </c>
      <c r="CV27" s="59">
        <f>IF(D27="HUECO",0,IF(((4*((AM27*Y27*J27^2*1E-4*DATOS!$C$16/100/1000)+((MAX(AI27,AK27)*Y27*J27^2*1E-4*DATOS!$C$16/100/1000)+(IF(AND(AI27&gt;0,AK27&gt;0),MIN(AI27,AK27),MAX(AI27,AK27))*Y27*J27^2*1E-4*DATOS!$C$16/100/1000))/2)+BE27-(IF(AND(AI27&gt;0,AK27&gt;0),MIN(AI27,AK27),MAX(AI27,AK27))*Y27*J27^2*1E-4*DATOS!$C$16/100/1000))^2-16*((AM27*Y27*J27^2*1E-4*DATOS!$C$16/100/1000)+((MAX(AI27,AK27)*Y27*J27^2*1E-4*DATOS!$C$16/100/1000)+(IF(AND(AI27&gt;0,AK27&gt;0),MIN(AI27,AK27),MAX(AI27,AK27))*Y27*J27^2*1E-4*DATOS!$C$16/100/1000))/2)*BE27)&lt;0,CEILING(O27,5),CEILING(MAX(O27*((4*((AM27*Y27*J27^2*1E-4*DATOS!$C$16/100/1000)+((MAX(AI27,AK27)*Y27*J27^2*1E-4*DATOS!$C$16/100/1000)+(IF(AND(AI27&gt;0,AK27&gt;0),MIN(AI27,AK27),MAX(AI27,AK27))*Y27*J27^2*1E-4*DATOS!$C$16/100/1000))/2)+BE27-(IF(AND(AI27&gt;0,AK27&gt;0),MIN(AI27,AK27),MAX(AI27,AK27))*Y27*J27^2*1E-4*DATOS!$C$16/100/1000))-SQRT(MAX(0,((4*((AM27*Y27*J27^2*1E-4*DATOS!$C$16/100/1000)+((MAX(AI27,AK27)*Y27*J27^2*1E-4*DATOS!$C$16/100/1000)+(IF(AND(AI27&gt;0,AK27&gt;0),MIN(AI27,AK27),MAX(AI27,AK27))*Y27*J27^2*1E-4*DATOS!$C$16/100/1000))/2)+BE27-(IF(AND(AI27&gt;0,AK27&gt;0),MIN(AI27,AK27),MAX(AI27,AK27))*Y27*J27^2*1E-4*DATOS!$C$16/100/1000))^2-16*((AM27*Y27*J27^2*1E-4*DATOS!$C$16/100/1000)+((MAX(AI27,AK27)*Y27*J27^2*1E-4*DATOS!$C$16/100/1000)+(IF(AND(AI27&gt;0,AK27&gt;0),MIN(AI27,AK27),MAX(AI27,AK27))*Y27*J27^2*1E-4*DATOS!$C$16/100/1000))/2)*BE27))))/(8*MAX(((AM27*Y27*J27^2*1E-4*DATOS!$C$16/100/1000)+((MAX(AI27,AK27)*Y27*J27^2*1E-4*DATOS!$C$16/100/1000)+(IF(AND(AI27&gt;0,AK27&gt;0),MIN(AI27,AK27),MAX(AI27,AK27))*Y27*J27^2*1E-4*DATOS!$C$16/100/1000))/2),1E-9))+MAX(CH27,12*INDEX(TABLAS!$C$52:$C$58,MATCH(CF27,TABLAS!$B$52:$B$58,0)),O27/16),IF(OR(S27&lt;INDEX(TABLAS!$C$52:$C$58,MATCH(CF27,TABLAS!$B$52:$B$58,0)),AND(CG27&gt;=2,(DATOS!$C$13-2*S27-2*IF(DATOS!$C$25=0,0,INDEX(TABLAS!$C$52:$C$58,MATCH(DATOS!$C$25,TABLAS!$B$52:$B$58,0)))-CG27*INDEX(TABLAS!$C$52:$C$58,MATCH(CF27,TABLAS!$B$52:$B$58,0)))/MAX(CG27-1,1)&lt;2*INDEX(TABLAS!$C$52:$C$58,MATCH(CF27,TABLAS!$B$52:$B$58,0)))),INDEX(TABLAS!$I$52:$I$58,MATCH(CF27,TABLAS!$B$52:$B$58,0)),INDEX(TABLAS!$F$52:$F$58,MATCH(CF27,TABLAS!$B$52:$B$58,0)))),5)))</f>
        <v>280</v>
      </c>
      <c r="CW27" s="56">
        <f>MAX(0,INT((F27*100-DATOS!$C$17+DATOS!$C$13)/DATOS!$C$16))</f>
        <v>2</v>
      </c>
      <c r="CX27" s="56">
        <f>MAX(0,INT((G27*100-DATOS!$C$17+DATOS!$C$13)/DATOS!$C$16))</f>
        <v>4</v>
      </c>
      <c r="CY27" s="51" t="str">
        <f>IF(COUNTIFS(TRIB!$C$6:$C$255,B27,TRIB!$K$6:$K$255,"NO CUMPLE*")+COUNTIFS(TRIB!$C$6:$C$255,B27,TRIB!$K$6:$K$255,"SIN APOYO*")&gt;0,"VER PRINCIPALES",IF((APOYOS!$F$101="LIBRE")+(APOYOS!$F$102="LIBRE")+(APOYOS!$F$103="LIBRE")+(APOYOS!$F$104="LIBRE")&gt;0,"REVISAR: borde libre","OK"))</f>
        <v>OK</v>
      </c>
      <c r="CZ27" s="64" t="str">
        <f>IF(D27="HUECO","HUECO — marco de nervaduras principales",IF(AND(MAX(BL27,BT27,CB27,CJ27)&lt;=1,NOT(OR(BI27&gt;MIN(DATOS!$C$28,INT(((DATOS!$C$13-2*R27-2*IF(DATOS!$C$25=0,0,INDEX(TABLAS!$C$52:$C$58,MATCH(DATOS!$C$25,TABLAS!$B$52:$B$58,0))))+DATOS!$C$32)/(INDEX(TABLAS!$C$52:$C$58,MATCH(BH27,TABLAS!$B$52:$B$58,0))+DATOS!$C$32))),BQ27&gt;MIN(DATOS!$C$28,INT(((DATOS!$C$13-2*S27-2*IF(DATOS!$C$25=0,0,INDEX(TABLAS!$C$52:$C$58,MATCH(DATOS!$C$25,TABLAS!$B$52:$B$58,0))))+DATOS!$C$32)/(INDEX(TABLAS!$C$52:$C$58,MATCH(BP27,TABLAS!$B$52:$B$58,0))+DATOS!$C$32))),BY27&gt;MIN(DATOS!$C$28,INT(((DATOS!$C$13-2*R27-2*IF(DATOS!$C$25=0,0,INDEX(TABLAS!$C$52:$C$58,MATCH(DATOS!$C$25,TABLAS!$B$52:$B$58,0))))+DATOS!$C$32)/(INDEX(TABLAS!$C$52:$C$58,MATCH(BX27,TABLAS!$B$52:$B$58,0))+DATOS!$C$32))),CG27&gt;MIN(DATOS!$C$28,INT(((DATOS!$C$13-2*S27-2*IF(DATOS!$C$25=0,0,INDEX(TABLAS!$C$52:$C$58,MATCH(DATOS!$C$25,TABLAS!$B$52:$B$58,0))))+DATOS!$C$32)/(INDEX(TABLAS!$C$52:$C$58,MATCH(CF27,TABLAS!$B$52:$B$58,0))+DATOS!$C$32))))),NOT(OR(AND(ISNUMBER(BM27),BM27&lt;0.005),AND(ISNUMBER(BU27),BU27&lt;0.005),AND(ISNUMBER(CC27),CC27&lt;0.005),AND(ISNUMBER(CK27),CK27&lt;0.005))),CS27="CUMPLE",CT27="CUMPLE"),IF(CY27="OK",IF(LEFT(CO27,6)="CUMPLE","CUMPLE","CUMPLE — "&amp;CO27)&amp;IF(LEFT(AZ27,5)="FUERA"," · fuera de 3.4.2.1 c)",""),IF(CY27="VER PRINCIPALES","VER PRINCIPALES","REVISAR APOYOS")),IF(AND(MAX(BL27,BT27,CB27,CJ27)&lt;=1,NOT(OR(BI27&gt;MIN(DATOS!$C$28,INT(((DATOS!$C$13-2*R27-2*IF(DATOS!$C$25=0,0,INDEX(TABLAS!$C$52:$C$58,MATCH(DATOS!$C$25,TABLAS!$B$52:$B$58,0))))+DATOS!$C$32)/(INDEX(TABLAS!$C$52:$C$58,MATCH(BH27,TABLAS!$B$52:$B$58,0))+DATOS!$C$32))),BQ27&gt;MIN(DATOS!$C$28,INT(((DATOS!$C$13-2*S27-2*IF(DATOS!$C$25=0,0,INDEX(TABLAS!$C$52:$C$58,MATCH(DATOS!$C$25,TABLAS!$B$52:$B$58,0))))+DATOS!$C$32)/(INDEX(TABLAS!$C$52:$C$58,MATCH(BP27,TABLAS!$B$52:$B$58,0))+DATOS!$C$32))),BY27&gt;MIN(DATOS!$C$28,INT(((DATOS!$C$13-2*R27-2*IF(DATOS!$C$25=0,0,INDEX(TABLAS!$C$52:$C$58,MATCH(DATOS!$C$25,TABLAS!$B$52:$B$58,0))))+DATOS!$C$32)/(INDEX(TABLAS!$C$52:$C$58,MATCH(BX27,TABLAS!$B$52:$B$58,0))+DATOS!$C$32))),CG27&gt;MIN(DATOS!$C$28,INT(((DATOS!$C$13-2*S27-2*IF(DATOS!$C$25=0,0,INDEX(TABLAS!$C$52:$C$58,MATCH(DATOS!$C$25,TABLAS!$B$52:$B$58,0))))+DATOS!$C$32)/(INDEX(TABLAS!$C$52:$C$58,MATCH(CF27,TABLAS!$B$52:$B$58,0))+DATOS!$C$32))))),NOT(OR(AND(ISNUMBER(BM27),BM27&lt;0.005),AND(ISNUMBER(BU27),BU27&lt;0.005),AND(ISNUMBER(CC27),CC27&lt;0.005),AND(ISNUMBER(CK27),CK27&lt;0.005))),CS27="CALCULAR FLECHA"),"REVISAR: calcular flecha (h_eq &lt; h mín.)","NO CUMPLE: "&amp;IF(MAX(BL27,BT27,CB27,CJ27)&gt;1,"flexión ","")&amp;IF(OR(BI27&gt;MIN(DATOS!$C$28,INT(((DATOS!$C$13-2*R27-2*IF(DATOS!$C$25=0,0,INDEX(TABLAS!$C$52:$C$58,MATCH(DATOS!$C$25,TABLAS!$B$52:$B$58,0))))+DATOS!$C$32)/(INDEX(TABLAS!$C$52:$C$58,MATCH(BH27,TABLAS!$B$52:$B$58,0))+DATOS!$C$32))),BQ27&gt;MIN(DATOS!$C$28,INT(((DATOS!$C$13-2*S27-2*IF(DATOS!$C$25=0,0,INDEX(TABLAS!$C$52:$C$58,MATCH(DATOS!$C$25,TABLAS!$B$52:$B$58,0))))+DATOS!$C$32)/(INDEX(TABLAS!$C$52:$C$58,MATCH(BP27,TABLAS!$B$52:$B$58,0))+DATOS!$C$32))),BY27&gt;MIN(DATOS!$C$28,INT(((DATOS!$C$13-2*R27-2*IF(DATOS!$C$25=0,0,INDEX(TABLAS!$C$52:$C$58,MATCH(DATOS!$C$25,TABLAS!$B$52:$B$58,0))))+DATOS!$C$32)/(INDEX(TABLAS!$C$52:$C$58,MATCH(BX27,TABLAS!$B$52:$B$58,0))+DATOS!$C$32))),CG27&gt;MIN(DATOS!$C$28,INT(((DATOS!$C$13-2*S27-2*IF(DATOS!$C$25=0,0,INDEX(TABLAS!$C$52:$C$58,MATCH(DATOS!$C$25,TABLAS!$B$52:$B$58,0))))+DATOS!$C$32)/(INDEX(TABLAS!$C$52:$C$58,MATCH(CF27,TABLAS!$B$52:$B$58,0))+DATOS!$C$32)))),"no caben ","")&amp;IF(OR(AND(ISNUMBER(BM27),BM27&lt;0.005),AND(ISNUMBER(BU27),BU27&lt;0.005),AND(ISNUMBER(CC27),CC27&lt;0.005),AND(ISNUMBER(CK27),CK27&lt;0.005)),"ε_t &lt; 0.005 ","")&amp;IF(CS27="NO CUMPLE","peralte ","")&amp;IF(CT27&lt;&gt;"CUMPLE","capa &lt; 6 cm",""))))</f>
        <v>CUMPLE — MACIZAR 2 hilera(s) · fuera de 3.4.2.1 c)</v>
      </c>
      <c r="DA27" s="65" t="str">
        <f>IF(AND(D27="PERIMETRAL",MIN(CW27,CX27)=0),"Tablero macizo (no cabe un casetón en el claro corto): no aplica 6.7.8. La resistencia se revisa con una nervadura de 10 cm cada 70 cm y r_np (conservador); "&amp;"como losa maciza lleva además As,mín = 0.0018·Ag en cada dirección cerca de la cara a tensión (6.7.6.1.1, p. 175). ",IF(AND(CL27="NO",D27="PERIMETRAL"),"No cumple 6.7.8.1.4 (a_c = "&amp;DATOS!$C$11&amp;" cm &gt; claro corto/6 = "&amp;TEXT(J27*100/6,"0")&amp;" cm): se diseña como losa apoyada en vigas (6.7.8.1.9): nervaduras con recubrimiento de viga r_np = "&amp;DATOS!$C$22&amp;" cm (Tabla 4.14.16.a), V_cR sin ×1.1 y cortante sin estribos por 5.5.3.8.1 (criterio del Proyectista). Para que cuente como encasetonada: casetón de "&amp;TEXT(FLOOR(MIN(80,J27*100/6),1),"0")&amp;" cm o menor. ",""))&amp;IF(LEFT(AZ27,5)="FUERA","M⁻ del borde común "&amp;AZ27&amp;": difieren más de 50% (3.4.2.1 c); se distribuyen 2/3 del desequilibrio (3.4.3.1) y conviene confirmar los momentos con el modelo. ","")&amp;"—"</f>
        <v>No cumple 6.7.8.1.4 (a_c = 60 cm &gt; claro corto/6 = 27 cm): se diseña como losa apoyada en vigas (6.7.8.1.9): nervaduras con recubrimiento de viga r_np = 4 cm (Tabla 4.14.16.a), V_cR sin ×1.1 y cortante sin estribos por 5.5.3.8.1 (criterio del Proyectista). Para que cuente como encasetonada: casetón de 26 cm o menor. M⁻ del borde común FUERA con F80018 · junto al volado F80019: se arma con su M⁻ y su cortante entra en V_u: difieren más de 50% (3.4.2.1 c); se distribuyen 2/3 del desequilibrio (3.4.3.1) y conviene confirmar los momentos con el modelo. —</v>
      </c>
    </row>
    <row r="28" ht="30" customHeight="1">
      <c r="B28" s="51" t="inlineStr">
        <is>
          <t>F80021 N+3.00</t>
        </is>
      </c>
      <c r="C28" s="52" t="inlineStr">
        <is>
          <t>N+3.00</t>
        </is>
      </c>
      <c r="D28" s="53" t="inlineStr">
        <is>
          <t>PERIMETRAL</t>
        </is>
      </c>
      <c r="E28" s="53" t="inlineStr">
        <is>
          <t>AZOTEA</t>
        </is>
      </c>
      <c r="F28" s="54" t="n">
        <v>1.6</v>
      </c>
      <c r="G28" s="54" t="n">
        <v>2.925</v>
      </c>
      <c r="H28" s="55" t="n">
        <v>1.6</v>
      </c>
      <c r="I28" s="55" t="n">
        <v>2.925</v>
      </c>
      <c r="J28" s="36">
        <f>MIN(H28,I28)</f>
        <v>1.6</v>
      </c>
      <c r="K28" s="36">
        <f>MAX(H28,I28)</f>
        <v>2.925</v>
      </c>
      <c r="L28" s="36">
        <f>IF(K28&gt;0,J28/K28,0)</f>
        <v>0.547008547008547</v>
      </c>
      <c r="M28" s="52" t="str">
        <f>IF(H28&lt;=I28,"X","Y")</f>
        <v>X</v>
      </c>
      <c r="N28" s="56">
        <f>MAX(0,J28*100-IF(D28="VOLADO",DATOS!$C$17/2,DATOS!$C$17))</f>
        <v>145</v>
      </c>
      <c r="O28" s="56">
        <f>MAX(0,K28*100-DATOS!$C$17)</f>
        <v>277.5</v>
      </c>
      <c r="P28" s="57">
        <f>MIN(DATOS!$C$16,DATOS!$C$13+2*MIN(8*DATOS!$C$14,DATOS!$C$11/2,N28/8))</f>
        <v>46.25</v>
      </c>
      <c r="Q28" s="57">
        <f>MIN(DATOS!$C$16,DATOS!$C$13+2*MIN(8*DATOS!$C$14,DATOS!$C$11/2,O28/8))</f>
        <v>70</v>
      </c>
      <c r="R28" s="57">
        <f>IF(D28="VOLADO",DATOS!$C$21,IF(CL28="NO",DATOS!$C$22,DATOS!$C$20))</f>
        <v>4</v>
      </c>
      <c r="S28" s="57">
        <f>IF(OR(AND(C28="N+6.00",DATOS!$C$23="SÍ"),AND(D28="VOLADO",DATOS!$C$24="SÍ")),DATOS!$C$21,IF(CL28="NO",DATOS!$C$22,DATOS!$C$20))</f>
        <v>4</v>
      </c>
      <c r="T28" s="58" t="n">
        <v>270</v>
      </c>
      <c r="U28" s="56">
        <f>IF(E28="HABITACIÓN",DATOS!$C$89,DATOS!$C$92)</f>
        <v>100</v>
      </c>
      <c r="V28" s="56">
        <f>CARGAS!$C$9</f>
        <v>293.673469387755</v>
      </c>
      <c r="W28" s="56">
        <f>V28+T28</f>
        <v>563.673469387755</v>
      </c>
      <c r="X28" s="56">
        <f>W28+U28</f>
        <v>663.673469387755</v>
      </c>
      <c r="Y28" s="59">
        <f>MAX(DATOS!$C$55*W28+DATOS!$C$56*U28,IF(E28="AZOTEA",DATOS!$C$57*(W28+DATOS!$C$97),0))</f>
        <v>882.775510204082</v>
      </c>
      <c r="Z28" s="56">
        <f>(APOYOS!$G$105="DISCONTINUO")+(APOYOS!$G$106="DISCONTINUO")+(APOYOS!$G$107="DISCONTINUO")+(APOYOS!$G$108="DISCONTINUO")</f>
        <v>3</v>
      </c>
      <c r="AA28" s="56">
        <f>IF(M28="X",(APOYOS!$G$105="DISCONTINUO")+(APOYOS!$G$106="DISCONTINUO"),(APOYOS!$G$107="DISCONTINUO")+(APOYOS!$G$108="DISCONTINUO"))</f>
        <v>2</v>
      </c>
      <c r="AB28" s="56">
        <f>Z28-AA28</f>
        <v>1</v>
      </c>
      <c r="AC28" s="52" t="str">
        <f>IF(Z28=0,"INTERIOR",IF(Z28=1,IF(AA28=1,"BORDE-CORTO","BORDE-LARGO"),IF(Z28=2,IF(AA28=1,"ESQUINA",IF(AA28=2,"EXTREMO-LARGO","EXTREMO-CORTO")),IF(Z28=3,IF(AA28=2,"EXTREMO-LARGO","EXTREMO-CORTO"),"AISLADO"))))</f>
        <v>EXTREMO-LARGO</v>
      </c>
      <c r="AD28" s="53" t="inlineStr">
        <is>
          <t>AUTO</t>
        </is>
      </c>
      <c r="AE28" s="60" t="str">
        <f>IF(AD28="AUTO",AC28,AD28)</f>
        <v>EXTREMO-LARGO</v>
      </c>
      <c r="AF28" s="56">
        <f>MATCH(L28,TABLAS!$D$5:$J$5,1)</f>
        <v>2</v>
      </c>
      <c r="AG28" s="43">
        <f>IF(AF28&gt;=7,0,(L28-INDEX(TABLAS!$D$5:$J$5,AF28))/(INDEX(TABLAS!$D$5:$J$5,AF28+1)-INDEX(TABLAS!$D$5:$J$5,AF28)))</f>
        <v>0.470085470085471</v>
      </c>
      <c r="AH28" s="56">
        <f>INDEX(TABLAS!$D$6:$J$47,MATCH(AE28&amp;"|NIC",TABLAS!$B$6:$B$47,0),AF28)+AG28*(INDEX(TABLAS!$D$6:$J$47,MATCH(AE28&amp;"|NIC",TABLAS!$B$6:$B$47,0),MIN(AF28+1,7))-INDEX(TABLAS!$D$6:$J$47,MATCH(AE28&amp;"|NIC",TABLAS!$B$6:$B$47,0),AF28))</f>
        <v>1299.82905982906</v>
      </c>
      <c r="AI28" s="56">
        <f>INDEX(TABLAS!$D$6:$J$47,MATCH(AE28&amp;"|NIL",TABLAS!$B$6:$B$47,0),AF28)+AG28*(INDEX(TABLAS!$D$6:$J$47,MATCH(AE28&amp;"|NIL",TABLAS!$B$6:$B$47,0),MIN(AF28+1,7))-INDEX(TABLAS!$D$6:$J$47,MATCH(AE28&amp;"|NIL",TABLAS!$B$6:$B$47,0),AF28))</f>
        <v>0</v>
      </c>
      <c r="AJ28" s="56">
        <f>INDEX(TABLAS!$D$6:$J$47,MATCH(AE28&amp;"|NDC",TABLAS!$B$6:$B$47,0),AF28)+AG28*(INDEX(TABLAS!$D$6:$J$47,MATCH(AE28&amp;"|NDC",TABLAS!$B$6:$B$47,0),MIN(AF28+1,7))-INDEX(TABLAS!$D$6:$J$47,MATCH(AE28&amp;"|NDC",TABLAS!$B$6:$B$47,0),AF28))</f>
        <v>355.897435897436</v>
      </c>
      <c r="AK28" s="56">
        <f>INDEX(TABLAS!$D$6:$J$47,MATCH(AE28&amp;"|NDL",TABLAS!$B$6:$B$47,0),AF28)+AG28*(INDEX(TABLAS!$D$6:$J$47,MATCH(AE28&amp;"|NDL",TABLAS!$B$6:$B$47,0),MIN(AF28+1,7))-INDEX(TABLAS!$D$6:$J$47,MATCH(AE28&amp;"|NDL",TABLAS!$B$6:$B$47,0),AF28))</f>
        <v>349.717948717949</v>
      </c>
      <c r="AL28" s="56">
        <f>INDEX(TABLAS!$D$6:$J$47,MATCH(AE28&amp;"|PC",TABLAS!$B$6:$B$47,0),AF28)+AG28*(INDEX(TABLAS!$D$6:$J$47,MATCH(AE28&amp;"|PC",TABLAS!$B$6:$B$47,0),MIN(AF28+1,7))-INDEX(TABLAS!$D$6:$J$47,MATCH(AE28&amp;"|PC",TABLAS!$B$6:$B$47,0),AF28))</f>
        <v>701.794871794872</v>
      </c>
      <c r="AM28" s="56">
        <f>INDEX(TABLAS!$D$6:$J$47,MATCH(AE28&amp;"|PL",TABLAS!$B$6:$B$47,0),AF28)+AG28*(INDEX(TABLAS!$D$6:$J$47,MATCH(AE28&amp;"|PL",TABLAS!$B$6:$B$47,0),MIN(AF28+1,7))-INDEX(TABLAS!$D$6:$J$47,MATCH(AE28&amp;"|PL",TABLAS!$B$6:$B$47,0),AF28))</f>
        <v>430</v>
      </c>
      <c r="AN28" s="36">
        <f>IF(D28="PERIMETRAL",IF(APOYOS!$G$105="CONTINUO",IF(M28="Y",AH28,AI28),IF(M28="Y",AJ28,AK28))*Y28*J28^2*1E-4*DATOS!$C$16/100/1000,0)</f>
        <v>0.0553230613567766</v>
      </c>
      <c r="AO28" s="36">
        <f>IF(D28="PERIMETRAL",IF(APOYOS!$G$106="CONTINUO",IF(M28="Y",AH28,AI28),IF(M28="Y",AJ28,AK28))*Y28*J28^2*1E-4*DATOS!$C$16/100/1000,0)</f>
        <v>0.0553230613567766</v>
      </c>
      <c r="AP28" s="36">
        <f>IF(D28="PERIMETRAL",IF(APOYOS!$G$107="CONTINUO",IF(M28="X",AH28,AI28),IF(M28="X",AJ28,AK28))*Y28*J28^2*1E-4*DATOS!$C$16/100/1000,0)</f>
        <v>0.0563006152673993</v>
      </c>
      <c r="AQ28" s="36">
        <f>IF(D28="PERIMETRAL",IF(APOYOS!$G$108="CONTINUO",IF(M28="X",AH28,AI28),IF(M28="X",AJ28,AK28))*Y28*J28^2*1E-4*DATOS!$C$16/100/1000,0)</f>
        <v>0.205624341255189</v>
      </c>
      <c r="AR28" s="56">
        <f>IF(D28="PERIMETRAL",IF(M28="X",BN28,CD28)^3/(J28*100),0)</f>
        <v>45.5560697554312</v>
      </c>
      <c r="AS28" s="56">
        <f>IF(D28="PERIMETRAL",IF(M28="Y",BN28,CD28)^3/(J28*100),0)</f>
        <v>37.1777148697438</v>
      </c>
      <c r="AT28" s="36">
        <f>IF(D28="PERIMETRAL",MAX(0,0),0)</f>
        <v>0</v>
      </c>
      <c r="AU28" s="36">
        <f>IF(D28="PERIMETRAL",MAX(0,0),0)</f>
        <v>0</v>
      </c>
      <c r="AV28" s="36">
        <f>IF(D28="PERIMETRAL",(0)/2,0)</f>
        <v>0</v>
      </c>
      <c r="AW28" s="36">
        <f>IF(D28="PERIMETRAL",(0)/2,0)</f>
        <v>0</v>
      </c>
      <c r="AX28" s="36">
        <f>IF(D28="PERIMETRAL",MAX(0,IF(AND(APOYOS!$G$108="CONTINUO",D26="VOLADO"),MAX(0,BC26-AQ28)/MAX(IF(M28="X",N28,O28)/100,0.01),0)),0)</f>
        <v>1.1019269672378</v>
      </c>
      <c r="AY28" s="52" t="str">
        <f>""</f>
        <v/>
      </c>
      <c r="AZ28" s="52" t="str">
        <f>IF(D28&lt;&gt;"PERIMETRAL","—",IF(AY28="","CUMPLE","FUERA con"&amp;AY28)&amp;IF(AND(APOYOS!$G$108="CONTINUO",D26="VOLADO")," · junto al volado F80019: se arma con su M⁻ y su cortante entra en V_u",""))</f>
        <v>CUMPLE · junto al volado F80019: se arma con su M⁻ y su cortante entra en V_u</v>
      </c>
      <c r="BA28" s="61" t="n">
        <v>0</v>
      </c>
      <c r="BB28" s="36">
        <f>IF(D28="PERIMETRAL",AL28*Y28*J28^2*1E-4*DATOS!$C$16/100/1000+AV28,0)</f>
        <v>0.111019296820513</v>
      </c>
      <c r="BC28" s="36">
        <f>IF(D28="PERIMETRAL",MAX(MAX(AH28,AJ28)*Y28*J28^2*1E-4*DATOS!$C$16/100/1000,AT28),IF(D28="VOLADO",(Y28*(N28/100)^2/2+DATOS!$C$55*BA28*N28/100)*DATOS!$C$16/100/1000,0))</f>
        <v>0.205624341255189</v>
      </c>
      <c r="BD28" s="36">
        <f>IF(D28="PERIMETRAL",AM28*Y28*J28^2*1E-4*DATOS!$C$16/100/1000+AW28,0)</f>
        <v>0.0680231497142857</v>
      </c>
      <c r="BE28" s="36">
        <f>IF(D28="PERIMETRAL",MAX(MAX(AI28,AK28)*Y28*J28^2*1E-4*DATOS!$C$16/100/1000,AU28),0)</f>
        <v>0.0553230613567766</v>
      </c>
      <c r="BF28" s="43">
        <f>(DATOS!$C$15-R28-IF(DATOS!$C$25=0,0,INDEX(TABLAS!$C$52:$C$58,MATCH(DATOS!$C$25,TABLAS!$B$52:$B$58,0)))-INDEX(TABLAS!$C$52:$C$58,MATCH(DATOS!$C$26,TABLAS!$B$52:$B$58,0))/2)</f>
        <v>20.365</v>
      </c>
      <c r="BG28" s="43">
        <f>IF(D28="HUECO",0,IF(IF(BB28&lt;=0,0,IF((1-2*BB28*1E5/(DATOS!$C$58*P28*BF28^2*DATOS!$C$48))&lt;0,-1,IF((1-SQRT((1-2*BB28*1E5/(DATOS!$C$58*P28*BF28^2*DATOS!$C$48))))*DATOS!$C$48*P28*BF28/DATOS!$C$40&gt;DATOS!$C$82*P28*BF28,-1,(1-SQRT((1-2*BB28*1E5/(DATOS!$C$58*P28*BF28^2*DATOS!$C$48))))*DATOS!$C$48*P28*BF28/DATOS!$C$40)))&lt;0,-1,MAX(IF(BB28&lt;=0,0,IF((1-2*BB28*1E5/(DATOS!$C$58*P28*BF28^2*DATOS!$C$48))&lt;0,-1,IF((1-SQRT((1-2*BB28*1E5/(DATOS!$C$58*P28*BF28^2*DATOS!$C$48))))*DATOS!$C$48*P28*BF28/DATOS!$C$40&gt;DATOS!$C$82*P28*BF28,-1,(1-SQRT((1-2*BB28*1E5/(DATOS!$C$58*P28*BF28^2*DATOS!$C$48))))*DATOS!$C$48*P28*BF28/DATOS!$C$40))),MIN(DATOS!$C$83*DATOS!$C$13*BF28,4/3*IF(BB28&lt;=0,0,IF((1-2*BB28*1E5/(DATOS!$C$58*P28*BF28^2*DATOS!$C$48))&lt;0,-1,IF((1-SQRT((1-2*BB28*1E5/(DATOS!$C$58*P28*BF28^2*DATOS!$C$48))))*DATOS!$C$48*P28*BF28/DATOS!$C$40&gt;DATOS!$C$82*P28*BF28,-1,(1-SQRT((1-2*BB28*1E5/(DATOS!$C$58*P28*BF28^2*DATOS!$C$48))))*DATOS!$C$48*P28*BF28/DATOS!$C$40)))))))</f>
        <v>0.192583755164486</v>
      </c>
      <c r="BH28" s="41">
        <f>IF(AND(BG28&gt;=0,IF(MAX(DATOS!$C$29,CEILING(BG28/INDEX(TABLAS!$D$52:$D$58,MIN(MATCH(DATOS!$C$26,TABLAS!$B$52:$B$58,0)+0,7)),1))*INDEX(TABLAS!$D$52:$D$58,MIN(MATCH(DATOS!$C$26,TABLAS!$B$52:$B$58,0)+0,7))&gt;=4/3*IF(BB28&lt;=0,0,IF((1-2*BB28*1E5/(DATOS!$C$58*P28*BF28^2*DATOS!$C$48))&lt;0,-1,IF((1-SQRT((1-2*BB28*1E5/(DATOS!$C$58*P28*BF28^2*DATOS!$C$48))))*DATOS!$C$48*P28*BF28/DATOS!$C$40&gt;DATOS!$C$82*P28*BF28,-1,(1-SQRT((1-2*BB28*1E5/(DATOS!$C$58*P28*BF28^2*DATOS!$C$48))))*DATOS!$C$48*P28*BF28/DATOS!$C$40)))-0.0001,MAX(DATOS!$C$29,CEILING(BG28/INDEX(TABLAS!$D$52:$D$58,MIN(MATCH(DATOS!$C$26,TABLAS!$B$52:$B$58,0)+0,7)),1)),MAX(MAX(DATOS!$C$29,CEILING(BG28/INDEX(TABLAS!$D$52:$D$58,MIN(MATCH(DATOS!$C$26,TABLAS!$B$52:$B$58,0)+0,7)),1)),2))&lt;=MIN(DATOS!$C$28,INT(((DATOS!$C$13-2*R28-2*IF(DATOS!$C$25=0,0,INDEX(TABLAS!$C$52:$C$58,MATCH(DATOS!$C$25,TABLAS!$B$52:$B$58,0))))+MAX(DATOS!$C$32,INDEX(TABLAS!$C$52:$C$58,MIN(MATCH(DATOS!$C$26,TABLAS!$B$52:$B$58,0)+0,7))))/(INDEX(TABLAS!$C$52:$C$58,MIN(MATCH(DATOS!$C$26,TABLAS!$B$52:$B$58,0)+0,7))+MAX(DATOS!$C$32,INDEX(TABLAS!$C$52:$C$58,MIN(MATCH(DATOS!$C$26,TABLAS!$B$52:$B$58,0)+0,7))))))),INDEX(TABLAS!$B$52:$B$58,MIN(MATCH(DATOS!$C$26,TABLAS!$B$52:$B$58,0)+0,7)),IF(AND(BG28&gt;=0,IF(MAX(DATOS!$C$29,CEILING(BG28/INDEX(TABLAS!$D$52:$D$58,MIN(MATCH(DATOS!$C$26,TABLAS!$B$52:$B$58,0)+1,7)),1))*INDEX(TABLAS!$D$52:$D$58,MIN(MATCH(DATOS!$C$26,TABLAS!$B$52:$B$58,0)+1,7))&gt;=4/3*IF(BB28&lt;=0,0,IF((1-2*BB28*1E5/(DATOS!$C$58*P28*BF28^2*DATOS!$C$48))&lt;0,-1,IF((1-SQRT((1-2*BB28*1E5/(DATOS!$C$58*P28*BF28^2*DATOS!$C$48))))*DATOS!$C$48*P28*BF28/DATOS!$C$40&gt;DATOS!$C$82*P28*BF28,-1,(1-SQRT((1-2*BB28*1E5/(DATOS!$C$58*P28*BF28^2*DATOS!$C$48))))*DATOS!$C$48*P28*BF28/DATOS!$C$40)))-0.0001,MAX(DATOS!$C$29,CEILING(BG28/INDEX(TABLAS!$D$52:$D$58,MIN(MATCH(DATOS!$C$26,TABLAS!$B$52:$B$58,0)+1,7)),1)),MAX(MAX(DATOS!$C$29,CEILING(BG28/INDEX(TABLAS!$D$52:$D$58,MIN(MATCH(DATOS!$C$26,TABLAS!$B$52:$B$58,0)+1,7)),1)),2))&lt;=MIN(DATOS!$C$28,INT(((DATOS!$C$13-2*R28-2*IF(DATOS!$C$25=0,0,INDEX(TABLAS!$C$52:$C$58,MATCH(DATOS!$C$25,TABLAS!$B$52:$B$58,0))))+MAX(DATOS!$C$32,INDEX(TABLAS!$C$52:$C$58,MIN(MATCH(DATOS!$C$26,TABLAS!$B$52:$B$58,0)+1,7))))/(INDEX(TABLAS!$C$52:$C$58,MIN(MATCH(DATOS!$C$26,TABLAS!$B$52:$B$58,0)+1,7))+MAX(DATOS!$C$32,INDEX(TABLAS!$C$52:$C$58,MIN(MATCH(DATOS!$C$26,TABLAS!$B$52:$B$58,0)+1,7))))))),INDEX(TABLAS!$B$52:$B$58,MIN(MATCH(DATOS!$C$26,TABLAS!$B$52:$B$58,0)+1,7)),IF(AND(BG28&gt;=0,IF(MAX(DATOS!$C$29,CEILING(BG28/INDEX(TABLAS!$D$52:$D$58,MIN(MATCH(DATOS!$C$26,TABLAS!$B$52:$B$58,0)+2,7)),1))*INDEX(TABLAS!$D$52:$D$58,MIN(MATCH(DATOS!$C$26,TABLAS!$B$52:$B$58,0)+2,7))&gt;=4/3*IF(BB28&lt;=0,0,IF((1-2*BB28*1E5/(DATOS!$C$58*P28*BF28^2*DATOS!$C$48))&lt;0,-1,IF((1-SQRT((1-2*BB28*1E5/(DATOS!$C$58*P28*BF28^2*DATOS!$C$48))))*DATOS!$C$48*P28*BF28/DATOS!$C$40&gt;DATOS!$C$82*P28*BF28,-1,(1-SQRT((1-2*BB28*1E5/(DATOS!$C$58*P28*BF28^2*DATOS!$C$48))))*DATOS!$C$48*P28*BF28/DATOS!$C$40)))-0.0001,MAX(DATOS!$C$29,CEILING(BG28/INDEX(TABLAS!$D$52:$D$58,MIN(MATCH(DATOS!$C$26,TABLAS!$B$52:$B$58,0)+2,7)),1)),MAX(MAX(DATOS!$C$29,CEILING(BG28/INDEX(TABLAS!$D$52:$D$58,MIN(MATCH(DATOS!$C$26,TABLAS!$B$52:$B$58,0)+2,7)),1)),2))&lt;=MIN(DATOS!$C$28,INT(((DATOS!$C$13-2*R28-2*IF(DATOS!$C$25=0,0,INDEX(TABLAS!$C$52:$C$58,MATCH(DATOS!$C$25,TABLAS!$B$52:$B$58,0))))+MAX(DATOS!$C$32,INDEX(TABLAS!$C$52:$C$58,MIN(MATCH(DATOS!$C$26,TABLAS!$B$52:$B$58,0)+2,7))))/(INDEX(TABLAS!$C$52:$C$58,MIN(MATCH(DATOS!$C$26,TABLAS!$B$52:$B$58,0)+2,7))+MAX(DATOS!$C$32,INDEX(TABLAS!$C$52:$C$58,MIN(MATCH(DATOS!$C$26,TABLAS!$B$52:$B$58,0)+2,7))))))),INDEX(TABLAS!$B$52:$B$58,MIN(MATCH(DATOS!$C$26,TABLAS!$B$52:$B$58,0)+2,7)),IF(AND(BG28&gt;=0,IF(MAX(DATOS!$C$29,CEILING(BG28/INDEX(TABLAS!$D$52:$D$58,MIN(MATCH(DATOS!$C$26,TABLAS!$B$52:$B$58,0)+3,7)),1))*INDEX(TABLAS!$D$52:$D$58,MIN(MATCH(DATOS!$C$26,TABLAS!$B$52:$B$58,0)+3,7))&gt;=4/3*IF(BB28&lt;=0,0,IF((1-2*BB28*1E5/(DATOS!$C$58*P28*BF28^2*DATOS!$C$48))&lt;0,-1,IF((1-SQRT((1-2*BB28*1E5/(DATOS!$C$58*P28*BF28^2*DATOS!$C$48))))*DATOS!$C$48*P28*BF28/DATOS!$C$40&gt;DATOS!$C$82*P28*BF28,-1,(1-SQRT((1-2*BB28*1E5/(DATOS!$C$58*P28*BF28^2*DATOS!$C$48))))*DATOS!$C$48*P28*BF28/DATOS!$C$40)))-0.0001,MAX(DATOS!$C$29,CEILING(BG28/INDEX(TABLAS!$D$52:$D$58,MIN(MATCH(DATOS!$C$26,TABLAS!$B$52:$B$58,0)+3,7)),1)),MAX(MAX(DATOS!$C$29,CEILING(BG28/INDEX(TABLAS!$D$52:$D$58,MIN(MATCH(DATOS!$C$26,TABLAS!$B$52:$B$58,0)+3,7)),1)),2))&lt;=MIN(DATOS!$C$28,INT(((DATOS!$C$13-2*R28-2*IF(DATOS!$C$25=0,0,INDEX(TABLAS!$C$52:$C$58,MATCH(DATOS!$C$25,TABLAS!$B$52:$B$58,0))))+MAX(DATOS!$C$32,INDEX(TABLAS!$C$52:$C$58,MIN(MATCH(DATOS!$C$26,TABLAS!$B$52:$B$58,0)+3,7))))/(INDEX(TABLAS!$C$52:$C$58,MIN(MATCH(DATOS!$C$26,TABLAS!$B$52:$B$58,0)+3,7))+MAX(DATOS!$C$32,INDEX(TABLAS!$C$52:$C$58,MIN(MATCH(DATOS!$C$26,TABLAS!$B$52:$B$58,0)+3,7))))))),INDEX(TABLAS!$B$52:$B$58,MIN(MATCH(DATOS!$C$26,TABLAS!$B$52:$B$58,0)+3,7)),IF(AND(BG28&gt;=0,IF(MAX(DATOS!$C$29,CEILING(BG28/INDEX(TABLAS!$D$52:$D$58,MIN(MATCH(DATOS!$C$26,TABLAS!$B$52:$B$58,0)+4,7)),1))*INDEX(TABLAS!$D$52:$D$58,MIN(MATCH(DATOS!$C$26,TABLAS!$B$52:$B$58,0)+4,7))&gt;=4/3*IF(BB28&lt;=0,0,IF((1-2*BB28*1E5/(DATOS!$C$58*P28*BF28^2*DATOS!$C$48))&lt;0,-1,IF((1-SQRT((1-2*BB28*1E5/(DATOS!$C$58*P28*BF28^2*DATOS!$C$48))))*DATOS!$C$48*P28*BF28/DATOS!$C$40&gt;DATOS!$C$82*P28*BF28,-1,(1-SQRT((1-2*BB28*1E5/(DATOS!$C$58*P28*BF28^2*DATOS!$C$48))))*DATOS!$C$48*P28*BF28/DATOS!$C$40)))-0.0001,MAX(DATOS!$C$29,CEILING(BG28/INDEX(TABLAS!$D$52:$D$58,MIN(MATCH(DATOS!$C$26,TABLAS!$B$52:$B$58,0)+4,7)),1)),MAX(MAX(DATOS!$C$29,CEILING(BG28/INDEX(TABLAS!$D$52:$D$58,MIN(MATCH(DATOS!$C$26,TABLAS!$B$52:$B$58,0)+4,7)),1)),2))&lt;=MIN(DATOS!$C$28,INT(((DATOS!$C$13-2*R28-2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28" s="56">
        <f>IF(D28="HUECO",0,IF(BG28&lt;0,0,IF(MAX(DATOS!$C$29,CEILING(MAX(BG28,0)/INDEX(TABLAS!$D$52:$D$58,MATCH(BH28,TABLAS!$B$52:$B$58,0)),1))*INDEX(TABLAS!$D$52:$D$58,MATCH(BH28,TABLAS!$B$52:$B$58,0))&gt;=4/3*IF(BB28&lt;=0,0,IF((1-2*BB28*1E5/(DATOS!$C$58*P28*BF28^2*DATOS!$C$48))&lt;0,-1,IF((1-SQRT((1-2*BB28*1E5/(DATOS!$C$58*P28*BF28^2*DATOS!$C$48))))*DATOS!$C$48*P28*BF28/DATOS!$C$40&gt;DATOS!$C$82*P28*BF28,-1,(1-SQRT((1-2*BB28*1E5/(DATOS!$C$58*P28*BF28^2*DATOS!$C$48))))*DATOS!$C$48*P28*BF28/DATOS!$C$40)))-0.0001,MAX(DATOS!$C$29,CEILING(MAX(BG28,0)/INDEX(TABLAS!$D$52:$D$58,MATCH(BH28,TABLAS!$B$52:$B$58,0)),1)),MAX(MAX(DATOS!$C$29,CEILING(MAX(BG28,0)/INDEX(TABLAS!$D$52:$D$58,MATCH(BH28,TABLAS!$B$52:$B$58,0)),1)),2))))</f>
        <v>1</v>
      </c>
      <c r="BJ28" s="43">
        <f>DATOS!$C$15-R28-IF(DATOS!$C$25=0,0,INDEX(TABLAS!$C$52:$C$58,MATCH(DATOS!$C$25,TABLAS!$B$52:$B$58,0)))-INDEX(TABLAS!$C$52:$C$58,MATCH(BH28,TABLAS!$B$52:$B$58,0))/2</f>
        <v>20.365</v>
      </c>
      <c r="BK28" s="36">
        <f>IF(BI28=0,0,DATOS!$C$58*BI28*INDEX(TABLAS!$D$52:$D$58,MATCH(BH28,TABLAS!$B$52:$B$58,0))*DATOS!$C$40*(BJ28-BI28*INDEX(TABLAS!$D$52:$D$58,MATCH(BH28,TABLAS!$B$52:$B$58,0))*DATOS!$C$40/(DATOS!$C$48*P28)/2)/1E5)</f>
        <v>0.96461508645787</v>
      </c>
      <c r="BL28" s="62">
        <f>IF(BG28&lt;0,9.99,IF(BK28&gt;0,BB28/BK28,0))</f>
        <v>0.115091810587561</v>
      </c>
      <c r="BM28" s="63">
        <f>IF(BI28=0,"—",0.003*(BJ28-(BI28*INDEX(TABLAS!$D$52:$D$58,MATCH(BH28,TABLAS!$B$52:$B$58,0))*DATOS!$C$40/(DATOS!$C$48*P28)/DATOS!$C$49))/(BI28*INDEX(TABLAS!$D$52:$D$58,MATCH(BH28,TABLAS!$B$52:$B$58,0))*DATOS!$C$40/(DATOS!$C$48*P28)/DATOS!$C$49))</f>
        <v>0.0926846461086895</v>
      </c>
      <c r="BN28" s="43">
        <f>((DATOS!$C$15-S28-2*DATOS!$C$35-IF(DATOS!$C$25=0,0,INDEX(TABLAS!$C$52:$C$58,MATCH(DATOS!$C$25,TABLAS!$B$52:$B$58,0)))-INDEX(TABLAS!$C$52:$C$58,MATCH(DATOS!$C$27,TABLAS!$B$52:$B$58,0))/2)-IF(AND((DATOS!$C$15-S28-2*DATOS!$C$35-IF(DATOS!$C$25=0,0,INDEX(TABLAS!$C$52:$C$58,MATCH(DATOS!$C$25,TABLAS!$B$52:$B$58,0)))-INDEX(TABLAS!$C$52:$C$58,MATCH(DATOS!$C$27,TABLAS!$B$52:$B$58,0))/2)&lt;=20,DATOS!$C$18&lt;&gt;"SÍ"),2,0))</f>
        <v>19.389</v>
      </c>
      <c r="BO28" s="43">
        <f>IF(D28="HUECO",0,IF(IF(BC28&lt;=0,0,IF((1-2*BC28*1E5/(DATOS!$C$58*DATOS!$C$19*BN28^2*DATOS!$C$48))&lt;0,-1,IF((1-SQRT((1-2*BC28*1E5/(DATOS!$C$58*DATOS!$C$19*BN28^2*DATOS!$C$48))))*DATOS!$C$48*DATOS!$C$19*BN28/DATOS!$C$40&gt;DATOS!$C$82*DATOS!$C$19*BN28,-1,(1-SQRT((1-2*BC28*1E5/(DATOS!$C$58*DATOS!$C$19*BN28^2*DATOS!$C$48))))*DATOS!$C$48*DATOS!$C$19*BN28/DATOS!$C$40)))&lt;0,-1,MAX(IF(BC28&lt;=0,0,IF((1-2*BC28*1E5/(DATOS!$C$58*DATOS!$C$19*BN28^2*DATOS!$C$48))&lt;0,-1,IF((1-SQRT((1-2*BC28*1E5/(DATOS!$C$58*DATOS!$C$19*BN28^2*DATOS!$C$48))))*DATOS!$C$48*DATOS!$C$19*BN28/DATOS!$C$40&gt;DATOS!$C$82*DATOS!$C$19*BN28,-1,(1-SQRT((1-2*BC28*1E5/(DATOS!$C$58*DATOS!$C$19*BN28^2*DATOS!$C$48))))*DATOS!$C$48*DATOS!$C$19*BN28/DATOS!$C$40))),MIN(DATOS!$C$83*IF(D28="VOLADO",2*DATOS!$C$13,DATOS!$C$13)*BN28,4/3*IF(BC28&lt;=0,0,IF((1-2*BC28*1E5/(DATOS!$C$58*DATOS!$C$19*BN28^2*DATOS!$C$48))&lt;0,-1,IF((1-SQRT((1-2*BC28*1E5/(DATOS!$C$58*DATOS!$C$19*BN28^2*DATOS!$C$48))))*DATOS!$C$48*DATOS!$C$19*BN28/DATOS!$C$40&gt;DATOS!$C$82*DATOS!$C$19*BN28,-1,(1-SQRT((1-2*BC28*1E5/(DATOS!$C$58*DATOS!$C$19*BN28^2*DATOS!$C$48))))*DATOS!$C$48*DATOS!$C$19*BN28/DATOS!$C$40)))))))</f>
        <v>0.379589348250598</v>
      </c>
      <c r="BP28" s="41">
        <f>IF(AND(BO28&gt;=0,IF(MAX(DATOS!$C$29,CEILING(BO28/INDEX(TABLAS!$D$52:$D$58,MIN(MATCH(DATOS!$C$27,TABLAS!$B$52:$B$58,0)+0,7)),1))*INDEX(TABLAS!$D$52:$D$58,MIN(MATCH(DATOS!$C$27,TABLAS!$B$52:$B$58,0)+0,7))&gt;=4/3*IF(BC28&lt;=0,0,IF((1-2*BC28*1E5/(DATOS!$C$58*DATOS!$C$19*BN28^2*DATOS!$C$48))&lt;0,-1,IF((1-SQRT((1-2*BC28*1E5/(DATOS!$C$58*DATOS!$C$19*BN28^2*DATOS!$C$48))))*DATOS!$C$48*DATOS!$C$19*BN28/DATOS!$C$40&gt;DATOS!$C$82*DATOS!$C$19*BN28,-1,(1-SQRT((1-2*BC28*1E5/(DATOS!$C$58*DATOS!$C$19*BN28^2*DATOS!$C$48))))*DATOS!$C$48*DATOS!$C$19*BN28/DATOS!$C$40)))-0.0001,MAX(DATOS!$C$29,CEILING(BO28/INDEX(TABLAS!$D$52:$D$58,MIN(MATCH(DATOS!$C$27,TABLAS!$B$52:$B$58,0)+0,7)),1)),MAX(MAX(DATOS!$C$29,CEILING(BO28/INDEX(TABLAS!$D$52:$D$58,MIN(MATCH(DATOS!$C$27,TABLAS!$B$52:$B$58,0)+0,7)),1)),2))&lt;=MIN(DATOS!$C$28,INT(((DATOS!$C$13-2*S28-2*IF(DATOS!$C$25=0,0,INDEX(TABLAS!$C$52:$C$58,MATCH(DATOS!$C$25,TABLAS!$B$52:$B$58,0))))+MAX(DATOS!$C$32,INDEX(TABLAS!$C$52:$C$58,MIN(MATCH(DATOS!$C$27,TABLAS!$B$52:$B$58,0)+0,7))))/(INDEX(TABLAS!$C$52:$C$58,MIN(MATCH(DATOS!$C$27,TABLAS!$B$52:$B$58,0)+0,7))+MAX(DATOS!$C$32,INDEX(TABLAS!$C$52:$C$58,MIN(MATCH(DATOS!$C$27,TABLAS!$B$52:$B$58,0)+0,7))))))),INDEX(TABLAS!$B$52:$B$58,MIN(MATCH(DATOS!$C$27,TABLAS!$B$52:$B$58,0)+0,7)),IF(AND(BO28&gt;=0,IF(MAX(DATOS!$C$29,CEILING(BO28/INDEX(TABLAS!$D$52:$D$58,MIN(MATCH(DATOS!$C$27,TABLAS!$B$52:$B$58,0)+1,7)),1))*INDEX(TABLAS!$D$52:$D$58,MIN(MATCH(DATOS!$C$27,TABLAS!$B$52:$B$58,0)+1,7))&gt;=4/3*IF(BC28&lt;=0,0,IF((1-2*BC28*1E5/(DATOS!$C$58*DATOS!$C$19*BN28^2*DATOS!$C$48))&lt;0,-1,IF((1-SQRT((1-2*BC28*1E5/(DATOS!$C$58*DATOS!$C$19*BN28^2*DATOS!$C$48))))*DATOS!$C$48*DATOS!$C$19*BN28/DATOS!$C$40&gt;DATOS!$C$82*DATOS!$C$19*BN28,-1,(1-SQRT((1-2*BC28*1E5/(DATOS!$C$58*DATOS!$C$19*BN28^2*DATOS!$C$48))))*DATOS!$C$48*DATOS!$C$19*BN28/DATOS!$C$40)))-0.0001,MAX(DATOS!$C$29,CEILING(BO28/INDEX(TABLAS!$D$52:$D$58,MIN(MATCH(DATOS!$C$27,TABLAS!$B$52:$B$58,0)+1,7)),1)),MAX(MAX(DATOS!$C$29,CEILING(BO28/INDEX(TABLAS!$D$52:$D$58,MIN(MATCH(DATOS!$C$27,TABLAS!$B$52:$B$58,0)+1,7)),1)),2))&lt;=MIN(DATOS!$C$28,INT(((DATOS!$C$13-2*S28-2*IF(DATOS!$C$25=0,0,INDEX(TABLAS!$C$52:$C$58,MATCH(DATOS!$C$25,TABLAS!$B$52:$B$58,0))))+MAX(DATOS!$C$32,INDEX(TABLAS!$C$52:$C$58,MIN(MATCH(DATOS!$C$27,TABLAS!$B$52:$B$58,0)+1,7))))/(INDEX(TABLAS!$C$52:$C$58,MIN(MATCH(DATOS!$C$27,TABLAS!$B$52:$B$58,0)+1,7))+MAX(DATOS!$C$32,INDEX(TABLAS!$C$52:$C$58,MIN(MATCH(DATOS!$C$27,TABLAS!$B$52:$B$58,0)+1,7))))))),INDEX(TABLAS!$B$52:$B$58,MIN(MATCH(DATOS!$C$27,TABLAS!$B$52:$B$58,0)+1,7)),IF(AND(BO28&gt;=0,IF(MAX(DATOS!$C$29,CEILING(BO28/INDEX(TABLAS!$D$52:$D$58,MIN(MATCH(DATOS!$C$27,TABLAS!$B$52:$B$58,0)+2,7)),1))*INDEX(TABLAS!$D$52:$D$58,MIN(MATCH(DATOS!$C$27,TABLAS!$B$52:$B$58,0)+2,7))&gt;=4/3*IF(BC28&lt;=0,0,IF((1-2*BC28*1E5/(DATOS!$C$58*DATOS!$C$19*BN28^2*DATOS!$C$48))&lt;0,-1,IF((1-SQRT((1-2*BC28*1E5/(DATOS!$C$58*DATOS!$C$19*BN28^2*DATOS!$C$48))))*DATOS!$C$48*DATOS!$C$19*BN28/DATOS!$C$40&gt;DATOS!$C$82*DATOS!$C$19*BN28,-1,(1-SQRT((1-2*BC28*1E5/(DATOS!$C$58*DATOS!$C$19*BN28^2*DATOS!$C$48))))*DATOS!$C$48*DATOS!$C$19*BN28/DATOS!$C$40)))-0.0001,MAX(DATOS!$C$29,CEILING(BO28/INDEX(TABLAS!$D$52:$D$58,MIN(MATCH(DATOS!$C$27,TABLAS!$B$52:$B$58,0)+2,7)),1)),MAX(MAX(DATOS!$C$29,CEILING(BO28/INDEX(TABLAS!$D$52:$D$58,MIN(MATCH(DATOS!$C$27,TABLAS!$B$52:$B$58,0)+2,7)),1)),2))&lt;=MIN(DATOS!$C$28,INT(((DATOS!$C$13-2*S28-2*IF(DATOS!$C$25=0,0,INDEX(TABLAS!$C$52:$C$58,MATCH(DATOS!$C$25,TABLAS!$B$52:$B$58,0))))+MAX(DATOS!$C$32,INDEX(TABLAS!$C$52:$C$58,MIN(MATCH(DATOS!$C$27,TABLAS!$B$52:$B$58,0)+2,7))))/(INDEX(TABLAS!$C$52:$C$58,MIN(MATCH(DATOS!$C$27,TABLAS!$B$52:$B$58,0)+2,7))+MAX(DATOS!$C$32,INDEX(TABLAS!$C$52:$C$58,MIN(MATCH(DATOS!$C$27,TABLAS!$B$52:$B$58,0)+2,7))))))),INDEX(TABLAS!$B$52:$B$58,MIN(MATCH(DATOS!$C$27,TABLAS!$B$52:$B$58,0)+2,7)),IF(AND(BO28&gt;=0,IF(MAX(DATOS!$C$29,CEILING(BO28/INDEX(TABLAS!$D$52:$D$58,MIN(MATCH(DATOS!$C$27,TABLAS!$B$52:$B$58,0)+3,7)),1))*INDEX(TABLAS!$D$52:$D$58,MIN(MATCH(DATOS!$C$27,TABLAS!$B$52:$B$58,0)+3,7))&gt;=4/3*IF(BC28&lt;=0,0,IF((1-2*BC28*1E5/(DATOS!$C$58*DATOS!$C$19*BN28^2*DATOS!$C$48))&lt;0,-1,IF((1-SQRT((1-2*BC28*1E5/(DATOS!$C$58*DATOS!$C$19*BN28^2*DATOS!$C$48))))*DATOS!$C$48*DATOS!$C$19*BN28/DATOS!$C$40&gt;DATOS!$C$82*DATOS!$C$19*BN28,-1,(1-SQRT((1-2*BC28*1E5/(DATOS!$C$58*DATOS!$C$19*BN28^2*DATOS!$C$48))))*DATOS!$C$48*DATOS!$C$19*BN28/DATOS!$C$40)))-0.0001,MAX(DATOS!$C$29,CEILING(BO28/INDEX(TABLAS!$D$52:$D$58,MIN(MATCH(DATOS!$C$27,TABLAS!$B$52:$B$58,0)+3,7)),1)),MAX(MAX(DATOS!$C$29,CEILING(BO28/INDEX(TABLAS!$D$52:$D$58,MIN(MATCH(DATOS!$C$27,TABLAS!$B$52:$B$58,0)+3,7)),1)),2))&lt;=MIN(DATOS!$C$28,INT(((DATOS!$C$13-2*S28-2*IF(DATOS!$C$25=0,0,INDEX(TABLAS!$C$52:$C$58,MATCH(DATOS!$C$25,TABLAS!$B$52:$B$58,0))))+MAX(DATOS!$C$32,INDEX(TABLAS!$C$52:$C$58,MIN(MATCH(DATOS!$C$27,TABLAS!$B$52:$B$58,0)+3,7))))/(INDEX(TABLAS!$C$52:$C$58,MIN(MATCH(DATOS!$C$27,TABLAS!$B$52:$B$58,0)+3,7))+MAX(DATOS!$C$32,INDEX(TABLAS!$C$52:$C$58,MIN(MATCH(DATOS!$C$27,TABLAS!$B$52:$B$58,0)+3,7))))))),INDEX(TABLAS!$B$52:$B$58,MIN(MATCH(DATOS!$C$27,TABLAS!$B$52:$B$58,0)+3,7)),IF(AND(BO28&gt;=0,IF(MAX(DATOS!$C$29,CEILING(BO28/INDEX(TABLAS!$D$52:$D$58,MIN(MATCH(DATOS!$C$27,TABLAS!$B$52:$B$58,0)+4,7)),1))*INDEX(TABLAS!$D$52:$D$58,MIN(MATCH(DATOS!$C$27,TABLAS!$B$52:$B$58,0)+4,7))&gt;=4/3*IF(BC28&lt;=0,0,IF((1-2*BC28*1E5/(DATOS!$C$58*DATOS!$C$19*BN28^2*DATOS!$C$48))&lt;0,-1,IF((1-SQRT((1-2*BC28*1E5/(DATOS!$C$58*DATOS!$C$19*BN28^2*DATOS!$C$48))))*DATOS!$C$48*DATOS!$C$19*BN28/DATOS!$C$40&gt;DATOS!$C$82*DATOS!$C$19*BN28,-1,(1-SQRT((1-2*BC28*1E5/(DATOS!$C$58*DATOS!$C$19*BN28^2*DATOS!$C$48))))*DATOS!$C$48*DATOS!$C$19*BN28/DATOS!$C$40)))-0.0001,MAX(DATOS!$C$29,CEILING(BO28/INDEX(TABLAS!$D$52:$D$58,MIN(MATCH(DATOS!$C$27,TABLAS!$B$52:$B$58,0)+4,7)),1)),MAX(MAX(DATOS!$C$29,CEILING(BO28/INDEX(TABLAS!$D$52:$D$58,MIN(MATCH(DATOS!$C$27,TABLAS!$B$52:$B$58,0)+4,7)),1)),2))&lt;=MIN(DATOS!$C$28,INT(((DATOS!$C$13-2*S28-2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28" s="56">
        <f>IF(D28="HUECO",0,IF(BO28&lt;0,0,IF(MAX(DATOS!$C$29,CEILING(MAX(BO28,0)/INDEX(TABLAS!$D$52:$D$58,MATCH(BP28,TABLAS!$B$52:$B$58,0)),1))*INDEX(TABLAS!$D$52:$D$58,MATCH(BP28,TABLAS!$B$52:$B$58,0))&gt;=4/3*IF(BC28&lt;=0,0,IF((1-2*BC28*1E5/(DATOS!$C$58*DATOS!$C$19*BN28^2*DATOS!$C$48))&lt;0,-1,IF((1-SQRT((1-2*BC28*1E5/(DATOS!$C$58*DATOS!$C$19*BN28^2*DATOS!$C$48))))*DATOS!$C$48*DATOS!$C$19*BN28/DATOS!$C$40&gt;DATOS!$C$82*DATOS!$C$19*BN28,-1,(1-SQRT((1-2*BC28*1E5/(DATOS!$C$58*DATOS!$C$19*BN28^2*DATOS!$C$48))))*DATOS!$C$48*DATOS!$C$19*BN28/DATOS!$C$40)))-0.0001,MAX(DATOS!$C$29,CEILING(MAX(BO28,0)/INDEX(TABLAS!$D$52:$D$58,MATCH(BP28,TABLAS!$B$52:$B$58,0)),1)),MAX(MAX(DATOS!$C$29,CEILING(MAX(BO28,0)/INDEX(TABLAS!$D$52:$D$58,MATCH(BP28,TABLAS!$B$52:$B$58,0)),1)),2))))</f>
        <v>1</v>
      </c>
      <c r="BR28" s="43">
        <f>((DATOS!$C$15-S28-2*DATOS!$C$35-IF(DATOS!$C$25=0,0,INDEX(TABLAS!$C$52:$C$58,MATCH(DATOS!$C$25,TABLAS!$B$52:$B$58,0)))-INDEX(TABLAS!$C$52:$C$58,MATCH(BP28,TABLAS!$B$52:$B$58,0))/2)-IF(AND((DATOS!$C$15-S28-2*DATOS!$C$35-IF(DATOS!$C$25=0,0,INDEX(TABLAS!$C$52:$C$58,MATCH(DATOS!$C$25,TABLAS!$B$52:$B$58,0)))-INDEX(TABLAS!$C$52:$C$58,MATCH(BP28,TABLAS!$B$52:$B$58,0))/2)&lt;=20,DATOS!$C$18&lt;&gt;"SÍ"),2,0))</f>
        <v>19.389</v>
      </c>
      <c r="BS28" s="36">
        <f>IF(BQ28=0,0,DATOS!$C$58*BQ28*INDEX(TABLAS!$D$52:$D$58,MATCH(BP28,TABLAS!$B$52:$B$58,0))*DATOS!$C$40*(BR28-BQ28*INDEX(TABLAS!$D$52:$D$58,MATCH(BP28,TABLAS!$B$52:$B$58,0))*DATOS!$C$40/(DATOS!$C$48*DATOS!$C$19)/2)/1E5)</f>
        <v>0.870537980117647</v>
      </c>
      <c r="BT28" s="62">
        <f>IF(BO28&lt;0,9.99,IF(BS28&gt;0,BC28/BS28,0))</f>
        <v>0.236203756701575</v>
      </c>
      <c r="BU28" s="63">
        <f>IF(BQ28=0,"—",0.003*(BR28-(BQ28*INDEX(TABLAS!$D$52:$D$58,MATCH(BP28,TABLAS!$B$52:$B$58,0))*DATOS!$C$40/(DATOS!$C$48*DATOS!$C$19)/DATOS!$C$49))/(BQ28*INDEX(TABLAS!$D$52:$D$58,MATCH(BP28,TABLAS!$B$52:$B$58,0))*DATOS!$C$40/(DATOS!$C$48*DATOS!$C$19)/DATOS!$C$49))</f>
        <v>0.0166970648200225</v>
      </c>
      <c r="BV28" s="43">
        <f>(DATOS!$C$15-R28-IF(DATOS!$C$25=0,0,INDEX(TABLAS!$C$52:$C$58,MATCH(DATOS!$C$25,TABLAS!$B$52:$B$58,0)))-INDEX(TABLAS!$C$52:$C$58,MATCH(DATOS!$C$26,TABLAS!$B$52:$B$58,0))-INDEX(TABLAS!$C$52:$C$58,MATCH(DATOS!$C$26,TABLAS!$B$52:$B$58,0))/2)</f>
        <v>19.095</v>
      </c>
      <c r="BW28" s="43">
        <f>IF(D28="HUECO",0,IF(IF(BD28&lt;=0,0,IF((1-2*BD28*1E5/(DATOS!$C$58*Q28*BV28^2*DATOS!$C$48))&lt;0,-1,IF((1-SQRT((1-2*BD28*1E5/(DATOS!$C$58*Q28*BV28^2*DATOS!$C$48))))*DATOS!$C$48*Q28*BV28/DATOS!$C$40&gt;DATOS!$C$82*Q28*BV28,-1,(1-SQRT((1-2*BD28*1E5/(DATOS!$C$58*Q28*BV28^2*DATOS!$C$48))))*DATOS!$C$48*Q28*BV28/DATOS!$C$40)))&lt;0,-1,MAX(IF(BD28&lt;=0,0,IF((1-2*BD28*1E5/(DATOS!$C$58*Q28*BV28^2*DATOS!$C$48))&lt;0,-1,IF((1-SQRT((1-2*BD28*1E5/(DATOS!$C$58*Q28*BV28^2*DATOS!$C$48))))*DATOS!$C$48*Q28*BV28/DATOS!$C$40&gt;DATOS!$C$82*Q28*BV28,-1,(1-SQRT((1-2*BD28*1E5/(DATOS!$C$58*Q28*BV28^2*DATOS!$C$48))))*DATOS!$C$48*Q28*BV28/DATOS!$C$40))),MIN(DATOS!$C$83*DATOS!$C$13*BV28,4/3*IF(BD28&lt;=0,0,IF((1-2*BD28*1E5/(DATOS!$C$58*Q28*BV28^2*DATOS!$C$48))&lt;0,-1,IF((1-SQRT((1-2*BD28*1E5/(DATOS!$C$58*Q28*BV28^2*DATOS!$C$48))))*DATOS!$C$48*Q28*BV28/DATOS!$C$40&gt;DATOS!$C$82*Q28*BV28,-1,(1-SQRT((1-2*BD28*1E5/(DATOS!$C$58*Q28*BV28^2*DATOS!$C$48))))*DATOS!$C$48*Q28*BV28/DATOS!$C$40)))))))</f>
        <v>0.125743901310555</v>
      </c>
      <c r="BX28" s="41">
        <f>IF(AND(BW28&gt;=0,IF(MAX(DATOS!$C$29,CEILING(BW28/INDEX(TABLAS!$D$52:$D$58,MIN(MATCH(DATOS!$C$26,TABLAS!$B$52:$B$58,0)+0,7)),1))*INDEX(TABLAS!$D$52:$D$58,MIN(MATCH(DATOS!$C$26,TABLAS!$B$52:$B$58,0)+0,7))&gt;=4/3*IF(BD28&lt;=0,0,IF((1-2*BD28*1E5/(DATOS!$C$58*Q28*BV28^2*DATOS!$C$48))&lt;0,-1,IF((1-SQRT((1-2*BD28*1E5/(DATOS!$C$58*Q28*BV28^2*DATOS!$C$48))))*DATOS!$C$48*Q28*BV28/DATOS!$C$40&gt;DATOS!$C$82*Q28*BV28,-1,(1-SQRT((1-2*BD28*1E5/(DATOS!$C$58*Q28*BV28^2*DATOS!$C$48))))*DATOS!$C$48*Q28*BV28/DATOS!$C$40)))-0.0001,MAX(DATOS!$C$29,CEILING(BW28/INDEX(TABLAS!$D$52:$D$58,MIN(MATCH(DATOS!$C$26,TABLAS!$B$52:$B$58,0)+0,7)),1)),MAX(MAX(DATOS!$C$29,CEILING(BW28/INDEX(TABLAS!$D$52:$D$58,MIN(MATCH(DATOS!$C$26,TABLAS!$B$52:$B$58,0)+0,7)),1)),2))&lt;=MIN(DATOS!$C$28,INT(((DATOS!$C$13-2*R28-2*IF(DATOS!$C$25=0,0,INDEX(TABLAS!$C$52:$C$58,MATCH(DATOS!$C$25,TABLAS!$B$52:$B$58,0))))+MAX(DATOS!$C$32,INDEX(TABLAS!$C$52:$C$58,MIN(MATCH(DATOS!$C$26,TABLAS!$B$52:$B$58,0)+0,7))))/(INDEX(TABLAS!$C$52:$C$58,MIN(MATCH(DATOS!$C$26,TABLAS!$B$52:$B$58,0)+0,7))+MAX(DATOS!$C$32,INDEX(TABLAS!$C$52:$C$58,MIN(MATCH(DATOS!$C$26,TABLAS!$B$52:$B$58,0)+0,7))))))),INDEX(TABLAS!$B$52:$B$58,MIN(MATCH(DATOS!$C$26,TABLAS!$B$52:$B$58,0)+0,7)),IF(AND(BW28&gt;=0,IF(MAX(DATOS!$C$29,CEILING(BW28/INDEX(TABLAS!$D$52:$D$58,MIN(MATCH(DATOS!$C$26,TABLAS!$B$52:$B$58,0)+1,7)),1))*INDEX(TABLAS!$D$52:$D$58,MIN(MATCH(DATOS!$C$26,TABLAS!$B$52:$B$58,0)+1,7))&gt;=4/3*IF(BD28&lt;=0,0,IF((1-2*BD28*1E5/(DATOS!$C$58*Q28*BV28^2*DATOS!$C$48))&lt;0,-1,IF((1-SQRT((1-2*BD28*1E5/(DATOS!$C$58*Q28*BV28^2*DATOS!$C$48))))*DATOS!$C$48*Q28*BV28/DATOS!$C$40&gt;DATOS!$C$82*Q28*BV28,-1,(1-SQRT((1-2*BD28*1E5/(DATOS!$C$58*Q28*BV28^2*DATOS!$C$48))))*DATOS!$C$48*Q28*BV28/DATOS!$C$40)))-0.0001,MAX(DATOS!$C$29,CEILING(BW28/INDEX(TABLAS!$D$52:$D$58,MIN(MATCH(DATOS!$C$26,TABLAS!$B$52:$B$58,0)+1,7)),1)),MAX(MAX(DATOS!$C$29,CEILING(BW28/INDEX(TABLAS!$D$52:$D$58,MIN(MATCH(DATOS!$C$26,TABLAS!$B$52:$B$58,0)+1,7)),1)),2))&lt;=MIN(DATOS!$C$28,INT(((DATOS!$C$13-2*R28-2*IF(DATOS!$C$25=0,0,INDEX(TABLAS!$C$52:$C$58,MATCH(DATOS!$C$25,TABLAS!$B$52:$B$58,0))))+MAX(DATOS!$C$32,INDEX(TABLAS!$C$52:$C$58,MIN(MATCH(DATOS!$C$26,TABLAS!$B$52:$B$58,0)+1,7))))/(INDEX(TABLAS!$C$52:$C$58,MIN(MATCH(DATOS!$C$26,TABLAS!$B$52:$B$58,0)+1,7))+MAX(DATOS!$C$32,INDEX(TABLAS!$C$52:$C$58,MIN(MATCH(DATOS!$C$26,TABLAS!$B$52:$B$58,0)+1,7))))))),INDEX(TABLAS!$B$52:$B$58,MIN(MATCH(DATOS!$C$26,TABLAS!$B$52:$B$58,0)+1,7)),IF(AND(BW28&gt;=0,IF(MAX(DATOS!$C$29,CEILING(BW28/INDEX(TABLAS!$D$52:$D$58,MIN(MATCH(DATOS!$C$26,TABLAS!$B$52:$B$58,0)+2,7)),1))*INDEX(TABLAS!$D$52:$D$58,MIN(MATCH(DATOS!$C$26,TABLAS!$B$52:$B$58,0)+2,7))&gt;=4/3*IF(BD28&lt;=0,0,IF((1-2*BD28*1E5/(DATOS!$C$58*Q28*BV28^2*DATOS!$C$48))&lt;0,-1,IF((1-SQRT((1-2*BD28*1E5/(DATOS!$C$58*Q28*BV28^2*DATOS!$C$48))))*DATOS!$C$48*Q28*BV28/DATOS!$C$40&gt;DATOS!$C$82*Q28*BV28,-1,(1-SQRT((1-2*BD28*1E5/(DATOS!$C$58*Q28*BV28^2*DATOS!$C$48))))*DATOS!$C$48*Q28*BV28/DATOS!$C$40)))-0.0001,MAX(DATOS!$C$29,CEILING(BW28/INDEX(TABLAS!$D$52:$D$58,MIN(MATCH(DATOS!$C$26,TABLAS!$B$52:$B$58,0)+2,7)),1)),MAX(MAX(DATOS!$C$29,CEILING(BW28/INDEX(TABLAS!$D$52:$D$58,MIN(MATCH(DATOS!$C$26,TABLAS!$B$52:$B$58,0)+2,7)),1)),2))&lt;=MIN(DATOS!$C$28,INT(((DATOS!$C$13-2*R28-2*IF(DATOS!$C$25=0,0,INDEX(TABLAS!$C$52:$C$58,MATCH(DATOS!$C$25,TABLAS!$B$52:$B$58,0))))+MAX(DATOS!$C$32,INDEX(TABLAS!$C$52:$C$58,MIN(MATCH(DATOS!$C$26,TABLAS!$B$52:$B$58,0)+2,7))))/(INDEX(TABLAS!$C$52:$C$58,MIN(MATCH(DATOS!$C$26,TABLAS!$B$52:$B$58,0)+2,7))+MAX(DATOS!$C$32,INDEX(TABLAS!$C$52:$C$58,MIN(MATCH(DATOS!$C$26,TABLAS!$B$52:$B$58,0)+2,7))))))),INDEX(TABLAS!$B$52:$B$58,MIN(MATCH(DATOS!$C$26,TABLAS!$B$52:$B$58,0)+2,7)),IF(AND(BW28&gt;=0,IF(MAX(DATOS!$C$29,CEILING(BW28/INDEX(TABLAS!$D$52:$D$58,MIN(MATCH(DATOS!$C$26,TABLAS!$B$52:$B$58,0)+3,7)),1))*INDEX(TABLAS!$D$52:$D$58,MIN(MATCH(DATOS!$C$26,TABLAS!$B$52:$B$58,0)+3,7))&gt;=4/3*IF(BD28&lt;=0,0,IF((1-2*BD28*1E5/(DATOS!$C$58*Q28*BV28^2*DATOS!$C$48))&lt;0,-1,IF((1-SQRT((1-2*BD28*1E5/(DATOS!$C$58*Q28*BV28^2*DATOS!$C$48))))*DATOS!$C$48*Q28*BV28/DATOS!$C$40&gt;DATOS!$C$82*Q28*BV28,-1,(1-SQRT((1-2*BD28*1E5/(DATOS!$C$58*Q28*BV28^2*DATOS!$C$48))))*DATOS!$C$48*Q28*BV28/DATOS!$C$40)))-0.0001,MAX(DATOS!$C$29,CEILING(BW28/INDEX(TABLAS!$D$52:$D$58,MIN(MATCH(DATOS!$C$26,TABLAS!$B$52:$B$58,0)+3,7)),1)),MAX(MAX(DATOS!$C$29,CEILING(BW28/INDEX(TABLAS!$D$52:$D$58,MIN(MATCH(DATOS!$C$26,TABLAS!$B$52:$B$58,0)+3,7)),1)),2))&lt;=MIN(DATOS!$C$28,INT(((DATOS!$C$13-2*R28-2*IF(DATOS!$C$25=0,0,INDEX(TABLAS!$C$52:$C$58,MATCH(DATOS!$C$25,TABLAS!$B$52:$B$58,0))))+MAX(DATOS!$C$32,INDEX(TABLAS!$C$52:$C$58,MIN(MATCH(DATOS!$C$26,TABLAS!$B$52:$B$58,0)+3,7))))/(INDEX(TABLAS!$C$52:$C$58,MIN(MATCH(DATOS!$C$26,TABLAS!$B$52:$B$58,0)+3,7))+MAX(DATOS!$C$32,INDEX(TABLAS!$C$52:$C$58,MIN(MATCH(DATOS!$C$26,TABLAS!$B$52:$B$58,0)+3,7))))))),INDEX(TABLAS!$B$52:$B$58,MIN(MATCH(DATOS!$C$26,TABLAS!$B$52:$B$58,0)+3,7)),IF(AND(BW28&gt;=0,IF(MAX(DATOS!$C$29,CEILING(BW28/INDEX(TABLAS!$D$52:$D$58,MIN(MATCH(DATOS!$C$26,TABLAS!$B$52:$B$58,0)+4,7)),1))*INDEX(TABLAS!$D$52:$D$58,MIN(MATCH(DATOS!$C$26,TABLAS!$B$52:$B$58,0)+4,7))&gt;=4/3*IF(BD28&lt;=0,0,IF((1-2*BD28*1E5/(DATOS!$C$58*Q28*BV28^2*DATOS!$C$48))&lt;0,-1,IF((1-SQRT((1-2*BD28*1E5/(DATOS!$C$58*Q28*BV28^2*DATOS!$C$48))))*DATOS!$C$48*Q28*BV28/DATOS!$C$40&gt;DATOS!$C$82*Q28*BV28,-1,(1-SQRT((1-2*BD28*1E5/(DATOS!$C$58*Q28*BV28^2*DATOS!$C$48))))*DATOS!$C$48*Q28*BV28/DATOS!$C$40)))-0.0001,MAX(DATOS!$C$29,CEILING(BW28/INDEX(TABLAS!$D$52:$D$58,MIN(MATCH(DATOS!$C$26,TABLAS!$B$52:$B$58,0)+4,7)),1)),MAX(MAX(DATOS!$C$29,CEILING(BW28/INDEX(TABLAS!$D$52:$D$58,MIN(MATCH(DATOS!$C$26,TABLAS!$B$52:$B$58,0)+4,7)),1)),2))&lt;=MIN(DATOS!$C$28,INT(((DATOS!$C$13-2*R28-2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28" s="56">
        <f>IF(D28="HUECO",0,IF(BW28&lt;0,0,IF(MAX(DATOS!$C$29,CEILING(MAX(BW28,0)/INDEX(TABLAS!$D$52:$D$58,MATCH(BX28,TABLAS!$B$52:$B$58,0)),1))*INDEX(TABLAS!$D$52:$D$58,MATCH(BX28,TABLAS!$B$52:$B$58,0))&gt;=4/3*IF(BD28&lt;=0,0,IF((1-2*BD28*1E5/(DATOS!$C$58*Q28*BV28^2*DATOS!$C$48))&lt;0,-1,IF((1-SQRT((1-2*BD28*1E5/(DATOS!$C$58*Q28*BV28^2*DATOS!$C$48))))*DATOS!$C$48*Q28*BV28/DATOS!$C$40&gt;DATOS!$C$82*Q28*BV28,-1,(1-SQRT((1-2*BD28*1E5/(DATOS!$C$58*Q28*BV28^2*DATOS!$C$48))))*DATOS!$C$48*Q28*BV28/DATOS!$C$40)))-0.0001,MAX(DATOS!$C$29,CEILING(MAX(BW28,0)/INDEX(TABLAS!$D$52:$D$58,MATCH(BX28,TABLAS!$B$52:$B$58,0)),1)),MAX(MAX(DATOS!$C$29,CEILING(MAX(BW28,0)/INDEX(TABLAS!$D$52:$D$58,MATCH(BX28,TABLAS!$B$52:$B$58,0)),1)),2))))</f>
        <v>1</v>
      </c>
      <c r="BZ28" s="43">
        <f>DATOS!$C$15-R28-IF(DATOS!$C$25=0,0,INDEX(TABLAS!$C$52:$C$58,MATCH(DATOS!$C$25,TABLAS!$B$52:$B$58,0)))-INDEX(TABLAS!$C$52:$C$58,MATCH(BH28,TABLAS!$B$52:$B$58,0))-INDEX(TABLAS!$C$52:$C$58,MATCH(BX28,TABLAS!$B$52:$B$58,0))/2</f>
        <v>19.095</v>
      </c>
      <c r="CA28" s="36">
        <f>IF(BY28=0,0,DATOS!$C$58*BY28*INDEX(TABLAS!$D$52:$D$58,MATCH(BX28,TABLAS!$B$52:$B$58,0))*DATOS!$C$40*(BZ28-BY28*INDEX(TABLAS!$D$52:$D$58,MATCH(BX28,TABLAS!$B$52:$B$58,0))*DATOS!$C$40/(DATOS!$C$48*Q28)/2)/1E5)</f>
        <v>0.908067376588235</v>
      </c>
      <c r="CB28" s="62">
        <f>IF(BW28&lt;0,9.99,IF(CA28&gt;0,BD28/CA28,0))</f>
        <v>0.0749098045674324</v>
      </c>
      <c r="CC28" s="63">
        <f>IF(BY28=0,"—",0.003*(BZ28-(BY28*INDEX(TABLAS!$D$52:$D$58,MATCH(BX28,TABLAS!$B$52:$B$58,0))*DATOS!$C$40/(DATOS!$C$48*Q28)/DATOS!$C$49))/(BY28*INDEX(TABLAS!$D$52:$D$58,MATCH(BX28,TABLAS!$B$52:$B$58,0))*DATOS!$C$40/(DATOS!$C$48*Q28)/DATOS!$C$49))</f>
        <v>0.13278875492126</v>
      </c>
      <c r="CD28" s="43">
        <f>((DATOS!$C$15-S28-2*DATOS!$C$35-IF(DATOS!$C$25=0,0,INDEX(TABLAS!$C$52:$C$58,MATCH(DATOS!$C$25,TABLAS!$B$52:$B$58,0)))-INDEX(TABLAS!$C$52:$C$58,MATCH(DATOS!$C$27,TABLAS!$B$52:$B$58,0))-INDEX(TABLAS!$C$52:$C$58,MATCH(DATOS!$C$27,TABLAS!$B$52:$B$58,0))/2)-IF(AND((DATOS!$C$15-S28-2*DATOS!$C$35-IF(DATOS!$C$25=0,0,INDEX(TABLAS!$C$52:$C$58,MATCH(DATOS!$C$25,TABLAS!$B$52:$B$58,0)))-INDEX(TABLAS!$C$52:$C$58,MATCH(DATOS!$C$27,TABLAS!$B$52:$B$58,0))-INDEX(TABLAS!$C$52:$C$58,MATCH(DATOS!$C$27,TABLAS!$B$52:$B$58,0))/2)&lt;=20,DATOS!$C$18&lt;&gt;"SÍ"),2,0))</f>
        <v>18.119</v>
      </c>
      <c r="CE28" s="43">
        <f>IF(D28="HUECO",0,IF(IF(BE28&lt;=0,0,IF((1-2*BE28*1E5/(DATOS!$C$58*DATOS!$C$19*CD28^2*DATOS!$C$48))&lt;0,-1,IF((1-SQRT((1-2*BE28*1E5/(DATOS!$C$58*DATOS!$C$19*CD28^2*DATOS!$C$48))))*DATOS!$C$48*DATOS!$C$19*CD28/DATOS!$C$40&gt;DATOS!$C$82*DATOS!$C$19*CD28,-1,(1-SQRT((1-2*BE28*1E5/(DATOS!$C$58*DATOS!$C$19*CD28^2*DATOS!$C$48))))*DATOS!$C$48*DATOS!$C$19*CD28/DATOS!$C$40)))&lt;0,-1,MAX(IF(BE28&lt;=0,0,IF((1-2*BE28*1E5/(DATOS!$C$58*DATOS!$C$19*CD28^2*DATOS!$C$48))&lt;0,-1,IF((1-SQRT((1-2*BE28*1E5/(DATOS!$C$58*DATOS!$C$19*CD28^2*DATOS!$C$48))))*DATOS!$C$48*DATOS!$C$19*CD28/DATOS!$C$40&gt;DATOS!$C$82*DATOS!$C$19*CD28,-1,(1-SQRT((1-2*BE28*1E5/(DATOS!$C$58*DATOS!$C$19*CD28^2*DATOS!$C$48))))*DATOS!$C$48*DATOS!$C$19*CD28/DATOS!$C$40))),MIN(DATOS!$C$83*DATOS!$C$13*CD28,4/3*IF(BE28&lt;=0,0,IF((1-2*BE28*1E5/(DATOS!$C$58*DATOS!$C$19*CD28^2*DATOS!$C$48))&lt;0,-1,IF((1-SQRT((1-2*BE28*1E5/(DATOS!$C$58*DATOS!$C$19*CD28^2*DATOS!$C$48))))*DATOS!$C$48*DATOS!$C$19*CD28/DATOS!$C$40&gt;DATOS!$C$82*DATOS!$C$19*CD28,-1,(1-SQRT((1-2*BE28*1E5/(DATOS!$C$58*DATOS!$C$19*CD28^2*DATOS!$C$48))))*DATOS!$C$48*DATOS!$C$19*CD28/DATOS!$C$40)))))))</f>
        <v>0.10817951215664</v>
      </c>
      <c r="CF28" s="41">
        <f>IF(AND(CE28&gt;=0,IF(MAX(DATOS!$C$29,CEILING(CE28/INDEX(TABLAS!$D$52:$D$58,MIN(MATCH(DATOS!$C$27,TABLAS!$B$52:$B$58,0)+0,7)),1))*INDEX(TABLAS!$D$52:$D$58,MIN(MATCH(DATOS!$C$27,TABLAS!$B$52:$B$58,0)+0,7))&gt;=4/3*IF(BE28&lt;=0,0,IF((1-2*BE28*1E5/(DATOS!$C$58*DATOS!$C$19*CD28^2*DATOS!$C$48))&lt;0,-1,IF((1-SQRT((1-2*BE28*1E5/(DATOS!$C$58*DATOS!$C$19*CD28^2*DATOS!$C$48))))*DATOS!$C$48*DATOS!$C$19*CD28/DATOS!$C$40&gt;DATOS!$C$82*DATOS!$C$19*CD28,-1,(1-SQRT((1-2*BE28*1E5/(DATOS!$C$58*DATOS!$C$19*CD28^2*DATOS!$C$48))))*DATOS!$C$48*DATOS!$C$19*CD28/DATOS!$C$40)))-0.0001,MAX(DATOS!$C$29,CEILING(CE28/INDEX(TABLAS!$D$52:$D$58,MIN(MATCH(DATOS!$C$27,TABLAS!$B$52:$B$58,0)+0,7)),1)),MAX(MAX(DATOS!$C$29,CEILING(CE28/INDEX(TABLAS!$D$52:$D$58,MIN(MATCH(DATOS!$C$27,TABLAS!$B$52:$B$58,0)+0,7)),1)),2))&lt;=MIN(DATOS!$C$28,INT(((DATOS!$C$13-2*S28-2*IF(DATOS!$C$25=0,0,INDEX(TABLAS!$C$52:$C$58,MATCH(DATOS!$C$25,TABLAS!$B$52:$B$58,0))))+MAX(DATOS!$C$32,INDEX(TABLAS!$C$52:$C$58,MIN(MATCH(DATOS!$C$27,TABLAS!$B$52:$B$58,0)+0,7))))/(INDEX(TABLAS!$C$52:$C$58,MIN(MATCH(DATOS!$C$27,TABLAS!$B$52:$B$58,0)+0,7))+MAX(DATOS!$C$32,INDEX(TABLAS!$C$52:$C$58,MIN(MATCH(DATOS!$C$27,TABLAS!$B$52:$B$58,0)+0,7))))))),INDEX(TABLAS!$B$52:$B$58,MIN(MATCH(DATOS!$C$27,TABLAS!$B$52:$B$58,0)+0,7)),IF(AND(CE28&gt;=0,IF(MAX(DATOS!$C$29,CEILING(CE28/INDEX(TABLAS!$D$52:$D$58,MIN(MATCH(DATOS!$C$27,TABLAS!$B$52:$B$58,0)+1,7)),1))*INDEX(TABLAS!$D$52:$D$58,MIN(MATCH(DATOS!$C$27,TABLAS!$B$52:$B$58,0)+1,7))&gt;=4/3*IF(BE28&lt;=0,0,IF((1-2*BE28*1E5/(DATOS!$C$58*DATOS!$C$19*CD28^2*DATOS!$C$48))&lt;0,-1,IF((1-SQRT((1-2*BE28*1E5/(DATOS!$C$58*DATOS!$C$19*CD28^2*DATOS!$C$48))))*DATOS!$C$48*DATOS!$C$19*CD28/DATOS!$C$40&gt;DATOS!$C$82*DATOS!$C$19*CD28,-1,(1-SQRT((1-2*BE28*1E5/(DATOS!$C$58*DATOS!$C$19*CD28^2*DATOS!$C$48))))*DATOS!$C$48*DATOS!$C$19*CD28/DATOS!$C$40)))-0.0001,MAX(DATOS!$C$29,CEILING(CE28/INDEX(TABLAS!$D$52:$D$58,MIN(MATCH(DATOS!$C$27,TABLAS!$B$52:$B$58,0)+1,7)),1)),MAX(MAX(DATOS!$C$29,CEILING(CE28/INDEX(TABLAS!$D$52:$D$58,MIN(MATCH(DATOS!$C$27,TABLAS!$B$52:$B$58,0)+1,7)),1)),2))&lt;=MIN(DATOS!$C$28,INT(((DATOS!$C$13-2*S28-2*IF(DATOS!$C$25=0,0,INDEX(TABLAS!$C$52:$C$58,MATCH(DATOS!$C$25,TABLAS!$B$52:$B$58,0))))+MAX(DATOS!$C$32,INDEX(TABLAS!$C$52:$C$58,MIN(MATCH(DATOS!$C$27,TABLAS!$B$52:$B$58,0)+1,7))))/(INDEX(TABLAS!$C$52:$C$58,MIN(MATCH(DATOS!$C$27,TABLAS!$B$52:$B$58,0)+1,7))+MAX(DATOS!$C$32,INDEX(TABLAS!$C$52:$C$58,MIN(MATCH(DATOS!$C$27,TABLAS!$B$52:$B$58,0)+1,7))))))),INDEX(TABLAS!$B$52:$B$58,MIN(MATCH(DATOS!$C$27,TABLAS!$B$52:$B$58,0)+1,7)),IF(AND(CE28&gt;=0,IF(MAX(DATOS!$C$29,CEILING(CE28/INDEX(TABLAS!$D$52:$D$58,MIN(MATCH(DATOS!$C$27,TABLAS!$B$52:$B$58,0)+2,7)),1))*INDEX(TABLAS!$D$52:$D$58,MIN(MATCH(DATOS!$C$27,TABLAS!$B$52:$B$58,0)+2,7))&gt;=4/3*IF(BE28&lt;=0,0,IF((1-2*BE28*1E5/(DATOS!$C$58*DATOS!$C$19*CD28^2*DATOS!$C$48))&lt;0,-1,IF((1-SQRT((1-2*BE28*1E5/(DATOS!$C$58*DATOS!$C$19*CD28^2*DATOS!$C$48))))*DATOS!$C$48*DATOS!$C$19*CD28/DATOS!$C$40&gt;DATOS!$C$82*DATOS!$C$19*CD28,-1,(1-SQRT((1-2*BE28*1E5/(DATOS!$C$58*DATOS!$C$19*CD28^2*DATOS!$C$48))))*DATOS!$C$48*DATOS!$C$19*CD28/DATOS!$C$40)))-0.0001,MAX(DATOS!$C$29,CEILING(CE28/INDEX(TABLAS!$D$52:$D$58,MIN(MATCH(DATOS!$C$27,TABLAS!$B$52:$B$58,0)+2,7)),1)),MAX(MAX(DATOS!$C$29,CEILING(CE28/INDEX(TABLAS!$D$52:$D$58,MIN(MATCH(DATOS!$C$27,TABLAS!$B$52:$B$58,0)+2,7)),1)),2))&lt;=MIN(DATOS!$C$28,INT(((DATOS!$C$13-2*S28-2*IF(DATOS!$C$25=0,0,INDEX(TABLAS!$C$52:$C$58,MATCH(DATOS!$C$25,TABLAS!$B$52:$B$58,0))))+MAX(DATOS!$C$32,INDEX(TABLAS!$C$52:$C$58,MIN(MATCH(DATOS!$C$27,TABLAS!$B$52:$B$58,0)+2,7))))/(INDEX(TABLAS!$C$52:$C$58,MIN(MATCH(DATOS!$C$27,TABLAS!$B$52:$B$58,0)+2,7))+MAX(DATOS!$C$32,INDEX(TABLAS!$C$52:$C$58,MIN(MATCH(DATOS!$C$27,TABLAS!$B$52:$B$58,0)+2,7))))))),INDEX(TABLAS!$B$52:$B$58,MIN(MATCH(DATOS!$C$27,TABLAS!$B$52:$B$58,0)+2,7)),IF(AND(CE28&gt;=0,IF(MAX(DATOS!$C$29,CEILING(CE28/INDEX(TABLAS!$D$52:$D$58,MIN(MATCH(DATOS!$C$27,TABLAS!$B$52:$B$58,0)+3,7)),1))*INDEX(TABLAS!$D$52:$D$58,MIN(MATCH(DATOS!$C$27,TABLAS!$B$52:$B$58,0)+3,7))&gt;=4/3*IF(BE28&lt;=0,0,IF((1-2*BE28*1E5/(DATOS!$C$58*DATOS!$C$19*CD28^2*DATOS!$C$48))&lt;0,-1,IF((1-SQRT((1-2*BE28*1E5/(DATOS!$C$58*DATOS!$C$19*CD28^2*DATOS!$C$48))))*DATOS!$C$48*DATOS!$C$19*CD28/DATOS!$C$40&gt;DATOS!$C$82*DATOS!$C$19*CD28,-1,(1-SQRT((1-2*BE28*1E5/(DATOS!$C$58*DATOS!$C$19*CD28^2*DATOS!$C$48))))*DATOS!$C$48*DATOS!$C$19*CD28/DATOS!$C$40)))-0.0001,MAX(DATOS!$C$29,CEILING(CE28/INDEX(TABLAS!$D$52:$D$58,MIN(MATCH(DATOS!$C$27,TABLAS!$B$52:$B$58,0)+3,7)),1)),MAX(MAX(DATOS!$C$29,CEILING(CE28/INDEX(TABLAS!$D$52:$D$58,MIN(MATCH(DATOS!$C$27,TABLAS!$B$52:$B$58,0)+3,7)),1)),2))&lt;=MIN(DATOS!$C$28,INT(((DATOS!$C$13-2*S28-2*IF(DATOS!$C$25=0,0,INDEX(TABLAS!$C$52:$C$58,MATCH(DATOS!$C$25,TABLAS!$B$52:$B$58,0))))+MAX(DATOS!$C$32,INDEX(TABLAS!$C$52:$C$58,MIN(MATCH(DATOS!$C$27,TABLAS!$B$52:$B$58,0)+3,7))))/(INDEX(TABLAS!$C$52:$C$58,MIN(MATCH(DATOS!$C$27,TABLAS!$B$52:$B$58,0)+3,7))+MAX(DATOS!$C$32,INDEX(TABLAS!$C$52:$C$58,MIN(MATCH(DATOS!$C$27,TABLAS!$B$52:$B$58,0)+3,7))))))),INDEX(TABLAS!$B$52:$B$58,MIN(MATCH(DATOS!$C$27,TABLAS!$B$52:$B$58,0)+3,7)),IF(AND(CE28&gt;=0,IF(MAX(DATOS!$C$29,CEILING(CE28/INDEX(TABLAS!$D$52:$D$58,MIN(MATCH(DATOS!$C$27,TABLAS!$B$52:$B$58,0)+4,7)),1))*INDEX(TABLAS!$D$52:$D$58,MIN(MATCH(DATOS!$C$27,TABLAS!$B$52:$B$58,0)+4,7))&gt;=4/3*IF(BE28&lt;=0,0,IF((1-2*BE28*1E5/(DATOS!$C$58*DATOS!$C$19*CD28^2*DATOS!$C$48))&lt;0,-1,IF((1-SQRT((1-2*BE28*1E5/(DATOS!$C$58*DATOS!$C$19*CD28^2*DATOS!$C$48))))*DATOS!$C$48*DATOS!$C$19*CD28/DATOS!$C$40&gt;DATOS!$C$82*DATOS!$C$19*CD28,-1,(1-SQRT((1-2*BE28*1E5/(DATOS!$C$58*DATOS!$C$19*CD28^2*DATOS!$C$48))))*DATOS!$C$48*DATOS!$C$19*CD28/DATOS!$C$40)))-0.0001,MAX(DATOS!$C$29,CEILING(CE28/INDEX(TABLAS!$D$52:$D$58,MIN(MATCH(DATOS!$C$27,TABLAS!$B$52:$B$58,0)+4,7)),1)),MAX(MAX(DATOS!$C$29,CEILING(CE28/INDEX(TABLAS!$D$52:$D$58,MIN(MATCH(DATOS!$C$27,TABLAS!$B$52:$B$58,0)+4,7)),1)),2))&lt;=MIN(DATOS!$C$28,INT(((DATOS!$C$13-2*S28-2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28" s="56">
        <f>IF(D28="HUECO",0,IF(CE28&lt;0,0,IF(MAX(DATOS!$C$29,CEILING(MAX(CE28,0)/INDEX(TABLAS!$D$52:$D$58,MATCH(CF28,TABLAS!$B$52:$B$58,0)),1))*INDEX(TABLAS!$D$52:$D$58,MATCH(CF28,TABLAS!$B$52:$B$58,0))&gt;=4/3*IF(BE28&lt;=0,0,IF((1-2*BE28*1E5/(DATOS!$C$58*DATOS!$C$19*CD28^2*DATOS!$C$48))&lt;0,-1,IF((1-SQRT((1-2*BE28*1E5/(DATOS!$C$58*DATOS!$C$19*CD28^2*DATOS!$C$48))))*DATOS!$C$48*DATOS!$C$19*CD28/DATOS!$C$40&gt;DATOS!$C$82*DATOS!$C$19*CD28,-1,(1-SQRT((1-2*BE28*1E5/(DATOS!$C$58*DATOS!$C$19*CD28^2*DATOS!$C$48))))*DATOS!$C$48*DATOS!$C$19*CD28/DATOS!$C$40)))-0.0001,MAX(DATOS!$C$29,CEILING(MAX(CE28,0)/INDEX(TABLAS!$D$52:$D$58,MATCH(CF28,TABLAS!$B$52:$B$58,0)),1)),MAX(MAX(DATOS!$C$29,CEILING(MAX(CE28,0)/INDEX(TABLAS!$D$52:$D$58,MATCH(CF28,TABLAS!$B$52:$B$58,0)),1)),2))))</f>
        <v>1</v>
      </c>
      <c r="CH28" s="43">
        <f>((DATOS!$C$15-S28-2*DATOS!$C$35-IF(DATOS!$C$25=0,0,INDEX(TABLAS!$C$52:$C$58,MATCH(DATOS!$C$25,TABLAS!$B$52:$B$58,0)))-INDEX(TABLAS!$C$52:$C$58,MATCH(BP28,TABLAS!$B$52:$B$58,0))-INDEX(TABLAS!$C$52:$C$58,MATCH(CF28,TABLAS!$B$52:$B$58,0))/2)-IF(AND((DATOS!$C$15-S28-2*DATOS!$C$35-IF(DATOS!$C$25=0,0,INDEX(TABLAS!$C$52:$C$58,MATCH(DATOS!$C$25,TABLAS!$B$52:$B$58,0)))-INDEX(TABLAS!$C$52:$C$58,MATCH(BP28,TABLAS!$B$52:$B$58,0))-INDEX(TABLAS!$C$52:$C$58,MATCH(CF28,TABLAS!$B$52:$B$58,0))/2)&lt;=20,DATOS!$C$18&lt;&gt;"SÍ"),2,0))</f>
        <v>18.119</v>
      </c>
      <c r="CI28" s="36">
        <f>IF(CG28=0,0,DATOS!$C$58*CG28*INDEX(TABLAS!$D$52:$D$58,MATCH(CF28,TABLAS!$B$52:$B$58,0))*DATOS!$C$40*(CH28-CG28*INDEX(TABLAS!$D$52:$D$58,MATCH(CF28,TABLAS!$B$52:$B$58,0))*DATOS!$C$40/(DATOS!$C$48*DATOS!$C$19)/2)/1E5)</f>
        <v>0.809570360117647</v>
      </c>
      <c r="CJ28" s="62">
        <f>IF(CE28&lt;0,9.99,IF(CI28&gt;0,BE28/CI28,0))</f>
        <v>0.0683363226745814</v>
      </c>
      <c r="CK28" s="63">
        <f>IF(CG28=0,"—",0.003*(CH28-(CG28*INDEX(TABLAS!$D$52:$D$58,MATCH(CF28,TABLAS!$B$52:$B$58,0))*DATOS!$C$40/(DATOS!$C$48*DATOS!$C$19)/DATOS!$C$49))/(CG28*INDEX(TABLAS!$D$52:$D$58,MATCH(CF28,TABLAS!$B$52:$B$58,0))*DATOS!$C$40/(DATOS!$C$48*DATOS!$C$19)/DATOS!$C$49))</f>
        <v>0.0154068862485939</v>
      </c>
      <c r="CL28" s="52" t="str">
        <f>IF(D28="HUECO","—",IF(AND(D28="PERIMETRAL",J28*100&gt;=6*DATOS!$C$11,DATOS!$C$11&lt;=80,DATOS!$C$13&gt;=10,DATOS!$C$15&lt;=3.5*DATOS!$C$13,DATOS!$C$14&gt;=MAX(DATOS!$C$11/13,5)),"SÍ","NO"))</f>
        <v>NO</v>
      </c>
      <c r="CM28" s="36">
        <f>IF(D28="PERIMETRAL",MAX(0,(N28/2-BR28)/100)*(0.95-0.5*L28)*Y28*IF(AND(Z28&gt;0,Z28&lt;4),DATOS!$C$63,1)*DATOS!$C$16/100/1000+AX28,IF(D28="VOLADO",(Y28*MAX(0,N28-BR28)/100+DATOS!$C$55*BA28)*DATOS!$C$16/100/1000,0))</f>
        <v>1.35725335022664</v>
      </c>
      <c r="CN28" s="36">
        <f>IF(D28="HUECO",0,DATOS!$C$59*2*MIN(1,SQRT(2/(1+0.04*BR28)))*(BQ28*INDEX(TABLAS!$D$52:$D$58,MATCH(BP28,TABLAS!$B$52:$B$58,0))/(DATOS!$C$19*BR28))^(1/3)*SQRT(DATOS!$C$39)*DATOS!$C$19*BR28*IF(CL28="SÍ",DATOS!$C$62,1)/1000)</f>
        <v>0.860398102904257</v>
      </c>
      <c r="CO28" s="51" t="str">
        <f>IF(D28="HUECO","—",IF(CM28&lt;=CN28,"CUMPLE",IF(MAX(0,CEILING((IF(D28="VOLADO",(N28-(CN28*1E5/DATOS!$C$16-DATOS!$C$55*BA28)*100/Y28),IF(CN28&lt;=AX28,N28,N28/2-(CN28-AX28)/MAX(CM28-AX28,1E-9)*(N28/2-BR28)))-IF(INT((J28*100-DATOS!$C$17+DATOS!$C$13)/DATOS!$C$16)&gt;0,(J28*100-DATOS!$C$17-(INT((J28*100-DATOS!$C$17+DATOS!$C$13)/DATOS!$C$16)*DATOS!$C$11+(INT((J28*100-DATOS!$C$17+DATOS!$C$13)/DATOS!$C$16)-1)*DATOS!$C$13))/2,J28*100/2))/DATOS!$C$16,1))&lt;=0,"CUMPLE (basta el macizo de orilla)","MACIZAR "&amp;MAX(0,CEILING((IF(D28="VOLADO",(N28-(CN28*1E5/DATOS!$C$16-DATOS!$C$55*BA28)*100/Y28),IF(CN28&lt;=AX28,N28,N28/2-(CN28-AX28)/MAX(CM28-AX28,1E-9)*(N28/2-BR28)))-IF(INT((J28*100-DATOS!$C$17+DATOS!$C$13)/DATOS!$C$16)&gt;0,(J28*100-DATOS!$C$17-(INT((J28*100-DATOS!$C$17+DATOS!$C$13)/DATOS!$C$16)*DATOS!$C$11+(INT((J28*100-DATOS!$C$17+DATOS!$C$13)/DATOS!$C$16)-1)*DATOS!$C$13))/2,J28*100/2))/DATOS!$C$16,1))&amp;" hilera(s)")))</f>
        <v>MACIZAR 2 hilera(s)</v>
      </c>
      <c r="CP28" s="43">
        <f>IF(D28="PERIMETRAL",(99+99+99+99)/4,0)</f>
        <v>99</v>
      </c>
      <c r="CQ28" s="57">
        <f>IF(D28="PERIMETRAL",IF(CP28&gt;2,MAX(9,O28*(0.8+DATOS!$C$40/14000)/(36+9*(O28/MAX(N28,1)))),IF(CP28&gt;0.2,MAX(13,O28*(0.8+DATOS!$C$40/14000)/(36+5*(O28/MAX(N28,1))*(CP28-0.2))),MAX(13,O28/IF(Z28&gt;0,30,33))))*IF(AND(CP28&gt;0.2,OR(AND((APOYOS!$G$105="DISCONTINUO"),99&lt;0.8),AND((APOYOS!$G$106="DISCONTINUO"),99&lt;0.8),AND((APOYOS!$G$107="DISCONTINUO"),99&lt;0.8),AND((APOYOS!$G$108="DISCONTINUO"),99&lt;0.8))),1.1,1),IF(D28="VOLADO",MAX(25,J28*100/8),0))</f>
        <v>9</v>
      </c>
      <c r="CR28" s="57">
        <f>IF(D28="VOLADO",DATOS!$C$15,DATOS!$C$77)</f>
        <v>16.7232564120244</v>
      </c>
      <c r="CS28" s="52" t="str">
        <f>IF(D28="HUECO","—",IF(CR28&gt;=CQ28,"CUMPLE",IF(D28="VOLADO","NO CUMPLE","CALCULAR FLECHA")))</f>
        <v>CUMPLE</v>
      </c>
      <c r="CT28" s="52" t="str">
        <f>IF(D28="HUECO","—",IF(DATOS!$C$14&gt;=IF(IF(D28="VOLADO",J28,K28)&gt;=6,6,5),"CUMPLE","CAPA ≥ 6 cm"))</f>
        <v>CUMPLE</v>
      </c>
      <c r="CU28" s="59">
        <f>IF(D28="HUECO",0,IF(((4*((AL28*Y28*J28^2*1E-4*DATOS!$C$16/100/1000)+((MAX(AH28,AJ28)*Y28*J28^2*1E-4*DATOS!$C$16/100/1000)+(IF(AND(AH28&gt;0,AJ28&gt;0),MIN(AH28,AJ28),MAX(AH28,AJ28))*Y28*J28^2*1E-4*DATOS!$C$16/100/1000))/2)+BC28-(IF(AND(AH28&gt;0,AJ28&gt;0),MIN(AH28,AJ28),MAX(AH28,AJ28))*Y28*J28^2*1E-4*DATOS!$C$16/100/1000))^2-16*((AL28*Y28*J28^2*1E-4*DATOS!$C$16/100/1000)+((MAX(AH28,AJ28)*Y28*J28^2*1E-4*DATOS!$C$16/100/1000)+(IF(AND(AH28&gt;0,AJ28&gt;0),MIN(AH28,AJ28),MAX(AH28,AJ28))*Y28*J28^2*1E-4*DATOS!$C$16/100/1000))/2)*BC28)&lt;0,CEILING(N28,5),CEILING(MAX(N28*((4*((AL28*Y28*J28^2*1E-4*DATOS!$C$16/100/1000)+((MAX(AH28,AJ28)*Y28*J28^2*1E-4*DATOS!$C$16/100/1000)+(IF(AND(AH28&gt;0,AJ28&gt;0),MIN(AH28,AJ28),MAX(AH28,AJ28))*Y28*J28^2*1E-4*DATOS!$C$16/100/1000))/2)+BC28-(IF(AND(AH28&gt;0,AJ28&gt;0),MIN(AH28,AJ28),MAX(AH28,AJ28))*Y28*J28^2*1E-4*DATOS!$C$16/100/1000))-SQRT(MAX(0,((4*((AL28*Y28*J28^2*1E-4*DATOS!$C$16/100/1000)+((MAX(AH28,AJ28)*Y28*J28^2*1E-4*DATOS!$C$16/100/1000)+(IF(AND(AH28&gt;0,AJ28&gt;0),MIN(AH28,AJ28),MAX(AH28,AJ28))*Y28*J28^2*1E-4*DATOS!$C$16/100/1000))/2)+BC28-(IF(AND(AH28&gt;0,AJ28&gt;0),MIN(AH28,AJ28),MAX(AH28,AJ28))*Y28*J28^2*1E-4*DATOS!$C$16/100/1000))^2-16*((AL28*Y28*J28^2*1E-4*DATOS!$C$16/100/1000)+((MAX(AH28,AJ28)*Y28*J28^2*1E-4*DATOS!$C$16/100/1000)+(IF(AND(AH28&gt;0,AJ28&gt;0),MIN(AH28,AJ28),MAX(AH28,AJ28))*Y28*J28^2*1E-4*DATOS!$C$16/100/1000))/2)*BC28))))/(8*MAX(((AL28*Y28*J28^2*1E-4*DATOS!$C$16/100/1000)+((MAX(AH28,AJ28)*Y28*J28^2*1E-4*DATOS!$C$16/100/1000)+(IF(AND(AH28&gt;0,AJ28&gt;0),MIN(AH28,AJ28),MAX(AH28,AJ28))*Y28*J28^2*1E-4*DATOS!$C$16/100/1000))/2),1E-9))+MAX(BR28,12*INDEX(TABLAS!$C$52:$C$58,MATCH(BP28,TABLAS!$B$52:$B$58,0)),N28/16),IF(OR(S28&lt;INDEX(TABLAS!$C$52:$C$58,MATCH(BP28,TABLAS!$B$52:$B$58,0)),AND(BQ28&gt;=2,(DATOS!$C$13-2*S28-2*IF(DATOS!$C$25=0,0,INDEX(TABLAS!$C$52:$C$58,MATCH(DATOS!$C$25,TABLAS!$B$52:$B$58,0)))-BQ28*INDEX(TABLAS!$C$52:$C$58,MATCH(BP28,TABLAS!$B$52:$B$58,0)))/MAX(BQ28-1,1)&lt;2*INDEX(TABLAS!$C$52:$C$58,MATCH(BP28,TABLAS!$B$52:$B$58,0)))),INDEX(TABLAS!$I$52:$I$58,MATCH(BP28,TABLAS!$B$52:$B$58,0)),INDEX(TABLAS!$F$52:$F$58,MATCH(BP28,TABLAS!$B$52:$B$58,0)))),5)))</f>
        <v>55</v>
      </c>
      <c r="CV28" s="59">
        <f>IF(D28="HUECO",0,IF(((4*((AM28*Y28*J28^2*1E-4*DATOS!$C$16/100/1000)+((MAX(AI28,AK28)*Y28*J28^2*1E-4*DATOS!$C$16/100/1000)+(IF(AND(AI28&gt;0,AK28&gt;0),MIN(AI28,AK28),MAX(AI28,AK28))*Y28*J28^2*1E-4*DATOS!$C$16/100/1000))/2)+BE28-(IF(AND(AI28&gt;0,AK28&gt;0),MIN(AI28,AK28),MAX(AI28,AK28))*Y28*J28^2*1E-4*DATOS!$C$16/100/1000))^2-16*((AM28*Y28*J28^2*1E-4*DATOS!$C$16/100/1000)+((MAX(AI28,AK28)*Y28*J28^2*1E-4*DATOS!$C$16/100/1000)+(IF(AND(AI28&gt;0,AK28&gt;0),MIN(AI28,AK28),MAX(AI28,AK28))*Y28*J28^2*1E-4*DATOS!$C$16/100/1000))/2)*BE28)&lt;0,CEILING(O28,5),CEILING(MAX(O28*((4*((AM28*Y28*J28^2*1E-4*DATOS!$C$16/100/1000)+((MAX(AI28,AK28)*Y28*J28^2*1E-4*DATOS!$C$16/100/1000)+(IF(AND(AI28&gt;0,AK28&gt;0),MIN(AI28,AK28),MAX(AI28,AK28))*Y28*J28^2*1E-4*DATOS!$C$16/100/1000))/2)+BE28-(IF(AND(AI28&gt;0,AK28&gt;0),MIN(AI28,AK28),MAX(AI28,AK28))*Y28*J28^2*1E-4*DATOS!$C$16/100/1000))-SQRT(MAX(0,((4*((AM28*Y28*J28^2*1E-4*DATOS!$C$16/100/1000)+((MAX(AI28,AK28)*Y28*J28^2*1E-4*DATOS!$C$16/100/1000)+(IF(AND(AI28&gt;0,AK28&gt;0),MIN(AI28,AK28),MAX(AI28,AK28))*Y28*J28^2*1E-4*DATOS!$C$16/100/1000))/2)+BE28-(IF(AND(AI28&gt;0,AK28&gt;0),MIN(AI28,AK28),MAX(AI28,AK28))*Y28*J28^2*1E-4*DATOS!$C$16/100/1000))^2-16*((AM28*Y28*J28^2*1E-4*DATOS!$C$16/100/1000)+((MAX(AI28,AK28)*Y28*J28^2*1E-4*DATOS!$C$16/100/1000)+(IF(AND(AI28&gt;0,AK28&gt;0),MIN(AI28,AK28),MAX(AI28,AK28))*Y28*J28^2*1E-4*DATOS!$C$16/100/1000))/2)*BE28))))/(8*MAX(((AM28*Y28*J28^2*1E-4*DATOS!$C$16/100/1000)+((MAX(AI28,AK28)*Y28*J28^2*1E-4*DATOS!$C$16/100/1000)+(IF(AND(AI28&gt;0,AK28&gt;0),MIN(AI28,AK28),MAX(AI28,AK28))*Y28*J28^2*1E-4*DATOS!$C$16/100/1000))/2),1E-9))+MAX(CH28,12*INDEX(TABLAS!$C$52:$C$58,MATCH(CF28,TABLAS!$B$52:$B$58,0)),O28/16),IF(OR(S28&lt;INDEX(TABLAS!$C$52:$C$58,MATCH(CF28,TABLAS!$B$52:$B$58,0)),AND(CG28&gt;=2,(DATOS!$C$13-2*S28-2*IF(DATOS!$C$25=0,0,INDEX(TABLAS!$C$52:$C$58,MATCH(DATOS!$C$25,TABLAS!$B$52:$B$58,0)))-CG28*INDEX(TABLAS!$C$52:$C$58,MATCH(CF28,TABLAS!$B$52:$B$58,0)))/MAX(CG28-1,1)&lt;2*INDEX(TABLAS!$C$52:$C$58,MATCH(CF28,TABLAS!$B$52:$B$58,0)))),INDEX(TABLAS!$I$52:$I$58,MATCH(CF28,TABLAS!$B$52:$B$58,0)),INDEX(TABLAS!$F$52:$F$58,MATCH(CF28,TABLAS!$B$52:$B$58,0)))),5)))</f>
        <v>55</v>
      </c>
      <c r="CW28" s="56">
        <f>MAX(0,INT((F28*100-DATOS!$C$17+DATOS!$C$13)/DATOS!$C$16))</f>
        <v>2</v>
      </c>
      <c r="CX28" s="56">
        <f>MAX(0,INT((G28*100-DATOS!$C$17+DATOS!$C$13)/DATOS!$C$16))</f>
        <v>4</v>
      </c>
      <c r="CY28" s="51" t="str">
        <f>IF(COUNTIFS(TRIB!$C$6:$C$255,B28,TRIB!$K$6:$K$255,"NO CUMPLE*")+COUNTIFS(TRIB!$C$6:$C$255,B28,TRIB!$K$6:$K$255,"SIN APOYO*")&gt;0,"VER PRINCIPALES",IF((APOYOS!$F$105="LIBRE")+(APOYOS!$F$106="LIBRE")+(APOYOS!$F$107="LIBRE")+(APOYOS!$F$108="LIBRE")&gt;0,"REVISAR: borde libre","OK"))</f>
        <v>OK</v>
      </c>
      <c r="CZ28" s="64" t="str">
        <f>IF(D28="HUECO","HUECO — marco de nervaduras principales",IF(AND(MAX(BL28,BT28,CB28,CJ28)&lt;=1,NOT(OR(BI28&gt;MIN(DATOS!$C$28,INT(((DATOS!$C$13-2*R28-2*IF(DATOS!$C$25=0,0,INDEX(TABLAS!$C$52:$C$58,MATCH(DATOS!$C$25,TABLAS!$B$52:$B$58,0))))+DATOS!$C$32)/(INDEX(TABLAS!$C$52:$C$58,MATCH(BH28,TABLAS!$B$52:$B$58,0))+DATOS!$C$32))),BQ28&gt;MIN(DATOS!$C$28,INT(((DATOS!$C$13-2*S28-2*IF(DATOS!$C$25=0,0,INDEX(TABLAS!$C$52:$C$58,MATCH(DATOS!$C$25,TABLAS!$B$52:$B$58,0))))+DATOS!$C$32)/(INDEX(TABLAS!$C$52:$C$58,MATCH(BP28,TABLAS!$B$52:$B$58,0))+DATOS!$C$32))),BY28&gt;MIN(DATOS!$C$28,INT(((DATOS!$C$13-2*R28-2*IF(DATOS!$C$25=0,0,INDEX(TABLAS!$C$52:$C$58,MATCH(DATOS!$C$25,TABLAS!$B$52:$B$58,0))))+DATOS!$C$32)/(INDEX(TABLAS!$C$52:$C$58,MATCH(BX28,TABLAS!$B$52:$B$58,0))+DATOS!$C$32))),CG28&gt;MIN(DATOS!$C$28,INT(((DATOS!$C$13-2*S28-2*IF(DATOS!$C$25=0,0,INDEX(TABLAS!$C$52:$C$58,MATCH(DATOS!$C$25,TABLAS!$B$52:$B$58,0))))+DATOS!$C$32)/(INDEX(TABLAS!$C$52:$C$58,MATCH(CF28,TABLAS!$B$52:$B$58,0))+DATOS!$C$32))))),NOT(OR(AND(ISNUMBER(BM28),BM28&lt;0.005),AND(ISNUMBER(BU28),BU28&lt;0.005),AND(ISNUMBER(CC28),CC28&lt;0.005),AND(ISNUMBER(CK28),CK28&lt;0.005))),CS28="CUMPLE",CT28="CUMPLE"),IF(CY28="OK",IF(LEFT(CO28,6)="CUMPLE","CUMPLE","CUMPLE — "&amp;CO28)&amp;IF(LEFT(AZ28,5)="FUERA"," · fuera de 3.4.2.1 c)",""),IF(CY28="VER PRINCIPALES","VER PRINCIPALES","REVISAR APOYOS")),IF(AND(MAX(BL28,BT28,CB28,CJ28)&lt;=1,NOT(OR(BI28&gt;MIN(DATOS!$C$28,INT(((DATOS!$C$13-2*R28-2*IF(DATOS!$C$25=0,0,INDEX(TABLAS!$C$52:$C$58,MATCH(DATOS!$C$25,TABLAS!$B$52:$B$58,0))))+DATOS!$C$32)/(INDEX(TABLAS!$C$52:$C$58,MATCH(BH28,TABLAS!$B$52:$B$58,0))+DATOS!$C$32))),BQ28&gt;MIN(DATOS!$C$28,INT(((DATOS!$C$13-2*S28-2*IF(DATOS!$C$25=0,0,INDEX(TABLAS!$C$52:$C$58,MATCH(DATOS!$C$25,TABLAS!$B$52:$B$58,0))))+DATOS!$C$32)/(INDEX(TABLAS!$C$52:$C$58,MATCH(BP28,TABLAS!$B$52:$B$58,0))+DATOS!$C$32))),BY28&gt;MIN(DATOS!$C$28,INT(((DATOS!$C$13-2*R28-2*IF(DATOS!$C$25=0,0,INDEX(TABLAS!$C$52:$C$58,MATCH(DATOS!$C$25,TABLAS!$B$52:$B$58,0))))+DATOS!$C$32)/(INDEX(TABLAS!$C$52:$C$58,MATCH(BX28,TABLAS!$B$52:$B$58,0))+DATOS!$C$32))),CG28&gt;MIN(DATOS!$C$28,INT(((DATOS!$C$13-2*S28-2*IF(DATOS!$C$25=0,0,INDEX(TABLAS!$C$52:$C$58,MATCH(DATOS!$C$25,TABLAS!$B$52:$B$58,0))))+DATOS!$C$32)/(INDEX(TABLAS!$C$52:$C$58,MATCH(CF28,TABLAS!$B$52:$B$58,0))+DATOS!$C$32))))),NOT(OR(AND(ISNUMBER(BM28),BM28&lt;0.005),AND(ISNUMBER(BU28),BU28&lt;0.005),AND(ISNUMBER(CC28),CC28&lt;0.005),AND(ISNUMBER(CK28),CK28&lt;0.005))),CS28="CALCULAR FLECHA"),"REVISAR: calcular flecha (h_eq &lt; h mín.)","NO CUMPLE: "&amp;IF(MAX(BL28,BT28,CB28,CJ28)&gt;1,"flexión ","")&amp;IF(OR(BI28&gt;MIN(DATOS!$C$28,INT(((DATOS!$C$13-2*R28-2*IF(DATOS!$C$25=0,0,INDEX(TABLAS!$C$52:$C$58,MATCH(DATOS!$C$25,TABLAS!$B$52:$B$58,0))))+DATOS!$C$32)/(INDEX(TABLAS!$C$52:$C$58,MATCH(BH28,TABLAS!$B$52:$B$58,0))+DATOS!$C$32))),BQ28&gt;MIN(DATOS!$C$28,INT(((DATOS!$C$13-2*S28-2*IF(DATOS!$C$25=0,0,INDEX(TABLAS!$C$52:$C$58,MATCH(DATOS!$C$25,TABLAS!$B$52:$B$58,0))))+DATOS!$C$32)/(INDEX(TABLAS!$C$52:$C$58,MATCH(BP28,TABLAS!$B$52:$B$58,0))+DATOS!$C$32))),BY28&gt;MIN(DATOS!$C$28,INT(((DATOS!$C$13-2*R28-2*IF(DATOS!$C$25=0,0,INDEX(TABLAS!$C$52:$C$58,MATCH(DATOS!$C$25,TABLAS!$B$52:$B$58,0))))+DATOS!$C$32)/(INDEX(TABLAS!$C$52:$C$58,MATCH(BX28,TABLAS!$B$52:$B$58,0))+DATOS!$C$32))),CG28&gt;MIN(DATOS!$C$28,INT(((DATOS!$C$13-2*S28-2*IF(DATOS!$C$25=0,0,INDEX(TABLAS!$C$52:$C$58,MATCH(DATOS!$C$25,TABLAS!$B$52:$B$58,0))))+DATOS!$C$32)/(INDEX(TABLAS!$C$52:$C$58,MATCH(CF28,TABLAS!$B$52:$B$58,0))+DATOS!$C$32)))),"no caben ","")&amp;IF(OR(AND(ISNUMBER(BM28),BM28&lt;0.005),AND(ISNUMBER(BU28),BU28&lt;0.005),AND(ISNUMBER(CC28),CC28&lt;0.005),AND(ISNUMBER(CK28),CK28&lt;0.005)),"ε_t &lt; 0.005 ","")&amp;IF(CS28="NO CUMPLE","peralte ","")&amp;IF(CT28&lt;&gt;"CUMPLE","capa &lt; 6 cm",""))))</f>
        <v>CUMPLE — MACIZAR 2 hilera(s)</v>
      </c>
      <c r="DA28" s="65" t="str">
        <f>IF(AND(D28="PERIMETRAL",MIN(CW28,CX28)=0),"Tablero macizo (no cabe un casetón en el claro corto): no aplica 6.7.8. La resistencia se revisa con una nervadura de 10 cm cada 70 cm y r_np (conservador); "&amp;"como losa maciza lleva además As,mín = 0.0018·Ag en cada dirección cerca de la cara a tensión (6.7.6.1.1, p. 175). ",IF(AND(CL28="NO",D28="PERIMETRAL"),"No cumple 6.7.8.1.4 (a_c = "&amp;DATOS!$C$11&amp;" cm &gt; claro corto/6 = "&amp;TEXT(J28*100/6,"0")&amp;" cm): se diseña como losa apoyada en vigas (6.7.8.1.9): nervaduras con recubrimiento de viga r_np = "&amp;DATOS!$C$22&amp;" cm (Tabla 4.14.16.a), V_cR sin ×1.1 y cortante sin estribos por 5.5.3.8.1 (criterio del Proyectista). Para que cuente como encasetonada: casetón de "&amp;TEXT(FLOOR(MIN(80,J28*100/6),1),"0")&amp;" cm o menor. ",""))&amp;IF(LEFT(AZ28,5)="FUERA","M⁻ del borde común "&amp;AZ28&amp;": difieren más de 50% (3.4.2.1 c); se distribuyen 2/3 del desequilibrio (3.4.3.1) y conviene confirmar los momentos con el modelo. ","")&amp;"—"</f>
        <v>No cumple 6.7.8.1.4 (a_c = 60 cm &gt; claro corto/6 = 27 cm): se diseña como losa apoyada en vigas (6.7.8.1.9): nervaduras con recubrimiento de viga r_np = 4 cm (Tabla 4.14.16.a), V_cR sin ×1.1 y cortante sin estribos por 5.5.3.8.1 (criterio del Proyectista). Para que cuente como encasetonada: casetón de 26 cm o menor. —</v>
      </c>
    </row>
    <row r="29" ht="30" customHeight="1">
      <c r="B29" s="51" t="inlineStr">
        <is>
          <t>F2 N+6.00</t>
        </is>
      </c>
      <c r="C29" s="52" t="inlineStr">
        <is>
          <t>N+6.00</t>
        </is>
      </c>
      <c r="D29" s="53" t="inlineStr">
        <is>
          <t>PERIMETRAL</t>
        </is>
      </c>
      <c r="E29" s="53" t="inlineStr">
        <is>
          <t>AZOTEA</t>
        </is>
      </c>
      <c r="F29" s="54" t="n">
        <v>4.327</v>
      </c>
      <c r="G29" s="54" t="n">
        <v>1.002</v>
      </c>
      <c r="H29" s="55" t="n">
        <v>4.327</v>
      </c>
      <c r="I29" s="55" t="n">
        <v>1.002</v>
      </c>
      <c r="J29" s="36">
        <f>MIN(H29,I29)</f>
        <v>1.002</v>
      </c>
      <c r="K29" s="36">
        <f>MAX(H29,I29)</f>
        <v>4.327</v>
      </c>
      <c r="L29" s="36">
        <f>IF(K29&gt;0,J29/K29,0)</f>
        <v>0.231569216547261</v>
      </c>
      <c r="M29" s="52" t="str">
        <f>IF(H29&lt;=I29,"X","Y")</f>
        <v>Y</v>
      </c>
      <c r="N29" s="56">
        <f>MAX(0,J29*100-IF(D29="VOLADO",DATOS!$C$17/2,DATOS!$C$17))</f>
        <v>85.2</v>
      </c>
      <c r="O29" s="56">
        <f>MAX(0,K29*100-DATOS!$C$17)</f>
        <v>417.7</v>
      </c>
      <c r="P29" s="57">
        <f>MIN(DATOS!$C$16,DATOS!$C$13+2*MIN(8*DATOS!$C$14,DATOS!$C$11/2,N29/8))</f>
        <v>31.3</v>
      </c>
      <c r="Q29" s="57">
        <f>MIN(DATOS!$C$16,DATOS!$C$13+2*MIN(8*DATOS!$C$14,DATOS!$C$11/2,O29/8))</f>
        <v>70</v>
      </c>
      <c r="R29" s="57">
        <f>IF(D29="VOLADO",DATOS!$C$21,IF(CL29="NO",DATOS!$C$22,DATOS!$C$20))</f>
        <v>4</v>
      </c>
      <c r="S29" s="57">
        <f>IF(OR(AND(C29="N+6.00",DATOS!$C$23="SÍ"),AND(D29="VOLADO",DATOS!$C$24="SÍ")),DATOS!$C$21,IF(CL29="NO",DATOS!$C$22,DATOS!$C$20))</f>
        <v>4</v>
      </c>
      <c r="T29" s="58" t="n">
        <v>270</v>
      </c>
      <c r="U29" s="56">
        <f>IF(E29="HABITACIÓN",DATOS!$C$89,DATOS!$C$92)</f>
        <v>100</v>
      </c>
      <c r="V29" s="56">
        <f>CARGAS!$C$9</f>
        <v>293.673469387755</v>
      </c>
      <c r="W29" s="56">
        <f>V29+T29</f>
        <v>563.673469387755</v>
      </c>
      <c r="X29" s="56">
        <f>W29+U29</f>
        <v>663.673469387755</v>
      </c>
      <c r="Y29" s="59">
        <f>MAX(DATOS!$C$55*W29+DATOS!$C$56*U29,IF(E29="AZOTEA",DATOS!$C$57*(W29+DATOS!$C$97),0))</f>
        <v>882.775510204082</v>
      </c>
      <c r="Z29" s="56">
        <f>(APOYOS!$G$109="DISCONTINUO")+(APOYOS!$G$110="DISCONTINUO")+(APOYOS!$G$111="DISCONTINUO")+(APOYOS!$G$112="DISCONTINUO")</f>
        <v>3</v>
      </c>
      <c r="AA29" s="56">
        <f>IF(M29="X",(APOYOS!$G$109="DISCONTINUO")+(APOYOS!$G$110="DISCONTINUO"),(APOYOS!$G$111="DISCONTINUO")+(APOYOS!$G$112="DISCONTINUO"))</f>
        <v>2</v>
      </c>
      <c r="AB29" s="56">
        <f>Z29-AA29</f>
        <v>1</v>
      </c>
      <c r="AC29" s="52" t="str">
        <f>IF(Z29=0,"INTERIOR",IF(Z29=1,IF(AA29=1,"BORDE-CORTO","BORDE-LARGO"),IF(Z29=2,IF(AA29=1,"ESQUINA",IF(AA29=2,"EXTREMO-LARGO","EXTREMO-CORTO")),IF(Z29=3,IF(AA29=2,"EXTREMO-LARGO","EXTREMO-CORTO"),"AISLADO"))))</f>
        <v>EXTREMO-LARGO</v>
      </c>
      <c r="AD29" s="53" t="inlineStr">
        <is>
          <t>AUTO</t>
        </is>
      </c>
      <c r="AE29" s="60" t="str">
        <f>IF(AD29="AUTO",AC29,AD29)</f>
        <v>EXTREMO-LARGO</v>
      </c>
      <c r="AF29" s="56">
        <f>MATCH(L29,TABLAS!$D$5:$J$5,1)</f>
        <v>1</v>
      </c>
      <c r="AG29" s="43">
        <f>IF(AF29&gt;=7,0,(L29-INDEX(TABLAS!$D$5:$J$5,AF29))/(INDEX(TABLAS!$D$5:$J$5,AF29+1)-INDEX(TABLAS!$D$5:$J$5,AF29)))</f>
        <v>0.463138433094523</v>
      </c>
      <c r="AH29" s="56">
        <f>INDEX(TABLAS!$D$6:$J$47,MATCH(AE29&amp;"|NIC",TABLAS!$B$6:$B$47,0),AF29)+AG29*(INDEX(TABLAS!$D$6:$J$47,MATCH(AE29&amp;"|NIC",TABLAS!$B$6:$B$47,0),MIN(AF29+1,7))-INDEX(TABLAS!$D$6:$J$47,MATCH(AE29&amp;"|NIC",TABLAS!$B$6:$B$47,0),AF29))</f>
        <v>1249.88675756875</v>
      </c>
      <c r="AI29" s="56">
        <f>INDEX(TABLAS!$D$6:$J$47,MATCH(AE29&amp;"|NIL",TABLAS!$B$6:$B$47,0),AF29)+AG29*(INDEX(TABLAS!$D$6:$J$47,MATCH(AE29&amp;"|NIL",TABLAS!$B$6:$B$47,0),MIN(AF29+1,7))-INDEX(TABLAS!$D$6:$J$47,MATCH(AE29&amp;"|NIL",TABLAS!$B$6:$B$47,0),AF29))</f>
        <v>0</v>
      </c>
      <c r="AJ29" s="56">
        <f>INDEX(TABLAS!$D$6:$J$47,MATCH(AE29&amp;"|NDC",TABLAS!$B$6:$B$47,0),AF29)+AG29*(INDEX(TABLAS!$D$6:$J$47,MATCH(AE29&amp;"|NDC",TABLAS!$B$6:$B$47,0),MIN(AF29+1,7))-INDEX(TABLAS!$D$6:$J$47,MATCH(AE29&amp;"|NDC",TABLAS!$B$6:$B$47,0),AF29))</f>
        <v>520.858100300439</v>
      </c>
      <c r="AK29" s="56">
        <f>INDEX(TABLAS!$D$6:$J$47,MATCH(AE29&amp;"|NDL",TABLAS!$B$6:$B$47,0),AF29)+AG29*(INDEX(TABLAS!$D$6:$J$47,MATCH(AE29&amp;"|NDL",TABLAS!$B$6:$B$47,0),MIN(AF29+1,7))-INDEX(TABLAS!$D$6:$J$47,MATCH(AE29&amp;"|NDL",TABLAS!$B$6:$B$47,0),AF29))</f>
        <v>285.302519066328</v>
      </c>
      <c r="AL29" s="56">
        <f>INDEX(TABLAS!$D$6:$J$47,MATCH(AE29&amp;"|PC",TABLAS!$B$6:$B$47,0),AF29)+AG29*(INDEX(TABLAS!$D$6:$J$47,MATCH(AE29&amp;"|PC",TABLAS!$B$6:$B$47,0),MIN(AF29+1,7))-INDEX(TABLAS!$D$6:$J$47,MATCH(AE29&amp;"|PC",TABLAS!$B$6:$B$47,0),AF29))</f>
        <v>741.274092905015</v>
      </c>
      <c r="AM29" s="56">
        <f>INDEX(TABLAS!$D$6:$J$47,MATCH(AE29&amp;"|PL",TABLAS!$B$6:$B$47,0),AF29)+AG29*(INDEX(TABLAS!$D$6:$J$47,MATCH(AE29&amp;"|PL",TABLAS!$B$6:$B$47,0),MIN(AF29+1,7))-INDEX(TABLAS!$D$6:$J$47,MATCH(AE29&amp;"|PL",TABLAS!$B$6:$B$47,0),AF29))</f>
        <v>298.468916108158</v>
      </c>
      <c r="AN29" s="36">
        <f>IF(D29="PERIMETRAL",IF(APOYOS!$G$109="CONTINUO",IF(M29="Y",AH29,AI29),IF(M29="Y",AJ29,AK29))*Y29*J29^2*1E-4*DATOS!$C$16/100/1000,0)</f>
        <v>0.0323149272278487</v>
      </c>
      <c r="AO29" s="36">
        <f>IF(D29="PERIMETRAL",IF(APOYOS!$G$110="CONTINUO",IF(M29="Y",AH29,AI29),IF(M29="Y",AJ29,AK29))*Y29*J29^2*1E-4*DATOS!$C$16/100/1000,0)</f>
        <v>0.0775451117887742</v>
      </c>
      <c r="AP29" s="36">
        <f>IF(D29="PERIMETRAL",IF(APOYOS!$G$111="CONTINUO",IF(M29="X",AH29,AI29),IF(M29="X",AJ29,AK29))*Y29*J29^2*1E-4*DATOS!$C$16/100/1000,0)</f>
        <v>0.0177006561599644</v>
      </c>
      <c r="AQ29" s="36">
        <f>IF(D29="PERIMETRAL",IF(APOYOS!$G$112="CONTINUO",IF(M29="X",AH29,AI29),IF(M29="X",AJ29,AK29))*Y29*J29^2*1E-4*DATOS!$C$16/100/1000,0)</f>
        <v>0.0177006561599644</v>
      </c>
      <c r="AR29" s="56">
        <f>IF(D29="PERIMETRAL",IF(M29="X",BN29,CD29)^3/(J29*100),0)</f>
        <v>59.3656125664571</v>
      </c>
      <c r="AS29" s="56">
        <f>IF(D29="PERIMETRAL",IF(M29="Y",BN29,CD29)^3/(J29*100),0)</f>
        <v>72.7442231623653</v>
      </c>
      <c r="AT29" s="36">
        <f>IF(D29="PERIMETRAL",MAX(0,IF(M29="Y",IF(AND(OR(APOYOS!$G$110="CONTINUO",APOYOS!$G$121="CONTINUO"),AO29&gt;0,AN32&gt;0,AN32&gt;AO29),AO29+2/3*(AN32-AO29)*AS29/MAX(AS29+AS32,1E-9),0),0)),0)</f>
        <v>0.353680232575303</v>
      </c>
      <c r="AU29" s="36">
        <f>IF(D29="PERIMETRAL",MAX(0,IF(M29&lt;&gt;"Y",IF(AND(OR(APOYOS!$G$110="CONTINUO",APOYOS!$G$121="CONTINUO"),AO29&gt;0,AN32&gt;0,AN32&gt;AO29),AO29+2/3*(AN32-AO29)*AS29/MAX(AS29+AS32,1E-9),0),0)),0)</f>
        <v>0</v>
      </c>
      <c r="AV29" s="36">
        <f>IF(D29="PERIMETRAL",(IF(M29="Y",IF(AND(OR(APOYOS!$G$110="CONTINUO",APOYOS!$G$121="CONTINUO"),AO29&gt;0,AN32&gt;0,AO29&gt;AN32),2/3*(AO29-AN32)*AS29/MAX(AS29+AS32,1E-9),0),0))/2,0)</f>
        <v>0</v>
      </c>
      <c r="AW29" s="36">
        <f>IF(D29="PERIMETRAL",(IF(M29&lt;&gt;"Y",IF(AND(OR(APOYOS!$G$110="CONTINUO",APOYOS!$G$121="CONTINUO"),AO29&gt;0,AN32&gt;0,AO29&gt;AN32),2/3*(AO29-AN32)*AS29/MAX(AS29+AS32,1E-9),0),0))/2,0)</f>
        <v>0</v>
      </c>
      <c r="AX29" s="36">
        <f>IF(D29="PERIMETRAL",MAX(0,0),0)</f>
        <v>0</v>
      </c>
      <c r="AY29" s="52" t="str">
        <f>IF(D29&lt;&gt;"PERIMETRAL","",IF(AND(OR(APOYOS!$G$110="CONTINUO",APOYOS!$G$121="CONTINUO"),AO29&gt;0,AN32&gt;0,ABS(AO29-AN32)&gt;0.5*MIN(AO29,AN32))," F80024",""))</f>
        <v> F80024</v>
      </c>
      <c r="AZ29" s="52" t="str">
        <f>IF(D29&lt;&gt;"PERIMETRAL","—",IF(AY29="","CUMPLE","FUERA con"&amp;AY29)&amp;IF(AND(D32="PERIMETRAL",APOYOS!$G$110&lt;&gt;APOYOS!$G$121)," · continuidad asimétrica con F80024 (cada uno con su momento; revisar APOYOS)",""))</f>
        <v>FUERA con F80024</v>
      </c>
      <c r="BA29" s="61" t="n">
        <v>0</v>
      </c>
      <c r="BB29" s="36">
        <f>IF(D29="PERIMETRAL",AL29*Y29*J29^2*1E-4*DATOS!$C$16/100/1000+AV29,0)</f>
        <v>0.0459899123279411</v>
      </c>
      <c r="BC29" s="36">
        <f>IF(D29="PERIMETRAL",MAX(MAX(AH29,AJ29)*Y29*J29^2*1E-4*DATOS!$C$16/100/1000,AT29),IF(D29="VOLADO",(Y29*(N29/100)^2/2+DATOS!$C$55*BA29*N29/100)*DATOS!$C$16/100/1000,0))</f>
        <v>0.353680232575303</v>
      </c>
      <c r="BD29" s="36">
        <f>IF(D29="PERIMETRAL",AM29*Y29*J29^2*1E-4*DATOS!$C$16/100/1000+AW29,0)</f>
        <v>0.0185175219474299</v>
      </c>
      <c r="BE29" s="36">
        <f>IF(D29="PERIMETRAL",MAX(MAX(AI29,AK29)*Y29*J29^2*1E-4*DATOS!$C$16/100/1000,AU29),0)</f>
        <v>0.0177006561599644</v>
      </c>
      <c r="BF29" s="43">
        <f>(DATOS!$C$15-R29-IF(DATOS!$C$25=0,0,INDEX(TABLAS!$C$52:$C$58,MATCH(DATOS!$C$25,TABLAS!$B$52:$B$58,0)))-INDEX(TABLAS!$C$52:$C$58,MATCH(DATOS!$C$26,TABLAS!$B$52:$B$58,0))/2)</f>
        <v>20.365</v>
      </c>
      <c r="BG29" s="43">
        <f>IF(D29="HUECO",0,IF(IF(BB29&lt;=0,0,IF((1-2*BB29*1E5/(DATOS!$C$58*P29*BF29^2*DATOS!$C$48))&lt;0,-1,IF((1-SQRT((1-2*BB29*1E5/(DATOS!$C$58*P29*BF29^2*DATOS!$C$48))))*DATOS!$C$48*P29*BF29/DATOS!$C$40&gt;DATOS!$C$82*P29*BF29,-1,(1-SQRT((1-2*BB29*1E5/(DATOS!$C$58*P29*BF29^2*DATOS!$C$48))))*DATOS!$C$48*P29*BF29/DATOS!$C$40)))&lt;0,-1,MAX(IF(BB29&lt;=0,0,IF((1-2*BB29*1E5/(DATOS!$C$58*P29*BF29^2*DATOS!$C$48))&lt;0,-1,IF((1-SQRT((1-2*BB29*1E5/(DATOS!$C$58*P29*BF29^2*DATOS!$C$48))))*DATOS!$C$48*P29*BF29/DATOS!$C$40&gt;DATOS!$C$82*P29*BF29,-1,(1-SQRT((1-2*BB29*1E5/(DATOS!$C$58*P29*BF29^2*DATOS!$C$48))))*DATOS!$C$48*P29*BF29/DATOS!$C$40))),MIN(DATOS!$C$83*DATOS!$C$13*BF29,4/3*IF(BB29&lt;=0,0,IF((1-2*BB29*1E5/(DATOS!$C$58*P29*BF29^2*DATOS!$C$48))&lt;0,-1,IF((1-SQRT((1-2*BB29*1E5/(DATOS!$C$58*P29*BF29^2*DATOS!$C$48))))*DATOS!$C$48*P29*BF29/DATOS!$C$40&gt;DATOS!$C$82*P29*BF29,-1,(1-SQRT((1-2*BB29*1E5/(DATOS!$C$58*P29*BF29^2*DATOS!$C$48))))*DATOS!$C$48*P29*BF29/DATOS!$C$40)))))))</f>
        <v>0.0797311301064129</v>
      </c>
      <c r="BH29" s="41">
        <f>IF(AND(BG29&gt;=0,IF(MAX(DATOS!$C$29,CEILING(BG29/INDEX(TABLAS!$D$52:$D$58,MIN(MATCH(DATOS!$C$26,TABLAS!$B$52:$B$58,0)+0,7)),1))*INDEX(TABLAS!$D$52:$D$58,MIN(MATCH(DATOS!$C$26,TABLAS!$B$52:$B$58,0)+0,7))&gt;=4/3*IF(BB29&lt;=0,0,IF((1-2*BB29*1E5/(DATOS!$C$58*P29*BF29^2*DATOS!$C$48))&lt;0,-1,IF((1-SQRT((1-2*BB29*1E5/(DATOS!$C$58*P29*BF29^2*DATOS!$C$48))))*DATOS!$C$48*P29*BF29/DATOS!$C$40&gt;DATOS!$C$82*P29*BF29,-1,(1-SQRT((1-2*BB29*1E5/(DATOS!$C$58*P29*BF29^2*DATOS!$C$48))))*DATOS!$C$48*P29*BF29/DATOS!$C$40)))-0.0001,MAX(DATOS!$C$29,CEILING(BG29/INDEX(TABLAS!$D$52:$D$58,MIN(MATCH(DATOS!$C$26,TABLAS!$B$52:$B$58,0)+0,7)),1)),MAX(MAX(DATOS!$C$29,CEILING(BG29/INDEX(TABLAS!$D$52:$D$58,MIN(MATCH(DATOS!$C$26,TABLAS!$B$52:$B$58,0)+0,7)),1)),2))&lt;=MIN(DATOS!$C$28,INT(((DATOS!$C$13-2*R29-2*IF(DATOS!$C$25=0,0,INDEX(TABLAS!$C$52:$C$58,MATCH(DATOS!$C$25,TABLAS!$B$52:$B$58,0))))+MAX(DATOS!$C$32,INDEX(TABLAS!$C$52:$C$58,MIN(MATCH(DATOS!$C$26,TABLAS!$B$52:$B$58,0)+0,7))))/(INDEX(TABLAS!$C$52:$C$58,MIN(MATCH(DATOS!$C$26,TABLAS!$B$52:$B$58,0)+0,7))+MAX(DATOS!$C$32,INDEX(TABLAS!$C$52:$C$58,MIN(MATCH(DATOS!$C$26,TABLAS!$B$52:$B$58,0)+0,7))))))),INDEX(TABLAS!$B$52:$B$58,MIN(MATCH(DATOS!$C$26,TABLAS!$B$52:$B$58,0)+0,7)),IF(AND(BG29&gt;=0,IF(MAX(DATOS!$C$29,CEILING(BG29/INDEX(TABLAS!$D$52:$D$58,MIN(MATCH(DATOS!$C$26,TABLAS!$B$52:$B$58,0)+1,7)),1))*INDEX(TABLAS!$D$52:$D$58,MIN(MATCH(DATOS!$C$26,TABLAS!$B$52:$B$58,0)+1,7))&gt;=4/3*IF(BB29&lt;=0,0,IF((1-2*BB29*1E5/(DATOS!$C$58*P29*BF29^2*DATOS!$C$48))&lt;0,-1,IF((1-SQRT((1-2*BB29*1E5/(DATOS!$C$58*P29*BF29^2*DATOS!$C$48))))*DATOS!$C$48*P29*BF29/DATOS!$C$40&gt;DATOS!$C$82*P29*BF29,-1,(1-SQRT((1-2*BB29*1E5/(DATOS!$C$58*P29*BF29^2*DATOS!$C$48))))*DATOS!$C$48*P29*BF29/DATOS!$C$40)))-0.0001,MAX(DATOS!$C$29,CEILING(BG29/INDEX(TABLAS!$D$52:$D$58,MIN(MATCH(DATOS!$C$26,TABLAS!$B$52:$B$58,0)+1,7)),1)),MAX(MAX(DATOS!$C$29,CEILING(BG29/INDEX(TABLAS!$D$52:$D$58,MIN(MATCH(DATOS!$C$26,TABLAS!$B$52:$B$58,0)+1,7)),1)),2))&lt;=MIN(DATOS!$C$28,INT(((DATOS!$C$13-2*R29-2*IF(DATOS!$C$25=0,0,INDEX(TABLAS!$C$52:$C$58,MATCH(DATOS!$C$25,TABLAS!$B$52:$B$58,0))))+MAX(DATOS!$C$32,INDEX(TABLAS!$C$52:$C$58,MIN(MATCH(DATOS!$C$26,TABLAS!$B$52:$B$58,0)+1,7))))/(INDEX(TABLAS!$C$52:$C$58,MIN(MATCH(DATOS!$C$26,TABLAS!$B$52:$B$58,0)+1,7))+MAX(DATOS!$C$32,INDEX(TABLAS!$C$52:$C$58,MIN(MATCH(DATOS!$C$26,TABLAS!$B$52:$B$58,0)+1,7))))))),INDEX(TABLAS!$B$52:$B$58,MIN(MATCH(DATOS!$C$26,TABLAS!$B$52:$B$58,0)+1,7)),IF(AND(BG29&gt;=0,IF(MAX(DATOS!$C$29,CEILING(BG29/INDEX(TABLAS!$D$52:$D$58,MIN(MATCH(DATOS!$C$26,TABLAS!$B$52:$B$58,0)+2,7)),1))*INDEX(TABLAS!$D$52:$D$58,MIN(MATCH(DATOS!$C$26,TABLAS!$B$52:$B$58,0)+2,7))&gt;=4/3*IF(BB29&lt;=0,0,IF((1-2*BB29*1E5/(DATOS!$C$58*P29*BF29^2*DATOS!$C$48))&lt;0,-1,IF((1-SQRT((1-2*BB29*1E5/(DATOS!$C$58*P29*BF29^2*DATOS!$C$48))))*DATOS!$C$48*P29*BF29/DATOS!$C$40&gt;DATOS!$C$82*P29*BF29,-1,(1-SQRT((1-2*BB29*1E5/(DATOS!$C$58*P29*BF29^2*DATOS!$C$48))))*DATOS!$C$48*P29*BF29/DATOS!$C$40)))-0.0001,MAX(DATOS!$C$29,CEILING(BG29/INDEX(TABLAS!$D$52:$D$58,MIN(MATCH(DATOS!$C$26,TABLAS!$B$52:$B$58,0)+2,7)),1)),MAX(MAX(DATOS!$C$29,CEILING(BG29/INDEX(TABLAS!$D$52:$D$58,MIN(MATCH(DATOS!$C$26,TABLAS!$B$52:$B$58,0)+2,7)),1)),2))&lt;=MIN(DATOS!$C$28,INT(((DATOS!$C$13-2*R29-2*IF(DATOS!$C$25=0,0,INDEX(TABLAS!$C$52:$C$58,MATCH(DATOS!$C$25,TABLAS!$B$52:$B$58,0))))+MAX(DATOS!$C$32,INDEX(TABLAS!$C$52:$C$58,MIN(MATCH(DATOS!$C$26,TABLAS!$B$52:$B$58,0)+2,7))))/(INDEX(TABLAS!$C$52:$C$58,MIN(MATCH(DATOS!$C$26,TABLAS!$B$52:$B$58,0)+2,7))+MAX(DATOS!$C$32,INDEX(TABLAS!$C$52:$C$58,MIN(MATCH(DATOS!$C$26,TABLAS!$B$52:$B$58,0)+2,7))))))),INDEX(TABLAS!$B$52:$B$58,MIN(MATCH(DATOS!$C$26,TABLAS!$B$52:$B$58,0)+2,7)),IF(AND(BG29&gt;=0,IF(MAX(DATOS!$C$29,CEILING(BG29/INDEX(TABLAS!$D$52:$D$58,MIN(MATCH(DATOS!$C$26,TABLAS!$B$52:$B$58,0)+3,7)),1))*INDEX(TABLAS!$D$52:$D$58,MIN(MATCH(DATOS!$C$26,TABLAS!$B$52:$B$58,0)+3,7))&gt;=4/3*IF(BB29&lt;=0,0,IF((1-2*BB29*1E5/(DATOS!$C$58*P29*BF29^2*DATOS!$C$48))&lt;0,-1,IF((1-SQRT((1-2*BB29*1E5/(DATOS!$C$58*P29*BF29^2*DATOS!$C$48))))*DATOS!$C$48*P29*BF29/DATOS!$C$40&gt;DATOS!$C$82*P29*BF29,-1,(1-SQRT((1-2*BB29*1E5/(DATOS!$C$58*P29*BF29^2*DATOS!$C$48))))*DATOS!$C$48*P29*BF29/DATOS!$C$40)))-0.0001,MAX(DATOS!$C$29,CEILING(BG29/INDEX(TABLAS!$D$52:$D$58,MIN(MATCH(DATOS!$C$26,TABLAS!$B$52:$B$58,0)+3,7)),1)),MAX(MAX(DATOS!$C$29,CEILING(BG29/INDEX(TABLAS!$D$52:$D$58,MIN(MATCH(DATOS!$C$26,TABLAS!$B$52:$B$58,0)+3,7)),1)),2))&lt;=MIN(DATOS!$C$28,INT(((DATOS!$C$13-2*R29-2*IF(DATOS!$C$25=0,0,INDEX(TABLAS!$C$52:$C$58,MATCH(DATOS!$C$25,TABLAS!$B$52:$B$58,0))))+MAX(DATOS!$C$32,INDEX(TABLAS!$C$52:$C$58,MIN(MATCH(DATOS!$C$26,TABLAS!$B$52:$B$58,0)+3,7))))/(INDEX(TABLAS!$C$52:$C$58,MIN(MATCH(DATOS!$C$26,TABLAS!$B$52:$B$58,0)+3,7))+MAX(DATOS!$C$32,INDEX(TABLAS!$C$52:$C$58,MIN(MATCH(DATOS!$C$26,TABLAS!$B$52:$B$58,0)+3,7))))))),INDEX(TABLAS!$B$52:$B$58,MIN(MATCH(DATOS!$C$26,TABLAS!$B$52:$B$58,0)+3,7)),IF(AND(BG29&gt;=0,IF(MAX(DATOS!$C$29,CEILING(BG29/INDEX(TABLAS!$D$52:$D$58,MIN(MATCH(DATOS!$C$26,TABLAS!$B$52:$B$58,0)+4,7)),1))*INDEX(TABLAS!$D$52:$D$58,MIN(MATCH(DATOS!$C$26,TABLAS!$B$52:$B$58,0)+4,7))&gt;=4/3*IF(BB29&lt;=0,0,IF((1-2*BB29*1E5/(DATOS!$C$58*P29*BF29^2*DATOS!$C$48))&lt;0,-1,IF((1-SQRT((1-2*BB29*1E5/(DATOS!$C$58*P29*BF29^2*DATOS!$C$48))))*DATOS!$C$48*P29*BF29/DATOS!$C$40&gt;DATOS!$C$82*P29*BF29,-1,(1-SQRT((1-2*BB29*1E5/(DATOS!$C$58*P29*BF29^2*DATOS!$C$48))))*DATOS!$C$48*P29*BF29/DATOS!$C$40)))-0.0001,MAX(DATOS!$C$29,CEILING(BG29/INDEX(TABLAS!$D$52:$D$58,MIN(MATCH(DATOS!$C$26,TABLAS!$B$52:$B$58,0)+4,7)),1)),MAX(MAX(DATOS!$C$29,CEILING(BG29/INDEX(TABLAS!$D$52:$D$58,MIN(MATCH(DATOS!$C$26,TABLAS!$B$52:$B$58,0)+4,7)),1)),2))&lt;=MIN(DATOS!$C$28,INT(((DATOS!$C$13-2*R29-2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29" s="56">
        <f>IF(D29="HUECO",0,IF(BG29&lt;0,0,IF(MAX(DATOS!$C$29,CEILING(MAX(BG29,0)/INDEX(TABLAS!$D$52:$D$58,MATCH(BH29,TABLAS!$B$52:$B$58,0)),1))*INDEX(TABLAS!$D$52:$D$58,MATCH(BH29,TABLAS!$B$52:$B$58,0))&gt;=4/3*IF(BB29&lt;=0,0,IF((1-2*BB29*1E5/(DATOS!$C$58*P29*BF29^2*DATOS!$C$48))&lt;0,-1,IF((1-SQRT((1-2*BB29*1E5/(DATOS!$C$58*P29*BF29^2*DATOS!$C$48))))*DATOS!$C$48*P29*BF29/DATOS!$C$40&gt;DATOS!$C$82*P29*BF29,-1,(1-SQRT((1-2*BB29*1E5/(DATOS!$C$58*P29*BF29^2*DATOS!$C$48))))*DATOS!$C$48*P29*BF29/DATOS!$C$40)))-0.0001,MAX(DATOS!$C$29,CEILING(MAX(BG29,0)/INDEX(TABLAS!$D$52:$D$58,MATCH(BH29,TABLAS!$B$52:$B$58,0)),1)),MAX(MAX(DATOS!$C$29,CEILING(MAX(BG29,0)/INDEX(TABLAS!$D$52:$D$58,MATCH(BH29,TABLAS!$B$52:$B$58,0)),1)),2))))</f>
        <v>1</v>
      </c>
      <c r="BJ29" s="43">
        <f>DATOS!$C$15-R29-IF(DATOS!$C$25=0,0,INDEX(TABLAS!$C$52:$C$58,MATCH(DATOS!$C$25,TABLAS!$B$52:$B$58,0)))-INDEX(TABLAS!$C$52:$C$58,MATCH(BH29,TABLAS!$B$52:$B$58,0))/2</f>
        <v>20.365</v>
      </c>
      <c r="BK29" s="36">
        <f>IF(BI29=0,0,DATOS!$C$58*BI29*INDEX(TABLAS!$D$52:$D$58,MATCH(BH29,TABLAS!$B$52:$B$58,0))*DATOS!$C$40*(BJ29-BI29*INDEX(TABLAS!$D$52:$D$58,MATCH(BH29,TABLAS!$B$52:$B$58,0))*DATOS!$C$40/(DATOS!$C$48*P29)/2)/1E5)</f>
        <v>0.95839287566059</v>
      </c>
      <c r="BL29" s="62">
        <f>IF(BG29&lt;0,9.99,IF(BK29&gt;0,BB29/BK29,0))</f>
        <v>0.0479864922787971</v>
      </c>
      <c r="BM29" s="63">
        <f>IF(BI29=0,"—",0.003*(BJ29-(BI29*INDEX(TABLAS!$D$52:$D$58,MATCH(BH29,TABLAS!$B$52:$B$58,0))*DATOS!$C$40/(DATOS!$C$48*P29)/DATOS!$C$49))/(BI29*INDEX(TABLAS!$D$52:$D$58,MATCH(BH29,TABLAS!$B$52:$B$58,0))*DATOS!$C$40/(DATOS!$C$48*P29)/DATOS!$C$49))</f>
        <v>0.0617552307719348</v>
      </c>
      <c r="BN29" s="43">
        <f>((DATOS!$C$15-S29-2*DATOS!$C$35-IF(DATOS!$C$25=0,0,INDEX(TABLAS!$C$52:$C$58,MATCH(DATOS!$C$25,TABLAS!$B$52:$B$58,0)))-INDEX(TABLAS!$C$52:$C$58,MATCH(DATOS!$C$27,TABLAS!$B$52:$B$58,0))/2)-IF(AND((DATOS!$C$15-S29-2*DATOS!$C$35-IF(DATOS!$C$25=0,0,INDEX(TABLAS!$C$52:$C$58,MATCH(DATOS!$C$25,TABLAS!$B$52:$B$58,0)))-INDEX(TABLAS!$C$52:$C$58,MATCH(DATOS!$C$27,TABLAS!$B$52:$B$58,0))/2)&lt;=20,DATOS!$C$18&lt;&gt;"SÍ"),2,0))</f>
        <v>19.389</v>
      </c>
      <c r="BO29" s="43">
        <f>IF(D29="HUECO",0,IF(IF(BC29&lt;=0,0,IF((1-2*BC29*1E5/(DATOS!$C$58*DATOS!$C$19*BN29^2*DATOS!$C$48))&lt;0,-1,IF((1-SQRT((1-2*BC29*1E5/(DATOS!$C$58*DATOS!$C$19*BN29^2*DATOS!$C$48))))*DATOS!$C$48*DATOS!$C$19*BN29/DATOS!$C$40&gt;DATOS!$C$82*DATOS!$C$19*BN29,-1,(1-SQRT((1-2*BC29*1E5/(DATOS!$C$58*DATOS!$C$19*BN29^2*DATOS!$C$48))))*DATOS!$C$48*DATOS!$C$19*BN29/DATOS!$C$40)))&lt;0,-1,MAX(IF(BC29&lt;=0,0,IF((1-2*BC29*1E5/(DATOS!$C$58*DATOS!$C$19*BN29^2*DATOS!$C$48))&lt;0,-1,IF((1-SQRT((1-2*BC29*1E5/(DATOS!$C$58*DATOS!$C$19*BN29^2*DATOS!$C$48))))*DATOS!$C$48*DATOS!$C$19*BN29/DATOS!$C$40&gt;DATOS!$C$82*DATOS!$C$19*BN29,-1,(1-SQRT((1-2*BC29*1E5/(DATOS!$C$58*DATOS!$C$19*BN29^2*DATOS!$C$48))))*DATOS!$C$48*DATOS!$C$19*BN29/DATOS!$C$40))),MIN(DATOS!$C$83*IF(D29="VOLADO",2*DATOS!$C$13,DATOS!$C$13)*BN29,4/3*IF(BC29&lt;=0,0,IF((1-2*BC29*1E5/(DATOS!$C$58*DATOS!$C$19*BN29^2*DATOS!$C$48))&lt;0,-1,IF((1-SQRT((1-2*BC29*1E5/(DATOS!$C$58*DATOS!$C$19*BN29^2*DATOS!$C$48))))*DATOS!$C$48*DATOS!$C$19*BN29/DATOS!$C$40&gt;DATOS!$C$82*DATOS!$C$19*BN29,-1,(1-SQRT((1-2*BC29*1E5/(DATOS!$C$58*DATOS!$C$19*BN29^2*DATOS!$C$48))))*DATOS!$C$48*DATOS!$C$19*BN29/DATOS!$C$40)))))))</f>
        <v>0.6463</v>
      </c>
      <c r="BP29" s="41">
        <f>IF(AND(BO29&gt;=0,IF(MAX(DATOS!$C$29,CEILING(BO29/INDEX(TABLAS!$D$52:$D$58,MIN(MATCH(DATOS!$C$27,TABLAS!$B$52:$B$58,0)+0,7)),1))*INDEX(TABLAS!$D$52:$D$58,MIN(MATCH(DATOS!$C$27,TABLAS!$B$52:$B$58,0)+0,7))&gt;=4/3*IF(BC29&lt;=0,0,IF((1-2*BC29*1E5/(DATOS!$C$58*DATOS!$C$19*BN29^2*DATOS!$C$48))&lt;0,-1,IF((1-SQRT((1-2*BC29*1E5/(DATOS!$C$58*DATOS!$C$19*BN29^2*DATOS!$C$48))))*DATOS!$C$48*DATOS!$C$19*BN29/DATOS!$C$40&gt;DATOS!$C$82*DATOS!$C$19*BN29,-1,(1-SQRT((1-2*BC29*1E5/(DATOS!$C$58*DATOS!$C$19*BN29^2*DATOS!$C$48))))*DATOS!$C$48*DATOS!$C$19*BN29/DATOS!$C$40)))-0.0001,MAX(DATOS!$C$29,CEILING(BO29/INDEX(TABLAS!$D$52:$D$58,MIN(MATCH(DATOS!$C$27,TABLAS!$B$52:$B$58,0)+0,7)),1)),MAX(MAX(DATOS!$C$29,CEILING(BO29/INDEX(TABLAS!$D$52:$D$58,MIN(MATCH(DATOS!$C$27,TABLAS!$B$52:$B$58,0)+0,7)),1)),2))&lt;=MIN(DATOS!$C$28,INT(((DATOS!$C$13-2*S29-2*IF(DATOS!$C$25=0,0,INDEX(TABLAS!$C$52:$C$58,MATCH(DATOS!$C$25,TABLAS!$B$52:$B$58,0))))+MAX(DATOS!$C$32,INDEX(TABLAS!$C$52:$C$58,MIN(MATCH(DATOS!$C$27,TABLAS!$B$52:$B$58,0)+0,7))))/(INDEX(TABLAS!$C$52:$C$58,MIN(MATCH(DATOS!$C$27,TABLAS!$B$52:$B$58,0)+0,7))+MAX(DATOS!$C$32,INDEX(TABLAS!$C$52:$C$58,MIN(MATCH(DATOS!$C$27,TABLAS!$B$52:$B$58,0)+0,7))))))),INDEX(TABLAS!$B$52:$B$58,MIN(MATCH(DATOS!$C$27,TABLAS!$B$52:$B$58,0)+0,7)),IF(AND(BO29&gt;=0,IF(MAX(DATOS!$C$29,CEILING(BO29/INDEX(TABLAS!$D$52:$D$58,MIN(MATCH(DATOS!$C$27,TABLAS!$B$52:$B$58,0)+1,7)),1))*INDEX(TABLAS!$D$52:$D$58,MIN(MATCH(DATOS!$C$27,TABLAS!$B$52:$B$58,0)+1,7))&gt;=4/3*IF(BC29&lt;=0,0,IF((1-2*BC29*1E5/(DATOS!$C$58*DATOS!$C$19*BN29^2*DATOS!$C$48))&lt;0,-1,IF((1-SQRT((1-2*BC29*1E5/(DATOS!$C$58*DATOS!$C$19*BN29^2*DATOS!$C$48))))*DATOS!$C$48*DATOS!$C$19*BN29/DATOS!$C$40&gt;DATOS!$C$82*DATOS!$C$19*BN29,-1,(1-SQRT((1-2*BC29*1E5/(DATOS!$C$58*DATOS!$C$19*BN29^2*DATOS!$C$48))))*DATOS!$C$48*DATOS!$C$19*BN29/DATOS!$C$40)))-0.0001,MAX(DATOS!$C$29,CEILING(BO29/INDEX(TABLAS!$D$52:$D$58,MIN(MATCH(DATOS!$C$27,TABLAS!$B$52:$B$58,0)+1,7)),1)),MAX(MAX(DATOS!$C$29,CEILING(BO29/INDEX(TABLAS!$D$52:$D$58,MIN(MATCH(DATOS!$C$27,TABLAS!$B$52:$B$58,0)+1,7)),1)),2))&lt;=MIN(DATOS!$C$28,INT(((DATOS!$C$13-2*S29-2*IF(DATOS!$C$25=0,0,INDEX(TABLAS!$C$52:$C$58,MATCH(DATOS!$C$25,TABLAS!$B$52:$B$58,0))))+MAX(DATOS!$C$32,INDEX(TABLAS!$C$52:$C$58,MIN(MATCH(DATOS!$C$27,TABLAS!$B$52:$B$58,0)+1,7))))/(INDEX(TABLAS!$C$52:$C$58,MIN(MATCH(DATOS!$C$27,TABLAS!$B$52:$B$58,0)+1,7))+MAX(DATOS!$C$32,INDEX(TABLAS!$C$52:$C$58,MIN(MATCH(DATOS!$C$27,TABLAS!$B$52:$B$58,0)+1,7))))))),INDEX(TABLAS!$B$52:$B$58,MIN(MATCH(DATOS!$C$27,TABLAS!$B$52:$B$58,0)+1,7)),IF(AND(BO29&gt;=0,IF(MAX(DATOS!$C$29,CEILING(BO29/INDEX(TABLAS!$D$52:$D$58,MIN(MATCH(DATOS!$C$27,TABLAS!$B$52:$B$58,0)+2,7)),1))*INDEX(TABLAS!$D$52:$D$58,MIN(MATCH(DATOS!$C$27,TABLAS!$B$52:$B$58,0)+2,7))&gt;=4/3*IF(BC29&lt;=0,0,IF((1-2*BC29*1E5/(DATOS!$C$58*DATOS!$C$19*BN29^2*DATOS!$C$48))&lt;0,-1,IF((1-SQRT((1-2*BC29*1E5/(DATOS!$C$58*DATOS!$C$19*BN29^2*DATOS!$C$48))))*DATOS!$C$48*DATOS!$C$19*BN29/DATOS!$C$40&gt;DATOS!$C$82*DATOS!$C$19*BN29,-1,(1-SQRT((1-2*BC29*1E5/(DATOS!$C$58*DATOS!$C$19*BN29^2*DATOS!$C$48))))*DATOS!$C$48*DATOS!$C$19*BN29/DATOS!$C$40)))-0.0001,MAX(DATOS!$C$29,CEILING(BO29/INDEX(TABLAS!$D$52:$D$58,MIN(MATCH(DATOS!$C$27,TABLAS!$B$52:$B$58,0)+2,7)),1)),MAX(MAX(DATOS!$C$29,CEILING(BO29/INDEX(TABLAS!$D$52:$D$58,MIN(MATCH(DATOS!$C$27,TABLAS!$B$52:$B$58,0)+2,7)),1)),2))&lt;=MIN(DATOS!$C$28,INT(((DATOS!$C$13-2*S29-2*IF(DATOS!$C$25=0,0,INDEX(TABLAS!$C$52:$C$58,MATCH(DATOS!$C$25,TABLAS!$B$52:$B$58,0))))+MAX(DATOS!$C$32,INDEX(TABLAS!$C$52:$C$58,MIN(MATCH(DATOS!$C$27,TABLAS!$B$52:$B$58,0)+2,7))))/(INDEX(TABLAS!$C$52:$C$58,MIN(MATCH(DATOS!$C$27,TABLAS!$B$52:$B$58,0)+2,7))+MAX(DATOS!$C$32,INDEX(TABLAS!$C$52:$C$58,MIN(MATCH(DATOS!$C$27,TABLAS!$B$52:$B$58,0)+2,7))))))),INDEX(TABLAS!$B$52:$B$58,MIN(MATCH(DATOS!$C$27,TABLAS!$B$52:$B$58,0)+2,7)),IF(AND(BO29&gt;=0,IF(MAX(DATOS!$C$29,CEILING(BO29/INDEX(TABLAS!$D$52:$D$58,MIN(MATCH(DATOS!$C$27,TABLAS!$B$52:$B$58,0)+3,7)),1))*INDEX(TABLAS!$D$52:$D$58,MIN(MATCH(DATOS!$C$27,TABLAS!$B$52:$B$58,0)+3,7))&gt;=4/3*IF(BC29&lt;=0,0,IF((1-2*BC29*1E5/(DATOS!$C$58*DATOS!$C$19*BN29^2*DATOS!$C$48))&lt;0,-1,IF((1-SQRT((1-2*BC29*1E5/(DATOS!$C$58*DATOS!$C$19*BN29^2*DATOS!$C$48))))*DATOS!$C$48*DATOS!$C$19*BN29/DATOS!$C$40&gt;DATOS!$C$82*DATOS!$C$19*BN29,-1,(1-SQRT((1-2*BC29*1E5/(DATOS!$C$58*DATOS!$C$19*BN29^2*DATOS!$C$48))))*DATOS!$C$48*DATOS!$C$19*BN29/DATOS!$C$40)))-0.0001,MAX(DATOS!$C$29,CEILING(BO29/INDEX(TABLAS!$D$52:$D$58,MIN(MATCH(DATOS!$C$27,TABLAS!$B$52:$B$58,0)+3,7)),1)),MAX(MAX(DATOS!$C$29,CEILING(BO29/INDEX(TABLAS!$D$52:$D$58,MIN(MATCH(DATOS!$C$27,TABLAS!$B$52:$B$58,0)+3,7)),1)),2))&lt;=MIN(DATOS!$C$28,INT(((DATOS!$C$13-2*S29-2*IF(DATOS!$C$25=0,0,INDEX(TABLAS!$C$52:$C$58,MATCH(DATOS!$C$25,TABLAS!$B$52:$B$58,0))))+MAX(DATOS!$C$32,INDEX(TABLAS!$C$52:$C$58,MIN(MATCH(DATOS!$C$27,TABLAS!$B$52:$B$58,0)+3,7))))/(INDEX(TABLAS!$C$52:$C$58,MIN(MATCH(DATOS!$C$27,TABLAS!$B$52:$B$58,0)+3,7))+MAX(DATOS!$C$32,INDEX(TABLAS!$C$52:$C$58,MIN(MATCH(DATOS!$C$27,TABLAS!$B$52:$B$58,0)+3,7))))))),INDEX(TABLAS!$B$52:$B$58,MIN(MATCH(DATOS!$C$27,TABLAS!$B$52:$B$58,0)+3,7)),IF(AND(BO29&gt;=0,IF(MAX(DATOS!$C$29,CEILING(BO29/INDEX(TABLAS!$D$52:$D$58,MIN(MATCH(DATOS!$C$27,TABLAS!$B$52:$B$58,0)+4,7)),1))*INDEX(TABLAS!$D$52:$D$58,MIN(MATCH(DATOS!$C$27,TABLAS!$B$52:$B$58,0)+4,7))&gt;=4/3*IF(BC29&lt;=0,0,IF((1-2*BC29*1E5/(DATOS!$C$58*DATOS!$C$19*BN29^2*DATOS!$C$48))&lt;0,-1,IF((1-SQRT((1-2*BC29*1E5/(DATOS!$C$58*DATOS!$C$19*BN29^2*DATOS!$C$48))))*DATOS!$C$48*DATOS!$C$19*BN29/DATOS!$C$40&gt;DATOS!$C$82*DATOS!$C$19*BN29,-1,(1-SQRT((1-2*BC29*1E5/(DATOS!$C$58*DATOS!$C$19*BN29^2*DATOS!$C$48))))*DATOS!$C$48*DATOS!$C$19*BN29/DATOS!$C$40)))-0.0001,MAX(DATOS!$C$29,CEILING(BO29/INDEX(TABLAS!$D$52:$D$58,MIN(MATCH(DATOS!$C$27,TABLAS!$B$52:$B$58,0)+4,7)),1)),MAX(MAX(DATOS!$C$29,CEILING(BO29/INDEX(TABLAS!$D$52:$D$58,MIN(MATCH(DATOS!$C$27,TABLAS!$B$52:$B$58,0)+4,7)),1)),2))&lt;=MIN(DATOS!$C$28,INT(((DATOS!$C$13-2*S29-2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29" s="56">
        <f>IF(D29="HUECO",0,IF(BO29&lt;0,0,IF(MAX(DATOS!$C$29,CEILING(MAX(BO29,0)/INDEX(TABLAS!$D$52:$D$58,MATCH(BP29,TABLAS!$B$52:$B$58,0)),1))*INDEX(TABLAS!$D$52:$D$58,MATCH(BP29,TABLAS!$B$52:$B$58,0))&gt;=4/3*IF(BC29&lt;=0,0,IF((1-2*BC29*1E5/(DATOS!$C$58*DATOS!$C$19*BN29^2*DATOS!$C$48))&lt;0,-1,IF((1-SQRT((1-2*BC29*1E5/(DATOS!$C$58*DATOS!$C$19*BN29^2*DATOS!$C$48))))*DATOS!$C$48*DATOS!$C$19*BN29/DATOS!$C$40&gt;DATOS!$C$82*DATOS!$C$19*BN29,-1,(1-SQRT((1-2*BC29*1E5/(DATOS!$C$58*DATOS!$C$19*BN29^2*DATOS!$C$48))))*DATOS!$C$48*DATOS!$C$19*BN29/DATOS!$C$40)))-0.0001,MAX(DATOS!$C$29,CEILING(MAX(BO29,0)/INDEX(TABLAS!$D$52:$D$58,MATCH(BP29,TABLAS!$B$52:$B$58,0)),1)),MAX(MAX(DATOS!$C$29,CEILING(MAX(BO29,0)/INDEX(TABLAS!$D$52:$D$58,MATCH(BP29,TABLAS!$B$52:$B$58,0)),1)),2))))</f>
        <v>1</v>
      </c>
      <c r="BR29" s="43">
        <f>((DATOS!$C$15-S29-2*DATOS!$C$35-IF(DATOS!$C$25=0,0,INDEX(TABLAS!$C$52:$C$58,MATCH(DATOS!$C$25,TABLAS!$B$52:$B$58,0)))-INDEX(TABLAS!$C$52:$C$58,MATCH(BP29,TABLAS!$B$52:$B$58,0))/2)-IF(AND((DATOS!$C$15-S29-2*DATOS!$C$35-IF(DATOS!$C$25=0,0,INDEX(TABLAS!$C$52:$C$58,MATCH(DATOS!$C$25,TABLAS!$B$52:$B$58,0)))-INDEX(TABLAS!$C$52:$C$58,MATCH(BP29,TABLAS!$B$52:$B$58,0))/2)&lt;=20,DATOS!$C$18&lt;&gt;"SÍ"),2,0))</f>
        <v>19.389</v>
      </c>
      <c r="BS29" s="36">
        <f>IF(BQ29=0,0,DATOS!$C$58*BQ29*INDEX(TABLAS!$D$52:$D$58,MATCH(BP29,TABLAS!$B$52:$B$58,0))*DATOS!$C$40*(BR29-BQ29*INDEX(TABLAS!$D$52:$D$58,MATCH(BP29,TABLAS!$B$52:$B$58,0))*DATOS!$C$40/(DATOS!$C$48*DATOS!$C$19)/2)/1E5)</f>
        <v>0.870537980117647</v>
      </c>
      <c r="BT29" s="62">
        <f>IF(BO29&lt;0,9.99,IF(BS29&gt;0,BC29/BS29,0))</f>
        <v>0.406277773805464</v>
      </c>
      <c r="BU29" s="63">
        <f>IF(BQ29=0,"—",0.003*(BR29-(BQ29*INDEX(TABLAS!$D$52:$D$58,MATCH(BP29,TABLAS!$B$52:$B$58,0))*DATOS!$C$40/(DATOS!$C$48*DATOS!$C$19)/DATOS!$C$49))/(BQ29*INDEX(TABLAS!$D$52:$D$58,MATCH(BP29,TABLAS!$B$52:$B$58,0))*DATOS!$C$40/(DATOS!$C$48*DATOS!$C$19)/DATOS!$C$49))</f>
        <v>0.0166970648200225</v>
      </c>
      <c r="BV29" s="43">
        <f>(DATOS!$C$15-R29-IF(DATOS!$C$25=0,0,INDEX(TABLAS!$C$52:$C$58,MATCH(DATOS!$C$25,TABLAS!$B$52:$B$58,0)))-INDEX(TABLAS!$C$52:$C$58,MATCH(DATOS!$C$26,TABLAS!$B$52:$B$58,0))-INDEX(TABLAS!$C$52:$C$58,MATCH(DATOS!$C$26,TABLAS!$B$52:$B$58,0))/2)</f>
        <v>19.095</v>
      </c>
      <c r="BW29" s="43">
        <f>IF(D29="HUECO",0,IF(IF(BD29&lt;=0,0,IF((1-2*BD29*1E5/(DATOS!$C$58*Q29*BV29^2*DATOS!$C$48))&lt;0,-1,IF((1-SQRT((1-2*BD29*1E5/(DATOS!$C$58*Q29*BV29^2*DATOS!$C$48))))*DATOS!$C$48*Q29*BV29/DATOS!$C$40&gt;DATOS!$C$82*Q29*BV29,-1,(1-SQRT((1-2*BD29*1E5/(DATOS!$C$58*Q29*BV29^2*DATOS!$C$48))))*DATOS!$C$48*Q29*BV29/DATOS!$C$40)))&lt;0,-1,MAX(IF(BD29&lt;=0,0,IF((1-2*BD29*1E5/(DATOS!$C$58*Q29*BV29^2*DATOS!$C$48))&lt;0,-1,IF((1-SQRT((1-2*BD29*1E5/(DATOS!$C$58*Q29*BV29^2*DATOS!$C$48))))*DATOS!$C$48*Q29*BV29/DATOS!$C$40&gt;DATOS!$C$82*Q29*BV29,-1,(1-SQRT((1-2*BD29*1E5/(DATOS!$C$58*Q29*BV29^2*DATOS!$C$48))))*DATOS!$C$48*Q29*BV29/DATOS!$C$40))),MIN(DATOS!$C$83*DATOS!$C$13*BV29,4/3*IF(BD29&lt;=0,0,IF((1-2*BD29*1E5/(DATOS!$C$58*Q29*BV29^2*DATOS!$C$48))&lt;0,-1,IF((1-SQRT((1-2*BD29*1E5/(DATOS!$C$58*Q29*BV29^2*DATOS!$C$48))))*DATOS!$C$48*Q29*BV29/DATOS!$C$40&gt;DATOS!$C$82*Q29*BV29,-1,(1-SQRT((1-2*BD29*1E5/(DATOS!$C$58*Q29*BV29^2*DATOS!$C$48))))*DATOS!$C$48*Q29*BV29/DATOS!$C$40)))))))</f>
        <v>0.0342131090090515</v>
      </c>
      <c r="BX29" s="41">
        <f>IF(AND(BW29&gt;=0,IF(MAX(DATOS!$C$29,CEILING(BW29/INDEX(TABLAS!$D$52:$D$58,MIN(MATCH(DATOS!$C$26,TABLAS!$B$52:$B$58,0)+0,7)),1))*INDEX(TABLAS!$D$52:$D$58,MIN(MATCH(DATOS!$C$26,TABLAS!$B$52:$B$58,0)+0,7))&gt;=4/3*IF(BD29&lt;=0,0,IF((1-2*BD29*1E5/(DATOS!$C$58*Q29*BV29^2*DATOS!$C$48))&lt;0,-1,IF((1-SQRT((1-2*BD29*1E5/(DATOS!$C$58*Q29*BV29^2*DATOS!$C$48))))*DATOS!$C$48*Q29*BV29/DATOS!$C$40&gt;DATOS!$C$82*Q29*BV29,-1,(1-SQRT((1-2*BD29*1E5/(DATOS!$C$58*Q29*BV29^2*DATOS!$C$48))))*DATOS!$C$48*Q29*BV29/DATOS!$C$40)))-0.0001,MAX(DATOS!$C$29,CEILING(BW29/INDEX(TABLAS!$D$52:$D$58,MIN(MATCH(DATOS!$C$26,TABLAS!$B$52:$B$58,0)+0,7)),1)),MAX(MAX(DATOS!$C$29,CEILING(BW29/INDEX(TABLAS!$D$52:$D$58,MIN(MATCH(DATOS!$C$26,TABLAS!$B$52:$B$58,0)+0,7)),1)),2))&lt;=MIN(DATOS!$C$28,INT(((DATOS!$C$13-2*R29-2*IF(DATOS!$C$25=0,0,INDEX(TABLAS!$C$52:$C$58,MATCH(DATOS!$C$25,TABLAS!$B$52:$B$58,0))))+MAX(DATOS!$C$32,INDEX(TABLAS!$C$52:$C$58,MIN(MATCH(DATOS!$C$26,TABLAS!$B$52:$B$58,0)+0,7))))/(INDEX(TABLAS!$C$52:$C$58,MIN(MATCH(DATOS!$C$26,TABLAS!$B$52:$B$58,0)+0,7))+MAX(DATOS!$C$32,INDEX(TABLAS!$C$52:$C$58,MIN(MATCH(DATOS!$C$26,TABLAS!$B$52:$B$58,0)+0,7))))))),INDEX(TABLAS!$B$52:$B$58,MIN(MATCH(DATOS!$C$26,TABLAS!$B$52:$B$58,0)+0,7)),IF(AND(BW29&gt;=0,IF(MAX(DATOS!$C$29,CEILING(BW29/INDEX(TABLAS!$D$52:$D$58,MIN(MATCH(DATOS!$C$26,TABLAS!$B$52:$B$58,0)+1,7)),1))*INDEX(TABLAS!$D$52:$D$58,MIN(MATCH(DATOS!$C$26,TABLAS!$B$52:$B$58,0)+1,7))&gt;=4/3*IF(BD29&lt;=0,0,IF((1-2*BD29*1E5/(DATOS!$C$58*Q29*BV29^2*DATOS!$C$48))&lt;0,-1,IF((1-SQRT((1-2*BD29*1E5/(DATOS!$C$58*Q29*BV29^2*DATOS!$C$48))))*DATOS!$C$48*Q29*BV29/DATOS!$C$40&gt;DATOS!$C$82*Q29*BV29,-1,(1-SQRT((1-2*BD29*1E5/(DATOS!$C$58*Q29*BV29^2*DATOS!$C$48))))*DATOS!$C$48*Q29*BV29/DATOS!$C$40)))-0.0001,MAX(DATOS!$C$29,CEILING(BW29/INDEX(TABLAS!$D$52:$D$58,MIN(MATCH(DATOS!$C$26,TABLAS!$B$52:$B$58,0)+1,7)),1)),MAX(MAX(DATOS!$C$29,CEILING(BW29/INDEX(TABLAS!$D$52:$D$58,MIN(MATCH(DATOS!$C$26,TABLAS!$B$52:$B$58,0)+1,7)),1)),2))&lt;=MIN(DATOS!$C$28,INT(((DATOS!$C$13-2*R29-2*IF(DATOS!$C$25=0,0,INDEX(TABLAS!$C$52:$C$58,MATCH(DATOS!$C$25,TABLAS!$B$52:$B$58,0))))+MAX(DATOS!$C$32,INDEX(TABLAS!$C$52:$C$58,MIN(MATCH(DATOS!$C$26,TABLAS!$B$52:$B$58,0)+1,7))))/(INDEX(TABLAS!$C$52:$C$58,MIN(MATCH(DATOS!$C$26,TABLAS!$B$52:$B$58,0)+1,7))+MAX(DATOS!$C$32,INDEX(TABLAS!$C$52:$C$58,MIN(MATCH(DATOS!$C$26,TABLAS!$B$52:$B$58,0)+1,7))))))),INDEX(TABLAS!$B$52:$B$58,MIN(MATCH(DATOS!$C$26,TABLAS!$B$52:$B$58,0)+1,7)),IF(AND(BW29&gt;=0,IF(MAX(DATOS!$C$29,CEILING(BW29/INDEX(TABLAS!$D$52:$D$58,MIN(MATCH(DATOS!$C$26,TABLAS!$B$52:$B$58,0)+2,7)),1))*INDEX(TABLAS!$D$52:$D$58,MIN(MATCH(DATOS!$C$26,TABLAS!$B$52:$B$58,0)+2,7))&gt;=4/3*IF(BD29&lt;=0,0,IF((1-2*BD29*1E5/(DATOS!$C$58*Q29*BV29^2*DATOS!$C$48))&lt;0,-1,IF((1-SQRT((1-2*BD29*1E5/(DATOS!$C$58*Q29*BV29^2*DATOS!$C$48))))*DATOS!$C$48*Q29*BV29/DATOS!$C$40&gt;DATOS!$C$82*Q29*BV29,-1,(1-SQRT((1-2*BD29*1E5/(DATOS!$C$58*Q29*BV29^2*DATOS!$C$48))))*DATOS!$C$48*Q29*BV29/DATOS!$C$40)))-0.0001,MAX(DATOS!$C$29,CEILING(BW29/INDEX(TABLAS!$D$52:$D$58,MIN(MATCH(DATOS!$C$26,TABLAS!$B$52:$B$58,0)+2,7)),1)),MAX(MAX(DATOS!$C$29,CEILING(BW29/INDEX(TABLAS!$D$52:$D$58,MIN(MATCH(DATOS!$C$26,TABLAS!$B$52:$B$58,0)+2,7)),1)),2))&lt;=MIN(DATOS!$C$28,INT(((DATOS!$C$13-2*R29-2*IF(DATOS!$C$25=0,0,INDEX(TABLAS!$C$52:$C$58,MATCH(DATOS!$C$25,TABLAS!$B$52:$B$58,0))))+MAX(DATOS!$C$32,INDEX(TABLAS!$C$52:$C$58,MIN(MATCH(DATOS!$C$26,TABLAS!$B$52:$B$58,0)+2,7))))/(INDEX(TABLAS!$C$52:$C$58,MIN(MATCH(DATOS!$C$26,TABLAS!$B$52:$B$58,0)+2,7))+MAX(DATOS!$C$32,INDEX(TABLAS!$C$52:$C$58,MIN(MATCH(DATOS!$C$26,TABLAS!$B$52:$B$58,0)+2,7))))))),INDEX(TABLAS!$B$52:$B$58,MIN(MATCH(DATOS!$C$26,TABLAS!$B$52:$B$58,0)+2,7)),IF(AND(BW29&gt;=0,IF(MAX(DATOS!$C$29,CEILING(BW29/INDEX(TABLAS!$D$52:$D$58,MIN(MATCH(DATOS!$C$26,TABLAS!$B$52:$B$58,0)+3,7)),1))*INDEX(TABLAS!$D$52:$D$58,MIN(MATCH(DATOS!$C$26,TABLAS!$B$52:$B$58,0)+3,7))&gt;=4/3*IF(BD29&lt;=0,0,IF((1-2*BD29*1E5/(DATOS!$C$58*Q29*BV29^2*DATOS!$C$48))&lt;0,-1,IF((1-SQRT((1-2*BD29*1E5/(DATOS!$C$58*Q29*BV29^2*DATOS!$C$48))))*DATOS!$C$48*Q29*BV29/DATOS!$C$40&gt;DATOS!$C$82*Q29*BV29,-1,(1-SQRT((1-2*BD29*1E5/(DATOS!$C$58*Q29*BV29^2*DATOS!$C$48))))*DATOS!$C$48*Q29*BV29/DATOS!$C$40)))-0.0001,MAX(DATOS!$C$29,CEILING(BW29/INDEX(TABLAS!$D$52:$D$58,MIN(MATCH(DATOS!$C$26,TABLAS!$B$52:$B$58,0)+3,7)),1)),MAX(MAX(DATOS!$C$29,CEILING(BW29/INDEX(TABLAS!$D$52:$D$58,MIN(MATCH(DATOS!$C$26,TABLAS!$B$52:$B$58,0)+3,7)),1)),2))&lt;=MIN(DATOS!$C$28,INT(((DATOS!$C$13-2*R29-2*IF(DATOS!$C$25=0,0,INDEX(TABLAS!$C$52:$C$58,MATCH(DATOS!$C$25,TABLAS!$B$52:$B$58,0))))+MAX(DATOS!$C$32,INDEX(TABLAS!$C$52:$C$58,MIN(MATCH(DATOS!$C$26,TABLAS!$B$52:$B$58,0)+3,7))))/(INDEX(TABLAS!$C$52:$C$58,MIN(MATCH(DATOS!$C$26,TABLAS!$B$52:$B$58,0)+3,7))+MAX(DATOS!$C$32,INDEX(TABLAS!$C$52:$C$58,MIN(MATCH(DATOS!$C$26,TABLAS!$B$52:$B$58,0)+3,7))))))),INDEX(TABLAS!$B$52:$B$58,MIN(MATCH(DATOS!$C$26,TABLAS!$B$52:$B$58,0)+3,7)),IF(AND(BW29&gt;=0,IF(MAX(DATOS!$C$29,CEILING(BW29/INDEX(TABLAS!$D$52:$D$58,MIN(MATCH(DATOS!$C$26,TABLAS!$B$52:$B$58,0)+4,7)),1))*INDEX(TABLAS!$D$52:$D$58,MIN(MATCH(DATOS!$C$26,TABLAS!$B$52:$B$58,0)+4,7))&gt;=4/3*IF(BD29&lt;=0,0,IF((1-2*BD29*1E5/(DATOS!$C$58*Q29*BV29^2*DATOS!$C$48))&lt;0,-1,IF((1-SQRT((1-2*BD29*1E5/(DATOS!$C$58*Q29*BV29^2*DATOS!$C$48))))*DATOS!$C$48*Q29*BV29/DATOS!$C$40&gt;DATOS!$C$82*Q29*BV29,-1,(1-SQRT((1-2*BD29*1E5/(DATOS!$C$58*Q29*BV29^2*DATOS!$C$48))))*DATOS!$C$48*Q29*BV29/DATOS!$C$40)))-0.0001,MAX(DATOS!$C$29,CEILING(BW29/INDEX(TABLAS!$D$52:$D$58,MIN(MATCH(DATOS!$C$26,TABLAS!$B$52:$B$58,0)+4,7)),1)),MAX(MAX(DATOS!$C$29,CEILING(BW29/INDEX(TABLAS!$D$52:$D$58,MIN(MATCH(DATOS!$C$26,TABLAS!$B$52:$B$58,0)+4,7)),1)),2))&lt;=MIN(DATOS!$C$28,INT(((DATOS!$C$13-2*R29-2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29" s="56">
        <f>IF(D29="HUECO",0,IF(BW29&lt;0,0,IF(MAX(DATOS!$C$29,CEILING(MAX(BW29,0)/INDEX(TABLAS!$D$52:$D$58,MATCH(BX29,TABLAS!$B$52:$B$58,0)),1))*INDEX(TABLAS!$D$52:$D$58,MATCH(BX29,TABLAS!$B$52:$B$58,0))&gt;=4/3*IF(BD29&lt;=0,0,IF((1-2*BD29*1E5/(DATOS!$C$58*Q29*BV29^2*DATOS!$C$48))&lt;0,-1,IF((1-SQRT((1-2*BD29*1E5/(DATOS!$C$58*Q29*BV29^2*DATOS!$C$48))))*DATOS!$C$48*Q29*BV29/DATOS!$C$40&gt;DATOS!$C$82*Q29*BV29,-1,(1-SQRT((1-2*BD29*1E5/(DATOS!$C$58*Q29*BV29^2*DATOS!$C$48))))*DATOS!$C$48*Q29*BV29/DATOS!$C$40)))-0.0001,MAX(DATOS!$C$29,CEILING(MAX(BW29,0)/INDEX(TABLAS!$D$52:$D$58,MATCH(BX29,TABLAS!$B$52:$B$58,0)),1)),MAX(MAX(DATOS!$C$29,CEILING(MAX(BW29,0)/INDEX(TABLAS!$D$52:$D$58,MATCH(BX29,TABLAS!$B$52:$B$58,0)),1)),2))))</f>
        <v>1</v>
      </c>
      <c r="BZ29" s="43">
        <f>DATOS!$C$15-R29-IF(DATOS!$C$25=0,0,INDEX(TABLAS!$C$52:$C$58,MATCH(DATOS!$C$25,TABLAS!$B$52:$B$58,0)))-INDEX(TABLAS!$C$52:$C$58,MATCH(BH29,TABLAS!$B$52:$B$58,0))-INDEX(TABLAS!$C$52:$C$58,MATCH(BX29,TABLAS!$B$52:$B$58,0))/2</f>
        <v>19.095</v>
      </c>
      <c r="CA29" s="36">
        <f>IF(BY29=0,0,DATOS!$C$58*BY29*INDEX(TABLAS!$D$52:$D$58,MATCH(BX29,TABLAS!$B$52:$B$58,0))*DATOS!$C$40*(BZ29-BY29*INDEX(TABLAS!$D$52:$D$58,MATCH(BX29,TABLAS!$B$52:$B$58,0))*DATOS!$C$40/(DATOS!$C$48*Q29)/2)/1E5)</f>
        <v>0.908067376588235</v>
      </c>
      <c r="CB29" s="62">
        <f>IF(BW29&lt;0,9.99,IF(CA29&gt;0,BD29/CA29,0))</f>
        <v>0.0203922334673044</v>
      </c>
      <c r="CC29" s="63">
        <f>IF(BY29=0,"—",0.003*(BZ29-(BY29*INDEX(TABLAS!$D$52:$D$58,MATCH(BX29,TABLAS!$B$52:$B$58,0))*DATOS!$C$40/(DATOS!$C$48*Q29)/DATOS!$C$49))/(BY29*INDEX(TABLAS!$D$52:$D$58,MATCH(BX29,TABLAS!$B$52:$B$58,0))*DATOS!$C$40/(DATOS!$C$48*Q29)/DATOS!$C$49))</f>
        <v>0.13278875492126</v>
      </c>
      <c r="CD29" s="43">
        <f>((DATOS!$C$15-S29-2*DATOS!$C$35-IF(DATOS!$C$25=0,0,INDEX(TABLAS!$C$52:$C$58,MATCH(DATOS!$C$25,TABLAS!$B$52:$B$58,0)))-INDEX(TABLAS!$C$52:$C$58,MATCH(DATOS!$C$27,TABLAS!$B$52:$B$58,0))-INDEX(TABLAS!$C$52:$C$58,MATCH(DATOS!$C$27,TABLAS!$B$52:$B$58,0))/2)-IF(AND((DATOS!$C$15-S29-2*DATOS!$C$35-IF(DATOS!$C$25=0,0,INDEX(TABLAS!$C$52:$C$58,MATCH(DATOS!$C$25,TABLAS!$B$52:$B$58,0)))-INDEX(TABLAS!$C$52:$C$58,MATCH(DATOS!$C$27,TABLAS!$B$52:$B$58,0))-INDEX(TABLAS!$C$52:$C$58,MATCH(DATOS!$C$27,TABLAS!$B$52:$B$58,0))/2)&lt;=20,DATOS!$C$18&lt;&gt;"SÍ"),2,0))</f>
        <v>18.119</v>
      </c>
      <c r="CE29" s="43">
        <f>IF(D29="HUECO",0,IF(IF(BE29&lt;=0,0,IF((1-2*BE29*1E5/(DATOS!$C$58*DATOS!$C$19*CD29^2*DATOS!$C$48))&lt;0,-1,IF((1-SQRT((1-2*BE29*1E5/(DATOS!$C$58*DATOS!$C$19*CD29^2*DATOS!$C$48))))*DATOS!$C$48*DATOS!$C$19*CD29/DATOS!$C$40&gt;DATOS!$C$82*DATOS!$C$19*CD29,-1,(1-SQRT((1-2*BE29*1E5/(DATOS!$C$58*DATOS!$C$19*CD29^2*DATOS!$C$48))))*DATOS!$C$48*DATOS!$C$19*CD29/DATOS!$C$40)))&lt;0,-1,MAX(IF(BE29&lt;=0,0,IF((1-2*BE29*1E5/(DATOS!$C$58*DATOS!$C$19*CD29^2*DATOS!$C$48))&lt;0,-1,IF((1-SQRT((1-2*BE29*1E5/(DATOS!$C$58*DATOS!$C$19*CD29^2*DATOS!$C$48))))*DATOS!$C$48*DATOS!$C$19*CD29/DATOS!$C$40&gt;DATOS!$C$82*DATOS!$C$19*CD29,-1,(1-SQRT((1-2*BE29*1E5/(DATOS!$C$58*DATOS!$C$19*CD29^2*DATOS!$C$48))))*DATOS!$C$48*DATOS!$C$19*CD29/DATOS!$C$40))),MIN(DATOS!$C$83*DATOS!$C$13*CD29,4/3*IF(BE29&lt;=0,0,IF((1-2*BE29*1E5/(DATOS!$C$58*DATOS!$C$19*CD29^2*DATOS!$C$48))&lt;0,-1,IF((1-SQRT((1-2*BE29*1E5/(DATOS!$C$58*DATOS!$C$19*CD29^2*DATOS!$C$48))))*DATOS!$C$48*DATOS!$C$19*CD29/DATOS!$C$40&gt;DATOS!$C$82*DATOS!$C$19*CD29,-1,(1-SQRT((1-2*BE29*1E5/(DATOS!$C$58*DATOS!$C$19*CD29^2*DATOS!$C$48))))*DATOS!$C$48*DATOS!$C$19*CD29/DATOS!$C$40)))))))</f>
        <v>0.0345076630357749</v>
      </c>
      <c r="CF29" s="41">
        <f>IF(AND(CE29&gt;=0,IF(MAX(DATOS!$C$29,CEILING(CE29/INDEX(TABLAS!$D$52:$D$58,MIN(MATCH(DATOS!$C$27,TABLAS!$B$52:$B$58,0)+0,7)),1))*INDEX(TABLAS!$D$52:$D$58,MIN(MATCH(DATOS!$C$27,TABLAS!$B$52:$B$58,0)+0,7))&gt;=4/3*IF(BE29&lt;=0,0,IF((1-2*BE29*1E5/(DATOS!$C$58*DATOS!$C$19*CD29^2*DATOS!$C$48))&lt;0,-1,IF((1-SQRT((1-2*BE29*1E5/(DATOS!$C$58*DATOS!$C$19*CD29^2*DATOS!$C$48))))*DATOS!$C$48*DATOS!$C$19*CD29/DATOS!$C$40&gt;DATOS!$C$82*DATOS!$C$19*CD29,-1,(1-SQRT((1-2*BE29*1E5/(DATOS!$C$58*DATOS!$C$19*CD29^2*DATOS!$C$48))))*DATOS!$C$48*DATOS!$C$19*CD29/DATOS!$C$40)))-0.0001,MAX(DATOS!$C$29,CEILING(CE29/INDEX(TABLAS!$D$52:$D$58,MIN(MATCH(DATOS!$C$27,TABLAS!$B$52:$B$58,0)+0,7)),1)),MAX(MAX(DATOS!$C$29,CEILING(CE29/INDEX(TABLAS!$D$52:$D$58,MIN(MATCH(DATOS!$C$27,TABLAS!$B$52:$B$58,0)+0,7)),1)),2))&lt;=MIN(DATOS!$C$28,INT(((DATOS!$C$13-2*S29-2*IF(DATOS!$C$25=0,0,INDEX(TABLAS!$C$52:$C$58,MATCH(DATOS!$C$25,TABLAS!$B$52:$B$58,0))))+MAX(DATOS!$C$32,INDEX(TABLAS!$C$52:$C$58,MIN(MATCH(DATOS!$C$27,TABLAS!$B$52:$B$58,0)+0,7))))/(INDEX(TABLAS!$C$52:$C$58,MIN(MATCH(DATOS!$C$27,TABLAS!$B$52:$B$58,0)+0,7))+MAX(DATOS!$C$32,INDEX(TABLAS!$C$52:$C$58,MIN(MATCH(DATOS!$C$27,TABLAS!$B$52:$B$58,0)+0,7))))))),INDEX(TABLAS!$B$52:$B$58,MIN(MATCH(DATOS!$C$27,TABLAS!$B$52:$B$58,0)+0,7)),IF(AND(CE29&gt;=0,IF(MAX(DATOS!$C$29,CEILING(CE29/INDEX(TABLAS!$D$52:$D$58,MIN(MATCH(DATOS!$C$27,TABLAS!$B$52:$B$58,0)+1,7)),1))*INDEX(TABLAS!$D$52:$D$58,MIN(MATCH(DATOS!$C$27,TABLAS!$B$52:$B$58,0)+1,7))&gt;=4/3*IF(BE29&lt;=0,0,IF((1-2*BE29*1E5/(DATOS!$C$58*DATOS!$C$19*CD29^2*DATOS!$C$48))&lt;0,-1,IF((1-SQRT((1-2*BE29*1E5/(DATOS!$C$58*DATOS!$C$19*CD29^2*DATOS!$C$48))))*DATOS!$C$48*DATOS!$C$19*CD29/DATOS!$C$40&gt;DATOS!$C$82*DATOS!$C$19*CD29,-1,(1-SQRT((1-2*BE29*1E5/(DATOS!$C$58*DATOS!$C$19*CD29^2*DATOS!$C$48))))*DATOS!$C$48*DATOS!$C$19*CD29/DATOS!$C$40)))-0.0001,MAX(DATOS!$C$29,CEILING(CE29/INDEX(TABLAS!$D$52:$D$58,MIN(MATCH(DATOS!$C$27,TABLAS!$B$52:$B$58,0)+1,7)),1)),MAX(MAX(DATOS!$C$29,CEILING(CE29/INDEX(TABLAS!$D$52:$D$58,MIN(MATCH(DATOS!$C$27,TABLAS!$B$52:$B$58,0)+1,7)),1)),2))&lt;=MIN(DATOS!$C$28,INT(((DATOS!$C$13-2*S29-2*IF(DATOS!$C$25=0,0,INDEX(TABLAS!$C$52:$C$58,MATCH(DATOS!$C$25,TABLAS!$B$52:$B$58,0))))+MAX(DATOS!$C$32,INDEX(TABLAS!$C$52:$C$58,MIN(MATCH(DATOS!$C$27,TABLAS!$B$52:$B$58,0)+1,7))))/(INDEX(TABLAS!$C$52:$C$58,MIN(MATCH(DATOS!$C$27,TABLAS!$B$52:$B$58,0)+1,7))+MAX(DATOS!$C$32,INDEX(TABLAS!$C$52:$C$58,MIN(MATCH(DATOS!$C$27,TABLAS!$B$52:$B$58,0)+1,7))))))),INDEX(TABLAS!$B$52:$B$58,MIN(MATCH(DATOS!$C$27,TABLAS!$B$52:$B$58,0)+1,7)),IF(AND(CE29&gt;=0,IF(MAX(DATOS!$C$29,CEILING(CE29/INDEX(TABLAS!$D$52:$D$58,MIN(MATCH(DATOS!$C$27,TABLAS!$B$52:$B$58,0)+2,7)),1))*INDEX(TABLAS!$D$52:$D$58,MIN(MATCH(DATOS!$C$27,TABLAS!$B$52:$B$58,0)+2,7))&gt;=4/3*IF(BE29&lt;=0,0,IF((1-2*BE29*1E5/(DATOS!$C$58*DATOS!$C$19*CD29^2*DATOS!$C$48))&lt;0,-1,IF((1-SQRT((1-2*BE29*1E5/(DATOS!$C$58*DATOS!$C$19*CD29^2*DATOS!$C$48))))*DATOS!$C$48*DATOS!$C$19*CD29/DATOS!$C$40&gt;DATOS!$C$82*DATOS!$C$19*CD29,-1,(1-SQRT((1-2*BE29*1E5/(DATOS!$C$58*DATOS!$C$19*CD29^2*DATOS!$C$48))))*DATOS!$C$48*DATOS!$C$19*CD29/DATOS!$C$40)))-0.0001,MAX(DATOS!$C$29,CEILING(CE29/INDEX(TABLAS!$D$52:$D$58,MIN(MATCH(DATOS!$C$27,TABLAS!$B$52:$B$58,0)+2,7)),1)),MAX(MAX(DATOS!$C$29,CEILING(CE29/INDEX(TABLAS!$D$52:$D$58,MIN(MATCH(DATOS!$C$27,TABLAS!$B$52:$B$58,0)+2,7)),1)),2))&lt;=MIN(DATOS!$C$28,INT(((DATOS!$C$13-2*S29-2*IF(DATOS!$C$25=0,0,INDEX(TABLAS!$C$52:$C$58,MATCH(DATOS!$C$25,TABLAS!$B$52:$B$58,0))))+MAX(DATOS!$C$32,INDEX(TABLAS!$C$52:$C$58,MIN(MATCH(DATOS!$C$27,TABLAS!$B$52:$B$58,0)+2,7))))/(INDEX(TABLAS!$C$52:$C$58,MIN(MATCH(DATOS!$C$27,TABLAS!$B$52:$B$58,0)+2,7))+MAX(DATOS!$C$32,INDEX(TABLAS!$C$52:$C$58,MIN(MATCH(DATOS!$C$27,TABLAS!$B$52:$B$58,0)+2,7))))))),INDEX(TABLAS!$B$52:$B$58,MIN(MATCH(DATOS!$C$27,TABLAS!$B$52:$B$58,0)+2,7)),IF(AND(CE29&gt;=0,IF(MAX(DATOS!$C$29,CEILING(CE29/INDEX(TABLAS!$D$52:$D$58,MIN(MATCH(DATOS!$C$27,TABLAS!$B$52:$B$58,0)+3,7)),1))*INDEX(TABLAS!$D$52:$D$58,MIN(MATCH(DATOS!$C$27,TABLAS!$B$52:$B$58,0)+3,7))&gt;=4/3*IF(BE29&lt;=0,0,IF((1-2*BE29*1E5/(DATOS!$C$58*DATOS!$C$19*CD29^2*DATOS!$C$48))&lt;0,-1,IF((1-SQRT((1-2*BE29*1E5/(DATOS!$C$58*DATOS!$C$19*CD29^2*DATOS!$C$48))))*DATOS!$C$48*DATOS!$C$19*CD29/DATOS!$C$40&gt;DATOS!$C$82*DATOS!$C$19*CD29,-1,(1-SQRT((1-2*BE29*1E5/(DATOS!$C$58*DATOS!$C$19*CD29^2*DATOS!$C$48))))*DATOS!$C$48*DATOS!$C$19*CD29/DATOS!$C$40)))-0.0001,MAX(DATOS!$C$29,CEILING(CE29/INDEX(TABLAS!$D$52:$D$58,MIN(MATCH(DATOS!$C$27,TABLAS!$B$52:$B$58,0)+3,7)),1)),MAX(MAX(DATOS!$C$29,CEILING(CE29/INDEX(TABLAS!$D$52:$D$58,MIN(MATCH(DATOS!$C$27,TABLAS!$B$52:$B$58,0)+3,7)),1)),2))&lt;=MIN(DATOS!$C$28,INT(((DATOS!$C$13-2*S29-2*IF(DATOS!$C$25=0,0,INDEX(TABLAS!$C$52:$C$58,MATCH(DATOS!$C$25,TABLAS!$B$52:$B$58,0))))+MAX(DATOS!$C$32,INDEX(TABLAS!$C$52:$C$58,MIN(MATCH(DATOS!$C$27,TABLAS!$B$52:$B$58,0)+3,7))))/(INDEX(TABLAS!$C$52:$C$58,MIN(MATCH(DATOS!$C$27,TABLAS!$B$52:$B$58,0)+3,7))+MAX(DATOS!$C$32,INDEX(TABLAS!$C$52:$C$58,MIN(MATCH(DATOS!$C$27,TABLAS!$B$52:$B$58,0)+3,7))))))),INDEX(TABLAS!$B$52:$B$58,MIN(MATCH(DATOS!$C$27,TABLAS!$B$52:$B$58,0)+3,7)),IF(AND(CE29&gt;=0,IF(MAX(DATOS!$C$29,CEILING(CE29/INDEX(TABLAS!$D$52:$D$58,MIN(MATCH(DATOS!$C$27,TABLAS!$B$52:$B$58,0)+4,7)),1))*INDEX(TABLAS!$D$52:$D$58,MIN(MATCH(DATOS!$C$27,TABLAS!$B$52:$B$58,0)+4,7))&gt;=4/3*IF(BE29&lt;=0,0,IF((1-2*BE29*1E5/(DATOS!$C$58*DATOS!$C$19*CD29^2*DATOS!$C$48))&lt;0,-1,IF((1-SQRT((1-2*BE29*1E5/(DATOS!$C$58*DATOS!$C$19*CD29^2*DATOS!$C$48))))*DATOS!$C$48*DATOS!$C$19*CD29/DATOS!$C$40&gt;DATOS!$C$82*DATOS!$C$19*CD29,-1,(1-SQRT((1-2*BE29*1E5/(DATOS!$C$58*DATOS!$C$19*CD29^2*DATOS!$C$48))))*DATOS!$C$48*DATOS!$C$19*CD29/DATOS!$C$40)))-0.0001,MAX(DATOS!$C$29,CEILING(CE29/INDEX(TABLAS!$D$52:$D$58,MIN(MATCH(DATOS!$C$27,TABLAS!$B$52:$B$58,0)+4,7)),1)),MAX(MAX(DATOS!$C$29,CEILING(CE29/INDEX(TABLAS!$D$52:$D$58,MIN(MATCH(DATOS!$C$27,TABLAS!$B$52:$B$58,0)+4,7)),1)),2))&lt;=MIN(DATOS!$C$28,INT(((DATOS!$C$13-2*S29-2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29" s="56">
        <f>IF(D29="HUECO",0,IF(CE29&lt;0,0,IF(MAX(DATOS!$C$29,CEILING(MAX(CE29,0)/INDEX(TABLAS!$D$52:$D$58,MATCH(CF29,TABLAS!$B$52:$B$58,0)),1))*INDEX(TABLAS!$D$52:$D$58,MATCH(CF29,TABLAS!$B$52:$B$58,0))&gt;=4/3*IF(BE29&lt;=0,0,IF((1-2*BE29*1E5/(DATOS!$C$58*DATOS!$C$19*CD29^2*DATOS!$C$48))&lt;0,-1,IF((1-SQRT((1-2*BE29*1E5/(DATOS!$C$58*DATOS!$C$19*CD29^2*DATOS!$C$48))))*DATOS!$C$48*DATOS!$C$19*CD29/DATOS!$C$40&gt;DATOS!$C$82*DATOS!$C$19*CD29,-1,(1-SQRT((1-2*BE29*1E5/(DATOS!$C$58*DATOS!$C$19*CD29^2*DATOS!$C$48))))*DATOS!$C$48*DATOS!$C$19*CD29/DATOS!$C$40)))-0.0001,MAX(DATOS!$C$29,CEILING(MAX(CE29,0)/INDEX(TABLAS!$D$52:$D$58,MATCH(CF29,TABLAS!$B$52:$B$58,0)),1)),MAX(MAX(DATOS!$C$29,CEILING(MAX(CE29,0)/INDEX(TABLAS!$D$52:$D$58,MATCH(CF29,TABLAS!$B$52:$B$58,0)),1)),2))))</f>
        <v>1</v>
      </c>
      <c r="CH29" s="43">
        <f>((DATOS!$C$15-S29-2*DATOS!$C$35-IF(DATOS!$C$25=0,0,INDEX(TABLAS!$C$52:$C$58,MATCH(DATOS!$C$25,TABLAS!$B$52:$B$58,0)))-INDEX(TABLAS!$C$52:$C$58,MATCH(BP29,TABLAS!$B$52:$B$58,0))-INDEX(TABLAS!$C$52:$C$58,MATCH(CF29,TABLAS!$B$52:$B$58,0))/2)-IF(AND((DATOS!$C$15-S29-2*DATOS!$C$35-IF(DATOS!$C$25=0,0,INDEX(TABLAS!$C$52:$C$58,MATCH(DATOS!$C$25,TABLAS!$B$52:$B$58,0)))-INDEX(TABLAS!$C$52:$C$58,MATCH(BP29,TABLAS!$B$52:$B$58,0))-INDEX(TABLAS!$C$52:$C$58,MATCH(CF29,TABLAS!$B$52:$B$58,0))/2)&lt;=20,DATOS!$C$18&lt;&gt;"SÍ"),2,0))</f>
        <v>18.119</v>
      </c>
      <c r="CI29" s="36">
        <f>IF(CG29=0,0,DATOS!$C$58*CG29*INDEX(TABLAS!$D$52:$D$58,MATCH(CF29,TABLAS!$B$52:$B$58,0))*DATOS!$C$40*(CH29-CG29*INDEX(TABLAS!$D$52:$D$58,MATCH(CF29,TABLAS!$B$52:$B$58,0))*DATOS!$C$40/(DATOS!$C$48*DATOS!$C$19)/2)/1E5)</f>
        <v>0.809570360117647</v>
      </c>
      <c r="CJ29" s="62">
        <f>IF(CE29&lt;0,9.99,IF(CI29&gt;0,BE29/CI29,0))</f>
        <v>0.0218642591576501</v>
      </c>
      <c r="CK29" s="63">
        <f>IF(CG29=0,"—",0.003*(CH29-(CG29*INDEX(TABLAS!$D$52:$D$58,MATCH(CF29,TABLAS!$B$52:$B$58,0))*DATOS!$C$40/(DATOS!$C$48*DATOS!$C$19)/DATOS!$C$49))/(CG29*INDEX(TABLAS!$D$52:$D$58,MATCH(CF29,TABLAS!$B$52:$B$58,0))*DATOS!$C$40/(DATOS!$C$48*DATOS!$C$19)/DATOS!$C$49))</f>
        <v>0.0154068862485939</v>
      </c>
      <c r="CL29" s="52" t="str">
        <f>IF(D29="HUECO","—",IF(AND(D29="PERIMETRAL",J29*100&gt;=6*DATOS!$C$11,DATOS!$C$11&lt;=80,DATOS!$C$13&gt;=10,DATOS!$C$15&lt;=3.5*DATOS!$C$13,DATOS!$C$14&gt;=MAX(DATOS!$C$11/13,5)),"SÍ","NO"))</f>
        <v>NO</v>
      </c>
      <c r="CM29" s="36">
        <f>IF(D29="PERIMETRAL",MAX(0,(N29/2-BR29)/100)*(0.95-0.5*L29)*Y29*IF(AND(Z29&gt;0,Z29&lt;4),DATOS!$C$63,1)*DATOS!$C$16/100/1000+AX29,IF(D29="VOLADO",(Y29*MAX(0,N29-BR29)/100+DATOS!$C$55*BA29)*DATOS!$C$16/100/1000,0))</f>
        <v>0.137599928121762</v>
      </c>
      <c r="CN29" s="36">
        <f>IF(D29="HUECO",0,DATOS!$C$59*2*MIN(1,SQRT(2/(1+0.04*BR29)))*(BQ29*INDEX(TABLAS!$D$52:$D$58,MATCH(BP29,TABLAS!$B$52:$B$58,0))/(DATOS!$C$19*BR29))^(1/3)*SQRT(DATOS!$C$39)*DATOS!$C$19*BR29*IF(CL29="SÍ",DATOS!$C$62,1)/1000)</f>
        <v>0.860398102904257</v>
      </c>
      <c r="CO29" s="51" t="str">
        <f>IF(D29="HUECO","—",IF(CM29&lt;=CN29,"CUMPLE",IF(MAX(0,CEILING((IF(D29="VOLADO",(N29-(CN29*1E5/DATOS!$C$16-DATOS!$C$55*BA29)*100/Y29),IF(CN29&lt;=AX29,N29,N29/2-(CN29-AX29)/MAX(CM29-AX29,1E-9)*(N29/2-BR29)))-IF(INT((J29*100-DATOS!$C$17+DATOS!$C$13)/DATOS!$C$16)&gt;0,(J29*100-DATOS!$C$17-(INT((J29*100-DATOS!$C$17+DATOS!$C$13)/DATOS!$C$16)*DATOS!$C$11+(INT((J29*100-DATOS!$C$17+DATOS!$C$13)/DATOS!$C$16)-1)*DATOS!$C$13))/2,J29*100/2))/DATOS!$C$16,1))&lt;=0,"CUMPLE (basta el macizo de orilla)","MACIZAR "&amp;MAX(0,CEILING((IF(D29="VOLADO",(N29-(CN29*1E5/DATOS!$C$16-DATOS!$C$55*BA29)*100/Y29),IF(CN29&lt;=AX29,N29,N29/2-(CN29-AX29)/MAX(CM29-AX29,1E-9)*(N29/2-BR29)))-IF(INT((J29*100-DATOS!$C$17+DATOS!$C$13)/DATOS!$C$16)&gt;0,(J29*100-DATOS!$C$17-(INT((J29*100-DATOS!$C$17+DATOS!$C$13)/DATOS!$C$16)*DATOS!$C$11+(INT((J29*100-DATOS!$C$17+DATOS!$C$13)/DATOS!$C$16)-1)*DATOS!$C$13))/2,J29*100/2))/DATOS!$C$16,1))&amp;" hilera(s)")))</f>
        <v>CUMPLE</v>
      </c>
      <c r="CP29" s="43">
        <f>IF(D29="PERIMETRAL",(99+99+99+99)/4,0)</f>
        <v>99</v>
      </c>
      <c r="CQ29" s="57">
        <f>IF(D29="PERIMETRAL",IF(CP29&gt;2,MAX(9,O29*(0.8+DATOS!$C$40/14000)/(36+9*(O29/MAX(N29,1)))),IF(CP29&gt;0.2,MAX(13,O29*(0.8+DATOS!$C$40/14000)/(36+5*(O29/MAX(N29,1))*(CP29-0.2))),MAX(13,O29/IF(Z29&gt;0,30,33))))*IF(AND(CP29&gt;0.2,OR(AND((APOYOS!$G$109="DISCONTINUO"),99&lt;0.8),AND((APOYOS!$G$110="DISCONTINUO"),99&lt;0.8),AND((APOYOS!$G$111="DISCONTINUO"),99&lt;0.8),AND((APOYOS!$G$112="DISCONTINUO"),99&lt;0.8))),1.1,1),IF(D29="VOLADO",MAX(25,J29*100/8),0))</f>
        <v>9</v>
      </c>
      <c r="CR29" s="57">
        <f>IF(D29="VOLADO",DATOS!$C$15,DATOS!$C$77)</f>
        <v>16.7232564120244</v>
      </c>
      <c r="CS29" s="52" t="str">
        <f>IF(D29="HUECO","—",IF(CR29&gt;=CQ29,"CUMPLE",IF(D29="VOLADO","NO CUMPLE","CALCULAR FLECHA")))</f>
        <v>CUMPLE</v>
      </c>
      <c r="CT29" s="52" t="str">
        <f>IF(D29="HUECO","—",IF(DATOS!$C$14&gt;=IF(IF(D29="VOLADO",J29,K29)&gt;=6,6,5),"CUMPLE","CAPA ≥ 6 cm"))</f>
        <v>CUMPLE</v>
      </c>
      <c r="CU29" s="59">
        <f>IF(D29="HUECO",0,IF(((4*((AL29*Y29*J29^2*1E-4*DATOS!$C$16/100/1000)+((MAX(AH29,AJ29)*Y29*J29^2*1E-4*DATOS!$C$16/100/1000)+(IF(AND(AH29&gt;0,AJ29&gt;0),MIN(AH29,AJ29),MAX(AH29,AJ29))*Y29*J29^2*1E-4*DATOS!$C$16/100/1000))/2)+BC29-(IF(AND(AH29&gt;0,AJ29&gt;0),MIN(AH29,AJ29),MAX(AH29,AJ29))*Y29*J29^2*1E-4*DATOS!$C$16/100/1000))^2-16*((AL29*Y29*J29^2*1E-4*DATOS!$C$16/100/1000)+((MAX(AH29,AJ29)*Y29*J29^2*1E-4*DATOS!$C$16/100/1000)+(IF(AND(AH29&gt;0,AJ29&gt;0),MIN(AH29,AJ29),MAX(AH29,AJ29))*Y29*J29^2*1E-4*DATOS!$C$16/100/1000))/2)*BC29)&lt;0,CEILING(N29,5),CEILING(MAX(N29*((4*((AL29*Y29*J29^2*1E-4*DATOS!$C$16/100/1000)+((MAX(AH29,AJ29)*Y29*J29^2*1E-4*DATOS!$C$16/100/1000)+(IF(AND(AH29&gt;0,AJ29&gt;0),MIN(AH29,AJ29),MAX(AH29,AJ29))*Y29*J29^2*1E-4*DATOS!$C$16/100/1000))/2)+BC29-(IF(AND(AH29&gt;0,AJ29&gt;0),MIN(AH29,AJ29),MAX(AH29,AJ29))*Y29*J29^2*1E-4*DATOS!$C$16/100/1000))-SQRT(MAX(0,((4*((AL29*Y29*J29^2*1E-4*DATOS!$C$16/100/1000)+((MAX(AH29,AJ29)*Y29*J29^2*1E-4*DATOS!$C$16/100/1000)+(IF(AND(AH29&gt;0,AJ29&gt;0),MIN(AH29,AJ29),MAX(AH29,AJ29))*Y29*J29^2*1E-4*DATOS!$C$16/100/1000))/2)+BC29-(IF(AND(AH29&gt;0,AJ29&gt;0),MIN(AH29,AJ29),MAX(AH29,AJ29))*Y29*J29^2*1E-4*DATOS!$C$16/100/1000))^2-16*((AL29*Y29*J29^2*1E-4*DATOS!$C$16/100/1000)+((MAX(AH29,AJ29)*Y29*J29^2*1E-4*DATOS!$C$16/100/1000)+(IF(AND(AH29&gt;0,AJ29&gt;0),MIN(AH29,AJ29),MAX(AH29,AJ29))*Y29*J29^2*1E-4*DATOS!$C$16/100/1000))/2)*BC29))))/(8*MAX(((AL29*Y29*J29^2*1E-4*DATOS!$C$16/100/1000)+((MAX(AH29,AJ29)*Y29*J29^2*1E-4*DATOS!$C$16/100/1000)+(IF(AND(AH29&gt;0,AJ29&gt;0),MIN(AH29,AJ29),MAX(AH29,AJ29))*Y29*J29^2*1E-4*DATOS!$C$16/100/1000))/2),1E-9))+MAX(BR29,12*INDEX(TABLAS!$C$52:$C$58,MATCH(BP29,TABLAS!$B$52:$B$58,0)),N29/16),IF(OR(S29&lt;INDEX(TABLAS!$C$52:$C$58,MATCH(BP29,TABLAS!$B$52:$B$58,0)),AND(BQ29&gt;=2,(DATOS!$C$13-2*S29-2*IF(DATOS!$C$25=0,0,INDEX(TABLAS!$C$52:$C$58,MATCH(DATOS!$C$25,TABLAS!$B$52:$B$58,0)))-BQ29*INDEX(TABLAS!$C$52:$C$58,MATCH(BP29,TABLAS!$B$52:$B$58,0)))/MAX(BQ29-1,1)&lt;2*INDEX(TABLAS!$C$52:$C$58,MATCH(BP29,TABLAS!$B$52:$B$58,0)))),INDEX(TABLAS!$I$52:$I$58,MATCH(BP29,TABLAS!$B$52:$B$58,0)),INDEX(TABLAS!$F$52:$F$58,MATCH(BP29,TABLAS!$B$52:$B$58,0)))),5)))</f>
        <v>90</v>
      </c>
      <c r="CV29" s="59">
        <f>IF(D29="HUECO",0,IF(((4*((AM29*Y29*J29^2*1E-4*DATOS!$C$16/100/1000)+((MAX(AI29,AK29)*Y29*J29^2*1E-4*DATOS!$C$16/100/1000)+(IF(AND(AI29&gt;0,AK29&gt;0),MIN(AI29,AK29),MAX(AI29,AK29))*Y29*J29^2*1E-4*DATOS!$C$16/100/1000))/2)+BE29-(IF(AND(AI29&gt;0,AK29&gt;0),MIN(AI29,AK29),MAX(AI29,AK29))*Y29*J29^2*1E-4*DATOS!$C$16/100/1000))^2-16*((AM29*Y29*J29^2*1E-4*DATOS!$C$16/100/1000)+((MAX(AI29,AK29)*Y29*J29^2*1E-4*DATOS!$C$16/100/1000)+(IF(AND(AI29&gt;0,AK29&gt;0),MIN(AI29,AK29),MAX(AI29,AK29))*Y29*J29^2*1E-4*DATOS!$C$16/100/1000))/2)*BE29)&lt;0,CEILING(O29,5),CEILING(MAX(O29*((4*((AM29*Y29*J29^2*1E-4*DATOS!$C$16/100/1000)+((MAX(AI29,AK29)*Y29*J29^2*1E-4*DATOS!$C$16/100/1000)+(IF(AND(AI29&gt;0,AK29&gt;0),MIN(AI29,AK29),MAX(AI29,AK29))*Y29*J29^2*1E-4*DATOS!$C$16/100/1000))/2)+BE29-(IF(AND(AI29&gt;0,AK29&gt;0),MIN(AI29,AK29),MAX(AI29,AK29))*Y29*J29^2*1E-4*DATOS!$C$16/100/1000))-SQRT(MAX(0,((4*((AM29*Y29*J29^2*1E-4*DATOS!$C$16/100/1000)+((MAX(AI29,AK29)*Y29*J29^2*1E-4*DATOS!$C$16/100/1000)+(IF(AND(AI29&gt;0,AK29&gt;0),MIN(AI29,AK29),MAX(AI29,AK29))*Y29*J29^2*1E-4*DATOS!$C$16/100/1000))/2)+BE29-(IF(AND(AI29&gt;0,AK29&gt;0),MIN(AI29,AK29),MAX(AI29,AK29))*Y29*J29^2*1E-4*DATOS!$C$16/100/1000))^2-16*((AM29*Y29*J29^2*1E-4*DATOS!$C$16/100/1000)+((MAX(AI29,AK29)*Y29*J29^2*1E-4*DATOS!$C$16/100/1000)+(IF(AND(AI29&gt;0,AK29&gt;0),MIN(AI29,AK29),MAX(AI29,AK29))*Y29*J29^2*1E-4*DATOS!$C$16/100/1000))/2)*BE29))))/(8*MAX(((AM29*Y29*J29^2*1E-4*DATOS!$C$16/100/1000)+((MAX(AI29,AK29)*Y29*J29^2*1E-4*DATOS!$C$16/100/1000)+(IF(AND(AI29&gt;0,AK29&gt;0),MIN(AI29,AK29),MAX(AI29,AK29))*Y29*J29^2*1E-4*DATOS!$C$16/100/1000))/2),1E-9))+MAX(CH29,12*INDEX(TABLAS!$C$52:$C$58,MATCH(CF29,TABLAS!$B$52:$B$58,0)),O29/16),IF(OR(S29&lt;INDEX(TABLAS!$C$52:$C$58,MATCH(CF29,TABLAS!$B$52:$B$58,0)),AND(CG29&gt;=2,(DATOS!$C$13-2*S29-2*IF(DATOS!$C$25=0,0,INDEX(TABLAS!$C$52:$C$58,MATCH(DATOS!$C$25,TABLAS!$B$52:$B$58,0)))-CG29*INDEX(TABLAS!$C$52:$C$58,MATCH(CF29,TABLAS!$B$52:$B$58,0)))/MAX(CG29-1,1)&lt;2*INDEX(TABLAS!$C$52:$C$58,MATCH(CF29,TABLAS!$B$52:$B$58,0)))),INDEX(TABLAS!$I$52:$I$58,MATCH(CF29,TABLAS!$B$52:$B$58,0)),INDEX(TABLAS!$F$52:$F$58,MATCH(CF29,TABLAS!$B$52:$B$58,0)))),5)))</f>
        <v>90</v>
      </c>
      <c r="CW29" s="56">
        <f>MAX(0,INT((F29*100-DATOS!$C$17+DATOS!$C$13)/DATOS!$C$16))</f>
        <v>6</v>
      </c>
      <c r="CX29" s="56">
        <f>MAX(0,INT((G29*100-DATOS!$C$17+DATOS!$C$13)/DATOS!$C$16))</f>
        <v>1</v>
      </c>
      <c r="CY29" s="51" t="str">
        <f>IF(COUNTIFS(TRIB!$C$6:$C$255,B29,TRIB!$K$6:$K$255,"NO CUMPLE*")+COUNTIFS(TRIB!$C$6:$C$255,B29,TRIB!$K$6:$K$255,"SIN APOYO*")&gt;0,"VER PRINCIPALES",IF((APOYOS!$F$109="LIBRE")+(APOYOS!$F$110="LIBRE")+(APOYOS!$F$111="LIBRE")+(APOYOS!$F$112="LIBRE")&gt;0,"REVISAR: borde libre","OK"))</f>
        <v>OK</v>
      </c>
      <c r="CZ29" s="64" t="str">
        <f>IF(D29="HUECO","HUECO — marco de nervaduras principales",IF(AND(MAX(BL29,BT29,CB29,CJ29)&lt;=1,NOT(OR(BI29&gt;MIN(DATOS!$C$28,INT(((DATOS!$C$13-2*R29-2*IF(DATOS!$C$25=0,0,INDEX(TABLAS!$C$52:$C$58,MATCH(DATOS!$C$25,TABLAS!$B$52:$B$58,0))))+DATOS!$C$32)/(INDEX(TABLAS!$C$52:$C$58,MATCH(BH29,TABLAS!$B$52:$B$58,0))+DATOS!$C$32))),BQ29&gt;MIN(DATOS!$C$28,INT(((DATOS!$C$13-2*S29-2*IF(DATOS!$C$25=0,0,INDEX(TABLAS!$C$52:$C$58,MATCH(DATOS!$C$25,TABLAS!$B$52:$B$58,0))))+DATOS!$C$32)/(INDEX(TABLAS!$C$52:$C$58,MATCH(BP29,TABLAS!$B$52:$B$58,0))+DATOS!$C$32))),BY29&gt;MIN(DATOS!$C$28,INT(((DATOS!$C$13-2*R29-2*IF(DATOS!$C$25=0,0,INDEX(TABLAS!$C$52:$C$58,MATCH(DATOS!$C$25,TABLAS!$B$52:$B$58,0))))+DATOS!$C$32)/(INDEX(TABLAS!$C$52:$C$58,MATCH(BX29,TABLAS!$B$52:$B$58,0))+DATOS!$C$32))),CG29&gt;MIN(DATOS!$C$28,INT(((DATOS!$C$13-2*S29-2*IF(DATOS!$C$25=0,0,INDEX(TABLAS!$C$52:$C$58,MATCH(DATOS!$C$25,TABLAS!$B$52:$B$58,0))))+DATOS!$C$32)/(INDEX(TABLAS!$C$52:$C$58,MATCH(CF29,TABLAS!$B$52:$B$58,0))+DATOS!$C$32))))),NOT(OR(AND(ISNUMBER(BM29),BM29&lt;0.005),AND(ISNUMBER(BU29),BU29&lt;0.005),AND(ISNUMBER(CC29),CC29&lt;0.005),AND(ISNUMBER(CK29),CK29&lt;0.005))),CS29="CUMPLE",CT29="CUMPLE"),IF(CY29="OK",IF(LEFT(CO29,6)="CUMPLE","CUMPLE","CUMPLE — "&amp;CO29)&amp;IF(LEFT(AZ29,5)="FUERA"," · fuera de 3.4.2.1 c)",""),IF(CY29="VER PRINCIPALES","VER PRINCIPALES","REVISAR APOYOS")),IF(AND(MAX(BL29,BT29,CB29,CJ29)&lt;=1,NOT(OR(BI29&gt;MIN(DATOS!$C$28,INT(((DATOS!$C$13-2*R29-2*IF(DATOS!$C$25=0,0,INDEX(TABLAS!$C$52:$C$58,MATCH(DATOS!$C$25,TABLAS!$B$52:$B$58,0))))+DATOS!$C$32)/(INDEX(TABLAS!$C$52:$C$58,MATCH(BH29,TABLAS!$B$52:$B$58,0))+DATOS!$C$32))),BQ29&gt;MIN(DATOS!$C$28,INT(((DATOS!$C$13-2*S29-2*IF(DATOS!$C$25=0,0,INDEX(TABLAS!$C$52:$C$58,MATCH(DATOS!$C$25,TABLAS!$B$52:$B$58,0))))+DATOS!$C$32)/(INDEX(TABLAS!$C$52:$C$58,MATCH(BP29,TABLAS!$B$52:$B$58,0))+DATOS!$C$32))),BY29&gt;MIN(DATOS!$C$28,INT(((DATOS!$C$13-2*R29-2*IF(DATOS!$C$25=0,0,INDEX(TABLAS!$C$52:$C$58,MATCH(DATOS!$C$25,TABLAS!$B$52:$B$58,0))))+DATOS!$C$32)/(INDEX(TABLAS!$C$52:$C$58,MATCH(BX29,TABLAS!$B$52:$B$58,0))+DATOS!$C$32))),CG29&gt;MIN(DATOS!$C$28,INT(((DATOS!$C$13-2*S29-2*IF(DATOS!$C$25=0,0,INDEX(TABLAS!$C$52:$C$58,MATCH(DATOS!$C$25,TABLAS!$B$52:$B$58,0))))+DATOS!$C$32)/(INDEX(TABLAS!$C$52:$C$58,MATCH(CF29,TABLAS!$B$52:$B$58,0))+DATOS!$C$32))))),NOT(OR(AND(ISNUMBER(BM29),BM29&lt;0.005),AND(ISNUMBER(BU29),BU29&lt;0.005),AND(ISNUMBER(CC29),CC29&lt;0.005),AND(ISNUMBER(CK29),CK29&lt;0.005))),CS29="CALCULAR FLECHA"),"REVISAR: calcular flecha (h_eq &lt; h mín.)","NO CUMPLE: "&amp;IF(MAX(BL29,BT29,CB29,CJ29)&gt;1,"flexión ","")&amp;IF(OR(BI29&gt;MIN(DATOS!$C$28,INT(((DATOS!$C$13-2*R29-2*IF(DATOS!$C$25=0,0,INDEX(TABLAS!$C$52:$C$58,MATCH(DATOS!$C$25,TABLAS!$B$52:$B$58,0))))+DATOS!$C$32)/(INDEX(TABLAS!$C$52:$C$58,MATCH(BH29,TABLAS!$B$52:$B$58,0))+DATOS!$C$32))),BQ29&gt;MIN(DATOS!$C$28,INT(((DATOS!$C$13-2*S29-2*IF(DATOS!$C$25=0,0,INDEX(TABLAS!$C$52:$C$58,MATCH(DATOS!$C$25,TABLAS!$B$52:$B$58,0))))+DATOS!$C$32)/(INDEX(TABLAS!$C$52:$C$58,MATCH(BP29,TABLAS!$B$52:$B$58,0))+DATOS!$C$32))),BY29&gt;MIN(DATOS!$C$28,INT(((DATOS!$C$13-2*R29-2*IF(DATOS!$C$25=0,0,INDEX(TABLAS!$C$52:$C$58,MATCH(DATOS!$C$25,TABLAS!$B$52:$B$58,0))))+DATOS!$C$32)/(INDEX(TABLAS!$C$52:$C$58,MATCH(BX29,TABLAS!$B$52:$B$58,0))+DATOS!$C$32))),CG29&gt;MIN(DATOS!$C$28,INT(((DATOS!$C$13-2*S29-2*IF(DATOS!$C$25=0,0,INDEX(TABLAS!$C$52:$C$58,MATCH(DATOS!$C$25,TABLAS!$B$52:$B$58,0))))+DATOS!$C$32)/(INDEX(TABLAS!$C$52:$C$58,MATCH(CF29,TABLAS!$B$52:$B$58,0))+DATOS!$C$32)))),"no caben ","")&amp;IF(OR(AND(ISNUMBER(BM29),BM29&lt;0.005),AND(ISNUMBER(BU29),BU29&lt;0.005),AND(ISNUMBER(CC29),CC29&lt;0.005),AND(ISNUMBER(CK29),CK29&lt;0.005)),"ε_t &lt; 0.005 ","")&amp;IF(CS29="NO CUMPLE","peralte ","")&amp;IF(CT29&lt;&gt;"CUMPLE","capa &lt; 6 cm",""))))</f>
        <v>CUMPLE · fuera de 3.4.2.1 c)</v>
      </c>
      <c r="DA29" s="65" t="str">
        <f>IF(AND(D29="PERIMETRAL",MIN(CW29,CX29)=0),"Tablero macizo (no cabe un casetón en el claro corto): no aplica 6.7.8. La resistencia se revisa con una nervadura de 10 cm cada 70 cm y r_np (conservador); "&amp;"como losa maciza lleva además As,mín = 0.0018·Ag en cada dirección cerca de la cara a tensión (6.7.6.1.1, p. 175). ",IF(AND(CL29="NO",D29="PERIMETRAL"),"No cumple 6.7.8.1.4 (a_c = "&amp;DATOS!$C$11&amp;" cm &gt; claro corto/6 = "&amp;TEXT(J29*100/6,"0")&amp;" cm): se diseña como losa apoyada en vigas (6.7.8.1.9): nervaduras con recubrimiento de viga r_np = "&amp;DATOS!$C$22&amp;" cm (Tabla 4.14.16.a), V_cR sin ×1.1 y cortante sin estribos por 5.5.3.8.1 (criterio del Proyectista). Para que cuente como encasetonada: casetón de "&amp;TEXT(FLOOR(MIN(80,J29*100/6),1),"0")&amp;" cm o menor. ",""))&amp;IF(LEFT(AZ29,5)="FUERA","M⁻ del borde común "&amp;AZ29&amp;": difieren más de 50% (3.4.2.1 c); se distribuyen 2/3 del desequilibrio (3.4.3.1) y conviene confirmar los momentos con el modelo. ","")&amp;"Sin cargas en el E2K: se toma la SCM de F80023 (270 kg/m²). REVISAR."</f>
        <v>No cumple 6.7.8.1.4 (a_c = 60 cm &gt; claro corto/6 = 17 cm): se diseña como losa apoyada en vigas (6.7.8.1.9): nervaduras con recubrimiento de viga r_np = 4 cm (Tabla 4.14.16.a), V_cR sin ×1.1 y cortante sin estribos por 5.5.3.8.1 (criterio del Proyectista). Para que cuente como encasetonada: casetón de 16 cm o menor. M⁻ del borde común FUERA con F80024: difieren más de 50% (3.4.2.1 c); se distribuyen 2/3 del desequilibrio (3.4.3.1) y conviene confirmar los momentos con el modelo. Sin cargas en el E2K: se toma la SCM de F80023 (270 kg/m²). REVISAR.</v>
      </c>
    </row>
    <row r="30" ht="30" customHeight="1">
      <c r="B30" s="51" t="inlineStr">
        <is>
          <t>F80010 N+6.00</t>
        </is>
      </c>
      <c r="C30" s="52" t="inlineStr">
        <is>
          <t>N+6.00</t>
        </is>
      </c>
      <c r="D30" s="53" t="inlineStr">
        <is>
          <t>PERIMETRAL</t>
        </is>
      </c>
      <c r="E30" s="53" t="inlineStr">
        <is>
          <t>AZOTEA</t>
        </is>
      </c>
      <c r="F30" s="54" t="n">
        <v>3.427</v>
      </c>
      <c r="G30" s="54" t="n">
        <v>1.825</v>
      </c>
      <c r="H30" s="55" t="n">
        <v>3.427</v>
      </c>
      <c r="I30" s="55" t="n">
        <v>1.825</v>
      </c>
      <c r="J30" s="36">
        <f>MIN(H30,I30)</f>
        <v>1.825</v>
      </c>
      <c r="K30" s="36">
        <f>MAX(H30,I30)</f>
        <v>3.427</v>
      </c>
      <c r="L30" s="36">
        <f>IF(K30&gt;0,J30/K30,0)</f>
        <v>0.532535745550044</v>
      </c>
      <c r="M30" s="52" t="str">
        <f>IF(H30&lt;=I30,"X","Y")</f>
        <v>Y</v>
      </c>
      <c r="N30" s="56">
        <f>MAX(0,J30*100-IF(D30="VOLADO",DATOS!$C$17/2,DATOS!$C$17))</f>
        <v>167.5</v>
      </c>
      <c r="O30" s="56">
        <f>MAX(0,K30*100-DATOS!$C$17)</f>
        <v>327.7</v>
      </c>
      <c r="P30" s="57">
        <f>MIN(DATOS!$C$16,DATOS!$C$13+2*MIN(8*DATOS!$C$14,DATOS!$C$11/2,N30/8))</f>
        <v>51.875</v>
      </c>
      <c r="Q30" s="57">
        <f>MIN(DATOS!$C$16,DATOS!$C$13+2*MIN(8*DATOS!$C$14,DATOS!$C$11/2,O30/8))</f>
        <v>70</v>
      </c>
      <c r="R30" s="57">
        <f>IF(D30="VOLADO",DATOS!$C$21,IF(CL30="NO",DATOS!$C$22,DATOS!$C$20))</f>
        <v>4</v>
      </c>
      <c r="S30" s="57">
        <f>IF(OR(AND(C30="N+6.00",DATOS!$C$23="SÍ"),AND(D30="VOLADO",DATOS!$C$24="SÍ")),DATOS!$C$21,IF(CL30="NO",DATOS!$C$22,DATOS!$C$20))</f>
        <v>4</v>
      </c>
      <c r="T30" s="58" t="n">
        <v>300</v>
      </c>
      <c r="U30" s="56">
        <f>IF(E30="HABITACIÓN",DATOS!$C$89,DATOS!$C$92)</f>
        <v>100</v>
      </c>
      <c r="V30" s="56">
        <f>CARGAS!$C$9</f>
        <v>293.673469387755</v>
      </c>
      <c r="W30" s="56">
        <f>V30+T30</f>
        <v>593.673469387755</v>
      </c>
      <c r="X30" s="56">
        <f>W30+U30</f>
        <v>693.673469387755</v>
      </c>
      <c r="Y30" s="59">
        <f>MAX(DATOS!$C$55*W30+DATOS!$C$56*U30,IF(E30="AZOTEA",DATOS!$C$57*(W30+DATOS!$C$97),0))</f>
        <v>921.775510204082</v>
      </c>
      <c r="Z30" s="56">
        <f>(APOYOS!$G$113="DISCONTINUO")+(APOYOS!$G$114="DISCONTINUO")+(APOYOS!$G$115="DISCONTINUO")+(APOYOS!$G$116="DISCONTINUO")</f>
        <v>2</v>
      </c>
      <c r="AA30" s="56">
        <f>IF(M30="X",(APOYOS!$G$113="DISCONTINUO")+(APOYOS!$G$114="DISCONTINUO"),(APOYOS!$G$115="DISCONTINUO")+(APOYOS!$G$116="DISCONTINUO"))</f>
        <v>1</v>
      </c>
      <c r="AB30" s="56">
        <f>Z30-AA30</f>
        <v>1</v>
      </c>
      <c r="AC30" s="52" t="str">
        <f>IF(Z30=0,"INTERIOR",IF(Z30=1,IF(AA30=1,"BORDE-CORTO","BORDE-LARGO"),IF(Z30=2,IF(AA30=1,"ESQUINA",IF(AA30=2,"EXTREMO-LARGO","EXTREMO-CORTO")),IF(Z30=3,IF(AA30=2,"EXTREMO-LARGO","EXTREMO-CORTO"),"AISLADO"))))</f>
        <v>ESQUINA</v>
      </c>
      <c r="AD30" s="53" t="inlineStr">
        <is>
          <t>AUTO</t>
        </is>
      </c>
      <c r="AE30" s="60" t="str">
        <f>IF(AD30="AUTO",AC30,AD30)</f>
        <v>ESQUINA</v>
      </c>
      <c r="AF30" s="56">
        <f>MATCH(L30,TABLAS!$D$5:$J$5,1)</f>
        <v>2</v>
      </c>
      <c r="AG30" s="43">
        <f>IF(AF30&gt;=7,0,(L30-INDEX(TABLAS!$D$5:$J$5,AF30))/(INDEX(TABLAS!$D$5:$J$5,AF30+1)-INDEX(TABLAS!$D$5:$J$5,AF30)))</f>
        <v>0.325357455500438</v>
      </c>
      <c r="AH30" s="56">
        <f>INDEX(TABLAS!$D$6:$J$47,MATCH(AE30&amp;"|NIC",TABLAS!$B$6:$B$47,0),AF30)+AG30*(INDEX(TABLAS!$D$6:$J$47,MATCH(AE30&amp;"|NIC",TABLAS!$B$6:$B$47,0),MIN(AF30+1,7))-INDEX(TABLAS!$D$6:$J$47,MATCH(AE30&amp;"|NIC",TABLAS!$B$6:$B$47,0),AF30))</f>
        <v>1272.67989495185</v>
      </c>
      <c r="AI30" s="56">
        <f>INDEX(TABLAS!$D$6:$J$47,MATCH(AE30&amp;"|NIL",TABLAS!$B$6:$B$47,0),AF30)+AG30*(INDEX(TABLAS!$D$6:$J$47,MATCH(AE30&amp;"|NIL",TABLAS!$B$6:$B$47,0),MIN(AF30+1,7))-INDEX(TABLAS!$D$6:$J$47,MATCH(AE30&amp;"|NIL",TABLAS!$B$6:$B$47,0),AF30))</f>
        <v>568.612489057485</v>
      </c>
      <c r="AJ30" s="56">
        <f>INDEX(TABLAS!$D$6:$J$47,MATCH(AE30&amp;"|NDC",TABLAS!$B$6:$B$47,0),AF30)+AG30*(INDEX(TABLAS!$D$6:$J$47,MATCH(AE30&amp;"|NDC",TABLAS!$B$6:$B$47,0),MIN(AF30+1,7))-INDEX(TABLAS!$D$6:$J$47,MATCH(AE30&amp;"|NDC",TABLAS!$B$6:$B$47,0),AF30))</f>
        <v>348.660344324482</v>
      </c>
      <c r="AK30" s="56">
        <f>INDEX(TABLAS!$D$6:$J$47,MATCH(AE30&amp;"|NDL",TABLAS!$B$6:$B$47,0),AF30)+AG30*(INDEX(TABLAS!$D$6:$J$47,MATCH(AE30&amp;"|NDL",TABLAS!$B$6:$B$47,0),MIN(AF30+1,7))-INDEX(TABLAS!$D$6:$J$47,MATCH(AE30&amp;"|NDL",TABLAS!$B$6:$B$47,0),AF30))</f>
        <v>328.770353078494</v>
      </c>
      <c r="AL30" s="56">
        <f>INDEX(TABLAS!$D$6:$J$47,MATCH(AE30&amp;"|PC",TABLAS!$B$6:$B$47,0),AF30)+AG30*(INDEX(TABLAS!$D$6:$J$47,MATCH(AE30&amp;"|PC",TABLAS!$B$6:$B$47,0),MIN(AF30+1,7))-INDEX(TABLAS!$D$6:$J$47,MATCH(AE30&amp;"|PC",TABLAS!$B$6:$B$47,0),AF30))</f>
        <v>447.119638167493</v>
      </c>
      <c r="AM30" s="56">
        <f>INDEX(TABLAS!$D$6:$J$47,MATCH(AE30&amp;"|PL",TABLAS!$B$6:$B$47,0),AF30)+AG30*(INDEX(TABLAS!$D$6:$J$47,MATCH(AE30&amp;"|PL",TABLAS!$B$6:$B$47,0),MIN(AF30+1,7))-INDEX(TABLAS!$D$6:$J$47,MATCH(AE30&amp;"|PL",TABLAS!$B$6:$B$47,0),AF30))</f>
        <v>296.698570177998</v>
      </c>
      <c r="AN30" s="36">
        <f>IF(D30="PERIMETRAL",IF(APOYOS!$G$113="CONTINUO",IF(M30="Y",AH30,AI30),IF(M30="Y",AJ30,AK30))*Y30*J30^2*1E-4*DATOS!$C$16/100/1000,0)</f>
        <v>0.0749292693781621</v>
      </c>
      <c r="AO30" s="36">
        <f>IF(D30="PERIMETRAL",IF(APOYOS!$G$114="CONTINUO",IF(M30="Y",AH30,AI30),IF(M30="Y",AJ30,AK30))*Y30*J30^2*1E-4*DATOS!$C$16/100/1000,0)</f>
        <v>0.273506798904181</v>
      </c>
      <c r="AP30" s="36">
        <f>IF(D30="PERIMETRAL",IF(APOYOS!$G$115="CONTINUO",IF(M30="X",AH30,AI30),IF(M30="X",AJ30,AK30))*Y30*J30^2*1E-4*DATOS!$C$16/100/1000,0)</f>
        <v>0.0706547869592126</v>
      </c>
      <c r="AQ30" s="36">
        <f>IF(D30="PERIMETRAL",IF(APOYOS!$G$116="CONTINUO",IF(M30="X",AH30,AI30),IF(M30="X",AJ30,AK30))*Y30*J30^2*1E-4*DATOS!$C$16/100/1000,0)</f>
        <v>0.122198348788196</v>
      </c>
      <c r="AR30" s="56">
        <f>IF(D30="PERIMETRAL",IF(M30="X",BN30,CD30)^3/(J30*100),0)</f>
        <v>32.5941609816932</v>
      </c>
      <c r="AS30" s="56">
        <f>IF(D30="PERIMETRAL",IF(M30="Y",BN30,CD30)^3/(J30*100),0)</f>
        <v>39.9395680047616</v>
      </c>
      <c r="AT30" s="36">
        <f>IF(D30="PERIMETRAL",MAX(0,IF(M30="Y",IF(AND(OR(APOYOS!$G$114="CONTINUO",APOYOS!$G$133="CONTINUO"),AO30&gt;0,AN35&gt;0,AN35&gt;AO30),AO30+2/3*(AN35-AO30)*AS30/MAX(AS30+AS35,1E-9),0),0),IF(M30="Y",IF(AND(OR(APOYOS!$G$114="CONTINUO",APOYOS!$G$155="CONTINUO"),AO30&gt;0,AP40&gt;0,AP40&gt;AO30),AO30+2/3*(AP40-AO30)*AS30/MAX(AS30+AS40,1E-9),0),0),IF(M30="X",IF(AND(OR(APOYOS!$G$116="CONTINUO",APOYOS!$G$155="CONTINUO"),AQ30&gt;0,AP40&gt;0,AP40&gt;AQ30),AQ30+2/3*(AP40-AQ30)*AR30/MAX(AR30+AR40,1E-9),0),0)),0)</f>
        <v>0</v>
      </c>
      <c r="AU30" s="36">
        <f>IF(D30="PERIMETRAL",MAX(0,IF(M30&lt;&gt;"Y",IF(AND(OR(APOYOS!$G$114="CONTINUO",APOYOS!$G$133="CONTINUO"),AO30&gt;0,AN35&gt;0,AN35&gt;AO30),AO30+2/3*(AN35-AO30)*AS30/MAX(AS30+AS35,1E-9),0),0),IF(M30&lt;&gt;"Y",IF(AND(OR(APOYOS!$G$114="CONTINUO",APOYOS!$G$155="CONTINUO"),AO30&gt;0,AP40&gt;0,AP40&gt;AO30),AO30+2/3*(AP40-AO30)*AS30/MAX(AS30+AS40,1E-9),0),0),IF(M30&lt;&gt;"X",IF(AND(OR(APOYOS!$G$116="CONTINUO",APOYOS!$G$155="CONTINUO"),AQ30&gt;0,AP40&gt;0,AP40&gt;AQ30),AQ30+2/3*(AP40-AQ30)*AR30/MAX(AR30+AR40,1E-9),0),0)),0)</f>
        <v>0.166191467877275</v>
      </c>
      <c r="AV30" s="36">
        <f>IF(D30="PERIMETRAL",(IF(M30="Y",MAX(IF(AND(OR(APOYOS!$G$114="CONTINUO",APOYOS!$G$133="CONTINUO"),AO30&gt;0,AN35&gt;0,AO30&gt;AN35),2/3*(AO30-AN35)*AS30/MAX(AS30+AS35,1E-9),0),IF(AND(OR(APOYOS!$G$114="CONTINUO",APOYOS!$G$155="CONTINUO"),AO30&gt;0,AP40&gt;0,AO30&gt;AP40),2/3*(AO30-AP40)*AS30/MAX(AS30+AS40,1E-9),0)),0)+IF(M30="X",IF(AND(OR(APOYOS!$G$116="CONTINUO",APOYOS!$G$155="CONTINUO"),AQ30&gt;0,AP40&gt;0,AQ30&gt;AP40),2/3*(AQ30-AP40)*AR30/MAX(AR30+AR40,1E-9),0),0))/2,0)</f>
        <v>0.0209835448761318</v>
      </c>
      <c r="AW30" s="36">
        <f>IF(D30="PERIMETRAL",(IF(M30&lt;&gt;"Y",MAX(IF(AND(OR(APOYOS!$G$114="CONTINUO",APOYOS!$G$133="CONTINUO"),AO30&gt;0,AN35&gt;0,AO30&gt;AN35),2/3*(AO30-AN35)*AS30/MAX(AS30+AS35,1E-9),0),IF(AND(OR(APOYOS!$G$114="CONTINUO",APOYOS!$G$155="CONTINUO"),AO30&gt;0,AP40&gt;0,AO30&gt;AP40),2/3*(AO30-AP40)*AS30/MAX(AS30+AS40,1E-9),0)),0)+IF(M30&lt;&gt;"X",IF(AND(OR(APOYOS!$G$116="CONTINUO",APOYOS!$G$155="CONTINUO"),AQ30&gt;0,AP40&gt;0,AQ30&gt;AP40),2/3*(AQ30-AP40)*AR30/MAX(AR30+AR40,1E-9),0),0))/2,0)</f>
        <v>0</v>
      </c>
      <c r="AX30" s="36">
        <f>IF(D30="PERIMETRAL",MAX(0,0),0)</f>
        <v>0</v>
      </c>
      <c r="AY30" s="52" t="str">
        <f>IF(D30&lt;&gt;"PERIMETRAL","",IF(AND(OR(APOYOS!$G$114="CONTINUO",APOYOS!$G$133="CONTINUO"),AO30&gt;0,AN35&gt;0,ABS(AO30-AN35)&gt;0.5*MIN(AO30,AN35))," F80027","")&amp;IF(OR(AND(OR(APOYOS!$G$114="CONTINUO",APOYOS!$G$155="CONTINUO"),AO30&gt;0,AP40&gt;0,ABS(AO30-AP40)&gt;0.5*MIN(AO30,AP40)),AND(OR(APOYOS!$G$116="CONTINUO",APOYOS!$G$155="CONTINUO"),AQ30&gt;0,AP40&gt;0,ABS(AQ30-AP40)&gt;0.5*MIN(AQ30,AP40)))," F80032",""))</f>
        <v> F80027 F80032</v>
      </c>
      <c r="AZ30" s="52" t="str">
        <f>IF(D30&lt;&gt;"PERIMETRAL","—",IF(AY30="","CUMPLE","FUERA con"&amp;AY30)&amp;IF(AND(D35="PERIMETRAL",APOYOS!$G$114&lt;&gt;APOYOS!$G$133)," · continuidad asimétrica con F80027 (cada uno con su momento; revisar APOYOS)","")&amp;IF(AND(D40="PERIMETRAL",APOYOS!$G$114&lt;&gt;APOYOS!$G$155)," · continuidad asimétrica con F80032 (cada uno con su momento; revisar APOYOS)",""))</f>
        <v>FUERA con F80027 F80032</v>
      </c>
      <c r="BA30" s="61" t="n">
        <v>0</v>
      </c>
      <c r="BB30" s="36">
        <f>IF(D30="PERIMETRAL",AL30*Y30*J30^2*1E-4*DATOS!$C$16/100/1000+AV30,0)</f>
        <v>0.117072326860869</v>
      </c>
      <c r="BC30" s="36">
        <f>IF(D30="PERIMETRAL",MAX(MAX(AH30,AJ30)*Y30*J30^2*1E-4*DATOS!$C$16/100/1000,AT30),IF(D30="VOLADO",(Y30*(N30/100)^2/2+DATOS!$C$55*BA30*N30/100)*DATOS!$C$16/100/1000,0))</f>
        <v>0.273506798904181</v>
      </c>
      <c r="BD30" s="36">
        <f>IF(D30="PERIMETRAL",AM30*Y30*J30^2*1E-4*DATOS!$C$16/100/1000+AW30,0)</f>
        <v>0.0637623619974775</v>
      </c>
      <c r="BE30" s="36">
        <f>IF(D30="PERIMETRAL",MAX(MAX(AI30,AK30)*Y30*J30^2*1E-4*DATOS!$C$16/100/1000,AU30),0)</f>
        <v>0.166191467877275</v>
      </c>
      <c r="BF30" s="43">
        <f>(DATOS!$C$15-R30-IF(DATOS!$C$25=0,0,INDEX(TABLAS!$C$52:$C$58,MATCH(DATOS!$C$25,TABLAS!$B$52:$B$58,0)))-INDEX(TABLAS!$C$52:$C$58,MATCH(DATOS!$C$26,TABLAS!$B$52:$B$58,0))/2)</f>
        <v>20.365</v>
      </c>
      <c r="BG30" s="43">
        <f>IF(D30="HUECO",0,IF(IF(BB30&lt;=0,0,IF((1-2*BB30*1E5/(DATOS!$C$58*P30*BF30^2*DATOS!$C$48))&lt;0,-1,IF((1-SQRT((1-2*BB30*1E5/(DATOS!$C$58*P30*BF30^2*DATOS!$C$48))))*DATOS!$C$48*P30*BF30/DATOS!$C$40&gt;DATOS!$C$82*P30*BF30,-1,(1-SQRT((1-2*BB30*1E5/(DATOS!$C$58*P30*BF30^2*DATOS!$C$48))))*DATOS!$C$48*P30*BF30/DATOS!$C$40)))&lt;0,-1,MAX(IF(BB30&lt;=0,0,IF((1-2*BB30*1E5/(DATOS!$C$58*P30*BF30^2*DATOS!$C$48))&lt;0,-1,IF((1-SQRT((1-2*BB30*1E5/(DATOS!$C$58*P30*BF30^2*DATOS!$C$48))))*DATOS!$C$48*P30*BF30/DATOS!$C$40&gt;DATOS!$C$82*P30*BF30,-1,(1-SQRT((1-2*BB30*1E5/(DATOS!$C$58*P30*BF30^2*DATOS!$C$48))))*DATOS!$C$48*P30*BF30/DATOS!$C$40))),MIN(DATOS!$C$83*DATOS!$C$13*BF30,4/3*IF(BB30&lt;=0,0,IF((1-2*BB30*1E5/(DATOS!$C$58*P30*BF30^2*DATOS!$C$48))&lt;0,-1,IF((1-SQRT((1-2*BB30*1E5/(DATOS!$C$58*P30*BF30^2*DATOS!$C$48))))*DATOS!$C$48*P30*BF30/DATOS!$C$40&gt;DATOS!$C$82*P30*BF30,-1,(1-SQRT((1-2*BB30*1E5/(DATOS!$C$58*P30*BF30^2*DATOS!$C$48))))*DATOS!$C$48*P30*BF30/DATOS!$C$40)))))))</f>
        <v>0.203065404766846</v>
      </c>
      <c r="BH30" s="41">
        <f>IF(AND(BG30&gt;=0,IF(MAX(DATOS!$C$29,CEILING(BG30/INDEX(TABLAS!$D$52:$D$58,MIN(MATCH(DATOS!$C$26,TABLAS!$B$52:$B$58,0)+0,7)),1))*INDEX(TABLAS!$D$52:$D$58,MIN(MATCH(DATOS!$C$26,TABLAS!$B$52:$B$58,0)+0,7))&gt;=4/3*IF(BB30&lt;=0,0,IF((1-2*BB30*1E5/(DATOS!$C$58*P30*BF30^2*DATOS!$C$48))&lt;0,-1,IF((1-SQRT((1-2*BB30*1E5/(DATOS!$C$58*P30*BF30^2*DATOS!$C$48))))*DATOS!$C$48*P30*BF30/DATOS!$C$40&gt;DATOS!$C$82*P30*BF30,-1,(1-SQRT((1-2*BB30*1E5/(DATOS!$C$58*P30*BF30^2*DATOS!$C$48))))*DATOS!$C$48*P30*BF30/DATOS!$C$40)))-0.0001,MAX(DATOS!$C$29,CEILING(BG30/INDEX(TABLAS!$D$52:$D$58,MIN(MATCH(DATOS!$C$26,TABLAS!$B$52:$B$58,0)+0,7)),1)),MAX(MAX(DATOS!$C$29,CEILING(BG30/INDEX(TABLAS!$D$52:$D$58,MIN(MATCH(DATOS!$C$26,TABLAS!$B$52:$B$58,0)+0,7)),1)),2))&lt;=MIN(DATOS!$C$28,INT(((DATOS!$C$13-2*R30-2*IF(DATOS!$C$25=0,0,INDEX(TABLAS!$C$52:$C$58,MATCH(DATOS!$C$25,TABLAS!$B$52:$B$58,0))))+MAX(DATOS!$C$32,INDEX(TABLAS!$C$52:$C$58,MIN(MATCH(DATOS!$C$26,TABLAS!$B$52:$B$58,0)+0,7))))/(INDEX(TABLAS!$C$52:$C$58,MIN(MATCH(DATOS!$C$26,TABLAS!$B$52:$B$58,0)+0,7))+MAX(DATOS!$C$32,INDEX(TABLAS!$C$52:$C$58,MIN(MATCH(DATOS!$C$26,TABLAS!$B$52:$B$58,0)+0,7))))))),INDEX(TABLAS!$B$52:$B$58,MIN(MATCH(DATOS!$C$26,TABLAS!$B$52:$B$58,0)+0,7)),IF(AND(BG30&gt;=0,IF(MAX(DATOS!$C$29,CEILING(BG30/INDEX(TABLAS!$D$52:$D$58,MIN(MATCH(DATOS!$C$26,TABLAS!$B$52:$B$58,0)+1,7)),1))*INDEX(TABLAS!$D$52:$D$58,MIN(MATCH(DATOS!$C$26,TABLAS!$B$52:$B$58,0)+1,7))&gt;=4/3*IF(BB30&lt;=0,0,IF((1-2*BB30*1E5/(DATOS!$C$58*P30*BF30^2*DATOS!$C$48))&lt;0,-1,IF((1-SQRT((1-2*BB30*1E5/(DATOS!$C$58*P30*BF30^2*DATOS!$C$48))))*DATOS!$C$48*P30*BF30/DATOS!$C$40&gt;DATOS!$C$82*P30*BF30,-1,(1-SQRT((1-2*BB30*1E5/(DATOS!$C$58*P30*BF30^2*DATOS!$C$48))))*DATOS!$C$48*P30*BF30/DATOS!$C$40)))-0.0001,MAX(DATOS!$C$29,CEILING(BG30/INDEX(TABLAS!$D$52:$D$58,MIN(MATCH(DATOS!$C$26,TABLAS!$B$52:$B$58,0)+1,7)),1)),MAX(MAX(DATOS!$C$29,CEILING(BG30/INDEX(TABLAS!$D$52:$D$58,MIN(MATCH(DATOS!$C$26,TABLAS!$B$52:$B$58,0)+1,7)),1)),2))&lt;=MIN(DATOS!$C$28,INT(((DATOS!$C$13-2*R30-2*IF(DATOS!$C$25=0,0,INDEX(TABLAS!$C$52:$C$58,MATCH(DATOS!$C$25,TABLAS!$B$52:$B$58,0))))+MAX(DATOS!$C$32,INDEX(TABLAS!$C$52:$C$58,MIN(MATCH(DATOS!$C$26,TABLAS!$B$52:$B$58,0)+1,7))))/(INDEX(TABLAS!$C$52:$C$58,MIN(MATCH(DATOS!$C$26,TABLAS!$B$52:$B$58,0)+1,7))+MAX(DATOS!$C$32,INDEX(TABLAS!$C$52:$C$58,MIN(MATCH(DATOS!$C$26,TABLAS!$B$52:$B$58,0)+1,7))))))),INDEX(TABLAS!$B$52:$B$58,MIN(MATCH(DATOS!$C$26,TABLAS!$B$52:$B$58,0)+1,7)),IF(AND(BG30&gt;=0,IF(MAX(DATOS!$C$29,CEILING(BG30/INDEX(TABLAS!$D$52:$D$58,MIN(MATCH(DATOS!$C$26,TABLAS!$B$52:$B$58,0)+2,7)),1))*INDEX(TABLAS!$D$52:$D$58,MIN(MATCH(DATOS!$C$26,TABLAS!$B$52:$B$58,0)+2,7))&gt;=4/3*IF(BB30&lt;=0,0,IF((1-2*BB30*1E5/(DATOS!$C$58*P30*BF30^2*DATOS!$C$48))&lt;0,-1,IF((1-SQRT((1-2*BB30*1E5/(DATOS!$C$58*P30*BF30^2*DATOS!$C$48))))*DATOS!$C$48*P30*BF30/DATOS!$C$40&gt;DATOS!$C$82*P30*BF30,-1,(1-SQRT((1-2*BB30*1E5/(DATOS!$C$58*P30*BF30^2*DATOS!$C$48))))*DATOS!$C$48*P30*BF30/DATOS!$C$40)))-0.0001,MAX(DATOS!$C$29,CEILING(BG30/INDEX(TABLAS!$D$52:$D$58,MIN(MATCH(DATOS!$C$26,TABLAS!$B$52:$B$58,0)+2,7)),1)),MAX(MAX(DATOS!$C$29,CEILING(BG30/INDEX(TABLAS!$D$52:$D$58,MIN(MATCH(DATOS!$C$26,TABLAS!$B$52:$B$58,0)+2,7)),1)),2))&lt;=MIN(DATOS!$C$28,INT(((DATOS!$C$13-2*R30-2*IF(DATOS!$C$25=0,0,INDEX(TABLAS!$C$52:$C$58,MATCH(DATOS!$C$25,TABLAS!$B$52:$B$58,0))))+MAX(DATOS!$C$32,INDEX(TABLAS!$C$52:$C$58,MIN(MATCH(DATOS!$C$26,TABLAS!$B$52:$B$58,0)+2,7))))/(INDEX(TABLAS!$C$52:$C$58,MIN(MATCH(DATOS!$C$26,TABLAS!$B$52:$B$58,0)+2,7))+MAX(DATOS!$C$32,INDEX(TABLAS!$C$52:$C$58,MIN(MATCH(DATOS!$C$26,TABLAS!$B$52:$B$58,0)+2,7))))))),INDEX(TABLAS!$B$52:$B$58,MIN(MATCH(DATOS!$C$26,TABLAS!$B$52:$B$58,0)+2,7)),IF(AND(BG30&gt;=0,IF(MAX(DATOS!$C$29,CEILING(BG30/INDEX(TABLAS!$D$52:$D$58,MIN(MATCH(DATOS!$C$26,TABLAS!$B$52:$B$58,0)+3,7)),1))*INDEX(TABLAS!$D$52:$D$58,MIN(MATCH(DATOS!$C$26,TABLAS!$B$52:$B$58,0)+3,7))&gt;=4/3*IF(BB30&lt;=0,0,IF((1-2*BB30*1E5/(DATOS!$C$58*P30*BF30^2*DATOS!$C$48))&lt;0,-1,IF((1-SQRT((1-2*BB30*1E5/(DATOS!$C$58*P30*BF30^2*DATOS!$C$48))))*DATOS!$C$48*P30*BF30/DATOS!$C$40&gt;DATOS!$C$82*P30*BF30,-1,(1-SQRT((1-2*BB30*1E5/(DATOS!$C$58*P30*BF30^2*DATOS!$C$48))))*DATOS!$C$48*P30*BF30/DATOS!$C$40)))-0.0001,MAX(DATOS!$C$29,CEILING(BG30/INDEX(TABLAS!$D$52:$D$58,MIN(MATCH(DATOS!$C$26,TABLAS!$B$52:$B$58,0)+3,7)),1)),MAX(MAX(DATOS!$C$29,CEILING(BG30/INDEX(TABLAS!$D$52:$D$58,MIN(MATCH(DATOS!$C$26,TABLAS!$B$52:$B$58,0)+3,7)),1)),2))&lt;=MIN(DATOS!$C$28,INT(((DATOS!$C$13-2*R30-2*IF(DATOS!$C$25=0,0,INDEX(TABLAS!$C$52:$C$58,MATCH(DATOS!$C$25,TABLAS!$B$52:$B$58,0))))+MAX(DATOS!$C$32,INDEX(TABLAS!$C$52:$C$58,MIN(MATCH(DATOS!$C$26,TABLAS!$B$52:$B$58,0)+3,7))))/(INDEX(TABLAS!$C$52:$C$58,MIN(MATCH(DATOS!$C$26,TABLAS!$B$52:$B$58,0)+3,7))+MAX(DATOS!$C$32,INDEX(TABLAS!$C$52:$C$58,MIN(MATCH(DATOS!$C$26,TABLAS!$B$52:$B$58,0)+3,7))))))),INDEX(TABLAS!$B$52:$B$58,MIN(MATCH(DATOS!$C$26,TABLAS!$B$52:$B$58,0)+3,7)),IF(AND(BG30&gt;=0,IF(MAX(DATOS!$C$29,CEILING(BG30/INDEX(TABLAS!$D$52:$D$58,MIN(MATCH(DATOS!$C$26,TABLAS!$B$52:$B$58,0)+4,7)),1))*INDEX(TABLAS!$D$52:$D$58,MIN(MATCH(DATOS!$C$26,TABLAS!$B$52:$B$58,0)+4,7))&gt;=4/3*IF(BB30&lt;=0,0,IF((1-2*BB30*1E5/(DATOS!$C$58*P30*BF30^2*DATOS!$C$48))&lt;0,-1,IF((1-SQRT((1-2*BB30*1E5/(DATOS!$C$58*P30*BF30^2*DATOS!$C$48))))*DATOS!$C$48*P30*BF30/DATOS!$C$40&gt;DATOS!$C$82*P30*BF30,-1,(1-SQRT((1-2*BB30*1E5/(DATOS!$C$58*P30*BF30^2*DATOS!$C$48))))*DATOS!$C$48*P30*BF30/DATOS!$C$40)))-0.0001,MAX(DATOS!$C$29,CEILING(BG30/INDEX(TABLAS!$D$52:$D$58,MIN(MATCH(DATOS!$C$26,TABLAS!$B$52:$B$58,0)+4,7)),1)),MAX(MAX(DATOS!$C$29,CEILING(BG30/INDEX(TABLAS!$D$52:$D$58,MIN(MATCH(DATOS!$C$26,TABLAS!$B$52:$B$58,0)+4,7)),1)),2))&lt;=MIN(DATOS!$C$28,INT(((DATOS!$C$13-2*R30-2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30" s="56">
        <f>IF(D30="HUECO",0,IF(BG30&lt;0,0,IF(MAX(DATOS!$C$29,CEILING(MAX(BG30,0)/INDEX(TABLAS!$D$52:$D$58,MATCH(BH30,TABLAS!$B$52:$B$58,0)),1))*INDEX(TABLAS!$D$52:$D$58,MATCH(BH30,TABLAS!$B$52:$B$58,0))&gt;=4/3*IF(BB30&lt;=0,0,IF((1-2*BB30*1E5/(DATOS!$C$58*P30*BF30^2*DATOS!$C$48))&lt;0,-1,IF((1-SQRT((1-2*BB30*1E5/(DATOS!$C$58*P30*BF30^2*DATOS!$C$48))))*DATOS!$C$48*P30*BF30/DATOS!$C$40&gt;DATOS!$C$82*P30*BF30,-1,(1-SQRT((1-2*BB30*1E5/(DATOS!$C$58*P30*BF30^2*DATOS!$C$48))))*DATOS!$C$48*P30*BF30/DATOS!$C$40)))-0.0001,MAX(DATOS!$C$29,CEILING(MAX(BG30,0)/INDEX(TABLAS!$D$52:$D$58,MATCH(BH30,TABLAS!$B$52:$B$58,0)),1)),MAX(MAX(DATOS!$C$29,CEILING(MAX(BG30,0)/INDEX(TABLAS!$D$52:$D$58,MATCH(BH30,TABLAS!$B$52:$B$58,0)),1)),2))))</f>
        <v>1</v>
      </c>
      <c r="BJ30" s="43">
        <f>DATOS!$C$15-R30-IF(DATOS!$C$25=0,0,INDEX(TABLAS!$C$52:$C$58,MATCH(DATOS!$C$25,TABLAS!$B$52:$B$58,0)))-INDEX(TABLAS!$C$52:$C$58,MATCH(BH30,TABLAS!$B$52:$B$58,0))/2</f>
        <v>20.365</v>
      </c>
      <c r="BK30" s="36">
        <f>IF(BI30=0,0,DATOS!$C$58*BI30*INDEX(TABLAS!$D$52:$D$58,MATCH(BH30,TABLAS!$B$52:$B$58,0))*DATOS!$C$40*(BJ30-BI30*INDEX(TABLAS!$D$52:$D$58,MATCH(BH30,TABLAS!$B$52:$B$58,0))*DATOS!$C$40/(DATOS!$C$48*P30)/2)/1E5)</f>
        <v>0.96602766395039</v>
      </c>
      <c r="BL30" s="62">
        <f>IF(BG30&lt;0,9.99,IF(BK30&gt;0,BB30/BK30,0))</f>
        <v>0.121189414371555</v>
      </c>
      <c r="BM30" s="63">
        <f>IF(BI30=0,"—",0.003*(BJ30-(BI30*INDEX(TABLAS!$D$52:$D$58,MATCH(BH30,TABLAS!$B$52:$B$58,0))*DATOS!$C$40/(DATOS!$C$48*P30)/DATOS!$C$49))/(BI30*INDEX(TABLAS!$D$52:$D$58,MATCH(BH30,TABLAS!$B$52:$B$58,0))*DATOS!$C$40/(DATOS!$C$48*P30)/DATOS!$C$49))</f>
        <v>0.104321967932719</v>
      </c>
      <c r="BN30" s="43">
        <f>((DATOS!$C$15-S30-2*DATOS!$C$35-IF(DATOS!$C$25=0,0,INDEX(TABLAS!$C$52:$C$58,MATCH(DATOS!$C$25,TABLAS!$B$52:$B$58,0)))-INDEX(TABLAS!$C$52:$C$58,MATCH(DATOS!$C$27,TABLAS!$B$52:$B$58,0))/2)-IF(AND((DATOS!$C$15-S30-2*DATOS!$C$35-IF(DATOS!$C$25=0,0,INDEX(TABLAS!$C$52:$C$58,MATCH(DATOS!$C$25,TABLAS!$B$52:$B$58,0)))-INDEX(TABLAS!$C$52:$C$58,MATCH(DATOS!$C$27,TABLAS!$B$52:$B$58,0))/2)&lt;=20,DATOS!$C$18&lt;&gt;"SÍ"),2,0))</f>
        <v>19.389</v>
      </c>
      <c r="BO30" s="43">
        <f>IF(D30="HUECO",0,IF(IF(BC30&lt;=0,0,IF((1-2*BC30*1E5/(DATOS!$C$58*DATOS!$C$19*BN30^2*DATOS!$C$48))&lt;0,-1,IF((1-SQRT((1-2*BC30*1E5/(DATOS!$C$58*DATOS!$C$19*BN30^2*DATOS!$C$48))))*DATOS!$C$48*DATOS!$C$19*BN30/DATOS!$C$40&gt;DATOS!$C$82*DATOS!$C$19*BN30,-1,(1-SQRT((1-2*BC30*1E5/(DATOS!$C$58*DATOS!$C$19*BN30^2*DATOS!$C$48))))*DATOS!$C$48*DATOS!$C$19*BN30/DATOS!$C$40)))&lt;0,-1,MAX(IF(BC30&lt;=0,0,IF((1-2*BC30*1E5/(DATOS!$C$58*DATOS!$C$19*BN30^2*DATOS!$C$48))&lt;0,-1,IF((1-SQRT((1-2*BC30*1E5/(DATOS!$C$58*DATOS!$C$19*BN30^2*DATOS!$C$48))))*DATOS!$C$48*DATOS!$C$19*BN30/DATOS!$C$40&gt;DATOS!$C$82*DATOS!$C$19*BN30,-1,(1-SQRT((1-2*BC30*1E5/(DATOS!$C$58*DATOS!$C$19*BN30^2*DATOS!$C$48))))*DATOS!$C$48*DATOS!$C$19*BN30/DATOS!$C$40))),MIN(DATOS!$C$83*IF(D30="VOLADO",2*DATOS!$C$13,DATOS!$C$13)*BN30,4/3*IF(BC30&lt;=0,0,IF((1-2*BC30*1E5/(DATOS!$C$58*DATOS!$C$19*BN30^2*DATOS!$C$48))&lt;0,-1,IF((1-SQRT((1-2*BC30*1E5/(DATOS!$C$58*DATOS!$C$19*BN30^2*DATOS!$C$48))))*DATOS!$C$48*DATOS!$C$19*BN30/DATOS!$C$40&gt;DATOS!$C$82*DATOS!$C$19*BN30,-1,(1-SQRT((1-2*BC30*1E5/(DATOS!$C$58*DATOS!$C$19*BN30^2*DATOS!$C$48))))*DATOS!$C$48*DATOS!$C$19*BN30/DATOS!$C$40)))))))</f>
        <v>0.507418616060087</v>
      </c>
      <c r="BP30" s="41">
        <f>IF(AND(BO30&gt;=0,IF(MAX(DATOS!$C$29,CEILING(BO30/INDEX(TABLAS!$D$52:$D$58,MIN(MATCH(DATOS!$C$27,TABLAS!$B$52:$B$58,0)+0,7)),1))*INDEX(TABLAS!$D$52:$D$58,MIN(MATCH(DATOS!$C$27,TABLAS!$B$52:$B$58,0)+0,7))&gt;=4/3*IF(BC30&lt;=0,0,IF((1-2*BC30*1E5/(DATOS!$C$58*DATOS!$C$19*BN30^2*DATOS!$C$48))&lt;0,-1,IF((1-SQRT((1-2*BC30*1E5/(DATOS!$C$58*DATOS!$C$19*BN30^2*DATOS!$C$48))))*DATOS!$C$48*DATOS!$C$19*BN30/DATOS!$C$40&gt;DATOS!$C$82*DATOS!$C$19*BN30,-1,(1-SQRT((1-2*BC30*1E5/(DATOS!$C$58*DATOS!$C$19*BN30^2*DATOS!$C$48))))*DATOS!$C$48*DATOS!$C$19*BN30/DATOS!$C$40)))-0.0001,MAX(DATOS!$C$29,CEILING(BO30/INDEX(TABLAS!$D$52:$D$58,MIN(MATCH(DATOS!$C$27,TABLAS!$B$52:$B$58,0)+0,7)),1)),MAX(MAX(DATOS!$C$29,CEILING(BO30/INDEX(TABLAS!$D$52:$D$58,MIN(MATCH(DATOS!$C$27,TABLAS!$B$52:$B$58,0)+0,7)),1)),2))&lt;=MIN(DATOS!$C$28,INT(((DATOS!$C$13-2*S30-2*IF(DATOS!$C$25=0,0,INDEX(TABLAS!$C$52:$C$58,MATCH(DATOS!$C$25,TABLAS!$B$52:$B$58,0))))+MAX(DATOS!$C$32,INDEX(TABLAS!$C$52:$C$58,MIN(MATCH(DATOS!$C$27,TABLAS!$B$52:$B$58,0)+0,7))))/(INDEX(TABLAS!$C$52:$C$58,MIN(MATCH(DATOS!$C$27,TABLAS!$B$52:$B$58,0)+0,7))+MAX(DATOS!$C$32,INDEX(TABLAS!$C$52:$C$58,MIN(MATCH(DATOS!$C$27,TABLAS!$B$52:$B$58,0)+0,7))))))),INDEX(TABLAS!$B$52:$B$58,MIN(MATCH(DATOS!$C$27,TABLAS!$B$52:$B$58,0)+0,7)),IF(AND(BO30&gt;=0,IF(MAX(DATOS!$C$29,CEILING(BO30/INDEX(TABLAS!$D$52:$D$58,MIN(MATCH(DATOS!$C$27,TABLAS!$B$52:$B$58,0)+1,7)),1))*INDEX(TABLAS!$D$52:$D$58,MIN(MATCH(DATOS!$C$27,TABLAS!$B$52:$B$58,0)+1,7))&gt;=4/3*IF(BC30&lt;=0,0,IF((1-2*BC30*1E5/(DATOS!$C$58*DATOS!$C$19*BN30^2*DATOS!$C$48))&lt;0,-1,IF((1-SQRT((1-2*BC30*1E5/(DATOS!$C$58*DATOS!$C$19*BN30^2*DATOS!$C$48))))*DATOS!$C$48*DATOS!$C$19*BN30/DATOS!$C$40&gt;DATOS!$C$82*DATOS!$C$19*BN30,-1,(1-SQRT((1-2*BC30*1E5/(DATOS!$C$58*DATOS!$C$19*BN30^2*DATOS!$C$48))))*DATOS!$C$48*DATOS!$C$19*BN30/DATOS!$C$40)))-0.0001,MAX(DATOS!$C$29,CEILING(BO30/INDEX(TABLAS!$D$52:$D$58,MIN(MATCH(DATOS!$C$27,TABLAS!$B$52:$B$58,0)+1,7)),1)),MAX(MAX(DATOS!$C$29,CEILING(BO30/INDEX(TABLAS!$D$52:$D$58,MIN(MATCH(DATOS!$C$27,TABLAS!$B$52:$B$58,0)+1,7)),1)),2))&lt;=MIN(DATOS!$C$28,INT(((DATOS!$C$13-2*S30-2*IF(DATOS!$C$25=0,0,INDEX(TABLAS!$C$52:$C$58,MATCH(DATOS!$C$25,TABLAS!$B$52:$B$58,0))))+MAX(DATOS!$C$32,INDEX(TABLAS!$C$52:$C$58,MIN(MATCH(DATOS!$C$27,TABLAS!$B$52:$B$58,0)+1,7))))/(INDEX(TABLAS!$C$52:$C$58,MIN(MATCH(DATOS!$C$27,TABLAS!$B$52:$B$58,0)+1,7))+MAX(DATOS!$C$32,INDEX(TABLAS!$C$52:$C$58,MIN(MATCH(DATOS!$C$27,TABLAS!$B$52:$B$58,0)+1,7))))))),INDEX(TABLAS!$B$52:$B$58,MIN(MATCH(DATOS!$C$27,TABLAS!$B$52:$B$58,0)+1,7)),IF(AND(BO30&gt;=0,IF(MAX(DATOS!$C$29,CEILING(BO30/INDEX(TABLAS!$D$52:$D$58,MIN(MATCH(DATOS!$C$27,TABLAS!$B$52:$B$58,0)+2,7)),1))*INDEX(TABLAS!$D$52:$D$58,MIN(MATCH(DATOS!$C$27,TABLAS!$B$52:$B$58,0)+2,7))&gt;=4/3*IF(BC30&lt;=0,0,IF((1-2*BC30*1E5/(DATOS!$C$58*DATOS!$C$19*BN30^2*DATOS!$C$48))&lt;0,-1,IF((1-SQRT((1-2*BC30*1E5/(DATOS!$C$58*DATOS!$C$19*BN30^2*DATOS!$C$48))))*DATOS!$C$48*DATOS!$C$19*BN30/DATOS!$C$40&gt;DATOS!$C$82*DATOS!$C$19*BN30,-1,(1-SQRT((1-2*BC30*1E5/(DATOS!$C$58*DATOS!$C$19*BN30^2*DATOS!$C$48))))*DATOS!$C$48*DATOS!$C$19*BN30/DATOS!$C$40)))-0.0001,MAX(DATOS!$C$29,CEILING(BO30/INDEX(TABLAS!$D$52:$D$58,MIN(MATCH(DATOS!$C$27,TABLAS!$B$52:$B$58,0)+2,7)),1)),MAX(MAX(DATOS!$C$29,CEILING(BO30/INDEX(TABLAS!$D$52:$D$58,MIN(MATCH(DATOS!$C$27,TABLAS!$B$52:$B$58,0)+2,7)),1)),2))&lt;=MIN(DATOS!$C$28,INT(((DATOS!$C$13-2*S30-2*IF(DATOS!$C$25=0,0,INDEX(TABLAS!$C$52:$C$58,MATCH(DATOS!$C$25,TABLAS!$B$52:$B$58,0))))+MAX(DATOS!$C$32,INDEX(TABLAS!$C$52:$C$58,MIN(MATCH(DATOS!$C$27,TABLAS!$B$52:$B$58,0)+2,7))))/(INDEX(TABLAS!$C$52:$C$58,MIN(MATCH(DATOS!$C$27,TABLAS!$B$52:$B$58,0)+2,7))+MAX(DATOS!$C$32,INDEX(TABLAS!$C$52:$C$58,MIN(MATCH(DATOS!$C$27,TABLAS!$B$52:$B$58,0)+2,7))))))),INDEX(TABLAS!$B$52:$B$58,MIN(MATCH(DATOS!$C$27,TABLAS!$B$52:$B$58,0)+2,7)),IF(AND(BO30&gt;=0,IF(MAX(DATOS!$C$29,CEILING(BO30/INDEX(TABLAS!$D$52:$D$58,MIN(MATCH(DATOS!$C$27,TABLAS!$B$52:$B$58,0)+3,7)),1))*INDEX(TABLAS!$D$52:$D$58,MIN(MATCH(DATOS!$C$27,TABLAS!$B$52:$B$58,0)+3,7))&gt;=4/3*IF(BC30&lt;=0,0,IF((1-2*BC30*1E5/(DATOS!$C$58*DATOS!$C$19*BN30^2*DATOS!$C$48))&lt;0,-1,IF((1-SQRT((1-2*BC30*1E5/(DATOS!$C$58*DATOS!$C$19*BN30^2*DATOS!$C$48))))*DATOS!$C$48*DATOS!$C$19*BN30/DATOS!$C$40&gt;DATOS!$C$82*DATOS!$C$19*BN30,-1,(1-SQRT((1-2*BC30*1E5/(DATOS!$C$58*DATOS!$C$19*BN30^2*DATOS!$C$48))))*DATOS!$C$48*DATOS!$C$19*BN30/DATOS!$C$40)))-0.0001,MAX(DATOS!$C$29,CEILING(BO30/INDEX(TABLAS!$D$52:$D$58,MIN(MATCH(DATOS!$C$27,TABLAS!$B$52:$B$58,0)+3,7)),1)),MAX(MAX(DATOS!$C$29,CEILING(BO30/INDEX(TABLAS!$D$52:$D$58,MIN(MATCH(DATOS!$C$27,TABLAS!$B$52:$B$58,0)+3,7)),1)),2))&lt;=MIN(DATOS!$C$28,INT(((DATOS!$C$13-2*S30-2*IF(DATOS!$C$25=0,0,INDEX(TABLAS!$C$52:$C$58,MATCH(DATOS!$C$25,TABLAS!$B$52:$B$58,0))))+MAX(DATOS!$C$32,INDEX(TABLAS!$C$52:$C$58,MIN(MATCH(DATOS!$C$27,TABLAS!$B$52:$B$58,0)+3,7))))/(INDEX(TABLAS!$C$52:$C$58,MIN(MATCH(DATOS!$C$27,TABLAS!$B$52:$B$58,0)+3,7))+MAX(DATOS!$C$32,INDEX(TABLAS!$C$52:$C$58,MIN(MATCH(DATOS!$C$27,TABLAS!$B$52:$B$58,0)+3,7))))))),INDEX(TABLAS!$B$52:$B$58,MIN(MATCH(DATOS!$C$27,TABLAS!$B$52:$B$58,0)+3,7)),IF(AND(BO30&gt;=0,IF(MAX(DATOS!$C$29,CEILING(BO30/INDEX(TABLAS!$D$52:$D$58,MIN(MATCH(DATOS!$C$27,TABLAS!$B$52:$B$58,0)+4,7)),1))*INDEX(TABLAS!$D$52:$D$58,MIN(MATCH(DATOS!$C$27,TABLAS!$B$52:$B$58,0)+4,7))&gt;=4/3*IF(BC30&lt;=0,0,IF((1-2*BC30*1E5/(DATOS!$C$58*DATOS!$C$19*BN30^2*DATOS!$C$48))&lt;0,-1,IF((1-SQRT((1-2*BC30*1E5/(DATOS!$C$58*DATOS!$C$19*BN30^2*DATOS!$C$48))))*DATOS!$C$48*DATOS!$C$19*BN30/DATOS!$C$40&gt;DATOS!$C$82*DATOS!$C$19*BN30,-1,(1-SQRT((1-2*BC30*1E5/(DATOS!$C$58*DATOS!$C$19*BN30^2*DATOS!$C$48))))*DATOS!$C$48*DATOS!$C$19*BN30/DATOS!$C$40)))-0.0001,MAX(DATOS!$C$29,CEILING(BO30/INDEX(TABLAS!$D$52:$D$58,MIN(MATCH(DATOS!$C$27,TABLAS!$B$52:$B$58,0)+4,7)),1)),MAX(MAX(DATOS!$C$29,CEILING(BO30/INDEX(TABLAS!$D$52:$D$58,MIN(MATCH(DATOS!$C$27,TABLAS!$B$52:$B$58,0)+4,7)),1)),2))&lt;=MIN(DATOS!$C$28,INT(((DATOS!$C$13-2*S30-2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30" s="56">
        <f>IF(D30="HUECO",0,IF(BO30&lt;0,0,IF(MAX(DATOS!$C$29,CEILING(MAX(BO30,0)/INDEX(TABLAS!$D$52:$D$58,MATCH(BP30,TABLAS!$B$52:$B$58,0)),1))*INDEX(TABLAS!$D$52:$D$58,MATCH(BP30,TABLAS!$B$52:$B$58,0))&gt;=4/3*IF(BC30&lt;=0,0,IF((1-2*BC30*1E5/(DATOS!$C$58*DATOS!$C$19*BN30^2*DATOS!$C$48))&lt;0,-1,IF((1-SQRT((1-2*BC30*1E5/(DATOS!$C$58*DATOS!$C$19*BN30^2*DATOS!$C$48))))*DATOS!$C$48*DATOS!$C$19*BN30/DATOS!$C$40&gt;DATOS!$C$82*DATOS!$C$19*BN30,-1,(1-SQRT((1-2*BC30*1E5/(DATOS!$C$58*DATOS!$C$19*BN30^2*DATOS!$C$48))))*DATOS!$C$48*DATOS!$C$19*BN30/DATOS!$C$40)))-0.0001,MAX(DATOS!$C$29,CEILING(MAX(BO30,0)/INDEX(TABLAS!$D$52:$D$58,MATCH(BP30,TABLAS!$B$52:$B$58,0)),1)),MAX(MAX(DATOS!$C$29,CEILING(MAX(BO30,0)/INDEX(TABLAS!$D$52:$D$58,MATCH(BP30,TABLAS!$B$52:$B$58,0)),1)),2))))</f>
        <v>1</v>
      </c>
      <c r="BR30" s="43">
        <f>((DATOS!$C$15-S30-2*DATOS!$C$35-IF(DATOS!$C$25=0,0,INDEX(TABLAS!$C$52:$C$58,MATCH(DATOS!$C$25,TABLAS!$B$52:$B$58,0)))-INDEX(TABLAS!$C$52:$C$58,MATCH(BP30,TABLAS!$B$52:$B$58,0))/2)-IF(AND((DATOS!$C$15-S30-2*DATOS!$C$35-IF(DATOS!$C$25=0,0,INDEX(TABLAS!$C$52:$C$58,MATCH(DATOS!$C$25,TABLAS!$B$52:$B$58,0)))-INDEX(TABLAS!$C$52:$C$58,MATCH(BP30,TABLAS!$B$52:$B$58,0))/2)&lt;=20,DATOS!$C$18&lt;&gt;"SÍ"),2,0))</f>
        <v>19.389</v>
      </c>
      <c r="BS30" s="36">
        <f>IF(BQ30=0,0,DATOS!$C$58*BQ30*INDEX(TABLAS!$D$52:$D$58,MATCH(BP30,TABLAS!$B$52:$B$58,0))*DATOS!$C$40*(BR30-BQ30*INDEX(TABLAS!$D$52:$D$58,MATCH(BP30,TABLAS!$B$52:$B$58,0))*DATOS!$C$40/(DATOS!$C$48*DATOS!$C$19)/2)/1E5)</f>
        <v>0.870537980117647</v>
      </c>
      <c r="BT30" s="62">
        <f>IF(BO30&lt;0,9.99,IF(BS30&gt;0,BC30/BS30,0))</f>
        <v>0.314181351245833</v>
      </c>
      <c r="BU30" s="63">
        <f>IF(BQ30=0,"—",0.003*(BR30-(BQ30*INDEX(TABLAS!$D$52:$D$58,MATCH(BP30,TABLAS!$B$52:$B$58,0))*DATOS!$C$40/(DATOS!$C$48*DATOS!$C$19)/DATOS!$C$49))/(BQ30*INDEX(TABLAS!$D$52:$D$58,MATCH(BP30,TABLAS!$B$52:$B$58,0))*DATOS!$C$40/(DATOS!$C$48*DATOS!$C$19)/DATOS!$C$49))</f>
        <v>0.0166970648200225</v>
      </c>
      <c r="BV30" s="43">
        <f>(DATOS!$C$15-R30-IF(DATOS!$C$25=0,0,INDEX(TABLAS!$C$52:$C$58,MATCH(DATOS!$C$25,TABLAS!$B$52:$B$58,0)))-INDEX(TABLAS!$C$52:$C$58,MATCH(DATOS!$C$26,TABLAS!$B$52:$B$58,0))-INDEX(TABLAS!$C$52:$C$58,MATCH(DATOS!$C$26,TABLAS!$B$52:$B$58,0))/2)</f>
        <v>19.095</v>
      </c>
      <c r="BW30" s="43">
        <f>IF(D30="HUECO",0,IF(IF(BD30&lt;=0,0,IF((1-2*BD30*1E5/(DATOS!$C$58*Q30*BV30^2*DATOS!$C$48))&lt;0,-1,IF((1-SQRT((1-2*BD30*1E5/(DATOS!$C$58*Q30*BV30^2*DATOS!$C$48))))*DATOS!$C$48*Q30*BV30/DATOS!$C$40&gt;DATOS!$C$82*Q30*BV30,-1,(1-SQRT((1-2*BD30*1E5/(DATOS!$C$58*Q30*BV30^2*DATOS!$C$48))))*DATOS!$C$48*Q30*BV30/DATOS!$C$40)))&lt;0,-1,MAX(IF(BD30&lt;=0,0,IF((1-2*BD30*1E5/(DATOS!$C$58*Q30*BV30^2*DATOS!$C$48))&lt;0,-1,IF((1-SQRT((1-2*BD30*1E5/(DATOS!$C$58*Q30*BV30^2*DATOS!$C$48))))*DATOS!$C$48*Q30*BV30/DATOS!$C$40&gt;DATOS!$C$82*Q30*BV30,-1,(1-SQRT((1-2*BD30*1E5/(DATOS!$C$58*Q30*BV30^2*DATOS!$C$48))))*DATOS!$C$48*Q30*BV30/DATOS!$C$40))),MIN(DATOS!$C$83*DATOS!$C$13*BV30,4/3*IF(BD30&lt;=0,0,IF((1-2*BD30*1E5/(DATOS!$C$58*Q30*BV30^2*DATOS!$C$48))&lt;0,-1,IF((1-SQRT((1-2*BD30*1E5/(DATOS!$C$58*Q30*BV30^2*DATOS!$C$48))))*DATOS!$C$48*Q30*BV30/DATOS!$C$40&gt;DATOS!$C$82*Q30*BV30,-1,(1-SQRT((1-2*BD30*1E5/(DATOS!$C$58*Q30*BV30^2*DATOS!$C$48))))*DATOS!$C$48*Q30*BV30/DATOS!$C$40)))))))</f>
        <v>0.117862485971334</v>
      </c>
      <c r="BX30" s="41">
        <f>IF(AND(BW30&gt;=0,IF(MAX(DATOS!$C$29,CEILING(BW30/INDEX(TABLAS!$D$52:$D$58,MIN(MATCH(DATOS!$C$26,TABLAS!$B$52:$B$58,0)+0,7)),1))*INDEX(TABLAS!$D$52:$D$58,MIN(MATCH(DATOS!$C$26,TABLAS!$B$52:$B$58,0)+0,7))&gt;=4/3*IF(BD30&lt;=0,0,IF((1-2*BD30*1E5/(DATOS!$C$58*Q30*BV30^2*DATOS!$C$48))&lt;0,-1,IF((1-SQRT((1-2*BD30*1E5/(DATOS!$C$58*Q30*BV30^2*DATOS!$C$48))))*DATOS!$C$48*Q30*BV30/DATOS!$C$40&gt;DATOS!$C$82*Q30*BV30,-1,(1-SQRT((1-2*BD30*1E5/(DATOS!$C$58*Q30*BV30^2*DATOS!$C$48))))*DATOS!$C$48*Q30*BV30/DATOS!$C$40)))-0.0001,MAX(DATOS!$C$29,CEILING(BW30/INDEX(TABLAS!$D$52:$D$58,MIN(MATCH(DATOS!$C$26,TABLAS!$B$52:$B$58,0)+0,7)),1)),MAX(MAX(DATOS!$C$29,CEILING(BW30/INDEX(TABLAS!$D$52:$D$58,MIN(MATCH(DATOS!$C$26,TABLAS!$B$52:$B$58,0)+0,7)),1)),2))&lt;=MIN(DATOS!$C$28,INT(((DATOS!$C$13-2*R30-2*IF(DATOS!$C$25=0,0,INDEX(TABLAS!$C$52:$C$58,MATCH(DATOS!$C$25,TABLAS!$B$52:$B$58,0))))+MAX(DATOS!$C$32,INDEX(TABLAS!$C$52:$C$58,MIN(MATCH(DATOS!$C$26,TABLAS!$B$52:$B$58,0)+0,7))))/(INDEX(TABLAS!$C$52:$C$58,MIN(MATCH(DATOS!$C$26,TABLAS!$B$52:$B$58,0)+0,7))+MAX(DATOS!$C$32,INDEX(TABLAS!$C$52:$C$58,MIN(MATCH(DATOS!$C$26,TABLAS!$B$52:$B$58,0)+0,7))))))),INDEX(TABLAS!$B$52:$B$58,MIN(MATCH(DATOS!$C$26,TABLAS!$B$52:$B$58,0)+0,7)),IF(AND(BW30&gt;=0,IF(MAX(DATOS!$C$29,CEILING(BW30/INDEX(TABLAS!$D$52:$D$58,MIN(MATCH(DATOS!$C$26,TABLAS!$B$52:$B$58,0)+1,7)),1))*INDEX(TABLAS!$D$52:$D$58,MIN(MATCH(DATOS!$C$26,TABLAS!$B$52:$B$58,0)+1,7))&gt;=4/3*IF(BD30&lt;=0,0,IF((1-2*BD30*1E5/(DATOS!$C$58*Q30*BV30^2*DATOS!$C$48))&lt;0,-1,IF((1-SQRT((1-2*BD30*1E5/(DATOS!$C$58*Q30*BV30^2*DATOS!$C$48))))*DATOS!$C$48*Q30*BV30/DATOS!$C$40&gt;DATOS!$C$82*Q30*BV30,-1,(1-SQRT((1-2*BD30*1E5/(DATOS!$C$58*Q30*BV30^2*DATOS!$C$48))))*DATOS!$C$48*Q30*BV30/DATOS!$C$40)))-0.0001,MAX(DATOS!$C$29,CEILING(BW30/INDEX(TABLAS!$D$52:$D$58,MIN(MATCH(DATOS!$C$26,TABLAS!$B$52:$B$58,0)+1,7)),1)),MAX(MAX(DATOS!$C$29,CEILING(BW30/INDEX(TABLAS!$D$52:$D$58,MIN(MATCH(DATOS!$C$26,TABLAS!$B$52:$B$58,0)+1,7)),1)),2))&lt;=MIN(DATOS!$C$28,INT(((DATOS!$C$13-2*R30-2*IF(DATOS!$C$25=0,0,INDEX(TABLAS!$C$52:$C$58,MATCH(DATOS!$C$25,TABLAS!$B$52:$B$58,0))))+MAX(DATOS!$C$32,INDEX(TABLAS!$C$52:$C$58,MIN(MATCH(DATOS!$C$26,TABLAS!$B$52:$B$58,0)+1,7))))/(INDEX(TABLAS!$C$52:$C$58,MIN(MATCH(DATOS!$C$26,TABLAS!$B$52:$B$58,0)+1,7))+MAX(DATOS!$C$32,INDEX(TABLAS!$C$52:$C$58,MIN(MATCH(DATOS!$C$26,TABLAS!$B$52:$B$58,0)+1,7))))))),INDEX(TABLAS!$B$52:$B$58,MIN(MATCH(DATOS!$C$26,TABLAS!$B$52:$B$58,0)+1,7)),IF(AND(BW30&gt;=0,IF(MAX(DATOS!$C$29,CEILING(BW30/INDEX(TABLAS!$D$52:$D$58,MIN(MATCH(DATOS!$C$26,TABLAS!$B$52:$B$58,0)+2,7)),1))*INDEX(TABLAS!$D$52:$D$58,MIN(MATCH(DATOS!$C$26,TABLAS!$B$52:$B$58,0)+2,7))&gt;=4/3*IF(BD30&lt;=0,0,IF((1-2*BD30*1E5/(DATOS!$C$58*Q30*BV30^2*DATOS!$C$48))&lt;0,-1,IF((1-SQRT((1-2*BD30*1E5/(DATOS!$C$58*Q30*BV30^2*DATOS!$C$48))))*DATOS!$C$48*Q30*BV30/DATOS!$C$40&gt;DATOS!$C$82*Q30*BV30,-1,(1-SQRT((1-2*BD30*1E5/(DATOS!$C$58*Q30*BV30^2*DATOS!$C$48))))*DATOS!$C$48*Q30*BV30/DATOS!$C$40)))-0.0001,MAX(DATOS!$C$29,CEILING(BW30/INDEX(TABLAS!$D$52:$D$58,MIN(MATCH(DATOS!$C$26,TABLAS!$B$52:$B$58,0)+2,7)),1)),MAX(MAX(DATOS!$C$29,CEILING(BW30/INDEX(TABLAS!$D$52:$D$58,MIN(MATCH(DATOS!$C$26,TABLAS!$B$52:$B$58,0)+2,7)),1)),2))&lt;=MIN(DATOS!$C$28,INT(((DATOS!$C$13-2*R30-2*IF(DATOS!$C$25=0,0,INDEX(TABLAS!$C$52:$C$58,MATCH(DATOS!$C$25,TABLAS!$B$52:$B$58,0))))+MAX(DATOS!$C$32,INDEX(TABLAS!$C$52:$C$58,MIN(MATCH(DATOS!$C$26,TABLAS!$B$52:$B$58,0)+2,7))))/(INDEX(TABLAS!$C$52:$C$58,MIN(MATCH(DATOS!$C$26,TABLAS!$B$52:$B$58,0)+2,7))+MAX(DATOS!$C$32,INDEX(TABLAS!$C$52:$C$58,MIN(MATCH(DATOS!$C$26,TABLAS!$B$52:$B$58,0)+2,7))))))),INDEX(TABLAS!$B$52:$B$58,MIN(MATCH(DATOS!$C$26,TABLAS!$B$52:$B$58,0)+2,7)),IF(AND(BW30&gt;=0,IF(MAX(DATOS!$C$29,CEILING(BW30/INDEX(TABLAS!$D$52:$D$58,MIN(MATCH(DATOS!$C$26,TABLAS!$B$52:$B$58,0)+3,7)),1))*INDEX(TABLAS!$D$52:$D$58,MIN(MATCH(DATOS!$C$26,TABLAS!$B$52:$B$58,0)+3,7))&gt;=4/3*IF(BD30&lt;=0,0,IF((1-2*BD30*1E5/(DATOS!$C$58*Q30*BV30^2*DATOS!$C$48))&lt;0,-1,IF((1-SQRT((1-2*BD30*1E5/(DATOS!$C$58*Q30*BV30^2*DATOS!$C$48))))*DATOS!$C$48*Q30*BV30/DATOS!$C$40&gt;DATOS!$C$82*Q30*BV30,-1,(1-SQRT((1-2*BD30*1E5/(DATOS!$C$58*Q30*BV30^2*DATOS!$C$48))))*DATOS!$C$48*Q30*BV30/DATOS!$C$40)))-0.0001,MAX(DATOS!$C$29,CEILING(BW30/INDEX(TABLAS!$D$52:$D$58,MIN(MATCH(DATOS!$C$26,TABLAS!$B$52:$B$58,0)+3,7)),1)),MAX(MAX(DATOS!$C$29,CEILING(BW30/INDEX(TABLAS!$D$52:$D$58,MIN(MATCH(DATOS!$C$26,TABLAS!$B$52:$B$58,0)+3,7)),1)),2))&lt;=MIN(DATOS!$C$28,INT(((DATOS!$C$13-2*R30-2*IF(DATOS!$C$25=0,0,INDEX(TABLAS!$C$52:$C$58,MATCH(DATOS!$C$25,TABLAS!$B$52:$B$58,0))))+MAX(DATOS!$C$32,INDEX(TABLAS!$C$52:$C$58,MIN(MATCH(DATOS!$C$26,TABLAS!$B$52:$B$58,0)+3,7))))/(INDEX(TABLAS!$C$52:$C$58,MIN(MATCH(DATOS!$C$26,TABLAS!$B$52:$B$58,0)+3,7))+MAX(DATOS!$C$32,INDEX(TABLAS!$C$52:$C$58,MIN(MATCH(DATOS!$C$26,TABLAS!$B$52:$B$58,0)+3,7))))))),INDEX(TABLAS!$B$52:$B$58,MIN(MATCH(DATOS!$C$26,TABLAS!$B$52:$B$58,0)+3,7)),IF(AND(BW30&gt;=0,IF(MAX(DATOS!$C$29,CEILING(BW30/INDEX(TABLAS!$D$52:$D$58,MIN(MATCH(DATOS!$C$26,TABLAS!$B$52:$B$58,0)+4,7)),1))*INDEX(TABLAS!$D$52:$D$58,MIN(MATCH(DATOS!$C$26,TABLAS!$B$52:$B$58,0)+4,7))&gt;=4/3*IF(BD30&lt;=0,0,IF((1-2*BD30*1E5/(DATOS!$C$58*Q30*BV30^2*DATOS!$C$48))&lt;0,-1,IF((1-SQRT((1-2*BD30*1E5/(DATOS!$C$58*Q30*BV30^2*DATOS!$C$48))))*DATOS!$C$48*Q30*BV30/DATOS!$C$40&gt;DATOS!$C$82*Q30*BV30,-1,(1-SQRT((1-2*BD30*1E5/(DATOS!$C$58*Q30*BV30^2*DATOS!$C$48))))*DATOS!$C$48*Q30*BV30/DATOS!$C$40)))-0.0001,MAX(DATOS!$C$29,CEILING(BW30/INDEX(TABLAS!$D$52:$D$58,MIN(MATCH(DATOS!$C$26,TABLAS!$B$52:$B$58,0)+4,7)),1)),MAX(MAX(DATOS!$C$29,CEILING(BW30/INDEX(TABLAS!$D$52:$D$58,MIN(MATCH(DATOS!$C$26,TABLAS!$B$52:$B$58,0)+4,7)),1)),2))&lt;=MIN(DATOS!$C$28,INT(((DATOS!$C$13-2*R30-2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30" s="56">
        <f>IF(D30="HUECO",0,IF(BW30&lt;0,0,IF(MAX(DATOS!$C$29,CEILING(MAX(BW30,0)/INDEX(TABLAS!$D$52:$D$58,MATCH(BX30,TABLAS!$B$52:$B$58,0)),1))*INDEX(TABLAS!$D$52:$D$58,MATCH(BX30,TABLAS!$B$52:$B$58,0))&gt;=4/3*IF(BD30&lt;=0,0,IF((1-2*BD30*1E5/(DATOS!$C$58*Q30*BV30^2*DATOS!$C$48))&lt;0,-1,IF((1-SQRT((1-2*BD30*1E5/(DATOS!$C$58*Q30*BV30^2*DATOS!$C$48))))*DATOS!$C$48*Q30*BV30/DATOS!$C$40&gt;DATOS!$C$82*Q30*BV30,-1,(1-SQRT((1-2*BD30*1E5/(DATOS!$C$58*Q30*BV30^2*DATOS!$C$48))))*DATOS!$C$48*Q30*BV30/DATOS!$C$40)))-0.0001,MAX(DATOS!$C$29,CEILING(MAX(BW30,0)/INDEX(TABLAS!$D$52:$D$58,MATCH(BX30,TABLAS!$B$52:$B$58,0)),1)),MAX(MAX(DATOS!$C$29,CEILING(MAX(BW30,0)/INDEX(TABLAS!$D$52:$D$58,MATCH(BX30,TABLAS!$B$52:$B$58,0)),1)),2))))</f>
        <v>1</v>
      </c>
      <c r="BZ30" s="43">
        <f>DATOS!$C$15-R30-IF(DATOS!$C$25=0,0,INDEX(TABLAS!$C$52:$C$58,MATCH(DATOS!$C$25,TABLAS!$B$52:$B$58,0)))-INDEX(TABLAS!$C$52:$C$58,MATCH(BH30,TABLAS!$B$52:$B$58,0))-INDEX(TABLAS!$C$52:$C$58,MATCH(BX30,TABLAS!$B$52:$B$58,0))/2</f>
        <v>19.095</v>
      </c>
      <c r="CA30" s="36">
        <f>IF(BY30=0,0,DATOS!$C$58*BY30*INDEX(TABLAS!$D$52:$D$58,MATCH(BX30,TABLAS!$B$52:$B$58,0))*DATOS!$C$40*(BZ30-BY30*INDEX(TABLAS!$D$52:$D$58,MATCH(BX30,TABLAS!$B$52:$B$58,0))*DATOS!$C$40/(DATOS!$C$48*Q30)/2)/1E5)</f>
        <v>0.908067376588235</v>
      </c>
      <c r="CB30" s="62">
        <f>IF(BW30&lt;0,9.99,IF(CA30&gt;0,BD30/CA30,0))</f>
        <v>0.0702176552548817</v>
      </c>
      <c r="CC30" s="63">
        <f>IF(BY30=0,"—",0.003*(BZ30-(BY30*INDEX(TABLAS!$D$52:$D$58,MATCH(BX30,TABLAS!$B$52:$B$58,0))*DATOS!$C$40/(DATOS!$C$48*Q30)/DATOS!$C$49))/(BY30*INDEX(TABLAS!$D$52:$D$58,MATCH(BX30,TABLAS!$B$52:$B$58,0))*DATOS!$C$40/(DATOS!$C$48*Q30)/DATOS!$C$49))</f>
        <v>0.13278875492126</v>
      </c>
      <c r="CD30" s="43">
        <f>((DATOS!$C$15-S30-2*DATOS!$C$35-IF(DATOS!$C$25=0,0,INDEX(TABLAS!$C$52:$C$58,MATCH(DATOS!$C$25,TABLAS!$B$52:$B$58,0)))-INDEX(TABLAS!$C$52:$C$58,MATCH(DATOS!$C$27,TABLAS!$B$52:$B$58,0))-INDEX(TABLAS!$C$52:$C$58,MATCH(DATOS!$C$27,TABLAS!$B$52:$B$58,0))/2)-IF(AND((DATOS!$C$15-S30-2*DATOS!$C$35-IF(DATOS!$C$25=0,0,INDEX(TABLAS!$C$52:$C$58,MATCH(DATOS!$C$25,TABLAS!$B$52:$B$58,0)))-INDEX(TABLAS!$C$52:$C$58,MATCH(DATOS!$C$27,TABLAS!$B$52:$B$58,0))-INDEX(TABLAS!$C$52:$C$58,MATCH(DATOS!$C$27,TABLAS!$B$52:$B$58,0))/2)&lt;=20,DATOS!$C$18&lt;&gt;"SÍ"),2,0))</f>
        <v>18.119</v>
      </c>
      <c r="CE30" s="43">
        <f>IF(D30="HUECO",0,IF(IF(BE30&lt;=0,0,IF((1-2*BE30*1E5/(DATOS!$C$58*DATOS!$C$19*CD30^2*DATOS!$C$48))&lt;0,-1,IF((1-SQRT((1-2*BE30*1E5/(DATOS!$C$58*DATOS!$C$19*CD30^2*DATOS!$C$48))))*DATOS!$C$48*DATOS!$C$19*CD30/DATOS!$C$40&gt;DATOS!$C$82*DATOS!$C$19*CD30,-1,(1-SQRT((1-2*BE30*1E5/(DATOS!$C$58*DATOS!$C$19*CD30^2*DATOS!$C$48))))*DATOS!$C$48*DATOS!$C$19*CD30/DATOS!$C$40)))&lt;0,-1,MAX(IF(BE30&lt;=0,0,IF((1-2*BE30*1E5/(DATOS!$C$58*DATOS!$C$19*CD30^2*DATOS!$C$48))&lt;0,-1,IF((1-SQRT((1-2*BE30*1E5/(DATOS!$C$58*DATOS!$C$19*CD30^2*DATOS!$C$48))))*DATOS!$C$48*DATOS!$C$19*CD30/DATOS!$C$40&gt;DATOS!$C$82*DATOS!$C$19*CD30,-1,(1-SQRT((1-2*BE30*1E5/(DATOS!$C$58*DATOS!$C$19*CD30^2*DATOS!$C$48))))*DATOS!$C$48*DATOS!$C$19*CD30/DATOS!$C$40))),MIN(DATOS!$C$83*DATOS!$C$13*CD30,4/3*IF(BE30&lt;=0,0,IF((1-2*BE30*1E5/(DATOS!$C$58*DATOS!$C$19*CD30^2*DATOS!$C$48))&lt;0,-1,IF((1-SQRT((1-2*BE30*1E5/(DATOS!$C$58*DATOS!$C$19*CD30^2*DATOS!$C$48))))*DATOS!$C$48*DATOS!$C$19*CD30/DATOS!$C$40&gt;DATOS!$C$82*DATOS!$C$19*CD30,-1,(1-SQRT((1-2*BE30*1E5/(DATOS!$C$58*DATOS!$C$19*CD30^2*DATOS!$C$48))))*DATOS!$C$48*DATOS!$C$19*CD30/DATOS!$C$40)))))))</f>
        <v>0.327934192956948</v>
      </c>
      <c r="CF30" s="41">
        <f>IF(AND(CE30&gt;=0,IF(MAX(DATOS!$C$29,CEILING(CE30/INDEX(TABLAS!$D$52:$D$58,MIN(MATCH(DATOS!$C$27,TABLAS!$B$52:$B$58,0)+0,7)),1))*INDEX(TABLAS!$D$52:$D$58,MIN(MATCH(DATOS!$C$27,TABLAS!$B$52:$B$58,0)+0,7))&gt;=4/3*IF(BE30&lt;=0,0,IF((1-2*BE30*1E5/(DATOS!$C$58*DATOS!$C$19*CD30^2*DATOS!$C$48))&lt;0,-1,IF((1-SQRT((1-2*BE30*1E5/(DATOS!$C$58*DATOS!$C$19*CD30^2*DATOS!$C$48))))*DATOS!$C$48*DATOS!$C$19*CD30/DATOS!$C$40&gt;DATOS!$C$82*DATOS!$C$19*CD30,-1,(1-SQRT((1-2*BE30*1E5/(DATOS!$C$58*DATOS!$C$19*CD30^2*DATOS!$C$48))))*DATOS!$C$48*DATOS!$C$19*CD30/DATOS!$C$40)))-0.0001,MAX(DATOS!$C$29,CEILING(CE30/INDEX(TABLAS!$D$52:$D$58,MIN(MATCH(DATOS!$C$27,TABLAS!$B$52:$B$58,0)+0,7)),1)),MAX(MAX(DATOS!$C$29,CEILING(CE30/INDEX(TABLAS!$D$52:$D$58,MIN(MATCH(DATOS!$C$27,TABLAS!$B$52:$B$58,0)+0,7)),1)),2))&lt;=MIN(DATOS!$C$28,INT(((DATOS!$C$13-2*S30-2*IF(DATOS!$C$25=0,0,INDEX(TABLAS!$C$52:$C$58,MATCH(DATOS!$C$25,TABLAS!$B$52:$B$58,0))))+MAX(DATOS!$C$32,INDEX(TABLAS!$C$52:$C$58,MIN(MATCH(DATOS!$C$27,TABLAS!$B$52:$B$58,0)+0,7))))/(INDEX(TABLAS!$C$52:$C$58,MIN(MATCH(DATOS!$C$27,TABLAS!$B$52:$B$58,0)+0,7))+MAX(DATOS!$C$32,INDEX(TABLAS!$C$52:$C$58,MIN(MATCH(DATOS!$C$27,TABLAS!$B$52:$B$58,0)+0,7))))))),INDEX(TABLAS!$B$52:$B$58,MIN(MATCH(DATOS!$C$27,TABLAS!$B$52:$B$58,0)+0,7)),IF(AND(CE30&gt;=0,IF(MAX(DATOS!$C$29,CEILING(CE30/INDEX(TABLAS!$D$52:$D$58,MIN(MATCH(DATOS!$C$27,TABLAS!$B$52:$B$58,0)+1,7)),1))*INDEX(TABLAS!$D$52:$D$58,MIN(MATCH(DATOS!$C$27,TABLAS!$B$52:$B$58,0)+1,7))&gt;=4/3*IF(BE30&lt;=0,0,IF((1-2*BE30*1E5/(DATOS!$C$58*DATOS!$C$19*CD30^2*DATOS!$C$48))&lt;0,-1,IF((1-SQRT((1-2*BE30*1E5/(DATOS!$C$58*DATOS!$C$19*CD30^2*DATOS!$C$48))))*DATOS!$C$48*DATOS!$C$19*CD30/DATOS!$C$40&gt;DATOS!$C$82*DATOS!$C$19*CD30,-1,(1-SQRT((1-2*BE30*1E5/(DATOS!$C$58*DATOS!$C$19*CD30^2*DATOS!$C$48))))*DATOS!$C$48*DATOS!$C$19*CD30/DATOS!$C$40)))-0.0001,MAX(DATOS!$C$29,CEILING(CE30/INDEX(TABLAS!$D$52:$D$58,MIN(MATCH(DATOS!$C$27,TABLAS!$B$52:$B$58,0)+1,7)),1)),MAX(MAX(DATOS!$C$29,CEILING(CE30/INDEX(TABLAS!$D$52:$D$58,MIN(MATCH(DATOS!$C$27,TABLAS!$B$52:$B$58,0)+1,7)),1)),2))&lt;=MIN(DATOS!$C$28,INT(((DATOS!$C$13-2*S30-2*IF(DATOS!$C$25=0,0,INDEX(TABLAS!$C$52:$C$58,MATCH(DATOS!$C$25,TABLAS!$B$52:$B$58,0))))+MAX(DATOS!$C$32,INDEX(TABLAS!$C$52:$C$58,MIN(MATCH(DATOS!$C$27,TABLAS!$B$52:$B$58,0)+1,7))))/(INDEX(TABLAS!$C$52:$C$58,MIN(MATCH(DATOS!$C$27,TABLAS!$B$52:$B$58,0)+1,7))+MAX(DATOS!$C$32,INDEX(TABLAS!$C$52:$C$58,MIN(MATCH(DATOS!$C$27,TABLAS!$B$52:$B$58,0)+1,7))))))),INDEX(TABLAS!$B$52:$B$58,MIN(MATCH(DATOS!$C$27,TABLAS!$B$52:$B$58,0)+1,7)),IF(AND(CE30&gt;=0,IF(MAX(DATOS!$C$29,CEILING(CE30/INDEX(TABLAS!$D$52:$D$58,MIN(MATCH(DATOS!$C$27,TABLAS!$B$52:$B$58,0)+2,7)),1))*INDEX(TABLAS!$D$52:$D$58,MIN(MATCH(DATOS!$C$27,TABLAS!$B$52:$B$58,0)+2,7))&gt;=4/3*IF(BE30&lt;=0,0,IF((1-2*BE30*1E5/(DATOS!$C$58*DATOS!$C$19*CD30^2*DATOS!$C$48))&lt;0,-1,IF((1-SQRT((1-2*BE30*1E5/(DATOS!$C$58*DATOS!$C$19*CD30^2*DATOS!$C$48))))*DATOS!$C$48*DATOS!$C$19*CD30/DATOS!$C$40&gt;DATOS!$C$82*DATOS!$C$19*CD30,-1,(1-SQRT((1-2*BE30*1E5/(DATOS!$C$58*DATOS!$C$19*CD30^2*DATOS!$C$48))))*DATOS!$C$48*DATOS!$C$19*CD30/DATOS!$C$40)))-0.0001,MAX(DATOS!$C$29,CEILING(CE30/INDEX(TABLAS!$D$52:$D$58,MIN(MATCH(DATOS!$C$27,TABLAS!$B$52:$B$58,0)+2,7)),1)),MAX(MAX(DATOS!$C$29,CEILING(CE30/INDEX(TABLAS!$D$52:$D$58,MIN(MATCH(DATOS!$C$27,TABLAS!$B$52:$B$58,0)+2,7)),1)),2))&lt;=MIN(DATOS!$C$28,INT(((DATOS!$C$13-2*S30-2*IF(DATOS!$C$25=0,0,INDEX(TABLAS!$C$52:$C$58,MATCH(DATOS!$C$25,TABLAS!$B$52:$B$58,0))))+MAX(DATOS!$C$32,INDEX(TABLAS!$C$52:$C$58,MIN(MATCH(DATOS!$C$27,TABLAS!$B$52:$B$58,0)+2,7))))/(INDEX(TABLAS!$C$52:$C$58,MIN(MATCH(DATOS!$C$27,TABLAS!$B$52:$B$58,0)+2,7))+MAX(DATOS!$C$32,INDEX(TABLAS!$C$52:$C$58,MIN(MATCH(DATOS!$C$27,TABLAS!$B$52:$B$58,0)+2,7))))))),INDEX(TABLAS!$B$52:$B$58,MIN(MATCH(DATOS!$C$27,TABLAS!$B$52:$B$58,0)+2,7)),IF(AND(CE30&gt;=0,IF(MAX(DATOS!$C$29,CEILING(CE30/INDEX(TABLAS!$D$52:$D$58,MIN(MATCH(DATOS!$C$27,TABLAS!$B$52:$B$58,0)+3,7)),1))*INDEX(TABLAS!$D$52:$D$58,MIN(MATCH(DATOS!$C$27,TABLAS!$B$52:$B$58,0)+3,7))&gt;=4/3*IF(BE30&lt;=0,0,IF((1-2*BE30*1E5/(DATOS!$C$58*DATOS!$C$19*CD30^2*DATOS!$C$48))&lt;0,-1,IF((1-SQRT((1-2*BE30*1E5/(DATOS!$C$58*DATOS!$C$19*CD30^2*DATOS!$C$48))))*DATOS!$C$48*DATOS!$C$19*CD30/DATOS!$C$40&gt;DATOS!$C$82*DATOS!$C$19*CD30,-1,(1-SQRT((1-2*BE30*1E5/(DATOS!$C$58*DATOS!$C$19*CD30^2*DATOS!$C$48))))*DATOS!$C$48*DATOS!$C$19*CD30/DATOS!$C$40)))-0.0001,MAX(DATOS!$C$29,CEILING(CE30/INDEX(TABLAS!$D$52:$D$58,MIN(MATCH(DATOS!$C$27,TABLAS!$B$52:$B$58,0)+3,7)),1)),MAX(MAX(DATOS!$C$29,CEILING(CE30/INDEX(TABLAS!$D$52:$D$58,MIN(MATCH(DATOS!$C$27,TABLAS!$B$52:$B$58,0)+3,7)),1)),2))&lt;=MIN(DATOS!$C$28,INT(((DATOS!$C$13-2*S30-2*IF(DATOS!$C$25=0,0,INDEX(TABLAS!$C$52:$C$58,MATCH(DATOS!$C$25,TABLAS!$B$52:$B$58,0))))+MAX(DATOS!$C$32,INDEX(TABLAS!$C$52:$C$58,MIN(MATCH(DATOS!$C$27,TABLAS!$B$52:$B$58,0)+3,7))))/(INDEX(TABLAS!$C$52:$C$58,MIN(MATCH(DATOS!$C$27,TABLAS!$B$52:$B$58,0)+3,7))+MAX(DATOS!$C$32,INDEX(TABLAS!$C$52:$C$58,MIN(MATCH(DATOS!$C$27,TABLAS!$B$52:$B$58,0)+3,7))))))),INDEX(TABLAS!$B$52:$B$58,MIN(MATCH(DATOS!$C$27,TABLAS!$B$52:$B$58,0)+3,7)),IF(AND(CE30&gt;=0,IF(MAX(DATOS!$C$29,CEILING(CE30/INDEX(TABLAS!$D$52:$D$58,MIN(MATCH(DATOS!$C$27,TABLAS!$B$52:$B$58,0)+4,7)),1))*INDEX(TABLAS!$D$52:$D$58,MIN(MATCH(DATOS!$C$27,TABLAS!$B$52:$B$58,0)+4,7))&gt;=4/3*IF(BE30&lt;=0,0,IF((1-2*BE30*1E5/(DATOS!$C$58*DATOS!$C$19*CD30^2*DATOS!$C$48))&lt;0,-1,IF((1-SQRT((1-2*BE30*1E5/(DATOS!$C$58*DATOS!$C$19*CD30^2*DATOS!$C$48))))*DATOS!$C$48*DATOS!$C$19*CD30/DATOS!$C$40&gt;DATOS!$C$82*DATOS!$C$19*CD30,-1,(1-SQRT((1-2*BE30*1E5/(DATOS!$C$58*DATOS!$C$19*CD30^2*DATOS!$C$48))))*DATOS!$C$48*DATOS!$C$19*CD30/DATOS!$C$40)))-0.0001,MAX(DATOS!$C$29,CEILING(CE30/INDEX(TABLAS!$D$52:$D$58,MIN(MATCH(DATOS!$C$27,TABLAS!$B$52:$B$58,0)+4,7)),1)),MAX(MAX(DATOS!$C$29,CEILING(CE30/INDEX(TABLAS!$D$52:$D$58,MIN(MATCH(DATOS!$C$27,TABLAS!$B$52:$B$58,0)+4,7)),1)),2))&lt;=MIN(DATOS!$C$28,INT(((DATOS!$C$13-2*S30-2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30" s="56">
        <f>IF(D30="HUECO",0,IF(CE30&lt;0,0,IF(MAX(DATOS!$C$29,CEILING(MAX(CE30,0)/INDEX(TABLAS!$D$52:$D$58,MATCH(CF30,TABLAS!$B$52:$B$58,0)),1))*INDEX(TABLAS!$D$52:$D$58,MATCH(CF30,TABLAS!$B$52:$B$58,0))&gt;=4/3*IF(BE30&lt;=0,0,IF((1-2*BE30*1E5/(DATOS!$C$58*DATOS!$C$19*CD30^2*DATOS!$C$48))&lt;0,-1,IF((1-SQRT((1-2*BE30*1E5/(DATOS!$C$58*DATOS!$C$19*CD30^2*DATOS!$C$48))))*DATOS!$C$48*DATOS!$C$19*CD30/DATOS!$C$40&gt;DATOS!$C$82*DATOS!$C$19*CD30,-1,(1-SQRT((1-2*BE30*1E5/(DATOS!$C$58*DATOS!$C$19*CD30^2*DATOS!$C$48))))*DATOS!$C$48*DATOS!$C$19*CD30/DATOS!$C$40)))-0.0001,MAX(DATOS!$C$29,CEILING(MAX(CE30,0)/INDEX(TABLAS!$D$52:$D$58,MATCH(CF30,TABLAS!$B$52:$B$58,0)),1)),MAX(MAX(DATOS!$C$29,CEILING(MAX(CE30,0)/INDEX(TABLAS!$D$52:$D$58,MATCH(CF30,TABLAS!$B$52:$B$58,0)),1)),2))))</f>
        <v>1</v>
      </c>
      <c r="CH30" s="43">
        <f>((DATOS!$C$15-S30-2*DATOS!$C$35-IF(DATOS!$C$25=0,0,INDEX(TABLAS!$C$52:$C$58,MATCH(DATOS!$C$25,TABLAS!$B$52:$B$58,0)))-INDEX(TABLAS!$C$52:$C$58,MATCH(BP30,TABLAS!$B$52:$B$58,0))-INDEX(TABLAS!$C$52:$C$58,MATCH(CF30,TABLAS!$B$52:$B$58,0))/2)-IF(AND((DATOS!$C$15-S30-2*DATOS!$C$35-IF(DATOS!$C$25=0,0,INDEX(TABLAS!$C$52:$C$58,MATCH(DATOS!$C$25,TABLAS!$B$52:$B$58,0)))-INDEX(TABLAS!$C$52:$C$58,MATCH(BP30,TABLAS!$B$52:$B$58,0))-INDEX(TABLAS!$C$52:$C$58,MATCH(CF30,TABLAS!$B$52:$B$58,0))/2)&lt;=20,DATOS!$C$18&lt;&gt;"SÍ"),2,0))</f>
        <v>18.119</v>
      </c>
      <c r="CI30" s="36">
        <f>IF(CG30=0,0,DATOS!$C$58*CG30*INDEX(TABLAS!$D$52:$D$58,MATCH(CF30,TABLAS!$B$52:$B$58,0))*DATOS!$C$40*(CH30-CG30*INDEX(TABLAS!$D$52:$D$58,MATCH(CF30,TABLAS!$B$52:$B$58,0))*DATOS!$C$40/(DATOS!$C$48*DATOS!$C$19)/2)/1E5)</f>
        <v>0.809570360117647</v>
      </c>
      <c r="CJ30" s="62">
        <f>IF(CE30&lt;0,9.99,IF(CI30&gt;0,BE30/CI30,0))</f>
        <v>0.205283538114123</v>
      </c>
      <c r="CK30" s="63">
        <f>IF(CG30=0,"—",0.003*(CH30-(CG30*INDEX(TABLAS!$D$52:$D$58,MATCH(CF30,TABLAS!$B$52:$B$58,0))*DATOS!$C$40/(DATOS!$C$48*DATOS!$C$19)/DATOS!$C$49))/(CG30*INDEX(TABLAS!$D$52:$D$58,MATCH(CF30,TABLAS!$B$52:$B$58,0))*DATOS!$C$40/(DATOS!$C$48*DATOS!$C$19)/DATOS!$C$49))</f>
        <v>0.0154068862485939</v>
      </c>
      <c r="CL30" s="52" t="str">
        <f>IF(D30="HUECO","—",IF(AND(D30="PERIMETRAL",J30*100&gt;=6*DATOS!$C$11,DATOS!$C$11&lt;=80,DATOS!$C$13&gt;=10,DATOS!$C$15&lt;=3.5*DATOS!$C$13,DATOS!$C$14&gt;=MAX(DATOS!$C$11/13,5)),"SÍ","NO"))</f>
        <v>NO</v>
      </c>
      <c r="CM30" s="36">
        <f>IF(D30="PERIMETRAL",MAX(0,(N30/2-BR30)/100)*(0.95-0.5*L30)*Y30*IF(AND(Z30&gt;0,Z30&lt;4),DATOS!$C$63,1)*DATOS!$C$16/100/1000+AX30,IF(D30="VOLADO",(Y30*MAX(0,N30-BR30)/100+DATOS!$C$55*BA30)*DATOS!$C$16/100/1000,0))</f>
        <v>0.326535058505947</v>
      </c>
      <c r="CN30" s="36">
        <f>IF(D30="HUECO",0,DATOS!$C$59*2*MIN(1,SQRT(2/(1+0.04*BR30)))*(BQ30*INDEX(TABLAS!$D$52:$D$58,MATCH(BP30,TABLAS!$B$52:$B$58,0))/(DATOS!$C$19*BR30))^(1/3)*SQRT(DATOS!$C$39)*DATOS!$C$19*BR30*IF(CL30="SÍ",DATOS!$C$62,1)/1000)</f>
        <v>0.860398102904257</v>
      </c>
      <c r="CO30" s="51" t="str">
        <f>IF(D30="HUECO","—",IF(CM30&lt;=CN30,"CUMPLE",IF(MAX(0,CEILING((IF(D30="VOLADO",(N30-(CN30*1E5/DATOS!$C$16-DATOS!$C$55*BA30)*100/Y30),IF(CN30&lt;=AX30,N30,N30/2-(CN30-AX30)/MAX(CM30-AX30,1E-9)*(N30/2-BR30)))-IF(INT((J30*100-DATOS!$C$17+DATOS!$C$13)/DATOS!$C$16)&gt;0,(J30*100-DATOS!$C$17-(INT((J30*100-DATOS!$C$17+DATOS!$C$13)/DATOS!$C$16)*DATOS!$C$11+(INT((J30*100-DATOS!$C$17+DATOS!$C$13)/DATOS!$C$16)-1)*DATOS!$C$13))/2,J30*100/2))/DATOS!$C$16,1))&lt;=0,"CUMPLE (basta el macizo de orilla)","MACIZAR "&amp;MAX(0,CEILING((IF(D30="VOLADO",(N30-(CN30*1E5/DATOS!$C$16-DATOS!$C$55*BA30)*100/Y30),IF(CN30&lt;=AX30,N30,N30/2-(CN30-AX30)/MAX(CM30-AX30,1E-9)*(N30/2-BR30)))-IF(INT((J30*100-DATOS!$C$17+DATOS!$C$13)/DATOS!$C$16)&gt;0,(J30*100-DATOS!$C$17-(INT((J30*100-DATOS!$C$17+DATOS!$C$13)/DATOS!$C$16)*DATOS!$C$11+(INT((J30*100-DATOS!$C$17+DATOS!$C$13)/DATOS!$C$16)-1)*DATOS!$C$13))/2,J30*100/2))/DATOS!$C$16,1))&amp;" hilera(s)")))</f>
        <v>CUMPLE</v>
      </c>
      <c r="CP30" s="43">
        <f>IF(D30="PERIMETRAL",(99+99+(PRINCIPALES!$N$41*PRINCIPALES!$O$41^3/12/(3.427*100*IF(APOYOS!$G$115="CONTINUO",1,0.5)*DATOS!$C$77^3/12))+99)/4,0)</f>
        <v>74.3231146893095</v>
      </c>
      <c r="CQ30" s="57">
        <f>IF(D30="PERIMETRAL",IF(CP30&gt;2,MAX(9,O30*(0.8+DATOS!$C$40/14000)/(36+9*(O30/MAX(N30,1)))),IF(CP30&gt;0.2,MAX(13,O30*(0.8+DATOS!$C$40/14000)/(36+5*(O30/MAX(N30,1))*(CP30-0.2))),MAX(13,O30/IF(Z30&gt;0,30,33))))*IF(AND(CP30&gt;0.2,OR(AND((APOYOS!$G$113="DISCONTINUO"),99&lt;0.8),AND((APOYOS!$G$114="DISCONTINUO"),99&lt;0.8),AND((APOYOS!$G$115="DISCONTINUO"),(PRINCIPALES!$N$41*PRINCIPALES!$O$41^3/12/(3.427*100*IF(APOYOS!$G$115="CONTINUO",1,0.5)*DATOS!$C$77^3/12))&lt;0.8),AND((APOYOS!$G$116="DISCONTINUO"),99&lt;0.8))),1.1,1),IF(D30="VOLADO",MAX(25,J30*100/8),0))</f>
        <v>9.9</v>
      </c>
      <c r="CR30" s="57">
        <f>IF(D30="VOLADO",DATOS!$C$15,DATOS!$C$77)</f>
        <v>16.7232564120244</v>
      </c>
      <c r="CS30" s="52" t="str">
        <f>IF(D30="HUECO","—",IF(CR30&gt;=CQ30,"CUMPLE",IF(D30="VOLADO","NO CUMPLE","CALCULAR FLECHA")))</f>
        <v>CUMPLE</v>
      </c>
      <c r="CT30" s="52" t="str">
        <f>IF(D30="HUECO","—",IF(DATOS!$C$14&gt;=IF(IF(D30="VOLADO",J30,K30)&gt;=6,6,5),"CUMPLE","CAPA ≥ 6 cm"))</f>
        <v>CUMPLE</v>
      </c>
      <c r="CU30" s="59">
        <f>IF(D30="HUECO",0,IF(((4*((AL30*Y30*J30^2*1E-4*DATOS!$C$16/100/1000)+((MAX(AH30,AJ30)*Y30*J30^2*1E-4*DATOS!$C$16/100/1000)+(IF(AND(AH30&gt;0,AJ30&gt;0),MIN(AH30,AJ30),MAX(AH30,AJ30))*Y30*J30^2*1E-4*DATOS!$C$16/100/1000))/2)+BC30-(IF(AND(AH30&gt;0,AJ30&gt;0),MIN(AH30,AJ30),MAX(AH30,AJ30))*Y30*J30^2*1E-4*DATOS!$C$16/100/1000))^2-16*((AL30*Y30*J30^2*1E-4*DATOS!$C$16/100/1000)+((MAX(AH30,AJ30)*Y30*J30^2*1E-4*DATOS!$C$16/100/1000)+(IF(AND(AH30&gt;0,AJ30&gt;0),MIN(AH30,AJ30),MAX(AH30,AJ30))*Y30*J30^2*1E-4*DATOS!$C$16/100/1000))/2)*BC30)&lt;0,CEILING(N30,5),CEILING(MAX(N30*((4*((AL30*Y30*J30^2*1E-4*DATOS!$C$16/100/1000)+((MAX(AH30,AJ30)*Y30*J30^2*1E-4*DATOS!$C$16/100/1000)+(IF(AND(AH30&gt;0,AJ30&gt;0),MIN(AH30,AJ30),MAX(AH30,AJ30))*Y30*J30^2*1E-4*DATOS!$C$16/100/1000))/2)+BC30-(IF(AND(AH30&gt;0,AJ30&gt;0),MIN(AH30,AJ30),MAX(AH30,AJ30))*Y30*J30^2*1E-4*DATOS!$C$16/100/1000))-SQRT(MAX(0,((4*((AL30*Y30*J30^2*1E-4*DATOS!$C$16/100/1000)+((MAX(AH30,AJ30)*Y30*J30^2*1E-4*DATOS!$C$16/100/1000)+(IF(AND(AH30&gt;0,AJ30&gt;0),MIN(AH30,AJ30),MAX(AH30,AJ30))*Y30*J30^2*1E-4*DATOS!$C$16/100/1000))/2)+BC30-(IF(AND(AH30&gt;0,AJ30&gt;0),MIN(AH30,AJ30),MAX(AH30,AJ30))*Y30*J30^2*1E-4*DATOS!$C$16/100/1000))^2-16*((AL30*Y30*J30^2*1E-4*DATOS!$C$16/100/1000)+((MAX(AH30,AJ30)*Y30*J30^2*1E-4*DATOS!$C$16/100/1000)+(IF(AND(AH30&gt;0,AJ30&gt;0),MIN(AH30,AJ30),MAX(AH30,AJ30))*Y30*J30^2*1E-4*DATOS!$C$16/100/1000))/2)*BC30))))/(8*MAX(((AL30*Y30*J30^2*1E-4*DATOS!$C$16/100/1000)+((MAX(AH30,AJ30)*Y30*J30^2*1E-4*DATOS!$C$16/100/1000)+(IF(AND(AH30&gt;0,AJ30&gt;0),MIN(AH30,AJ30),MAX(AH30,AJ30))*Y30*J30^2*1E-4*DATOS!$C$16/100/1000))/2),1E-9))+MAX(BR30,12*INDEX(TABLAS!$C$52:$C$58,MATCH(BP30,TABLAS!$B$52:$B$58,0)),N30/16),IF(OR(S30&lt;INDEX(TABLAS!$C$52:$C$58,MATCH(BP30,TABLAS!$B$52:$B$58,0)),AND(BQ30&gt;=2,(DATOS!$C$13-2*S30-2*IF(DATOS!$C$25=0,0,INDEX(TABLAS!$C$52:$C$58,MATCH(DATOS!$C$25,TABLAS!$B$52:$B$58,0)))-BQ30*INDEX(TABLAS!$C$52:$C$58,MATCH(BP30,TABLAS!$B$52:$B$58,0)))/MAX(BQ30-1,1)&lt;2*INDEX(TABLAS!$C$52:$C$58,MATCH(BP30,TABLAS!$B$52:$B$58,0)))),INDEX(TABLAS!$I$52:$I$58,MATCH(BP30,TABLAS!$B$52:$B$58,0)),INDEX(TABLAS!$F$52:$F$58,MATCH(BP30,TABLAS!$B$52:$B$58,0)))),5)))</f>
        <v>70</v>
      </c>
      <c r="CV30" s="59">
        <f>IF(D30="HUECO",0,IF(((4*((AM30*Y30*J30^2*1E-4*DATOS!$C$16/100/1000)+((MAX(AI30,AK30)*Y30*J30^2*1E-4*DATOS!$C$16/100/1000)+(IF(AND(AI30&gt;0,AK30&gt;0),MIN(AI30,AK30),MAX(AI30,AK30))*Y30*J30^2*1E-4*DATOS!$C$16/100/1000))/2)+BE30-(IF(AND(AI30&gt;0,AK30&gt;0),MIN(AI30,AK30),MAX(AI30,AK30))*Y30*J30^2*1E-4*DATOS!$C$16/100/1000))^2-16*((AM30*Y30*J30^2*1E-4*DATOS!$C$16/100/1000)+((MAX(AI30,AK30)*Y30*J30^2*1E-4*DATOS!$C$16/100/1000)+(IF(AND(AI30&gt;0,AK30&gt;0),MIN(AI30,AK30),MAX(AI30,AK30))*Y30*J30^2*1E-4*DATOS!$C$16/100/1000))/2)*BE30)&lt;0,CEILING(O30,5),CEILING(MAX(O30*((4*((AM30*Y30*J30^2*1E-4*DATOS!$C$16/100/1000)+((MAX(AI30,AK30)*Y30*J30^2*1E-4*DATOS!$C$16/100/1000)+(IF(AND(AI30&gt;0,AK30&gt;0),MIN(AI30,AK30),MAX(AI30,AK30))*Y30*J30^2*1E-4*DATOS!$C$16/100/1000))/2)+BE30-(IF(AND(AI30&gt;0,AK30&gt;0),MIN(AI30,AK30),MAX(AI30,AK30))*Y30*J30^2*1E-4*DATOS!$C$16/100/1000))-SQRT(MAX(0,((4*((AM30*Y30*J30^2*1E-4*DATOS!$C$16/100/1000)+((MAX(AI30,AK30)*Y30*J30^2*1E-4*DATOS!$C$16/100/1000)+(IF(AND(AI30&gt;0,AK30&gt;0),MIN(AI30,AK30),MAX(AI30,AK30))*Y30*J30^2*1E-4*DATOS!$C$16/100/1000))/2)+BE30-(IF(AND(AI30&gt;0,AK30&gt;0),MIN(AI30,AK30),MAX(AI30,AK30))*Y30*J30^2*1E-4*DATOS!$C$16/100/1000))^2-16*((AM30*Y30*J30^2*1E-4*DATOS!$C$16/100/1000)+((MAX(AI30,AK30)*Y30*J30^2*1E-4*DATOS!$C$16/100/1000)+(IF(AND(AI30&gt;0,AK30&gt;0),MIN(AI30,AK30),MAX(AI30,AK30))*Y30*J30^2*1E-4*DATOS!$C$16/100/1000))/2)*BE30))))/(8*MAX(((AM30*Y30*J30^2*1E-4*DATOS!$C$16/100/1000)+((MAX(AI30,AK30)*Y30*J30^2*1E-4*DATOS!$C$16/100/1000)+(IF(AND(AI30&gt;0,AK30&gt;0),MIN(AI30,AK30),MAX(AI30,AK30))*Y30*J30^2*1E-4*DATOS!$C$16/100/1000))/2),1E-9))+MAX(CH30,12*INDEX(TABLAS!$C$52:$C$58,MATCH(CF30,TABLAS!$B$52:$B$58,0)),O30/16),IF(OR(S30&lt;INDEX(TABLAS!$C$52:$C$58,MATCH(CF30,TABLAS!$B$52:$B$58,0)),AND(CG30&gt;=2,(DATOS!$C$13-2*S30-2*IF(DATOS!$C$25=0,0,INDEX(TABLAS!$C$52:$C$58,MATCH(DATOS!$C$25,TABLAS!$B$52:$B$58,0)))-CG30*INDEX(TABLAS!$C$52:$C$58,MATCH(CF30,TABLAS!$B$52:$B$58,0)))/MAX(CG30-1,1)&lt;2*INDEX(TABLAS!$C$52:$C$58,MATCH(CF30,TABLAS!$B$52:$B$58,0)))),INDEX(TABLAS!$I$52:$I$58,MATCH(CF30,TABLAS!$B$52:$B$58,0)),INDEX(TABLAS!$F$52:$F$58,MATCH(CF30,TABLAS!$B$52:$B$58,0)))),5)))</f>
        <v>125</v>
      </c>
      <c r="CW30" s="56">
        <f>MAX(0,INT((F30*100-DATOS!$C$17+DATOS!$C$13)/DATOS!$C$16))</f>
        <v>4</v>
      </c>
      <c r="CX30" s="56">
        <f>MAX(0,INT((G30*100-DATOS!$C$17+DATOS!$C$13)/DATOS!$C$16))</f>
        <v>2</v>
      </c>
      <c r="CY30" s="51" t="str">
        <f>IF(COUNTIFS(TRIB!$C$6:$C$255,B30,TRIB!$K$6:$K$255,"NO CUMPLE*")+COUNTIFS(TRIB!$C$6:$C$255,B30,TRIB!$K$6:$K$255,"SIN APOYO*")&gt;0,"VER PRINCIPALES",IF((APOYOS!$F$113="LIBRE")+(APOYOS!$F$114="LIBRE")+(APOYOS!$F$115="LIBRE")+(APOYOS!$F$116="LIBRE")&gt;0,"REVISAR: borde libre","OK"))</f>
        <v>OK</v>
      </c>
      <c r="CZ30" s="64" t="str">
        <f>IF(D30="HUECO","HUECO — marco de nervaduras principales",IF(AND(MAX(BL30,BT30,CB30,CJ30)&lt;=1,NOT(OR(BI30&gt;MIN(DATOS!$C$28,INT(((DATOS!$C$13-2*R30-2*IF(DATOS!$C$25=0,0,INDEX(TABLAS!$C$52:$C$58,MATCH(DATOS!$C$25,TABLAS!$B$52:$B$58,0))))+DATOS!$C$32)/(INDEX(TABLAS!$C$52:$C$58,MATCH(BH30,TABLAS!$B$52:$B$58,0))+DATOS!$C$32))),BQ30&gt;MIN(DATOS!$C$28,INT(((DATOS!$C$13-2*S30-2*IF(DATOS!$C$25=0,0,INDEX(TABLAS!$C$52:$C$58,MATCH(DATOS!$C$25,TABLAS!$B$52:$B$58,0))))+DATOS!$C$32)/(INDEX(TABLAS!$C$52:$C$58,MATCH(BP30,TABLAS!$B$52:$B$58,0))+DATOS!$C$32))),BY30&gt;MIN(DATOS!$C$28,INT(((DATOS!$C$13-2*R30-2*IF(DATOS!$C$25=0,0,INDEX(TABLAS!$C$52:$C$58,MATCH(DATOS!$C$25,TABLAS!$B$52:$B$58,0))))+DATOS!$C$32)/(INDEX(TABLAS!$C$52:$C$58,MATCH(BX30,TABLAS!$B$52:$B$58,0))+DATOS!$C$32))),CG30&gt;MIN(DATOS!$C$28,INT(((DATOS!$C$13-2*S30-2*IF(DATOS!$C$25=0,0,INDEX(TABLAS!$C$52:$C$58,MATCH(DATOS!$C$25,TABLAS!$B$52:$B$58,0))))+DATOS!$C$32)/(INDEX(TABLAS!$C$52:$C$58,MATCH(CF30,TABLAS!$B$52:$B$58,0))+DATOS!$C$32))))),NOT(OR(AND(ISNUMBER(BM30),BM30&lt;0.005),AND(ISNUMBER(BU30),BU30&lt;0.005),AND(ISNUMBER(CC30),CC30&lt;0.005),AND(ISNUMBER(CK30),CK30&lt;0.005))),CS30="CUMPLE",CT30="CUMPLE"),IF(CY30="OK",IF(LEFT(CO30,6)="CUMPLE","CUMPLE","CUMPLE — "&amp;CO30)&amp;IF(LEFT(AZ30,5)="FUERA"," · fuera de 3.4.2.1 c)",""),IF(CY30="VER PRINCIPALES","VER PRINCIPALES","REVISAR APOYOS")),IF(AND(MAX(BL30,BT30,CB30,CJ30)&lt;=1,NOT(OR(BI30&gt;MIN(DATOS!$C$28,INT(((DATOS!$C$13-2*R30-2*IF(DATOS!$C$25=0,0,INDEX(TABLAS!$C$52:$C$58,MATCH(DATOS!$C$25,TABLAS!$B$52:$B$58,0))))+DATOS!$C$32)/(INDEX(TABLAS!$C$52:$C$58,MATCH(BH30,TABLAS!$B$52:$B$58,0))+DATOS!$C$32))),BQ30&gt;MIN(DATOS!$C$28,INT(((DATOS!$C$13-2*S30-2*IF(DATOS!$C$25=0,0,INDEX(TABLAS!$C$52:$C$58,MATCH(DATOS!$C$25,TABLAS!$B$52:$B$58,0))))+DATOS!$C$32)/(INDEX(TABLAS!$C$52:$C$58,MATCH(BP30,TABLAS!$B$52:$B$58,0))+DATOS!$C$32))),BY30&gt;MIN(DATOS!$C$28,INT(((DATOS!$C$13-2*R30-2*IF(DATOS!$C$25=0,0,INDEX(TABLAS!$C$52:$C$58,MATCH(DATOS!$C$25,TABLAS!$B$52:$B$58,0))))+DATOS!$C$32)/(INDEX(TABLAS!$C$52:$C$58,MATCH(BX30,TABLAS!$B$52:$B$58,0))+DATOS!$C$32))),CG30&gt;MIN(DATOS!$C$28,INT(((DATOS!$C$13-2*S30-2*IF(DATOS!$C$25=0,0,INDEX(TABLAS!$C$52:$C$58,MATCH(DATOS!$C$25,TABLAS!$B$52:$B$58,0))))+DATOS!$C$32)/(INDEX(TABLAS!$C$52:$C$58,MATCH(CF30,TABLAS!$B$52:$B$58,0))+DATOS!$C$32))))),NOT(OR(AND(ISNUMBER(BM30),BM30&lt;0.005),AND(ISNUMBER(BU30),BU30&lt;0.005),AND(ISNUMBER(CC30),CC30&lt;0.005),AND(ISNUMBER(CK30),CK30&lt;0.005))),CS30="CALCULAR FLECHA"),"REVISAR: calcular flecha (h_eq &lt; h mín.)","NO CUMPLE: "&amp;IF(MAX(BL30,BT30,CB30,CJ30)&gt;1,"flexión ","")&amp;IF(OR(BI30&gt;MIN(DATOS!$C$28,INT(((DATOS!$C$13-2*R30-2*IF(DATOS!$C$25=0,0,INDEX(TABLAS!$C$52:$C$58,MATCH(DATOS!$C$25,TABLAS!$B$52:$B$58,0))))+DATOS!$C$32)/(INDEX(TABLAS!$C$52:$C$58,MATCH(BH30,TABLAS!$B$52:$B$58,0))+DATOS!$C$32))),BQ30&gt;MIN(DATOS!$C$28,INT(((DATOS!$C$13-2*S30-2*IF(DATOS!$C$25=0,0,INDEX(TABLAS!$C$52:$C$58,MATCH(DATOS!$C$25,TABLAS!$B$52:$B$58,0))))+DATOS!$C$32)/(INDEX(TABLAS!$C$52:$C$58,MATCH(BP30,TABLAS!$B$52:$B$58,0))+DATOS!$C$32))),BY30&gt;MIN(DATOS!$C$28,INT(((DATOS!$C$13-2*R30-2*IF(DATOS!$C$25=0,0,INDEX(TABLAS!$C$52:$C$58,MATCH(DATOS!$C$25,TABLAS!$B$52:$B$58,0))))+DATOS!$C$32)/(INDEX(TABLAS!$C$52:$C$58,MATCH(BX30,TABLAS!$B$52:$B$58,0))+DATOS!$C$32))),CG30&gt;MIN(DATOS!$C$28,INT(((DATOS!$C$13-2*S30-2*IF(DATOS!$C$25=0,0,INDEX(TABLAS!$C$52:$C$58,MATCH(DATOS!$C$25,TABLAS!$B$52:$B$58,0))))+DATOS!$C$32)/(INDEX(TABLAS!$C$52:$C$58,MATCH(CF30,TABLAS!$B$52:$B$58,0))+DATOS!$C$32)))),"no caben ","")&amp;IF(OR(AND(ISNUMBER(BM30),BM30&lt;0.005),AND(ISNUMBER(BU30),BU30&lt;0.005),AND(ISNUMBER(CC30),CC30&lt;0.005),AND(ISNUMBER(CK30),CK30&lt;0.005)),"ε_t &lt; 0.005 ","")&amp;IF(CS30="NO CUMPLE","peralte ","")&amp;IF(CT30&lt;&gt;"CUMPLE","capa &lt; 6 cm",""))))</f>
        <v>CUMPLE · fuera de 3.4.2.1 c)</v>
      </c>
      <c r="DA30" s="65" t="str">
        <f>IF(AND(D30="PERIMETRAL",MIN(CW30,CX30)=0),"Tablero macizo (no cabe un casetón en el claro corto): no aplica 6.7.8. La resistencia se revisa con una nervadura de 10 cm cada 70 cm y r_np (conservador); "&amp;"como losa maciza lleva además As,mín = 0.0018·Ag en cada dirección cerca de la cara a tensión (6.7.6.1.1, p. 175). ",IF(AND(CL30="NO",D30="PERIMETRAL"),"No cumple 6.7.8.1.4 (a_c = "&amp;DATOS!$C$11&amp;" cm &gt; claro corto/6 = "&amp;TEXT(J30*100/6,"0")&amp;" cm): se diseña como losa apoyada en vigas (6.7.8.1.9): nervaduras con recubrimiento de viga r_np = "&amp;DATOS!$C$22&amp;" cm (Tabla 4.14.16.a), V_cR sin ×1.1 y cortante sin estribos por 5.5.3.8.1 (criterio del Proyectista). Para que cuente como encasetonada: casetón de "&amp;TEXT(FLOOR(MIN(80,J30*100/6),1),"0")&amp;" cm o menor. ",""))&amp;IF(LEFT(AZ30,5)="FUERA","M⁻ del borde común "&amp;AZ30&amp;": difieren más de 50% (3.4.2.1 c); se distribuyen 2/3 del desequilibrio (3.4.3.1) y conviene confirmar los momentos con el modelo. ","")&amp;"En el E2K está como «Slab1» (maciza 20 cm, 4000 psi): corregir a LR-25."</f>
        <v>No cumple 6.7.8.1.4 (a_c = 60 cm &gt; claro corto/6 = 30 cm): se diseña como losa apoyada en vigas (6.7.8.1.9): nervaduras con recubrimiento de viga r_np = 4 cm (Tabla 4.14.16.a), V_cR sin ×1.1 y cortante sin estribos por 5.5.3.8.1 (criterio del Proyectista). Para que cuente como encasetonada: casetón de 30 cm o menor. M⁻ del borde común FUERA con F80027 F80032: difieren más de 50% (3.4.2.1 c); se distribuyen 2/3 del desequilibrio (3.4.3.1) y conviene confirmar los momentos con el modelo. En el E2K está como «Slab1» (maciza 20 cm, 4000 psi): corregir a LR-25.</v>
      </c>
    </row>
    <row r="31" ht="30" customHeight="1">
      <c r="B31" s="51" t="inlineStr">
        <is>
          <t>F80023 N+6.00</t>
        </is>
      </c>
      <c r="C31" s="52" t="inlineStr">
        <is>
          <t>N+6.00</t>
        </is>
      </c>
      <c r="D31" s="53" t="inlineStr">
        <is>
          <t>PERIMETRAL</t>
        </is>
      </c>
      <c r="E31" s="53" t="inlineStr">
        <is>
          <t>AZOTEA</t>
        </is>
      </c>
      <c r="F31" s="54" t="n">
        <v>1.596</v>
      </c>
      <c r="G31" s="54" t="n">
        <v>3.025</v>
      </c>
      <c r="H31" s="55" t="n">
        <v>1.596</v>
      </c>
      <c r="I31" s="55" t="n">
        <v>3.025</v>
      </c>
      <c r="J31" s="36">
        <f>MIN(H31,I31)</f>
        <v>1.596</v>
      </c>
      <c r="K31" s="36">
        <f>MAX(H31,I31)</f>
        <v>3.025</v>
      </c>
      <c r="L31" s="36">
        <f>IF(K31&gt;0,J31/K31,0)</f>
        <v>0.527603305785124</v>
      </c>
      <c r="M31" s="52" t="str">
        <f>IF(H31&lt;=I31,"X","Y")</f>
        <v>X</v>
      </c>
      <c r="N31" s="56">
        <f>MAX(0,J31*100-IF(D31="VOLADO",DATOS!$C$17/2,DATOS!$C$17))</f>
        <v>144.6</v>
      </c>
      <c r="O31" s="56">
        <f>MAX(0,K31*100-DATOS!$C$17)</f>
        <v>287.5</v>
      </c>
      <c r="P31" s="57">
        <f>MIN(DATOS!$C$16,DATOS!$C$13+2*MIN(8*DATOS!$C$14,DATOS!$C$11/2,N31/8))</f>
        <v>46.15</v>
      </c>
      <c r="Q31" s="57">
        <f>MIN(DATOS!$C$16,DATOS!$C$13+2*MIN(8*DATOS!$C$14,DATOS!$C$11/2,O31/8))</f>
        <v>70</v>
      </c>
      <c r="R31" s="57">
        <f>IF(D31="VOLADO",DATOS!$C$21,IF(CL31="NO",DATOS!$C$22,DATOS!$C$20))</f>
        <v>4</v>
      </c>
      <c r="S31" s="57">
        <f>IF(OR(AND(C31="N+6.00",DATOS!$C$23="SÍ"),AND(D31="VOLADO",DATOS!$C$24="SÍ")),DATOS!$C$21,IF(CL31="NO",DATOS!$C$22,DATOS!$C$20))</f>
        <v>4</v>
      </c>
      <c r="T31" s="58" t="n">
        <v>270</v>
      </c>
      <c r="U31" s="56">
        <f>IF(E31="HABITACIÓN",DATOS!$C$89,DATOS!$C$92)</f>
        <v>100</v>
      </c>
      <c r="V31" s="56">
        <f>CARGAS!$C$9</f>
        <v>293.673469387755</v>
      </c>
      <c r="W31" s="56">
        <f>V31+T31</f>
        <v>563.673469387755</v>
      </c>
      <c r="X31" s="56">
        <f>W31+U31</f>
        <v>663.673469387755</v>
      </c>
      <c r="Y31" s="59">
        <f>MAX(DATOS!$C$55*W31+DATOS!$C$56*U31,IF(E31="AZOTEA",DATOS!$C$57*(W31+DATOS!$C$97),0))</f>
        <v>882.775510204082</v>
      </c>
      <c r="Z31" s="56">
        <f>(APOYOS!$G$117="DISCONTINUO")+(APOYOS!$G$118="DISCONTINUO")+(APOYOS!$G$119="DISCONTINUO")+(APOYOS!$G$120="DISCONTINUO")</f>
        <v>2</v>
      </c>
      <c r="AA31" s="56">
        <f>IF(M31="X",(APOYOS!$G$117="DISCONTINUO")+(APOYOS!$G$118="DISCONTINUO"),(APOYOS!$G$119="DISCONTINUO")+(APOYOS!$G$120="DISCONTINUO"))</f>
        <v>1</v>
      </c>
      <c r="AB31" s="56">
        <f>Z31-AA31</f>
        <v>1</v>
      </c>
      <c r="AC31" s="52" t="str">
        <f>IF(Z31=0,"INTERIOR",IF(Z31=1,IF(AA31=1,"BORDE-CORTO","BORDE-LARGO"),IF(Z31=2,IF(AA31=1,"ESQUINA",IF(AA31=2,"EXTREMO-LARGO","EXTREMO-CORTO")),IF(Z31=3,IF(AA31=2,"EXTREMO-LARGO","EXTREMO-CORTO"),"AISLADO"))))</f>
        <v>ESQUINA</v>
      </c>
      <c r="AD31" s="53" t="inlineStr">
        <is>
          <t>AUTO</t>
        </is>
      </c>
      <c r="AE31" s="60" t="str">
        <f>IF(AD31="AUTO",AC31,AD31)</f>
        <v>ESQUINA</v>
      </c>
      <c r="AF31" s="56">
        <f>MATCH(L31,TABLAS!$D$5:$J$5,1)</f>
        <v>2</v>
      </c>
      <c r="AG31" s="43">
        <f>IF(AF31&gt;=7,0,(L31-INDEX(TABLAS!$D$5:$J$5,AF31))/(INDEX(TABLAS!$D$5:$J$5,AF31+1)-INDEX(TABLAS!$D$5:$J$5,AF31)))</f>
        <v>0.276033057851241</v>
      </c>
      <c r="AH31" s="56">
        <f>INDEX(TABLAS!$D$6:$J$47,MATCH(AE31&amp;"|NIC",TABLAS!$B$6:$B$47,0),AF31)+AG31*(INDEX(TABLAS!$D$6:$J$47,MATCH(AE31&amp;"|NIC",TABLAS!$B$6:$B$47,0),MIN(AF31+1,7))-INDEX(TABLAS!$D$6:$J$47,MATCH(AE31&amp;"|NIC",TABLAS!$B$6:$B$47,0),AF31))</f>
        <v>1289.25289256198</v>
      </c>
      <c r="AI31" s="56">
        <f>INDEX(TABLAS!$D$6:$J$47,MATCH(AE31&amp;"|NIL",TABLAS!$B$6:$B$47,0),AF31)+AG31*(INDEX(TABLAS!$D$6:$J$47,MATCH(AE31&amp;"|NIL",TABLAS!$B$6:$B$47,0),MIN(AF31+1,7))-INDEX(TABLAS!$D$6:$J$47,MATCH(AE31&amp;"|NIL",TABLAS!$B$6:$B$47,0),AF31))</f>
        <v>570.338842975207</v>
      </c>
      <c r="AJ31" s="56">
        <f>INDEX(TABLAS!$D$6:$J$47,MATCH(AE31&amp;"|NDC",TABLAS!$B$6:$B$47,0),AF31)+AG31*(INDEX(TABLAS!$D$6:$J$47,MATCH(AE31&amp;"|NDC",TABLAS!$B$6:$B$47,0),MIN(AF31+1,7))-INDEX(TABLAS!$D$6:$J$47,MATCH(AE31&amp;"|NDC",TABLAS!$B$6:$B$47,0),AF31))</f>
        <v>350.682644628099</v>
      </c>
      <c r="AK31" s="56">
        <f>INDEX(TABLAS!$D$6:$J$47,MATCH(AE31&amp;"|NDL",TABLAS!$B$6:$B$47,0),AF31)+AG31*(INDEX(TABLAS!$D$6:$J$47,MATCH(AE31&amp;"|NDL",TABLAS!$B$6:$B$47,0),MIN(AF31+1,7))-INDEX(TABLAS!$D$6:$J$47,MATCH(AE31&amp;"|NDL",TABLAS!$B$6:$B$47,0),AF31))</f>
        <v>329.411570247934</v>
      </c>
      <c r="AL31" s="56">
        <f>INDEX(TABLAS!$D$6:$J$47,MATCH(AE31&amp;"|PC",TABLAS!$B$6:$B$47,0),AF31)+AG31*(INDEX(TABLAS!$D$6:$J$47,MATCH(AE31&amp;"|PC",TABLAS!$B$6:$B$47,0),MIN(AF31+1,7))-INDEX(TABLAS!$D$6:$J$47,MATCH(AE31&amp;"|PC",TABLAS!$B$6:$B$47,0),AF31))</f>
        <v>447.859504132231</v>
      </c>
      <c r="AM31" s="56">
        <f>INDEX(TABLAS!$D$6:$J$47,MATCH(AE31&amp;"|PL",TABLAS!$B$6:$B$47,0),AF31)+AG31*(INDEX(TABLAS!$D$6:$J$47,MATCH(AE31&amp;"|PL",TABLAS!$B$6:$B$47,0),MIN(AF31+1,7))-INDEX(TABLAS!$D$6:$J$47,MATCH(AE31&amp;"|PL",TABLAS!$B$6:$B$47,0),AF31))</f>
        <v>296.895867768595</v>
      </c>
      <c r="AN31" s="36">
        <f>IF(D31="PERIMETRAL",IF(APOYOS!$G$117="CONTINUO",IF(M31="Y",AH31,AI31),IF(M31="Y",AJ31,AK31))*Y31*J31^2*1E-4*DATOS!$C$16/100/1000,0)</f>
        <v>0.0518504989427179</v>
      </c>
      <c r="AO31" s="36">
        <f>IF(D31="PERIMETRAL",IF(APOYOS!$G$118="CONTINUO",IF(M31="Y",AH31,AI31),IF(M31="Y",AJ31,AK31))*Y31*J31^2*1E-4*DATOS!$C$16/100/1000,0)</f>
        <v>0.0897732692036866</v>
      </c>
      <c r="AP31" s="36">
        <f>IF(D31="PERIMETRAL",IF(APOYOS!$G$119="CONTINUO",IF(M31="X",AH31,AI31),IF(M31="X",AJ31,AK31))*Y31*J31^2*1E-4*DATOS!$C$16/100/1000,0)</f>
        <v>0.202932780085311</v>
      </c>
      <c r="AQ31" s="36">
        <f>IF(D31="PERIMETRAL",IF(APOYOS!$G$120="CONTINUO",IF(M31="X",AH31,AI31),IF(M31="X",AJ31,AK31))*Y31*J31^2*1E-4*DATOS!$C$16/100/1000,0)</f>
        <v>0.0551986382288672</v>
      </c>
      <c r="AR31" s="56">
        <f>IF(D31="PERIMETRAL",IF(M31="X",BN31,CD31)^3/(J31*100),0)</f>
        <v>45.6702453688534</v>
      </c>
      <c r="AS31" s="56">
        <f>IF(D31="PERIMETRAL",IF(M31="Y",BN31,CD31)^3/(J31*100),0)</f>
        <v>37.2708920999937</v>
      </c>
      <c r="AT31" s="36">
        <f>IF(D31="PERIMETRAL",MAX(0,IF(M31="Y",IF(AND(OR(APOYOS!$G$118="CONTINUO",APOYOS!$G$153="CONTINUO"),AO31&gt;0,AN40&gt;0,AN40&gt;AO31),AO31+2/3*(AN40-AO31)*AS31/MAX(AS31+AS40,1E-9),0),0),IF(M31="X",IF(AND(OR(APOYOS!$G$119="CONTINUO",APOYOS!$G$124="CONTINUO"),AP31&gt;0,AQ32&gt;0,AQ32&gt;AP31),AP31+2/3*(AQ32-AP31)*AR31/MAX(AR31+AR32,1E-9),0),0)),0)</f>
        <v>0.435614641465121</v>
      </c>
      <c r="AU31" s="36">
        <f>IF(D31="PERIMETRAL",MAX(0,IF(M31&lt;&gt;"Y",IF(AND(OR(APOYOS!$G$118="CONTINUO",APOYOS!$G$153="CONTINUO"),AO31&gt;0,AN40&gt;0,AN40&gt;AO31),AO31+2/3*(AN40-AO31)*AS31/MAX(AS31+AS40,1E-9),0),0),IF(M31&lt;&gt;"X",IF(AND(OR(APOYOS!$G$119="CONTINUO",APOYOS!$G$124="CONTINUO"),AP31&gt;0,AQ32&gt;0,AQ32&gt;AP31),AP31+2/3*(AQ32-AP31)*AR31/MAX(AR31+AR32,1E-9),0),0)),0)</f>
        <v>0</v>
      </c>
      <c r="AV31" s="36">
        <f>IF(D31="PERIMETRAL",(IF(M31="Y",IF(AND(OR(APOYOS!$G$118="CONTINUO",APOYOS!$G$153="CONTINUO"),AO31&gt;0,AN40&gt;0,AO31&gt;AN40),2/3*(AO31-AN40)*AS31/MAX(AS31+AS40,1E-9),0),0)+IF(M31="X",IF(AND(OR(APOYOS!$G$119="CONTINUO",APOYOS!$G$124="CONTINUO"),AP31&gt;0,AQ32&gt;0,AP31&gt;AQ32),2/3*(AP31-AQ32)*AR31/MAX(AR31+AR32,1E-9),0),0))/2,0)</f>
        <v>0</v>
      </c>
      <c r="AW31" s="36">
        <f>IF(D31="PERIMETRAL",(IF(M31&lt;&gt;"Y",IF(AND(OR(APOYOS!$G$118="CONTINUO",APOYOS!$G$153="CONTINUO"),AO31&gt;0,AN40&gt;0,AO31&gt;AN40),2/3*(AO31-AN40)*AS31/MAX(AS31+AS40,1E-9),0),0)+IF(M31&lt;&gt;"X",IF(AND(OR(APOYOS!$G$119="CONTINUO",APOYOS!$G$124="CONTINUO"),AP31&gt;0,AQ32&gt;0,AP31&gt;AQ32),2/3*(AP31-AQ32)*AR31/MAX(AR31+AR32,1E-9),0),0))/2,0)</f>
        <v>0.00449594441093548</v>
      </c>
      <c r="AX31" s="36">
        <f>IF(D31="PERIMETRAL",MAX(0,0),0)</f>
        <v>0</v>
      </c>
      <c r="AY31" s="52" t="str">
        <f>IF(D31&lt;&gt;"PERIMETRAL","",IF(AND(OR(APOYOS!$G$118="CONTINUO",APOYOS!$G$153="CONTINUO"),AO31&gt;0,AN40&gt;0,ABS(AO31-AN40)&gt;0.5*MIN(AO31,AN40))," F80032","")&amp;IF(AND(OR(APOYOS!$G$119="CONTINUO",APOYOS!$G$124="CONTINUO"),AP31&gt;0,AQ32&gt;0,ABS(AP31-AQ32)&gt;0.5*MIN(AP31,AQ32))," F80024",""))</f>
        <v> F80024</v>
      </c>
      <c r="AZ31" s="52" t="str">
        <f>IF(D31&lt;&gt;"PERIMETRAL","—",IF(AY31="","CUMPLE","FUERA con"&amp;AY31)&amp;IF(AND(D40="PERIMETRAL",APOYOS!$G$118&lt;&gt;APOYOS!$G$153)," · continuidad asimétrica con F80032 (cada uno con su momento; revisar APOYOS)","")&amp;IF(AND(D32="PERIMETRAL",APOYOS!$G$119&lt;&gt;APOYOS!$G$124)," · continuidad asimétrica con F80024 (cada uno con su momento; revisar APOYOS)",""))</f>
        <v>FUERA con F80024 · continuidad asimétrica con F80032 (cada uno con su momento; revisar APOYOS)</v>
      </c>
      <c r="BA31" s="61" t="n">
        <v>0</v>
      </c>
      <c r="BB31" s="36">
        <f>IF(D31="PERIMETRAL",AL31*Y31*J31^2*1E-4*DATOS!$C$16/100/1000+AV31,0)</f>
        <v>0.0704946056631114</v>
      </c>
      <c r="BC31" s="36">
        <f>IF(D31="PERIMETRAL",MAX(MAX(AH31,AJ31)*Y31*J31^2*1E-4*DATOS!$C$16/100/1000,AT31),IF(D31="VOLADO",(Y31*(N31/100)^2/2+DATOS!$C$55*BA31*N31/100)*DATOS!$C$16/100/1000,0))</f>
        <v>0.435614641465121</v>
      </c>
      <c r="BD31" s="36">
        <f>IF(D31="PERIMETRAL",AM31*Y31*J31^2*1E-4*DATOS!$C$16/100/1000+AW31,0)</f>
        <v>0.0512283614485225</v>
      </c>
      <c r="BE31" s="36">
        <f>IF(D31="PERIMETRAL",MAX(MAX(AI31,AK31)*Y31*J31^2*1E-4*DATOS!$C$16/100/1000,AU31),0)</f>
        <v>0.0897732692036866</v>
      </c>
      <c r="BF31" s="43">
        <f>(DATOS!$C$15-R31-IF(DATOS!$C$25=0,0,INDEX(TABLAS!$C$52:$C$58,MATCH(DATOS!$C$25,TABLAS!$B$52:$B$58,0)))-INDEX(TABLAS!$C$52:$C$58,MATCH(DATOS!$C$26,TABLAS!$B$52:$B$58,0))/2)</f>
        <v>20.365</v>
      </c>
      <c r="BG31" s="43">
        <f>IF(D31="HUECO",0,IF(IF(BB31&lt;=0,0,IF((1-2*BB31*1E5/(DATOS!$C$58*P31*BF31^2*DATOS!$C$48))&lt;0,-1,IF((1-SQRT((1-2*BB31*1E5/(DATOS!$C$58*P31*BF31^2*DATOS!$C$48))))*DATOS!$C$48*P31*BF31/DATOS!$C$40&gt;DATOS!$C$82*P31*BF31,-1,(1-SQRT((1-2*BB31*1E5/(DATOS!$C$58*P31*BF31^2*DATOS!$C$48))))*DATOS!$C$48*P31*BF31/DATOS!$C$40)))&lt;0,-1,MAX(IF(BB31&lt;=0,0,IF((1-2*BB31*1E5/(DATOS!$C$58*P31*BF31^2*DATOS!$C$48))&lt;0,-1,IF((1-SQRT((1-2*BB31*1E5/(DATOS!$C$58*P31*BF31^2*DATOS!$C$48))))*DATOS!$C$48*P31*BF31/DATOS!$C$40&gt;DATOS!$C$82*P31*BF31,-1,(1-SQRT((1-2*BB31*1E5/(DATOS!$C$58*P31*BF31^2*DATOS!$C$48))))*DATOS!$C$48*P31*BF31/DATOS!$C$40))),MIN(DATOS!$C$83*DATOS!$C$13*BF31,4/3*IF(BB31&lt;=0,0,IF((1-2*BB31*1E5/(DATOS!$C$58*P31*BF31^2*DATOS!$C$48))&lt;0,-1,IF((1-SQRT((1-2*BB31*1E5/(DATOS!$C$58*P31*BF31^2*DATOS!$C$48))))*DATOS!$C$48*P31*BF31/DATOS!$C$40&gt;DATOS!$C$82*P31*BF31,-1,(1-SQRT((1-2*BB31*1E5/(DATOS!$C$58*P31*BF31^2*DATOS!$C$48))))*DATOS!$C$48*P31*BF31/DATOS!$C$40)))))))</f>
        <v>0.122218569976039</v>
      </c>
      <c r="BH31" s="41">
        <f>IF(AND(BG31&gt;=0,IF(MAX(DATOS!$C$29,CEILING(BG31/INDEX(TABLAS!$D$52:$D$58,MIN(MATCH(DATOS!$C$26,TABLAS!$B$52:$B$58,0)+0,7)),1))*INDEX(TABLAS!$D$52:$D$58,MIN(MATCH(DATOS!$C$26,TABLAS!$B$52:$B$58,0)+0,7))&gt;=4/3*IF(BB31&lt;=0,0,IF((1-2*BB31*1E5/(DATOS!$C$58*P31*BF31^2*DATOS!$C$48))&lt;0,-1,IF((1-SQRT((1-2*BB31*1E5/(DATOS!$C$58*P31*BF31^2*DATOS!$C$48))))*DATOS!$C$48*P31*BF31/DATOS!$C$40&gt;DATOS!$C$82*P31*BF31,-1,(1-SQRT((1-2*BB31*1E5/(DATOS!$C$58*P31*BF31^2*DATOS!$C$48))))*DATOS!$C$48*P31*BF31/DATOS!$C$40)))-0.0001,MAX(DATOS!$C$29,CEILING(BG31/INDEX(TABLAS!$D$52:$D$58,MIN(MATCH(DATOS!$C$26,TABLAS!$B$52:$B$58,0)+0,7)),1)),MAX(MAX(DATOS!$C$29,CEILING(BG31/INDEX(TABLAS!$D$52:$D$58,MIN(MATCH(DATOS!$C$26,TABLAS!$B$52:$B$58,0)+0,7)),1)),2))&lt;=MIN(DATOS!$C$28,INT(((DATOS!$C$13-2*R31-2*IF(DATOS!$C$25=0,0,INDEX(TABLAS!$C$52:$C$58,MATCH(DATOS!$C$25,TABLAS!$B$52:$B$58,0))))+MAX(DATOS!$C$32,INDEX(TABLAS!$C$52:$C$58,MIN(MATCH(DATOS!$C$26,TABLAS!$B$52:$B$58,0)+0,7))))/(INDEX(TABLAS!$C$52:$C$58,MIN(MATCH(DATOS!$C$26,TABLAS!$B$52:$B$58,0)+0,7))+MAX(DATOS!$C$32,INDEX(TABLAS!$C$52:$C$58,MIN(MATCH(DATOS!$C$26,TABLAS!$B$52:$B$58,0)+0,7))))))),INDEX(TABLAS!$B$52:$B$58,MIN(MATCH(DATOS!$C$26,TABLAS!$B$52:$B$58,0)+0,7)),IF(AND(BG31&gt;=0,IF(MAX(DATOS!$C$29,CEILING(BG31/INDEX(TABLAS!$D$52:$D$58,MIN(MATCH(DATOS!$C$26,TABLAS!$B$52:$B$58,0)+1,7)),1))*INDEX(TABLAS!$D$52:$D$58,MIN(MATCH(DATOS!$C$26,TABLAS!$B$52:$B$58,0)+1,7))&gt;=4/3*IF(BB31&lt;=0,0,IF((1-2*BB31*1E5/(DATOS!$C$58*P31*BF31^2*DATOS!$C$48))&lt;0,-1,IF((1-SQRT((1-2*BB31*1E5/(DATOS!$C$58*P31*BF31^2*DATOS!$C$48))))*DATOS!$C$48*P31*BF31/DATOS!$C$40&gt;DATOS!$C$82*P31*BF31,-1,(1-SQRT((1-2*BB31*1E5/(DATOS!$C$58*P31*BF31^2*DATOS!$C$48))))*DATOS!$C$48*P31*BF31/DATOS!$C$40)))-0.0001,MAX(DATOS!$C$29,CEILING(BG31/INDEX(TABLAS!$D$52:$D$58,MIN(MATCH(DATOS!$C$26,TABLAS!$B$52:$B$58,0)+1,7)),1)),MAX(MAX(DATOS!$C$29,CEILING(BG31/INDEX(TABLAS!$D$52:$D$58,MIN(MATCH(DATOS!$C$26,TABLAS!$B$52:$B$58,0)+1,7)),1)),2))&lt;=MIN(DATOS!$C$28,INT(((DATOS!$C$13-2*R31-2*IF(DATOS!$C$25=0,0,INDEX(TABLAS!$C$52:$C$58,MATCH(DATOS!$C$25,TABLAS!$B$52:$B$58,0))))+MAX(DATOS!$C$32,INDEX(TABLAS!$C$52:$C$58,MIN(MATCH(DATOS!$C$26,TABLAS!$B$52:$B$58,0)+1,7))))/(INDEX(TABLAS!$C$52:$C$58,MIN(MATCH(DATOS!$C$26,TABLAS!$B$52:$B$58,0)+1,7))+MAX(DATOS!$C$32,INDEX(TABLAS!$C$52:$C$58,MIN(MATCH(DATOS!$C$26,TABLAS!$B$52:$B$58,0)+1,7))))))),INDEX(TABLAS!$B$52:$B$58,MIN(MATCH(DATOS!$C$26,TABLAS!$B$52:$B$58,0)+1,7)),IF(AND(BG31&gt;=0,IF(MAX(DATOS!$C$29,CEILING(BG31/INDEX(TABLAS!$D$52:$D$58,MIN(MATCH(DATOS!$C$26,TABLAS!$B$52:$B$58,0)+2,7)),1))*INDEX(TABLAS!$D$52:$D$58,MIN(MATCH(DATOS!$C$26,TABLAS!$B$52:$B$58,0)+2,7))&gt;=4/3*IF(BB31&lt;=0,0,IF((1-2*BB31*1E5/(DATOS!$C$58*P31*BF31^2*DATOS!$C$48))&lt;0,-1,IF((1-SQRT((1-2*BB31*1E5/(DATOS!$C$58*P31*BF31^2*DATOS!$C$48))))*DATOS!$C$48*P31*BF31/DATOS!$C$40&gt;DATOS!$C$82*P31*BF31,-1,(1-SQRT((1-2*BB31*1E5/(DATOS!$C$58*P31*BF31^2*DATOS!$C$48))))*DATOS!$C$48*P31*BF31/DATOS!$C$40)))-0.0001,MAX(DATOS!$C$29,CEILING(BG31/INDEX(TABLAS!$D$52:$D$58,MIN(MATCH(DATOS!$C$26,TABLAS!$B$52:$B$58,0)+2,7)),1)),MAX(MAX(DATOS!$C$29,CEILING(BG31/INDEX(TABLAS!$D$52:$D$58,MIN(MATCH(DATOS!$C$26,TABLAS!$B$52:$B$58,0)+2,7)),1)),2))&lt;=MIN(DATOS!$C$28,INT(((DATOS!$C$13-2*R31-2*IF(DATOS!$C$25=0,0,INDEX(TABLAS!$C$52:$C$58,MATCH(DATOS!$C$25,TABLAS!$B$52:$B$58,0))))+MAX(DATOS!$C$32,INDEX(TABLAS!$C$52:$C$58,MIN(MATCH(DATOS!$C$26,TABLAS!$B$52:$B$58,0)+2,7))))/(INDEX(TABLAS!$C$52:$C$58,MIN(MATCH(DATOS!$C$26,TABLAS!$B$52:$B$58,0)+2,7))+MAX(DATOS!$C$32,INDEX(TABLAS!$C$52:$C$58,MIN(MATCH(DATOS!$C$26,TABLAS!$B$52:$B$58,0)+2,7))))))),INDEX(TABLAS!$B$52:$B$58,MIN(MATCH(DATOS!$C$26,TABLAS!$B$52:$B$58,0)+2,7)),IF(AND(BG31&gt;=0,IF(MAX(DATOS!$C$29,CEILING(BG31/INDEX(TABLAS!$D$52:$D$58,MIN(MATCH(DATOS!$C$26,TABLAS!$B$52:$B$58,0)+3,7)),1))*INDEX(TABLAS!$D$52:$D$58,MIN(MATCH(DATOS!$C$26,TABLAS!$B$52:$B$58,0)+3,7))&gt;=4/3*IF(BB31&lt;=0,0,IF((1-2*BB31*1E5/(DATOS!$C$58*P31*BF31^2*DATOS!$C$48))&lt;0,-1,IF((1-SQRT((1-2*BB31*1E5/(DATOS!$C$58*P31*BF31^2*DATOS!$C$48))))*DATOS!$C$48*P31*BF31/DATOS!$C$40&gt;DATOS!$C$82*P31*BF31,-1,(1-SQRT((1-2*BB31*1E5/(DATOS!$C$58*P31*BF31^2*DATOS!$C$48))))*DATOS!$C$48*P31*BF31/DATOS!$C$40)))-0.0001,MAX(DATOS!$C$29,CEILING(BG31/INDEX(TABLAS!$D$52:$D$58,MIN(MATCH(DATOS!$C$26,TABLAS!$B$52:$B$58,0)+3,7)),1)),MAX(MAX(DATOS!$C$29,CEILING(BG31/INDEX(TABLAS!$D$52:$D$58,MIN(MATCH(DATOS!$C$26,TABLAS!$B$52:$B$58,0)+3,7)),1)),2))&lt;=MIN(DATOS!$C$28,INT(((DATOS!$C$13-2*R31-2*IF(DATOS!$C$25=0,0,INDEX(TABLAS!$C$52:$C$58,MATCH(DATOS!$C$25,TABLAS!$B$52:$B$58,0))))+MAX(DATOS!$C$32,INDEX(TABLAS!$C$52:$C$58,MIN(MATCH(DATOS!$C$26,TABLAS!$B$52:$B$58,0)+3,7))))/(INDEX(TABLAS!$C$52:$C$58,MIN(MATCH(DATOS!$C$26,TABLAS!$B$52:$B$58,0)+3,7))+MAX(DATOS!$C$32,INDEX(TABLAS!$C$52:$C$58,MIN(MATCH(DATOS!$C$26,TABLAS!$B$52:$B$58,0)+3,7))))))),INDEX(TABLAS!$B$52:$B$58,MIN(MATCH(DATOS!$C$26,TABLAS!$B$52:$B$58,0)+3,7)),IF(AND(BG31&gt;=0,IF(MAX(DATOS!$C$29,CEILING(BG31/INDEX(TABLAS!$D$52:$D$58,MIN(MATCH(DATOS!$C$26,TABLAS!$B$52:$B$58,0)+4,7)),1))*INDEX(TABLAS!$D$52:$D$58,MIN(MATCH(DATOS!$C$26,TABLAS!$B$52:$B$58,0)+4,7))&gt;=4/3*IF(BB31&lt;=0,0,IF((1-2*BB31*1E5/(DATOS!$C$58*P31*BF31^2*DATOS!$C$48))&lt;0,-1,IF((1-SQRT((1-2*BB31*1E5/(DATOS!$C$58*P31*BF31^2*DATOS!$C$48))))*DATOS!$C$48*P31*BF31/DATOS!$C$40&gt;DATOS!$C$82*P31*BF31,-1,(1-SQRT((1-2*BB31*1E5/(DATOS!$C$58*P31*BF31^2*DATOS!$C$48))))*DATOS!$C$48*P31*BF31/DATOS!$C$40)))-0.0001,MAX(DATOS!$C$29,CEILING(BG31/INDEX(TABLAS!$D$52:$D$58,MIN(MATCH(DATOS!$C$26,TABLAS!$B$52:$B$58,0)+4,7)),1)),MAX(MAX(DATOS!$C$29,CEILING(BG31/INDEX(TABLAS!$D$52:$D$58,MIN(MATCH(DATOS!$C$26,TABLAS!$B$52:$B$58,0)+4,7)),1)),2))&lt;=MIN(DATOS!$C$28,INT(((DATOS!$C$13-2*R31-2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31" s="56">
        <f>IF(D31="HUECO",0,IF(BG31&lt;0,0,IF(MAX(DATOS!$C$29,CEILING(MAX(BG31,0)/INDEX(TABLAS!$D$52:$D$58,MATCH(BH31,TABLAS!$B$52:$B$58,0)),1))*INDEX(TABLAS!$D$52:$D$58,MATCH(BH31,TABLAS!$B$52:$B$58,0))&gt;=4/3*IF(BB31&lt;=0,0,IF((1-2*BB31*1E5/(DATOS!$C$58*P31*BF31^2*DATOS!$C$48))&lt;0,-1,IF((1-SQRT((1-2*BB31*1E5/(DATOS!$C$58*P31*BF31^2*DATOS!$C$48))))*DATOS!$C$48*P31*BF31/DATOS!$C$40&gt;DATOS!$C$82*P31*BF31,-1,(1-SQRT((1-2*BB31*1E5/(DATOS!$C$58*P31*BF31^2*DATOS!$C$48))))*DATOS!$C$48*P31*BF31/DATOS!$C$40)))-0.0001,MAX(DATOS!$C$29,CEILING(MAX(BG31,0)/INDEX(TABLAS!$D$52:$D$58,MATCH(BH31,TABLAS!$B$52:$B$58,0)),1)),MAX(MAX(DATOS!$C$29,CEILING(MAX(BG31,0)/INDEX(TABLAS!$D$52:$D$58,MATCH(BH31,TABLAS!$B$52:$B$58,0)),1)),2))))</f>
        <v>1</v>
      </c>
      <c r="BJ31" s="43">
        <f>DATOS!$C$15-R31-IF(DATOS!$C$25=0,0,INDEX(TABLAS!$C$52:$C$58,MATCH(DATOS!$C$25,TABLAS!$B$52:$B$58,0)))-INDEX(TABLAS!$C$52:$C$58,MATCH(BH31,TABLAS!$B$52:$B$58,0))/2</f>
        <v>20.365</v>
      </c>
      <c r="BK31" s="36">
        <f>IF(BI31=0,0,DATOS!$C$58*BI31*INDEX(TABLAS!$D$52:$D$58,MATCH(BH31,TABLAS!$B$52:$B$58,0))*DATOS!$C$40*(BJ31-BI31*INDEX(TABLAS!$D$52:$D$58,MATCH(BH31,TABLAS!$B$52:$B$58,0))*DATOS!$C$40/(DATOS!$C$48*P31)/2)/1E5)</f>
        <v>0.96458685871455</v>
      </c>
      <c r="BL31" s="62">
        <f>IF(BG31&lt;0,9.99,IF(BK31&gt;0,BB31/BK31,0))</f>
        <v>0.0730826934103742</v>
      </c>
      <c r="BM31" s="63">
        <f>IF(BI31=0,"—",0.003*(BJ31-(BI31*INDEX(TABLAS!$D$52:$D$58,MATCH(BH31,TABLAS!$B$52:$B$58,0))*DATOS!$C$40/(DATOS!$C$48*P31)/DATOS!$C$49))/(BI31*INDEX(TABLAS!$D$52:$D$58,MATCH(BH31,TABLAS!$B$52:$B$58,0))*DATOS!$C$40/(DATOS!$C$48*P31)/DATOS!$C$49))</f>
        <v>0.0924777603873735</v>
      </c>
      <c r="BN31" s="43">
        <f>((DATOS!$C$15-S31-2*DATOS!$C$35-IF(DATOS!$C$25=0,0,INDEX(TABLAS!$C$52:$C$58,MATCH(DATOS!$C$25,TABLAS!$B$52:$B$58,0)))-INDEX(TABLAS!$C$52:$C$58,MATCH(DATOS!$C$27,TABLAS!$B$52:$B$58,0))/2)-IF(AND((DATOS!$C$15-S31-2*DATOS!$C$35-IF(DATOS!$C$25=0,0,INDEX(TABLAS!$C$52:$C$58,MATCH(DATOS!$C$25,TABLAS!$B$52:$B$58,0)))-INDEX(TABLAS!$C$52:$C$58,MATCH(DATOS!$C$27,TABLAS!$B$52:$B$58,0))/2)&lt;=20,DATOS!$C$18&lt;&gt;"SÍ"),2,0))</f>
        <v>19.389</v>
      </c>
      <c r="BO31" s="43">
        <f>IF(D31="HUECO",0,IF(IF(BC31&lt;=0,0,IF((1-2*BC31*1E5/(DATOS!$C$58*DATOS!$C$19*BN31^2*DATOS!$C$48))&lt;0,-1,IF((1-SQRT((1-2*BC31*1E5/(DATOS!$C$58*DATOS!$C$19*BN31^2*DATOS!$C$48))))*DATOS!$C$48*DATOS!$C$19*BN31/DATOS!$C$40&gt;DATOS!$C$82*DATOS!$C$19*BN31,-1,(1-SQRT((1-2*BC31*1E5/(DATOS!$C$58*DATOS!$C$19*BN31^2*DATOS!$C$48))))*DATOS!$C$48*DATOS!$C$19*BN31/DATOS!$C$40)))&lt;0,-1,MAX(IF(BC31&lt;=0,0,IF((1-2*BC31*1E5/(DATOS!$C$58*DATOS!$C$19*BN31^2*DATOS!$C$48))&lt;0,-1,IF((1-SQRT((1-2*BC31*1E5/(DATOS!$C$58*DATOS!$C$19*BN31^2*DATOS!$C$48))))*DATOS!$C$48*DATOS!$C$19*BN31/DATOS!$C$40&gt;DATOS!$C$82*DATOS!$C$19*BN31,-1,(1-SQRT((1-2*BC31*1E5/(DATOS!$C$58*DATOS!$C$19*BN31^2*DATOS!$C$48))))*DATOS!$C$48*DATOS!$C$19*BN31/DATOS!$C$40))),MIN(DATOS!$C$83*IF(D31="VOLADO",2*DATOS!$C$13,DATOS!$C$13)*BN31,4/3*IF(BC31&lt;=0,0,IF((1-2*BC31*1E5/(DATOS!$C$58*DATOS!$C$19*BN31^2*DATOS!$C$48))&lt;0,-1,IF((1-SQRT((1-2*BC31*1E5/(DATOS!$C$58*DATOS!$C$19*BN31^2*DATOS!$C$48))))*DATOS!$C$48*DATOS!$C$19*BN31/DATOS!$C$40&gt;DATOS!$C$82*DATOS!$C$19*BN31,-1,(1-SQRT((1-2*BC31*1E5/(DATOS!$C$58*DATOS!$C$19*BN31^2*DATOS!$C$48))))*DATOS!$C$48*DATOS!$C$19*BN31/DATOS!$C$40)))))))</f>
        <v>0.6463</v>
      </c>
      <c r="BP31" s="41">
        <f>IF(AND(BO31&gt;=0,IF(MAX(DATOS!$C$29,CEILING(BO31/INDEX(TABLAS!$D$52:$D$58,MIN(MATCH(DATOS!$C$27,TABLAS!$B$52:$B$58,0)+0,7)),1))*INDEX(TABLAS!$D$52:$D$58,MIN(MATCH(DATOS!$C$27,TABLAS!$B$52:$B$58,0)+0,7))&gt;=4/3*IF(BC31&lt;=0,0,IF((1-2*BC31*1E5/(DATOS!$C$58*DATOS!$C$19*BN31^2*DATOS!$C$48))&lt;0,-1,IF((1-SQRT((1-2*BC31*1E5/(DATOS!$C$58*DATOS!$C$19*BN31^2*DATOS!$C$48))))*DATOS!$C$48*DATOS!$C$19*BN31/DATOS!$C$40&gt;DATOS!$C$82*DATOS!$C$19*BN31,-1,(1-SQRT((1-2*BC31*1E5/(DATOS!$C$58*DATOS!$C$19*BN31^2*DATOS!$C$48))))*DATOS!$C$48*DATOS!$C$19*BN31/DATOS!$C$40)))-0.0001,MAX(DATOS!$C$29,CEILING(BO31/INDEX(TABLAS!$D$52:$D$58,MIN(MATCH(DATOS!$C$27,TABLAS!$B$52:$B$58,0)+0,7)),1)),MAX(MAX(DATOS!$C$29,CEILING(BO31/INDEX(TABLAS!$D$52:$D$58,MIN(MATCH(DATOS!$C$27,TABLAS!$B$52:$B$58,0)+0,7)),1)),2))&lt;=MIN(DATOS!$C$28,INT(((DATOS!$C$13-2*S31-2*IF(DATOS!$C$25=0,0,INDEX(TABLAS!$C$52:$C$58,MATCH(DATOS!$C$25,TABLAS!$B$52:$B$58,0))))+MAX(DATOS!$C$32,INDEX(TABLAS!$C$52:$C$58,MIN(MATCH(DATOS!$C$27,TABLAS!$B$52:$B$58,0)+0,7))))/(INDEX(TABLAS!$C$52:$C$58,MIN(MATCH(DATOS!$C$27,TABLAS!$B$52:$B$58,0)+0,7))+MAX(DATOS!$C$32,INDEX(TABLAS!$C$52:$C$58,MIN(MATCH(DATOS!$C$27,TABLAS!$B$52:$B$58,0)+0,7))))))),INDEX(TABLAS!$B$52:$B$58,MIN(MATCH(DATOS!$C$27,TABLAS!$B$52:$B$58,0)+0,7)),IF(AND(BO31&gt;=0,IF(MAX(DATOS!$C$29,CEILING(BO31/INDEX(TABLAS!$D$52:$D$58,MIN(MATCH(DATOS!$C$27,TABLAS!$B$52:$B$58,0)+1,7)),1))*INDEX(TABLAS!$D$52:$D$58,MIN(MATCH(DATOS!$C$27,TABLAS!$B$52:$B$58,0)+1,7))&gt;=4/3*IF(BC31&lt;=0,0,IF((1-2*BC31*1E5/(DATOS!$C$58*DATOS!$C$19*BN31^2*DATOS!$C$48))&lt;0,-1,IF((1-SQRT((1-2*BC31*1E5/(DATOS!$C$58*DATOS!$C$19*BN31^2*DATOS!$C$48))))*DATOS!$C$48*DATOS!$C$19*BN31/DATOS!$C$40&gt;DATOS!$C$82*DATOS!$C$19*BN31,-1,(1-SQRT((1-2*BC31*1E5/(DATOS!$C$58*DATOS!$C$19*BN31^2*DATOS!$C$48))))*DATOS!$C$48*DATOS!$C$19*BN31/DATOS!$C$40)))-0.0001,MAX(DATOS!$C$29,CEILING(BO31/INDEX(TABLAS!$D$52:$D$58,MIN(MATCH(DATOS!$C$27,TABLAS!$B$52:$B$58,0)+1,7)),1)),MAX(MAX(DATOS!$C$29,CEILING(BO31/INDEX(TABLAS!$D$52:$D$58,MIN(MATCH(DATOS!$C$27,TABLAS!$B$52:$B$58,0)+1,7)),1)),2))&lt;=MIN(DATOS!$C$28,INT(((DATOS!$C$13-2*S31-2*IF(DATOS!$C$25=0,0,INDEX(TABLAS!$C$52:$C$58,MATCH(DATOS!$C$25,TABLAS!$B$52:$B$58,0))))+MAX(DATOS!$C$32,INDEX(TABLAS!$C$52:$C$58,MIN(MATCH(DATOS!$C$27,TABLAS!$B$52:$B$58,0)+1,7))))/(INDEX(TABLAS!$C$52:$C$58,MIN(MATCH(DATOS!$C$27,TABLAS!$B$52:$B$58,0)+1,7))+MAX(DATOS!$C$32,INDEX(TABLAS!$C$52:$C$58,MIN(MATCH(DATOS!$C$27,TABLAS!$B$52:$B$58,0)+1,7))))))),INDEX(TABLAS!$B$52:$B$58,MIN(MATCH(DATOS!$C$27,TABLAS!$B$52:$B$58,0)+1,7)),IF(AND(BO31&gt;=0,IF(MAX(DATOS!$C$29,CEILING(BO31/INDEX(TABLAS!$D$52:$D$58,MIN(MATCH(DATOS!$C$27,TABLAS!$B$52:$B$58,0)+2,7)),1))*INDEX(TABLAS!$D$52:$D$58,MIN(MATCH(DATOS!$C$27,TABLAS!$B$52:$B$58,0)+2,7))&gt;=4/3*IF(BC31&lt;=0,0,IF((1-2*BC31*1E5/(DATOS!$C$58*DATOS!$C$19*BN31^2*DATOS!$C$48))&lt;0,-1,IF((1-SQRT((1-2*BC31*1E5/(DATOS!$C$58*DATOS!$C$19*BN31^2*DATOS!$C$48))))*DATOS!$C$48*DATOS!$C$19*BN31/DATOS!$C$40&gt;DATOS!$C$82*DATOS!$C$19*BN31,-1,(1-SQRT((1-2*BC31*1E5/(DATOS!$C$58*DATOS!$C$19*BN31^2*DATOS!$C$48))))*DATOS!$C$48*DATOS!$C$19*BN31/DATOS!$C$40)))-0.0001,MAX(DATOS!$C$29,CEILING(BO31/INDEX(TABLAS!$D$52:$D$58,MIN(MATCH(DATOS!$C$27,TABLAS!$B$52:$B$58,0)+2,7)),1)),MAX(MAX(DATOS!$C$29,CEILING(BO31/INDEX(TABLAS!$D$52:$D$58,MIN(MATCH(DATOS!$C$27,TABLAS!$B$52:$B$58,0)+2,7)),1)),2))&lt;=MIN(DATOS!$C$28,INT(((DATOS!$C$13-2*S31-2*IF(DATOS!$C$25=0,0,INDEX(TABLAS!$C$52:$C$58,MATCH(DATOS!$C$25,TABLAS!$B$52:$B$58,0))))+MAX(DATOS!$C$32,INDEX(TABLAS!$C$52:$C$58,MIN(MATCH(DATOS!$C$27,TABLAS!$B$52:$B$58,0)+2,7))))/(INDEX(TABLAS!$C$52:$C$58,MIN(MATCH(DATOS!$C$27,TABLAS!$B$52:$B$58,0)+2,7))+MAX(DATOS!$C$32,INDEX(TABLAS!$C$52:$C$58,MIN(MATCH(DATOS!$C$27,TABLAS!$B$52:$B$58,0)+2,7))))))),INDEX(TABLAS!$B$52:$B$58,MIN(MATCH(DATOS!$C$27,TABLAS!$B$52:$B$58,0)+2,7)),IF(AND(BO31&gt;=0,IF(MAX(DATOS!$C$29,CEILING(BO31/INDEX(TABLAS!$D$52:$D$58,MIN(MATCH(DATOS!$C$27,TABLAS!$B$52:$B$58,0)+3,7)),1))*INDEX(TABLAS!$D$52:$D$58,MIN(MATCH(DATOS!$C$27,TABLAS!$B$52:$B$58,0)+3,7))&gt;=4/3*IF(BC31&lt;=0,0,IF((1-2*BC31*1E5/(DATOS!$C$58*DATOS!$C$19*BN31^2*DATOS!$C$48))&lt;0,-1,IF((1-SQRT((1-2*BC31*1E5/(DATOS!$C$58*DATOS!$C$19*BN31^2*DATOS!$C$48))))*DATOS!$C$48*DATOS!$C$19*BN31/DATOS!$C$40&gt;DATOS!$C$82*DATOS!$C$19*BN31,-1,(1-SQRT((1-2*BC31*1E5/(DATOS!$C$58*DATOS!$C$19*BN31^2*DATOS!$C$48))))*DATOS!$C$48*DATOS!$C$19*BN31/DATOS!$C$40)))-0.0001,MAX(DATOS!$C$29,CEILING(BO31/INDEX(TABLAS!$D$52:$D$58,MIN(MATCH(DATOS!$C$27,TABLAS!$B$52:$B$58,0)+3,7)),1)),MAX(MAX(DATOS!$C$29,CEILING(BO31/INDEX(TABLAS!$D$52:$D$58,MIN(MATCH(DATOS!$C$27,TABLAS!$B$52:$B$58,0)+3,7)),1)),2))&lt;=MIN(DATOS!$C$28,INT(((DATOS!$C$13-2*S31-2*IF(DATOS!$C$25=0,0,INDEX(TABLAS!$C$52:$C$58,MATCH(DATOS!$C$25,TABLAS!$B$52:$B$58,0))))+MAX(DATOS!$C$32,INDEX(TABLAS!$C$52:$C$58,MIN(MATCH(DATOS!$C$27,TABLAS!$B$52:$B$58,0)+3,7))))/(INDEX(TABLAS!$C$52:$C$58,MIN(MATCH(DATOS!$C$27,TABLAS!$B$52:$B$58,0)+3,7))+MAX(DATOS!$C$32,INDEX(TABLAS!$C$52:$C$58,MIN(MATCH(DATOS!$C$27,TABLAS!$B$52:$B$58,0)+3,7))))))),INDEX(TABLAS!$B$52:$B$58,MIN(MATCH(DATOS!$C$27,TABLAS!$B$52:$B$58,0)+3,7)),IF(AND(BO31&gt;=0,IF(MAX(DATOS!$C$29,CEILING(BO31/INDEX(TABLAS!$D$52:$D$58,MIN(MATCH(DATOS!$C$27,TABLAS!$B$52:$B$58,0)+4,7)),1))*INDEX(TABLAS!$D$52:$D$58,MIN(MATCH(DATOS!$C$27,TABLAS!$B$52:$B$58,0)+4,7))&gt;=4/3*IF(BC31&lt;=0,0,IF((1-2*BC31*1E5/(DATOS!$C$58*DATOS!$C$19*BN31^2*DATOS!$C$48))&lt;0,-1,IF((1-SQRT((1-2*BC31*1E5/(DATOS!$C$58*DATOS!$C$19*BN31^2*DATOS!$C$48))))*DATOS!$C$48*DATOS!$C$19*BN31/DATOS!$C$40&gt;DATOS!$C$82*DATOS!$C$19*BN31,-1,(1-SQRT((1-2*BC31*1E5/(DATOS!$C$58*DATOS!$C$19*BN31^2*DATOS!$C$48))))*DATOS!$C$48*DATOS!$C$19*BN31/DATOS!$C$40)))-0.0001,MAX(DATOS!$C$29,CEILING(BO31/INDEX(TABLAS!$D$52:$D$58,MIN(MATCH(DATOS!$C$27,TABLAS!$B$52:$B$58,0)+4,7)),1)),MAX(MAX(DATOS!$C$29,CEILING(BO31/INDEX(TABLAS!$D$52:$D$58,MIN(MATCH(DATOS!$C$27,TABLAS!$B$52:$B$58,0)+4,7)),1)),2))&lt;=MIN(DATOS!$C$28,INT(((DATOS!$C$13-2*S31-2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31" s="56">
        <f>IF(D31="HUECO",0,IF(BO31&lt;0,0,IF(MAX(DATOS!$C$29,CEILING(MAX(BO31,0)/INDEX(TABLAS!$D$52:$D$58,MATCH(BP31,TABLAS!$B$52:$B$58,0)),1))*INDEX(TABLAS!$D$52:$D$58,MATCH(BP31,TABLAS!$B$52:$B$58,0))&gt;=4/3*IF(BC31&lt;=0,0,IF((1-2*BC31*1E5/(DATOS!$C$58*DATOS!$C$19*BN31^2*DATOS!$C$48))&lt;0,-1,IF((1-SQRT((1-2*BC31*1E5/(DATOS!$C$58*DATOS!$C$19*BN31^2*DATOS!$C$48))))*DATOS!$C$48*DATOS!$C$19*BN31/DATOS!$C$40&gt;DATOS!$C$82*DATOS!$C$19*BN31,-1,(1-SQRT((1-2*BC31*1E5/(DATOS!$C$58*DATOS!$C$19*BN31^2*DATOS!$C$48))))*DATOS!$C$48*DATOS!$C$19*BN31/DATOS!$C$40)))-0.0001,MAX(DATOS!$C$29,CEILING(MAX(BO31,0)/INDEX(TABLAS!$D$52:$D$58,MATCH(BP31,TABLAS!$B$52:$B$58,0)),1)),MAX(MAX(DATOS!$C$29,CEILING(MAX(BO31,0)/INDEX(TABLAS!$D$52:$D$58,MATCH(BP31,TABLAS!$B$52:$B$58,0)),1)),2))))</f>
        <v>1</v>
      </c>
      <c r="BR31" s="43">
        <f>((DATOS!$C$15-S31-2*DATOS!$C$35-IF(DATOS!$C$25=0,0,INDEX(TABLAS!$C$52:$C$58,MATCH(DATOS!$C$25,TABLAS!$B$52:$B$58,0)))-INDEX(TABLAS!$C$52:$C$58,MATCH(BP31,TABLAS!$B$52:$B$58,0))/2)-IF(AND((DATOS!$C$15-S31-2*DATOS!$C$35-IF(DATOS!$C$25=0,0,INDEX(TABLAS!$C$52:$C$58,MATCH(DATOS!$C$25,TABLAS!$B$52:$B$58,0)))-INDEX(TABLAS!$C$52:$C$58,MATCH(BP31,TABLAS!$B$52:$B$58,0))/2)&lt;=20,DATOS!$C$18&lt;&gt;"SÍ"),2,0))</f>
        <v>19.389</v>
      </c>
      <c r="BS31" s="36">
        <f>IF(BQ31=0,0,DATOS!$C$58*BQ31*INDEX(TABLAS!$D$52:$D$58,MATCH(BP31,TABLAS!$B$52:$B$58,0))*DATOS!$C$40*(BR31-BQ31*INDEX(TABLAS!$D$52:$D$58,MATCH(BP31,TABLAS!$B$52:$B$58,0))*DATOS!$C$40/(DATOS!$C$48*DATOS!$C$19)/2)/1E5)</f>
        <v>0.870537980117647</v>
      </c>
      <c r="BT31" s="62">
        <f>IF(BO31&lt;0,9.99,IF(BS31&gt;0,BC31/BS31,0))</f>
        <v>0.500397054940958</v>
      </c>
      <c r="BU31" s="63">
        <f>IF(BQ31=0,"—",0.003*(BR31-(BQ31*INDEX(TABLAS!$D$52:$D$58,MATCH(BP31,TABLAS!$B$52:$B$58,0))*DATOS!$C$40/(DATOS!$C$48*DATOS!$C$19)/DATOS!$C$49))/(BQ31*INDEX(TABLAS!$D$52:$D$58,MATCH(BP31,TABLAS!$B$52:$B$58,0))*DATOS!$C$40/(DATOS!$C$48*DATOS!$C$19)/DATOS!$C$49))</f>
        <v>0.0166970648200225</v>
      </c>
      <c r="BV31" s="43">
        <f>(DATOS!$C$15-R31-IF(DATOS!$C$25=0,0,INDEX(TABLAS!$C$52:$C$58,MATCH(DATOS!$C$25,TABLAS!$B$52:$B$58,0)))-INDEX(TABLAS!$C$52:$C$58,MATCH(DATOS!$C$26,TABLAS!$B$52:$B$58,0))-INDEX(TABLAS!$C$52:$C$58,MATCH(DATOS!$C$26,TABLAS!$B$52:$B$58,0))/2)</f>
        <v>19.095</v>
      </c>
      <c r="BW31" s="43">
        <f>IF(D31="HUECO",0,IF(IF(BD31&lt;=0,0,IF((1-2*BD31*1E5/(DATOS!$C$58*Q31*BV31^2*DATOS!$C$48))&lt;0,-1,IF((1-SQRT((1-2*BD31*1E5/(DATOS!$C$58*Q31*BV31^2*DATOS!$C$48))))*DATOS!$C$48*Q31*BV31/DATOS!$C$40&gt;DATOS!$C$82*Q31*BV31,-1,(1-SQRT((1-2*BD31*1E5/(DATOS!$C$58*Q31*BV31^2*DATOS!$C$48))))*DATOS!$C$48*Q31*BV31/DATOS!$C$40)))&lt;0,-1,MAX(IF(BD31&lt;=0,0,IF((1-2*BD31*1E5/(DATOS!$C$58*Q31*BV31^2*DATOS!$C$48))&lt;0,-1,IF((1-SQRT((1-2*BD31*1E5/(DATOS!$C$58*Q31*BV31^2*DATOS!$C$48))))*DATOS!$C$48*Q31*BV31/DATOS!$C$40&gt;DATOS!$C$82*Q31*BV31,-1,(1-SQRT((1-2*BD31*1E5/(DATOS!$C$58*Q31*BV31^2*DATOS!$C$48))))*DATOS!$C$48*Q31*BV31/DATOS!$C$40))),MIN(DATOS!$C$83*DATOS!$C$13*BV31,4/3*IF(BD31&lt;=0,0,IF((1-2*BD31*1E5/(DATOS!$C$58*Q31*BV31^2*DATOS!$C$48))&lt;0,-1,IF((1-SQRT((1-2*BD31*1E5/(DATOS!$C$58*Q31*BV31^2*DATOS!$C$48))))*DATOS!$C$48*Q31*BV31/DATOS!$C$40&gt;DATOS!$C$82*Q31*BV31,-1,(1-SQRT((1-2*BD31*1E5/(DATOS!$C$58*Q31*BV31^2*DATOS!$C$48))))*DATOS!$C$48*Q31*BV31/DATOS!$C$40)))))))</f>
        <v>0.0946816481260374</v>
      </c>
      <c r="BX31" s="41">
        <f>IF(AND(BW31&gt;=0,IF(MAX(DATOS!$C$29,CEILING(BW31/INDEX(TABLAS!$D$52:$D$58,MIN(MATCH(DATOS!$C$26,TABLAS!$B$52:$B$58,0)+0,7)),1))*INDEX(TABLAS!$D$52:$D$58,MIN(MATCH(DATOS!$C$26,TABLAS!$B$52:$B$58,0)+0,7))&gt;=4/3*IF(BD31&lt;=0,0,IF((1-2*BD31*1E5/(DATOS!$C$58*Q31*BV31^2*DATOS!$C$48))&lt;0,-1,IF((1-SQRT((1-2*BD31*1E5/(DATOS!$C$58*Q31*BV31^2*DATOS!$C$48))))*DATOS!$C$48*Q31*BV31/DATOS!$C$40&gt;DATOS!$C$82*Q31*BV31,-1,(1-SQRT((1-2*BD31*1E5/(DATOS!$C$58*Q31*BV31^2*DATOS!$C$48))))*DATOS!$C$48*Q31*BV31/DATOS!$C$40)))-0.0001,MAX(DATOS!$C$29,CEILING(BW31/INDEX(TABLAS!$D$52:$D$58,MIN(MATCH(DATOS!$C$26,TABLAS!$B$52:$B$58,0)+0,7)),1)),MAX(MAX(DATOS!$C$29,CEILING(BW31/INDEX(TABLAS!$D$52:$D$58,MIN(MATCH(DATOS!$C$26,TABLAS!$B$52:$B$58,0)+0,7)),1)),2))&lt;=MIN(DATOS!$C$28,INT(((DATOS!$C$13-2*R31-2*IF(DATOS!$C$25=0,0,INDEX(TABLAS!$C$52:$C$58,MATCH(DATOS!$C$25,TABLAS!$B$52:$B$58,0))))+MAX(DATOS!$C$32,INDEX(TABLAS!$C$52:$C$58,MIN(MATCH(DATOS!$C$26,TABLAS!$B$52:$B$58,0)+0,7))))/(INDEX(TABLAS!$C$52:$C$58,MIN(MATCH(DATOS!$C$26,TABLAS!$B$52:$B$58,0)+0,7))+MAX(DATOS!$C$32,INDEX(TABLAS!$C$52:$C$58,MIN(MATCH(DATOS!$C$26,TABLAS!$B$52:$B$58,0)+0,7))))))),INDEX(TABLAS!$B$52:$B$58,MIN(MATCH(DATOS!$C$26,TABLAS!$B$52:$B$58,0)+0,7)),IF(AND(BW31&gt;=0,IF(MAX(DATOS!$C$29,CEILING(BW31/INDEX(TABLAS!$D$52:$D$58,MIN(MATCH(DATOS!$C$26,TABLAS!$B$52:$B$58,0)+1,7)),1))*INDEX(TABLAS!$D$52:$D$58,MIN(MATCH(DATOS!$C$26,TABLAS!$B$52:$B$58,0)+1,7))&gt;=4/3*IF(BD31&lt;=0,0,IF((1-2*BD31*1E5/(DATOS!$C$58*Q31*BV31^2*DATOS!$C$48))&lt;0,-1,IF((1-SQRT((1-2*BD31*1E5/(DATOS!$C$58*Q31*BV31^2*DATOS!$C$48))))*DATOS!$C$48*Q31*BV31/DATOS!$C$40&gt;DATOS!$C$82*Q31*BV31,-1,(1-SQRT((1-2*BD31*1E5/(DATOS!$C$58*Q31*BV31^2*DATOS!$C$48))))*DATOS!$C$48*Q31*BV31/DATOS!$C$40)))-0.0001,MAX(DATOS!$C$29,CEILING(BW31/INDEX(TABLAS!$D$52:$D$58,MIN(MATCH(DATOS!$C$26,TABLAS!$B$52:$B$58,0)+1,7)),1)),MAX(MAX(DATOS!$C$29,CEILING(BW31/INDEX(TABLAS!$D$52:$D$58,MIN(MATCH(DATOS!$C$26,TABLAS!$B$52:$B$58,0)+1,7)),1)),2))&lt;=MIN(DATOS!$C$28,INT(((DATOS!$C$13-2*R31-2*IF(DATOS!$C$25=0,0,INDEX(TABLAS!$C$52:$C$58,MATCH(DATOS!$C$25,TABLAS!$B$52:$B$58,0))))+MAX(DATOS!$C$32,INDEX(TABLAS!$C$52:$C$58,MIN(MATCH(DATOS!$C$26,TABLAS!$B$52:$B$58,0)+1,7))))/(INDEX(TABLAS!$C$52:$C$58,MIN(MATCH(DATOS!$C$26,TABLAS!$B$52:$B$58,0)+1,7))+MAX(DATOS!$C$32,INDEX(TABLAS!$C$52:$C$58,MIN(MATCH(DATOS!$C$26,TABLAS!$B$52:$B$58,0)+1,7))))))),INDEX(TABLAS!$B$52:$B$58,MIN(MATCH(DATOS!$C$26,TABLAS!$B$52:$B$58,0)+1,7)),IF(AND(BW31&gt;=0,IF(MAX(DATOS!$C$29,CEILING(BW31/INDEX(TABLAS!$D$52:$D$58,MIN(MATCH(DATOS!$C$26,TABLAS!$B$52:$B$58,0)+2,7)),1))*INDEX(TABLAS!$D$52:$D$58,MIN(MATCH(DATOS!$C$26,TABLAS!$B$52:$B$58,0)+2,7))&gt;=4/3*IF(BD31&lt;=0,0,IF((1-2*BD31*1E5/(DATOS!$C$58*Q31*BV31^2*DATOS!$C$48))&lt;0,-1,IF((1-SQRT((1-2*BD31*1E5/(DATOS!$C$58*Q31*BV31^2*DATOS!$C$48))))*DATOS!$C$48*Q31*BV31/DATOS!$C$40&gt;DATOS!$C$82*Q31*BV31,-1,(1-SQRT((1-2*BD31*1E5/(DATOS!$C$58*Q31*BV31^2*DATOS!$C$48))))*DATOS!$C$48*Q31*BV31/DATOS!$C$40)))-0.0001,MAX(DATOS!$C$29,CEILING(BW31/INDEX(TABLAS!$D$52:$D$58,MIN(MATCH(DATOS!$C$26,TABLAS!$B$52:$B$58,0)+2,7)),1)),MAX(MAX(DATOS!$C$29,CEILING(BW31/INDEX(TABLAS!$D$52:$D$58,MIN(MATCH(DATOS!$C$26,TABLAS!$B$52:$B$58,0)+2,7)),1)),2))&lt;=MIN(DATOS!$C$28,INT(((DATOS!$C$13-2*R31-2*IF(DATOS!$C$25=0,0,INDEX(TABLAS!$C$52:$C$58,MATCH(DATOS!$C$25,TABLAS!$B$52:$B$58,0))))+MAX(DATOS!$C$32,INDEX(TABLAS!$C$52:$C$58,MIN(MATCH(DATOS!$C$26,TABLAS!$B$52:$B$58,0)+2,7))))/(INDEX(TABLAS!$C$52:$C$58,MIN(MATCH(DATOS!$C$26,TABLAS!$B$52:$B$58,0)+2,7))+MAX(DATOS!$C$32,INDEX(TABLAS!$C$52:$C$58,MIN(MATCH(DATOS!$C$26,TABLAS!$B$52:$B$58,0)+2,7))))))),INDEX(TABLAS!$B$52:$B$58,MIN(MATCH(DATOS!$C$26,TABLAS!$B$52:$B$58,0)+2,7)),IF(AND(BW31&gt;=0,IF(MAX(DATOS!$C$29,CEILING(BW31/INDEX(TABLAS!$D$52:$D$58,MIN(MATCH(DATOS!$C$26,TABLAS!$B$52:$B$58,0)+3,7)),1))*INDEX(TABLAS!$D$52:$D$58,MIN(MATCH(DATOS!$C$26,TABLAS!$B$52:$B$58,0)+3,7))&gt;=4/3*IF(BD31&lt;=0,0,IF((1-2*BD31*1E5/(DATOS!$C$58*Q31*BV31^2*DATOS!$C$48))&lt;0,-1,IF((1-SQRT((1-2*BD31*1E5/(DATOS!$C$58*Q31*BV31^2*DATOS!$C$48))))*DATOS!$C$48*Q31*BV31/DATOS!$C$40&gt;DATOS!$C$82*Q31*BV31,-1,(1-SQRT((1-2*BD31*1E5/(DATOS!$C$58*Q31*BV31^2*DATOS!$C$48))))*DATOS!$C$48*Q31*BV31/DATOS!$C$40)))-0.0001,MAX(DATOS!$C$29,CEILING(BW31/INDEX(TABLAS!$D$52:$D$58,MIN(MATCH(DATOS!$C$26,TABLAS!$B$52:$B$58,0)+3,7)),1)),MAX(MAX(DATOS!$C$29,CEILING(BW31/INDEX(TABLAS!$D$52:$D$58,MIN(MATCH(DATOS!$C$26,TABLAS!$B$52:$B$58,0)+3,7)),1)),2))&lt;=MIN(DATOS!$C$28,INT(((DATOS!$C$13-2*R31-2*IF(DATOS!$C$25=0,0,INDEX(TABLAS!$C$52:$C$58,MATCH(DATOS!$C$25,TABLAS!$B$52:$B$58,0))))+MAX(DATOS!$C$32,INDEX(TABLAS!$C$52:$C$58,MIN(MATCH(DATOS!$C$26,TABLAS!$B$52:$B$58,0)+3,7))))/(INDEX(TABLAS!$C$52:$C$58,MIN(MATCH(DATOS!$C$26,TABLAS!$B$52:$B$58,0)+3,7))+MAX(DATOS!$C$32,INDEX(TABLAS!$C$52:$C$58,MIN(MATCH(DATOS!$C$26,TABLAS!$B$52:$B$58,0)+3,7))))))),INDEX(TABLAS!$B$52:$B$58,MIN(MATCH(DATOS!$C$26,TABLAS!$B$52:$B$58,0)+3,7)),IF(AND(BW31&gt;=0,IF(MAX(DATOS!$C$29,CEILING(BW31/INDEX(TABLAS!$D$52:$D$58,MIN(MATCH(DATOS!$C$26,TABLAS!$B$52:$B$58,0)+4,7)),1))*INDEX(TABLAS!$D$52:$D$58,MIN(MATCH(DATOS!$C$26,TABLAS!$B$52:$B$58,0)+4,7))&gt;=4/3*IF(BD31&lt;=0,0,IF((1-2*BD31*1E5/(DATOS!$C$58*Q31*BV31^2*DATOS!$C$48))&lt;0,-1,IF((1-SQRT((1-2*BD31*1E5/(DATOS!$C$58*Q31*BV31^2*DATOS!$C$48))))*DATOS!$C$48*Q31*BV31/DATOS!$C$40&gt;DATOS!$C$82*Q31*BV31,-1,(1-SQRT((1-2*BD31*1E5/(DATOS!$C$58*Q31*BV31^2*DATOS!$C$48))))*DATOS!$C$48*Q31*BV31/DATOS!$C$40)))-0.0001,MAX(DATOS!$C$29,CEILING(BW31/INDEX(TABLAS!$D$52:$D$58,MIN(MATCH(DATOS!$C$26,TABLAS!$B$52:$B$58,0)+4,7)),1)),MAX(MAX(DATOS!$C$29,CEILING(BW31/INDEX(TABLAS!$D$52:$D$58,MIN(MATCH(DATOS!$C$26,TABLAS!$B$52:$B$58,0)+4,7)),1)),2))&lt;=MIN(DATOS!$C$28,INT(((DATOS!$C$13-2*R31-2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31" s="56">
        <f>IF(D31="HUECO",0,IF(BW31&lt;0,0,IF(MAX(DATOS!$C$29,CEILING(MAX(BW31,0)/INDEX(TABLAS!$D$52:$D$58,MATCH(BX31,TABLAS!$B$52:$B$58,0)),1))*INDEX(TABLAS!$D$52:$D$58,MATCH(BX31,TABLAS!$B$52:$B$58,0))&gt;=4/3*IF(BD31&lt;=0,0,IF((1-2*BD31*1E5/(DATOS!$C$58*Q31*BV31^2*DATOS!$C$48))&lt;0,-1,IF((1-SQRT((1-2*BD31*1E5/(DATOS!$C$58*Q31*BV31^2*DATOS!$C$48))))*DATOS!$C$48*Q31*BV31/DATOS!$C$40&gt;DATOS!$C$82*Q31*BV31,-1,(1-SQRT((1-2*BD31*1E5/(DATOS!$C$58*Q31*BV31^2*DATOS!$C$48))))*DATOS!$C$48*Q31*BV31/DATOS!$C$40)))-0.0001,MAX(DATOS!$C$29,CEILING(MAX(BW31,0)/INDEX(TABLAS!$D$52:$D$58,MATCH(BX31,TABLAS!$B$52:$B$58,0)),1)),MAX(MAX(DATOS!$C$29,CEILING(MAX(BW31,0)/INDEX(TABLAS!$D$52:$D$58,MATCH(BX31,TABLAS!$B$52:$B$58,0)),1)),2))))</f>
        <v>1</v>
      </c>
      <c r="BZ31" s="43">
        <f>DATOS!$C$15-R31-IF(DATOS!$C$25=0,0,INDEX(TABLAS!$C$52:$C$58,MATCH(DATOS!$C$25,TABLAS!$B$52:$B$58,0)))-INDEX(TABLAS!$C$52:$C$58,MATCH(BH31,TABLAS!$B$52:$B$58,0))-INDEX(TABLAS!$C$52:$C$58,MATCH(BX31,TABLAS!$B$52:$B$58,0))/2</f>
        <v>19.095</v>
      </c>
      <c r="CA31" s="36">
        <f>IF(BY31=0,0,DATOS!$C$58*BY31*INDEX(TABLAS!$D$52:$D$58,MATCH(BX31,TABLAS!$B$52:$B$58,0))*DATOS!$C$40*(BZ31-BY31*INDEX(TABLAS!$D$52:$D$58,MATCH(BX31,TABLAS!$B$52:$B$58,0))*DATOS!$C$40/(DATOS!$C$48*Q31)/2)/1E5)</f>
        <v>0.908067376588235</v>
      </c>
      <c r="CB31" s="62">
        <f>IF(BW31&lt;0,9.99,IF(CA31&gt;0,BD31/CA31,0))</f>
        <v>0.0564147141162545</v>
      </c>
      <c r="CC31" s="63">
        <f>IF(BY31=0,"—",0.003*(BZ31-(BY31*INDEX(TABLAS!$D$52:$D$58,MATCH(BX31,TABLAS!$B$52:$B$58,0))*DATOS!$C$40/(DATOS!$C$48*Q31)/DATOS!$C$49))/(BY31*INDEX(TABLAS!$D$52:$D$58,MATCH(BX31,TABLAS!$B$52:$B$58,0))*DATOS!$C$40/(DATOS!$C$48*Q31)/DATOS!$C$49))</f>
        <v>0.13278875492126</v>
      </c>
      <c r="CD31" s="43">
        <f>((DATOS!$C$15-S31-2*DATOS!$C$35-IF(DATOS!$C$25=0,0,INDEX(TABLAS!$C$52:$C$58,MATCH(DATOS!$C$25,TABLAS!$B$52:$B$58,0)))-INDEX(TABLAS!$C$52:$C$58,MATCH(DATOS!$C$27,TABLAS!$B$52:$B$58,0))-INDEX(TABLAS!$C$52:$C$58,MATCH(DATOS!$C$27,TABLAS!$B$52:$B$58,0))/2)-IF(AND((DATOS!$C$15-S31-2*DATOS!$C$35-IF(DATOS!$C$25=0,0,INDEX(TABLAS!$C$52:$C$58,MATCH(DATOS!$C$25,TABLAS!$B$52:$B$58,0)))-INDEX(TABLAS!$C$52:$C$58,MATCH(DATOS!$C$27,TABLAS!$B$52:$B$58,0))-INDEX(TABLAS!$C$52:$C$58,MATCH(DATOS!$C$27,TABLAS!$B$52:$B$58,0))/2)&lt;=20,DATOS!$C$18&lt;&gt;"SÍ"),2,0))</f>
        <v>18.119</v>
      </c>
      <c r="CE31" s="43">
        <f>IF(D31="HUECO",0,IF(IF(BE31&lt;=0,0,IF((1-2*BE31*1E5/(DATOS!$C$58*DATOS!$C$19*CD31^2*DATOS!$C$48))&lt;0,-1,IF((1-SQRT((1-2*BE31*1E5/(DATOS!$C$58*DATOS!$C$19*CD31^2*DATOS!$C$48))))*DATOS!$C$48*DATOS!$C$19*CD31/DATOS!$C$40&gt;DATOS!$C$82*DATOS!$C$19*CD31,-1,(1-SQRT((1-2*BE31*1E5/(DATOS!$C$58*DATOS!$C$19*CD31^2*DATOS!$C$48))))*DATOS!$C$48*DATOS!$C$19*CD31/DATOS!$C$40)))&lt;0,-1,MAX(IF(BE31&lt;=0,0,IF((1-2*BE31*1E5/(DATOS!$C$58*DATOS!$C$19*CD31^2*DATOS!$C$48))&lt;0,-1,IF((1-SQRT((1-2*BE31*1E5/(DATOS!$C$58*DATOS!$C$19*CD31^2*DATOS!$C$48))))*DATOS!$C$48*DATOS!$C$19*CD31/DATOS!$C$40&gt;DATOS!$C$82*DATOS!$C$19*CD31,-1,(1-SQRT((1-2*BE31*1E5/(DATOS!$C$58*DATOS!$C$19*CD31^2*DATOS!$C$48))))*DATOS!$C$48*DATOS!$C$19*CD31/DATOS!$C$40))),MIN(DATOS!$C$83*DATOS!$C$13*CD31,4/3*IF(BE31&lt;=0,0,IF((1-2*BE31*1E5/(DATOS!$C$58*DATOS!$C$19*CD31^2*DATOS!$C$48))&lt;0,-1,IF((1-SQRT((1-2*BE31*1E5/(DATOS!$C$58*DATOS!$C$19*CD31^2*DATOS!$C$48))))*DATOS!$C$48*DATOS!$C$19*CD31/DATOS!$C$40&gt;DATOS!$C$82*DATOS!$C$19*CD31,-1,(1-SQRT((1-2*BE31*1E5/(DATOS!$C$58*DATOS!$C$19*CD31^2*DATOS!$C$48))))*DATOS!$C$48*DATOS!$C$19*CD31/DATOS!$C$40)))))))</f>
        <v>0.176034734865029</v>
      </c>
      <c r="CF31" s="41">
        <f>IF(AND(CE31&gt;=0,IF(MAX(DATOS!$C$29,CEILING(CE31/INDEX(TABLAS!$D$52:$D$58,MIN(MATCH(DATOS!$C$27,TABLAS!$B$52:$B$58,0)+0,7)),1))*INDEX(TABLAS!$D$52:$D$58,MIN(MATCH(DATOS!$C$27,TABLAS!$B$52:$B$58,0)+0,7))&gt;=4/3*IF(BE31&lt;=0,0,IF((1-2*BE31*1E5/(DATOS!$C$58*DATOS!$C$19*CD31^2*DATOS!$C$48))&lt;0,-1,IF((1-SQRT((1-2*BE31*1E5/(DATOS!$C$58*DATOS!$C$19*CD31^2*DATOS!$C$48))))*DATOS!$C$48*DATOS!$C$19*CD31/DATOS!$C$40&gt;DATOS!$C$82*DATOS!$C$19*CD31,-1,(1-SQRT((1-2*BE31*1E5/(DATOS!$C$58*DATOS!$C$19*CD31^2*DATOS!$C$48))))*DATOS!$C$48*DATOS!$C$19*CD31/DATOS!$C$40)))-0.0001,MAX(DATOS!$C$29,CEILING(CE31/INDEX(TABLAS!$D$52:$D$58,MIN(MATCH(DATOS!$C$27,TABLAS!$B$52:$B$58,0)+0,7)),1)),MAX(MAX(DATOS!$C$29,CEILING(CE31/INDEX(TABLAS!$D$52:$D$58,MIN(MATCH(DATOS!$C$27,TABLAS!$B$52:$B$58,0)+0,7)),1)),2))&lt;=MIN(DATOS!$C$28,INT(((DATOS!$C$13-2*S31-2*IF(DATOS!$C$25=0,0,INDEX(TABLAS!$C$52:$C$58,MATCH(DATOS!$C$25,TABLAS!$B$52:$B$58,0))))+MAX(DATOS!$C$32,INDEX(TABLAS!$C$52:$C$58,MIN(MATCH(DATOS!$C$27,TABLAS!$B$52:$B$58,0)+0,7))))/(INDEX(TABLAS!$C$52:$C$58,MIN(MATCH(DATOS!$C$27,TABLAS!$B$52:$B$58,0)+0,7))+MAX(DATOS!$C$32,INDEX(TABLAS!$C$52:$C$58,MIN(MATCH(DATOS!$C$27,TABLAS!$B$52:$B$58,0)+0,7))))))),INDEX(TABLAS!$B$52:$B$58,MIN(MATCH(DATOS!$C$27,TABLAS!$B$52:$B$58,0)+0,7)),IF(AND(CE31&gt;=0,IF(MAX(DATOS!$C$29,CEILING(CE31/INDEX(TABLAS!$D$52:$D$58,MIN(MATCH(DATOS!$C$27,TABLAS!$B$52:$B$58,0)+1,7)),1))*INDEX(TABLAS!$D$52:$D$58,MIN(MATCH(DATOS!$C$27,TABLAS!$B$52:$B$58,0)+1,7))&gt;=4/3*IF(BE31&lt;=0,0,IF((1-2*BE31*1E5/(DATOS!$C$58*DATOS!$C$19*CD31^2*DATOS!$C$48))&lt;0,-1,IF((1-SQRT((1-2*BE31*1E5/(DATOS!$C$58*DATOS!$C$19*CD31^2*DATOS!$C$48))))*DATOS!$C$48*DATOS!$C$19*CD31/DATOS!$C$40&gt;DATOS!$C$82*DATOS!$C$19*CD31,-1,(1-SQRT((1-2*BE31*1E5/(DATOS!$C$58*DATOS!$C$19*CD31^2*DATOS!$C$48))))*DATOS!$C$48*DATOS!$C$19*CD31/DATOS!$C$40)))-0.0001,MAX(DATOS!$C$29,CEILING(CE31/INDEX(TABLAS!$D$52:$D$58,MIN(MATCH(DATOS!$C$27,TABLAS!$B$52:$B$58,0)+1,7)),1)),MAX(MAX(DATOS!$C$29,CEILING(CE31/INDEX(TABLAS!$D$52:$D$58,MIN(MATCH(DATOS!$C$27,TABLAS!$B$52:$B$58,0)+1,7)),1)),2))&lt;=MIN(DATOS!$C$28,INT(((DATOS!$C$13-2*S31-2*IF(DATOS!$C$25=0,0,INDEX(TABLAS!$C$52:$C$58,MATCH(DATOS!$C$25,TABLAS!$B$52:$B$58,0))))+MAX(DATOS!$C$32,INDEX(TABLAS!$C$52:$C$58,MIN(MATCH(DATOS!$C$27,TABLAS!$B$52:$B$58,0)+1,7))))/(INDEX(TABLAS!$C$52:$C$58,MIN(MATCH(DATOS!$C$27,TABLAS!$B$52:$B$58,0)+1,7))+MAX(DATOS!$C$32,INDEX(TABLAS!$C$52:$C$58,MIN(MATCH(DATOS!$C$27,TABLAS!$B$52:$B$58,0)+1,7))))))),INDEX(TABLAS!$B$52:$B$58,MIN(MATCH(DATOS!$C$27,TABLAS!$B$52:$B$58,0)+1,7)),IF(AND(CE31&gt;=0,IF(MAX(DATOS!$C$29,CEILING(CE31/INDEX(TABLAS!$D$52:$D$58,MIN(MATCH(DATOS!$C$27,TABLAS!$B$52:$B$58,0)+2,7)),1))*INDEX(TABLAS!$D$52:$D$58,MIN(MATCH(DATOS!$C$27,TABLAS!$B$52:$B$58,0)+2,7))&gt;=4/3*IF(BE31&lt;=0,0,IF((1-2*BE31*1E5/(DATOS!$C$58*DATOS!$C$19*CD31^2*DATOS!$C$48))&lt;0,-1,IF((1-SQRT((1-2*BE31*1E5/(DATOS!$C$58*DATOS!$C$19*CD31^2*DATOS!$C$48))))*DATOS!$C$48*DATOS!$C$19*CD31/DATOS!$C$40&gt;DATOS!$C$82*DATOS!$C$19*CD31,-1,(1-SQRT((1-2*BE31*1E5/(DATOS!$C$58*DATOS!$C$19*CD31^2*DATOS!$C$48))))*DATOS!$C$48*DATOS!$C$19*CD31/DATOS!$C$40)))-0.0001,MAX(DATOS!$C$29,CEILING(CE31/INDEX(TABLAS!$D$52:$D$58,MIN(MATCH(DATOS!$C$27,TABLAS!$B$52:$B$58,0)+2,7)),1)),MAX(MAX(DATOS!$C$29,CEILING(CE31/INDEX(TABLAS!$D$52:$D$58,MIN(MATCH(DATOS!$C$27,TABLAS!$B$52:$B$58,0)+2,7)),1)),2))&lt;=MIN(DATOS!$C$28,INT(((DATOS!$C$13-2*S31-2*IF(DATOS!$C$25=0,0,INDEX(TABLAS!$C$52:$C$58,MATCH(DATOS!$C$25,TABLAS!$B$52:$B$58,0))))+MAX(DATOS!$C$32,INDEX(TABLAS!$C$52:$C$58,MIN(MATCH(DATOS!$C$27,TABLAS!$B$52:$B$58,0)+2,7))))/(INDEX(TABLAS!$C$52:$C$58,MIN(MATCH(DATOS!$C$27,TABLAS!$B$52:$B$58,0)+2,7))+MAX(DATOS!$C$32,INDEX(TABLAS!$C$52:$C$58,MIN(MATCH(DATOS!$C$27,TABLAS!$B$52:$B$58,0)+2,7))))))),INDEX(TABLAS!$B$52:$B$58,MIN(MATCH(DATOS!$C$27,TABLAS!$B$52:$B$58,0)+2,7)),IF(AND(CE31&gt;=0,IF(MAX(DATOS!$C$29,CEILING(CE31/INDEX(TABLAS!$D$52:$D$58,MIN(MATCH(DATOS!$C$27,TABLAS!$B$52:$B$58,0)+3,7)),1))*INDEX(TABLAS!$D$52:$D$58,MIN(MATCH(DATOS!$C$27,TABLAS!$B$52:$B$58,0)+3,7))&gt;=4/3*IF(BE31&lt;=0,0,IF((1-2*BE31*1E5/(DATOS!$C$58*DATOS!$C$19*CD31^2*DATOS!$C$48))&lt;0,-1,IF((1-SQRT((1-2*BE31*1E5/(DATOS!$C$58*DATOS!$C$19*CD31^2*DATOS!$C$48))))*DATOS!$C$48*DATOS!$C$19*CD31/DATOS!$C$40&gt;DATOS!$C$82*DATOS!$C$19*CD31,-1,(1-SQRT((1-2*BE31*1E5/(DATOS!$C$58*DATOS!$C$19*CD31^2*DATOS!$C$48))))*DATOS!$C$48*DATOS!$C$19*CD31/DATOS!$C$40)))-0.0001,MAX(DATOS!$C$29,CEILING(CE31/INDEX(TABLAS!$D$52:$D$58,MIN(MATCH(DATOS!$C$27,TABLAS!$B$52:$B$58,0)+3,7)),1)),MAX(MAX(DATOS!$C$29,CEILING(CE31/INDEX(TABLAS!$D$52:$D$58,MIN(MATCH(DATOS!$C$27,TABLAS!$B$52:$B$58,0)+3,7)),1)),2))&lt;=MIN(DATOS!$C$28,INT(((DATOS!$C$13-2*S31-2*IF(DATOS!$C$25=0,0,INDEX(TABLAS!$C$52:$C$58,MATCH(DATOS!$C$25,TABLAS!$B$52:$B$58,0))))+MAX(DATOS!$C$32,INDEX(TABLAS!$C$52:$C$58,MIN(MATCH(DATOS!$C$27,TABLAS!$B$52:$B$58,0)+3,7))))/(INDEX(TABLAS!$C$52:$C$58,MIN(MATCH(DATOS!$C$27,TABLAS!$B$52:$B$58,0)+3,7))+MAX(DATOS!$C$32,INDEX(TABLAS!$C$52:$C$58,MIN(MATCH(DATOS!$C$27,TABLAS!$B$52:$B$58,0)+3,7))))))),INDEX(TABLAS!$B$52:$B$58,MIN(MATCH(DATOS!$C$27,TABLAS!$B$52:$B$58,0)+3,7)),IF(AND(CE31&gt;=0,IF(MAX(DATOS!$C$29,CEILING(CE31/INDEX(TABLAS!$D$52:$D$58,MIN(MATCH(DATOS!$C$27,TABLAS!$B$52:$B$58,0)+4,7)),1))*INDEX(TABLAS!$D$52:$D$58,MIN(MATCH(DATOS!$C$27,TABLAS!$B$52:$B$58,0)+4,7))&gt;=4/3*IF(BE31&lt;=0,0,IF((1-2*BE31*1E5/(DATOS!$C$58*DATOS!$C$19*CD31^2*DATOS!$C$48))&lt;0,-1,IF((1-SQRT((1-2*BE31*1E5/(DATOS!$C$58*DATOS!$C$19*CD31^2*DATOS!$C$48))))*DATOS!$C$48*DATOS!$C$19*CD31/DATOS!$C$40&gt;DATOS!$C$82*DATOS!$C$19*CD31,-1,(1-SQRT((1-2*BE31*1E5/(DATOS!$C$58*DATOS!$C$19*CD31^2*DATOS!$C$48))))*DATOS!$C$48*DATOS!$C$19*CD31/DATOS!$C$40)))-0.0001,MAX(DATOS!$C$29,CEILING(CE31/INDEX(TABLAS!$D$52:$D$58,MIN(MATCH(DATOS!$C$27,TABLAS!$B$52:$B$58,0)+4,7)),1)),MAX(MAX(DATOS!$C$29,CEILING(CE31/INDEX(TABLAS!$D$52:$D$58,MIN(MATCH(DATOS!$C$27,TABLAS!$B$52:$B$58,0)+4,7)),1)),2))&lt;=MIN(DATOS!$C$28,INT(((DATOS!$C$13-2*S31-2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31" s="56">
        <f>IF(D31="HUECO",0,IF(CE31&lt;0,0,IF(MAX(DATOS!$C$29,CEILING(MAX(CE31,0)/INDEX(TABLAS!$D$52:$D$58,MATCH(CF31,TABLAS!$B$52:$B$58,0)),1))*INDEX(TABLAS!$D$52:$D$58,MATCH(CF31,TABLAS!$B$52:$B$58,0))&gt;=4/3*IF(BE31&lt;=0,0,IF((1-2*BE31*1E5/(DATOS!$C$58*DATOS!$C$19*CD31^2*DATOS!$C$48))&lt;0,-1,IF((1-SQRT((1-2*BE31*1E5/(DATOS!$C$58*DATOS!$C$19*CD31^2*DATOS!$C$48))))*DATOS!$C$48*DATOS!$C$19*CD31/DATOS!$C$40&gt;DATOS!$C$82*DATOS!$C$19*CD31,-1,(1-SQRT((1-2*BE31*1E5/(DATOS!$C$58*DATOS!$C$19*CD31^2*DATOS!$C$48))))*DATOS!$C$48*DATOS!$C$19*CD31/DATOS!$C$40)))-0.0001,MAX(DATOS!$C$29,CEILING(MAX(CE31,0)/INDEX(TABLAS!$D$52:$D$58,MATCH(CF31,TABLAS!$B$52:$B$58,0)),1)),MAX(MAX(DATOS!$C$29,CEILING(MAX(CE31,0)/INDEX(TABLAS!$D$52:$D$58,MATCH(CF31,TABLAS!$B$52:$B$58,0)),1)),2))))</f>
        <v>1</v>
      </c>
      <c r="CH31" s="43">
        <f>((DATOS!$C$15-S31-2*DATOS!$C$35-IF(DATOS!$C$25=0,0,INDEX(TABLAS!$C$52:$C$58,MATCH(DATOS!$C$25,TABLAS!$B$52:$B$58,0)))-INDEX(TABLAS!$C$52:$C$58,MATCH(BP31,TABLAS!$B$52:$B$58,0))-INDEX(TABLAS!$C$52:$C$58,MATCH(CF31,TABLAS!$B$52:$B$58,0))/2)-IF(AND((DATOS!$C$15-S31-2*DATOS!$C$35-IF(DATOS!$C$25=0,0,INDEX(TABLAS!$C$52:$C$58,MATCH(DATOS!$C$25,TABLAS!$B$52:$B$58,0)))-INDEX(TABLAS!$C$52:$C$58,MATCH(BP31,TABLAS!$B$52:$B$58,0))-INDEX(TABLAS!$C$52:$C$58,MATCH(CF31,TABLAS!$B$52:$B$58,0))/2)&lt;=20,DATOS!$C$18&lt;&gt;"SÍ"),2,0))</f>
        <v>18.119</v>
      </c>
      <c r="CI31" s="36">
        <f>IF(CG31=0,0,DATOS!$C$58*CG31*INDEX(TABLAS!$D$52:$D$58,MATCH(CF31,TABLAS!$B$52:$B$58,0))*DATOS!$C$40*(CH31-CG31*INDEX(TABLAS!$D$52:$D$58,MATCH(CF31,TABLAS!$B$52:$B$58,0))*DATOS!$C$40/(DATOS!$C$48*DATOS!$C$19)/2)/1E5)</f>
        <v>0.809570360117647</v>
      </c>
      <c r="CJ31" s="62">
        <f>IF(CE31&lt;0,9.99,IF(CI31&gt;0,BE31/CI31,0))</f>
        <v>0.110890014785918</v>
      </c>
      <c r="CK31" s="63">
        <f>IF(CG31=0,"—",0.003*(CH31-(CG31*INDEX(TABLAS!$D$52:$D$58,MATCH(CF31,TABLAS!$B$52:$B$58,0))*DATOS!$C$40/(DATOS!$C$48*DATOS!$C$19)/DATOS!$C$49))/(CG31*INDEX(TABLAS!$D$52:$D$58,MATCH(CF31,TABLAS!$B$52:$B$58,0))*DATOS!$C$40/(DATOS!$C$48*DATOS!$C$19)/DATOS!$C$49))</f>
        <v>0.0154068862485939</v>
      </c>
      <c r="CL31" s="52" t="str">
        <f>IF(D31="HUECO","—",IF(AND(D31="PERIMETRAL",J31*100&gt;=6*DATOS!$C$11,DATOS!$C$11&lt;=80,DATOS!$C$13&gt;=10,DATOS!$C$15&lt;=3.5*DATOS!$C$13,DATOS!$C$14&gt;=MAX(DATOS!$C$11/13,5)),"SÍ","NO"))</f>
        <v>NO</v>
      </c>
      <c r="CM31" s="36">
        <f>IF(D31="PERIMETRAL",MAX(0,(N31/2-BR31)/100)*(0.95-0.5*L31)*Y31*IF(AND(Z31&gt;0,Z31&lt;4),DATOS!$C$63,1)*DATOS!$C$16/100/1000+AX31,IF(D31="VOLADO",(Y31*MAX(0,N31-BR31)/100+DATOS!$C$55*BA31)*DATOS!$C$16/100/1000,0))</f>
        <v>0.258013122190853</v>
      </c>
      <c r="CN31" s="36">
        <f>IF(D31="HUECO",0,DATOS!$C$59*2*MIN(1,SQRT(2/(1+0.04*BR31)))*(BQ31*INDEX(TABLAS!$D$52:$D$58,MATCH(BP31,TABLAS!$B$52:$B$58,0))/(DATOS!$C$19*BR31))^(1/3)*SQRT(DATOS!$C$39)*DATOS!$C$19*BR31*IF(CL31="SÍ",DATOS!$C$62,1)/1000)</f>
        <v>0.860398102904257</v>
      </c>
      <c r="CO31" s="51" t="str">
        <f>IF(D31="HUECO","—",IF(CM31&lt;=CN31,"CUMPLE",IF(MAX(0,CEILING((IF(D31="VOLADO",(N31-(CN31*1E5/DATOS!$C$16-DATOS!$C$55*BA31)*100/Y31),IF(CN31&lt;=AX31,N31,N31/2-(CN31-AX31)/MAX(CM31-AX31,1E-9)*(N31/2-BR31)))-IF(INT((J31*100-DATOS!$C$17+DATOS!$C$13)/DATOS!$C$16)&gt;0,(J31*100-DATOS!$C$17-(INT((J31*100-DATOS!$C$17+DATOS!$C$13)/DATOS!$C$16)*DATOS!$C$11+(INT((J31*100-DATOS!$C$17+DATOS!$C$13)/DATOS!$C$16)-1)*DATOS!$C$13))/2,J31*100/2))/DATOS!$C$16,1))&lt;=0,"CUMPLE (basta el macizo de orilla)","MACIZAR "&amp;MAX(0,CEILING((IF(D31="VOLADO",(N31-(CN31*1E5/DATOS!$C$16-DATOS!$C$55*BA31)*100/Y31),IF(CN31&lt;=AX31,N31,N31/2-(CN31-AX31)/MAX(CM31-AX31,1E-9)*(N31/2-BR31)))-IF(INT((J31*100-DATOS!$C$17+DATOS!$C$13)/DATOS!$C$16)&gt;0,(J31*100-DATOS!$C$17-(INT((J31*100-DATOS!$C$17+DATOS!$C$13)/DATOS!$C$16)*DATOS!$C$11+(INT((J31*100-DATOS!$C$17+DATOS!$C$13)/DATOS!$C$16)-1)*DATOS!$C$13))/2,J31*100/2))/DATOS!$C$16,1))&amp;" hilera(s)")))</f>
        <v>CUMPLE</v>
      </c>
      <c r="CP31" s="43">
        <f>IF(D31="PERIMETRAL",(99+99+99+99)/4,0)</f>
        <v>99</v>
      </c>
      <c r="CQ31" s="57">
        <f>IF(D31="PERIMETRAL",IF(CP31&gt;2,MAX(9,O31*(0.8+DATOS!$C$40/14000)/(36+9*(O31/MAX(N31,1)))),IF(CP31&gt;0.2,MAX(13,O31*(0.8+DATOS!$C$40/14000)/(36+5*(O31/MAX(N31,1))*(CP31-0.2))),MAX(13,O31/IF(Z31&gt;0,30,33))))*IF(AND(CP31&gt;0.2,OR(AND((APOYOS!$G$117="DISCONTINUO"),99&lt;0.8),AND((APOYOS!$G$118="DISCONTINUO"),99&lt;0.8),AND((APOYOS!$G$119="DISCONTINUO"),99&lt;0.8),AND((APOYOS!$G$120="DISCONTINUO"),99&lt;0.8))),1.1,1),IF(D31="VOLADO",MAX(25,J31*100/8),0))</f>
        <v>9</v>
      </c>
      <c r="CR31" s="57">
        <f>IF(D31="VOLADO",DATOS!$C$15,DATOS!$C$77)</f>
        <v>16.7232564120244</v>
      </c>
      <c r="CS31" s="52" t="str">
        <f>IF(D31="HUECO","—",IF(CR31&gt;=CQ31,"CUMPLE",IF(D31="VOLADO","NO CUMPLE","CALCULAR FLECHA")))</f>
        <v>CUMPLE</v>
      </c>
      <c r="CT31" s="52" t="str">
        <f>IF(D31="HUECO","—",IF(DATOS!$C$14&gt;=IF(IF(D31="VOLADO",J31,K31)&gt;=6,6,5),"CUMPLE","CAPA ≥ 6 cm"))</f>
        <v>CUMPLE</v>
      </c>
      <c r="CU31" s="59">
        <f>IF(D31="HUECO",0,IF(((4*((AL31*Y31*J31^2*1E-4*DATOS!$C$16/100/1000)+((MAX(AH31,AJ31)*Y31*J31^2*1E-4*DATOS!$C$16/100/1000)+(IF(AND(AH31&gt;0,AJ31&gt;0),MIN(AH31,AJ31),MAX(AH31,AJ31))*Y31*J31^2*1E-4*DATOS!$C$16/100/1000))/2)+BC31-(IF(AND(AH31&gt;0,AJ31&gt;0),MIN(AH31,AJ31),MAX(AH31,AJ31))*Y31*J31^2*1E-4*DATOS!$C$16/100/1000))^2-16*((AL31*Y31*J31^2*1E-4*DATOS!$C$16/100/1000)+((MAX(AH31,AJ31)*Y31*J31^2*1E-4*DATOS!$C$16/100/1000)+(IF(AND(AH31&gt;0,AJ31&gt;0),MIN(AH31,AJ31),MAX(AH31,AJ31))*Y31*J31^2*1E-4*DATOS!$C$16/100/1000))/2)*BC31)&lt;0,CEILING(N31,5),CEILING(MAX(N31*((4*((AL31*Y31*J31^2*1E-4*DATOS!$C$16/100/1000)+((MAX(AH31,AJ31)*Y31*J31^2*1E-4*DATOS!$C$16/100/1000)+(IF(AND(AH31&gt;0,AJ31&gt;0),MIN(AH31,AJ31),MAX(AH31,AJ31))*Y31*J31^2*1E-4*DATOS!$C$16/100/1000))/2)+BC31-(IF(AND(AH31&gt;0,AJ31&gt;0),MIN(AH31,AJ31),MAX(AH31,AJ31))*Y31*J31^2*1E-4*DATOS!$C$16/100/1000))-SQRT(MAX(0,((4*((AL31*Y31*J31^2*1E-4*DATOS!$C$16/100/1000)+((MAX(AH31,AJ31)*Y31*J31^2*1E-4*DATOS!$C$16/100/1000)+(IF(AND(AH31&gt;0,AJ31&gt;0),MIN(AH31,AJ31),MAX(AH31,AJ31))*Y31*J31^2*1E-4*DATOS!$C$16/100/1000))/2)+BC31-(IF(AND(AH31&gt;0,AJ31&gt;0),MIN(AH31,AJ31),MAX(AH31,AJ31))*Y31*J31^2*1E-4*DATOS!$C$16/100/1000))^2-16*((AL31*Y31*J31^2*1E-4*DATOS!$C$16/100/1000)+((MAX(AH31,AJ31)*Y31*J31^2*1E-4*DATOS!$C$16/100/1000)+(IF(AND(AH31&gt;0,AJ31&gt;0),MIN(AH31,AJ31),MAX(AH31,AJ31))*Y31*J31^2*1E-4*DATOS!$C$16/100/1000))/2)*BC31))))/(8*MAX(((AL31*Y31*J31^2*1E-4*DATOS!$C$16/100/1000)+((MAX(AH31,AJ31)*Y31*J31^2*1E-4*DATOS!$C$16/100/1000)+(IF(AND(AH31&gt;0,AJ31&gt;0),MIN(AH31,AJ31),MAX(AH31,AJ31))*Y31*J31^2*1E-4*DATOS!$C$16/100/1000))/2),1E-9))+MAX(BR31,12*INDEX(TABLAS!$C$52:$C$58,MATCH(BP31,TABLAS!$B$52:$B$58,0)),N31/16),IF(OR(S31&lt;INDEX(TABLAS!$C$52:$C$58,MATCH(BP31,TABLAS!$B$52:$B$58,0)),AND(BQ31&gt;=2,(DATOS!$C$13-2*S31-2*IF(DATOS!$C$25=0,0,INDEX(TABLAS!$C$52:$C$58,MATCH(DATOS!$C$25,TABLAS!$B$52:$B$58,0)))-BQ31*INDEX(TABLAS!$C$52:$C$58,MATCH(BP31,TABLAS!$B$52:$B$58,0)))/MAX(BQ31-1,1)&lt;2*INDEX(TABLAS!$C$52:$C$58,MATCH(BP31,TABLAS!$B$52:$B$58,0)))),INDEX(TABLAS!$I$52:$I$58,MATCH(BP31,TABLAS!$B$52:$B$58,0)),INDEX(TABLAS!$F$52:$F$58,MATCH(BP31,TABLAS!$B$52:$B$58,0)))),5)))</f>
        <v>145</v>
      </c>
      <c r="CV31" s="59">
        <f>IF(D31="HUECO",0,IF(((4*((AM31*Y31*J31^2*1E-4*DATOS!$C$16/100/1000)+((MAX(AI31,AK31)*Y31*J31^2*1E-4*DATOS!$C$16/100/1000)+(IF(AND(AI31&gt;0,AK31&gt;0),MIN(AI31,AK31),MAX(AI31,AK31))*Y31*J31^2*1E-4*DATOS!$C$16/100/1000))/2)+BE31-(IF(AND(AI31&gt;0,AK31&gt;0),MIN(AI31,AK31),MAX(AI31,AK31))*Y31*J31^2*1E-4*DATOS!$C$16/100/1000))^2-16*((AM31*Y31*J31^2*1E-4*DATOS!$C$16/100/1000)+((MAX(AI31,AK31)*Y31*J31^2*1E-4*DATOS!$C$16/100/1000)+(IF(AND(AI31&gt;0,AK31&gt;0),MIN(AI31,AK31),MAX(AI31,AK31))*Y31*J31^2*1E-4*DATOS!$C$16/100/1000))/2)*BE31)&lt;0,CEILING(O31,5),CEILING(MAX(O31*((4*((AM31*Y31*J31^2*1E-4*DATOS!$C$16/100/1000)+((MAX(AI31,AK31)*Y31*J31^2*1E-4*DATOS!$C$16/100/1000)+(IF(AND(AI31&gt;0,AK31&gt;0),MIN(AI31,AK31),MAX(AI31,AK31))*Y31*J31^2*1E-4*DATOS!$C$16/100/1000))/2)+BE31-(IF(AND(AI31&gt;0,AK31&gt;0),MIN(AI31,AK31),MAX(AI31,AK31))*Y31*J31^2*1E-4*DATOS!$C$16/100/1000))-SQRT(MAX(0,((4*((AM31*Y31*J31^2*1E-4*DATOS!$C$16/100/1000)+((MAX(AI31,AK31)*Y31*J31^2*1E-4*DATOS!$C$16/100/1000)+(IF(AND(AI31&gt;0,AK31&gt;0),MIN(AI31,AK31),MAX(AI31,AK31))*Y31*J31^2*1E-4*DATOS!$C$16/100/1000))/2)+BE31-(IF(AND(AI31&gt;0,AK31&gt;0),MIN(AI31,AK31),MAX(AI31,AK31))*Y31*J31^2*1E-4*DATOS!$C$16/100/1000))^2-16*((AM31*Y31*J31^2*1E-4*DATOS!$C$16/100/1000)+((MAX(AI31,AK31)*Y31*J31^2*1E-4*DATOS!$C$16/100/1000)+(IF(AND(AI31&gt;0,AK31&gt;0),MIN(AI31,AK31),MAX(AI31,AK31))*Y31*J31^2*1E-4*DATOS!$C$16/100/1000))/2)*BE31))))/(8*MAX(((AM31*Y31*J31^2*1E-4*DATOS!$C$16/100/1000)+((MAX(AI31,AK31)*Y31*J31^2*1E-4*DATOS!$C$16/100/1000)+(IF(AND(AI31&gt;0,AK31&gt;0),MIN(AI31,AK31),MAX(AI31,AK31))*Y31*J31^2*1E-4*DATOS!$C$16/100/1000))/2),1E-9))+MAX(CH31,12*INDEX(TABLAS!$C$52:$C$58,MATCH(CF31,TABLAS!$B$52:$B$58,0)),O31/16),IF(OR(S31&lt;INDEX(TABLAS!$C$52:$C$58,MATCH(CF31,TABLAS!$B$52:$B$58,0)),AND(CG31&gt;=2,(DATOS!$C$13-2*S31-2*IF(DATOS!$C$25=0,0,INDEX(TABLAS!$C$52:$C$58,MATCH(DATOS!$C$25,TABLAS!$B$52:$B$58,0)))-CG31*INDEX(TABLAS!$C$52:$C$58,MATCH(CF31,TABLAS!$B$52:$B$58,0)))/MAX(CG31-1,1)&lt;2*INDEX(TABLAS!$C$52:$C$58,MATCH(CF31,TABLAS!$B$52:$B$58,0)))),INDEX(TABLAS!$I$52:$I$58,MATCH(CF31,TABLAS!$B$52:$B$58,0)),INDEX(TABLAS!$F$52:$F$58,MATCH(CF31,TABLAS!$B$52:$B$58,0)))),5)))</f>
        <v>85</v>
      </c>
      <c r="CW31" s="56">
        <f>MAX(0,INT((F31*100-DATOS!$C$17+DATOS!$C$13)/DATOS!$C$16))</f>
        <v>2</v>
      </c>
      <c r="CX31" s="56">
        <f>MAX(0,INT((G31*100-DATOS!$C$17+DATOS!$C$13)/DATOS!$C$16))</f>
        <v>4</v>
      </c>
      <c r="CY31" s="51" t="str">
        <f>IF(COUNTIFS(TRIB!$C$6:$C$255,B31,TRIB!$K$6:$K$255,"NO CUMPLE*")+COUNTIFS(TRIB!$C$6:$C$255,B31,TRIB!$K$6:$K$255,"SIN APOYO*")&gt;0,"VER PRINCIPALES",IF((APOYOS!$F$117="LIBRE")+(APOYOS!$F$118="LIBRE")+(APOYOS!$F$119="LIBRE")+(APOYOS!$F$120="LIBRE")&gt;0,"REVISAR: borde libre","OK"))</f>
        <v>OK</v>
      </c>
      <c r="CZ31" s="64" t="str">
        <f>IF(D31="HUECO","HUECO — marco de nervaduras principales",IF(AND(MAX(BL31,BT31,CB31,CJ31)&lt;=1,NOT(OR(BI31&gt;MIN(DATOS!$C$28,INT(((DATOS!$C$13-2*R31-2*IF(DATOS!$C$25=0,0,INDEX(TABLAS!$C$52:$C$58,MATCH(DATOS!$C$25,TABLAS!$B$52:$B$58,0))))+DATOS!$C$32)/(INDEX(TABLAS!$C$52:$C$58,MATCH(BH31,TABLAS!$B$52:$B$58,0))+DATOS!$C$32))),BQ31&gt;MIN(DATOS!$C$28,INT(((DATOS!$C$13-2*S31-2*IF(DATOS!$C$25=0,0,INDEX(TABLAS!$C$52:$C$58,MATCH(DATOS!$C$25,TABLAS!$B$52:$B$58,0))))+DATOS!$C$32)/(INDEX(TABLAS!$C$52:$C$58,MATCH(BP31,TABLAS!$B$52:$B$58,0))+DATOS!$C$32))),BY31&gt;MIN(DATOS!$C$28,INT(((DATOS!$C$13-2*R31-2*IF(DATOS!$C$25=0,0,INDEX(TABLAS!$C$52:$C$58,MATCH(DATOS!$C$25,TABLAS!$B$52:$B$58,0))))+DATOS!$C$32)/(INDEX(TABLAS!$C$52:$C$58,MATCH(BX31,TABLAS!$B$52:$B$58,0))+DATOS!$C$32))),CG31&gt;MIN(DATOS!$C$28,INT(((DATOS!$C$13-2*S31-2*IF(DATOS!$C$25=0,0,INDEX(TABLAS!$C$52:$C$58,MATCH(DATOS!$C$25,TABLAS!$B$52:$B$58,0))))+DATOS!$C$32)/(INDEX(TABLAS!$C$52:$C$58,MATCH(CF31,TABLAS!$B$52:$B$58,0))+DATOS!$C$32))))),NOT(OR(AND(ISNUMBER(BM31),BM31&lt;0.005),AND(ISNUMBER(BU31),BU31&lt;0.005),AND(ISNUMBER(CC31),CC31&lt;0.005),AND(ISNUMBER(CK31),CK31&lt;0.005))),CS31="CUMPLE",CT31="CUMPLE"),IF(CY31="OK",IF(LEFT(CO31,6)="CUMPLE","CUMPLE","CUMPLE — "&amp;CO31)&amp;IF(LEFT(AZ31,5)="FUERA"," · fuera de 3.4.2.1 c)",""),IF(CY31="VER PRINCIPALES","VER PRINCIPALES","REVISAR APOYOS")),IF(AND(MAX(BL31,BT31,CB31,CJ31)&lt;=1,NOT(OR(BI31&gt;MIN(DATOS!$C$28,INT(((DATOS!$C$13-2*R31-2*IF(DATOS!$C$25=0,0,INDEX(TABLAS!$C$52:$C$58,MATCH(DATOS!$C$25,TABLAS!$B$52:$B$58,0))))+DATOS!$C$32)/(INDEX(TABLAS!$C$52:$C$58,MATCH(BH31,TABLAS!$B$52:$B$58,0))+DATOS!$C$32))),BQ31&gt;MIN(DATOS!$C$28,INT(((DATOS!$C$13-2*S31-2*IF(DATOS!$C$25=0,0,INDEX(TABLAS!$C$52:$C$58,MATCH(DATOS!$C$25,TABLAS!$B$52:$B$58,0))))+DATOS!$C$32)/(INDEX(TABLAS!$C$52:$C$58,MATCH(BP31,TABLAS!$B$52:$B$58,0))+DATOS!$C$32))),BY31&gt;MIN(DATOS!$C$28,INT(((DATOS!$C$13-2*R31-2*IF(DATOS!$C$25=0,0,INDEX(TABLAS!$C$52:$C$58,MATCH(DATOS!$C$25,TABLAS!$B$52:$B$58,0))))+DATOS!$C$32)/(INDEX(TABLAS!$C$52:$C$58,MATCH(BX31,TABLAS!$B$52:$B$58,0))+DATOS!$C$32))),CG31&gt;MIN(DATOS!$C$28,INT(((DATOS!$C$13-2*S31-2*IF(DATOS!$C$25=0,0,INDEX(TABLAS!$C$52:$C$58,MATCH(DATOS!$C$25,TABLAS!$B$52:$B$58,0))))+DATOS!$C$32)/(INDEX(TABLAS!$C$52:$C$58,MATCH(CF31,TABLAS!$B$52:$B$58,0))+DATOS!$C$32))))),NOT(OR(AND(ISNUMBER(BM31),BM31&lt;0.005),AND(ISNUMBER(BU31),BU31&lt;0.005),AND(ISNUMBER(CC31),CC31&lt;0.005),AND(ISNUMBER(CK31),CK31&lt;0.005))),CS31="CALCULAR FLECHA"),"REVISAR: calcular flecha (h_eq &lt; h mín.)","NO CUMPLE: "&amp;IF(MAX(BL31,BT31,CB31,CJ31)&gt;1,"flexión ","")&amp;IF(OR(BI31&gt;MIN(DATOS!$C$28,INT(((DATOS!$C$13-2*R31-2*IF(DATOS!$C$25=0,0,INDEX(TABLAS!$C$52:$C$58,MATCH(DATOS!$C$25,TABLAS!$B$52:$B$58,0))))+DATOS!$C$32)/(INDEX(TABLAS!$C$52:$C$58,MATCH(BH31,TABLAS!$B$52:$B$58,0))+DATOS!$C$32))),BQ31&gt;MIN(DATOS!$C$28,INT(((DATOS!$C$13-2*S31-2*IF(DATOS!$C$25=0,0,INDEX(TABLAS!$C$52:$C$58,MATCH(DATOS!$C$25,TABLAS!$B$52:$B$58,0))))+DATOS!$C$32)/(INDEX(TABLAS!$C$52:$C$58,MATCH(BP31,TABLAS!$B$52:$B$58,0))+DATOS!$C$32))),BY31&gt;MIN(DATOS!$C$28,INT(((DATOS!$C$13-2*R31-2*IF(DATOS!$C$25=0,0,INDEX(TABLAS!$C$52:$C$58,MATCH(DATOS!$C$25,TABLAS!$B$52:$B$58,0))))+DATOS!$C$32)/(INDEX(TABLAS!$C$52:$C$58,MATCH(BX31,TABLAS!$B$52:$B$58,0))+DATOS!$C$32))),CG31&gt;MIN(DATOS!$C$28,INT(((DATOS!$C$13-2*S31-2*IF(DATOS!$C$25=0,0,INDEX(TABLAS!$C$52:$C$58,MATCH(DATOS!$C$25,TABLAS!$B$52:$B$58,0))))+DATOS!$C$32)/(INDEX(TABLAS!$C$52:$C$58,MATCH(CF31,TABLAS!$B$52:$B$58,0))+DATOS!$C$32)))),"no caben ","")&amp;IF(OR(AND(ISNUMBER(BM31),BM31&lt;0.005),AND(ISNUMBER(BU31),BU31&lt;0.005),AND(ISNUMBER(CC31),CC31&lt;0.005),AND(ISNUMBER(CK31),CK31&lt;0.005)),"ε_t &lt; 0.005 ","")&amp;IF(CS31="NO CUMPLE","peralte ","")&amp;IF(CT31&lt;&gt;"CUMPLE","capa &lt; 6 cm",""))))</f>
        <v>CUMPLE · fuera de 3.4.2.1 c)</v>
      </c>
      <c r="DA31" s="65" t="str">
        <f>IF(AND(D31="PERIMETRAL",MIN(CW31,CX31)=0),"Tablero macizo (no cabe un casetón en el claro corto): no aplica 6.7.8. La resistencia se revisa con una nervadura de 10 cm cada 70 cm y r_np (conservador); "&amp;"como losa maciza lleva además As,mín = 0.0018·Ag en cada dirección cerca de la cara a tensión (6.7.6.1.1, p. 175). ",IF(AND(CL31="NO",D31="PERIMETRAL"),"No cumple 6.7.8.1.4 (a_c = "&amp;DATOS!$C$11&amp;" cm &gt; claro corto/6 = "&amp;TEXT(J31*100/6,"0")&amp;" cm): se diseña como losa apoyada en vigas (6.7.8.1.9): nervaduras con recubrimiento de viga r_np = "&amp;DATOS!$C$22&amp;" cm (Tabla 4.14.16.a), V_cR sin ×1.1 y cortante sin estribos por 5.5.3.8.1 (criterio del Proyectista). Para que cuente como encasetonada: casetón de "&amp;TEXT(FLOOR(MIN(80,J31*100/6),1),"0")&amp;" cm o menor. ",""))&amp;IF(LEFT(AZ31,5)="FUERA","M⁻ del borde común "&amp;AZ31&amp;": difieren más de 50% (3.4.2.1 c); se distribuyen 2/3 del desequilibrio (3.4.3.1) y conviene confirmar los momentos con el modelo. ","")&amp;"—"</f>
        <v>No cumple 6.7.8.1.4 (a_c = 60 cm &gt; claro corto/6 = 27 cm): se diseña como losa apoyada en vigas (6.7.8.1.9): nervaduras con recubrimiento de viga r_np = 4 cm (Tabla 4.14.16.a), V_cR sin ×1.1 y cortante sin estribos por 5.5.3.8.1 (criterio del Proyectista). Para que cuente como encasetonada: casetón de 26 cm o menor. M⁻ del borde común FUERA con F80024 · continuidad asimétrica con F80032 (cada uno con su momento; revisar APOYOS): difieren más de 50% (3.4.2.1 c); se distribuyen 2/3 del desequilibrio (3.4.3.1) y conviene confirmar los momentos con el modelo. —</v>
      </c>
    </row>
    <row r="32" ht="30" customHeight="1">
      <c r="B32" s="51" t="inlineStr">
        <is>
          <t>F80024 N+6.00</t>
        </is>
      </c>
      <c r="C32" s="52" t="inlineStr">
        <is>
          <t>N+6.00</t>
        </is>
      </c>
      <c r="D32" s="53" t="inlineStr">
        <is>
          <t>PERIMETRAL</t>
        </is>
      </c>
      <c r="E32" s="53" t="inlineStr">
        <is>
          <t>AZOTEA</t>
        </is>
      </c>
      <c r="F32" s="54" t="n">
        <v>4.327</v>
      </c>
      <c r="G32" s="54" t="n">
        <v>4.95</v>
      </c>
      <c r="H32" s="55" t="n">
        <v>4.327</v>
      </c>
      <c r="I32" s="55" t="n">
        <v>4.95</v>
      </c>
      <c r="J32" s="36">
        <f>MIN(H32,I32)</f>
        <v>4.327</v>
      </c>
      <c r="K32" s="36">
        <f>MAX(H32,I32)</f>
        <v>4.95</v>
      </c>
      <c r="L32" s="36">
        <f>IF(K32&gt;0,J32/K32,0)</f>
        <v>0.874141414141414</v>
      </c>
      <c r="M32" s="52" t="str">
        <f>IF(H32&lt;=I32,"X","Y")</f>
        <v>X</v>
      </c>
      <c r="N32" s="56">
        <f>MAX(0,J32*100-IF(D32="VOLADO",DATOS!$C$17/2,DATOS!$C$17))</f>
        <v>417.7</v>
      </c>
      <c r="O32" s="56">
        <f>MAX(0,K32*100-DATOS!$C$17)</f>
        <v>480</v>
      </c>
      <c r="P32" s="57">
        <f>MIN(DATOS!$C$16,DATOS!$C$13+2*MIN(8*DATOS!$C$14,DATOS!$C$11/2,N32/8))</f>
        <v>70</v>
      </c>
      <c r="Q32" s="57">
        <f>MIN(DATOS!$C$16,DATOS!$C$13+2*MIN(8*DATOS!$C$14,DATOS!$C$11/2,O32/8))</f>
        <v>70</v>
      </c>
      <c r="R32" s="57">
        <f>IF(D32="VOLADO",DATOS!$C$21,IF(CL32="NO",DATOS!$C$22,DATOS!$C$20))</f>
        <v>2</v>
      </c>
      <c r="S32" s="57">
        <f>IF(OR(AND(C32="N+6.00",DATOS!$C$23="SÍ"),AND(D32="VOLADO",DATOS!$C$24="SÍ")),DATOS!$C$21,IF(CL32="NO",DATOS!$C$22,DATOS!$C$20))</f>
        <v>2</v>
      </c>
      <c r="T32" s="58" t="n">
        <v>315</v>
      </c>
      <c r="U32" s="56">
        <f>IF(E32="HABITACIÓN",DATOS!$C$89,DATOS!$C$92)</f>
        <v>100</v>
      </c>
      <c r="V32" s="56">
        <f>CARGAS!$C$9</f>
        <v>293.673469387755</v>
      </c>
      <c r="W32" s="56">
        <f>V32+T32</f>
        <v>608.673469387755</v>
      </c>
      <c r="X32" s="56">
        <f>W32+U32</f>
        <v>708.673469387755</v>
      </c>
      <c r="Y32" s="59">
        <f>MAX(DATOS!$C$55*W32+DATOS!$C$56*U32,IF(E32="AZOTEA",DATOS!$C$57*(W32+DATOS!$C$97),0))</f>
        <v>941.275510204082</v>
      </c>
      <c r="Z32" s="56">
        <f>(APOYOS!$G$121="DISCONTINUO")+(APOYOS!$G$122="DISCONTINUO")+(APOYOS!$G$123="DISCONTINUO")+(APOYOS!$G$124="DISCONTINUO")</f>
        <v>2</v>
      </c>
      <c r="AA32" s="56">
        <f>IF(M32="X",(APOYOS!$G$121="DISCONTINUO")+(APOYOS!$G$122="DISCONTINUO"),(APOYOS!$G$123="DISCONTINUO")+(APOYOS!$G$124="DISCONTINUO"))</f>
        <v>1</v>
      </c>
      <c r="AB32" s="56">
        <f>Z32-AA32</f>
        <v>1</v>
      </c>
      <c r="AC32" s="52" t="str">
        <f>IF(Z32=0,"INTERIOR",IF(Z32=1,IF(AA32=1,"BORDE-CORTO","BORDE-LARGO"),IF(Z32=2,IF(AA32=1,"ESQUINA",IF(AA32=2,"EXTREMO-LARGO","EXTREMO-CORTO")),IF(Z32=3,IF(AA32=2,"EXTREMO-LARGO","EXTREMO-CORTO"),"AISLADO"))))</f>
        <v>ESQUINA</v>
      </c>
      <c r="AD32" s="53" t="inlineStr">
        <is>
          <t>AUTO</t>
        </is>
      </c>
      <c r="AE32" s="60" t="str">
        <f>IF(AD32="AUTO",AC32,AD32)</f>
        <v>ESQUINA</v>
      </c>
      <c r="AF32" s="56">
        <f>MATCH(L32,TABLAS!$D$5:$J$5,1)</f>
        <v>5</v>
      </c>
      <c r="AG32" s="43">
        <f>IF(AF32&gt;=7,0,(L32-INDEX(TABLAS!$D$5:$J$5,AF32))/(INDEX(TABLAS!$D$5:$J$5,AF32+1)-INDEX(TABLAS!$D$5:$J$5,AF32)))</f>
        <v>0.741414141414141</v>
      </c>
      <c r="AH32" s="56">
        <f>INDEX(TABLAS!$D$6:$J$47,MATCH(AE32&amp;"|NIC",TABLAS!$B$6:$B$47,0),AF32)+AG32*(INDEX(TABLAS!$D$6:$J$47,MATCH(AE32&amp;"|NIC",TABLAS!$B$6:$B$47,0),MIN(AF32+1,7))-INDEX(TABLAS!$D$6:$J$47,MATCH(AE32&amp;"|NIC",TABLAS!$B$6:$B$47,0),AF32))</f>
        <v>587.513131313132</v>
      </c>
      <c r="AI32" s="56">
        <f>INDEX(TABLAS!$D$6:$J$47,MATCH(AE32&amp;"|NIL",TABLAS!$B$6:$B$47,0),AF32)+AG32*(INDEX(TABLAS!$D$6:$J$47,MATCH(AE32&amp;"|NIL",TABLAS!$B$6:$B$47,0),MIN(AF32+1,7))-INDEX(TABLAS!$D$6:$J$47,MATCH(AE32&amp;"|NIL",TABLAS!$B$6:$B$47,0),AF32))</f>
        <v>485.482828282828</v>
      </c>
      <c r="AJ32" s="56">
        <f>INDEX(TABLAS!$D$6:$J$47,MATCH(AE32&amp;"|NDC",TABLAS!$B$6:$B$47,0),AF32)+AG32*(INDEX(TABLAS!$D$6:$J$47,MATCH(AE32&amp;"|NDC",TABLAS!$B$6:$B$47,0),MIN(AF32+1,7))-INDEX(TABLAS!$D$6:$J$47,MATCH(AE32&amp;"|NDC",TABLAS!$B$6:$B$47,0),AF32))</f>
        <v>227.016161616162</v>
      </c>
      <c r="AK32" s="56">
        <f>INDEX(TABLAS!$D$6:$J$47,MATCH(AE32&amp;"|NDL",TABLAS!$B$6:$B$47,0),AF32)+AG32*(INDEX(TABLAS!$D$6:$J$47,MATCH(AE32&amp;"|NDL",TABLAS!$B$6:$B$47,0),MIN(AF32+1,7))-INDEX(TABLAS!$D$6:$J$47,MATCH(AE32&amp;"|NDL",TABLAS!$B$6:$B$47,0),AF32))</f>
        <v>248.49898989899</v>
      </c>
      <c r="AL32" s="56">
        <f>INDEX(TABLAS!$D$6:$J$47,MATCH(AE32&amp;"|PC",TABLAS!$B$6:$B$47,0),AF32)+AG32*(INDEX(TABLAS!$D$6:$J$47,MATCH(AE32&amp;"|PC",TABLAS!$B$6:$B$47,0),MIN(AF32+1,7))-INDEX(TABLAS!$D$6:$J$47,MATCH(AE32&amp;"|PC",TABLAS!$B$6:$B$47,0),AF32))</f>
        <v>314.274747474747</v>
      </c>
      <c r="AM32" s="56">
        <f>INDEX(TABLAS!$D$6:$J$47,MATCH(AE32&amp;"|PL",TABLAS!$B$6:$B$47,0),AF32)+AG32*(INDEX(TABLAS!$D$6:$J$47,MATCH(AE32&amp;"|PL",TABLAS!$B$6:$B$47,0),MIN(AF32+1,7))-INDEX(TABLAS!$D$6:$J$47,MATCH(AE32&amp;"|PL",TABLAS!$B$6:$B$47,0),AF32))</f>
        <v>277.620202020202</v>
      </c>
      <c r="AN32" s="36">
        <f>IF(D32="PERIMETRAL",IF(APOYOS!$G$121="CONTINUO",IF(M32="Y",AH32,AI32),IF(M32="Y",AJ32,AK32))*Y32*J32^2*1E-4*DATOS!$C$16/100/1000,0)</f>
        <v>0.598911239355094</v>
      </c>
      <c r="AO32" s="36">
        <f>IF(D32="PERIMETRAL",IF(APOYOS!$G$122="CONTINUO",IF(M32="Y",AH32,AI32),IF(M32="Y",AJ32,AK32))*Y32*J32^2*1E-4*DATOS!$C$16/100/1000,0)</f>
        <v>0.306558397843455</v>
      </c>
      <c r="AP32" s="36">
        <f>IF(D32="PERIMETRAL",IF(APOYOS!$G$123="CONTINUO",IF(M32="X",AH32,AI32),IF(M32="X",AJ32,AK32))*Y32*J32^2*1E-4*DATOS!$C$16/100/1000,0)</f>
        <v>0.28005631257459</v>
      </c>
      <c r="AQ32" s="36">
        <f>IF(D32="PERIMETRAL",IF(APOYOS!$G$124="CONTINUO",IF(M32="X",AH32,AI32),IF(M32="X",AJ32,AK32))*Y32*J32^2*1E-4*DATOS!$C$16/100/1000,0)</f>
        <v>0.724779945063579</v>
      </c>
      <c r="AR32" s="56">
        <f>IF(D32="PERIMETRAL",IF(M32="X",BN32,CD32)^3/(J32*100),0)</f>
        <v>22.6143727452484</v>
      </c>
      <c r="AS32" s="56">
        <f>IF(D32="PERIMETRAL",IF(M32="Y",BN32,CD32)^3/(J32*100),0)</f>
        <v>18.8205485212826</v>
      </c>
      <c r="AT32" s="36">
        <f>IF(D32="PERIMETRAL",MAX(0,IF(M32="Y",IF(AND(OR(APOYOS!$G$121="CONTINUO",APOYOS!$G$110="CONTINUO"),AN32&gt;0,AO29&gt;0,AO29&gt;AN32),AN32+2/3*(AO29-AN32)*AS32/MAX(AS32+AS29,1E-9),0),0),IF(M32="X",IF(AND(OR(APOYOS!$G$124="CONTINUO",APOYOS!$G$119="CONTINUO"),AQ32&gt;0,AP31&gt;0,AP31&gt;AQ32),AQ32+2/3*(AP31-AQ32)*AR32/MAX(AR32+AR31,1E-9),0),0),IF(M32="X",IF(AND(OR(APOYOS!$G$124="CONTINUO",APOYOS!$G$155="CONTINUO"),AQ32&gt;0,AP40&gt;0,AP40&gt;AQ32),AQ32+2/3*(AP40-AQ32)*AR32/MAX(AR32+AR40,1E-9),0),0)),0)</f>
        <v>0</v>
      </c>
      <c r="AU32" s="36">
        <f>IF(D32="PERIMETRAL",MAX(0,IF(M32&lt;&gt;"Y",IF(AND(OR(APOYOS!$G$121="CONTINUO",APOYOS!$G$110="CONTINUO"),AN32&gt;0,AO29&gt;0,AO29&gt;AN32),AN32+2/3*(AO29-AN32)*AS32/MAX(AS32+AS29,1E-9),0),0),IF(M32&lt;&gt;"X",IF(AND(OR(APOYOS!$G$124="CONTINUO",APOYOS!$G$119="CONTINUO"),AQ32&gt;0,AP31&gt;0,AP31&gt;AQ32),AQ32+2/3*(AP31-AQ32)*AR32/MAX(AR32+AR31,1E-9),0),0),IF(M32&lt;&gt;"X",IF(AND(OR(APOYOS!$G$124="CONTINUO",APOYOS!$G$155="CONTINUO"),AQ32&gt;0,AP40&gt;0,AP40&gt;AQ32),AQ32+2/3*(AP40-AQ32)*AR32/MAX(AR32+AR40,1E-9),0),0)),0)</f>
        <v>0</v>
      </c>
      <c r="AV32" s="36">
        <f>IF(D32="PERIMETRAL",(IF(M32="Y",IF(AND(OR(APOYOS!$G$121="CONTINUO",APOYOS!$G$110="CONTINUO"),AN32&gt;0,AO29&gt;0,AN32&gt;AO29),2/3*(AN32-AO29)*AS32/MAX(AS32+AS29,1E-9),0),0)+IF(M32="X",MAX(IF(AND(OR(APOYOS!$G$124="CONTINUO",APOYOS!$G$119="CONTINUO"),AQ32&gt;0,AP31&gt;0,AQ32&gt;AP31),2/3*(AQ32-AP31)*AR32/MAX(AR32+AR31,1E-9),0),IF(AND(OR(APOYOS!$G$124="CONTINUO",APOYOS!$G$155="CONTINUO"),AQ32&gt;0,AP40&gt;0,AQ32&gt;AP40),2/3*(AQ32-AP40)*AR32/MAX(AR32+AR40,1E-9),0)),0))/2,0)</f>
        <v>0.0589562622701622</v>
      </c>
      <c r="AW32" s="36">
        <f>IF(D32="PERIMETRAL",(IF(M32&lt;&gt;"Y",IF(AND(OR(APOYOS!$G$121="CONTINUO",APOYOS!$G$110="CONTINUO"),AN32&gt;0,AO29&gt;0,AN32&gt;AO29),2/3*(AN32-AO29)*AS32/MAX(AS32+AS29,1E-9),0),0)+IF(M32&lt;&gt;"X",MAX(IF(AND(OR(APOYOS!$G$124="CONTINUO",APOYOS!$G$119="CONTINUO"),AQ32&gt;0,AP31&gt;0,AQ32&gt;AP31),2/3*(AQ32-AP31)*AR32/MAX(AR32+AR31,1E-9),0),IF(AND(OR(APOYOS!$G$124="CONTINUO",APOYOS!$G$155="CONTINUO"),AQ32&gt;0,AP40&gt;0,AQ32&gt;AP40),2/3*(AQ32-AP40)*AR32/MAX(AR32+AR40,1E-9),0)),0))/2,0)</f>
        <v>0.0357211487955089</v>
      </c>
      <c r="AX32" s="36">
        <f>IF(D32="PERIMETRAL",MAX(0,0),0)</f>
        <v>0</v>
      </c>
      <c r="AY32" s="52" t="str">
        <f>IF(D32&lt;&gt;"PERIMETRAL","",IF(AND(OR(APOYOS!$G$121="CONTINUO",APOYOS!$G$110="CONTINUO"),AN32&gt;0,AO29&gt;0,ABS(AN32-AO29)&gt;0.5*MIN(AN32,AO29))," F2","")&amp;IF(AND(OR(APOYOS!$G$124="CONTINUO",APOYOS!$G$119="CONTINUO"),AQ32&gt;0,AP31&gt;0,ABS(AQ32-AP31)&gt;0.5*MIN(AQ32,AP31))," F80023","")&amp;IF(AND(OR(APOYOS!$G$124="CONTINUO",APOYOS!$G$155="CONTINUO"),AQ32&gt;0,AP40&gt;0,ABS(AQ32-AP40)&gt;0.5*MIN(AQ32,AP40))," F80032",""))</f>
        <v> F2 F80023 F80032</v>
      </c>
      <c r="AZ32" s="52" t="str">
        <f>IF(D32&lt;&gt;"PERIMETRAL","—",IF(AY32="","CUMPLE","FUERA con"&amp;AY32)&amp;IF(AND(D29="PERIMETRAL",APOYOS!$G$121&lt;&gt;APOYOS!$G$110)," · continuidad asimétrica con F2 (cada uno con su momento; revisar APOYOS)","")&amp;IF(AND(D31="PERIMETRAL",APOYOS!$G$124&lt;&gt;APOYOS!$G$119)," · continuidad asimétrica con F80023 (cada uno con su momento; revisar APOYOS)","")&amp;IF(AND(D40="PERIMETRAL",APOYOS!$G$124&lt;&gt;APOYOS!$G$155)," · continuidad asimétrica con F80032 (cada uno con su momento; revisar APOYOS)",""))</f>
        <v>FUERA con F2 F80023 F80032</v>
      </c>
      <c r="BA32" s="61" t="n">
        <v>0</v>
      </c>
      <c r="BB32" s="36">
        <f>IF(D32="PERIMETRAL",AL32*Y32*J32^2*1E-4*DATOS!$C$16/100/1000+AV32,0)</f>
        <v>0.446658293202669</v>
      </c>
      <c r="BC32" s="36">
        <f>IF(D32="PERIMETRAL",MAX(MAX(AH32,AJ32)*Y32*J32^2*1E-4*DATOS!$C$16/100/1000,AT32),IF(D32="VOLADO",(Y32*(N32/100)^2/2+DATOS!$C$55*BA32*N32/100)*DATOS!$C$16/100/1000,0))</f>
        <v>0.724779945063579</v>
      </c>
      <c r="BD32" s="36">
        <f>IF(D32="PERIMETRAL",AM32*Y32*J32^2*1E-4*DATOS!$C$16/100/1000+AW32,0)</f>
        <v>0.378204650941267</v>
      </c>
      <c r="BE32" s="36">
        <f>IF(D32="PERIMETRAL",MAX(MAX(AI32,AK32)*Y32*J32^2*1E-4*DATOS!$C$16/100/1000,AU32),0)</f>
        <v>0.598911239355094</v>
      </c>
      <c r="BF32" s="43">
        <f>(DATOS!$C$15-R32-IF(DATOS!$C$25=0,0,INDEX(TABLAS!$C$52:$C$58,MATCH(DATOS!$C$25,TABLAS!$B$52:$B$58,0)))-INDEX(TABLAS!$C$52:$C$58,MATCH(DATOS!$C$26,TABLAS!$B$52:$B$58,0))/2)</f>
        <v>22.365</v>
      </c>
      <c r="BG32" s="43">
        <f>IF(D32="HUECO",0,IF(IF(BB32&lt;=0,0,IF((1-2*BB32*1E5/(DATOS!$C$58*P32*BF32^2*DATOS!$C$48))&lt;0,-1,IF((1-SQRT((1-2*BB32*1E5/(DATOS!$C$58*P32*BF32^2*DATOS!$C$48))))*DATOS!$C$48*P32*BF32/DATOS!$C$40&gt;DATOS!$C$82*P32*BF32,-1,(1-SQRT((1-2*BB32*1E5/(DATOS!$C$58*P32*BF32^2*DATOS!$C$48))))*DATOS!$C$48*P32*BF32/DATOS!$C$40)))&lt;0,-1,MAX(IF(BB32&lt;=0,0,IF((1-2*BB32*1E5/(DATOS!$C$58*P32*BF32^2*DATOS!$C$48))&lt;0,-1,IF((1-SQRT((1-2*BB32*1E5/(DATOS!$C$58*P32*BF32^2*DATOS!$C$48))))*DATOS!$C$48*P32*BF32/DATOS!$C$40&gt;DATOS!$C$82*P32*BF32,-1,(1-SQRT((1-2*BB32*1E5/(DATOS!$C$58*P32*BF32^2*DATOS!$C$48))))*DATOS!$C$48*P32*BF32/DATOS!$C$40))),MIN(DATOS!$C$83*DATOS!$C$13*BF32,4/3*IF(BB32&lt;=0,0,IF((1-2*BB32*1E5/(DATOS!$C$58*P32*BF32^2*DATOS!$C$48))&lt;0,-1,IF((1-SQRT((1-2*BB32*1E5/(DATOS!$C$58*P32*BF32^2*DATOS!$C$48))))*DATOS!$C$48*P32*BF32/DATOS!$C$40&gt;DATOS!$C$82*P32*BF32,-1,(1-SQRT((1-2*BB32*1E5/(DATOS!$C$58*P32*BF32^2*DATOS!$C$48))))*DATOS!$C$48*P32*BF32/DATOS!$C$40)))))))</f>
        <v>0.70682052035565</v>
      </c>
      <c r="BH32" s="41">
        <f>IF(AND(BG32&gt;=0,IF(MAX(DATOS!$C$29,CEILING(BG32/INDEX(TABLAS!$D$52:$D$58,MIN(MATCH(DATOS!$C$26,TABLAS!$B$52:$B$58,0)+0,7)),1))*INDEX(TABLAS!$D$52:$D$58,MIN(MATCH(DATOS!$C$26,TABLAS!$B$52:$B$58,0)+0,7))&gt;=4/3*IF(BB32&lt;=0,0,IF((1-2*BB32*1E5/(DATOS!$C$58*P32*BF32^2*DATOS!$C$48))&lt;0,-1,IF((1-SQRT((1-2*BB32*1E5/(DATOS!$C$58*P32*BF32^2*DATOS!$C$48))))*DATOS!$C$48*P32*BF32/DATOS!$C$40&gt;DATOS!$C$82*P32*BF32,-1,(1-SQRT((1-2*BB32*1E5/(DATOS!$C$58*P32*BF32^2*DATOS!$C$48))))*DATOS!$C$48*P32*BF32/DATOS!$C$40)))-0.0001,MAX(DATOS!$C$29,CEILING(BG32/INDEX(TABLAS!$D$52:$D$58,MIN(MATCH(DATOS!$C$26,TABLAS!$B$52:$B$58,0)+0,7)),1)),MAX(MAX(DATOS!$C$29,CEILING(BG32/INDEX(TABLAS!$D$52:$D$58,MIN(MATCH(DATOS!$C$26,TABLAS!$B$52:$B$58,0)+0,7)),1)),2))&lt;=MIN(DATOS!$C$28,INT(((DATOS!$C$13-2*R32-2*IF(DATOS!$C$25=0,0,INDEX(TABLAS!$C$52:$C$58,MATCH(DATOS!$C$25,TABLAS!$B$52:$B$58,0))))+MAX(DATOS!$C$32,INDEX(TABLAS!$C$52:$C$58,MIN(MATCH(DATOS!$C$26,TABLAS!$B$52:$B$58,0)+0,7))))/(INDEX(TABLAS!$C$52:$C$58,MIN(MATCH(DATOS!$C$26,TABLAS!$B$52:$B$58,0)+0,7))+MAX(DATOS!$C$32,INDEX(TABLAS!$C$52:$C$58,MIN(MATCH(DATOS!$C$26,TABLAS!$B$52:$B$58,0)+0,7))))))),INDEX(TABLAS!$B$52:$B$58,MIN(MATCH(DATOS!$C$26,TABLAS!$B$52:$B$58,0)+0,7)),IF(AND(BG32&gt;=0,IF(MAX(DATOS!$C$29,CEILING(BG32/INDEX(TABLAS!$D$52:$D$58,MIN(MATCH(DATOS!$C$26,TABLAS!$B$52:$B$58,0)+1,7)),1))*INDEX(TABLAS!$D$52:$D$58,MIN(MATCH(DATOS!$C$26,TABLAS!$B$52:$B$58,0)+1,7))&gt;=4/3*IF(BB32&lt;=0,0,IF((1-2*BB32*1E5/(DATOS!$C$58*P32*BF32^2*DATOS!$C$48))&lt;0,-1,IF((1-SQRT((1-2*BB32*1E5/(DATOS!$C$58*P32*BF32^2*DATOS!$C$48))))*DATOS!$C$48*P32*BF32/DATOS!$C$40&gt;DATOS!$C$82*P32*BF32,-1,(1-SQRT((1-2*BB32*1E5/(DATOS!$C$58*P32*BF32^2*DATOS!$C$48))))*DATOS!$C$48*P32*BF32/DATOS!$C$40)))-0.0001,MAX(DATOS!$C$29,CEILING(BG32/INDEX(TABLAS!$D$52:$D$58,MIN(MATCH(DATOS!$C$26,TABLAS!$B$52:$B$58,0)+1,7)),1)),MAX(MAX(DATOS!$C$29,CEILING(BG32/INDEX(TABLAS!$D$52:$D$58,MIN(MATCH(DATOS!$C$26,TABLAS!$B$52:$B$58,0)+1,7)),1)),2))&lt;=MIN(DATOS!$C$28,INT(((DATOS!$C$13-2*R32-2*IF(DATOS!$C$25=0,0,INDEX(TABLAS!$C$52:$C$58,MATCH(DATOS!$C$25,TABLAS!$B$52:$B$58,0))))+MAX(DATOS!$C$32,INDEX(TABLAS!$C$52:$C$58,MIN(MATCH(DATOS!$C$26,TABLAS!$B$52:$B$58,0)+1,7))))/(INDEX(TABLAS!$C$52:$C$58,MIN(MATCH(DATOS!$C$26,TABLAS!$B$52:$B$58,0)+1,7))+MAX(DATOS!$C$32,INDEX(TABLAS!$C$52:$C$58,MIN(MATCH(DATOS!$C$26,TABLAS!$B$52:$B$58,0)+1,7))))))),INDEX(TABLAS!$B$52:$B$58,MIN(MATCH(DATOS!$C$26,TABLAS!$B$52:$B$58,0)+1,7)),IF(AND(BG32&gt;=0,IF(MAX(DATOS!$C$29,CEILING(BG32/INDEX(TABLAS!$D$52:$D$58,MIN(MATCH(DATOS!$C$26,TABLAS!$B$52:$B$58,0)+2,7)),1))*INDEX(TABLAS!$D$52:$D$58,MIN(MATCH(DATOS!$C$26,TABLAS!$B$52:$B$58,0)+2,7))&gt;=4/3*IF(BB32&lt;=0,0,IF((1-2*BB32*1E5/(DATOS!$C$58*P32*BF32^2*DATOS!$C$48))&lt;0,-1,IF((1-SQRT((1-2*BB32*1E5/(DATOS!$C$58*P32*BF32^2*DATOS!$C$48))))*DATOS!$C$48*P32*BF32/DATOS!$C$40&gt;DATOS!$C$82*P32*BF32,-1,(1-SQRT((1-2*BB32*1E5/(DATOS!$C$58*P32*BF32^2*DATOS!$C$48))))*DATOS!$C$48*P32*BF32/DATOS!$C$40)))-0.0001,MAX(DATOS!$C$29,CEILING(BG32/INDEX(TABLAS!$D$52:$D$58,MIN(MATCH(DATOS!$C$26,TABLAS!$B$52:$B$58,0)+2,7)),1)),MAX(MAX(DATOS!$C$29,CEILING(BG32/INDEX(TABLAS!$D$52:$D$58,MIN(MATCH(DATOS!$C$26,TABLAS!$B$52:$B$58,0)+2,7)),1)),2))&lt;=MIN(DATOS!$C$28,INT(((DATOS!$C$13-2*R32-2*IF(DATOS!$C$25=0,0,INDEX(TABLAS!$C$52:$C$58,MATCH(DATOS!$C$25,TABLAS!$B$52:$B$58,0))))+MAX(DATOS!$C$32,INDEX(TABLAS!$C$52:$C$58,MIN(MATCH(DATOS!$C$26,TABLAS!$B$52:$B$58,0)+2,7))))/(INDEX(TABLAS!$C$52:$C$58,MIN(MATCH(DATOS!$C$26,TABLAS!$B$52:$B$58,0)+2,7))+MAX(DATOS!$C$32,INDEX(TABLAS!$C$52:$C$58,MIN(MATCH(DATOS!$C$26,TABLAS!$B$52:$B$58,0)+2,7))))))),INDEX(TABLAS!$B$52:$B$58,MIN(MATCH(DATOS!$C$26,TABLAS!$B$52:$B$58,0)+2,7)),IF(AND(BG32&gt;=0,IF(MAX(DATOS!$C$29,CEILING(BG32/INDEX(TABLAS!$D$52:$D$58,MIN(MATCH(DATOS!$C$26,TABLAS!$B$52:$B$58,0)+3,7)),1))*INDEX(TABLAS!$D$52:$D$58,MIN(MATCH(DATOS!$C$26,TABLAS!$B$52:$B$58,0)+3,7))&gt;=4/3*IF(BB32&lt;=0,0,IF((1-2*BB32*1E5/(DATOS!$C$58*P32*BF32^2*DATOS!$C$48))&lt;0,-1,IF((1-SQRT((1-2*BB32*1E5/(DATOS!$C$58*P32*BF32^2*DATOS!$C$48))))*DATOS!$C$48*P32*BF32/DATOS!$C$40&gt;DATOS!$C$82*P32*BF32,-1,(1-SQRT((1-2*BB32*1E5/(DATOS!$C$58*P32*BF32^2*DATOS!$C$48))))*DATOS!$C$48*P32*BF32/DATOS!$C$40)))-0.0001,MAX(DATOS!$C$29,CEILING(BG32/INDEX(TABLAS!$D$52:$D$58,MIN(MATCH(DATOS!$C$26,TABLAS!$B$52:$B$58,0)+3,7)),1)),MAX(MAX(DATOS!$C$29,CEILING(BG32/INDEX(TABLAS!$D$52:$D$58,MIN(MATCH(DATOS!$C$26,TABLAS!$B$52:$B$58,0)+3,7)),1)),2))&lt;=MIN(DATOS!$C$28,INT(((DATOS!$C$13-2*R32-2*IF(DATOS!$C$25=0,0,INDEX(TABLAS!$C$52:$C$58,MATCH(DATOS!$C$25,TABLAS!$B$52:$B$58,0))))+MAX(DATOS!$C$32,INDEX(TABLAS!$C$52:$C$58,MIN(MATCH(DATOS!$C$26,TABLAS!$B$52:$B$58,0)+3,7))))/(INDEX(TABLAS!$C$52:$C$58,MIN(MATCH(DATOS!$C$26,TABLAS!$B$52:$B$58,0)+3,7))+MAX(DATOS!$C$32,INDEX(TABLAS!$C$52:$C$58,MIN(MATCH(DATOS!$C$26,TABLAS!$B$52:$B$58,0)+3,7))))))),INDEX(TABLAS!$B$52:$B$58,MIN(MATCH(DATOS!$C$26,TABLAS!$B$52:$B$58,0)+3,7)),IF(AND(BG32&gt;=0,IF(MAX(DATOS!$C$29,CEILING(BG32/INDEX(TABLAS!$D$52:$D$58,MIN(MATCH(DATOS!$C$26,TABLAS!$B$52:$B$58,0)+4,7)),1))*INDEX(TABLAS!$D$52:$D$58,MIN(MATCH(DATOS!$C$26,TABLAS!$B$52:$B$58,0)+4,7))&gt;=4/3*IF(BB32&lt;=0,0,IF((1-2*BB32*1E5/(DATOS!$C$58*P32*BF32^2*DATOS!$C$48))&lt;0,-1,IF((1-SQRT((1-2*BB32*1E5/(DATOS!$C$58*P32*BF32^2*DATOS!$C$48))))*DATOS!$C$48*P32*BF32/DATOS!$C$40&gt;DATOS!$C$82*P32*BF32,-1,(1-SQRT((1-2*BB32*1E5/(DATOS!$C$58*P32*BF32^2*DATOS!$C$48))))*DATOS!$C$48*P32*BF32/DATOS!$C$40)))-0.0001,MAX(DATOS!$C$29,CEILING(BG32/INDEX(TABLAS!$D$52:$D$58,MIN(MATCH(DATOS!$C$26,TABLAS!$B$52:$B$58,0)+4,7)),1)),MAX(MAX(DATOS!$C$29,CEILING(BG32/INDEX(TABLAS!$D$52:$D$58,MIN(MATCH(DATOS!$C$26,TABLAS!$B$52:$B$58,0)+4,7)),1)),2))&lt;=MIN(DATOS!$C$28,INT(((DATOS!$C$13-2*R32-2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32" s="56">
        <f>IF(D32="HUECO",0,IF(BG32&lt;0,0,IF(MAX(DATOS!$C$29,CEILING(MAX(BG32,0)/INDEX(TABLAS!$D$52:$D$58,MATCH(BH32,TABLAS!$B$52:$B$58,0)),1))*INDEX(TABLAS!$D$52:$D$58,MATCH(BH32,TABLAS!$B$52:$B$58,0))&gt;=4/3*IF(BB32&lt;=0,0,IF((1-2*BB32*1E5/(DATOS!$C$58*P32*BF32^2*DATOS!$C$48))&lt;0,-1,IF((1-SQRT((1-2*BB32*1E5/(DATOS!$C$58*P32*BF32^2*DATOS!$C$48))))*DATOS!$C$48*P32*BF32/DATOS!$C$40&gt;DATOS!$C$82*P32*BF32,-1,(1-SQRT((1-2*BB32*1E5/(DATOS!$C$58*P32*BF32^2*DATOS!$C$48))))*DATOS!$C$48*P32*BF32/DATOS!$C$40)))-0.0001,MAX(DATOS!$C$29,CEILING(MAX(BG32,0)/INDEX(TABLAS!$D$52:$D$58,MATCH(BH32,TABLAS!$B$52:$B$58,0)),1)),MAX(MAX(DATOS!$C$29,CEILING(MAX(BG32,0)/INDEX(TABLAS!$D$52:$D$58,MATCH(BH32,TABLAS!$B$52:$B$58,0)),1)),2))))</f>
        <v>1</v>
      </c>
      <c r="BJ32" s="43">
        <f>DATOS!$C$15-R32-IF(DATOS!$C$25=0,0,INDEX(TABLAS!$C$52:$C$58,MATCH(DATOS!$C$25,TABLAS!$B$52:$B$58,0)))-INDEX(TABLAS!$C$52:$C$58,MATCH(BH32,TABLAS!$B$52:$B$58,0))/2</f>
        <v>22.365</v>
      </c>
      <c r="BK32" s="36">
        <f>IF(BI32=0,0,DATOS!$C$58*BI32*INDEX(TABLAS!$D$52:$D$58,MATCH(BH32,TABLAS!$B$52:$B$58,0))*DATOS!$C$40*(BJ32-BI32*INDEX(TABLAS!$D$52:$D$58,MATCH(BH32,TABLAS!$B$52:$B$58,0))*DATOS!$C$40/(DATOS!$C$48*P32)/2)/1E5)</f>
        <v>1.06504699658824</v>
      </c>
      <c r="BL32" s="62">
        <f>IF(BG32&lt;0,9.99,IF(BK32&gt;0,BB32/BK32,0))</f>
        <v>0.419378951946244</v>
      </c>
      <c r="BM32" s="63">
        <f>IF(BI32=0,"—",0.003*(BJ32-(BI32*INDEX(TABLAS!$D$52:$D$58,MATCH(BH32,TABLAS!$B$52:$B$58,0))*DATOS!$C$40/(DATOS!$C$48*P32)/DATOS!$C$49))/(BI32*INDEX(TABLAS!$D$52:$D$58,MATCH(BH32,TABLAS!$B$52:$B$58,0))*DATOS!$C$40/(DATOS!$C$48*P32)/DATOS!$C$49))</f>
        <v>0.156042445866142</v>
      </c>
      <c r="BN32" s="43">
        <f>((DATOS!$C$15-S32-2*DATOS!$C$35-IF(DATOS!$C$25=0,0,INDEX(TABLAS!$C$52:$C$58,MATCH(DATOS!$C$25,TABLAS!$B$52:$B$58,0)))-INDEX(TABLAS!$C$52:$C$58,MATCH(DATOS!$C$27,TABLAS!$B$52:$B$58,0))/2)-IF(AND((DATOS!$C$15-S32-2*DATOS!$C$35-IF(DATOS!$C$25=0,0,INDEX(TABLAS!$C$52:$C$58,MATCH(DATOS!$C$25,TABLAS!$B$52:$B$58,0)))-INDEX(TABLAS!$C$52:$C$58,MATCH(DATOS!$C$27,TABLAS!$B$52:$B$58,0))/2)&lt;=20,DATOS!$C$18&lt;&gt;"SÍ"),2,0))</f>
        <v>21.389</v>
      </c>
      <c r="BO32" s="43">
        <f>IF(D32="HUECO",0,IF(IF(BC32&lt;=0,0,IF((1-2*BC32*1E5/(DATOS!$C$58*DATOS!$C$19*BN32^2*DATOS!$C$48))&lt;0,-1,IF((1-SQRT((1-2*BC32*1E5/(DATOS!$C$58*DATOS!$C$19*BN32^2*DATOS!$C$48))))*DATOS!$C$48*DATOS!$C$19*BN32/DATOS!$C$40&gt;DATOS!$C$82*DATOS!$C$19*BN32,-1,(1-SQRT((1-2*BC32*1E5/(DATOS!$C$58*DATOS!$C$19*BN32^2*DATOS!$C$48))))*DATOS!$C$48*DATOS!$C$19*BN32/DATOS!$C$40)))&lt;0,-1,MAX(IF(BC32&lt;=0,0,IF((1-2*BC32*1E5/(DATOS!$C$58*DATOS!$C$19*BN32^2*DATOS!$C$48))&lt;0,-1,IF((1-SQRT((1-2*BC32*1E5/(DATOS!$C$58*DATOS!$C$19*BN32^2*DATOS!$C$48))))*DATOS!$C$48*DATOS!$C$19*BN32/DATOS!$C$40&gt;DATOS!$C$82*DATOS!$C$19*BN32,-1,(1-SQRT((1-2*BC32*1E5/(DATOS!$C$58*DATOS!$C$19*BN32^2*DATOS!$C$48))))*DATOS!$C$48*DATOS!$C$19*BN32/DATOS!$C$40))),MIN(DATOS!$C$83*IF(D32="VOLADO",2*DATOS!$C$13,DATOS!$C$13)*BN32,4/3*IF(BC32&lt;=0,0,IF((1-2*BC32*1E5/(DATOS!$C$58*DATOS!$C$19*BN32^2*DATOS!$C$48))&lt;0,-1,IF((1-SQRT((1-2*BC32*1E5/(DATOS!$C$58*DATOS!$C$19*BN32^2*DATOS!$C$48))))*DATOS!$C$48*DATOS!$C$19*BN32/DATOS!$C$40&gt;DATOS!$C$82*DATOS!$C$19*BN32,-1,(1-SQRT((1-2*BC32*1E5/(DATOS!$C$58*DATOS!$C$19*BN32^2*DATOS!$C$48))))*DATOS!$C$48*DATOS!$C$19*BN32/DATOS!$C$40)))))))</f>
        <v>0.937011238842541</v>
      </c>
      <c r="BP32" s="41">
        <f>IF(AND(BO32&gt;=0,IF(MAX(DATOS!$C$29,CEILING(BO32/INDEX(TABLAS!$D$52:$D$58,MIN(MATCH(DATOS!$C$27,TABLAS!$B$52:$B$58,0)+0,7)),1))*INDEX(TABLAS!$D$52:$D$58,MIN(MATCH(DATOS!$C$27,TABLAS!$B$52:$B$58,0)+0,7))&gt;=4/3*IF(BC32&lt;=0,0,IF((1-2*BC32*1E5/(DATOS!$C$58*DATOS!$C$19*BN32^2*DATOS!$C$48))&lt;0,-1,IF((1-SQRT((1-2*BC32*1E5/(DATOS!$C$58*DATOS!$C$19*BN32^2*DATOS!$C$48))))*DATOS!$C$48*DATOS!$C$19*BN32/DATOS!$C$40&gt;DATOS!$C$82*DATOS!$C$19*BN32,-1,(1-SQRT((1-2*BC32*1E5/(DATOS!$C$58*DATOS!$C$19*BN32^2*DATOS!$C$48))))*DATOS!$C$48*DATOS!$C$19*BN32/DATOS!$C$40)))-0.0001,MAX(DATOS!$C$29,CEILING(BO32/INDEX(TABLAS!$D$52:$D$58,MIN(MATCH(DATOS!$C$27,TABLAS!$B$52:$B$58,0)+0,7)),1)),MAX(MAX(DATOS!$C$29,CEILING(BO32/INDEX(TABLAS!$D$52:$D$58,MIN(MATCH(DATOS!$C$27,TABLAS!$B$52:$B$58,0)+0,7)),1)),2))&lt;=MIN(DATOS!$C$28,INT(((DATOS!$C$13-2*S32-2*IF(DATOS!$C$25=0,0,INDEX(TABLAS!$C$52:$C$58,MATCH(DATOS!$C$25,TABLAS!$B$52:$B$58,0))))+MAX(DATOS!$C$32,INDEX(TABLAS!$C$52:$C$58,MIN(MATCH(DATOS!$C$27,TABLAS!$B$52:$B$58,0)+0,7))))/(INDEX(TABLAS!$C$52:$C$58,MIN(MATCH(DATOS!$C$27,TABLAS!$B$52:$B$58,0)+0,7))+MAX(DATOS!$C$32,INDEX(TABLAS!$C$52:$C$58,MIN(MATCH(DATOS!$C$27,TABLAS!$B$52:$B$58,0)+0,7))))))),INDEX(TABLAS!$B$52:$B$58,MIN(MATCH(DATOS!$C$27,TABLAS!$B$52:$B$58,0)+0,7)),IF(AND(BO32&gt;=0,IF(MAX(DATOS!$C$29,CEILING(BO32/INDEX(TABLAS!$D$52:$D$58,MIN(MATCH(DATOS!$C$27,TABLAS!$B$52:$B$58,0)+1,7)),1))*INDEX(TABLAS!$D$52:$D$58,MIN(MATCH(DATOS!$C$27,TABLAS!$B$52:$B$58,0)+1,7))&gt;=4/3*IF(BC32&lt;=0,0,IF((1-2*BC32*1E5/(DATOS!$C$58*DATOS!$C$19*BN32^2*DATOS!$C$48))&lt;0,-1,IF((1-SQRT((1-2*BC32*1E5/(DATOS!$C$58*DATOS!$C$19*BN32^2*DATOS!$C$48))))*DATOS!$C$48*DATOS!$C$19*BN32/DATOS!$C$40&gt;DATOS!$C$82*DATOS!$C$19*BN32,-1,(1-SQRT((1-2*BC32*1E5/(DATOS!$C$58*DATOS!$C$19*BN32^2*DATOS!$C$48))))*DATOS!$C$48*DATOS!$C$19*BN32/DATOS!$C$40)))-0.0001,MAX(DATOS!$C$29,CEILING(BO32/INDEX(TABLAS!$D$52:$D$58,MIN(MATCH(DATOS!$C$27,TABLAS!$B$52:$B$58,0)+1,7)),1)),MAX(MAX(DATOS!$C$29,CEILING(BO32/INDEX(TABLAS!$D$52:$D$58,MIN(MATCH(DATOS!$C$27,TABLAS!$B$52:$B$58,0)+1,7)),1)),2))&lt;=MIN(DATOS!$C$28,INT(((DATOS!$C$13-2*S32-2*IF(DATOS!$C$25=0,0,INDEX(TABLAS!$C$52:$C$58,MATCH(DATOS!$C$25,TABLAS!$B$52:$B$58,0))))+MAX(DATOS!$C$32,INDEX(TABLAS!$C$52:$C$58,MIN(MATCH(DATOS!$C$27,TABLAS!$B$52:$B$58,0)+1,7))))/(INDEX(TABLAS!$C$52:$C$58,MIN(MATCH(DATOS!$C$27,TABLAS!$B$52:$B$58,0)+1,7))+MAX(DATOS!$C$32,INDEX(TABLAS!$C$52:$C$58,MIN(MATCH(DATOS!$C$27,TABLAS!$B$52:$B$58,0)+1,7))))))),INDEX(TABLAS!$B$52:$B$58,MIN(MATCH(DATOS!$C$27,TABLAS!$B$52:$B$58,0)+1,7)),IF(AND(BO32&gt;=0,IF(MAX(DATOS!$C$29,CEILING(BO32/INDEX(TABLAS!$D$52:$D$58,MIN(MATCH(DATOS!$C$27,TABLAS!$B$52:$B$58,0)+2,7)),1))*INDEX(TABLAS!$D$52:$D$58,MIN(MATCH(DATOS!$C$27,TABLAS!$B$52:$B$58,0)+2,7))&gt;=4/3*IF(BC32&lt;=0,0,IF((1-2*BC32*1E5/(DATOS!$C$58*DATOS!$C$19*BN32^2*DATOS!$C$48))&lt;0,-1,IF((1-SQRT((1-2*BC32*1E5/(DATOS!$C$58*DATOS!$C$19*BN32^2*DATOS!$C$48))))*DATOS!$C$48*DATOS!$C$19*BN32/DATOS!$C$40&gt;DATOS!$C$82*DATOS!$C$19*BN32,-1,(1-SQRT((1-2*BC32*1E5/(DATOS!$C$58*DATOS!$C$19*BN32^2*DATOS!$C$48))))*DATOS!$C$48*DATOS!$C$19*BN32/DATOS!$C$40)))-0.0001,MAX(DATOS!$C$29,CEILING(BO32/INDEX(TABLAS!$D$52:$D$58,MIN(MATCH(DATOS!$C$27,TABLAS!$B$52:$B$58,0)+2,7)),1)),MAX(MAX(DATOS!$C$29,CEILING(BO32/INDEX(TABLAS!$D$52:$D$58,MIN(MATCH(DATOS!$C$27,TABLAS!$B$52:$B$58,0)+2,7)),1)),2))&lt;=MIN(DATOS!$C$28,INT(((DATOS!$C$13-2*S32-2*IF(DATOS!$C$25=0,0,INDEX(TABLAS!$C$52:$C$58,MATCH(DATOS!$C$25,TABLAS!$B$52:$B$58,0))))+MAX(DATOS!$C$32,INDEX(TABLAS!$C$52:$C$58,MIN(MATCH(DATOS!$C$27,TABLAS!$B$52:$B$58,0)+2,7))))/(INDEX(TABLAS!$C$52:$C$58,MIN(MATCH(DATOS!$C$27,TABLAS!$B$52:$B$58,0)+2,7))+MAX(DATOS!$C$32,INDEX(TABLAS!$C$52:$C$58,MIN(MATCH(DATOS!$C$27,TABLAS!$B$52:$B$58,0)+2,7))))))),INDEX(TABLAS!$B$52:$B$58,MIN(MATCH(DATOS!$C$27,TABLAS!$B$52:$B$58,0)+2,7)),IF(AND(BO32&gt;=0,IF(MAX(DATOS!$C$29,CEILING(BO32/INDEX(TABLAS!$D$52:$D$58,MIN(MATCH(DATOS!$C$27,TABLAS!$B$52:$B$58,0)+3,7)),1))*INDEX(TABLAS!$D$52:$D$58,MIN(MATCH(DATOS!$C$27,TABLAS!$B$52:$B$58,0)+3,7))&gt;=4/3*IF(BC32&lt;=0,0,IF((1-2*BC32*1E5/(DATOS!$C$58*DATOS!$C$19*BN32^2*DATOS!$C$48))&lt;0,-1,IF((1-SQRT((1-2*BC32*1E5/(DATOS!$C$58*DATOS!$C$19*BN32^2*DATOS!$C$48))))*DATOS!$C$48*DATOS!$C$19*BN32/DATOS!$C$40&gt;DATOS!$C$82*DATOS!$C$19*BN32,-1,(1-SQRT((1-2*BC32*1E5/(DATOS!$C$58*DATOS!$C$19*BN32^2*DATOS!$C$48))))*DATOS!$C$48*DATOS!$C$19*BN32/DATOS!$C$40)))-0.0001,MAX(DATOS!$C$29,CEILING(BO32/INDEX(TABLAS!$D$52:$D$58,MIN(MATCH(DATOS!$C$27,TABLAS!$B$52:$B$58,0)+3,7)),1)),MAX(MAX(DATOS!$C$29,CEILING(BO32/INDEX(TABLAS!$D$52:$D$58,MIN(MATCH(DATOS!$C$27,TABLAS!$B$52:$B$58,0)+3,7)),1)),2))&lt;=MIN(DATOS!$C$28,INT(((DATOS!$C$13-2*S32-2*IF(DATOS!$C$25=0,0,INDEX(TABLAS!$C$52:$C$58,MATCH(DATOS!$C$25,TABLAS!$B$52:$B$58,0))))+MAX(DATOS!$C$32,INDEX(TABLAS!$C$52:$C$58,MIN(MATCH(DATOS!$C$27,TABLAS!$B$52:$B$58,0)+3,7))))/(INDEX(TABLAS!$C$52:$C$58,MIN(MATCH(DATOS!$C$27,TABLAS!$B$52:$B$58,0)+3,7))+MAX(DATOS!$C$32,INDEX(TABLAS!$C$52:$C$58,MIN(MATCH(DATOS!$C$27,TABLAS!$B$52:$B$58,0)+3,7))))))),INDEX(TABLAS!$B$52:$B$58,MIN(MATCH(DATOS!$C$27,TABLAS!$B$52:$B$58,0)+3,7)),IF(AND(BO32&gt;=0,IF(MAX(DATOS!$C$29,CEILING(BO32/INDEX(TABLAS!$D$52:$D$58,MIN(MATCH(DATOS!$C$27,TABLAS!$B$52:$B$58,0)+4,7)),1))*INDEX(TABLAS!$D$52:$D$58,MIN(MATCH(DATOS!$C$27,TABLAS!$B$52:$B$58,0)+4,7))&gt;=4/3*IF(BC32&lt;=0,0,IF((1-2*BC32*1E5/(DATOS!$C$58*DATOS!$C$19*BN32^2*DATOS!$C$48))&lt;0,-1,IF((1-SQRT((1-2*BC32*1E5/(DATOS!$C$58*DATOS!$C$19*BN32^2*DATOS!$C$48))))*DATOS!$C$48*DATOS!$C$19*BN32/DATOS!$C$40&gt;DATOS!$C$82*DATOS!$C$19*BN32,-1,(1-SQRT((1-2*BC32*1E5/(DATOS!$C$58*DATOS!$C$19*BN32^2*DATOS!$C$48))))*DATOS!$C$48*DATOS!$C$19*BN32/DATOS!$C$40)))-0.0001,MAX(DATOS!$C$29,CEILING(BO32/INDEX(TABLAS!$D$52:$D$58,MIN(MATCH(DATOS!$C$27,TABLAS!$B$52:$B$58,0)+4,7)),1)),MAX(MAX(DATOS!$C$29,CEILING(BO32/INDEX(TABLAS!$D$52:$D$58,MIN(MATCH(DATOS!$C$27,TABLAS!$B$52:$B$58,0)+4,7)),1)),2))&lt;=MIN(DATOS!$C$28,INT(((DATOS!$C$13-2*S32-2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32" s="56">
        <f>IF(D32="HUECO",0,IF(BO32&lt;0,0,IF(MAX(DATOS!$C$29,CEILING(MAX(BO32,0)/INDEX(TABLAS!$D$52:$D$58,MATCH(BP32,TABLAS!$B$52:$B$58,0)),1))*INDEX(TABLAS!$D$52:$D$58,MATCH(BP32,TABLAS!$B$52:$B$58,0))&gt;=4/3*IF(BC32&lt;=0,0,IF((1-2*BC32*1E5/(DATOS!$C$58*DATOS!$C$19*BN32^2*DATOS!$C$48))&lt;0,-1,IF((1-SQRT((1-2*BC32*1E5/(DATOS!$C$58*DATOS!$C$19*BN32^2*DATOS!$C$48))))*DATOS!$C$48*DATOS!$C$19*BN32/DATOS!$C$40&gt;DATOS!$C$82*DATOS!$C$19*BN32,-1,(1-SQRT((1-2*BC32*1E5/(DATOS!$C$58*DATOS!$C$19*BN32^2*DATOS!$C$48))))*DATOS!$C$48*DATOS!$C$19*BN32/DATOS!$C$40)))-0.0001,MAX(DATOS!$C$29,CEILING(MAX(BO32,0)/INDEX(TABLAS!$D$52:$D$58,MATCH(BP32,TABLAS!$B$52:$B$58,0)),1)),MAX(MAX(DATOS!$C$29,CEILING(MAX(BO32,0)/INDEX(TABLAS!$D$52:$D$58,MATCH(BP32,TABLAS!$B$52:$B$58,0)),1)),2))))</f>
        <v>1</v>
      </c>
      <c r="BR32" s="43">
        <f>((DATOS!$C$15-S32-2*DATOS!$C$35-IF(DATOS!$C$25=0,0,INDEX(TABLAS!$C$52:$C$58,MATCH(DATOS!$C$25,TABLAS!$B$52:$B$58,0)))-INDEX(TABLAS!$C$52:$C$58,MATCH(BP32,TABLAS!$B$52:$B$58,0))/2)-IF(AND((DATOS!$C$15-S32-2*DATOS!$C$35-IF(DATOS!$C$25=0,0,INDEX(TABLAS!$C$52:$C$58,MATCH(DATOS!$C$25,TABLAS!$B$52:$B$58,0)))-INDEX(TABLAS!$C$52:$C$58,MATCH(BP32,TABLAS!$B$52:$B$58,0))/2)&lt;=20,DATOS!$C$18&lt;&gt;"SÍ"),2,0))</f>
        <v>21.389</v>
      </c>
      <c r="BS32" s="36">
        <f>IF(BQ32=0,0,DATOS!$C$58*BQ32*INDEX(TABLAS!$D$52:$D$58,MATCH(BP32,TABLAS!$B$52:$B$58,0))*DATOS!$C$40*(BR32-BQ32*INDEX(TABLAS!$D$52:$D$58,MATCH(BP32,TABLAS!$B$52:$B$58,0))*DATOS!$C$40/(DATOS!$C$48*DATOS!$C$19)/2)/1E5)</f>
        <v>0.966549980117647</v>
      </c>
      <c r="BT32" s="62">
        <f>IF(BO32&lt;0,9.99,IF(BS32&gt;0,BC32/BS32,0))</f>
        <v>0.749862873077045</v>
      </c>
      <c r="BU32" s="63">
        <f>IF(BQ32=0,"—",0.003*(BR32-(BQ32*INDEX(TABLAS!$D$52:$D$58,MATCH(BP32,TABLAS!$B$52:$B$58,0))*DATOS!$C$40/(DATOS!$C$48*DATOS!$C$19)/DATOS!$C$49))/(BQ32*INDEX(TABLAS!$D$52:$D$58,MATCH(BP32,TABLAS!$B$52:$B$58,0))*DATOS!$C$40/(DATOS!$C$48*DATOS!$C$19)/DATOS!$C$49))</f>
        <v>0.0187288420978628</v>
      </c>
      <c r="BV32" s="43">
        <f>(DATOS!$C$15-R32-IF(DATOS!$C$25=0,0,INDEX(TABLAS!$C$52:$C$58,MATCH(DATOS!$C$25,TABLAS!$B$52:$B$58,0)))-INDEX(TABLAS!$C$52:$C$58,MATCH(DATOS!$C$26,TABLAS!$B$52:$B$58,0))-INDEX(TABLAS!$C$52:$C$58,MATCH(DATOS!$C$26,TABLAS!$B$52:$B$58,0))/2)</f>
        <v>21.095</v>
      </c>
      <c r="BW32" s="43">
        <f>IF(D32="HUECO",0,IF(IF(BD32&lt;=0,0,IF((1-2*BD32*1E5/(DATOS!$C$58*Q32*BV32^2*DATOS!$C$48))&lt;0,-1,IF((1-SQRT((1-2*BD32*1E5/(DATOS!$C$58*Q32*BV32^2*DATOS!$C$48))))*DATOS!$C$48*Q32*BV32/DATOS!$C$40&gt;DATOS!$C$82*Q32*BV32,-1,(1-SQRT((1-2*BD32*1E5/(DATOS!$C$58*Q32*BV32^2*DATOS!$C$48))))*DATOS!$C$48*Q32*BV32/DATOS!$C$40)))&lt;0,-1,MAX(IF(BD32&lt;=0,0,IF((1-2*BD32*1E5/(DATOS!$C$58*Q32*BV32^2*DATOS!$C$48))&lt;0,-1,IF((1-SQRT((1-2*BD32*1E5/(DATOS!$C$58*Q32*BV32^2*DATOS!$C$48))))*DATOS!$C$48*Q32*BV32/DATOS!$C$40&gt;DATOS!$C$82*Q32*BV32,-1,(1-SQRT((1-2*BD32*1E5/(DATOS!$C$58*Q32*BV32^2*DATOS!$C$48))))*DATOS!$C$48*Q32*BV32/DATOS!$C$40))),MIN(DATOS!$C$83*DATOS!$C$13*BV32,4/3*IF(BD32&lt;=0,0,IF((1-2*BD32*1E5/(DATOS!$C$58*Q32*BV32^2*DATOS!$C$48))&lt;0,-1,IF((1-SQRT((1-2*BD32*1E5/(DATOS!$C$58*Q32*BV32^2*DATOS!$C$48))))*DATOS!$C$48*Q32*BV32/DATOS!$C$40&gt;DATOS!$C$82*Q32*BV32,-1,(1-SQRT((1-2*BD32*1E5/(DATOS!$C$58*Q32*BV32^2*DATOS!$C$48))))*DATOS!$C$48*Q32*BV32/DATOS!$C$40)))))))</f>
        <v>0.634423750640167</v>
      </c>
      <c r="BX32" s="41">
        <f>IF(AND(BW32&gt;=0,IF(MAX(DATOS!$C$29,CEILING(BW32/INDEX(TABLAS!$D$52:$D$58,MIN(MATCH(DATOS!$C$26,TABLAS!$B$52:$B$58,0)+0,7)),1))*INDEX(TABLAS!$D$52:$D$58,MIN(MATCH(DATOS!$C$26,TABLAS!$B$52:$B$58,0)+0,7))&gt;=4/3*IF(BD32&lt;=0,0,IF((1-2*BD32*1E5/(DATOS!$C$58*Q32*BV32^2*DATOS!$C$48))&lt;0,-1,IF((1-SQRT((1-2*BD32*1E5/(DATOS!$C$58*Q32*BV32^2*DATOS!$C$48))))*DATOS!$C$48*Q32*BV32/DATOS!$C$40&gt;DATOS!$C$82*Q32*BV32,-1,(1-SQRT((1-2*BD32*1E5/(DATOS!$C$58*Q32*BV32^2*DATOS!$C$48))))*DATOS!$C$48*Q32*BV32/DATOS!$C$40)))-0.0001,MAX(DATOS!$C$29,CEILING(BW32/INDEX(TABLAS!$D$52:$D$58,MIN(MATCH(DATOS!$C$26,TABLAS!$B$52:$B$58,0)+0,7)),1)),MAX(MAX(DATOS!$C$29,CEILING(BW32/INDEX(TABLAS!$D$52:$D$58,MIN(MATCH(DATOS!$C$26,TABLAS!$B$52:$B$58,0)+0,7)),1)),2))&lt;=MIN(DATOS!$C$28,INT(((DATOS!$C$13-2*R32-2*IF(DATOS!$C$25=0,0,INDEX(TABLAS!$C$52:$C$58,MATCH(DATOS!$C$25,TABLAS!$B$52:$B$58,0))))+MAX(DATOS!$C$32,INDEX(TABLAS!$C$52:$C$58,MIN(MATCH(DATOS!$C$26,TABLAS!$B$52:$B$58,0)+0,7))))/(INDEX(TABLAS!$C$52:$C$58,MIN(MATCH(DATOS!$C$26,TABLAS!$B$52:$B$58,0)+0,7))+MAX(DATOS!$C$32,INDEX(TABLAS!$C$52:$C$58,MIN(MATCH(DATOS!$C$26,TABLAS!$B$52:$B$58,0)+0,7))))))),INDEX(TABLAS!$B$52:$B$58,MIN(MATCH(DATOS!$C$26,TABLAS!$B$52:$B$58,0)+0,7)),IF(AND(BW32&gt;=0,IF(MAX(DATOS!$C$29,CEILING(BW32/INDEX(TABLAS!$D$52:$D$58,MIN(MATCH(DATOS!$C$26,TABLAS!$B$52:$B$58,0)+1,7)),1))*INDEX(TABLAS!$D$52:$D$58,MIN(MATCH(DATOS!$C$26,TABLAS!$B$52:$B$58,0)+1,7))&gt;=4/3*IF(BD32&lt;=0,0,IF((1-2*BD32*1E5/(DATOS!$C$58*Q32*BV32^2*DATOS!$C$48))&lt;0,-1,IF((1-SQRT((1-2*BD32*1E5/(DATOS!$C$58*Q32*BV32^2*DATOS!$C$48))))*DATOS!$C$48*Q32*BV32/DATOS!$C$40&gt;DATOS!$C$82*Q32*BV32,-1,(1-SQRT((1-2*BD32*1E5/(DATOS!$C$58*Q32*BV32^2*DATOS!$C$48))))*DATOS!$C$48*Q32*BV32/DATOS!$C$40)))-0.0001,MAX(DATOS!$C$29,CEILING(BW32/INDEX(TABLAS!$D$52:$D$58,MIN(MATCH(DATOS!$C$26,TABLAS!$B$52:$B$58,0)+1,7)),1)),MAX(MAX(DATOS!$C$29,CEILING(BW32/INDEX(TABLAS!$D$52:$D$58,MIN(MATCH(DATOS!$C$26,TABLAS!$B$52:$B$58,0)+1,7)),1)),2))&lt;=MIN(DATOS!$C$28,INT(((DATOS!$C$13-2*R32-2*IF(DATOS!$C$25=0,0,INDEX(TABLAS!$C$52:$C$58,MATCH(DATOS!$C$25,TABLAS!$B$52:$B$58,0))))+MAX(DATOS!$C$32,INDEX(TABLAS!$C$52:$C$58,MIN(MATCH(DATOS!$C$26,TABLAS!$B$52:$B$58,0)+1,7))))/(INDEX(TABLAS!$C$52:$C$58,MIN(MATCH(DATOS!$C$26,TABLAS!$B$52:$B$58,0)+1,7))+MAX(DATOS!$C$32,INDEX(TABLAS!$C$52:$C$58,MIN(MATCH(DATOS!$C$26,TABLAS!$B$52:$B$58,0)+1,7))))))),INDEX(TABLAS!$B$52:$B$58,MIN(MATCH(DATOS!$C$26,TABLAS!$B$52:$B$58,0)+1,7)),IF(AND(BW32&gt;=0,IF(MAX(DATOS!$C$29,CEILING(BW32/INDEX(TABLAS!$D$52:$D$58,MIN(MATCH(DATOS!$C$26,TABLAS!$B$52:$B$58,0)+2,7)),1))*INDEX(TABLAS!$D$52:$D$58,MIN(MATCH(DATOS!$C$26,TABLAS!$B$52:$B$58,0)+2,7))&gt;=4/3*IF(BD32&lt;=0,0,IF((1-2*BD32*1E5/(DATOS!$C$58*Q32*BV32^2*DATOS!$C$48))&lt;0,-1,IF((1-SQRT((1-2*BD32*1E5/(DATOS!$C$58*Q32*BV32^2*DATOS!$C$48))))*DATOS!$C$48*Q32*BV32/DATOS!$C$40&gt;DATOS!$C$82*Q32*BV32,-1,(1-SQRT((1-2*BD32*1E5/(DATOS!$C$58*Q32*BV32^2*DATOS!$C$48))))*DATOS!$C$48*Q32*BV32/DATOS!$C$40)))-0.0001,MAX(DATOS!$C$29,CEILING(BW32/INDEX(TABLAS!$D$52:$D$58,MIN(MATCH(DATOS!$C$26,TABLAS!$B$52:$B$58,0)+2,7)),1)),MAX(MAX(DATOS!$C$29,CEILING(BW32/INDEX(TABLAS!$D$52:$D$58,MIN(MATCH(DATOS!$C$26,TABLAS!$B$52:$B$58,0)+2,7)),1)),2))&lt;=MIN(DATOS!$C$28,INT(((DATOS!$C$13-2*R32-2*IF(DATOS!$C$25=0,0,INDEX(TABLAS!$C$52:$C$58,MATCH(DATOS!$C$25,TABLAS!$B$52:$B$58,0))))+MAX(DATOS!$C$32,INDEX(TABLAS!$C$52:$C$58,MIN(MATCH(DATOS!$C$26,TABLAS!$B$52:$B$58,0)+2,7))))/(INDEX(TABLAS!$C$52:$C$58,MIN(MATCH(DATOS!$C$26,TABLAS!$B$52:$B$58,0)+2,7))+MAX(DATOS!$C$32,INDEX(TABLAS!$C$52:$C$58,MIN(MATCH(DATOS!$C$26,TABLAS!$B$52:$B$58,0)+2,7))))))),INDEX(TABLAS!$B$52:$B$58,MIN(MATCH(DATOS!$C$26,TABLAS!$B$52:$B$58,0)+2,7)),IF(AND(BW32&gt;=0,IF(MAX(DATOS!$C$29,CEILING(BW32/INDEX(TABLAS!$D$52:$D$58,MIN(MATCH(DATOS!$C$26,TABLAS!$B$52:$B$58,0)+3,7)),1))*INDEX(TABLAS!$D$52:$D$58,MIN(MATCH(DATOS!$C$26,TABLAS!$B$52:$B$58,0)+3,7))&gt;=4/3*IF(BD32&lt;=0,0,IF((1-2*BD32*1E5/(DATOS!$C$58*Q32*BV32^2*DATOS!$C$48))&lt;0,-1,IF((1-SQRT((1-2*BD32*1E5/(DATOS!$C$58*Q32*BV32^2*DATOS!$C$48))))*DATOS!$C$48*Q32*BV32/DATOS!$C$40&gt;DATOS!$C$82*Q32*BV32,-1,(1-SQRT((1-2*BD32*1E5/(DATOS!$C$58*Q32*BV32^2*DATOS!$C$48))))*DATOS!$C$48*Q32*BV32/DATOS!$C$40)))-0.0001,MAX(DATOS!$C$29,CEILING(BW32/INDEX(TABLAS!$D$52:$D$58,MIN(MATCH(DATOS!$C$26,TABLAS!$B$52:$B$58,0)+3,7)),1)),MAX(MAX(DATOS!$C$29,CEILING(BW32/INDEX(TABLAS!$D$52:$D$58,MIN(MATCH(DATOS!$C$26,TABLAS!$B$52:$B$58,0)+3,7)),1)),2))&lt;=MIN(DATOS!$C$28,INT(((DATOS!$C$13-2*R32-2*IF(DATOS!$C$25=0,0,INDEX(TABLAS!$C$52:$C$58,MATCH(DATOS!$C$25,TABLAS!$B$52:$B$58,0))))+MAX(DATOS!$C$32,INDEX(TABLAS!$C$52:$C$58,MIN(MATCH(DATOS!$C$26,TABLAS!$B$52:$B$58,0)+3,7))))/(INDEX(TABLAS!$C$52:$C$58,MIN(MATCH(DATOS!$C$26,TABLAS!$B$52:$B$58,0)+3,7))+MAX(DATOS!$C$32,INDEX(TABLAS!$C$52:$C$58,MIN(MATCH(DATOS!$C$26,TABLAS!$B$52:$B$58,0)+3,7))))))),INDEX(TABLAS!$B$52:$B$58,MIN(MATCH(DATOS!$C$26,TABLAS!$B$52:$B$58,0)+3,7)),IF(AND(BW32&gt;=0,IF(MAX(DATOS!$C$29,CEILING(BW32/INDEX(TABLAS!$D$52:$D$58,MIN(MATCH(DATOS!$C$26,TABLAS!$B$52:$B$58,0)+4,7)),1))*INDEX(TABLAS!$D$52:$D$58,MIN(MATCH(DATOS!$C$26,TABLAS!$B$52:$B$58,0)+4,7))&gt;=4/3*IF(BD32&lt;=0,0,IF((1-2*BD32*1E5/(DATOS!$C$58*Q32*BV32^2*DATOS!$C$48))&lt;0,-1,IF((1-SQRT((1-2*BD32*1E5/(DATOS!$C$58*Q32*BV32^2*DATOS!$C$48))))*DATOS!$C$48*Q32*BV32/DATOS!$C$40&gt;DATOS!$C$82*Q32*BV32,-1,(1-SQRT((1-2*BD32*1E5/(DATOS!$C$58*Q32*BV32^2*DATOS!$C$48))))*DATOS!$C$48*Q32*BV32/DATOS!$C$40)))-0.0001,MAX(DATOS!$C$29,CEILING(BW32/INDEX(TABLAS!$D$52:$D$58,MIN(MATCH(DATOS!$C$26,TABLAS!$B$52:$B$58,0)+4,7)),1)),MAX(MAX(DATOS!$C$29,CEILING(BW32/INDEX(TABLAS!$D$52:$D$58,MIN(MATCH(DATOS!$C$26,TABLAS!$B$52:$B$58,0)+4,7)),1)),2))&lt;=MIN(DATOS!$C$28,INT(((DATOS!$C$13-2*R32-2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32" s="56">
        <f>IF(D32="HUECO",0,IF(BW32&lt;0,0,IF(MAX(DATOS!$C$29,CEILING(MAX(BW32,0)/INDEX(TABLAS!$D$52:$D$58,MATCH(BX32,TABLAS!$B$52:$B$58,0)),1))*INDEX(TABLAS!$D$52:$D$58,MATCH(BX32,TABLAS!$B$52:$B$58,0))&gt;=4/3*IF(BD32&lt;=0,0,IF((1-2*BD32*1E5/(DATOS!$C$58*Q32*BV32^2*DATOS!$C$48))&lt;0,-1,IF((1-SQRT((1-2*BD32*1E5/(DATOS!$C$58*Q32*BV32^2*DATOS!$C$48))))*DATOS!$C$48*Q32*BV32/DATOS!$C$40&gt;DATOS!$C$82*Q32*BV32,-1,(1-SQRT((1-2*BD32*1E5/(DATOS!$C$58*Q32*BV32^2*DATOS!$C$48))))*DATOS!$C$48*Q32*BV32/DATOS!$C$40)))-0.0001,MAX(DATOS!$C$29,CEILING(MAX(BW32,0)/INDEX(TABLAS!$D$52:$D$58,MATCH(BX32,TABLAS!$B$52:$B$58,0)),1)),MAX(MAX(DATOS!$C$29,CEILING(MAX(BW32,0)/INDEX(TABLAS!$D$52:$D$58,MATCH(BX32,TABLAS!$B$52:$B$58,0)),1)),2))))</f>
        <v>1</v>
      </c>
      <c r="BZ32" s="43">
        <f>DATOS!$C$15-R32-IF(DATOS!$C$25=0,0,INDEX(TABLAS!$C$52:$C$58,MATCH(DATOS!$C$25,TABLAS!$B$52:$B$58,0)))-INDEX(TABLAS!$C$52:$C$58,MATCH(BH32,TABLAS!$B$52:$B$58,0))-INDEX(TABLAS!$C$52:$C$58,MATCH(BX32,TABLAS!$B$52:$B$58,0))/2</f>
        <v>21.095</v>
      </c>
      <c r="CA32" s="36">
        <f>IF(BY32=0,0,DATOS!$C$58*BY32*INDEX(TABLAS!$D$52:$D$58,MATCH(BX32,TABLAS!$B$52:$B$58,0))*DATOS!$C$40*(BZ32-BY32*INDEX(TABLAS!$D$52:$D$58,MATCH(BX32,TABLAS!$B$52:$B$58,0))*DATOS!$C$40/(DATOS!$C$48*Q32)/2)/1E5)</f>
        <v>1.00407937658824</v>
      </c>
      <c r="CB32" s="62">
        <f>IF(BW32&lt;0,9.99,IF(CA32&gt;0,BD32/CA32,0))</f>
        <v>0.376668079994203</v>
      </c>
      <c r="CC32" s="63">
        <f>IF(BY32=0,"—",0.003*(BZ32-(BY32*INDEX(TABLAS!$D$52:$D$58,MATCH(BX32,TABLAS!$B$52:$B$58,0))*DATOS!$C$40/(DATOS!$C$48*Q32)/DATOS!$C$49))/(BY32*INDEX(TABLAS!$D$52:$D$58,MATCH(BX32,TABLAS!$B$52:$B$58,0))*DATOS!$C$40/(DATOS!$C$48*Q32)/DATOS!$C$49))</f>
        <v>0.147011195866142</v>
      </c>
      <c r="CD32" s="43">
        <f>((DATOS!$C$15-S32-2*DATOS!$C$35-IF(DATOS!$C$25=0,0,INDEX(TABLAS!$C$52:$C$58,MATCH(DATOS!$C$25,TABLAS!$B$52:$B$58,0)))-INDEX(TABLAS!$C$52:$C$58,MATCH(DATOS!$C$27,TABLAS!$B$52:$B$58,0))-INDEX(TABLAS!$C$52:$C$58,MATCH(DATOS!$C$27,TABLAS!$B$52:$B$58,0))/2)-IF(AND((DATOS!$C$15-S32-2*DATOS!$C$35-IF(DATOS!$C$25=0,0,INDEX(TABLAS!$C$52:$C$58,MATCH(DATOS!$C$25,TABLAS!$B$52:$B$58,0)))-INDEX(TABLAS!$C$52:$C$58,MATCH(DATOS!$C$27,TABLAS!$B$52:$B$58,0))-INDEX(TABLAS!$C$52:$C$58,MATCH(DATOS!$C$27,TABLAS!$B$52:$B$58,0))/2)&lt;=20,DATOS!$C$18&lt;&gt;"SÍ"),2,0))</f>
        <v>20.119</v>
      </c>
      <c r="CE32" s="43">
        <f>IF(D32="HUECO",0,IF(IF(BE32&lt;=0,0,IF((1-2*BE32*1E5/(DATOS!$C$58*DATOS!$C$19*CD32^2*DATOS!$C$48))&lt;0,-1,IF((1-SQRT((1-2*BE32*1E5/(DATOS!$C$58*DATOS!$C$19*CD32^2*DATOS!$C$48))))*DATOS!$C$48*DATOS!$C$19*CD32/DATOS!$C$40&gt;DATOS!$C$82*DATOS!$C$19*CD32,-1,(1-SQRT((1-2*BE32*1E5/(DATOS!$C$58*DATOS!$C$19*CD32^2*DATOS!$C$48))))*DATOS!$C$48*DATOS!$C$19*CD32/DATOS!$C$40)))&lt;0,-1,MAX(IF(BE32&lt;=0,0,IF((1-2*BE32*1E5/(DATOS!$C$58*DATOS!$C$19*CD32^2*DATOS!$C$48))&lt;0,-1,IF((1-SQRT((1-2*BE32*1E5/(DATOS!$C$58*DATOS!$C$19*CD32^2*DATOS!$C$48))))*DATOS!$C$48*DATOS!$C$19*CD32/DATOS!$C$40&gt;DATOS!$C$82*DATOS!$C$19*CD32,-1,(1-SQRT((1-2*BE32*1E5/(DATOS!$C$58*DATOS!$C$19*CD32^2*DATOS!$C$48))))*DATOS!$C$48*DATOS!$C$19*CD32/DATOS!$C$40))),MIN(DATOS!$C$83*DATOS!$C$13*CD32,4/3*IF(BE32&lt;=0,0,IF((1-2*BE32*1E5/(DATOS!$C$58*DATOS!$C$19*CD32^2*DATOS!$C$48))&lt;0,-1,IF((1-SQRT((1-2*BE32*1E5/(DATOS!$C$58*DATOS!$C$19*CD32^2*DATOS!$C$48))))*DATOS!$C$48*DATOS!$C$19*CD32/DATOS!$C$40&gt;DATOS!$C$82*DATOS!$C$19*CD32,-1,(1-SQRT((1-2*BE32*1E5/(DATOS!$C$58*DATOS!$C$19*CD32^2*DATOS!$C$48))))*DATOS!$C$48*DATOS!$C$19*CD32/DATOS!$C$40)))))))</f>
        <v>0.820601268977389</v>
      </c>
      <c r="CF32" s="41">
        <f>IF(AND(CE32&gt;=0,IF(MAX(DATOS!$C$29,CEILING(CE32/INDEX(TABLAS!$D$52:$D$58,MIN(MATCH(DATOS!$C$27,TABLAS!$B$52:$B$58,0)+0,7)),1))*INDEX(TABLAS!$D$52:$D$58,MIN(MATCH(DATOS!$C$27,TABLAS!$B$52:$B$58,0)+0,7))&gt;=4/3*IF(BE32&lt;=0,0,IF((1-2*BE32*1E5/(DATOS!$C$58*DATOS!$C$19*CD32^2*DATOS!$C$48))&lt;0,-1,IF((1-SQRT((1-2*BE32*1E5/(DATOS!$C$58*DATOS!$C$19*CD32^2*DATOS!$C$48))))*DATOS!$C$48*DATOS!$C$19*CD32/DATOS!$C$40&gt;DATOS!$C$82*DATOS!$C$19*CD32,-1,(1-SQRT((1-2*BE32*1E5/(DATOS!$C$58*DATOS!$C$19*CD32^2*DATOS!$C$48))))*DATOS!$C$48*DATOS!$C$19*CD32/DATOS!$C$40)))-0.0001,MAX(DATOS!$C$29,CEILING(CE32/INDEX(TABLAS!$D$52:$D$58,MIN(MATCH(DATOS!$C$27,TABLAS!$B$52:$B$58,0)+0,7)),1)),MAX(MAX(DATOS!$C$29,CEILING(CE32/INDEX(TABLAS!$D$52:$D$58,MIN(MATCH(DATOS!$C$27,TABLAS!$B$52:$B$58,0)+0,7)),1)),2))&lt;=MIN(DATOS!$C$28,INT(((DATOS!$C$13-2*S32-2*IF(DATOS!$C$25=0,0,INDEX(TABLAS!$C$52:$C$58,MATCH(DATOS!$C$25,TABLAS!$B$52:$B$58,0))))+MAX(DATOS!$C$32,INDEX(TABLAS!$C$52:$C$58,MIN(MATCH(DATOS!$C$27,TABLAS!$B$52:$B$58,0)+0,7))))/(INDEX(TABLAS!$C$52:$C$58,MIN(MATCH(DATOS!$C$27,TABLAS!$B$52:$B$58,0)+0,7))+MAX(DATOS!$C$32,INDEX(TABLAS!$C$52:$C$58,MIN(MATCH(DATOS!$C$27,TABLAS!$B$52:$B$58,0)+0,7))))))),INDEX(TABLAS!$B$52:$B$58,MIN(MATCH(DATOS!$C$27,TABLAS!$B$52:$B$58,0)+0,7)),IF(AND(CE32&gt;=0,IF(MAX(DATOS!$C$29,CEILING(CE32/INDEX(TABLAS!$D$52:$D$58,MIN(MATCH(DATOS!$C$27,TABLAS!$B$52:$B$58,0)+1,7)),1))*INDEX(TABLAS!$D$52:$D$58,MIN(MATCH(DATOS!$C$27,TABLAS!$B$52:$B$58,0)+1,7))&gt;=4/3*IF(BE32&lt;=0,0,IF((1-2*BE32*1E5/(DATOS!$C$58*DATOS!$C$19*CD32^2*DATOS!$C$48))&lt;0,-1,IF((1-SQRT((1-2*BE32*1E5/(DATOS!$C$58*DATOS!$C$19*CD32^2*DATOS!$C$48))))*DATOS!$C$48*DATOS!$C$19*CD32/DATOS!$C$40&gt;DATOS!$C$82*DATOS!$C$19*CD32,-1,(1-SQRT((1-2*BE32*1E5/(DATOS!$C$58*DATOS!$C$19*CD32^2*DATOS!$C$48))))*DATOS!$C$48*DATOS!$C$19*CD32/DATOS!$C$40)))-0.0001,MAX(DATOS!$C$29,CEILING(CE32/INDEX(TABLAS!$D$52:$D$58,MIN(MATCH(DATOS!$C$27,TABLAS!$B$52:$B$58,0)+1,7)),1)),MAX(MAX(DATOS!$C$29,CEILING(CE32/INDEX(TABLAS!$D$52:$D$58,MIN(MATCH(DATOS!$C$27,TABLAS!$B$52:$B$58,0)+1,7)),1)),2))&lt;=MIN(DATOS!$C$28,INT(((DATOS!$C$13-2*S32-2*IF(DATOS!$C$25=0,0,INDEX(TABLAS!$C$52:$C$58,MATCH(DATOS!$C$25,TABLAS!$B$52:$B$58,0))))+MAX(DATOS!$C$32,INDEX(TABLAS!$C$52:$C$58,MIN(MATCH(DATOS!$C$27,TABLAS!$B$52:$B$58,0)+1,7))))/(INDEX(TABLAS!$C$52:$C$58,MIN(MATCH(DATOS!$C$27,TABLAS!$B$52:$B$58,0)+1,7))+MAX(DATOS!$C$32,INDEX(TABLAS!$C$52:$C$58,MIN(MATCH(DATOS!$C$27,TABLAS!$B$52:$B$58,0)+1,7))))))),INDEX(TABLAS!$B$52:$B$58,MIN(MATCH(DATOS!$C$27,TABLAS!$B$52:$B$58,0)+1,7)),IF(AND(CE32&gt;=0,IF(MAX(DATOS!$C$29,CEILING(CE32/INDEX(TABLAS!$D$52:$D$58,MIN(MATCH(DATOS!$C$27,TABLAS!$B$52:$B$58,0)+2,7)),1))*INDEX(TABLAS!$D$52:$D$58,MIN(MATCH(DATOS!$C$27,TABLAS!$B$52:$B$58,0)+2,7))&gt;=4/3*IF(BE32&lt;=0,0,IF((1-2*BE32*1E5/(DATOS!$C$58*DATOS!$C$19*CD32^2*DATOS!$C$48))&lt;0,-1,IF((1-SQRT((1-2*BE32*1E5/(DATOS!$C$58*DATOS!$C$19*CD32^2*DATOS!$C$48))))*DATOS!$C$48*DATOS!$C$19*CD32/DATOS!$C$40&gt;DATOS!$C$82*DATOS!$C$19*CD32,-1,(1-SQRT((1-2*BE32*1E5/(DATOS!$C$58*DATOS!$C$19*CD32^2*DATOS!$C$48))))*DATOS!$C$48*DATOS!$C$19*CD32/DATOS!$C$40)))-0.0001,MAX(DATOS!$C$29,CEILING(CE32/INDEX(TABLAS!$D$52:$D$58,MIN(MATCH(DATOS!$C$27,TABLAS!$B$52:$B$58,0)+2,7)),1)),MAX(MAX(DATOS!$C$29,CEILING(CE32/INDEX(TABLAS!$D$52:$D$58,MIN(MATCH(DATOS!$C$27,TABLAS!$B$52:$B$58,0)+2,7)),1)),2))&lt;=MIN(DATOS!$C$28,INT(((DATOS!$C$13-2*S32-2*IF(DATOS!$C$25=0,0,INDEX(TABLAS!$C$52:$C$58,MATCH(DATOS!$C$25,TABLAS!$B$52:$B$58,0))))+MAX(DATOS!$C$32,INDEX(TABLAS!$C$52:$C$58,MIN(MATCH(DATOS!$C$27,TABLAS!$B$52:$B$58,0)+2,7))))/(INDEX(TABLAS!$C$52:$C$58,MIN(MATCH(DATOS!$C$27,TABLAS!$B$52:$B$58,0)+2,7))+MAX(DATOS!$C$32,INDEX(TABLAS!$C$52:$C$58,MIN(MATCH(DATOS!$C$27,TABLAS!$B$52:$B$58,0)+2,7))))))),INDEX(TABLAS!$B$52:$B$58,MIN(MATCH(DATOS!$C$27,TABLAS!$B$52:$B$58,0)+2,7)),IF(AND(CE32&gt;=0,IF(MAX(DATOS!$C$29,CEILING(CE32/INDEX(TABLAS!$D$52:$D$58,MIN(MATCH(DATOS!$C$27,TABLAS!$B$52:$B$58,0)+3,7)),1))*INDEX(TABLAS!$D$52:$D$58,MIN(MATCH(DATOS!$C$27,TABLAS!$B$52:$B$58,0)+3,7))&gt;=4/3*IF(BE32&lt;=0,0,IF((1-2*BE32*1E5/(DATOS!$C$58*DATOS!$C$19*CD32^2*DATOS!$C$48))&lt;0,-1,IF((1-SQRT((1-2*BE32*1E5/(DATOS!$C$58*DATOS!$C$19*CD32^2*DATOS!$C$48))))*DATOS!$C$48*DATOS!$C$19*CD32/DATOS!$C$40&gt;DATOS!$C$82*DATOS!$C$19*CD32,-1,(1-SQRT((1-2*BE32*1E5/(DATOS!$C$58*DATOS!$C$19*CD32^2*DATOS!$C$48))))*DATOS!$C$48*DATOS!$C$19*CD32/DATOS!$C$40)))-0.0001,MAX(DATOS!$C$29,CEILING(CE32/INDEX(TABLAS!$D$52:$D$58,MIN(MATCH(DATOS!$C$27,TABLAS!$B$52:$B$58,0)+3,7)),1)),MAX(MAX(DATOS!$C$29,CEILING(CE32/INDEX(TABLAS!$D$52:$D$58,MIN(MATCH(DATOS!$C$27,TABLAS!$B$52:$B$58,0)+3,7)),1)),2))&lt;=MIN(DATOS!$C$28,INT(((DATOS!$C$13-2*S32-2*IF(DATOS!$C$25=0,0,INDEX(TABLAS!$C$52:$C$58,MATCH(DATOS!$C$25,TABLAS!$B$52:$B$58,0))))+MAX(DATOS!$C$32,INDEX(TABLAS!$C$52:$C$58,MIN(MATCH(DATOS!$C$27,TABLAS!$B$52:$B$58,0)+3,7))))/(INDEX(TABLAS!$C$52:$C$58,MIN(MATCH(DATOS!$C$27,TABLAS!$B$52:$B$58,0)+3,7))+MAX(DATOS!$C$32,INDEX(TABLAS!$C$52:$C$58,MIN(MATCH(DATOS!$C$27,TABLAS!$B$52:$B$58,0)+3,7))))))),INDEX(TABLAS!$B$52:$B$58,MIN(MATCH(DATOS!$C$27,TABLAS!$B$52:$B$58,0)+3,7)),IF(AND(CE32&gt;=0,IF(MAX(DATOS!$C$29,CEILING(CE32/INDEX(TABLAS!$D$52:$D$58,MIN(MATCH(DATOS!$C$27,TABLAS!$B$52:$B$58,0)+4,7)),1))*INDEX(TABLAS!$D$52:$D$58,MIN(MATCH(DATOS!$C$27,TABLAS!$B$52:$B$58,0)+4,7))&gt;=4/3*IF(BE32&lt;=0,0,IF((1-2*BE32*1E5/(DATOS!$C$58*DATOS!$C$19*CD32^2*DATOS!$C$48))&lt;0,-1,IF((1-SQRT((1-2*BE32*1E5/(DATOS!$C$58*DATOS!$C$19*CD32^2*DATOS!$C$48))))*DATOS!$C$48*DATOS!$C$19*CD32/DATOS!$C$40&gt;DATOS!$C$82*DATOS!$C$19*CD32,-1,(1-SQRT((1-2*BE32*1E5/(DATOS!$C$58*DATOS!$C$19*CD32^2*DATOS!$C$48))))*DATOS!$C$48*DATOS!$C$19*CD32/DATOS!$C$40)))-0.0001,MAX(DATOS!$C$29,CEILING(CE32/INDEX(TABLAS!$D$52:$D$58,MIN(MATCH(DATOS!$C$27,TABLAS!$B$52:$B$58,0)+4,7)),1)),MAX(MAX(DATOS!$C$29,CEILING(CE32/INDEX(TABLAS!$D$52:$D$58,MIN(MATCH(DATOS!$C$27,TABLAS!$B$52:$B$58,0)+4,7)),1)),2))&lt;=MIN(DATOS!$C$28,INT(((DATOS!$C$13-2*S32-2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32" s="56">
        <f>IF(D32="HUECO",0,IF(CE32&lt;0,0,IF(MAX(DATOS!$C$29,CEILING(MAX(CE32,0)/INDEX(TABLAS!$D$52:$D$58,MATCH(CF32,TABLAS!$B$52:$B$58,0)),1))*INDEX(TABLAS!$D$52:$D$58,MATCH(CF32,TABLAS!$B$52:$B$58,0))&gt;=4/3*IF(BE32&lt;=0,0,IF((1-2*BE32*1E5/(DATOS!$C$58*DATOS!$C$19*CD32^2*DATOS!$C$48))&lt;0,-1,IF((1-SQRT((1-2*BE32*1E5/(DATOS!$C$58*DATOS!$C$19*CD32^2*DATOS!$C$48))))*DATOS!$C$48*DATOS!$C$19*CD32/DATOS!$C$40&gt;DATOS!$C$82*DATOS!$C$19*CD32,-1,(1-SQRT((1-2*BE32*1E5/(DATOS!$C$58*DATOS!$C$19*CD32^2*DATOS!$C$48))))*DATOS!$C$48*DATOS!$C$19*CD32/DATOS!$C$40)))-0.0001,MAX(DATOS!$C$29,CEILING(MAX(CE32,0)/INDEX(TABLAS!$D$52:$D$58,MATCH(CF32,TABLAS!$B$52:$B$58,0)),1)),MAX(MAX(DATOS!$C$29,CEILING(MAX(CE32,0)/INDEX(TABLAS!$D$52:$D$58,MATCH(CF32,TABLAS!$B$52:$B$58,0)),1)),2))))</f>
        <v>1</v>
      </c>
      <c r="CH32" s="43">
        <f>((DATOS!$C$15-S32-2*DATOS!$C$35-IF(DATOS!$C$25=0,0,INDEX(TABLAS!$C$52:$C$58,MATCH(DATOS!$C$25,TABLAS!$B$52:$B$58,0)))-INDEX(TABLAS!$C$52:$C$58,MATCH(BP32,TABLAS!$B$52:$B$58,0))-INDEX(TABLAS!$C$52:$C$58,MATCH(CF32,TABLAS!$B$52:$B$58,0))/2)-IF(AND((DATOS!$C$15-S32-2*DATOS!$C$35-IF(DATOS!$C$25=0,0,INDEX(TABLAS!$C$52:$C$58,MATCH(DATOS!$C$25,TABLAS!$B$52:$B$58,0)))-INDEX(TABLAS!$C$52:$C$58,MATCH(BP32,TABLAS!$B$52:$B$58,0))-INDEX(TABLAS!$C$52:$C$58,MATCH(CF32,TABLAS!$B$52:$B$58,0))/2)&lt;=20,DATOS!$C$18&lt;&gt;"SÍ"),2,0))</f>
        <v>20.119</v>
      </c>
      <c r="CI32" s="36">
        <f>IF(CG32=0,0,DATOS!$C$58*CG32*INDEX(TABLAS!$D$52:$D$58,MATCH(CF32,TABLAS!$B$52:$B$58,0))*DATOS!$C$40*(CH32-CG32*INDEX(TABLAS!$D$52:$D$58,MATCH(CF32,TABLAS!$B$52:$B$58,0))*DATOS!$C$40/(DATOS!$C$48*DATOS!$C$19)/2)/1E5)</f>
        <v>0.905582360117647</v>
      </c>
      <c r="CJ32" s="62">
        <f>IF(CE32&lt;0,9.99,IF(CI32&gt;0,BE32/CI32,0))</f>
        <v>0.661354798559998</v>
      </c>
      <c r="CK32" s="63">
        <f>IF(CG32=0,"—",0.003*(CH32-(CG32*INDEX(TABLAS!$D$52:$D$58,MATCH(CF32,TABLAS!$B$52:$B$58,0))*DATOS!$C$40/(DATOS!$C$48*DATOS!$C$19)/DATOS!$C$49))/(CG32*INDEX(TABLAS!$D$52:$D$58,MATCH(CF32,TABLAS!$B$52:$B$58,0))*DATOS!$C$40/(DATOS!$C$48*DATOS!$C$19)/DATOS!$C$49))</f>
        <v>0.0174386635264342</v>
      </c>
      <c r="CL32" s="52" t="str">
        <f>IF(D32="HUECO","—",IF(AND(D32="PERIMETRAL",J32*100&gt;=6*DATOS!$C$11,DATOS!$C$11&lt;=80,DATOS!$C$13&gt;=10,DATOS!$C$15&lt;=3.5*DATOS!$C$13,DATOS!$C$14&gt;=MAX(DATOS!$C$11/13,5)),"SÍ","NO"))</f>
        <v>SÍ</v>
      </c>
      <c r="CM32" s="36">
        <f>IF(D32="PERIMETRAL",MAX(0,(N32/2-BR32)/100)*(0.95-0.5*L32)*Y32*IF(AND(Z32&gt;0,Z32&lt;4),DATOS!$C$63,1)*DATOS!$C$16/100/1000+AX32,IF(D32="VOLADO",(Y32*MAX(0,N32-BR32)/100+DATOS!$C$55*BA32)*DATOS!$C$16/100/1000,0))</f>
        <v>0.728586418303149</v>
      </c>
      <c r="CN32" s="36">
        <f>IF(D32="HUECO",0,DATOS!$C$59*2*MIN(1,SQRT(2/(1+0.04*BR32)))*(BQ32*INDEX(TABLAS!$D$52:$D$58,MATCH(BP32,TABLAS!$B$52:$B$58,0))/(DATOS!$C$19*BR32))^(1/3)*SQRT(DATOS!$C$39)*DATOS!$C$19*BR32*IF(CL32="SÍ",DATOS!$C$62,1)/1000)</f>
        <v>1.0104515843408</v>
      </c>
      <c r="CO32" s="51" t="str">
        <f>IF(D32="HUECO","—",IF(CM32&lt;=CN32,"CUMPLE",IF(MAX(0,CEILING((IF(D32="VOLADO",(N32-(CN32*1E5/DATOS!$C$16-DATOS!$C$55*BA32)*100/Y32),IF(CN32&lt;=AX32,N32,N32/2-(CN32-AX32)/MAX(CM32-AX32,1E-9)*(N32/2-BR32)))-IF(INT((J32*100-DATOS!$C$17+DATOS!$C$13)/DATOS!$C$16)&gt;0,(J32*100-DATOS!$C$17-(INT((J32*100-DATOS!$C$17+DATOS!$C$13)/DATOS!$C$16)*DATOS!$C$11+(INT((J32*100-DATOS!$C$17+DATOS!$C$13)/DATOS!$C$16)-1)*DATOS!$C$13))/2,J32*100/2))/DATOS!$C$16,1))&lt;=0,"CUMPLE (basta el macizo de orilla)","MACIZAR "&amp;MAX(0,CEILING((IF(D32="VOLADO",(N32-(CN32*1E5/DATOS!$C$16-DATOS!$C$55*BA32)*100/Y32),IF(CN32&lt;=AX32,N32,N32/2-(CN32-AX32)/MAX(CM32-AX32,1E-9)*(N32/2-BR32)))-IF(INT((J32*100-DATOS!$C$17+DATOS!$C$13)/DATOS!$C$16)&gt;0,(J32*100-DATOS!$C$17-(INT((J32*100-DATOS!$C$17+DATOS!$C$13)/DATOS!$C$16)*DATOS!$C$11+(INT((J32*100-DATOS!$C$17+DATOS!$C$13)/DATOS!$C$16)-1)*DATOS!$C$13))/2,J32*100/2))/DATOS!$C$16,1))&amp;" hilera(s)")))</f>
        <v>CUMPLE</v>
      </c>
      <c r="CP32" s="43">
        <f>IF(D32="PERIMETRAL",(99+99+99+99)/4,0)</f>
        <v>99</v>
      </c>
      <c r="CQ32" s="57">
        <f>IF(D32="PERIMETRAL",IF(CP32&gt;2,MAX(9,O32*(0.8+DATOS!$C$40/14000)/(36+9*(O32/MAX(N32,1)))),IF(CP32&gt;0.2,MAX(13,O32*(0.8+DATOS!$C$40/14000)/(36+5*(O32/MAX(N32,1))*(CP32-0.2))),MAX(13,O32/IF(Z32&gt;0,30,33))))*IF(AND(CP32&gt;0.2,OR(AND((APOYOS!$G$121="DISCONTINUO"),99&lt;0.8),AND((APOYOS!$G$122="DISCONTINUO"),99&lt;0.8),AND((APOYOS!$G$123="DISCONTINUO"),99&lt;0.8),AND((APOYOS!$G$124="DISCONTINUO"),99&lt;0.8))),1.1,1),IF(D32="VOLADO",MAX(25,J32*100/8),0))</f>
        <v>11.3934659971483</v>
      </c>
      <c r="CR32" s="57">
        <f>IF(D32="VOLADO",DATOS!$C$15,DATOS!$C$77)</f>
        <v>16.7232564120244</v>
      </c>
      <c r="CS32" s="52" t="str">
        <f>IF(D32="HUECO","—",IF(CR32&gt;=CQ32,"CUMPLE",IF(D32="VOLADO","NO CUMPLE","CALCULAR FLECHA")))</f>
        <v>CUMPLE</v>
      </c>
      <c r="CT32" s="52" t="str">
        <f>IF(D32="HUECO","—",IF(DATOS!$C$14&gt;=IF(IF(D32="VOLADO",J32,K32)&gt;=6,6,5),"CUMPLE","CAPA ≥ 6 cm"))</f>
        <v>CUMPLE</v>
      </c>
      <c r="CU32" s="59">
        <f>IF(D32="HUECO",0,IF(((4*((AL32*Y32*J32^2*1E-4*DATOS!$C$16/100/1000)+((MAX(AH32,AJ32)*Y32*J32^2*1E-4*DATOS!$C$16/100/1000)+(IF(AND(AH32&gt;0,AJ32&gt;0),MIN(AH32,AJ32),MAX(AH32,AJ32))*Y32*J32^2*1E-4*DATOS!$C$16/100/1000))/2)+BC32-(IF(AND(AH32&gt;0,AJ32&gt;0),MIN(AH32,AJ32),MAX(AH32,AJ32))*Y32*J32^2*1E-4*DATOS!$C$16/100/1000))^2-16*((AL32*Y32*J32^2*1E-4*DATOS!$C$16/100/1000)+((MAX(AH32,AJ32)*Y32*J32^2*1E-4*DATOS!$C$16/100/1000)+(IF(AND(AH32&gt;0,AJ32&gt;0),MIN(AH32,AJ32),MAX(AH32,AJ32))*Y32*J32^2*1E-4*DATOS!$C$16/100/1000))/2)*BC32)&lt;0,CEILING(N32,5),CEILING(MAX(N32*((4*((AL32*Y32*J32^2*1E-4*DATOS!$C$16/100/1000)+((MAX(AH32,AJ32)*Y32*J32^2*1E-4*DATOS!$C$16/100/1000)+(IF(AND(AH32&gt;0,AJ32&gt;0),MIN(AH32,AJ32),MAX(AH32,AJ32))*Y32*J32^2*1E-4*DATOS!$C$16/100/1000))/2)+BC32-(IF(AND(AH32&gt;0,AJ32&gt;0),MIN(AH32,AJ32),MAX(AH32,AJ32))*Y32*J32^2*1E-4*DATOS!$C$16/100/1000))-SQRT(MAX(0,((4*((AL32*Y32*J32^2*1E-4*DATOS!$C$16/100/1000)+((MAX(AH32,AJ32)*Y32*J32^2*1E-4*DATOS!$C$16/100/1000)+(IF(AND(AH32&gt;0,AJ32&gt;0),MIN(AH32,AJ32),MAX(AH32,AJ32))*Y32*J32^2*1E-4*DATOS!$C$16/100/1000))/2)+BC32-(IF(AND(AH32&gt;0,AJ32&gt;0),MIN(AH32,AJ32),MAX(AH32,AJ32))*Y32*J32^2*1E-4*DATOS!$C$16/100/1000))^2-16*((AL32*Y32*J32^2*1E-4*DATOS!$C$16/100/1000)+((MAX(AH32,AJ32)*Y32*J32^2*1E-4*DATOS!$C$16/100/1000)+(IF(AND(AH32&gt;0,AJ32&gt;0),MIN(AH32,AJ32),MAX(AH32,AJ32))*Y32*J32^2*1E-4*DATOS!$C$16/100/1000))/2)*BC32))))/(8*MAX(((AL32*Y32*J32^2*1E-4*DATOS!$C$16/100/1000)+((MAX(AH32,AJ32)*Y32*J32^2*1E-4*DATOS!$C$16/100/1000)+(IF(AND(AH32&gt;0,AJ32&gt;0),MIN(AH32,AJ32),MAX(AH32,AJ32))*Y32*J32^2*1E-4*DATOS!$C$16/100/1000))/2),1E-9))+MAX(BR32,12*INDEX(TABLAS!$C$52:$C$58,MATCH(BP32,TABLAS!$B$52:$B$58,0)),N32/16),IF(OR(S32&lt;INDEX(TABLAS!$C$52:$C$58,MATCH(BP32,TABLAS!$B$52:$B$58,0)),AND(BQ32&gt;=2,(DATOS!$C$13-2*S32-2*IF(DATOS!$C$25=0,0,INDEX(TABLAS!$C$52:$C$58,MATCH(DATOS!$C$25,TABLAS!$B$52:$B$58,0)))-BQ32*INDEX(TABLAS!$C$52:$C$58,MATCH(BP32,TABLAS!$B$52:$B$58,0)))/MAX(BQ32-1,1)&lt;2*INDEX(TABLAS!$C$52:$C$58,MATCH(BP32,TABLAS!$B$52:$B$58,0)))),INDEX(TABLAS!$I$52:$I$58,MATCH(BP32,TABLAS!$B$52:$B$58,0)),INDEX(TABLAS!$F$52:$F$58,MATCH(BP32,TABLAS!$B$52:$B$58,0)))),5)))</f>
        <v>125</v>
      </c>
      <c r="CV32" s="59">
        <f>IF(D32="HUECO",0,IF(((4*((AM32*Y32*J32^2*1E-4*DATOS!$C$16/100/1000)+((MAX(AI32,AK32)*Y32*J32^2*1E-4*DATOS!$C$16/100/1000)+(IF(AND(AI32&gt;0,AK32&gt;0),MIN(AI32,AK32),MAX(AI32,AK32))*Y32*J32^2*1E-4*DATOS!$C$16/100/1000))/2)+BE32-(IF(AND(AI32&gt;0,AK32&gt;0),MIN(AI32,AK32),MAX(AI32,AK32))*Y32*J32^2*1E-4*DATOS!$C$16/100/1000))^2-16*((AM32*Y32*J32^2*1E-4*DATOS!$C$16/100/1000)+((MAX(AI32,AK32)*Y32*J32^2*1E-4*DATOS!$C$16/100/1000)+(IF(AND(AI32&gt;0,AK32&gt;0),MIN(AI32,AK32),MAX(AI32,AK32))*Y32*J32^2*1E-4*DATOS!$C$16/100/1000))/2)*BE32)&lt;0,CEILING(O32,5),CEILING(MAX(O32*((4*((AM32*Y32*J32^2*1E-4*DATOS!$C$16/100/1000)+((MAX(AI32,AK32)*Y32*J32^2*1E-4*DATOS!$C$16/100/1000)+(IF(AND(AI32&gt;0,AK32&gt;0),MIN(AI32,AK32),MAX(AI32,AK32))*Y32*J32^2*1E-4*DATOS!$C$16/100/1000))/2)+BE32-(IF(AND(AI32&gt;0,AK32&gt;0),MIN(AI32,AK32),MAX(AI32,AK32))*Y32*J32^2*1E-4*DATOS!$C$16/100/1000))-SQRT(MAX(0,((4*((AM32*Y32*J32^2*1E-4*DATOS!$C$16/100/1000)+((MAX(AI32,AK32)*Y32*J32^2*1E-4*DATOS!$C$16/100/1000)+(IF(AND(AI32&gt;0,AK32&gt;0),MIN(AI32,AK32),MAX(AI32,AK32))*Y32*J32^2*1E-4*DATOS!$C$16/100/1000))/2)+BE32-(IF(AND(AI32&gt;0,AK32&gt;0),MIN(AI32,AK32),MAX(AI32,AK32))*Y32*J32^2*1E-4*DATOS!$C$16/100/1000))^2-16*((AM32*Y32*J32^2*1E-4*DATOS!$C$16/100/1000)+((MAX(AI32,AK32)*Y32*J32^2*1E-4*DATOS!$C$16/100/1000)+(IF(AND(AI32&gt;0,AK32&gt;0),MIN(AI32,AK32),MAX(AI32,AK32))*Y32*J32^2*1E-4*DATOS!$C$16/100/1000))/2)*BE32))))/(8*MAX(((AM32*Y32*J32^2*1E-4*DATOS!$C$16/100/1000)+((MAX(AI32,AK32)*Y32*J32^2*1E-4*DATOS!$C$16/100/1000)+(IF(AND(AI32&gt;0,AK32&gt;0),MIN(AI32,AK32),MAX(AI32,AK32))*Y32*J32^2*1E-4*DATOS!$C$16/100/1000))/2),1E-9))+MAX(CH32,12*INDEX(TABLAS!$C$52:$C$58,MATCH(CF32,TABLAS!$B$52:$B$58,0)),O32/16),IF(OR(S32&lt;INDEX(TABLAS!$C$52:$C$58,MATCH(CF32,TABLAS!$B$52:$B$58,0)),AND(CG32&gt;=2,(DATOS!$C$13-2*S32-2*IF(DATOS!$C$25=0,0,INDEX(TABLAS!$C$52:$C$58,MATCH(DATOS!$C$25,TABLAS!$B$52:$B$58,0)))-CG32*INDEX(TABLAS!$C$52:$C$58,MATCH(CF32,TABLAS!$B$52:$B$58,0)))/MAX(CG32-1,1)&lt;2*INDEX(TABLAS!$C$52:$C$58,MATCH(CF32,TABLAS!$B$52:$B$58,0)))),INDEX(TABLAS!$I$52:$I$58,MATCH(CF32,TABLAS!$B$52:$B$58,0)),INDEX(TABLAS!$F$52:$F$58,MATCH(CF32,TABLAS!$B$52:$B$58,0)))),5)))</f>
        <v>135</v>
      </c>
      <c r="CW32" s="56">
        <f>MAX(0,INT((F32*100-DATOS!$C$17+DATOS!$C$13)/DATOS!$C$16))</f>
        <v>6</v>
      </c>
      <c r="CX32" s="56">
        <f>MAX(0,INT((G32*100-DATOS!$C$17+DATOS!$C$13)/DATOS!$C$16))</f>
        <v>7</v>
      </c>
      <c r="CY32" s="51" t="str">
        <f>IF(COUNTIFS(TRIB!$C$6:$C$255,B32,TRIB!$K$6:$K$255,"NO CUMPLE*")+COUNTIFS(TRIB!$C$6:$C$255,B32,TRIB!$K$6:$K$255,"SIN APOYO*")&gt;0,"VER PRINCIPALES",IF((APOYOS!$F$121="LIBRE")+(APOYOS!$F$122="LIBRE")+(APOYOS!$F$123="LIBRE")+(APOYOS!$F$124="LIBRE")&gt;0,"REVISAR: borde libre","OK"))</f>
        <v>OK</v>
      </c>
      <c r="CZ32" s="64" t="str">
        <f>IF(D32="HUECO","HUECO — marco de nervaduras principales",IF(AND(MAX(BL32,BT32,CB32,CJ32)&lt;=1,NOT(OR(BI32&gt;MIN(DATOS!$C$28,INT(((DATOS!$C$13-2*R32-2*IF(DATOS!$C$25=0,0,INDEX(TABLAS!$C$52:$C$58,MATCH(DATOS!$C$25,TABLAS!$B$52:$B$58,0))))+DATOS!$C$32)/(INDEX(TABLAS!$C$52:$C$58,MATCH(BH32,TABLAS!$B$52:$B$58,0))+DATOS!$C$32))),BQ32&gt;MIN(DATOS!$C$28,INT(((DATOS!$C$13-2*S32-2*IF(DATOS!$C$25=0,0,INDEX(TABLAS!$C$52:$C$58,MATCH(DATOS!$C$25,TABLAS!$B$52:$B$58,0))))+DATOS!$C$32)/(INDEX(TABLAS!$C$52:$C$58,MATCH(BP32,TABLAS!$B$52:$B$58,0))+DATOS!$C$32))),BY32&gt;MIN(DATOS!$C$28,INT(((DATOS!$C$13-2*R32-2*IF(DATOS!$C$25=0,0,INDEX(TABLAS!$C$52:$C$58,MATCH(DATOS!$C$25,TABLAS!$B$52:$B$58,0))))+DATOS!$C$32)/(INDEX(TABLAS!$C$52:$C$58,MATCH(BX32,TABLAS!$B$52:$B$58,0))+DATOS!$C$32))),CG32&gt;MIN(DATOS!$C$28,INT(((DATOS!$C$13-2*S32-2*IF(DATOS!$C$25=0,0,INDEX(TABLAS!$C$52:$C$58,MATCH(DATOS!$C$25,TABLAS!$B$52:$B$58,0))))+DATOS!$C$32)/(INDEX(TABLAS!$C$52:$C$58,MATCH(CF32,TABLAS!$B$52:$B$58,0))+DATOS!$C$32))))),NOT(OR(AND(ISNUMBER(BM32),BM32&lt;0.005),AND(ISNUMBER(BU32),BU32&lt;0.005),AND(ISNUMBER(CC32),CC32&lt;0.005),AND(ISNUMBER(CK32),CK32&lt;0.005))),CS32="CUMPLE",CT32="CUMPLE"),IF(CY32="OK",IF(LEFT(CO32,6)="CUMPLE","CUMPLE","CUMPLE — "&amp;CO32)&amp;IF(LEFT(AZ32,5)="FUERA"," · fuera de 3.4.2.1 c)",""),IF(CY32="VER PRINCIPALES","VER PRINCIPALES","REVISAR APOYOS")),IF(AND(MAX(BL32,BT32,CB32,CJ32)&lt;=1,NOT(OR(BI32&gt;MIN(DATOS!$C$28,INT(((DATOS!$C$13-2*R32-2*IF(DATOS!$C$25=0,0,INDEX(TABLAS!$C$52:$C$58,MATCH(DATOS!$C$25,TABLAS!$B$52:$B$58,0))))+DATOS!$C$32)/(INDEX(TABLAS!$C$52:$C$58,MATCH(BH32,TABLAS!$B$52:$B$58,0))+DATOS!$C$32))),BQ32&gt;MIN(DATOS!$C$28,INT(((DATOS!$C$13-2*S32-2*IF(DATOS!$C$25=0,0,INDEX(TABLAS!$C$52:$C$58,MATCH(DATOS!$C$25,TABLAS!$B$52:$B$58,0))))+DATOS!$C$32)/(INDEX(TABLAS!$C$52:$C$58,MATCH(BP32,TABLAS!$B$52:$B$58,0))+DATOS!$C$32))),BY32&gt;MIN(DATOS!$C$28,INT(((DATOS!$C$13-2*R32-2*IF(DATOS!$C$25=0,0,INDEX(TABLAS!$C$52:$C$58,MATCH(DATOS!$C$25,TABLAS!$B$52:$B$58,0))))+DATOS!$C$32)/(INDEX(TABLAS!$C$52:$C$58,MATCH(BX32,TABLAS!$B$52:$B$58,0))+DATOS!$C$32))),CG32&gt;MIN(DATOS!$C$28,INT(((DATOS!$C$13-2*S32-2*IF(DATOS!$C$25=0,0,INDEX(TABLAS!$C$52:$C$58,MATCH(DATOS!$C$25,TABLAS!$B$52:$B$58,0))))+DATOS!$C$32)/(INDEX(TABLAS!$C$52:$C$58,MATCH(CF32,TABLAS!$B$52:$B$58,0))+DATOS!$C$32))))),NOT(OR(AND(ISNUMBER(BM32),BM32&lt;0.005),AND(ISNUMBER(BU32),BU32&lt;0.005),AND(ISNUMBER(CC32),CC32&lt;0.005),AND(ISNUMBER(CK32),CK32&lt;0.005))),CS32="CALCULAR FLECHA"),"REVISAR: calcular flecha (h_eq &lt; h mín.)","NO CUMPLE: "&amp;IF(MAX(BL32,BT32,CB32,CJ32)&gt;1,"flexión ","")&amp;IF(OR(BI32&gt;MIN(DATOS!$C$28,INT(((DATOS!$C$13-2*R32-2*IF(DATOS!$C$25=0,0,INDEX(TABLAS!$C$52:$C$58,MATCH(DATOS!$C$25,TABLAS!$B$52:$B$58,0))))+DATOS!$C$32)/(INDEX(TABLAS!$C$52:$C$58,MATCH(BH32,TABLAS!$B$52:$B$58,0))+DATOS!$C$32))),BQ32&gt;MIN(DATOS!$C$28,INT(((DATOS!$C$13-2*S32-2*IF(DATOS!$C$25=0,0,INDEX(TABLAS!$C$52:$C$58,MATCH(DATOS!$C$25,TABLAS!$B$52:$B$58,0))))+DATOS!$C$32)/(INDEX(TABLAS!$C$52:$C$58,MATCH(BP32,TABLAS!$B$52:$B$58,0))+DATOS!$C$32))),BY32&gt;MIN(DATOS!$C$28,INT(((DATOS!$C$13-2*R32-2*IF(DATOS!$C$25=0,0,INDEX(TABLAS!$C$52:$C$58,MATCH(DATOS!$C$25,TABLAS!$B$52:$B$58,0))))+DATOS!$C$32)/(INDEX(TABLAS!$C$52:$C$58,MATCH(BX32,TABLAS!$B$52:$B$58,0))+DATOS!$C$32))),CG32&gt;MIN(DATOS!$C$28,INT(((DATOS!$C$13-2*S32-2*IF(DATOS!$C$25=0,0,INDEX(TABLAS!$C$52:$C$58,MATCH(DATOS!$C$25,TABLAS!$B$52:$B$58,0))))+DATOS!$C$32)/(INDEX(TABLAS!$C$52:$C$58,MATCH(CF32,TABLAS!$B$52:$B$58,0))+DATOS!$C$32)))),"no caben ","")&amp;IF(OR(AND(ISNUMBER(BM32),BM32&lt;0.005),AND(ISNUMBER(BU32),BU32&lt;0.005),AND(ISNUMBER(CC32),CC32&lt;0.005),AND(ISNUMBER(CK32),CK32&lt;0.005)),"ε_t &lt; 0.005 ","")&amp;IF(CS32="NO CUMPLE","peralte ","")&amp;IF(CT32&lt;&gt;"CUMPLE","capa &lt; 6 cm",""))))</f>
        <v>CUMPLE · fuera de 3.4.2.1 c)</v>
      </c>
      <c r="DA32" s="65" t="str">
        <f>IF(AND(D32="PERIMETRAL",MIN(CW32,CX32)=0),"Tablero macizo (no cabe un casetón en el claro corto): no aplica 6.7.8. La resistencia se revisa con una nervadura de 10 cm cada 70 cm y r_np (conservador); "&amp;"como losa maciza lleva además As,mín = 0.0018·Ag en cada dirección cerca de la cara a tensión (6.7.6.1.1, p. 175). ",IF(AND(CL32="NO",D32="PERIMETRAL"),"No cumple 6.7.8.1.4 (a_c = "&amp;DATOS!$C$11&amp;" cm &gt; claro corto/6 = "&amp;TEXT(J32*100/6,"0")&amp;" cm): se diseña como losa apoyada en vigas (6.7.8.1.9): nervaduras con recubrimiento de viga r_np = "&amp;DATOS!$C$22&amp;" cm (Tabla 4.14.16.a), V_cR sin ×1.1 y cortante sin estribos por 5.5.3.8.1 (criterio del Proyectista). Para que cuente como encasetonada: casetón de "&amp;TEXT(FLOOR(MIN(80,J32*100/6),1),"0")&amp;" cm o menor. ",""))&amp;IF(LEFT(AZ32,5)="FUERA","M⁻ del borde común "&amp;AZ32&amp;": difieren más de 50% (3.4.2.1 c); se distribuyen 2/3 del desequilibrio (3.4.3.1) y conviene confirmar los momentos con el modelo. ","")&amp;"—"</f>
        <v>M⁻ del borde común FUERA con F2 F80023 F80032: difieren más de 50% (3.4.2.1 c); se distribuyen 2/3 del desequilibrio (3.4.3.1) y conviene confirmar los momentos con el modelo. —</v>
      </c>
    </row>
    <row r="33" ht="30" customHeight="1">
      <c r="B33" s="51" t="inlineStr">
        <is>
          <t>F80025 N+6.00</t>
        </is>
      </c>
      <c r="C33" s="52" t="inlineStr">
        <is>
          <t>N+6.00</t>
        </is>
      </c>
      <c r="D33" s="53" t="inlineStr">
        <is>
          <t>PERIMETRAL</t>
        </is>
      </c>
      <c r="E33" s="53" t="inlineStr">
        <is>
          <t>AZOTEA</t>
        </is>
      </c>
      <c r="F33" s="54" t="n">
        <v>3.428</v>
      </c>
      <c r="G33" s="54" t="n">
        <v>5.896</v>
      </c>
      <c r="H33" s="55" t="n">
        <v>3.428</v>
      </c>
      <c r="I33" s="55" t="n">
        <v>5.896</v>
      </c>
      <c r="J33" s="36">
        <f>MIN(H33,I33)</f>
        <v>3.428</v>
      </c>
      <c r="K33" s="36">
        <f>MAX(H33,I33)</f>
        <v>5.896</v>
      </c>
      <c r="L33" s="36">
        <f>IF(K33&gt;0,J33/K33,0)</f>
        <v>0.581411126187246</v>
      </c>
      <c r="M33" s="52" t="str">
        <f>IF(H33&lt;=I33,"X","Y")</f>
        <v>X</v>
      </c>
      <c r="N33" s="56">
        <f>MAX(0,J33*100-IF(D33="VOLADO",DATOS!$C$17/2,DATOS!$C$17))</f>
        <v>327.8</v>
      </c>
      <c r="O33" s="56">
        <f>MAX(0,K33*100-DATOS!$C$17)</f>
        <v>574.6</v>
      </c>
      <c r="P33" s="57">
        <f>MIN(DATOS!$C$16,DATOS!$C$13+2*MIN(8*DATOS!$C$14,DATOS!$C$11/2,N33/8))</f>
        <v>70</v>
      </c>
      <c r="Q33" s="57">
        <f>MIN(DATOS!$C$16,DATOS!$C$13+2*MIN(8*DATOS!$C$14,DATOS!$C$11/2,O33/8))</f>
        <v>70</v>
      </c>
      <c r="R33" s="57">
        <f>IF(D33="VOLADO",DATOS!$C$21,IF(CL33="NO",DATOS!$C$22,DATOS!$C$20))</f>
        <v>4</v>
      </c>
      <c r="S33" s="57">
        <f>IF(OR(AND(C33="N+6.00",DATOS!$C$23="SÍ"),AND(D33="VOLADO",DATOS!$C$24="SÍ")),DATOS!$C$21,IF(CL33="NO",DATOS!$C$22,DATOS!$C$20))</f>
        <v>4</v>
      </c>
      <c r="T33" s="58" t="n">
        <v>300</v>
      </c>
      <c r="U33" s="56">
        <f>IF(E33="HABITACIÓN",DATOS!$C$89,DATOS!$C$92)</f>
        <v>100</v>
      </c>
      <c r="V33" s="56">
        <f>CARGAS!$C$9</f>
        <v>293.673469387755</v>
      </c>
      <c r="W33" s="56">
        <f>V33+T33</f>
        <v>593.673469387755</v>
      </c>
      <c r="X33" s="56">
        <f>W33+U33</f>
        <v>693.673469387755</v>
      </c>
      <c r="Y33" s="59">
        <f>MAX(DATOS!$C$55*W33+DATOS!$C$56*U33,IF(E33="AZOTEA",DATOS!$C$57*(W33+DATOS!$C$97),0))</f>
        <v>921.775510204082</v>
      </c>
      <c r="Z33" s="56">
        <f>(APOYOS!$G$125="DISCONTINUO")+(APOYOS!$G$126="DISCONTINUO")+(APOYOS!$G$127="DISCONTINUO")+(APOYOS!$G$128="DISCONTINUO")</f>
        <v>2</v>
      </c>
      <c r="AA33" s="56">
        <f>IF(M33="X",(APOYOS!$G$125="DISCONTINUO")+(APOYOS!$G$126="DISCONTINUO"),(APOYOS!$G$127="DISCONTINUO")+(APOYOS!$G$128="DISCONTINUO"))</f>
        <v>1</v>
      </c>
      <c r="AB33" s="56">
        <f>Z33-AA33</f>
        <v>1</v>
      </c>
      <c r="AC33" s="52" t="str">
        <f>IF(Z33=0,"INTERIOR",IF(Z33=1,IF(AA33=1,"BORDE-CORTO","BORDE-LARGO"),IF(Z33=2,IF(AA33=1,"ESQUINA",IF(AA33=2,"EXTREMO-LARGO","EXTREMO-CORTO")),IF(Z33=3,IF(AA33=2,"EXTREMO-LARGO","EXTREMO-CORTO"),"AISLADO"))))</f>
        <v>ESQUINA</v>
      </c>
      <c r="AD33" s="53" t="inlineStr">
        <is>
          <t>AUTO</t>
        </is>
      </c>
      <c r="AE33" s="60" t="str">
        <f>IF(AD33="AUTO",AC33,AD33)</f>
        <v>ESQUINA</v>
      </c>
      <c r="AF33" s="56">
        <f>MATCH(L33,TABLAS!$D$5:$J$5,1)</f>
        <v>2</v>
      </c>
      <c r="AG33" s="43">
        <f>IF(AF33&gt;=7,0,(L33-INDEX(TABLAS!$D$5:$J$5,AF33))/(INDEX(TABLAS!$D$5:$J$5,AF33+1)-INDEX(TABLAS!$D$5:$J$5,AF33)))</f>
        <v>0.814111261872456</v>
      </c>
      <c r="AH33" s="56">
        <f>INDEX(TABLAS!$D$6:$J$47,MATCH(AE33&amp;"|NIC",TABLAS!$B$6:$B$47,0),AF33)+AG33*(INDEX(TABLAS!$D$6:$J$47,MATCH(AE33&amp;"|NIC",TABLAS!$B$6:$B$47,0),MIN(AF33+1,7))-INDEX(TABLAS!$D$6:$J$47,MATCH(AE33&amp;"|NIC",TABLAS!$B$6:$B$47,0),AF33))</f>
        <v>1108.45861601086</v>
      </c>
      <c r="AI33" s="56">
        <f>INDEX(TABLAS!$D$6:$J$47,MATCH(AE33&amp;"|NIL",TABLAS!$B$6:$B$47,0),AF33)+AG33*(INDEX(TABLAS!$D$6:$J$47,MATCH(AE33&amp;"|NIL",TABLAS!$B$6:$B$47,0),MIN(AF33+1,7))-INDEX(TABLAS!$D$6:$J$47,MATCH(AE33&amp;"|NIL",TABLAS!$B$6:$B$47,0),AF33))</f>
        <v>551.506105834464</v>
      </c>
      <c r="AJ33" s="56">
        <f>INDEX(TABLAS!$D$6:$J$47,MATCH(AE33&amp;"|NDC",TABLAS!$B$6:$B$47,0),AF33)+AG33*(INDEX(TABLAS!$D$6:$J$47,MATCH(AE33&amp;"|NDC",TABLAS!$B$6:$B$47,0),MIN(AF33+1,7))-INDEX(TABLAS!$D$6:$J$47,MATCH(AE33&amp;"|NDC",TABLAS!$B$6:$B$47,0),AF33))</f>
        <v>328.621438263229</v>
      </c>
      <c r="AK33" s="56">
        <f>INDEX(TABLAS!$D$6:$J$47,MATCH(AE33&amp;"|NDL",TABLAS!$B$6:$B$47,0),AF33)+AG33*(INDEX(TABLAS!$D$6:$J$47,MATCH(AE33&amp;"|NDL",TABLAS!$B$6:$B$47,0),MIN(AF33+1,7))-INDEX(TABLAS!$D$6:$J$47,MATCH(AE33&amp;"|NDL",TABLAS!$B$6:$B$47,0),AF33))</f>
        <v>322.416553595658</v>
      </c>
      <c r="AL33" s="56">
        <f>INDEX(TABLAS!$D$6:$J$47,MATCH(AE33&amp;"|PC",TABLAS!$B$6:$B$47,0),AF33)+AG33*(INDEX(TABLAS!$D$6:$J$47,MATCH(AE33&amp;"|PC",TABLAS!$B$6:$B$47,0),MIN(AF33+1,7))-INDEX(TABLAS!$D$6:$J$47,MATCH(AE33&amp;"|PC",TABLAS!$B$6:$B$47,0),AF33))</f>
        <v>439.788331071913</v>
      </c>
      <c r="AM33" s="56">
        <f>INDEX(TABLAS!$D$6:$J$47,MATCH(AE33&amp;"|PL",TABLAS!$B$6:$B$47,0),AF33)+AG33*(INDEX(TABLAS!$D$6:$J$47,MATCH(AE33&amp;"|PL",TABLAS!$B$6:$B$47,0),MIN(AF33+1,7))-INDEX(TABLAS!$D$6:$J$47,MATCH(AE33&amp;"|PL",TABLAS!$B$6:$B$47,0),AF33))</f>
        <v>294.74355495251</v>
      </c>
      <c r="AN33" s="36">
        <f>IF(D33="PERIMETRAL",IF(APOYOS!$G$125="CONTINUO",IF(M33="Y",AH33,AI33),IF(M33="Y",AJ33,AK33))*Y33*J33^2*1E-4*DATOS!$C$16/100/1000,0)</f>
        <v>0.244468081001076</v>
      </c>
      <c r="AO33" s="36">
        <f>IF(D33="PERIMETRAL",IF(APOYOS!$G$126="CONTINUO",IF(M33="Y",AH33,AI33),IF(M33="Y",AJ33,AK33))*Y33*J33^2*1E-4*DATOS!$C$16/100/1000,0)</f>
        <v>0.418172199442378</v>
      </c>
      <c r="AP33" s="36">
        <f>IF(D33="PERIMETRAL",IF(APOYOS!$G$127="CONTINUO",IF(M33="X",AH33,AI33),IF(M33="X",AJ33,AK33))*Y33*J33^2*1E-4*DATOS!$C$16/100/1000,0)</f>
        <v>0.84047406283339</v>
      </c>
      <c r="AQ33" s="36">
        <f>IF(D33="PERIMETRAL",IF(APOYOS!$G$128="CONTINUO",IF(M33="X",AH33,AI33),IF(M33="X",AJ33,AK33))*Y33*J33^2*1E-4*DATOS!$C$16/100/1000,0)</f>
        <v>0.249172852609721</v>
      </c>
      <c r="AR33" s="56">
        <f>IF(D33="PERIMETRAL",IF(M33="X",BN33,CD33)^3/(J33*100),0)</f>
        <v>21.2630430597112</v>
      </c>
      <c r="AS33" s="56">
        <f>IF(D33="PERIMETRAL",IF(M33="Y",BN33,CD33)^3/(J33*100),0)</f>
        <v>17.3524923546062</v>
      </c>
      <c r="AT33" s="36">
        <f>IF(D33="PERIMETRAL",MAX(0,IF(M33="Y",IF(AND(OR(APOYOS!$G$125="CONTINUO",APOYOS!$G$156="CONTINUO"),AN33&gt;0,AQ40&gt;0,AQ40&gt;AN33),AN33+2/3*(AQ40-AN33)*AS33/MAX(AS33+AS40,1E-9),0),0),IF(M33="Y",IF(AND(OR(APOYOS!$G$126="CONTINUO",APOYOS!$G$129="CONTINUO"),AO33&gt;0,AN34&gt;0,AN34&gt;AO33),AO33+2/3*(AN34-AO33)*AS33/MAX(AS33+AS34,1E-9),0),0),IF(M33="Y",IF(AND(OR(APOYOS!$G$126="CONTINUO",APOYOS!$G$156="CONTINUO"),AO33&gt;0,AQ40&gt;0,AQ40&gt;AO33),AO33+2/3*(AQ40-AO33)*AS33/MAX(AS33+AS40,1E-9),0),0),IF(M33="X",IF(AND(OR(APOYOS!$G$127="CONTINUO",APOYOS!$G$156="CONTINUO"),AP33&gt;0,AQ40&gt;0,AQ40&gt;AP33),AP33+2/3*(AQ40-AP33)*AR33/MAX(AR33+AR40,1E-9),0),0)),0)</f>
        <v>0</v>
      </c>
      <c r="AU33" s="36">
        <f>IF(D33="PERIMETRAL",MAX(0,IF(M33&lt;&gt;"Y",IF(AND(OR(APOYOS!$G$125="CONTINUO",APOYOS!$G$156="CONTINUO"),AN33&gt;0,AQ40&gt;0,AQ40&gt;AN33),AN33+2/3*(AQ40-AN33)*AS33/MAX(AS33+AS40,1E-9),0),0),IF(M33&lt;&gt;"Y",IF(AND(OR(APOYOS!$G$126="CONTINUO",APOYOS!$G$129="CONTINUO"),AO33&gt;0,AN34&gt;0,AN34&gt;AO33),AO33+2/3*(AN34-AO33)*AS33/MAX(AS33+AS34,1E-9),0),0),IF(M33&lt;&gt;"Y",IF(AND(OR(APOYOS!$G$126="CONTINUO",APOYOS!$G$156="CONTINUO"),AO33&gt;0,AQ40&gt;0,AQ40&gt;AO33),AO33+2/3*(AQ40-AO33)*AS33/MAX(AS33+AS40,1E-9),0),0),IF(M33&lt;&gt;"X",IF(AND(OR(APOYOS!$G$127="CONTINUO",APOYOS!$G$156="CONTINUO"),AP33&gt;0,AQ40&gt;0,AQ40&gt;AP33),AP33+2/3*(AQ40-AP33)*AR33/MAX(AR33+AR40,1E-9),0),0)),0)</f>
        <v>0.248806734297084</v>
      </c>
      <c r="AV33" s="36">
        <f>IF(D33="PERIMETRAL",(IF(M33="Y",IF(AND(OR(APOYOS!$G$125="CONTINUO",APOYOS!$G$156="CONTINUO"),AN33&gt;0,AQ40&gt;0,AN33&gt;AQ40),2/3*(AN33-AQ40)*AS33/MAX(AS33+AS40,1E-9),0),0)+IF(M33="Y",MAX(IF(AND(OR(APOYOS!$G$126="CONTINUO",APOYOS!$G$129="CONTINUO"),AO33&gt;0,AN34&gt;0,AO33&gt;AN34),2/3*(AO33-AN34)*AS33/MAX(AS33+AS34,1E-9),0),IF(AND(OR(APOYOS!$G$126="CONTINUO",APOYOS!$G$156="CONTINUO"),AO33&gt;0,AQ40&gt;0,AO33&gt;AQ40),2/3*(AO33-AQ40)*AS33/MAX(AS33+AS40,1E-9),0)),0)+IF(M33="X",IF(AND(OR(APOYOS!$G$127="CONTINUO",APOYOS!$G$156="CONTINUO"),AP33&gt;0,AQ40&gt;0,AP33&gt;AQ40),2/3*(AP33-AQ40)*AR33/MAX(AR33+AR40,1E-9),0),0))/2,0)</f>
        <v>0.0709164151772751</v>
      </c>
      <c r="AW33" s="36">
        <f>IF(D33="PERIMETRAL",(IF(M33&lt;&gt;"Y",IF(AND(OR(APOYOS!$G$125="CONTINUO",APOYOS!$G$156="CONTINUO"),AN33&gt;0,AQ40&gt;0,AN33&gt;AQ40),2/3*(AN33-AQ40)*AS33/MAX(AS33+AS40,1E-9),0),0)+IF(M33&lt;&gt;"Y",MAX(IF(AND(OR(APOYOS!$G$126="CONTINUO",APOYOS!$G$129="CONTINUO"),AO33&gt;0,AN34&gt;0,AO33&gt;AN34),2/3*(AO33-AN34)*AS33/MAX(AS33+AS34,1E-9),0),IF(AND(OR(APOYOS!$G$126="CONTINUO",APOYOS!$G$156="CONTINUO"),AO33&gt;0,AQ40&gt;0,AO33&gt;AQ40),2/3*(AO33-AQ40)*AS33/MAX(AS33+AS40,1E-9),0)),0)+IF(M33&lt;&gt;"X",IF(AND(OR(APOYOS!$G$127="CONTINUO",APOYOS!$G$156="CONTINUO"),AP33&gt;0,AQ40&gt;0,AP33&gt;AQ40),2/3*(AP33-AQ40)*AR33/MAX(AR33+AR40,1E-9),0),0))/2,0)</f>
        <v>0.0202488540521314</v>
      </c>
      <c r="AX33" s="36">
        <f>IF(D33="PERIMETRAL",MAX(0,0),0)</f>
        <v>0</v>
      </c>
      <c r="AY33" s="52" t="str">
        <f>IF(D33&lt;&gt;"PERIMETRAL","",IF(OR(AND(OR(APOYOS!$G$125="CONTINUO",APOYOS!$G$156="CONTINUO"),AN33&gt;0,AQ40&gt;0,ABS(AN33-AQ40)&gt;0.5*MIN(AN33,AQ40)),AND(OR(APOYOS!$G$126="CONTINUO",APOYOS!$G$156="CONTINUO"),AO33&gt;0,AQ40&gt;0,ABS(AO33-AQ40)&gt;0.5*MIN(AO33,AQ40)),AND(OR(APOYOS!$G$127="CONTINUO",APOYOS!$G$156="CONTINUO"),AP33&gt;0,AQ40&gt;0,ABS(AP33-AQ40)&gt;0.5*MIN(AP33,AQ40)))," F80032","")&amp;IF(AND(OR(APOYOS!$G$126="CONTINUO",APOYOS!$G$129="CONTINUO"),AO33&gt;0,AN34&gt;0,ABS(AO33-AN34)&gt;0.5*MIN(AO33,AN34))," F80026",""))</f>
        <v> F80032 F80026</v>
      </c>
      <c r="AZ33" s="52" t="str">
        <f>IF(D33&lt;&gt;"PERIMETRAL","—",IF(AY33="","CUMPLE","FUERA con"&amp;AY33)&amp;IF(AND(D40="PERIMETRAL",APOYOS!$G$125&lt;&gt;APOYOS!$G$156)," · continuidad asimétrica con F80032 (cada uno con su momento; revisar APOYOS)","")&amp;IF(AND(D34="PERIMETRAL",APOYOS!$G$126&lt;&gt;APOYOS!$G$129)," · continuidad asimétrica con F80026 (cada uno con su momento; revisar APOYOS)",""))</f>
        <v>FUERA con F80032 F80026 · continuidad asimétrica con F80032 (cada uno con su momento; revisar APOYOS)</v>
      </c>
      <c r="BA33" s="61" t="n">
        <v>0</v>
      </c>
      <c r="BB33" s="36">
        <f>IF(D33="PERIMETRAL",AL33*Y33*J33^2*1E-4*DATOS!$C$16/100/1000+AV33,0)</f>
        <v>0.404380091731085</v>
      </c>
      <c r="BC33" s="36">
        <f>IF(D33="PERIMETRAL",MAX(MAX(AH33,AJ33)*Y33*J33^2*1E-4*DATOS!$C$16/100/1000,AT33),IF(D33="VOLADO",(Y33*(N33/100)^2/2+DATOS!$C$55*BA33*N33/100)*DATOS!$C$16/100/1000,0))</f>
        <v>0.84047406283339</v>
      </c>
      <c r="BD33" s="36">
        <f>IF(D33="PERIMETRAL",AM33*Y33*J33^2*1E-4*DATOS!$C$16/100/1000+AW33,0)</f>
        <v>0.243734250391427</v>
      </c>
      <c r="BE33" s="36">
        <f>IF(D33="PERIMETRAL",MAX(MAX(AI33,AK33)*Y33*J33^2*1E-4*DATOS!$C$16/100/1000,AU33),0)</f>
        <v>0.418172199442378</v>
      </c>
      <c r="BF33" s="43">
        <f>(DATOS!$C$15-R33-IF(DATOS!$C$25=0,0,INDEX(TABLAS!$C$52:$C$58,MATCH(DATOS!$C$25,TABLAS!$B$52:$B$58,0)))-INDEX(TABLAS!$C$52:$C$58,MATCH(DATOS!$C$26,TABLAS!$B$52:$B$58,0))/2)</f>
        <v>20.365</v>
      </c>
      <c r="BG33" s="43">
        <f>IF(D33="HUECO",0,IF(IF(BB33&lt;=0,0,IF((1-2*BB33*1E5/(DATOS!$C$58*P33*BF33^2*DATOS!$C$48))&lt;0,-1,IF((1-SQRT((1-2*BB33*1E5/(DATOS!$C$58*P33*BF33^2*DATOS!$C$48))))*DATOS!$C$48*P33*BF33/DATOS!$C$40&gt;DATOS!$C$82*P33*BF33,-1,(1-SQRT((1-2*BB33*1E5/(DATOS!$C$58*P33*BF33^2*DATOS!$C$48))))*DATOS!$C$48*P33*BF33/DATOS!$C$40)))&lt;0,-1,MAX(IF(BB33&lt;=0,0,IF((1-2*BB33*1E5/(DATOS!$C$58*P33*BF33^2*DATOS!$C$48))&lt;0,-1,IF((1-SQRT((1-2*BB33*1E5/(DATOS!$C$58*P33*BF33^2*DATOS!$C$48))))*DATOS!$C$48*P33*BF33/DATOS!$C$40&gt;DATOS!$C$82*P33*BF33,-1,(1-SQRT((1-2*BB33*1E5/(DATOS!$C$58*P33*BF33^2*DATOS!$C$48))))*DATOS!$C$48*P33*BF33/DATOS!$C$40))),MIN(DATOS!$C$83*DATOS!$C$13*BF33,4/3*IF(BB33&lt;=0,0,IF((1-2*BB33*1E5/(DATOS!$C$58*P33*BF33^2*DATOS!$C$48))&lt;0,-1,IF((1-SQRT((1-2*BB33*1E5/(DATOS!$C$58*P33*BF33^2*DATOS!$C$48))))*DATOS!$C$48*P33*BF33/DATOS!$C$40&gt;DATOS!$C$82*P33*BF33,-1,(1-SQRT((1-2*BB33*1E5/(DATOS!$C$58*P33*BF33^2*DATOS!$C$48))))*DATOS!$C$48*P33*BF33/DATOS!$C$40)))))))</f>
        <v>0.678833333333333</v>
      </c>
      <c r="BH33" s="41">
        <f>IF(AND(BG33&gt;=0,IF(MAX(DATOS!$C$29,CEILING(BG33/INDEX(TABLAS!$D$52:$D$58,MIN(MATCH(DATOS!$C$26,TABLAS!$B$52:$B$58,0)+0,7)),1))*INDEX(TABLAS!$D$52:$D$58,MIN(MATCH(DATOS!$C$26,TABLAS!$B$52:$B$58,0)+0,7))&gt;=4/3*IF(BB33&lt;=0,0,IF((1-2*BB33*1E5/(DATOS!$C$58*P33*BF33^2*DATOS!$C$48))&lt;0,-1,IF((1-SQRT((1-2*BB33*1E5/(DATOS!$C$58*P33*BF33^2*DATOS!$C$48))))*DATOS!$C$48*P33*BF33/DATOS!$C$40&gt;DATOS!$C$82*P33*BF33,-1,(1-SQRT((1-2*BB33*1E5/(DATOS!$C$58*P33*BF33^2*DATOS!$C$48))))*DATOS!$C$48*P33*BF33/DATOS!$C$40)))-0.0001,MAX(DATOS!$C$29,CEILING(BG33/INDEX(TABLAS!$D$52:$D$58,MIN(MATCH(DATOS!$C$26,TABLAS!$B$52:$B$58,0)+0,7)),1)),MAX(MAX(DATOS!$C$29,CEILING(BG33/INDEX(TABLAS!$D$52:$D$58,MIN(MATCH(DATOS!$C$26,TABLAS!$B$52:$B$58,0)+0,7)),1)),2))&lt;=MIN(DATOS!$C$28,INT(((DATOS!$C$13-2*R33-2*IF(DATOS!$C$25=0,0,INDEX(TABLAS!$C$52:$C$58,MATCH(DATOS!$C$25,TABLAS!$B$52:$B$58,0))))+MAX(DATOS!$C$32,INDEX(TABLAS!$C$52:$C$58,MIN(MATCH(DATOS!$C$26,TABLAS!$B$52:$B$58,0)+0,7))))/(INDEX(TABLAS!$C$52:$C$58,MIN(MATCH(DATOS!$C$26,TABLAS!$B$52:$B$58,0)+0,7))+MAX(DATOS!$C$32,INDEX(TABLAS!$C$52:$C$58,MIN(MATCH(DATOS!$C$26,TABLAS!$B$52:$B$58,0)+0,7))))))),INDEX(TABLAS!$B$52:$B$58,MIN(MATCH(DATOS!$C$26,TABLAS!$B$52:$B$58,0)+0,7)),IF(AND(BG33&gt;=0,IF(MAX(DATOS!$C$29,CEILING(BG33/INDEX(TABLAS!$D$52:$D$58,MIN(MATCH(DATOS!$C$26,TABLAS!$B$52:$B$58,0)+1,7)),1))*INDEX(TABLAS!$D$52:$D$58,MIN(MATCH(DATOS!$C$26,TABLAS!$B$52:$B$58,0)+1,7))&gt;=4/3*IF(BB33&lt;=0,0,IF((1-2*BB33*1E5/(DATOS!$C$58*P33*BF33^2*DATOS!$C$48))&lt;0,-1,IF((1-SQRT((1-2*BB33*1E5/(DATOS!$C$58*P33*BF33^2*DATOS!$C$48))))*DATOS!$C$48*P33*BF33/DATOS!$C$40&gt;DATOS!$C$82*P33*BF33,-1,(1-SQRT((1-2*BB33*1E5/(DATOS!$C$58*P33*BF33^2*DATOS!$C$48))))*DATOS!$C$48*P33*BF33/DATOS!$C$40)))-0.0001,MAX(DATOS!$C$29,CEILING(BG33/INDEX(TABLAS!$D$52:$D$58,MIN(MATCH(DATOS!$C$26,TABLAS!$B$52:$B$58,0)+1,7)),1)),MAX(MAX(DATOS!$C$29,CEILING(BG33/INDEX(TABLAS!$D$52:$D$58,MIN(MATCH(DATOS!$C$26,TABLAS!$B$52:$B$58,0)+1,7)),1)),2))&lt;=MIN(DATOS!$C$28,INT(((DATOS!$C$13-2*R33-2*IF(DATOS!$C$25=0,0,INDEX(TABLAS!$C$52:$C$58,MATCH(DATOS!$C$25,TABLAS!$B$52:$B$58,0))))+MAX(DATOS!$C$32,INDEX(TABLAS!$C$52:$C$58,MIN(MATCH(DATOS!$C$26,TABLAS!$B$52:$B$58,0)+1,7))))/(INDEX(TABLAS!$C$52:$C$58,MIN(MATCH(DATOS!$C$26,TABLAS!$B$52:$B$58,0)+1,7))+MAX(DATOS!$C$32,INDEX(TABLAS!$C$52:$C$58,MIN(MATCH(DATOS!$C$26,TABLAS!$B$52:$B$58,0)+1,7))))))),INDEX(TABLAS!$B$52:$B$58,MIN(MATCH(DATOS!$C$26,TABLAS!$B$52:$B$58,0)+1,7)),IF(AND(BG33&gt;=0,IF(MAX(DATOS!$C$29,CEILING(BG33/INDEX(TABLAS!$D$52:$D$58,MIN(MATCH(DATOS!$C$26,TABLAS!$B$52:$B$58,0)+2,7)),1))*INDEX(TABLAS!$D$52:$D$58,MIN(MATCH(DATOS!$C$26,TABLAS!$B$52:$B$58,0)+2,7))&gt;=4/3*IF(BB33&lt;=0,0,IF((1-2*BB33*1E5/(DATOS!$C$58*P33*BF33^2*DATOS!$C$48))&lt;0,-1,IF((1-SQRT((1-2*BB33*1E5/(DATOS!$C$58*P33*BF33^2*DATOS!$C$48))))*DATOS!$C$48*P33*BF33/DATOS!$C$40&gt;DATOS!$C$82*P33*BF33,-1,(1-SQRT((1-2*BB33*1E5/(DATOS!$C$58*P33*BF33^2*DATOS!$C$48))))*DATOS!$C$48*P33*BF33/DATOS!$C$40)))-0.0001,MAX(DATOS!$C$29,CEILING(BG33/INDEX(TABLAS!$D$52:$D$58,MIN(MATCH(DATOS!$C$26,TABLAS!$B$52:$B$58,0)+2,7)),1)),MAX(MAX(DATOS!$C$29,CEILING(BG33/INDEX(TABLAS!$D$52:$D$58,MIN(MATCH(DATOS!$C$26,TABLAS!$B$52:$B$58,0)+2,7)),1)),2))&lt;=MIN(DATOS!$C$28,INT(((DATOS!$C$13-2*R33-2*IF(DATOS!$C$25=0,0,INDEX(TABLAS!$C$52:$C$58,MATCH(DATOS!$C$25,TABLAS!$B$52:$B$58,0))))+MAX(DATOS!$C$32,INDEX(TABLAS!$C$52:$C$58,MIN(MATCH(DATOS!$C$26,TABLAS!$B$52:$B$58,0)+2,7))))/(INDEX(TABLAS!$C$52:$C$58,MIN(MATCH(DATOS!$C$26,TABLAS!$B$52:$B$58,0)+2,7))+MAX(DATOS!$C$32,INDEX(TABLAS!$C$52:$C$58,MIN(MATCH(DATOS!$C$26,TABLAS!$B$52:$B$58,0)+2,7))))))),INDEX(TABLAS!$B$52:$B$58,MIN(MATCH(DATOS!$C$26,TABLAS!$B$52:$B$58,0)+2,7)),IF(AND(BG33&gt;=0,IF(MAX(DATOS!$C$29,CEILING(BG33/INDEX(TABLAS!$D$52:$D$58,MIN(MATCH(DATOS!$C$26,TABLAS!$B$52:$B$58,0)+3,7)),1))*INDEX(TABLAS!$D$52:$D$58,MIN(MATCH(DATOS!$C$26,TABLAS!$B$52:$B$58,0)+3,7))&gt;=4/3*IF(BB33&lt;=0,0,IF((1-2*BB33*1E5/(DATOS!$C$58*P33*BF33^2*DATOS!$C$48))&lt;0,-1,IF((1-SQRT((1-2*BB33*1E5/(DATOS!$C$58*P33*BF33^2*DATOS!$C$48))))*DATOS!$C$48*P33*BF33/DATOS!$C$40&gt;DATOS!$C$82*P33*BF33,-1,(1-SQRT((1-2*BB33*1E5/(DATOS!$C$58*P33*BF33^2*DATOS!$C$48))))*DATOS!$C$48*P33*BF33/DATOS!$C$40)))-0.0001,MAX(DATOS!$C$29,CEILING(BG33/INDEX(TABLAS!$D$52:$D$58,MIN(MATCH(DATOS!$C$26,TABLAS!$B$52:$B$58,0)+3,7)),1)),MAX(MAX(DATOS!$C$29,CEILING(BG33/INDEX(TABLAS!$D$52:$D$58,MIN(MATCH(DATOS!$C$26,TABLAS!$B$52:$B$58,0)+3,7)),1)),2))&lt;=MIN(DATOS!$C$28,INT(((DATOS!$C$13-2*R33-2*IF(DATOS!$C$25=0,0,INDEX(TABLAS!$C$52:$C$58,MATCH(DATOS!$C$25,TABLAS!$B$52:$B$58,0))))+MAX(DATOS!$C$32,INDEX(TABLAS!$C$52:$C$58,MIN(MATCH(DATOS!$C$26,TABLAS!$B$52:$B$58,0)+3,7))))/(INDEX(TABLAS!$C$52:$C$58,MIN(MATCH(DATOS!$C$26,TABLAS!$B$52:$B$58,0)+3,7))+MAX(DATOS!$C$32,INDEX(TABLAS!$C$52:$C$58,MIN(MATCH(DATOS!$C$26,TABLAS!$B$52:$B$58,0)+3,7))))))),INDEX(TABLAS!$B$52:$B$58,MIN(MATCH(DATOS!$C$26,TABLAS!$B$52:$B$58,0)+3,7)),IF(AND(BG33&gt;=0,IF(MAX(DATOS!$C$29,CEILING(BG33/INDEX(TABLAS!$D$52:$D$58,MIN(MATCH(DATOS!$C$26,TABLAS!$B$52:$B$58,0)+4,7)),1))*INDEX(TABLAS!$D$52:$D$58,MIN(MATCH(DATOS!$C$26,TABLAS!$B$52:$B$58,0)+4,7))&gt;=4/3*IF(BB33&lt;=0,0,IF((1-2*BB33*1E5/(DATOS!$C$58*P33*BF33^2*DATOS!$C$48))&lt;0,-1,IF((1-SQRT((1-2*BB33*1E5/(DATOS!$C$58*P33*BF33^2*DATOS!$C$48))))*DATOS!$C$48*P33*BF33/DATOS!$C$40&gt;DATOS!$C$82*P33*BF33,-1,(1-SQRT((1-2*BB33*1E5/(DATOS!$C$58*P33*BF33^2*DATOS!$C$48))))*DATOS!$C$48*P33*BF33/DATOS!$C$40)))-0.0001,MAX(DATOS!$C$29,CEILING(BG33/INDEX(TABLAS!$D$52:$D$58,MIN(MATCH(DATOS!$C$26,TABLAS!$B$52:$B$58,0)+4,7)),1)),MAX(MAX(DATOS!$C$29,CEILING(BG33/INDEX(TABLAS!$D$52:$D$58,MIN(MATCH(DATOS!$C$26,TABLAS!$B$52:$B$58,0)+4,7)),1)),2))&lt;=MIN(DATOS!$C$28,INT(((DATOS!$C$13-2*R33-2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33" s="56">
        <f>IF(D33="HUECO",0,IF(BG33&lt;0,0,IF(MAX(DATOS!$C$29,CEILING(MAX(BG33,0)/INDEX(TABLAS!$D$52:$D$58,MATCH(BH33,TABLAS!$B$52:$B$58,0)),1))*INDEX(TABLAS!$D$52:$D$58,MATCH(BH33,TABLAS!$B$52:$B$58,0))&gt;=4/3*IF(BB33&lt;=0,0,IF((1-2*BB33*1E5/(DATOS!$C$58*P33*BF33^2*DATOS!$C$48))&lt;0,-1,IF((1-SQRT((1-2*BB33*1E5/(DATOS!$C$58*P33*BF33^2*DATOS!$C$48))))*DATOS!$C$48*P33*BF33/DATOS!$C$40&gt;DATOS!$C$82*P33*BF33,-1,(1-SQRT((1-2*BB33*1E5/(DATOS!$C$58*P33*BF33^2*DATOS!$C$48))))*DATOS!$C$48*P33*BF33/DATOS!$C$40)))-0.0001,MAX(DATOS!$C$29,CEILING(MAX(BG33,0)/INDEX(TABLAS!$D$52:$D$58,MATCH(BH33,TABLAS!$B$52:$B$58,0)),1)),MAX(MAX(DATOS!$C$29,CEILING(MAX(BG33,0)/INDEX(TABLAS!$D$52:$D$58,MATCH(BH33,TABLAS!$B$52:$B$58,0)),1)),2))))</f>
        <v>1</v>
      </c>
      <c r="BJ33" s="43">
        <f>DATOS!$C$15-R33-IF(DATOS!$C$25=0,0,INDEX(TABLAS!$C$52:$C$58,MATCH(DATOS!$C$25,TABLAS!$B$52:$B$58,0)))-INDEX(TABLAS!$C$52:$C$58,MATCH(BH33,TABLAS!$B$52:$B$58,0))/2</f>
        <v>20.365</v>
      </c>
      <c r="BK33" s="36">
        <f>IF(BI33=0,0,DATOS!$C$58*BI33*INDEX(TABLAS!$D$52:$D$58,MATCH(BH33,TABLAS!$B$52:$B$58,0))*DATOS!$C$40*(BJ33-BI33*INDEX(TABLAS!$D$52:$D$58,MATCH(BH33,TABLAS!$B$52:$B$58,0))*DATOS!$C$40/(DATOS!$C$48*P33)/2)/1E5)</f>
        <v>0.969034996588235</v>
      </c>
      <c r="BL33" s="62">
        <f>IF(BG33&lt;0,9.99,IF(BK33&gt;0,BB33/BK33,0))</f>
        <v>0.417301844778383</v>
      </c>
      <c r="BM33" s="63">
        <f>IF(BI33=0,"—",0.003*(BJ33-(BI33*INDEX(TABLAS!$D$52:$D$58,MATCH(BH33,TABLAS!$B$52:$B$58,0))*DATOS!$C$40/(DATOS!$C$48*P33)/DATOS!$C$49))/(BI33*INDEX(TABLAS!$D$52:$D$58,MATCH(BH33,TABLAS!$B$52:$B$58,0))*DATOS!$C$40/(DATOS!$C$48*P33)/DATOS!$C$49))</f>
        <v>0.14182000492126</v>
      </c>
      <c r="BN33" s="43">
        <f>((DATOS!$C$15-S33-2*DATOS!$C$35-IF(DATOS!$C$25=0,0,INDEX(TABLAS!$C$52:$C$58,MATCH(DATOS!$C$25,TABLAS!$B$52:$B$58,0)))-INDEX(TABLAS!$C$52:$C$58,MATCH(DATOS!$C$27,TABLAS!$B$52:$B$58,0))/2)-IF(AND((DATOS!$C$15-S33-2*DATOS!$C$35-IF(DATOS!$C$25=0,0,INDEX(TABLAS!$C$52:$C$58,MATCH(DATOS!$C$25,TABLAS!$B$52:$B$58,0)))-INDEX(TABLAS!$C$52:$C$58,MATCH(DATOS!$C$27,TABLAS!$B$52:$B$58,0))/2)&lt;=20,DATOS!$C$18&lt;&gt;"SÍ"),2,0))</f>
        <v>19.389</v>
      </c>
      <c r="BO33" s="43">
        <f>IF(D33="HUECO",0,IF(IF(BC33&lt;=0,0,IF((1-2*BC33*1E5/(DATOS!$C$58*DATOS!$C$19*BN33^2*DATOS!$C$48))&lt;0,-1,IF((1-SQRT((1-2*BC33*1E5/(DATOS!$C$58*DATOS!$C$19*BN33^2*DATOS!$C$48))))*DATOS!$C$48*DATOS!$C$19*BN33/DATOS!$C$40&gt;DATOS!$C$82*DATOS!$C$19*BN33,-1,(1-SQRT((1-2*BC33*1E5/(DATOS!$C$58*DATOS!$C$19*BN33^2*DATOS!$C$48))))*DATOS!$C$48*DATOS!$C$19*BN33/DATOS!$C$40)))&lt;0,-1,MAX(IF(BC33&lt;=0,0,IF((1-2*BC33*1E5/(DATOS!$C$58*DATOS!$C$19*BN33^2*DATOS!$C$48))&lt;0,-1,IF((1-SQRT((1-2*BC33*1E5/(DATOS!$C$58*DATOS!$C$19*BN33^2*DATOS!$C$48))))*DATOS!$C$48*DATOS!$C$19*BN33/DATOS!$C$40&gt;DATOS!$C$82*DATOS!$C$19*BN33,-1,(1-SQRT((1-2*BC33*1E5/(DATOS!$C$58*DATOS!$C$19*BN33^2*DATOS!$C$48))))*DATOS!$C$48*DATOS!$C$19*BN33/DATOS!$C$40))),MIN(DATOS!$C$83*IF(D33="VOLADO",2*DATOS!$C$13,DATOS!$C$13)*BN33,4/3*IF(BC33&lt;=0,0,IF((1-2*BC33*1E5/(DATOS!$C$58*DATOS!$C$19*BN33^2*DATOS!$C$48))&lt;0,-1,IF((1-SQRT((1-2*BC33*1E5/(DATOS!$C$58*DATOS!$C$19*BN33^2*DATOS!$C$48))))*DATOS!$C$48*DATOS!$C$19*BN33/DATOS!$C$40&gt;DATOS!$C$82*DATOS!$C$19*BN33,-1,(1-SQRT((1-2*BC33*1E5/(DATOS!$C$58*DATOS!$C$19*BN33^2*DATOS!$C$48))))*DATOS!$C$48*DATOS!$C$19*BN33/DATOS!$C$40)))))))</f>
        <v>1.22300876486515</v>
      </c>
      <c r="BP33" s="41">
        <f>IF(AND(BO33&gt;=0,IF(MAX(DATOS!$C$29,CEILING(BO33/INDEX(TABLAS!$D$52:$D$58,MIN(MATCH(DATOS!$C$27,TABLAS!$B$52:$B$58,0)+0,7)),1))*INDEX(TABLAS!$D$52:$D$58,MIN(MATCH(DATOS!$C$27,TABLAS!$B$52:$B$58,0)+0,7))&gt;=4/3*IF(BC33&lt;=0,0,IF((1-2*BC33*1E5/(DATOS!$C$58*DATOS!$C$19*BN33^2*DATOS!$C$48))&lt;0,-1,IF((1-SQRT((1-2*BC33*1E5/(DATOS!$C$58*DATOS!$C$19*BN33^2*DATOS!$C$48))))*DATOS!$C$48*DATOS!$C$19*BN33/DATOS!$C$40&gt;DATOS!$C$82*DATOS!$C$19*BN33,-1,(1-SQRT((1-2*BC33*1E5/(DATOS!$C$58*DATOS!$C$19*BN33^2*DATOS!$C$48))))*DATOS!$C$48*DATOS!$C$19*BN33/DATOS!$C$40)))-0.0001,MAX(DATOS!$C$29,CEILING(BO33/INDEX(TABLAS!$D$52:$D$58,MIN(MATCH(DATOS!$C$27,TABLAS!$B$52:$B$58,0)+0,7)),1)),MAX(MAX(DATOS!$C$29,CEILING(BO33/INDEX(TABLAS!$D$52:$D$58,MIN(MATCH(DATOS!$C$27,TABLAS!$B$52:$B$58,0)+0,7)),1)),2))&lt;=MIN(DATOS!$C$28,INT(((DATOS!$C$13-2*S33-2*IF(DATOS!$C$25=0,0,INDEX(TABLAS!$C$52:$C$58,MATCH(DATOS!$C$25,TABLAS!$B$52:$B$58,0))))+MAX(DATOS!$C$32,INDEX(TABLAS!$C$52:$C$58,MIN(MATCH(DATOS!$C$27,TABLAS!$B$52:$B$58,0)+0,7))))/(INDEX(TABLAS!$C$52:$C$58,MIN(MATCH(DATOS!$C$27,TABLAS!$B$52:$B$58,0)+0,7))+MAX(DATOS!$C$32,INDEX(TABLAS!$C$52:$C$58,MIN(MATCH(DATOS!$C$27,TABLAS!$B$52:$B$58,0)+0,7))))))),INDEX(TABLAS!$B$52:$B$58,MIN(MATCH(DATOS!$C$27,TABLAS!$B$52:$B$58,0)+0,7)),IF(AND(BO33&gt;=0,IF(MAX(DATOS!$C$29,CEILING(BO33/INDEX(TABLAS!$D$52:$D$58,MIN(MATCH(DATOS!$C$27,TABLAS!$B$52:$B$58,0)+1,7)),1))*INDEX(TABLAS!$D$52:$D$58,MIN(MATCH(DATOS!$C$27,TABLAS!$B$52:$B$58,0)+1,7))&gt;=4/3*IF(BC33&lt;=0,0,IF((1-2*BC33*1E5/(DATOS!$C$58*DATOS!$C$19*BN33^2*DATOS!$C$48))&lt;0,-1,IF((1-SQRT((1-2*BC33*1E5/(DATOS!$C$58*DATOS!$C$19*BN33^2*DATOS!$C$48))))*DATOS!$C$48*DATOS!$C$19*BN33/DATOS!$C$40&gt;DATOS!$C$82*DATOS!$C$19*BN33,-1,(1-SQRT((1-2*BC33*1E5/(DATOS!$C$58*DATOS!$C$19*BN33^2*DATOS!$C$48))))*DATOS!$C$48*DATOS!$C$19*BN33/DATOS!$C$40)))-0.0001,MAX(DATOS!$C$29,CEILING(BO33/INDEX(TABLAS!$D$52:$D$58,MIN(MATCH(DATOS!$C$27,TABLAS!$B$52:$B$58,0)+1,7)),1)),MAX(MAX(DATOS!$C$29,CEILING(BO33/INDEX(TABLAS!$D$52:$D$58,MIN(MATCH(DATOS!$C$27,TABLAS!$B$52:$B$58,0)+1,7)),1)),2))&lt;=MIN(DATOS!$C$28,INT(((DATOS!$C$13-2*S33-2*IF(DATOS!$C$25=0,0,INDEX(TABLAS!$C$52:$C$58,MATCH(DATOS!$C$25,TABLAS!$B$52:$B$58,0))))+MAX(DATOS!$C$32,INDEX(TABLAS!$C$52:$C$58,MIN(MATCH(DATOS!$C$27,TABLAS!$B$52:$B$58,0)+1,7))))/(INDEX(TABLAS!$C$52:$C$58,MIN(MATCH(DATOS!$C$27,TABLAS!$B$52:$B$58,0)+1,7))+MAX(DATOS!$C$32,INDEX(TABLAS!$C$52:$C$58,MIN(MATCH(DATOS!$C$27,TABLAS!$B$52:$B$58,0)+1,7))))))),INDEX(TABLAS!$B$52:$B$58,MIN(MATCH(DATOS!$C$27,TABLAS!$B$52:$B$58,0)+1,7)),IF(AND(BO33&gt;=0,IF(MAX(DATOS!$C$29,CEILING(BO33/INDEX(TABLAS!$D$52:$D$58,MIN(MATCH(DATOS!$C$27,TABLAS!$B$52:$B$58,0)+2,7)),1))*INDEX(TABLAS!$D$52:$D$58,MIN(MATCH(DATOS!$C$27,TABLAS!$B$52:$B$58,0)+2,7))&gt;=4/3*IF(BC33&lt;=0,0,IF((1-2*BC33*1E5/(DATOS!$C$58*DATOS!$C$19*BN33^2*DATOS!$C$48))&lt;0,-1,IF((1-SQRT((1-2*BC33*1E5/(DATOS!$C$58*DATOS!$C$19*BN33^2*DATOS!$C$48))))*DATOS!$C$48*DATOS!$C$19*BN33/DATOS!$C$40&gt;DATOS!$C$82*DATOS!$C$19*BN33,-1,(1-SQRT((1-2*BC33*1E5/(DATOS!$C$58*DATOS!$C$19*BN33^2*DATOS!$C$48))))*DATOS!$C$48*DATOS!$C$19*BN33/DATOS!$C$40)))-0.0001,MAX(DATOS!$C$29,CEILING(BO33/INDEX(TABLAS!$D$52:$D$58,MIN(MATCH(DATOS!$C$27,TABLAS!$B$52:$B$58,0)+2,7)),1)),MAX(MAX(DATOS!$C$29,CEILING(BO33/INDEX(TABLAS!$D$52:$D$58,MIN(MATCH(DATOS!$C$27,TABLAS!$B$52:$B$58,0)+2,7)),1)),2))&lt;=MIN(DATOS!$C$28,INT(((DATOS!$C$13-2*S33-2*IF(DATOS!$C$25=0,0,INDEX(TABLAS!$C$52:$C$58,MATCH(DATOS!$C$25,TABLAS!$B$52:$B$58,0))))+MAX(DATOS!$C$32,INDEX(TABLAS!$C$52:$C$58,MIN(MATCH(DATOS!$C$27,TABLAS!$B$52:$B$58,0)+2,7))))/(INDEX(TABLAS!$C$52:$C$58,MIN(MATCH(DATOS!$C$27,TABLAS!$B$52:$B$58,0)+2,7))+MAX(DATOS!$C$32,INDEX(TABLAS!$C$52:$C$58,MIN(MATCH(DATOS!$C$27,TABLAS!$B$52:$B$58,0)+2,7))))))),INDEX(TABLAS!$B$52:$B$58,MIN(MATCH(DATOS!$C$27,TABLAS!$B$52:$B$58,0)+2,7)),IF(AND(BO33&gt;=0,IF(MAX(DATOS!$C$29,CEILING(BO33/INDEX(TABLAS!$D$52:$D$58,MIN(MATCH(DATOS!$C$27,TABLAS!$B$52:$B$58,0)+3,7)),1))*INDEX(TABLAS!$D$52:$D$58,MIN(MATCH(DATOS!$C$27,TABLAS!$B$52:$B$58,0)+3,7))&gt;=4/3*IF(BC33&lt;=0,0,IF((1-2*BC33*1E5/(DATOS!$C$58*DATOS!$C$19*BN33^2*DATOS!$C$48))&lt;0,-1,IF((1-SQRT((1-2*BC33*1E5/(DATOS!$C$58*DATOS!$C$19*BN33^2*DATOS!$C$48))))*DATOS!$C$48*DATOS!$C$19*BN33/DATOS!$C$40&gt;DATOS!$C$82*DATOS!$C$19*BN33,-1,(1-SQRT((1-2*BC33*1E5/(DATOS!$C$58*DATOS!$C$19*BN33^2*DATOS!$C$48))))*DATOS!$C$48*DATOS!$C$19*BN33/DATOS!$C$40)))-0.0001,MAX(DATOS!$C$29,CEILING(BO33/INDEX(TABLAS!$D$52:$D$58,MIN(MATCH(DATOS!$C$27,TABLAS!$B$52:$B$58,0)+3,7)),1)),MAX(MAX(DATOS!$C$29,CEILING(BO33/INDEX(TABLAS!$D$52:$D$58,MIN(MATCH(DATOS!$C$27,TABLAS!$B$52:$B$58,0)+3,7)),1)),2))&lt;=MIN(DATOS!$C$28,INT(((DATOS!$C$13-2*S33-2*IF(DATOS!$C$25=0,0,INDEX(TABLAS!$C$52:$C$58,MATCH(DATOS!$C$25,TABLAS!$B$52:$B$58,0))))+MAX(DATOS!$C$32,INDEX(TABLAS!$C$52:$C$58,MIN(MATCH(DATOS!$C$27,TABLAS!$B$52:$B$58,0)+3,7))))/(INDEX(TABLAS!$C$52:$C$58,MIN(MATCH(DATOS!$C$27,TABLAS!$B$52:$B$58,0)+3,7))+MAX(DATOS!$C$32,INDEX(TABLAS!$C$52:$C$58,MIN(MATCH(DATOS!$C$27,TABLAS!$B$52:$B$58,0)+3,7))))))),INDEX(TABLAS!$B$52:$B$58,MIN(MATCH(DATOS!$C$27,TABLAS!$B$52:$B$58,0)+3,7)),IF(AND(BO33&gt;=0,IF(MAX(DATOS!$C$29,CEILING(BO33/INDEX(TABLAS!$D$52:$D$58,MIN(MATCH(DATOS!$C$27,TABLAS!$B$52:$B$58,0)+4,7)),1))*INDEX(TABLAS!$D$52:$D$58,MIN(MATCH(DATOS!$C$27,TABLAS!$B$52:$B$58,0)+4,7))&gt;=4/3*IF(BC33&lt;=0,0,IF((1-2*BC33*1E5/(DATOS!$C$58*DATOS!$C$19*BN33^2*DATOS!$C$48))&lt;0,-1,IF((1-SQRT((1-2*BC33*1E5/(DATOS!$C$58*DATOS!$C$19*BN33^2*DATOS!$C$48))))*DATOS!$C$48*DATOS!$C$19*BN33/DATOS!$C$40&gt;DATOS!$C$82*DATOS!$C$19*BN33,-1,(1-SQRT((1-2*BC33*1E5/(DATOS!$C$58*DATOS!$C$19*BN33^2*DATOS!$C$48))))*DATOS!$C$48*DATOS!$C$19*BN33/DATOS!$C$40)))-0.0001,MAX(DATOS!$C$29,CEILING(BO33/INDEX(TABLAS!$D$52:$D$58,MIN(MATCH(DATOS!$C$27,TABLAS!$B$52:$B$58,0)+4,7)),1)),MAX(MAX(DATOS!$C$29,CEILING(BO33/INDEX(TABLAS!$D$52:$D$58,MIN(MATCH(DATOS!$C$27,TABLAS!$B$52:$B$58,0)+4,7)),1)),2))&lt;=MIN(DATOS!$C$28,INT(((DATOS!$C$13-2*S33-2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5</v>
      </c>
      <c r="BQ33" s="56">
        <f>IF(D33="HUECO",0,IF(BO33&lt;0,0,IF(MAX(DATOS!$C$29,CEILING(MAX(BO33,0)/INDEX(TABLAS!$D$52:$D$58,MATCH(BP33,TABLAS!$B$52:$B$58,0)),1))*INDEX(TABLAS!$D$52:$D$58,MATCH(BP33,TABLAS!$B$52:$B$58,0))&gt;=4/3*IF(BC33&lt;=0,0,IF((1-2*BC33*1E5/(DATOS!$C$58*DATOS!$C$19*BN33^2*DATOS!$C$48))&lt;0,-1,IF((1-SQRT((1-2*BC33*1E5/(DATOS!$C$58*DATOS!$C$19*BN33^2*DATOS!$C$48))))*DATOS!$C$48*DATOS!$C$19*BN33/DATOS!$C$40&gt;DATOS!$C$82*DATOS!$C$19*BN33,-1,(1-SQRT((1-2*BC33*1E5/(DATOS!$C$58*DATOS!$C$19*BN33^2*DATOS!$C$48))))*DATOS!$C$48*DATOS!$C$19*BN33/DATOS!$C$40)))-0.0001,MAX(DATOS!$C$29,CEILING(MAX(BO33,0)/INDEX(TABLAS!$D$52:$D$58,MATCH(BP33,TABLAS!$B$52:$B$58,0)),1)),MAX(MAX(DATOS!$C$29,CEILING(MAX(BO33,0)/INDEX(TABLAS!$D$52:$D$58,MATCH(BP33,TABLAS!$B$52:$B$58,0)),1)),2))))</f>
        <v>1</v>
      </c>
      <c r="BR33" s="43">
        <f>((DATOS!$C$15-S33-2*DATOS!$C$35-IF(DATOS!$C$25=0,0,INDEX(TABLAS!$C$52:$C$58,MATCH(DATOS!$C$25,TABLAS!$B$52:$B$58,0)))-INDEX(TABLAS!$C$52:$C$58,MATCH(BP33,TABLAS!$B$52:$B$58,0))/2)-IF(AND((DATOS!$C$15-S33-2*DATOS!$C$35-IF(DATOS!$C$25=0,0,INDEX(TABLAS!$C$52:$C$58,MATCH(DATOS!$C$25,TABLAS!$B$52:$B$58,0)))-INDEX(TABLAS!$C$52:$C$58,MATCH(BP33,TABLAS!$B$52:$B$58,0))/2)&lt;=20,DATOS!$C$18&lt;&gt;"SÍ"),2,0))</f>
        <v>19.229</v>
      </c>
      <c r="BS33" s="36">
        <f>IF(BQ33=0,0,DATOS!$C$58*BQ33*INDEX(TABLAS!$D$52:$D$58,MATCH(BP33,TABLAS!$B$52:$B$58,0))*DATOS!$C$40*(BR33-BQ33*INDEX(TABLAS!$D$52:$D$58,MATCH(BP33,TABLAS!$B$52:$B$58,0))*DATOS!$C$40/(DATOS!$C$48*DATOS!$C$19)/2)/1E5)</f>
        <v>1.29272758094118</v>
      </c>
      <c r="BT33" s="62">
        <f>IF(BO33&lt;0,9.99,IF(BS33&gt;0,BC33/BS33,0))</f>
        <v>0.650155589796791</v>
      </c>
      <c r="BU33" s="63">
        <f>IF(BQ33=0,"—",0.003*(BR33-(BQ33*INDEX(TABLAS!$D$52:$D$58,MATCH(BP33,TABLAS!$B$52:$B$58,0))*DATOS!$C$40/(DATOS!$C$48*DATOS!$C$19)/DATOS!$C$49))/(BQ33*INDEX(TABLAS!$D$52:$D$58,MATCH(BP33,TABLAS!$B$52:$B$58,0))*DATOS!$C$40/(DATOS!$C$48*DATOS!$C$19)/DATOS!$C$49))</f>
        <v>0.00952971906565657</v>
      </c>
      <c r="BV33" s="43">
        <f>(DATOS!$C$15-R33-IF(DATOS!$C$25=0,0,INDEX(TABLAS!$C$52:$C$58,MATCH(DATOS!$C$25,TABLAS!$B$52:$B$58,0)))-INDEX(TABLAS!$C$52:$C$58,MATCH(DATOS!$C$26,TABLAS!$B$52:$B$58,0))-INDEX(TABLAS!$C$52:$C$58,MATCH(DATOS!$C$26,TABLAS!$B$52:$B$58,0))/2)</f>
        <v>19.095</v>
      </c>
      <c r="BW33" s="43">
        <f>IF(D33="HUECO",0,IF(IF(BD33&lt;=0,0,IF((1-2*BD33*1E5/(DATOS!$C$58*Q33*BV33^2*DATOS!$C$48))&lt;0,-1,IF((1-SQRT((1-2*BD33*1E5/(DATOS!$C$58*Q33*BV33^2*DATOS!$C$48))))*DATOS!$C$48*Q33*BV33/DATOS!$C$40&gt;DATOS!$C$82*Q33*BV33,-1,(1-SQRT((1-2*BD33*1E5/(DATOS!$C$58*Q33*BV33^2*DATOS!$C$48))))*DATOS!$C$48*Q33*BV33/DATOS!$C$40)))&lt;0,-1,MAX(IF(BD33&lt;=0,0,IF((1-2*BD33*1E5/(DATOS!$C$58*Q33*BV33^2*DATOS!$C$48))&lt;0,-1,IF((1-SQRT((1-2*BD33*1E5/(DATOS!$C$58*Q33*BV33^2*DATOS!$C$48))))*DATOS!$C$48*Q33*BV33/DATOS!$C$40&gt;DATOS!$C$82*Q33*BV33,-1,(1-SQRT((1-2*BD33*1E5/(DATOS!$C$58*Q33*BV33^2*DATOS!$C$48))))*DATOS!$C$48*Q33*BV33/DATOS!$C$40))),MIN(DATOS!$C$83*DATOS!$C$13*BV33,4/3*IF(BD33&lt;=0,0,IF((1-2*BD33*1E5/(DATOS!$C$58*Q33*BV33^2*DATOS!$C$48))&lt;0,-1,IF((1-SQRT((1-2*BD33*1E5/(DATOS!$C$58*Q33*BV33^2*DATOS!$C$48))))*DATOS!$C$48*Q33*BV33/DATOS!$C$40&gt;DATOS!$C$82*Q33*BV33,-1,(1-SQRT((1-2*BD33*1E5/(DATOS!$C$58*Q33*BV33^2*DATOS!$C$48))))*DATOS!$C$48*Q33*BV33/DATOS!$C$40)))))))</f>
        <v>0.451369464945519</v>
      </c>
      <c r="BX33" s="41">
        <f>IF(AND(BW33&gt;=0,IF(MAX(DATOS!$C$29,CEILING(BW33/INDEX(TABLAS!$D$52:$D$58,MIN(MATCH(DATOS!$C$26,TABLAS!$B$52:$B$58,0)+0,7)),1))*INDEX(TABLAS!$D$52:$D$58,MIN(MATCH(DATOS!$C$26,TABLAS!$B$52:$B$58,0)+0,7))&gt;=4/3*IF(BD33&lt;=0,0,IF((1-2*BD33*1E5/(DATOS!$C$58*Q33*BV33^2*DATOS!$C$48))&lt;0,-1,IF((1-SQRT((1-2*BD33*1E5/(DATOS!$C$58*Q33*BV33^2*DATOS!$C$48))))*DATOS!$C$48*Q33*BV33/DATOS!$C$40&gt;DATOS!$C$82*Q33*BV33,-1,(1-SQRT((1-2*BD33*1E5/(DATOS!$C$58*Q33*BV33^2*DATOS!$C$48))))*DATOS!$C$48*Q33*BV33/DATOS!$C$40)))-0.0001,MAX(DATOS!$C$29,CEILING(BW33/INDEX(TABLAS!$D$52:$D$58,MIN(MATCH(DATOS!$C$26,TABLAS!$B$52:$B$58,0)+0,7)),1)),MAX(MAX(DATOS!$C$29,CEILING(BW33/INDEX(TABLAS!$D$52:$D$58,MIN(MATCH(DATOS!$C$26,TABLAS!$B$52:$B$58,0)+0,7)),1)),2))&lt;=MIN(DATOS!$C$28,INT(((DATOS!$C$13-2*R33-2*IF(DATOS!$C$25=0,0,INDEX(TABLAS!$C$52:$C$58,MATCH(DATOS!$C$25,TABLAS!$B$52:$B$58,0))))+MAX(DATOS!$C$32,INDEX(TABLAS!$C$52:$C$58,MIN(MATCH(DATOS!$C$26,TABLAS!$B$52:$B$58,0)+0,7))))/(INDEX(TABLAS!$C$52:$C$58,MIN(MATCH(DATOS!$C$26,TABLAS!$B$52:$B$58,0)+0,7))+MAX(DATOS!$C$32,INDEX(TABLAS!$C$52:$C$58,MIN(MATCH(DATOS!$C$26,TABLAS!$B$52:$B$58,0)+0,7))))))),INDEX(TABLAS!$B$52:$B$58,MIN(MATCH(DATOS!$C$26,TABLAS!$B$52:$B$58,0)+0,7)),IF(AND(BW33&gt;=0,IF(MAX(DATOS!$C$29,CEILING(BW33/INDEX(TABLAS!$D$52:$D$58,MIN(MATCH(DATOS!$C$26,TABLAS!$B$52:$B$58,0)+1,7)),1))*INDEX(TABLAS!$D$52:$D$58,MIN(MATCH(DATOS!$C$26,TABLAS!$B$52:$B$58,0)+1,7))&gt;=4/3*IF(BD33&lt;=0,0,IF((1-2*BD33*1E5/(DATOS!$C$58*Q33*BV33^2*DATOS!$C$48))&lt;0,-1,IF((1-SQRT((1-2*BD33*1E5/(DATOS!$C$58*Q33*BV33^2*DATOS!$C$48))))*DATOS!$C$48*Q33*BV33/DATOS!$C$40&gt;DATOS!$C$82*Q33*BV33,-1,(1-SQRT((1-2*BD33*1E5/(DATOS!$C$58*Q33*BV33^2*DATOS!$C$48))))*DATOS!$C$48*Q33*BV33/DATOS!$C$40)))-0.0001,MAX(DATOS!$C$29,CEILING(BW33/INDEX(TABLAS!$D$52:$D$58,MIN(MATCH(DATOS!$C$26,TABLAS!$B$52:$B$58,0)+1,7)),1)),MAX(MAX(DATOS!$C$29,CEILING(BW33/INDEX(TABLAS!$D$52:$D$58,MIN(MATCH(DATOS!$C$26,TABLAS!$B$52:$B$58,0)+1,7)),1)),2))&lt;=MIN(DATOS!$C$28,INT(((DATOS!$C$13-2*R33-2*IF(DATOS!$C$25=0,0,INDEX(TABLAS!$C$52:$C$58,MATCH(DATOS!$C$25,TABLAS!$B$52:$B$58,0))))+MAX(DATOS!$C$32,INDEX(TABLAS!$C$52:$C$58,MIN(MATCH(DATOS!$C$26,TABLAS!$B$52:$B$58,0)+1,7))))/(INDEX(TABLAS!$C$52:$C$58,MIN(MATCH(DATOS!$C$26,TABLAS!$B$52:$B$58,0)+1,7))+MAX(DATOS!$C$32,INDEX(TABLAS!$C$52:$C$58,MIN(MATCH(DATOS!$C$26,TABLAS!$B$52:$B$58,0)+1,7))))))),INDEX(TABLAS!$B$52:$B$58,MIN(MATCH(DATOS!$C$26,TABLAS!$B$52:$B$58,0)+1,7)),IF(AND(BW33&gt;=0,IF(MAX(DATOS!$C$29,CEILING(BW33/INDEX(TABLAS!$D$52:$D$58,MIN(MATCH(DATOS!$C$26,TABLAS!$B$52:$B$58,0)+2,7)),1))*INDEX(TABLAS!$D$52:$D$58,MIN(MATCH(DATOS!$C$26,TABLAS!$B$52:$B$58,0)+2,7))&gt;=4/3*IF(BD33&lt;=0,0,IF((1-2*BD33*1E5/(DATOS!$C$58*Q33*BV33^2*DATOS!$C$48))&lt;0,-1,IF((1-SQRT((1-2*BD33*1E5/(DATOS!$C$58*Q33*BV33^2*DATOS!$C$48))))*DATOS!$C$48*Q33*BV33/DATOS!$C$40&gt;DATOS!$C$82*Q33*BV33,-1,(1-SQRT((1-2*BD33*1E5/(DATOS!$C$58*Q33*BV33^2*DATOS!$C$48))))*DATOS!$C$48*Q33*BV33/DATOS!$C$40)))-0.0001,MAX(DATOS!$C$29,CEILING(BW33/INDEX(TABLAS!$D$52:$D$58,MIN(MATCH(DATOS!$C$26,TABLAS!$B$52:$B$58,0)+2,7)),1)),MAX(MAX(DATOS!$C$29,CEILING(BW33/INDEX(TABLAS!$D$52:$D$58,MIN(MATCH(DATOS!$C$26,TABLAS!$B$52:$B$58,0)+2,7)),1)),2))&lt;=MIN(DATOS!$C$28,INT(((DATOS!$C$13-2*R33-2*IF(DATOS!$C$25=0,0,INDEX(TABLAS!$C$52:$C$58,MATCH(DATOS!$C$25,TABLAS!$B$52:$B$58,0))))+MAX(DATOS!$C$32,INDEX(TABLAS!$C$52:$C$58,MIN(MATCH(DATOS!$C$26,TABLAS!$B$52:$B$58,0)+2,7))))/(INDEX(TABLAS!$C$52:$C$58,MIN(MATCH(DATOS!$C$26,TABLAS!$B$52:$B$58,0)+2,7))+MAX(DATOS!$C$32,INDEX(TABLAS!$C$52:$C$58,MIN(MATCH(DATOS!$C$26,TABLAS!$B$52:$B$58,0)+2,7))))))),INDEX(TABLAS!$B$52:$B$58,MIN(MATCH(DATOS!$C$26,TABLAS!$B$52:$B$58,0)+2,7)),IF(AND(BW33&gt;=0,IF(MAX(DATOS!$C$29,CEILING(BW33/INDEX(TABLAS!$D$52:$D$58,MIN(MATCH(DATOS!$C$26,TABLAS!$B$52:$B$58,0)+3,7)),1))*INDEX(TABLAS!$D$52:$D$58,MIN(MATCH(DATOS!$C$26,TABLAS!$B$52:$B$58,0)+3,7))&gt;=4/3*IF(BD33&lt;=0,0,IF((1-2*BD33*1E5/(DATOS!$C$58*Q33*BV33^2*DATOS!$C$48))&lt;0,-1,IF((1-SQRT((1-2*BD33*1E5/(DATOS!$C$58*Q33*BV33^2*DATOS!$C$48))))*DATOS!$C$48*Q33*BV33/DATOS!$C$40&gt;DATOS!$C$82*Q33*BV33,-1,(1-SQRT((1-2*BD33*1E5/(DATOS!$C$58*Q33*BV33^2*DATOS!$C$48))))*DATOS!$C$48*Q33*BV33/DATOS!$C$40)))-0.0001,MAX(DATOS!$C$29,CEILING(BW33/INDEX(TABLAS!$D$52:$D$58,MIN(MATCH(DATOS!$C$26,TABLAS!$B$52:$B$58,0)+3,7)),1)),MAX(MAX(DATOS!$C$29,CEILING(BW33/INDEX(TABLAS!$D$52:$D$58,MIN(MATCH(DATOS!$C$26,TABLAS!$B$52:$B$58,0)+3,7)),1)),2))&lt;=MIN(DATOS!$C$28,INT(((DATOS!$C$13-2*R33-2*IF(DATOS!$C$25=0,0,INDEX(TABLAS!$C$52:$C$58,MATCH(DATOS!$C$25,TABLAS!$B$52:$B$58,0))))+MAX(DATOS!$C$32,INDEX(TABLAS!$C$52:$C$58,MIN(MATCH(DATOS!$C$26,TABLAS!$B$52:$B$58,0)+3,7))))/(INDEX(TABLAS!$C$52:$C$58,MIN(MATCH(DATOS!$C$26,TABLAS!$B$52:$B$58,0)+3,7))+MAX(DATOS!$C$32,INDEX(TABLAS!$C$52:$C$58,MIN(MATCH(DATOS!$C$26,TABLAS!$B$52:$B$58,0)+3,7))))))),INDEX(TABLAS!$B$52:$B$58,MIN(MATCH(DATOS!$C$26,TABLAS!$B$52:$B$58,0)+3,7)),IF(AND(BW33&gt;=0,IF(MAX(DATOS!$C$29,CEILING(BW33/INDEX(TABLAS!$D$52:$D$58,MIN(MATCH(DATOS!$C$26,TABLAS!$B$52:$B$58,0)+4,7)),1))*INDEX(TABLAS!$D$52:$D$58,MIN(MATCH(DATOS!$C$26,TABLAS!$B$52:$B$58,0)+4,7))&gt;=4/3*IF(BD33&lt;=0,0,IF((1-2*BD33*1E5/(DATOS!$C$58*Q33*BV33^2*DATOS!$C$48))&lt;0,-1,IF((1-SQRT((1-2*BD33*1E5/(DATOS!$C$58*Q33*BV33^2*DATOS!$C$48))))*DATOS!$C$48*Q33*BV33/DATOS!$C$40&gt;DATOS!$C$82*Q33*BV33,-1,(1-SQRT((1-2*BD33*1E5/(DATOS!$C$58*Q33*BV33^2*DATOS!$C$48))))*DATOS!$C$48*Q33*BV33/DATOS!$C$40)))-0.0001,MAX(DATOS!$C$29,CEILING(BW33/INDEX(TABLAS!$D$52:$D$58,MIN(MATCH(DATOS!$C$26,TABLAS!$B$52:$B$58,0)+4,7)),1)),MAX(MAX(DATOS!$C$29,CEILING(BW33/INDEX(TABLAS!$D$52:$D$58,MIN(MATCH(DATOS!$C$26,TABLAS!$B$52:$B$58,0)+4,7)),1)),2))&lt;=MIN(DATOS!$C$28,INT(((DATOS!$C$13-2*R33-2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33" s="56">
        <f>IF(D33="HUECO",0,IF(BW33&lt;0,0,IF(MAX(DATOS!$C$29,CEILING(MAX(BW33,0)/INDEX(TABLAS!$D$52:$D$58,MATCH(BX33,TABLAS!$B$52:$B$58,0)),1))*INDEX(TABLAS!$D$52:$D$58,MATCH(BX33,TABLAS!$B$52:$B$58,0))&gt;=4/3*IF(BD33&lt;=0,0,IF((1-2*BD33*1E5/(DATOS!$C$58*Q33*BV33^2*DATOS!$C$48))&lt;0,-1,IF((1-SQRT((1-2*BD33*1E5/(DATOS!$C$58*Q33*BV33^2*DATOS!$C$48))))*DATOS!$C$48*Q33*BV33/DATOS!$C$40&gt;DATOS!$C$82*Q33*BV33,-1,(1-SQRT((1-2*BD33*1E5/(DATOS!$C$58*Q33*BV33^2*DATOS!$C$48))))*DATOS!$C$48*Q33*BV33/DATOS!$C$40)))-0.0001,MAX(DATOS!$C$29,CEILING(MAX(BW33,0)/INDEX(TABLAS!$D$52:$D$58,MATCH(BX33,TABLAS!$B$52:$B$58,0)),1)),MAX(MAX(DATOS!$C$29,CEILING(MAX(BW33,0)/INDEX(TABLAS!$D$52:$D$58,MATCH(BX33,TABLAS!$B$52:$B$58,0)),1)),2))))</f>
        <v>1</v>
      </c>
      <c r="BZ33" s="43">
        <f>DATOS!$C$15-R33-IF(DATOS!$C$25=0,0,INDEX(TABLAS!$C$52:$C$58,MATCH(DATOS!$C$25,TABLAS!$B$52:$B$58,0)))-INDEX(TABLAS!$C$52:$C$58,MATCH(BH33,TABLAS!$B$52:$B$58,0))-INDEX(TABLAS!$C$52:$C$58,MATCH(BX33,TABLAS!$B$52:$B$58,0))/2</f>
        <v>19.095</v>
      </c>
      <c r="CA33" s="36">
        <f>IF(BY33=0,0,DATOS!$C$58*BY33*INDEX(TABLAS!$D$52:$D$58,MATCH(BX33,TABLAS!$B$52:$B$58,0))*DATOS!$C$40*(BZ33-BY33*INDEX(TABLAS!$D$52:$D$58,MATCH(BX33,TABLAS!$B$52:$B$58,0))*DATOS!$C$40/(DATOS!$C$48*Q33)/2)/1E5)</f>
        <v>0.908067376588235</v>
      </c>
      <c r="CB33" s="62">
        <f>IF(BW33&lt;0,9.99,IF(CA33&gt;0,BD33/CA33,0))</f>
        <v>0.268409874283975</v>
      </c>
      <c r="CC33" s="63">
        <f>IF(BY33=0,"—",0.003*(BZ33-(BY33*INDEX(TABLAS!$D$52:$D$58,MATCH(BX33,TABLAS!$B$52:$B$58,0))*DATOS!$C$40/(DATOS!$C$48*Q33)/DATOS!$C$49))/(BY33*INDEX(TABLAS!$D$52:$D$58,MATCH(BX33,TABLAS!$B$52:$B$58,0))*DATOS!$C$40/(DATOS!$C$48*Q33)/DATOS!$C$49))</f>
        <v>0.13278875492126</v>
      </c>
      <c r="CD33" s="43">
        <f>((DATOS!$C$15-S33-2*DATOS!$C$35-IF(DATOS!$C$25=0,0,INDEX(TABLAS!$C$52:$C$58,MATCH(DATOS!$C$25,TABLAS!$B$52:$B$58,0)))-INDEX(TABLAS!$C$52:$C$58,MATCH(DATOS!$C$27,TABLAS!$B$52:$B$58,0))-INDEX(TABLAS!$C$52:$C$58,MATCH(DATOS!$C$27,TABLAS!$B$52:$B$58,0))/2)-IF(AND((DATOS!$C$15-S33-2*DATOS!$C$35-IF(DATOS!$C$25=0,0,INDEX(TABLAS!$C$52:$C$58,MATCH(DATOS!$C$25,TABLAS!$B$52:$B$58,0)))-INDEX(TABLAS!$C$52:$C$58,MATCH(DATOS!$C$27,TABLAS!$B$52:$B$58,0))-INDEX(TABLAS!$C$52:$C$58,MATCH(DATOS!$C$27,TABLAS!$B$52:$B$58,0))/2)&lt;=20,DATOS!$C$18&lt;&gt;"SÍ"),2,0))</f>
        <v>18.119</v>
      </c>
      <c r="CE33" s="43">
        <f>IF(D33="HUECO",0,IF(IF(BE33&lt;=0,0,IF((1-2*BE33*1E5/(DATOS!$C$58*DATOS!$C$19*CD33^2*DATOS!$C$48))&lt;0,-1,IF((1-SQRT((1-2*BE33*1E5/(DATOS!$C$58*DATOS!$C$19*CD33^2*DATOS!$C$48))))*DATOS!$C$48*DATOS!$C$19*CD33/DATOS!$C$40&gt;DATOS!$C$82*DATOS!$C$19*CD33,-1,(1-SQRT((1-2*BE33*1E5/(DATOS!$C$58*DATOS!$C$19*CD33^2*DATOS!$C$48))))*DATOS!$C$48*DATOS!$C$19*CD33/DATOS!$C$40)))&lt;0,-1,MAX(IF(BE33&lt;=0,0,IF((1-2*BE33*1E5/(DATOS!$C$58*DATOS!$C$19*CD33^2*DATOS!$C$48))&lt;0,-1,IF((1-SQRT((1-2*BE33*1E5/(DATOS!$C$58*DATOS!$C$19*CD33^2*DATOS!$C$48))))*DATOS!$C$48*DATOS!$C$19*CD33/DATOS!$C$40&gt;DATOS!$C$82*DATOS!$C$19*CD33,-1,(1-SQRT((1-2*BE33*1E5/(DATOS!$C$58*DATOS!$C$19*CD33^2*DATOS!$C$48))))*DATOS!$C$48*DATOS!$C$19*CD33/DATOS!$C$40))),MIN(DATOS!$C$83*DATOS!$C$13*CD33,4/3*IF(BE33&lt;=0,0,IF((1-2*BE33*1E5/(DATOS!$C$58*DATOS!$C$19*CD33^2*DATOS!$C$48))&lt;0,-1,IF((1-SQRT((1-2*BE33*1E5/(DATOS!$C$58*DATOS!$C$19*CD33^2*DATOS!$C$48))))*DATOS!$C$48*DATOS!$C$19*CD33/DATOS!$C$40&gt;DATOS!$C$82*DATOS!$C$19*CD33,-1,(1-SQRT((1-2*BE33*1E5/(DATOS!$C$58*DATOS!$C$19*CD33^2*DATOS!$C$48))))*DATOS!$C$48*DATOS!$C$19*CD33/DATOS!$C$40)))))))</f>
        <v>0.632371883694068</v>
      </c>
      <c r="CF33" s="41">
        <f>IF(AND(CE33&gt;=0,IF(MAX(DATOS!$C$29,CEILING(CE33/INDEX(TABLAS!$D$52:$D$58,MIN(MATCH(DATOS!$C$27,TABLAS!$B$52:$B$58,0)+0,7)),1))*INDEX(TABLAS!$D$52:$D$58,MIN(MATCH(DATOS!$C$27,TABLAS!$B$52:$B$58,0)+0,7))&gt;=4/3*IF(BE33&lt;=0,0,IF((1-2*BE33*1E5/(DATOS!$C$58*DATOS!$C$19*CD33^2*DATOS!$C$48))&lt;0,-1,IF((1-SQRT((1-2*BE33*1E5/(DATOS!$C$58*DATOS!$C$19*CD33^2*DATOS!$C$48))))*DATOS!$C$48*DATOS!$C$19*CD33/DATOS!$C$40&gt;DATOS!$C$82*DATOS!$C$19*CD33,-1,(1-SQRT((1-2*BE33*1E5/(DATOS!$C$58*DATOS!$C$19*CD33^2*DATOS!$C$48))))*DATOS!$C$48*DATOS!$C$19*CD33/DATOS!$C$40)))-0.0001,MAX(DATOS!$C$29,CEILING(CE33/INDEX(TABLAS!$D$52:$D$58,MIN(MATCH(DATOS!$C$27,TABLAS!$B$52:$B$58,0)+0,7)),1)),MAX(MAX(DATOS!$C$29,CEILING(CE33/INDEX(TABLAS!$D$52:$D$58,MIN(MATCH(DATOS!$C$27,TABLAS!$B$52:$B$58,0)+0,7)),1)),2))&lt;=MIN(DATOS!$C$28,INT(((DATOS!$C$13-2*S33-2*IF(DATOS!$C$25=0,0,INDEX(TABLAS!$C$52:$C$58,MATCH(DATOS!$C$25,TABLAS!$B$52:$B$58,0))))+MAX(DATOS!$C$32,INDEX(TABLAS!$C$52:$C$58,MIN(MATCH(DATOS!$C$27,TABLAS!$B$52:$B$58,0)+0,7))))/(INDEX(TABLAS!$C$52:$C$58,MIN(MATCH(DATOS!$C$27,TABLAS!$B$52:$B$58,0)+0,7))+MAX(DATOS!$C$32,INDEX(TABLAS!$C$52:$C$58,MIN(MATCH(DATOS!$C$27,TABLAS!$B$52:$B$58,0)+0,7))))))),INDEX(TABLAS!$B$52:$B$58,MIN(MATCH(DATOS!$C$27,TABLAS!$B$52:$B$58,0)+0,7)),IF(AND(CE33&gt;=0,IF(MAX(DATOS!$C$29,CEILING(CE33/INDEX(TABLAS!$D$52:$D$58,MIN(MATCH(DATOS!$C$27,TABLAS!$B$52:$B$58,0)+1,7)),1))*INDEX(TABLAS!$D$52:$D$58,MIN(MATCH(DATOS!$C$27,TABLAS!$B$52:$B$58,0)+1,7))&gt;=4/3*IF(BE33&lt;=0,0,IF((1-2*BE33*1E5/(DATOS!$C$58*DATOS!$C$19*CD33^2*DATOS!$C$48))&lt;0,-1,IF((1-SQRT((1-2*BE33*1E5/(DATOS!$C$58*DATOS!$C$19*CD33^2*DATOS!$C$48))))*DATOS!$C$48*DATOS!$C$19*CD33/DATOS!$C$40&gt;DATOS!$C$82*DATOS!$C$19*CD33,-1,(1-SQRT((1-2*BE33*1E5/(DATOS!$C$58*DATOS!$C$19*CD33^2*DATOS!$C$48))))*DATOS!$C$48*DATOS!$C$19*CD33/DATOS!$C$40)))-0.0001,MAX(DATOS!$C$29,CEILING(CE33/INDEX(TABLAS!$D$52:$D$58,MIN(MATCH(DATOS!$C$27,TABLAS!$B$52:$B$58,0)+1,7)),1)),MAX(MAX(DATOS!$C$29,CEILING(CE33/INDEX(TABLAS!$D$52:$D$58,MIN(MATCH(DATOS!$C$27,TABLAS!$B$52:$B$58,0)+1,7)),1)),2))&lt;=MIN(DATOS!$C$28,INT(((DATOS!$C$13-2*S33-2*IF(DATOS!$C$25=0,0,INDEX(TABLAS!$C$52:$C$58,MATCH(DATOS!$C$25,TABLAS!$B$52:$B$58,0))))+MAX(DATOS!$C$32,INDEX(TABLAS!$C$52:$C$58,MIN(MATCH(DATOS!$C$27,TABLAS!$B$52:$B$58,0)+1,7))))/(INDEX(TABLAS!$C$52:$C$58,MIN(MATCH(DATOS!$C$27,TABLAS!$B$52:$B$58,0)+1,7))+MAX(DATOS!$C$32,INDEX(TABLAS!$C$52:$C$58,MIN(MATCH(DATOS!$C$27,TABLAS!$B$52:$B$58,0)+1,7))))))),INDEX(TABLAS!$B$52:$B$58,MIN(MATCH(DATOS!$C$27,TABLAS!$B$52:$B$58,0)+1,7)),IF(AND(CE33&gt;=0,IF(MAX(DATOS!$C$29,CEILING(CE33/INDEX(TABLAS!$D$52:$D$58,MIN(MATCH(DATOS!$C$27,TABLAS!$B$52:$B$58,0)+2,7)),1))*INDEX(TABLAS!$D$52:$D$58,MIN(MATCH(DATOS!$C$27,TABLAS!$B$52:$B$58,0)+2,7))&gt;=4/3*IF(BE33&lt;=0,0,IF((1-2*BE33*1E5/(DATOS!$C$58*DATOS!$C$19*CD33^2*DATOS!$C$48))&lt;0,-1,IF((1-SQRT((1-2*BE33*1E5/(DATOS!$C$58*DATOS!$C$19*CD33^2*DATOS!$C$48))))*DATOS!$C$48*DATOS!$C$19*CD33/DATOS!$C$40&gt;DATOS!$C$82*DATOS!$C$19*CD33,-1,(1-SQRT((1-2*BE33*1E5/(DATOS!$C$58*DATOS!$C$19*CD33^2*DATOS!$C$48))))*DATOS!$C$48*DATOS!$C$19*CD33/DATOS!$C$40)))-0.0001,MAX(DATOS!$C$29,CEILING(CE33/INDEX(TABLAS!$D$52:$D$58,MIN(MATCH(DATOS!$C$27,TABLAS!$B$52:$B$58,0)+2,7)),1)),MAX(MAX(DATOS!$C$29,CEILING(CE33/INDEX(TABLAS!$D$52:$D$58,MIN(MATCH(DATOS!$C$27,TABLAS!$B$52:$B$58,0)+2,7)),1)),2))&lt;=MIN(DATOS!$C$28,INT(((DATOS!$C$13-2*S33-2*IF(DATOS!$C$25=0,0,INDEX(TABLAS!$C$52:$C$58,MATCH(DATOS!$C$25,TABLAS!$B$52:$B$58,0))))+MAX(DATOS!$C$32,INDEX(TABLAS!$C$52:$C$58,MIN(MATCH(DATOS!$C$27,TABLAS!$B$52:$B$58,0)+2,7))))/(INDEX(TABLAS!$C$52:$C$58,MIN(MATCH(DATOS!$C$27,TABLAS!$B$52:$B$58,0)+2,7))+MAX(DATOS!$C$32,INDEX(TABLAS!$C$52:$C$58,MIN(MATCH(DATOS!$C$27,TABLAS!$B$52:$B$58,0)+2,7))))))),INDEX(TABLAS!$B$52:$B$58,MIN(MATCH(DATOS!$C$27,TABLAS!$B$52:$B$58,0)+2,7)),IF(AND(CE33&gt;=0,IF(MAX(DATOS!$C$29,CEILING(CE33/INDEX(TABLAS!$D$52:$D$58,MIN(MATCH(DATOS!$C$27,TABLAS!$B$52:$B$58,0)+3,7)),1))*INDEX(TABLAS!$D$52:$D$58,MIN(MATCH(DATOS!$C$27,TABLAS!$B$52:$B$58,0)+3,7))&gt;=4/3*IF(BE33&lt;=0,0,IF((1-2*BE33*1E5/(DATOS!$C$58*DATOS!$C$19*CD33^2*DATOS!$C$48))&lt;0,-1,IF((1-SQRT((1-2*BE33*1E5/(DATOS!$C$58*DATOS!$C$19*CD33^2*DATOS!$C$48))))*DATOS!$C$48*DATOS!$C$19*CD33/DATOS!$C$40&gt;DATOS!$C$82*DATOS!$C$19*CD33,-1,(1-SQRT((1-2*BE33*1E5/(DATOS!$C$58*DATOS!$C$19*CD33^2*DATOS!$C$48))))*DATOS!$C$48*DATOS!$C$19*CD33/DATOS!$C$40)))-0.0001,MAX(DATOS!$C$29,CEILING(CE33/INDEX(TABLAS!$D$52:$D$58,MIN(MATCH(DATOS!$C$27,TABLAS!$B$52:$B$58,0)+3,7)),1)),MAX(MAX(DATOS!$C$29,CEILING(CE33/INDEX(TABLAS!$D$52:$D$58,MIN(MATCH(DATOS!$C$27,TABLAS!$B$52:$B$58,0)+3,7)),1)),2))&lt;=MIN(DATOS!$C$28,INT(((DATOS!$C$13-2*S33-2*IF(DATOS!$C$25=0,0,INDEX(TABLAS!$C$52:$C$58,MATCH(DATOS!$C$25,TABLAS!$B$52:$B$58,0))))+MAX(DATOS!$C$32,INDEX(TABLAS!$C$52:$C$58,MIN(MATCH(DATOS!$C$27,TABLAS!$B$52:$B$58,0)+3,7))))/(INDEX(TABLAS!$C$52:$C$58,MIN(MATCH(DATOS!$C$27,TABLAS!$B$52:$B$58,0)+3,7))+MAX(DATOS!$C$32,INDEX(TABLAS!$C$52:$C$58,MIN(MATCH(DATOS!$C$27,TABLAS!$B$52:$B$58,0)+3,7))))))),INDEX(TABLAS!$B$52:$B$58,MIN(MATCH(DATOS!$C$27,TABLAS!$B$52:$B$58,0)+3,7)),IF(AND(CE33&gt;=0,IF(MAX(DATOS!$C$29,CEILING(CE33/INDEX(TABLAS!$D$52:$D$58,MIN(MATCH(DATOS!$C$27,TABLAS!$B$52:$B$58,0)+4,7)),1))*INDEX(TABLAS!$D$52:$D$58,MIN(MATCH(DATOS!$C$27,TABLAS!$B$52:$B$58,0)+4,7))&gt;=4/3*IF(BE33&lt;=0,0,IF((1-2*BE33*1E5/(DATOS!$C$58*DATOS!$C$19*CD33^2*DATOS!$C$48))&lt;0,-1,IF((1-SQRT((1-2*BE33*1E5/(DATOS!$C$58*DATOS!$C$19*CD33^2*DATOS!$C$48))))*DATOS!$C$48*DATOS!$C$19*CD33/DATOS!$C$40&gt;DATOS!$C$82*DATOS!$C$19*CD33,-1,(1-SQRT((1-2*BE33*1E5/(DATOS!$C$58*DATOS!$C$19*CD33^2*DATOS!$C$48))))*DATOS!$C$48*DATOS!$C$19*CD33/DATOS!$C$40)))-0.0001,MAX(DATOS!$C$29,CEILING(CE33/INDEX(TABLAS!$D$52:$D$58,MIN(MATCH(DATOS!$C$27,TABLAS!$B$52:$B$58,0)+4,7)),1)),MAX(MAX(DATOS!$C$29,CEILING(CE33/INDEX(TABLAS!$D$52:$D$58,MIN(MATCH(DATOS!$C$27,TABLAS!$B$52:$B$58,0)+4,7)),1)),2))&lt;=MIN(DATOS!$C$28,INT(((DATOS!$C$13-2*S33-2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33" s="56">
        <f>IF(D33="HUECO",0,IF(CE33&lt;0,0,IF(MAX(DATOS!$C$29,CEILING(MAX(CE33,0)/INDEX(TABLAS!$D$52:$D$58,MATCH(CF33,TABLAS!$B$52:$B$58,0)),1))*INDEX(TABLAS!$D$52:$D$58,MATCH(CF33,TABLAS!$B$52:$B$58,0))&gt;=4/3*IF(BE33&lt;=0,0,IF((1-2*BE33*1E5/(DATOS!$C$58*DATOS!$C$19*CD33^2*DATOS!$C$48))&lt;0,-1,IF((1-SQRT((1-2*BE33*1E5/(DATOS!$C$58*DATOS!$C$19*CD33^2*DATOS!$C$48))))*DATOS!$C$48*DATOS!$C$19*CD33/DATOS!$C$40&gt;DATOS!$C$82*DATOS!$C$19*CD33,-1,(1-SQRT((1-2*BE33*1E5/(DATOS!$C$58*DATOS!$C$19*CD33^2*DATOS!$C$48))))*DATOS!$C$48*DATOS!$C$19*CD33/DATOS!$C$40)))-0.0001,MAX(DATOS!$C$29,CEILING(MAX(CE33,0)/INDEX(TABLAS!$D$52:$D$58,MATCH(CF33,TABLAS!$B$52:$B$58,0)),1)),MAX(MAX(DATOS!$C$29,CEILING(MAX(CE33,0)/INDEX(TABLAS!$D$52:$D$58,MATCH(CF33,TABLAS!$B$52:$B$58,0)),1)),2))))</f>
        <v>1</v>
      </c>
      <c r="CH33" s="43">
        <f>((DATOS!$C$15-S33-2*DATOS!$C$35-IF(DATOS!$C$25=0,0,INDEX(TABLAS!$C$52:$C$58,MATCH(DATOS!$C$25,TABLAS!$B$52:$B$58,0)))-INDEX(TABLAS!$C$52:$C$58,MATCH(BP33,TABLAS!$B$52:$B$58,0))-INDEX(TABLAS!$C$52:$C$58,MATCH(CF33,TABLAS!$B$52:$B$58,0))/2)-IF(AND((DATOS!$C$15-S33-2*DATOS!$C$35-IF(DATOS!$C$25=0,0,INDEX(TABLAS!$C$52:$C$58,MATCH(DATOS!$C$25,TABLAS!$B$52:$B$58,0)))-INDEX(TABLAS!$C$52:$C$58,MATCH(BP33,TABLAS!$B$52:$B$58,0))-INDEX(TABLAS!$C$52:$C$58,MATCH(CF33,TABLAS!$B$52:$B$58,0))/2)&lt;=20,DATOS!$C$18&lt;&gt;"SÍ"),2,0))</f>
        <v>17.799</v>
      </c>
      <c r="CI33" s="36">
        <f>IF(CG33=0,0,DATOS!$C$58*CG33*INDEX(TABLAS!$D$52:$D$58,MATCH(CF33,TABLAS!$B$52:$B$58,0))*DATOS!$C$40*(CH33-CG33*INDEX(TABLAS!$D$52:$D$58,MATCH(CF33,TABLAS!$B$52:$B$58,0))*DATOS!$C$40/(DATOS!$C$48*DATOS!$C$19)/2)/1E5)</f>
        <v>0.794208440117647</v>
      </c>
      <c r="CJ33" s="62">
        <f>IF(CE33&lt;0,9.99,IF(CI33&gt;0,BE33/CI33,0))</f>
        <v>0.526527015225919</v>
      </c>
      <c r="CK33" s="63">
        <f>IF(CG33=0,"—",0.003*(CH33-(CG33*INDEX(TABLAS!$D$52:$D$58,MATCH(CF33,TABLAS!$B$52:$B$58,0))*DATOS!$C$40/(DATOS!$C$48*DATOS!$C$19)/DATOS!$C$49))/(CG33*INDEX(TABLAS!$D$52:$D$58,MATCH(CF33,TABLAS!$B$52:$B$58,0))*DATOS!$C$40/(DATOS!$C$48*DATOS!$C$19)/DATOS!$C$49))</f>
        <v>0.0150818018841395</v>
      </c>
      <c r="CL33" s="52" t="str">
        <f>IF(D33="HUECO","—",IF(AND(D33="PERIMETRAL",J33*100&gt;=6*DATOS!$C$11,DATOS!$C$11&lt;=80,DATOS!$C$13&gt;=10,DATOS!$C$15&lt;=3.5*DATOS!$C$13,DATOS!$C$14&gt;=MAX(DATOS!$C$11/13,5)),"SÍ","NO"))</f>
        <v>NO</v>
      </c>
      <c r="CM33" s="36">
        <f>IF(D33="PERIMETRAL",MAX(0,(N33/2-BR33)/100)*(0.95-0.5*L33)*Y33*IF(AND(Z33&gt;0,Z33&lt;4),DATOS!$C$63,1)*DATOS!$C$16/100/1000+AX33,IF(D33="VOLADO",(Y33*MAX(0,N33-BR33)/100+DATOS!$C$55*BA33)*DATOS!$C$16/100/1000,0))</f>
        <v>0.707753361218404</v>
      </c>
      <c r="CN33" s="36">
        <f>IF(D33="HUECO",0,DATOS!$C$59*2*MIN(1,SQRT(2/(1+0.04*BR33)))*(BQ33*INDEX(TABLAS!$D$52:$D$58,MATCH(BP33,TABLAS!$B$52:$B$58,0))/(DATOS!$C$19*BR33))^(1/3)*SQRT(DATOS!$C$39)*DATOS!$C$19*BR33*IF(CL33="SÍ",DATOS!$C$62,1)/1000)</f>
        <v>0.992173126477597</v>
      </c>
      <c r="CO33" s="51" t="str">
        <f>IF(D33="HUECO","—",IF(CM33&lt;=CN33,"CUMPLE",IF(MAX(0,CEILING((IF(D33="VOLADO",(N33-(CN33*1E5/DATOS!$C$16-DATOS!$C$55*BA33)*100/Y33),IF(CN33&lt;=AX33,N33,N33/2-(CN33-AX33)/MAX(CM33-AX33,1E-9)*(N33/2-BR33)))-IF(INT((J33*100-DATOS!$C$17+DATOS!$C$13)/DATOS!$C$16)&gt;0,(J33*100-DATOS!$C$17-(INT((J33*100-DATOS!$C$17+DATOS!$C$13)/DATOS!$C$16)*DATOS!$C$11+(INT((J33*100-DATOS!$C$17+DATOS!$C$13)/DATOS!$C$16)-1)*DATOS!$C$13))/2,J33*100/2))/DATOS!$C$16,1))&lt;=0,"CUMPLE (basta el macizo de orilla)","MACIZAR "&amp;MAX(0,CEILING((IF(D33="VOLADO",(N33-(CN33*1E5/DATOS!$C$16-DATOS!$C$55*BA33)*100/Y33),IF(CN33&lt;=AX33,N33,N33/2-(CN33-AX33)/MAX(CM33-AX33,1E-9)*(N33/2-BR33)))-IF(INT((J33*100-DATOS!$C$17+DATOS!$C$13)/DATOS!$C$16)&gt;0,(J33*100-DATOS!$C$17-(INT((J33*100-DATOS!$C$17+DATOS!$C$13)/DATOS!$C$16)*DATOS!$C$11+(INT((J33*100-DATOS!$C$17+DATOS!$C$13)/DATOS!$C$16)-1)*DATOS!$C$13))/2,J33*100/2))/DATOS!$C$16,1))&amp;" hilera(s)")))</f>
        <v>CUMPLE</v>
      </c>
      <c r="CP33" s="43">
        <f>IF(D33="PERIMETRAL",(99+99+99+99)/4,0)</f>
        <v>99</v>
      </c>
      <c r="CQ33" s="57">
        <f>IF(D33="PERIMETRAL",IF(CP33&gt;2,MAX(9,O33*(0.8+DATOS!$C$40/14000)/(36+9*(O33/MAX(N33,1)))),IF(CP33&gt;0.2,MAX(13,O33*(0.8+DATOS!$C$40/14000)/(36+5*(O33/MAX(N33,1))*(CP33-0.2))),MAX(13,O33/IF(Z33&gt;0,30,33))))*IF(AND(CP33&gt;0.2,OR(AND((APOYOS!$G$125="DISCONTINUO"),99&lt;0.8),AND((APOYOS!$G$126="DISCONTINUO"),99&lt;0.8),AND((APOYOS!$G$127="DISCONTINUO"),99&lt;0.8),AND((APOYOS!$G$128="DISCONTINUO"),99&lt;0.8))),1.1,1),IF(D33="VOLADO",MAX(25,J33*100/8),0))</f>
        <v>12.2075669624445</v>
      </c>
      <c r="CR33" s="57">
        <f>IF(D33="VOLADO",DATOS!$C$15,DATOS!$C$77)</f>
        <v>16.7232564120244</v>
      </c>
      <c r="CS33" s="52" t="str">
        <f>IF(D33="HUECO","—",IF(CR33&gt;=CQ33,"CUMPLE",IF(D33="VOLADO","NO CUMPLE","CALCULAR FLECHA")))</f>
        <v>CUMPLE</v>
      </c>
      <c r="CT33" s="52" t="str">
        <f>IF(D33="HUECO","—",IF(DATOS!$C$14&gt;=IF(IF(D33="VOLADO",J33,K33)&gt;=6,6,5),"CUMPLE","CAPA ≥ 6 cm"))</f>
        <v>CUMPLE</v>
      </c>
      <c r="CU33" s="59">
        <f>IF(D33="HUECO",0,IF(((4*((AL33*Y33*J33^2*1E-4*DATOS!$C$16/100/1000)+((MAX(AH33,AJ33)*Y33*J33^2*1E-4*DATOS!$C$16/100/1000)+(IF(AND(AH33&gt;0,AJ33&gt;0),MIN(AH33,AJ33),MAX(AH33,AJ33))*Y33*J33^2*1E-4*DATOS!$C$16/100/1000))/2)+BC33-(IF(AND(AH33&gt;0,AJ33&gt;0),MIN(AH33,AJ33),MAX(AH33,AJ33))*Y33*J33^2*1E-4*DATOS!$C$16/100/1000))^2-16*((AL33*Y33*J33^2*1E-4*DATOS!$C$16/100/1000)+((MAX(AH33,AJ33)*Y33*J33^2*1E-4*DATOS!$C$16/100/1000)+(IF(AND(AH33&gt;0,AJ33&gt;0),MIN(AH33,AJ33),MAX(AH33,AJ33))*Y33*J33^2*1E-4*DATOS!$C$16/100/1000))/2)*BC33)&lt;0,CEILING(N33,5),CEILING(MAX(N33*((4*((AL33*Y33*J33^2*1E-4*DATOS!$C$16/100/1000)+((MAX(AH33,AJ33)*Y33*J33^2*1E-4*DATOS!$C$16/100/1000)+(IF(AND(AH33&gt;0,AJ33&gt;0),MIN(AH33,AJ33),MAX(AH33,AJ33))*Y33*J33^2*1E-4*DATOS!$C$16/100/1000))/2)+BC33-(IF(AND(AH33&gt;0,AJ33&gt;0),MIN(AH33,AJ33),MAX(AH33,AJ33))*Y33*J33^2*1E-4*DATOS!$C$16/100/1000))-SQRT(MAX(0,((4*((AL33*Y33*J33^2*1E-4*DATOS!$C$16/100/1000)+((MAX(AH33,AJ33)*Y33*J33^2*1E-4*DATOS!$C$16/100/1000)+(IF(AND(AH33&gt;0,AJ33&gt;0),MIN(AH33,AJ33),MAX(AH33,AJ33))*Y33*J33^2*1E-4*DATOS!$C$16/100/1000))/2)+BC33-(IF(AND(AH33&gt;0,AJ33&gt;0),MIN(AH33,AJ33),MAX(AH33,AJ33))*Y33*J33^2*1E-4*DATOS!$C$16/100/1000))^2-16*((AL33*Y33*J33^2*1E-4*DATOS!$C$16/100/1000)+((MAX(AH33,AJ33)*Y33*J33^2*1E-4*DATOS!$C$16/100/1000)+(IF(AND(AH33&gt;0,AJ33&gt;0),MIN(AH33,AJ33),MAX(AH33,AJ33))*Y33*J33^2*1E-4*DATOS!$C$16/100/1000))/2)*BC33))))/(8*MAX(((AL33*Y33*J33^2*1E-4*DATOS!$C$16/100/1000)+((MAX(AH33,AJ33)*Y33*J33^2*1E-4*DATOS!$C$16/100/1000)+(IF(AND(AH33&gt;0,AJ33&gt;0),MIN(AH33,AJ33),MAX(AH33,AJ33))*Y33*J33^2*1E-4*DATOS!$C$16/100/1000))/2),1E-9))+MAX(BR33,12*INDEX(TABLAS!$C$52:$C$58,MATCH(BP33,TABLAS!$B$52:$B$58,0)),N33/16),IF(OR(S33&lt;INDEX(TABLAS!$C$52:$C$58,MATCH(BP33,TABLAS!$B$52:$B$58,0)),AND(BQ33&gt;=2,(DATOS!$C$13-2*S33-2*IF(DATOS!$C$25=0,0,INDEX(TABLAS!$C$52:$C$58,MATCH(DATOS!$C$25,TABLAS!$B$52:$B$58,0)))-BQ33*INDEX(TABLAS!$C$52:$C$58,MATCH(BP33,TABLAS!$B$52:$B$58,0)))/MAX(BQ33-1,1)&lt;2*INDEX(TABLAS!$C$52:$C$58,MATCH(BP33,TABLAS!$B$52:$B$58,0)))),INDEX(TABLAS!$I$52:$I$58,MATCH(BP33,TABLAS!$B$52:$B$58,0)),INDEX(TABLAS!$F$52:$F$58,MATCH(BP33,TABLAS!$B$52:$B$58,0)))),5)))</f>
        <v>110</v>
      </c>
      <c r="CV33" s="59">
        <f>IF(D33="HUECO",0,IF(((4*((AM33*Y33*J33^2*1E-4*DATOS!$C$16/100/1000)+((MAX(AI33,AK33)*Y33*J33^2*1E-4*DATOS!$C$16/100/1000)+(IF(AND(AI33&gt;0,AK33&gt;0),MIN(AI33,AK33),MAX(AI33,AK33))*Y33*J33^2*1E-4*DATOS!$C$16/100/1000))/2)+BE33-(IF(AND(AI33&gt;0,AK33&gt;0),MIN(AI33,AK33),MAX(AI33,AK33))*Y33*J33^2*1E-4*DATOS!$C$16/100/1000))^2-16*((AM33*Y33*J33^2*1E-4*DATOS!$C$16/100/1000)+((MAX(AI33,AK33)*Y33*J33^2*1E-4*DATOS!$C$16/100/1000)+(IF(AND(AI33&gt;0,AK33&gt;0),MIN(AI33,AK33),MAX(AI33,AK33))*Y33*J33^2*1E-4*DATOS!$C$16/100/1000))/2)*BE33)&lt;0,CEILING(O33,5),CEILING(MAX(O33*((4*((AM33*Y33*J33^2*1E-4*DATOS!$C$16/100/1000)+((MAX(AI33,AK33)*Y33*J33^2*1E-4*DATOS!$C$16/100/1000)+(IF(AND(AI33&gt;0,AK33&gt;0),MIN(AI33,AK33),MAX(AI33,AK33))*Y33*J33^2*1E-4*DATOS!$C$16/100/1000))/2)+BE33-(IF(AND(AI33&gt;0,AK33&gt;0),MIN(AI33,AK33),MAX(AI33,AK33))*Y33*J33^2*1E-4*DATOS!$C$16/100/1000))-SQRT(MAX(0,((4*((AM33*Y33*J33^2*1E-4*DATOS!$C$16/100/1000)+((MAX(AI33,AK33)*Y33*J33^2*1E-4*DATOS!$C$16/100/1000)+(IF(AND(AI33&gt;0,AK33&gt;0),MIN(AI33,AK33),MAX(AI33,AK33))*Y33*J33^2*1E-4*DATOS!$C$16/100/1000))/2)+BE33-(IF(AND(AI33&gt;0,AK33&gt;0),MIN(AI33,AK33),MAX(AI33,AK33))*Y33*J33^2*1E-4*DATOS!$C$16/100/1000))^2-16*((AM33*Y33*J33^2*1E-4*DATOS!$C$16/100/1000)+((MAX(AI33,AK33)*Y33*J33^2*1E-4*DATOS!$C$16/100/1000)+(IF(AND(AI33&gt;0,AK33&gt;0),MIN(AI33,AK33),MAX(AI33,AK33))*Y33*J33^2*1E-4*DATOS!$C$16/100/1000))/2)*BE33))))/(8*MAX(((AM33*Y33*J33^2*1E-4*DATOS!$C$16/100/1000)+((MAX(AI33,AK33)*Y33*J33^2*1E-4*DATOS!$C$16/100/1000)+(IF(AND(AI33&gt;0,AK33&gt;0),MIN(AI33,AK33),MAX(AI33,AK33))*Y33*J33^2*1E-4*DATOS!$C$16/100/1000))/2),1E-9))+MAX(CH33,12*INDEX(TABLAS!$C$52:$C$58,MATCH(CF33,TABLAS!$B$52:$B$58,0)),O33/16),IF(OR(S33&lt;INDEX(TABLAS!$C$52:$C$58,MATCH(CF33,TABLAS!$B$52:$B$58,0)),AND(CG33&gt;=2,(DATOS!$C$13-2*S33-2*IF(DATOS!$C$25=0,0,INDEX(TABLAS!$C$52:$C$58,MATCH(DATOS!$C$25,TABLAS!$B$52:$B$58,0)))-CG33*INDEX(TABLAS!$C$52:$C$58,MATCH(CF33,TABLAS!$B$52:$B$58,0)))/MAX(CG33-1,1)&lt;2*INDEX(TABLAS!$C$52:$C$58,MATCH(CF33,TABLAS!$B$52:$B$58,0)))),INDEX(TABLAS!$I$52:$I$58,MATCH(CF33,TABLAS!$B$52:$B$58,0)),INDEX(TABLAS!$F$52:$F$58,MATCH(CF33,TABLAS!$B$52:$B$58,0)))),5)))</f>
        <v>165</v>
      </c>
      <c r="CW33" s="56">
        <f>MAX(0,INT((F33*100-DATOS!$C$17+DATOS!$C$13)/DATOS!$C$16))</f>
        <v>4</v>
      </c>
      <c r="CX33" s="56">
        <f>MAX(0,INT((G33*100-DATOS!$C$17+DATOS!$C$13)/DATOS!$C$16))</f>
        <v>8</v>
      </c>
      <c r="CY33" s="51" t="str">
        <f>IF(COUNTIFS(TRIB!$C$6:$C$255,B33,TRIB!$K$6:$K$255,"NO CUMPLE*")+COUNTIFS(TRIB!$C$6:$C$255,B33,TRIB!$K$6:$K$255,"SIN APOYO*")&gt;0,"VER PRINCIPALES",IF((APOYOS!$F$125="LIBRE")+(APOYOS!$F$126="LIBRE")+(APOYOS!$F$127="LIBRE")+(APOYOS!$F$128="LIBRE")&gt;0,"REVISAR: borde libre","OK"))</f>
        <v>OK</v>
      </c>
      <c r="CZ33" s="64" t="str">
        <f>IF(D33="HUECO","HUECO — marco de nervaduras principales",IF(AND(MAX(BL33,BT33,CB33,CJ33)&lt;=1,NOT(OR(BI33&gt;MIN(DATOS!$C$28,INT(((DATOS!$C$13-2*R33-2*IF(DATOS!$C$25=0,0,INDEX(TABLAS!$C$52:$C$58,MATCH(DATOS!$C$25,TABLAS!$B$52:$B$58,0))))+DATOS!$C$32)/(INDEX(TABLAS!$C$52:$C$58,MATCH(BH33,TABLAS!$B$52:$B$58,0))+DATOS!$C$32))),BQ33&gt;MIN(DATOS!$C$28,INT(((DATOS!$C$13-2*S33-2*IF(DATOS!$C$25=0,0,INDEX(TABLAS!$C$52:$C$58,MATCH(DATOS!$C$25,TABLAS!$B$52:$B$58,0))))+DATOS!$C$32)/(INDEX(TABLAS!$C$52:$C$58,MATCH(BP33,TABLAS!$B$52:$B$58,0))+DATOS!$C$32))),BY33&gt;MIN(DATOS!$C$28,INT(((DATOS!$C$13-2*R33-2*IF(DATOS!$C$25=0,0,INDEX(TABLAS!$C$52:$C$58,MATCH(DATOS!$C$25,TABLAS!$B$52:$B$58,0))))+DATOS!$C$32)/(INDEX(TABLAS!$C$52:$C$58,MATCH(BX33,TABLAS!$B$52:$B$58,0))+DATOS!$C$32))),CG33&gt;MIN(DATOS!$C$28,INT(((DATOS!$C$13-2*S33-2*IF(DATOS!$C$25=0,0,INDEX(TABLAS!$C$52:$C$58,MATCH(DATOS!$C$25,TABLAS!$B$52:$B$58,0))))+DATOS!$C$32)/(INDEX(TABLAS!$C$52:$C$58,MATCH(CF33,TABLAS!$B$52:$B$58,0))+DATOS!$C$32))))),NOT(OR(AND(ISNUMBER(BM33),BM33&lt;0.005),AND(ISNUMBER(BU33),BU33&lt;0.005),AND(ISNUMBER(CC33),CC33&lt;0.005),AND(ISNUMBER(CK33),CK33&lt;0.005))),CS33="CUMPLE",CT33="CUMPLE"),IF(CY33="OK",IF(LEFT(CO33,6)="CUMPLE","CUMPLE","CUMPLE — "&amp;CO33)&amp;IF(LEFT(AZ33,5)="FUERA"," · fuera de 3.4.2.1 c)",""),IF(CY33="VER PRINCIPALES","VER PRINCIPALES","REVISAR APOYOS")),IF(AND(MAX(BL33,BT33,CB33,CJ33)&lt;=1,NOT(OR(BI33&gt;MIN(DATOS!$C$28,INT(((DATOS!$C$13-2*R33-2*IF(DATOS!$C$25=0,0,INDEX(TABLAS!$C$52:$C$58,MATCH(DATOS!$C$25,TABLAS!$B$52:$B$58,0))))+DATOS!$C$32)/(INDEX(TABLAS!$C$52:$C$58,MATCH(BH33,TABLAS!$B$52:$B$58,0))+DATOS!$C$32))),BQ33&gt;MIN(DATOS!$C$28,INT(((DATOS!$C$13-2*S33-2*IF(DATOS!$C$25=0,0,INDEX(TABLAS!$C$52:$C$58,MATCH(DATOS!$C$25,TABLAS!$B$52:$B$58,0))))+DATOS!$C$32)/(INDEX(TABLAS!$C$52:$C$58,MATCH(BP33,TABLAS!$B$52:$B$58,0))+DATOS!$C$32))),BY33&gt;MIN(DATOS!$C$28,INT(((DATOS!$C$13-2*R33-2*IF(DATOS!$C$25=0,0,INDEX(TABLAS!$C$52:$C$58,MATCH(DATOS!$C$25,TABLAS!$B$52:$B$58,0))))+DATOS!$C$32)/(INDEX(TABLAS!$C$52:$C$58,MATCH(BX33,TABLAS!$B$52:$B$58,0))+DATOS!$C$32))),CG33&gt;MIN(DATOS!$C$28,INT(((DATOS!$C$13-2*S33-2*IF(DATOS!$C$25=0,0,INDEX(TABLAS!$C$52:$C$58,MATCH(DATOS!$C$25,TABLAS!$B$52:$B$58,0))))+DATOS!$C$32)/(INDEX(TABLAS!$C$52:$C$58,MATCH(CF33,TABLAS!$B$52:$B$58,0))+DATOS!$C$32))))),NOT(OR(AND(ISNUMBER(BM33),BM33&lt;0.005),AND(ISNUMBER(BU33),BU33&lt;0.005),AND(ISNUMBER(CC33),CC33&lt;0.005),AND(ISNUMBER(CK33),CK33&lt;0.005))),CS33="CALCULAR FLECHA"),"REVISAR: calcular flecha (h_eq &lt; h mín.)","NO CUMPLE: "&amp;IF(MAX(BL33,BT33,CB33,CJ33)&gt;1,"flexión ","")&amp;IF(OR(BI33&gt;MIN(DATOS!$C$28,INT(((DATOS!$C$13-2*R33-2*IF(DATOS!$C$25=0,0,INDEX(TABLAS!$C$52:$C$58,MATCH(DATOS!$C$25,TABLAS!$B$52:$B$58,0))))+DATOS!$C$32)/(INDEX(TABLAS!$C$52:$C$58,MATCH(BH33,TABLAS!$B$52:$B$58,0))+DATOS!$C$32))),BQ33&gt;MIN(DATOS!$C$28,INT(((DATOS!$C$13-2*S33-2*IF(DATOS!$C$25=0,0,INDEX(TABLAS!$C$52:$C$58,MATCH(DATOS!$C$25,TABLAS!$B$52:$B$58,0))))+DATOS!$C$32)/(INDEX(TABLAS!$C$52:$C$58,MATCH(BP33,TABLAS!$B$52:$B$58,0))+DATOS!$C$32))),BY33&gt;MIN(DATOS!$C$28,INT(((DATOS!$C$13-2*R33-2*IF(DATOS!$C$25=0,0,INDEX(TABLAS!$C$52:$C$58,MATCH(DATOS!$C$25,TABLAS!$B$52:$B$58,0))))+DATOS!$C$32)/(INDEX(TABLAS!$C$52:$C$58,MATCH(BX33,TABLAS!$B$52:$B$58,0))+DATOS!$C$32))),CG33&gt;MIN(DATOS!$C$28,INT(((DATOS!$C$13-2*S33-2*IF(DATOS!$C$25=0,0,INDEX(TABLAS!$C$52:$C$58,MATCH(DATOS!$C$25,TABLAS!$B$52:$B$58,0))))+DATOS!$C$32)/(INDEX(TABLAS!$C$52:$C$58,MATCH(CF33,TABLAS!$B$52:$B$58,0))+DATOS!$C$32)))),"no caben ","")&amp;IF(OR(AND(ISNUMBER(BM33),BM33&lt;0.005),AND(ISNUMBER(BU33),BU33&lt;0.005),AND(ISNUMBER(CC33),CC33&lt;0.005),AND(ISNUMBER(CK33),CK33&lt;0.005)),"ε_t &lt; 0.005 ","")&amp;IF(CS33="NO CUMPLE","peralte ","")&amp;IF(CT33&lt;&gt;"CUMPLE","capa &lt; 6 cm",""))))</f>
        <v>CUMPLE · fuera de 3.4.2.1 c)</v>
      </c>
      <c r="DA33" s="65" t="str">
        <f>IF(AND(D33="PERIMETRAL",MIN(CW33,CX33)=0),"Tablero macizo (no cabe un casetón en el claro corto): no aplica 6.7.8. La resistencia se revisa con una nervadura de 10 cm cada 70 cm y r_np (conservador); "&amp;"como losa maciza lleva además As,mín = 0.0018·Ag en cada dirección cerca de la cara a tensión (6.7.6.1.1, p. 175). ",IF(AND(CL33="NO",D33="PERIMETRAL"),"No cumple 6.7.8.1.4 (a_c = "&amp;DATOS!$C$11&amp;" cm &gt; claro corto/6 = "&amp;TEXT(J33*100/6,"0")&amp;" cm): se diseña como losa apoyada en vigas (6.7.8.1.9): nervaduras con recubrimiento de viga r_np = "&amp;DATOS!$C$22&amp;" cm (Tabla 4.14.16.a), V_cR sin ×1.1 y cortante sin estribos por 5.5.3.8.1 (criterio del Proyectista). Para que cuente como encasetonada: casetón de "&amp;TEXT(FLOOR(MIN(80,J33*100/6),1),"0")&amp;" cm o menor. ",""))&amp;IF(LEFT(AZ33,5)="FUERA","M⁻ del borde común "&amp;AZ33&amp;": difieren más de 50% (3.4.2.1 c); se distribuyen 2/3 del desequilibrio (3.4.3.1) y conviene confirmar los momentos con el modelo. ","")&amp;"—"</f>
        <v>No cumple 6.7.8.1.4 (a_c = 60 cm &gt; claro corto/6 = 57 cm): se diseña como losa apoyada en vigas (6.7.8.1.9): nervaduras con recubrimiento de viga r_np = 4 cm (Tabla 4.14.16.a), V_cR sin ×1.1 y cortante sin estribos por 5.5.3.8.1 (criterio del Proyectista). Para que cuente como encasetonada: casetón de 57 cm o menor. M⁻ del borde común FUERA con F80032 F80026 · continuidad asimétrica con F80032 (cada uno con su momento; revisar APOYOS): difieren más de 50% (3.4.2.1 c); se distribuyen 2/3 del desequilibrio (3.4.3.1) y conviene confirmar los momentos con el modelo. —</v>
      </c>
    </row>
    <row r="34" ht="30" customHeight="1">
      <c r="B34" s="51" t="inlineStr">
        <is>
          <t>F80026 N+6.00</t>
        </is>
      </c>
      <c r="C34" s="52" t="inlineStr">
        <is>
          <t>N+6.00</t>
        </is>
      </c>
      <c r="D34" s="53" t="inlineStr">
        <is>
          <t>PERIMETRAL</t>
        </is>
      </c>
      <c r="E34" s="53" t="inlineStr">
        <is>
          <t>AZOTEA</t>
        </is>
      </c>
      <c r="F34" s="54" t="n">
        <v>3.028</v>
      </c>
      <c r="G34" s="54" t="n">
        <v>0.851</v>
      </c>
      <c r="H34" s="55" t="n">
        <v>3.028</v>
      </c>
      <c r="I34" s="55" t="n">
        <v>0.851</v>
      </c>
      <c r="J34" s="36">
        <f>MIN(H34,I34)</f>
        <v>0.851</v>
      </c>
      <c r="K34" s="36">
        <f>MAX(H34,I34)</f>
        <v>3.028</v>
      </c>
      <c r="L34" s="36">
        <f>IF(K34&gt;0,J34/K34,0)</f>
        <v>0.281043593130779</v>
      </c>
      <c r="M34" s="52" t="str">
        <f>IF(H34&lt;=I34,"X","Y")</f>
        <v>Y</v>
      </c>
      <c r="N34" s="56">
        <f>MAX(0,J34*100-IF(D34="VOLADO",DATOS!$C$17/2,DATOS!$C$17))</f>
        <v>70.1</v>
      </c>
      <c r="O34" s="56">
        <f>MAX(0,K34*100-DATOS!$C$17)</f>
        <v>287.8</v>
      </c>
      <c r="P34" s="57">
        <f>MIN(DATOS!$C$16,DATOS!$C$13+2*MIN(8*DATOS!$C$14,DATOS!$C$11/2,N34/8))</f>
        <v>27.525</v>
      </c>
      <c r="Q34" s="57">
        <f>MIN(DATOS!$C$16,DATOS!$C$13+2*MIN(8*DATOS!$C$14,DATOS!$C$11/2,O34/8))</f>
        <v>70</v>
      </c>
      <c r="R34" s="57">
        <f>IF(D34="VOLADO",DATOS!$C$21,IF(CL34="NO",DATOS!$C$22,DATOS!$C$20))</f>
        <v>4</v>
      </c>
      <c r="S34" s="57">
        <f>IF(OR(AND(C34="N+6.00",DATOS!$C$23="SÍ"),AND(D34="VOLADO",DATOS!$C$24="SÍ")),DATOS!$C$21,IF(CL34="NO",DATOS!$C$22,DATOS!$C$20))</f>
        <v>4</v>
      </c>
      <c r="T34" s="58" t="n">
        <v>295</v>
      </c>
      <c r="U34" s="56">
        <f>IF(E34="HABITACIÓN",DATOS!$C$89,DATOS!$C$92)</f>
        <v>100</v>
      </c>
      <c r="V34" s="56">
        <f>CARGAS!$C$9</f>
        <v>293.673469387755</v>
      </c>
      <c r="W34" s="56">
        <f>V34+T34</f>
        <v>588.673469387755</v>
      </c>
      <c r="X34" s="56">
        <f>W34+U34</f>
        <v>688.673469387755</v>
      </c>
      <c r="Y34" s="59">
        <f>MAX(DATOS!$C$55*W34+DATOS!$C$56*U34,IF(E34="AZOTEA",DATOS!$C$57*(W34+DATOS!$C$97),0))</f>
        <v>915.275510204082</v>
      </c>
      <c r="Z34" s="56">
        <f>(APOYOS!$G$129="DISCONTINUO")+(APOYOS!$G$130="DISCONTINUO")+(APOYOS!$G$131="DISCONTINUO")+(APOYOS!$G$132="DISCONTINUO")</f>
        <v>2</v>
      </c>
      <c r="AA34" s="56">
        <f>IF(M34="X",(APOYOS!$G$129="DISCONTINUO")+(APOYOS!$G$130="DISCONTINUO"),(APOYOS!$G$131="DISCONTINUO")+(APOYOS!$G$132="DISCONTINUO"))</f>
        <v>1</v>
      </c>
      <c r="AB34" s="56">
        <f>Z34-AA34</f>
        <v>1</v>
      </c>
      <c r="AC34" s="52" t="str">
        <f>IF(Z34=0,"INTERIOR",IF(Z34=1,IF(AA34=1,"BORDE-CORTO","BORDE-LARGO"),IF(Z34=2,IF(AA34=1,"ESQUINA",IF(AA34=2,"EXTREMO-LARGO","EXTREMO-CORTO")),IF(Z34=3,IF(AA34=2,"EXTREMO-LARGO","EXTREMO-CORTO"),"AISLADO"))))</f>
        <v>ESQUINA</v>
      </c>
      <c r="AD34" s="53" t="inlineStr">
        <is>
          <t>AUTO</t>
        </is>
      </c>
      <c r="AE34" s="60" t="str">
        <f>IF(AD34="AUTO",AC34,AD34)</f>
        <v>ESQUINA</v>
      </c>
      <c r="AF34" s="56">
        <f>MATCH(L34,TABLAS!$D$5:$J$5,1)</f>
        <v>1</v>
      </c>
      <c r="AG34" s="43">
        <f>IF(AF34&gt;=7,0,(L34-INDEX(TABLAS!$D$5:$J$5,AF34))/(INDEX(TABLAS!$D$5:$J$5,AF34+1)-INDEX(TABLAS!$D$5:$J$5,AF34)))</f>
        <v>0.562087186261559</v>
      </c>
      <c r="AH34" s="56">
        <f>INDEX(TABLAS!$D$6:$J$47,MATCH(AE34&amp;"|NIC",TABLAS!$B$6:$B$47,0),AF34)+AG34*(INDEX(TABLAS!$D$6:$J$47,MATCH(AE34&amp;"|NIC",TABLAS!$B$6:$B$47,0),MIN(AF34+1,7))-INDEX(TABLAS!$D$6:$J$47,MATCH(AE34&amp;"|NIC",TABLAS!$B$6:$B$47,0),AF34))</f>
        <v>1240.99207397622</v>
      </c>
      <c r="AI34" s="56">
        <f>INDEX(TABLAS!$D$6:$J$47,MATCH(AE34&amp;"|NIL",TABLAS!$B$6:$B$47,0),AF34)+AG34*(INDEX(TABLAS!$D$6:$J$47,MATCH(AE34&amp;"|NIL",TABLAS!$B$6:$B$47,0),MIN(AF34+1,7))-INDEX(TABLAS!$D$6:$J$47,MATCH(AE34&amp;"|NIL",TABLAS!$B$6:$B$47,0),AF34))</f>
        <v>588.758256274769</v>
      </c>
      <c r="AJ34" s="56">
        <f>INDEX(TABLAS!$D$6:$J$47,MATCH(AE34&amp;"|NDC",TABLAS!$B$6:$B$47,0),AF34)+AG34*(INDEX(TABLAS!$D$6:$J$47,MATCH(AE34&amp;"|NDC",TABLAS!$B$6:$B$47,0),MIN(AF34+1,7))-INDEX(TABLAS!$D$6:$J$47,MATCH(AE34&amp;"|NDC",TABLAS!$B$6:$B$47,0),AF34))</f>
        <v>488.55680317041</v>
      </c>
      <c r="AK34" s="56">
        <f>INDEX(TABLAS!$D$6:$J$47,MATCH(AE34&amp;"|NDL",TABLAS!$B$6:$B$47,0),AF34)+AG34*(INDEX(TABLAS!$D$6:$J$47,MATCH(AE34&amp;"|NDL",TABLAS!$B$6:$B$47,0),MIN(AF34+1,7))-INDEX(TABLAS!$D$6:$J$47,MATCH(AE34&amp;"|NDL",TABLAS!$B$6:$B$47,0),AF34))</f>
        <v>329.934610303831</v>
      </c>
      <c r="AL34" s="56">
        <f>INDEX(TABLAS!$D$6:$J$47,MATCH(AE34&amp;"|PC",TABLAS!$B$6:$B$47,0),AF34)+AG34*(INDEX(TABLAS!$D$6:$J$47,MATCH(AE34&amp;"|PC",TABLAS!$B$6:$B$47,0),MIN(AF34+1,7))-INDEX(TABLAS!$D$6:$J$47,MATCH(AE34&amp;"|PC",TABLAS!$B$6:$B$47,0),AF34))</f>
        <v>582.935931307794</v>
      </c>
      <c r="AM34" s="56">
        <f>INDEX(TABLAS!$D$6:$J$47,MATCH(AE34&amp;"|PL",TABLAS!$B$6:$B$47,0),AF34)+AG34*(INDEX(TABLAS!$D$6:$J$47,MATCH(AE34&amp;"|PL",TABLAS!$B$6:$B$47,0),MIN(AF34+1,7))-INDEX(TABLAS!$D$6:$J$47,MATCH(AE34&amp;"|PL",TABLAS!$B$6:$B$47,0),AF34))</f>
        <v>251.143328929987</v>
      </c>
      <c r="AN34" s="36">
        <f>IF(D34="PERIMETRAL",IF(APOYOS!$G$129="CONTINUO",IF(M34="Y",AH34,AI34),IF(M34="Y",AJ34,AK34))*Y34*J34^2*1E-4*DATOS!$C$16/100/1000,0)</f>
        <v>0.0575808418525116</v>
      </c>
      <c r="AO34" s="36">
        <f>IF(D34="PERIMETRAL",IF(APOYOS!$G$130="CONTINUO",IF(M34="Y",AH34,AI34),IF(M34="Y",AJ34,AK34))*Y34*J34^2*1E-4*DATOS!$C$16/100/1000,0)</f>
        <v>0.0226685670353951</v>
      </c>
      <c r="AP34" s="36">
        <f>IF(D34="PERIMETRAL",IF(APOYOS!$G$131="CONTINUO",IF(M34="X",AH34,AI34),IF(M34="X",AJ34,AK34))*Y34*J34^2*1E-4*DATOS!$C$16/100/1000,0)</f>
        <v>0.0273178183445574</v>
      </c>
      <c r="AQ34" s="36">
        <f>IF(D34="PERIMETRAL",IF(APOYOS!$G$132="CONTINUO",IF(M34="X",AH34,AI34),IF(M34="X",AJ34,AK34))*Y34*J34^2*1E-4*DATOS!$C$16/100/1000,0)</f>
        <v>0.0153086494393992</v>
      </c>
      <c r="AR34" s="56">
        <f>IF(D34="PERIMETRAL",IF(M34="X",BN34,CD34)^3/(J34*100),0)</f>
        <v>69.8993464060987</v>
      </c>
      <c r="AS34" s="56">
        <f>IF(D34="PERIMETRAL",IF(M34="Y",BN34,CD34)^3/(J34*100),0)</f>
        <v>85.6518350278378</v>
      </c>
      <c r="AT34" s="36">
        <f>IF(D34="PERIMETRAL",MAX(0,IF(M34="Y",IF(AND(OR(APOYOS!$G$129="CONTINUO",APOYOS!$G$126="CONTINUO"),AN34&gt;0,AO33&gt;0,AO33&gt;AN34),AN34+2/3*(AO33-AN34)*AS34/MAX(AS34+AS33,1E-9),0),0),IF(M34="X",IF(AND(OR(APOYOS!$G$131="CONTINUO",APOYOS!$G$156="CONTINUO"),AP34&gt;0,AQ40&gt;0,AQ40&gt;AP34),AP34+2/3*(AQ40-AP34)*AR34/MAX(AR34+AR40,1E-9),0),0)),0)</f>
        <v>0.257477372141493</v>
      </c>
      <c r="AU34" s="36">
        <f>IF(D34="PERIMETRAL",MAX(0,IF(M34&lt;&gt;"Y",IF(AND(OR(APOYOS!$G$129="CONTINUO",APOYOS!$G$126="CONTINUO"),AN34&gt;0,AO33&gt;0,AO33&gt;AN34),AN34+2/3*(AO33-AN34)*AS34/MAX(AS34+AS33,1E-9),0),0),IF(M34&lt;&gt;"X",IF(AND(OR(APOYOS!$G$131="CONTINUO",APOYOS!$G$156="CONTINUO"),AP34&gt;0,AQ40&gt;0,AQ40&gt;AP34),AP34+2/3*(AQ40-AP34)*AR34/MAX(AR34+AR40,1E-9),0),0)),0)</f>
        <v>0.130135751664359</v>
      </c>
      <c r="AV34" s="36">
        <f>IF(D34="PERIMETRAL",(IF(M34="Y",IF(AND(OR(APOYOS!$G$129="CONTINUO",APOYOS!$G$126="CONTINUO"),AN34&gt;0,AO33&gt;0,AN34&gt;AO33),2/3*(AN34-AO33)*AS34/MAX(AS34+AS33,1E-9),0),0)+IF(M34="X",IF(AND(OR(APOYOS!$G$131="CONTINUO",APOYOS!$G$156="CONTINUO"),AP34&gt;0,AQ40&gt;0,AP34&gt;AQ40),2/3*(AP34-AQ40)*AR34/MAX(AR34+AR40,1E-9),0),0))/2,0)</f>
        <v>0</v>
      </c>
      <c r="AW34" s="36">
        <f>IF(D34="PERIMETRAL",(IF(M34&lt;&gt;"Y",IF(AND(OR(APOYOS!$G$129="CONTINUO",APOYOS!$G$126="CONTINUO"),AN34&gt;0,AO33&gt;0,AN34&gt;AO33),2/3*(AN34-AO33)*AS34/MAX(AS34+AS33,1E-9),0),0)+IF(M34&lt;&gt;"X",IF(AND(OR(APOYOS!$G$131="CONTINUO",APOYOS!$G$156="CONTINUO"),AP34&gt;0,AQ40&gt;0,AP34&gt;AQ40),2/3*(AP34-AQ40)*AR34/MAX(AR34+AR40,1E-9),0),0))/2,0)</f>
        <v>0</v>
      </c>
      <c r="AX34" s="36">
        <f>IF(D34="PERIMETRAL",MAX(0,0),0)</f>
        <v>0</v>
      </c>
      <c r="AY34" s="52" t="str">
        <f>IF(D34&lt;&gt;"PERIMETRAL","",IF(AND(OR(APOYOS!$G$129="CONTINUO",APOYOS!$G$126="CONTINUO"),AN34&gt;0,AO33&gt;0,ABS(AN34-AO33)&gt;0.5*MIN(AN34,AO33))," F80025","")&amp;IF(AND(OR(APOYOS!$G$131="CONTINUO",APOYOS!$G$156="CONTINUO"),AP34&gt;0,AQ40&gt;0,ABS(AP34-AQ40)&gt;0.5*MIN(AP34,AQ40))," F80032",""))</f>
        <v> F80025 F80032</v>
      </c>
      <c r="AZ34" s="52" t="str">
        <f>IF(D34&lt;&gt;"PERIMETRAL","—",IF(AY34="","CUMPLE","FUERA con"&amp;AY34)&amp;IF(AND(D33="PERIMETRAL",APOYOS!$G$129&lt;&gt;APOYOS!$G$126)," · continuidad asimétrica con F80025 (cada uno con su momento; revisar APOYOS)","")&amp;IF(AND(D40="PERIMETRAL",APOYOS!$G$131&lt;&gt;APOYOS!$G$156)," · continuidad asimétrica con F80032 (cada uno con su momento; revisar APOYOS)",""))</f>
        <v>FUERA con F80025 F80032</v>
      </c>
      <c r="BA34" s="61" t="n">
        <v>0</v>
      </c>
      <c r="BB34" s="36">
        <f>IF(D34="PERIMETRAL",AL34*Y34*J34^2*1E-4*DATOS!$C$16/100/1000+AV34,0)</f>
        <v>0.0270476680509595</v>
      </c>
      <c r="BC34" s="36">
        <f>IF(D34="PERIMETRAL",MAX(MAX(AH34,AJ34)*Y34*J34^2*1E-4*DATOS!$C$16/100/1000,AT34),IF(D34="VOLADO",(Y34*(N34/100)^2/2+DATOS!$C$55*BA34*N34/100)*DATOS!$C$16/100/1000,0))</f>
        <v>0.257477372141493</v>
      </c>
      <c r="BD34" s="36">
        <f>IF(D34="PERIMETRAL",AM34*Y34*J34^2*1E-4*DATOS!$C$16/100/1000+AW34,0)</f>
        <v>0.0116528095615444</v>
      </c>
      <c r="BE34" s="36">
        <f>IF(D34="PERIMETRAL",MAX(MAX(AI34,AK34)*Y34*J34^2*1E-4*DATOS!$C$16/100/1000,AU34),0)</f>
        <v>0.130135751664359</v>
      </c>
      <c r="BF34" s="43">
        <f>(DATOS!$C$15-R34-IF(DATOS!$C$25=0,0,INDEX(TABLAS!$C$52:$C$58,MATCH(DATOS!$C$25,TABLAS!$B$52:$B$58,0)))-INDEX(TABLAS!$C$52:$C$58,MATCH(DATOS!$C$26,TABLAS!$B$52:$B$58,0))/2)</f>
        <v>20.365</v>
      </c>
      <c r="BG34" s="43">
        <f>IF(D34="HUECO",0,IF(IF(BB34&lt;=0,0,IF((1-2*BB34*1E5/(DATOS!$C$58*P34*BF34^2*DATOS!$C$48))&lt;0,-1,IF((1-SQRT((1-2*BB34*1E5/(DATOS!$C$58*P34*BF34^2*DATOS!$C$48))))*DATOS!$C$48*P34*BF34/DATOS!$C$40&gt;DATOS!$C$82*P34*BF34,-1,(1-SQRT((1-2*BB34*1E5/(DATOS!$C$58*P34*BF34^2*DATOS!$C$48))))*DATOS!$C$48*P34*BF34/DATOS!$C$40)))&lt;0,-1,MAX(IF(BB34&lt;=0,0,IF((1-2*BB34*1E5/(DATOS!$C$58*P34*BF34^2*DATOS!$C$48))&lt;0,-1,IF((1-SQRT((1-2*BB34*1E5/(DATOS!$C$58*P34*BF34^2*DATOS!$C$48))))*DATOS!$C$48*P34*BF34/DATOS!$C$40&gt;DATOS!$C$82*P34*BF34,-1,(1-SQRT((1-2*BB34*1E5/(DATOS!$C$58*P34*BF34^2*DATOS!$C$48))))*DATOS!$C$48*P34*BF34/DATOS!$C$40))),MIN(DATOS!$C$83*DATOS!$C$13*BF34,4/3*IF(BB34&lt;=0,0,IF((1-2*BB34*1E5/(DATOS!$C$58*P34*BF34^2*DATOS!$C$48))&lt;0,-1,IF((1-SQRT((1-2*BB34*1E5/(DATOS!$C$58*P34*BF34^2*DATOS!$C$48))))*DATOS!$C$48*P34*BF34/DATOS!$C$40&gt;DATOS!$C$82*P34*BF34,-1,(1-SQRT((1-2*BB34*1E5/(DATOS!$C$58*P34*BF34^2*DATOS!$C$48))))*DATOS!$C$48*P34*BF34/DATOS!$C$40)))))))</f>
        <v>0.0468771955252656</v>
      </c>
      <c r="BH34" s="41">
        <f>IF(AND(BG34&gt;=0,IF(MAX(DATOS!$C$29,CEILING(BG34/INDEX(TABLAS!$D$52:$D$58,MIN(MATCH(DATOS!$C$26,TABLAS!$B$52:$B$58,0)+0,7)),1))*INDEX(TABLAS!$D$52:$D$58,MIN(MATCH(DATOS!$C$26,TABLAS!$B$52:$B$58,0)+0,7))&gt;=4/3*IF(BB34&lt;=0,0,IF((1-2*BB34*1E5/(DATOS!$C$58*P34*BF34^2*DATOS!$C$48))&lt;0,-1,IF((1-SQRT((1-2*BB34*1E5/(DATOS!$C$58*P34*BF34^2*DATOS!$C$48))))*DATOS!$C$48*P34*BF34/DATOS!$C$40&gt;DATOS!$C$82*P34*BF34,-1,(1-SQRT((1-2*BB34*1E5/(DATOS!$C$58*P34*BF34^2*DATOS!$C$48))))*DATOS!$C$48*P34*BF34/DATOS!$C$40)))-0.0001,MAX(DATOS!$C$29,CEILING(BG34/INDEX(TABLAS!$D$52:$D$58,MIN(MATCH(DATOS!$C$26,TABLAS!$B$52:$B$58,0)+0,7)),1)),MAX(MAX(DATOS!$C$29,CEILING(BG34/INDEX(TABLAS!$D$52:$D$58,MIN(MATCH(DATOS!$C$26,TABLAS!$B$52:$B$58,0)+0,7)),1)),2))&lt;=MIN(DATOS!$C$28,INT(((DATOS!$C$13-2*R34-2*IF(DATOS!$C$25=0,0,INDEX(TABLAS!$C$52:$C$58,MATCH(DATOS!$C$25,TABLAS!$B$52:$B$58,0))))+MAX(DATOS!$C$32,INDEX(TABLAS!$C$52:$C$58,MIN(MATCH(DATOS!$C$26,TABLAS!$B$52:$B$58,0)+0,7))))/(INDEX(TABLAS!$C$52:$C$58,MIN(MATCH(DATOS!$C$26,TABLAS!$B$52:$B$58,0)+0,7))+MAX(DATOS!$C$32,INDEX(TABLAS!$C$52:$C$58,MIN(MATCH(DATOS!$C$26,TABLAS!$B$52:$B$58,0)+0,7))))))),INDEX(TABLAS!$B$52:$B$58,MIN(MATCH(DATOS!$C$26,TABLAS!$B$52:$B$58,0)+0,7)),IF(AND(BG34&gt;=0,IF(MAX(DATOS!$C$29,CEILING(BG34/INDEX(TABLAS!$D$52:$D$58,MIN(MATCH(DATOS!$C$26,TABLAS!$B$52:$B$58,0)+1,7)),1))*INDEX(TABLAS!$D$52:$D$58,MIN(MATCH(DATOS!$C$26,TABLAS!$B$52:$B$58,0)+1,7))&gt;=4/3*IF(BB34&lt;=0,0,IF((1-2*BB34*1E5/(DATOS!$C$58*P34*BF34^2*DATOS!$C$48))&lt;0,-1,IF((1-SQRT((1-2*BB34*1E5/(DATOS!$C$58*P34*BF34^2*DATOS!$C$48))))*DATOS!$C$48*P34*BF34/DATOS!$C$40&gt;DATOS!$C$82*P34*BF34,-1,(1-SQRT((1-2*BB34*1E5/(DATOS!$C$58*P34*BF34^2*DATOS!$C$48))))*DATOS!$C$48*P34*BF34/DATOS!$C$40)))-0.0001,MAX(DATOS!$C$29,CEILING(BG34/INDEX(TABLAS!$D$52:$D$58,MIN(MATCH(DATOS!$C$26,TABLAS!$B$52:$B$58,0)+1,7)),1)),MAX(MAX(DATOS!$C$29,CEILING(BG34/INDEX(TABLAS!$D$52:$D$58,MIN(MATCH(DATOS!$C$26,TABLAS!$B$52:$B$58,0)+1,7)),1)),2))&lt;=MIN(DATOS!$C$28,INT(((DATOS!$C$13-2*R34-2*IF(DATOS!$C$25=0,0,INDEX(TABLAS!$C$52:$C$58,MATCH(DATOS!$C$25,TABLAS!$B$52:$B$58,0))))+MAX(DATOS!$C$32,INDEX(TABLAS!$C$52:$C$58,MIN(MATCH(DATOS!$C$26,TABLAS!$B$52:$B$58,0)+1,7))))/(INDEX(TABLAS!$C$52:$C$58,MIN(MATCH(DATOS!$C$26,TABLAS!$B$52:$B$58,0)+1,7))+MAX(DATOS!$C$32,INDEX(TABLAS!$C$52:$C$58,MIN(MATCH(DATOS!$C$26,TABLAS!$B$52:$B$58,0)+1,7))))))),INDEX(TABLAS!$B$52:$B$58,MIN(MATCH(DATOS!$C$26,TABLAS!$B$52:$B$58,0)+1,7)),IF(AND(BG34&gt;=0,IF(MAX(DATOS!$C$29,CEILING(BG34/INDEX(TABLAS!$D$52:$D$58,MIN(MATCH(DATOS!$C$26,TABLAS!$B$52:$B$58,0)+2,7)),1))*INDEX(TABLAS!$D$52:$D$58,MIN(MATCH(DATOS!$C$26,TABLAS!$B$52:$B$58,0)+2,7))&gt;=4/3*IF(BB34&lt;=0,0,IF((1-2*BB34*1E5/(DATOS!$C$58*P34*BF34^2*DATOS!$C$48))&lt;0,-1,IF((1-SQRT((1-2*BB34*1E5/(DATOS!$C$58*P34*BF34^2*DATOS!$C$48))))*DATOS!$C$48*P34*BF34/DATOS!$C$40&gt;DATOS!$C$82*P34*BF34,-1,(1-SQRT((1-2*BB34*1E5/(DATOS!$C$58*P34*BF34^2*DATOS!$C$48))))*DATOS!$C$48*P34*BF34/DATOS!$C$40)))-0.0001,MAX(DATOS!$C$29,CEILING(BG34/INDEX(TABLAS!$D$52:$D$58,MIN(MATCH(DATOS!$C$26,TABLAS!$B$52:$B$58,0)+2,7)),1)),MAX(MAX(DATOS!$C$29,CEILING(BG34/INDEX(TABLAS!$D$52:$D$58,MIN(MATCH(DATOS!$C$26,TABLAS!$B$52:$B$58,0)+2,7)),1)),2))&lt;=MIN(DATOS!$C$28,INT(((DATOS!$C$13-2*R34-2*IF(DATOS!$C$25=0,0,INDEX(TABLAS!$C$52:$C$58,MATCH(DATOS!$C$25,TABLAS!$B$52:$B$58,0))))+MAX(DATOS!$C$32,INDEX(TABLAS!$C$52:$C$58,MIN(MATCH(DATOS!$C$26,TABLAS!$B$52:$B$58,0)+2,7))))/(INDEX(TABLAS!$C$52:$C$58,MIN(MATCH(DATOS!$C$26,TABLAS!$B$52:$B$58,0)+2,7))+MAX(DATOS!$C$32,INDEX(TABLAS!$C$52:$C$58,MIN(MATCH(DATOS!$C$26,TABLAS!$B$52:$B$58,0)+2,7))))))),INDEX(TABLAS!$B$52:$B$58,MIN(MATCH(DATOS!$C$26,TABLAS!$B$52:$B$58,0)+2,7)),IF(AND(BG34&gt;=0,IF(MAX(DATOS!$C$29,CEILING(BG34/INDEX(TABLAS!$D$52:$D$58,MIN(MATCH(DATOS!$C$26,TABLAS!$B$52:$B$58,0)+3,7)),1))*INDEX(TABLAS!$D$52:$D$58,MIN(MATCH(DATOS!$C$26,TABLAS!$B$52:$B$58,0)+3,7))&gt;=4/3*IF(BB34&lt;=0,0,IF((1-2*BB34*1E5/(DATOS!$C$58*P34*BF34^2*DATOS!$C$48))&lt;0,-1,IF((1-SQRT((1-2*BB34*1E5/(DATOS!$C$58*P34*BF34^2*DATOS!$C$48))))*DATOS!$C$48*P34*BF34/DATOS!$C$40&gt;DATOS!$C$82*P34*BF34,-1,(1-SQRT((1-2*BB34*1E5/(DATOS!$C$58*P34*BF34^2*DATOS!$C$48))))*DATOS!$C$48*P34*BF34/DATOS!$C$40)))-0.0001,MAX(DATOS!$C$29,CEILING(BG34/INDEX(TABLAS!$D$52:$D$58,MIN(MATCH(DATOS!$C$26,TABLAS!$B$52:$B$58,0)+3,7)),1)),MAX(MAX(DATOS!$C$29,CEILING(BG34/INDEX(TABLAS!$D$52:$D$58,MIN(MATCH(DATOS!$C$26,TABLAS!$B$52:$B$58,0)+3,7)),1)),2))&lt;=MIN(DATOS!$C$28,INT(((DATOS!$C$13-2*R34-2*IF(DATOS!$C$25=0,0,INDEX(TABLAS!$C$52:$C$58,MATCH(DATOS!$C$25,TABLAS!$B$52:$B$58,0))))+MAX(DATOS!$C$32,INDEX(TABLAS!$C$52:$C$58,MIN(MATCH(DATOS!$C$26,TABLAS!$B$52:$B$58,0)+3,7))))/(INDEX(TABLAS!$C$52:$C$58,MIN(MATCH(DATOS!$C$26,TABLAS!$B$52:$B$58,0)+3,7))+MAX(DATOS!$C$32,INDEX(TABLAS!$C$52:$C$58,MIN(MATCH(DATOS!$C$26,TABLAS!$B$52:$B$58,0)+3,7))))))),INDEX(TABLAS!$B$52:$B$58,MIN(MATCH(DATOS!$C$26,TABLAS!$B$52:$B$58,0)+3,7)),IF(AND(BG34&gt;=0,IF(MAX(DATOS!$C$29,CEILING(BG34/INDEX(TABLAS!$D$52:$D$58,MIN(MATCH(DATOS!$C$26,TABLAS!$B$52:$B$58,0)+4,7)),1))*INDEX(TABLAS!$D$52:$D$58,MIN(MATCH(DATOS!$C$26,TABLAS!$B$52:$B$58,0)+4,7))&gt;=4/3*IF(BB34&lt;=0,0,IF((1-2*BB34*1E5/(DATOS!$C$58*P34*BF34^2*DATOS!$C$48))&lt;0,-1,IF((1-SQRT((1-2*BB34*1E5/(DATOS!$C$58*P34*BF34^2*DATOS!$C$48))))*DATOS!$C$48*P34*BF34/DATOS!$C$40&gt;DATOS!$C$82*P34*BF34,-1,(1-SQRT((1-2*BB34*1E5/(DATOS!$C$58*P34*BF34^2*DATOS!$C$48))))*DATOS!$C$48*P34*BF34/DATOS!$C$40)))-0.0001,MAX(DATOS!$C$29,CEILING(BG34/INDEX(TABLAS!$D$52:$D$58,MIN(MATCH(DATOS!$C$26,TABLAS!$B$52:$B$58,0)+4,7)),1)),MAX(MAX(DATOS!$C$29,CEILING(BG34/INDEX(TABLAS!$D$52:$D$58,MIN(MATCH(DATOS!$C$26,TABLAS!$B$52:$B$58,0)+4,7)),1)),2))&lt;=MIN(DATOS!$C$28,INT(((DATOS!$C$13-2*R34-2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34" s="56">
        <f>IF(D34="HUECO",0,IF(BG34&lt;0,0,IF(MAX(DATOS!$C$29,CEILING(MAX(BG34,0)/INDEX(TABLAS!$D$52:$D$58,MATCH(BH34,TABLAS!$B$52:$B$58,0)),1))*INDEX(TABLAS!$D$52:$D$58,MATCH(BH34,TABLAS!$B$52:$B$58,0))&gt;=4/3*IF(BB34&lt;=0,0,IF((1-2*BB34*1E5/(DATOS!$C$58*P34*BF34^2*DATOS!$C$48))&lt;0,-1,IF((1-SQRT((1-2*BB34*1E5/(DATOS!$C$58*P34*BF34^2*DATOS!$C$48))))*DATOS!$C$48*P34*BF34/DATOS!$C$40&gt;DATOS!$C$82*P34*BF34,-1,(1-SQRT((1-2*BB34*1E5/(DATOS!$C$58*P34*BF34^2*DATOS!$C$48))))*DATOS!$C$48*P34*BF34/DATOS!$C$40)))-0.0001,MAX(DATOS!$C$29,CEILING(MAX(BG34,0)/INDEX(TABLAS!$D$52:$D$58,MATCH(BH34,TABLAS!$B$52:$B$58,0)),1)),MAX(MAX(DATOS!$C$29,CEILING(MAX(BG34,0)/INDEX(TABLAS!$D$52:$D$58,MATCH(BH34,TABLAS!$B$52:$B$58,0)),1)),2))))</f>
        <v>1</v>
      </c>
      <c r="BJ34" s="43">
        <f>DATOS!$C$15-R34-IF(DATOS!$C$25=0,0,INDEX(TABLAS!$C$52:$C$58,MATCH(DATOS!$C$25,TABLAS!$B$52:$B$58,0)))-INDEX(TABLAS!$C$52:$C$58,MATCH(BH34,TABLAS!$B$52:$B$58,0))/2</f>
        <v>20.365</v>
      </c>
      <c r="BK34" s="36">
        <f>IF(BI34=0,0,DATOS!$C$58*BI34*INDEX(TABLAS!$D$52:$D$58,MATCH(BH34,TABLAS!$B$52:$B$58,0))*DATOS!$C$40*(BJ34-BI34*INDEX(TABLAS!$D$52:$D$58,MATCH(BH34,TABLAS!$B$52:$B$58,0))*DATOS!$C$40/(DATOS!$C$48*P34)/2)/1E5)</f>
        <v>0.955752869788428</v>
      </c>
      <c r="BL34" s="62">
        <f>IF(BG34&lt;0,9.99,IF(BK34&gt;0,BB34/BK34,0))</f>
        <v>0.0282998554395625</v>
      </c>
      <c r="BM34" s="63">
        <f>IF(BI34=0,"—",0.003*(BJ34-(BI34*INDEX(TABLAS!$D$52:$D$58,MATCH(BH34,TABLAS!$B$52:$B$58,0))*DATOS!$C$40/(DATOS!$C$48*P34)/DATOS!$C$49))/(BI34*INDEX(TABLAS!$D$52:$D$58,MATCH(BH34,TABLAS!$B$52:$B$58,0))*DATOS!$C$40/(DATOS!$C$48*P34)/DATOS!$C$49))</f>
        <v>0.0539452947922525</v>
      </c>
      <c r="BN34" s="43">
        <f>((DATOS!$C$15-S34-2*DATOS!$C$35-IF(DATOS!$C$25=0,0,INDEX(TABLAS!$C$52:$C$58,MATCH(DATOS!$C$25,TABLAS!$B$52:$B$58,0)))-INDEX(TABLAS!$C$52:$C$58,MATCH(DATOS!$C$27,TABLAS!$B$52:$B$58,0))/2)-IF(AND((DATOS!$C$15-S34-2*DATOS!$C$35-IF(DATOS!$C$25=0,0,INDEX(TABLAS!$C$52:$C$58,MATCH(DATOS!$C$25,TABLAS!$B$52:$B$58,0)))-INDEX(TABLAS!$C$52:$C$58,MATCH(DATOS!$C$27,TABLAS!$B$52:$B$58,0))/2)&lt;=20,DATOS!$C$18&lt;&gt;"SÍ"),2,0))</f>
        <v>19.389</v>
      </c>
      <c r="BO34" s="43">
        <f>IF(D34="HUECO",0,IF(IF(BC34&lt;=0,0,IF((1-2*BC34*1E5/(DATOS!$C$58*DATOS!$C$19*BN34^2*DATOS!$C$48))&lt;0,-1,IF((1-SQRT((1-2*BC34*1E5/(DATOS!$C$58*DATOS!$C$19*BN34^2*DATOS!$C$48))))*DATOS!$C$48*DATOS!$C$19*BN34/DATOS!$C$40&gt;DATOS!$C$82*DATOS!$C$19*BN34,-1,(1-SQRT((1-2*BC34*1E5/(DATOS!$C$58*DATOS!$C$19*BN34^2*DATOS!$C$48))))*DATOS!$C$48*DATOS!$C$19*BN34/DATOS!$C$40)))&lt;0,-1,MAX(IF(BC34&lt;=0,0,IF((1-2*BC34*1E5/(DATOS!$C$58*DATOS!$C$19*BN34^2*DATOS!$C$48))&lt;0,-1,IF((1-SQRT((1-2*BC34*1E5/(DATOS!$C$58*DATOS!$C$19*BN34^2*DATOS!$C$48))))*DATOS!$C$48*DATOS!$C$19*BN34/DATOS!$C$40&gt;DATOS!$C$82*DATOS!$C$19*BN34,-1,(1-SQRT((1-2*BC34*1E5/(DATOS!$C$58*DATOS!$C$19*BN34^2*DATOS!$C$48))))*DATOS!$C$48*DATOS!$C$19*BN34/DATOS!$C$40))),MIN(DATOS!$C$83*IF(D34="VOLADO",2*DATOS!$C$13,DATOS!$C$13)*BN34,4/3*IF(BC34&lt;=0,0,IF((1-2*BC34*1E5/(DATOS!$C$58*DATOS!$C$19*BN34^2*DATOS!$C$48))&lt;0,-1,IF((1-SQRT((1-2*BC34*1E5/(DATOS!$C$58*DATOS!$C$19*BN34^2*DATOS!$C$48))))*DATOS!$C$48*DATOS!$C$19*BN34/DATOS!$C$40&gt;DATOS!$C$82*DATOS!$C$19*BN34,-1,(1-SQRT((1-2*BC34*1E5/(DATOS!$C$58*DATOS!$C$19*BN34^2*DATOS!$C$48))))*DATOS!$C$48*DATOS!$C$19*BN34/DATOS!$C$40)))))))</f>
        <v>0.477116712146238</v>
      </c>
      <c r="BP34" s="41">
        <f>IF(AND(BO34&gt;=0,IF(MAX(DATOS!$C$29,CEILING(BO34/INDEX(TABLAS!$D$52:$D$58,MIN(MATCH(DATOS!$C$27,TABLAS!$B$52:$B$58,0)+0,7)),1))*INDEX(TABLAS!$D$52:$D$58,MIN(MATCH(DATOS!$C$27,TABLAS!$B$52:$B$58,0)+0,7))&gt;=4/3*IF(BC34&lt;=0,0,IF((1-2*BC34*1E5/(DATOS!$C$58*DATOS!$C$19*BN34^2*DATOS!$C$48))&lt;0,-1,IF((1-SQRT((1-2*BC34*1E5/(DATOS!$C$58*DATOS!$C$19*BN34^2*DATOS!$C$48))))*DATOS!$C$48*DATOS!$C$19*BN34/DATOS!$C$40&gt;DATOS!$C$82*DATOS!$C$19*BN34,-1,(1-SQRT((1-2*BC34*1E5/(DATOS!$C$58*DATOS!$C$19*BN34^2*DATOS!$C$48))))*DATOS!$C$48*DATOS!$C$19*BN34/DATOS!$C$40)))-0.0001,MAX(DATOS!$C$29,CEILING(BO34/INDEX(TABLAS!$D$52:$D$58,MIN(MATCH(DATOS!$C$27,TABLAS!$B$52:$B$58,0)+0,7)),1)),MAX(MAX(DATOS!$C$29,CEILING(BO34/INDEX(TABLAS!$D$52:$D$58,MIN(MATCH(DATOS!$C$27,TABLAS!$B$52:$B$58,0)+0,7)),1)),2))&lt;=MIN(DATOS!$C$28,INT(((DATOS!$C$13-2*S34-2*IF(DATOS!$C$25=0,0,INDEX(TABLAS!$C$52:$C$58,MATCH(DATOS!$C$25,TABLAS!$B$52:$B$58,0))))+MAX(DATOS!$C$32,INDEX(TABLAS!$C$52:$C$58,MIN(MATCH(DATOS!$C$27,TABLAS!$B$52:$B$58,0)+0,7))))/(INDEX(TABLAS!$C$52:$C$58,MIN(MATCH(DATOS!$C$27,TABLAS!$B$52:$B$58,0)+0,7))+MAX(DATOS!$C$32,INDEX(TABLAS!$C$52:$C$58,MIN(MATCH(DATOS!$C$27,TABLAS!$B$52:$B$58,0)+0,7))))))),INDEX(TABLAS!$B$52:$B$58,MIN(MATCH(DATOS!$C$27,TABLAS!$B$52:$B$58,0)+0,7)),IF(AND(BO34&gt;=0,IF(MAX(DATOS!$C$29,CEILING(BO34/INDEX(TABLAS!$D$52:$D$58,MIN(MATCH(DATOS!$C$27,TABLAS!$B$52:$B$58,0)+1,7)),1))*INDEX(TABLAS!$D$52:$D$58,MIN(MATCH(DATOS!$C$27,TABLAS!$B$52:$B$58,0)+1,7))&gt;=4/3*IF(BC34&lt;=0,0,IF((1-2*BC34*1E5/(DATOS!$C$58*DATOS!$C$19*BN34^2*DATOS!$C$48))&lt;0,-1,IF((1-SQRT((1-2*BC34*1E5/(DATOS!$C$58*DATOS!$C$19*BN34^2*DATOS!$C$48))))*DATOS!$C$48*DATOS!$C$19*BN34/DATOS!$C$40&gt;DATOS!$C$82*DATOS!$C$19*BN34,-1,(1-SQRT((1-2*BC34*1E5/(DATOS!$C$58*DATOS!$C$19*BN34^2*DATOS!$C$48))))*DATOS!$C$48*DATOS!$C$19*BN34/DATOS!$C$40)))-0.0001,MAX(DATOS!$C$29,CEILING(BO34/INDEX(TABLAS!$D$52:$D$58,MIN(MATCH(DATOS!$C$27,TABLAS!$B$52:$B$58,0)+1,7)),1)),MAX(MAX(DATOS!$C$29,CEILING(BO34/INDEX(TABLAS!$D$52:$D$58,MIN(MATCH(DATOS!$C$27,TABLAS!$B$52:$B$58,0)+1,7)),1)),2))&lt;=MIN(DATOS!$C$28,INT(((DATOS!$C$13-2*S34-2*IF(DATOS!$C$25=0,0,INDEX(TABLAS!$C$52:$C$58,MATCH(DATOS!$C$25,TABLAS!$B$52:$B$58,0))))+MAX(DATOS!$C$32,INDEX(TABLAS!$C$52:$C$58,MIN(MATCH(DATOS!$C$27,TABLAS!$B$52:$B$58,0)+1,7))))/(INDEX(TABLAS!$C$52:$C$58,MIN(MATCH(DATOS!$C$27,TABLAS!$B$52:$B$58,0)+1,7))+MAX(DATOS!$C$32,INDEX(TABLAS!$C$52:$C$58,MIN(MATCH(DATOS!$C$27,TABLAS!$B$52:$B$58,0)+1,7))))))),INDEX(TABLAS!$B$52:$B$58,MIN(MATCH(DATOS!$C$27,TABLAS!$B$52:$B$58,0)+1,7)),IF(AND(BO34&gt;=0,IF(MAX(DATOS!$C$29,CEILING(BO34/INDEX(TABLAS!$D$52:$D$58,MIN(MATCH(DATOS!$C$27,TABLAS!$B$52:$B$58,0)+2,7)),1))*INDEX(TABLAS!$D$52:$D$58,MIN(MATCH(DATOS!$C$27,TABLAS!$B$52:$B$58,0)+2,7))&gt;=4/3*IF(BC34&lt;=0,0,IF((1-2*BC34*1E5/(DATOS!$C$58*DATOS!$C$19*BN34^2*DATOS!$C$48))&lt;0,-1,IF((1-SQRT((1-2*BC34*1E5/(DATOS!$C$58*DATOS!$C$19*BN34^2*DATOS!$C$48))))*DATOS!$C$48*DATOS!$C$19*BN34/DATOS!$C$40&gt;DATOS!$C$82*DATOS!$C$19*BN34,-1,(1-SQRT((1-2*BC34*1E5/(DATOS!$C$58*DATOS!$C$19*BN34^2*DATOS!$C$48))))*DATOS!$C$48*DATOS!$C$19*BN34/DATOS!$C$40)))-0.0001,MAX(DATOS!$C$29,CEILING(BO34/INDEX(TABLAS!$D$52:$D$58,MIN(MATCH(DATOS!$C$27,TABLAS!$B$52:$B$58,0)+2,7)),1)),MAX(MAX(DATOS!$C$29,CEILING(BO34/INDEX(TABLAS!$D$52:$D$58,MIN(MATCH(DATOS!$C$27,TABLAS!$B$52:$B$58,0)+2,7)),1)),2))&lt;=MIN(DATOS!$C$28,INT(((DATOS!$C$13-2*S34-2*IF(DATOS!$C$25=0,0,INDEX(TABLAS!$C$52:$C$58,MATCH(DATOS!$C$25,TABLAS!$B$52:$B$58,0))))+MAX(DATOS!$C$32,INDEX(TABLAS!$C$52:$C$58,MIN(MATCH(DATOS!$C$27,TABLAS!$B$52:$B$58,0)+2,7))))/(INDEX(TABLAS!$C$52:$C$58,MIN(MATCH(DATOS!$C$27,TABLAS!$B$52:$B$58,0)+2,7))+MAX(DATOS!$C$32,INDEX(TABLAS!$C$52:$C$58,MIN(MATCH(DATOS!$C$27,TABLAS!$B$52:$B$58,0)+2,7))))))),INDEX(TABLAS!$B$52:$B$58,MIN(MATCH(DATOS!$C$27,TABLAS!$B$52:$B$58,0)+2,7)),IF(AND(BO34&gt;=0,IF(MAX(DATOS!$C$29,CEILING(BO34/INDEX(TABLAS!$D$52:$D$58,MIN(MATCH(DATOS!$C$27,TABLAS!$B$52:$B$58,0)+3,7)),1))*INDEX(TABLAS!$D$52:$D$58,MIN(MATCH(DATOS!$C$27,TABLAS!$B$52:$B$58,0)+3,7))&gt;=4/3*IF(BC34&lt;=0,0,IF((1-2*BC34*1E5/(DATOS!$C$58*DATOS!$C$19*BN34^2*DATOS!$C$48))&lt;0,-1,IF((1-SQRT((1-2*BC34*1E5/(DATOS!$C$58*DATOS!$C$19*BN34^2*DATOS!$C$48))))*DATOS!$C$48*DATOS!$C$19*BN34/DATOS!$C$40&gt;DATOS!$C$82*DATOS!$C$19*BN34,-1,(1-SQRT((1-2*BC34*1E5/(DATOS!$C$58*DATOS!$C$19*BN34^2*DATOS!$C$48))))*DATOS!$C$48*DATOS!$C$19*BN34/DATOS!$C$40)))-0.0001,MAX(DATOS!$C$29,CEILING(BO34/INDEX(TABLAS!$D$52:$D$58,MIN(MATCH(DATOS!$C$27,TABLAS!$B$52:$B$58,0)+3,7)),1)),MAX(MAX(DATOS!$C$29,CEILING(BO34/INDEX(TABLAS!$D$52:$D$58,MIN(MATCH(DATOS!$C$27,TABLAS!$B$52:$B$58,0)+3,7)),1)),2))&lt;=MIN(DATOS!$C$28,INT(((DATOS!$C$13-2*S34-2*IF(DATOS!$C$25=0,0,INDEX(TABLAS!$C$52:$C$58,MATCH(DATOS!$C$25,TABLAS!$B$52:$B$58,0))))+MAX(DATOS!$C$32,INDEX(TABLAS!$C$52:$C$58,MIN(MATCH(DATOS!$C$27,TABLAS!$B$52:$B$58,0)+3,7))))/(INDEX(TABLAS!$C$52:$C$58,MIN(MATCH(DATOS!$C$27,TABLAS!$B$52:$B$58,0)+3,7))+MAX(DATOS!$C$32,INDEX(TABLAS!$C$52:$C$58,MIN(MATCH(DATOS!$C$27,TABLAS!$B$52:$B$58,0)+3,7))))))),INDEX(TABLAS!$B$52:$B$58,MIN(MATCH(DATOS!$C$27,TABLAS!$B$52:$B$58,0)+3,7)),IF(AND(BO34&gt;=0,IF(MAX(DATOS!$C$29,CEILING(BO34/INDEX(TABLAS!$D$52:$D$58,MIN(MATCH(DATOS!$C$27,TABLAS!$B$52:$B$58,0)+4,7)),1))*INDEX(TABLAS!$D$52:$D$58,MIN(MATCH(DATOS!$C$27,TABLAS!$B$52:$B$58,0)+4,7))&gt;=4/3*IF(BC34&lt;=0,0,IF((1-2*BC34*1E5/(DATOS!$C$58*DATOS!$C$19*BN34^2*DATOS!$C$48))&lt;0,-1,IF((1-SQRT((1-2*BC34*1E5/(DATOS!$C$58*DATOS!$C$19*BN34^2*DATOS!$C$48))))*DATOS!$C$48*DATOS!$C$19*BN34/DATOS!$C$40&gt;DATOS!$C$82*DATOS!$C$19*BN34,-1,(1-SQRT((1-2*BC34*1E5/(DATOS!$C$58*DATOS!$C$19*BN34^2*DATOS!$C$48))))*DATOS!$C$48*DATOS!$C$19*BN34/DATOS!$C$40)))-0.0001,MAX(DATOS!$C$29,CEILING(BO34/INDEX(TABLAS!$D$52:$D$58,MIN(MATCH(DATOS!$C$27,TABLAS!$B$52:$B$58,0)+4,7)),1)),MAX(MAX(DATOS!$C$29,CEILING(BO34/INDEX(TABLAS!$D$52:$D$58,MIN(MATCH(DATOS!$C$27,TABLAS!$B$52:$B$58,0)+4,7)),1)),2))&lt;=MIN(DATOS!$C$28,INT(((DATOS!$C$13-2*S34-2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34" s="56">
        <f>IF(D34="HUECO",0,IF(BO34&lt;0,0,IF(MAX(DATOS!$C$29,CEILING(MAX(BO34,0)/INDEX(TABLAS!$D$52:$D$58,MATCH(BP34,TABLAS!$B$52:$B$58,0)),1))*INDEX(TABLAS!$D$52:$D$58,MATCH(BP34,TABLAS!$B$52:$B$58,0))&gt;=4/3*IF(BC34&lt;=0,0,IF((1-2*BC34*1E5/(DATOS!$C$58*DATOS!$C$19*BN34^2*DATOS!$C$48))&lt;0,-1,IF((1-SQRT((1-2*BC34*1E5/(DATOS!$C$58*DATOS!$C$19*BN34^2*DATOS!$C$48))))*DATOS!$C$48*DATOS!$C$19*BN34/DATOS!$C$40&gt;DATOS!$C$82*DATOS!$C$19*BN34,-1,(1-SQRT((1-2*BC34*1E5/(DATOS!$C$58*DATOS!$C$19*BN34^2*DATOS!$C$48))))*DATOS!$C$48*DATOS!$C$19*BN34/DATOS!$C$40)))-0.0001,MAX(DATOS!$C$29,CEILING(MAX(BO34,0)/INDEX(TABLAS!$D$52:$D$58,MATCH(BP34,TABLAS!$B$52:$B$58,0)),1)),MAX(MAX(DATOS!$C$29,CEILING(MAX(BO34,0)/INDEX(TABLAS!$D$52:$D$58,MATCH(BP34,TABLAS!$B$52:$B$58,0)),1)),2))))</f>
        <v>1</v>
      </c>
      <c r="BR34" s="43">
        <f>((DATOS!$C$15-S34-2*DATOS!$C$35-IF(DATOS!$C$25=0,0,INDEX(TABLAS!$C$52:$C$58,MATCH(DATOS!$C$25,TABLAS!$B$52:$B$58,0)))-INDEX(TABLAS!$C$52:$C$58,MATCH(BP34,TABLAS!$B$52:$B$58,0))/2)-IF(AND((DATOS!$C$15-S34-2*DATOS!$C$35-IF(DATOS!$C$25=0,0,INDEX(TABLAS!$C$52:$C$58,MATCH(DATOS!$C$25,TABLAS!$B$52:$B$58,0)))-INDEX(TABLAS!$C$52:$C$58,MATCH(BP34,TABLAS!$B$52:$B$58,0))/2)&lt;=20,DATOS!$C$18&lt;&gt;"SÍ"),2,0))</f>
        <v>19.389</v>
      </c>
      <c r="BS34" s="36">
        <f>IF(BQ34=0,0,DATOS!$C$58*BQ34*INDEX(TABLAS!$D$52:$D$58,MATCH(BP34,TABLAS!$B$52:$B$58,0))*DATOS!$C$40*(BR34-BQ34*INDEX(TABLAS!$D$52:$D$58,MATCH(BP34,TABLAS!$B$52:$B$58,0))*DATOS!$C$40/(DATOS!$C$48*DATOS!$C$19)/2)/1E5)</f>
        <v>0.870537980117647</v>
      </c>
      <c r="BT34" s="62">
        <f>IF(BO34&lt;0,9.99,IF(BS34&gt;0,BC34/BS34,0))</f>
        <v>0.295768108941895</v>
      </c>
      <c r="BU34" s="63">
        <f>IF(BQ34=0,"—",0.003*(BR34-(BQ34*INDEX(TABLAS!$D$52:$D$58,MATCH(BP34,TABLAS!$B$52:$B$58,0))*DATOS!$C$40/(DATOS!$C$48*DATOS!$C$19)/DATOS!$C$49))/(BQ34*INDEX(TABLAS!$D$52:$D$58,MATCH(BP34,TABLAS!$B$52:$B$58,0))*DATOS!$C$40/(DATOS!$C$48*DATOS!$C$19)/DATOS!$C$49))</f>
        <v>0.0166970648200225</v>
      </c>
      <c r="BV34" s="43">
        <f>(DATOS!$C$15-R34-IF(DATOS!$C$25=0,0,INDEX(TABLAS!$C$52:$C$58,MATCH(DATOS!$C$25,TABLAS!$B$52:$B$58,0)))-INDEX(TABLAS!$C$52:$C$58,MATCH(DATOS!$C$26,TABLAS!$B$52:$B$58,0))-INDEX(TABLAS!$C$52:$C$58,MATCH(DATOS!$C$26,TABLAS!$B$52:$B$58,0))/2)</f>
        <v>19.095</v>
      </c>
      <c r="BW34" s="43">
        <f>IF(D34="HUECO",0,IF(IF(BD34&lt;=0,0,IF((1-2*BD34*1E5/(DATOS!$C$58*Q34*BV34^2*DATOS!$C$48))&lt;0,-1,IF((1-SQRT((1-2*BD34*1E5/(DATOS!$C$58*Q34*BV34^2*DATOS!$C$48))))*DATOS!$C$48*Q34*BV34/DATOS!$C$40&gt;DATOS!$C$82*Q34*BV34,-1,(1-SQRT((1-2*BD34*1E5/(DATOS!$C$58*Q34*BV34^2*DATOS!$C$48))))*DATOS!$C$48*Q34*BV34/DATOS!$C$40)))&lt;0,-1,MAX(IF(BD34&lt;=0,0,IF((1-2*BD34*1E5/(DATOS!$C$58*Q34*BV34^2*DATOS!$C$48))&lt;0,-1,IF((1-SQRT((1-2*BD34*1E5/(DATOS!$C$58*Q34*BV34^2*DATOS!$C$48))))*DATOS!$C$48*Q34*BV34/DATOS!$C$40&gt;DATOS!$C$82*Q34*BV34,-1,(1-SQRT((1-2*BD34*1E5/(DATOS!$C$58*Q34*BV34^2*DATOS!$C$48))))*DATOS!$C$48*Q34*BV34/DATOS!$C$40))),MIN(DATOS!$C$83*DATOS!$C$13*BV34,4/3*IF(BD34&lt;=0,0,IF((1-2*BD34*1E5/(DATOS!$C$58*Q34*BV34^2*DATOS!$C$48))&lt;0,-1,IF((1-SQRT((1-2*BD34*1E5/(DATOS!$C$58*Q34*BV34^2*DATOS!$C$48))))*DATOS!$C$48*Q34*BV34/DATOS!$C$40&gt;DATOS!$C$82*Q34*BV34,-1,(1-SQRT((1-2*BD34*1E5/(DATOS!$C$58*Q34*BV34^2*DATOS!$C$48))))*DATOS!$C$48*Q34*BV34/DATOS!$C$40)))))))</f>
        <v>0.0215283016510227</v>
      </c>
      <c r="BX34" s="41">
        <f>IF(AND(BW34&gt;=0,IF(MAX(DATOS!$C$29,CEILING(BW34/INDEX(TABLAS!$D$52:$D$58,MIN(MATCH(DATOS!$C$26,TABLAS!$B$52:$B$58,0)+0,7)),1))*INDEX(TABLAS!$D$52:$D$58,MIN(MATCH(DATOS!$C$26,TABLAS!$B$52:$B$58,0)+0,7))&gt;=4/3*IF(BD34&lt;=0,0,IF((1-2*BD34*1E5/(DATOS!$C$58*Q34*BV34^2*DATOS!$C$48))&lt;0,-1,IF((1-SQRT((1-2*BD34*1E5/(DATOS!$C$58*Q34*BV34^2*DATOS!$C$48))))*DATOS!$C$48*Q34*BV34/DATOS!$C$40&gt;DATOS!$C$82*Q34*BV34,-1,(1-SQRT((1-2*BD34*1E5/(DATOS!$C$58*Q34*BV34^2*DATOS!$C$48))))*DATOS!$C$48*Q34*BV34/DATOS!$C$40)))-0.0001,MAX(DATOS!$C$29,CEILING(BW34/INDEX(TABLAS!$D$52:$D$58,MIN(MATCH(DATOS!$C$26,TABLAS!$B$52:$B$58,0)+0,7)),1)),MAX(MAX(DATOS!$C$29,CEILING(BW34/INDEX(TABLAS!$D$52:$D$58,MIN(MATCH(DATOS!$C$26,TABLAS!$B$52:$B$58,0)+0,7)),1)),2))&lt;=MIN(DATOS!$C$28,INT(((DATOS!$C$13-2*R34-2*IF(DATOS!$C$25=0,0,INDEX(TABLAS!$C$52:$C$58,MATCH(DATOS!$C$25,TABLAS!$B$52:$B$58,0))))+MAX(DATOS!$C$32,INDEX(TABLAS!$C$52:$C$58,MIN(MATCH(DATOS!$C$26,TABLAS!$B$52:$B$58,0)+0,7))))/(INDEX(TABLAS!$C$52:$C$58,MIN(MATCH(DATOS!$C$26,TABLAS!$B$52:$B$58,0)+0,7))+MAX(DATOS!$C$32,INDEX(TABLAS!$C$52:$C$58,MIN(MATCH(DATOS!$C$26,TABLAS!$B$52:$B$58,0)+0,7))))))),INDEX(TABLAS!$B$52:$B$58,MIN(MATCH(DATOS!$C$26,TABLAS!$B$52:$B$58,0)+0,7)),IF(AND(BW34&gt;=0,IF(MAX(DATOS!$C$29,CEILING(BW34/INDEX(TABLAS!$D$52:$D$58,MIN(MATCH(DATOS!$C$26,TABLAS!$B$52:$B$58,0)+1,7)),1))*INDEX(TABLAS!$D$52:$D$58,MIN(MATCH(DATOS!$C$26,TABLAS!$B$52:$B$58,0)+1,7))&gt;=4/3*IF(BD34&lt;=0,0,IF((1-2*BD34*1E5/(DATOS!$C$58*Q34*BV34^2*DATOS!$C$48))&lt;0,-1,IF((1-SQRT((1-2*BD34*1E5/(DATOS!$C$58*Q34*BV34^2*DATOS!$C$48))))*DATOS!$C$48*Q34*BV34/DATOS!$C$40&gt;DATOS!$C$82*Q34*BV34,-1,(1-SQRT((1-2*BD34*1E5/(DATOS!$C$58*Q34*BV34^2*DATOS!$C$48))))*DATOS!$C$48*Q34*BV34/DATOS!$C$40)))-0.0001,MAX(DATOS!$C$29,CEILING(BW34/INDEX(TABLAS!$D$52:$D$58,MIN(MATCH(DATOS!$C$26,TABLAS!$B$52:$B$58,0)+1,7)),1)),MAX(MAX(DATOS!$C$29,CEILING(BW34/INDEX(TABLAS!$D$52:$D$58,MIN(MATCH(DATOS!$C$26,TABLAS!$B$52:$B$58,0)+1,7)),1)),2))&lt;=MIN(DATOS!$C$28,INT(((DATOS!$C$13-2*R34-2*IF(DATOS!$C$25=0,0,INDEX(TABLAS!$C$52:$C$58,MATCH(DATOS!$C$25,TABLAS!$B$52:$B$58,0))))+MAX(DATOS!$C$32,INDEX(TABLAS!$C$52:$C$58,MIN(MATCH(DATOS!$C$26,TABLAS!$B$52:$B$58,0)+1,7))))/(INDEX(TABLAS!$C$52:$C$58,MIN(MATCH(DATOS!$C$26,TABLAS!$B$52:$B$58,0)+1,7))+MAX(DATOS!$C$32,INDEX(TABLAS!$C$52:$C$58,MIN(MATCH(DATOS!$C$26,TABLAS!$B$52:$B$58,0)+1,7))))))),INDEX(TABLAS!$B$52:$B$58,MIN(MATCH(DATOS!$C$26,TABLAS!$B$52:$B$58,0)+1,7)),IF(AND(BW34&gt;=0,IF(MAX(DATOS!$C$29,CEILING(BW34/INDEX(TABLAS!$D$52:$D$58,MIN(MATCH(DATOS!$C$26,TABLAS!$B$52:$B$58,0)+2,7)),1))*INDEX(TABLAS!$D$52:$D$58,MIN(MATCH(DATOS!$C$26,TABLAS!$B$52:$B$58,0)+2,7))&gt;=4/3*IF(BD34&lt;=0,0,IF((1-2*BD34*1E5/(DATOS!$C$58*Q34*BV34^2*DATOS!$C$48))&lt;0,-1,IF((1-SQRT((1-2*BD34*1E5/(DATOS!$C$58*Q34*BV34^2*DATOS!$C$48))))*DATOS!$C$48*Q34*BV34/DATOS!$C$40&gt;DATOS!$C$82*Q34*BV34,-1,(1-SQRT((1-2*BD34*1E5/(DATOS!$C$58*Q34*BV34^2*DATOS!$C$48))))*DATOS!$C$48*Q34*BV34/DATOS!$C$40)))-0.0001,MAX(DATOS!$C$29,CEILING(BW34/INDEX(TABLAS!$D$52:$D$58,MIN(MATCH(DATOS!$C$26,TABLAS!$B$52:$B$58,0)+2,7)),1)),MAX(MAX(DATOS!$C$29,CEILING(BW34/INDEX(TABLAS!$D$52:$D$58,MIN(MATCH(DATOS!$C$26,TABLAS!$B$52:$B$58,0)+2,7)),1)),2))&lt;=MIN(DATOS!$C$28,INT(((DATOS!$C$13-2*R34-2*IF(DATOS!$C$25=0,0,INDEX(TABLAS!$C$52:$C$58,MATCH(DATOS!$C$25,TABLAS!$B$52:$B$58,0))))+MAX(DATOS!$C$32,INDEX(TABLAS!$C$52:$C$58,MIN(MATCH(DATOS!$C$26,TABLAS!$B$52:$B$58,0)+2,7))))/(INDEX(TABLAS!$C$52:$C$58,MIN(MATCH(DATOS!$C$26,TABLAS!$B$52:$B$58,0)+2,7))+MAX(DATOS!$C$32,INDEX(TABLAS!$C$52:$C$58,MIN(MATCH(DATOS!$C$26,TABLAS!$B$52:$B$58,0)+2,7))))))),INDEX(TABLAS!$B$52:$B$58,MIN(MATCH(DATOS!$C$26,TABLAS!$B$52:$B$58,0)+2,7)),IF(AND(BW34&gt;=0,IF(MAX(DATOS!$C$29,CEILING(BW34/INDEX(TABLAS!$D$52:$D$58,MIN(MATCH(DATOS!$C$26,TABLAS!$B$52:$B$58,0)+3,7)),1))*INDEX(TABLAS!$D$52:$D$58,MIN(MATCH(DATOS!$C$26,TABLAS!$B$52:$B$58,0)+3,7))&gt;=4/3*IF(BD34&lt;=0,0,IF((1-2*BD34*1E5/(DATOS!$C$58*Q34*BV34^2*DATOS!$C$48))&lt;0,-1,IF((1-SQRT((1-2*BD34*1E5/(DATOS!$C$58*Q34*BV34^2*DATOS!$C$48))))*DATOS!$C$48*Q34*BV34/DATOS!$C$40&gt;DATOS!$C$82*Q34*BV34,-1,(1-SQRT((1-2*BD34*1E5/(DATOS!$C$58*Q34*BV34^2*DATOS!$C$48))))*DATOS!$C$48*Q34*BV34/DATOS!$C$40)))-0.0001,MAX(DATOS!$C$29,CEILING(BW34/INDEX(TABLAS!$D$52:$D$58,MIN(MATCH(DATOS!$C$26,TABLAS!$B$52:$B$58,0)+3,7)),1)),MAX(MAX(DATOS!$C$29,CEILING(BW34/INDEX(TABLAS!$D$52:$D$58,MIN(MATCH(DATOS!$C$26,TABLAS!$B$52:$B$58,0)+3,7)),1)),2))&lt;=MIN(DATOS!$C$28,INT(((DATOS!$C$13-2*R34-2*IF(DATOS!$C$25=0,0,INDEX(TABLAS!$C$52:$C$58,MATCH(DATOS!$C$25,TABLAS!$B$52:$B$58,0))))+MAX(DATOS!$C$32,INDEX(TABLAS!$C$52:$C$58,MIN(MATCH(DATOS!$C$26,TABLAS!$B$52:$B$58,0)+3,7))))/(INDEX(TABLAS!$C$52:$C$58,MIN(MATCH(DATOS!$C$26,TABLAS!$B$52:$B$58,0)+3,7))+MAX(DATOS!$C$32,INDEX(TABLAS!$C$52:$C$58,MIN(MATCH(DATOS!$C$26,TABLAS!$B$52:$B$58,0)+3,7))))))),INDEX(TABLAS!$B$52:$B$58,MIN(MATCH(DATOS!$C$26,TABLAS!$B$52:$B$58,0)+3,7)),IF(AND(BW34&gt;=0,IF(MAX(DATOS!$C$29,CEILING(BW34/INDEX(TABLAS!$D$52:$D$58,MIN(MATCH(DATOS!$C$26,TABLAS!$B$52:$B$58,0)+4,7)),1))*INDEX(TABLAS!$D$52:$D$58,MIN(MATCH(DATOS!$C$26,TABLAS!$B$52:$B$58,0)+4,7))&gt;=4/3*IF(BD34&lt;=0,0,IF((1-2*BD34*1E5/(DATOS!$C$58*Q34*BV34^2*DATOS!$C$48))&lt;0,-1,IF((1-SQRT((1-2*BD34*1E5/(DATOS!$C$58*Q34*BV34^2*DATOS!$C$48))))*DATOS!$C$48*Q34*BV34/DATOS!$C$40&gt;DATOS!$C$82*Q34*BV34,-1,(1-SQRT((1-2*BD34*1E5/(DATOS!$C$58*Q34*BV34^2*DATOS!$C$48))))*DATOS!$C$48*Q34*BV34/DATOS!$C$40)))-0.0001,MAX(DATOS!$C$29,CEILING(BW34/INDEX(TABLAS!$D$52:$D$58,MIN(MATCH(DATOS!$C$26,TABLAS!$B$52:$B$58,0)+4,7)),1)),MAX(MAX(DATOS!$C$29,CEILING(BW34/INDEX(TABLAS!$D$52:$D$58,MIN(MATCH(DATOS!$C$26,TABLAS!$B$52:$B$58,0)+4,7)),1)),2))&lt;=MIN(DATOS!$C$28,INT(((DATOS!$C$13-2*R34-2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34" s="56">
        <f>IF(D34="HUECO",0,IF(BW34&lt;0,0,IF(MAX(DATOS!$C$29,CEILING(MAX(BW34,0)/INDEX(TABLAS!$D$52:$D$58,MATCH(BX34,TABLAS!$B$52:$B$58,0)),1))*INDEX(TABLAS!$D$52:$D$58,MATCH(BX34,TABLAS!$B$52:$B$58,0))&gt;=4/3*IF(BD34&lt;=0,0,IF((1-2*BD34*1E5/(DATOS!$C$58*Q34*BV34^2*DATOS!$C$48))&lt;0,-1,IF((1-SQRT((1-2*BD34*1E5/(DATOS!$C$58*Q34*BV34^2*DATOS!$C$48))))*DATOS!$C$48*Q34*BV34/DATOS!$C$40&gt;DATOS!$C$82*Q34*BV34,-1,(1-SQRT((1-2*BD34*1E5/(DATOS!$C$58*Q34*BV34^2*DATOS!$C$48))))*DATOS!$C$48*Q34*BV34/DATOS!$C$40)))-0.0001,MAX(DATOS!$C$29,CEILING(MAX(BW34,0)/INDEX(TABLAS!$D$52:$D$58,MATCH(BX34,TABLAS!$B$52:$B$58,0)),1)),MAX(MAX(DATOS!$C$29,CEILING(MAX(BW34,0)/INDEX(TABLAS!$D$52:$D$58,MATCH(BX34,TABLAS!$B$52:$B$58,0)),1)),2))))</f>
        <v>1</v>
      </c>
      <c r="BZ34" s="43">
        <f>DATOS!$C$15-R34-IF(DATOS!$C$25=0,0,INDEX(TABLAS!$C$52:$C$58,MATCH(DATOS!$C$25,TABLAS!$B$52:$B$58,0)))-INDEX(TABLAS!$C$52:$C$58,MATCH(BH34,TABLAS!$B$52:$B$58,0))-INDEX(TABLAS!$C$52:$C$58,MATCH(BX34,TABLAS!$B$52:$B$58,0))/2</f>
        <v>19.095</v>
      </c>
      <c r="CA34" s="36">
        <f>IF(BY34=0,0,DATOS!$C$58*BY34*INDEX(TABLAS!$D$52:$D$58,MATCH(BX34,TABLAS!$B$52:$B$58,0))*DATOS!$C$40*(BZ34-BY34*INDEX(TABLAS!$D$52:$D$58,MATCH(BX34,TABLAS!$B$52:$B$58,0))*DATOS!$C$40/(DATOS!$C$48*Q34)/2)/1E5)</f>
        <v>0.908067376588235</v>
      </c>
      <c r="CB34" s="62">
        <f>IF(BW34&lt;0,9.99,IF(CA34&gt;0,BD34/CA34,0))</f>
        <v>0.0128325384899587</v>
      </c>
      <c r="CC34" s="63">
        <f>IF(BY34=0,"—",0.003*(BZ34-(BY34*INDEX(TABLAS!$D$52:$D$58,MATCH(BX34,TABLAS!$B$52:$B$58,0))*DATOS!$C$40/(DATOS!$C$48*Q34)/DATOS!$C$49))/(BY34*INDEX(TABLAS!$D$52:$D$58,MATCH(BX34,TABLAS!$B$52:$B$58,0))*DATOS!$C$40/(DATOS!$C$48*Q34)/DATOS!$C$49))</f>
        <v>0.13278875492126</v>
      </c>
      <c r="CD34" s="43">
        <f>((DATOS!$C$15-S34-2*DATOS!$C$35-IF(DATOS!$C$25=0,0,INDEX(TABLAS!$C$52:$C$58,MATCH(DATOS!$C$25,TABLAS!$B$52:$B$58,0)))-INDEX(TABLAS!$C$52:$C$58,MATCH(DATOS!$C$27,TABLAS!$B$52:$B$58,0))-INDEX(TABLAS!$C$52:$C$58,MATCH(DATOS!$C$27,TABLAS!$B$52:$B$58,0))/2)-IF(AND((DATOS!$C$15-S34-2*DATOS!$C$35-IF(DATOS!$C$25=0,0,INDEX(TABLAS!$C$52:$C$58,MATCH(DATOS!$C$25,TABLAS!$B$52:$B$58,0)))-INDEX(TABLAS!$C$52:$C$58,MATCH(DATOS!$C$27,TABLAS!$B$52:$B$58,0))-INDEX(TABLAS!$C$52:$C$58,MATCH(DATOS!$C$27,TABLAS!$B$52:$B$58,0))/2)&lt;=20,DATOS!$C$18&lt;&gt;"SÍ"),2,0))</f>
        <v>18.119</v>
      </c>
      <c r="CE34" s="43">
        <f>IF(D34="HUECO",0,IF(IF(BE34&lt;=0,0,IF((1-2*BE34*1E5/(DATOS!$C$58*DATOS!$C$19*CD34^2*DATOS!$C$48))&lt;0,-1,IF((1-SQRT((1-2*BE34*1E5/(DATOS!$C$58*DATOS!$C$19*CD34^2*DATOS!$C$48))))*DATOS!$C$48*DATOS!$C$19*CD34/DATOS!$C$40&gt;DATOS!$C$82*DATOS!$C$19*CD34,-1,(1-SQRT((1-2*BE34*1E5/(DATOS!$C$58*DATOS!$C$19*CD34^2*DATOS!$C$48))))*DATOS!$C$48*DATOS!$C$19*CD34/DATOS!$C$40)))&lt;0,-1,MAX(IF(BE34&lt;=0,0,IF((1-2*BE34*1E5/(DATOS!$C$58*DATOS!$C$19*CD34^2*DATOS!$C$48))&lt;0,-1,IF((1-SQRT((1-2*BE34*1E5/(DATOS!$C$58*DATOS!$C$19*CD34^2*DATOS!$C$48))))*DATOS!$C$48*DATOS!$C$19*CD34/DATOS!$C$40&gt;DATOS!$C$82*DATOS!$C$19*CD34,-1,(1-SQRT((1-2*BE34*1E5/(DATOS!$C$58*DATOS!$C$19*CD34^2*DATOS!$C$48))))*DATOS!$C$48*DATOS!$C$19*CD34/DATOS!$C$40))),MIN(DATOS!$C$83*DATOS!$C$13*CD34,4/3*IF(BE34&lt;=0,0,IF((1-2*BE34*1E5/(DATOS!$C$58*DATOS!$C$19*CD34^2*DATOS!$C$48))&lt;0,-1,IF((1-SQRT((1-2*BE34*1E5/(DATOS!$C$58*DATOS!$C$19*CD34^2*DATOS!$C$48))))*DATOS!$C$48*DATOS!$C$19*CD34/DATOS!$C$40&gt;DATOS!$C$82*DATOS!$C$19*CD34,-1,(1-SQRT((1-2*BE34*1E5/(DATOS!$C$58*DATOS!$C$19*CD34^2*DATOS!$C$48))))*DATOS!$C$48*DATOS!$C$19*CD34/DATOS!$C$40)))))))</f>
        <v>0.25602458234774</v>
      </c>
      <c r="CF34" s="41">
        <f>IF(AND(CE34&gt;=0,IF(MAX(DATOS!$C$29,CEILING(CE34/INDEX(TABLAS!$D$52:$D$58,MIN(MATCH(DATOS!$C$27,TABLAS!$B$52:$B$58,0)+0,7)),1))*INDEX(TABLAS!$D$52:$D$58,MIN(MATCH(DATOS!$C$27,TABLAS!$B$52:$B$58,0)+0,7))&gt;=4/3*IF(BE34&lt;=0,0,IF((1-2*BE34*1E5/(DATOS!$C$58*DATOS!$C$19*CD34^2*DATOS!$C$48))&lt;0,-1,IF((1-SQRT((1-2*BE34*1E5/(DATOS!$C$58*DATOS!$C$19*CD34^2*DATOS!$C$48))))*DATOS!$C$48*DATOS!$C$19*CD34/DATOS!$C$40&gt;DATOS!$C$82*DATOS!$C$19*CD34,-1,(1-SQRT((1-2*BE34*1E5/(DATOS!$C$58*DATOS!$C$19*CD34^2*DATOS!$C$48))))*DATOS!$C$48*DATOS!$C$19*CD34/DATOS!$C$40)))-0.0001,MAX(DATOS!$C$29,CEILING(CE34/INDEX(TABLAS!$D$52:$D$58,MIN(MATCH(DATOS!$C$27,TABLAS!$B$52:$B$58,0)+0,7)),1)),MAX(MAX(DATOS!$C$29,CEILING(CE34/INDEX(TABLAS!$D$52:$D$58,MIN(MATCH(DATOS!$C$27,TABLAS!$B$52:$B$58,0)+0,7)),1)),2))&lt;=MIN(DATOS!$C$28,INT(((DATOS!$C$13-2*S34-2*IF(DATOS!$C$25=0,0,INDEX(TABLAS!$C$52:$C$58,MATCH(DATOS!$C$25,TABLAS!$B$52:$B$58,0))))+MAX(DATOS!$C$32,INDEX(TABLAS!$C$52:$C$58,MIN(MATCH(DATOS!$C$27,TABLAS!$B$52:$B$58,0)+0,7))))/(INDEX(TABLAS!$C$52:$C$58,MIN(MATCH(DATOS!$C$27,TABLAS!$B$52:$B$58,0)+0,7))+MAX(DATOS!$C$32,INDEX(TABLAS!$C$52:$C$58,MIN(MATCH(DATOS!$C$27,TABLAS!$B$52:$B$58,0)+0,7))))))),INDEX(TABLAS!$B$52:$B$58,MIN(MATCH(DATOS!$C$27,TABLAS!$B$52:$B$58,0)+0,7)),IF(AND(CE34&gt;=0,IF(MAX(DATOS!$C$29,CEILING(CE34/INDEX(TABLAS!$D$52:$D$58,MIN(MATCH(DATOS!$C$27,TABLAS!$B$52:$B$58,0)+1,7)),1))*INDEX(TABLAS!$D$52:$D$58,MIN(MATCH(DATOS!$C$27,TABLAS!$B$52:$B$58,0)+1,7))&gt;=4/3*IF(BE34&lt;=0,0,IF((1-2*BE34*1E5/(DATOS!$C$58*DATOS!$C$19*CD34^2*DATOS!$C$48))&lt;0,-1,IF((1-SQRT((1-2*BE34*1E5/(DATOS!$C$58*DATOS!$C$19*CD34^2*DATOS!$C$48))))*DATOS!$C$48*DATOS!$C$19*CD34/DATOS!$C$40&gt;DATOS!$C$82*DATOS!$C$19*CD34,-1,(1-SQRT((1-2*BE34*1E5/(DATOS!$C$58*DATOS!$C$19*CD34^2*DATOS!$C$48))))*DATOS!$C$48*DATOS!$C$19*CD34/DATOS!$C$40)))-0.0001,MAX(DATOS!$C$29,CEILING(CE34/INDEX(TABLAS!$D$52:$D$58,MIN(MATCH(DATOS!$C$27,TABLAS!$B$52:$B$58,0)+1,7)),1)),MAX(MAX(DATOS!$C$29,CEILING(CE34/INDEX(TABLAS!$D$52:$D$58,MIN(MATCH(DATOS!$C$27,TABLAS!$B$52:$B$58,0)+1,7)),1)),2))&lt;=MIN(DATOS!$C$28,INT(((DATOS!$C$13-2*S34-2*IF(DATOS!$C$25=0,0,INDEX(TABLAS!$C$52:$C$58,MATCH(DATOS!$C$25,TABLAS!$B$52:$B$58,0))))+MAX(DATOS!$C$32,INDEX(TABLAS!$C$52:$C$58,MIN(MATCH(DATOS!$C$27,TABLAS!$B$52:$B$58,0)+1,7))))/(INDEX(TABLAS!$C$52:$C$58,MIN(MATCH(DATOS!$C$27,TABLAS!$B$52:$B$58,0)+1,7))+MAX(DATOS!$C$32,INDEX(TABLAS!$C$52:$C$58,MIN(MATCH(DATOS!$C$27,TABLAS!$B$52:$B$58,0)+1,7))))))),INDEX(TABLAS!$B$52:$B$58,MIN(MATCH(DATOS!$C$27,TABLAS!$B$52:$B$58,0)+1,7)),IF(AND(CE34&gt;=0,IF(MAX(DATOS!$C$29,CEILING(CE34/INDEX(TABLAS!$D$52:$D$58,MIN(MATCH(DATOS!$C$27,TABLAS!$B$52:$B$58,0)+2,7)),1))*INDEX(TABLAS!$D$52:$D$58,MIN(MATCH(DATOS!$C$27,TABLAS!$B$52:$B$58,0)+2,7))&gt;=4/3*IF(BE34&lt;=0,0,IF((1-2*BE34*1E5/(DATOS!$C$58*DATOS!$C$19*CD34^2*DATOS!$C$48))&lt;0,-1,IF((1-SQRT((1-2*BE34*1E5/(DATOS!$C$58*DATOS!$C$19*CD34^2*DATOS!$C$48))))*DATOS!$C$48*DATOS!$C$19*CD34/DATOS!$C$40&gt;DATOS!$C$82*DATOS!$C$19*CD34,-1,(1-SQRT((1-2*BE34*1E5/(DATOS!$C$58*DATOS!$C$19*CD34^2*DATOS!$C$48))))*DATOS!$C$48*DATOS!$C$19*CD34/DATOS!$C$40)))-0.0001,MAX(DATOS!$C$29,CEILING(CE34/INDEX(TABLAS!$D$52:$D$58,MIN(MATCH(DATOS!$C$27,TABLAS!$B$52:$B$58,0)+2,7)),1)),MAX(MAX(DATOS!$C$29,CEILING(CE34/INDEX(TABLAS!$D$52:$D$58,MIN(MATCH(DATOS!$C$27,TABLAS!$B$52:$B$58,0)+2,7)),1)),2))&lt;=MIN(DATOS!$C$28,INT(((DATOS!$C$13-2*S34-2*IF(DATOS!$C$25=0,0,INDEX(TABLAS!$C$52:$C$58,MATCH(DATOS!$C$25,TABLAS!$B$52:$B$58,0))))+MAX(DATOS!$C$32,INDEX(TABLAS!$C$52:$C$58,MIN(MATCH(DATOS!$C$27,TABLAS!$B$52:$B$58,0)+2,7))))/(INDEX(TABLAS!$C$52:$C$58,MIN(MATCH(DATOS!$C$27,TABLAS!$B$52:$B$58,0)+2,7))+MAX(DATOS!$C$32,INDEX(TABLAS!$C$52:$C$58,MIN(MATCH(DATOS!$C$27,TABLAS!$B$52:$B$58,0)+2,7))))))),INDEX(TABLAS!$B$52:$B$58,MIN(MATCH(DATOS!$C$27,TABLAS!$B$52:$B$58,0)+2,7)),IF(AND(CE34&gt;=0,IF(MAX(DATOS!$C$29,CEILING(CE34/INDEX(TABLAS!$D$52:$D$58,MIN(MATCH(DATOS!$C$27,TABLAS!$B$52:$B$58,0)+3,7)),1))*INDEX(TABLAS!$D$52:$D$58,MIN(MATCH(DATOS!$C$27,TABLAS!$B$52:$B$58,0)+3,7))&gt;=4/3*IF(BE34&lt;=0,0,IF((1-2*BE34*1E5/(DATOS!$C$58*DATOS!$C$19*CD34^2*DATOS!$C$48))&lt;0,-1,IF((1-SQRT((1-2*BE34*1E5/(DATOS!$C$58*DATOS!$C$19*CD34^2*DATOS!$C$48))))*DATOS!$C$48*DATOS!$C$19*CD34/DATOS!$C$40&gt;DATOS!$C$82*DATOS!$C$19*CD34,-1,(1-SQRT((1-2*BE34*1E5/(DATOS!$C$58*DATOS!$C$19*CD34^2*DATOS!$C$48))))*DATOS!$C$48*DATOS!$C$19*CD34/DATOS!$C$40)))-0.0001,MAX(DATOS!$C$29,CEILING(CE34/INDEX(TABLAS!$D$52:$D$58,MIN(MATCH(DATOS!$C$27,TABLAS!$B$52:$B$58,0)+3,7)),1)),MAX(MAX(DATOS!$C$29,CEILING(CE34/INDEX(TABLAS!$D$52:$D$58,MIN(MATCH(DATOS!$C$27,TABLAS!$B$52:$B$58,0)+3,7)),1)),2))&lt;=MIN(DATOS!$C$28,INT(((DATOS!$C$13-2*S34-2*IF(DATOS!$C$25=0,0,INDEX(TABLAS!$C$52:$C$58,MATCH(DATOS!$C$25,TABLAS!$B$52:$B$58,0))))+MAX(DATOS!$C$32,INDEX(TABLAS!$C$52:$C$58,MIN(MATCH(DATOS!$C$27,TABLAS!$B$52:$B$58,0)+3,7))))/(INDEX(TABLAS!$C$52:$C$58,MIN(MATCH(DATOS!$C$27,TABLAS!$B$52:$B$58,0)+3,7))+MAX(DATOS!$C$32,INDEX(TABLAS!$C$52:$C$58,MIN(MATCH(DATOS!$C$27,TABLAS!$B$52:$B$58,0)+3,7))))))),INDEX(TABLAS!$B$52:$B$58,MIN(MATCH(DATOS!$C$27,TABLAS!$B$52:$B$58,0)+3,7)),IF(AND(CE34&gt;=0,IF(MAX(DATOS!$C$29,CEILING(CE34/INDEX(TABLAS!$D$52:$D$58,MIN(MATCH(DATOS!$C$27,TABLAS!$B$52:$B$58,0)+4,7)),1))*INDEX(TABLAS!$D$52:$D$58,MIN(MATCH(DATOS!$C$27,TABLAS!$B$52:$B$58,0)+4,7))&gt;=4/3*IF(BE34&lt;=0,0,IF((1-2*BE34*1E5/(DATOS!$C$58*DATOS!$C$19*CD34^2*DATOS!$C$48))&lt;0,-1,IF((1-SQRT((1-2*BE34*1E5/(DATOS!$C$58*DATOS!$C$19*CD34^2*DATOS!$C$48))))*DATOS!$C$48*DATOS!$C$19*CD34/DATOS!$C$40&gt;DATOS!$C$82*DATOS!$C$19*CD34,-1,(1-SQRT((1-2*BE34*1E5/(DATOS!$C$58*DATOS!$C$19*CD34^2*DATOS!$C$48))))*DATOS!$C$48*DATOS!$C$19*CD34/DATOS!$C$40)))-0.0001,MAX(DATOS!$C$29,CEILING(CE34/INDEX(TABLAS!$D$52:$D$58,MIN(MATCH(DATOS!$C$27,TABLAS!$B$52:$B$58,0)+4,7)),1)),MAX(MAX(DATOS!$C$29,CEILING(CE34/INDEX(TABLAS!$D$52:$D$58,MIN(MATCH(DATOS!$C$27,TABLAS!$B$52:$B$58,0)+4,7)),1)),2))&lt;=MIN(DATOS!$C$28,INT(((DATOS!$C$13-2*S34-2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34" s="56">
        <f>IF(D34="HUECO",0,IF(CE34&lt;0,0,IF(MAX(DATOS!$C$29,CEILING(MAX(CE34,0)/INDEX(TABLAS!$D$52:$D$58,MATCH(CF34,TABLAS!$B$52:$B$58,0)),1))*INDEX(TABLAS!$D$52:$D$58,MATCH(CF34,TABLAS!$B$52:$B$58,0))&gt;=4/3*IF(BE34&lt;=0,0,IF((1-2*BE34*1E5/(DATOS!$C$58*DATOS!$C$19*CD34^2*DATOS!$C$48))&lt;0,-1,IF((1-SQRT((1-2*BE34*1E5/(DATOS!$C$58*DATOS!$C$19*CD34^2*DATOS!$C$48))))*DATOS!$C$48*DATOS!$C$19*CD34/DATOS!$C$40&gt;DATOS!$C$82*DATOS!$C$19*CD34,-1,(1-SQRT((1-2*BE34*1E5/(DATOS!$C$58*DATOS!$C$19*CD34^2*DATOS!$C$48))))*DATOS!$C$48*DATOS!$C$19*CD34/DATOS!$C$40)))-0.0001,MAX(DATOS!$C$29,CEILING(MAX(CE34,0)/INDEX(TABLAS!$D$52:$D$58,MATCH(CF34,TABLAS!$B$52:$B$58,0)),1)),MAX(MAX(DATOS!$C$29,CEILING(MAX(CE34,0)/INDEX(TABLAS!$D$52:$D$58,MATCH(CF34,TABLAS!$B$52:$B$58,0)),1)),2))))</f>
        <v>1</v>
      </c>
      <c r="CH34" s="43">
        <f>((DATOS!$C$15-S34-2*DATOS!$C$35-IF(DATOS!$C$25=0,0,INDEX(TABLAS!$C$52:$C$58,MATCH(DATOS!$C$25,TABLAS!$B$52:$B$58,0)))-INDEX(TABLAS!$C$52:$C$58,MATCH(BP34,TABLAS!$B$52:$B$58,0))-INDEX(TABLAS!$C$52:$C$58,MATCH(CF34,TABLAS!$B$52:$B$58,0))/2)-IF(AND((DATOS!$C$15-S34-2*DATOS!$C$35-IF(DATOS!$C$25=0,0,INDEX(TABLAS!$C$52:$C$58,MATCH(DATOS!$C$25,TABLAS!$B$52:$B$58,0)))-INDEX(TABLAS!$C$52:$C$58,MATCH(BP34,TABLAS!$B$52:$B$58,0))-INDEX(TABLAS!$C$52:$C$58,MATCH(CF34,TABLAS!$B$52:$B$58,0))/2)&lt;=20,DATOS!$C$18&lt;&gt;"SÍ"),2,0))</f>
        <v>18.119</v>
      </c>
      <c r="CI34" s="36">
        <f>IF(CG34=0,0,DATOS!$C$58*CG34*INDEX(TABLAS!$D$52:$D$58,MATCH(CF34,TABLAS!$B$52:$B$58,0))*DATOS!$C$40*(CH34-CG34*INDEX(TABLAS!$D$52:$D$58,MATCH(CF34,TABLAS!$B$52:$B$58,0))*DATOS!$C$40/(DATOS!$C$48*DATOS!$C$19)/2)/1E5)</f>
        <v>0.809570360117647</v>
      </c>
      <c r="CJ34" s="62">
        <f>IF(CE34&lt;0,9.99,IF(CI34&gt;0,BE34/CI34,0))</f>
        <v>0.160746685001472</v>
      </c>
      <c r="CK34" s="63">
        <f>IF(CG34=0,"—",0.003*(CH34-(CG34*INDEX(TABLAS!$D$52:$D$58,MATCH(CF34,TABLAS!$B$52:$B$58,0))*DATOS!$C$40/(DATOS!$C$48*DATOS!$C$19)/DATOS!$C$49))/(CG34*INDEX(TABLAS!$D$52:$D$58,MATCH(CF34,TABLAS!$B$52:$B$58,0))*DATOS!$C$40/(DATOS!$C$48*DATOS!$C$19)/DATOS!$C$49))</f>
        <v>0.0154068862485939</v>
      </c>
      <c r="CL34" s="52" t="str">
        <f>IF(D34="HUECO","—",IF(AND(D34="PERIMETRAL",J34*100&gt;=6*DATOS!$C$11,DATOS!$C$11&lt;=80,DATOS!$C$13&gt;=10,DATOS!$C$15&lt;=3.5*DATOS!$C$13,DATOS!$C$14&gt;=MAX(DATOS!$C$11/13,5)),"SÍ","NO"))</f>
        <v>NO</v>
      </c>
      <c r="CM34" s="36">
        <f>IF(D34="PERIMETRAL",MAX(0,(N34/2-BR34)/100)*(0.95-0.5*L34)*Y34*IF(AND(Z34&gt;0,Z34&lt;4),DATOS!$C$63,1)*DATOS!$C$16/100/1000+AX34,IF(D34="VOLADO",(Y34*MAX(0,N34-BR34)/100+DATOS!$C$55*BA34)*DATOS!$C$16/100/1000,0))</f>
        <v>0.0934054831622595</v>
      </c>
      <c r="CN34" s="36">
        <f>IF(D34="HUECO",0,DATOS!$C$59*2*MIN(1,SQRT(2/(1+0.04*BR34)))*(BQ34*INDEX(TABLAS!$D$52:$D$58,MATCH(BP34,TABLAS!$B$52:$B$58,0))/(DATOS!$C$19*BR34))^(1/3)*SQRT(DATOS!$C$39)*DATOS!$C$19*BR34*IF(CL34="SÍ",DATOS!$C$62,1)/1000)</f>
        <v>0.860398102904257</v>
      </c>
      <c r="CO34" s="51" t="str">
        <f>IF(D34="HUECO","—",IF(CM34&lt;=CN34,"CUMPLE",IF(MAX(0,CEILING((IF(D34="VOLADO",(N34-(CN34*1E5/DATOS!$C$16-DATOS!$C$55*BA34)*100/Y34),IF(CN34&lt;=AX34,N34,N34/2-(CN34-AX34)/MAX(CM34-AX34,1E-9)*(N34/2-BR34)))-IF(INT((J34*100-DATOS!$C$17+DATOS!$C$13)/DATOS!$C$16)&gt;0,(J34*100-DATOS!$C$17-(INT((J34*100-DATOS!$C$17+DATOS!$C$13)/DATOS!$C$16)*DATOS!$C$11+(INT((J34*100-DATOS!$C$17+DATOS!$C$13)/DATOS!$C$16)-1)*DATOS!$C$13))/2,J34*100/2))/DATOS!$C$16,1))&lt;=0,"CUMPLE (basta el macizo de orilla)","MACIZAR "&amp;MAX(0,CEILING((IF(D34="VOLADO",(N34-(CN34*1E5/DATOS!$C$16-DATOS!$C$55*BA34)*100/Y34),IF(CN34&lt;=AX34,N34,N34/2-(CN34-AX34)/MAX(CM34-AX34,1E-9)*(N34/2-BR34)))-IF(INT((J34*100-DATOS!$C$17+DATOS!$C$13)/DATOS!$C$16)&gt;0,(J34*100-DATOS!$C$17-(INT((J34*100-DATOS!$C$17+DATOS!$C$13)/DATOS!$C$16)*DATOS!$C$11+(INT((J34*100-DATOS!$C$17+DATOS!$C$13)/DATOS!$C$16)-1)*DATOS!$C$13))/2,J34*100/2))/DATOS!$C$16,1))&amp;" hilera(s)")))</f>
        <v>CUMPLE</v>
      </c>
      <c r="CP34" s="43">
        <f>IF(D34="PERIMETRAL",(99+(PRINCIPALES!$N$39*PRINCIPALES!$O$39^3/12/(0.851*100*IF(APOYOS!$G$130="CONTINUO",1,0.5)*DATOS!$C$77^3/12))+99+99)/4,0)</f>
        <v>74.5444348299222</v>
      </c>
      <c r="CQ34" s="57">
        <f>IF(D34="PERIMETRAL",IF(CP34&gt;2,MAX(9,O34*(0.8+DATOS!$C$40/14000)/(36+9*(O34/MAX(N34,1)))),IF(CP34&gt;0.2,MAX(13,O34*(0.8+DATOS!$C$40/14000)/(36+5*(O34/MAX(N34,1))*(CP34-0.2))),MAX(13,O34/IF(Z34&gt;0,30,33))))*IF(AND(CP34&gt;0.2,OR(AND((APOYOS!$G$129="DISCONTINUO"),99&lt;0.8),AND((APOYOS!$G$130="DISCONTINUO"),(PRINCIPALES!$N$39*PRINCIPALES!$O$39^3/12/(0.851*100*IF(APOYOS!$G$130="CONTINUO",1,0.5)*DATOS!$C$77^3/12))&lt;0.8),AND((APOYOS!$G$131="DISCONTINUO"),99&lt;0.8),AND((APOYOS!$G$132="DISCONTINUO"),99&lt;0.8))),1.1,1),IF(D34="VOLADO",MAX(25,J34*100/8),0))</f>
        <v>9</v>
      </c>
      <c r="CR34" s="57">
        <f>IF(D34="VOLADO",DATOS!$C$15,DATOS!$C$77)</f>
        <v>16.7232564120244</v>
      </c>
      <c r="CS34" s="52" t="str">
        <f>IF(D34="HUECO","—",IF(CR34&gt;=CQ34,"CUMPLE",IF(D34="VOLADO","NO CUMPLE","CALCULAR FLECHA")))</f>
        <v>CUMPLE</v>
      </c>
      <c r="CT34" s="52" t="str">
        <f>IF(D34="HUECO","—",IF(DATOS!$C$14&gt;=IF(IF(D34="VOLADO",J34,K34)&gt;=6,6,5),"CUMPLE","CAPA ≥ 6 cm"))</f>
        <v>CUMPLE</v>
      </c>
      <c r="CU34" s="59">
        <f>IF(D34="HUECO",0,IF(((4*((AL34*Y34*J34^2*1E-4*DATOS!$C$16/100/1000)+((MAX(AH34,AJ34)*Y34*J34^2*1E-4*DATOS!$C$16/100/1000)+(IF(AND(AH34&gt;0,AJ34&gt;0),MIN(AH34,AJ34),MAX(AH34,AJ34))*Y34*J34^2*1E-4*DATOS!$C$16/100/1000))/2)+BC34-(IF(AND(AH34&gt;0,AJ34&gt;0),MIN(AH34,AJ34),MAX(AH34,AJ34))*Y34*J34^2*1E-4*DATOS!$C$16/100/1000))^2-16*((AL34*Y34*J34^2*1E-4*DATOS!$C$16/100/1000)+((MAX(AH34,AJ34)*Y34*J34^2*1E-4*DATOS!$C$16/100/1000)+(IF(AND(AH34&gt;0,AJ34&gt;0),MIN(AH34,AJ34),MAX(AH34,AJ34))*Y34*J34^2*1E-4*DATOS!$C$16/100/1000))/2)*BC34)&lt;0,CEILING(N34,5),CEILING(MAX(N34*((4*((AL34*Y34*J34^2*1E-4*DATOS!$C$16/100/1000)+((MAX(AH34,AJ34)*Y34*J34^2*1E-4*DATOS!$C$16/100/1000)+(IF(AND(AH34&gt;0,AJ34&gt;0),MIN(AH34,AJ34),MAX(AH34,AJ34))*Y34*J34^2*1E-4*DATOS!$C$16/100/1000))/2)+BC34-(IF(AND(AH34&gt;0,AJ34&gt;0),MIN(AH34,AJ34),MAX(AH34,AJ34))*Y34*J34^2*1E-4*DATOS!$C$16/100/1000))-SQRT(MAX(0,((4*((AL34*Y34*J34^2*1E-4*DATOS!$C$16/100/1000)+((MAX(AH34,AJ34)*Y34*J34^2*1E-4*DATOS!$C$16/100/1000)+(IF(AND(AH34&gt;0,AJ34&gt;0),MIN(AH34,AJ34),MAX(AH34,AJ34))*Y34*J34^2*1E-4*DATOS!$C$16/100/1000))/2)+BC34-(IF(AND(AH34&gt;0,AJ34&gt;0),MIN(AH34,AJ34),MAX(AH34,AJ34))*Y34*J34^2*1E-4*DATOS!$C$16/100/1000))^2-16*((AL34*Y34*J34^2*1E-4*DATOS!$C$16/100/1000)+((MAX(AH34,AJ34)*Y34*J34^2*1E-4*DATOS!$C$16/100/1000)+(IF(AND(AH34&gt;0,AJ34&gt;0),MIN(AH34,AJ34),MAX(AH34,AJ34))*Y34*J34^2*1E-4*DATOS!$C$16/100/1000))/2)*BC34))))/(8*MAX(((AL34*Y34*J34^2*1E-4*DATOS!$C$16/100/1000)+((MAX(AH34,AJ34)*Y34*J34^2*1E-4*DATOS!$C$16/100/1000)+(IF(AND(AH34&gt;0,AJ34&gt;0),MIN(AH34,AJ34),MAX(AH34,AJ34))*Y34*J34^2*1E-4*DATOS!$C$16/100/1000))/2),1E-9))+MAX(BR34,12*INDEX(TABLAS!$C$52:$C$58,MATCH(BP34,TABLAS!$B$52:$B$58,0)),N34/16),IF(OR(S34&lt;INDEX(TABLAS!$C$52:$C$58,MATCH(BP34,TABLAS!$B$52:$B$58,0)),AND(BQ34&gt;=2,(DATOS!$C$13-2*S34-2*IF(DATOS!$C$25=0,0,INDEX(TABLAS!$C$52:$C$58,MATCH(DATOS!$C$25,TABLAS!$B$52:$B$58,0)))-BQ34*INDEX(TABLAS!$C$52:$C$58,MATCH(BP34,TABLAS!$B$52:$B$58,0)))/MAX(BQ34-1,1)&lt;2*INDEX(TABLAS!$C$52:$C$58,MATCH(BP34,TABLAS!$B$52:$B$58,0)))),INDEX(TABLAS!$I$52:$I$58,MATCH(BP34,TABLAS!$B$52:$B$58,0)),INDEX(TABLAS!$F$52:$F$58,MATCH(BP34,TABLAS!$B$52:$B$58,0)))),5)))</f>
        <v>75</v>
      </c>
      <c r="CV34" s="59">
        <f>IF(D34="HUECO",0,IF(((4*((AM34*Y34*J34^2*1E-4*DATOS!$C$16/100/1000)+((MAX(AI34,AK34)*Y34*J34^2*1E-4*DATOS!$C$16/100/1000)+(IF(AND(AI34&gt;0,AK34&gt;0),MIN(AI34,AK34),MAX(AI34,AK34))*Y34*J34^2*1E-4*DATOS!$C$16/100/1000))/2)+BE34-(IF(AND(AI34&gt;0,AK34&gt;0),MIN(AI34,AK34),MAX(AI34,AK34))*Y34*J34^2*1E-4*DATOS!$C$16/100/1000))^2-16*((AM34*Y34*J34^2*1E-4*DATOS!$C$16/100/1000)+((MAX(AI34,AK34)*Y34*J34^2*1E-4*DATOS!$C$16/100/1000)+(IF(AND(AI34&gt;0,AK34&gt;0),MIN(AI34,AK34),MAX(AI34,AK34))*Y34*J34^2*1E-4*DATOS!$C$16/100/1000))/2)*BE34)&lt;0,CEILING(O34,5),CEILING(MAX(O34*((4*((AM34*Y34*J34^2*1E-4*DATOS!$C$16/100/1000)+((MAX(AI34,AK34)*Y34*J34^2*1E-4*DATOS!$C$16/100/1000)+(IF(AND(AI34&gt;0,AK34&gt;0),MIN(AI34,AK34),MAX(AI34,AK34))*Y34*J34^2*1E-4*DATOS!$C$16/100/1000))/2)+BE34-(IF(AND(AI34&gt;0,AK34&gt;0),MIN(AI34,AK34),MAX(AI34,AK34))*Y34*J34^2*1E-4*DATOS!$C$16/100/1000))-SQRT(MAX(0,((4*((AM34*Y34*J34^2*1E-4*DATOS!$C$16/100/1000)+((MAX(AI34,AK34)*Y34*J34^2*1E-4*DATOS!$C$16/100/1000)+(IF(AND(AI34&gt;0,AK34&gt;0),MIN(AI34,AK34),MAX(AI34,AK34))*Y34*J34^2*1E-4*DATOS!$C$16/100/1000))/2)+BE34-(IF(AND(AI34&gt;0,AK34&gt;0),MIN(AI34,AK34),MAX(AI34,AK34))*Y34*J34^2*1E-4*DATOS!$C$16/100/1000))^2-16*((AM34*Y34*J34^2*1E-4*DATOS!$C$16/100/1000)+((MAX(AI34,AK34)*Y34*J34^2*1E-4*DATOS!$C$16/100/1000)+(IF(AND(AI34&gt;0,AK34&gt;0),MIN(AI34,AK34),MAX(AI34,AK34))*Y34*J34^2*1E-4*DATOS!$C$16/100/1000))/2)*BE34))))/(8*MAX(((AM34*Y34*J34^2*1E-4*DATOS!$C$16/100/1000)+((MAX(AI34,AK34)*Y34*J34^2*1E-4*DATOS!$C$16/100/1000)+(IF(AND(AI34&gt;0,AK34&gt;0),MIN(AI34,AK34),MAX(AI34,AK34))*Y34*J34^2*1E-4*DATOS!$C$16/100/1000))/2),1E-9))+MAX(CH34,12*INDEX(TABLAS!$C$52:$C$58,MATCH(CF34,TABLAS!$B$52:$B$58,0)),O34/16),IF(OR(S34&lt;INDEX(TABLAS!$C$52:$C$58,MATCH(CF34,TABLAS!$B$52:$B$58,0)),AND(CG34&gt;=2,(DATOS!$C$13-2*S34-2*IF(DATOS!$C$25=0,0,INDEX(TABLAS!$C$52:$C$58,MATCH(DATOS!$C$25,TABLAS!$B$52:$B$58,0)))-CG34*INDEX(TABLAS!$C$52:$C$58,MATCH(CF34,TABLAS!$B$52:$B$58,0)))/MAX(CG34-1,1)&lt;2*INDEX(TABLAS!$C$52:$C$58,MATCH(CF34,TABLAS!$B$52:$B$58,0)))),INDEX(TABLAS!$I$52:$I$58,MATCH(CF34,TABLAS!$B$52:$B$58,0)),INDEX(TABLAS!$F$52:$F$58,MATCH(CF34,TABLAS!$B$52:$B$58,0)))),5)))</f>
        <v>290</v>
      </c>
      <c r="CW34" s="56">
        <f>MAX(0,INT((F34*100-DATOS!$C$17+DATOS!$C$13)/DATOS!$C$16))</f>
        <v>4</v>
      </c>
      <c r="CX34" s="56">
        <f>MAX(0,INT((G34*100-DATOS!$C$17+DATOS!$C$13)/DATOS!$C$16))</f>
        <v>1</v>
      </c>
      <c r="CY34" s="51" t="str">
        <f>IF(COUNTIFS(TRIB!$C$6:$C$255,B34,TRIB!$K$6:$K$255,"NO CUMPLE*")+COUNTIFS(TRIB!$C$6:$C$255,B34,TRIB!$K$6:$K$255,"SIN APOYO*")&gt;0,"VER PRINCIPALES",IF((APOYOS!$F$129="LIBRE")+(APOYOS!$F$130="LIBRE")+(APOYOS!$F$131="LIBRE")+(APOYOS!$F$132="LIBRE")&gt;0,"REVISAR: borde libre","OK"))</f>
        <v>OK</v>
      </c>
      <c r="CZ34" s="64" t="str">
        <f>IF(D34="HUECO","HUECO — marco de nervaduras principales",IF(AND(MAX(BL34,BT34,CB34,CJ34)&lt;=1,NOT(OR(BI34&gt;MIN(DATOS!$C$28,INT(((DATOS!$C$13-2*R34-2*IF(DATOS!$C$25=0,0,INDEX(TABLAS!$C$52:$C$58,MATCH(DATOS!$C$25,TABLAS!$B$52:$B$58,0))))+DATOS!$C$32)/(INDEX(TABLAS!$C$52:$C$58,MATCH(BH34,TABLAS!$B$52:$B$58,0))+DATOS!$C$32))),BQ34&gt;MIN(DATOS!$C$28,INT(((DATOS!$C$13-2*S34-2*IF(DATOS!$C$25=0,0,INDEX(TABLAS!$C$52:$C$58,MATCH(DATOS!$C$25,TABLAS!$B$52:$B$58,0))))+DATOS!$C$32)/(INDEX(TABLAS!$C$52:$C$58,MATCH(BP34,TABLAS!$B$52:$B$58,0))+DATOS!$C$32))),BY34&gt;MIN(DATOS!$C$28,INT(((DATOS!$C$13-2*R34-2*IF(DATOS!$C$25=0,0,INDEX(TABLAS!$C$52:$C$58,MATCH(DATOS!$C$25,TABLAS!$B$52:$B$58,0))))+DATOS!$C$32)/(INDEX(TABLAS!$C$52:$C$58,MATCH(BX34,TABLAS!$B$52:$B$58,0))+DATOS!$C$32))),CG34&gt;MIN(DATOS!$C$28,INT(((DATOS!$C$13-2*S34-2*IF(DATOS!$C$25=0,0,INDEX(TABLAS!$C$52:$C$58,MATCH(DATOS!$C$25,TABLAS!$B$52:$B$58,0))))+DATOS!$C$32)/(INDEX(TABLAS!$C$52:$C$58,MATCH(CF34,TABLAS!$B$52:$B$58,0))+DATOS!$C$32))))),NOT(OR(AND(ISNUMBER(BM34),BM34&lt;0.005),AND(ISNUMBER(BU34),BU34&lt;0.005),AND(ISNUMBER(CC34),CC34&lt;0.005),AND(ISNUMBER(CK34),CK34&lt;0.005))),CS34="CUMPLE",CT34="CUMPLE"),IF(CY34="OK",IF(LEFT(CO34,6)="CUMPLE","CUMPLE","CUMPLE — "&amp;CO34)&amp;IF(LEFT(AZ34,5)="FUERA"," · fuera de 3.4.2.1 c)",""),IF(CY34="VER PRINCIPALES","VER PRINCIPALES","REVISAR APOYOS")),IF(AND(MAX(BL34,BT34,CB34,CJ34)&lt;=1,NOT(OR(BI34&gt;MIN(DATOS!$C$28,INT(((DATOS!$C$13-2*R34-2*IF(DATOS!$C$25=0,0,INDEX(TABLAS!$C$52:$C$58,MATCH(DATOS!$C$25,TABLAS!$B$52:$B$58,0))))+DATOS!$C$32)/(INDEX(TABLAS!$C$52:$C$58,MATCH(BH34,TABLAS!$B$52:$B$58,0))+DATOS!$C$32))),BQ34&gt;MIN(DATOS!$C$28,INT(((DATOS!$C$13-2*S34-2*IF(DATOS!$C$25=0,0,INDEX(TABLAS!$C$52:$C$58,MATCH(DATOS!$C$25,TABLAS!$B$52:$B$58,0))))+DATOS!$C$32)/(INDEX(TABLAS!$C$52:$C$58,MATCH(BP34,TABLAS!$B$52:$B$58,0))+DATOS!$C$32))),BY34&gt;MIN(DATOS!$C$28,INT(((DATOS!$C$13-2*R34-2*IF(DATOS!$C$25=0,0,INDEX(TABLAS!$C$52:$C$58,MATCH(DATOS!$C$25,TABLAS!$B$52:$B$58,0))))+DATOS!$C$32)/(INDEX(TABLAS!$C$52:$C$58,MATCH(BX34,TABLAS!$B$52:$B$58,0))+DATOS!$C$32))),CG34&gt;MIN(DATOS!$C$28,INT(((DATOS!$C$13-2*S34-2*IF(DATOS!$C$25=0,0,INDEX(TABLAS!$C$52:$C$58,MATCH(DATOS!$C$25,TABLAS!$B$52:$B$58,0))))+DATOS!$C$32)/(INDEX(TABLAS!$C$52:$C$58,MATCH(CF34,TABLAS!$B$52:$B$58,0))+DATOS!$C$32))))),NOT(OR(AND(ISNUMBER(BM34),BM34&lt;0.005),AND(ISNUMBER(BU34),BU34&lt;0.005),AND(ISNUMBER(CC34),CC34&lt;0.005),AND(ISNUMBER(CK34),CK34&lt;0.005))),CS34="CALCULAR FLECHA"),"REVISAR: calcular flecha (h_eq &lt; h mín.)","NO CUMPLE: "&amp;IF(MAX(BL34,BT34,CB34,CJ34)&gt;1,"flexión ","")&amp;IF(OR(BI34&gt;MIN(DATOS!$C$28,INT(((DATOS!$C$13-2*R34-2*IF(DATOS!$C$25=0,0,INDEX(TABLAS!$C$52:$C$58,MATCH(DATOS!$C$25,TABLAS!$B$52:$B$58,0))))+DATOS!$C$32)/(INDEX(TABLAS!$C$52:$C$58,MATCH(BH34,TABLAS!$B$52:$B$58,0))+DATOS!$C$32))),BQ34&gt;MIN(DATOS!$C$28,INT(((DATOS!$C$13-2*S34-2*IF(DATOS!$C$25=0,0,INDEX(TABLAS!$C$52:$C$58,MATCH(DATOS!$C$25,TABLAS!$B$52:$B$58,0))))+DATOS!$C$32)/(INDEX(TABLAS!$C$52:$C$58,MATCH(BP34,TABLAS!$B$52:$B$58,0))+DATOS!$C$32))),BY34&gt;MIN(DATOS!$C$28,INT(((DATOS!$C$13-2*R34-2*IF(DATOS!$C$25=0,0,INDEX(TABLAS!$C$52:$C$58,MATCH(DATOS!$C$25,TABLAS!$B$52:$B$58,0))))+DATOS!$C$32)/(INDEX(TABLAS!$C$52:$C$58,MATCH(BX34,TABLAS!$B$52:$B$58,0))+DATOS!$C$32))),CG34&gt;MIN(DATOS!$C$28,INT(((DATOS!$C$13-2*S34-2*IF(DATOS!$C$25=0,0,INDEX(TABLAS!$C$52:$C$58,MATCH(DATOS!$C$25,TABLAS!$B$52:$B$58,0))))+DATOS!$C$32)/(INDEX(TABLAS!$C$52:$C$58,MATCH(CF34,TABLAS!$B$52:$B$58,0))+DATOS!$C$32)))),"no caben ","")&amp;IF(OR(AND(ISNUMBER(BM34),BM34&lt;0.005),AND(ISNUMBER(BU34),BU34&lt;0.005),AND(ISNUMBER(CC34),CC34&lt;0.005),AND(ISNUMBER(CK34),CK34&lt;0.005)),"ε_t &lt; 0.005 ","")&amp;IF(CS34="NO CUMPLE","peralte ","")&amp;IF(CT34&lt;&gt;"CUMPLE","capa &lt; 6 cm",""))))</f>
        <v>CUMPLE · fuera de 3.4.2.1 c)</v>
      </c>
      <c r="DA34" s="65" t="str">
        <f>IF(AND(D34="PERIMETRAL",MIN(CW34,CX34)=0),"Tablero macizo (no cabe un casetón en el claro corto): no aplica 6.7.8. La resistencia se revisa con una nervadura de 10 cm cada 70 cm y r_np (conservador); "&amp;"como losa maciza lleva además As,mín = 0.0018·Ag en cada dirección cerca de la cara a tensión (6.7.6.1.1, p. 175). ",IF(AND(CL34="NO",D34="PERIMETRAL"),"No cumple 6.7.8.1.4 (a_c = "&amp;DATOS!$C$11&amp;" cm &gt; claro corto/6 = "&amp;TEXT(J34*100/6,"0")&amp;" cm): se diseña como losa apoyada en vigas (6.7.8.1.9): nervaduras con recubrimiento de viga r_np = "&amp;DATOS!$C$22&amp;" cm (Tabla 4.14.16.a), V_cR sin ×1.1 y cortante sin estribos por 5.5.3.8.1 (criterio del Proyectista). Para que cuente como encasetonada: casetón de "&amp;TEXT(FLOOR(MIN(80,J34*100/6),1),"0")&amp;" cm o menor. ",""))&amp;IF(LEFT(AZ34,5)="FUERA","M⁻ del borde común "&amp;AZ34&amp;": difieren más de 50% (3.4.2.1 c); se distribuyen 2/3 del desequilibrio (3.4.3.1) y conviene confirmar los momentos con el modelo. ","")&amp;"—"</f>
        <v>No cumple 6.7.8.1.4 (a_c = 60 cm &gt; claro corto/6 = 14 cm): se diseña como losa apoyada en vigas (6.7.8.1.9): nervaduras con recubrimiento de viga r_np = 4 cm (Tabla 4.14.16.a), V_cR sin ×1.1 y cortante sin estribos por 5.5.3.8.1 (criterio del Proyectista). Para que cuente como encasetonada: casetón de 14 cm o menor. M⁻ del borde común FUERA con F80025 F80032: difieren más de 50% (3.4.2.1 c); se distribuyen 2/3 del desequilibrio (3.4.3.1) y conviene confirmar los momentos con el modelo. —</v>
      </c>
    </row>
    <row r="35" ht="30" customHeight="1">
      <c r="B35" s="51" t="inlineStr">
        <is>
          <t>F80027 N+6.00</t>
        </is>
      </c>
      <c r="C35" s="52" t="inlineStr">
        <is>
          <t>N+6.00</t>
        </is>
      </c>
      <c r="D35" s="53" t="inlineStr">
        <is>
          <t>PERIMETRAL</t>
        </is>
      </c>
      <c r="E35" s="53" t="inlineStr">
        <is>
          <t>AZOTEA</t>
        </is>
      </c>
      <c r="F35" s="54" t="n">
        <v>3.029</v>
      </c>
      <c r="G35" s="54" t="n">
        <v>1.151</v>
      </c>
      <c r="H35" s="55" t="n">
        <v>3.029</v>
      </c>
      <c r="I35" s="55" t="n">
        <v>1.151</v>
      </c>
      <c r="J35" s="36">
        <f>MIN(H35,I35)</f>
        <v>1.151</v>
      </c>
      <c r="K35" s="36">
        <f>MAX(H35,I35)</f>
        <v>3.029</v>
      </c>
      <c r="L35" s="36">
        <f>IF(K35&gt;0,J35/K35,0)</f>
        <v>0.379993397160779</v>
      </c>
      <c r="M35" s="52" t="str">
        <f>IF(H35&lt;=I35,"X","Y")</f>
        <v>Y</v>
      </c>
      <c r="N35" s="56">
        <f>MAX(0,J35*100-IF(D35="VOLADO",DATOS!$C$17/2,DATOS!$C$17))</f>
        <v>100.1</v>
      </c>
      <c r="O35" s="56">
        <f>MAX(0,K35*100-DATOS!$C$17)</f>
        <v>287.9</v>
      </c>
      <c r="P35" s="57">
        <f>MIN(DATOS!$C$16,DATOS!$C$13+2*MIN(8*DATOS!$C$14,DATOS!$C$11/2,N35/8))</f>
        <v>35.025</v>
      </c>
      <c r="Q35" s="57">
        <f>MIN(DATOS!$C$16,DATOS!$C$13+2*MIN(8*DATOS!$C$14,DATOS!$C$11/2,O35/8))</f>
        <v>70</v>
      </c>
      <c r="R35" s="57">
        <f>IF(D35="VOLADO",DATOS!$C$21,IF(CL35="NO",DATOS!$C$22,DATOS!$C$20))</f>
        <v>4</v>
      </c>
      <c r="S35" s="57">
        <f>IF(OR(AND(C35="N+6.00",DATOS!$C$23="SÍ"),AND(D35="VOLADO",DATOS!$C$24="SÍ")),DATOS!$C$21,IF(CL35="NO",DATOS!$C$22,DATOS!$C$20))</f>
        <v>4</v>
      </c>
      <c r="T35" s="58" t="n">
        <v>295</v>
      </c>
      <c r="U35" s="56">
        <f>IF(E35="HABITACIÓN",DATOS!$C$89,DATOS!$C$92)</f>
        <v>100</v>
      </c>
      <c r="V35" s="56">
        <f>CARGAS!$C$9</f>
        <v>293.673469387755</v>
      </c>
      <c r="W35" s="56">
        <f>V35+T35</f>
        <v>588.673469387755</v>
      </c>
      <c r="X35" s="56">
        <f>W35+U35</f>
        <v>688.673469387755</v>
      </c>
      <c r="Y35" s="59">
        <f>MAX(DATOS!$C$55*W35+DATOS!$C$56*U35,IF(E35="AZOTEA",DATOS!$C$57*(W35+DATOS!$C$97),0))</f>
        <v>915.275510204082</v>
      </c>
      <c r="Z35" s="56">
        <f>(APOYOS!$G$133="DISCONTINUO")+(APOYOS!$G$134="DISCONTINUO")+(APOYOS!$G$135="DISCONTINUO")+(APOYOS!$G$136="DISCONTINUO")</f>
        <v>2</v>
      </c>
      <c r="AA35" s="56">
        <f>IF(M35="X",(APOYOS!$G$133="DISCONTINUO")+(APOYOS!$G$134="DISCONTINUO"),(APOYOS!$G$135="DISCONTINUO")+(APOYOS!$G$136="DISCONTINUO"))</f>
        <v>1</v>
      </c>
      <c r="AB35" s="56">
        <f>Z35-AA35</f>
        <v>1</v>
      </c>
      <c r="AC35" s="52" t="str">
        <f>IF(Z35=0,"INTERIOR",IF(Z35=1,IF(AA35=1,"BORDE-CORTO","BORDE-LARGO"),IF(Z35=2,IF(AA35=1,"ESQUINA",IF(AA35=2,"EXTREMO-LARGO","EXTREMO-CORTO")),IF(Z35=3,IF(AA35=2,"EXTREMO-LARGO","EXTREMO-CORTO"),"AISLADO"))))</f>
        <v>ESQUINA</v>
      </c>
      <c r="AD35" s="53" t="inlineStr">
        <is>
          <t>AUTO</t>
        </is>
      </c>
      <c r="AE35" s="60" t="str">
        <f>IF(AD35="AUTO",AC35,AD35)</f>
        <v>ESQUINA</v>
      </c>
      <c r="AF35" s="56">
        <f>MATCH(L35,TABLAS!$D$5:$J$5,1)</f>
        <v>1</v>
      </c>
      <c r="AG35" s="43">
        <f>IF(AF35&gt;=7,0,(L35-INDEX(TABLAS!$D$5:$J$5,AF35))/(INDEX(TABLAS!$D$5:$J$5,AF35+1)-INDEX(TABLAS!$D$5:$J$5,AF35)))</f>
        <v>0.759986794321558</v>
      </c>
      <c r="AH35" s="56">
        <f>INDEX(TABLAS!$D$6:$J$47,MATCH(AE35&amp;"|NIC",TABLAS!$B$6:$B$47,0),AF35)+AG35*(INDEX(TABLAS!$D$6:$J$47,MATCH(AE35&amp;"|NIC",TABLAS!$B$6:$B$47,0),MIN(AF35+1,7))-INDEX(TABLAS!$D$6:$J$47,MATCH(AE35&amp;"|NIC",TABLAS!$B$6:$B$47,0),AF35))</f>
        <v>1304.71574777154</v>
      </c>
      <c r="AI35" s="56">
        <f>INDEX(TABLAS!$D$6:$J$47,MATCH(AE35&amp;"|NIL",TABLAS!$B$6:$B$47,0),AF35)+AG35*(INDEX(TABLAS!$D$6:$J$47,MATCH(AE35&amp;"|NIL",TABLAS!$B$6:$B$47,0),MIN(AF35+1,7))-INDEX(TABLAS!$D$6:$J$47,MATCH(AE35&amp;"|NIL",TABLAS!$B$6:$B$47,0),AF35))</f>
        <v>584.800264113569</v>
      </c>
      <c r="AJ35" s="56">
        <f>INDEX(TABLAS!$D$6:$J$47,MATCH(AE35&amp;"|NDC",TABLAS!$B$6:$B$47,0),AF35)+AG35*(INDEX(TABLAS!$D$6:$J$47,MATCH(AE35&amp;"|NDC",TABLAS!$B$6:$B$47,0),MIN(AF35+1,7))-INDEX(TABLAS!$D$6:$J$47,MATCH(AE35&amp;"|NDC",TABLAS!$B$6:$B$47,0),AF35))</f>
        <v>431.36381644107</v>
      </c>
      <c r="AK35" s="56">
        <f>INDEX(TABLAS!$D$6:$J$47,MATCH(AE35&amp;"|NDL",TABLAS!$B$6:$B$47,0),AF35)+AG35*(INDEX(TABLAS!$D$6:$J$47,MATCH(AE35&amp;"|NDL",TABLAS!$B$6:$B$47,0),MIN(AF35+1,7))-INDEX(TABLAS!$D$6:$J$47,MATCH(AE35&amp;"|NDL",TABLAS!$B$6:$B$47,0),AF35))</f>
        <v>331.319907560251</v>
      </c>
      <c r="AL35" s="56">
        <f>INDEX(TABLAS!$D$6:$J$47,MATCH(AE35&amp;"|PC",TABLAS!$B$6:$B$47,0),AF35)+AG35*(INDEX(TABLAS!$D$6:$J$47,MATCH(AE35&amp;"|PC",TABLAS!$B$6:$B$47,0),MIN(AF35+1,7))-INDEX(TABLAS!$D$6:$J$47,MATCH(AE35&amp;"|PC",TABLAS!$B$6:$B$47,0),AF35))</f>
        <v>523.763948497854</v>
      </c>
      <c r="AM35" s="56">
        <f>INDEX(TABLAS!$D$6:$J$47,MATCH(AE35&amp;"|PL",TABLAS!$B$6:$B$47,0),AF35)+AG35*(INDEX(TABLAS!$D$6:$J$47,MATCH(AE35&amp;"|PL",TABLAS!$B$6:$B$47,0),MIN(AF35+1,7))-INDEX(TABLAS!$D$6:$J$47,MATCH(AE35&amp;"|PL",TABLAS!$B$6:$B$47,0),AF35))</f>
        <v>272.318586992407</v>
      </c>
      <c r="AN35" s="36">
        <f>IF(D35="PERIMETRAL",IF(APOYOS!$G$133="CONTINUO",IF(M35="Y",AH35,AI35),IF(M35="Y",AJ35,AK35))*Y35*J35^2*1E-4*DATOS!$C$16/100/1000,0)</f>
        <v>0.110743038127373</v>
      </c>
      <c r="AO35" s="36">
        <f>IF(D35="PERIMETRAL",IF(APOYOS!$G$134="CONTINUO",IF(M35="Y",AH35,AI35),IF(M35="Y",AJ35,AK35))*Y35*J35^2*1E-4*DATOS!$C$16/100/1000,0)</f>
        <v>0.0366137525759882</v>
      </c>
      <c r="AP35" s="36">
        <f>IF(D35="PERIMETRAL",IF(APOYOS!$G$135="CONTINUO",IF(M35="X",AH35,AI35),IF(M35="X",AJ35,AK35))*Y35*J35^2*1E-4*DATOS!$C$16/100/1000,0)</f>
        <v>0.0281221202533745</v>
      </c>
      <c r="AQ35" s="36">
        <f>IF(D35="PERIMETRAL",IF(APOYOS!$G$136="CONTINUO",IF(M35="X",AH35,AI35),IF(M35="X",AJ35,AK35))*Y35*J35^2*1E-4*DATOS!$C$16/100/1000,0)</f>
        <v>0.0496372930703424</v>
      </c>
      <c r="AR35" s="56">
        <f>IF(D35="PERIMETRAL",IF(M35="X",BN35,CD35)^3/(J35*100),0)</f>
        <v>51.6805767085925</v>
      </c>
      <c r="AS35" s="56">
        <f>IF(D35="PERIMETRAL",IF(M35="Y",BN35,CD35)^3/(J35*100),0)</f>
        <v>63.3272907112858</v>
      </c>
      <c r="AT35" s="36">
        <f>IF(D35="PERIMETRAL",MAX(0,IF(M35="Y",IF(AND(OR(APOYOS!$G$133="CONTINUO",APOYOS!$G$114="CONTINUO"),AN35&gt;0,AO30&gt;0,AO30&gt;AN35),AN35+2/3*(AO30-AN35)*AS35/MAX(AS35+AS30,1E-9),0),0),IF(M35="X",IF(AND(OR(APOYOS!$G$136="CONTINUO",APOYOS!$G$155="CONTINUO"),AQ35&gt;0,AP40&gt;0,AP40&gt;AQ35),AQ35+2/3*(AP40-AQ35)*AR35/MAX(AR35+AR40,1E-9),0),0)),0)</f>
        <v>0.177285122226314</v>
      </c>
      <c r="AU35" s="36">
        <f>IF(D35="PERIMETRAL",MAX(0,IF(M35&lt;&gt;"Y",IF(AND(OR(APOYOS!$G$133="CONTINUO",APOYOS!$G$114="CONTINUO"),AN35&gt;0,AO30&gt;0,AO30&gt;AN35),AN35+2/3*(AO30-AN35)*AS35/MAX(AS35+AS30,1E-9),0),0),IF(M35&lt;&gt;"X",IF(AND(OR(APOYOS!$G$136="CONTINUO",APOYOS!$G$155="CONTINUO"),AQ35&gt;0,AP40&gt;0,AP40&gt;AQ35),AQ35+2/3*(AP40-AQ35)*AR35/MAX(AR35+AR40,1E-9),0),0)),0)</f>
        <v>0.132639109683895</v>
      </c>
      <c r="AV35" s="36">
        <f>IF(D35="PERIMETRAL",(IF(M35="Y",IF(AND(OR(APOYOS!$G$133="CONTINUO",APOYOS!$G$114="CONTINUO"),AN35&gt;0,AO30&gt;0,AN35&gt;AO30),2/3*(AN35-AO30)*AS35/MAX(AS35+AS30,1E-9),0),0)+IF(M35="X",IF(AND(OR(APOYOS!$G$136="CONTINUO",APOYOS!$G$155="CONTINUO"),AQ35&gt;0,AP40&gt;0,AQ35&gt;AP40),2/3*(AQ35-AP40)*AR35/MAX(AR35+AR40,1E-9),0),0))/2,0)</f>
        <v>0</v>
      </c>
      <c r="AW35" s="36">
        <f>IF(D35="PERIMETRAL",(IF(M35&lt;&gt;"Y",IF(AND(OR(APOYOS!$G$133="CONTINUO",APOYOS!$G$114="CONTINUO"),AN35&gt;0,AO30&gt;0,AN35&gt;AO30),2/3*(AN35-AO30)*AS35/MAX(AS35+AS30,1E-9),0),0)+IF(M35&lt;&gt;"X",IF(AND(OR(APOYOS!$G$136="CONTINUO",APOYOS!$G$155="CONTINUO"),AQ35&gt;0,AP40&gt;0,AQ35&gt;AP40),2/3*(AQ35-AP40)*AR35/MAX(AR35+AR40,1E-9),0),0))/2,0)</f>
        <v>0</v>
      </c>
      <c r="AX35" s="36">
        <f>IF(D35="PERIMETRAL",MAX(0,0),0)</f>
        <v>0</v>
      </c>
      <c r="AY35" s="52" t="str">
        <f>IF(D35&lt;&gt;"PERIMETRAL","",IF(AND(OR(APOYOS!$G$133="CONTINUO",APOYOS!$G$114="CONTINUO"),AN35&gt;0,AO30&gt;0,ABS(AN35-AO30)&gt;0.5*MIN(AN35,AO30))," F80010","")&amp;IF(AND(OR(APOYOS!$G$136="CONTINUO",APOYOS!$G$155="CONTINUO"),AQ35&gt;0,AP40&gt;0,ABS(AQ35-AP40)&gt;0.5*MIN(AQ35,AP40))," F80032",""))</f>
        <v> F80010 F80032</v>
      </c>
      <c r="AZ35" s="52" t="str">
        <f>IF(D35&lt;&gt;"PERIMETRAL","—",IF(AY35="","CUMPLE","FUERA con"&amp;AY35)&amp;IF(AND(D30="PERIMETRAL",APOYOS!$G$133&lt;&gt;APOYOS!$G$114)," · continuidad asimétrica con F80010 (cada uno con su momento; revisar APOYOS)","")&amp;IF(AND(D40="PERIMETRAL",APOYOS!$G$136&lt;&gt;APOYOS!$G$155)," · continuidad asimétrica con F80032 (cada uno con su momento; revisar APOYOS)",""))</f>
        <v>FUERA con F80010 F80032</v>
      </c>
      <c r="BA35" s="61" t="n">
        <v>0</v>
      </c>
      <c r="BB35" s="36">
        <f>IF(D35="PERIMETRAL",AL35*Y35*J35^2*1E-4*DATOS!$C$16/100/1000+AV35,0)</f>
        <v>0.0444565883544451</v>
      </c>
      <c r="BC35" s="36">
        <f>IF(D35="PERIMETRAL",MAX(MAX(AH35,AJ35)*Y35*J35^2*1E-4*DATOS!$C$16/100/1000,AT35),IF(D35="VOLADO",(Y35*(N35/100)^2/2+DATOS!$C$55*BA35*N35/100)*DATOS!$C$16/100/1000,0))</f>
        <v>0.177285122226314</v>
      </c>
      <c r="BD35" s="36">
        <f>IF(D35="PERIMETRAL",AM35*Y35*J35^2*1E-4*DATOS!$C$16/100/1000+AW35,0)</f>
        <v>0.0231141439915947</v>
      </c>
      <c r="BE35" s="36">
        <f>IF(D35="PERIMETRAL",MAX(MAX(AI35,AK35)*Y35*J35^2*1E-4*DATOS!$C$16/100/1000,AU35),0)</f>
        <v>0.132639109683895</v>
      </c>
      <c r="BF35" s="43">
        <f>(DATOS!$C$15-R35-IF(DATOS!$C$25=0,0,INDEX(TABLAS!$C$52:$C$58,MATCH(DATOS!$C$25,TABLAS!$B$52:$B$58,0)))-INDEX(TABLAS!$C$52:$C$58,MATCH(DATOS!$C$26,TABLAS!$B$52:$B$58,0))/2)</f>
        <v>20.365</v>
      </c>
      <c r="BG35" s="43">
        <f>IF(D35="HUECO",0,IF(IF(BB35&lt;=0,0,IF((1-2*BB35*1E5/(DATOS!$C$58*P35*BF35^2*DATOS!$C$48))&lt;0,-1,IF((1-SQRT((1-2*BB35*1E5/(DATOS!$C$58*P35*BF35^2*DATOS!$C$48))))*DATOS!$C$48*P35*BF35/DATOS!$C$40&gt;DATOS!$C$82*P35*BF35,-1,(1-SQRT((1-2*BB35*1E5/(DATOS!$C$58*P35*BF35^2*DATOS!$C$48))))*DATOS!$C$48*P35*BF35/DATOS!$C$40)))&lt;0,-1,MAX(IF(BB35&lt;=0,0,IF((1-2*BB35*1E5/(DATOS!$C$58*P35*BF35^2*DATOS!$C$48))&lt;0,-1,IF((1-SQRT((1-2*BB35*1E5/(DATOS!$C$58*P35*BF35^2*DATOS!$C$48))))*DATOS!$C$48*P35*BF35/DATOS!$C$40&gt;DATOS!$C$82*P35*BF35,-1,(1-SQRT((1-2*BB35*1E5/(DATOS!$C$58*P35*BF35^2*DATOS!$C$48))))*DATOS!$C$48*P35*BF35/DATOS!$C$40))),MIN(DATOS!$C$83*DATOS!$C$13*BF35,4/3*IF(BB35&lt;=0,0,IF((1-2*BB35*1E5/(DATOS!$C$58*P35*BF35^2*DATOS!$C$48))&lt;0,-1,IF((1-SQRT((1-2*BB35*1E5/(DATOS!$C$58*P35*BF35^2*DATOS!$C$48))))*DATOS!$C$48*P35*BF35/DATOS!$C$40&gt;DATOS!$C$82*P35*BF35,-1,(1-SQRT((1-2*BB35*1E5/(DATOS!$C$58*P35*BF35^2*DATOS!$C$48))))*DATOS!$C$48*P35*BF35/DATOS!$C$40)))))))</f>
        <v>0.0770631152690716</v>
      </c>
      <c r="BH35" s="41">
        <f>IF(AND(BG35&gt;=0,IF(MAX(DATOS!$C$29,CEILING(BG35/INDEX(TABLAS!$D$52:$D$58,MIN(MATCH(DATOS!$C$26,TABLAS!$B$52:$B$58,0)+0,7)),1))*INDEX(TABLAS!$D$52:$D$58,MIN(MATCH(DATOS!$C$26,TABLAS!$B$52:$B$58,0)+0,7))&gt;=4/3*IF(BB35&lt;=0,0,IF((1-2*BB35*1E5/(DATOS!$C$58*P35*BF35^2*DATOS!$C$48))&lt;0,-1,IF((1-SQRT((1-2*BB35*1E5/(DATOS!$C$58*P35*BF35^2*DATOS!$C$48))))*DATOS!$C$48*P35*BF35/DATOS!$C$40&gt;DATOS!$C$82*P35*BF35,-1,(1-SQRT((1-2*BB35*1E5/(DATOS!$C$58*P35*BF35^2*DATOS!$C$48))))*DATOS!$C$48*P35*BF35/DATOS!$C$40)))-0.0001,MAX(DATOS!$C$29,CEILING(BG35/INDEX(TABLAS!$D$52:$D$58,MIN(MATCH(DATOS!$C$26,TABLAS!$B$52:$B$58,0)+0,7)),1)),MAX(MAX(DATOS!$C$29,CEILING(BG35/INDEX(TABLAS!$D$52:$D$58,MIN(MATCH(DATOS!$C$26,TABLAS!$B$52:$B$58,0)+0,7)),1)),2))&lt;=MIN(DATOS!$C$28,INT(((DATOS!$C$13-2*R35-2*IF(DATOS!$C$25=0,0,INDEX(TABLAS!$C$52:$C$58,MATCH(DATOS!$C$25,TABLAS!$B$52:$B$58,0))))+MAX(DATOS!$C$32,INDEX(TABLAS!$C$52:$C$58,MIN(MATCH(DATOS!$C$26,TABLAS!$B$52:$B$58,0)+0,7))))/(INDEX(TABLAS!$C$52:$C$58,MIN(MATCH(DATOS!$C$26,TABLAS!$B$52:$B$58,0)+0,7))+MAX(DATOS!$C$32,INDEX(TABLAS!$C$52:$C$58,MIN(MATCH(DATOS!$C$26,TABLAS!$B$52:$B$58,0)+0,7))))))),INDEX(TABLAS!$B$52:$B$58,MIN(MATCH(DATOS!$C$26,TABLAS!$B$52:$B$58,0)+0,7)),IF(AND(BG35&gt;=0,IF(MAX(DATOS!$C$29,CEILING(BG35/INDEX(TABLAS!$D$52:$D$58,MIN(MATCH(DATOS!$C$26,TABLAS!$B$52:$B$58,0)+1,7)),1))*INDEX(TABLAS!$D$52:$D$58,MIN(MATCH(DATOS!$C$26,TABLAS!$B$52:$B$58,0)+1,7))&gt;=4/3*IF(BB35&lt;=0,0,IF((1-2*BB35*1E5/(DATOS!$C$58*P35*BF35^2*DATOS!$C$48))&lt;0,-1,IF((1-SQRT((1-2*BB35*1E5/(DATOS!$C$58*P35*BF35^2*DATOS!$C$48))))*DATOS!$C$48*P35*BF35/DATOS!$C$40&gt;DATOS!$C$82*P35*BF35,-1,(1-SQRT((1-2*BB35*1E5/(DATOS!$C$58*P35*BF35^2*DATOS!$C$48))))*DATOS!$C$48*P35*BF35/DATOS!$C$40)))-0.0001,MAX(DATOS!$C$29,CEILING(BG35/INDEX(TABLAS!$D$52:$D$58,MIN(MATCH(DATOS!$C$26,TABLAS!$B$52:$B$58,0)+1,7)),1)),MAX(MAX(DATOS!$C$29,CEILING(BG35/INDEX(TABLAS!$D$52:$D$58,MIN(MATCH(DATOS!$C$26,TABLAS!$B$52:$B$58,0)+1,7)),1)),2))&lt;=MIN(DATOS!$C$28,INT(((DATOS!$C$13-2*R35-2*IF(DATOS!$C$25=0,0,INDEX(TABLAS!$C$52:$C$58,MATCH(DATOS!$C$25,TABLAS!$B$52:$B$58,0))))+MAX(DATOS!$C$32,INDEX(TABLAS!$C$52:$C$58,MIN(MATCH(DATOS!$C$26,TABLAS!$B$52:$B$58,0)+1,7))))/(INDEX(TABLAS!$C$52:$C$58,MIN(MATCH(DATOS!$C$26,TABLAS!$B$52:$B$58,0)+1,7))+MAX(DATOS!$C$32,INDEX(TABLAS!$C$52:$C$58,MIN(MATCH(DATOS!$C$26,TABLAS!$B$52:$B$58,0)+1,7))))))),INDEX(TABLAS!$B$52:$B$58,MIN(MATCH(DATOS!$C$26,TABLAS!$B$52:$B$58,0)+1,7)),IF(AND(BG35&gt;=0,IF(MAX(DATOS!$C$29,CEILING(BG35/INDEX(TABLAS!$D$52:$D$58,MIN(MATCH(DATOS!$C$26,TABLAS!$B$52:$B$58,0)+2,7)),1))*INDEX(TABLAS!$D$52:$D$58,MIN(MATCH(DATOS!$C$26,TABLAS!$B$52:$B$58,0)+2,7))&gt;=4/3*IF(BB35&lt;=0,0,IF((1-2*BB35*1E5/(DATOS!$C$58*P35*BF35^2*DATOS!$C$48))&lt;0,-1,IF((1-SQRT((1-2*BB35*1E5/(DATOS!$C$58*P35*BF35^2*DATOS!$C$48))))*DATOS!$C$48*P35*BF35/DATOS!$C$40&gt;DATOS!$C$82*P35*BF35,-1,(1-SQRT((1-2*BB35*1E5/(DATOS!$C$58*P35*BF35^2*DATOS!$C$48))))*DATOS!$C$48*P35*BF35/DATOS!$C$40)))-0.0001,MAX(DATOS!$C$29,CEILING(BG35/INDEX(TABLAS!$D$52:$D$58,MIN(MATCH(DATOS!$C$26,TABLAS!$B$52:$B$58,0)+2,7)),1)),MAX(MAX(DATOS!$C$29,CEILING(BG35/INDEX(TABLAS!$D$52:$D$58,MIN(MATCH(DATOS!$C$26,TABLAS!$B$52:$B$58,0)+2,7)),1)),2))&lt;=MIN(DATOS!$C$28,INT(((DATOS!$C$13-2*R35-2*IF(DATOS!$C$25=0,0,INDEX(TABLAS!$C$52:$C$58,MATCH(DATOS!$C$25,TABLAS!$B$52:$B$58,0))))+MAX(DATOS!$C$32,INDEX(TABLAS!$C$52:$C$58,MIN(MATCH(DATOS!$C$26,TABLAS!$B$52:$B$58,0)+2,7))))/(INDEX(TABLAS!$C$52:$C$58,MIN(MATCH(DATOS!$C$26,TABLAS!$B$52:$B$58,0)+2,7))+MAX(DATOS!$C$32,INDEX(TABLAS!$C$52:$C$58,MIN(MATCH(DATOS!$C$26,TABLAS!$B$52:$B$58,0)+2,7))))))),INDEX(TABLAS!$B$52:$B$58,MIN(MATCH(DATOS!$C$26,TABLAS!$B$52:$B$58,0)+2,7)),IF(AND(BG35&gt;=0,IF(MAX(DATOS!$C$29,CEILING(BG35/INDEX(TABLAS!$D$52:$D$58,MIN(MATCH(DATOS!$C$26,TABLAS!$B$52:$B$58,0)+3,7)),1))*INDEX(TABLAS!$D$52:$D$58,MIN(MATCH(DATOS!$C$26,TABLAS!$B$52:$B$58,0)+3,7))&gt;=4/3*IF(BB35&lt;=0,0,IF((1-2*BB35*1E5/(DATOS!$C$58*P35*BF35^2*DATOS!$C$48))&lt;0,-1,IF((1-SQRT((1-2*BB35*1E5/(DATOS!$C$58*P35*BF35^2*DATOS!$C$48))))*DATOS!$C$48*P35*BF35/DATOS!$C$40&gt;DATOS!$C$82*P35*BF35,-1,(1-SQRT((1-2*BB35*1E5/(DATOS!$C$58*P35*BF35^2*DATOS!$C$48))))*DATOS!$C$48*P35*BF35/DATOS!$C$40)))-0.0001,MAX(DATOS!$C$29,CEILING(BG35/INDEX(TABLAS!$D$52:$D$58,MIN(MATCH(DATOS!$C$26,TABLAS!$B$52:$B$58,0)+3,7)),1)),MAX(MAX(DATOS!$C$29,CEILING(BG35/INDEX(TABLAS!$D$52:$D$58,MIN(MATCH(DATOS!$C$26,TABLAS!$B$52:$B$58,0)+3,7)),1)),2))&lt;=MIN(DATOS!$C$28,INT(((DATOS!$C$13-2*R35-2*IF(DATOS!$C$25=0,0,INDEX(TABLAS!$C$52:$C$58,MATCH(DATOS!$C$25,TABLAS!$B$52:$B$58,0))))+MAX(DATOS!$C$32,INDEX(TABLAS!$C$52:$C$58,MIN(MATCH(DATOS!$C$26,TABLAS!$B$52:$B$58,0)+3,7))))/(INDEX(TABLAS!$C$52:$C$58,MIN(MATCH(DATOS!$C$26,TABLAS!$B$52:$B$58,0)+3,7))+MAX(DATOS!$C$32,INDEX(TABLAS!$C$52:$C$58,MIN(MATCH(DATOS!$C$26,TABLAS!$B$52:$B$58,0)+3,7))))))),INDEX(TABLAS!$B$52:$B$58,MIN(MATCH(DATOS!$C$26,TABLAS!$B$52:$B$58,0)+3,7)),IF(AND(BG35&gt;=0,IF(MAX(DATOS!$C$29,CEILING(BG35/INDEX(TABLAS!$D$52:$D$58,MIN(MATCH(DATOS!$C$26,TABLAS!$B$52:$B$58,0)+4,7)),1))*INDEX(TABLAS!$D$52:$D$58,MIN(MATCH(DATOS!$C$26,TABLAS!$B$52:$B$58,0)+4,7))&gt;=4/3*IF(BB35&lt;=0,0,IF((1-2*BB35*1E5/(DATOS!$C$58*P35*BF35^2*DATOS!$C$48))&lt;0,-1,IF((1-SQRT((1-2*BB35*1E5/(DATOS!$C$58*P35*BF35^2*DATOS!$C$48))))*DATOS!$C$48*P35*BF35/DATOS!$C$40&gt;DATOS!$C$82*P35*BF35,-1,(1-SQRT((1-2*BB35*1E5/(DATOS!$C$58*P35*BF35^2*DATOS!$C$48))))*DATOS!$C$48*P35*BF35/DATOS!$C$40)))-0.0001,MAX(DATOS!$C$29,CEILING(BG35/INDEX(TABLAS!$D$52:$D$58,MIN(MATCH(DATOS!$C$26,TABLAS!$B$52:$B$58,0)+4,7)),1)),MAX(MAX(DATOS!$C$29,CEILING(BG35/INDEX(TABLAS!$D$52:$D$58,MIN(MATCH(DATOS!$C$26,TABLAS!$B$52:$B$58,0)+4,7)),1)),2))&lt;=MIN(DATOS!$C$28,INT(((DATOS!$C$13-2*R35-2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35" s="56">
        <f>IF(D35="HUECO",0,IF(BG35&lt;0,0,IF(MAX(DATOS!$C$29,CEILING(MAX(BG35,0)/INDEX(TABLAS!$D$52:$D$58,MATCH(BH35,TABLAS!$B$52:$B$58,0)),1))*INDEX(TABLAS!$D$52:$D$58,MATCH(BH35,TABLAS!$B$52:$B$58,0))&gt;=4/3*IF(BB35&lt;=0,0,IF((1-2*BB35*1E5/(DATOS!$C$58*P35*BF35^2*DATOS!$C$48))&lt;0,-1,IF((1-SQRT((1-2*BB35*1E5/(DATOS!$C$58*P35*BF35^2*DATOS!$C$48))))*DATOS!$C$48*P35*BF35/DATOS!$C$40&gt;DATOS!$C$82*P35*BF35,-1,(1-SQRT((1-2*BB35*1E5/(DATOS!$C$58*P35*BF35^2*DATOS!$C$48))))*DATOS!$C$48*P35*BF35/DATOS!$C$40)))-0.0001,MAX(DATOS!$C$29,CEILING(MAX(BG35,0)/INDEX(TABLAS!$D$52:$D$58,MATCH(BH35,TABLAS!$B$52:$B$58,0)),1)),MAX(MAX(DATOS!$C$29,CEILING(MAX(BG35,0)/INDEX(TABLAS!$D$52:$D$58,MATCH(BH35,TABLAS!$B$52:$B$58,0)),1)),2))))</f>
        <v>1</v>
      </c>
      <c r="BJ35" s="43">
        <f>DATOS!$C$15-R35-IF(DATOS!$C$25=0,0,INDEX(TABLAS!$C$52:$C$58,MATCH(DATOS!$C$25,TABLAS!$B$52:$B$58,0)))-INDEX(TABLAS!$C$52:$C$58,MATCH(BH35,TABLAS!$B$52:$B$58,0))/2</f>
        <v>20.365</v>
      </c>
      <c r="BK35" s="36">
        <f>IF(BI35=0,0,DATOS!$C$58*BI35*INDEX(TABLAS!$D$52:$D$58,MATCH(BH35,TABLAS!$B$52:$B$58,0))*DATOS!$C$40*(BJ35-BI35*INDEX(TABLAS!$D$52:$D$58,MATCH(BH35,TABLAS!$B$52:$B$58,0))*DATOS!$C$40/(DATOS!$C$48*P35)/2)/1E5)</f>
        <v>0.960440090390477</v>
      </c>
      <c r="BL35" s="62">
        <f>IF(BG35&lt;0,9.99,IF(BK35&gt;0,BB35/BK35,0))</f>
        <v>0.0462877266362036</v>
      </c>
      <c r="BM35" s="63">
        <f>IF(BI35=0,"—",0.003*(BJ35-(BI35*INDEX(TABLAS!$D$52:$D$58,MATCH(BH35,TABLAS!$B$52:$B$58,0))*DATOS!$C$40/(DATOS!$C$48*P35)/DATOS!$C$49))/(BI35*INDEX(TABLAS!$D$52:$D$58,MATCH(BH35,TABLAS!$B$52:$B$58,0))*DATOS!$C$40/(DATOS!$C$48*P35)/DATOS!$C$49))</f>
        <v>0.069461723890959</v>
      </c>
      <c r="BN35" s="43">
        <f>((DATOS!$C$15-S35-2*DATOS!$C$35-IF(DATOS!$C$25=0,0,INDEX(TABLAS!$C$52:$C$58,MATCH(DATOS!$C$25,TABLAS!$B$52:$B$58,0)))-INDEX(TABLAS!$C$52:$C$58,MATCH(DATOS!$C$27,TABLAS!$B$52:$B$58,0))/2)-IF(AND((DATOS!$C$15-S35-2*DATOS!$C$35-IF(DATOS!$C$25=0,0,INDEX(TABLAS!$C$52:$C$58,MATCH(DATOS!$C$25,TABLAS!$B$52:$B$58,0)))-INDEX(TABLAS!$C$52:$C$58,MATCH(DATOS!$C$27,TABLAS!$B$52:$B$58,0))/2)&lt;=20,DATOS!$C$18&lt;&gt;"SÍ"),2,0))</f>
        <v>19.389</v>
      </c>
      <c r="BO35" s="43">
        <f>IF(D35="HUECO",0,IF(IF(BC35&lt;=0,0,IF((1-2*BC35*1E5/(DATOS!$C$58*DATOS!$C$19*BN35^2*DATOS!$C$48))&lt;0,-1,IF((1-SQRT((1-2*BC35*1E5/(DATOS!$C$58*DATOS!$C$19*BN35^2*DATOS!$C$48))))*DATOS!$C$48*DATOS!$C$19*BN35/DATOS!$C$40&gt;DATOS!$C$82*DATOS!$C$19*BN35,-1,(1-SQRT((1-2*BC35*1E5/(DATOS!$C$58*DATOS!$C$19*BN35^2*DATOS!$C$48))))*DATOS!$C$48*DATOS!$C$19*BN35/DATOS!$C$40)))&lt;0,-1,MAX(IF(BC35&lt;=0,0,IF((1-2*BC35*1E5/(DATOS!$C$58*DATOS!$C$19*BN35^2*DATOS!$C$48))&lt;0,-1,IF((1-SQRT((1-2*BC35*1E5/(DATOS!$C$58*DATOS!$C$19*BN35^2*DATOS!$C$48))))*DATOS!$C$48*DATOS!$C$19*BN35/DATOS!$C$40&gt;DATOS!$C$82*DATOS!$C$19*BN35,-1,(1-SQRT((1-2*BC35*1E5/(DATOS!$C$58*DATOS!$C$19*BN35^2*DATOS!$C$48))))*DATOS!$C$48*DATOS!$C$19*BN35/DATOS!$C$40))),MIN(DATOS!$C$83*IF(D35="VOLADO",2*DATOS!$C$13,DATOS!$C$13)*BN35,4/3*IF(BC35&lt;=0,0,IF((1-2*BC35*1E5/(DATOS!$C$58*DATOS!$C$19*BN35^2*DATOS!$C$48))&lt;0,-1,IF((1-SQRT((1-2*BC35*1E5/(DATOS!$C$58*DATOS!$C$19*BN35^2*DATOS!$C$48))))*DATOS!$C$48*DATOS!$C$19*BN35/DATOS!$C$40&gt;DATOS!$C$82*DATOS!$C$19*BN35,-1,(1-SQRT((1-2*BC35*1E5/(DATOS!$C$58*DATOS!$C$19*BN35^2*DATOS!$C$48))))*DATOS!$C$48*DATOS!$C$19*BN35/DATOS!$C$40)))))))</f>
        <v>0.32660293841986</v>
      </c>
      <c r="BP35" s="41">
        <f>IF(AND(BO35&gt;=0,IF(MAX(DATOS!$C$29,CEILING(BO35/INDEX(TABLAS!$D$52:$D$58,MIN(MATCH(DATOS!$C$27,TABLAS!$B$52:$B$58,0)+0,7)),1))*INDEX(TABLAS!$D$52:$D$58,MIN(MATCH(DATOS!$C$27,TABLAS!$B$52:$B$58,0)+0,7))&gt;=4/3*IF(BC35&lt;=0,0,IF((1-2*BC35*1E5/(DATOS!$C$58*DATOS!$C$19*BN35^2*DATOS!$C$48))&lt;0,-1,IF((1-SQRT((1-2*BC35*1E5/(DATOS!$C$58*DATOS!$C$19*BN35^2*DATOS!$C$48))))*DATOS!$C$48*DATOS!$C$19*BN35/DATOS!$C$40&gt;DATOS!$C$82*DATOS!$C$19*BN35,-1,(1-SQRT((1-2*BC35*1E5/(DATOS!$C$58*DATOS!$C$19*BN35^2*DATOS!$C$48))))*DATOS!$C$48*DATOS!$C$19*BN35/DATOS!$C$40)))-0.0001,MAX(DATOS!$C$29,CEILING(BO35/INDEX(TABLAS!$D$52:$D$58,MIN(MATCH(DATOS!$C$27,TABLAS!$B$52:$B$58,0)+0,7)),1)),MAX(MAX(DATOS!$C$29,CEILING(BO35/INDEX(TABLAS!$D$52:$D$58,MIN(MATCH(DATOS!$C$27,TABLAS!$B$52:$B$58,0)+0,7)),1)),2))&lt;=MIN(DATOS!$C$28,INT(((DATOS!$C$13-2*S35-2*IF(DATOS!$C$25=0,0,INDEX(TABLAS!$C$52:$C$58,MATCH(DATOS!$C$25,TABLAS!$B$52:$B$58,0))))+MAX(DATOS!$C$32,INDEX(TABLAS!$C$52:$C$58,MIN(MATCH(DATOS!$C$27,TABLAS!$B$52:$B$58,0)+0,7))))/(INDEX(TABLAS!$C$52:$C$58,MIN(MATCH(DATOS!$C$27,TABLAS!$B$52:$B$58,0)+0,7))+MAX(DATOS!$C$32,INDEX(TABLAS!$C$52:$C$58,MIN(MATCH(DATOS!$C$27,TABLAS!$B$52:$B$58,0)+0,7))))))),INDEX(TABLAS!$B$52:$B$58,MIN(MATCH(DATOS!$C$27,TABLAS!$B$52:$B$58,0)+0,7)),IF(AND(BO35&gt;=0,IF(MAX(DATOS!$C$29,CEILING(BO35/INDEX(TABLAS!$D$52:$D$58,MIN(MATCH(DATOS!$C$27,TABLAS!$B$52:$B$58,0)+1,7)),1))*INDEX(TABLAS!$D$52:$D$58,MIN(MATCH(DATOS!$C$27,TABLAS!$B$52:$B$58,0)+1,7))&gt;=4/3*IF(BC35&lt;=0,0,IF((1-2*BC35*1E5/(DATOS!$C$58*DATOS!$C$19*BN35^2*DATOS!$C$48))&lt;0,-1,IF((1-SQRT((1-2*BC35*1E5/(DATOS!$C$58*DATOS!$C$19*BN35^2*DATOS!$C$48))))*DATOS!$C$48*DATOS!$C$19*BN35/DATOS!$C$40&gt;DATOS!$C$82*DATOS!$C$19*BN35,-1,(1-SQRT((1-2*BC35*1E5/(DATOS!$C$58*DATOS!$C$19*BN35^2*DATOS!$C$48))))*DATOS!$C$48*DATOS!$C$19*BN35/DATOS!$C$40)))-0.0001,MAX(DATOS!$C$29,CEILING(BO35/INDEX(TABLAS!$D$52:$D$58,MIN(MATCH(DATOS!$C$27,TABLAS!$B$52:$B$58,0)+1,7)),1)),MAX(MAX(DATOS!$C$29,CEILING(BO35/INDEX(TABLAS!$D$52:$D$58,MIN(MATCH(DATOS!$C$27,TABLAS!$B$52:$B$58,0)+1,7)),1)),2))&lt;=MIN(DATOS!$C$28,INT(((DATOS!$C$13-2*S35-2*IF(DATOS!$C$25=0,0,INDEX(TABLAS!$C$52:$C$58,MATCH(DATOS!$C$25,TABLAS!$B$52:$B$58,0))))+MAX(DATOS!$C$32,INDEX(TABLAS!$C$52:$C$58,MIN(MATCH(DATOS!$C$27,TABLAS!$B$52:$B$58,0)+1,7))))/(INDEX(TABLAS!$C$52:$C$58,MIN(MATCH(DATOS!$C$27,TABLAS!$B$52:$B$58,0)+1,7))+MAX(DATOS!$C$32,INDEX(TABLAS!$C$52:$C$58,MIN(MATCH(DATOS!$C$27,TABLAS!$B$52:$B$58,0)+1,7))))))),INDEX(TABLAS!$B$52:$B$58,MIN(MATCH(DATOS!$C$27,TABLAS!$B$52:$B$58,0)+1,7)),IF(AND(BO35&gt;=0,IF(MAX(DATOS!$C$29,CEILING(BO35/INDEX(TABLAS!$D$52:$D$58,MIN(MATCH(DATOS!$C$27,TABLAS!$B$52:$B$58,0)+2,7)),1))*INDEX(TABLAS!$D$52:$D$58,MIN(MATCH(DATOS!$C$27,TABLAS!$B$52:$B$58,0)+2,7))&gt;=4/3*IF(BC35&lt;=0,0,IF((1-2*BC35*1E5/(DATOS!$C$58*DATOS!$C$19*BN35^2*DATOS!$C$48))&lt;0,-1,IF((1-SQRT((1-2*BC35*1E5/(DATOS!$C$58*DATOS!$C$19*BN35^2*DATOS!$C$48))))*DATOS!$C$48*DATOS!$C$19*BN35/DATOS!$C$40&gt;DATOS!$C$82*DATOS!$C$19*BN35,-1,(1-SQRT((1-2*BC35*1E5/(DATOS!$C$58*DATOS!$C$19*BN35^2*DATOS!$C$48))))*DATOS!$C$48*DATOS!$C$19*BN35/DATOS!$C$40)))-0.0001,MAX(DATOS!$C$29,CEILING(BO35/INDEX(TABLAS!$D$52:$D$58,MIN(MATCH(DATOS!$C$27,TABLAS!$B$52:$B$58,0)+2,7)),1)),MAX(MAX(DATOS!$C$29,CEILING(BO35/INDEX(TABLAS!$D$52:$D$58,MIN(MATCH(DATOS!$C$27,TABLAS!$B$52:$B$58,0)+2,7)),1)),2))&lt;=MIN(DATOS!$C$28,INT(((DATOS!$C$13-2*S35-2*IF(DATOS!$C$25=0,0,INDEX(TABLAS!$C$52:$C$58,MATCH(DATOS!$C$25,TABLAS!$B$52:$B$58,0))))+MAX(DATOS!$C$32,INDEX(TABLAS!$C$52:$C$58,MIN(MATCH(DATOS!$C$27,TABLAS!$B$52:$B$58,0)+2,7))))/(INDEX(TABLAS!$C$52:$C$58,MIN(MATCH(DATOS!$C$27,TABLAS!$B$52:$B$58,0)+2,7))+MAX(DATOS!$C$32,INDEX(TABLAS!$C$52:$C$58,MIN(MATCH(DATOS!$C$27,TABLAS!$B$52:$B$58,0)+2,7))))))),INDEX(TABLAS!$B$52:$B$58,MIN(MATCH(DATOS!$C$27,TABLAS!$B$52:$B$58,0)+2,7)),IF(AND(BO35&gt;=0,IF(MAX(DATOS!$C$29,CEILING(BO35/INDEX(TABLAS!$D$52:$D$58,MIN(MATCH(DATOS!$C$27,TABLAS!$B$52:$B$58,0)+3,7)),1))*INDEX(TABLAS!$D$52:$D$58,MIN(MATCH(DATOS!$C$27,TABLAS!$B$52:$B$58,0)+3,7))&gt;=4/3*IF(BC35&lt;=0,0,IF((1-2*BC35*1E5/(DATOS!$C$58*DATOS!$C$19*BN35^2*DATOS!$C$48))&lt;0,-1,IF((1-SQRT((1-2*BC35*1E5/(DATOS!$C$58*DATOS!$C$19*BN35^2*DATOS!$C$48))))*DATOS!$C$48*DATOS!$C$19*BN35/DATOS!$C$40&gt;DATOS!$C$82*DATOS!$C$19*BN35,-1,(1-SQRT((1-2*BC35*1E5/(DATOS!$C$58*DATOS!$C$19*BN35^2*DATOS!$C$48))))*DATOS!$C$48*DATOS!$C$19*BN35/DATOS!$C$40)))-0.0001,MAX(DATOS!$C$29,CEILING(BO35/INDEX(TABLAS!$D$52:$D$58,MIN(MATCH(DATOS!$C$27,TABLAS!$B$52:$B$58,0)+3,7)),1)),MAX(MAX(DATOS!$C$29,CEILING(BO35/INDEX(TABLAS!$D$52:$D$58,MIN(MATCH(DATOS!$C$27,TABLAS!$B$52:$B$58,0)+3,7)),1)),2))&lt;=MIN(DATOS!$C$28,INT(((DATOS!$C$13-2*S35-2*IF(DATOS!$C$25=0,0,INDEX(TABLAS!$C$52:$C$58,MATCH(DATOS!$C$25,TABLAS!$B$52:$B$58,0))))+MAX(DATOS!$C$32,INDEX(TABLAS!$C$52:$C$58,MIN(MATCH(DATOS!$C$27,TABLAS!$B$52:$B$58,0)+3,7))))/(INDEX(TABLAS!$C$52:$C$58,MIN(MATCH(DATOS!$C$27,TABLAS!$B$52:$B$58,0)+3,7))+MAX(DATOS!$C$32,INDEX(TABLAS!$C$52:$C$58,MIN(MATCH(DATOS!$C$27,TABLAS!$B$52:$B$58,0)+3,7))))))),INDEX(TABLAS!$B$52:$B$58,MIN(MATCH(DATOS!$C$27,TABLAS!$B$52:$B$58,0)+3,7)),IF(AND(BO35&gt;=0,IF(MAX(DATOS!$C$29,CEILING(BO35/INDEX(TABLAS!$D$52:$D$58,MIN(MATCH(DATOS!$C$27,TABLAS!$B$52:$B$58,0)+4,7)),1))*INDEX(TABLAS!$D$52:$D$58,MIN(MATCH(DATOS!$C$27,TABLAS!$B$52:$B$58,0)+4,7))&gt;=4/3*IF(BC35&lt;=0,0,IF((1-2*BC35*1E5/(DATOS!$C$58*DATOS!$C$19*BN35^2*DATOS!$C$48))&lt;0,-1,IF((1-SQRT((1-2*BC35*1E5/(DATOS!$C$58*DATOS!$C$19*BN35^2*DATOS!$C$48))))*DATOS!$C$48*DATOS!$C$19*BN35/DATOS!$C$40&gt;DATOS!$C$82*DATOS!$C$19*BN35,-1,(1-SQRT((1-2*BC35*1E5/(DATOS!$C$58*DATOS!$C$19*BN35^2*DATOS!$C$48))))*DATOS!$C$48*DATOS!$C$19*BN35/DATOS!$C$40)))-0.0001,MAX(DATOS!$C$29,CEILING(BO35/INDEX(TABLAS!$D$52:$D$58,MIN(MATCH(DATOS!$C$27,TABLAS!$B$52:$B$58,0)+4,7)),1)),MAX(MAX(DATOS!$C$29,CEILING(BO35/INDEX(TABLAS!$D$52:$D$58,MIN(MATCH(DATOS!$C$27,TABLAS!$B$52:$B$58,0)+4,7)),1)),2))&lt;=MIN(DATOS!$C$28,INT(((DATOS!$C$13-2*S35-2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35" s="56">
        <f>IF(D35="HUECO",0,IF(BO35&lt;0,0,IF(MAX(DATOS!$C$29,CEILING(MAX(BO35,0)/INDEX(TABLAS!$D$52:$D$58,MATCH(BP35,TABLAS!$B$52:$B$58,0)),1))*INDEX(TABLAS!$D$52:$D$58,MATCH(BP35,TABLAS!$B$52:$B$58,0))&gt;=4/3*IF(BC35&lt;=0,0,IF((1-2*BC35*1E5/(DATOS!$C$58*DATOS!$C$19*BN35^2*DATOS!$C$48))&lt;0,-1,IF((1-SQRT((1-2*BC35*1E5/(DATOS!$C$58*DATOS!$C$19*BN35^2*DATOS!$C$48))))*DATOS!$C$48*DATOS!$C$19*BN35/DATOS!$C$40&gt;DATOS!$C$82*DATOS!$C$19*BN35,-1,(1-SQRT((1-2*BC35*1E5/(DATOS!$C$58*DATOS!$C$19*BN35^2*DATOS!$C$48))))*DATOS!$C$48*DATOS!$C$19*BN35/DATOS!$C$40)))-0.0001,MAX(DATOS!$C$29,CEILING(MAX(BO35,0)/INDEX(TABLAS!$D$52:$D$58,MATCH(BP35,TABLAS!$B$52:$B$58,0)),1)),MAX(MAX(DATOS!$C$29,CEILING(MAX(BO35,0)/INDEX(TABLAS!$D$52:$D$58,MATCH(BP35,TABLAS!$B$52:$B$58,0)),1)),2))))</f>
        <v>1</v>
      </c>
      <c r="BR35" s="43">
        <f>((DATOS!$C$15-S35-2*DATOS!$C$35-IF(DATOS!$C$25=0,0,INDEX(TABLAS!$C$52:$C$58,MATCH(DATOS!$C$25,TABLAS!$B$52:$B$58,0)))-INDEX(TABLAS!$C$52:$C$58,MATCH(BP35,TABLAS!$B$52:$B$58,0))/2)-IF(AND((DATOS!$C$15-S35-2*DATOS!$C$35-IF(DATOS!$C$25=0,0,INDEX(TABLAS!$C$52:$C$58,MATCH(DATOS!$C$25,TABLAS!$B$52:$B$58,0)))-INDEX(TABLAS!$C$52:$C$58,MATCH(BP35,TABLAS!$B$52:$B$58,0))/2)&lt;=20,DATOS!$C$18&lt;&gt;"SÍ"),2,0))</f>
        <v>19.389</v>
      </c>
      <c r="BS35" s="36">
        <f>IF(BQ35=0,0,DATOS!$C$58*BQ35*INDEX(TABLAS!$D$52:$D$58,MATCH(BP35,TABLAS!$B$52:$B$58,0))*DATOS!$C$40*(BR35-BQ35*INDEX(TABLAS!$D$52:$D$58,MATCH(BP35,TABLAS!$B$52:$B$58,0))*DATOS!$C$40/(DATOS!$C$48*DATOS!$C$19)/2)/1E5)</f>
        <v>0.870537980117647</v>
      </c>
      <c r="BT35" s="62">
        <f>IF(BO35&lt;0,9.99,IF(BS35&gt;0,BC35/BS35,0))</f>
        <v>0.203650071881247</v>
      </c>
      <c r="BU35" s="63">
        <f>IF(BQ35=0,"—",0.003*(BR35-(BQ35*INDEX(TABLAS!$D$52:$D$58,MATCH(BP35,TABLAS!$B$52:$B$58,0))*DATOS!$C$40/(DATOS!$C$48*DATOS!$C$19)/DATOS!$C$49))/(BQ35*INDEX(TABLAS!$D$52:$D$58,MATCH(BP35,TABLAS!$B$52:$B$58,0))*DATOS!$C$40/(DATOS!$C$48*DATOS!$C$19)/DATOS!$C$49))</f>
        <v>0.0166970648200225</v>
      </c>
      <c r="BV35" s="43">
        <f>(DATOS!$C$15-R35-IF(DATOS!$C$25=0,0,INDEX(TABLAS!$C$52:$C$58,MATCH(DATOS!$C$25,TABLAS!$B$52:$B$58,0)))-INDEX(TABLAS!$C$52:$C$58,MATCH(DATOS!$C$26,TABLAS!$B$52:$B$58,0))-INDEX(TABLAS!$C$52:$C$58,MATCH(DATOS!$C$26,TABLAS!$B$52:$B$58,0))/2)</f>
        <v>19.095</v>
      </c>
      <c r="BW35" s="43">
        <f>IF(D35="HUECO",0,IF(IF(BD35&lt;=0,0,IF((1-2*BD35*1E5/(DATOS!$C$58*Q35*BV35^2*DATOS!$C$48))&lt;0,-1,IF((1-SQRT((1-2*BD35*1E5/(DATOS!$C$58*Q35*BV35^2*DATOS!$C$48))))*DATOS!$C$48*Q35*BV35/DATOS!$C$40&gt;DATOS!$C$82*Q35*BV35,-1,(1-SQRT((1-2*BD35*1E5/(DATOS!$C$58*Q35*BV35^2*DATOS!$C$48))))*DATOS!$C$48*Q35*BV35/DATOS!$C$40)))&lt;0,-1,MAX(IF(BD35&lt;=0,0,IF((1-2*BD35*1E5/(DATOS!$C$58*Q35*BV35^2*DATOS!$C$48))&lt;0,-1,IF((1-SQRT((1-2*BD35*1E5/(DATOS!$C$58*Q35*BV35^2*DATOS!$C$48))))*DATOS!$C$48*Q35*BV35/DATOS!$C$40&gt;DATOS!$C$82*Q35*BV35,-1,(1-SQRT((1-2*BD35*1E5/(DATOS!$C$58*Q35*BV35^2*DATOS!$C$48))))*DATOS!$C$48*Q35*BV35/DATOS!$C$40))),MIN(DATOS!$C$83*DATOS!$C$13*BV35,4/3*IF(BD35&lt;=0,0,IF((1-2*BD35*1E5/(DATOS!$C$58*Q35*BV35^2*DATOS!$C$48))&lt;0,-1,IF((1-SQRT((1-2*BD35*1E5/(DATOS!$C$58*Q35*BV35^2*DATOS!$C$48))))*DATOS!$C$48*Q35*BV35/DATOS!$C$40&gt;DATOS!$C$82*Q35*BV35,-1,(1-SQRT((1-2*BD35*1E5/(DATOS!$C$58*Q35*BV35^2*DATOS!$C$48))))*DATOS!$C$48*Q35*BV35/DATOS!$C$40)))))))</f>
        <v>0.0427078736047033</v>
      </c>
      <c r="BX35" s="41">
        <f>IF(AND(BW35&gt;=0,IF(MAX(DATOS!$C$29,CEILING(BW35/INDEX(TABLAS!$D$52:$D$58,MIN(MATCH(DATOS!$C$26,TABLAS!$B$52:$B$58,0)+0,7)),1))*INDEX(TABLAS!$D$52:$D$58,MIN(MATCH(DATOS!$C$26,TABLAS!$B$52:$B$58,0)+0,7))&gt;=4/3*IF(BD35&lt;=0,0,IF((1-2*BD35*1E5/(DATOS!$C$58*Q35*BV35^2*DATOS!$C$48))&lt;0,-1,IF((1-SQRT((1-2*BD35*1E5/(DATOS!$C$58*Q35*BV35^2*DATOS!$C$48))))*DATOS!$C$48*Q35*BV35/DATOS!$C$40&gt;DATOS!$C$82*Q35*BV35,-1,(1-SQRT((1-2*BD35*1E5/(DATOS!$C$58*Q35*BV35^2*DATOS!$C$48))))*DATOS!$C$48*Q35*BV35/DATOS!$C$40)))-0.0001,MAX(DATOS!$C$29,CEILING(BW35/INDEX(TABLAS!$D$52:$D$58,MIN(MATCH(DATOS!$C$26,TABLAS!$B$52:$B$58,0)+0,7)),1)),MAX(MAX(DATOS!$C$29,CEILING(BW35/INDEX(TABLAS!$D$52:$D$58,MIN(MATCH(DATOS!$C$26,TABLAS!$B$52:$B$58,0)+0,7)),1)),2))&lt;=MIN(DATOS!$C$28,INT(((DATOS!$C$13-2*R35-2*IF(DATOS!$C$25=0,0,INDEX(TABLAS!$C$52:$C$58,MATCH(DATOS!$C$25,TABLAS!$B$52:$B$58,0))))+MAX(DATOS!$C$32,INDEX(TABLAS!$C$52:$C$58,MIN(MATCH(DATOS!$C$26,TABLAS!$B$52:$B$58,0)+0,7))))/(INDEX(TABLAS!$C$52:$C$58,MIN(MATCH(DATOS!$C$26,TABLAS!$B$52:$B$58,0)+0,7))+MAX(DATOS!$C$32,INDEX(TABLAS!$C$52:$C$58,MIN(MATCH(DATOS!$C$26,TABLAS!$B$52:$B$58,0)+0,7))))))),INDEX(TABLAS!$B$52:$B$58,MIN(MATCH(DATOS!$C$26,TABLAS!$B$52:$B$58,0)+0,7)),IF(AND(BW35&gt;=0,IF(MAX(DATOS!$C$29,CEILING(BW35/INDEX(TABLAS!$D$52:$D$58,MIN(MATCH(DATOS!$C$26,TABLAS!$B$52:$B$58,0)+1,7)),1))*INDEX(TABLAS!$D$52:$D$58,MIN(MATCH(DATOS!$C$26,TABLAS!$B$52:$B$58,0)+1,7))&gt;=4/3*IF(BD35&lt;=0,0,IF((1-2*BD35*1E5/(DATOS!$C$58*Q35*BV35^2*DATOS!$C$48))&lt;0,-1,IF((1-SQRT((1-2*BD35*1E5/(DATOS!$C$58*Q35*BV35^2*DATOS!$C$48))))*DATOS!$C$48*Q35*BV35/DATOS!$C$40&gt;DATOS!$C$82*Q35*BV35,-1,(1-SQRT((1-2*BD35*1E5/(DATOS!$C$58*Q35*BV35^2*DATOS!$C$48))))*DATOS!$C$48*Q35*BV35/DATOS!$C$40)))-0.0001,MAX(DATOS!$C$29,CEILING(BW35/INDEX(TABLAS!$D$52:$D$58,MIN(MATCH(DATOS!$C$26,TABLAS!$B$52:$B$58,0)+1,7)),1)),MAX(MAX(DATOS!$C$29,CEILING(BW35/INDEX(TABLAS!$D$52:$D$58,MIN(MATCH(DATOS!$C$26,TABLAS!$B$52:$B$58,0)+1,7)),1)),2))&lt;=MIN(DATOS!$C$28,INT(((DATOS!$C$13-2*R35-2*IF(DATOS!$C$25=0,0,INDEX(TABLAS!$C$52:$C$58,MATCH(DATOS!$C$25,TABLAS!$B$52:$B$58,0))))+MAX(DATOS!$C$32,INDEX(TABLAS!$C$52:$C$58,MIN(MATCH(DATOS!$C$26,TABLAS!$B$52:$B$58,0)+1,7))))/(INDEX(TABLAS!$C$52:$C$58,MIN(MATCH(DATOS!$C$26,TABLAS!$B$52:$B$58,0)+1,7))+MAX(DATOS!$C$32,INDEX(TABLAS!$C$52:$C$58,MIN(MATCH(DATOS!$C$26,TABLAS!$B$52:$B$58,0)+1,7))))))),INDEX(TABLAS!$B$52:$B$58,MIN(MATCH(DATOS!$C$26,TABLAS!$B$52:$B$58,0)+1,7)),IF(AND(BW35&gt;=0,IF(MAX(DATOS!$C$29,CEILING(BW35/INDEX(TABLAS!$D$52:$D$58,MIN(MATCH(DATOS!$C$26,TABLAS!$B$52:$B$58,0)+2,7)),1))*INDEX(TABLAS!$D$52:$D$58,MIN(MATCH(DATOS!$C$26,TABLAS!$B$52:$B$58,0)+2,7))&gt;=4/3*IF(BD35&lt;=0,0,IF((1-2*BD35*1E5/(DATOS!$C$58*Q35*BV35^2*DATOS!$C$48))&lt;0,-1,IF((1-SQRT((1-2*BD35*1E5/(DATOS!$C$58*Q35*BV35^2*DATOS!$C$48))))*DATOS!$C$48*Q35*BV35/DATOS!$C$40&gt;DATOS!$C$82*Q35*BV35,-1,(1-SQRT((1-2*BD35*1E5/(DATOS!$C$58*Q35*BV35^2*DATOS!$C$48))))*DATOS!$C$48*Q35*BV35/DATOS!$C$40)))-0.0001,MAX(DATOS!$C$29,CEILING(BW35/INDEX(TABLAS!$D$52:$D$58,MIN(MATCH(DATOS!$C$26,TABLAS!$B$52:$B$58,0)+2,7)),1)),MAX(MAX(DATOS!$C$29,CEILING(BW35/INDEX(TABLAS!$D$52:$D$58,MIN(MATCH(DATOS!$C$26,TABLAS!$B$52:$B$58,0)+2,7)),1)),2))&lt;=MIN(DATOS!$C$28,INT(((DATOS!$C$13-2*R35-2*IF(DATOS!$C$25=0,0,INDEX(TABLAS!$C$52:$C$58,MATCH(DATOS!$C$25,TABLAS!$B$52:$B$58,0))))+MAX(DATOS!$C$32,INDEX(TABLAS!$C$52:$C$58,MIN(MATCH(DATOS!$C$26,TABLAS!$B$52:$B$58,0)+2,7))))/(INDEX(TABLAS!$C$52:$C$58,MIN(MATCH(DATOS!$C$26,TABLAS!$B$52:$B$58,0)+2,7))+MAX(DATOS!$C$32,INDEX(TABLAS!$C$52:$C$58,MIN(MATCH(DATOS!$C$26,TABLAS!$B$52:$B$58,0)+2,7))))))),INDEX(TABLAS!$B$52:$B$58,MIN(MATCH(DATOS!$C$26,TABLAS!$B$52:$B$58,0)+2,7)),IF(AND(BW35&gt;=0,IF(MAX(DATOS!$C$29,CEILING(BW35/INDEX(TABLAS!$D$52:$D$58,MIN(MATCH(DATOS!$C$26,TABLAS!$B$52:$B$58,0)+3,7)),1))*INDEX(TABLAS!$D$52:$D$58,MIN(MATCH(DATOS!$C$26,TABLAS!$B$52:$B$58,0)+3,7))&gt;=4/3*IF(BD35&lt;=0,0,IF((1-2*BD35*1E5/(DATOS!$C$58*Q35*BV35^2*DATOS!$C$48))&lt;0,-1,IF((1-SQRT((1-2*BD35*1E5/(DATOS!$C$58*Q35*BV35^2*DATOS!$C$48))))*DATOS!$C$48*Q35*BV35/DATOS!$C$40&gt;DATOS!$C$82*Q35*BV35,-1,(1-SQRT((1-2*BD35*1E5/(DATOS!$C$58*Q35*BV35^2*DATOS!$C$48))))*DATOS!$C$48*Q35*BV35/DATOS!$C$40)))-0.0001,MAX(DATOS!$C$29,CEILING(BW35/INDEX(TABLAS!$D$52:$D$58,MIN(MATCH(DATOS!$C$26,TABLAS!$B$52:$B$58,0)+3,7)),1)),MAX(MAX(DATOS!$C$29,CEILING(BW35/INDEX(TABLAS!$D$52:$D$58,MIN(MATCH(DATOS!$C$26,TABLAS!$B$52:$B$58,0)+3,7)),1)),2))&lt;=MIN(DATOS!$C$28,INT(((DATOS!$C$13-2*R35-2*IF(DATOS!$C$25=0,0,INDEX(TABLAS!$C$52:$C$58,MATCH(DATOS!$C$25,TABLAS!$B$52:$B$58,0))))+MAX(DATOS!$C$32,INDEX(TABLAS!$C$52:$C$58,MIN(MATCH(DATOS!$C$26,TABLAS!$B$52:$B$58,0)+3,7))))/(INDEX(TABLAS!$C$52:$C$58,MIN(MATCH(DATOS!$C$26,TABLAS!$B$52:$B$58,0)+3,7))+MAX(DATOS!$C$32,INDEX(TABLAS!$C$52:$C$58,MIN(MATCH(DATOS!$C$26,TABLAS!$B$52:$B$58,0)+3,7))))))),INDEX(TABLAS!$B$52:$B$58,MIN(MATCH(DATOS!$C$26,TABLAS!$B$52:$B$58,0)+3,7)),IF(AND(BW35&gt;=0,IF(MAX(DATOS!$C$29,CEILING(BW35/INDEX(TABLAS!$D$52:$D$58,MIN(MATCH(DATOS!$C$26,TABLAS!$B$52:$B$58,0)+4,7)),1))*INDEX(TABLAS!$D$52:$D$58,MIN(MATCH(DATOS!$C$26,TABLAS!$B$52:$B$58,0)+4,7))&gt;=4/3*IF(BD35&lt;=0,0,IF((1-2*BD35*1E5/(DATOS!$C$58*Q35*BV35^2*DATOS!$C$48))&lt;0,-1,IF((1-SQRT((1-2*BD35*1E5/(DATOS!$C$58*Q35*BV35^2*DATOS!$C$48))))*DATOS!$C$48*Q35*BV35/DATOS!$C$40&gt;DATOS!$C$82*Q35*BV35,-1,(1-SQRT((1-2*BD35*1E5/(DATOS!$C$58*Q35*BV35^2*DATOS!$C$48))))*DATOS!$C$48*Q35*BV35/DATOS!$C$40)))-0.0001,MAX(DATOS!$C$29,CEILING(BW35/INDEX(TABLAS!$D$52:$D$58,MIN(MATCH(DATOS!$C$26,TABLAS!$B$52:$B$58,0)+4,7)),1)),MAX(MAX(DATOS!$C$29,CEILING(BW35/INDEX(TABLAS!$D$52:$D$58,MIN(MATCH(DATOS!$C$26,TABLAS!$B$52:$B$58,0)+4,7)),1)),2))&lt;=MIN(DATOS!$C$28,INT(((DATOS!$C$13-2*R35-2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35" s="56">
        <f>IF(D35="HUECO",0,IF(BW35&lt;0,0,IF(MAX(DATOS!$C$29,CEILING(MAX(BW35,0)/INDEX(TABLAS!$D$52:$D$58,MATCH(BX35,TABLAS!$B$52:$B$58,0)),1))*INDEX(TABLAS!$D$52:$D$58,MATCH(BX35,TABLAS!$B$52:$B$58,0))&gt;=4/3*IF(BD35&lt;=0,0,IF((1-2*BD35*1E5/(DATOS!$C$58*Q35*BV35^2*DATOS!$C$48))&lt;0,-1,IF((1-SQRT((1-2*BD35*1E5/(DATOS!$C$58*Q35*BV35^2*DATOS!$C$48))))*DATOS!$C$48*Q35*BV35/DATOS!$C$40&gt;DATOS!$C$82*Q35*BV35,-1,(1-SQRT((1-2*BD35*1E5/(DATOS!$C$58*Q35*BV35^2*DATOS!$C$48))))*DATOS!$C$48*Q35*BV35/DATOS!$C$40)))-0.0001,MAX(DATOS!$C$29,CEILING(MAX(BW35,0)/INDEX(TABLAS!$D$52:$D$58,MATCH(BX35,TABLAS!$B$52:$B$58,0)),1)),MAX(MAX(DATOS!$C$29,CEILING(MAX(BW35,0)/INDEX(TABLAS!$D$52:$D$58,MATCH(BX35,TABLAS!$B$52:$B$58,0)),1)),2))))</f>
        <v>1</v>
      </c>
      <c r="BZ35" s="43">
        <f>DATOS!$C$15-R35-IF(DATOS!$C$25=0,0,INDEX(TABLAS!$C$52:$C$58,MATCH(DATOS!$C$25,TABLAS!$B$52:$B$58,0)))-INDEX(TABLAS!$C$52:$C$58,MATCH(BH35,TABLAS!$B$52:$B$58,0))-INDEX(TABLAS!$C$52:$C$58,MATCH(BX35,TABLAS!$B$52:$B$58,0))/2</f>
        <v>19.095</v>
      </c>
      <c r="CA35" s="36">
        <f>IF(BY35=0,0,DATOS!$C$58*BY35*INDEX(TABLAS!$D$52:$D$58,MATCH(BX35,TABLAS!$B$52:$B$58,0))*DATOS!$C$40*(BZ35-BY35*INDEX(TABLAS!$D$52:$D$58,MATCH(BX35,TABLAS!$B$52:$B$58,0))*DATOS!$C$40/(DATOS!$C$48*Q35)/2)/1E5)</f>
        <v>0.908067376588235</v>
      </c>
      <c r="CB35" s="62">
        <f>IF(BW35&lt;0,9.99,IF(CA35&gt;0,BD35/CA35,0))</f>
        <v>0.025454216930949</v>
      </c>
      <c r="CC35" s="63">
        <f>IF(BY35=0,"—",0.003*(BZ35-(BY35*INDEX(TABLAS!$D$52:$D$58,MATCH(BX35,TABLAS!$B$52:$B$58,0))*DATOS!$C$40/(DATOS!$C$48*Q35)/DATOS!$C$49))/(BY35*INDEX(TABLAS!$D$52:$D$58,MATCH(BX35,TABLAS!$B$52:$B$58,0))*DATOS!$C$40/(DATOS!$C$48*Q35)/DATOS!$C$49))</f>
        <v>0.13278875492126</v>
      </c>
      <c r="CD35" s="43">
        <f>((DATOS!$C$15-S35-2*DATOS!$C$35-IF(DATOS!$C$25=0,0,INDEX(TABLAS!$C$52:$C$58,MATCH(DATOS!$C$25,TABLAS!$B$52:$B$58,0)))-INDEX(TABLAS!$C$52:$C$58,MATCH(DATOS!$C$27,TABLAS!$B$52:$B$58,0))-INDEX(TABLAS!$C$52:$C$58,MATCH(DATOS!$C$27,TABLAS!$B$52:$B$58,0))/2)-IF(AND((DATOS!$C$15-S35-2*DATOS!$C$35-IF(DATOS!$C$25=0,0,INDEX(TABLAS!$C$52:$C$58,MATCH(DATOS!$C$25,TABLAS!$B$52:$B$58,0)))-INDEX(TABLAS!$C$52:$C$58,MATCH(DATOS!$C$27,TABLAS!$B$52:$B$58,0))-INDEX(TABLAS!$C$52:$C$58,MATCH(DATOS!$C$27,TABLAS!$B$52:$B$58,0))/2)&lt;=20,DATOS!$C$18&lt;&gt;"SÍ"),2,0))</f>
        <v>18.119</v>
      </c>
      <c r="CE35" s="43">
        <f>IF(D35="HUECO",0,IF(IF(BE35&lt;=0,0,IF((1-2*BE35*1E5/(DATOS!$C$58*DATOS!$C$19*CD35^2*DATOS!$C$48))&lt;0,-1,IF((1-SQRT((1-2*BE35*1E5/(DATOS!$C$58*DATOS!$C$19*CD35^2*DATOS!$C$48))))*DATOS!$C$48*DATOS!$C$19*CD35/DATOS!$C$40&gt;DATOS!$C$82*DATOS!$C$19*CD35,-1,(1-SQRT((1-2*BE35*1E5/(DATOS!$C$58*DATOS!$C$19*CD35^2*DATOS!$C$48))))*DATOS!$C$48*DATOS!$C$19*CD35/DATOS!$C$40)))&lt;0,-1,MAX(IF(BE35&lt;=0,0,IF((1-2*BE35*1E5/(DATOS!$C$58*DATOS!$C$19*CD35^2*DATOS!$C$48))&lt;0,-1,IF((1-SQRT((1-2*BE35*1E5/(DATOS!$C$58*DATOS!$C$19*CD35^2*DATOS!$C$48))))*DATOS!$C$48*DATOS!$C$19*CD35/DATOS!$C$40&gt;DATOS!$C$82*DATOS!$C$19*CD35,-1,(1-SQRT((1-2*BE35*1E5/(DATOS!$C$58*DATOS!$C$19*CD35^2*DATOS!$C$48))))*DATOS!$C$48*DATOS!$C$19*CD35/DATOS!$C$40))),MIN(DATOS!$C$83*DATOS!$C$13*CD35,4/3*IF(BE35&lt;=0,0,IF((1-2*BE35*1E5/(DATOS!$C$58*DATOS!$C$19*CD35^2*DATOS!$C$48))&lt;0,-1,IF((1-SQRT((1-2*BE35*1E5/(DATOS!$C$58*DATOS!$C$19*CD35^2*DATOS!$C$48))))*DATOS!$C$48*DATOS!$C$19*CD35/DATOS!$C$40&gt;DATOS!$C$82*DATOS!$C$19*CD35,-1,(1-SQRT((1-2*BE35*1E5/(DATOS!$C$58*DATOS!$C$19*CD35^2*DATOS!$C$48))))*DATOS!$C$48*DATOS!$C$19*CD35/DATOS!$C$40)))))))</f>
        <v>0.261003321089232</v>
      </c>
      <c r="CF35" s="41">
        <f>IF(AND(CE35&gt;=0,IF(MAX(DATOS!$C$29,CEILING(CE35/INDEX(TABLAS!$D$52:$D$58,MIN(MATCH(DATOS!$C$27,TABLAS!$B$52:$B$58,0)+0,7)),1))*INDEX(TABLAS!$D$52:$D$58,MIN(MATCH(DATOS!$C$27,TABLAS!$B$52:$B$58,0)+0,7))&gt;=4/3*IF(BE35&lt;=0,0,IF((1-2*BE35*1E5/(DATOS!$C$58*DATOS!$C$19*CD35^2*DATOS!$C$48))&lt;0,-1,IF((1-SQRT((1-2*BE35*1E5/(DATOS!$C$58*DATOS!$C$19*CD35^2*DATOS!$C$48))))*DATOS!$C$48*DATOS!$C$19*CD35/DATOS!$C$40&gt;DATOS!$C$82*DATOS!$C$19*CD35,-1,(1-SQRT((1-2*BE35*1E5/(DATOS!$C$58*DATOS!$C$19*CD35^2*DATOS!$C$48))))*DATOS!$C$48*DATOS!$C$19*CD35/DATOS!$C$40)))-0.0001,MAX(DATOS!$C$29,CEILING(CE35/INDEX(TABLAS!$D$52:$D$58,MIN(MATCH(DATOS!$C$27,TABLAS!$B$52:$B$58,0)+0,7)),1)),MAX(MAX(DATOS!$C$29,CEILING(CE35/INDEX(TABLAS!$D$52:$D$58,MIN(MATCH(DATOS!$C$27,TABLAS!$B$52:$B$58,0)+0,7)),1)),2))&lt;=MIN(DATOS!$C$28,INT(((DATOS!$C$13-2*S35-2*IF(DATOS!$C$25=0,0,INDEX(TABLAS!$C$52:$C$58,MATCH(DATOS!$C$25,TABLAS!$B$52:$B$58,0))))+MAX(DATOS!$C$32,INDEX(TABLAS!$C$52:$C$58,MIN(MATCH(DATOS!$C$27,TABLAS!$B$52:$B$58,0)+0,7))))/(INDEX(TABLAS!$C$52:$C$58,MIN(MATCH(DATOS!$C$27,TABLAS!$B$52:$B$58,0)+0,7))+MAX(DATOS!$C$32,INDEX(TABLAS!$C$52:$C$58,MIN(MATCH(DATOS!$C$27,TABLAS!$B$52:$B$58,0)+0,7))))))),INDEX(TABLAS!$B$52:$B$58,MIN(MATCH(DATOS!$C$27,TABLAS!$B$52:$B$58,0)+0,7)),IF(AND(CE35&gt;=0,IF(MAX(DATOS!$C$29,CEILING(CE35/INDEX(TABLAS!$D$52:$D$58,MIN(MATCH(DATOS!$C$27,TABLAS!$B$52:$B$58,0)+1,7)),1))*INDEX(TABLAS!$D$52:$D$58,MIN(MATCH(DATOS!$C$27,TABLAS!$B$52:$B$58,0)+1,7))&gt;=4/3*IF(BE35&lt;=0,0,IF((1-2*BE35*1E5/(DATOS!$C$58*DATOS!$C$19*CD35^2*DATOS!$C$48))&lt;0,-1,IF((1-SQRT((1-2*BE35*1E5/(DATOS!$C$58*DATOS!$C$19*CD35^2*DATOS!$C$48))))*DATOS!$C$48*DATOS!$C$19*CD35/DATOS!$C$40&gt;DATOS!$C$82*DATOS!$C$19*CD35,-1,(1-SQRT((1-2*BE35*1E5/(DATOS!$C$58*DATOS!$C$19*CD35^2*DATOS!$C$48))))*DATOS!$C$48*DATOS!$C$19*CD35/DATOS!$C$40)))-0.0001,MAX(DATOS!$C$29,CEILING(CE35/INDEX(TABLAS!$D$52:$D$58,MIN(MATCH(DATOS!$C$27,TABLAS!$B$52:$B$58,0)+1,7)),1)),MAX(MAX(DATOS!$C$29,CEILING(CE35/INDEX(TABLAS!$D$52:$D$58,MIN(MATCH(DATOS!$C$27,TABLAS!$B$52:$B$58,0)+1,7)),1)),2))&lt;=MIN(DATOS!$C$28,INT(((DATOS!$C$13-2*S35-2*IF(DATOS!$C$25=0,0,INDEX(TABLAS!$C$52:$C$58,MATCH(DATOS!$C$25,TABLAS!$B$52:$B$58,0))))+MAX(DATOS!$C$32,INDEX(TABLAS!$C$52:$C$58,MIN(MATCH(DATOS!$C$27,TABLAS!$B$52:$B$58,0)+1,7))))/(INDEX(TABLAS!$C$52:$C$58,MIN(MATCH(DATOS!$C$27,TABLAS!$B$52:$B$58,0)+1,7))+MAX(DATOS!$C$32,INDEX(TABLAS!$C$52:$C$58,MIN(MATCH(DATOS!$C$27,TABLAS!$B$52:$B$58,0)+1,7))))))),INDEX(TABLAS!$B$52:$B$58,MIN(MATCH(DATOS!$C$27,TABLAS!$B$52:$B$58,0)+1,7)),IF(AND(CE35&gt;=0,IF(MAX(DATOS!$C$29,CEILING(CE35/INDEX(TABLAS!$D$52:$D$58,MIN(MATCH(DATOS!$C$27,TABLAS!$B$52:$B$58,0)+2,7)),1))*INDEX(TABLAS!$D$52:$D$58,MIN(MATCH(DATOS!$C$27,TABLAS!$B$52:$B$58,0)+2,7))&gt;=4/3*IF(BE35&lt;=0,0,IF((1-2*BE35*1E5/(DATOS!$C$58*DATOS!$C$19*CD35^2*DATOS!$C$48))&lt;0,-1,IF((1-SQRT((1-2*BE35*1E5/(DATOS!$C$58*DATOS!$C$19*CD35^2*DATOS!$C$48))))*DATOS!$C$48*DATOS!$C$19*CD35/DATOS!$C$40&gt;DATOS!$C$82*DATOS!$C$19*CD35,-1,(1-SQRT((1-2*BE35*1E5/(DATOS!$C$58*DATOS!$C$19*CD35^2*DATOS!$C$48))))*DATOS!$C$48*DATOS!$C$19*CD35/DATOS!$C$40)))-0.0001,MAX(DATOS!$C$29,CEILING(CE35/INDEX(TABLAS!$D$52:$D$58,MIN(MATCH(DATOS!$C$27,TABLAS!$B$52:$B$58,0)+2,7)),1)),MAX(MAX(DATOS!$C$29,CEILING(CE35/INDEX(TABLAS!$D$52:$D$58,MIN(MATCH(DATOS!$C$27,TABLAS!$B$52:$B$58,0)+2,7)),1)),2))&lt;=MIN(DATOS!$C$28,INT(((DATOS!$C$13-2*S35-2*IF(DATOS!$C$25=0,0,INDEX(TABLAS!$C$52:$C$58,MATCH(DATOS!$C$25,TABLAS!$B$52:$B$58,0))))+MAX(DATOS!$C$32,INDEX(TABLAS!$C$52:$C$58,MIN(MATCH(DATOS!$C$27,TABLAS!$B$52:$B$58,0)+2,7))))/(INDEX(TABLAS!$C$52:$C$58,MIN(MATCH(DATOS!$C$27,TABLAS!$B$52:$B$58,0)+2,7))+MAX(DATOS!$C$32,INDEX(TABLAS!$C$52:$C$58,MIN(MATCH(DATOS!$C$27,TABLAS!$B$52:$B$58,0)+2,7))))))),INDEX(TABLAS!$B$52:$B$58,MIN(MATCH(DATOS!$C$27,TABLAS!$B$52:$B$58,0)+2,7)),IF(AND(CE35&gt;=0,IF(MAX(DATOS!$C$29,CEILING(CE35/INDEX(TABLAS!$D$52:$D$58,MIN(MATCH(DATOS!$C$27,TABLAS!$B$52:$B$58,0)+3,7)),1))*INDEX(TABLAS!$D$52:$D$58,MIN(MATCH(DATOS!$C$27,TABLAS!$B$52:$B$58,0)+3,7))&gt;=4/3*IF(BE35&lt;=0,0,IF((1-2*BE35*1E5/(DATOS!$C$58*DATOS!$C$19*CD35^2*DATOS!$C$48))&lt;0,-1,IF((1-SQRT((1-2*BE35*1E5/(DATOS!$C$58*DATOS!$C$19*CD35^2*DATOS!$C$48))))*DATOS!$C$48*DATOS!$C$19*CD35/DATOS!$C$40&gt;DATOS!$C$82*DATOS!$C$19*CD35,-1,(1-SQRT((1-2*BE35*1E5/(DATOS!$C$58*DATOS!$C$19*CD35^2*DATOS!$C$48))))*DATOS!$C$48*DATOS!$C$19*CD35/DATOS!$C$40)))-0.0001,MAX(DATOS!$C$29,CEILING(CE35/INDEX(TABLAS!$D$52:$D$58,MIN(MATCH(DATOS!$C$27,TABLAS!$B$52:$B$58,0)+3,7)),1)),MAX(MAX(DATOS!$C$29,CEILING(CE35/INDEX(TABLAS!$D$52:$D$58,MIN(MATCH(DATOS!$C$27,TABLAS!$B$52:$B$58,0)+3,7)),1)),2))&lt;=MIN(DATOS!$C$28,INT(((DATOS!$C$13-2*S35-2*IF(DATOS!$C$25=0,0,INDEX(TABLAS!$C$52:$C$58,MATCH(DATOS!$C$25,TABLAS!$B$52:$B$58,0))))+MAX(DATOS!$C$32,INDEX(TABLAS!$C$52:$C$58,MIN(MATCH(DATOS!$C$27,TABLAS!$B$52:$B$58,0)+3,7))))/(INDEX(TABLAS!$C$52:$C$58,MIN(MATCH(DATOS!$C$27,TABLAS!$B$52:$B$58,0)+3,7))+MAX(DATOS!$C$32,INDEX(TABLAS!$C$52:$C$58,MIN(MATCH(DATOS!$C$27,TABLAS!$B$52:$B$58,0)+3,7))))))),INDEX(TABLAS!$B$52:$B$58,MIN(MATCH(DATOS!$C$27,TABLAS!$B$52:$B$58,0)+3,7)),IF(AND(CE35&gt;=0,IF(MAX(DATOS!$C$29,CEILING(CE35/INDEX(TABLAS!$D$52:$D$58,MIN(MATCH(DATOS!$C$27,TABLAS!$B$52:$B$58,0)+4,7)),1))*INDEX(TABLAS!$D$52:$D$58,MIN(MATCH(DATOS!$C$27,TABLAS!$B$52:$B$58,0)+4,7))&gt;=4/3*IF(BE35&lt;=0,0,IF((1-2*BE35*1E5/(DATOS!$C$58*DATOS!$C$19*CD35^2*DATOS!$C$48))&lt;0,-1,IF((1-SQRT((1-2*BE35*1E5/(DATOS!$C$58*DATOS!$C$19*CD35^2*DATOS!$C$48))))*DATOS!$C$48*DATOS!$C$19*CD35/DATOS!$C$40&gt;DATOS!$C$82*DATOS!$C$19*CD35,-1,(1-SQRT((1-2*BE35*1E5/(DATOS!$C$58*DATOS!$C$19*CD35^2*DATOS!$C$48))))*DATOS!$C$48*DATOS!$C$19*CD35/DATOS!$C$40)))-0.0001,MAX(DATOS!$C$29,CEILING(CE35/INDEX(TABLAS!$D$52:$D$58,MIN(MATCH(DATOS!$C$27,TABLAS!$B$52:$B$58,0)+4,7)),1)),MAX(MAX(DATOS!$C$29,CEILING(CE35/INDEX(TABLAS!$D$52:$D$58,MIN(MATCH(DATOS!$C$27,TABLAS!$B$52:$B$58,0)+4,7)),1)),2))&lt;=MIN(DATOS!$C$28,INT(((DATOS!$C$13-2*S35-2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35" s="56">
        <f>IF(D35="HUECO",0,IF(CE35&lt;0,0,IF(MAX(DATOS!$C$29,CEILING(MAX(CE35,0)/INDEX(TABLAS!$D$52:$D$58,MATCH(CF35,TABLAS!$B$52:$B$58,0)),1))*INDEX(TABLAS!$D$52:$D$58,MATCH(CF35,TABLAS!$B$52:$B$58,0))&gt;=4/3*IF(BE35&lt;=0,0,IF((1-2*BE35*1E5/(DATOS!$C$58*DATOS!$C$19*CD35^2*DATOS!$C$48))&lt;0,-1,IF((1-SQRT((1-2*BE35*1E5/(DATOS!$C$58*DATOS!$C$19*CD35^2*DATOS!$C$48))))*DATOS!$C$48*DATOS!$C$19*CD35/DATOS!$C$40&gt;DATOS!$C$82*DATOS!$C$19*CD35,-1,(1-SQRT((1-2*BE35*1E5/(DATOS!$C$58*DATOS!$C$19*CD35^2*DATOS!$C$48))))*DATOS!$C$48*DATOS!$C$19*CD35/DATOS!$C$40)))-0.0001,MAX(DATOS!$C$29,CEILING(MAX(CE35,0)/INDEX(TABLAS!$D$52:$D$58,MATCH(CF35,TABLAS!$B$52:$B$58,0)),1)),MAX(MAX(DATOS!$C$29,CEILING(MAX(CE35,0)/INDEX(TABLAS!$D$52:$D$58,MATCH(CF35,TABLAS!$B$52:$B$58,0)),1)),2))))</f>
        <v>1</v>
      </c>
      <c r="CH35" s="43">
        <f>((DATOS!$C$15-S35-2*DATOS!$C$35-IF(DATOS!$C$25=0,0,INDEX(TABLAS!$C$52:$C$58,MATCH(DATOS!$C$25,TABLAS!$B$52:$B$58,0)))-INDEX(TABLAS!$C$52:$C$58,MATCH(BP35,TABLAS!$B$52:$B$58,0))-INDEX(TABLAS!$C$52:$C$58,MATCH(CF35,TABLAS!$B$52:$B$58,0))/2)-IF(AND((DATOS!$C$15-S35-2*DATOS!$C$35-IF(DATOS!$C$25=0,0,INDEX(TABLAS!$C$52:$C$58,MATCH(DATOS!$C$25,TABLAS!$B$52:$B$58,0)))-INDEX(TABLAS!$C$52:$C$58,MATCH(BP35,TABLAS!$B$52:$B$58,0))-INDEX(TABLAS!$C$52:$C$58,MATCH(CF35,TABLAS!$B$52:$B$58,0))/2)&lt;=20,DATOS!$C$18&lt;&gt;"SÍ"),2,0))</f>
        <v>18.119</v>
      </c>
      <c r="CI35" s="36">
        <f>IF(CG35=0,0,DATOS!$C$58*CG35*INDEX(TABLAS!$D$52:$D$58,MATCH(CF35,TABLAS!$B$52:$B$58,0))*DATOS!$C$40*(CH35-CG35*INDEX(TABLAS!$D$52:$D$58,MATCH(CF35,TABLAS!$B$52:$B$58,0))*DATOS!$C$40/(DATOS!$C$48*DATOS!$C$19)/2)/1E5)</f>
        <v>0.809570360117647</v>
      </c>
      <c r="CJ35" s="62">
        <f>IF(CE35&lt;0,9.99,IF(CI35&gt;0,BE35/CI35,0))</f>
        <v>0.163838890624182</v>
      </c>
      <c r="CK35" s="63">
        <f>IF(CG35=0,"—",0.003*(CH35-(CG35*INDEX(TABLAS!$D$52:$D$58,MATCH(CF35,TABLAS!$B$52:$B$58,0))*DATOS!$C$40/(DATOS!$C$48*DATOS!$C$19)/DATOS!$C$49))/(CG35*INDEX(TABLAS!$D$52:$D$58,MATCH(CF35,TABLAS!$B$52:$B$58,0))*DATOS!$C$40/(DATOS!$C$48*DATOS!$C$19)/DATOS!$C$49))</f>
        <v>0.0154068862485939</v>
      </c>
      <c r="CL35" s="52" t="str">
        <f>IF(D35="HUECO","—",IF(AND(D35="PERIMETRAL",J35*100&gt;=6*DATOS!$C$11,DATOS!$C$11&lt;=80,DATOS!$C$13&gt;=10,DATOS!$C$15&lt;=3.5*DATOS!$C$13,DATOS!$C$14&gt;=MAX(DATOS!$C$11/13,5)),"SÍ","NO"))</f>
        <v>NO</v>
      </c>
      <c r="CM35" s="36">
        <f>IF(D35="PERIMETRAL",MAX(0,(N35/2-BR35)/100)*(0.95-0.5*L35)*Y35*IF(AND(Z35&gt;0,Z35&lt;4),DATOS!$C$63,1)*DATOS!$C$16/100/1000+AX35,IF(D35="VOLADO",(Y35*MAX(0,N35-BR35)/100+DATOS!$C$55*BA35)*DATOS!$C$16/100/1000,0))</f>
        <v>0.171691785296841</v>
      </c>
      <c r="CN35" s="36">
        <f>IF(D35="HUECO",0,DATOS!$C$59*2*MIN(1,SQRT(2/(1+0.04*BR35)))*(BQ35*INDEX(TABLAS!$D$52:$D$58,MATCH(BP35,TABLAS!$B$52:$B$58,0))/(DATOS!$C$19*BR35))^(1/3)*SQRT(DATOS!$C$39)*DATOS!$C$19*BR35*IF(CL35="SÍ",DATOS!$C$62,1)/1000)</f>
        <v>0.860398102904257</v>
      </c>
      <c r="CO35" s="51" t="str">
        <f>IF(D35="HUECO","—",IF(CM35&lt;=CN35,"CUMPLE",IF(MAX(0,CEILING((IF(D35="VOLADO",(N35-(CN35*1E5/DATOS!$C$16-DATOS!$C$55*BA35)*100/Y35),IF(CN35&lt;=AX35,N35,N35/2-(CN35-AX35)/MAX(CM35-AX35,1E-9)*(N35/2-BR35)))-IF(INT((J35*100-DATOS!$C$17+DATOS!$C$13)/DATOS!$C$16)&gt;0,(J35*100-DATOS!$C$17-(INT((J35*100-DATOS!$C$17+DATOS!$C$13)/DATOS!$C$16)*DATOS!$C$11+(INT((J35*100-DATOS!$C$17+DATOS!$C$13)/DATOS!$C$16)-1)*DATOS!$C$13))/2,J35*100/2))/DATOS!$C$16,1))&lt;=0,"CUMPLE (basta el macizo de orilla)","MACIZAR "&amp;MAX(0,CEILING((IF(D35="VOLADO",(N35-(CN35*1E5/DATOS!$C$16-DATOS!$C$55*BA35)*100/Y35),IF(CN35&lt;=AX35,N35,N35/2-(CN35-AX35)/MAX(CM35-AX35,1E-9)*(N35/2-BR35)))-IF(INT((J35*100-DATOS!$C$17+DATOS!$C$13)/DATOS!$C$16)&gt;0,(J35*100-DATOS!$C$17-(INT((J35*100-DATOS!$C$17+DATOS!$C$13)/DATOS!$C$16)*DATOS!$C$11+(INT((J35*100-DATOS!$C$17+DATOS!$C$13)/DATOS!$C$16)-1)*DATOS!$C$13))/2,J35*100/2))/DATOS!$C$16,1))&amp;" hilera(s)")))</f>
        <v>CUMPLE</v>
      </c>
      <c r="CP35" s="43">
        <f>IF(D35="PERIMETRAL",(99+(PRINCIPALES!$N$40*PRINCIPALES!$O$40^3/12/(1.151*100*IF(APOYOS!$G$134="CONTINUO",1,0.5)*DATOS!$C$77^3/12))+99+99)/4,0)</f>
        <v>74.4676924763369</v>
      </c>
      <c r="CQ35" s="57">
        <f>IF(D35="PERIMETRAL",IF(CP35&gt;2,MAX(9,O35*(0.8+DATOS!$C$40/14000)/(36+9*(O35/MAX(N35,1)))),IF(CP35&gt;0.2,MAX(13,O35*(0.8+DATOS!$C$40/14000)/(36+5*(O35/MAX(N35,1))*(CP35-0.2))),MAX(13,O35/IF(Z35&gt;0,30,33))))*IF(AND(CP35&gt;0.2,OR(AND((APOYOS!$G$133="DISCONTINUO"),99&lt;0.8),AND((APOYOS!$G$134="DISCONTINUO"),(PRINCIPALES!$N$40*PRINCIPALES!$O$40^3/12/(1.151*100*IF(APOYOS!$G$134="CONTINUO",1,0.5)*DATOS!$C$77^3/12))&lt;0.8),AND((APOYOS!$G$135="DISCONTINUO"),99&lt;0.8),AND((APOYOS!$G$136="DISCONTINUO"),99&lt;0.8))),1.1,1),IF(D35="VOLADO",MAX(25,J35*100/8),0))</f>
        <v>9</v>
      </c>
      <c r="CR35" s="57">
        <f>IF(D35="VOLADO",DATOS!$C$15,DATOS!$C$77)</f>
        <v>16.7232564120244</v>
      </c>
      <c r="CS35" s="52" t="str">
        <f>IF(D35="HUECO","—",IF(CR35&gt;=CQ35,"CUMPLE",IF(D35="VOLADO","NO CUMPLE","CALCULAR FLECHA")))</f>
        <v>CUMPLE</v>
      </c>
      <c r="CT35" s="52" t="str">
        <f>IF(D35="HUECO","—",IF(DATOS!$C$14&gt;=IF(IF(D35="VOLADO",J35,K35)&gt;=6,6,5),"CUMPLE","CAPA ≥ 6 cm"))</f>
        <v>CUMPLE</v>
      </c>
      <c r="CU35" s="59">
        <f>IF(D35="HUECO",0,IF(((4*((AL35*Y35*J35^2*1E-4*DATOS!$C$16/100/1000)+((MAX(AH35,AJ35)*Y35*J35^2*1E-4*DATOS!$C$16/100/1000)+(IF(AND(AH35&gt;0,AJ35&gt;0),MIN(AH35,AJ35),MAX(AH35,AJ35))*Y35*J35^2*1E-4*DATOS!$C$16/100/1000))/2)+BC35-(IF(AND(AH35&gt;0,AJ35&gt;0),MIN(AH35,AJ35),MAX(AH35,AJ35))*Y35*J35^2*1E-4*DATOS!$C$16/100/1000))^2-16*((AL35*Y35*J35^2*1E-4*DATOS!$C$16/100/1000)+((MAX(AH35,AJ35)*Y35*J35^2*1E-4*DATOS!$C$16/100/1000)+(IF(AND(AH35&gt;0,AJ35&gt;0),MIN(AH35,AJ35),MAX(AH35,AJ35))*Y35*J35^2*1E-4*DATOS!$C$16/100/1000))/2)*BC35)&lt;0,CEILING(N35,5),CEILING(MAX(N35*((4*((AL35*Y35*J35^2*1E-4*DATOS!$C$16/100/1000)+((MAX(AH35,AJ35)*Y35*J35^2*1E-4*DATOS!$C$16/100/1000)+(IF(AND(AH35&gt;0,AJ35&gt;0),MIN(AH35,AJ35),MAX(AH35,AJ35))*Y35*J35^2*1E-4*DATOS!$C$16/100/1000))/2)+BC35-(IF(AND(AH35&gt;0,AJ35&gt;0),MIN(AH35,AJ35),MAX(AH35,AJ35))*Y35*J35^2*1E-4*DATOS!$C$16/100/1000))-SQRT(MAX(0,((4*((AL35*Y35*J35^2*1E-4*DATOS!$C$16/100/1000)+((MAX(AH35,AJ35)*Y35*J35^2*1E-4*DATOS!$C$16/100/1000)+(IF(AND(AH35&gt;0,AJ35&gt;0),MIN(AH35,AJ35),MAX(AH35,AJ35))*Y35*J35^2*1E-4*DATOS!$C$16/100/1000))/2)+BC35-(IF(AND(AH35&gt;0,AJ35&gt;0),MIN(AH35,AJ35),MAX(AH35,AJ35))*Y35*J35^2*1E-4*DATOS!$C$16/100/1000))^2-16*((AL35*Y35*J35^2*1E-4*DATOS!$C$16/100/1000)+((MAX(AH35,AJ35)*Y35*J35^2*1E-4*DATOS!$C$16/100/1000)+(IF(AND(AH35&gt;0,AJ35&gt;0),MIN(AH35,AJ35),MAX(AH35,AJ35))*Y35*J35^2*1E-4*DATOS!$C$16/100/1000))/2)*BC35))))/(8*MAX(((AL35*Y35*J35^2*1E-4*DATOS!$C$16/100/1000)+((MAX(AH35,AJ35)*Y35*J35^2*1E-4*DATOS!$C$16/100/1000)+(IF(AND(AH35&gt;0,AJ35&gt;0),MIN(AH35,AJ35),MAX(AH35,AJ35))*Y35*J35^2*1E-4*DATOS!$C$16/100/1000))/2),1E-9))+MAX(BR35,12*INDEX(TABLAS!$C$52:$C$58,MATCH(BP35,TABLAS!$B$52:$B$58,0)),N35/16),IF(OR(S35&lt;INDEX(TABLAS!$C$52:$C$58,MATCH(BP35,TABLAS!$B$52:$B$58,0)),AND(BQ35&gt;=2,(DATOS!$C$13-2*S35-2*IF(DATOS!$C$25=0,0,INDEX(TABLAS!$C$52:$C$58,MATCH(DATOS!$C$25,TABLAS!$B$52:$B$58,0)))-BQ35*INDEX(TABLAS!$C$52:$C$58,MATCH(BP35,TABLAS!$B$52:$B$58,0)))/MAX(BQ35-1,1)&lt;2*INDEX(TABLAS!$C$52:$C$58,MATCH(BP35,TABLAS!$B$52:$B$58,0)))),INDEX(TABLAS!$I$52:$I$58,MATCH(BP35,TABLAS!$B$52:$B$58,0)),INDEX(TABLAS!$F$52:$F$58,MATCH(BP35,TABLAS!$B$52:$B$58,0)))),5)))</f>
        <v>65</v>
      </c>
      <c r="CV35" s="59">
        <f>IF(D35="HUECO",0,IF(((4*((AM35*Y35*J35^2*1E-4*DATOS!$C$16/100/1000)+((MAX(AI35,AK35)*Y35*J35^2*1E-4*DATOS!$C$16/100/1000)+(IF(AND(AI35&gt;0,AK35&gt;0),MIN(AI35,AK35),MAX(AI35,AK35))*Y35*J35^2*1E-4*DATOS!$C$16/100/1000))/2)+BE35-(IF(AND(AI35&gt;0,AK35&gt;0),MIN(AI35,AK35),MAX(AI35,AK35))*Y35*J35^2*1E-4*DATOS!$C$16/100/1000))^2-16*((AM35*Y35*J35^2*1E-4*DATOS!$C$16/100/1000)+((MAX(AI35,AK35)*Y35*J35^2*1E-4*DATOS!$C$16/100/1000)+(IF(AND(AI35&gt;0,AK35&gt;0),MIN(AI35,AK35),MAX(AI35,AK35))*Y35*J35^2*1E-4*DATOS!$C$16/100/1000))/2)*BE35)&lt;0,CEILING(O35,5),CEILING(MAX(O35*((4*((AM35*Y35*J35^2*1E-4*DATOS!$C$16/100/1000)+((MAX(AI35,AK35)*Y35*J35^2*1E-4*DATOS!$C$16/100/1000)+(IF(AND(AI35&gt;0,AK35&gt;0),MIN(AI35,AK35),MAX(AI35,AK35))*Y35*J35^2*1E-4*DATOS!$C$16/100/1000))/2)+BE35-(IF(AND(AI35&gt;0,AK35&gt;0),MIN(AI35,AK35),MAX(AI35,AK35))*Y35*J35^2*1E-4*DATOS!$C$16/100/1000))-SQRT(MAX(0,((4*((AM35*Y35*J35^2*1E-4*DATOS!$C$16/100/1000)+((MAX(AI35,AK35)*Y35*J35^2*1E-4*DATOS!$C$16/100/1000)+(IF(AND(AI35&gt;0,AK35&gt;0),MIN(AI35,AK35),MAX(AI35,AK35))*Y35*J35^2*1E-4*DATOS!$C$16/100/1000))/2)+BE35-(IF(AND(AI35&gt;0,AK35&gt;0),MIN(AI35,AK35),MAX(AI35,AK35))*Y35*J35^2*1E-4*DATOS!$C$16/100/1000))^2-16*((AM35*Y35*J35^2*1E-4*DATOS!$C$16/100/1000)+((MAX(AI35,AK35)*Y35*J35^2*1E-4*DATOS!$C$16/100/1000)+(IF(AND(AI35&gt;0,AK35&gt;0),MIN(AI35,AK35),MAX(AI35,AK35))*Y35*J35^2*1E-4*DATOS!$C$16/100/1000))/2)*BE35))))/(8*MAX(((AM35*Y35*J35^2*1E-4*DATOS!$C$16/100/1000)+((MAX(AI35,AK35)*Y35*J35^2*1E-4*DATOS!$C$16/100/1000)+(IF(AND(AI35&gt;0,AK35&gt;0),MIN(AI35,AK35),MAX(AI35,AK35))*Y35*J35^2*1E-4*DATOS!$C$16/100/1000))/2),1E-9))+MAX(CH35,12*INDEX(TABLAS!$C$52:$C$58,MATCH(CF35,TABLAS!$B$52:$B$58,0)),O35/16),IF(OR(S35&lt;INDEX(TABLAS!$C$52:$C$58,MATCH(CF35,TABLAS!$B$52:$B$58,0)),AND(CG35&gt;=2,(DATOS!$C$13-2*S35-2*IF(DATOS!$C$25=0,0,INDEX(TABLAS!$C$52:$C$58,MATCH(DATOS!$C$25,TABLAS!$B$52:$B$58,0)))-CG35*INDEX(TABLAS!$C$52:$C$58,MATCH(CF35,TABLAS!$B$52:$B$58,0)))/MAX(CG35-1,1)&lt;2*INDEX(TABLAS!$C$52:$C$58,MATCH(CF35,TABLAS!$B$52:$B$58,0)))),INDEX(TABLAS!$I$52:$I$58,MATCH(CF35,TABLAS!$B$52:$B$58,0)),INDEX(TABLAS!$F$52:$F$58,MATCH(CF35,TABLAS!$B$52:$B$58,0)))),5)))</f>
        <v>290</v>
      </c>
      <c r="CW35" s="56">
        <f>MAX(0,INT((F35*100-DATOS!$C$17+DATOS!$C$13)/DATOS!$C$16))</f>
        <v>4</v>
      </c>
      <c r="CX35" s="56">
        <f>MAX(0,INT((G35*100-DATOS!$C$17+DATOS!$C$13)/DATOS!$C$16))</f>
        <v>1</v>
      </c>
      <c r="CY35" s="51" t="str">
        <f>IF(COUNTIFS(TRIB!$C$6:$C$255,B35,TRIB!$K$6:$K$255,"NO CUMPLE*")+COUNTIFS(TRIB!$C$6:$C$255,B35,TRIB!$K$6:$K$255,"SIN APOYO*")&gt;0,"VER PRINCIPALES",IF((APOYOS!$F$133="LIBRE")+(APOYOS!$F$134="LIBRE")+(APOYOS!$F$135="LIBRE")+(APOYOS!$F$136="LIBRE")&gt;0,"REVISAR: borde libre","OK"))</f>
        <v>OK</v>
      </c>
      <c r="CZ35" s="64" t="str">
        <f>IF(D35="HUECO","HUECO — marco de nervaduras principales",IF(AND(MAX(BL35,BT35,CB35,CJ35)&lt;=1,NOT(OR(BI35&gt;MIN(DATOS!$C$28,INT(((DATOS!$C$13-2*R35-2*IF(DATOS!$C$25=0,0,INDEX(TABLAS!$C$52:$C$58,MATCH(DATOS!$C$25,TABLAS!$B$52:$B$58,0))))+DATOS!$C$32)/(INDEX(TABLAS!$C$52:$C$58,MATCH(BH35,TABLAS!$B$52:$B$58,0))+DATOS!$C$32))),BQ35&gt;MIN(DATOS!$C$28,INT(((DATOS!$C$13-2*S35-2*IF(DATOS!$C$25=0,0,INDEX(TABLAS!$C$52:$C$58,MATCH(DATOS!$C$25,TABLAS!$B$52:$B$58,0))))+DATOS!$C$32)/(INDEX(TABLAS!$C$52:$C$58,MATCH(BP35,TABLAS!$B$52:$B$58,0))+DATOS!$C$32))),BY35&gt;MIN(DATOS!$C$28,INT(((DATOS!$C$13-2*R35-2*IF(DATOS!$C$25=0,0,INDEX(TABLAS!$C$52:$C$58,MATCH(DATOS!$C$25,TABLAS!$B$52:$B$58,0))))+DATOS!$C$32)/(INDEX(TABLAS!$C$52:$C$58,MATCH(BX35,TABLAS!$B$52:$B$58,0))+DATOS!$C$32))),CG35&gt;MIN(DATOS!$C$28,INT(((DATOS!$C$13-2*S35-2*IF(DATOS!$C$25=0,0,INDEX(TABLAS!$C$52:$C$58,MATCH(DATOS!$C$25,TABLAS!$B$52:$B$58,0))))+DATOS!$C$32)/(INDEX(TABLAS!$C$52:$C$58,MATCH(CF35,TABLAS!$B$52:$B$58,0))+DATOS!$C$32))))),NOT(OR(AND(ISNUMBER(BM35),BM35&lt;0.005),AND(ISNUMBER(BU35),BU35&lt;0.005),AND(ISNUMBER(CC35),CC35&lt;0.005),AND(ISNUMBER(CK35),CK35&lt;0.005))),CS35="CUMPLE",CT35="CUMPLE"),IF(CY35="OK",IF(LEFT(CO35,6)="CUMPLE","CUMPLE","CUMPLE — "&amp;CO35)&amp;IF(LEFT(AZ35,5)="FUERA"," · fuera de 3.4.2.1 c)",""),IF(CY35="VER PRINCIPALES","VER PRINCIPALES","REVISAR APOYOS")),IF(AND(MAX(BL35,BT35,CB35,CJ35)&lt;=1,NOT(OR(BI35&gt;MIN(DATOS!$C$28,INT(((DATOS!$C$13-2*R35-2*IF(DATOS!$C$25=0,0,INDEX(TABLAS!$C$52:$C$58,MATCH(DATOS!$C$25,TABLAS!$B$52:$B$58,0))))+DATOS!$C$32)/(INDEX(TABLAS!$C$52:$C$58,MATCH(BH35,TABLAS!$B$52:$B$58,0))+DATOS!$C$32))),BQ35&gt;MIN(DATOS!$C$28,INT(((DATOS!$C$13-2*S35-2*IF(DATOS!$C$25=0,0,INDEX(TABLAS!$C$52:$C$58,MATCH(DATOS!$C$25,TABLAS!$B$52:$B$58,0))))+DATOS!$C$32)/(INDEX(TABLAS!$C$52:$C$58,MATCH(BP35,TABLAS!$B$52:$B$58,0))+DATOS!$C$32))),BY35&gt;MIN(DATOS!$C$28,INT(((DATOS!$C$13-2*R35-2*IF(DATOS!$C$25=0,0,INDEX(TABLAS!$C$52:$C$58,MATCH(DATOS!$C$25,TABLAS!$B$52:$B$58,0))))+DATOS!$C$32)/(INDEX(TABLAS!$C$52:$C$58,MATCH(BX35,TABLAS!$B$52:$B$58,0))+DATOS!$C$32))),CG35&gt;MIN(DATOS!$C$28,INT(((DATOS!$C$13-2*S35-2*IF(DATOS!$C$25=0,0,INDEX(TABLAS!$C$52:$C$58,MATCH(DATOS!$C$25,TABLAS!$B$52:$B$58,0))))+DATOS!$C$32)/(INDEX(TABLAS!$C$52:$C$58,MATCH(CF35,TABLAS!$B$52:$B$58,0))+DATOS!$C$32))))),NOT(OR(AND(ISNUMBER(BM35),BM35&lt;0.005),AND(ISNUMBER(BU35),BU35&lt;0.005),AND(ISNUMBER(CC35),CC35&lt;0.005),AND(ISNUMBER(CK35),CK35&lt;0.005))),CS35="CALCULAR FLECHA"),"REVISAR: calcular flecha (h_eq &lt; h mín.)","NO CUMPLE: "&amp;IF(MAX(BL35,BT35,CB35,CJ35)&gt;1,"flexión ","")&amp;IF(OR(BI35&gt;MIN(DATOS!$C$28,INT(((DATOS!$C$13-2*R35-2*IF(DATOS!$C$25=0,0,INDEX(TABLAS!$C$52:$C$58,MATCH(DATOS!$C$25,TABLAS!$B$52:$B$58,0))))+DATOS!$C$32)/(INDEX(TABLAS!$C$52:$C$58,MATCH(BH35,TABLAS!$B$52:$B$58,0))+DATOS!$C$32))),BQ35&gt;MIN(DATOS!$C$28,INT(((DATOS!$C$13-2*S35-2*IF(DATOS!$C$25=0,0,INDEX(TABLAS!$C$52:$C$58,MATCH(DATOS!$C$25,TABLAS!$B$52:$B$58,0))))+DATOS!$C$32)/(INDEX(TABLAS!$C$52:$C$58,MATCH(BP35,TABLAS!$B$52:$B$58,0))+DATOS!$C$32))),BY35&gt;MIN(DATOS!$C$28,INT(((DATOS!$C$13-2*R35-2*IF(DATOS!$C$25=0,0,INDEX(TABLAS!$C$52:$C$58,MATCH(DATOS!$C$25,TABLAS!$B$52:$B$58,0))))+DATOS!$C$32)/(INDEX(TABLAS!$C$52:$C$58,MATCH(BX35,TABLAS!$B$52:$B$58,0))+DATOS!$C$32))),CG35&gt;MIN(DATOS!$C$28,INT(((DATOS!$C$13-2*S35-2*IF(DATOS!$C$25=0,0,INDEX(TABLAS!$C$52:$C$58,MATCH(DATOS!$C$25,TABLAS!$B$52:$B$58,0))))+DATOS!$C$32)/(INDEX(TABLAS!$C$52:$C$58,MATCH(CF35,TABLAS!$B$52:$B$58,0))+DATOS!$C$32)))),"no caben ","")&amp;IF(OR(AND(ISNUMBER(BM35),BM35&lt;0.005),AND(ISNUMBER(BU35),BU35&lt;0.005),AND(ISNUMBER(CC35),CC35&lt;0.005),AND(ISNUMBER(CK35),CK35&lt;0.005)),"ε_t &lt; 0.005 ","")&amp;IF(CS35="NO CUMPLE","peralte ","")&amp;IF(CT35&lt;&gt;"CUMPLE","capa &lt; 6 cm",""))))</f>
        <v>CUMPLE · fuera de 3.4.2.1 c)</v>
      </c>
      <c r="DA35" s="65" t="str">
        <f>IF(AND(D35="PERIMETRAL",MIN(CW35,CX35)=0),"Tablero macizo (no cabe un casetón en el claro corto): no aplica 6.7.8. La resistencia se revisa con una nervadura de 10 cm cada 70 cm y r_np (conservador); "&amp;"como losa maciza lleva además As,mín = 0.0018·Ag en cada dirección cerca de la cara a tensión (6.7.6.1.1, p. 175). ",IF(AND(CL35="NO",D35="PERIMETRAL"),"No cumple 6.7.8.1.4 (a_c = "&amp;DATOS!$C$11&amp;" cm &gt; claro corto/6 = "&amp;TEXT(J35*100/6,"0")&amp;" cm): se diseña como losa apoyada en vigas (6.7.8.1.9): nervaduras con recubrimiento de viga r_np = "&amp;DATOS!$C$22&amp;" cm (Tabla 4.14.16.a), V_cR sin ×1.1 y cortante sin estribos por 5.5.3.8.1 (criterio del Proyectista). Para que cuente como encasetonada: casetón de "&amp;TEXT(FLOOR(MIN(80,J35*100/6),1),"0")&amp;" cm o menor. ",""))&amp;IF(LEFT(AZ35,5)="FUERA","M⁻ del borde común "&amp;AZ35&amp;": difieren más de 50% (3.4.2.1 c); se distribuyen 2/3 del desequilibrio (3.4.3.1) y conviene confirmar los momentos con el modelo. ","")&amp;"—"</f>
        <v>No cumple 6.7.8.1.4 (a_c = 60 cm &gt; claro corto/6 = 19 cm): se diseña como losa apoyada en vigas (6.7.8.1.9): nervaduras con recubrimiento de viga r_np = 4 cm (Tabla 4.14.16.a), V_cR sin ×1.1 y cortante sin estribos por 5.5.3.8.1 (criterio del Proyectista). Para que cuente como encasetonada: casetón de 19 cm o menor. M⁻ del borde común FUERA con F80010 F80032: difieren más de 50% (3.4.2.1 c); se distribuyen 2/3 del desequilibrio (3.4.3.1) y conviene confirmar los momentos con el modelo. —</v>
      </c>
    </row>
    <row r="36" ht="30" customHeight="1">
      <c r="B36" s="51" t="inlineStr">
        <is>
          <t>F80028 N+6.00</t>
        </is>
      </c>
      <c r="C36" s="52" t="inlineStr">
        <is>
          <t>N+6.00</t>
        </is>
      </c>
      <c r="D36" s="53" t="inlineStr">
        <is>
          <t>HUECO</t>
        </is>
      </c>
      <c r="E36" s="53" t="inlineStr">
        <is>
          <t>AZOTEA</t>
        </is>
      </c>
      <c r="F36" s="54" t="n">
        <v>3.028</v>
      </c>
      <c r="G36" s="54" t="n">
        <v>0.749</v>
      </c>
      <c r="H36" s="55" t="n">
        <v>3.028</v>
      </c>
      <c r="I36" s="55" t="n">
        <v>0.749</v>
      </c>
      <c r="J36" s="36">
        <f>MIN(H36,I36)</f>
        <v>0.749</v>
      </c>
      <c r="K36" s="36">
        <f>MAX(H36,I36)</f>
        <v>3.028</v>
      </c>
      <c r="L36" s="36">
        <f>IF(K36&gt;0,J36/K36,0)</f>
        <v>0.247357992073976</v>
      </c>
      <c r="M36" s="52" t="str">
        <f>IF(H36&lt;=I36,"X","Y")</f>
        <v>Y</v>
      </c>
      <c r="N36" s="56">
        <f>MAX(0,J36*100-IF(D36="VOLADO",DATOS!$C$17/2,DATOS!$C$17))</f>
        <v>59.9</v>
      </c>
      <c r="O36" s="56">
        <f>MAX(0,K36*100-DATOS!$C$17)</f>
        <v>287.8</v>
      </c>
      <c r="P36" s="57">
        <f>MIN(DATOS!$C$16,DATOS!$C$13+2*MIN(8*DATOS!$C$14,DATOS!$C$11/2,N36/8))</f>
        <v>24.975</v>
      </c>
      <c r="Q36" s="57">
        <f>MIN(DATOS!$C$16,DATOS!$C$13+2*MIN(8*DATOS!$C$14,DATOS!$C$11/2,O36/8))</f>
        <v>70</v>
      </c>
      <c r="R36" s="57">
        <f>IF(D36="VOLADO",DATOS!$C$21,IF(CL36="NO",DATOS!$C$22,DATOS!$C$20))</f>
        <v>2</v>
      </c>
      <c r="S36" s="57">
        <f>IF(OR(AND(C36="N+6.00",DATOS!$C$23="SÍ"),AND(D36="VOLADO",DATOS!$C$24="SÍ")),DATOS!$C$21,IF(CL36="NO",DATOS!$C$22,DATOS!$C$20))</f>
        <v>2</v>
      </c>
      <c r="T36" s="58" t="n">
        <v>295</v>
      </c>
      <c r="U36" s="56">
        <f>IF(E36="HABITACIÓN",DATOS!$C$89,DATOS!$C$92)</f>
        <v>100</v>
      </c>
      <c r="V36" s="56">
        <f>CARGAS!$C$9</f>
        <v>293.673469387755</v>
      </c>
      <c r="W36" s="56">
        <f>V36+T36</f>
        <v>588.673469387755</v>
      </c>
      <c r="X36" s="56">
        <f>W36+U36</f>
        <v>688.673469387755</v>
      </c>
      <c r="Y36" s="59">
        <f>MAX(DATOS!$C$55*W36+DATOS!$C$56*U36,IF(E36="AZOTEA",DATOS!$C$57*(W36+DATOS!$C$97),0))</f>
        <v>915.275510204082</v>
      </c>
      <c r="Z36" s="56">
        <f>(APOYOS!$G$137="DISCONTINUO")+(APOYOS!$G$138="DISCONTINUO")+(APOYOS!$G$139="DISCONTINUO")+(APOYOS!$G$140="DISCONTINUO")</f>
        <v>1</v>
      </c>
      <c r="AA36" s="56">
        <f>IF(M36="X",(APOYOS!$G$137="DISCONTINUO")+(APOYOS!$G$138="DISCONTINUO"),(APOYOS!$G$139="DISCONTINUO")+(APOYOS!$G$140="DISCONTINUO"))</f>
        <v>1</v>
      </c>
      <c r="AB36" s="56">
        <f>Z36-AA36</f>
        <v>0</v>
      </c>
      <c r="AC36" s="52" t="str">
        <f>IF(Z36=0,"INTERIOR",IF(Z36=1,IF(AA36=1,"BORDE-CORTO","BORDE-LARGO"),IF(Z36=2,IF(AA36=1,"ESQUINA",IF(AA36=2,"EXTREMO-LARGO","EXTREMO-CORTO")),IF(Z36=3,IF(AA36=2,"EXTREMO-LARGO","EXTREMO-CORTO"),"AISLADO"))))</f>
        <v>BORDE-CORTO</v>
      </c>
      <c r="AD36" s="53" t="inlineStr">
        <is>
          <t>AUTO</t>
        </is>
      </c>
      <c r="AE36" s="60" t="str">
        <f>IF(AD36="AUTO",AC36,AD36)</f>
        <v>BORDE-CORTO</v>
      </c>
      <c r="AF36" s="56">
        <f>MATCH(L36,TABLAS!$D$5:$J$5,1)</f>
        <v>1</v>
      </c>
      <c r="AG36" s="43">
        <f>IF(AF36&gt;=7,0,(L36-INDEX(TABLAS!$D$5:$J$5,AF36))/(INDEX(TABLAS!$D$5:$J$5,AF36+1)-INDEX(TABLAS!$D$5:$J$5,AF36)))</f>
        <v>0.494715984147952</v>
      </c>
      <c r="AH36" s="56">
        <f>INDEX(TABLAS!$D$6:$J$47,MATCH(AE36&amp;"|NIC",TABLAS!$B$6:$B$47,0),AF36)+AG36*(INDEX(TABLAS!$D$6:$J$47,MATCH(AE36&amp;"|NIC",TABLAS!$B$6:$B$47,0),MIN(AF36+1,7))-INDEX(TABLAS!$D$6:$J$47,MATCH(AE36&amp;"|NIC",TABLAS!$B$6:$B$47,0),AF36))</f>
        <v>1079.62813738441</v>
      </c>
      <c r="AI36" s="56">
        <f>INDEX(TABLAS!$D$6:$J$47,MATCH(AE36&amp;"|NIL",TABLAS!$B$6:$B$47,0),AF36)+AG36*(INDEX(TABLAS!$D$6:$J$47,MATCH(AE36&amp;"|NIL",TABLAS!$B$6:$B$47,0),MIN(AF36+1,7))-INDEX(TABLAS!$D$6:$J$47,MATCH(AE36&amp;"|NIL",TABLAS!$B$6:$B$47,0),AF36))</f>
        <v>538.262219286658</v>
      </c>
      <c r="AJ36" s="56">
        <f>INDEX(TABLAS!$D$6:$J$47,MATCH(AE36&amp;"|NDC",TABLAS!$B$6:$B$47,0),AF36)+AG36*(INDEX(TABLAS!$D$6:$J$47,MATCH(AE36&amp;"|NDC",TABLAS!$B$6:$B$47,0),MIN(AF36+1,7))-INDEX(TABLAS!$D$6:$J$47,MATCH(AE36&amp;"|NDC",TABLAS!$B$6:$B$47,0),AF36))</f>
        <v>0</v>
      </c>
      <c r="AK36" s="56">
        <f>INDEX(TABLAS!$D$6:$J$47,MATCH(AE36&amp;"|NDL",TABLAS!$B$6:$B$47,0),AF36)+AG36*(INDEX(TABLAS!$D$6:$J$47,MATCH(AE36&amp;"|NDL",TABLAS!$B$6:$B$47,0),MIN(AF36+1,7))-INDEX(TABLAS!$D$6:$J$47,MATCH(AE36&amp;"|NDL",TABLAS!$B$6:$B$47,0),AF36))</f>
        <v>292.359313077939</v>
      </c>
      <c r="AL36" s="56">
        <f>INDEX(TABLAS!$D$6:$J$47,MATCH(AE36&amp;"|PC",TABLAS!$B$6:$B$47,0),AF36)+AG36*(INDEX(TABLAS!$D$6:$J$47,MATCH(AE36&amp;"|PC",TABLAS!$B$6:$B$47,0),MIN(AF36+1,7))-INDEX(TABLAS!$D$6:$J$47,MATCH(AE36&amp;"|PC",TABLAS!$B$6:$B$47,0),AF36))</f>
        <v>481.090488771466</v>
      </c>
      <c r="AM36" s="56">
        <f>INDEX(TABLAS!$D$6:$J$47,MATCH(AE36&amp;"|PL",TABLAS!$B$6:$B$47,0),AF36)+AG36*(INDEX(TABLAS!$D$6:$J$47,MATCH(AE36&amp;"|PL",TABLAS!$B$6:$B$47,0),MIN(AF36+1,7))-INDEX(TABLAS!$D$6:$J$47,MATCH(AE36&amp;"|PL",TABLAS!$B$6:$B$47,0),AF36))</f>
        <v>205.219947159841</v>
      </c>
      <c r="AN36" s="36">
        <f>IF(D36="PERIMETRAL",IF(APOYOS!$G$137="CONTINUO",IF(M36="Y",AH36,AI36),IF(M36="Y",AJ36,AK36))*Y36*J36^2*1E-4*DATOS!$C$16/100/1000,0)</f>
        <v>0</v>
      </c>
      <c r="AO36" s="36">
        <f>IF(D36="PERIMETRAL",IF(APOYOS!$G$138="CONTINUO",IF(M36="Y",AH36,AI36),IF(M36="Y",AJ36,AK36))*Y36*J36^2*1E-4*DATOS!$C$16/100/1000,0)</f>
        <v>0</v>
      </c>
      <c r="AP36" s="36">
        <f>IF(D36="PERIMETRAL",IF(APOYOS!$G$139="CONTINUO",IF(M36="X",AH36,AI36),IF(M36="X",AJ36,AK36))*Y36*J36^2*1E-4*DATOS!$C$16/100/1000,0)</f>
        <v>0</v>
      </c>
      <c r="AQ36" s="36">
        <f>IF(D36="PERIMETRAL",IF(APOYOS!$G$140="CONTINUO",IF(M36="X",AH36,AI36),IF(M36="X",AJ36,AK36))*Y36*J36^2*1E-4*DATOS!$C$16/100/1000,0)</f>
        <v>0</v>
      </c>
      <c r="AR36" s="56">
        <f>IF(D36="PERIMETRAL",IF(M36="X",BN36,CD36)^3/(J36*100),0)</f>
        <v>0</v>
      </c>
      <c r="AS36" s="56">
        <f>IF(D36="PERIMETRAL",IF(M36="Y",BN36,CD36)^3/(J36*100),0)</f>
        <v>0</v>
      </c>
      <c r="AT36" s="36">
        <f>IF(D36="PERIMETRAL",MAX(0,IF(M36="Y",IF(AND(APOYOS!$G$137="CONTINUO",AN36&gt;0,AO34&gt;0,AO34&gt;AN36),AN36+2/3*(AO34-AN36)*AS36/MAX(AS36+AS34,1E-9),0),0),IF(M36="Y",IF(AND(APOYOS!$G$138="CONTINUO",AO36&gt;0,AN39&gt;0,AN39&gt;AO36),AO36+2/3*(AN39-AO36)*AS36/MAX(AS36+AS39,1E-9),0),0),IF(M36="X",IF(AND(APOYOS!$G$139="CONTINUO",AP36&gt;0,AQ40&gt;0,AQ40&gt;AP36),AP36+2/3*(AQ40-AP36)*AR36/MAX(AR36+AR40,1E-9),0),0)),0)</f>
        <v>0</v>
      </c>
      <c r="AU36" s="36">
        <f>IF(D36="PERIMETRAL",MAX(0,IF(M36&lt;&gt;"Y",IF(AND(APOYOS!$G$137="CONTINUO",AN36&gt;0,AO34&gt;0,AO34&gt;AN36),AN36+2/3*(AO34-AN36)*AS36/MAX(AS36+AS34,1E-9),0),0),IF(M36&lt;&gt;"Y",IF(AND(APOYOS!$G$138="CONTINUO",AO36&gt;0,AN39&gt;0,AN39&gt;AO36),AO36+2/3*(AN39-AO36)*AS36/MAX(AS36+AS39,1E-9),0),0),IF(M36&lt;&gt;"X",IF(AND(APOYOS!$G$139="CONTINUO",AP36&gt;0,AQ40&gt;0,AQ40&gt;AP36),AP36+2/3*(AQ40-AP36)*AR36/MAX(AR36+AR40,1E-9),0),0)),0)</f>
        <v>0</v>
      </c>
      <c r="AV36" s="36">
        <f>IF(D36="PERIMETRAL",(IF(M36="Y",IF(AND(APOYOS!$G$137="CONTINUO",AN36&gt;0,AO34&gt;0,AN36&gt;AO34),2/3*(AN36-AO34)*AS36/MAX(AS36+AS34,1E-9),0),0)+IF(M36="Y",IF(AND(APOYOS!$G$138="CONTINUO",AO36&gt;0,AN39&gt;0,AO36&gt;AN39),2/3*(AO36-AN39)*AS36/MAX(AS36+AS39,1E-9),0),0)+IF(M36="X",IF(AND(APOYOS!$G$139="CONTINUO",AP36&gt;0,AQ40&gt;0,AP36&gt;AQ40),2/3*(AP36-AQ40)*AR36/MAX(AR36+AR40,1E-9),0),0))/2,0)</f>
        <v>0</v>
      </c>
      <c r="AW36" s="36">
        <f>IF(D36="PERIMETRAL",(IF(M36&lt;&gt;"Y",IF(AND(APOYOS!$G$137="CONTINUO",AN36&gt;0,AO34&gt;0,AN36&gt;AO34),2/3*(AN36-AO34)*AS36/MAX(AS36+AS34,1E-9),0),0)+IF(M36&lt;&gt;"Y",IF(AND(APOYOS!$G$138="CONTINUO",AO36&gt;0,AN39&gt;0,AO36&gt;AN39),2/3*(AO36-AN39)*AS36/MAX(AS36+AS39,1E-9),0),0)+IF(M36&lt;&gt;"X",IF(AND(APOYOS!$G$139="CONTINUO",AP36&gt;0,AQ40&gt;0,AP36&gt;AQ40),2/3*(AP36-AQ40)*AR36/MAX(AR36+AR40,1E-9),0),0))/2,0)</f>
        <v>0</v>
      </c>
      <c r="AX36" s="36">
        <f>IF(D36="PERIMETRAL",MAX(0,0),0)</f>
        <v>0</v>
      </c>
      <c r="AY36" s="52" t="str">
        <f>IF(D36&lt;&gt;"PERIMETRAL","",IF(AND(APOYOS!$G$137="CONTINUO",AN36&gt;0,AO34&gt;0,ABS(AN36-AO34)&gt;0.5*MIN(AN36,AO34))," F80026","")&amp;IF(AND(APOYOS!$G$138="CONTINUO",AO36&gt;0,AN39&gt;0,ABS(AO36-AN39)&gt;0.5*MIN(AO36,AN39))," F80031","")&amp;IF(AND(APOYOS!$G$139="CONTINUO",AP36&gt;0,AQ40&gt;0,ABS(AP36-AQ40)&gt;0.5*MIN(AP36,AQ40))," F80032",""))</f>
        <v/>
      </c>
      <c r="AZ36" s="52" t="str">
        <f>IF(D36&lt;&gt;"PERIMETRAL","—",IF(AY36="","CUMPLE","FUERA con"&amp;AY36))</f>
        <v>—</v>
      </c>
      <c r="BA36" s="61" t="n">
        <v>0</v>
      </c>
      <c r="BB36" s="36">
        <f>IF(D36="PERIMETRAL",AL36*Y36*J36^2*1E-4*DATOS!$C$16/100/1000+AV36,0)</f>
        <v>0</v>
      </c>
      <c r="BC36" s="36">
        <f>IF(D36="PERIMETRAL",MAX(MAX(AH36,AJ36)*Y36*J36^2*1E-4*DATOS!$C$16/100/1000,AT36),IF(D36="VOLADO",(Y36*(N36/100)^2/2+DATOS!$C$55*BA36*N36/100)*DATOS!$C$16/100/1000,0))</f>
        <v>0</v>
      </c>
      <c r="BD36" s="36">
        <f>IF(D36="PERIMETRAL",AM36*Y36*J36^2*1E-4*DATOS!$C$16/100/1000+AW36,0)</f>
        <v>0</v>
      </c>
      <c r="BE36" s="36">
        <f>IF(D36="PERIMETRAL",MAX(MAX(AI36,AK36)*Y36*J36^2*1E-4*DATOS!$C$16/100/1000,AU36),0)</f>
        <v>0</v>
      </c>
      <c r="BF36" s="43">
        <f>(DATOS!$C$15-R36-IF(DATOS!$C$25=0,0,INDEX(TABLAS!$C$52:$C$58,MATCH(DATOS!$C$25,TABLAS!$B$52:$B$58,0)))-INDEX(TABLAS!$C$52:$C$58,MATCH(DATOS!$C$26,TABLAS!$B$52:$B$58,0))/2)</f>
        <v>22.365</v>
      </c>
      <c r="BG36" s="43">
        <f>IF(D36="HUECO",0,IF(IF(BB36&lt;=0,0,IF((1-2*BB36*1E5/(DATOS!$C$58*P36*BF36^2*DATOS!$C$48))&lt;0,-1,IF((1-SQRT((1-2*BB36*1E5/(DATOS!$C$58*P36*BF36^2*DATOS!$C$48))))*DATOS!$C$48*P36*BF36/DATOS!$C$40&gt;DATOS!$C$82*P36*BF36,-1,(1-SQRT((1-2*BB36*1E5/(DATOS!$C$58*P36*BF36^2*DATOS!$C$48))))*DATOS!$C$48*P36*BF36/DATOS!$C$40)))&lt;0,-1,MAX(IF(BB36&lt;=0,0,IF((1-2*BB36*1E5/(DATOS!$C$58*P36*BF36^2*DATOS!$C$48))&lt;0,-1,IF((1-SQRT((1-2*BB36*1E5/(DATOS!$C$58*P36*BF36^2*DATOS!$C$48))))*DATOS!$C$48*P36*BF36/DATOS!$C$40&gt;DATOS!$C$82*P36*BF36,-1,(1-SQRT((1-2*BB36*1E5/(DATOS!$C$58*P36*BF36^2*DATOS!$C$48))))*DATOS!$C$48*P36*BF36/DATOS!$C$40))),MIN(DATOS!$C$83*DATOS!$C$13*BF36,4/3*IF(BB36&lt;=0,0,IF((1-2*BB36*1E5/(DATOS!$C$58*P36*BF36^2*DATOS!$C$48))&lt;0,-1,IF((1-SQRT((1-2*BB36*1E5/(DATOS!$C$58*P36*BF36^2*DATOS!$C$48))))*DATOS!$C$48*P36*BF36/DATOS!$C$40&gt;DATOS!$C$82*P36*BF36,-1,(1-SQRT((1-2*BB36*1E5/(DATOS!$C$58*P36*BF36^2*DATOS!$C$48))))*DATOS!$C$48*P36*BF36/DATOS!$C$40)))))))</f>
        <v>0</v>
      </c>
      <c r="BH36" s="41">
        <f>IF(AND(BG36&gt;=0,IF(MAX(DATOS!$C$29,CEILING(BG36/INDEX(TABLAS!$D$52:$D$58,MIN(MATCH(DATOS!$C$26,TABLAS!$B$52:$B$58,0)+0,7)),1))*INDEX(TABLAS!$D$52:$D$58,MIN(MATCH(DATOS!$C$26,TABLAS!$B$52:$B$58,0)+0,7))&gt;=4/3*IF(BB36&lt;=0,0,IF((1-2*BB36*1E5/(DATOS!$C$58*P36*BF36^2*DATOS!$C$48))&lt;0,-1,IF((1-SQRT((1-2*BB36*1E5/(DATOS!$C$58*P36*BF36^2*DATOS!$C$48))))*DATOS!$C$48*P36*BF36/DATOS!$C$40&gt;DATOS!$C$82*P36*BF36,-1,(1-SQRT((1-2*BB36*1E5/(DATOS!$C$58*P36*BF36^2*DATOS!$C$48))))*DATOS!$C$48*P36*BF36/DATOS!$C$40)))-0.0001,MAX(DATOS!$C$29,CEILING(BG36/INDEX(TABLAS!$D$52:$D$58,MIN(MATCH(DATOS!$C$26,TABLAS!$B$52:$B$58,0)+0,7)),1)),MAX(MAX(DATOS!$C$29,CEILING(BG36/INDEX(TABLAS!$D$52:$D$58,MIN(MATCH(DATOS!$C$26,TABLAS!$B$52:$B$58,0)+0,7)),1)),2))&lt;=MIN(DATOS!$C$28,INT(((DATOS!$C$13-2*R36-2*IF(DATOS!$C$25=0,0,INDEX(TABLAS!$C$52:$C$58,MATCH(DATOS!$C$25,TABLAS!$B$52:$B$58,0))))+MAX(DATOS!$C$32,INDEX(TABLAS!$C$52:$C$58,MIN(MATCH(DATOS!$C$26,TABLAS!$B$52:$B$58,0)+0,7))))/(INDEX(TABLAS!$C$52:$C$58,MIN(MATCH(DATOS!$C$26,TABLAS!$B$52:$B$58,0)+0,7))+MAX(DATOS!$C$32,INDEX(TABLAS!$C$52:$C$58,MIN(MATCH(DATOS!$C$26,TABLAS!$B$52:$B$58,0)+0,7))))))),INDEX(TABLAS!$B$52:$B$58,MIN(MATCH(DATOS!$C$26,TABLAS!$B$52:$B$58,0)+0,7)),IF(AND(BG36&gt;=0,IF(MAX(DATOS!$C$29,CEILING(BG36/INDEX(TABLAS!$D$52:$D$58,MIN(MATCH(DATOS!$C$26,TABLAS!$B$52:$B$58,0)+1,7)),1))*INDEX(TABLAS!$D$52:$D$58,MIN(MATCH(DATOS!$C$26,TABLAS!$B$52:$B$58,0)+1,7))&gt;=4/3*IF(BB36&lt;=0,0,IF((1-2*BB36*1E5/(DATOS!$C$58*P36*BF36^2*DATOS!$C$48))&lt;0,-1,IF((1-SQRT((1-2*BB36*1E5/(DATOS!$C$58*P36*BF36^2*DATOS!$C$48))))*DATOS!$C$48*P36*BF36/DATOS!$C$40&gt;DATOS!$C$82*P36*BF36,-1,(1-SQRT((1-2*BB36*1E5/(DATOS!$C$58*P36*BF36^2*DATOS!$C$48))))*DATOS!$C$48*P36*BF36/DATOS!$C$40)))-0.0001,MAX(DATOS!$C$29,CEILING(BG36/INDEX(TABLAS!$D$52:$D$58,MIN(MATCH(DATOS!$C$26,TABLAS!$B$52:$B$58,0)+1,7)),1)),MAX(MAX(DATOS!$C$29,CEILING(BG36/INDEX(TABLAS!$D$52:$D$58,MIN(MATCH(DATOS!$C$26,TABLAS!$B$52:$B$58,0)+1,7)),1)),2))&lt;=MIN(DATOS!$C$28,INT(((DATOS!$C$13-2*R36-2*IF(DATOS!$C$25=0,0,INDEX(TABLAS!$C$52:$C$58,MATCH(DATOS!$C$25,TABLAS!$B$52:$B$58,0))))+MAX(DATOS!$C$32,INDEX(TABLAS!$C$52:$C$58,MIN(MATCH(DATOS!$C$26,TABLAS!$B$52:$B$58,0)+1,7))))/(INDEX(TABLAS!$C$52:$C$58,MIN(MATCH(DATOS!$C$26,TABLAS!$B$52:$B$58,0)+1,7))+MAX(DATOS!$C$32,INDEX(TABLAS!$C$52:$C$58,MIN(MATCH(DATOS!$C$26,TABLAS!$B$52:$B$58,0)+1,7))))))),INDEX(TABLAS!$B$52:$B$58,MIN(MATCH(DATOS!$C$26,TABLAS!$B$52:$B$58,0)+1,7)),IF(AND(BG36&gt;=0,IF(MAX(DATOS!$C$29,CEILING(BG36/INDEX(TABLAS!$D$52:$D$58,MIN(MATCH(DATOS!$C$26,TABLAS!$B$52:$B$58,0)+2,7)),1))*INDEX(TABLAS!$D$52:$D$58,MIN(MATCH(DATOS!$C$26,TABLAS!$B$52:$B$58,0)+2,7))&gt;=4/3*IF(BB36&lt;=0,0,IF((1-2*BB36*1E5/(DATOS!$C$58*P36*BF36^2*DATOS!$C$48))&lt;0,-1,IF((1-SQRT((1-2*BB36*1E5/(DATOS!$C$58*P36*BF36^2*DATOS!$C$48))))*DATOS!$C$48*P36*BF36/DATOS!$C$40&gt;DATOS!$C$82*P36*BF36,-1,(1-SQRT((1-2*BB36*1E5/(DATOS!$C$58*P36*BF36^2*DATOS!$C$48))))*DATOS!$C$48*P36*BF36/DATOS!$C$40)))-0.0001,MAX(DATOS!$C$29,CEILING(BG36/INDEX(TABLAS!$D$52:$D$58,MIN(MATCH(DATOS!$C$26,TABLAS!$B$52:$B$58,0)+2,7)),1)),MAX(MAX(DATOS!$C$29,CEILING(BG36/INDEX(TABLAS!$D$52:$D$58,MIN(MATCH(DATOS!$C$26,TABLAS!$B$52:$B$58,0)+2,7)),1)),2))&lt;=MIN(DATOS!$C$28,INT(((DATOS!$C$13-2*R36-2*IF(DATOS!$C$25=0,0,INDEX(TABLAS!$C$52:$C$58,MATCH(DATOS!$C$25,TABLAS!$B$52:$B$58,0))))+MAX(DATOS!$C$32,INDEX(TABLAS!$C$52:$C$58,MIN(MATCH(DATOS!$C$26,TABLAS!$B$52:$B$58,0)+2,7))))/(INDEX(TABLAS!$C$52:$C$58,MIN(MATCH(DATOS!$C$26,TABLAS!$B$52:$B$58,0)+2,7))+MAX(DATOS!$C$32,INDEX(TABLAS!$C$52:$C$58,MIN(MATCH(DATOS!$C$26,TABLAS!$B$52:$B$58,0)+2,7))))))),INDEX(TABLAS!$B$52:$B$58,MIN(MATCH(DATOS!$C$26,TABLAS!$B$52:$B$58,0)+2,7)),IF(AND(BG36&gt;=0,IF(MAX(DATOS!$C$29,CEILING(BG36/INDEX(TABLAS!$D$52:$D$58,MIN(MATCH(DATOS!$C$26,TABLAS!$B$52:$B$58,0)+3,7)),1))*INDEX(TABLAS!$D$52:$D$58,MIN(MATCH(DATOS!$C$26,TABLAS!$B$52:$B$58,0)+3,7))&gt;=4/3*IF(BB36&lt;=0,0,IF((1-2*BB36*1E5/(DATOS!$C$58*P36*BF36^2*DATOS!$C$48))&lt;0,-1,IF((1-SQRT((1-2*BB36*1E5/(DATOS!$C$58*P36*BF36^2*DATOS!$C$48))))*DATOS!$C$48*P36*BF36/DATOS!$C$40&gt;DATOS!$C$82*P36*BF36,-1,(1-SQRT((1-2*BB36*1E5/(DATOS!$C$58*P36*BF36^2*DATOS!$C$48))))*DATOS!$C$48*P36*BF36/DATOS!$C$40)))-0.0001,MAX(DATOS!$C$29,CEILING(BG36/INDEX(TABLAS!$D$52:$D$58,MIN(MATCH(DATOS!$C$26,TABLAS!$B$52:$B$58,0)+3,7)),1)),MAX(MAX(DATOS!$C$29,CEILING(BG36/INDEX(TABLAS!$D$52:$D$58,MIN(MATCH(DATOS!$C$26,TABLAS!$B$52:$B$58,0)+3,7)),1)),2))&lt;=MIN(DATOS!$C$28,INT(((DATOS!$C$13-2*R36-2*IF(DATOS!$C$25=0,0,INDEX(TABLAS!$C$52:$C$58,MATCH(DATOS!$C$25,TABLAS!$B$52:$B$58,0))))+MAX(DATOS!$C$32,INDEX(TABLAS!$C$52:$C$58,MIN(MATCH(DATOS!$C$26,TABLAS!$B$52:$B$58,0)+3,7))))/(INDEX(TABLAS!$C$52:$C$58,MIN(MATCH(DATOS!$C$26,TABLAS!$B$52:$B$58,0)+3,7))+MAX(DATOS!$C$32,INDEX(TABLAS!$C$52:$C$58,MIN(MATCH(DATOS!$C$26,TABLAS!$B$52:$B$58,0)+3,7))))))),INDEX(TABLAS!$B$52:$B$58,MIN(MATCH(DATOS!$C$26,TABLAS!$B$52:$B$58,0)+3,7)),IF(AND(BG36&gt;=0,IF(MAX(DATOS!$C$29,CEILING(BG36/INDEX(TABLAS!$D$52:$D$58,MIN(MATCH(DATOS!$C$26,TABLAS!$B$52:$B$58,0)+4,7)),1))*INDEX(TABLAS!$D$52:$D$58,MIN(MATCH(DATOS!$C$26,TABLAS!$B$52:$B$58,0)+4,7))&gt;=4/3*IF(BB36&lt;=0,0,IF((1-2*BB36*1E5/(DATOS!$C$58*P36*BF36^2*DATOS!$C$48))&lt;0,-1,IF((1-SQRT((1-2*BB36*1E5/(DATOS!$C$58*P36*BF36^2*DATOS!$C$48))))*DATOS!$C$48*P36*BF36/DATOS!$C$40&gt;DATOS!$C$82*P36*BF36,-1,(1-SQRT((1-2*BB36*1E5/(DATOS!$C$58*P36*BF36^2*DATOS!$C$48))))*DATOS!$C$48*P36*BF36/DATOS!$C$40)))-0.0001,MAX(DATOS!$C$29,CEILING(BG36/INDEX(TABLAS!$D$52:$D$58,MIN(MATCH(DATOS!$C$26,TABLAS!$B$52:$B$58,0)+4,7)),1)),MAX(MAX(DATOS!$C$29,CEILING(BG36/INDEX(TABLAS!$D$52:$D$58,MIN(MATCH(DATOS!$C$26,TABLAS!$B$52:$B$58,0)+4,7)),1)),2))&lt;=MIN(DATOS!$C$28,INT(((DATOS!$C$13-2*R36-2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36" s="56">
        <f>IF(D36="HUECO",0,IF(BG36&lt;0,0,IF(MAX(DATOS!$C$29,CEILING(MAX(BG36,0)/INDEX(TABLAS!$D$52:$D$58,MATCH(BH36,TABLAS!$B$52:$B$58,0)),1))*INDEX(TABLAS!$D$52:$D$58,MATCH(BH36,TABLAS!$B$52:$B$58,0))&gt;=4/3*IF(BB36&lt;=0,0,IF((1-2*BB36*1E5/(DATOS!$C$58*P36*BF36^2*DATOS!$C$48))&lt;0,-1,IF((1-SQRT((1-2*BB36*1E5/(DATOS!$C$58*P36*BF36^2*DATOS!$C$48))))*DATOS!$C$48*P36*BF36/DATOS!$C$40&gt;DATOS!$C$82*P36*BF36,-1,(1-SQRT((1-2*BB36*1E5/(DATOS!$C$58*P36*BF36^2*DATOS!$C$48))))*DATOS!$C$48*P36*BF36/DATOS!$C$40)))-0.0001,MAX(DATOS!$C$29,CEILING(MAX(BG36,0)/INDEX(TABLAS!$D$52:$D$58,MATCH(BH36,TABLAS!$B$52:$B$58,0)),1)),MAX(MAX(DATOS!$C$29,CEILING(MAX(BG36,0)/INDEX(TABLAS!$D$52:$D$58,MATCH(BH36,TABLAS!$B$52:$B$58,0)),1)),2))))</f>
        <v>0</v>
      </c>
      <c r="BJ36" s="43">
        <f>DATOS!$C$15-R36-IF(DATOS!$C$25=0,0,INDEX(TABLAS!$C$52:$C$58,MATCH(DATOS!$C$25,TABLAS!$B$52:$B$58,0)))-INDEX(TABLAS!$C$52:$C$58,MATCH(BH36,TABLAS!$B$52:$B$58,0))/2</f>
        <v>22.365</v>
      </c>
      <c r="BK36" s="36">
        <f>IF(BI36=0,0,DATOS!$C$58*BI36*INDEX(TABLAS!$D$52:$D$58,MATCH(BH36,TABLAS!$B$52:$B$58,0))*DATOS!$C$40*(BJ36-BI36*INDEX(TABLAS!$D$52:$D$58,MATCH(BH36,TABLAS!$B$52:$B$58,0))*DATOS!$C$40/(DATOS!$C$48*P36)/2)/1E5)</f>
        <v>0</v>
      </c>
      <c r="BL36" s="62">
        <f>IF(BG36&lt;0,9.99,IF(BK36&gt;0,BB36/BK36,0))</f>
        <v>0</v>
      </c>
      <c r="BM36" s="63" t="str">
        <f>IF(BI36=0,"—",0.003*(BJ36-(BI36*INDEX(TABLAS!$D$52:$D$58,MATCH(BH36,TABLAS!$B$52:$B$58,0))*DATOS!$C$40/(DATOS!$C$48*P36)/DATOS!$C$49))/(BI36*INDEX(TABLAS!$D$52:$D$58,MATCH(BH36,TABLAS!$B$52:$B$58,0))*DATOS!$C$40/(DATOS!$C$48*P36)/DATOS!$C$49))</f>
        <v>—</v>
      </c>
      <c r="BN36" s="43">
        <f>((DATOS!$C$15-S36-2*DATOS!$C$35-IF(DATOS!$C$25=0,0,INDEX(TABLAS!$C$52:$C$58,MATCH(DATOS!$C$25,TABLAS!$B$52:$B$58,0)))-INDEX(TABLAS!$C$52:$C$58,MATCH(DATOS!$C$27,TABLAS!$B$52:$B$58,0))/2)-IF(AND((DATOS!$C$15-S36-2*DATOS!$C$35-IF(DATOS!$C$25=0,0,INDEX(TABLAS!$C$52:$C$58,MATCH(DATOS!$C$25,TABLAS!$B$52:$B$58,0)))-INDEX(TABLAS!$C$52:$C$58,MATCH(DATOS!$C$27,TABLAS!$B$52:$B$58,0))/2)&lt;=20,DATOS!$C$18&lt;&gt;"SÍ"),2,0))</f>
        <v>21.389</v>
      </c>
      <c r="BO36" s="43">
        <f>IF(D36="HUECO",0,IF(IF(BC36&lt;=0,0,IF((1-2*BC36*1E5/(DATOS!$C$58*DATOS!$C$19*BN36^2*DATOS!$C$48))&lt;0,-1,IF((1-SQRT((1-2*BC36*1E5/(DATOS!$C$58*DATOS!$C$19*BN36^2*DATOS!$C$48))))*DATOS!$C$48*DATOS!$C$19*BN36/DATOS!$C$40&gt;DATOS!$C$82*DATOS!$C$19*BN36,-1,(1-SQRT((1-2*BC36*1E5/(DATOS!$C$58*DATOS!$C$19*BN36^2*DATOS!$C$48))))*DATOS!$C$48*DATOS!$C$19*BN36/DATOS!$C$40)))&lt;0,-1,MAX(IF(BC36&lt;=0,0,IF((1-2*BC36*1E5/(DATOS!$C$58*DATOS!$C$19*BN36^2*DATOS!$C$48))&lt;0,-1,IF((1-SQRT((1-2*BC36*1E5/(DATOS!$C$58*DATOS!$C$19*BN36^2*DATOS!$C$48))))*DATOS!$C$48*DATOS!$C$19*BN36/DATOS!$C$40&gt;DATOS!$C$82*DATOS!$C$19*BN36,-1,(1-SQRT((1-2*BC36*1E5/(DATOS!$C$58*DATOS!$C$19*BN36^2*DATOS!$C$48))))*DATOS!$C$48*DATOS!$C$19*BN36/DATOS!$C$40))),MIN(DATOS!$C$83*IF(D36="VOLADO",2*DATOS!$C$13,DATOS!$C$13)*BN36,4/3*IF(BC36&lt;=0,0,IF((1-2*BC36*1E5/(DATOS!$C$58*DATOS!$C$19*BN36^2*DATOS!$C$48))&lt;0,-1,IF((1-SQRT((1-2*BC36*1E5/(DATOS!$C$58*DATOS!$C$19*BN36^2*DATOS!$C$48))))*DATOS!$C$48*DATOS!$C$19*BN36/DATOS!$C$40&gt;DATOS!$C$82*DATOS!$C$19*BN36,-1,(1-SQRT((1-2*BC36*1E5/(DATOS!$C$58*DATOS!$C$19*BN36^2*DATOS!$C$48))))*DATOS!$C$48*DATOS!$C$19*BN36/DATOS!$C$40)))))))</f>
        <v>0</v>
      </c>
      <c r="BP36" s="41">
        <f>IF(AND(BO36&gt;=0,IF(MAX(DATOS!$C$29,CEILING(BO36/INDEX(TABLAS!$D$52:$D$58,MIN(MATCH(DATOS!$C$27,TABLAS!$B$52:$B$58,0)+0,7)),1))*INDEX(TABLAS!$D$52:$D$58,MIN(MATCH(DATOS!$C$27,TABLAS!$B$52:$B$58,0)+0,7))&gt;=4/3*IF(BC36&lt;=0,0,IF((1-2*BC36*1E5/(DATOS!$C$58*DATOS!$C$19*BN36^2*DATOS!$C$48))&lt;0,-1,IF((1-SQRT((1-2*BC36*1E5/(DATOS!$C$58*DATOS!$C$19*BN36^2*DATOS!$C$48))))*DATOS!$C$48*DATOS!$C$19*BN36/DATOS!$C$40&gt;DATOS!$C$82*DATOS!$C$19*BN36,-1,(1-SQRT((1-2*BC36*1E5/(DATOS!$C$58*DATOS!$C$19*BN36^2*DATOS!$C$48))))*DATOS!$C$48*DATOS!$C$19*BN36/DATOS!$C$40)))-0.0001,MAX(DATOS!$C$29,CEILING(BO36/INDEX(TABLAS!$D$52:$D$58,MIN(MATCH(DATOS!$C$27,TABLAS!$B$52:$B$58,0)+0,7)),1)),MAX(MAX(DATOS!$C$29,CEILING(BO36/INDEX(TABLAS!$D$52:$D$58,MIN(MATCH(DATOS!$C$27,TABLAS!$B$52:$B$58,0)+0,7)),1)),2))&lt;=MIN(DATOS!$C$28,INT(((DATOS!$C$13-2*S36-2*IF(DATOS!$C$25=0,0,INDEX(TABLAS!$C$52:$C$58,MATCH(DATOS!$C$25,TABLAS!$B$52:$B$58,0))))+MAX(DATOS!$C$32,INDEX(TABLAS!$C$52:$C$58,MIN(MATCH(DATOS!$C$27,TABLAS!$B$52:$B$58,0)+0,7))))/(INDEX(TABLAS!$C$52:$C$58,MIN(MATCH(DATOS!$C$27,TABLAS!$B$52:$B$58,0)+0,7))+MAX(DATOS!$C$32,INDEX(TABLAS!$C$52:$C$58,MIN(MATCH(DATOS!$C$27,TABLAS!$B$52:$B$58,0)+0,7))))))),INDEX(TABLAS!$B$52:$B$58,MIN(MATCH(DATOS!$C$27,TABLAS!$B$52:$B$58,0)+0,7)),IF(AND(BO36&gt;=0,IF(MAX(DATOS!$C$29,CEILING(BO36/INDEX(TABLAS!$D$52:$D$58,MIN(MATCH(DATOS!$C$27,TABLAS!$B$52:$B$58,0)+1,7)),1))*INDEX(TABLAS!$D$52:$D$58,MIN(MATCH(DATOS!$C$27,TABLAS!$B$52:$B$58,0)+1,7))&gt;=4/3*IF(BC36&lt;=0,0,IF((1-2*BC36*1E5/(DATOS!$C$58*DATOS!$C$19*BN36^2*DATOS!$C$48))&lt;0,-1,IF((1-SQRT((1-2*BC36*1E5/(DATOS!$C$58*DATOS!$C$19*BN36^2*DATOS!$C$48))))*DATOS!$C$48*DATOS!$C$19*BN36/DATOS!$C$40&gt;DATOS!$C$82*DATOS!$C$19*BN36,-1,(1-SQRT((1-2*BC36*1E5/(DATOS!$C$58*DATOS!$C$19*BN36^2*DATOS!$C$48))))*DATOS!$C$48*DATOS!$C$19*BN36/DATOS!$C$40)))-0.0001,MAX(DATOS!$C$29,CEILING(BO36/INDEX(TABLAS!$D$52:$D$58,MIN(MATCH(DATOS!$C$27,TABLAS!$B$52:$B$58,0)+1,7)),1)),MAX(MAX(DATOS!$C$29,CEILING(BO36/INDEX(TABLAS!$D$52:$D$58,MIN(MATCH(DATOS!$C$27,TABLAS!$B$52:$B$58,0)+1,7)),1)),2))&lt;=MIN(DATOS!$C$28,INT(((DATOS!$C$13-2*S36-2*IF(DATOS!$C$25=0,0,INDEX(TABLAS!$C$52:$C$58,MATCH(DATOS!$C$25,TABLAS!$B$52:$B$58,0))))+MAX(DATOS!$C$32,INDEX(TABLAS!$C$52:$C$58,MIN(MATCH(DATOS!$C$27,TABLAS!$B$52:$B$58,0)+1,7))))/(INDEX(TABLAS!$C$52:$C$58,MIN(MATCH(DATOS!$C$27,TABLAS!$B$52:$B$58,0)+1,7))+MAX(DATOS!$C$32,INDEX(TABLAS!$C$52:$C$58,MIN(MATCH(DATOS!$C$27,TABLAS!$B$52:$B$58,0)+1,7))))))),INDEX(TABLAS!$B$52:$B$58,MIN(MATCH(DATOS!$C$27,TABLAS!$B$52:$B$58,0)+1,7)),IF(AND(BO36&gt;=0,IF(MAX(DATOS!$C$29,CEILING(BO36/INDEX(TABLAS!$D$52:$D$58,MIN(MATCH(DATOS!$C$27,TABLAS!$B$52:$B$58,0)+2,7)),1))*INDEX(TABLAS!$D$52:$D$58,MIN(MATCH(DATOS!$C$27,TABLAS!$B$52:$B$58,0)+2,7))&gt;=4/3*IF(BC36&lt;=0,0,IF((1-2*BC36*1E5/(DATOS!$C$58*DATOS!$C$19*BN36^2*DATOS!$C$48))&lt;0,-1,IF((1-SQRT((1-2*BC36*1E5/(DATOS!$C$58*DATOS!$C$19*BN36^2*DATOS!$C$48))))*DATOS!$C$48*DATOS!$C$19*BN36/DATOS!$C$40&gt;DATOS!$C$82*DATOS!$C$19*BN36,-1,(1-SQRT((1-2*BC36*1E5/(DATOS!$C$58*DATOS!$C$19*BN36^2*DATOS!$C$48))))*DATOS!$C$48*DATOS!$C$19*BN36/DATOS!$C$40)))-0.0001,MAX(DATOS!$C$29,CEILING(BO36/INDEX(TABLAS!$D$52:$D$58,MIN(MATCH(DATOS!$C$27,TABLAS!$B$52:$B$58,0)+2,7)),1)),MAX(MAX(DATOS!$C$29,CEILING(BO36/INDEX(TABLAS!$D$52:$D$58,MIN(MATCH(DATOS!$C$27,TABLAS!$B$52:$B$58,0)+2,7)),1)),2))&lt;=MIN(DATOS!$C$28,INT(((DATOS!$C$13-2*S36-2*IF(DATOS!$C$25=0,0,INDEX(TABLAS!$C$52:$C$58,MATCH(DATOS!$C$25,TABLAS!$B$52:$B$58,0))))+MAX(DATOS!$C$32,INDEX(TABLAS!$C$52:$C$58,MIN(MATCH(DATOS!$C$27,TABLAS!$B$52:$B$58,0)+2,7))))/(INDEX(TABLAS!$C$52:$C$58,MIN(MATCH(DATOS!$C$27,TABLAS!$B$52:$B$58,0)+2,7))+MAX(DATOS!$C$32,INDEX(TABLAS!$C$52:$C$58,MIN(MATCH(DATOS!$C$27,TABLAS!$B$52:$B$58,0)+2,7))))))),INDEX(TABLAS!$B$52:$B$58,MIN(MATCH(DATOS!$C$27,TABLAS!$B$52:$B$58,0)+2,7)),IF(AND(BO36&gt;=0,IF(MAX(DATOS!$C$29,CEILING(BO36/INDEX(TABLAS!$D$52:$D$58,MIN(MATCH(DATOS!$C$27,TABLAS!$B$52:$B$58,0)+3,7)),1))*INDEX(TABLAS!$D$52:$D$58,MIN(MATCH(DATOS!$C$27,TABLAS!$B$52:$B$58,0)+3,7))&gt;=4/3*IF(BC36&lt;=0,0,IF((1-2*BC36*1E5/(DATOS!$C$58*DATOS!$C$19*BN36^2*DATOS!$C$48))&lt;0,-1,IF((1-SQRT((1-2*BC36*1E5/(DATOS!$C$58*DATOS!$C$19*BN36^2*DATOS!$C$48))))*DATOS!$C$48*DATOS!$C$19*BN36/DATOS!$C$40&gt;DATOS!$C$82*DATOS!$C$19*BN36,-1,(1-SQRT((1-2*BC36*1E5/(DATOS!$C$58*DATOS!$C$19*BN36^2*DATOS!$C$48))))*DATOS!$C$48*DATOS!$C$19*BN36/DATOS!$C$40)))-0.0001,MAX(DATOS!$C$29,CEILING(BO36/INDEX(TABLAS!$D$52:$D$58,MIN(MATCH(DATOS!$C$27,TABLAS!$B$52:$B$58,0)+3,7)),1)),MAX(MAX(DATOS!$C$29,CEILING(BO36/INDEX(TABLAS!$D$52:$D$58,MIN(MATCH(DATOS!$C$27,TABLAS!$B$52:$B$58,0)+3,7)),1)),2))&lt;=MIN(DATOS!$C$28,INT(((DATOS!$C$13-2*S36-2*IF(DATOS!$C$25=0,0,INDEX(TABLAS!$C$52:$C$58,MATCH(DATOS!$C$25,TABLAS!$B$52:$B$58,0))))+MAX(DATOS!$C$32,INDEX(TABLAS!$C$52:$C$58,MIN(MATCH(DATOS!$C$27,TABLAS!$B$52:$B$58,0)+3,7))))/(INDEX(TABLAS!$C$52:$C$58,MIN(MATCH(DATOS!$C$27,TABLAS!$B$52:$B$58,0)+3,7))+MAX(DATOS!$C$32,INDEX(TABLAS!$C$52:$C$58,MIN(MATCH(DATOS!$C$27,TABLAS!$B$52:$B$58,0)+3,7))))))),INDEX(TABLAS!$B$52:$B$58,MIN(MATCH(DATOS!$C$27,TABLAS!$B$52:$B$58,0)+3,7)),IF(AND(BO36&gt;=0,IF(MAX(DATOS!$C$29,CEILING(BO36/INDEX(TABLAS!$D$52:$D$58,MIN(MATCH(DATOS!$C$27,TABLAS!$B$52:$B$58,0)+4,7)),1))*INDEX(TABLAS!$D$52:$D$58,MIN(MATCH(DATOS!$C$27,TABLAS!$B$52:$B$58,0)+4,7))&gt;=4/3*IF(BC36&lt;=0,0,IF((1-2*BC36*1E5/(DATOS!$C$58*DATOS!$C$19*BN36^2*DATOS!$C$48))&lt;0,-1,IF((1-SQRT((1-2*BC36*1E5/(DATOS!$C$58*DATOS!$C$19*BN36^2*DATOS!$C$48))))*DATOS!$C$48*DATOS!$C$19*BN36/DATOS!$C$40&gt;DATOS!$C$82*DATOS!$C$19*BN36,-1,(1-SQRT((1-2*BC36*1E5/(DATOS!$C$58*DATOS!$C$19*BN36^2*DATOS!$C$48))))*DATOS!$C$48*DATOS!$C$19*BN36/DATOS!$C$40)))-0.0001,MAX(DATOS!$C$29,CEILING(BO36/INDEX(TABLAS!$D$52:$D$58,MIN(MATCH(DATOS!$C$27,TABLAS!$B$52:$B$58,0)+4,7)),1)),MAX(MAX(DATOS!$C$29,CEILING(BO36/INDEX(TABLAS!$D$52:$D$58,MIN(MATCH(DATOS!$C$27,TABLAS!$B$52:$B$58,0)+4,7)),1)),2))&lt;=MIN(DATOS!$C$28,INT(((DATOS!$C$13-2*S36-2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36" s="56">
        <f>IF(D36="HUECO",0,IF(BO36&lt;0,0,IF(MAX(DATOS!$C$29,CEILING(MAX(BO36,0)/INDEX(TABLAS!$D$52:$D$58,MATCH(BP36,TABLAS!$B$52:$B$58,0)),1))*INDEX(TABLAS!$D$52:$D$58,MATCH(BP36,TABLAS!$B$52:$B$58,0))&gt;=4/3*IF(BC36&lt;=0,0,IF((1-2*BC36*1E5/(DATOS!$C$58*DATOS!$C$19*BN36^2*DATOS!$C$48))&lt;0,-1,IF((1-SQRT((1-2*BC36*1E5/(DATOS!$C$58*DATOS!$C$19*BN36^2*DATOS!$C$48))))*DATOS!$C$48*DATOS!$C$19*BN36/DATOS!$C$40&gt;DATOS!$C$82*DATOS!$C$19*BN36,-1,(1-SQRT((1-2*BC36*1E5/(DATOS!$C$58*DATOS!$C$19*BN36^2*DATOS!$C$48))))*DATOS!$C$48*DATOS!$C$19*BN36/DATOS!$C$40)))-0.0001,MAX(DATOS!$C$29,CEILING(MAX(BO36,0)/INDEX(TABLAS!$D$52:$D$58,MATCH(BP36,TABLAS!$B$52:$B$58,0)),1)),MAX(MAX(DATOS!$C$29,CEILING(MAX(BO36,0)/INDEX(TABLAS!$D$52:$D$58,MATCH(BP36,TABLAS!$B$52:$B$58,0)),1)),2))))</f>
        <v>0</v>
      </c>
      <c r="BR36" s="43">
        <f>((DATOS!$C$15-S36-2*DATOS!$C$35-IF(DATOS!$C$25=0,0,INDEX(TABLAS!$C$52:$C$58,MATCH(DATOS!$C$25,TABLAS!$B$52:$B$58,0)))-INDEX(TABLAS!$C$52:$C$58,MATCH(BP36,TABLAS!$B$52:$B$58,0))/2)-IF(AND((DATOS!$C$15-S36-2*DATOS!$C$35-IF(DATOS!$C$25=0,0,INDEX(TABLAS!$C$52:$C$58,MATCH(DATOS!$C$25,TABLAS!$B$52:$B$58,0)))-INDEX(TABLAS!$C$52:$C$58,MATCH(BP36,TABLAS!$B$52:$B$58,0))/2)&lt;=20,DATOS!$C$18&lt;&gt;"SÍ"),2,0))</f>
        <v>21.389</v>
      </c>
      <c r="BS36" s="36">
        <f>IF(BQ36=0,0,DATOS!$C$58*BQ36*INDEX(TABLAS!$D$52:$D$58,MATCH(BP36,TABLAS!$B$52:$B$58,0))*DATOS!$C$40*(BR36-BQ36*INDEX(TABLAS!$D$52:$D$58,MATCH(BP36,TABLAS!$B$52:$B$58,0))*DATOS!$C$40/(DATOS!$C$48*DATOS!$C$19)/2)/1E5)</f>
        <v>0</v>
      </c>
      <c r="BT36" s="62">
        <f>IF(BO36&lt;0,9.99,IF(BS36&gt;0,BC36/BS36,0))</f>
        <v>0</v>
      </c>
      <c r="BU36" s="63" t="str">
        <f>IF(BQ36=0,"—",0.003*(BR36-(BQ36*INDEX(TABLAS!$D$52:$D$58,MATCH(BP36,TABLAS!$B$52:$B$58,0))*DATOS!$C$40/(DATOS!$C$48*DATOS!$C$19)/DATOS!$C$49))/(BQ36*INDEX(TABLAS!$D$52:$D$58,MATCH(BP36,TABLAS!$B$52:$B$58,0))*DATOS!$C$40/(DATOS!$C$48*DATOS!$C$19)/DATOS!$C$49))</f>
        <v>—</v>
      </c>
      <c r="BV36" s="43">
        <f>(DATOS!$C$15-R36-IF(DATOS!$C$25=0,0,INDEX(TABLAS!$C$52:$C$58,MATCH(DATOS!$C$25,TABLAS!$B$52:$B$58,0)))-INDEX(TABLAS!$C$52:$C$58,MATCH(DATOS!$C$26,TABLAS!$B$52:$B$58,0))-INDEX(TABLAS!$C$52:$C$58,MATCH(DATOS!$C$26,TABLAS!$B$52:$B$58,0))/2)</f>
        <v>21.095</v>
      </c>
      <c r="BW36" s="43">
        <f>IF(D36="HUECO",0,IF(IF(BD36&lt;=0,0,IF((1-2*BD36*1E5/(DATOS!$C$58*Q36*BV36^2*DATOS!$C$48))&lt;0,-1,IF((1-SQRT((1-2*BD36*1E5/(DATOS!$C$58*Q36*BV36^2*DATOS!$C$48))))*DATOS!$C$48*Q36*BV36/DATOS!$C$40&gt;DATOS!$C$82*Q36*BV36,-1,(1-SQRT((1-2*BD36*1E5/(DATOS!$C$58*Q36*BV36^2*DATOS!$C$48))))*DATOS!$C$48*Q36*BV36/DATOS!$C$40)))&lt;0,-1,MAX(IF(BD36&lt;=0,0,IF((1-2*BD36*1E5/(DATOS!$C$58*Q36*BV36^2*DATOS!$C$48))&lt;0,-1,IF((1-SQRT((1-2*BD36*1E5/(DATOS!$C$58*Q36*BV36^2*DATOS!$C$48))))*DATOS!$C$48*Q36*BV36/DATOS!$C$40&gt;DATOS!$C$82*Q36*BV36,-1,(1-SQRT((1-2*BD36*1E5/(DATOS!$C$58*Q36*BV36^2*DATOS!$C$48))))*DATOS!$C$48*Q36*BV36/DATOS!$C$40))),MIN(DATOS!$C$83*DATOS!$C$13*BV36,4/3*IF(BD36&lt;=0,0,IF((1-2*BD36*1E5/(DATOS!$C$58*Q36*BV36^2*DATOS!$C$48))&lt;0,-1,IF((1-SQRT((1-2*BD36*1E5/(DATOS!$C$58*Q36*BV36^2*DATOS!$C$48))))*DATOS!$C$48*Q36*BV36/DATOS!$C$40&gt;DATOS!$C$82*Q36*BV36,-1,(1-SQRT((1-2*BD36*1E5/(DATOS!$C$58*Q36*BV36^2*DATOS!$C$48))))*DATOS!$C$48*Q36*BV36/DATOS!$C$40)))))))</f>
        <v>0</v>
      </c>
      <c r="BX36" s="41">
        <f>IF(AND(BW36&gt;=0,IF(MAX(DATOS!$C$29,CEILING(BW36/INDEX(TABLAS!$D$52:$D$58,MIN(MATCH(DATOS!$C$26,TABLAS!$B$52:$B$58,0)+0,7)),1))*INDEX(TABLAS!$D$52:$D$58,MIN(MATCH(DATOS!$C$26,TABLAS!$B$52:$B$58,0)+0,7))&gt;=4/3*IF(BD36&lt;=0,0,IF((1-2*BD36*1E5/(DATOS!$C$58*Q36*BV36^2*DATOS!$C$48))&lt;0,-1,IF((1-SQRT((1-2*BD36*1E5/(DATOS!$C$58*Q36*BV36^2*DATOS!$C$48))))*DATOS!$C$48*Q36*BV36/DATOS!$C$40&gt;DATOS!$C$82*Q36*BV36,-1,(1-SQRT((1-2*BD36*1E5/(DATOS!$C$58*Q36*BV36^2*DATOS!$C$48))))*DATOS!$C$48*Q36*BV36/DATOS!$C$40)))-0.0001,MAX(DATOS!$C$29,CEILING(BW36/INDEX(TABLAS!$D$52:$D$58,MIN(MATCH(DATOS!$C$26,TABLAS!$B$52:$B$58,0)+0,7)),1)),MAX(MAX(DATOS!$C$29,CEILING(BW36/INDEX(TABLAS!$D$52:$D$58,MIN(MATCH(DATOS!$C$26,TABLAS!$B$52:$B$58,0)+0,7)),1)),2))&lt;=MIN(DATOS!$C$28,INT(((DATOS!$C$13-2*R36-2*IF(DATOS!$C$25=0,0,INDEX(TABLAS!$C$52:$C$58,MATCH(DATOS!$C$25,TABLAS!$B$52:$B$58,0))))+MAX(DATOS!$C$32,INDEX(TABLAS!$C$52:$C$58,MIN(MATCH(DATOS!$C$26,TABLAS!$B$52:$B$58,0)+0,7))))/(INDEX(TABLAS!$C$52:$C$58,MIN(MATCH(DATOS!$C$26,TABLAS!$B$52:$B$58,0)+0,7))+MAX(DATOS!$C$32,INDEX(TABLAS!$C$52:$C$58,MIN(MATCH(DATOS!$C$26,TABLAS!$B$52:$B$58,0)+0,7))))))),INDEX(TABLAS!$B$52:$B$58,MIN(MATCH(DATOS!$C$26,TABLAS!$B$52:$B$58,0)+0,7)),IF(AND(BW36&gt;=0,IF(MAX(DATOS!$C$29,CEILING(BW36/INDEX(TABLAS!$D$52:$D$58,MIN(MATCH(DATOS!$C$26,TABLAS!$B$52:$B$58,0)+1,7)),1))*INDEX(TABLAS!$D$52:$D$58,MIN(MATCH(DATOS!$C$26,TABLAS!$B$52:$B$58,0)+1,7))&gt;=4/3*IF(BD36&lt;=0,0,IF((1-2*BD36*1E5/(DATOS!$C$58*Q36*BV36^2*DATOS!$C$48))&lt;0,-1,IF((1-SQRT((1-2*BD36*1E5/(DATOS!$C$58*Q36*BV36^2*DATOS!$C$48))))*DATOS!$C$48*Q36*BV36/DATOS!$C$40&gt;DATOS!$C$82*Q36*BV36,-1,(1-SQRT((1-2*BD36*1E5/(DATOS!$C$58*Q36*BV36^2*DATOS!$C$48))))*DATOS!$C$48*Q36*BV36/DATOS!$C$40)))-0.0001,MAX(DATOS!$C$29,CEILING(BW36/INDEX(TABLAS!$D$52:$D$58,MIN(MATCH(DATOS!$C$26,TABLAS!$B$52:$B$58,0)+1,7)),1)),MAX(MAX(DATOS!$C$29,CEILING(BW36/INDEX(TABLAS!$D$52:$D$58,MIN(MATCH(DATOS!$C$26,TABLAS!$B$52:$B$58,0)+1,7)),1)),2))&lt;=MIN(DATOS!$C$28,INT(((DATOS!$C$13-2*R36-2*IF(DATOS!$C$25=0,0,INDEX(TABLAS!$C$52:$C$58,MATCH(DATOS!$C$25,TABLAS!$B$52:$B$58,0))))+MAX(DATOS!$C$32,INDEX(TABLAS!$C$52:$C$58,MIN(MATCH(DATOS!$C$26,TABLAS!$B$52:$B$58,0)+1,7))))/(INDEX(TABLAS!$C$52:$C$58,MIN(MATCH(DATOS!$C$26,TABLAS!$B$52:$B$58,0)+1,7))+MAX(DATOS!$C$32,INDEX(TABLAS!$C$52:$C$58,MIN(MATCH(DATOS!$C$26,TABLAS!$B$52:$B$58,0)+1,7))))))),INDEX(TABLAS!$B$52:$B$58,MIN(MATCH(DATOS!$C$26,TABLAS!$B$52:$B$58,0)+1,7)),IF(AND(BW36&gt;=0,IF(MAX(DATOS!$C$29,CEILING(BW36/INDEX(TABLAS!$D$52:$D$58,MIN(MATCH(DATOS!$C$26,TABLAS!$B$52:$B$58,0)+2,7)),1))*INDEX(TABLAS!$D$52:$D$58,MIN(MATCH(DATOS!$C$26,TABLAS!$B$52:$B$58,0)+2,7))&gt;=4/3*IF(BD36&lt;=0,0,IF((1-2*BD36*1E5/(DATOS!$C$58*Q36*BV36^2*DATOS!$C$48))&lt;0,-1,IF((1-SQRT((1-2*BD36*1E5/(DATOS!$C$58*Q36*BV36^2*DATOS!$C$48))))*DATOS!$C$48*Q36*BV36/DATOS!$C$40&gt;DATOS!$C$82*Q36*BV36,-1,(1-SQRT((1-2*BD36*1E5/(DATOS!$C$58*Q36*BV36^2*DATOS!$C$48))))*DATOS!$C$48*Q36*BV36/DATOS!$C$40)))-0.0001,MAX(DATOS!$C$29,CEILING(BW36/INDEX(TABLAS!$D$52:$D$58,MIN(MATCH(DATOS!$C$26,TABLAS!$B$52:$B$58,0)+2,7)),1)),MAX(MAX(DATOS!$C$29,CEILING(BW36/INDEX(TABLAS!$D$52:$D$58,MIN(MATCH(DATOS!$C$26,TABLAS!$B$52:$B$58,0)+2,7)),1)),2))&lt;=MIN(DATOS!$C$28,INT(((DATOS!$C$13-2*R36-2*IF(DATOS!$C$25=0,0,INDEX(TABLAS!$C$52:$C$58,MATCH(DATOS!$C$25,TABLAS!$B$52:$B$58,0))))+MAX(DATOS!$C$32,INDEX(TABLAS!$C$52:$C$58,MIN(MATCH(DATOS!$C$26,TABLAS!$B$52:$B$58,0)+2,7))))/(INDEX(TABLAS!$C$52:$C$58,MIN(MATCH(DATOS!$C$26,TABLAS!$B$52:$B$58,0)+2,7))+MAX(DATOS!$C$32,INDEX(TABLAS!$C$52:$C$58,MIN(MATCH(DATOS!$C$26,TABLAS!$B$52:$B$58,0)+2,7))))))),INDEX(TABLAS!$B$52:$B$58,MIN(MATCH(DATOS!$C$26,TABLAS!$B$52:$B$58,0)+2,7)),IF(AND(BW36&gt;=0,IF(MAX(DATOS!$C$29,CEILING(BW36/INDEX(TABLAS!$D$52:$D$58,MIN(MATCH(DATOS!$C$26,TABLAS!$B$52:$B$58,0)+3,7)),1))*INDEX(TABLAS!$D$52:$D$58,MIN(MATCH(DATOS!$C$26,TABLAS!$B$52:$B$58,0)+3,7))&gt;=4/3*IF(BD36&lt;=0,0,IF((1-2*BD36*1E5/(DATOS!$C$58*Q36*BV36^2*DATOS!$C$48))&lt;0,-1,IF((1-SQRT((1-2*BD36*1E5/(DATOS!$C$58*Q36*BV36^2*DATOS!$C$48))))*DATOS!$C$48*Q36*BV36/DATOS!$C$40&gt;DATOS!$C$82*Q36*BV36,-1,(1-SQRT((1-2*BD36*1E5/(DATOS!$C$58*Q36*BV36^2*DATOS!$C$48))))*DATOS!$C$48*Q36*BV36/DATOS!$C$40)))-0.0001,MAX(DATOS!$C$29,CEILING(BW36/INDEX(TABLAS!$D$52:$D$58,MIN(MATCH(DATOS!$C$26,TABLAS!$B$52:$B$58,0)+3,7)),1)),MAX(MAX(DATOS!$C$29,CEILING(BW36/INDEX(TABLAS!$D$52:$D$58,MIN(MATCH(DATOS!$C$26,TABLAS!$B$52:$B$58,0)+3,7)),1)),2))&lt;=MIN(DATOS!$C$28,INT(((DATOS!$C$13-2*R36-2*IF(DATOS!$C$25=0,0,INDEX(TABLAS!$C$52:$C$58,MATCH(DATOS!$C$25,TABLAS!$B$52:$B$58,0))))+MAX(DATOS!$C$32,INDEX(TABLAS!$C$52:$C$58,MIN(MATCH(DATOS!$C$26,TABLAS!$B$52:$B$58,0)+3,7))))/(INDEX(TABLAS!$C$52:$C$58,MIN(MATCH(DATOS!$C$26,TABLAS!$B$52:$B$58,0)+3,7))+MAX(DATOS!$C$32,INDEX(TABLAS!$C$52:$C$58,MIN(MATCH(DATOS!$C$26,TABLAS!$B$52:$B$58,0)+3,7))))))),INDEX(TABLAS!$B$52:$B$58,MIN(MATCH(DATOS!$C$26,TABLAS!$B$52:$B$58,0)+3,7)),IF(AND(BW36&gt;=0,IF(MAX(DATOS!$C$29,CEILING(BW36/INDEX(TABLAS!$D$52:$D$58,MIN(MATCH(DATOS!$C$26,TABLAS!$B$52:$B$58,0)+4,7)),1))*INDEX(TABLAS!$D$52:$D$58,MIN(MATCH(DATOS!$C$26,TABLAS!$B$52:$B$58,0)+4,7))&gt;=4/3*IF(BD36&lt;=0,0,IF((1-2*BD36*1E5/(DATOS!$C$58*Q36*BV36^2*DATOS!$C$48))&lt;0,-1,IF((1-SQRT((1-2*BD36*1E5/(DATOS!$C$58*Q36*BV36^2*DATOS!$C$48))))*DATOS!$C$48*Q36*BV36/DATOS!$C$40&gt;DATOS!$C$82*Q36*BV36,-1,(1-SQRT((1-2*BD36*1E5/(DATOS!$C$58*Q36*BV36^2*DATOS!$C$48))))*DATOS!$C$48*Q36*BV36/DATOS!$C$40)))-0.0001,MAX(DATOS!$C$29,CEILING(BW36/INDEX(TABLAS!$D$52:$D$58,MIN(MATCH(DATOS!$C$26,TABLAS!$B$52:$B$58,0)+4,7)),1)),MAX(MAX(DATOS!$C$29,CEILING(BW36/INDEX(TABLAS!$D$52:$D$58,MIN(MATCH(DATOS!$C$26,TABLAS!$B$52:$B$58,0)+4,7)),1)),2))&lt;=MIN(DATOS!$C$28,INT(((DATOS!$C$13-2*R36-2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36" s="56">
        <f>IF(D36="HUECO",0,IF(BW36&lt;0,0,IF(MAX(DATOS!$C$29,CEILING(MAX(BW36,0)/INDEX(TABLAS!$D$52:$D$58,MATCH(BX36,TABLAS!$B$52:$B$58,0)),1))*INDEX(TABLAS!$D$52:$D$58,MATCH(BX36,TABLAS!$B$52:$B$58,0))&gt;=4/3*IF(BD36&lt;=0,0,IF((1-2*BD36*1E5/(DATOS!$C$58*Q36*BV36^2*DATOS!$C$48))&lt;0,-1,IF((1-SQRT((1-2*BD36*1E5/(DATOS!$C$58*Q36*BV36^2*DATOS!$C$48))))*DATOS!$C$48*Q36*BV36/DATOS!$C$40&gt;DATOS!$C$82*Q36*BV36,-1,(1-SQRT((1-2*BD36*1E5/(DATOS!$C$58*Q36*BV36^2*DATOS!$C$48))))*DATOS!$C$48*Q36*BV36/DATOS!$C$40)))-0.0001,MAX(DATOS!$C$29,CEILING(MAX(BW36,0)/INDEX(TABLAS!$D$52:$D$58,MATCH(BX36,TABLAS!$B$52:$B$58,0)),1)),MAX(MAX(DATOS!$C$29,CEILING(MAX(BW36,0)/INDEX(TABLAS!$D$52:$D$58,MATCH(BX36,TABLAS!$B$52:$B$58,0)),1)),2))))</f>
        <v>0</v>
      </c>
      <c r="BZ36" s="43">
        <f>DATOS!$C$15-R36-IF(DATOS!$C$25=0,0,INDEX(TABLAS!$C$52:$C$58,MATCH(DATOS!$C$25,TABLAS!$B$52:$B$58,0)))-INDEX(TABLAS!$C$52:$C$58,MATCH(BH36,TABLAS!$B$52:$B$58,0))-INDEX(TABLAS!$C$52:$C$58,MATCH(BX36,TABLAS!$B$52:$B$58,0))/2</f>
        <v>21.095</v>
      </c>
      <c r="CA36" s="36">
        <f>IF(BY36=0,0,DATOS!$C$58*BY36*INDEX(TABLAS!$D$52:$D$58,MATCH(BX36,TABLAS!$B$52:$B$58,0))*DATOS!$C$40*(BZ36-BY36*INDEX(TABLAS!$D$52:$D$58,MATCH(BX36,TABLAS!$B$52:$B$58,0))*DATOS!$C$40/(DATOS!$C$48*Q36)/2)/1E5)</f>
        <v>0</v>
      </c>
      <c r="CB36" s="62">
        <f>IF(BW36&lt;0,9.99,IF(CA36&gt;0,BD36/CA36,0))</f>
        <v>0</v>
      </c>
      <c r="CC36" s="63" t="str">
        <f>IF(BY36=0,"—",0.003*(BZ36-(BY36*INDEX(TABLAS!$D$52:$D$58,MATCH(BX36,TABLAS!$B$52:$B$58,0))*DATOS!$C$40/(DATOS!$C$48*Q36)/DATOS!$C$49))/(BY36*INDEX(TABLAS!$D$52:$D$58,MATCH(BX36,TABLAS!$B$52:$B$58,0))*DATOS!$C$40/(DATOS!$C$48*Q36)/DATOS!$C$49))</f>
        <v>—</v>
      </c>
      <c r="CD36" s="43">
        <f>((DATOS!$C$15-S36-2*DATOS!$C$35-IF(DATOS!$C$25=0,0,INDEX(TABLAS!$C$52:$C$58,MATCH(DATOS!$C$25,TABLAS!$B$52:$B$58,0)))-INDEX(TABLAS!$C$52:$C$58,MATCH(DATOS!$C$27,TABLAS!$B$52:$B$58,0))-INDEX(TABLAS!$C$52:$C$58,MATCH(DATOS!$C$27,TABLAS!$B$52:$B$58,0))/2)-IF(AND((DATOS!$C$15-S36-2*DATOS!$C$35-IF(DATOS!$C$25=0,0,INDEX(TABLAS!$C$52:$C$58,MATCH(DATOS!$C$25,TABLAS!$B$52:$B$58,0)))-INDEX(TABLAS!$C$52:$C$58,MATCH(DATOS!$C$27,TABLAS!$B$52:$B$58,0))-INDEX(TABLAS!$C$52:$C$58,MATCH(DATOS!$C$27,TABLAS!$B$52:$B$58,0))/2)&lt;=20,DATOS!$C$18&lt;&gt;"SÍ"),2,0))</f>
        <v>20.119</v>
      </c>
      <c r="CE36" s="43">
        <f>IF(D36="HUECO",0,IF(IF(BE36&lt;=0,0,IF((1-2*BE36*1E5/(DATOS!$C$58*DATOS!$C$19*CD36^2*DATOS!$C$48))&lt;0,-1,IF((1-SQRT((1-2*BE36*1E5/(DATOS!$C$58*DATOS!$C$19*CD36^2*DATOS!$C$48))))*DATOS!$C$48*DATOS!$C$19*CD36/DATOS!$C$40&gt;DATOS!$C$82*DATOS!$C$19*CD36,-1,(1-SQRT((1-2*BE36*1E5/(DATOS!$C$58*DATOS!$C$19*CD36^2*DATOS!$C$48))))*DATOS!$C$48*DATOS!$C$19*CD36/DATOS!$C$40)))&lt;0,-1,MAX(IF(BE36&lt;=0,0,IF((1-2*BE36*1E5/(DATOS!$C$58*DATOS!$C$19*CD36^2*DATOS!$C$48))&lt;0,-1,IF((1-SQRT((1-2*BE36*1E5/(DATOS!$C$58*DATOS!$C$19*CD36^2*DATOS!$C$48))))*DATOS!$C$48*DATOS!$C$19*CD36/DATOS!$C$40&gt;DATOS!$C$82*DATOS!$C$19*CD36,-1,(1-SQRT((1-2*BE36*1E5/(DATOS!$C$58*DATOS!$C$19*CD36^2*DATOS!$C$48))))*DATOS!$C$48*DATOS!$C$19*CD36/DATOS!$C$40))),MIN(DATOS!$C$83*DATOS!$C$13*CD36,4/3*IF(BE36&lt;=0,0,IF((1-2*BE36*1E5/(DATOS!$C$58*DATOS!$C$19*CD36^2*DATOS!$C$48))&lt;0,-1,IF((1-SQRT((1-2*BE36*1E5/(DATOS!$C$58*DATOS!$C$19*CD36^2*DATOS!$C$48))))*DATOS!$C$48*DATOS!$C$19*CD36/DATOS!$C$40&gt;DATOS!$C$82*DATOS!$C$19*CD36,-1,(1-SQRT((1-2*BE36*1E5/(DATOS!$C$58*DATOS!$C$19*CD36^2*DATOS!$C$48))))*DATOS!$C$48*DATOS!$C$19*CD36/DATOS!$C$40)))))))</f>
        <v>0</v>
      </c>
      <c r="CF36" s="41">
        <f>IF(AND(CE36&gt;=0,IF(MAX(DATOS!$C$29,CEILING(CE36/INDEX(TABLAS!$D$52:$D$58,MIN(MATCH(DATOS!$C$27,TABLAS!$B$52:$B$58,0)+0,7)),1))*INDEX(TABLAS!$D$52:$D$58,MIN(MATCH(DATOS!$C$27,TABLAS!$B$52:$B$58,0)+0,7))&gt;=4/3*IF(BE36&lt;=0,0,IF((1-2*BE36*1E5/(DATOS!$C$58*DATOS!$C$19*CD36^2*DATOS!$C$48))&lt;0,-1,IF((1-SQRT((1-2*BE36*1E5/(DATOS!$C$58*DATOS!$C$19*CD36^2*DATOS!$C$48))))*DATOS!$C$48*DATOS!$C$19*CD36/DATOS!$C$40&gt;DATOS!$C$82*DATOS!$C$19*CD36,-1,(1-SQRT((1-2*BE36*1E5/(DATOS!$C$58*DATOS!$C$19*CD36^2*DATOS!$C$48))))*DATOS!$C$48*DATOS!$C$19*CD36/DATOS!$C$40)))-0.0001,MAX(DATOS!$C$29,CEILING(CE36/INDEX(TABLAS!$D$52:$D$58,MIN(MATCH(DATOS!$C$27,TABLAS!$B$52:$B$58,0)+0,7)),1)),MAX(MAX(DATOS!$C$29,CEILING(CE36/INDEX(TABLAS!$D$52:$D$58,MIN(MATCH(DATOS!$C$27,TABLAS!$B$52:$B$58,0)+0,7)),1)),2))&lt;=MIN(DATOS!$C$28,INT(((DATOS!$C$13-2*S36-2*IF(DATOS!$C$25=0,0,INDEX(TABLAS!$C$52:$C$58,MATCH(DATOS!$C$25,TABLAS!$B$52:$B$58,0))))+MAX(DATOS!$C$32,INDEX(TABLAS!$C$52:$C$58,MIN(MATCH(DATOS!$C$27,TABLAS!$B$52:$B$58,0)+0,7))))/(INDEX(TABLAS!$C$52:$C$58,MIN(MATCH(DATOS!$C$27,TABLAS!$B$52:$B$58,0)+0,7))+MAX(DATOS!$C$32,INDEX(TABLAS!$C$52:$C$58,MIN(MATCH(DATOS!$C$27,TABLAS!$B$52:$B$58,0)+0,7))))))),INDEX(TABLAS!$B$52:$B$58,MIN(MATCH(DATOS!$C$27,TABLAS!$B$52:$B$58,0)+0,7)),IF(AND(CE36&gt;=0,IF(MAX(DATOS!$C$29,CEILING(CE36/INDEX(TABLAS!$D$52:$D$58,MIN(MATCH(DATOS!$C$27,TABLAS!$B$52:$B$58,0)+1,7)),1))*INDEX(TABLAS!$D$52:$D$58,MIN(MATCH(DATOS!$C$27,TABLAS!$B$52:$B$58,0)+1,7))&gt;=4/3*IF(BE36&lt;=0,0,IF((1-2*BE36*1E5/(DATOS!$C$58*DATOS!$C$19*CD36^2*DATOS!$C$48))&lt;0,-1,IF((1-SQRT((1-2*BE36*1E5/(DATOS!$C$58*DATOS!$C$19*CD36^2*DATOS!$C$48))))*DATOS!$C$48*DATOS!$C$19*CD36/DATOS!$C$40&gt;DATOS!$C$82*DATOS!$C$19*CD36,-1,(1-SQRT((1-2*BE36*1E5/(DATOS!$C$58*DATOS!$C$19*CD36^2*DATOS!$C$48))))*DATOS!$C$48*DATOS!$C$19*CD36/DATOS!$C$40)))-0.0001,MAX(DATOS!$C$29,CEILING(CE36/INDEX(TABLAS!$D$52:$D$58,MIN(MATCH(DATOS!$C$27,TABLAS!$B$52:$B$58,0)+1,7)),1)),MAX(MAX(DATOS!$C$29,CEILING(CE36/INDEX(TABLAS!$D$52:$D$58,MIN(MATCH(DATOS!$C$27,TABLAS!$B$52:$B$58,0)+1,7)),1)),2))&lt;=MIN(DATOS!$C$28,INT(((DATOS!$C$13-2*S36-2*IF(DATOS!$C$25=0,0,INDEX(TABLAS!$C$52:$C$58,MATCH(DATOS!$C$25,TABLAS!$B$52:$B$58,0))))+MAX(DATOS!$C$32,INDEX(TABLAS!$C$52:$C$58,MIN(MATCH(DATOS!$C$27,TABLAS!$B$52:$B$58,0)+1,7))))/(INDEX(TABLAS!$C$52:$C$58,MIN(MATCH(DATOS!$C$27,TABLAS!$B$52:$B$58,0)+1,7))+MAX(DATOS!$C$32,INDEX(TABLAS!$C$52:$C$58,MIN(MATCH(DATOS!$C$27,TABLAS!$B$52:$B$58,0)+1,7))))))),INDEX(TABLAS!$B$52:$B$58,MIN(MATCH(DATOS!$C$27,TABLAS!$B$52:$B$58,0)+1,7)),IF(AND(CE36&gt;=0,IF(MAX(DATOS!$C$29,CEILING(CE36/INDEX(TABLAS!$D$52:$D$58,MIN(MATCH(DATOS!$C$27,TABLAS!$B$52:$B$58,0)+2,7)),1))*INDEX(TABLAS!$D$52:$D$58,MIN(MATCH(DATOS!$C$27,TABLAS!$B$52:$B$58,0)+2,7))&gt;=4/3*IF(BE36&lt;=0,0,IF((1-2*BE36*1E5/(DATOS!$C$58*DATOS!$C$19*CD36^2*DATOS!$C$48))&lt;0,-1,IF((1-SQRT((1-2*BE36*1E5/(DATOS!$C$58*DATOS!$C$19*CD36^2*DATOS!$C$48))))*DATOS!$C$48*DATOS!$C$19*CD36/DATOS!$C$40&gt;DATOS!$C$82*DATOS!$C$19*CD36,-1,(1-SQRT((1-2*BE36*1E5/(DATOS!$C$58*DATOS!$C$19*CD36^2*DATOS!$C$48))))*DATOS!$C$48*DATOS!$C$19*CD36/DATOS!$C$40)))-0.0001,MAX(DATOS!$C$29,CEILING(CE36/INDEX(TABLAS!$D$52:$D$58,MIN(MATCH(DATOS!$C$27,TABLAS!$B$52:$B$58,0)+2,7)),1)),MAX(MAX(DATOS!$C$29,CEILING(CE36/INDEX(TABLAS!$D$52:$D$58,MIN(MATCH(DATOS!$C$27,TABLAS!$B$52:$B$58,0)+2,7)),1)),2))&lt;=MIN(DATOS!$C$28,INT(((DATOS!$C$13-2*S36-2*IF(DATOS!$C$25=0,0,INDEX(TABLAS!$C$52:$C$58,MATCH(DATOS!$C$25,TABLAS!$B$52:$B$58,0))))+MAX(DATOS!$C$32,INDEX(TABLAS!$C$52:$C$58,MIN(MATCH(DATOS!$C$27,TABLAS!$B$52:$B$58,0)+2,7))))/(INDEX(TABLAS!$C$52:$C$58,MIN(MATCH(DATOS!$C$27,TABLAS!$B$52:$B$58,0)+2,7))+MAX(DATOS!$C$32,INDEX(TABLAS!$C$52:$C$58,MIN(MATCH(DATOS!$C$27,TABLAS!$B$52:$B$58,0)+2,7))))))),INDEX(TABLAS!$B$52:$B$58,MIN(MATCH(DATOS!$C$27,TABLAS!$B$52:$B$58,0)+2,7)),IF(AND(CE36&gt;=0,IF(MAX(DATOS!$C$29,CEILING(CE36/INDEX(TABLAS!$D$52:$D$58,MIN(MATCH(DATOS!$C$27,TABLAS!$B$52:$B$58,0)+3,7)),1))*INDEX(TABLAS!$D$52:$D$58,MIN(MATCH(DATOS!$C$27,TABLAS!$B$52:$B$58,0)+3,7))&gt;=4/3*IF(BE36&lt;=0,0,IF((1-2*BE36*1E5/(DATOS!$C$58*DATOS!$C$19*CD36^2*DATOS!$C$48))&lt;0,-1,IF((1-SQRT((1-2*BE36*1E5/(DATOS!$C$58*DATOS!$C$19*CD36^2*DATOS!$C$48))))*DATOS!$C$48*DATOS!$C$19*CD36/DATOS!$C$40&gt;DATOS!$C$82*DATOS!$C$19*CD36,-1,(1-SQRT((1-2*BE36*1E5/(DATOS!$C$58*DATOS!$C$19*CD36^2*DATOS!$C$48))))*DATOS!$C$48*DATOS!$C$19*CD36/DATOS!$C$40)))-0.0001,MAX(DATOS!$C$29,CEILING(CE36/INDEX(TABLAS!$D$52:$D$58,MIN(MATCH(DATOS!$C$27,TABLAS!$B$52:$B$58,0)+3,7)),1)),MAX(MAX(DATOS!$C$29,CEILING(CE36/INDEX(TABLAS!$D$52:$D$58,MIN(MATCH(DATOS!$C$27,TABLAS!$B$52:$B$58,0)+3,7)),1)),2))&lt;=MIN(DATOS!$C$28,INT(((DATOS!$C$13-2*S36-2*IF(DATOS!$C$25=0,0,INDEX(TABLAS!$C$52:$C$58,MATCH(DATOS!$C$25,TABLAS!$B$52:$B$58,0))))+MAX(DATOS!$C$32,INDEX(TABLAS!$C$52:$C$58,MIN(MATCH(DATOS!$C$27,TABLAS!$B$52:$B$58,0)+3,7))))/(INDEX(TABLAS!$C$52:$C$58,MIN(MATCH(DATOS!$C$27,TABLAS!$B$52:$B$58,0)+3,7))+MAX(DATOS!$C$32,INDEX(TABLAS!$C$52:$C$58,MIN(MATCH(DATOS!$C$27,TABLAS!$B$52:$B$58,0)+3,7))))))),INDEX(TABLAS!$B$52:$B$58,MIN(MATCH(DATOS!$C$27,TABLAS!$B$52:$B$58,0)+3,7)),IF(AND(CE36&gt;=0,IF(MAX(DATOS!$C$29,CEILING(CE36/INDEX(TABLAS!$D$52:$D$58,MIN(MATCH(DATOS!$C$27,TABLAS!$B$52:$B$58,0)+4,7)),1))*INDEX(TABLAS!$D$52:$D$58,MIN(MATCH(DATOS!$C$27,TABLAS!$B$52:$B$58,0)+4,7))&gt;=4/3*IF(BE36&lt;=0,0,IF((1-2*BE36*1E5/(DATOS!$C$58*DATOS!$C$19*CD36^2*DATOS!$C$48))&lt;0,-1,IF((1-SQRT((1-2*BE36*1E5/(DATOS!$C$58*DATOS!$C$19*CD36^2*DATOS!$C$48))))*DATOS!$C$48*DATOS!$C$19*CD36/DATOS!$C$40&gt;DATOS!$C$82*DATOS!$C$19*CD36,-1,(1-SQRT((1-2*BE36*1E5/(DATOS!$C$58*DATOS!$C$19*CD36^2*DATOS!$C$48))))*DATOS!$C$48*DATOS!$C$19*CD36/DATOS!$C$40)))-0.0001,MAX(DATOS!$C$29,CEILING(CE36/INDEX(TABLAS!$D$52:$D$58,MIN(MATCH(DATOS!$C$27,TABLAS!$B$52:$B$58,0)+4,7)),1)),MAX(MAX(DATOS!$C$29,CEILING(CE36/INDEX(TABLAS!$D$52:$D$58,MIN(MATCH(DATOS!$C$27,TABLAS!$B$52:$B$58,0)+4,7)),1)),2))&lt;=MIN(DATOS!$C$28,INT(((DATOS!$C$13-2*S36-2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36" s="56">
        <f>IF(D36="HUECO",0,IF(CE36&lt;0,0,IF(MAX(DATOS!$C$29,CEILING(MAX(CE36,0)/INDEX(TABLAS!$D$52:$D$58,MATCH(CF36,TABLAS!$B$52:$B$58,0)),1))*INDEX(TABLAS!$D$52:$D$58,MATCH(CF36,TABLAS!$B$52:$B$58,0))&gt;=4/3*IF(BE36&lt;=0,0,IF((1-2*BE36*1E5/(DATOS!$C$58*DATOS!$C$19*CD36^2*DATOS!$C$48))&lt;0,-1,IF((1-SQRT((1-2*BE36*1E5/(DATOS!$C$58*DATOS!$C$19*CD36^2*DATOS!$C$48))))*DATOS!$C$48*DATOS!$C$19*CD36/DATOS!$C$40&gt;DATOS!$C$82*DATOS!$C$19*CD36,-1,(1-SQRT((1-2*BE36*1E5/(DATOS!$C$58*DATOS!$C$19*CD36^2*DATOS!$C$48))))*DATOS!$C$48*DATOS!$C$19*CD36/DATOS!$C$40)))-0.0001,MAX(DATOS!$C$29,CEILING(MAX(CE36,0)/INDEX(TABLAS!$D$52:$D$58,MATCH(CF36,TABLAS!$B$52:$B$58,0)),1)),MAX(MAX(DATOS!$C$29,CEILING(MAX(CE36,0)/INDEX(TABLAS!$D$52:$D$58,MATCH(CF36,TABLAS!$B$52:$B$58,0)),1)),2))))</f>
        <v>0</v>
      </c>
      <c r="CH36" s="43">
        <f>((DATOS!$C$15-S36-2*DATOS!$C$35-IF(DATOS!$C$25=0,0,INDEX(TABLAS!$C$52:$C$58,MATCH(DATOS!$C$25,TABLAS!$B$52:$B$58,0)))-INDEX(TABLAS!$C$52:$C$58,MATCH(BP36,TABLAS!$B$52:$B$58,0))-INDEX(TABLAS!$C$52:$C$58,MATCH(CF36,TABLAS!$B$52:$B$58,0))/2)-IF(AND((DATOS!$C$15-S36-2*DATOS!$C$35-IF(DATOS!$C$25=0,0,INDEX(TABLAS!$C$52:$C$58,MATCH(DATOS!$C$25,TABLAS!$B$52:$B$58,0)))-INDEX(TABLAS!$C$52:$C$58,MATCH(BP36,TABLAS!$B$52:$B$58,0))-INDEX(TABLAS!$C$52:$C$58,MATCH(CF36,TABLAS!$B$52:$B$58,0))/2)&lt;=20,DATOS!$C$18&lt;&gt;"SÍ"),2,0))</f>
        <v>20.119</v>
      </c>
      <c r="CI36" s="36">
        <f>IF(CG36=0,0,DATOS!$C$58*CG36*INDEX(TABLAS!$D$52:$D$58,MATCH(CF36,TABLAS!$B$52:$B$58,0))*DATOS!$C$40*(CH36-CG36*INDEX(TABLAS!$D$52:$D$58,MATCH(CF36,TABLAS!$B$52:$B$58,0))*DATOS!$C$40/(DATOS!$C$48*DATOS!$C$19)/2)/1E5)</f>
        <v>0</v>
      </c>
      <c r="CJ36" s="62">
        <f>IF(CE36&lt;0,9.99,IF(CI36&gt;0,BE36/CI36,0))</f>
        <v>0</v>
      </c>
      <c r="CK36" s="63" t="str">
        <f>IF(CG36=0,"—",0.003*(CH36-(CG36*INDEX(TABLAS!$D$52:$D$58,MATCH(CF36,TABLAS!$B$52:$B$58,0))*DATOS!$C$40/(DATOS!$C$48*DATOS!$C$19)/DATOS!$C$49))/(CG36*INDEX(TABLAS!$D$52:$D$58,MATCH(CF36,TABLAS!$B$52:$B$58,0))*DATOS!$C$40/(DATOS!$C$48*DATOS!$C$19)/DATOS!$C$49))</f>
        <v>—</v>
      </c>
      <c r="CL36" s="52" t="str">
        <f>IF(D36="HUECO","—",IF(AND(D36="PERIMETRAL",J36*100&gt;=6*DATOS!$C$11,DATOS!$C$11&lt;=80,DATOS!$C$13&gt;=10,DATOS!$C$15&lt;=3.5*DATOS!$C$13,DATOS!$C$14&gt;=MAX(DATOS!$C$11/13,5)),"SÍ","NO"))</f>
        <v>—</v>
      </c>
      <c r="CM36" s="36">
        <f>IF(D36="PERIMETRAL",MAX(0,(N36/2-BR36)/100)*(0.95-0.5*L36)*Y36*IF(AND(Z36&gt;0,Z36&lt;4),DATOS!$C$63,1)*DATOS!$C$16/100/1000+AX36,IF(D36="VOLADO",(Y36*MAX(0,N36-BR36)/100+DATOS!$C$55*BA36)*DATOS!$C$16/100/1000,0))</f>
        <v>0</v>
      </c>
      <c r="CN36" s="36">
        <f>IF(D36="HUECO",0,DATOS!$C$59*2*MIN(1,SQRT(2/(1+0.04*BR36)))*(BQ36*INDEX(TABLAS!$D$52:$D$58,MATCH(BP36,TABLAS!$B$52:$B$58,0))/(DATOS!$C$19*BR36))^(1/3)*SQRT(DATOS!$C$39)*DATOS!$C$19*BR36*IF(CL36="SÍ",DATOS!$C$62,1)/1000)</f>
        <v>0</v>
      </c>
      <c r="CO36" s="51" t="str">
        <f>IF(D36="HUECO","—",IF(CM36&lt;=CN36,"CUMPLE",IF(MAX(0,CEILING((IF(D36="VOLADO",(N36-(CN36*1E5/DATOS!$C$16-DATOS!$C$55*BA36)*100/Y36),IF(CN36&lt;=AX36,N36,N36/2-(CN36-AX36)/MAX(CM36-AX36,1E-9)*(N36/2-BR36)))-IF(INT((J36*100-DATOS!$C$17+DATOS!$C$13)/DATOS!$C$16)&gt;0,(J36*100-DATOS!$C$17-(INT((J36*100-DATOS!$C$17+DATOS!$C$13)/DATOS!$C$16)*DATOS!$C$11+(INT((J36*100-DATOS!$C$17+DATOS!$C$13)/DATOS!$C$16)-1)*DATOS!$C$13))/2,J36*100/2))/DATOS!$C$16,1))&lt;=0,"CUMPLE (basta el macizo de orilla)","MACIZAR "&amp;MAX(0,CEILING((IF(D36="VOLADO",(N36-(CN36*1E5/DATOS!$C$16-DATOS!$C$55*BA36)*100/Y36),IF(CN36&lt;=AX36,N36,N36/2-(CN36-AX36)/MAX(CM36-AX36,1E-9)*(N36/2-BR36)))-IF(INT((J36*100-DATOS!$C$17+DATOS!$C$13)/DATOS!$C$16)&gt;0,(J36*100-DATOS!$C$17-(INT((J36*100-DATOS!$C$17+DATOS!$C$13)/DATOS!$C$16)*DATOS!$C$11+(INT((J36*100-DATOS!$C$17+DATOS!$C$13)/DATOS!$C$16)-1)*DATOS!$C$13))/2,J36*100/2))/DATOS!$C$16,1))&amp;" hilera(s)")))</f>
        <v>—</v>
      </c>
      <c r="CP36" s="43">
        <f>IF(D36="PERIMETRAL",((PRINCIPALES!$N$39*PRINCIPALES!$O$39^3/12/(0.749*100*IF(APOYOS!$G$137="CONTINUO",1,0.5)*DATOS!$C$77^3/12))+99+99+99)/4,0)</f>
        <v>0</v>
      </c>
      <c r="CQ36" s="57">
        <f>IF(D36="PERIMETRAL",IF(CP36&gt;2,MAX(9,O36*(0.8+DATOS!$C$40/14000)/(36+9*(O36/MAX(N36,1)))),IF(CP36&gt;0.2,MAX(13,O36*(0.8+DATOS!$C$40/14000)/(36+5*(O36/MAX(N36,1))*(CP36-0.2))),MAX(13,O36/IF(Z36&gt;0,30,33))))*IF(AND(CP36&gt;0.2,OR(AND((APOYOS!$G$137="DISCONTINUO"),(PRINCIPALES!$N$39*PRINCIPALES!$O$39^3/12/(0.749*100*IF(APOYOS!$G$137="CONTINUO",1,0.5)*DATOS!$C$77^3/12))&lt;0.8),AND((APOYOS!$G$138="DISCONTINUO"),99&lt;0.8),AND((APOYOS!$G$139="DISCONTINUO"),99&lt;0.8),AND((APOYOS!$G$140="DISCONTINUO"),99&lt;0.8))),1.1,1),IF(D36="VOLADO",MAX(25,J36*100/8),0))</f>
        <v>0</v>
      </c>
      <c r="CR36" s="57">
        <f>IF(D36="VOLADO",DATOS!$C$15,DATOS!$C$77)</f>
        <v>16.7232564120244</v>
      </c>
      <c r="CS36" s="52" t="str">
        <f>IF(D36="HUECO","—",IF(CR36&gt;=CQ36,"CUMPLE",IF(D36="VOLADO","NO CUMPLE","CALCULAR FLECHA")))</f>
        <v>—</v>
      </c>
      <c r="CT36" s="52" t="str">
        <f>IF(D36="HUECO","—",IF(DATOS!$C$14&gt;=IF(IF(D36="VOLADO",J36,K36)&gt;=6,6,5),"CUMPLE","CAPA ≥ 6 cm"))</f>
        <v>—</v>
      </c>
      <c r="CU36" s="59">
        <f>IF(D36="HUECO",0,IF(((4*((AL36*Y36*J36^2*1E-4*DATOS!$C$16/100/1000)+((MAX(AH36,AJ36)*Y36*J36^2*1E-4*DATOS!$C$16/100/1000)+(IF(AND(AH36&gt;0,AJ36&gt;0),MIN(AH36,AJ36),MAX(AH36,AJ36))*Y36*J36^2*1E-4*DATOS!$C$16/100/1000))/2)+BC36-(IF(AND(AH36&gt;0,AJ36&gt;0),MIN(AH36,AJ36),MAX(AH36,AJ36))*Y36*J36^2*1E-4*DATOS!$C$16/100/1000))^2-16*((AL36*Y36*J36^2*1E-4*DATOS!$C$16/100/1000)+((MAX(AH36,AJ36)*Y36*J36^2*1E-4*DATOS!$C$16/100/1000)+(IF(AND(AH36&gt;0,AJ36&gt;0),MIN(AH36,AJ36),MAX(AH36,AJ36))*Y36*J36^2*1E-4*DATOS!$C$16/100/1000))/2)*BC36)&lt;0,CEILING(N36,5),CEILING(MAX(N36*((4*((AL36*Y36*J36^2*1E-4*DATOS!$C$16/100/1000)+((MAX(AH36,AJ36)*Y36*J36^2*1E-4*DATOS!$C$16/100/1000)+(IF(AND(AH36&gt;0,AJ36&gt;0),MIN(AH36,AJ36),MAX(AH36,AJ36))*Y36*J36^2*1E-4*DATOS!$C$16/100/1000))/2)+BC36-(IF(AND(AH36&gt;0,AJ36&gt;0),MIN(AH36,AJ36),MAX(AH36,AJ36))*Y36*J36^2*1E-4*DATOS!$C$16/100/1000))-SQRT(MAX(0,((4*((AL36*Y36*J36^2*1E-4*DATOS!$C$16/100/1000)+((MAX(AH36,AJ36)*Y36*J36^2*1E-4*DATOS!$C$16/100/1000)+(IF(AND(AH36&gt;0,AJ36&gt;0),MIN(AH36,AJ36),MAX(AH36,AJ36))*Y36*J36^2*1E-4*DATOS!$C$16/100/1000))/2)+BC36-(IF(AND(AH36&gt;0,AJ36&gt;0),MIN(AH36,AJ36),MAX(AH36,AJ36))*Y36*J36^2*1E-4*DATOS!$C$16/100/1000))^2-16*((AL36*Y36*J36^2*1E-4*DATOS!$C$16/100/1000)+((MAX(AH36,AJ36)*Y36*J36^2*1E-4*DATOS!$C$16/100/1000)+(IF(AND(AH36&gt;0,AJ36&gt;0),MIN(AH36,AJ36),MAX(AH36,AJ36))*Y36*J36^2*1E-4*DATOS!$C$16/100/1000))/2)*BC36))))/(8*MAX(((AL36*Y36*J36^2*1E-4*DATOS!$C$16/100/1000)+((MAX(AH36,AJ36)*Y36*J36^2*1E-4*DATOS!$C$16/100/1000)+(IF(AND(AH36&gt;0,AJ36&gt;0),MIN(AH36,AJ36),MAX(AH36,AJ36))*Y36*J36^2*1E-4*DATOS!$C$16/100/1000))/2),1E-9))+MAX(BR36,12*INDEX(TABLAS!$C$52:$C$58,MATCH(BP36,TABLAS!$B$52:$B$58,0)),N36/16),IF(OR(S36&lt;INDEX(TABLAS!$C$52:$C$58,MATCH(BP36,TABLAS!$B$52:$B$58,0)),AND(BQ36&gt;=2,(DATOS!$C$13-2*S36-2*IF(DATOS!$C$25=0,0,INDEX(TABLAS!$C$52:$C$58,MATCH(DATOS!$C$25,TABLAS!$B$52:$B$58,0)))-BQ36*INDEX(TABLAS!$C$52:$C$58,MATCH(BP36,TABLAS!$B$52:$B$58,0)))/MAX(BQ36-1,1)&lt;2*INDEX(TABLAS!$C$52:$C$58,MATCH(BP36,TABLAS!$B$52:$B$58,0)))),INDEX(TABLAS!$I$52:$I$58,MATCH(BP36,TABLAS!$B$52:$B$58,0)),INDEX(TABLAS!$F$52:$F$58,MATCH(BP36,TABLAS!$B$52:$B$58,0)))),5)))</f>
        <v>0</v>
      </c>
      <c r="CV36" s="59">
        <f>IF(D36="HUECO",0,IF(((4*((AM36*Y36*J36^2*1E-4*DATOS!$C$16/100/1000)+((MAX(AI36,AK36)*Y36*J36^2*1E-4*DATOS!$C$16/100/1000)+(IF(AND(AI36&gt;0,AK36&gt;0),MIN(AI36,AK36),MAX(AI36,AK36))*Y36*J36^2*1E-4*DATOS!$C$16/100/1000))/2)+BE36-(IF(AND(AI36&gt;0,AK36&gt;0),MIN(AI36,AK36),MAX(AI36,AK36))*Y36*J36^2*1E-4*DATOS!$C$16/100/1000))^2-16*((AM36*Y36*J36^2*1E-4*DATOS!$C$16/100/1000)+((MAX(AI36,AK36)*Y36*J36^2*1E-4*DATOS!$C$16/100/1000)+(IF(AND(AI36&gt;0,AK36&gt;0),MIN(AI36,AK36),MAX(AI36,AK36))*Y36*J36^2*1E-4*DATOS!$C$16/100/1000))/2)*BE36)&lt;0,CEILING(O36,5),CEILING(MAX(O36*((4*((AM36*Y36*J36^2*1E-4*DATOS!$C$16/100/1000)+((MAX(AI36,AK36)*Y36*J36^2*1E-4*DATOS!$C$16/100/1000)+(IF(AND(AI36&gt;0,AK36&gt;0),MIN(AI36,AK36),MAX(AI36,AK36))*Y36*J36^2*1E-4*DATOS!$C$16/100/1000))/2)+BE36-(IF(AND(AI36&gt;0,AK36&gt;0),MIN(AI36,AK36),MAX(AI36,AK36))*Y36*J36^2*1E-4*DATOS!$C$16/100/1000))-SQRT(MAX(0,((4*((AM36*Y36*J36^2*1E-4*DATOS!$C$16/100/1000)+((MAX(AI36,AK36)*Y36*J36^2*1E-4*DATOS!$C$16/100/1000)+(IF(AND(AI36&gt;0,AK36&gt;0),MIN(AI36,AK36),MAX(AI36,AK36))*Y36*J36^2*1E-4*DATOS!$C$16/100/1000))/2)+BE36-(IF(AND(AI36&gt;0,AK36&gt;0),MIN(AI36,AK36),MAX(AI36,AK36))*Y36*J36^2*1E-4*DATOS!$C$16/100/1000))^2-16*((AM36*Y36*J36^2*1E-4*DATOS!$C$16/100/1000)+((MAX(AI36,AK36)*Y36*J36^2*1E-4*DATOS!$C$16/100/1000)+(IF(AND(AI36&gt;0,AK36&gt;0),MIN(AI36,AK36),MAX(AI36,AK36))*Y36*J36^2*1E-4*DATOS!$C$16/100/1000))/2)*BE36))))/(8*MAX(((AM36*Y36*J36^2*1E-4*DATOS!$C$16/100/1000)+((MAX(AI36,AK36)*Y36*J36^2*1E-4*DATOS!$C$16/100/1000)+(IF(AND(AI36&gt;0,AK36&gt;0),MIN(AI36,AK36),MAX(AI36,AK36))*Y36*J36^2*1E-4*DATOS!$C$16/100/1000))/2),1E-9))+MAX(CH36,12*INDEX(TABLAS!$C$52:$C$58,MATCH(CF36,TABLAS!$B$52:$B$58,0)),O36/16),IF(OR(S36&lt;INDEX(TABLAS!$C$52:$C$58,MATCH(CF36,TABLAS!$B$52:$B$58,0)),AND(CG36&gt;=2,(DATOS!$C$13-2*S36-2*IF(DATOS!$C$25=0,0,INDEX(TABLAS!$C$52:$C$58,MATCH(DATOS!$C$25,TABLAS!$B$52:$B$58,0)))-CG36*INDEX(TABLAS!$C$52:$C$58,MATCH(CF36,TABLAS!$B$52:$B$58,0)))/MAX(CG36-1,1)&lt;2*INDEX(TABLAS!$C$52:$C$58,MATCH(CF36,TABLAS!$B$52:$B$58,0)))),INDEX(TABLAS!$I$52:$I$58,MATCH(CF36,TABLAS!$B$52:$B$58,0)),INDEX(TABLAS!$F$52:$F$58,MATCH(CF36,TABLAS!$B$52:$B$58,0)))),5)))</f>
        <v>0</v>
      </c>
      <c r="CW36" s="56">
        <f>MAX(0,INT((F36*100-DATOS!$C$17+DATOS!$C$13)/DATOS!$C$16))</f>
        <v>4</v>
      </c>
      <c r="CX36" s="56">
        <f>MAX(0,INT((G36*100-DATOS!$C$17+DATOS!$C$13)/DATOS!$C$16))</f>
        <v>0</v>
      </c>
      <c r="CY36" s="51" t="str">
        <f>IF(COUNTIFS(TRIB!$C$6:$C$255,B36,TRIB!$K$6:$K$255,"NO CUMPLE*")+COUNTIFS(TRIB!$C$6:$C$255,B36,TRIB!$K$6:$K$255,"SIN APOYO*")&gt;0,"VER PRINCIPALES",IF((APOYOS!$F$137="LIBRE")+(APOYOS!$F$138="LIBRE")+(APOYOS!$F$139="LIBRE")+(APOYOS!$F$140="LIBRE")&gt;0,"REVISAR: borde libre","OK"))</f>
        <v>OK</v>
      </c>
      <c r="CZ36" s="64" t="str">
        <f>IF(D36="HUECO","HUECO — marco de nervaduras principales",IF(AND(MAX(BL36,BT36,CB36,CJ36)&lt;=1,NOT(OR(BI36&gt;MIN(DATOS!$C$28,INT(((DATOS!$C$13-2*R36-2*IF(DATOS!$C$25=0,0,INDEX(TABLAS!$C$52:$C$58,MATCH(DATOS!$C$25,TABLAS!$B$52:$B$58,0))))+DATOS!$C$32)/(INDEX(TABLAS!$C$52:$C$58,MATCH(BH36,TABLAS!$B$52:$B$58,0))+DATOS!$C$32))),BQ36&gt;MIN(DATOS!$C$28,INT(((DATOS!$C$13-2*S36-2*IF(DATOS!$C$25=0,0,INDEX(TABLAS!$C$52:$C$58,MATCH(DATOS!$C$25,TABLAS!$B$52:$B$58,0))))+DATOS!$C$32)/(INDEX(TABLAS!$C$52:$C$58,MATCH(BP36,TABLAS!$B$52:$B$58,0))+DATOS!$C$32))),BY36&gt;MIN(DATOS!$C$28,INT(((DATOS!$C$13-2*R36-2*IF(DATOS!$C$25=0,0,INDEX(TABLAS!$C$52:$C$58,MATCH(DATOS!$C$25,TABLAS!$B$52:$B$58,0))))+DATOS!$C$32)/(INDEX(TABLAS!$C$52:$C$58,MATCH(BX36,TABLAS!$B$52:$B$58,0))+DATOS!$C$32))),CG36&gt;MIN(DATOS!$C$28,INT(((DATOS!$C$13-2*S36-2*IF(DATOS!$C$25=0,0,INDEX(TABLAS!$C$52:$C$58,MATCH(DATOS!$C$25,TABLAS!$B$52:$B$58,0))))+DATOS!$C$32)/(INDEX(TABLAS!$C$52:$C$58,MATCH(CF36,TABLAS!$B$52:$B$58,0))+DATOS!$C$32))))),NOT(OR(AND(ISNUMBER(BM36),BM36&lt;0.005),AND(ISNUMBER(BU36),BU36&lt;0.005),AND(ISNUMBER(CC36),CC36&lt;0.005),AND(ISNUMBER(CK36),CK36&lt;0.005))),CS36="CUMPLE",CT36="CUMPLE"),IF(CY36="OK",IF(LEFT(CO36,6)="CUMPLE","CUMPLE","CUMPLE — "&amp;CO36)&amp;IF(LEFT(AZ36,5)="FUERA"," · fuera de 3.4.2.1 c)",""),IF(CY36="VER PRINCIPALES","VER PRINCIPALES","REVISAR APOYOS")),IF(AND(MAX(BL36,BT36,CB36,CJ36)&lt;=1,NOT(OR(BI36&gt;MIN(DATOS!$C$28,INT(((DATOS!$C$13-2*R36-2*IF(DATOS!$C$25=0,0,INDEX(TABLAS!$C$52:$C$58,MATCH(DATOS!$C$25,TABLAS!$B$52:$B$58,0))))+DATOS!$C$32)/(INDEX(TABLAS!$C$52:$C$58,MATCH(BH36,TABLAS!$B$52:$B$58,0))+DATOS!$C$32))),BQ36&gt;MIN(DATOS!$C$28,INT(((DATOS!$C$13-2*S36-2*IF(DATOS!$C$25=0,0,INDEX(TABLAS!$C$52:$C$58,MATCH(DATOS!$C$25,TABLAS!$B$52:$B$58,0))))+DATOS!$C$32)/(INDEX(TABLAS!$C$52:$C$58,MATCH(BP36,TABLAS!$B$52:$B$58,0))+DATOS!$C$32))),BY36&gt;MIN(DATOS!$C$28,INT(((DATOS!$C$13-2*R36-2*IF(DATOS!$C$25=0,0,INDEX(TABLAS!$C$52:$C$58,MATCH(DATOS!$C$25,TABLAS!$B$52:$B$58,0))))+DATOS!$C$32)/(INDEX(TABLAS!$C$52:$C$58,MATCH(BX36,TABLAS!$B$52:$B$58,0))+DATOS!$C$32))),CG36&gt;MIN(DATOS!$C$28,INT(((DATOS!$C$13-2*S36-2*IF(DATOS!$C$25=0,0,INDEX(TABLAS!$C$52:$C$58,MATCH(DATOS!$C$25,TABLAS!$B$52:$B$58,0))))+DATOS!$C$32)/(INDEX(TABLAS!$C$52:$C$58,MATCH(CF36,TABLAS!$B$52:$B$58,0))+DATOS!$C$32))))),NOT(OR(AND(ISNUMBER(BM36),BM36&lt;0.005),AND(ISNUMBER(BU36),BU36&lt;0.005),AND(ISNUMBER(CC36),CC36&lt;0.005),AND(ISNUMBER(CK36),CK36&lt;0.005))),CS36="CALCULAR FLECHA"),"REVISAR: calcular flecha (h_eq &lt; h mín.)","NO CUMPLE: "&amp;IF(MAX(BL36,BT36,CB36,CJ36)&gt;1,"flexión ","")&amp;IF(OR(BI36&gt;MIN(DATOS!$C$28,INT(((DATOS!$C$13-2*R36-2*IF(DATOS!$C$25=0,0,INDEX(TABLAS!$C$52:$C$58,MATCH(DATOS!$C$25,TABLAS!$B$52:$B$58,0))))+DATOS!$C$32)/(INDEX(TABLAS!$C$52:$C$58,MATCH(BH36,TABLAS!$B$52:$B$58,0))+DATOS!$C$32))),BQ36&gt;MIN(DATOS!$C$28,INT(((DATOS!$C$13-2*S36-2*IF(DATOS!$C$25=0,0,INDEX(TABLAS!$C$52:$C$58,MATCH(DATOS!$C$25,TABLAS!$B$52:$B$58,0))))+DATOS!$C$32)/(INDEX(TABLAS!$C$52:$C$58,MATCH(BP36,TABLAS!$B$52:$B$58,0))+DATOS!$C$32))),BY36&gt;MIN(DATOS!$C$28,INT(((DATOS!$C$13-2*R36-2*IF(DATOS!$C$25=0,0,INDEX(TABLAS!$C$52:$C$58,MATCH(DATOS!$C$25,TABLAS!$B$52:$B$58,0))))+DATOS!$C$32)/(INDEX(TABLAS!$C$52:$C$58,MATCH(BX36,TABLAS!$B$52:$B$58,0))+DATOS!$C$32))),CG36&gt;MIN(DATOS!$C$28,INT(((DATOS!$C$13-2*S36-2*IF(DATOS!$C$25=0,0,INDEX(TABLAS!$C$52:$C$58,MATCH(DATOS!$C$25,TABLAS!$B$52:$B$58,0))))+DATOS!$C$32)/(INDEX(TABLAS!$C$52:$C$58,MATCH(CF36,TABLAS!$B$52:$B$58,0))+DATOS!$C$32)))),"no caben ","")&amp;IF(OR(AND(ISNUMBER(BM36),BM36&lt;0.005),AND(ISNUMBER(BU36),BU36&lt;0.005),AND(ISNUMBER(CC36),CC36&lt;0.005),AND(ISNUMBER(CK36),CK36&lt;0.005)),"ε_t &lt; 0.005 ","")&amp;IF(CS36="NO CUMPLE","peralte ","")&amp;IF(CT36&lt;&gt;"CUMPLE","capa &lt; 6 cm",""))))</f>
        <v>HUECO — marco de nervaduras principales</v>
      </c>
      <c r="DA36" s="65" t="str">
        <f>IF(AND(D36="PERIMETRAL",MIN(CW36,CX36)=0),"Tablero macizo (no cabe un casetón en el claro corto): no aplica 6.7.8. La resistencia se revisa con una nervadura de 10 cm cada 70 cm y r_np (conservador); "&amp;"como losa maciza lleva además As,mín = 0.0018·Ag en cada dirección cerca de la cara a tensión (6.7.6.1.1, p. 175). ",IF(AND(CL36="NO",D36="PERIMETRAL"),"No cumple 6.7.8.1.4 (a_c = "&amp;DATOS!$C$11&amp;" cm &gt; claro corto/6 = "&amp;TEXT(J36*100/6,"0")&amp;" cm): se diseña como losa apoyada en vigas (6.7.8.1.9): nervaduras con recubrimiento de viga r_np = "&amp;DATOS!$C$22&amp;" cm (Tabla 4.14.16.a), V_cR sin ×1.1 y cortante sin estribos por 5.5.3.8.1 (criterio del Proyectista). Para que cuente como encasetonada: casetón de "&amp;TEXT(FLOOR(MIN(80,J36*100/6),1),"0")&amp;" cm o menor. ",""))&amp;IF(LEFT(AZ36,5)="FUERA","M⁻ del borde común "&amp;AZ36&amp;": difieren más de 50% (3.4.2.1 c); se distribuyen 2/3 del desequilibrio (3.4.3.1) y conviene confirmar los momentos con el modelo. ","")&amp;"Tragaluz de 0.30 m: casi todo el tablero es hueco (quedan 0.60 m² de losa)."</f>
        <v>Tragaluz de 0.30 m: casi todo el tablero es hueco (quedan 0.60 m² de losa).</v>
      </c>
    </row>
    <row r="37" ht="30" customHeight="1">
      <c r="B37" s="51" t="inlineStr">
        <is>
          <t>F80029 N+6.00</t>
        </is>
      </c>
      <c r="C37" s="52" t="inlineStr">
        <is>
          <t>N+6.00</t>
        </is>
      </c>
      <c r="D37" s="53" t="inlineStr">
        <is>
          <t>HUECO</t>
        </is>
      </c>
      <c r="E37" s="53" t="inlineStr">
        <is>
          <t>AZOTEA</t>
        </is>
      </c>
      <c r="F37" s="54" t="n">
        <v>3.029</v>
      </c>
      <c r="G37" s="54" t="n">
        <v>0.449</v>
      </c>
      <c r="H37" s="55" t="n">
        <v>3.029</v>
      </c>
      <c r="I37" s="55" t="n">
        <v>0.449</v>
      </c>
      <c r="J37" s="36">
        <f>MIN(H37,I37)</f>
        <v>0.449</v>
      </c>
      <c r="K37" s="36">
        <f>MAX(H37,I37)</f>
        <v>3.029</v>
      </c>
      <c r="L37" s="36">
        <f>IF(K37&gt;0,J37/K37,0)</f>
        <v>0.148233740508419</v>
      </c>
      <c r="M37" s="52" t="str">
        <f>IF(H37&lt;=I37,"X","Y")</f>
        <v>Y</v>
      </c>
      <c r="N37" s="56">
        <f>MAX(0,J37*100-IF(D37="VOLADO",DATOS!$C$17/2,DATOS!$C$17))</f>
        <v>29.9</v>
      </c>
      <c r="O37" s="56">
        <f>MAX(0,K37*100-DATOS!$C$17)</f>
        <v>287.9</v>
      </c>
      <c r="P37" s="57">
        <f>MIN(DATOS!$C$16,DATOS!$C$13+2*MIN(8*DATOS!$C$14,DATOS!$C$11/2,N37/8))</f>
        <v>17.475</v>
      </c>
      <c r="Q37" s="57">
        <f>MIN(DATOS!$C$16,DATOS!$C$13+2*MIN(8*DATOS!$C$14,DATOS!$C$11/2,O37/8))</f>
        <v>70</v>
      </c>
      <c r="R37" s="57">
        <f>IF(D37="VOLADO",DATOS!$C$21,IF(CL37="NO",DATOS!$C$22,DATOS!$C$20))</f>
        <v>2</v>
      </c>
      <c r="S37" s="57">
        <f>IF(OR(AND(C37="N+6.00",DATOS!$C$23="SÍ"),AND(D37="VOLADO",DATOS!$C$24="SÍ")),DATOS!$C$21,IF(CL37="NO",DATOS!$C$22,DATOS!$C$20))</f>
        <v>2</v>
      </c>
      <c r="T37" s="58" t="n">
        <v>295</v>
      </c>
      <c r="U37" s="56">
        <f>IF(E37="HABITACIÓN",DATOS!$C$89,DATOS!$C$92)</f>
        <v>100</v>
      </c>
      <c r="V37" s="56">
        <f>CARGAS!$C$9</f>
        <v>293.673469387755</v>
      </c>
      <c r="W37" s="56">
        <f>V37+T37</f>
        <v>588.673469387755</v>
      </c>
      <c r="X37" s="56">
        <f>W37+U37</f>
        <v>688.673469387755</v>
      </c>
      <c r="Y37" s="59">
        <f>MAX(DATOS!$C$55*W37+DATOS!$C$56*U37,IF(E37="AZOTEA",DATOS!$C$57*(W37+DATOS!$C$97),0))</f>
        <v>915.275510204082</v>
      </c>
      <c r="Z37" s="56">
        <f>(APOYOS!$G$141="DISCONTINUO")+(APOYOS!$G$142="DISCONTINUO")+(APOYOS!$G$143="DISCONTINUO")+(APOYOS!$G$144="DISCONTINUO")</f>
        <v>1</v>
      </c>
      <c r="AA37" s="56">
        <f>IF(M37="X",(APOYOS!$G$141="DISCONTINUO")+(APOYOS!$G$142="DISCONTINUO"),(APOYOS!$G$143="DISCONTINUO")+(APOYOS!$G$144="DISCONTINUO"))</f>
        <v>1</v>
      </c>
      <c r="AB37" s="56">
        <f>Z37-AA37</f>
        <v>0</v>
      </c>
      <c r="AC37" s="52" t="str">
        <f>IF(Z37=0,"INTERIOR",IF(Z37=1,IF(AA37=1,"BORDE-CORTO","BORDE-LARGO"),IF(Z37=2,IF(AA37=1,"ESQUINA",IF(AA37=2,"EXTREMO-LARGO","EXTREMO-CORTO")),IF(Z37=3,IF(AA37=2,"EXTREMO-LARGO","EXTREMO-CORTO"),"AISLADO"))))</f>
        <v>BORDE-CORTO</v>
      </c>
      <c r="AD37" s="53" t="inlineStr">
        <is>
          <t>AUTO</t>
        </is>
      </c>
      <c r="AE37" s="60" t="str">
        <f>IF(AD37="AUTO",AC37,AD37)</f>
        <v>BORDE-CORTO</v>
      </c>
      <c r="AF37" s="56">
        <f>MATCH(L37,TABLAS!$D$5:$J$5,1)</f>
        <v>1</v>
      </c>
      <c r="AG37" s="43">
        <f>IF(AF37&gt;=7,0,(L37-INDEX(TABLAS!$D$5:$J$5,AF37))/(INDEX(TABLAS!$D$5:$J$5,AF37+1)-INDEX(TABLAS!$D$5:$J$5,AF37)))</f>
        <v>0.296467481016837</v>
      </c>
      <c r="AH37" s="56">
        <f>INDEX(TABLAS!$D$6:$J$47,MATCH(AE37&amp;"|NIC",TABLAS!$B$6:$B$47,0),AF37)+AG37*(INDEX(TABLAS!$D$6:$J$47,MATCH(AE37&amp;"|NIC",TABLAS!$B$6:$B$47,0),MIN(AF37+1,7))-INDEX(TABLAS!$D$6:$J$47,MATCH(AE37&amp;"|NIC",TABLAS!$B$6:$B$47,0),AF37))</f>
        <v>1046.91713436778</v>
      </c>
      <c r="AI37" s="56">
        <f>INDEX(TABLAS!$D$6:$J$47,MATCH(AE37&amp;"|NIL",TABLAS!$B$6:$B$47,0),AF37)+AG37*(INDEX(TABLAS!$D$6:$J$47,MATCH(AE37&amp;"|NIL",TABLAS!$B$6:$B$47,0),MIN(AF37+1,7))-INDEX(TABLAS!$D$6:$J$47,MATCH(AE37&amp;"|NIL",TABLAS!$B$6:$B$47,0),AF37))</f>
        <v>529.341036645758</v>
      </c>
      <c r="AJ37" s="56">
        <f>INDEX(TABLAS!$D$6:$J$47,MATCH(AE37&amp;"|NDC",TABLAS!$B$6:$B$47,0),AF37)+AG37*(INDEX(TABLAS!$D$6:$J$47,MATCH(AE37&amp;"|NDC",TABLAS!$B$6:$B$47,0),MIN(AF37+1,7))-INDEX(TABLAS!$D$6:$J$47,MATCH(AE37&amp;"|NDC",TABLAS!$B$6:$B$47,0),AF37))</f>
        <v>0</v>
      </c>
      <c r="AK37" s="56">
        <f>INDEX(TABLAS!$D$6:$J$47,MATCH(AE37&amp;"|NDL",TABLAS!$B$6:$B$47,0),AF37)+AG37*(INDEX(TABLAS!$D$6:$J$47,MATCH(AE37&amp;"|NDL",TABLAS!$B$6:$B$47,0),MIN(AF37+1,7))-INDEX(TABLAS!$D$6:$J$47,MATCH(AE37&amp;"|NDL",TABLAS!$B$6:$B$47,0),AF37))</f>
        <v>305.840211290855</v>
      </c>
      <c r="AL37" s="56">
        <f>INDEX(TABLAS!$D$6:$J$47,MATCH(AE37&amp;"|PC",TABLAS!$B$6:$B$47,0),AF37)+AG37*(INDEX(TABLAS!$D$6:$J$47,MATCH(AE37&amp;"|PC",TABLAS!$B$6:$B$47,0),MIN(AF37+1,7))-INDEX(TABLAS!$D$6:$J$47,MATCH(AE37&amp;"|PC",TABLAS!$B$6:$B$47,0),AF37))</f>
        <v>540.763288213932</v>
      </c>
      <c r="AM37" s="56">
        <f>INDEX(TABLAS!$D$6:$J$47,MATCH(AE37&amp;"|PL",TABLAS!$B$6:$B$47,0),AF37)+AG37*(INDEX(TABLAS!$D$6:$J$47,MATCH(AE37&amp;"|PL",TABLAS!$B$6:$B$47,0),MIN(AF37+1,7))-INDEX(TABLAS!$D$6:$J$47,MATCH(AE37&amp;"|PL",TABLAS!$B$6:$B$47,0),AF37))</f>
        <v>194.712776493892</v>
      </c>
      <c r="AN37" s="36">
        <f>IF(D37="PERIMETRAL",IF(APOYOS!$G$141="CONTINUO",IF(M37="Y",AH37,AI37),IF(M37="Y",AJ37,AK37))*Y37*J37^2*1E-4*DATOS!$C$16/100/1000,0)</f>
        <v>0</v>
      </c>
      <c r="AO37" s="36">
        <f>IF(D37="PERIMETRAL",IF(APOYOS!$G$142="CONTINUO",IF(M37="Y",AH37,AI37),IF(M37="Y",AJ37,AK37))*Y37*J37^2*1E-4*DATOS!$C$16/100/1000,0)</f>
        <v>0</v>
      </c>
      <c r="AP37" s="36">
        <f>IF(D37="PERIMETRAL",IF(APOYOS!$G$143="CONTINUO",IF(M37="X",AH37,AI37),IF(M37="X",AJ37,AK37))*Y37*J37^2*1E-4*DATOS!$C$16/100/1000,0)</f>
        <v>0</v>
      </c>
      <c r="AQ37" s="36">
        <f>IF(D37="PERIMETRAL",IF(APOYOS!$G$144="CONTINUO",IF(M37="X",AH37,AI37),IF(M37="X",AJ37,AK37))*Y37*J37^2*1E-4*DATOS!$C$16/100/1000,0)</f>
        <v>0</v>
      </c>
      <c r="AR37" s="56">
        <f>IF(D37="PERIMETRAL",IF(M37="X",BN37,CD37)^3/(J37*100),0)</f>
        <v>0</v>
      </c>
      <c r="AS37" s="56">
        <f>IF(D37="PERIMETRAL",IF(M37="Y",BN37,CD37)^3/(J37*100),0)</f>
        <v>0</v>
      </c>
      <c r="AT37" s="36">
        <f>IF(D37="PERIMETRAL",MAX(0,IF(M37="Y",IF(AND(APOYOS!$G$141="CONTINUO",AN37&gt;0,AO35&gt;0,AO35&gt;AN37),AN37+2/3*(AO35-AN37)*AS37/MAX(AS37+AS35,1E-9),0),0),IF(M37="Y",IF(AND(APOYOS!$G$142="CONTINUO",AO37&gt;0,AN38&gt;0,AN38&gt;AO37),AO37+2/3*(AN38-AO37)*AS37/MAX(AS37+AS38,1E-9),0),0),IF(M37="X",IF(AND(APOYOS!$G$144="CONTINUO",AQ37&gt;0,AP40&gt;0,AP40&gt;AQ37),AQ37+2/3*(AP40-AQ37)*AR37/MAX(AR37+AR40,1E-9),0),0)),0)</f>
        <v>0</v>
      </c>
      <c r="AU37" s="36">
        <f>IF(D37="PERIMETRAL",MAX(0,IF(M37&lt;&gt;"Y",IF(AND(APOYOS!$G$141="CONTINUO",AN37&gt;0,AO35&gt;0,AO35&gt;AN37),AN37+2/3*(AO35-AN37)*AS37/MAX(AS37+AS35,1E-9),0),0),IF(M37&lt;&gt;"Y",IF(AND(APOYOS!$G$142="CONTINUO",AO37&gt;0,AN38&gt;0,AN38&gt;AO37),AO37+2/3*(AN38-AO37)*AS37/MAX(AS37+AS38,1E-9),0),0),IF(M37&lt;&gt;"X",IF(AND(APOYOS!$G$144="CONTINUO",AQ37&gt;0,AP40&gt;0,AP40&gt;AQ37),AQ37+2/3*(AP40-AQ37)*AR37/MAX(AR37+AR40,1E-9),0),0)),0)</f>
        <v>0</v>
      </c>
      <c r="AV37" s="36">
        <f>IF(D37="PERIMETRAL",(IF(M37="Y",IF(AND(APOYOS!$G$141="CONTINUO",AN37&gt;0,AO35&gt;0,AN37&gt;AO35),2/3*(AN37-AO35)*AS37/MAX(AS37+AS35,1E-9),0),0)+IF(M37="Y",IF(AND(APOYOS!$G$142="CONTINUO",AO37&gt;0,AN38&gt;0,AO37&gt;AN38),2/3*(AO37-AN38)*AS37/MAX(AS37+AS38,1E-9),0),0)+IF(M37="X",IF(AND(APOYOS!$G$144="CONTINUO",AQ37&gt;0,AP40&gt;0,AQ37&gt;AP40),2/3*(AQ37-AP40)*AR37/MAX(AR37+AR40,1E-9),0),0))/2,0)</f>
        <v>0</v>
      </c>
      <c r="AW37" s="36">
        <f>IF(D37="PERIMETRAL",(IF(M37&lt;&gt;"Y",IF(AND(APOYOS!$G$141="CONTINUO",AN37&gt;0,AO35&gt;0,AN37&gt;AO35),2/3*(AN37-AO35)*AS37/MAX(AS37+AS35,1E-9),0),0)+IF(M37&lt;&gt;"Y",IF(AND(APOYOS!$G$142="CONTINUO",AO37&gt;0,AN38&gt;0,AO37&gt;AN38),2/3*(AO37-AN38)*AS37/MAX(AS37+AS38,1E-9),0),0)+IF(M37&lt;&gt;"X",IF(AND(APOYOS!$G$144="CONTINUO",AQ37&gt;0,AP40&gt;0,AQ37&gt;AP40),2/3*(AQ37-AP40)*AR37/MAX(AR37+AR40,1E-9),0),0))/2,0)</f>
        <v>0</v>
      </c>
      <c r="AX37" s="36">
        <f>IF(D37="PERIMETRAL",MAX(0,0),0)</f>
        <v>0</v>
      </c>
      <c r="AY37" s="52" t="str">
        <f>IF(D37&lt;&gt;"PERIMETRAL","",IF(AND(APOYOS!$G$141="CONTINUO",AN37&gt;0,AO35&gt;0,ABS(AN37-AO35)&gt;0.5*MIN(AN37,AO35))," F80027","")&amp;IF(AND(APOYOS!$G$142="CONTINUO",AO37&gt;0,AN38&gt;0,ABS(AO37-AN38)&gt;0.5*MIN(AO37,AN38))," F80030","")&amp;IF(AND(APOYOS!$G$144="CONTINUO",AQ37&gt;0,AP40&gt;0,ABS(AQ37-AP40)&gt;0.5*MIN(AQ37,AP40))," F80032",""))</f>
        <v/>
      </c>
      <c r="AZ37" s="52" t="str">
        <f>IF(D37&lt;&gt;"PERIMETRAL","—",IF(AY37="","CUMPLE","FUERA con"&amp;AY37))</f>
        <v>—</v>
      </c>
      <c r="BA37" s="61" t="n">
        <v>0</v>
      </c>
      <c r="BB37" s="36">
        <f>IF(D37="PERIMETRAL",AL37*Y37*J37^2*1E-4*DATOS!$C$16/100/1000+AV37,0)</f>
        <v>0</v>
      </c>
      <c r="BC37" s="36">
        <f>IF(D37="PERIMETRAL",MAX(MAX(AH37,AJ37)*Y37*J37^2*1E-4*DATOS!$C$16/100/1000,AT37),IF(D37="VOLADO",(Y37*(N37/100)^2/2+DATOS!$C$55*BA37*N37/100)*DATOS!$C$16/100/1000,0))</f>
        <v>0</v>
      </c>
      <c r="BD37" s="36">
        <f>IF(D37="PERIMETRAL",AM37*Y37*J37^2*1E-4*DATOS!$C$16/100/1000+AW37,0)</f>
        <v>0</v>
      </c>
      <c r="BE37" s="36">
        <f>IF(D37="PERIMETRAL",MAX(MAX(AI37,AK37)*Y37*J37^2*1E-4*DATOS!$C$16/100/1000,AU37),0)</f>
        <v>0</v>
      </c>
      <c r="BF37" s="43">
        <f>(DATOS!$C$15-R37-IF(DATOS!$C$25=0,0,INDEX(TABLAS!$C$52:$C$58,MATCH(DATOS!$C$25,TABLAS!$B$52:$B$58,0)))-INDEX(TABLAS!$C$52:$C$58,MATCH(DATOS!$C$26,TABLAS!$B$52:$B$58,0))/2)</f>
        <v>22.365</v>
      </c>
      <c r="BG37" s="43">
        <f>IF(D37="HUECO",0,IF(IF(BB37&lt;=0,0,IF((1-2*BB37*1E5/(DATOS!$C$58*P37*BF37^2*DATOS!$C$48))&lt;0,-1,IF((1-SQRT((1-2*BB37*1E5/(DATOS!$C$58*P37*BF37^2*DATOS!$C$48))))*DATOS!$C$48*P37*BF37/DATOS!$C$40&gt;DATOS!$C$82*P37*BF37,-1,(1-SQRT((1-2*BB37*1E5/(DATOS!$C$58*P37*BF37^2*DATOS!$C$48))))*DATOS!$C$48*P37*BF37/DATOS!$C$40)))&lt;0,-1,MAX(IF(BB37&lt;=0,0,IF((1-2*BB37*1E5/(DATOS!$C$58*P37*BF37^2*DATOS!$C$48))&lt;0,-1,IF((1-SQRT((1-2*BB37*1E5/(DATOS!$C$58*P37*BF37^2*DATOS!$C$48))))*DATOS!$C$48*P37*BF37/DATOS!$C$40&gt;DATOS!$C$82*P37*BF37,-1,(1-SQRT((1-2*BB37*1E5/(DATOS!$C$58*P37*BF37^2*DATOS!$C$48))))*DATOS!$C$48*P37*BF37/DATOS!$C$40))),MIN(DATOS!$C$83*DATOS!$C$13*BF37,4/3*IF(BB37&lt;=0,0,IF((1-2*BB37*1E5/(DATOS!$C$58*P37*BF37^2*DATOS!$C$48))&lt;0,-1,IF((1-SQRT((1-2*BB37*1E5/(DATOS!$C$58*P37*BF37^2*DATOS!$C$48))))*DATOS!$C$48*P37*BF37/DATOS!$C$40&gt;DATOS!$C$82*P37*BF37,-1,(1-SQRT((1-2*BB37*1E5/(DATOS!$C$58*P37*BF37^2*DATOS!$C$48))))*DATOS!$C$48*P37*BF37/DATOS!$C$40)))))))</f>
        <v>0</v>
      </c>
      <c r="BH37" s="41">
        <f>IF(AND(BG37&gt;=0,IF(MAX(DATOS!$C$29,CEILING(BG37/INDEX(TABLAS!$D$52:$D$58,MIN(MATCH(DATOS!$C$26,TABLAS!$B$52:$B$58,0)+0,7)),1))*INDEX(TABLAS!$D$52:$D$58,MIN(MATCH(DATOS!$C$26,TABLAS!$B$52:$B$58,0)+0,7))&gt;=4/3*IF(BB37&lt;=0,0,IF((1-2*BB37*1E5/(DATOS!$C$58*P37*BF37^2*DATOS!$C$48))&lt;0,-1,IF((1-SQRT((1-2*BB37*1E5/(DATOS!$C$58*P37*BF37^2*DATOS!$C$48))))*DATOS!$C$48*P37*BF37/DATOS!$C$40&gt;DATOS!$C$82*P37*BF37,-1,(1-SQRT((1-2*BB37*1E5/(DATOS!$C$58*P37*BF37^2*DATOS!$C$48))))*DATOS!$C$48*P37*BF37/DATOS!$C$40)))-0.0001,MAX(DATOS!$C$29,CEILING(BG37/INDEX(TABLAS!$D$52:$D$58,MIN(MATCH(DATOS!$C$26,TABLAS!$B$52:$B$58,0)+0,7)),1)),MAX(MAX(DATOS!$C$29,CEILING(BG37/INDEX(TABLAS!$D$52:$D$58,MIN(MATCH(DATOS!$C$26,TABLAS!$B$52:$B$58,0)+0,7)),1)),2))&lt;=MIN(DATOS!$C$28,INT(((DATOS!$C$13-2*R37-2*IF(DATOS!$C$25=0,0,INDEX(TABLAS!$C$52:$C$58,MATCH(DATOS!$C$25,TABLAS!$B$52:$B$58,0))))+MAX(DATOS!$C$32,INDEX(TABLAS!$C$52:$C$58,MIN(MATCH(DATOS!$C$26,TABLAS!$B$52:$B$58,0)+0,7))))/(INDEX(TABLAS!$C$52:$C$58,MIN(MATCH(DATOS!$C$26,TABLAS!$B$52:$B$58,0)+0,7))+MAX(DATOS!$C$32,INDEX(TABLAS!$C$52:$C$58,MIN(MATCH(DATOS!$C$26,TABLAS!$B$52:$B$58,0)+0,7))))))),INDEX(TABLAS!$B$52:$B$58,MIN(MATCH(DATOS!$C$26,TABLAS!$B$52:$B$58,0)+0,7)),IF(AND(BG37&gt;=0,IF(MAX(DATOS!$C$29,CEILING(BG37/INDEX(TABLAS!$D$52:$D$58,MIN(MATCH(DATOS!$C$26,TABLAS!$B$52:$B$58,0)+1,7)),1))*INDEX(TABLAS!$D$52:$D$58,MIN(MATCH(DATOS!$C$26,TABLAS!$B$52:$B$58,0)+1,7))&gt;=4/3*IF(BB37&lt;=0,0,IF((1-2*BB37*1E5/(DATOS!$C$58*P37*BF37^2*DATOS!$C$48))&lt;0,-1,IF((1-SQRT((1-2*BB37*1E5/(DATOS!$C$58*P37*BF37^2*DATOS!$C$48))))*DATOS!$C$48*P37*BF37/DATOS!$C$40&gt;DATOS!$C$82*P37*BF37,-1,(1-SQRT((1-2*BB37*1E5/(DATOS!$C$58*P37*BF37^2*DATOS!$C$48))))*DATOS!$C$48*P37*BF37/DATOS!$C$40)))-0.0001,MAX(DATOS!$C$29,CEILING(BG37/INDEX(TABLAS!$D$52:$D$58,MIN(MATCH(DATOS!$C$26,TABLAS!$B$52:$B$58,0)+1,7)),1)),MAX(MAX(DATOS!$C$29,CEILING(BG37/INDEX(TABLAS!$D$52:$D$58,MIN(MATCH(DATOS!$C$26,TABLAS!$B$52:$B$58,0)+1,7)),1)),2))&lt;=MIN(DATOS!$C$28,INT(((DATOS!$C$13-2*R37-2*IF(DATOS!$C$25=0,0,INDEX(TABLAS!$C$52:$C$58,MATCH(DATOS!$C$25,TABLAS!$B$52:$B$58,0))))+MAX(DATOS!$C$32,INDEX(TABLAS!$C$52:$C$58,MIN(MATCH(DATOS!$C$26,TABLAS!$B$52:$B$58,0)+1,7))))/(INDEX(TABLAS!$C$52:$C$58,MIN(MATCH(DATOS!$C$26,TABLAS!$B$52:$B$58,0)+1,7))+MAX(DATOS!$C$32,INDEX(TABLAS!$C$52:$C$58,MIN(MATCH(DATOS!$C$26,TABLAS!$B$52:$B$58,0)+1,7))))))),INDEX(TABLAS!$B$52:$B$58,MIN(MATCH(DATOS!$C$26,TABLAS!$B$52:$B$58,0)+1,7)),IF(AND(BG37&gt;=0,IF(MAX(DATOS!$C$29,CEILING(BG37/INDEX(TABLAS!$D$52:$D$58,MIN(MATCH(DATOS!$C$26,TABLAS!$B$52:$B$58,0)+2,7)),1))*INDEX(TABLAS!$D$52:$D$58,MIN(MATCH(DATOS!$C$26,TABLAS!$B$52:$B$58,0)+2,7))&gt;=4/3*IF(BB37&lt;=0,0,IF((1-2*BB37*1E5/(DATOS!$C$58*P37*BF37^2*DATOS!$C$48))&lt;0,-1,IF((1-SQRT((1-2*BB37*1E5/(DATOS!$C$58*P37*BF37^2*DATOS!$C$48))))*DATOS!$C$48*P37*BF37/DATOS!$C$40&gt;DATOS!$C$82*P37*BF37,-1,(1-SQRT((1-2*BB37*1E5/(DATOS!$C$58*P37*BF37^2*DATOS!$C$48))))*DATOS!$C$48*P37*BF37/DATOS!$C$40)))-0.0001,MAX(DATOS!$C$29,CEILING(BG37/INDEX(TABLAS!$D$52:$D$58,MIN(MATCH(DATOS!$C$26,TABLAS!$B$52:$B$58,0)+2,7)),1)),MAX(MAX(DATOS!$C$29,CEILING(BG37/INDEX(TABLAS!$D$52:$D$58,MIN(MATCH(DATOS!$C$26,TABLAS!$B$52:$B$58,0)+2,7)),1)),2))&lt;=MIN(DATOS!$C$28,INT(((DATOS!$C$13-2*R37-2*IF(DATOS!$C$25=0,0,INDEX(TABLAS!$C$52:$C$58,MATCH(DATOS!$C$25,TABLAS!$B$52:$B$58,0))))+MAX(DATOS!$C$32,INDEX(TABLAS!$C$52:$C$58,MIN(MATCH(DATOS!$C$26,TABLAS!$B$52:$B$58,0)+2,7))))/(INDEX(TABLAS!$C$52:$C$58,MIN(MATCH(DATOS!$C$26,TABLAS!$B$52:$B$58,0)+2,7))+MAX(DATOS!$C$32,INDEX(TABLAS!$C$52:$C$58,MIN(MATCH(DATOS!$C$26,TABLAS!$B$52:$B$58,0)+2,7))))))),INDEX(TABLAS!$B$52:$B$58,MIN(MATCH(DATOS!$C$26,TABLAS!$B$52:$B$58,0)+2,7)),IF(AND(BG37&gt;=0,IF(MAX(DATOS!$C$29,CEILING(BG37/INDEX(TABLAS!$D$52:$D$58,MIN(MATCH(DATOS!$C$26,TABLAS!$B$52:$B$58,0)+3,7)),1))*INDEX(TABLAS!$D$52:$D$58,MIN(MATCH(DATOS!$C$26,TABLAS!$B$52:$B$58,0)+3,7))&gt;=4/3*IF(BB37&lt;=0,0,IF((1-2*BB37*1E5/(DATOS!$C$58*P37*BF37^2*DATOS!$C$48))&lt;0,-1,IF((1-SQRT((1-2*BB37*1E5/(DATOS!$C$58*P37*BF37^2*DATOS!$C$48))))*DATOS!$C$48*P37*BF37/DATOS!$C$40&gt;DATOS!$C$82*P37*BF37,-1,(1-SQRT((1-2*BB37*1E5/(DATOS!$C$58*P37*BF37^2*DATOS!$C$48))))*DATOS!$C$48*P37*BF37/DATOS!$C$40)))-0.0001,MAX(DATOS!$C$29,CEILING(BG37/INDEX(TABLAS!$D$52:$D$58,MIN(MATCH(DATOS!$C$26,TABLAS!$B$52:$B$58,0)+3,7)),1)),MAX(MAX(DATOS!$C$29,CEILING(BG37/INDEX(TABLAS!$D$52:$D$58,MIN(MATCH(DATOS!$C$26,TABLAS!$B$52:$B$58,0)+3,7)),1)),2))&lt;=MIN(DATOS!$C$28,INT(((DATOS!$C$13-2*R37-2*IF(DATOS!$C$25=0,0,INDEX(TABLAS!$C$52:$C$58,MATCH(DATOS!$C$25,TABLAS!$B$52:$B$58,0))))+MAX(DATOS!$C$32,INDEX(TABLAS!$C$52:$C$58,MIN(MATCH(DATOS!$C$26,TABLAS!$B$52:$B$58,0)+3,7))))/(INDEX(TABLAS!$C$52:$C$58,MIN(MATCH(DATOS!$C$26,TABLAS!$B$52:$B$58,0)+3,7))+MAX(DATOS!$C$32,INDEX(TABLAS!$C$52:$C$58,MIN(MATCH(DATOS!$C$26,TABLAS!$B$52:$B$58,0)+3,7))))))),INDEX(TABLAS!$B$52:$B$58,MIN(MATCH(DATOS!$C$26,TABLAS!$B$52:$B$58,0)+3,7)),IF(AND(BG37&gt;=0,IF(MAX(DATOS!$C$29,CEILING(BG37/INDEX(TABLAS!$D$52:$D$58,MIN(MATCH(DATOS!$C$26,TABLAS!$B$52:$B$58,0)+4,7)),1))*INDEX(TABLAS!$D$52:$D$58,MIN(MATCH(DATOS!$C$26,TABLAS!$B$52:$B$58,0)+4,7))&gt;=4/3*IF(BB37&lt;=0,0,IF((1-2*BB37*1E5/(DATOS!$C$58*P37*BF37^2*DATOS!$C$48))&lt;0,-1,IF((1-SQRT((1-2*BB37*1E5/(DATOS!$C$58*P37*BF37^2*DATOS!$C$48))))*DATOS!$C$48*P37*BF37/DATOS!$C$40&gt;DATOS!$C$82*P37*BF37,-1,(1-SQRT((1-2*BB37*1E5/(DATOS!$C$58*P37*BF37^2*DATOS!$C$48))))*DATOS!$C$48*P37*BF37/DATOS!$C$40)))-0.0001,MAX(DATOS!$C$29,CEILING(BG37/INDEX(TABLAS!$D$52:$D$58,MIN(MATCH(DATOS!$C$26,TABLAS!$B$52:$B$58,0)+4,7)),1)),MAX(MAX(DATOS!$C$29,CEILING(BG37/INDEX(TABLAS!$D$52:$D$58,MIN(MATCH(DATOS!$C$26,TABLAS!$B$52:$B$58,0)+4,7)),1)),2))&lt;=MIN(DATOS!$C$28,INT(((DATOS!$C$13-2*R37-2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37" s="56">
        <f>IF(D37="HUECO",0,IF(BG37&lt;0,0,IF(MAX(DATOS!$C$29,CEILING(MAX(BG37,0)/INDEX(TABLAS!$D$52:$D$58,MATCH(BH37,TABLAS!$B$52:$B$58,0)),1))*INDEX(TABLAS!$D$52:$D$58,MATCH(BH37,TABLAS!$B$52:$B$58,0))&gt;=4/3*IF(BB37&lt;=0,0,IF((1-2*BB37*1E5/(DATOS!$C$58*P37*BF37^2*DATOS!$C$48))&lt;0,-1,IF((1-SQRT((1-2*BB37*1E5/(DATOS!$C$58*P37*BF37^2*DATOS!$C$48))))*DATOS!$C$48*P37*BF37/DATOS!$C$40&gt;DATOS!$C$82*P37*BF37,-1,(1-SQRT((1-2*BB37*1E5/(DATOS!$C$58*P37*BF37^2*DATOS!$C$48))))*DATOS!$C$48*P37*BF37/DATOS!$C$40)))-0.0001,MAX(DATOS!$C$29,CEILING(MAX(BG37,0)/INDEX(TABLAS!$D$52:$D$58,MATCH(BH37,TABLAS!$B$52:$B$58,0)),1)),MAX(MAX(DATOS!$C$29,CEILING(MAX(BG37,0)/INDEX(TABLAS!$D$52:$D$58,MATCH(BH37,TABLAS!$B$52:$B$58,0)),1)),2))))</f>
        <v>0</v>
      </c>
      <c r="BJ37" s="43">
        <f>DATOS!$C$15-R37-IF(DATOS!$C$25=0,0,INDEX(TABLAS!$C$52:$C$58,MATCH(DATOS!$C$25,TABLAS!$B$52:$B$58,0)))-INDEX(TABLAS!$C$52:$C$58,MATCH(BH37,TABLAS!$B$52:$B$58,0))/2</f>
        <v>22.365</v>
      </c>
      <c r="BK37" s="36">
        <f>IF(BI37=0,0,DATOS!$C$58*BI37*INDEX(TABLAS!$D$52:$D$58,MATCH(BH37,TABLAS!$B$52:$B$58,0))*DATOS!$C$40*(BJ37-BI37*INDEX(TABLAS!$D$52:$D$58,MATCH(BH37,TABLAS!$B$52:$B$58,0))*DATOS!$C$40/(DATOS!$C$48*P37)/2)/1E5)</f>
        <v>0</v>
      </c>
      <c r="BL37" s="62">
        <f>IF(BG37&lt;0,9.99,IF(BK37&gt;0,BB37/BK37,0))</f>
        <v>0</v>
      </c>
      <c r="BM37" s="63" t="str">
        <f>IF(BI37=0,"—",0.003*(BJ37-(BI37*INDEX(TABLAS!$D$52:$D$58,MATCH(BH37,TABLAS!$B$52:$B$58,0))*DATOS!$C$40/(DATOS!$C$48*P37)/DATOS!$C$49))/(BI37*INDEX(TABLAS!$D$52:$D$58,MATCH(BH37,TABLAS!$B$52:$B$58,0))*DATOS!$C$40/(DATOS!$C$48*P37)/DATOS!$C$49))</f>
        <v>—</v>
      </c>
      <c r="BN37" s="43">
        <f>((DATOS!$C$15-S37-2*DATOS!$C$35-IF(DATOS!$C$25=0,0,INDEX(TABLAS!$C$52:$C$58,MATCH(DATOS!$C$25,TABLAS!$B$52:$B$58,0)))-INDEX(TABLAS!$C$52:$C$58,MATCH(DATOS!$C$27,TABLAS!$B$52:$B$58,0))/2)-IF(AND((DATOS!$C$15-S37-2*DATOS!$C$35-IF(DATOS!$C$25=0,0,INDEX(TABLAS!$C$52:$C$58,MATCH(DATOS!$C$25,TABLAS!$B$52:$B$58,0)))-INDEX(TABLAS!$C$52:$C$58,MATCH(DATOS!$C$27,TABLAS!$B$52:$B$58,0))/2)&lt;=20,DATOS!$C$18&lt;&gt;"SÍ"),2,0))</f>
        <v>21.389</v>
      </c>
      <c r="BO37" s="43">
        <f>IF(D37="HUECO",0,IF(IF(BC37&lt;=0,0,IF((1-2*BC37*1E5/(DATOS!$C$58*DATOS!$C$19*BN37^2*DATOS!$C$48))&lt;0,-1,IF((1-SQRT((1-2*BC37*1E5/(DATOS!$C$58*DATOS!$C$19*BN37^2*DATOS!$C$48))))*DATOS!$C$48*DATOS!$C$19*BN37/DATOS!$C$40&gt;DATOS!$C$82*DATOS!$C$19*BN37,-1,(1-SQRT((1-2*BC37*1E5/(DATOS!$C$58*DATOS!$C$19*BN37^2*DATOS!$C$48))))*DATOS!$C$48*DATOS!$C$19*BN37/DATOS!$C$40)))&lt;0,-1,MAX(IF(BC37&lt;=0,0,IF((1-2*BC37*1E5/(DATOS!$C$58*DATOS!$C$19*BN37^2*DATOS!$C$48))&lt;0,-1,IF((1-SQRT((1-2*BC37*1E5/(DATOS!$C$58*DATOS!$C$19*BN37^2*DATOS!$C$48))))*DATOS!$C$48*DATOS!$C$19*BN37/DATOS!$C$40&gt;DATOS!$C$82*DATOS!$C$19*BN37,-1,(1-SQRT((1-2*BC37*1E5/(DATOS!$C$58*DATOS!$C$19*BN37^2*DATOS!$C$48))))*DATOS!$C$48*DATOS!$C$19*BN37/DATOS!$C$40))),MIN(DATOS!$C$83*IF(D37="VOLADO",2*DATOS!$C$13,DATOS!$C$13)*BN37,4/3*IF(BC37&lt;=0,0,IF((1-2*BC37*1E5/(DATOS!$C$58*DATOS!$C$19*BN37^2*DATOS!$C$48))&lt;0,-1,IF((1-SQRT((1-2*BC37*1E5/(DATOS!$C$58*DATOS!$C$19*BN37^2*DATOS!$C$48))))*DATOS!$C$48*DATOS!$C$19*BN37/DATOS!$C$40&gt;DATOS!$C$82*DATOS!$C$19*BN37,-1,(1-SQRT((1-2*BC37*1E5/(DATOS!$C$58*DATOS!$C$19*BN37^2*DATOS!$C$48))))*DATOS!$C$48*DATOS!$C$19*BN37/DATOS!$C$40)))))))</f>
        <v>0</v>
      </c>
      <c r="BP37" s="41">
        <f>IF(AND(BO37&gt;=0,IF(MAX(DATOS!$C$29,CEILING(BO37/INDEX(TABLAS!$D$52:$D$58,MIN(MATCH(DATOS!$C$27,TABLAS!$B$52:$B$58,0)+0,7)),1))*INDEX(TABLAS!$D$52:$D$58,MIN(MATCH(DATOS!$C$27,TABLAS!$B$52:$B$58,0)+0,7))&gt;=4/3*IF(BC37&lt;=0,0,IF((1-2*BC37*1E5/(DATOS!$C$58*DATOS!$C$19*BN37^2*DATOS!$C$48))&lt;0,-1,IF((1-SQRT((1-2*BC37*1E5/(DATOS!$C$58*DATOS!$C$19*BN37^2*DATOS!$C$48))))*DATOS!$C$48*DATOS!$C$19*BN37/DATOS!$C$40&gt;DATOS!$C$82*DATOS!$C$19*BN37,-1,(1-SQRT((1-2*BC37*1E5/(DATOS!$C$58*DATOS!$C$19*BN37^2*DATOS!$C$48))))*DATOS!$C$48*DATOS!$C$19*BN37/DATOS!$C$40)))-0.0001,MAX(DATOS!$C$29,CEILING(BO37/INDEX(TABLAS!$D$52:$D$58,MIN(MATCH(DATOS!$C$27,TABLAS!$B$52:$B$58,0)+0,7)),1)),MAX(MAX(DATOS!$C$29,CEILING(BO37/INDEX(TABLAS!$D$52:$D$58,MIN(MATCH(DATOS!$C$27,TABLAS!$B$52:$B$58,0)+0,7)),1)),2))&lt;=MIN(DATOS!$C$28,INT(((DATOS!$C$13-2*S37-2*IF(DATOS!$C$25=0,0,INDEX(TABLAS!$C$52:$C$58,MATCH(DATOS!$C$25,TABLAS!$B$52:$B$58,0))))+MAX(DATOS!$C$32,INDEX(TABLAS!$C$52:$C$58,MIN(MATCH(DATOS!$C$27,TABLAS!$B$52:$B$58,0)+0,7))))/(INDEX(TABLAS!$C$52:$C$58,MIN(MATCH(DATOS!$C$27,TABLAS!$B$52:$B$58,0)+0,7))+MAX(DATOS!$C$32,INDEX(TABLAS!$C$52:$C$58,MIN(MATCH(DATOS!$C$27,TABLAS!$B$52:$B$58,0)+0,7))))))),INDEX(TABLAS!$B$52:$B$58,MIN(MATCH(DATOS!$C$27,TABLAS!$B$52:$B$58,0)+0,7)),IF(AND(BO37&gt;=0,IF(MAX(DATOS!$C$29,CEILING(BO37/INDEX(TABLAS!$D$52:$D$58,MIN(MATCH(DATOS!$C$27,TABLAS!$B$52:$B$58,0)+1,7)),1))*INDEX(TABLAS!$D$52:$D$58,MIN(MATCH(DATOS!$C$27,TABLAS!$B$52:$B$58,0)+1,7))&gt;=4/3*IF(BC37&lt;=0,0,IF((1-2*BC37*1E5/(DATOS!$C$58*DATOS!$C$19*BN37^2*DATOS!$C$48))&lt;0,-1,IF((1-SQRT((1-2*BC37*1E5/(DATOS!$C$58*DATOS!$C$19*BN37^2*DATOS!$C$48))))*DATOS!$C$48*DATOS!$C$19*BN37/DATOS!$C$40&gt;DATOS!$C$82*DATOS!$C$19*BN37,-1,(1-SQRT((1-2*BC37*1E5/(DATOS!$C$58*DATOS!$C$19*BN37^2*DATOS!$C$48))))*DATOS!$C$48*DATOS!$C$19*BN37/DATOS!$C$40)))-0.0001,MAX(DATOS!$C$29,CEILING(BO37/INDEX(TABLAS!$D$52:$D$58,MIN(MATCH(DATOS!$C$27,TABLAS!$B$52:$B$58,0)+1,7)),1)),MAX(MAX(DATOS!$C$29,CEILING(BO37/INDEX(TABLAS!$D$52:$D$58,MIN(MATCH(DATOS!$C$27,TABLAS!$B$52:$B$58,0)+1,7)),1)),2))&lt;=MIN(DATOS!$C$28,INT(((DATOS!$C$13-2*S37-2*IF(DATOS!$C$25=0,0,INDEX(TABLAS!$C$52:$C$58,MATCH(DATOS!$C$25,TABLAS!$B$52:$B$58,0))))+MAX(DATOS!$C$32,INDEX(TABLAS!$C$52:$C$58,MIN(MATCH(DATOS!$C$27,TABLAS!$B$52:$B$58,0)+1,7))))/(INDEX(TABLAS!$C$52:$C$58,MIN(MATCH(DATOS!$C$27,TABLAS!$B$52:$B$58,0)+1,7))+MAX(DATOS!$C$32,INDEX(TABLAS!$C$52:$C$58,MIN(MATCH(DATOS!$C$27,TABLAS!$B$52:$B$58,0)+1,7))))))),INDEX(TABLAS!$B$52:$B$58,MIN(MATCH(DATOS!$C$27,TABLAS!$B$52:$B$58,0)+1,7)),IF(AND(BO37&gt;=0,IF(MAX(DATOS!$C$29,CEILING(BO37/INDEX(TABLAS!$D$52:$D$58,MIN(MATCH(DATOS!$C$27,TABLAS!$B$52:$B$58,0)+2,7)),1))*INDEX(TABLAS!$D$52:$D$58,MIN(MATCH(DATOS!$C$27,TABLAS!$B$52:$B$58,0)+2,7))&gt;=4/3*IF(BC37&lt;=0,0,IF((1-2*BC37*1E5/(DATOS!$C$58*DATOS!$C$19*BN37^2*DATOS!$C$48))&lt;0,-1,IF((1-SQRT((1-2*BC37*1E5/(DATOS!$C$58*DATOS!$C$19*BN37^2*DATOS!$C$48))))*DATOS!$C$48*DATOS!$C$19*BN37/DATOS!$C$40&gt;DATOS!$C$82*DATOS!$C$19*BN37,-1,(1-SQRT((1-2*BC37*1E5/(DATOS!$C$58*DATOS!$C$19*BN37^2*DATOS!$C$48))))*DATOS!$C$48*DATOS!$C$19*BN37/DATOS!$C$40)))-0.0001,MAX(DATOS!$C$29,CEILING(BO37/INDEX(TABLAS!$D$52:$D$58,MIN(MATCH(DATOS!$C$27,TABLAS!$B$52:$B$58,0)+2,7)),1)),MAX(MAX(DATOS!$C$29,CEILING(BO37/INDEX(TABLAS!$D$52:$D$58,MIN(MATCH(DATOS!$C$27,TABLAS!$B$52:$B$58,0)+2,7)),1)),2))&lt;=MIN(DATOS!$C$28,INT(((DATOS!$C$13-2*S37-2*IF(DATOS!$C$25=0,0,INDEX(TABLAS!$C$52:$C$58,MATCH(DATOS!$C$25,TABLAS!$B$52:$B$58,0))))+MAX(DATOS!$C$32,INDEX(TABLAS!$C$52:$C$58,MIN(MATCH(DATOS!$C$27,TABLAS!$B$52:$B$58,0)+2,7))))/(INDEX(TABLAS!$C$52:$C$58,MIN(MATCH(DATOS!$C$27,TABLAS!$B$52:$B$58,0)+2,7))+MAX(DATOS!$C$32,INDEX(TABLAS!$C$52:$C$58,MIN(MATCH(DATOS!$C$27,TABLAS!$B$52:$B$58,0)+2,7))))))),INDEX(TABLAS!$B$52:$B$58,MIN(MATCH(DATOS!$C$27,TABLAS!$B$52:$B$58,0)+2,7)),IF(AND(BO37&gt;=0,IF(MAX(DATOS!$C$29,CEILING(BO37/INDEX(TABLAS!$D$52:$D$58,MIN(MATCH(DATOS!$C$27,TABLAS!$B$52:$B$58,0)+3,7)),1))*INDEX(TABLAS!$D$52:$D$58,MIN(MATCH(DATOS!$C$27,TABLAS!$B$52:$B$58,0)+3,7))&gt;=4/3*IF(BC37&lt;=0,0,IF((1-2*BC37*1E5/(DATOS!$C$58*DATOS!$C$19*BN37^2*DATOS!$C$48))&lt;0,-1,IF((1-SQRT((1-2*BC37*1E5/(DATOS!$C$58*DATOS!$C$19*BN37^2*DATOS!$C$48))))*DATOS!$C$48*DATOS!$C$19*BN37/DATOS!$C$40&gt;DATOS!$C$82*DATOS!$C$19*BN37,-1,(1-SQRT((1-2*BC37*1E5/(DATOS!$C$58*DATOS!$C$19*BN37^2*DATOS!$C$48))))*DATOS!$C$48*DATOS!$C$19*BN37/DATOS!$C$40)))-0.0001,MAX(DATOS!$C$29,CEILING(BO37/INDEX(TABLAS!$D$52:$D$58,MIN(MATCH(DATOS!$C$27,TABLAS!$B$52:$B$58,0)+3,7)),1)),MAX(MAX(DATOS!$C$29,CEILING(BO37/INDEX(TABLAS!$D$52:$D$58,MIN(MATCH(DATOS!$C$27,TABLAS!$B$52:$B$58,0)+3,7)),1)),2))&lt;=MIN(DATOS!$C$28,INT(((DATOS!$C$13-2*S37-2*IF(DATOS!$C$25=0,0,INDEX(TABLAS!$C$52:$C$58,MATCH(DATOS!$C$25,TABLAS!$B$52:$B$58,0))))+MAX(DATOS!$C$32,INDEX(TABLAS!$C$52:$C$58,MIN(MATCH(DATOS!$C$27,TABLAS!$B$52:$B$58,0)+3,7))))/(INDEX(TABLAS!$C$52:$C$58,MIN(MATCH(DATOS!$C$27,TABLAS!$B$52:$B$58,0)+3,7))+MAX(DATOS!$C$32,INDEX(TABLAS!$C$52:$C$58,MIN(MATCH(DATOS!$C$27,TABLAS!$B$52:$B$58,0)+3,7))))))),INDEX(TABLAS!$B$52:$B$58,MIN(MATCH(DATOS!$C$27,TABLAS!$B$52:$B$58,0)+3,7)),IF(AND(BO37&gt;=0,IF(MAX(DATOS!$C$29,CEILING(BO37/INDEX(TABLAS!$D$52:$D$58,MIN(MATCH(DATOS!$C$27,TABLAS!$B$52:$B$58,0)+4,7)),1))*INDEX(TABLAS!$D$52:$D$58,MIN(MATCH(DATOS!$C$27,TABLAS!$B$52:$B$58,0)+4,7))&gt;=4/3*IF(BC37&lt;=0,0,IF((1-2*BC37*1E5/(DATOS!$C$58*DATOS!$C$19*BN37^2*DATOS!$C$48))&lt;0,-1,IF((1-SQRT((1-2*BC37*1E5/(DATOS!$C$58*DATOS!$C$19*BN37^2*DATOS!$C$48))))*DATOS!$C$48*DATOS!$C$19*BN37/DATOS!$C$40&gt;DATOS!$C$82*DATOS!$C$19*BN37,-1,(1-SQRT((1-2*BC37*1E5/(DATOS!$C$58*DATOS!$C$19*BN37^2*DATOS!$C$48))))*DATOS!$C$48*DATOS!$C$19*BN37/DATOS!$C$40)))-0.0001,MAX(DATOS!$C$29,CEILING(BO37/INDEX(TABLAS!$D$52:$D$58,MIN(MATCH(DATOS!$C$27,TABLAS!$B$52:$B$58,0)+4,7)),1)),MAX(MAX(DATOS!$C$29,CEILING(BO37/INDEX(TABLAS!$D$52:$D$58,MIN(MATCH(DATOS!$C$27,TABLAS!$B$52:$B$58,0)+4,7)),1)),2))&lt;=MIN(DATOS!$C$28,INT(((DATOS!$C$13-2*S37-2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37" s="56">
        <f>IF(D37="HUECO",0,IF(BO37&lt;0,0,IF(MAX(DATOS!$C$29,CEILING(MAX(BO37,0)/INDEX(TABLAS!$D$52:$D$58,MATCH(BP37,TABLAS!$B$52:$B$58,0)),1))*INDEX(TABLAS!$D$52:$D$58,MATCH(BP37,TABLAS!$B$52:$B$58,0))&gt;=4/3*IF(BC37&lt;=0,0,IF((1-2*BC37*1E5/(DATOS!$C$58*DATOS!$C$19*BN37^2*DATOS!$C$48))&lt;0,-1,IF((1-SQRT((1-2*BC37*1E5/(DATOS!$C$58*DATOS!$C$19*BN37^2*DATOS!$C$48))))*DATOS!$C$48*DATOS!$C$19*BN37/DATOS!$C$40&gt;DATOS!$C$82*DATOS!$C$19*BN37,-1,(1-SQRT((1-2*BC37*1E5/(DATOS!$C$58*DATOS!$C$19*BN37^2*DATOS!$C$48))))*DATOS!$C$48*DATOS!$C$19*BN37/DATOS!$C$40)))-0.0001,MAX(DATOS!$C$29,CEILING(MAX(BO37,0)/INDEX(TABLAS!$D$52:$D$58,MATCH(BP37,TABLAS!$B$52:$B$58,0)),1)),MAX(MAX(DATOS!$C$29,CEILING(MAX(BO37,0)/INDEX(TABLAS!$D$52:$D$58,MATCH(BP37,TABLAS!$B$52:$B$58,0)),1)),2))))</f>
        <v>0</v>
      </c>
      <c r="BR37" s="43">
        <f>((DATOS!$C$15-S37-2*DATOS!$C$35-IF(DATOS!$C$25=0,0,INDEX(TABLAS!$C$52:$C$58,MATCH(DATOS!$C$25,TABLAS!$B$52:$B$58,0)))-INDEX(TABLAS!$C$52:$C$58,MATCH(BP37,TABLAS!$B$52:$B$58,0))/2)-IF(AND((DATOS!$C$15-S37-2*DATOS!$C$35-IF(DATOS!$C$25=0,0,INDEX(TABLAS!$C$52:$C$58,MATCH(DATOS!$C$25,TABLAS!$B$52:$B$58,0)))-INDEX(TABLAS!$C$52:$C$58,MATCH(BP37,TABLAS!$B$52:$B$58,0))/2)&lt;=20,DATOS!$C$18&lt;&gt;"SÍ"),2,0))</f>
        <v>21.389</v>
      </c>
      <c r="BS37" s="36">
        <f>IF(BQ37=0,0,DATOS!$C$58*BQ37*INDEX(TABLAS!$D$52:$D$58,MATCH(BP37,TABLAS!$B$52:$B$58,0))*DATOS!$C$40*(BR37-BQ37*INDEX(TABLAS!$D$52:$D$58,MATCH(BP37,TABLAS!$B$52:$B$58,0))*DATOS!$C$40/(DATOS!$C$48*DATOS!$C$19)/2)/1E5)</f>
        <v>0</v>
      </c>
      <c r="BT37" s="62">
        <f>IF(BO37&lt;0,9.99,IF(BS37&gt;0,BC37/BS37,0))</f>
        <v>0</v>
      </c>
      <c r="BU37" s="63" t="str">
        <f>IF(BQ37=0,"—",0.003*(BR37-(BQ37*INDEX(TABLAS!$D$52:$D$58,MATCH(BP37,TABLAS!$B$52:$B$58,0))*DATOS!$C$40/(DATOS!$C$48*DATOS!$C$19)/DATOS!$C$49))/(BQ37*INDEX(TABLAS!$D$52:$D$58,MATCH(BP37,TABLAS!$B$52:$B$58,0))*DATOS!$C$40/(DATOS!$C$48*DATOS!$C$19)/DATOS!$C$49))</f>
        <v>—</v>
      </c>
      <c r="BV37" s="43">
        <f>(DATOS!$C$15-R37-IF(DATOS!$C$25=0,0,INDEX(TABLAS!$C$52:$C$58,MATCH(DATOS!$C$25,TABLAS!$B$52:$B$58,0)))-INDEX(TABLAS!$C$52:$C$58,MATCH(DATOS!$C$26,TABLAS!$B$52:$B$58,0))-INDEX(TABLAS!$C$52:$C$58,MATCH(DATOS!$C$26,TABLAS!$B$52:$B$58,0))/2)</f>
        <v>21.095</v>
      </c>
      <c r="BW37" s="43">
        <f>IF(D37="HUECO",0,IF(IF(BD37&lt;=0,0,IF((1-2*BD37*1E5/(DATOS!$C$58*Q37*BV37^2*DATOS!$C$48))&lt;0,-1,IF((1-SQRT((1-2*BD37*1E5/(DATOS!$C$58*Q37*BV37^2*DATOS!$C$48))))*DATOS!$C$48*Q37*BV37/DATOS!$C$40&gt;DATOS!$C$82*Q37*BV37,-1,(1-SQRT((1-2*BD37*1E5/(DATOS!$C$58*Q37*BV37^2*DATOS!$C$48))))*DATOS!$C$48*Q37*BV37/DATOS!$C$40)))&lt;0,-1,MAX(IF(BD37&lt;=0,0,IF((1-2*BD37*1E5/(DATOS!$C$58*Q37*BV37^2*DATOS!$C$48))&lt;0,-1,IF((1-SQRT((1-2*BD37*1E5/(DATOS!$C$58*Q37*BV37^2*DATOS!$C$48))))*DATOS!$C$48*Q37*BV37/DATOS!$C$40&gt;DATOS!$C$82*Q37*BV37,-1,(1-SQRT((1-2*BD37*1E5/(DATOS!$C$58*Q37*BV37^2*DATOS!$C$48))))*DATOS!$C$48*Q37*BV37/DATOS!$C$40))),MIN(DATOS!$C$83*DATOS!$C$13*BV37,4/3*IF(BD37&lt;=0,0,IF((1-2*BD37*1E5/(DATOS!$C$58*Q37*BV37^2*DATOS!$C$48))&lt;0,-1,IF((1-SQRT((1-2*BD37*1E5/(DATOS!$C$58*Q37*BV37^2*DATOS!$C$48))))*DATOS!$C$48*Q37*BV37/DATOS!$C$40&gt;DATOS!$C$82*Q37*BV37,-1,(1-SQRT((1-2*BD37*1E5/(DATOS!$C$58*Q37*BV37^2*DATOS!$C$48))))*DATOS!$C$48*Q37*BV37/DATOS!$C$40)))))))</f>
        <v>0</v>
      </c>
      <c r="BX37" s="41">
        <f>IF(AND(BW37&gt;=0,IF(MAX(DATOS!$C$29,CEILING(BW37/INDEX(TABLAS!$D$52:$D$58,MIN(MATCH(DATOS!$C$26,TABLAS!$B$52:$B$58,0)+0,7)),1))*INDEX(TABLAS!$D$52:$D$58,MIN(MATCH(DATOS!$C$26,TABLAS!$B$52:$B$58,0)+0,7))&gt;=4/3*IF(BD37&lt;=0,0,IF((1-2*BD37*1E5/(DATOS!$C$58*Q37*BV37^2*DATOS!$C$48))&lt;0,-1,IF((1-SQRT((1-2*BD37*1E5/(DATOS!$C$58*Q37*BV37^2*DATOS!$C$48))))*DATOS!$C$48*Q37*BV37/DATOS!$C$40&gt;DATOS!$C$82*Q37*BV37,-1,(1-SQRT((1-2*BD37*1E5/(DATOS!$C$58*Q37*BV37^2*DATOS!$C$48))))*DATOS!$C$48*Q37*BV37/DATOS!$C$40)))-0.0001,MAX(DATOS!$C$29,CEILING(BW37/INDEX(TABLAS!$D$52:$D$58,MIN(MATCH(DATOS!$C$26,TABLAS!$B$52:$B$58,0)+0,7)),1)),MAX(MAX(DATOS!$C$29,CEILING(BW37/INDEX(TABLAS!$D$52:$D$58,MIN(MATCH(DATOS!$C$26,TABLAS!$B$52:$B$58,0)+0,7)),1)),2))&lt;=MIN(DATOS!$C$28,INT(((DATOS!$C$13-2*R37-2*IF(DATOS!$C$25=0,0,INDEX(TABLAS!$C$52:$C$58,MATCH(DATOS!$C$25,TABLAS!$B$52:$B$58,0))))+MAX(DATOS!$C$32,INDEX(TABLAS!$C$52:$C$58,MIN(MATCH(DATOS!$C$26,TABLAS!$B$52:$B$58,0)+0,7))))/(INDEX(TABLAS!$C$52:$C$58,MIN(MATCH(DATOS!$C$26,TABLAS!$B$52:$B$58,0)+0,7))+MAX(DATOS!$C$32,INDEX(TABLAS!$C$52:$C$58,MIN(MATCH(DATOS!$C$26,TABLAS!$B$52:$B$58,0)+0,7))))))),INDEX(TABLAS!$B$52:$B$58,MIN(MATCH(DATOS!$C$26,TABLAS!$B$52:$B$58,0)+0,7)),IF(AND(BW37&gt;=0,IF(MAX(DATOS!$C$29,CEILING(BW37/INDEX(TABLAS!$D$52:$D$58,MIN(MATCH(DATOS!$C$26,TABLAS!$B$52:$B$58,0)+1,7)),1))*INDEX(TABLAS!$D$52:$D$58,MIN(MATCH(DATOS!$C$26,TABLAS!$B$52:$B$58,0)+1,7))&gt;=4/3*IF(BD37&lt;=0,0,IF((1-2*BD37*1E5/(DATOS!$C$58*Q37*BV37^2*DATOS!$C$48))&lt;0,-1,IF((1-SQRT((1-2*BD37*1E5/(DATOS!$C$58*Q37*BV37^2*DATOS!$C$48))))*DATOS!$C$48*Q37*BV37/DATOS!$C$40&gt;DATOS!$C$82*Q37*BV37,-1,(1-SQRT((1-2*BD37*1E5/(DATOS!$C$58*Q37*BV37^2*DATOS!$C$48))))*DATOS!$C$48*Q37*BV37/DATOS!$C$40)))-0.0001,MAX(DATOS!$C$29,CEILING(BW37/INDEX(TABLAS!$D$52:$D$58,MIN(MATCH(DATOS!$C$26,TABLAS!$B$52:$B$58,0)+1,7)),1)),MAX(MAX(DATOS!$C$29,CEILING(BW37/INDEX(TABLAS!$D$52:$D$58,MIN(MATCH(DATOS!$C$26,TABLAS!$B$52:$B$58,0)+1,7)),1)),2))&lt;=MIN(DATOS!$C$28,INT(((DATOS!$C$13-2*R37-2*IF(DATOS!$C$25=0,0,INDEX(TABLAS!$C$52:$C$58,MATCH(DATOS!$C$25,TABLAS!$B$52:$B$58,0))))+MAX(DATOS!$C$32,INDEX(TABLAS!$C$52:$C$58,MIN(MATCH(DATOS!$C$26,TABLAS!$B$52:$B$58,0)+1,7))))/(INDEX(TABLAS!$C$52:$C$58,MIN(MATCH(DATOS!$C$26,TABLAS!$B$52:$B$58,0)+1,7))+MAX(DATOS!$C$32,INDEX(TABLAS!$C$52:$C$58,MIN(MATCH(DATOS!$C$26,TABLAS!$B$52:$B$58,0)+1,7))))))),INDEX(TABLAS!$B$52:$B$58,MIN(MATCH(DATOS!$C$26,TABLAS!$B$52:$B$58,0)+1,7)),IF(AND(BW37&gt;=0,IF(MAX(DATOS!$C$29,CEILING(BW37/INDEX(TABLAS!$D$52:$D$58,MIN(MATCH(DATOS!$C$26,TABLAS!$B$52:$B$58,0)+2,7)),1))*INDEX(TABLAS!$D$52:$D$58,MIN(MATCH(DATOS!$C$26,TABLAS!$B$52:$B$58,0)+2,7))&gt;=4/3*IF(BD37&lt;=0,0,IF((1-2*BD37*1E5/(DATOS!$C$58*Q37*BV37^2*DATOS!$C$48))&lt;0,-1,IF((1-SQRT((1-2*BD37*1E5/(DATOS!$C$58*Q37*BV37^2*DATOS!$C$48))))*DATOS!$C$48*Q37*BV37/DATOS!$C$40&gt;DATOS!$C$82*Q37*BV37,-1,(1-SQRT((1-2*BD37*1E5/(DATOS!$C$58*Q37*BV37^2*DATOS!$C$48))))*DATOS!$C$48*Q37*BV37/DATOS!$C$40)))-0.0001,MAX(DATOS!$C$29,CEILING(BW37/INDEX(TABLAS!$D$52:$D$58,MIN(MATCH(DATOS!$C$26,TABLAS!$B$52:$B$58,0)+2,7)),1)),MAX(MAX(DATOS!$C$29,CEILING(BW37/INDEX(TABLAS!$D$52:$D$58,MIN(MATCH(DATOS!$C$26,TABLAS!$B$52:$B$58,0)+2,7)),1)),2))&lt;=MIN(DATOS!$C$28,INT(((DATOS!$C$13-2*R37-2*IF(DATOS!$C$25=0,0,INDEX(TABLAS!$C$52:$C$58,MATCH(DATOS!$C$25,TABLAS!$B$52:$B$58,0))))+MAX(DATOS!$C$32,INDEX(TABLAS!$C$52:$C$58,MIN(MATCH(DATOS!$C$26,TABLAS!$B$52:$B$58,0)+2,7))))/(INDEX(TABLAS!$C$52:$C$58,MIN(MATCH(DATOS!$C$26,TABLAS!$B$52:$B$58,0)+2,7))+MAX(DATOS!$C$32,INDEX(TABLAS!$C$52:$C$58,MIN(MATCH(DATOS!$C$26,TABLAS!$B$52:$B$58,0)+2,7))))))),INDEX(TABLAS!$B$52:$B$58,MIN(MATCH(DATOS!$C$26,TABLAS!$B$52:$B$58,0)+2,7)),IF(AND(BW37&gt;=0,IF(MAX(DATOS!$C$29,CEILING(BW37/INDEX(TABLAS!$D$52:$D$58,MIN(MATCH(DATOS!$C$26,TABLAS!$B$52:$B$58,0)+3,7)),1))*INDEX(TABLAS!$D$52:$D$58,MIN(MATCH(DATOS!$C$26,TABLAS!$B$52:$B$58,0)+3,7))&gt;=4/3*IF(BD37&lt;=0,0,IF((1-2*BD37*1E5/(DATOS!$C$58*Q37*BV37^2*DATOS!$C$48))&lt;0,-1,IF((1-SQRT((1-2*BD37*1E5/(DATOS!$C$58*Q37*BV37^2*DATOS!$C$48))))*DATOS!$C$48*Q37*BV37/DATOS!$C$40&gt;DATOS!$C$82*Q37*BV37,-1,(1-SQRT((1-2*BD37*1E5/(DATOS!$C$58*Q37*BV37^2*DATOS!$C$48))))*DATOS!$C$48*Q37*BV37/DATOS!$C$40)))-0.0001,MAX(DATOS!$C$29,CEILING(BW37/INDEX(TABLAS!$D$52:$D$58,MIN(MATCH(DATOS!$C$26,TABLAS!$B$52:$B$58,0)+3,7)),1)),MAX(MAX(DATOS!$C$29,CEILING(BW37/INDEX(TABLAS!$D$52:$D$58,MIN(MATCH(DATOS!$C$26,TABLAS!$B$52:$B$58,0)+3,7)),1)),2))&lt;=MIN(DATOS!$C$28,INT(((DATOS!$C$13-2*R37-2*IF(DATOS!$C$25=0,0,INDEX(TABLAS!$C$52:$C$58,MATCH(DATOS!$C$25,TABLAS!$B$52:$B$58,0))))+MAX(DATOS!$C$32,INDEX(TABLAS!$C$52:$C$58,MIN(MATCH(DATOS!$C$26,TABLAS!$B$52:$B$58,0)+3,7))))/(INDEX(TABLAS!$C$52:$C$58,MIN(MATCH(DATOS!$C$26,TABLAS!$B$52:$B$58,0)+3,7))+MAX(DATOS!$C$32,INDEX(TABLAS!$C$52:$C$58,MIN(MATCH(DATOS!$C$26,TABLAS!$B$52:$B$58,0)+3,7))))))),INDEX(TABLAS!$B$52:$B$58,MIN(MATCH(DATOS!$C$26,TABLAS!$B$52:$B$58,0)+3,7)),IF(AND(BW37&gt;=0,IF(MAX(DATOS!$C$29,CEILING(BW37/INDEX(TABLAS!$D$52:$D$58,MIN(MATCH(DATOS!$C$26,TABLAS!$B$52:$B$58,0)+4,7)),1))*INDEX(TABLAS!$D$52:$D$58,MIN(MATCH(DATOS!$C$26,TABLAS!$B$52:$B$58,0)+4,7))&gt;=4/3*IF(BD37&lt;=0,0,IF((1-2*BD37*1E5/(DATOS!$C$58*Q37*BV37^2*DATOS!$C$48))&lt;0,-1,IF((1-SQRT((1-2*BD37*1E5/(DATOS!$C$58*Q37*BV37^2*DATOS!$C$48))))*DATOS!$C$48*Q37*BV37/DATOS!$C$40&gt;DATOS!$C$82*Q37*BV37,-1,(1-SQRT((1-2*BD37*1E5/(DATOS!$C$58*Q37*BV37^2*DATOS!$C$48))))*DATOS!$C$48*Q37*BV37/DATOS!$C$40)))-0.0001,MAX(DATOS!$C$29,CEILING(BW37/INDEX(TABLAS!$D$52:$D$58,MIN(MATCH(DATOS!$C$26,TABLAS!$B$52:$B$58,0)+4,7)),1)),MAX(MAX(DATOS!$C$29,CEILING(BW37/INDEX(TABLAS!$D$52:$D$58,MIN(MATCH(DATOS!$C$26,TABLAS!$B$52:$B$58,0)+4,7)),1)),2))&lt;=MIN(DATOS!$C$28,INT(((DATOS!$C$13-2*R37-2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37" s="56">
        <f>IF(D37="HUECO",0,IF(BW37&lt;0,0,IF(MAX(DATOS!$C$29,CEILING(MAX(BW37,0)/INDEX(TABLAS!$D$52:$D$58,MATCH(BX37,TABLAS!$B$52:$B$58,0)),1))*INDEX(TABLAS!$D$52:$D$58,MATCH(BX37,TABLAS!$B$52:$B$58,0))&gt;=4/3*IF(BD37&lt;=0,0,IF((1-2*BD37*1E5/(DATOS!$C$58*Q37*BV37^2*DATOS!$C$48))&lt;0,-1,IF((1-SQRT((1-2*BD37*1E5/(DATOS!$C$58*Q37*BV37^2*DATOS!$C$48))))*DATOS!$C$48*Q37*BV37/DATOS!$C$40&gt;DATOS!$C$82*Q37*BV37,-1,(1-SQRT((1-2*BD37*1E5/(DATOS!$C$58*Q37*BV37^2*DATOS!$C$48))))*DATOS!$C$48*Q37*BV37/DATOS!$C$40)))-0.0001,MAX(DATOS!$C$29,CEILING(MAX(BW37,0)/INDEX(TABLAS!$D$52:$D$58,MATCH(BX37,TABLAS!$B$52:$B$58,0)),1)),MAX(MAX(DATOS!$C$29,CEILING(MAX(BW37,0)/INDEX(TABLAS!$D$52:$D$58,MATCH(BX37,TABLAS!$B$52:$B$58,0)),1)),2))))</f>
        <v>0</v>
      </c>
      <c r="BZ37" s="43">
        <f>DATOS!$C$15-R37-IF(DATOS!$C$25=0,0,INDEX(TABLAS!$C$52:$C$58,MATCH(DATOS!$C$25,TABLAS!$B$52:$B$58,0)))-INDEX(TABLAS!$C$52:$C$58,MATCH(BH37,TABLAS!$B$52:$B$58,0))-INDEX(TABLAS!$C$52:$C$58,MATCH(BX37,TABLAS!$B$52:$B$58,0))/2</f>
        <v>21.095</v>
      </c>
      <c r="CA37" s="36">
        <f>IF(BY37=0,0,DATOS!$C$58*BY37*INDEX(TABLAS!$D$52:$D$58,MATCH(BX37,TABLAS!$B$52:$B$58,0))*DATOS!$C$40*(BZ37-BY37*INDEX(TABLAS!$D$52:$D$58,MATCH(BX37,TABLAS!$B$52:$B$58,0))*DATOS!$C$40/(DATOS!$C$48*Q37)/2)/1E5)</f>
        <v>0</v>
      </c>
      <c r="CB37" s="62">
        <f>IF(BW37&lt;0,9.99,IF(CA37&gt;0,BD37/CA37,0))</f>
        <v>0</v>
      </c>
      <c r="CC37" s="63" t="str">
        <f>IF(BY37=0,"—",0.003*(BZ37-(BY37*INDEX(TABLAS!$D$52:$D$58,MATCH(BX37,TABLAS!$B$52:$B$58,0))*DATOS!$C$40/(DATOS!$C$48*Q37)/DATOS!$C$49))/(BY37*INDEX(TABLAS!$D$52:$D$58,MATCH(BX37,TABLAS!$B$52:$B$58,0))*DATOS!$C$40/(DATOS!$C$48*Q37)/DATOS!$C$49))</f>
        <v>—</v>
      </c>
      <c r="CD37" s="43">
        <f>((DATOS!$C$15-S37-2*DATOS!$C$35-IF(DATOS!$C$25=0,0,INDEX(TABLAS!$C$52:$C$58,MATCH(DATOS!$C$25,TABLAS!$B$52:$B$58,0)))-INDEX(TABLAS!$C$52:$C$58,MATCH(DATOS!$C$27,TABLAS!$B$52:$B$58,0))-INDEX(TABLAS!$C$52:$C$58,MATCH(DATOS!$C$27,TABLAS!$B$52:$B$58,0))/2)-IF(AND((DATOS!$C$15-S37-2*DATOS!$C$35-IF(DATOS!$C$25=0,0,INDEX(TABLAS!$C$52:$C$58,MATCH(DATOS!$C$25,TABLAS!$B$52:$B$58,0)))-INDEX(TABLAS!$C$52:$C$58,MATCH(DATOS!$C$27,TABLAS!$B$52:$B$58,0))-INDEX(TABLAS!$C$52:$C$58,MATCH(DATOS!$C$27,TABLAS!$B$52:$B$58,0))/2)&lt;=20,DATOS!$C$18&lt;&gt;"SÍ"),2,0))</f>
        <v>20.119</v>
      </c>
      <c r="CE37" s="43">
        <f>IF(D37="HUECO",0,IF(IF(BE37&lt;=0,0,IF((1-2*BE37*1E5/(DATOS!$C$58*DATOS!$C$19*CD37^2*DATOS!$C$48))&lt;0,-1,IF((1-SQRT((1-2*BE37*1E5/(DATOS!$C$58*DATOS!$C$19*CD37^2*DATOS!$C$48))))*DATOS!$C$48*DATOS!$C$19*CD37/DATOS!$C$40&gt;DATOS!$C$82*DATOS!$C$19*CD37,-1,(1-SQRT((1-2*BE37*1E5/(DATOS!$C$58*DATOS!$C$19*CD37^2*DATOS!$C$48))))*DATOS!$C$48*DATOS!$C$19*CD37/DATOS!$C$40)))&lt;0,-1,MAX(IF(BE37&lt;=0,0,IF((1-2*BE37*1E5/(DATOS!$C$58*DATOS!$C$19*CD37^2*DATOS!$C$48))&lt;0,-1,IF((1-SQRT((1-2*BE37*1E5/(DATOS!$C$58*DATOS!$C$19*CD37^2*DATOS!$C$48))))*DATOS!$C$48*DATOS!$C$19*CD37/DATOS!$C$40&gt;DATOS!$C$82*DATOS!$C$19*CD37,-1,(1-SQRT((1-2*BE37*1E5/(DATOS!$C$58*DATOS!$C$19*CD37^2*DATOS!$C$48))))*DATOS!$C$48*DATOS!$C$19*CD37/DATOS!$C$40))),MIN(DATOS!$C$83*DATOS!$C$13*CD37,4/3*IF(BE37&lt;=0,0,IF((1-2*BE37*1E5/(DATOS!$C$58*DATOS!$C$19*CD37^2*DATOS!$C$48))&lt;0,-1,IF((1-SQRT((1-2*BE37*1E5/(DATOS!$C$58*DATOS!$C$19*CD37^2*DATOS!$C$48))))*DATOS!$C$48*DATOS!$C$19*CD37/DATOS!$C$40&gt;DATOS!$C$82*DATOS!$C$19*CD37,-1,(1-SQRT((1-2*BE37*1E5/(DATOS!$C$58*DATOS!$C$19*CD37^2*DATOS!$C$48))))*DATOS!$C$48*DATOS!$C$19*CD37/DATOS!$C$40)))))))</f>
        <v>0</v>
      </c>
      <c r="CF37" s="41">
        <f>IF(AND(CE37&gt;=0,IF(MAX(DATOS!$C$29,CEILING(CE37/INDEX(TABLAS!$D$52:$D$58,MIN(MATCH(DATOS!$C$27,TABLAS!$B$52:$B$58,0)+0,7)),1))*INDEX(TABLAS!$D$52:$D$58,MIN(MATCH(DATOS!$C$27,TABLAS!$B$52:$B$58,0)+0,7))&gt;=4/3*IF(BE37&lt;=0,0,IF((1-2*BE37*1E5/(DATOS!$C$58*DATOS!$C$19*CD37^2*DATOS!$C$48))&lt;0,-1,IF((1-SQRT((1-2*BE37*1E5/(DATOS!$C$58*DATOS!$C$19*CD37^2*DATOS!$C$48))))*DATOS!$C$48*DATOS!$C$19*CD37/DATOS!$C$40&gt;DATOS!$C$82*DATOS!$C$19*CD37,-1,(1-SQRT((1-2*BE37*1E5/(DATOS!$C$58*DATOS!$C$19*CD37^2*DATOS!$C$48))))*DATOS!$C$48*DATOS!$C$19*CD37/DATOS!$C$40)))-0.0001,MAX(DATOS!$C$29,CEILING(CE37/INDEX(TABLAS!$D$52:$D$58,MIN(MATCH(DATOS!$C$27,TABLAS!$B$52:$B$58,0)+0,7)),1)),MAX(MAX(DATOS!$C$29,CEILING(CE37/INDEX(TABLAS!$D$52:$D$58,MIN(MATCH(DATOS!$C$27,TABLAS!$B$52:$B$58,0)+0,7)),1)),2))&lt;=MIN(DATOS!$C$28,INT(((DATOS!$C$13-2*S37-2*IF(DATOS!$C$25=0,0,INDEX(TABLAS!$C$52:$C$58,MATCH(DATOS!$C$25,TABLAS!$B$52:$B$58,0))))+MAX(DATOS!$C$32,INDEX(TABLAS!$C$52:$C$58,MIN(MATCH(DATOS!$C$27,TABLAS!$B$52:$B$58,0)+0,7))))/(INDEX(TABLAS!$C$52:$C$58,MIN(MATCH(DATOS!$C$27,TABLAS!$B$52:$B$58,0)+0,7))+MAX(DATOS!$C$32,INDEX(TABLAS!$C$52:$C$58,MIN(MATCH(DATOS!$C$27,TABLAS!$B$52:$B$58,0)+0,7))))))),INDEX(TABLAS!$B$52:$B$58,MIN(MATCH(DATOS!$C$27,TABLAS!$B$52:$B$58,0)+0,7)),IF(AND(CE37&gt;=0,IF(MAX(DATOS!$C$29,CEILING(CE37/INDEX(TABLAS!$D$52:$D$58,MIN(MATCH(DATOS!$C$27,TABLAS!$B$52:$B$58,0)+1,7)),1))*INDEX(TABLAS!$D$52:$D$58,MIN(MATCH(DATOS!$C$27,TABLAS!$B$52:$B$58,0)+1,7))&gt;=4/3*IF(BE37&lt;=0,0,IF((1-2*BE37*1E5/(DATOS!$C$58*DATOS!$C$19*CD37^2*DATOS!$C$48))&lt;0,-1,IF((1-SQRT((1-2*BE37*1E5/(DATOS!$C$58*DATOS!$C$19*CD37^2*DATOS!$C$48))))*DATOS!$C$48*DATOS!$C$19*CD37/DATOS!$C$40&gt;DATOS!$C$82*DATOS!$C$19*CD37,-1,(1-SQRT((1-2*BE37*1E5/(DATOS!$C$58*DATOS!$C$19*CD37^2*DATOS!$C$48))))*DATOS!$C$48*DATOS!$C$19*CD37/DATOS!$C$40)))-0.0001,MAX(DATOS!$C$29,CEILING(CE37/INDEX(TABLAS!$D$52:$D$58,MIN(MATCH(DATOS!$C$27,TABLAS!$B$52:$B$58,0)+1,7)),1)),MAX(MAX(DATOS!$C$29,CEILING(CE37/INDEX(TABLAS!$D$52:$D$58,MIN(MATCH(DATOS!$C$27,TABLAS!$B$52:$B$58,0)+1,7)),1)),2))&lt;=MIN(DATOS!$C$28,INT(((DATOS!$C$13-2*S37-2*IF(DATOS!$C$25=0,0,INDEX(TABLAS!$C$52:$C$58,MATCH(DATOS!$C$25,TABLAS!$B$52:$B$58,0))))+MAX(DATOS!$C$32,INDEX(TABLAS!$C$52:$C$58,MIN(MATCH(DATOS!$C$27,TABLAS!$B$52:$B$58,0)+1,7))))/(INDEX(TABLAS!$C$52:$C$58,MIN(MATCH(DATOS!$C$27,TABLAS!$B$52:$B$58,0)+1,7))+MAX(DATOS!$C$32,INDEX(TABLAS!$C$52:$C$58,MIN(MATCH(DATOS!$C$27,TABLAS!$B$52:$B$58,0)+1,7))))))),INDEX(TABLAS!$B$52:$B$58,MIN(MATCH(DATOS!$C$27,TABLAS!$B$52:$B$58,0)+1,7)),IF(AND(CE37&gt;=0,IF(MAX(DATOS!$C$29,CEILING(CE37/INDEX(TABLAS!$D$52:$D$58,MIN(MATCH(DATOS!$C$27,TABLAS!$B$52:$B$58,0)+2,7)),1))*INDEX(TABLAS!$D$52:$D$58,MIN(MATCH(DATOS!$C$27,TABLAS!$B$52:$B$58,0)+2,7))&gt;=4/3*IF(BE37&lt;=0,0,IF((1-2*BE37*1E5/(DATOS!$C$58*DATOS!$C$19*CD37^2*DATOS!$C$48))&lt;0,-1,IF((1-SQRT((1-2*BE37*1E5/(DATOS!$C$58*DATOS!$C$19*CD37^2*DATOS!$C$48))))*DATOS!$C$48*DATOS!$C$19*CD37/DATOS!$C$40&gt;DATOS!$C$82*DATOS!$C$19*CD37,-1,(1-SQRT((1-2*BE37*1E5/(DATOS!$C$58*DATOS!$C$19*CD37^2*DATOS!$C$48))))*DATOS!$C$48*DATOS!$C$19*CD37/DATOS!$C$40)))-0.0001,MAX(DATOS!$C$29,CEILING(CE37/INDEX(TABLAS!$D$52:$D$58,MIN(MATCH(DATOS!$C$27,TABLAS!$B$52:$B$58,0)+2,7)),1)),MAX(MAX(DATOS!$C$29,CEILING(CE37/INDEX(TABLAS!$D$52:$D$58,MIN(MATCH(DATOS!$C$27,TABLAS!$B$52:$B$58,0)+2,7)),1)),2))&lt;=MIN(DATOS!$C$28,INT(((DATOS!$C$13-2*S37-2*IF(DATOS!$C$25=0,0,INDEX(TABLAS!$C$52:$C$58,MATCH(DATOS!$C$25,TABLAS!$B$52:$B$58,0))))+MAX(DATOS!$C$32,INDEX(TABLAS!$C$52:$C$58,MIN(MATCH(DATOS!$C$27,TABLAS!$B$52:$B$58,0)+2,7))))/(INDEX(TABLAS!$C$52:$C$58,MIN(MATCH(DATOS!$C$27,TABLAS!$B$52:$B$58,0)+2,7))+MAX(DATOS!$C$32,INDEX(TABLAS!$C$52:$C$58,MIN(MATCH(DATOS!$C$27,TABLAS!$B$52:$B$58,0)+2,7))))))),INDEX(TABLAS!$B$52:$B$58,MIN(MATCH(DATOS!$C$27,TABLAS!$B$52:$B$58,0)+2,7)),IF(AND(CE37&gt;=0,IF(MAX(DATOS!$C$29,CEILING(CE37/INDEX(TABLAS!$D$52:$D$58,MIN(MATCH(DATOS!$C$27,TABLAS!$B$52:$B$58,0)+3,7)),1))*INDEX(TABLAS!$D$52:$D$58,MIN(MATCH(DATOS!$C$27,TABLAS!$B$52:$B$58,0)+3,7))&gt;=4/3*IF(BE37&lt;=0,0,IF((1-2*BE37*1E5/(DATOS!$C$58*DATOS!$C$19*CD37^2*DATOS!$C$48))&lt;0,-1,IF((1-SQRT((1-2*BE37*1E5/(DATOS!$C$58*DATOS!$C$19*CD37^2*DATOS!$C$48))))*DATOS!$C$48*DATOS!$C$19*CD37/DATOS!$C$40&gt;DATOS!$C$82*DATOS!$C$19*CD37,-1,(1-SQRT((1-2*BE37*1E5/(DATOS!$C$58*DATOS!$C$19*CD37^2*DATOS!$C$48))))*DATOS!$C$48*DATOS!$C$19*CD37/DATOS!$C$40)))-0.0001,MAX(DATOS!$C$29,CEILING(CE37/INDEX(TABLAS!$D$52:$D$58,MIN(MATCH(DATOS!$C$27,TABLAS!$B$52:$B$58,0)+3,7)),1)),MAX(MAX(DATOS!$C$29,CEILING(CE37/INDEX(TABLAS!$D$52:$D$58,MIN(MATCH(DATOS!$C$27,TABLAS!$B$52:$B$58,0)+3,7)),1)),2))&lt;=MIN(DATOS!$C$28,INT(((DATOS!$C$13-2*S37-2*IF(DATOS!$C$25=0,0,INDEX(TABLAS!$C$52:$C$58,MATCH(DATOS!$C$25,TABLAS!$B$52:$B$58,0))))+MAX(DATOS!$C$32,INDEX(TABLAS!$C$52:$C$58,MIN(MATCH(DATOS!$C$27,TABLAS!$B$52:$B$58,0)+3,7))))/(INDEX(TABLAS!$C$52:$C$58,MIN(MATCH(DATOS!$C$27,TABLAS!$B$52:$B$58,0)+3,7))+MAX(DATOS!$C$32,INDEX(TABLAS!$C$52:$C$58,MIN(MATCH(DATOS!$C$27,TABLAS!$B$52:$B$58,0)+3,7))))))),INDEX(TABLAS!$B$52:$B$58,MIN(MATCH(DATOS!$C$27,TABLAS!$B$52:$B$58,0)+3,7)),IF(AND(CE37&gt;=0,IF(MAX(DATOS!$C$29,CEILING(CE37/INDEX(TABLAS!$D$52:$D$58,MIN(MATCH(DATOS!$C$27,TABLAS!$B$52:$B$58,0)+4,7)),1))*INDEX(TABLAS!$D$52:$D$58,MIN(MATCH(DATOS!$C$27,TABLAS!$B$52:$B$58,0)+4,7))&gt;=4/3*IF(BE37&lt;=0,0,IF((1-2*BE37*1E5/(DATOS!$C$58*DATOS!$C$19*CD37^2*DATOS!$C$48))&lt;0,-1,IF((1-SQRT((1-2*BE37*1E5/(DATOS!$C$58*DATOS!$C$19*CD37^2*DATOS!$C$48))))*DATOS!$C$48*DATOS!$C$19*CD37/DATOS!$C$40&gt;DATOS!$C$82*DATOS!$C$19*CD37,-1,(1-SQRT((1-2*BE37*1E5/(DATOS!$C$58*DATOS!$C$19*CD37^2*DATOS!$C$48))))*DATOS!$C$48*DATOS!$C$19*CD37/DATOS!$C$40)))-0.0001,MAX(DATOS!$C$29,CEILING(CE37/INDEX(TABLAS!$D$52:$D$58,MIN(MATCH(DATOS!$C$27,TABLAS!$B$52:$B$58,0)+4,7)),1)),MAX(MAX(DATOS!$C$29,CEILING(CE37/INDEX(TABLAS!$D$52:$D$58,MIN(MATCH(DATOS!$C$27,TABLAS!$B$52:$B$58,0)+4,7)),1)),2))&lt;=MIN(DATOS!$C$28,INT(((DATOS!$C$13-2*S37-2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37" s="56">
        <f>IF(D37="HUECO",0,IF(CE37&lt;0,0,IF(MAX(DATOS!$C$29,CEILING(MAX(CE37,0)/INDEX(TABLAS!$D$52:$D$58,MATCH(CF37,TABLAS!$B$52:$B$58,0)),1))*INDEX(TABLAS!$D$52:$D$58,MATCH(CF37,TABLAS!$B$52:$B$58,0))&gt;=4/3*IF(BE37&lt;=0,0,IF((1-2*BE37*1E5/(DATOS!$C$58*DATOS!$C$19*CD37^2*DATOS!$C$48))&lt;0,-1,IF((1-SQRT((1-2*BE37*1E5/(DATOS!$C$58*DATOS!$C$19*CD37^2*DATOS!$C$48))))*DATOS!$C$48*DATOS!$C$19*CD37/DATOS!$C$40&gt;DATOS!$C$82*DATOS!$C$19*CD37,-1,(1-SQRT((1-2*BE37*1E5/(DATOS!$C$58*DATOS!$C$19*CD37^2*DATOS!$C$48))))*DATOS!$C$48*DATOS!$C$19*CD37/DATOS!$C$40)))-0.0001,MAX(DATOS!$C$29,CEILING(MAX(CE37,0)/INDEX(TABLAS!$D$52:$D$58,MATCH(CF37,TABLAS!$B$52:$B$58,0)),1)),MAX(MAX(DATOS!$C$29,CEILING(MAX(CE37,0)/INDEX(TABLAS!$D$52:$D$58,MATCH(CF37,TABLAS!$B$52:$B$58,0)),1)),2))))</f>
        <v>0</v>
      </c>
      <c r="CH37" s="43">
        <f>((DATOS!$C$15-S37-2*DATOS!$C$35-IF(DATOS!$C$25=0,0,INDEX(TABLAS!$C$52:$C$58,MATCH(DATOS!$C$25,TABLAS!$B$52:$B$58,0)))-INDEX(TABLAS!$C$52:$C$58,MATCH(BP37,TABLAS!$B$52:$B$58,0))-INDEX(TABLAS!$C$52:$C$58,MATCH(CF37,TABLAS!$B$52:$B$58,0))/2)-IF(AND((DATOS!$C$15-S37-2*DATOS!$C$35-IF(DATOS!$C$25=0,0,INDEX(TABLAS!$C$52:$C$58,MATCH(DATOS!$C$25,TABLAS!$B$52:$B$58,0)))-INDEX(TABLAS!$C$52:$C$58,MATCH(BP37,TABLAS!$B$52:$B$58,0))-INDEX(TABLAS!$C$52:$C$58,MATCH(CF37,TABLAS!$B$52:$B$58,0))/2)&lt;=20,DATOS!$C$18&lt;&gt;"SÍ"),2,0))</f>
        <v>20.119</v>
      </c>
      <c r="CI37" s="36">
        <f>IF(CG37=0,0,DATOS!$C$58*CG37*INDEX(TABLAS!$D$52:$D$58,MATCH(CF37,TABLAS!$B$52:$B$58,0))*DATOS!$C$40*(CH37-CG37*INDEX(TABLAS!$D$52:$D$58,MATCH(CF37,TABLAS!$B$52:$B$58,0))*DATOS!$C$40/(DATOS!$C$48*DATOS!$C$19)/2)/1E5)</f>
        <v>0</v>
      </c>
      <c r="CJ37" s="62">
        <f>IF(CE37&lt;0,9.99,IF(CI37&gt;0,BE37/CI37,0))</f>
        <v>0</v>
      </c>
      <c r="CK37" s="63" t="str">
        <f>IF(CG37=0,"—",0.003*(CH37-(CG37*INDEX(TABLAS!$D$52:$D$58,MATCH(CF37,TABLAS!$B$52:$B$58,0))*DATOS!$C$40/(DATOS!$C$48*DATOS!$C$19)/DATOS!$C$49))/(CG37*INDEX(TABLAS!$D$52:$D$58,MATCH(CF37,TABLAS!$B$52:$B$58,0))*DATOS!$C$40/(DATOS!$C$48*DATOS!$C$19)/DATOS!$C$49))</f>
        <v>—</v>
      </c>
      <c r="CL37" s="52" t="str">
        <f>IF(D37="HUECO","—",IF(AND(D37="PERIMETRAL",J37*100&gt;=6*DATOS!$C$11,DATOS!$C$11&lt;=80,DATOS!$C$13&gt;=10,DATOS!$C$15&lt;=3.5*DATOS!$C$13,DATOS!$C$14&gt;=MAX(DATOS!$C$11/13,5)),"SÍ","NO"))</f>
        <v>—</v>
      </c>
      <c r="CM37" s="36">
        <f>IF(D37="PERIMETRAL",MAX(0,(N37/2-BR37)/100)*(0.95-0.5*L37)*Y37*IF(AND(Z37&gt;0,Z37&lt;4),DATOS!$C$63,1)*DATOS!$C$16/100/1000+AX37,IF(D37="VOLADO",(Y37*MAX(0,N37-BR37)/100+DATOS!$C$55*BA37)*DATOS!$C$16/100/1000,0))</f>
        <v>0</v>
      </c>
      <c r="CN37" s="36">
        <f>IF(D37="HUECO",0,DATOS!$C$59*2*MIN(1,SQRT(2/(1+0.04*BR37)))*(BQ37*INDEX(TABLAS!$D$52:$D$58,MATCH(BP37,TABLAS!$B$52:$B$58,0))/(DATOS!$C$19*BR37))^(1/3)*SQRT(DATOS!$C$39)*DATOS!$C$19*BR37*IF(CL37="SÍ",DATOS!$C$62,1)/1000)</f>
        <v>0</v>
      </c>
      <c r="CO37" s="51" t="str">
        <f>IF(D37="HUECO","—",IF(CM37&lt;=CN37,"CUMPLE",IF(MAX(0,CEILING((IF(D37="VOLADO",(N37-(CN37*1E5/DATOS!$C$16-DATOS!$C$55*BA37)*100/Y37),IF(CN37&lt;=AX37,N37,N37/2-(CN37-AX37)/MAX(CM37-AX37,1E-9)*(N37/2-BR37)))-IF(INT((J37*100-DATOS!$C$17+DATOS!$C$13)/DATOS!$C$16)&gt;0,(J37*100-DATOS!$C$17-(INT((J37*100-DATOS!$C$17+DATOS!$C$13)/DATOS!$C$16)*DATOS!$C$11+(INT((J37*100-DATOS!$C$17+DATOS!$C$13)/DATOS!$C$16)-1)*DATOS!$C$13))/2,J37*100/2))/DATOS!$C$16,1))&lt;=0,"CUMPLE (basta el macizo de orilla)","MACIZAR "&amp;MAX(0,CEILING((IF(D37="VOLADO",(N37-(CN37*1E5/DATOS!$C$16-DATOS!$C$55*BA37)*100/Y37),IF(CN37&lt;=AX37,N37,N37/2-(CN37-AX37)/MAX(CM37-AX37,1E-9)*(N37/2-BR37)))-IF(INT((J37*100-DATOS!$C$17+DATOS!$C$13)/DATOS!$C$16)&gt;0,(J37*100-DATOS!$C$17-(INT((J37*100-DATOS!$C$17+DATOS!$C$13)/DATOS!$C$16)*DATOS!$C$11+(INT((J37*100-DATOS!$C$17+DATOS!$C$13)/DATOS!$C$16)-1)*DATOS!$C$13))/2,J37*100/2))/DATOS!$C$16,1))&amp;" hilera(s)")))</f>
        <v>—</v>
      </c>
      <c r="CP37" s="43">
        <f>IF(D37="PERIMETRAL",((PRINCIPALES!$N$40*PRINCIPALES!$O$40^3/12/(0.449*100*IF(APOYOS!$G$141="CONTINUO",1,0.5)*DATOS!$C$77^3/12))+99+99+99)/4,0)</f>
        <v>0</v>
      </c>
      <c r="CQ37" s="57">
        <f>IF(D37="PERIMETRAL",IF(CP37&gt;2,MAX(9,O37*(0.8+DATOS!$C$40/14000)/(36+9*(O37/MAX(N37,1)))),IF(CP37&gt;0.2,MAX(13,O37*(0.8+DATOS!$C$40/14000)/(36+5*(O37/MAX(N37,1))*(CP37-0.2))),MAX(13,O37/IF(Z37&gt;0,30,33))))*IF(AND(CP37&gt;0.2,OR(AND((APOYOS!$G$141="DISCONTINUO"),(PRINCIPALES!$N$40*PRINCIPALES!$O$40^3/12/(0.449*100*IF(APOYOS!$G$141="CONTINUO",1,0.5)*DATOS!$C$77^3/12))&lt;0.8),AND((APOYOS!$G$142="DISCONTINUO"),99&lt;0.8),AND((APOYOS!$G$143="DISCONTINUO"),99&lt;0.8),AND((APOYOS!$G$144="DISCONTINUO"),99&lt;0.8))),1.1,1),IF(D37="VOLADO",MAX(25,J37*100/8),0))</f>
        <v>0</v>
      </c>
      <c r="CR37" s="57">
        <f>IF(D37="VOLADO",DATOS!$C$15,DATOS!$C$77)</f>
        <v>16.7232564120244</v>
      </c>
      <c r="CS37" s="52" t="str">
        <f>IF(D37="HUECO","—",IF(CR37&gt;=CQ37,"CUMPLE",IF(D37="VOLADO","NO CUMPLE","CALCULAR FLECHA")))</f>
        <v>—</v>
      </c>
      <c r="CT37" s="52" t="str">
        <f>IF(D37="HUECO","—",IF(DATOS!$C$14&gt;=IF(IF(D37="VOLADO",J37,K37)&gt;=6,6,5),"CUMPLE","CAPA ≥ 6 cm"))</f>
        <v>—</v>
      </c>
      <c r="CU37" s="59">
        <f>IF(D37="HUECO",0,IF(((4*((AL37*Y37*J37^2*1E-4*DATOS!$C$16/100/1000)+((MAX(AH37,AJ37)*Y37*J37^2*1E-4*DATOS!$C$16/100/1000)+(IF(AND(AH37&gt;0,AJ37&gt;0),MIN(AH37,AJ37),MAX(AH37,AJ37))*Y37*J37^2*1E-4*DATOS!$C$16/100/1000))/2)+BC37-(IF(AND(AH37&gt;0,AJ37&gt;0),MIN(AH37,AJ37),MAX(AH37,AJ37))*Y37*J37^2*1E-4*DATOS!$C$16/100/1000))^2-16*((AL37*Y37*J37^2*1E-4*DATOS!$C$16/100/1000)+((MAX(AH37,AJ37)*Y37*J37^2*1E-4*DATOS!$C$16/100/1000)+(IF(AND(AH37&gt;0,AJ37&gt;0),MIN(AH37,AJ37),MAX(AH37,AJ37))*Y37*J37^2*1E-4*DATOS!$C$16/100/1000))/2)*BC37)&lt;0,CEILING(N37,5),CEILING(MAX(N37*((4*((AL37*Y37*J37^2*1E-4*DATOS!$C$16/100/1000)+((MAX(AH37,AJ37)*Y37*J37^2*1E-4*DATOS!$C$16/100/1000)+(IF(AND(AH37&gt;0,AJ37&gt;0),MIN(AH37,AJ37),MAX(AH37,AJ37))*Y37*J37^2*1E-4*DATOS!$C$16/100/1000))/2)+BC37-(IF(AND(AH37&gt;0,AJ37&gt;0),MIN(AH37,AJ37),MAX(AH37,AJ37))*Y37*J37^2*1E-4*DATOS!$C$16/100/1000))-SQRT(MAX(0,((4*((AL37*Y37*J37^2*1E-4*DATOS!$C$16/100/1000)+((MAX(AH37,AJ37)*Y37*J37^2*1E-4*DATOS!$C$16/100/1000)+(IF(AND(AH37&gt;0,AJ37&gt;0),MIN(AH37,AJ37),MAX(AH37,AJ37))*Y37*J37^2*1E-4*DATOS!$C$16/100/1000))/2)+BC37-(IF(AND(AH37&gt;0,AJ37&gt;0),MIN(AH37,AJ37),MAX(AH37,AJ37))*Y37*J37^2*1E-4*DATOS!$C$16/100/1000))^2-16*((AL37*Y37*J37^2*1E-4*DATOS!$C$16/100/1000)+((MAX(AH37,AJ37)*Y37*J37^2*1E-4*DATOS!$C$16/100/1000)+(IF(AND(AH37&gt;0,AJ37&gt;0),MIN(AH37,AJ37),MAX(AH37,AJ37))*Y37*J37^2*1E-4*DATOS!$C$16/100/1000))/2)*BC37))))/(8*MAX(((AL37*Y37*J37^2*1E-4*DATOS!$C$16/100/1000)+((MAX(AH37,AJ37)*Y37*J37^2*1E-4*DATOS!$C$16/100/1000)+(IF(AND(AH37&gt;0,AJ37&gt;0),MIN(AH37,AJ37),MAX(AH37,AJ37))*Y37*J37^2*1E-4*DATOS!$C$16/100/1000))/2),1E-9))+MAX(BR37,12*INDEX(TABLAS!$C$52:$C$58,MATCH(BP37,TABLAS!$B$52:$B$58,0)),N37/16),IF(OR(S37&lt;INDEX(TABLAS!$C$52:$C$58,MATCH(BP37,TABLAS!$B$52:$B$58,0)),AND(BQ37&gt;=2,(DATOS!$C$13-2*S37-2*IF(DATOS!$C$25=0,0,INDEX(TABLAS!$C$52:$C$58,MATCH(DATOS!$C$25,TABLAS!$B$52:$B$58,0)))-BQ37*INDEX(TABLAS!$C$52:$C$58,MATCH(BP37,TABLAS!$B$52:$B$58,0)))/MAX(BQ37-1,1)&lt;2*INDEX(TABLAS!$C$52:$C$58,MATCH(BP37,TABLAS!$B$52:$B$58,0)))),INDEX(TABLAS!$I$52:$I$58,MATCH(BP37,TABLAS!$B$52:$B$58,0)),INDEX(TABLAS!$F$52:$F$58,MATCH(BP37,TABLAS!$B$52:$B$58,0)))),5)))</f>
        <v>0</v>
      </c>
      <c r="CV37" s="59">
        <f>IF(D37="HUECO",0,IF(((4*((AM37*Y37*J37^2*1E-4*DATOS!$C$16/100/1000)+((MAX(AI37,AK37)*Y37*J37^2*1E-4*DATOS!$C$16/100/1000)+(IF(AND(AI37&gt;0,AK37&gt;0),MIN(AI37,AK37),MAX(AI37,AK37))*Y37*J37^2*1E-4*DATOS!$C$16/100/1000))/2)+BE37-(IF(AND(AI37&gt;0,AK37&gt;0),MIN(AI37,AK37),MAX(AI37,AK37))*Y37*J37^2*1E-4*DATOS!$C$16/100/1000))^2-16*((AM37*Y37*J37^2*1E-4*DATOS!$C$16/100/1000)+((MAX(AI37,AK37)*Y37*J37^2*1E-4*DATOS!$C$16/100/1000)+(IF(AND(AI37&gt;0,AK37&gt;0),MIN(AI37,AK37),MAX(AI37,AK37))*Y37*J37^2*1E-4*DATOS!$C$16/100/1000))/2)*BE37)&lt;0,CEILING(O37,5),CEILING(MAX(O37*((4*((AM37*Y37*J37^2*1E-4*DATOS!$C$16/100/1000)+((MAX(AI37,AK37)*Y37*J37^2*1E-4*DATOS!$C$16/100/1000)+(IF(AND(AI37&gt;0,AK37&gt;0),MIN(AI37,AK37),MAX(AI37,AK37))*Y37*J37^2*1E-4*DATOS!$C$16/100/1000))/2)+BE37-(IF(AND(AI37&gt;0,AK37&gt;0),MIN(AI37,AK37),MAX(AI37,AK37))*Y37*J37^2*1E-4*DATOS!$C$16/100/1000))-SQRT(MAX(0,((4*((AM37*Y37*J37^2*1E-4*DATOS!$C$16/100/1000)+((MAX(AI37,AK37)*Y37*J37^2*1E-4*DATOS!$C$16/100/1000)+(IF(AND(AI37&gt;0,AK37&gt;0),MIN(AI37,AK37),MAX(AI37,AK37))*Y37*J37^2*1E-4*DATOS!$C$16/100/1000))/2)+BE37-(IF(AND(AI37&gt;0,AK37&gt;0),MIN(AI37,AK37),MAX(AI37,AK37))*Y37*J37^2*1E-4*DATOS!$C$16/100/1000))^2-16*((AM37*Y37*J37^2*1E-4*DATOS!$C$16/100/1000)+((MAX(AI37,AK37)*Y37*J37^2*1E-4*DATOS!$C$16/100/1000)+(IF(AND(AI37&gt;0,AK37&gt;0),MIN(AI37,AK37),MAX(AI37,AK37))*Y37*J37^2*1E-4*DATOS!$C$16/100/1000))/2)*BE37))))/(8*MAX(((AM37*Y37*J37^2*1E-4*DATOS!$C$16/100/1000)+((MAX(AI37,AK37)*Y37*J37^2*1E-4*DATOS!$C$16/100/1000)+(IF(AND(AI37&gt;0,AK37&gt;0),MIN(AI37,AK37),MAX(AI37,AK37))*Y37*J37^2*1E-4*DATOS!$C$16/100/1000))/2),1E-9))+MAX(CH37,12*INDEX(TABLAS!$C$52:$C$58,MATCH(CF37,TABLAS!$B$52:$B$58,0)),O37/16),IF(OR(S37&lt;INDEX(TABLAS!$C$52:$C$58,MATCH(CF37,TABLAS!$B$52:$B$58,0)),AND(CG37&gt;=2,(DATOS!$C$13-2*S37-2*IF(DATOS!$C$25=0,0,INDEX(TABLAS!$C$52:$C$58,MATCH(DATOS!$C$25,TABLAS!$B$52:$B$58,0)))-CG37*INDEX(TABLAS!$C$52:$C$58,MATCH(CF37,TABLAS!$B$52:$B$58,0)))/MAX(CG37-1,1)&lt;2*INDEX(TABLAS!$C$52:$C$58,MATCH(CF37,TABLAS!$B$52:$B$58,0)))),INDEX(TABLAS!$I$52:$I$58,MATCH(CF37,TABLAS!$B$52:$B$58,0)),INDEX(TABLAS!$F$52:$F$58,MATCH(CF37,TABLAS!$B$52:$B$58,0)))),5)))</f>
        <v>0</v>
      </c>
      <c r="CW37" s="56">
        <f>MAX(0,INT((F37*100-DATOS!$C$17+DATOS!$C$13)/DATOS!$C$16))</f>
        <v>4</v>
      </c>
      <c r="CX37" s="56">
        <f>MAX(0,INT((G37*100-DATOS!$C$17+DATOS!$C$13)/DATOS!$C$16))</f>
        <v>0</v>
      </c>
      <c r="CY37" s="51" t="str">
        <f>IF(COUNTIFS(TRIB!$C$6:$C$255,B37,TRIB!$K$6:$K$255,"NO CUMPLE*")+COUNTIFS(TRIB!$C$6:$C$255,B37,TRIB!$K$6:$K$255,"SIN APOYO*")&gt;0,"VER PRINCIPALES",IF((APOYOS!$F$141="LIBRE")+(APOYOS!$F$142="LIBRE")+(APOYOS!$F$143="LIBRE")+(APOYOS!$F$144="LIBRE")&gt;0,"REVISAR: borde libre","OK"))</f>
        <v>OK</v>
      </c>
      <c r="CZ37" s="64" t="str">
        <f>IF(D37="HUECO","HUECO — marco de nervaduras principales",IF(AND(MAX(BL37,BT37,CB37,CJ37)&lt;=1,NOT(OR(BI37&gt;MIN(DATOS!$C$28,INT(((DATOS!$C$13-2*R37-2*IF(DATOS!$C$25=0,0,INDEX(TABLAS!$C$52:$C$58,MATCH(DATOS!$C$25,TABLAS!$B$52:$B$58,0))))+DATOS!$C$32)/(INDEX(TABLAS!$C$52:$C$58,MATCH(BH37,TABLAS!$B$52:$B$58,0))+DATOS!$C$32))),BQ37&gt;MIN(DATOS!$C$28,INT(((DATOS!$C$13-2*S37-2*IF(DATOS!$C$25=0,0,INDEX(TABLAS!$C$52:$C$58,MATCH(DATOS!$C$25,TABLAS!$B$52:$B$58,0))))+DATOS!$C$32)/(INDEX(TABLAS!$C$52:$C$58,MATCH(BP37,TABLAS!$B$52:$B$58,0))+DATOS!$C$32))),BY37&gt;MIN(DATOS!$C$28,INT(((DATOS!$C$13-2*R37-2*IF(DATOS!$C$25=0,0,INDEX(TABLAS!$C$52:$C$58,MATCH(DATOS!$C$25,TABLAS!$B$52:$B$58,0))))+DATOS!$C$32)/(INDEX(TABLAS!$C$52:$C$58,MATCH(BX37,TABLAS!$B$52:$B$58,0))+DATOS!$C$32))),CG37&gt;MIN(DATOS!$C$28,INT(((DATOS!$C$13-2*S37-2*IF(DATOS!$C$25=0,0,INDEX(TABLAS!$C$52:$C$58,MATCH(DATOS!$C$25,TABLAS!$B$52:$B$58,0))))+DATOS!$C$32)/(INDEX(TABLAS!$C$52:$C$58,MATCH(CF37,TABLAS!$B$52:$B$58,0))+DATOS!$C$32))))),NOT(OR(AND(ISNUMBER(BM37),BM37&lt;0.005),AND(ISNUMBER(BU37),BU37&lt;0.005),AND(ISNUMBER(CC37),CC37&lt;0.005),AND(ISNUMBER(CK37),CK37&lt;0.005))),CS37="CUMPLE",CT37="CUMPLE"),IF(CY37="OK",IF(LEFT(CO37,6)="CUMPLE","CUMPLE","CUMPLE — "&amp;CO37)&amp;IF(LEFT(AZ37,5)="FUERA"," · fuera de 3.4.2.1 c)",""),IF(CY37="VER PRINCIPALES","VER PRINCIPALES","REVISAR APOYOS")),IF(AND(MAX(BL37,BT37,CB37,CJ37)&lt;=1,NOT(OR(BI37&gt;MIN(DATOS!$C$28,INT(((DATOS!$C$13-2*R37-2*IF(DATOS!$C$25=0,0,INDEX(TABLAS!$C$52:$C$58,MATCH(DATOS!$C$25,TABLAS!$B$52:$B$58,0))))+DATOS!$C$32)/(INDEX(TABLAS!$C$52:$C$58,MATCH(BH37,TABLAS!$B$52:$B$58,0))+DATOS!$C$32))),BQ37&gt;MIN(DATOS!$C$28,INT(((DATOS!$C$13-2*S37-2*IF(DATOS!$C$25=0,0,INDEX(TABLAS!$C$52:$C$58,MATCH(DATOS!$C$25,TABLAS!$B$52:$B$58,0))))+DATOS!$C$32)/(INDEX(TABLAS!$C$52:$C$58,MATCH(BP37,TABLAS!$B$52:$B$58,0))+DATOS!$C$32))),BY37&gt;MIN(DATOS!$C$28,INT(((DATOS!$C$13-2*R37-2*IF(DATOS!$C$25=0,0,INDEX(TABLAS!$C$52:$C$58,MATCH(DATOS!$C$25,TABLAS!$B$52:$B$58,0))))+DATOS!$C$32)/(INDEX(TABLAS!$C$52:$C$58,MATCH(BX37,TABLAS!$B$52:$B$58,0))+DATOS!$C$32))),CG37&gt;MIN(DATOS!$C$28,INT(((DATOS!$C$13-2*S37-2*IF(DATOS!$C$25=0,0,INDEX(TABLAS!$C$52:$C$58,MATCH(DATOS!$C$25,TABLAS!$B$52:$B$58,0))))+DATOS!$C$32)/(INDEX(TABLAS!$C$52:$C$58,MATCH(CF37,TABLAS!$B$52:$B$58,0))+DATOS!$C$32))))),NOT(OR(AND(ISNUMBER(BM37),BM37&lt;0.005),AND(ISNUMBER(BU37),BU37&lt;0.005),AND(ISNUMBER(CC37),CC37&lt;0.005),AND(ISNUMBER(CK37),CK37&lt;0.005))),CS37="CALCULAR FLECHA"),"REVISAR: calcular flecha (h_eq &lt; h mín.)","NO CUMPLE: "&amp;IF(MAX(BL37,BT37,CB37,CJ37)&gt;1,"flexión ","")&amp;IF(OR(BI37&gt;MIN(DATOS!$C$28,INT(((DATOS!$C$13-2*R37-2*IF(DATOS!$C$25=0,0,INDEX(TABLAS!$C$52:$C$58,MATCH(DATOS!$C$25,TABLAS!$B$52:$B$58,0))))+DATOS!$C$32)/(INDEX(TABLAS!$C$52:$C$58,MATCH(BH37,TABLAS!$B$52:$B$58,0))+DATOS!$C$32))),BQ37&gt;MIN(DATOS!$C$28,INT(((DATOS!$C$13-2*S37-2*IF(DATOS!$C$25=0,0,INDEX(TABLAS!$C$52:$C$58,MATCH(DATOS!$C$25,TABLAS!$B$52:$B$58,0))))+DATOS!$C$32)/(INDEX(TABLAS!$C$52:$C$58,MATCH(BP37,TABLAS!$B$52:$B$58,0))+DATOS!$C$32))),BY37&gt;MIN(DATOS!$C$28,INT(((DATOS!$C$13-2*R37-2*IF(DATOS!$C$25=0,0,INDEX(TABLAS!$C$52:$C$58,MATCH(DATOS!$C$25,TABLAS!$B$52:$B$58,0))))+DATOS!$C$32)/(INDEX(TABLAS!$C$52:$C$58,MATCH(BX37,TABLAS!$B$52:$B$58,0))+DATOS!$C$32))),CG37&gt;MIN(DATOS!$C$28,INT(((DATOS!$C$13-2*S37-2*IF(DATOS!$C$25=0,0,INDEX(TABLAS!$C$52:$C$58,MATCH(DATOS!$C$25,TABLAS!$B$52:$B$58,0))))+DATOS!$C$32)/(INDEX(TABLAS!$C$52:$C$58,MATCH(CF37,TABLAS!$B$52:$B$58,0))+DATOS!$C$32)))),"no caben ","")&amp;IF(OR(AND(ISNUMBER(BM37),BM37&lt;0.005),AND(ISNUMBER(BU37),BU37&lt;0.005),AND(ISNUMBER(CC37),CC37&lt;0.005),AND(ISNUMBER(CK37),CK37&lt;0.005)),"ε_t &lt; 0.005 ","")&amp;IF(CS37="NO CUMPLE","peralte ","")&amp;IF(CT37&lt;&gt;"CUMPLE","capa &lt; 6 cm",""))))</f>
        <v>HUECO — marco de nervaduras principales</v>
      </c>
      <c r="DA37" s="65" t="str">
        <f>IF(AND(D37="PERIMETRAL",MIN(CW37,CX37)=0),"Tablero macizo (no cabe un casetón en el claro corto): no aplica 6.7.8. La resistencia se revisa con una nervadura de 10 cm cada 70 cm y r_np (conservador); "&amp;"como losa maciza lleva además As,mín = 0.0018·Ag en cada dirección cerca de la cara a tensión (6.7.6.1.1, p. 175). ",IF(AND(CL37="NO",D37="PERIMETRAL"),"No cumple 6.7.8.1.4 (a_c = "&amp;DATOS!$C$11&amp;" cm &gt; claro corto/6 = "&amp;TEXT(J37*100/6,"0")&amp;" cm): se diseña como losa apoyada en vigas (6.7.8.1.9): nervaduras con recubrimiento de viga r_np = "&amp;DATOS!$C$22&amp;" cm (Tabla 4.14.16.a), V_cR sin ×1.1 y cortante sin estribos por 5.5.3.8.1 (criterio del Proyectista). Para que cuente como encasetonada: casetón de "&amp;TEXT(FLOOR(MIN(80,J37*100/6),1),"0")&amp;" cm o menor. ",""))&amp;IF(LEFT(AZ37,5)="FUERA","M⁻ del borde común "&amp;AZ37&amp;": difieren más de 50% (3.4.2.1 c); se distribuyen 2/3 del desequilibrio (3.4.3.1) y conviene confirmar los momentos con el modelo. ","")&amp;"Tragaluz de 0.30 m: casi todo el tablero es hueco (quedan 0.53 m² de losa)."</f>
        <v>Tragaluz de 0.30 m: casi todo el tablero es hueco (quedan 0.53 m² de losa).</v>
      </c>
    </row>
    <row r="38" ht="30" customHeight="1">
      <c r="B38" s="51" t="inlineStr">
        <is>
          <t>F80030 N+6.00</t>
        </is>
      </c>
      <c r="C38" s="52" t="inlineStr">
        <is>
          <t>N+6.00</t>
        </is>
      </c>
      <c r="D38" s="53" t="inlineStr">
        <is>
          <t>PERIMETRAL</t>
        </is>
      </c>
      <c r="E38" s="53" t="inlineStr">
        <is>
          <t>AZOTEA</t>
        </is>
      </c>
      <c r="F38" s="54" t="n">
        <v>4.426</v>
      </c>
      <c r="G38" s="54" t="n">
        <v>4</v>
      </c>
      <c r="H38" s="55" t="n">
        <v>4.426</v>
      </c>
      <c r="I38" s="55" t="n">
        <v>4</v>
      </c>
      <c r="J38" s="36">
        <f>MIN(H38,I38)</f>
        <v>4</v>
      </c>
      <c r="K38" s="36">
        <f>MAX(H38,I38)</f>
        <v>4.426</v>
      </c>
      <c r="L38" s="36">
        <f>IF(K38&gt;0,J38/K38,0)</f>
        <v>0.903750564844103</v>
      </c>
      <c r="M38" s="52" t="str">
        <f>IF(H38&lt;=I38,"X","Y")</f>
        <v>Y</v>
      </c>
      <c r="N38" s="56">
        <f>MAX(0,J38*100-IF(D38="VOLADO",DATOS!$C$17/2,DATOS!$C$17))</f>
        <v>385</v>
      </c>
      <c r="O38" s="56">
        <f>MAX(0,K38*100-DATOS!$C$17)</f>
        <v>427.6</v>
      </c>
      <c r="P38" s="57">
        <f>MIN(DATOS!$C$16,DATOS!$C$13+2*MIN(8*DATOS!$C$14,DATOS!$C$11/2,N38/8))</f>
        <v>70</v>
      </c>
      <c r="Q38" s="57">
        <f>MIN(DATOS!$C$16,DATOS!$C$13+2*MIN(8*DATOS!$C$14,DATOS!$C$11/2,O38/8))</f>
        <v>70</v>
      </c>
      <c r="R38" s="57">
        <f>IF(D38="VOLADO",DATOS!$C$21,IF(CL38="NO",DATOS!$C$22,DATOS!$C$20))</f>
        <v>2</v>
      </c>
      <c r="S38" s="57">
        <f>IF(OR(AND(C38="N+6.00",DATOS!$C$23="SÍ"),AND(D38="VOLADO",DATOS!$C$24="SÍ")),DATOS!$C$21,IF(CL38="NO",DATOS!$C$22,DATOS!$C$20))</f>
        <v>2</v>
      </c>
      <c r="T38" s="58" t="n">
        <v>310</v>
      </c>
      <c r="U38" s="56">
        <f>IF(E38="HABITACIÓN",DATOS!$C$89,DATOS!$C$92)</f>
        <v>100</v>
      </c>
      <c r="V38" s="56">
        <f>CARGAS!$C$9</f>
        <v>293.673469387755</v>
      </c>
      <c r="W38" s="56">
        <f>V38+T38</f>
        <v>603.673469387755</v>
      </c>
      <c r="X38" s="56">
        <f>W38+U38</f>
        <v>703.673469387755</v>
      </c>
      <c r="Y38" s="59">
        <f>MAX(DATOS!$C$55*W38+DATOS!$C$56*U38,IF(E38="AZOTEA",DATOS!$C$57*(W38+DATOS!$C$97),0))</f>
        <v>934.775510204082</v>
      </c>
      <c r="Z38" s="56">
        <f>(APOYOS!$G$145="DISCONTINUO")+(APOYOS!$G$146="DISCONTINUO")+(APOYOS!$G$147="DISCONTINUO")+(APOYOS!$G$148="DISCONTINUO")</f>
        <v>3</v>
      </c>
      <c r="AA38" s="56">
        <f>IF(M38="X",(APOYOS!$G$145="DISCONTINUO")+(APOYOS!$G$146="DISCONTINUO"),(APOYOS!$G$147="DISCONTINUO")+(APOYOS!$G$148="DISCONTINUO"))</f>
        <v>1</v>
      </c>
      <c r="AB38" s="56">
        <f>Z38-AA38</f>
        <v>2</v>
      </c>
      <c r="AC38" s="52" t="str">
        <f>IF(Z38=0,"INTERIOR",IF(Z38=1,IF(AA38=1,"BORDE-CORTO","BORDE-LARGO"),IF(Z38=2,IF(AA38=1,"ESQUINA",IF(AA38=2,"EXTREMO-LARGO","EXTREMO-CORTO")),IF(Z38=3,IF(AA38=2,"EXTREMO-LARGO","EXTREMO-CORTO"),"AISLADO"))))</f>
        <v>EXTREMO-CORTO</v>
      </c>
      <c r="AD38" s="53" t="inlineStr">
        <is>
          <t>AUTO</t>
        </is>
      </c>
      <c r="AE38" s="60" t="str">
        <f>IF(AD38="AUTO",AC38,AD38)</f>
        <v>EXTREMO-CORTO</v>
      </c>
      <c r="AF38" s="56">
        <f>MATCH(L38,TABLAS!$D$5:$J$5,1)</f>
        <v>6</v>
      </c>
      <c r="AG38" s="43">
        <f>IF(AF38&gt;=7,0,(L38-INDEX(TABLAS!$D$5:$J$5,AF38))/(INDEX(TABLAS!$D$5:$J$5,AF38+1)-INDEX(TABLAS!$D$5:$J$5,AF38)))</f>
        <v>0.0375056484410297</v>
      </c>
      <c r="AH38" s="56">
        <f>INDEX(TABLAS!$D$6:$J$47,MATCH(AE38&amp;"|NIC",TABLAS!$B$6:$B$47,0),AF38)+AG38*(INDEX(TABLAS!$D$6:$J$47,MATCH(AE38&amp;"|NIC",TABLAS!$B$6:$B$47,0),MIN(AF38+1,7))-INDEX(TABLAS!$D$6:$J$47,MATCH(AE38&amp;"|NIC",TABLAS!$B$6:$B$47,0),AF38))</f>
        <v>0</v>
      </c>
      <c r="AI38" s="56">
        <f>INDEX(TABLAS!$D$6:$J$47,MATCH(AE38&amp;"|NIL",TABLAS!$B$6:$B$47,0),AF38)+AG38*(INDEX(TABLAS!$D$6:$J$47,MATCH(AE38&amp;"|NIL",TABLAS!$B$6:$B$47,0),MIN(AF38+1,7))-INDEX(TABLAS!$D$6:$J$47,MATCH(AE38&amp;"|NIL",TABLAS!$B$6:$B$47,0),AF38))</f>
        <v>570</v>
      </c>
      <c r="AJ38" s="56">
        <f>INDEX(TABLAS!$D$6:$J$47,MATCH(AE38&amp;"|NDC",TABLAS!$B$6:$B$47,0),AF38)+AG38*(INDEX(TABLAS!$D$6:$J$47,MATCH(AE38&amp;"|NDC",TABLAS!$B$6:$B$47,0),MIN(AF38+1,7))-INDEX(TABLAS!$D$6:$J$47,MATCH(AE38&amp;"|NDC",TABLAS!$B$6:$B$47,0),AF38))</f>
        <v>268.124717577949</v>
      </c>
      <c r="AK38" s="56">
        <f>INDEX(TABLAS!$D$6:$J$47,MATCH(AE38&amp;"|NDL",TABLAS!$B$6:$B$47,0),AF38)+AG38*(INDEX(TABLAS!$D$6:$J$47,MATCH(AE38&amp;"|NDL",TABLAS!$B$6:$B$47,0),MIN(AF38+1,7))-INDEX(TABLAS!$D$6:$J$47,MATCH(AE38&amp;"|NDL",TABLAS!$B$6:$B$47,0),AF38))</f>
        <v>220</v>
      </c>
      <c r="AL38" s="56">
        <f>INDEX(TABLAS!$D$6:$J$47,MATCH(AE38&amp;"|PC",TABLAS!$B$6:$B$47,0),AF38)+AG38*(INDEX(TABLAS!$D$6:$J$47,MATCH(AE38&amp;"|PC",TABLAS!$B$6:$B$47,0),MIN(AF38+1,7))-INDEX(TABLAS!$D$6:$J$47,MATCH(AE38&amp;"|PC",TABLAS!$B$6:$B$47,0),AF38))</f>
        <v>535.874378671487</v>
      </c>
      <c r="AM38" s="56">
        <f>INDEX(TABLAS!$D$6:$J$47,MATCH(AE38&amp;"|PL",TABLAS!$B$6:$B$47,0),AF38)+AG38*(INDEX(TABLAS!$D$6:$J$47,MATCH(AE38&amp;"|PL",TABLAS!$B$6:$B$47,0),MIN(AF38+1,7))-INDEX(TABLAS!$D$6:$J$47,MATCH(AE38&amp;"|PL",TABLAS!$B$6:$B$47,0),AF38))</f>
        <v>430</v>
      </c>
      <c r="AN38" s="36">
        <f>IF(D38="PERIMETRAL",IF(APOYOS!$G$145="CONTINUO",IF(M38="Y",AH38,AI38),IF(M38="Y",AJ38,AK38))*Y38*J38^2*1E-4*DATOS!$C$16/100/1000,0)</f>
        <v>0.280712790032922</v>
      </c>
      <c r="AO38" s="36">
        <f>IF(D38="PERIMETRAL",IF(APOYOS!$G$146="CONTINUO",IF(M38="Y",AH38,AI38),IF(M38="Y",AJ38,AK38))*Y38*J38^2*1E-4*DATOS!$C$16/100/1000,0)</f>
        <v>0.280712790032922</v>
      </c>
      <c r="AP38" s="36">
        <f>IF(D38="PERIMETRAL",IF(APOYOS!$G$147="CONTINUO",IF(M38="X",AH38,AI38),IF(M38="X",AJ38,AK38))*Y38*J38^2*1E-4*DATOS!$C$16/100/1000,0)</f>
        <v>0.230328685714286</v>
      </c>
      <c r="AQ38" s="36">
        <f>IF(D38="PERIMETRAL",IF(APOYOS!$G$148="CONTINUO",IF(M38="X",AH38,AI38),IF(M38="X",AJ38,AK38))*Y38*J38^2*1E-4*DATOS!$C$16/100/1000,0)</f>
        <v>0.596760685714286</v>
      </c>
      <c r="AR38" s="56">
        <f>IF(D38="PERIMETRAL",IF(M38="X",BN38,CD38)^3/(J38*100),0)</f>
        <v>20.3591283628975</v>
      </c>
      <c r="AS38" s="56">
        <f>IF(D38="PERIMETRAL",IF(M38="Y",BN38,CD38)^3/(J38*100),0)</f>
        <v>24.4630977171725</v>
      </c>
      <c r="AT38" s="36">
        <f>IF(D38="PERIMETRAL",MAX(0,IF(M38="Y",IF(AND(OR(APOYOS!$G$145="CONTINUO",APOYOS!$G$154="CONTINUO"),AN38&gt;0,AO40&gt;0,AO40&gt;AN38),AN38+2/3*(AO40-AN38)*AS38/MAX(AS38+AS40,1E-9),0),0),IF(M38="X",IF(AND(OR(APOYOS!$G$148="CONTINUO",APOYOS!$G$151="CONTINUO"),AQ38&gt;0,AP39&gt;0,AP39&gt;AQ38),AQ38+2/3*(AP39-AQ38)*AR38/MAX(AR38+AR39,1E-9),0),0)),0)</f>
        <v>0</v>
      </c>
      <c r="AU38" s="36">
        <f>IF(D38="PERIMETRAL",MAX(0,IF(M38&lt;&gt;"Y",IF(AND(OR(APOYOS!$G$145="CONTINUO",APOYOS!$G$154="CONTINUO"),AN38&gt;0,AO40&gt;0,AO40&gt;AN38),AN38+2/3*(AO40-AN38)*AS38/MAX(AS38+AS40,1E-9),0),0),IF(M38&lt;&gt;"X",IF(AND(OR(APOYOS!$G$148="CONTINUO",APOYOS!$G$151="CONTINUO"),AQ38&gt;0,AP39&gt;0,AP39&gt;AQ38),AQ38+2/3*(AP39-AQ38)*AR38/MAX(AR38+AR39,1E-9),0),0)),0)</f>
        <v>0</v>
      </c>
      <c r="AV38" s="36">
        <f>IF(D38="PERIMETRAL",(IF(M38="Y",IF(AND(OR(APOYOS!$G$145="CONTINUO",APOYOS!$G$154="CONTINUO"),AN38&gt;0,AO40&gt;0,AN38&gt;AO40),2/3*(AN38-AO40)*AS38/MAX(AS38+AS40,1E-9),0),0)+IF(M38="X",IF(AND(OR(APOYOS!$G$148="CONTINUO",APOYOS!$G$151="CONTINUO"),AQ38&gt;0,AP39&gt;0,AQ38&gt;AP39),2/3*(AQ38-AP39)*AR38/MAX(AR38+AR39,1E-9),0),0))/2,0)</f>
        <v>0.0212396463649405</v>
      </c>
      <c r="AW38" s="36">
        <f>IF(D38="PERIMETRAL",(IF(M38&lt;&gt;"Y",IF(AND(OR(APOYOS!$G$145="CONTINUO",APOYOS!$G$154="CONTINUO"),AN38&gt;0,AO40&gt;0,AN38&gt;AO40),2/3*(AN38-AO40)*AS38/MAX(AS38+AS40,1E-9),0),0)+IF(M38&lt;&gt;"X",IF(AND(OR(APOYOS!$G$148="CONTINUO",APOYOS!$G$151="CONTINUO"),AQ38&gt;0,AP39&gt;0,AQ38&gt;AP39),2/3*(AQ38-AP39)*AR38/MAX(AR38+AR39,1E-9),0),0))/2,0)</f>
        <v>0</v>
      </c>
      <c r="AX38" s="36">
        <f>IF(D38="PERIMETRAL",MAX(0,0),0)</f>
        <v>0</v>
      </c>
      <c r="AY38" s="52" t="str">
        <f>IF(D38&lt;&gt;"PERIMETRAL","",IF(AND(OR(APOYOS!$G$145="CONTINUO",APOYOS!$G$154="CONTINUO"),AN38&gt;0,AO40&gt;0,ABS(AN38-AO40)&gt;0.5*MIN(AN38,AO40))," F80032","")&amp;IF(AND(OR(APOYOS!$G$148="CONTINUO",APOYOS!$G$151="CONTINUO"),AQ38&gt;0,AP39&gt;0,ABS(AQ38-AP39)&gt;0.5*MIN(AQ38,AP39))," F80031",""))</f>
        <v> F80032</v>
      </c>
      <c r="AZ38" s="52" t="str">
        <f>IF(D38&lt;&gt;"PERIMETRAL","—",IF(AY38="","CUMPLE","FUERA con"&amp;AY38)&amp;IF(AND(D40="PERIMETRAL",APOYOS!$G$145&lt;&gt;APOYOS!$G$154)," · continuidad asimétrica con F80032 (cada uno con su momento; revisar APOYOS)","")&amp;IF(AND(D39="PERIMETRAL",APOYOS!$G$148&lt;&gt;APOYOS!$G$151)," · continuidad asimétrica con F80031 (cada uno con su momento; revisar APOYOS)",""))</f>
        <v>FUERA con F80032 · continuidad asimétrica con F80032 (cada uno con su momento; revisar APOYOS)</v>
      </c>
      <c r="BA38" s="61" t="n">
        <v>0</v>
      </c>
      <c r="BB38" s="36">
        <f>IF(D38="PERIMETRAL",AL38*Y38*J38^2*1E-4*DATOS!$C$16/100/1000+AV38,0)</f>
        <v>0.582272561580227</v>
      </c>
      <c r="BC38" s="36">
        <f>IF(D38="PERIMETRAL",MAX(MAX(AH38,AJ38)*Y38*J38^2*1E-4*DATOS!$C$16/100/1000,AT38),IF(D38="VOLADO",(Y38*(N38/100)^2/2+DATOS!$C$55*BA38*N38/100)*DATOS!$C$16/100/1000,0))</f>
        <v>0.280712790032922</v>
      </c>
      <c r="BD38" s="36">
        <f>IF(D38="PERIMETRAL",AM38*Y38*J38^2*1E-4*DATOS!$C$16/100/1000+AW38,0)</f>
        <v>0.450187885714286</v>
      </c>
      <c r="BE38" s="36">
        <f>IF(D38="PERIMETRAL",MAX(MAX(AI38,AK38)*Y38*J38^2*1E-4*DATOS!$C$16/100/1000,AU38),0)</f>
        <v>0.596760685714286</v>
      </c>
      <c r="BF38" s="43">
        <f>(DATOS!$C$15-R38-IF(DATOS!$C$25=0,0,INDEX(TABLAS!$C$52:$C$58,MATCH(DATOS!$C$25,TABLAS!$B$52:$B$58,0)))-INDEX(TABLAS!$C$52:$C$58,MATCH(DATOS!$C$26,TABLAS!$B$52:$B$58,0))/2)</f>
        <v>22.365</v>
      </c>
      <c r="BG38" s="43">
        <f>IF(D38="HUECO",0,IF(IF(BB38&lt;=0,0,IF((1-2*BB38*1E5/(DATOS!$C$58*P38*BF38^2*DATOS!$C$48))&lt;0,-1,IF((1-SQRT((1-2*BB38*1E5/(DATOS!$C$58*P38*BF38^2*DATOS!$C$48))))*DATOS!$C$48*P38*BF38/DATOS!$C$40&gt;DATOS!$C$82*P38*BF38,-1,(1-SQRT((1-2*BB38*1E5/(DATOS!$C$58*P38*BF38^2*DATOS!$C$48))))*DATOS!$C$48*P38*BF38/DATOS!$C$40)))&lt;0,-1,MAX(IF(BB38&lt;=0,0,IF((1-2*BB38*1E5/(DATOS!$C$58*P38*BF38^2*DATOS!$C$48))&lt;0,-1,IF((1-SQRT((1-2*BB38*1E5/(DATOS!$C$58*P38*BF38^2*DATOS!$C$48))))*DATOS!$C$48*P38*BF38/DATOS!$C$40&gt;DATOS!$C$82*P38*BF38,-1,(1-SQRT((1-2*BB38*1E5/(DATOS!$C$58*P38*BF38^2*DATOS!$C$48))))*DATOS!$C$48*P38*BF38/DATOS!$C$40))),MIN(DATOS!$C$83*DATOS!$C$13*BF38,4/3*IF(BB38&lt;=0,0,IF((1-2*BB38*1E5/(DATOS!$C$58*P38*BF38^2*DATOS!$C$48))&lt;0,-1,IF((1-SQRT((1-2*BB38*1E5/(DATOS!$C$58*P38*BF38^2*DATOS!$C$48))))*DATOS!$C$48*P38*BF38/DATOS!$C$40&gt;DATOS!$C$82*P38*BF38,-1,(1-SQRT((1-2*BB38*1E5/(DATOS!$C$58*P38*BF38^2*DATOS!$C$48))))*DATOS!$C$48*P38*BF38/DATOS!$C$40)))))))</f>
        <v>0.7455</v>
      </c>
      <c r="BH38" s="41">
        <f>IF(AND(BG38&gt;=0,IF(MAX(DATOS!$C$29,CEILING(BG38/INDEX(TABLAS!$D$52:$D$58,MIN(MATCH(DATOS!$C$26,TABLAS!$B$52:$B$58,0)+0,7)),1))*INDEX(TABLAS!$D$52:$D$58,MIN(MATCH(DATOS!$C$26,TABLAS!$B$52:$B$58,0)+0,7))&gt;=4/3*IF(BB38&lt;=0,0,IF((1-2*BB38*1E5/(DATOS!$C$58*P38*BF38^2*DATOS!$C$48))&lt;0,-1,IF((1-SQRT((1-2*BB38*1E5/(DATOS!$C$58*P38*BF38^2*DATOS!$C$48))))*DATOS!$C$48*P38*BF38/DATOS!$C$40&gt;DATOS!$C$82*P38*BF38,-1,(1-SQRT((1-2*BB38*1E5/(DATOS!$C$58*P38*BF38^2*DATOS!$C$48))))*DATOS!$C$48*P38*BF38/DATOS!$C$40)))-0.0001,MAX(DATOS!$C$29,CEILING(BG38/INDEX(TABLAS!$D$52:$D$58,MIN(MATCH(DATOS!$C$26,TABLAS!$B$52:$B$58,0)+0,7)),1)),MAX(MAX(DATOS!$C$29,CEILING(BG38/INDEX(TABLAS!$D$52:$D$58,MIN(MATCH(DATOS!$C$26,TABLAS!$B$52:$B$58,0)+0,7)),1)),2))&lt;=MIN(DATOS!$C$28,INT(((DATOS!$C$13-2*R38-2*IF(DATOS!$C$25=0,0,INDEX(TABLAS!$C$52:$C$58,MATCH(DATOS!$C$25,TABLAS!$B$52:$B$58,0))))+MAX(DATOS!$C$32,INDEX(TABLAS!$C$52:$C$58,MIN(MATCH(DATOS!$C$26,TABLAS!$B$52:$B$58,0)+0,7))))/(INDEX(TABLAS!$C$52:$C$58,MIN(MATCH(DATOS!$C$26,TABLAS!$B$52:$B$58,0)+0,7))+MAX(DATOS!$C$32,INDEX(TABLAS!$C$52:$C$58,MIN(MATCH(DATOS!$C$26,TABLAS!$B$52:$B$58,0)+0,7))))))),INDEX(TABLAS!$B$52:$B$58,MIN(MATCH(DATOS!$C$26,TABLAS!$B$52:$B$58,0)+0,7)),IF(AND(BG38&gt;=0,IF(MAX(DATOS!$C$29,CEILING(BG38/INDEX(TABLAS!$D$52:$D$58,MIN(MATCH(DATOS!$C$26,TABLAS!$B$52:$B$58,0)+1,7)),1))*INDEX(TABLAS!$D$52:$D$58,MIN(MATCH(DATOS!$C$26,TABLAS!$B$52:$B$58,0)+1,7))&gt;=4/3*IF(BB38&lt;=0,0,IF((1-2*BB38*1E5/(DATOS!$C$58*P38*BF38^2*DATOS!$C$48))&lt;0,-1,IF((1-SQRT((1-2*BB38*1E5/(DATOS!$C$58*P38*BF38^2*DATOS!$C$48))))*DATOS!$C$48*P38*BF38/DATOS!$C$40&gt;DATOS!$C$82*P38*BF38,-1,(1-SQRT((1-2*BB38*1E5/(DATOS!$C$58*P38*BF38^2*DATOS!$C$48))))*DATOS!$C$48*P38*BF38/DATOS!$C$40)))-0.0001,MAX(DATOS!$C$29,CEILING(BG38/INDEX(TABLAS!$D$52:$D$58,MIN(MATCH(DATOS!$C$26,TABLAS!$B$52:$B$58,0)+1,7)),1)),MAX(MAX(DATOS!$C$29,CEILING(BG38/INDEX(TABLAS!$D$52:$D$58,MIN(MATCH(DATOS!$C$26,TABLAS!$B$52:$B$58,0)+1,7)),1)),2))&lt;=MIN(DATOS!$C$28,INT(((DATOS!$C$13-2*R38-2*IF(DATOS!$C$25=0,0,INDEX(TABLAS!$C$52:$C$58,MATCH(DATOS!$C$25,TABLAS!$B$52:$B$58,0))))+MAX(DATOS!$C$32,INDEX(TABLAS!$C$52:$C$58,MIN(MATCH(DATOS!$C$26,TABLAS!$B$52:$B$58,0)+1,7))))/(INDEX(TABLAS!$C$52:$C$58,MIN(MATCH(DATOS!$C$26,TABLAS!$B$52:$B$58,0)+1,7))+MAX(DATOS!$C$32,INDEX(TABLAS!$C$52:$C$58,MIN(MATCH(DATOS!$C$26,TABLAS!$B$52:$B$58,0)+1,7))))))),INDEX(TABLAS!$B$52:$B$58,MIN(MATCH(DATOS!$C$26,TABLAS!$B$52:$B$58,0)+1,7)),IF(AND(BG38&gt;=0,IF(MAX(DATOS!$C$29,CEILING(BG38/INDEX(TABLAS!$D$52:$D$58,MIN(MATCH(DATOS!$C$26,TABLAS!$B$52:$B$58,0)+2,7)),1))*INDEX(TABLAS!$D$52:$D$58,MIN(MATCH(DATOS!$C$26,TABLAS!$B$52:$B$58,0)+2,7))&gt;=4/3*IF(BB38&lt;=0,0,IF((1-2*BB38*1E5/(DATOS!$C$58*P38*BF38^2*DATOS!$C$48))&lt;0,-1,IF((1-SQRT((1-2*BB38*1E5/(DATOS!$C$58*P38*BF38^2*DATOS!$C$48))))*DATOS!$C$48*P38*BF38/DATOS!$C$40&gt;DATOS!$C$82*P38*BF38,-1,(1-SQRT((1-2*BB38*1E5/(DATOS!$C$58*P38*BF38^2*DATOS!$C$48))))*DATOS!$C$48*P38*BF38/DATOS!$C$40)))-0.0001,MAX(DATOS!$C$29,CEILING(BG38/INDEX(TABLAS!$D$52:$D$58,MIN(MATCH(DATOS!$C$26,TABLAS!$B$52:$B$58,0)+2,7)),1)),MAX(MAX(DATOS!$C$29,CEILING(BG38/INDEX(TABLAS!$D$52:$D$58,MIN(MATCH(DATOS!$C$26,TABLAS!$B$52:$B$58,0)+2,7)),1)),2))&lt;=MIN(DATOS!$C$28,INT(((DATOS!$C$13-2*R38-2*IF(DATOS!$C$25=0,0,INDEX(TABLAS!$C$52:$C$58,MATCH(DATOS!$C$25,TABLAS!$B$52:$B$58,0))))+MAX(DATOS!$C$32,INDEX(TABLAS!$C$52:$C$58,MIN(MATCH(DATOS!$C$26,TABLAS!$B$52:$B$58,0)+2,7))))/(INDEX(TABLAS!$C$52:$C$58,MIN(MATCH(DATOS!$C$26,TABLAS!$B$52:$B$58,0)+2,7))+MAX(DATOS!$C$32,INDEX(TABLAS!$C$52:$C$58,MIN(MATCH(DATOS!$C$26,TABLAS!$B$52:$B$58,0)+2,7))))))),INDEX(TABLAS!$B$52:$B$58,MIN(MATCH(DATOS!$C$26,TABLAS!$B$52:$B$58,0)+2,7)),IF(AND(BG38&gt;=0,IF(MAX(DATOS!$C$29,CEILING(BG38/INDEX(TABLAS!$D$52:$D$58,MIN(MATCH(DATOS!$C$26,TABLAS!$B$52:$B$58,0)+3,7)),1))*INDEX(TABLAS!$D$52:$D$58,MIN(MATCH(DATOS!$C$26,TABLAS!$B$52:$B$58,0)+3,7))&gt;=4/3*IF(BB38&lt;=0,0,IF((1-2*BB38*1E5/(DATOS!$C$58*P38*BF38^2*DATOS!$C$48))&lt;0,-1,IF((1-SQRT((1-2*BB38*1E5/(DATOS!$C$58*P38*BF38^2*DATOS!$C$48))))*DATOS!$C$48*P38*BF38/DATOS!$C$40&gt;DATOS!$C$82*P38*BF38,-1,(1-SQRT((1-2*BB38*1E5/(DATOS!$C$58*P38*BF38^2*DATOS!$C$48))))*DATOS!$C$48*P38*BF38/DATOS!$C$40)))-0.0001,MAX(DATOS!$C$29,CEILING(BG38/INDEX(TABLAS!$D$52:$D$58,MIN(MATCH(DATOS!$C$26,TABLAS!$B$52:$B$58,0)+3,7)),1)),MAX(MAX(DATOS!$C$29,CEILING(BG38/INDEX(TABLAS!$D$52:$D$58,MIN(MATCH(DATOS!$C$26,TABLAS!$B$52:$B$58,0)+3,7)),1)),2))&lt;=MIN(DATOS!$C$28,INT(((DATOS!$C$13-2*R38-2*IF(DATOS!$C$25=0,0,INDEX(TABLAS!$C$52:$C$58,MATCH(DATOS!$C$25,TABLAS!$B$52:$B$58,0))))+MAX(DATOS!$C$32,INDEX(TABLAS!$C$52:$C$58,MIN(MATCH(DATOS!$C$26,TABLAS!$B$52:$B$58,0)+3,7))))/(INDEX(TABLAS!$C$52:$C$58,MIN(MATCH(DATOS!$C$26,TABLAS!$B$52:$B$58,0)+3,7))+MAX(DATOS!$C$32,INDEX(TABLAS!$C$52:$C$58,MIN(MATCH(DATOS!$C$26,TABLAS!$B$52:$B$58,0)+3,7))))))),INDEX(TABLAS!$B$52:$B$58,MIN(MATCH(DATOS!$C$26,TABLAS!$B$52:$B$58,0)+3,7)),IF(AND(BG38&gt;=0,IF(MAX(DATOS!$C$29,CEILING(BG38/INDEX(TABLAS!$D$52:$D$58,MIN(MATCH(DATOS!$C$26,TABLAS!$B$52:$B$58,0)+4,7)),1))*INDEX(TABLAS!$D$52:$D$58,MIN(MATCH(DATOS!$C$26,TABLAS!$B$52:$B$58,0)+4,7))&gt;=4/3*IF(BB38&lt;=0,0,IF((1-2*BB38*1E5/(DATOS!$C$58*P38*BF38^2*DATOS!$C$48))&lt;0,-1,IF((1-SQRT((1-2*BB38*1E5/(DATOS!$C$58*P38*BF38^2*DATOS!$C$48))))*DATOS!$C$48*P38*BF38/DATOS!$C$40&gt;DATOS!$C$82*P38*BF38,-1,(1-SQRT((1-2*BB38*1E5/(DATOS!$C$58*P38*BF38^2*DATOS!$C$48))))*DATOS!$C$48*P38*BF38/DATOS!$C$40)))-0.0001,MAX(DATOS!$C$29,CEILING(BG38/INDEX(TABLAS!$D$52:$D$58,MIN(MATCH(DATOS!$C$26,TABLAS!$B$52:$B$58,0)+4,7)),1)),MAX(MAX(DATOS!$C$29,CEILING(BG38/INDEX(TABLAS!$D$52:$D$58,MIN(MATCH(DATOS!$C$26,TABLAS!$B$52:$B$58,0)+4,7)),1)),2))&lt;=MIN(DATOS!$C$28,INT(((DATOS!$C$13-2*R38-2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38" s="56">
        <f>IF(D38="HUECO",0,IF(BG38&lt;0,0,IF(MAX(DATOS!$C$29,CEILING(MAX(BG38,0)/INDEX(TABLAS!$D$52:$D$58,MATCH(BH38,TABLAS!$B$52:$B$58,0)),1))*INDEX(TABLAS!$D$52:$D$58,MATCH(BH38,TABLAS!$B$52:$B$58,0))&gt;=4/3*IF(BB38&lt;=0,0,IF((1-2*BB38*1E5/(DATOS!$C$58*P38*BF38^2*DATOS!$C$48))&lt;0,-1,IF((1-SQRT((1-2*BB38*1E5/(DATOS!$C$58*P38*BF38^2*DATOS!$C$48))))*DATOS!$C$48*P38*BF38/DATOS!$C$40&gt;DATOS!$C$82*P38*BF38,-1,(1-SQRT((1-2*BB38*1E5/(DATOS!$C$58*P38*BF38^2*DATOS!$C$48))))*DATOS!$C$48*P38*BF38/DATOS!$C$40)))-0.0001,MAX(DATOS!$C$29,CEILING(MAX(BG38,0)/INDEX(TABLAS!$D$52:$D$58,MATCH(BH38,TABLAS!$B$52:$B$58,0)),1)),MAX(MAX(DATOS!$C$29,CEILING(MAX(BG38,0)/INDEX(TABLAS!$D$52:$D$58,MATCH(BH38,TABLAS!$B$52:$B$58,0)),1)),2))))</f>
        <v>1</v>
      </c>
      <c r="BJ38" s="43">
        <f>DATOS!$C$15-R38-IF(DATOS!$C$25=0,0,INDEX(TABLAS!$C$52:$C$58,MATCH(DATOS!$C$25,TABLAS!$B$52:$B$58,0)))-INDEX(TABLAS!$C$52:$C$58,MATCH(BH38,TABLAS!$B$52:$B$58,0))/2</f>
        <v>22.365</v>
      </c>
      <c r="BK38" s="36">
        <f>IF(BI38=0,0,DATOS!$C$58*BI38*INDEX(TABLAS!$D$52:$D$58,MATCH(BH38,TABLAS!$B$52:$B$58,0))*DATOS!$C$40*(BJ38-BI38*INDEX(TABLAS!$D$52:$D$58,MATCH(BH38,TABLAS!$B$52:$B$58,0))*DATOS!$C$40/(DATOS!$C$48*P38)/2)/1E5)</f>
        <v>1.06504699658824</v>
      </c>
      <c r="BL38" s="62">
        <f>IF(BG38&lt;0,9.99,IF(BK38&gt;0,BB38/BK38,0))</f>
        <v>0.546710674219518</v>
      </c>
      <c r="BM38" s="63">
        <f>IF(BI38=0,"—",0.003*(BJ38-(BI38*INDEX(TABLAS!$D$52:$D$58,MATCH(BH38,TABLAS!$B$52:$B$58,0))*DATOS!$C$40/(DATOS!$C$48*P38)/DATOS!$C$49))/(BI38*INDEX(TABLAS!$D$52:$D$58,MATCH(BH38,TABLAS!$B$52:$B$58,0))*DATOS!$C$40/(DATOS!$C$48*P38)/DATOS!$C$49))</f>
        <v>0.156042445866142</v>
      </c>
      <c r="BN38" s="43">
        <f>((DATOS!$C$15-S38-2*DATOS!$C$35-IF(DATOS!$C$25=0,0,INDEX(TABLAS!$C$52:$C$58,MATCH(DATOS!$C$25,TABLAS!$B$52:$B$58,0)))-INDEX(TABLAS!$C$52:$C$58,MATCH(DATOS!$C$27,TABLAS!$B$52:$B$58,0))/2)-IF(AND((DATOS!$C$15-S38-2*DATOS!$C$35-IF(DATOS!$C$25=0,0,INDEX(TABLAS!$C$52:$C$58,MATCH(DATOS!$C$25,TABLAS!$B$52:$B$58,0)))-INDEX(TABLAS!$C$52:$C$58,MATCH(DATOS!$C$27,TABLAS!$B$52:$B$58,0))/2)&lt;=20,DATOS!$C$18&lt;&gt;"SÍ"),2,0))</f>
        <v>21.389</v>
      </c>
      <c r="BO38" s="43">
        <f>IF(D38="HUECO",0,IF(IF(BC38&lt;=0,0,IF((1-2*BC38*1E5/(DATOS!$C$58*DATOS!$C$19*BN38^2*DATOS!$C$48))&lt;0,-1,IF((1-SQRT((1-2*BC38*1E5/(DATOS!$C$58*DATOS!$C$19*BN38^2*DATOS!$C$48))))*DATOS!$C$48*DATOS!$C$19*BN38/DATOS!$C$40&gt;DATOS!$C$82*DATOS!$C$19*BN38,-1,(1-SQRT((1-2*BC38*1E5/(DATOS!$C$58*DATOS!$C$19*BN38^2*DATOS!$C$48))))*DATOS!$C$48*DATOS!$C$19*BN38/DATOS!$C$40)))&lt;0,-1,MAX(IF(BC38&lt;=0,0,IF((1-2*BC38*1E5/(DATOS!$C$58*DATOS!$C$19*BN38^2*DATOS!$C$48))&lt;0,-1,IF((1-SQRT((1-2*BC38*1E5/(DATOS!$C$58*DATOS!$C$19*BN38^2*DATOS!$C$48))))*DATOS!$C$48*DATOS!$C$19*BN38/DATOS!$C$40&gt;DATOS!$C$82*DATOS!$C$19*BN38,-1,(1-SQRT((1-2*BC38*1E5/(DATOS!$C$58*DATOS!$C$19*BN38^2*DATOS!$C$48))))*DATOS!$C$48*DATOS!$C$19*BN38/DATOS!$C$40))),MIN(DATOS!$C$83*IF(D38="VOLADO",2*DATOS!$C$13,DATOS!$C$13)*BN38,4/3*IF(BC38&lt;=0,0,IF((1-2*BC38*1E5/(DATOS!$C$58*DATOS!$C$19*BN38^2*DATOS!$C$48))&lt;0,-1,IF((1-SQRT((1-2*BC38*1E5/(DATOS!$C$58*DATOS!$C$19*BN38^2*DATOS!$C$48))))*DATOS!$C$48*DATOS!$C$19*BN38/DATOS!$C$40&gt;DATOS!$C$82*DATOS!$C$19*BN38,-1,(1-SQRT((1-2*BC38*1E5/(DATOS!$C$58*DATOS!$C$19*BN38^2*DATOS!$C$48))))*DATOS!$C$48*DATOS!$C$19*BN38/DATOS!$C$40)))))))</f>
        <v>0.470608046249311</v>
      </c>
      <c r="BP38" s="41">
        <f>IF(AND(BO38&gt;=0,IF(MAX(DATOS!$C$29,CEILING(BO38/INDEX(TABLAS!$D$52:$D$58,MIN(MATCH(DATOS!$C$27,TABLAS!$B$52:$B$58,0)+0,7)),1))*INDEX(TABLAS!$D$52:$D$58,MIN(MATCH(DATOS!$C$27,TABLAS!$B$52:$B$58,0)+0,7))&gt;=4/3*IF(BC38&lt;=0,0,IF((1-2*BC38*1E5/(DATOS!$C$58*DATOS!$C$19*BN38^2*DATOS!$C$48))&lt;0,-1,IF((1-SQRT((1-2*BC38*1E5/(DATOS!$C$58*DATOS!$C$19*BN38^2*DATOS!$C$48))))*DATOS!$C$48*DATOS!$C$19*BN38/DATOS!$C$40&gt;DATOS!$C$82*DATOS!$C$19*BN38,-1,(1-SQRT((1-2*BC38*1E5/(DATOS!$C$58*DATOS!$C$19*BN38^2*DATOS!$C$48))))*DATOS!$C$48*DATOS!$C$19*BN38/DATOS!$C$40)))-0.0001,MAX(DATOS!$C$29,CEILING(BO38/INDEX(TABLAS!$D$52:$D$58,MIN(MATCH(DATOS!$C$27,TABLAS!$B$52:$B$58,0)+0,7)),1)),MAX(MAX(DATOS!$C$29,CEILING(BO38/INDEX(TABLAS!$D$52:$D$58,MIN(MATCH(DATOS!$C$27,TABLAS!$B$52:$B$58,0)+0,7)),1)),2))&lt;=MIN(DATOS!$C$28,INT(((DATOS!$C$13-2*S38-2*IF(DATOS!$C$25=0,0,INDEX(TABLAS!$C$52:$C$58,MATCH(DATOS!$C$25,TABLAS!$B$52:$B$58,0))))+MAX(DATOS!$C$32,INDEX(TABLAS!$C$52:$C$58,MIN(MATCH(DATOS!$C$27,TABLAS!$B$52:$B$58,0)+0,7))))/(INDEX(TABLAS!$C$52:$C$58,MIN(MATCH(DATOS!$C$27,TABLAS!$B$52:$B$58,0)+0,7))+MAX(DATOS!$C$32,INDEX(TABLAS!$C$52:$C$58,MIN(MATCH(DATOS!$C$27,TABLAS!$B$52:$B$58,0)+0,7))))))),INDEX(TABLAS!$B$52:$B$58,MIN(MATCH(DATOS!$C$27,TABLAS!$B$52:$B$58,0)+0,7)),IF(AND(BO38&gt;=0,IF(MAX(DATOS!$C$29,CEILING(BO38/INDEX(TABLAS!$D$52:$D$58,MIN(MATCH(DATOS!$C$27,TABLAS!$B$52:$B$58,0)+1,7)),1))*INDEX(TABLAS!$D$52:$D$58,MIN(MATCH(DATOS!$C$27,TABLAS!$B$52:$B$58,0)+1,7))&gt;=4/3*IF(BC38&lt;=0,0,IF((1-2*BC38*1E5/(DATOS!$C$58*DATOS!$C$19*BN38^2*DATOS!$C$48))&lt;0,-1,IF((1-SQRT((1-2*BC38*1E5/(DATOS!$C$58*DATOS!$C$19*BN38^2*DATOS!$C$48))))*DATOS!$C$48*DATOS!$C$19*BN38/DATOS!$C$40&gt;DATOS!$C$82*DATOS!$C$19*BN38,-1,(1-SQRT((1-2*BC38*1E5/(DATOS!$C$58*DATOS!$C$19*BN38^2*DATOS!$C$48))))*DATOS!$C$48*DATOS!$C$19*BN38/DATOS!$C$40)))-0.0001,MAX(DATOS!$C$29,CEILING(BO38/INDEX(TABLAS!$D$52:$D$58,MIN(MATCH(DATOS!$C$27,TABLAS!$B$52:$B$58,0)+1,7)),1)),MAX(MAX(DATOS!$C$29,CEILING(BO38/INDEX(TABLAS!$D$52:$D$58,MIN(MATCH(DATOS!$C$27,TABLAS!$B$52:$B$58,0)+1,7)),1)),2))&lt;=MIN(DATOS!$C$28,INT(((DATOS!$C$13-2*S38-2*IF(DATOS!$C$25=0,0,INDEX(TABLAS!$C$52:$C$58,MATCH(DATOS!$C$25,TABLAS!$B$52:$B$58,0))))+MAX(DATOS!$C$32,INDEX(TABLAS!$C$52:$C$58,MIN(MATCH(DATOS!$C$27,TABLAS!$B$52:$B$58,0)+1,7))))/(INDEX(TABLAS!$C$52:$C$58,MIN(MATCH(DATOS!$C$27,TABLAS!$B$52:$B$58,0)+1,7))+MAX(DATOS!$C$32,INDEX(TABLAS!$C$52:$C$58,MIN(MATCH(DATOS!$C$27,TABLAS!$B$52:$B$58,0)+1,7))))))),INDEX(TABLAS!$B$52:$B$58,MIN(MATCH(DATOS!$C$27,TABLAS!$B$52:$B$58,0)+1,7)),IF(AND(BO38&gt;=0,IF(MAX(DATOS!$C$29,CEILING(BO38/INDEX(TABLAS!$D$52:$D$58,MIN(MATCH(DATOS!$C$27,TABLAS!$B$52:$B$58,0)+2,7)),1))*INDEX(TABLAS!$D$52:$D$58,MIN(MATCH(DATOS!$C$27,TABLAS!$B$52:$B$58,0)+2,7))&gt;=4/3*IF(BC38&lt;=0,0,IF((1-2*BC38*1E5/(DATOS!$C$58*DATOS!$C$19*BN38^2*DATOS!$C$48))&lt;0,-1,IF((1-SQRT((1-2*BC38*1E5/(DATOS!$C$58*DATOS!$C$19*BN38^2*DATOS!$C$48))))*DATOS!$C$48*DATOS!$C$19*BN38/DATOS!$C$40&gt;DATOS!$C$82*DATOS!$C$19*BN38,-1,(1-SQRT((1-2*BC38*1E5/(DATOS!$C$58*DATOS!$C$19*BN38^2*DATOS!$C$48))))*DATOS!$C$48*DATOS!$C$19*BN38/DATOS!$C$40)))-0.0001,MAX(DATOS!$C$29,CEILING(BO38/INDEX(TABLAS!$D$52:$D$58,MIN(MATCH(DATOS!$C$27,TABLAS!$B$52:$B$58,0)+2,7)),1)),MAX(MAX(DATOS!$C$29,CEILING(BO38/INDEX(TABLAS!$D$52:$D$58,MIN(MATCH(DATOS!$C$27,TABLAS!$B$52:$B$58,0)+2,7)),1)),2))&lt;=MIN(DATOS!$C$28,INT(((DATOS!$C$13-2*S38-2*IF(DATOS!$C$25=0,0,INDEX(TABLAS!$C$52:$C$58,MATCH(DATOS!$C$25,TABLAS!$B$52:$B$58,0))))+MAX(DATOS!$C$32,INDEX(TABLAS!$C$52:$C$58,MIN(MATCH(DATOS!$C$27,TABLAS!$B$52:$B$58,0)+2,7))))/(INDEX(TABLAS!$C$52:$C$58,MIN(MATCH(DATOS!$C$27,TABLAS!$B$52:$B$58,0)+2,7))+MAX(DATOS!$C$32,INDEX(TABLAS!$C$52:$C$58,MIN(MATCH(DATOS!$C$27,TABLAS!$B$52:$B$58,0)+2,7))))))),INDEX(TABLAS!$B$52:$B$58,MIN(MATCH(DATOS!$C$27,TABLAS!$B$52:$B$58,0)+2,7)),IF(AND(BO38&gt;=0,IF(MAX(DATOS!$C$29,CEILING(BO38/INDEX(TABLAS!$D$52:$D$58,MIN(MATCH(DATOS!$C$27,TABLAS!$B$52:$B$58,0)+3,7)),1))*INDEX(TABLAS!$D$52:$D$58,MIN(MATCH(DATOS!$C$27,TABLAS!$B$52:$B$58,0)+3,7))&gt;=4/3*IF(BC38&lt;=0,0,IF((1-2*BC38*1E5/(DATOS!$C$58*DATOS!$C$19*BN38^2*DATOS!$C$48))&lt;0,-1,IF((1-SQRT((1-2*BC38*1E5/(DATOS!$C$58*DATOS!$C$19*BN38^2*DATOS!$C$48))))*DATOS!$C$48*DATOS!$C$19*BN38/DATOS!$C$40&gt;DATOS!$C$82*DATOS!$C$19*BN38,-1,(1-SQRT((1-2*BC38*1E5/(DATOS!$C$58*DATOS!$C$19*BN38^2*DATOS!$C$48))))*DATOS!$C$48*DATOS!$C$19*BN38/DATOS!$C$40)))-0.0001,MAX(DATOS!$C$29,CEILING(BO38/INDEX(TABLAS!$D$52:$D$58,MIN(MATCH(DATOS!$C$27,TABLAS!$B$52:$B$58,0)+3,7)),1)),MAX(MAX(DATOS!$C$29,CEILING(BO38/INDEX(TABLAS!$D$52:$D$58,MIN(MATCH(DATOS!$C$27,TABLAS!$B$52:$B$58,0)+3,7)),1)),2))&lt;=MIN(DATOS!$C$28,INT(((DATOS!$C$13-2*S38-2*IF(DATOS!$C$25=0,0,INDEX(TABLAS!$C$52:$C$58,MATCH(DATOS!$C$25,TABLAS!$B$52:$B$58,0))))+MAX(DATOS!$C$32,INDEX(TABLAS!$C$52:$C$58,MIN(MATCH(DATOS!$C$27,TABLAS!$B$52:$B$58,0)+3,7))))/(INDEX(TABLAS!$C$52:$C$58,MIN(MATCH(DATOS!$C$27,TABLAS!$B$52:$B$58,0)+3,7))+MAX(DATOS!$C$32,INDEX(TABLAS!$C$52:$C$58,MIN(MATCH(DATOS!$C$27,TABLAS!$B$52:$B$58,0)+3,7))))))),INDEX(TABLAS!$B$52:$B$58,MIN(MATCH(DATOS!$C$27,TABLAS!$B$52:$B$58,0)+3,7)),IF(AND(BO38&gt;=0,IF(MAX(DATOS!$C$29,CEILING(BO38/INDEX(TABLAS!$D$52:$D$58,MIN(MATCH(DATOS!$C$27,TABLAS!$B$52:$B$58,0)+4,7)),1))*INDEX(TABLAS!$D$52:$D$58,MIN(MATCH(DATOS!$C$27,TABLAS!$B$52:$B$58,0)+4,7))&gt;=4/3*IF(BC38&lt;=0,0,IF((1-2*BC38*1E5/(DATOS!$C$58*DATOS!$C$19*BN38^2*DATOS!$C$48))&lt;0,-1,IF((1-SQRT((1-2*BC38*1E5/(DATOS!$C$58*DATOS!$C$19*BN38^2*DATOS!$C$48))))*DATOS!$C$48*DATOS!$C$19*BN38/DATOS!$C$40&gt;DATOS!$C$82*DATOS!$C$19*BN38,-1,(1-SQRT((1-2*BC38*1E5/(DATOS!$C$58*DATOS!$C$19*BN38^2*DATOS!$C$48))))*DATOS!$C$48*DATOS!$C$19*BN38/DATOS!$C$40)))-0.0001,MAX(DATOS!$C$29,CEILING(BO38/INDEX(TABLAS!$D$52:$D$58,MIN(MATCH(DATOS!$C$27,TABLAS!$B$52:$B$58,0)+4,7)),1)),MAX(MAX(DATOS!$C$29,CEILING(BO38/INDEX(TABLAS!$D$52:$D$58,MIN(MATCH(DATOS!$C$27,TABLAS!$B$52:$B$58,0)+4,7)),1)),2))&lt;=MIN(DATOS!$C$28,INT(((DATOS!$C$13-2*S38-2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38" s="56">
        <f>IF(D38="HUECO",0,IF(BO38&lt;0,0,IF(MAX(DATOS!$C$29,CEILING(MAX(BO38,0)/INDEX(TABLAS!$D$52:$D$58,MATCH(BP38,TABLAS!$B$52:$B$58,0)),1))*INDEX(TABLAS!$D$52:$D$58,MATCH(BP38,TABLAS!$B$52:$B$58,0))&gt;=4/3*IF(BC38&lt;=0,0,IF((1-2*BC38*1E5/(DATOS!$C$58*DATOS!$C$19*BN38^2*DATOS!$C$48))&lt;0,-1,IF((1-SQRT((1-2*BC38*1E5/(DATOS!$C$58*DATOS!$C$19*BN38^2*DATOS!$C$48))))*DATOS!$C$48*DATOS!$C$19*BN38/DATOS!$C$40&gt;DATOS!$C$82*DATOS!$C$19*BN38,-1,(1-SQRT((1-2*BC38*1E5/(DATOS!$C$58*DATOS!$C$19*BN38^2*DATOS!$C$48))))*DATOS!$C$48*DATOS!$C$19*BN38/DATOS!$C$40)))-0.0001,MAX(DATOS!$C$29,CEILING(MAX(BO38,0)/INDEX(TABLAS!$D$52:$D$58,MATCH(BP38,TABLAS!$B$52:$B$58,0)),1)),MAX(MAX(DATOS!$C$29,CEILING(MAX(BO38,0)/INDEX(TABLAS!$D$52:$D$58,MATCH(BP38,TABLAS!$B$52:$B$58,0)),1)),2))))</f>
        <v>1</v>
      </c>
      <c r="BR38" s="43">
        <f>((DATOS!$C$15-S38-2*DATOS!$C$35-IF(DATOS!$C$25=0,0,INDEX(TABLAS!$C$52:$C$58,MATCH(DATOS!$C$25,TABLAS!$B$52:$B$58,0)))-INDEX(TABLAS!$C$52:$C$58,MATCH(BP38,TABLAS!$B$52:$B$58,0))/2)-IF(AND((DATOS!$C$15-S38-2*DATOS!$C$35-IF(DATOS!$C$25=0,0,INDEX(TABLAS!$C$52:$C$58,MATCH(DATOS!$C$25,TABLAS!$B$52:$B$58,0)))-INDEX(TABLAS!$C$52:$C$58,MATCH(BP38,TABLAS!$B$52:$B$58,0))/2)&lt;=20,DATOS!$C$18&lt;&gt;"SÍ"),2,0))</f>
        <v>21.389</v>
      </c>
      <c r="BS38" s="36">
        <f>IF(BQ38=0,0,DATOS!$C$58*BQ38*INDEX(TABLAS!$D$52:$D$58,MATCH(BP38,TABLAS!$B$52:$B$58,0))*DATOS!$C$40*(BR38-BQ38*INDEX(TABLAS!$D$52:$D$58,MATCH(BP38,TABLAS!$B$52:$B$58,0))*DATOS!$C$40/(DATOS!$C$48*DATOS!$C$19)/2)/1E5)</f>
        <v>0.966549980117647</v>
      </c>
      <c r="BT38" s="62">
        <f>IF(BO38&lt;0,9.99,IF(BS38&gt;0,BC38/BS38,0))</f>
        <v>0.290427598993644</v>
      </c>
      <c r="BU38" s="63">
        <f>IF(BQ38=0,"—",0.003*(BR38-(BQ38*INDEX(TABLAS!$D$52:$D$58,MATCH(BP38,TABLAS!$B$52:$B$58,0))*DATOS!$C$40/(DATOS!$C$48*DATOS!$C$19)/DATOS!$C$49))/(BQ38*INDEX(TABLAS!$D$52:$D$58,MATCH(BP38,TABLAS!$B$52:$B$58,0))*DATOS!$C$40/(DATOS!$C$48*DATOS!$C$19)/DATOS!$C$49))</f>
        <v>0.0187288420978628</v>
      </c>
      <c r="BV38" s="43">
        <f>(DATOS!$C$15-R38-IF(DATOS!$C$25=0,0,INDEX(TABLAS!$C$52:$C$58,MATCH(DATOS!$C$25,TABLAS!$B$52:$B$58,0)))-INDEX(TABLAS!$C$52:$C$58,MATCH(DATOS!$C$26,TABLAS!$B$52:$B$58,0))-INDEX(TABLAS!$C$52:$C$58,MATCH(DATOS!$C$26,TABLAS!$B$52:$B$58,0))/2)</f>
        <v>21.095</v>
      </c>
      <c r="BW38" s="43">
        <f>IF(D38="HUECO",0,IF(IF(BD38&lt;=0,0,IF((1-2*BD38*1E5/(DATOS!$C$58*Q38*BV38^2*DATOS!$C$48))&lt;0,-1,IF((1-SQRT((1-2*BD38*1E5/(DATOS!$C$58*Q38*BV38^2*DATOS!$C$48))))*DATOS!$C$48*Q38*BV38/DATOS!$C$40&gt;DATOS!$C$82*Q38*BV38,-1,(1-SQRT((1-2*BD38*1E5/(DATOS!$C$58*Q38*BV38^2*DATOS!$C$48))))*DATOS!$C$48*Q38*BV38/DATOS!$C$40)))&lt;0,-1,MAX(IF(BD38&lt;=0,0,IF((1-2*BD38*1E5/(DATOS!$C$58*Q38*BV38^2*DATOS!$C$48))&lt;0,-1,IF((1-SQRT((1-2*BD38*1E5/(DATOS!$C$58*Q38*BV38^2*DATOS!$C$48))))*DATOS!$C$48*Q38*BV38/DATOS!$C$40&gt;DATOS!$C$82*Q38*BV38,-1,(1-SQRT((1-2*BD38*1E5/(DATOS!$C$58*Q38*BV38^2*DATOS!$C$48))))*DATOS!$C$48*Q38*BV38/DATOS!$C$40))),MIN(DATOS!$C$83*DATOS!$C$13*BV38,4/3*IF(BD38&lt;=0,0,IF((1-2*BD38*1E5/(DATOS!$C$58*Q38*BV38^2*DATOS!$C$48))&lt;0,-1,IF((1-SQRT((1-2*BD38*1E5/(DATOS!$C$58*Q38*BV38^2*DATOS!$C$48))))*DATOS!$C$48*Q38*BV38/DATOS!$C$40&gt;DATOS!$C$82*Q38*BV38,-1,(1-SQRT((1-2*BD38*1E5/(DATOS!$C$58*Q38*BV38^2*DATOS!$C$48))))*DATOS!$C$48*Q38*BV38/DATOS!$C$40)))))))</f>
        <v>0.703166666666667</v>
      </c>
      <c r="BX38" s="41">
        <f>IF(AND(BW38&gt;=0,IF(MAX(DATOS!$C$29,CEILING(BW38/INDEX(TABLAS!$D$52:$D$58,MIN(MATCH(DATOS!$C$26,TABLAS!$B$52:$B$58,0)+0,7)),1))*INDEX(TABLAS!$D$52:$D$58,MIN(MATCH(DATOS!$C$26,TABLAS!$B$52:$B$58,0)+0,7))&gt;=4/3*IF(BD38&lt;=0,0,IF((1-2*BD38*1E5/(DATOS!$C$58*Q38*BV38^2*DATOS!$C$48))&lt;0,-1,IF((1-SQRT((1-2*BD38*1E5/(DATOS!$C$58*Q38*BV38^2*DATOS!$C$48))))*DATOS!$C$48*Q38*BV38/DATOS!$C$40&gt;DATOS!$C$82*Q38*BV38,-1,(1-SQRT((1-2*BD38*1E5/(DATOS!$C$58*Q38*BV38^2*DATOS!$C$48))))*DATOS!$C$48*Q38*BV38/DATOS!$C$40)))-0.0001,MAX(DATOS!$C$29,CEILING(BW38/INDEX(TABLAS!$D$52:$D$58,MIN(MATCH(DATOS!$C$26,TABLAS!$B$52:$B$58,0)+0,7)),1)),MAX(MAX(DATOS!$C$29,CEILING(BW38/INDEX(TABLAS!$D$52:$D$58,MIN(MATCH(DATOS!$C$26,TABLAS!$B$52:$B$58,0)+0,7)),1)),2))&lt;=MIN(DATOS!$C$28,INT(((DATOS!$C$13-2*R38-2*IF(DATOS!$C$25=0,0,INDEX(TABLAS!$C$52:$C$58,MATCH(DATOS!$C$25,TABLAS!$B$52:$B$58,0))))+MAX(DATOS!$C$32,INDEX(TABLAS!$C$52:$C$58,MIN(MATCH(DATOS!$C$26,TABLAS!$B$52:$B$58,0)+0,7))))/(INDEX(TABLAS!$C$52:$C$58,MIN(MATCH(DATOS!$C$26,TABLAS!$B$52:$B$58,0)+0,7))+MAX(DATOS!$C$32,INDEX(TABLAS!$C$52:$C$58,MIN(MATCH(DATOS!$C$26,TABLAS!$B$52:$B$58,0)+0,7))))))),INDEX(TABLAS!$B$52:$B$58,MIN(MATCH(DATOS!$C$26,TABLAS!$B$52:$B$58,0)+0,7)),IF(AND(BW38&gt;=0,IF(MAX(DATOS!$C$29,CEILING(BW38/INDEX(TABLAS!$D$52:$D$58,MIN(MATCH(DATOS!$C$26,TABLAS!$B$52:$B$58,0)+1,7)),1))*INDEX(TABLAS!$D$52:$D$58,MIN(MATCH(DATOS!$C$26,TABLAS!$B$52:$B$58,0)+1,7))&gt;=4/3*IF(BD38&lt;=0,0,IF((1-2*BD38*1E5/(DATOS!$C$58*Q38*BV38^2*DATOS!$C$48))&lt;0,-1,IF((1-SQRT((1-2*BD38*1E5/(DATOS!$C$58*Q38*BV38^2*DATOS!$C$48))))*DATOS!$C$48*Q38*BV38/DATOS!$C$40&gt;DATOS!$C$82*Q38*BV38,-1,(1-SQRT((1-2*BD38*1E5/(DATOS!$C$58*Q38*BV38^2*DATOS!$C$48))))*DATOS!$C$48*Q38*BV38/DATOS!$C$40)))-0.0001,MAX(DATOS!$C$29,CEILING(BW38/INDEX(TABLAS!$D$52:$D$58,MIN(MATCH(DATOS!$C$26,TABLAS!$B$52:$B$58,0)+1,7)),1)),MAX(MAX(DATOS!$C$29,CEILING(BW38/INDEX(TABLAS!$D$52:$D$58,MIN(MATCH(DATOS!$C$26,TABLAS!$B$52:$B$58,0)+1,7)),1)),2))&lt;=MIN(DATOS!$C$28,INT(((DATOS!$C$13-2*R38-2*IF(DATOS!$C$25=0,0,INDEX(TABLAS!$C$52:$C$58,MATCH(DATOS!$C$25,TABLAS!$B$52:$B$58,0))))+MAX(DATOS!$C$32,INDEX(TABLAS!$C$52:$C$58,MIN(MATCH(DATOS!$C$26,TABLAS!$B$52:$B$58,0)+1,7))))/(INDEX(TABLAS!$C$52:$C$58,MIN(MATCH(DATOS!$C$26,TABLAS!$B$52:$B$58,0)+1,7))+MAX(DATOS!$C$32,INDEX(TABLAS!$C$52:$C$58,MIN(MATCH(DATOS!$C$26,TABLAS!$B$52:$B$58,0)+1,7))))))),INDEX(TABLAS!$B$52:$B$58,MIN(MATCH(DATOS!$C$26,TABLAS!$B$52:$B$58,0)+1,7)),IF(AND(BW38&gt;=0,IF(MAX(DATOS!$C$29,CEILING(BW38/INDEX(TABLAS!$D$52:$D$58,MIN(MATCH(DATOS!$C$26,TABLAS!$B$52:$B$58,0)+2,7)),1))*INDEX(TABLAS!$D$52:$D$58,MIN(MATCH(DATOS!$C$26,TABLAS!$B$52:$B$58,0)+2,7))&gt;=4/3*IF(BD38&lt;=0,0,IF((1-2*BD38*1E5/(DATOS!$C$58*Q38*BV38^2*DATOS!$C$48))&lt;0,-1,IF((1-SQRT((1-2*BD38*1E5/(DATOS!$C$58*Q38*BV38^2*DATOS!$C$48))))*DATOS!$C$48*Q38*BV38/DATOS!$C$40&gt;DATOS!$C$82*Q38*BV38,-1,(1-SQRT((1-2*BD38*1E5/(DATOS!$C$58*Q38*BV38^2*DATOS!$C$48))))*DATOS!$C$48*Q38*BV38/DATOS!$C$40)))-0.0001,MAX(DATOS!$C$29,CEILING(BW38/INDEX(TABLAS!$D$52:$D$58,MIN(MATCH(DATOS!$C$26,TABLAS!$B$52:$B$58,0)+2,7)),1)),MAX(MAX(DATOS!$C$29,CEILING(BW38/INDEX(TABLAS!$D$52:$D$58,MIN(MATCH(DATOS!$C$26,TABLAS!$B$52:$B$58,0)+2,7)),1)),2))&lt;=MIN(DATOS!$C$28,INT(((DATOS!$C$13-2*R38-2*IF(DATOS!$C$25=0,0,INDEX(TABLAS!$C$52:$C$58,MATCH(DATOS!$C$25,TABLAS!$B$52:$B$58,0))))+MAX(DATOS!$C$32,INDEX(TABLAS!$C$52:$C$58,MIN(MATCH(DATOS!$C$26,TABLAS!$B$52:$B$58,0)+2,7))))/(INDEX(TABLAS!$C$52:$C$58,MIN(MATCH(DATOS!$C$26,TABLAS!$B$52:$B$58,0)+2,7))+MAX(DATOS!$C$32,INDEX(TABLAS!$C$52:$C$58,MIN(MATCH(DATOS!$C$26,TABLAS!$B$52:$B$58,0)+2,7))))))),INDEX(TABLAS!$B$52:$B$58,MIN(MATCH(DATOS!$C$26,TABLAS!$B$52:$B$58,0)+2,7)),IF(AND(BW38&gt;=0,IF(MAX(DATOS!$C$29,CEILING(BW38/INDEX(TABLAS!$D$52:$D$58,MIN(MATCH(DATOS!$C$26,TABLAS!$B$52:$B$58,0)+3,7)),1))*INDEX(TABLAS!$D$52:$D$58,MIN(MATCH(DATOS!$C$26,TABLAS!$B$52:$B$58,0)+3,7))&gt;=4/3*IF(BD38&lt;=0,0,IF((1-2*BD38*1E5/(DATOS!$C$58*Q38*BV38^2*DATOS!$C$48))&lt;0,-1,IF((1-SQRT((1-2*BD38*1E5/(DATOS!$C$58*Q38*BV38^2*DATOS!$C$48))))*DATOS!$C$48*Q38*BV38/DATOS!$C$40&gt;DATOS!$C$82*Q38*BV38,-1,(1-SQRT((1-2*BD38*1E5/(DATOS!$C$58*Q38*BV38^2*DATOS!$C$48))))*DATOS!$C$48*Q38*BV38/DATOS!$C$40)))-0.0001,MAX(DATOS!$C$29,CEILING(BW38/INDEX(TABLAS!$D$52:$D$58,MIN(MATCH(DATOS!$C$26,TABLAS!$B$52:$B$58,0)+3,7)),1)),MAX(MAX(DATOS!$C$29,CEILING(BW38/INDEX(TABLAS!$D$52:$D$58,MIN(MATCH(DATOS!$C$26,TABLAS!$B$52:$B$58,0)+3,7)),1)),2))&lt;=MIN(DATOS!$C$28,INT(((DATOS!$C$13-2*R38-2*IF(DATOS!$C$25=0,0,INDEX(TABLAS!$C$52:$C$58,MATCH(DATOS!$C$25,TABLAS!$B$52:$B$58,0))))+MAX(DATOS!$C$32,INDEX(TABLAS!$C$52:$C$58,MIN(MATCH(DATOS!$C$26,TABLAS!$B$52:$B$58,0)+3,7))))/(INDEX(TABLAS!$C$52:$C$58,MIN(MATCH(DATOS!$C$26,TABLAS!$B$52:$B$58,0)+3,7))+MAX(DATOS!$C$32,INDEX(TABLAS!$C$52:$C$58,MIN(MATCH(DATOS!$C$26,TABLAS!$B$52:$B$58,0)+3,7))))))),INDEX(TABLAS!$B$52:$B$58,MIN(MATCH(DATOS!$C$26,TABLAS!$B$52:$B$58,0)+3,7)),IF(AND(BW38&gt;=0,IF(MAX(DATOS!$C$29,CEILING(BW38/INDEX(TABLAS!$D$52:$D$58,MIN(MATCH(DATOS!$C$26,TABLAS!$B$52:$B$58,0)+4,7)),1))*INDEX(TABLAS!$D$52:$D$58,MIN(MATCH(DATOS!$C$26,TABLAS!$B$52:$B$58,0)+4,7))&gt;=4/3*IF(BD38&lt;=0,0,IF((1-2*BD38*1E5/(DATOS!$C$58*Q38*BV38^2*DATOS!$C$48))&lt;0,-1,IF((1-SQRT((1-2*BD38*1E5/(DATOS!$C$58*Q38*BV38^2*DATOS!$C$48))))*DATOS!$C$48*Q38*BV38/DATOS!$C$40&gt;DATOS!$C$82*Q38*BV38,-1,(1-SQRT((1-2*BD38*1E5/(DATOS!$C$58*Q38*BV38^2*DATOS!$C$48))))*DATOS!$C$48*Q38*BV38/DATOS!$C$40)))-0.0001,MAX(DATOS!$C$29,CEILING(BW38/INDEX(TABLAS!$D$52:$D$58,MIN(MATCH(DATOS!$C$26,TABLAS!$B$52:$B$58,0)+4,7)),1)),MAX(MAX(DATOS!$C$29,CEILING(BW38/INDEX(TABLAS!$D$52:$D$58,MIN(MATCH(DATOS!$C$26,TABLAS!$B$52:$B$58,0)+4,7)),1)),2))&lt;=MIN(DATOS!$C$28,INT(((DATOS!$C$13-2*R38-2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38" s="56">
        <f>IF(D38="HUECO",0,IF(BW38&lt;0,0,IF(MAX(DATOS!$C$29,CEILING(MAX(BW38,0)/INDEX(TABLAS!$D$52:$D$58,MATCH(BX38,TABLAS!$B$52:$B$58,0)),1))*INDEX(TABLAS!$D$52:$D$58,MATCH(BX38,TABLAS!$B$52:$B$58,0))&gt;=4/3*IF(BD38&lt;=0,0,IF((1-2*BD38*1E5/(DATOS!$C$58*Q38*BV38^2*DATOS!$C$48))&lt;0,-1,IF((1-SQRT((1-2*BD38*1E5/(DATOS!$C$58*Q38*BV38^2*DATOS!$C$48))))*DATOS!$C$48*Q38*BV38/DATOS!$C$40&gt;DATOS!$C$82*Q38*BV38,-1,(1-SQRT((1-2*BD38*1E5/(DATOS!$C$58*Q38*BV38^2*DATOS!$C$48))))*DATOS!$C$48*Q38*BV38/DATOS!$C$40)))-0.0001,MAX(DATOS!$C$29,CEILING(MAX(BW38,0)/INDEX(TABLAS!$D$52:$D$58,MATCH(BX38,TABLAS!$B$52:$B$58,0)),1)),MAX(MAX(DATOS!$C$29,CEILING(MAX(BW38,0)/INDEX(TABLAS!$D$52:$D$58,MATCH(BX38,TABLAS!$B$52:$B$58,0)),1)),2))))</f>
        <v>1</v>
      </c>
      <c r="BZ38" s="43">
        <f>DATOS!$C$15-R38-IF(DATOS!$C$25=0,0,INDEX(TABLAS!$C$52:$C$58,MATCH(DATOS!$C$25,TABLAS!$B$52:$B$58,0)))-INDEX(TABLAS!$C$52:$C$58,MATCH(BH38,TABLAS!$B$52:$B$58,0))-INDEX(TABLAS!$C$52:$C$58,MATCH(BX38,TABLAS!$B$52:$B$58,0))/2</f>
        <v>21.095</v>
      </c>
      <c r="CA38" s="36">
        <f>IF(BY38=0,0,DATOS!$C$58*BY38*INDEX(TABLAS!$D$52:$D$58,MATCH(BX38,TABLAS!$B$52:$B$58,0))*DATOS!$C$40*(BZ38-BY38*INDEX(TABLAS!$D$52:$D$58,MATCH(BX38,TABLAS!$B$52:$B$58,0))*DATOS!$C$40/(DATOS!$C$48*Q38)/2)/1E5)</f>
        <v>1.00407937658824</v>
      </c>
      <c r="CB38" s="62">
        <f>IF(BW38&lt;0,9.99,IF(CA38&gt;0,BD38/CA38,0))</f>
        <v>0.448358861073295</v>
      </c>
      <c r="CC38" s="63">
        <f>IF(BY38=0,"—",0.003*(BZ38-(BY38*INDEX(TABLAS!$D$52:$D$58,MATCH(BX38,TABLAS!$B$52:$B$58,0))*DATOS!$C$40/(DATOS!$C$48*Q38)/DATOS!$C$49))/(BY38*INDEX(TABLAS!$D$52:$D$58,MATCH(BX38,TABLAS!$B$52:$B$58,0))*DATOS!$C$40/(DATOS!$C$48*Q38)/DATOS!$C$49))</f>
        <v>0.147011195866142</v>
      </c>
      <c r="CD38" s="43">
        <f>((DATOS!$C$15-S38-2*DATOS!$C$35-IF(DATOS!$C$25=0,0,INDEX(TABLAS!$C$52:$C$58,MATCH(DATOS!$C$25,TABLAS!$B$52:$B$58,0)))-INDEX(TABLAS!$C$52:$C$58,MATCH(DATOS!$C$27,TABLAS!$B$52:$B$58,0))-INDEX(TABLAS!$C$52:$C$58,MATCH(DATOS!$C$27,TABLAS!$B$52:$B$58,0))/2)-IF(AND((DATOS!$C$15-S38-2*DATOS!$C$35-IF(DATOS!$C$25=0,0,INDEX(TABLAS!$C$52:$C$58,MATCH(DATOS!$C$25,TABLAS!$B$52:$B$58,0)))-INDEX(TABLAS!$C$52:$C$58,MATCH(DATOS!$C$27,TABLAS!$B$52:$B$58,0))-INDEX(TABLAS!$C$52:$C$58,MATCH(DATOS!$C$27,TABLAS!$B$52:$B$58,0))/2)&lt;=20,DATOS!$C$18&lt;&gt;"SÍ"),2,0))</f>
        <v>20.119</v>
      </c>
      <c r="CE38" s="43">
        <f>IF(D38="HUECO",0,IF(IF(BE38&lt;=0,0,IF((1-2*BE38*1E5/(DATOS!$C$58*DATOS!$C$19*CD38^2*DATOS!$C$48))&lt;0,-1,IF((1-SQRT((1-2*BE38*1E5/(DATOS!$C$58*DATOS!$C$19*CD38^2*DATOS!$C$48))))*DATOS!$C$48*DATOS!$C$19*CD38/DATOS!$C$40&gt;DATOS!$C$82*DATOS!$C$19*CD38,-1,(1-SQRT((1-2*BE38*1E5/(DATOS!$C$58*DATOS!$C$19*CD38^2*DATOS!$C$48))))*DATOS!$C$48*DATOS!$C$19*CD38/DATOS!$C$40)))&lt;0,-1,MAX(IF(BE38&lt;=0,0,IF((1-2*BE38*1E5/(DATOS!$C$58*DATOS!$C$19*CD38^2*DATOS!$C$48))&lt;0,-1,IF((1-SQRT((1-2*BE38*1E5/(DATOS!$C$58*DATOS!$C$19*CD38^2*DATOS!$C$48))))*DATOS!$C$48*DATOS!$C$19*CD38/DATOS!$C$40&gt;DATOS!$C$82*DATOS!$C$19*CD38,-1,(1-SQRT((1-2*BE38*1E5/(DATOS!$C$58*DATOS!$C$19*CD38^2*DATOS!$C$48))))*DATOS!$C$48*DATOS!$C$19*CD38/DATOS!$C$40))),MIN(DATOS!$C$83*DATOS!$C$13*CD38,4/3*IF(BE38&lt;=0,0,IF((1-2*BE38*1E5/(DATOS!$C$58*DATOS!$C$19*CD38^2*DATOS!$C$48))&lt;0,-1,IF((1-SQRT((1-2*BE38*1E5/(DATOS!$C$58*DATOS!$C$19*CD38^2*DATOS!$C$48))))*DATOS!$C$48*DATOS!$C$19*CD38/DATOS!$C$40&gt;DATOS!$C$82*DATOS!$C$19*CD38,-1,(1-SQRT((1-2*BE38*1E5/(DATOS!$C$58*DATOS!$C$19*CD38^2*DATOS!$C$48))))*DATOS!$C$48*DATOS!$C$19*CD38/DATOS!$C$40)))))))</f>
        <v>0.817525998268999</v>
      </c>
      <c r="CF38" s="41">
        <f>IF(AND(CE38&gt;=0,IF(MAX(DATOS!$C$29,CEILING(CE38/INDEX(TABLAS!$D$52:$D$58,MIN(MATCH(DATOS!$C$27,TABLAS!$B$52:$B$58,0)+0,7)),1))*INDEX(TABLAS!$D$52:$D$58,MIN(MATCH(DATOS!$C$27,TABLAS!$B$52:$B$58,0)+0,7))&gt;=4/3*IF(BE38&lt;=0,0,IF((1-2*BE38*1E5/(DATOS!$C$58*DATOS!$C$19*CD38^2*DATOS!$C$48))&lt;0,-1,IF((1-SQRT((1-2*BE38*1E5/(DATOS!$C$58*DATOS!$C$19*CD38^2*DATOS!$C$48))))*DATOS!$C$48*DATOS!$C$19*CD38/DATOS!$C$40&gt;DATOS!$C$82*DATOS!$C$19*CD38,-1,(1-SQRT((1-2*BE38*1E5/(DATOS!$C$58*DATOS!$C$19*CD38^2*DATOS!$C$48))))*DATOS!$C$48*DATOS!$C$19*CD38/DATOS!$C$40)))-0.0001,MAX(DATOS!$C$29,CEILING(CE38/INDEX(TABLAS!$D$52:$D$58,MIN(MATCH(DATOS!$C$27,TABLAS!$B$52:$B$58,0)+0,7)),1)),MAX(MAX(DATOS!$C$29,CEILING(CE38/INDEX(TABLAS!$D$52:$D$58,MIN(MATCH(DATOS!$C$27,TABLAS!$B$52:$B$58,0)+0,7)),1)),2))&lt;=MIN(DATOS!$C$28,INT(((DATOS!$C$13-2*S38-2*IF(DATOS!$C$25=0,0,INDEX(TABLAS!$C$52:$C$58,MATCH(DATOS!$C$25,TABLAS!$B$52:$B$58,0))))+MAX(DATOS!$C$32,INDEX(TABLAS!$C$52:$C$58,MIN(MATCH(DATOS!$C$27,TABLAS!$B$52:$B$58,0)+0,7))))/(INDEX(TABLAS!$C$52:$C$58,MIN(MATCH(DATOS!$C$27,TABLAS!$B$52:$B$58,0)+0,7))+MAX(DATOS!$C$32,INDEX(TABLAS!$C$52:$C$58,MIN(MATCH(DATOS!$C$27,TABLAS!$B$52:$B$58,0)+0,7))))))),INDEX(TABLAS!$B$52:$B$58,MIN(MATCH(DATOS!$C$27,TABLAS!$B$52:$B$58,0)+0,7)),IF(AND(CE38&gt;=0,IF(MAX(DATOS!$C$29,CEILING(CE38/INDEX(TABLAS!$D$52:$D$58,MIN(MATCH(DATOS!$C$27,TABLAS!$B$52:$B$58,0)+1,7)),1))*INDEX(TABLAS!$D$52:$D$58,MIN(MATCH(DATOS!$C$27,TABLAS!$B$52:$B$58,0)+1,7))&gt;=4/3*IF(BE38&lt;=0,0,IF((1-2*BE38*1E5/(DATOS!$C$58*DATOS!$C$19*CD38^2*DATOS!$C$48))&lt;0,-1,IF((1-SQRT((1-2*BE38*1E5/(DATOS!$C$58*DATOS!$C$19*CD38^2*DATOS!$C$48))))*DATOS!$C$48*DATOS!$C$19*CD38/DATOS!$C$40&gt;DATOS!$C$82*DATOS!$C$19*CD38,-1,(1-SQRT((1-2*BE38*1E5/(DATOS!$C$58*DATOS!$C$19*CD38^2*DATOS!$C$48))))*DATOS!$C$48*DATOS!$C$19*CD38/DATOS!$C$40)))-0.0001,MAX(DATOS!$C$29,CEILING(CE38/INDEX(TABLAS!$D$52:$D$58,MIN(MATCH(DATOS!$C$27,TABLAS!$B$52:$B$58,0)+1,7)),1)),MAX(MAX(DATOS!$C$29,CEILING(CE38/INDEX(TABLAS!$D$52:$D$58,MIN(MATCH(DATOS!$C$27,TABLAS!$B$52:$B$58,0)+1,7)),1)),2))&lt;=MIN(DATOS!$C$28,INT(((DATOS!$C$13-2*S38-2*IF(DATOS!$C$25=0,0,INDEX(TABLAS!$C$52:$C$58,MATCH(DATOS!$C$25,TABLAS!$B$52:$B$58,0))))+MAX(DATOS!$C$32,INDEX(TABLAS!$C$52:$C$58,MIN(MATCH(DATOS!$C$27,TABLAS!$B$52:$B$58,0)+1,7))))/(INDEX(TABLAS!$C$52:$C$58,MIN(MATCH(DATOS!$C$27,TABLAS!$B$52:$B$58,0)+1,7))+MAX(DATOS!$C$32,INDEX(TABLAS!$C$52:$C$58,MIN(MATCH(DATOS!$C$27,TABLAS!$B$52:$B$58,0)+1,7))))))),INDEX(TABLAS!$B$52:$B$58,MIN(MATCH(DATOS!$C$27,TABLAS!$B$52:$B$58,0)+1,7)),IF(AND(CE38&gt;=0,IF(MAX(DATOS!$C$29,CEILING(CE38/INDEX(TABLAS!$D$52:$D$58,MIN(MATCH(DATOS!$C$27,TABLAS!$B$52:$B$58,0)+2,7)),1))*INDEX(TABLAS!$D$52:$D$58,MIN(MATCH(DATOS!$C$27,TABLAS!$B$52:$B$58,0)+2,7))&gt;=4/3*IF(BE38&lt;=0,0,IF((1-2*BE38*1E5/(DATOS!$C$58*DATOS!$C$19*CD38^2*DATOS!$C$48))&lt;0,-1,IF((1-SQRT((1-2*BE38*1E5/(DATOS!$C$58*DATOS!$C$19*CD38^2*DATOS!$C$48))))*DATOS!$C$48*DATOS!$C$19*CD38/DATOS!$C$40&gt;DATOS!$C$82*DATOS!$C$19*CD38,-1,(1-SQRT((1-2*BE38*1E5/(DATOS!$C$58*DATOS!$C$19*CD38^2*DATOS!$C$48))))*DATOS!$C$48*DATOS!$C$19*CD38/DATOS!$C$40)))-0.0001,MAX(DATOS!$C$29,CEILING(CE38/INDEX(TABLAS!$D$52:$D$58,MIN(MATCH(DATOS!$C$27,TABLAS!$B$52:$B$58,0)+2,7)),1)),MAX(MAX(DATOS!$C$29,CEILING(CE38/INDEX(TABLAS!$D$52:$D$58,MIN(MATCH(DATOS!$C$27,TABLAS!$B$52:$B$58,0)+2,7)),1)),2))&lt;=MIN(DATOS!$C$28,INT(((DATOS!$C$13-2*S38-2*IF(DATOS!$C$25=0,0,INDEX(TABLAS!$C$52:$C$58,MATCH(DATOS!$C$25,TABLAS!$B$52:$B$58,0))))+MAX(DATOS!$C$32,INDEX(TABLAS!$C$52:$C$58,MIN(MATCH(DATOS!$C$27,TABLAS!$B$52:$B$58,0)+2,7))))/(INDEX(TABLAS!$C$52:$C$58,MIN(MATCH(DATOS!$C$27,TABLAS!$B$52:$B$58,0)+2,7))+MAX(DATOS!$C$32,INDEX(TABLAS!$C$52:$C$58,MIN(MATCH(DATOS!$C$27,TABLAS!$B$52:$B$58,0)+2,7))))))),INDEX(TABLAS!$B$52:$B$58,MIN(MATCH(DATOS!$C$27,TABLAS!$B$52:$B$58,0)+2,7)),IF(AND(CE38&gt;=0,IF(MAX(DATOS!$C$29,CEILING(CE38/INDEX(TABLAS!$D$52:$D$58,MIN(MATCH(DATOS!$C$27,TABLAS!$B$52:$B$58,0)+3,7)),1))*INDEX(TABLAS!$D$52:$D$58,MIN(MATCH(DATOS!$C$27,TABLAS!$B$52:$B$58,0)+3,7))&gt;=4/3*IF(BE38&lt;=0,0,IF((1-2*BE38*1E5/(DATOS!$C$58*DATOS!$C$19*CD38^2*DATOS!$C$48))&lt;0,-1,IF((1-SQRT((1-2*BE38*1E5/(DATOS!$C$58*DATOS!$C$19*CD38^2*DATOS!$C$48))))*DATOS!$C$48*DATOS!$C$19*CD38/DATOS!$C$40&gt;DATOS!$C$82*DATOS!$C$19*CD38,-1,(1-SQRT((1-2*BE38*1E5/(DATOS!$C$58*DATOS!$C$19*CD38^2*DATOS!$C$48))))*DATOS!$C$48*DATOS!$C$19*CD38/DATOS!$C$40)))-0.0001,MAX(DATOS!$C$29,CEILING(CE38/INDEX(TABLAS!$D$52:$D$58,MIN(MATCH(DATOS!$C$27,TABLAS!$B$52:$B$58,0)+3,7)),1)),MAX(MAX(DATOS!$C$29,CEILING(CE38/INDEX(TABLAS!$D$52:$D$58,MIN(MATCH(DATOS!$C$27,TABLAS!$B$52:$B$58,0)+3,7)),1)),2))&lt;=MIN(DATOS!$C$28,INT(((DATOS!$C$13-2*S38-2*IF(DATOS!$C$25=0,0,INDEX(TABLAS!$C$52:$C$58,MATCH(DATOS!$C$25,TABLAS!$B$52:$B$58,0))))+MAX(DATOS!$C$32,INDEX(TABLAS!$C$52:$C$58,MIN(MATCH(DATOS!$C$27,TABLAS!$B$52:$B$58,0)+3,7))))/(INDEX(TABLAS!$C$52:$C$58,MIN(MATCH(DATOS!$C$27,TABLAS!$B$52:$B$58,0)+3,7))+MAX(DATOS!$C$32,INDEX(TABLAS!$C$52:$C$58,MIN(MATCH(DATOS!$C$27,TABLAS!$B$52:$B$58,0)+3,7))))))),INDEX(TABLAS!$B$52:$B$58,MIN(MATCH(DATOS!$C$27,TABLAS!$B$52:$B$58,0)+3,7)),IF(AND(CE38&gt;=0,IF(MAX(DATOS!$C$29,CEILING(CE38/INDEX(TABLAS!$D$52:$D$58,MIN(MATCH(DATOS!$C$27,TABLAS!$B$52:$B$58,0)+4,7)),1))*INDEX(TABLAS!$D$52:$D$58,MIN(MATCH(DATOS!$C$27,TABLAS!$B$52:$B$58,0)+4,7))&gt;=4/3*IF(BE38&lt;=0,0,IF((1-2*BE38*1E5/(DATOS!$C$58*DATOS!$C$19*CD38^2*DATOS!$C$48))&lt;0,-1,IF((1-SQRT((1-2*BE38*1E5/(DATOS!$C$58*DATOS!$C$19*CD38^2*DATOS!$C$48))))*DATOS!$C$48*DATOS!$C$19*CD38/DATOS!$C$40&gt;DATOS!$C$82*DATOS!$C$19*CD38,-1,(1-SQRT((1-2*BE38*1E5/(DATOS!$C$58*DATOS!$C$19*CD38^2*DATOS!$C$48))))*DATOS!$C$48*DATOS!$C$19*CD38/DATOS!$C$40)))-0.0001,MAX(DATOS!$C$29,CEILING(CE38/INDEX(TABLAS!$D$52:$D$58,MIN(MATCH(DATOS!$C$27,TABLAS!$B$52:$B$58,0)+4,7)),1)),MAX(MAX(DATOS!$C$29,CEILING(CE38/INDEX(TABLAS!$D$52:$D$58,MIN(MATCH(DATOS!$C$27,TABLAS!$B$52:$B$58,0)+4,7)),1)),2))&lt;=MIN(DATOS!$C$28,INT(((DATOS!$C$13-2*S38-2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38" s="56">
        <f>IF(D38="HUECO",0,IF(CE38&lt;0,0,IF(MAX(DATOS!$C$29,CEILING(MAX(CE38,0)/INDEX(TABLAS!$D$52:$D$58,MATCH(CF38,TABLAS!$B$52:$B$58,0)),1))*INDEX(TABLAS!$D$52:$D$58,MATCH(CF38,TABLAS!$B$52:$B$58,0))&gt;=4/3*IF(BE38&lt;=0,0,IF((1-2*BE38*1E5/(DATOS!$C$58*DATOS!$C$19*CD38^2*DATOS!$C$48))&lt;0,-1,IF((1-SQRT((1-2*BE38*1E5/(DATOS!$C$58*DATOS!$C$19*CD38^2*DATOS!$C$48))))*DATOS!$C$48*DATOS!$C$19*CD38/DATOS!$C$40&gt;DATOS!$C$82*DATOS!$C$19*CD38,-1,(1-SQRT((1-2*BE38*1E5/(DATOS!$C$58*DATOS!$C$19*CD38^2*DATOS!$C$48))))*DATOS!$C$48*DATOS!$C$19*CD38/DATOS!$C$40)))-0.0001,MAX(DATOS!$C$29,CEILING(MAX(CE38,0)/INDEX(TABLAS!$D$52:$D$58,MATCH(CF38,TABLAS!$B$52:$B$58,0)),1)),MAX(MAX(DATOS!$C$29,CEILING(MAX(CE38,0)/INDEX(TABLAS!$D$52:$D$58,MATCH(CF38,TABLAS!$B$52:$B$58,0)),1)),2))))</f>
        <v>1</v>
      </c>
      <c r="CH38" s="43">
        <f>((DATOS!$C$15-S38-2*DATOS!$C$35-IF(DATOS!$C$25=0,0,INDEX(TABLAS!$C$52:$C$58,MATCH(DATOS!$C$25,TABLAS!$B$52:$B$58,0)))-INDEX(TABLAS!$C$52:$C$58,MATCH(BP38,TABLAS!$B$52:$B$58,0))-INDEX(TABLAS!$C$52:$C$58,MATCH(CF38,TABLAS!$B$52:$B$58,0))/2)-IF(AND((DATOS!$C$15-S38-2*DATOS!$C$35-IF(DATOS!$C$25=0,0,INDEX(TABLAS!$C$52:$C$58,MATCH(DATOS!$C$25,TABLAS!$B$52:$B$58,0)))-INDEX(TABLAS!$C$52:$C$58,MATCH(BP38,TABLAS!$B$52:$B$58,0))-INDEX(TABLAS!$C$52:$C$58,MATCH(CF38,TABLAS!$B$52:$B$58,0))/2)&lt;=20,DATOS!$C$18&lt;&gt;"SÍ"),2,0))</f>
        <v>20.119</v>
      </c>
      <c r="CI38" s="36">
        <f>IF(CG38=0,0,DATOS!$C$58*CG38*INDEX(TABLAS!$D$52:$D$58,MATCH(CF38,TABLAS!$B$52:$B$58,0))*DATOS!$C$40*(CH38-CG38*INDEX(TABLAS!$D$52:$D$58,MATCH(CF38,TABLAS!$B$52:$B$58,0))*DATOS!$C$40/(DATOS!$C$48*DATOS!$C$19)/2)/1E5)</f>
        <v>0.905582360117647</v>
      </c>
      <c r="CJ38" s="62">
        <f>IF(CE38&lt;0,9.99,IF(CI38&gt;0,BE38/CI38,0))</f>
        <v>0.658980024342301</v>
      </c>
      <c r="CK38" s="63">
        <f>IF(CG38=0,"—",0.003*(CH38-(CG38*INDEX(TABLAS!$D$52:$D$58,MATCH(CF38,TABLAS!$B$52:$B$58,0))*DATOS!$C$40/(DATOS!$C$48*DATOS!$C$19)/DATOS!$C$49))/(CG38*INDEX(TABLAS!$D$52:$D$58,MATCH(CF38,TABLAS!$B$52:$B$58,0))*DATOS!$C$40/(DATOS!$C$48*DATOS!$C$19)/DATOS!$C$49))</f>
        <v>0.0174386635264342</v>
      </c>
      <c r="CL38" s="52" t="str">
        <f>IF(D38="HUECO","—",IF(AND(D38="PERIMETRAL",J38*100&gt;=6*DATOS!$C$11,DATOS!$C$11&lt;=80,DATOS!$C$13&gt;=10,DATOS!$C$15&lt;=3.5*DATOS!$C$13,DATOS!$C$14&gt;=MAX(DATOS!$C$11/13,5)),"SÍ","NO"))</f>
        <v>SÍ</v>
      </c>
      <c r="CM38" s="36">
        <f>IF(D38="PERIMETRAL",MAX(0,(N38/2-BR38)/100)*(0.95-0.5*L38)*Y38*IF(AND(Z38&gt;0,Z38&lt;4),DATOS!$C$63,1)*DATOS!$C$16/100/1000+AX38,IF(D38="VOLADO",(Y38*MAX(0,N38-BR38)/100+DATOS!$C$55*BA38)*DATOS!$C$16/100/1000,0))</f>
        <v>0.641385634035208</v>
      </c>
      <c r="CN38" s="36">
        <f>IF(D38="HUECO",0,DATOS!$C$59*2*MIN(1,SQRT(2/(1+0.04*BR38)))*(BQ38*INDEX(TABLAS!$D$52:$D$58,MATCH(BP38,TABLAS!$B$52:$B$58,0))/(DATOS!$C$19*BR38))^(1/3)*SQRT(DATOS!$C$39)*DATOS!$C$19*BR38*IF(CL38="SÍ",DATOS!$C$62,1)/1000)</f>
        <v>1.0104515843408</v>
      </c>
      <c r="CO38" s="51" t="str">
        <f>IF(D38="HUECO","—",IF(CM38&lt;=CN38,"CUMPLE",IF(MAX(0,CEILING((IF(D38="VOLADO",(N38-(CN38*1E5/DATOS!$C$16-DATOS!$C$55*BA38)*100/Y38),IF(CN38&lt;=AX38,N38,N38/2-(CN38-AX38)/MAX(CM38-AX38,1E-9)*(N38/2-BR38)))-IF(INT((J38*100-DATOS!$C$17+DATOS!$C$13)/DATOS!$C$16)&gt;0,(J38*100-DATOS!$C$17-(INT((J38*100-DATOS!$C$17+DATOS!$C$13)/DATOS!$C$16)*DATOS!$C$11+(INT((J38*100-DATOS!$C$17+DATOS!$C$13)/DATOS!$C$16)-1)*DATOS!$C$13))/2,J38*100/2))/DATOS!$C$16,1))&lt;=0,"CUMPLE (basta el macizo de orilla)","MACIZAR "&amp;MAX(0,CEILING((IF(D38="VOLADO",(N38-(CN38*1E5/DATOS!$C$16-DATOS!$C$55*BA38)*100/Y38),IF(CN38&lt;=AX38,N38,N38/2-(CN38-AX38)/MAX(CM38-AX38,1E-9)*(N38/2-BR38)))-IF(INT((J38*100-DATOS!$C$17+DATOS!$C$13)/DATOS!$C$16)&gt;0,(J38*100-DATOS!$C$17-(INT((J38*100-DATOS!$C$17+DATOS!$C$13)/DATOS!$C$16)*DATOS!$C$11+(INT((J38*100-DATOS!$C$17+DATOS!$C$13)/DATOS!$C$16)-1)*DATOS!$C$13))/2,J38*100/2))/DATOS!$C$16,1))&amp;" hilera(s)")))</f>
        <v>CUMPLE</v>
      </c>
      <c r="CP38" s="43">
        <f>IF(D38="PERIMETRAL",(99+99+99+99)/4,0)</f>
        <v>99</v>
      </c>
      <c r="CQ38" s="57">
        <f>IF(D38="PERIMETRAL",IF(CP38&gt;2,MAX(9,O38*(0.8+DATOS!$C$40/14000)/(36+9*(O38/MAX(N38,1)))),IF(CP38&gt;0.2,MAX(13,O38*(0.8+DATOS!$C$40/14000)/(36+5*(O38/MAX(N38,1))*(CP38-0.2))),MAX(13,O38/IF(Z38&gt;0,30,33))))*IF(AND(CP38&gt;0.2,OR(AND((APOYOS!$G$145="DISCONTINUO"),99&lt;0.8),AND((APOYOS!$G$146="DISCONTINUO"),99&lt;0.8),AND((APOYOS!$G$147="DISCONTINUO"),99&lt;0.8),AND((APOYOS!$G$148="DISCONTINUO"),99&lt;0.8))),1.1,1),IF(D38="VOLADO",MAX(25,J38*100/8),0))</f>
        <v>10.2261412662917</v>
      </c>
      <c r="CR38" s="57">
        <f>IF(D38="VOLADO",DATOS!$C$15,DATOS!$C$77)</f>
        <v>16.7232564120244</v>
      </c>
      <c r="CS38" s="52" t="str">
        <f>IF(D38="HUECO","—",IF(CR38&gt;=CQ38,"CUMPLE",IF(D38="VOLADO","NO CUMPLE","CALCULAR FLECHA")))</f>
        <v>CUMPLE</v>
      </c>
      <c r="CT38" s="52" t="str">
        <f>IF(D38="HUECO","—",IF(DATOS!$C$14&gt;=IF(IF(D38="VOLADO",J38,K38)&gt;=6,6,5),"CUMPLE","CAPA ≥ 6 cm"))</f>
        <v>CUMPLE</v>
      </c>
      <c r="CU38" s="59">
        <f>IF(D38="HUECO",0,IF(((4*((AL38*Y38*J38^2*1E-4*DATOS!$C$16/100/1000)+((MAX(AH38,AJ38)*Y38*J38^2*1E-4*DATOS!$C$16/100/1000)+(IF(AND(AH38&gt;0,AJ38&gt;0),MIN(AH38,AJ38),MAX(AH38,AJ38))*Y38*J38^2*1E-4*DATOS!$C$16/100/1000))/2)+BC38-(IF(AND(AH38&gt;0,AJ38&gt;0),MIN(AH38,AJ38),MAX(AH38,AJ38))*Y38*J38^2*1E-4*DATOS!$C$16/100/1000))^2-16*((AL38*Y38*J38^2*1E-4*DATOS!$C$16/100/1000)+((MAX(AH38,AJ38)*Y38*J38^2*1E-4*DATOS!$C$16/100/1000)+(IF(AND(AH38&gt;0,AJ38&gt;0),MIN(AH38,AJ38),MAX(AH38,AJ38))*Y38*J38^2*1E-4*DATOS!$C$16/100/1000))/2)*BC38)&lt;0,CEILING(N38,5),CEILING(MAX(N38*((4*((AL38*Y38*J38^2*1E-4*DATOS!$C$16/100/1000)+((MAX(AH38,AJ38)*Y38*J38^2*1E-4*DATOS!$C$16/100/1000)+(IF(AND(AH38&gt;0,AJ38&gt;0),MIN(AH38,AJ38),MAX(AH38,AJ38))*Y38*J38^2*1E-4*DATOS!$C$16/100/1000))/2)+BC38-(IF(AND(AH38&gt;0,AJ38&gt;0),MIN(AH38,AJ38),MAX(AH38,AJ38))*Y38*J38^2*1E-4*DATOS!$C$16/100/1000))-SQRT(MAX(0,((4*((AL38*Y38*J38^2*1E-4*DATOS!$C$16/100/1000)+((MAX(AH38,AJ38)*Y38*J38^2*1E-4*DATOS!$C$16/100/1000)+(IF(AND(AH38&gt;0,AJ38&gt;0),MIN(AH38,AJ38),MAX(AH38,AJ38))*Y38*J38^2*1E-4*DATOS!$C$16/100/1000))/2)+BC38-(IF(AND(AH38&gt;0,AJ38&gt;0),MIN(AH38,AJ38),MAX(AH38,AJ38))*Y38*J38^2*1E-4*DATOS!$C$16/100/1000))^2-16*((AL38*Y38*J38^2*1E-4*DATOS!$C$16/100/1000)+((MAX(AH38,AJ38)*Y38*J38^2*1E-4*DATOS!$C$16/100/1000)+(IF(AND(AH38&gt;0,AJ38&gt;0),MIN(AH38,AJ38),MAX(AH38,AJ38))*Y38*J38^2*1E-4*DATOS!$C$16/100/1000))/2)*BC38))))/(8*MAX(((AL38*Y38*J38^2*1E-4*DATOS!$C$16/100/1000)+((MAX(AH38,AJ38)*Y38*J38^2*1E-4*DATOS!$C$16/100/1000)+(IF(AND(AH38&gt;0,AJ38&gt;0),MIN(AH38,AJ38),MAX(AH38,AJ38))*Y38*J38^2*1E-4*DATOS!$C$16/100/1000))/2),1E-9))+MAX(BR38,12*INDEX(TABLAS!$C$52:$C$58,MATCH(BP38,TABLAS!$B$52:$B$58,0)),N38/16),IF(OR(S38&lt;INDEX(TABLAS!$C$52:$C$58,MATCH(BP38,TABLAS!$B$52:$B$58,0)),AND(BQ38&gt;=2,(DATOS!$C$13-2*S38-2*IF(DATOS!$C$25=0,0,INDEX(TABLAS!$C$52:$C$58,MATCH(DATOS!$C$25,TABLAS!$B$52:$B$58,0)))-BQ38*INDEX(TABLAS!$C$52:$C$58,MATCH(BP38,TABLAS!$B$52:$B$58,0)))/MAX(BQ38-1,1)&lt;2*INDEX(TABLAS!$C$52:$C$58,MATCH(BP38,TABLAS!$B$52:$B$58,0)))),INDEX(TABLAS!$I$52:$I$58,MATCH(BP38,TABLAS!$B$52:$B$58,0)),INDEX(TABLAS!$F$52:$F$58,MATCH(BP38,TABLAS!$B$52:$B$58,0)))),5)))</f>
        <v>60</v>
      </c>
      <c r="CV38" s="59">
        <f>IF(D38="HUECO",0,IF(((4*((AM38*Y38*J38^2*1E-4*DATOS!$C$16/100/1000)+((MAX(AI38,AK38)*Y38*J38^2*1E-4*DATOS!$C$16/100/1000)+(IF(AND(AI38&gt;0,AK38&gt;0),MIN(AI38,AK38),MAX(AI38,AK38))*Y38*J38^2*1E-4*DATOS!$C$16/100/1000))/2)+BE38-(IF(AND(AI38&gt;0,AK38&gt;0),MIN(AI38,AK38),MAX(AI38,AK38))*Y38*J38^2*1E-4*DATOS!$C$16/100/1000))^2-16*((AM38*Y38*J38^2*1E-4*DATOS!$C$16/100/1000)+((MAX(AI38,AK38)*Y38*J38^2*1E-4*DATOS!$C$16/100/1000)+(IF(AND(AI38&gt;0,AK38&gt;0),MIN(AI38,AK38),MAX(AI38,AK38))*Y38*J38^2*1E-4*DATOS!$C$16/100/1000))/2)*BE38)&lt;0,CEILING(O38,5),CEILING(MAX(O38*((4*((AM38*Y38*J38^2*1E-4*DATOS!$C$16/100/1000)+((MAX(AI38,AK38)*Y38*J38^2*1E-4*DATOS!$C$16/100/1000)+(IF(AND(AI38&gt;0,AK38&gt;0),MIN(AI38,AK38),MAX(AI38,AK38))*Y38*J38^2*1E-4*DATOS!$C$16/100/1000))/2)+BE38-(IF(AND(AI38&gt;0,AK38&gt;0),MIN(AI38,AK38),MAX(AI38,AK38))*Y38*J38^2*1E-4*DATOS!$C$16/100/1000))-SQRT(MAX(0,((4*((AM38*Y38*J38^2*1E-4*DATOS!$C$16/100/1000)+((MAX(AI38,AK38)*Y38*J38^2*1E-4*DATOS!$C$16/100/1000)+(IF(AND(AI38&gt;0,AK38&gt;0),MIN(AI38,AK38),MAX(AI38,AK38))*Y38*J38^2*1E-4*DATOS!$C$16/100/1000))/2)+BE38-(IF(AND(AI38&gt;0,AK38&gt;0),MIN(AI38,AK38),MAX(AI38,AK38))*Y38*J38^2*1E-4*DATOS!$C$16/100/1000))^2-16*((AM38*Y38*J38^2*1E-4*DATOS!$C$16/100/1000)+((MAX(AI38,AK38)*Y38*J38^2*1E-4*DATOS!$C$16/100/1000)+(IF(AND(AI38&gt;0,AK38&gt;0),MIN(AI38,AK38),MAX(AI38,AK38))*Y38*J38^2*1E-4*DATOS!$C$16/100/1000))/2)*BE38))))/(8*MAX(((AM38*Y38*J38^2*1E-4*DATOS!$C$16/100/1000)+((MAX(AI38,AK38)*Y38*J38^2*1E-4*DATOS!$C$16/100/1000)+(IF(AND(AI38&gt;0,AK38&gt;0),MIN(AI38,AK38),MAX(AI38,AK38))*Y38*J38^2*1E-4*DATOS!$C$16/100/1000))/2),1E-9))+MAX(CH38,12*INDEX(TABLAS!$C$52:$C$58,MATCH(CF38,TABLAS!$B$52:$B$58,0)),O38/16),IF(OR(S38&lt;INDEX(TABLAS!$C$52:$C$58,MATCH(CF38,TABLAS!$B$52:$B$58,0)),AND(CG38&gt;=2,(DATOS!$C$13-2*S38-2*IF(DATOS!$C$25=0,0,INDEX(TABLAS!$C$52:$C$58,MATCH(DATOS!$C$25,TABLAS!$B$52:$B$58,0)))-CG38*INDEX(TABLAS!$C$52:$C$58,MATCH(CF38,TABLAS!$B$52:$B$58,0)))/MAX(CG38-1,1)&lt;2*INDEX(TABLAS!$C$52:$C$58,MATCH(CF38,TABLAS!$B$52:$B$58,0)))),INDEX(TABLAS!$I$52:$I$58,MATCH(CF38,TABLAS!$B$52:$B$58,0)),INDEX(TABLAS!$F$52:$F$58,MATCH(CF38,TABLAS!$B$52:$B$58,0)))),5)))</f>
        <v>110</v>
      </c>
      <c r="CW38" s="56">
        <f>MAX(0,INT((F38*100-DATOS!$C$17+DATOS!$C$13)/DATOS!$C$16))</f>
        <v>6</v>
      </c>
      <c r="CX38" s="56">
        <f>MAX(0,INT((G38*100-DATOS!$C$17+DATOS!$C$13)/DATOS!$C$16))</f>
        <v>5</v>
      </c>
      <c r="CY38" s="51" t="str">
        <f>IF(COUNTIFS(TRIB!$C$6:$C$255,B38,TRIB!$K$6:$K$255,"NO CUMPLE*")+COUNTIFS(TRIB!$C$6:$C$255,B38,TRIB!$K$6:$K$255,"SIN APOYO*")&gt;0,"VER PRINCIPALES",IF((APOYOS!$F$145="LIBRE")+(APOYOS!$F$146="LIBRE")+(APOYOS!$F$147="LIBRE")+(APOYOS!$F$148="LIBRE")&gt;0,"REVISAR: borde libre","OK"))</f>
        <v>OK</v>
      </c>
      <c r="CZ38" s="64" t="str">
        <f>IF(D38="HUECO","HUECO — marco de nervaduras principales",IF(AND(MAX(BL38,BT38,CB38,CJ38)&lt;=1,NOT(OR(BI38&gt;MIN(DATOS!$C$28,INT(((DATOS!$C$13-2*R38-2*IF(DATOS!$C$25=0,0,INDEX(TABLAS!$C$52:$C$58,MATCH(DATOS!$C$25,TABLAS!$B$52:$B$58,0))))+DATOS!$C$32)/(INDEX(TABLAS!$C$52:$C$58,MATCH(BH38,TABLAS!$B$52:$B$58,0))+DATOS!$C$32))),BQ38&gt;MIN(DATOS!$C$28,INT(((DATOS!$C$13-2*S38-2*IF(DATOS!$C$25=0,0,INDEX(TABLAS!$C$52:$C$58,MATCH(DATOS!$C$25,TABLAS!$B$52:$B$58,0))))+DATOS!$C$32)/(INDEX(TABLAS!$C$52:$C$58,MATCH(BP38,TABLAS!$B$52:$B$58,0))+DATOS!$C$32))),BY38&gt;MIN(DATOS!$C$28,INT(((DATOS!$C$13-2*R38-2*IF(DATOS!$C$25=0,0,INDEX(TABLAS!$C$52:$C$58,MATCH(DATOS!$C$25,TABLAS!$B$52:$B$58,0))))+DATOS!$C$32)/(INDEX(TABLAS!$C$52:$C$58,MATCH(BX38,TABLAS!$B$52:$B$58,0))+DATOS!$C$32))),CG38&gt;MIN(DATOS!$C$28,INT(((DATOS!$C$13-2*S38-2*IF(DATOS!$C$25=0,0,INDEX(TABLAS!$C$52:$C$58,MATCH(DATOS!$C$25,TABLAS!$B$52:$B$58,0))))+DATOS!$C$32)/(INDEX(TABLAS!$C$52:$C$58,MATCH(CF38,TABLAS!$B$52:$B$58,0))+DATOS!$C$32))))),NOT(OR(AND(ISNUMBER(BM38),BM38&lt;0.005),AND(ISNUMBER(BU38),BU38&lt;0.005),AND(ISNUMBER(CC38),CC38&lt;0.005),AND(ISNUMBER(CK38),CK38&lt;0.005))),CS38="CUMPLE",CT38="CUMPLE"),IF(CY38="OK",IF(LEFT(CO38,6)="CUMPLE","CUMPLE","CUMPLE — "&amp;CO38)&amp;IF(LEFT(AZ38,5)="FUERA"," · fuera de 3.4.2.1 c)",""),IF(CY38="VER PRINCIPALES","VER PRINCIPALES","REVISAR APOYOS")),IF(AND(MAX(BL38,BT38,CB38,CJ38)&lt;=1,NOT(OR(BI38&gt;MIN(DATOS!$C$28,INT(((DATOS!$C$13-2*R38-2*IF(DATOS!$C$25=0,0,INDEX(TABLAS!$C$52:$C$58,MATCH(DATOS!$C$25,TABLAS!$B$52:$B$58,0))))+DATOS!$C$32)/(INDEX(TABLAS!$C$52:$C$58,MATCH(BH38,TABLAS!$B$52:$B$58,0))+DATOS!$C$32))),BQ38&gt;MIN(DATOS!$C$28,INT(((DATOS!$C$13-2*S38-2*IF(DATOS!$C$25=0,0,INDEX(TABLAS!$C$52:$C$58,MATCH(DATOS!$C$25,TABLAS!$B$52:$B$58,0))))+DATOS!$C$32)/(INDEX(TABLAS!$C$52:$C$58,MATCH(BP38,TABLAS!$B$52:$B$58,0))+DATOS!$C$32))),BY38&gt;MIN(DATOS!$C$28,INT(((DATOS!$C$13-2*R38-2*IF(DATOS!$C$25=0,0,INDEX(TABLAS!$C$52:$C$58,MATCH(DATOS!$C$25,TABLAS!$B$52:$B$58,0))))+DATOS!$C$32)/(INDEX(TABLAS!$C$52:$C$58,MATCH(BX38,TABLAS!$B$52:$B$58,0))+DATOS!$C$32))),CG38&gt;MIN(DATOS!$C$28,INT(((DATOS!$C$13-2*S38-2*IF(DATOS!$C$25=0,0,INDEX(TABLAS!$C$52:$C$58,MATCH(DATOS!$C$25,TABLAS!$B$52:$B$58,0))))+DATOS!$C$32)/(INDEX(TABLAS!$C$52:$C$58,MATCH(CF38,TABLAS!$B$52:$B$58,0))+DATOS!$C$32))))),NOT(OR(AND(ISNUMBER(BM38),BM38&lt;0.005),AND(ISNUMBER(BU38),BU38&lt;0.005),AND(ISNUMBER(CC38),CC38&lt;0.005),AND(ISNUMBER(CK38),CK38&lt;0.005))),CS38="CALCULAR FLECHA"),"REVISAR: calcular flecha (h_eq &lt; h mín.)","NO CUMPLE: "&amp;IF(MAX(BL38,BT38,CB38,CJ38)&gt;1,"flexión ","")&amp;IF(OR(BI38&gt;MIN(DATOS!$C$28,INT(((DATOS!$C$13-2*R38-2*IF(DATOS!$C$25=0,0,INDEX(TABLAS!$C$52:$C$58,MATCH(DATOS!$C$25,TABLAS!$B$52:$B$58,0))))+DATOS!$C$32)/(INDEX(TABLAS!$C$52:$C$58,MATCH(BH38,TABLAS!$B$52:$B$58,0))+DATOS!$C$32))),BQ38&gt;MIN(DATOS!$C$28,INT(((DATOS!$C$13-2*S38-2*IF(DATOS!$C$25=0,0,INDEX(TABLAS!$C$52:$C$58,MATCH(DATOS!$C$25,TABLAS!$B$52:$B$58,0))))+DATOS!$C$32)/(INDEX(TABLAS!$C$52:$C$58,MATCH(BP38,TABLAS!$B$52:$B$58,0))+DATOS!$C$32))),BY38&gt;MIN(DATOS!$C$28,INT(((DATOS!$C$13-2*R38-2*IF(DATOS!$C$25=0,0,INDEX(TABLAS!$C$52:$C$58,MATCH(DATOS!$C$25,TABLAS!$B$52:$B$58,0))))+DATOS!$C$32)/(INDEX(TABLAS!$C$52:$C$58,MATCH(BX38,TABLAS!$B$52:$B$58,0))+DATOS!$C$32))),CG38&gt;MIN(DATOS!$C$28,INT(((DATOS!$C$13-2*S38-2*IF(DATOS!$C$25=0,0,INDEX(TABLAS!$C$52:$C$58,MATCH(DATOS!$C$25,TABLAS!$B$52:$B$58,0))))+DATOS!$C$32)/(INDEX(TABLAS!$C$52:$C$58,MATCH(CF38,TABLAS!$B$52:$B$58,0))+DATOS!$C$32)))),"no caben ","")&amp;IF(OR(AND(ISNUMBER(BM38),BM38&lt;0.005),AND(ISNUMBER(BU38),BU38&lt;0.005),AND(ISNUMBER(CC38),CC38&lt;0.005),AND(ISNUMBER(CK38),CK38&lt;0.005)),"ε_t &lt; 0.005 ","")&amp;IF(CS38="NO CUMPLE","peralte ","")&amp;IF(CT38&lt;&gt;"CUMPLE","capa &lt; 6 cm",""))))</f>
        <v>CUMPLE · fuera de 3.4.2.1 c)</v>
      </c>
      <c r="DA38" s="65" t="str">
        <f>IF(AND(D38="PERIMETRAL",MIN(CW38,CX38)=0),"Tablero macizo (no cabe un casetón en el claro corto): no aplica 6.7.8. La resistencia se revisa con una nervadura de 10 cm cada 70 cm y r_np (conservador); "&amp;"como losa maciza lleva además As,mín = 0.0018·Ag en cada dirección cerca de la cara a tensión (6.7.6.1.1, p. 175). ",IF(AND(CL38="NO",D38="PERIMETRAL"),"No cumple 6.7.8.1.4 (a_c = "&amp;DATOS!$C$11&amp;" cm &gt; claro corto/6 = "&amp;TEXT(J38*100/6,"0")&amp;" cm): se diseña como losa apoyada en vigas (6.7.8.1.9): nervaduras con recubrimiento de viga r_np = "&amp;DATOS!$C$22&amp;" cm (Tabla 4.14.16.a), V_cR sin ×1.1 y cortante sin estribos por 5.5.3.8.1 (criterio del Proyectista). Para que cuente como encasetonada: casetón de "&amp;TEXT(FLOOR(MIN(80,J38*100/6),1),"0")&amp;" cm o menor. ",""))&amp;IF(LEFT(AZ38,5)="FUERA","M⁻ del borde común "&amp;AZ38&amp;": difieren más de 50% (3.4.2.1 c); se distribuyen 2/3 del desequilibrio (3.4.3.1) y conviene confirmar los momentos con el modelo. ","")&amp;"—"</f>
        <v>M⁻ del borde común FUERA con F80032 · continuidad asimétrica con F80032 (cada uno con su momento; revisar APOYOS): difieren más de 50% (3.4.2.1 c); se distribuyen 2/3 del desequilibrio (3.4.3.1) y conviene confirmar los momentos con el modelo. —</v>
      </c>
    </row>
    <row r="39" ht="30" customHeight="1">
      <c r="B39" s="51" t="inlineStr">
        <is>
          <t>F80031 N+6.00</t>
        </is>
      </c>
      <c r="C39" s="52" t="inlineStr">
        <is>
          <t>N+6.00</t>
        </is>
      </c>
      <c r="D39" s="53" t="inlineStr">
        <is>
          <t>PERIMETRAL</t>
        </is>
      </c>
      <c r="E39" s="53" t="inlineStr">
        <is>
          <t>AZOTEA</t>
        </is>
      </c>
      <c r="F39" s="54" t="n">
        <v>4.424</v>
      </c>
      <c r="G39" s="54" t="n">
        <v>4</v>
      </c>
      <c r="H39" s="55" t="n">
        <v>4.424</v>
      </c>
      <c r="I39" s="55" t="n">
        <v>4</v>
      </c>
      <c r="J39" s="36">
        <f>MIN(H39,I39)</f>
        <v>4</v>
      </c>
      <c r="K39" s="36">
        <f>MAX(H39,I39)</f>
        <v>4.424</v>
      </c>
      <c r="L39" s="36">
        <f>IF(K39&gt;0,J39/K39,0)</f>
        <v>0.904159132007233</v>
      </c>
      <c r="M39" s="52" t="str">
        <f>IF(H39&lt;=I39,"X","Y")</f>
        <v>Y</v>
      </c>
      <c r="N39" s="56">
        <f>MAX(0,J39*100-IF(D39="VOLADO",DATOS!$C$17/2,DATOS!$C$17))</f>
        <v>385</v>
      </c>
      <c r="O39" s="56">
        <f>MAX(0,K39*100-DATOS!$C$17)</f>
        <v>427.4</v>
      </c>
      <c r="P39" s="57">
        <f>MIN(DATOS!$C$16,DATOS!$C$13+2*MIN(8*DATOS!$C$14,DATOS!$C$11/2,N39/8))</f>
        <v>70</v>
      </c>
      <c r="Q39" s="57">
        <f>MIN(DATOS!$C$16,DATOS!$C$13+2*MIN(8*DATOS!$C$14,DATOS!$C$11/2,O39/8))</f>
        <v>70</v>
      </c>
      <c r="R39" s="57">
        <f>IF(D39="VOLADO",DATOS!$C$21,IF(CL39="NO",DATOS!$C$22,DATOS!$C$20))</f>
        <v>2</v>
      </c>
      <c r="S39" s="57">
        <f>IF(OR(AND(C39="N+6.00",DATOS!$C$23="SÍ"),AND(D39="VOLADO",DATOS!$C$24="SÍ")),DATOS!$C$21,IF(CL39="NO",DATOS!$C$22,DATOS!$C$20))</f>
        <v>2</v>
      </c>
      <c r="T39" s="58" t="n">
        <v>310</v>
      </c>
      <c r="U39" s="56">
        <f>IF(E39="HABITACIÓN",DATOS!$C$89,DATOS!$C$92)</f>
        <v>100</v>
      </c>
      <c r="V39" s="56">
        <f>CARGAS!$C$9</f>
        <v>293.673469387755</v>
      </c>
      <c r="W39" s="56">
        <f>V39+T39</f>
        <v>603.673469387755</v>
      </c>
      <c r="X39" s="56">
        <f>W39+U39</f>
        <v>703.673469387755</v>
      </c>
      <c r="Y39" s="59">
        <f>MAX(DATOS!$C$55*W39+DATOS!$C$56*U39,IF(E39="AZOTEA",DATOS!$C$57*(W39+DATOS!$C$97),0))</f>
        <v>934.775510204082</v>
      </c>
      <c r="Z39" s="56">
        <f>(APOYOS!$G$149="DISCONTINUO")+(APOYOS!$G$150="DISCONTINUO")+(APOYOS!$G$151="DISCONTINUO")+(APOYOS!$G$152="DISCONTINUO")</f>
        <v>3</v>
      </c>
      <c r="AA39" s="56">
        <f>IF(M39="X",(APOYOS!$G$149="DISCONTINUO")+(APOYOS!$G$150="DISCONTINUO"),(APOYOS!$G$151="DISCONTINUO")+(APOYOS!$G$152="DISCONTINUO"))</f>
        <v>1</v>
      </c>
      <c r="AB39" s="56">
        <f>Z39-AA39</f>
        <v>2</v>
      </c>
      <c r="AC39" s="52" t="str">
        <f>IF(Z39=0,"INTERIOR",IF(Z39=1,IF(AA39=1,"BORDE-CORTO","BORDE-LARGO"),IF(Z39=2,IF(AA39=1,"ESQUINA",IF(AA39=2,"EXTREMO-LARGO","EXTREMO-CORTO")),IF(Z39=3,IF(AA39=2,"EXTREMO-LARGO","EXTREMO-CORTO"),"AISLADO"))))</f>
        <v>EXTREMO-CORTO</v>
      </c>
      <c r="AD39" s="53" t="inlineStr">
        <is>
          <t>AUTO</t>
        </is>
      </c>
      <c r="AE39" s="60" t="str">
        <f>IF(AD39="AUTO",AC39,AD39)</f>
        <v>EXTREMO-CORTO</v>
      </c>
      <c r="AF39" s="56">
        <f>MATCH(L39,TABLAS!$D$5:$J$5,1)</f>
        <v>6</v>
      </c>
      <c r="AG39" s="43">
        <f>IF(AF39&gt;=7,0,(L39-INDEX(TABLAS!$D$5:$J$5,AF39))/(INDEX(TABLAS!$D$5:$J$5,AF39+1)-INDEX(TABLAS!$D$5:$J$5,AF39)))</f>
        <v>0.0415913200723317</v>
      </c>
      <c r="AH39" s="56">
        <f>INDEX(TABLAS!$D$6:$J$47,MATCH(AE39&amp;"|NIC",TABLAS!$B$6:$B$47,0),AF39)+AG39*(INDEX(TABLAS!$D$6:$J$47,MATCH(AE39&amp;"|NIC",TABLAS!$B$6:$B$47,0),MIN(AF39+1,7))-INDEX(TABLAS!$D$6:$J$47,MATCH(AE39&amp;"|NIC",TABLAS!$B$6:$B$47,0),AF39))</f>
        <v>0</v>
      </c>
      <c r="AI39" s="56">
        <f>INDEX(TABLAS!$D$6:$J$47,MATCH(AE39&amp;"|NIL",TABLAS!$B$6:$B$47,0),AF39)+AG39*(INDEX(TABLAS!$D$6:$J$47,MATCH(AE39&amp;"|NIL",TABLAS!$B$6:$B$47,0),MIN(AF39+1,7))-INDEX(TABLAS!$D$6:$J$47,MATCH(AE39&amp;"|NIL",TABLAS!$B$6:$B$47,0),AF39))</f>
        <v>570</v>
      </c>
      <c r="AJ39" s="56">
        <f>INDEX(TABLAS!$D$6:$J$47,MATCH(AE39&amp;"|NDC",TABLAS!$B$6:$B$47,0),AF39)+AG39*(INDEX(TABLAS!$D$6:$J$47,MATCH(AE39&amp;"|NDC",TABLAS!$B$6:$B$47,0),MIN(AF39+1,7))-INDEX(TABLAS!$D$6:$J$47,MATCH(AE39&amp;"|NDC",TABLAS!$B$6:$B$47,0),AF39))</f>
        <v>267.920433996383</v>
      </c>
      <c r="AK39" s="56">
        <f>INDEX(TABLAS!$D$6:$J$47,MATCH(AE39&amp;"|NDL",TABLAS!$B$6:$B$47,0),AF39)+AG39*(INDEX(TABLAS!$D$6:$J$47,MATCH(AE39&amp;"|NDL",TABLAS!$B$6:$B$47,0),MIN(AF39+1,7))-INDEX(TABLAS!$D$6:$J$47,MATCH(AE39&amp;"|NDL",TABLAS!$B$6:$B$47,0),AF39))</f>
        <v>220</v>
      </c>
      <c r="AL39" s="56">
        <f>INDEX(TABLAS!$D$6:$J$47,MATCH(AE39&amp;"|PC",TABLAS!$B$6:$B$47,0),AF39)+AG39*(INDEX(TABLAS!$D$6:$J$47,MATCH(AE39&amp;"|PC",TABLAS!$B$6:$B$47,0),MIN(AF39+1,7))-INDEX(TABLAS!$D$6:$J$47,MATCH(AE39&amp;"|PC",TABLAS!$B$6:$B$47,0),AF39))</f>
        <v>535.424954792044</v>
      </c>
      <c r="AM39" s="56">
        <f>INDEX(TABLAS!$D$6:$J$47,MATCH(AE39&amp;"|PL",TABLAS!$B$6:$B$47,0),AF39)+AG39*(INDEX(TABLAS!$D$6:$J$47,MATCH(AE39&amp;"|PL",TABLAS!$B$6:$B$47,0),MIN(AF39+1,7))-INDEX(TABLAS!$D$6:$J$47,MATCH(AE39&amp;"|PL",TABLAS!$B$6:$B$47,0),AF39))</f>
        <v>430</v>
      </c>
      <c r="AN39" s="36">
        <f>IF(D39="PERIMETRAL",IF(APOYOS!$G$149="CONTINUO",IF(M39="Y",AH39,AI39),IF(M39="Y",AJ39,AK39))*Y39*J39^2*1E-4*DATOS!$C$16/100/1000,0)</f>
        <v>0.280498915629036</v>
      </c>
      <c r="AO39" s="36">
        <f>IF(D39="PERIMETRAL",IF(APOYOS!$G$150="CONTINUO",IF(M39="Y",AH39,AI39),IF(M39="Y",AJ39,AK39))*Y39*J39^2*1E-4*DATOS!$C$16/100/1000,0)</f>
        <v>0.280498915629036</v>
      </c>
      <c r="AP39" s="36">
        <f>IF(D39="PERIMETRAL",IF(APOYOS!$G$151="CONTINUO",IF(M39="X",AH39,AI39),IF(M39="X",AJ39,AK39))*Y39*J39^2*1E-4*DATOS!$C$16/100/1000,0)</f>
        <v>0.596760685714286</v>
      </c>
      <c r="AQ39" s="36">
        <f>IF(D39="PERIMETRAL",IF(APOYOS!$G$152="CONTINUO",IF(M39="X",AH39,AI39),IF(M39="X",AJ39,AK39))*Y39*J39^2*1E-4*DATOS!$C$16/100/1000,0)</f>
        <v>0.230328685714286</v>
      </c>
      <c r="AR39" s="56">
        <f>IF(D39="PERIMETRAL",IF(M39="X",BN39,CD39)^3/(J39*100),0)</f>
        <v>20.3591283628975</v>
      </c>
      <c r="AS39" s="56">
        <f>IF(D39="PERIMETRAL",IF(M39="Y",BN39,CD39)^3/(J39*100),0)</f>
        <v>24.4630977171725</v>
      </c>
      <c r="AT39" s="36">
        <f>IF(D39="PERIMETRAL",MAX(0,IF(M39="Y",IF(AND(OR(APOYOS!$G$149="CONTINUO",APOYOS!$G$154="CONTINUO"),AN39&gt;0,AO40&gt;0,AO40&gt;AN39),AN39+2/3*(AO40-AN39)*AS39/MAX(AS39+AS40,1E-9),0),0),IF(M39="X",IF(AND(OR(APOYOS!$G$151="CONTINUO",APOYOS!$G$148="CONTINUO"),AP39&gt;0,AQ38&gt;0,AQ38&gt;AP39),AP39+2/3*(AQ38-AP39)*AR39/MAX(AR39+AR38,1E-9),0),0)),0)</f>
        <v>0</v>
      </c>
      <c r="AU39" s="36">
        <f>IF(D39="PERIMETRAL",MAX(0,IF(M39&lt;&gt;"Y",IF(AND(OR(APOYOS!$G$149="CONTINUO",APOYOS!$G$154="CONTINUO"),AN39&gt;0,AO40&gt;0,AO40&gt;AN39),AN39+2/3*(AO40-AN39)*AS39/MAX(AS39+AS40,1E-9),0),0),IF(M39&lt;&gt;"X",IF(AND(OR(APOYOS!$G$151="CONTINUO",APOYOS!$G$148="CONTINUO"),AP39&gt;0,AQ38&gt;0,AQ38&gt;AP39),AP39+2/3*(AQ38-AP39)*AR39/MAX(AR39+AR38,1E-9),0),0)),0)</f>
        <v>0</v>
      </c>
      <c r="AV39" s="36">
        <f>IF(D39="PERIMETRAL",(IF(M39="Y",IF(AND(OR(APOYOS!$G$149="CONTINUO",APOYOS!$G$154="CONTINUO"),AN39&gt;0,AO40&gt;0,AN39&gt;AO40),2/3*(AN39-AO40)*AS39/MAX(AS39+AS40,1E-9),0),0)+IF(M39="X",IF(AND(OR(APOYOS!$G$151="CONTINUO",APOYOS!$G$148="CONTINUO"),AP39&gt;0,AQ38&gt;0,AP39&gt;AQ38),2/3*(AP39-AQ38)*AR39/MAX(AR39+AR38,1E-9),0),0))/2,0)</f>
        <v>0.0212075163684968</v>
      </c>
      <c r="AW39" s="36">
        <f>IF(D39="PERIMETRAL",(IF(M39&lt;&gt;"Y",IF(AND(OR(APOYOS!$G$149="CONTINUO",APOYOS!$G$154="CONTINUO"),AN39&gt;0,AO40&gt;0,AN39&gt;AO40),2/3*(AN39-AO40)*AS39/MAX(AS39+AS40,1E-9),0),0)+IF(M39&lt;&gt;"X",IF(AND(OR(APOYOS!$G$151="CONTINUO",APOYOS!$G$148="CONTINUO"),AP39&gt;0,AQ38&gt;0,AP39&gt;AQ38),2/3*(AP39-AQ38)*AR39/MAX(AR39+AR38,1E-9),0),0))/2,0)</f>
        <v>0</v>
      </c>
      <c r="AX39" s="36">
        <f>IF(D39="PERIMETRAL",MAX(0,0),0)</f>
        <v>0</v>
      </c>
      <c r="AY39" s="52" t="str">
        <f>IF(D39&lt;&gt;"PERIMETRAL","",IF(AND(OR(APOYOS!$G$149="CONTINUO",APOYOS!$G$154="CONTINUO"),AN39&gt;0,AO40&gt;0,ABS(AN39-AO40)&gt;0.5*MIN(AN39,AO40))," F80032","")&amp;IF(AND(OR(APOYOS!$G$151="CONTINUO",APOYOS!$G$148="CONTINUO"),AP39&gt;0,AQ38&gt;0,ABS(AP39-AQ38)&gt;0.5*MIN(AP39,AQ38))," F80030",""))</f>
        <v> F80032</v>
      </c>
      <c r="AZ39" s="52" t="str">
        <f>IF(D39&lt;&gt;"PERIMETRAL","—",IF(AY39="","CUMPLE","FUERA con"&amp;AY39)&amp;IF(AND(D40="PERIMETRAL",APOYOS!$G$149&lt;&gt;APOYOS!$G$154)," · continuidad asimétrica con F80032 (cada uno con su momento; revisar APOYOS)","")&amp;IF(AND(D38="PERIMETRAL",APOYOS!$G$151&lt;&gt;APOYOS!$G$148)," · continuidad asimétrica con F80030 (cada uno con su momento; revisar APOYOS)",""))</f>
        <v>FUERA con F80032 · continuidad asimétrica con F80032 (cada uno con su momento; revisar APOYOS)</v>
      </c>
      <c r="BA39" s="61" t="n">
        <v>0</v>
      </c>
      <c r="BB39" s="36">
        <f>IF(D39="PERIMETRAL",AL39*Y39*J39^2*1E-4*DATOS!$C$16/100/1000+AV39,0)</f>
        <v>0.581769907895234</v>
      </c>
      <c r="BC39" s="36">
        <f>IF(D39="PERIMETRAL",MAX(MAX(AH39,AJ39)*Y39*J39^2*1E-4*DATOS!$C$16/100/1000,AT39),IF(D39="VOLADO",(Y39*(N39/100)^2/2+DATOS!$C$55*BA39*N39/100)*DATOS!$C$16/100/1000,0))</f>
        <v>0.280498915629036</v>
      </c>
      <c r="BD39" s="36">
        <f>IF(D39="PERIMETRAL",AM39*Y39*J39^2*1E-4*DATOS!$C$16/100/1000+AW39,0)</f>
        <v>0.450187885714286</v>
      </c>
      <c r="BE39" s="36">
        <f>IF(D39="PERIMETRAL",MAX(MAX(AI39,AK39)*Y39*J39^2*1E-4*DATOS!$C$16/100/1000,AU39),0)</f>
        <v>0.596760685714286</v>
      </c>
      <c r="BF39" s="43">
        <f>(DATOS!$C$15-R39-IF(DATOS!$C$25=0,0,INDEX(TABLAS!$C$52:$C$58,MATCH(DATOS!$C$25,TABLAS!$B$52:$B$58,0)))-INDEX(TABLAS!$C$52:$C$58,MATCH(DATOS!$C$26,TABLAS!$B$52:$B$58,0))/2)</f>
        <v>22.365</v>
      </c>
      <c r="BG39" s="43">
        <f>IF(D39="HUECO",0,IF(IF(BB39&lt;=0,0,IF((1-2*BB39*1E5/(DATOS!$C$58*P39*BF39^2*DATOS!$C$48))&lt;0,-1,IF((1-SQRT((1-2*BB39*1E5/(DATOS!$C$58*P39*BF39^2*DATOS!$C$48))))*DATOS!$C$48*P39*BF39/DATOS!$C$40&gt;DATOS!$C$82*P39*BF39,-1,(1-SQRT((1-2*BB39*1E5/(DATOS!$C$58*P39*BF39^2*DATOS!$C$48))))*DATOS!$C$48*P39*BF39/DATOS!$C$40)))&lt;0,-1,MAX(IF(BB39&lt;=0,0,IF((1-2*BB39*1E5/(DATOS!$C$58*P39*BF39^2*DATOS!$C$48))&lt;0,-1,IF((1-SQRT((1-2*BB39*1E5/(DATOS!$C$58*P39*BF39^2*DATOS!$C$48))))*DATOS!$C$48*P39*BF39/DATOS!$C$40&gt;DATOS!$C$82*P39*BF39,-1,(1-SQRT((1-2*BB39*1E5/(DATOS!$C$58*P39*BF39^2*DATOS!$C$48))))*DATOS!$C$48*P39*BF39/DATOS!$C$40))),MIN(DATOS!$C$83*DATOS!$C$13*BF39,4/3*IF(BB39&lt;=0,0,IF((1-2*BB39*1E5/(DATOS!$C$58*P39*BF39^2*DATOS!$C$48))&lt;0,-1,IF((1-SQRT((1-2*BB39*1E5/(DATOS!$C$58*P39*BF39^2*DATOS!$C$48))))*DATOS!$C$48*P39*BF39/DATOS!$C$40&gt;DATOS!$C$82*P39*BF39,-1,(1-SQRT((1-2*BB39*1E5/(DATOS!$C$58*P39*BF39^2*DATOS!$C$48))))*DATOS!$C$48*P39*BF39/DATOS!$C$40)))))))</f>
        <v>0.7455</v>
      </c>
      <c r="BH39" s="41">
        <f>IF(AND(BG39&gt;=0,IF(MAX(DATOS!$C$29,CEILING(BG39/INDEX(TABLAS!$D$52:$D$58,MIN(MATCH(DATOS!$C$26,TABLAS!$B$52:$B$58,0)+0,7)),1))*INDEX(TABLAS!$D$52:$D$58,MIN(MATCH(DATOS!$C$26,TABLAS!$B$52:$B$58,0)+0,7))&gt;=4/3*IF(BB39&lt;=0,0,IF((1-2*BB39*1E5/(DATOS!$C$58*P39*BF39^2*DATOS!$C$48))&lt;0,-1,IF((1-SQRT((1-2*BB39*1E5/(DATOS!$C$58*P39*BF39^2*DATOS!$C$48))))*DATOS!$C$48*P39*BF39/DATOS!$C$40&gt;DATOS!$C$82*P39*BF39,-1,(1-SQRT((1-2*BB39*1E5/(DATOS!$C$58*P39*BF39^2*DATOS!$C$48))))*DATOS!$C$48*P39*BF39/DATOS!$C$40)))-0.0001,MAX(DATOS!$C$29,CEILING(BG39/INDEX(TABLAS!$D$52:$D$58,MIN(MATCH(DATOS!$C$26,TABLAS!$B$52:$B$58,0)+0,7)),1)),MAX(MAX(DATOS!$C$29,CEILING(BG39/INDEX(TABLAS!$D$52:$D$58,MIN(MATCH(DATOS!$C$26,TABLAS!$B$52:$B$58,0)+0,7)),1)),2))&lt;=MIN(DATOS!$C$28,INT(((DATOS!$C$13-2*R39-2*IF(DATOS!$C$25=0,0,INDEX(TABLAS!$C$52:$C$58,MATCH(DATOS!$C$25,TABLAS!$B$52:$B$58,0))))+MAX(DATOS!$C$32,INDEX(TABLAS!$C$52:$C$58,MIN(MATCH(DATOS!$C$26,TABLAS!$B$52:$B$58,0)+0,7))))/(INDEX(TABLAS!$C$52:$C$58,MIN(MATCH(DATOS!$C$26,TABLAS!$B$52:$B$58,0)+0,7))+MAX(DATOS!$C$32,INDEX(TABLAS!$C$52:$C$58,MIN(MATCH(DATOS!$C$26,TABLAS!$B$52:$B$58,0)+0,7))))))),INDEX(TABLAS!$B$52:$B$58,MIN(MATCH(DATOS!$C$26,TABLAS!$B$52:$B$58,0)+0,7)),IF(AND(BG39&gt;=0,IF(MAX(DATOS!$C$29,CEILING(BG39/INDEX(TABLAS!$D$52:$D$58,MIN(MATCH(DATOS!$C$26,TABLAS!$B$52:$B$58,0)+1,7)),1))*INDEX(TABLAS!$D$52:$D$58,MIN(MATCH(DATOS!$C$26,TABLAS!$B$52:$B$58,0)+1,7))&gt;=4/3*IF(BB39&lt;=0,0,IF((1-2*BB39*1E5/(DATOS!$C$58*P39*BF39^2*DATOS!$C$48))&lt;0,-1,IF((1-SQRT((1-2*BB39*1E5/(DATOS!$C$58*P39*BF39^2*DATOS!$C$48))))*DATOS!$C$48*P39*BF39/DATOS!$C$40&gt;DATOS!$C$82*P39*BF39,-1,(1-SQRT((1-2*BB39*1E5/(DATOS!$C$58*P39*BF39^2*DATOS!$C$48))))*DATOS!$C$48*P39*BF39/DATOS!$C$40)))-0.0001,MAX(DATOS!$C$29,CEILING(BG39/INDEX(TABLAS!$D$52:$D$58,MIN(MATCH(DATOS!$C$26,TABLAS!$B$52:$B$58,0)+1,7)),1)),MAX(MAX(DATOS!$C$29,CEILING(BG39/INDEX(TABLAS!$D$52:$D$58,MIN(MATCH(DATOS!$C$26,TABLAS!$B$52:$B$58,0)+1,7)),1)),2))&lt;=MIN(DATOS!$C$28,INT(((DATOS!$C$13-2*R39-2*IF(DATOS!$C$25=0,0,INDEX(TABLAS!$C$52:$C$58,MATCH(DATOS!$C$25,TABLAS!$B$52:$B$58,0))))+MAX(DATOS!$C$32,INDEX(TABLAS!$C$52:$C$58,MIN(MATCH(DATOS!$C$26,TABLAS!$B$52:$B$58,0)+1,7))))/(INDEX(TABLAS!$C$52:$C$58,MIN(MATCH(DATOS!$C$26,TABLAS!$B$52:$B$58,0)+1,7))+MAX(DATOS!$C$32,INDEX(TABLAS!$C$52:$C$58,MIN(MATCH(DATOS!$C$26,TABLAS!$B$52:$B$58,0)+1,7))))))),INDEX(TABLAS!$B$52:$B$58,MIN(MATCH(DATOS!$C$26,TABLAS!$B$52:$B$58,0)+1,7)),IF(AND(BG39&gt;=0,IF(MAX(DATOS!$C$29,CEILING(BG39/INDEX(TABLAS!$D$52:$D$58,MIN(MATCH(DATOS!$C$26,TABLAS!$B$52:$B$58,0)+2,7)),1))*INDEX(TABLAS!$D$52:$D$58,MIN(MATCH(DATOS!$C$26,TABLAS!$B$52:$B$58,0)+2,7))&gt;=4/3*IF(BB39&lt;=0,0,IF((1-2*BB39*1E5/(DATOS!$C$58*P39*BF39^2*DATOS!$C$48))&lt;0,-1,IF((1-SQRT((1-2*BB39*1E5/(DATOS!$C$58*P39*BF39^2*DATOS!$C$48))))*DATOS!$C$48*P39*BF39/DATOS!$C$40&gt;DATOS!$C$82*P39*BF39,-1,(1-SQRT((1-2*BB39*1E5/(DATOS!$C$58*P39*BF39^2*DATOS!$C$48))))*DATOS!$C$48*P39*BF39/DATOS!$C$40)))-0.0001,MAX(DATOS!$C$29,CEILING(BG39/INDEX(TABLAS!$D$52:$D$58,MIN(MATCH(DATOS!$C$26,TABLAS!$B$52:$B$58,0)+2,7)),1)),MAX(MAX(DATOS!$C$29,CEILING(BG39/INDEX(TABLAS!$D$52:$D$58,MIN(MATCH(DATOS!$C$26,TABLAS!$B$52:$B$58,0)+2,7)),1)),2))&lt;=MIN(DATOS!$C$28,INT(((DATOS!$C$13-2*R39-2*IF(DATOS!$C$25=0,0,INDEX(TABLAS!$C$52:$C$58,MATCH(DATOS!$C$25,TABLAS!$B$52:$B$58,0))))+MAX(DATOS!$C$32,INDEX(TABLAS!$C$52:$C$58,MIN(MATCH(DATOS!$C$26,TABLAS!$B$52:$B$58,0)+2,7))))/(INDEX(TABLAS!$C$52:$C$58,MIN(MATCH(DATOS!$C$26,TABLAS!$B$52:$B$58,0)+2,7))+MAX(DATOS!$C$32,INDEX(TABLAS!$C$52:$C$58,MIN(MATCH(DATOS!$C$26,TABLAS!$B$52:$B$58,0)+2,7))))))),INDEX(TABLAS!$B$52:$B$58,MIN(MATCH(DATOS!$C$26,TABLAS!$B$52:$B$58,0)+2,7)),IF(AND(BG39&gt;=0,IF(MAX(DATOS!$C$29,CEILING(BG39/INDEX(TABLAS!$D$52:$D$58,MIN(MATCH(DATOS!$C$26,TABLAS!$B$52:$B$58,0)+3,7)),1))*INDEX(TABLAS!$D$52:$D$58,MIN(MATCH(DATOS!$C$26,TABLAS!$B$52:$B$58,0)+3,7))&gt;=4/3*IF(BB39&lt;=0,0,IF((1-2*BB39*1E5/(DATOS!$C$58*P39*BF39^2*DATOS!$C$48))&lt;0,-1,IF((1-SQRT((1-2*BB39*1E5/(DATOS!$C$58*P39*BF39^2*DATOS!$C$48))))*DATOS!$C$48*P39*BF39/DATOS!$C$40&gt;DATOS!$C$82*P39*BF39,-1,(1-SQRT((1-2*BB39*1E5/(DATOS!$C$58*P39*BF39^2*DATOS!$C$48))))*DATOS!$C$48*P39*BF39/DATOS!$C$40)))-0.0001,MAX(DATOS!$C$29,CEILING(BG39/INDEX(TABLAS!$D$52:$D$58,MIN(MATCH(DATOS!$C$26,TABLAS!$B$52:$B$58,0)+3,7)),1)),MAX(MAX(DATOS!$C$29,CEILING(BG39/INDEX(TABLAS!$D$52:$D$58,MIN(MATCH(DATOS!$C$26,TABLAS!$B$52:$B$58,0)+3,7)),1)),2))&lt;=MIN(DATOS!$C$28,INT(((DATOS!$C$13-2*R39-2*IF(DATOS!$C$25=0,0,INDEX(TABLAS!$C$52:$C$58,MATCH(DATOS!$C$25,TABLAS!$B$52:$B$58,0))))+MAX(DATOS!$C$32,INDEX(TABLAS!$C$52:$C$58,MIN(MATCH(DATOS!$C$26,TABLAS!$B$52:$B$58,0)+3,7))))/(INDEX(TABLAS!$C$52:$C$58,MIN(MATCH(DATOS!$C$26,TABLAS!$B$52:$B$58,0)+3,7))+MAX(DATOS!$C$32,INDEX(TABLAS!$C$52:$C$58,MIN(MATCH(DATOS!$C$26,TABLAS!$B$52:$B$58,0)+3,7))))))),INDEX(TABLAS!$B$52:$B$58,MIN(MATCH(DATOS!$C$26,TABLAS!$B$52:$B$58,0)+3,7)),IF(AND(BG39&gt;=0,IF(MAX(DATOS!$C$29,CEILING(BG39/INDEX(TABLAS!$D$52:$D$58,MIN(MATCH(DATOS!$C$26,TABLAS!$B$52:$B$58,0)+4,7)),1))*INDEX(TABLAS!$D$52:$D$58,MIN(MATCH(DATOS!$C$26,TABLAS!$B$52:$B$58,0)+4,7))&gt;=4/3*IF(BB39&lt;=0,0,IF((1-2*BB39*1E5/(DATOS!$C$58*P39*BF39^2*DATOS!$C$48))&lt;0,-1,IF((1-SQRT((1-2*BB39*1E5/(DATOS!$C$58*P39*BF39^2*DATOS!$C$48))))*DATOS!$C$48*P39*BF39/DATOS!$C$40&gt;DATOS!$C$82*P39*BF39,-1,(1-SQRT((1-2*BB39*1E5/(DATOS!$C$58*P39*BF39^2*DATOS!$C$48))))*DATOS!$C$48*P39*BF39/DATOS!$C$40)))-0.0001,MAX(DATOS!$C$29,CEILING(BG39/INDEX(TABLAS!$D$52:$D$58,MIN(MATCH(DATOS!$C$26,TABLAS!$B$52:$B$58,0)+4,7)),1)),MAX(MAX(DATOS!$C$29,CEILING(BG39/INDEX(TABLAS!$D$52:$D$58,MIN(MATCH(DATOS!$C$26,TABLAS!$B$52:$B$58,0)+4,7)),1)),2))&lt;=MIN(DATOS!$C$28,INT(((DATOS!$C$13-2*R39-2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39" s="56">
        <f>IF(D39="HUECO",0,IF(BG39&lt;0,0,IF(MAX(DATOS!$C$29,CEILING(MAX(BG39,0)/INDEX(TABLAS!$D$52:$D$58,MATCH(BH39,TABLAS!$B$52:$B$58,0)),1))*INDEX(TABLAS!$D$52:$D$58,MATCH(BH39,TABLAS!$B$52:$B$58,0))&gt;=4/3*IF(BB39&lt;=0,0,IF((1-2*BB39*1E5/(DATOS!$C$58*P39*BF39^2*DATOS!$C$48))&lt;0,-1,IF((1-SQRT((1-2*BB39*1E5/(DATOS!$C$58*P39*BF39^2*DATOS!$C$48))))*DATOS!$C$48*P39*BF39/DATOS!$C$40&gt;DATOS!$C$82*P39*BF39,-1,(1-SQRT((1-2*BB39*1E5/(DATOS!$C$58*P39*BF39^2*DATOS!$C$48))))*DATOS!$C$48*P39*BF39/DATOS!$C$40)))-0.0001,MAX(DATOS!$C$29,CEILING(MAX(BG39,0)/INDEX(TABLAS!$D$52:$D$58,MATCH(BH39,TABLAS!$B$52:$B$58,0)),1)),MAX(MAX(DATOS!$C$29,CEILING(MAX(BG39,0)/INDEX(TABLAS!$D$52:$D$58,MATCH(BH39,TABLAS!$B$52:$B$58,0)),1)),2))))</f>
        <v>1</v>
      </c>
      <c r="BJ39" s="43">
        <f>DATOS!$C$15-R39-IF(DATOS!$C$25=0,0,INDEX(TABLAS!$C$52:$C$58,MATCH(DATOS!$C$25,TABLAS!$B$52:$B$58,0)))-INDEX(TABLAS!$C$52:$C$58,MATCH(BH39,TABLAS!$B$52:$B$58,0))/2</f>
        <v>22.365</v>
      </c>
      <c r="BK39" s="36">
        <f>IF(BI39=0,0,DATOS!$C$58*BI39*INDEX(TABLAS!$D$52:$D$58,MATCH(BH39,TABLAS!$B$52:$B$58,0))*DATOS!$C$40*(BJ39-BI39*INDEX(TABLAS!$D$52:$D$58,MATCH(BH39,TABLAS!$B$52:$B$58,0))*DATOS!$C$40/(DATOS!$C$48*P39)/2)/1E5)</f>
        <v>1.06504699658824</v>
      </c>
      <c r="BL39" s="62">
        <f>IF(BG39&lt;0,9.99,IF(BK39&gt;0,BB39/BK39,0))</f>
        <v>0.546238719754971</v>
      </c>
      <c r="BM39" s="63">
        <f>IF(BI39=0,"—",0.003*(BJ39-(BI39*INDEX(TABLAS!$D$52:$D$58,MATCH(BH39,TABLAS!$B$52:$B$58,0))*DATOS!$C$40/(DATOS!$C$48*P39)/DATOS!$C$49))/(BI39*INDEX(TABLAS!$D$52:$D$58,MATCH(BH39,TABLAS!$B$52:$B$58,0))*DATOS!$C$40/(DATOS!$C$48*P39)/DATOS!$C$49))</f>
        <v>0.156042445866142</v>
      </c>
      <c r="BN39" s="43">
        <f>((DATOS!$C$15-S39-2*DATOS!$C$35-IF(DATOS!$C$25=0,0,INDEX(TABLAS!$C$52:$C$58,MATCH(DATOS!$C$25,TABLAS!$B$52:$B$58,0)))-INDEX(TABLAS!$C$52:$C$58,MATCH(DATOS!$C$27,TABLAS!$B$52:$B$58,0))/2)-IF(AND((DATOS!$C$15-S39-2*DATOS!$C$35-IF(DATOS!$C$25=0,0,INDEX(TABLAS!$C$52:$C$58,MATCH(DATOS!$C$25,TABLAS!$B$52:$B$58,0)))-INDEX(TABLAS!$C$52:$C$58,MATCH(DATOS!$C$27,TABLAS!$B$52:$B$58,0))/2)&lt;=20,DATOS!$C$18&lt;&gt;"SÍ"),2,0))</f>
        <v>21.389</v>
      </c>
      <c r="BO39" s="43">
        <f>IF(D39="HUECO",0,IF(IF(BC39&lt;=0,0,IF((1-2*BC39*1E5/(DATOS!$C$58*DATOS!$C$19*BN39^2*DATOS!$C$48))&lt;0,-1,IF((1-SQRT((1-2*BC39*1E5/(DATOS!$C$58*DATOS!$C$19*BN39^2*DATOS!$C$48))))*DATOS!$C$48*DATOS!$C$19*BN39/DATOS!$C$40&gt;DATOS!$C$82*DATOS!$C$19*BN39,-1,(1-SQRT((1-2*BC39*1E5/(DATOS!$C$58*DATOS!$C$19*BN39^2*DATOS!$C$48))))*DATOS!$C$48*DATOS!$C$19*BN39/DATOS!$C$40)))&lt;0,-1,MAX(IF(BC39&lt;=0,0,IF((1-2*BC39*1E5/(DATOS!$C$58*DATOS!$C$19*BN39^2*DATOS!$C$48))&lt;0,-1,IF((1-SQRT((1-2*BC39*1E5/(DATOS!$C$58*DATOS!$C$19*BN39^2*DATOS!$C$48))))*DATOS!$C$48*DATOS!$C$19*BN39/DATOS!$C$40&gt;DATOS!$C$82*DATOS!$C$19*BN39,-1,(1-SQRT((1-2*BC39*1E5/(DATOS!$C$58*DATOS!$C$19*BN39^2*DATOS!$C$48))))*DATOS!$C$48*DATOS!$C$19*BN39/DATOS!$C$40))),MIN(DATOS!$C$83*IF(D39="VOLADO",2*DATOS!$C$13,DATOS!$C$13)*BN39,4/3*IF(BC39&lt;=0,0,IF((1-2*BC39*1E5/(DATOS!$C$58*DATOS!$C$19*BN39^2*DATOS!$C$48))&lt;0,-1,IF((1-SQRT((1-2*BC39*1E5/(DATOS!$C$58*DATOS!$C$19*BN39^2*DATOS!$C$48))))*DATOS!$C$48*DATOS!$C$19*BN39/DATOS!$C$40&gt;DATOS!$C$82*DATOS!$C$19*BN39,-1,(1-SQRT((1-2*BC39*1E5/(DATOS!$C$58*DATOS!$C$19*BN39^2*DATOS!$C$48))))*DATOS!$C$48*DATOS!$C$19*BN39/DATOS!$C$40)))))))</f>
        <v>0.470243451548486</v>
      </c>
      <c r="BP39" s="41">
        <f>IF(AND(BO39&gt;=0,IF(MAX(DATOS!$C$29,CEILING(BO39/INDEX(TABLAS!$D$52:$D$58,MIN(MATCH(DATOS!$C$27,TABLAS!$B$52:$B$58,0)+0,7)),1))*INDEX(TABLAS!$D$52:$D$58,MIN(MATCH(DATOS!$C$27,TABLAS!$B$52:$B$58,0)+0,7))&gt;=4/3*IF(BC39&lt;=0,0,IF((1-2*BC39*1E5/(DATOS!$C$58*DATOS!$C$19*BN39^2*DATOS!$C$48))&lt;0,-1,IF((1-SQRT((1-2*BC39*1E5/(DATOS!$C$58*DATOS!$C$19*BN39^2*DATOS!$C$48))))*DATOS!$C$48*DATOS!$C$19*BN39/DATOS!$C$40&gt;DATOS!$C$82*DATOS!$C$19*BN39,-1,(1-SQRT((1-2*BC39*1E5/(DATOS!$C$58*DATOS!$C$19*BN39^2*DATOS!$C$48))))*DATOS!$C$48*DATOS!$C$19*BN39/DATOS!$C$40)))-0.0001,MAX(DATOS!$C$29,CEILING(BO39/INDEX(TABLAS!$D$52:$D$58,MIN(MATCH(DATOS!$C$27,TABLAS!$B$52:$B$58,0)+0,7)),1)),MAX(MAX(DATOS!$C$29,CEILING(BO39/INDEX(TABLAS!$D$52:$D$58,MIN(MATCH(DATOS!$C$27,TABLAS!$B$52:$B$58,0)+0,7)),1)),2))&lt;=MIN(DATOS!$C$28,INT(((DATOS!$C$13-2*S39-2*IF(DATOS!$C$25=0,0,INDEX(TABLAS!$C$52:$C$58,MATCH(DATOS!$C$25,TABLAS!$B$52:$B$58,0))))+MAX(DATOS!$C$32,INDEX(TABLAS!$C$52:$C$58,MIN(MATCH(DATOS!$C$27,TABLAS!$B$52:$B$58,0)+0,7))))/(INDEX(TABLAS!$C$52:$C$58,MIN(MATCH(DATOS!$C$27,TABLAS!$B$52:$B$58,0)+0,7))+MAX(DATOS!$C$32,INDEX(TABLAS!$C$52:$C$58,MIN(MATCH(DATOS!$C$27,TABLAS!$B$52:$B$58,0)+0,7))))))),INDEX(TABLAS!$B$52:$B$58,MIN(MATCH(DATOS!$C$27,TABLAS!$B$52:$B$58,0)+0,7)),IF(AND(BO39&gt;=0,IF(MAX(DATOS!$C$29,CEILING(BO39/INDEX(TABLAS!$D$52:$D$58,MIN(MATCH(DATOS!$C$27,TABLAS!$B$52:$B$58,0)+1,7)),1))*INDEX(TABLAS!$D$52:$D$58,MIN(MATCH(DATOS!$C$27,TABLAS!$B$52:$B$58,0)+1,7))&gt;=4/3*IF(BC39&lt;=0,0,IF((1-2*BC39*1E5/(DATOS!$C$58*DATOS!$C$19*BN39^2*DATOS!$C$48))&lt;0,-1,IF((1-SQRT((1-2*BC39*1E5/(DATOS!$C$58*DATOS!$C$19*BN39^2*DATOS!$C$48))))*DATOS!$C$48*DATOS!$C$19*BN39/DATOS!$C$40&gt;DATOS!$C$82*DATOS!$C$19*BN39,-1,(1-SQRT((1-2*BC39*1E5/(DATOS!$C$58*DATOS!$C$19*BN39^2*DATOS!$C$48))))*DATOS!$C$48*DATOS!$C$19*BN39/DATOS!$C$40)))-0.0001,MAX(DATOS!$C$29,CEILING(BO39/INDEX(TABLAS!$D$52:$D$58,MIN(MATCH(DATOS!$C$27,TABLAS!$B$52:$B$58,0)+1,7)),1)),MAX(MAX(DATOS!$C$29,CEILING(BO39/INDEX(TABLAS!$D$52:$D$58,MIN(MATCH(DATOS!$C$27,TABLAS!$B$52:$B$58,0)+1,7)),1)),2))&lt;=MIN(DATOS!$C$28,INT(((DATOS!$C$13-2*S39-2*IF(DATOS!$C$25=0,0,INDEX(TABLAS!$C$52:$C$58,MATCH(DATOS!$C$25,TABLAS!$B$52:$B$58,0))))+MAX(DATOS!$C$32,INDEX(TABLAS!$C$52:$C$58,MIN(MATCH(DATOS!$C$27,TABLAS!$B$52:$B$58,0)+1,7))))/(INDEX(TABLAS!$C$52:$C$58,MIN(MATCH(DATOS!$C$27,TABLAS!$B$52:$B$58,0)+1,7))+MAX(DATOS!$C$32,INDEX(TABLAS!$C$52:$C$58,MIN(MATCH(DATOS!$C$27,TABLAS!$B$52:$B$58,0)+1,7))))))),INDEX(TABLAS!$B$52:$B$58,MIN(MATCH(DATOS!$C$27,TABLAS!$B$52:$B$58,0)+1,7)),IF(AND(BO39&gt;=0,IF(MAX(DATOS!$C$29,CEILING(BO39/INDEX(TABLAS!$D$52:$D$58,MIN(MATCH(DATOS!$C$27,TABLAS!$B$52:$B$58,0)+2,7)),1))*INDEX(TABLAS!$D$52:$D$58,MIN(MATCH(DATOS!$C$27,TABLAS!$B$52:$B$58,0)+2,7))&gt;=4/3*IF(BC39&lt;=0,0,IF((1-2*BC39*1E5/(DATOS!$C$58*DATOS!$C$19*BN39^2*DATOS!$C$48))&lt;0,-1,IF((1-SQRT((1-2*BC39*1E5/(DATOS!$C$58*DATOS!$C$19*BN39^2*DATOS!$C$48))))*DATOS!$C$48*DATOS!$C$19*BN39/DATOS!$C$40&gt;DATOS!$C$82*DATOS!$C$19*BN39,-1,(1-SQRT((1-2*BC39*1E5/(DATOS!$C$58*DATOS!$C$19*BN39^2*DATOS!$C$48))))*DATOS!$C$48*DATOS!$C$19*BN39/DATOS!$C$40)))-0.0001,MAX(DATOS!$C$29,CEILING(BO39/INDEX(TABLAS!$D$52:$D$58,MIN(MATCH(DATOS!$C$27,TABLAS!$B$52:$B$58,0)+2,7)),1)),MAX(MAX(DATOS!$C$29,CEILING(BO39/INDEX(TABLAS!$D$52:$D$58,MIN(MATCH(DATOS!$C$27,TABLAS!$B$52:$B$58,0)+2,7)),1)),2))&lt;=MIN(DATOS!$C$28,INT(((DATOS!$C$13-2*S39-2*IF(DATOS!$C$25=0,0,INDEX(TABLAS!$C$52:$C$58,MATCH(DATOS!$C$25,TABLAS!$B$52:$B$58,0))))+MAX(DATOS!$C$32,INDEX(TABLAS!$C$52:$C$58,MIN(MATCH(DATOS!$C$27,TABLAS!$B$52:$B$58,0)+2,7))))/(INDEX(TABLAS!$C$52:$C$58,MIN(MATCH(DATOS!$C$27,TABLAS!$B$52:$B$58,0)+2,7))+MAX(DATOS!$C$32,INDEX(TABLAS!$C$52:$C$58,MIN(MATCH(DATOS!$C$27,TABLAS!$B$52:$B$58,0)+2,7))))))),INDEX(TABLAS!$B$52:$B$58,MIN(MATCH(DATOS!$C$27,TABLAS!$B$52:$B$58,0)+2,7)),IF(AND(BO39&gt;=0,IF(MAX(DATOS!$C$29,CEILING(BO39/INDEX(TABLAS!$D$52:$D$58,MIN(MATCH(DATOS!$C$27,TABLAS!$B$52:$B$58,0)+3,7)),1))*INDEX(TABLAS!$D$52:$D$58,MIN(MATCH(DATOS!$C$27,TABLAS!$B$52:$B$58,0)+3,7))&gt;=4/3*IF(BC39&lt;=0,0,IF((1-2*BC39*1E5/(DATOS!$C$58*DATOS!$C$19*BN39^2*DATOS!$C$48))&lt;0,-1,IF((1-SQRT((1-2*BC39*1E5/(DATOS!$C$58*DATOS!$C$19*BN39^2*DATOS!$C$48))))*DATOS!$C$48*DATOS!$C$19*BN39/DATOS!$C$40&gt;DATOS!$C$82*DATOS!$C$19*BN39,-1,(1-SQRT((1-2*BC39*1E5/(DATOS!$C$58*DATOS!$C$19*BN39^2*DATOS!$C$48))))*DATOS!$C$48*DATOS!$C$19*BN39/DATOS!$C$40)))-0.0001,MAX(DATOS!$C$29,CEILING(BO39/INDEX(TABLAS!$D$52:$D$58,MIN(MATCH(DATOS!$C$27,TABLAS!$B$52:$B$58,0)+3,7)),1)),MAX(MAX(DATOS!$C$29,CEILING(BO39/INDEX(TABLAS!$D$52:$D$58,MIN(MATCH(DATOS!$C$27,TABLAS!$B$52:$B$58,0)+3,7)),1)),2))&lt;=MIN(DATOS!$C$28,INT(((DATOS!$C$13-2*S39-2*IF(DATOS!$C$25=0,0,INDEX(TABLAS!$C$52:$C$58,MATCH(DATOS!$C$25,TABLAS!$B$52:$B$58,0))))+MAX(DATOS!$C$32,INDEX(TABLAS!$C$52:$C$58,MIN(MATCH(DATOS!$C$27,TABLAS!$B$52:$B$58,0)+3,7))))/(INDEX(TABLAS!$C$52:$C$58,MIN(MATCH(DATOS!$C$27,TABLAS!$B$52:$B$58,0)+3,7))+MAX(DATOS!$C$32,INDEX(TABLAS!$C$52:$C$58,MIN(MATCH(DATOS!$C$27,TABLAS!$B$52:$B$58,0)+3,7))))))),INDEX(TABLAS!$B$52:$B$58,MIN(MATCH(DATOS!$C$27,TABLAS!$B$52:$B$58,0)+3,7)),IF(AND(BO39&gt;=0,IF(MAX(DATOS!$C$29,CEILING(BO39/INDEX(TABLAS!$D$52:$D$58,MIN(MATCH(DATOS!$C$27,TABLAS!$B$52:$B$58,0)+4,7)),1))*INDEX(TABLAS!$D$52:$D$58,MIN(MATCH(DATOS!$C$27,TABLAS!$B$52:$B$58,0)+4,7))&gt;=4/3*IF(BC39&lt;=0,0,IF((1-2*BC39*1E5/(DATOS!$C$58*DATOS!$C$19*BN39^2*DATOS!$C$48))&lt;0,-1,IF((1-SQRT((1-2*BC39*1E5/(DATOS!$C$58*DATOS!$C$19*BN39^2*DATOS!$C$48))))*DATOS!$C$48*DATOS!$C$19*BN39/DATOS!$C$40&gt;DATOS!$C$82*DATOS!$C$19*BN39,-1,(1-SQRT((1-2*BC39*1E5/(DATOS!$C$58*DATOS!$C$19*BN39^2*DATOS!$C$48))))*DATOS!$C$48*DATOS!$C$19*BN39/DATOS!$C$40)))-0.0001,MAX(DATOS!$C$29,CEILING(BO39/INDEX(TABLAS!$D$52:$D$58,MIN(MATCH(DATOS!$C$27,TABLAS!$B$52:$B$58,0)+4,7)),1)),MAX(MAX(DATOS!$C$29,CEILING(BO39/INDEX(TABLAS!$D$52:$D$58,MIN(MATCH(DATOS!$C$27,TABLAS!$B$52:$B$58,0)+4,7)),1)),2))&lt;=MIN(DATOS!$C$28,INT(((DATOS!$C$13-2*S39-2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39" s="56">
        <f>IF(D39="HUECO",0,IF(BO39&lt;0,0,IF(MAX(DATOS!$C$29,CEILING(MAX(BO39,0)/INDEX(TABLAS!$D$52:$D$58,MATCH(BP39,TABLAS!$B$52:$B$58,0)),1))*INDEX(TABLAS!$D$52:$D$58,MATCH(BP39,TABLAS!$B$52:$B$58,0))&gt;=4/3*IF(BC39&lt;=0,0,IF((1-2*BC39*1E5/(DATOS!$C$58*DATOS!$C$19*BN39^2*DATOS!$C$48))&lt;0,-1,IF((1-SQRT((1-2*BC39*1E5/(DATOS!$C$58*DATOS!$C$19*BN39^2*DATOS!$C$48))))*DATOS!$C$48*DATOS!$C$19*BN39/DATOS!$C$40&gt;DATOS!$C$82*DATOS!$C$19*BN39,-1,(1-SQRT((1-2*BC39*1E5/(DATOS!$C$58*DATOS!$C$19*BN39^2*DATOS!$C$48))))*DATOS!$C$48*DATOS!$C$19*BN39/DATOS!$C$40)))-0.0001,MAX(DATOS!$C$29,CEILING(MAX(BO39,0)/INDEX(TABLAS!$D$52:$D$58,MATCH(BP39,TABLAS!$B$52:$B$58,0)),1)),MAX(MAX(DATOS!$C$29,CEILING(MAX(BO39,0)/INDEX(TABLAS!$D$52:$D$58,MATCH(BP39,TABLAS!$B$52:$B$58,0)),1)),2))))</f>
        <v>1</v>
      </c>
      <c r="BR39" s="43">
        <f>((DATOS!$C$15-S39-2*DATOS!$C$35-IF(DATOS!$C$25=0,0,INDEX(TABLAS!$C$52:$C$58,MATCH(DATOS!$C$25,TABLAS!$B$52:$B$58,0)))-INDEX(TABLAS!$C$52:$C$58,MATCH(BP39,TABLAS!$B$52:$B$58,0))/2)-IF(AND((DATOS!$C$15-S39-2*DATOS!$C$35-IF(DATOS!$C$25=0,0,INDEX(TABLAS!$C$52:$C$58,MATCH(DATOS!$C$25,TABLAS!$B$52:$B$58,0)))-INDEX(TABLAS!$C$52:$C$58,MATCH(BP39,TABLAS!$B$52:$B$58,0))/2)&lt;=20,DATOS!$C$18&lt;&gt;"SÍ"),2,0))</f>
        <v>21.389</v>
      </c>
      <c r="BS39" s="36">
        <f>IF(BQ39=0,0,DATOS!$C$58*BQ39*INDEX(TABLAS!$D$52:$D$58,MATCH(BP39,TABLAS!$B$52:$B$58,0))*DATOS!$C$40*(BR39-BQ39*INDEX(TABLAS!$D$52:$D$58,MATCH(BP39,TABLAS!$B$52:$B$58,0))*DATOS!$C$40/(DATOS!$C$48*DATOS!$C$19)/2)/1E5)</f>
        <v>0.966549980117647</v>
      </c>
      <c r="BT39" s="62">
        <f>IF(BO39&lt;0,9.99,IF(BS39&gt;0,BC39/BS39,0))</f>
        <v>0.290206322900027</v>
      </c>
      <c r="BU39" s="63">
        <f>IF(BQ39=0,"—",0.003*(BR39-(BQ39*INDEX(TABLAS!$D$52:$D$58,MATCH(BP39,TABLAS!$B$52:$B$58,0))*DATOS!$C$40/(DATOS!$C$48*DATOS!$C$19)/DATOS!$C$49))/(BQ39*INDEX(TABLAS!$D$52:$D$58,MATCH(BP39,TABLAS!$B$52:$B$58,0))*DATOS!$C$40/(DATOS!$C$48*DATOS!$C$19)/DATOS!$C$49))</f>
        <v>0.0187288420978628</v>
      </c>
      <c r="BV39" s="43">
        <f>(DATOS!$C$15-R39-IF(DATOS!$C$25=0,0,INDEX(TABLAS!$C$52:$C$58,MATCH(DATOS!$C$25,TABLAS!$B$52:$B$58,0)))-INDEX(TABLAS!$C$52:$C$58,MATCH(DATOS!$C$26,TABLAS!$B$52:$B$58,0))-INDEX(TABLAS!$C$52:$C$58,MATCH(DATOS!$C$26,TABLAS!$B$52:$B$58,0))/2)</f>
        <v>21.095</v>
      </c>
      <c r="BW39" s="43">
        <f>IF(D39="HUECO",0,IF(IF(BD39&lt;=0,0,IF((1-2*BD39*1E5/(DATOS!$C$58*Q39*BV39^2*DATOS!$C$48))&lt;0,-1,IF((1-SQRT((1-2*BD39*1E5/(DATOS!$C$58*Q39*BV39^2*DATOS!$C$48))))*DATOS!$C$48*Q39*BV39/DATOS!$C$40&gt;DATOS!$C$82*Q39*BV39,-1,(1-SQRT((1-2*BD39*1E5/(DATOS!$C$58*Q39*BV39^2*DATOS!$C$48))))*DATOS!$C$48*Q39*BV39/DATOS!$C$40)))&lt;0,-1,MAX(IF(BD39&lt;=0,0,IF((1-2*BD39*1E5/(DATOS!$C$58*Q39*BV39^2*DATOS!$C$48))&lt;0,-1,IF((1-SQRT((1-2*BD39*1E5/(DATOS!$C$58*Q39*BV39^2*DATOS!$C$48))))*DATOS!$C$48*Q39*BV39/DATOS!$C$40&gt;DATOS!$C$82*Q39*BV39,-1,(1-SQRT((1-2*BD39*1E5/(DATOS!$C$58*Q39*BV39^2*DATOS!$C$48))))*DATOS!$C$48*Q39*BV39/DATOS!$C$40))),MIN(DATOS!$C$83*DATOS!$C$13*BV39,4/3*IF(BD39&lt;=0,0,IF((1-2*BD39*1E5/(DATOS!$C$58*Q39*BV39^2*DATOS!$C$48))&lt;0,-1,IF((1-SQRT((1-2*BD39*1E5/(DATOS!$C$58*Q39*BV39^2*DATOS!$C$48))))*DATOS!$C$48*Q39*BV39/DATOS!$C$40&gt;DATOS!$C$82*Q39*BV39,-1,(1-SQRT((1-2*BD39*1E5/(DATOS!$C$58*Q39*BV39^2*DATOS!$C$48))))*DATOS!$C$48*Q39*BV39/DATOS!$C$40)))))))</f>
        <v>0.703166666666667</v>
      </c>
      <c r="BX39" s="41">
        <f>IF(AND(BW39&gt;=0,IF(MAX(DATOS!$C$29,CEILING(BW39/INDEX(TABLAS!$D$52:$D$58,MIN(MATCH(DATOS!$C$26,TABLAS!$B$52:$B$58,0)+0,7)),1))*INDEX(TABLAS!$D$52:$D$58,MIN(MATCH(DATOS!$C$26,TABLAS!$B$52:$B$58,0)+0,7))&gt;=4/3*IF(BD39&lt;=0,0,IF((1-2*BD39*1E5/(DATOS!$C$58*Q39*BV39^2*DATOS!$C$48))&lt;0,-1,IF((1-SQRT((1-2*BD39*1E5/(DATOS!$C$58*Q39*BV39^2*DATOS!$C$48))))*DATOS!$C$48*Q39*BV39/DATOS!$C$40&gt;DATOS!$C$82*Q39*BV39,-1,(1-SQRT((1-2*BD39*1E5/(DATOS!$C$58*Q39*BV39^2*DATOS!$C$48))))*DATOS!$C$48*Q39*BV39/DATOS!$C$40)))-0.0001,MAX(DATOS!$C$29,CEILING(BW39/INDEX(TABLAS!$D$52:$D$58,MIN(MATCH(DATOS!$C$26,TABLAS!$B$52:$B$58,0)+0,7)),1)),MAX(MAX(DATOS!$C$29,CEILING(BW39/INDEX(TABLAS!$D$52:$D$58,MIN(MATCH(DATOS!$C$26,TABLAS!$B$52:$B$58,0)+0,7)),1)),2))&lt;=MIN(DATOS!$C$28,INT(((DATOS!$C$13-2*R39-2*IF(DATOS!$C$25=0,0,INDEX(TABLAS!$C$52:$C$58,MATCH(DATOS!$C$25,TABLAS!$B$52:$B$58,0))))+MAX(DATOS!$C$32,INDEX(TABLAS!$C$52:$C$58,MIN(MATCH(DATOS!$C$26,TABLAS!$B$52:$B$58,0)+0,7))))/(INDEX(TABLAS!$C$52:$C$58,MIN(MATCH(DATOS!$C$26,TABLAS!$B$52:$B$58,0)+0,7))+MAX(DATOS!$C$32,INDEX(TABLAS!$C$52:$C$58,MIN(MATCH(DATOS!$C$26,TABLAS!$B$52:$B$58,0)+0,7))))))),INDEX(TABLAS!$B$52:$B$58,MIN(MATCH(DATOS!$C$26,TABLAS!$B$52:$B$58,0)+0,7)),IF(AND(BW39&gt;=0,IF(MAX(DATOS!$C$29,CEILING(BW39/INDEX(TABLAS!$D$52:$D$58,MIN(MATCH(DATOS!$C$26,TABLAS!$B$52:$B$58,0)+1,7)),1))*INDEX(TABLAS!$D$52:$D$58,MIN(MATCH(DATOS!$C$26,TABLAS!$B$52:$B$58,0)+1,7))&gt;=4/3*IF(BD39&lt;=0,0,IF((1-2*BD39*1E5/(DATOS!$C$58*Q39*BV39^2*DATOS!$C$48))&lt;0,-1,IF((1-SQRT((1-2*BD39*1E5/(DATOS!$C$58*Q39*BV39^2*DATOS!$C$48))))*DATOS!$C$48*Q39*BV39/DATOS!$C$40&gt;DATOS!$C$82*Q39*BV39,-1,(1-SQRT((1-2*BD39*1E5/(DATOS!$C$58*Q39*BV39^2*DATOS!$C$48))))*DATOS!$C$48*Q39*BV39/DATOS!$C$40)))-0.0001,MAX(DATOS!$C$29,CEILING(BW39/INDEX(TABLAS!$D$52:$D$58,MIN(MATCH(DATOS!$C$26,TABLAS!$B$52:$B$58,0)+1,7)),1)),MAX(MAX(DATOS!$C$29,CEILING(BW39/INDEX(TABLAS!$D$52:$D$58,MIN(MATCH(DATOS!$C$26,TABLAS!$B$52:$B$58,0)+1,7)),1)),2))&lt;=MIN(DATOS!$C$28,INT(((DATOS!$C$13-2*R39-2*IF(DATOS!$C$25=0,0,INDEX(TABLAS!$C$52:$C$58,MATCH(DATOS!$C$25,TABLAS!$B$52:$B$58,0))))+MAX(DATOS!$C$32,INDEX(TABLAS!$C$52:$C$58,MIN(MATCH(DATOS!$C$26,TABLAS!$B$52:$B$58,0)+1,7))))/(INDEX(TABLAS!$C$52:$C$58,MIN(MATCH(DATOS!$C$26,TABLAS!$B$52:$B$58,0)+1,7))+MAX(DATOS!$C$32,INDEX(TABLAS!$C$52:$C$58,MIN(MATCH(DATOS!$C$26,TABLAS!$B$52:$B$58,0)+1,7))))))),INDEX(TABLAS!$B$52:$B$58,MIN(MATCH(DATOS!$C$26,TABLAS!$B$52:$B$58,0)+1,7)),IF(AND(BW39&gt;=0,IF(MAX(DATOS!$C$29,CEILING(BW39/INDEX(TABLAS!$D$52:$D$58,MIN(MATCH(DATOS!$C$26,TABLAS!$B$52:$B$58,0)+2,7)),1))*INDEX(TABLAS!$D$52:$D$58,MIN(MATCH(DATOS!$C$26,TABLAS!$B$52:$B$58,0)+2,7))&gt;=4/3*IF(BD39&lt;=0,0,IF((1-2*BD39*1E5/(DATOS!$C$58*Q39*BV39^2*DATOS!$C$48))&lt;0,-1,IF((1-SQRT((1-2*BD39*1E5/(DATOS!$C$58*Q39*BV39^2*DATOS!$C$48))))*DATOS!$C$48*Q39*BV39/DATOS!$C$40&gt;DATOS!$C$82*Q39*BV39,-1,(1-SQRT((1-2*BD39*1E5/(DATOS!$C$58*Q39*BV39^2*DATOS!$C$48))))*DATOS!$C$48*Q39*BV39/DATOS!$C$40)))-0.0001,MAX(DATOS!$C$29,CEILING(BW39/INDEX(TABLAS!$D$52:$D$58,MIN(MATCH(DATOS!$C$26,TABLAS!$B$52:$B$58,0)+2,7)),1)),MAX(MAX(DATOS!$C$29,CEILING(BW39/INDEX(TABLAS!$D$52:$D$58,MIN(MATCH(DATOS!$C$26,TABLAS!$B$52:$B$58,0)+2,7)),1)),2))&lt;=MIN(DATOS!$C$28,INT(((DATOS!$C$13-2*R39-2*IF(DATOS!$C$25=0,0,INDEX(TABLAS!$C$52:$C$58,MATCH(DATOS!$C$25,TABLAS!$B$52:$B$58,0))))+MAX(DATOS!$C$32,INDEX(TABLAS!$C$52:$C$58,MIN(MATCH(DATOS!$C$26,TABLAS!$B$52:$B$58,0)+2,7))))/(INDEX(TABLAS!$C$52:$C$58,MIN(MATCH(DATOS!$C$26,TABLAS!$B$52:$B$58,0)+2,7))+MAX(DATOS!$C$32,INDEX(TABLAS!$C$52:$C$58,MIN(MATCH(DATOS!$C$26,TABLAS!$B$52:$B$58,0)+2,7))))))),INDEX(TABLAS!$B$52:$B$58,MIN(MATCH(DATOS!$C$26,TABLAS!$B$52:$B$58,0)+2,7)),IF(AND(BW39&gt;=0,IF(MAX(DATOS!$C$29,CEILING(BW39/INDEX(TABLAS!$D$52:$D$58,MIN(MATCH(DATOS!$C$26,TABLAS!$B$52:$B$58,0)+3,7)),1))*INDEX(TABLAS!$D$52:$D$58,MIN(MATCH(DATOS!$C$26,TABLAS!$B$52:$B$58,0)+3,7))&gt;=4/3*IF(BD39&lt;=0,0,IF((1-2*BD39*1E5/(DATOS!$C$58*Q39*BV39^2*DATOS!$C$48))&lt;0,-1,IF((1-SQRT((1-2*BD39*1E5/(DATOS!$C$58*Q39*BV39^2*DATOS!$C$48))))*DATOS!$C$48*Q39*BV39/DATOS!$C$40&gt;DATOS!$C$82*Q39*BV39,-1,(1-SQRT((1-2*BD39*1E5/(DATOS!$C$58*Q39*BV39^2*DATOS!$C$48))))*DATOS!$C$48*Q39*BV39/DATOS!$C$40)))-0.0001,MAX(DATOS!$C$29,CEILING(BW39/INDEX(TABLAS!$D$52:$D$58,MIN(MATCH(DATOS!$C$26,TABLAS!$B$52:$B$58,0)+3,7)),1)),MAX(MAX(DATOS!$C$29,CEILING(BW39/INDEX(TABLAS!$D$52:$D$58,MIN(MATCH(DATOS!$C$26,TABLAS!$B$52:$B$58,0)+3,7)),1)),2))&lt;=MIN(DATOS!$C$28,INT(((DATOS!$C$13-2*R39-2*IF(DATOS!$C$25=0,0,INDEX(TABLAS!$C$52:$C$58,MATCH(DATOS!$C$25,TABLAS!$B$52:$B$58,0))))+MAX(DATOS!$C$32,INDEX(TABLAS!$C$52:$C$58,MIN(MATCH(DATOS!$C$26,TABLAS!$B$52:$B$58,0)+3,7))))/(INDEX(TABLAS!$C$52:$C$58,MIN(MATCH(DATOS!$C$26,TABLAS!$B$52:$B$58,0)+3,7))+MAX(DATOS!$C$32,INDEX(TABLAS!$C$52:$C$58,MIN(MATCH(DATOS!$C$26,TABLAS!$B$52:$B$58,0)+3,7))))))),INDEX(TABLAS!$B$52:$B$58,MIN(MATCH(DATOS!$C$26,TABLAS!$B$52:$B$58,0)+3,7)),IF(AND(BW39&gt;=0,IF(MAX(DATOS!$C$29,CEILING(BW39/INDEX(TABLAS!$D$52:$D$58,MIN(MATCH(DATOS!$C$26,TABLAS!$B$52:$B$58,0)+4,7)),1))*INDEX(TABLAS!$D$52:$D$58,MIN(MATCH(DATOS!$C$26,TABLAS!$B$52:$B$58,0)+4,7))&gt;=4/3*IF(BD39&lt;=0,0,IF((1-2*BD39*1E5/(DATOS!$C$58*Q39*BV39^2*DATOS!$C$48))&lt;0,-1,IF((1-SQRT((1-2*BD39*1E5/(DATOS!$C$58*Q39*BV39^2*DATOS!$C$48))))*DATOS!$C$48*Q39*BV39/DATOS!$C$40&gt;DATOS!$C$82*Q39*BV39,-1,(1-SQRT((1-2*BD39*1E5/(DATOS!$C$58*Q39*BV39^2*DATOS!$C$48))))*DATOS!$C$48*Q39*BV39/DATOS!$C$40)))-0.0001,MAX(DATOS!$C$29,CEILING(BW39/INDEX(TABLAS!$D$52:$D$58,MIN(MATCH(DATOS!$C$26,TABLAS!$B$52:$B$58,0)+4,7)),1)),MAX(MAX(DATOS!$C$29,CEILING(BW39/INDEX(TABLAS!$D$52:$D$58,MIN(MATCH(DATOS!$C$26,TABLAS!$B$52:$B$58,0)+4,7)),1)),2))&lt;=MIN(DATOS!$C$28,INT(((DATOS!$C$13-2*R39-2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39" s="56">
        <f>IF(D39="HUECO",0,IF(BW39&lt;0,0,IF(MAX(DATOS!$C$29,CEILING(MAX(BW39,0)/INDEX(TABLAS!$D$52:$D$58,MATCH(BX39,TABLAS!$B$52:$B$58,0)),1))*INDEX(TABLAS!$D$52:$D$58,MATCH(BX39,TABLAS!$B$52:$B$58,0))&gt;=4/3*IF(BD39&lt;=0,0,IF((1-2*BD39*1E5/(DATOS!$C$58*Q39*BV39^2*DATOS!$C$48))&lt;0,-1,IF((1-SQRT((1-2*BD39*1E5/(DATOS!$C$58*Q39*BV39^2*DATOS!$C$48))))*DATOS!$C$48*Q39*BV39/DATOS!$C$40&gt;DATOS!$C$82*Q39*BV39,-1,(1-SQRT((1-2*BD39*1E5/(DATOS!$C$58*Q39*BV39^2*DATOS!$C$48))))*DATOS!$C$48*Q39*BV39/DATOS!$C$40)))-0.0001,MAX(DATOS!$C$29,CEILING(MAX(BW39,0)/INDEX(TABLAS!$D$52:$D$58,MATCH(BX39,TABLAS!$B$52:$B$58,0)),1)),MAX(MAX(DATOS!$C$29,CEILING(MAX(BW39,0)/INDEX(TABLAS!$D$52:$D$58,MATCH(BX39,TABLAS!$B$52:$B$58,0)),1)),2))))</f>
        <v>1</v>
      </c>
      <c r="BZ39" s="43">
        <f>DATOS!$C$15-R39-IF(DATOS!$C$25=0,0,INDEX(TABLAS!$C$52:$C$58,MATCH(DATOS!$C$25,TABLAS!$B$52:$B$58,0)))-INDEX(TABLAS!$C$52:$C$58,MATCH(BH39,TABLAS!$B$52:$B$58,0))-INDEX(TABLAS!$C$52:$C$58,MATCH(BX39,TABLAS!$B$52:$B$58,0))/2</f>
        <v>21.095</v>
      </c>
      <c r="CA39" s="36">
        <f>IF(BY39=0,0,DATOS!$C$58*BY39*INDEX(TABLAS!$D$52:$D$58,MATCH(BX39,TABLAS!$B$52:$B$58,0))*DATOS!$C$40*(BZ39-BY39*INDEX(TABLAS!$D$52:$D$58,MATCH(BX39,TABLAS!$B$52:$B$58,0))*DATOS!$C$40/(DATOS!$C$48*Q39)/2)/1E5)</f>
        <v>1.00407937658824</v>
      </c>
      <c r="CB39" s="62">
        <f>IF(BW39&lt;0,9.99,IF(CA39&gt;0,BD39/CA39,0))</f>
        <v>0.448358861073295</v>
      </c>
      <c r="CC39" s="63">
        <f>IF(BY39=0,"—",0.003*(BZ39-(BY39*INDEX(TABLAS!$D$52:$D$58,MATCH(BX39,TABLAS!$B$52:$B$58,0))*DATOS!$C$40/(DATOS!$C$48*Q39)/DATOS!$C$49))/(BY39*INDEX(TABLAS!$D$52:$D$58,MATCH(BX39,TABLAS!$B$52:$B$58,0))*DATOS!$C$40/(DATOS!$C$48*Q39)/DATOS!$C$49))</f>
        <v>0.147011195866142</v>
      </c>
      <c r="CD39" s="43">
        <f>((DATOS!$C$15-S39-2*DATOS!$C$35-IF(DATOS!$C$25=0,0,INDEX(TABLAS!$C$52:$C$58,MATCH(DATOS!$C$25,TABLAS!$B$52:$B$58,0)))-INDEX(TABLAS!$C$52:$C$58,MATCH(DATOS!$C$27,TABLAS!$B$52:$B$58,0))-INDEX(TABLAS!$C$52:$C$58,MATCH(DATOS!$C$27,TABLAS!$B$52:$B$58,0))/2)-IF(AND((DATOS!$C$15-S39-2*DATOS!$C$35-IF(DATOS!$C$25=0,0,INDEX(TABLAS!$C$52:$C$58,MATCH(DATOS!$C$25,TABLAS!$B$52:$B$58,0)))-INDEX(TABLAS!$C$52:$C$58,MATCH(DATOS!$C$27,TABLAS!$B$52:$B$58,0))-INDEX(TABLAS!$C$52:$C$58,MATCH(DATOS!$C$27,TABLAS!$B$52:$B$58,0))/2)&lt;=20,DATOS!$C$18&lt;&gt;"SÍ"),2,0))</f>
        <v>20.119</v>
      </c>
      <c r="CE39" s="43">
        <f>IF(D39="HUECO",0,IF(IF(BE39&lt;=0,0,IF((1-2*BE39*1E5/(DATOS!$C$58*DATOS!$C$19*CD39^2*DATOS!$C$48))&lt;0,-1,IF((1-SQRT((1-2*BE39*1E5/(DATOS!$C$58*DATOS!$C$19*CD39^2*DATOS!$C$48))))*DATOS!$C$48*DATOS!$C$19*CD39/DATOS!$C$40&gt;DATOS!$C$82*DATOS!$C$19*CD39,-1,(1-SQRT((1-2*BE39*1E5/(DATOS!$C$58*DATOS!$C$19*CD39^2*DATOS!$C$48))))*DATOS!$C$48*DATOS!$C$19*CD39/DATOS!$C$40)))&lt;0,-1,MAX(IF(BE39&lt;=0,0,IF((1-2*BE39*1E5/(DATOS!$C$58*DATOS!$C$19*CD39^2*DATOS!$C$48))&lt;0,-1,IF((1-SQRT((1-2*BE39*1E5/(DATOS!$C$58*DATOS!$C$19*CD39^2*DATOS!$C$48))))*DATOS!$C$48*DATOS!$C$19*CD39/DATOS!$C$40&gt;DATOS!$C$82*DATOS!$C$19*CD39,-1,(1-SQRT((1-2*BE39*1E5/(DATOS!$C$58*DATOS!$C$19*CD39^2*DATOS!$C$48))))*DATOS!$C$48*DATOS!$C$19*CD39/DATOS!$C$40))),MIN(DATOS!$C$83*DATOS!$C$13*CD39,4/3*IF(BE39&lt;=0,0,IF((1-2*BE39*1E5/(DATOS!$C$58*DATOS!$C$19*CD39^2*DATOS!$C$48))&lt;0,-1,IF((1-SQRT((1-2*BE39*1E5/(DATOS!$C$58*DATOS!$C$19*CD39^2*DATOS!$C$48))))*DATOS!$C$48*DATOS!$C$19*CD39/DATOS!$C$40&gt;DATOS!$C$82*DATOS!$C$19*CD39,-1,(1-SQRT((1-2*BE39*1E5/(DATOS!$C$58*DATOS!$C$19*CD39^2*DATOS!$C$48))))*DATOS!$C$48*DATOS!$C$19*CD39/DATOS!$C$40)))))))</f>
        <v>0.817525998268999</v>
      </c>
      <c r="CF39" s="41">
        <f>IF(AND(CE39&gt;=0,IF(MAX(DATOS!$C$29,CEILING(CE39/INDEX(TABLAS!$D$52:$D$58,MIN(MATCH(DATOS!$C$27,TABLAS!$B$52:$B$58,0)+0,7)),1))*INDEX(TABLAS!$D$52:$D$58,MIN(MATCH(DATOS!$C$27,TABLAS!$B$52:$B$58,0)+0,7))&gt;=4/3*IF(BE39&lt;=0,0,IF((1-2*BE39*1E5/(DATOS!$C$58*DATOS!$C$19*CD39^2*DATOS!$C$48))&lt;0,-1,IF((1-SQRT((1-2*BE39*1E5/(DATOS!$C$58*DATOS!$C$19*CD39^2*DATOS!$C$48))))*DATOS!$C$48*DATOS!$C$19*CD39/DATOS!$C$40&gt;DATOS!$C$82*DATOS!$C$19*CD39,-1,(1-SQRT((1-2*BE39*1E5/(DATOS!$C$58*DATOS!$C$19*CD39^2*DATOS!$C$48))))*DATOS!$C$48*DATOS!$C$19*CD39/DATOS!$C$40)))-0.0001,MAX(DATOS!$C$29,CEILING(CE39/INDEX(TABLAS!$D$52:$D$58,MIN(MATCH(DATOS!$C$27,TABLAS!$B$52:$B$58,0)+0,7)),1)),MAX(MAX(DATOS!$C$29,CEILING(CE39/INDEX(TABLAS!$D$52:$D$58,MIN(MATCH(DATOS!$C$27,TABLAS!$B$52:$B$58,0)+0,7)),1)),2))&lt;=MIN(DATOS!$C$28,INT(((DATOS!$C$13-2*S39-2*IF(DATOS!$C$25=0,0,INDEX(TABLAS!$C$52:$C$58,MATCH(DATOS!$C$25,TABLAS!$B$52:$B$58,0))))+MAX(DATOS!$C$32,INDEX(TABLAS!$C$52:$C$58,MIN(MATCH(DATOS!$C$27,TABLAS!$B$52:$B$58,0)+0,7))))/(INDEX(TABLAS!$C$52:$C$58,MIN(MATCH(DATOS!$C$27,TABLAS!$B$52:$B$58,0)+0,7))+MAX(DATOS!$C$32,INDEX(TABLAS!$C$52:$C$58,MIN(MATCH(DATOS!$C$27,TABLAS!$B$52:$B$58,0)+0,7))))))),INDEX(TABLAS!$B$52:$B$58,MIN(MATCH(DATOS!$C$27,TABLAS!$B$52:$B$58,0)+0,7)),IF(AND(CE39&gt;=0,IF(MAX(DATOS!$C$29,CEILING(CE39/INDEX(TABLAS!$D$52:$D$58,MIN(MATCH(DATOS!$C$27,TABLAS!$B$52:$B$58,0)+1,7)),1))*INDEX(TABLAS!$D$52:$D$58,MIN(MATCH(DATOS!$C$27,TABLAS!$B$52:$B$58,0)+1,7))&gt;=4/3*IF(BE39&lt;=0,0,IF((1-2*BE39*1E5/(DATOS!$C$58*DATOS!$C$19*CD39^2*DATOS!$C$48))&lt;0,-1,IF((1-SQRT((1-2*BE39*1E5/(DATOS!$C$58*DATOS!$C$19*CD39^2*DATOS!$C$48))))*DATOS!$C$48*DATOS!$C$19*CD39/DATOS!$C$40&gt;DATOS!$C$82*DATOS!$C$19*CD39,-1,(1-SQRT((1-2*BE39*1E5/(DATOS!$C$58*DATOS!$C$19*CD39^2*DATOS!$C$48))))*DATOS!$C$48*DATOS!$C$19*CD39/DATOS!$C$40)))-0.0001,MAX(DATOS!$C$29,CEILING(CE39/INDEX(TABLAS!$D$52:$D$58,MIN(MATCH(DATOS!$C$27,TABLAS!$B$52:$B$58,0)+1,7)),1)),MAX(MAX(DATOS!$C$29,CEILING(CE39/INDEX(TABLAS!$D$52:$D$58,MIN(MATCH(DATOS!$C$27,TABLAS!$B$52:$B$58,0)+1,7)),1)),2))&lt;=MIN(DATOS!$C$28,INT(((DATOS!$C$13-2*S39-2*IF(DATOS!$C$25=0,0,INDEX(TABLAS!$C$52:$C$58,MATCH(DATOS!$C$25,TABLAS!$B$52:$B$58,0))))+MAX(DATOS!$C$32,INDEX(TABLAS!$C$52:$C$58,MIN(MATCH(DATOS!$C$27,TABLAS!$B$52:$B$58,0)+1,7))))/(INDEX(TABLAS!$C$52:$C$58,MIN(MATCH(DATOS!$C$27,TABLAS!$B$52:$B$58,0)+1,7))+MAX(DATOS!$C$32,INDEX(TABLAS!$C$52:$C$58,MIN(MATCH(DATOS!$C$27,TABLAS!$B$52:$B$58,0)+1,7))))))),INDEX(TABLAS!$B$52:$B$58,MIN(MATCH(DATOS!$C$27,TABLAS!$B$52:$B$58,0)+1,7)),IF(AND(CE39&gt;=0,IF(MAX(DATOS!$C$29,CEILING(CE39/INDEX(TABLAS!$D$52:$D$58,MIN(MATCH(DATOS!$C$27,TABLAS!$B$52:$B$58,0)+2,7)),1))*INDEX(TABLAS!$D$52:$D$58,MIN(MATCH(DATOS!$C$27,TABLAS!$B$52:$B$58,0)+2,7))&gt;=4/3*IF(BE39&lt;=0,0,IF((1-2*BE39*1E5/(DATOS!$C$58*DATOS!$C$19*CD39^2*DATOS!$C$48))&lt;0,-1,IF((1-SQRT((1-2*BE39*1E5/(DATOS!$C$58*DATOS!$C$19*CD39^2*DATOS!$C$48))))*DATOS!$C$48*DATOS!$C$19*CD39/DATOS!$C$40&gt;DATOS!$C$82*DATOS!$C$19*CD39,-1,(1-SQRT((1-2*BE39*1E5/(DATOS!$C$58*DATOS!$C$19*CD39^2*DATOS!$C$48))))*DATOS!$C$48*DATOS!$C$19*CD39/DATOS!$C$40)))-0.0001,MAX(DATOS!$C$29,CEILING(CE39/INDEX(TABLAS!$D$52:$D$58,MIN(MATCH(DATOS!$C$27,TABLAS!$B$52:$B$58,0)+2,7)),1)),MAX(MAX(DATOS!$C$29,CEILING(CE39/INDEX(TABLAS!$D$52:$D$58,MIN(MATCH(DATOS!$C$27,TABLAS!$B$52:$B$58,0)+2,7)),1)),2))&lt;=MIN(DATOS!$C$28,INT(((DATOS!$C$13-2*S39-2*IF(DATOS!$C$25=0,0,INDEX(TABLAS!$C$52:$C$58,MATCH(DATOS!$C$25,TABLAS!$B$52:$B$58,0))))+MAX(DATOS!$C$32,INDEX(TABLAS!$C$52:$C$58,MIN(MATCH(DATOS!$C$27,TABLAS!$B$52:$B$58,0)+2,7))))/(INDEX(TABLAS!$C$52:$C$58,MIN(MATCH(DATOS!$C$27,TABLAS!$B$52:$B$58,0)+2,7))+MAX(DATOS!$C$32,INDEX(TABLAS!$C$52:$C$58,MIN(MATCH(DATOS!$C$27,TABLAS!$B$52:$B$58,0)+2,7))))))),INDEX(TABLAS!$B$52:$B$58,MIN(MATCH(DATOS!$C$27,TABLAS!$B$52:$B$58,0)+2,7)),IF(AND(CE39&gt;=0,IF(MAX(DATOS!$C$29,CEILING(CE39/INDEX(TABLAS!$D$52:$D$58,MIN(MATCH(DATOS!$C$27,TABLAS!$B$52:$B$58,0)+3,7)),1))*INDEX(TABLAS!$D$52:$D$58,MIN(MATCH(DATOS!$C$27,TABLAS!$B$52:$B$58,0)+3,7))&gt;=4/3*IF(BE39&lt;=0,0,IF((1-2*BE39*1E5/(DATOS!$C$58*DATOS!$C$19*CD39^2*DATOS!$C$48))&lt;0,-1,IF((1-SQRT((1-2*BE39*1E5/(DATOS!$C$58*DATOS!$C$19*CD39^2*DATOS!$C$48))))*DATOS!$C$48*DATOS!$C$19*CD39/DATOS!$C$40&gt;DATOS!$C$82*DATOS!$C$19*CD39,-1,(1-SQRT((1-2*BE39*1E5/(DATOS!$C$58*DATOS!$C$19*CD39^2*DATOS!$C$48))))*DATOS!$C$48*DATOS!$C$19*CD39/DATOS!$C$40)))-0.0001,MAX(DATOS!$C$29,CEILING(CE39/INDEX(TABLAS!$D$52:$D$58,MIN(MATCH(DATOS!$C$27,TABLAS!$B$52:$B$58,0)+3,7)),1)),MAX(MAX(DATOS!$C$29,CEILING(CE39/INDEX(TABLAS!$D$52:$D$58,MIN(MATCH(DATOS!$C$27,TABLAS!$B$52:$B$58,0)+3,7)),1)),2))&lt;=MIN(DATOS!$C$28,INT(((DATOS!$C$13-2*S39-2*IF(DATOS!$C$25=0,0,INDEX(TABLAS!$C$52:$C$58,MATCH(DATOS!$C$25,TABLAS!$B$52:$B$58,0))))+MAX(DATOS!$C$32,INDEX(TABLAS!$C$52:$C$58,MIN(MATCH(DATOS!$C$27,TABLAS!$B$52:$B$58,0)+3,7))))/(INDEX(TABLAS!$C$52:$C$58,MIN(MATCH(DATOS!$C$27,TABLAS!$B$52:$B$58,0)+3,7))+MAX(DATOS!$C$32,INDEX(TABLAS!$C$52:$C$58,MIN(MATCH(DATOS!$C$27,TABLAS!$B$52:$B$58,0)+3,7))))))),INDEX(TABLAS!$B$52:$B$58,MIN(MATCH(DATOS!$C$27,TABLAS!$B$52:$B$58,0)+3,7)),IF(AND(CE39&gt;=0,IF(MAX(DATOS!$C$29,CEILING(CE39/INDEX(TABLAS!$D$52:$D$58,MIN(MATCH(DATOS!$C$27,TABLAS!$B$52:$B$58,0)+4,7)),1))*INDEX(TABLAS!$D$52:$D$58,MIN(MATCH(DATOS!$C$27,TABLAS!$B$52:$B$58,0)+4,7))&gt;=4/3*IF(BE39&lt;=0,0,IF((1-2*BE39*1E5/(DATOS!$C$58*DATOS!$C$19*CD39^2*DATOS!$C$48))&lt;0,-1,IF((1-SQRT((1-2*BE39*1E5/(DATOS!$C$58*DATOS!$C$19*CD39^2*DATOS!$C$48))))*DATOS!$C$48*DATOS!$C$19*CD39/DATOS!$C$40&gt;DATOS!$C$82*DATOS!$C$19*CD39,-1,(1-SQRT((1-2*BE39*1E5/(DATOS!$C$58*DATOS!$C$19*CD39^2*DATOS!$C$48))))*DATOS!$C$48*DATOS!$C$19*CD39/DATOS!$C$40)))-0.0001,MAX(DATOS!$C$29,CEILING(CE39/INDEX(TABLAS!$D$52:$D$58,MIN(MATCH(DATOS!$C$27,TABLAS!$B$52:$B$58,0)+4,7)),1)),MAX(MAX(DATOS!$C$29,CEILING(CE39/INDEX(TABLAS!$D$52:$D$58,MIN(MATCH(DATOS!$C$27,TABLAS!$B$52:$B$58,0)+4,7)),1)),2))&lt;=MIN(DATOS!$C$28,INT(((DATOS!$C$13-2*S39-2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39" s="56">
        <f>IF(D39="HUECO",0,IF(CE39&lt;0,0,IF(MAX(DATOS!$C$29,CEILING(MAX(CE39,0)/INDEX(TABLAS!$D$52:$D$58,MATCH(CF39,TABLAS!$B$52:$B$58,0)),1))*INDEX(TABLAS!$D$52:$D$58,MATCH(CF39,TABLAS!$B$52:$B$58,0))&gt;=4/3*IF(BE39&lt;=0,0,IF((1-2*BE39*1E5/(DATOS!$C$58*DATOS!$C$19*CD39^2*DATOS!$C$48))&lt;0,-1,IF((1-SQRT((1-2*BE39*1E5/(DATOS!$C$58*DATOS!$C$19*CD39^2*DATOS!$C$48))))*DATOS!$C$48*DATOS!$C$19*CD39/DATOS!$C$40&gt;DATOS!$C$82*DATOS!$C$19*CD39,-1,(1-SQRT((1-2*BE39*1E5/(DATOS!$C$58*DATOS!$C$19*CD39^2*DATOS!$C$48))))*DATOS!$C$48*DATOS!$C$19*CD39/DATOS!$C$40)))-0.0001,MAX(DATOS!$C$29,CEILING(MAX(CE39,0)/INDEX(TABLAS!$D$52:$D$58,MATCH(CF39,TABLAS!$B$52:$B$58,0)),1)),MAX(MAX(DATOS!$C$29,CEILING(MAX(CE39,0)/INDEX(TABLAS!$D$52:$D$58,MATCH(CF39,TABLAS!$B$52:$B$58,0)),1)),2))))</f>
        <v>1</v>
      </c>
      <c r="CH39" s="43">
        <f>((DATOS!$C$15-S39-2*DATOS!$C$35-IF(DATOS!$C$25=0,0,INDEX(TABLAS!$C$52:$C$58,MATCH(DATOS!$C$25,TABLAS!$B$52:$B$58,0)))-INDEX(TABLAS!$C$52:$C$58,MATCH(BP39,TABLAS!$B$52:$B$58,0))-INDEX(TABLAS!$C$52:$C$58,MATCH(CF39,TABLAS!$B$52:$B$58,0))/2)-IF(AND((DATOS!$C$15-S39-2*DATOS!$C$35-IF(DATOS!$C$25=0,0,INDEX(TABLAS!$C$52:$C$58,MATCH(DATOS!$C$25,TABLAS!$B$52:$B$58,0)))-INDEX(TABLAS!$C$52:$C$58,MATCH(BP39,TABLAS!$B$52:$B$58,0))-INDEX(TABLAS!$C$52:$C$58,MATCH(CF39,TABLAS!$B$52:$B$58,0))/2)&lt;=20,DATOS!$C$18&lt;&gt;"SÍ"),2,0))</f>
        <v>20.119</v>
      </c>
      <c r="CI39" s="36">
        <f>IF(CG39=0,0,DATOS!$C$58*CG39*INDEX(TABLAS!$D$52:$D$58,MATCH(CF39,TABLAS!$B$52:$B$58,0))*DATOS!$C$40*(CH39-CG39*INDEX(TABLAS!$D$52:$D$58,MATCH(CF39,TABLAS!$B$52:$B$58,0))*DATOS!$C$40/(DATOS!$C$48*DATOS!$C$19)/2)/1E5)</f>
        <v>0.905582360117647</v>
      </c>
      <c r="CJ39" s="62">
        <f>IF(CE39&lt;0,9.99,IF(CI39&gt;0,BE39/CI39,0))</f>
        <v>0.658980024342301</v>
      </c>
      <c r="CK39" s="63">
        <f>IF(CG39=0,"—",0.003*(CH39-(CG39*INDEX(TABLAS!$D$52:$D$58,MATCH(CF39,TABLAS!$B$52:$B$58,0))*DATOS!$C$40/(DATOS!$C$48*DATOS!$C$19)/DATOS!$C$49))/(CG39*INDEX(TABLAS!$D$52:$D$58,MATCH(CF39,TABLAS!$B$52:$B$58,0))*DATOS!$C$40/(DATOS!$C$48*DATOS!$C$19)/DATOS!$C$49))</f>
        <v>0.0174386635264342</v>
      </c>
      <c r="CL39" s="52" t="str">
        <f>IF(D39="HUECO","—",IF(AND(D39="PERIMETRAL",J39*100&gt;=6*DATOS!$C$11,DATOS!$C$11&lt;=80,DATOS!$C$13&gt;=10,DATOS!$C$15&lt;=3.5*DATOS!$C$13,DATOS!$C$14&gt;=MAX(DATOS!$C$11/13,5)),"SÍ","NO"))</f>
        <v>SÍ</v>
      </c>
      <c r="CM39" s="36">
        <f>IF(D39="PERIMETRAL",MAX(0,(N39/2-BR39)/100)*(0.95-0.5*L39)*Y39*IF(AND(Z39&gt;0,Z39&lt;4),DATOS!$C$63,1)*DATOS!$C$16/100/1000+AX39,IF(D39="VOLADO",(Y39*MAX(0,N39-BR39)/100+DATOS!$C$55*BA39)*DATOS!$C$16/100/1000,0))</f>
        <v>0.641122598394009</v>
      </c>
      <c r="CN39" s="36">
        <f>IF(D39="HUECO",0,DATOS!$C$59*2*MIN(1,SQRT(2/(1+0.04*BR39)))*(BQ39*INDEX(TABLAS!$D$52:$D$58,MATCH(BP39,TABLAS!$B$52:$B$58,0))/(DATOS!$C$19*BR39))^(1/3)*SQRT(DATOS!$C$39)*DATOS!$C$19*BR39*IF(CL39="SÍ",DATOS!$C$62,1)/1000)</f>
        <v>1.0104515843408</v>
      </c>
      <c r="CO39" s="51" t="str">
        <f>IF(D39="HUECO","—",IF(CM39&lt;=CN39,"CUMPLE",IF(MAX(0,CEILING((IF(D39="VOLADO",(N39-(CN39*1E5/DATOS!$C$16-DATOS!$C$55*BA39)*100/Y39),IF(CN39&lt;=AX39,N39,N39/2-(CN39-AX39)/MAX(CM39-AX39,1E-9)*(N39/2-BR39)))-IF(INT((J39*100-DATOS!$C$17+DATOS!$C$13)/DATOS!$C$16)&gt;0,(J39*100-DATOS!$C$17-(INT((J39*100-DATOS!$C$17+DATOS!$C$13)/DATOS!$C$16)*DATOS!$C$11+(INT((J39*100-DATOS!$C$17+DATOS!$C$13)/DATOS!$C$16)-1)*DATOS!$C$13))/2,J39*100/2))/DATOS!$C$16,1))&lt;=0,"CUMPLE (basta el macizo de orilla)","MACIZAR "&amp;MAX(0,CEILING((IF(D39="VOLADO",(N39-(CN39*1E5/DATOS!$C$16-DATOS!$C$55*BA39)*100/Y39),IF(CN39&lt;=AX39,N39,N39/2-(CN39-AX39)/MAX(CM39-AX39,1E-9)*(N39/2-BR39)))-IF(INT((J39*100-DATOS!$C$17+DATOS!$C$13)/DATOS!$C$16)&gt;0,(J39*100-DATOS!$C$17-(INT((J39*100-DATOS!$C$17+DATOS!$C$13)/DATOS!$C$16)*DATOS!$C$11+(INT((J39*100-DATOS!$C$17+DATOS!$C$13)/DATOS!$C$16)-1)*DATOS!$C$13))/2,J39*100/2))/DATOS!$C$16,1))&amp;" hilera(s)")))</f>
        <v>CUMPLE</v>
      </c>
      <c r="CP39" s="43">
        <f>IF(D39="PERIMETRAL",(99+99+99+99)/4,0)</f>
        <v>99</v>
      </c>
      <c r="CQ39" s="57">
        <f>IF(D39="PERIMETRAL",IF(CP39&gt;2,MAX(9,O39*(0.8+DATOS!$C$40/14000)/(36+9*(O39/MAX(N39,1)))),IF(CP39&gt;0.2,MAX(13,O39*(0.8+DATOS!$C$40/14000)/(36+5*(O39/MAX(N39,1))*(CP39-0.2))),MAX(13,O39/IF(Z39&gt;0,30,33))))*IF(AND(CP39&gt;0.2,OR(AND((APOYOS!$G$149="DISCONTINUO"),99&lt;0.8),AND((APOYOS!$G$150="DISCONTINUO"),99&lt;0.8),AND((APOYOS!$G$151="DISCONTINUO"),99&lt;0.8),AND((APOYOS!$G$152="DISCONTINUO"),99&lt;0.8))),1.1,1),IF(D39="VOLADO",MAX(25,J39*100/8),0))</f>
        <v>10.2223972981826</v>
      </c>
      <c r="CR39" s="57">
        <f>IF(D39="VOLADO",DATOS!$C$15,DATOS!$C$77)</f>
        <v>16.7232564120244</v>
      </c>
      <c r="CS39" s="52" t="str">
        <f>IF(D39="HUECO","—",IF(CR39&gt;=CQ39,"CUMPLE",IF(D39="VOLADO","NO CUMPLE","CALCULAR FLECHA")))</f>
        <v>CUMPLE</v>
      </c>
      <c r="CT39" s="52" t="str">
        <f>IF(D39="HUECO","—",IF(DATOS!$C$14&gt;=IF(IF(D39="VOLADO",J39,K39)&gt;=6,6,5),"CUMPLE","CAPA ≥ 6 cm"))</f>
        <v>CUMPLE</v>
      </c>
      <c r="CU39" s="59">
        <f>IF(D39="HUECO",0,IF(((4*((AL39*Y39*J39^2*1E-4*DATOS!$C$16/100/1000)+((MAX(AH39,AJ39)*Y39*J39^2*1E-4*DATOS!$C$16/100/1000)+(IF(AND(AH39&gt;0,AJ39&gt;0),MIN(AH39,AJ39),MAX(AH39,AJ39))*Y39*J39^2*1E-4*DATOS!$C$16/100/1000))/2)+BC39-(IF(AND(AH39&gt;0,AJ39&gt;0),MIN(AH39,AJ39),MAX(AH39,AJ39))*Y39*J39^2*1E-4*DATOS!$C$16/100/1000))^2-16*((AL39*Y39*J39^2*1E-4*DATOS!$C$16/100/1000)+((MAX(AH39,AJ39)*Y39*J39^2*1E-4*DATOS!$C$16/100/1000)+(IF(AND(AH39&gt;0,AJ39&gt;0),MIN(AH39,AJ39),MAX(AH39,AJ39))*Y39*J39^2*1E-4*DATOS!$C$16/100/1000))/2)*BC39)&lt;0,CEILING(N39,5),CEILING(MAX(N39*((4*((AL39*Y39*J39^2*1E-4*DATOS!$C$16/100/1000)+((MAX(AH39,AJ39)*Y39*J39^2*1E-4*DATOS!$C$16/100/1000)+(IF(AND(AH39&gt;0,AJ39&gt;0),MIN(AH39,AJ39),MAX(AH39,AJ39))*Y39*J39^2*1E-4*DATOS!$C$16/100/1000))/2)+BC39-(IF(AND(AH39&gt;0,AJ39&gt;0),MIN(AH39,AJ39),MAX(AH39,AJ39))*Y39*J39^2*1E-4*DATOS!$C$16/100/1000))-SQRT(MAX(0,((4*((AL39*Y39*J39^2*1E-4*DATOS!$C$16/100/1000)+((MAX(AH39,AJ39)*Y39*J39^2*1E-4*DATOS!$C$16/100/1000)+(IF(AND(AH39&gt;0,AJ39&gt;0),MIN(AH39,AJ39),MAX(AH39,AJ39))*Y39*J39^2*1E-4*DATOS!$C$16/100/1000))/2)+BC39-(IF(AND(AH39&gt;0,AJ39&gt;0),MIN(AH39,AJ39),MAX(AH39,AJ39))*Y39*J39^2*1E-4*DATOS!$C$16/100/1000))^2-16*((AL39*Y39*J39^2*1E-4*DATOS!$C$16/100/1000)+((MAX(AH39,AJ39)*Y39*J39^2*1E-4*DATOS!$C$16/100/1000)+(IF(AND(AH39&gt;0,AJ39&gt;0),MIN(AH39,AJ39),MAX(AH39,AJ39))*Y39*J39^2*1E-4*DATOS!$C$16/100/1000))/2)*BC39))))/(8*MAX(((AL39*Y39*J39^2*1E-4*DATOS!$C$16/100/1000)+((MAX(AH39,AJ39)*Y39*J39^2*1E-4*DATOS!$C$16/100/1000)+(IF(AND(AH39&gt;0,AJ39&gt;0),MIN(AH39,AJ39),MAX(AH39,AJ39))*Y39*J39^2*1E-4*DATOS!$C$16/100/1000))/2),1E-9))+MAX(BR39,12*INDEX(TABLAS!$C$52:$C$58,MATCH(BP39,TABLAS!$B$52:$B$58,0)),N39/16),IF(OR(S39&lt;INDEX(TABLAS!$C$52:$C$58,MATCH(BP39,TABLAS!$B$52:$B$58,0)),AND(BQ39&gt;=2,(DATOS!$C$13-2*S39-2*IF(DATOS!$C$25=0,0,INDEX(TABLAS!$C$52:$C$58,MATCH(DATOS!$C$25,TABLAS!$B$52:$B$58,0)))-BQ39*INDEX(TABLAS!$C$52:$C$58,MATCH(BP39,TABLAS!$B$52:$B$58,0)))/MAX(BQ39-1,1)&lt;2*INDEX(TABLAS!$C$52:$C$58,MATCH(BP39,TABLAS!$B$52:$B$58,0)))),INDEX(TABLAS!$I$52:$I$58,MATCH(BP39,TABLAS!$B$52:$B$58,0)),INDEX(TABLAS!$F$52:$F$58,MATCH(BP39,TABLAS!$B$52:$B$58,0)))),5)))</f>
        <v>60</v>
      </c>
      <c r="CV39" s="59">
        <f>IF(D39="HUECO",0,IF(((4*((AM39*Y39*J39^2*1E-4*DATOS!$C$16/100/1000)+((MAX(AI39,AK39)*Y39*J39^2*1E-4*DATOS!$C$16/100/1000)+(IF(AND(AI39&gt;0,AK39&gt;0),MIN(AI39,AK39),MAX(AI39,AK39))*Y39*J39^2*1E-4*DATOS!$C$16/100/1000))/2)+BE39-(IF(AND(AI39&gt;0,AK39&gt;0),MIN(AI39,AK39),MAX(AI39,AK39))*Y39*J39^2*1E-4*DATOS!$C$16/100/1000))^2-16*((AM39*Y39*J39^2*1E-4*DATOS!$C$16/100/1000)+((MAX(AI39,AK39)*Y39*J39^2*1E-4*DATOS!$C$16/100/1000)+(IF(AND(AI39&gt;0,AK39&gt;0),MIN(AI39,AK39),MAX(AI39,AK39))*Y39*J39^2*1E-4*DATOS!$C$16/100/1000))/2)*BE39)&lt;0,CEILING(O39,5),CEILING(MAX(O39*((4*((AM39*Y39*J39^2*1E-4*DATOS!$C$16/100/1000)+((MAX(AI39,AK39)*Y39*J39^2*1E-4*DATOS!$C$16/100/1000)+(IF(AND(AI39&gt;0,AK39&gt;0),MIN(AI39,AK39),MAX(AI39,AK39))*Y39*J39^2*1E-4*DATOS!$C$16/100/1000))/2)+BE39-(IF(AND(AI39&gt;0,AK39&gt;0),MIN(AI39,AK39),MAX(AI39,AK39))*Y39*J39^2*1E-4*DATOS!$C$16/100/1000))-SQRT(MAX(0,((4*((AM39*Y39*J39^2*1E-4*DATOS!$C$16/100/1000)+((MAX(AI39,AK39)*Y39*J39^2*1E-4*DATOS!$C$16/100/1000)+(IF(AND(AI39&gt;0,AK39&gt;0),MIN(AI39,AK39),MAX(AI39,AK39))*Y39*J39^2*1E-4*DATOS!$C$16/100/1000))/2)+BE39-(IF(AND(AI39&gt;0,AK39&gt;0),MIN(AI39,AK39),MAX(AI39,AK39))*Y39*J39^2*1E-4*DATOS!$C$16/100/1000))^2-16*((AM39*Y39*J39^2*1E-4*DATOS!$C$16/100/1000)+((MAX(AI39,AK39)*Y39*J39^2*1E-4*DATOS!$C$16/100/1000)+(IF(AND(AI39&gt;0,AK39&gt;0),MIN(AI39,AK39),MAX(AI39,AK39))*Y39*J39^2*1E-4*DATOS!$C$16/100/1000))/2)*BE39))))/(8*MAX(((AM39*Y39*J39^2*1E-4*DATOS!$C$16/100/1000)+((MAX(AI39,AK39)*Y39*J39^2*1E-4*DATOS!$C$16/100/1000)+(IF(AND(AI39&gt;0,AK39&gt;0),MIN(AI39,AK39),MAX(AI39,AK39))*Y39*J39^2*1E-4*DATOS!$C$16/100/1000))/2),1E-9))+MAX(CH39,12*INDEX(TABLAS!$C$52:$C$58,MATCH(CF39,TABLAS!$B$52:$B$58,0)),O39/16),IF(OR(S39&lt;INDEX(TABLAS!$C$52:$C$58,MATCH(CF39,TABLAS!$B$52:$B$58,0)),AND(CG39&gt;=2,(DATOS!$C$13-2*S39-2*IF(DATOS!$C$25=0,0,INDEX(TABLAS!$C$52:$C$58,MATCH(DATOS!$C$25,TABLAS!$B$52:$B$58,0)))-CG39*INDEX(TABLAS!$C$52:$C$58,MATCH(CF39,TABLAS!$B$52:$B$58,0)))/MAX(CG39-1,1)&lt;2*INDEX(TABLAS!$C$52:$C$58,MATCH(CF39,TABLAS!$B$52:$B$58,0)))),INDEX(TABLAS!$I$52:$I$58,MATCH(CF39,TABLAS!$B$52:$B$58,0)),INDEX(TABLAS!$F$52:$F$58,MATCH(CF39,TABLAS!$B$52:$B$58,0)))),5)))</f>
        <v>110</v>
      </c>
      <c r="CW39" s="56">
        <f>MAX(0,INT((F39*100-DATOS!$C$17+DATOS!$C$13)/DATOS!$C$16))</f>
        <v>6</v>
      </c>
      <c r="CX39" s="56">
        <f>MAX(0,INT((G39*100-DATOS!$C$17+DATOS!$C$13)/DATOS!$C$16))</f>
        <v>5</v>
      </c>
      <c r="CY39" s="51" t="str">
        <f>IF(COUNTIFS(TRIB!$C$6:$C$255,B39,TRIB!$K$6:$K$255,"NO CUMPLE*")+COUNTIFS(TRIB!$C$6:$C$255,B39,TRIB!$K$6:$K$255,"SIN APOYO*")&gt;0,"VER PRINCIPALES",IF((APOYOS!$F$149="LIBRE")+(APOYOS!$F$150="LIBRE")+(APOYOS!$F$151="LIBRE")+(APOYOS!$F$152="LIBRE")&gt;0,"REVISAR: borde libre","OK"))</f>
        <v>OK</v>
      </c>
      <c r="CZ39" s="64" t="str">
        <f>IF(D39="HUECO","HUECO — marco de nervaduras principales",IF(AND(MAX(BL39,BT39,CB39,CJ39)&lt;=1,NOT(OR(BI39&gt;MIN(DATOS!$C$28,INT(((DATOS!$C$13-2*R39-2*IF(DATOS!$C$25=0,0,INDEX(TABLAS!$C$52:$C$58,MATCH(DATOS!$C$25,TABLAS!$B$52:$B$58,0))))+DATOS!$C$32)/(INDEX(TABLAS!$C$52:$C$58,MATCH(BH39,TABLAS!$B$52:$B$58,0))+DATOS!$C$32))),BQ39&gt;MIN(DATOS!$C$28,INT(((DATOS!$C$13-2*S39-2*IF(DATOS!$C$25=0,0,INDEX(TABLAS!$C$52:$C$58,MATCH(DATOS!$C$25,TABLAS!$B$52:$B$58,0))))+DATOS!$C$32)/(INDEX(TABLAS!$C$52:$C$58,MATCH(BP39,TABLAS!$B$52:$B$58,0))+DATOS!$C$32))),BY39&gt;MIN(DATOS!$C$28,INT(((DATOS!$C$13-2*R39-2*IF(DATOS!$C$25=0,0,INDEX(TABLAS!$C$52:$C$58,MATCH(DATOS!$C$25,TABLAS!$B$52:$B$58,0))))+DATOS!$C$32)/(INDEX(TABLAS!$C$52:$C$58,MATCH(BX39,TABLAS!$B$52:$B$58,0))+DATOS!$C$32))),CG39&gt;MIN(DATOS!$C$28,INT(((DATOS!$C$13-2*S39-2*IF(DATOS!$C$25=0,0,INDEX(TABLAS!$C$52:$C$58,MATCH(DATOS!$C$25,TABLAS!$B$52:$B$58,0))))+DATOS!$C$32)/(INDEX(TABLAS!$C$52:$C$58,MATCH(CF39,TABLAS!$B$52:$B$58,0))+DATOS!$C$32))))),NOT(OR(AND(ISNUMBER(BM39),BM39&lt;0.005),AND(ISNUMBER(BU39),BU39&lt;0.005),AND(ISNUMBER(CC39),CC39&lt;0.005),AND(ISNUMBER(CK39),CK39&lt;0.005))),CS39="CUMPLE",CT39="CUMPLE"),IF(CY39="OK",IF(LEFT(CO39,6)="CUMPLE","CUMPLE","CUMPLE — "&amp;CO39)&amp;IF(LEFT(AZ39,5)="FUERA"," · fuera de 3.4.2.1 c)",""),IF(CY39="VER PRINCIPALES","VER PRINCIPALES","REVISAR APOYOS")),IF(AND(MAX(BL39,BT39,CB39,CJ39)&lt;=1,NOT(OR(BI39&gt;MIN(DATOS!$C$28,INT(((DATOS!$C$13-2*R39-2*IF(DATOS!$C$25=0,0,INDEX(TABLAS!$C$52:$C$58,MATCH(DATOS!$C$25,TABLAS!$B$52:$B$58,0))))+DATOS!$C$32)/(INDEX(TABLAS!$C$52:$C$58,MATCH(BH39,TABLAS!$B$52:$B$58,0))+DATOS!$C$32))),BQ39&gt;MIN(DATOS!$C$28,INT(((DATOS!$C$13-2*S39-2*IF(DATOS!$C$25=0,0,INDEX(TABLAS!$C$52:$C$58,MATCH(DATOS!$C$25,TABLAS!$B$52:$B$58,0))))+DATOS!$C$32)/(INDEX(TABLAS!$C$52:$C$58,MATCH(BP39,TABLAS!$B$52:$B$58,0))+DATOS!$C$32))),BY39&gt;MIN(DATOS!$C$28,INT(((DATOS!$C$13-2*R39-2*IF(DATOS!$C$25=0,0,INDEX(TABLAS!$C$52:$C$58,MATCH(DATOS!$C$25,TABLAS!$B$52:$B$58,0))))+DATOS!$C$32)/(INDEX(TABLAS!$C$52:$C$58,MATCH(BX39,TABLAS!$B$52:$B$58,0))+DATOS!$C$32))),CG39&gt;MIN(DATOS!$C$28,INT(((DATOS!$C$13-2*S39-2*IF(DATOS!$C$25=0,0,INDEX(TABLAS!$C$52:$C$58,MATCH(DATOS!$C$25,TABLAS!$B$52:$B$58,0))))+DATOS!$C$32)/(INDEX(TABLAS!$C$52:$C$58,MATCH(CF39,TABLAS!$B$52:$B$58,0))+DATOS!$C$32))))),NOT(OR(AND(ISNUMBER(BM39),BM39&lt;0.005),AND(ISNUMBER(BU39),BU39&lt;0.005),AND(ISNUMBER(CC39),CC39&lt;0.005),AND(ISNUMBER(CK39),CK39&lt;0.005))),CS39="CALCULAR FLECHA"),"REVISAR: calcular flecha (h_eq &lt; h mín.)","NO CUMPLE: "&amp;IF(MAX(BL39,BT39,CB39,CJ39)&gt;1,"flexión ","")&amp;IF(OR(BI39&gt;MIN(DATOS!$C$28,INT(((DATOS!$C$13-2*R39-2*IF(DATOS!$C$25=0,0,INDEX(TABLAS!$C$52:$C$58,MATCH(DATOS!$C$25,TABLAS!$B$52:$B$58,0))))+DATOS!$C$32)/(INDEX(TABLAS!$C$52:$C$58,MATCH(BH39,TABLAS!$B$52:$B$58,0))+DATOS!$C$32))),BQ39&gt;MIN(DATOS!$C$28,INT(((DATOS!$C$13-2*S39-2*IF(DATOS!$C$25=0,0,INDEX(TABLAS!$C$52:$C$58,MATCH(DATOS!$C$25,TABLAS!$B$52:$B$58,0))))+DATOS!$C$32)/(INDEX(TABLAS!$C$52:$C$58,MATCH(BP39,TABLAS!$B$52:$B$58,0))+DATOS!$C$32))),BY39&gt;MIN(DATOS!$C$28,INT(((DATOS!$C$13-2*R39-2*IF(DATOS!$C$25=0,0,INDEX(TABLAS!$C$52:$C$58,MATCH(DATOS!$C$25,TABLAS!$B$52:$B$58,0))))+DATOS!$C$32)/(INDEX(TABLAS!$C$52:$C$58,MATCH(BX39,TABLAS!$B$52:$B$58,0))+DATOS!$C$32))),CG39&gt;MIN(DATOS!$C$28,INT(((DATOS!$C$13-2*S39-2*IF(DATOS!$C$25=0,0,INDEX(TABLAS!$C$52:$C$58,MATCH(DATOS!$C$25,TABLAS!$B$52:$B$58,0))))+DATOS!$C$32)/(INDEX(TABLAS!$C$52:$C$58,MATCH(CF39,TABLAS!$B$52:$B$58,0))+DATOS!$C$32)))),"no caben ","")&amp;IF(OR(AND(ISNUMBER(BM39),BM39&lt;0.005),AND(ISNUMBER(BU39),BU39&lt;0.005),AND(ISNUMBER(CC39),CC39&lt;0.005),AND(ISNUMBER(CK39),CK39&lt;0.005)),"ε_t &lt; 0.005 ","")&amp;IF(CS39="NO CUMPLE","peralte ","")&amp;IF(CT39&lt;&gt;"CUMPLE","capa &lt; 6 cm",""))))</f>
        <v>CUMPLE · fuera de 3.4.2.1 c)</v>
      </c>
      <c r="DA39" s="65" t="str">
        <f>IF(AND(D39="PERIMETRAL",MIN(CW39,CX39)=0),"Tablero macizo (no cabe un casetón en el claro corto): no aplica 6.7.8. La resistencia se revisa con una nervadura de 10 cm cada 70 cm y r_np (conservador); "&amp;"como losa maciza lleva además As,mín = 0.0018·Ag en cada dirección cerca de la cara a tensión (6.7.6.1.1, p. 175). ",IF(AND(CL39="NO",D39="PERIMETRAL"),"No cumple 6.7.8.1.4 (a_c = "&amp;DATOS!$C$11&amp;" cm &gt; claro corto/6 = "&amp;TEXT(J39*100/6,"0")&amp;" cm): se diseña como losa apoyada en vigas (6.7.8.1.9): nervaduras con recubrimiento de viga r_np = "&amp;DATOS!$C$22&amp;" cm (Tabla 4.14.16.a), V_cR sin ×1.1 y cortante sin estribos por 5.5.3.8.1 (criterio del Proyectista). Para que cuente como encasetonada: casetón de "&amp;TEXT(FLOOR(MIN(80,J39*100/6),1),"0")&amp;" cm o menor. ",""))&amp;IF(LEFT(AZ39,5)="FUERA","M⁻ del borde común "&amp;AZ39&amp;": difieren más de 50% (3.4.2.1 c); se distribuyen 2/3 del desequilibrio (3.4.3.1) y conviene confirmar los momentos con el modelo. ","")&amp;"—"</f>
        <v>M⁻ del borde común FUERA con F80032 · continuidad asimétrica con F80032 (cada uno con su momento; revisar APOYOS): difieren más de 50% (3.4.2.1 c); se distribuyen 2/3 del desequilibrio (3.4.3.1) y conviene confirmar los momentos con el modelo. —</v>
      </c>
    </row>
    <row r="40" ht="30" customHeight="1">
      <c r="B40" s="51" t="inlineStr">
        <is>
          <t>F80032 N+6.00</t>
        </is>
      </c>
      <c r="C40" s="52" t="inlineStr">
        <is>
          <t>N+6.00</t>
        </is>
      </c>
      <c r="D40" s="53" t="inlineStr">
        <is>
          <t>PERIMETRAL</t>
        </is>
      </c>
      <c r="E40" s="53" t="inlineStr">
        <is>
          <t>AZOTEA</t>
        </is>
      </c>
      <c r="F40" s="54" t="n">
        <v>2.894</v>
      </c>
      <c r="G40" s="54" t="n">
        <v>11.5</v>
      </c>
      <c r="H40" s="55" t="n">
        <v>1.995</v>
      </c>
      <c r="I40" s="55" t="n">
        <v>3.425</v>
      </c>
      <c r="J40" s="36">
        <f>MIN(H40,I40)</f>
        <v>1.995</v>
      </c>
      <c r="K40" s="36">
        <f>MAX(H40,I40)</f>
        <v>3.425</v>
      </c>
      <c r="L40" s="36">
        <f>IF(K40&gt;0,J40/K40,0)</f>
        <v>0.582481751824818</v>
      </c>
      <c r="M40" s="52" t="str">
        <f>IF(H40&lt;=I40,"X","Y")</f>
        <v>X</v>
      </c>
      <c r="N40" s="56">
        <f>MAX(0,J40*100-IF(D40="VOLADO",DATOS!$C$17/2,DATOS!$C$17))</f>
        <v>184.5</v>
      </c>
      <c r="O40" s="56">
        <f>MAX(0,K40*100-DATOS!$C$17)</f>
        <v>327.5</v>
      </c>
      <c r="P40" s="57">
        <f>MIN(DATOS!$C$16,DATOS!$C$13+2*MIN(8*DATOS!$C$14,DATOS!$C$11/2,N40/8))</f>
        <v>56.125</v>
      </c>
      <c r="Q40" s="57">
        <f>MIN(DATOS!$C$16,DATOS!$C$13+2*MIN(8*DATOS!$C$14,DATOS!$C$11/2,O40/8))</f>
        <v>70</v>
      </c>
      <c r="R40" s="57">
        <f>IF(D40="VOLADO",DATOS!$C$21,IF(CL40="NO",DATOS!$C$22,DATOS!$C$20))</f>
        <v>4</v>
      </c>
      <c r="S40" s="57">
        <f>IF(OR(AND(C40="N+6.00",DATOS!$C$23="SÍ"),AND(D40="VOLADO",DATOS!$C$24="SÍ")),DATOS!$C$21,IF(CL40="NO",DATOS!$C$22,DATOS!$C$20))</f>
        <v>4</v>
      </c>
      <c r="T40" s="58" t="n">
        <v>315</v>
      </c>
      <c r="U40" s="56">
        <f>IF(E40="HABITACIÓN",DATOS!$C$89,DATOS!$C$92)</f>
        <v>100</v>
      </c>
      <c r="V40" s="56">
        <f>CARGAS!$C$9</f>
        <v>293.673469387755</v>
      </c>
      <c r="W40" s="56">
        <f>V40+T40</f>
        <v>608.673469387755</v>
      </c>
      <c r="X40" s="56">
        <f>W40+U40</f>
        <v>708.673469387755</v>
      </c>
      <c r="Y40" s="59">
        <f>MAX(DATOS!$C$55*W40+DATOS!$C$56*U40,IF(E40="AZOTEA",DATOS!$C$57*(W40+DATOS!$C$97),0))</f>
        <v>941.275510204082</v>
      </c>
      <c r="Z40" s="56">
        <f>(APOYOS!$G$153="DISCONTINUO")+(APOYOS!$G$154="DISCONTINUO")+(APOYOS!$G$155="DISCONTINUO")+(APOYOS!$G$156="DISCONTINUO")</f>
        <v>1</v>
      </c>
      <c r="AA40" s="56">
        <f>IF(M40="X",(APOYOS!$G$153="DISCONTINUO")+(APOYOS!$G$154="DISCONTINUO"),(APOYOS!$G$155="DISCONTINUO")+(APOYOS!$G$156="DISCONTINUO"))</f>
        <v>1</v>
      </c>
      <c r="AB40" s="56">
        <f>Z40-AA40</f>
        <v>0</v>
      </c>
      <c r="AC40" s="52" t="str">
        <f>IF(Z40=0,"INTERIOR",IF(Z40=1,IF(AA40=1,"BORDE-CORTO","BORDE-LARGO"),IF(Z40=2,IF(AA40=1,"ESQUINA",IF(AA40=2,"EXTREMO-LARGO","EXTREMO-CORTO")),IF(Z40=3,IF(AA40=2,"EXTREMO-LARGO","EXTREMO-CORTO"),"AISLADO"))))</f>
        <v>BORDE-CORTO</v>
      </c>
      <c r="AD40" s="53" t="inlineStr">
        <is>
          <t>AUTO</t>
        </is>
      </c>
      <c r="AE40" s="60" t="str">
        <f>IF(AD40="AUTO",AC40,AD40)</f>
        <v>BORDE-CORTO</v>
      </c>
      <c r="AF40" s="56">
        <f>MATCH(L40,TABLAS!$D$5:$J$5,1)</f>
        <v>2</v>
      </c>
      <c r="AG40" s="43">
        <f>IF(AF40&gt;=7,0,(L40-INDEX(TABLAS!$D$5:$J$5,AF40))/(INDEX(TABLAS!$D$5:$J$5,AF40+1)-INDEX(TABLAS!$D$5:$J$5,AF40)))</f>
        <v>0.824817518248176</v>
      </c>
      <c r="AH40" s="56">
        <f>INDEX(TABLAS!$D$6:$J$47,MATCH(AE40&amp;"|NIC",TABLAS!$B$6:$B$47,0),AF40)+AG40*(INDEX(TABLAS!$D$6:$J$47,MATCH(AE40&amp;"|NIC",TABLAS!$B$6:$B$47,0),MIN(AF40+1,7))-INDEX(TABLAS!$D$6:$J$47,MATCH(AE40&amp;"|NIC",TABLAS!$B$6:$B$47,0),AF40))</f>
        <v>999.686131386861</v>
      </c>
      <c r="AI40" s="56">
        <f>INDEX(TABLAS!$D$6:$J$47,MATCH(AE40&amp;"|NIL",TABLAS!$B$6:$B$47,0),AF40)+AG40*(INDEX(TABLAS!$D$6:$J$47,MATCH(AE40&amp;"|NIL",TABLAS!$B$6:$B$47,0),MIN(AF40+1,7))-INDEX(TABLAS!$D$6:$J$47,MATCH(AE40&amp;"|NIL",TABLAS!$B$6:$B$47,0),AF40))</f>
        <v>531.306569343066</v>
      </c>
      <c r="AJ40" s="56">
        <f>INDEX(TABLAS!$D$6:$J$47,MATCH(AE40&amp;"|NDC",TABLAS!$B$6:$B$47,0),AF40)+AG40*(INDEX(TABLAS!$D$6:$J$47,MATCH(AE40&amp;"|NDC",TABLAS!$B$6:$B$47,0),MIN(AF40+1,7))-INDEX(TABLAS!$D$6:$J$47,MATCH(AE40&amp;"|NDC",TABLAS!$B$6:$B$47,0),AF40))</f>
        <v>0</v>
      </c>
      <c r="AK40" s="56">
        <f>INDEX(TABLAS!$D$6:$J$47,MATCH(AE40&amp;"|NDL",TABLAS!$B$6:$B$47,0),AF40)+AG40*(INDEX(TABLAS!$D$6:$J$47,MATCH(AE40&amp;"|NDL",TABLAS!$B$6:$B$47,0),MIN(AF40+1,7))-INDEX(TABLAS!$D$6:$J$47,MATCH(AE40&amp;"|NDL",TABLAS!$B$6:$B$47,0),AF40))</f>
        <v>249.751824817518</v>
      </c>
      <c r="AL40" s="56">
        <f>INDEX(TABLAS!$D$6:$J$47,MATCH(AE40&amp;"|PC",TABLAS!$B$6:$B$47,0),AF40)+AG40*(INDEX(TABLAS!$D$6:$J$47,MATCH(AE40&amp;"|PC",TABLAS!$B$6:$B$47,0),MIN(AF40+1,7))-INDEX(TABLAS!$D$6:$J$47,MATCH(AE40&amp;"|PC",TABLAS!$B$6:$B$47,0),AF40))</f>
        <v>298.481751824818</v>
      </c>
      <c r="AM40" s="56">
        <f>INDEX(TABLAS!$D$6:$J$47,MATCH(AE40&amp;"|PL",TABLAS!$B$6:$B$47,0),AF40)+AG40*(INDEX(TABLAS!$D$6:$J$47,MATCH(AE40&amp;"|PL",TABLAS!$B$6:$B$47,0),MIN(AF40+1,7))-INDEX(TABLAS!$D$6:$J$47,MATCH(AE40&amp;"|PL",TABLAS!$B$6:$B$47,0),AF40))</f>
        <v>257.569343065693</v>
      </c>
      <c r="AN40" s="36">
        <f>IF(D40="PERIMETRAL",IF(APOYOS!$G$153="CONTINUO",IF(M40="Y",AH40,AI40),IF(M40="Y",AJ40,AK40))*Y40*J40^2*1E-4*DATOS!$C$16/100/1000,0)</f>
        <v>0.065495169384635</v>
      </c>
      <c r="AO40" s="36">
        <f>IF(D40="PERIMETRAL",IF(APOYOS!$G$154="CONTINUO",IF(M40="Y",AH40,AI40),IF(M40="Y",AJ40,AK40))*Y40*J40^2*1E-4*DATOS!$C$16/100/1000,0)</f>
        <v>0.139330368375561</v>
      </c>
      <c r="AP40" s="36">
        <f>IF(D40="PERIMETRAL",IF(APOYOS!$G$155="CONTINUO",IF(M40="X",AH40,AI40),IF(M40="X",AJ40,AK40))*Y40*J40^2*1E-4*DATOS!$C$16/100/1000,0)</f>
        <v>0.262158695154649</v>
      </c>
      <c r="AQ40" s="36">
        <f>IF(D40="PERIMETRAL",IF(APOYOS!$G$156="CONTINUO",IF(M40="X",AH40,AI40),IF(M40="X",AJ40,AK40))*Y40*J40^2*1E-4*DATOS!$C$16/100/1000,0)</f>
        <v>0.262158695154649</v>
      </c>
      <c r="AR40" s="56">
        <f>IF(D40="PERIMETRAL",IF(M40="X",BN40,CD40)^3/(J40*100),0)</f>
        <v>36.5361962950827</v>
      </c>
      <c r="AS40" s="56">
        <f>IF(D40="PERIMETRAL",IF(M40="Y",BN40,CD40)^3/(J40*100),0)</f>
        <v>29.816713679995</v>
      </c>
      <c r="AT40" s="36">
        <f>IF(D40="PERIMETRAL",MAX(0,IF(M40="Y",IF(AND(OR(APOYOS!$G$153="CONTINUO",APOYOS!$G$118="CONTINUO"),AN40&gt;0,AO31&gt;0,AO31&gt;AN40),AN40+2/3*(AO31-AN40)*AS40/MAX(AS40+AS31,1E-9),0),0),IF(M40="Y",IF(AND(OR(APOYOS!$G$153="CONTINUO",APOYOS!$G$124="CONTINUO"),AN40&gt;0,AQ32&gt;0,AQ32&gt;AN40),AN40+2/3*(AQ32-AN40)*AS40/MAX(AS40+AS32,1E-9),0),0),IF(M40="Y",IF(AND(OR(APOYOS!$G$154="CONTINUO",APOYOS!$G$145="CONTINUO"),AO40&gt;0,AN38&gt;0,AN38&gt;AO40),AO40+2/3*(AN38-AO40)*AS40/MAX(AS40+AS38,1E-9),0),0),IF(M40="Y",IF(AND(OR(APOYOS!$G$154="CONTINUO",APOYOS!$G$149="CONTINUO"),AO40&gt;0,AN39&gt;0,AN39&gt;AO40),AO40+2/3*(AN39-AO40)*AS40/MAX(AS40+AS39,1E-9),0),0),IF(M40="X",IF(AND(OR(APOYOS!$G$155="CONTINUO",APOYOS!$G$124="CONTINUO"),AP40&gt;0,AQ32&gt;0,AQ32&gt;AP40),AP40+2/3*(AQ32-AP40)*AR40/MAX(AR40+AR32,1E-9),0),0),IF(M40="X",IF(AND(OR(APOYOS!$G$155="CONTINUO",APOYOS!$G$136="CONTINUO"),AP40&gt;0,AQ35&gt;0,AQ35&gt;AP40),AP40+2/3*(AQ35-AP40)*AR40/MAX(AR40+AR35,1E-9),0),0),IF(M40="X",IF(AND(OR(APOYOS!$G$155="CONTINUO",APOYOS!$G$116="CONTINUO"),AP40&gt;0,AQ30&gt;0,AQ30&gt;AP40),AP40+2/3*(AQ30-AP40)*AR40/MAX(AR40+AR30,1E-9),0),0),IF(M40="X",IF(AND(OR(APOYOS!$G$156="CONTINUO",APOYOS!$G$127="CONTINUO"),AQ40&gt;0,AP33&gt;0,AP33&gt;AQ40),AQ40+2/3*(AP33-AQ40)*AR40/MAX(AR40+AR33,1E-9),0),0),IF(M40="X",IF(AND(OR(APOYOS!$G$156="CONTINUO",APOYOS!$G$131="CONTINUO"),AQ40&gt;0,AP34&gt;0,AP34&gt;AQ40),AQ40+2/3*(AP34-AQ40)*AR40/MAX(AR40+AR34,1E-9),0),0)),0)</f>
        <v>0.505869443252593</v>
      </c>
      <c r="AU40" s="36">
        <f>IF(D40="PERIMETRAL",MAX(0,IF(M40&lt;&gt;"Y",IF(AND(OR(APOYOS!$G$153="CONTINUO",APOYOS!$G$118="CONTINUO"),AN40&gt;0,AO31&gt;0,AO31&gt;AN40),AN40+2/3*(AO31-AN40)*AS40/MAX(AS40+AS31,1E-9),0),0),IF(M40&lt;&gt;"Y",IF(AND(OR(APOYOS!$G$153="CONTINUO",APOYOS!$G$124="CONTINUO"),AN40&gt;0,AQ32&gt;0,AQ32&gt;AN40),AN40+2/3*(AQ32-AN40)*AS40/MAX(AS40+AS32,1E-9),0),0),IF(M40&lt;&gt;"Y",IF(AND(OR(APOYOS!$G$154="CONTINUO",APOYOS!$G$145="CONTINUO"),AO40&gt;0,AN38&gt;0,AN38&gt;AO40),AO40+2/3*(AN38-AO40)*AS40/MAX(AS40+AS38,1E-9),0),0),IF(M40&lt;&gt;"Y",IF(AND(OR(APOYOS!$G$154="CONTINUO",APOYOS!$G$149="CONTINUO"),AO40&gt;0,AN39&gt;0,AN39&gt;AO40),AO40+2/3*(AN39-AO40)*AS40/MAX(AS40+AS39,1E-9),0),0),IF(M40&lt;&gt;"X",IF(AND(OR(APOYOS!$G$155="CONTINUO",APOYOS!$G$124="CONTINUO"),AP40&gt;0,AQ32&gt;0,AQ32&gt;AP40),AP40+2/3*(AQ32-AP40)*AR40/MAX(AR40+AR32,1E-9),0),0),IF(M40&lt;&gt;"X",IF(AND(OR(APOYOS!$G$155="CONTINUO",APOYOS!$G$136="CONTINUO"),AP40&gt;0,AQ35&gt;0,AQ35&gt;AP40),AP40+2/3*(AQ35-AP40)*AR40/MAX(AR40+AR35,1E-9),0),0),IF(M40&lt;&gt;"X",IF(AND(OR(APOYOS!$G$155="CONTINUO",APOYOS!$G$116="CONTINUO"),AP40&gt;0,AQ30&gt;0,AQ30&gt;AP40),AP40+2/3*(AQ30-AP40)*AR40/MAX(AR40+AR30,1E-9),0),0),IF(M40&lt;&gt;"X",IF(AND(OR(APOYOS!$G$156="CONTINUO",APOYOS!$G$127="CONTINUO"),AQ40&gt;0,AP33&gt;0,AP33&gt;AQ40),AQ40+2/3*(AP33-AQ40)*AR40/MAX(AR40+AR33,1E-9),0),0),IF(M40&lt;&gt;"X",IF(AND(OR(APOYOS!$G$156="CONTINUO",APOYOS!$G$131="CONTINUO"),AQ40&gt;0,AP34&gt;0,AP34&gt;AQ40),AQ40+2/3*(AP34-AQ40)*AR40/MAX(AR40+AR34,1E-9),0),0)),0)</f>
        <v>0.334941604762357</v>
      </c>
      <c r="AV40" s="36">
        <f>IF(D40="PERIMETRAL",(IF(M40="Y",MAX(IF(AND(OR(APOYOS!$G$153="CONTINUO",APOYOS!$G$118="CONTINUO"),AN40&gt;0,AO31&gt;0,AN40&gt;AO31),2/3*(AN40-AO31)*AS40/MAX(AS40+AS31,1E-9),0),IF(AND(OR(APOYOS!$G$153="CONTINUO",APOYOS!$G$124="CONTINUO"),AN40&gt;0,AQ32&gt;0,AN40&gt;AQ32),2/3*(AN40-AQ32)*AS40/MAX(AS40+AS32,1E-9),0)),0)+IF(M40="Y",MAX(IF(AND(OR(APOYOS!$G$154="CONTINUO",APOYOS!$G$145="CONTINUO"),AO40&gt;0,AN38&gt;0,AO40&gt;AN38),2/3*(AO40-AN38)*AS40/MAX(AS40+AS38,1E-9),0),IF(AND(OR(APOYOS!$G$154="CONTINUO",APOYOS!$G$149="CONTINUO"),AO40&gt;0,AN39&gt;0,AO40&gt;AN39),2/3*(AO40-AN39)*AS40/MAX(AS40+AS39,1E-9),0)),0)+IF(M40="X",MAX(IF(AND(OR(APOYOS!$G$155="CONTINUO",APOYOS!$G$124="CONTINUO"),AP40&gt;0,AQ32&gt;0,AP40&gt;AQ32),2/3*(AP40-AQ32)*AR40/MAX(AR40+AR32,1E-9),0),IF(AND(OR(APOYOS!$G$155="CONTINUO",APOYOS!$G$136="CONTINUO"),AP40&gt;0,AQ35&gt;0,AP40&gt;AQ35),2/3*(AP40-AQ35)*AR40/MAX(AR40+AR35,1E-9),0),IF(AND(OR(APOYOS!$G$155="CONTINUO",APOYOS!$G$116="CONTINUO"),AP40&gt;0,AQ30&gt;0,AP40&gt;AQ30),2/3*(AP40-AQ30)*AR40/MAX(AR40+AR30,1E-9),0)),0)+IF(M40="X",MAX(IF(AND(OR(APOYOS!$G$156="CONTINUO",APOYOS!$G$127="CONTINUO"),AQ40&gt;0,AP33&gt;0,AQ40&gt;AP33),2/3*(AQ40-AP33)*AR40/MAX(AR40+AR33,1E-9),0),IF(AND(OR(APOYOS!$G$156="CONTINUO",APOYOS!$G$131="CONTINUO"),AQ40&gt;0,AP34&gt;0,AQ40&gt;AP34),2/3*(AQ40-AP34)*AR40/MAX(AR40+AR34,1E-9),0)),0))/2,0)</f>
        <v>0.0562108846647887</v>
      </c>
      <c r="AW40" s="36">
        <f>IF(D40="PERIMETRAL",(IF(M40&lt;&gt;"Y",MAX(IF(AND(OR(APOYOS!$G$153="CONTINUO",APOYOS!$G$118="CONTINUO"),AN40&gt;0,AO31&gt;0,AN40&gt;AO31),2/3*(AN40-AO31)*AS40/MAX(AS40+AS31,1E-9),0),IF(AND(OR(APOYOS!$G$153="CONTINUO",APOYOS!$G$124="CONTINUO"),AN40&gt;0,AQ32&gt;0,AN40&gt;AQ32),2/3*(AN40-AQ32)*AS40/MAX(AS40+AS32,1E-9),0)),0)+IF(M40&lt;&gt;"Y",MAX(IF(AND(OR(APOYOS!$G$154="CONTINUO",APOYOS!$G$145="CONTINUO"),AO40&gt;0,AN38&gt;0,AO40&gt;AN38),2/3*(AO40-AN38)*AS40/MAX(AS40+AS38,1E-9),0),IF(AND(OR(APOYOS!$G$154="CONTINUO",APOYOS!$G$149="CONTINUO"),AO40&gt;0,AN39&gt;0,AO40&gt;AN39),2/3*(AO40-AN39)*AS40/MAX(AS40+AS39,1E-9),0)),0)+IF(M40&lt;&gt;"X",MAX(IF(AND(OR(APOYOS!$G$155="CONTINUO",APOYOS!$G$124="CONTINUO"),AP40&gt;0,AQ32&gt;0,AP40&gt;AQ32),2/3*(AP40-AQ32)*AR40/MAX(AR40+AR32,1E-9),0),IF(AND(OR(APOYOS!$G$155="CONTINUO",APOYOS!$G$136="CONTINUO"),AP40&gt;0,AQ35&gt;0,AP40&gt;AQ35),2/3*(AP40-AQ35)*AR40/MAX(AR40+AR35,1E-9),0),IF(AND(OR(APOYOS!$G$155="CONTINUO",APOYOS!$G$116="CONTINUO"),AP40&gt;0,AQ30&gt;0,AP40&gt;AQ30),2/3*(AP40-AQ30)*AR40/MAX(AR40+AR30,1E-9),0)),0)+IF(M40&lt;&gt;"X",MAX(IF(AND(OR(APOYOS!$G$156="CONTINUO",APOYOS!$G$127="CONTINUO"),AQ40&gt;0,AP33&gt;0,AQ40&gt;AP33),2/3*(AQ40-AP33)*AR40/MAX(AR40+AR33,1E-9),0),IF(AND(OR(APOYOS!$G$156="CONTINUO",APOYOS!$G$131="CONTINUO"),AQ40&gt;0,AP34&gt;0,AQ40&gt;AP34),2/3*(AQ40-AP34)*AR40/MAX(AR40+AR34,1E-9),0)),0))/2,0)</f>
        <v>0</v>
      </c>
      <c r="AX40" s="36">
        <f>IF(D40="PERIMETRAL",MAX(0,0),0)</f>
        <v>0</v>
      </c>
      <c r="AY40" s="52" t="str">
        <f>IF(D40&lt;&gt;"PERIMETRAL","",IF(AND(OR(APOYOS!$G$153="CONTINUO",APOYOS!$G$118="CONTINUO"),AN40&gt;0,AO31&gt;0,ABS(AN40-AO31)&gt;0.5*MIN(AN40,AO31))," F80023","")&amp;IF(OR(AND(OR(APOYOS!$G$153="CONTINUO",APOYOS!$G$124="CONTINUO"),AN40&gt;0,AQ32&gt;0,ABS(AN40-AQ32)&gt;0.5*MIN(AN40,AQ32)),AND(OR(APOYOS!$G$155="CONTINUO",APOYOS!$G$124="CONTINUO"),AP40&gt;0,AQ32&gt;0,ABS(AP40-AQ32)&gt;0.5*MIN(AP40,AQ32)))," F80024","")&amp;IF(AND(OR(APOYOS!$G$154="CONTINUO",APOYOS!$G$145="CONTINUO"),AO40&gt;0,AN38&gt;0,ABS(AO40-AN38)&gt;0.5*MIN(AO40,AN38))," F80030","")&amp;IF(AND(OR(APOYOS!$G$154="CONTINUO",APOYOS!$G$149="CONTINUO"),AO40&gt;0,AN39&gt;0,ABS(AO40-AN39)&gt;0.5*MIN(AO40,AN39))," F80031","")&amp;IF(AND(OR(APOYOS!$G$155="CONTINUO",APOYOS!$G$136="CONTINUO"),AP40&gt;0,AQ35&gt;0,ABS(AP40-AQ35)&gt;0.5*MIN(AP40,AQ35))," F80027","")&amp;IF(AND(OR(APOYOS!$G$155="CONTINUO",APOYOS!$G$116="CONTINUO"),AP40&gt;0,AQ30&gt;0,ABS(AP40-AQ30)&gt;0.5*MIN(AP40,AQ30))," F80010","")&amp;IF(AND(OR(APOYOS!$G$156="CONTINUO",APOYOS!$G$127="CONTINUO"),AQ40&gt;0,AP33&gt;0,ABS(AQ40-AP33)&gt;0.5*MIN(AQ40,AP33))," F80025","")&amp;IF(AND(OR(APOYOS!$G$156="CONTINUO",APOYOS!$G$131="CONTINUO"),AQ40&gt;0,AP34&gt;0,ABS(AQ40-AP34)&gt;0.5*MIN(AQ40,AP34))," F80026",""))</f>
        <v> F80024 F80030 F80031 F80027 F80010 F80025 F80026</v>
      </c>
      <c r="AZ40" s="52" t="str">
        <f>IF(D40&lt;&gt;"PERIMETRAL","—",IF(AY40="","CUMPLE","FUERA con"&amp;AY40)&amp;IF(AND(D31="PERIMETRAL",APOYOS!$G$153&lt;&gt;APOYOS!$G$118)," · continuidad asimétrica con F80023 (cada uno con su momento; revisar APOYOS)","")&amp;IF(AND(D32="PERIMETRAL",APOYOS!$G$153&lt;&gt;APOYOS!$G$124)," · continuidad asimétrica con F80024 (cada uno con su momento; revisar APOYOS)","")&amp;IF(AND(D38="PERIMETRAL",APOYOS!$G$154&lt;&gt;APOYOS!$G$145)," · continuidad asimétrica con F80030 (cada uno con su momento; revisar APOYOS)","")&amp;IF(AND(D39="PERIMETRAL",APOYOS!$G$154&lt;&gt;APOYOS!$G$149)," · continuidad asimétrica con F80031 (cada uno con su momento; revisar APOYOS)","")&amp;IF(AND(D35="PERIMETRAL",APOYOS!$G$155&lt;&gt;APOYOS!$G$136)," · continuidad asimétrica con F80027 (cada uno con su momento; revisar APOYOS)","")&amp;IF(AND(D30="PERIMETRAL",APOYOS!$G$155&lt;&gt;APOYOS!$G$116)," · continuidad asimétrica con F80010 (cada uno con su momento; revisar APOYOS)","")&amp;IF(AND(D33="PERIMETRAL",APOYOS!$G$156&lt;&gt;APOYOS!$G$127)," · continuidad asimétrica con F80025 (cada uno con su momento; revisar APOYOS)","")&amp;IF(AND(D34="PERIMETRAL",APOYOS!$G$156&lt;&gt;APOYOS!$G$131)," · continuidad asimétrica con F80026 (cada uno con su momento; revisar APOYOS)",""))</f>
        <v>FUERA con F80024 F80030 F80031 F80027 F80010 F80025 F80026 · continuidad asimétrica con F80023 (cada uno con su momento; revisar APOYOS) · continuidad asimétrica con F80024 (cada uno con su momento; revisar APOYOS) · continuidad asimétrica con F80030 (cada uno con su momento; revisar APOYOS) · continuidad asimétrica con F80031 (cada uno con su momento; revisar APOYOS)</v>
      </c>
      <c r="BA40" s="61" t="n">
        <v>0</v>
      </c>
      <c r="BB40" s="36">
        <f>IF(D40="PERIMETRAL",AL40*Y40*J40^2*1E-4*DATOS!$C$16/100/1000+AV40,0)</f>
        <v>0.134485039050938</v>
      </c>
      <c r="BC40" s="36">
        <f>IF(D40="PERIMETRAL",MAX(MAX(AH40,AJ40)*Y40*J40^2*1E-4*DATOS!$C$16/100/1000,AT40),IF(D40="VOLADO",(Y40*(N40/100)^2/2+DATOS!$C$55*BA40*N40/100)*DATOS!$C$16/100/1000,0))</f>
        <v>0.505869443252593</v>
      </c>
      <c r="BD40" s="36">
        <f>IF(D40="PERIMETRAL",AM40*Y40*J40^2*1E-4*DATOS!$C$16/100/1000+AW40,0)</f>
        <v>0.0675452432217564</v>
      </c>
      <c r="BE40" s="36">
        <f>IF(D40="PERIMETRAL",MAX(MAX(AI40,AK40)*Y40*J40^2*1E-4*DATOS!$C$16/100/1000,AU40),0)</f>
        <v>0.334941604762357</v>
      </c>
      <c r="BF40" s="43">
        <f>(DATOS!$C$15-R40-IF(DATOS!$C$25=0,0,INDEX(TABLAS!$C$52:$C$58,MATCH(DATOS!$C$25,TABLAS!$B$52:$B$58,0)))-INDEX(TABLAS!$C$52:$C$58,MATCH(DATOS!$C$26,TABLAS!$B$52:$B$58,0))/2)</f>
        <v>20.365</v>
      </c>
      <c r="BG40" s="43">
        <f>IF(D40="HUECO",0,IF(IF(BB40&lt;=0,0,IF((1-2*BB40*1E5/(DATOS!$C$58*P40*BF40^2*DATOS!$C$48))&lt;0,-1,IF((1-SQRT((1-2*BB40*1E5/(DATOS!$C$58*P40*BF40^2*DATOS!$C$48))))*DATOS!$C$48*P40*BF40/DATOS!$C$40&gt;DATOS!$C$82*P40*BF40,-1,(1-SQRT((1-2*BB40*1E5/(DATOS!$C$58*P40*BF40^2*DATOS!$C$48))))*DATOS!$C$48*P40*BF40/DATOS!$C$40)))&lt;0,-1,MAX(IF(BB40&lt;=0,0,IF((1-2*BB40*1E5/(DATOS!$C$58*P40*BF40^2*DATOS!$C$48))&lt;0,-1,IF((1-SQRT((1-2*BB40*1E5/(DATOS!$C$58*P40*BF40^2*DATOS!$C$48))))*DATOS!$C$48*P40*BF40/DATOS!$C$40&gt;DATOS!$C$82*P40*BF40,-1,(1-SQRT((1-2*BB40*1E5/(DATOS!$C$58*P40*BF40^2*DATOS!$C$48))))*DATOS!$C$48*P40*BF40/DATOS!$C$40))),MIN(DATOS!$C$83*DATOS!$C$13*BF40,4/3*IF(BB40&lt;=0,0,IF((1-2*BB40*1E5/(DATOS!$C$58*P40*BF40^2*DATOS!$C$48))&lt;0,-1,IF((1-SQRT((1-2*BB40*1E5/(DATOS!$C$58*P40*BF40^2*DATOS!$C$48))))*DATOS!$C$48*P40*BF40/DATOS!$C$40&gt;DATOS!$C$82*P40*BF40,-1,(1-SQRT((1-2*BB40*1E5/(DATOS!$C$58*P40*BF40^2*DATOS!$C$48))))*DATOS!$C$48*P40*BF40/DATOS!$C$40)))))))</f>
        <v>0.233288850826367</v>
      </c>
      <c r="BH40" s="41">
        <f>IF(AND(BG40&gt;=0,IF(MAX(DATOS!$C$29,CEILING(BG40/INDEX(TABLAS!$D$52:$D$58,MIN(MATCH(DATOS!$C$26,TABLAS!$B$52:$B$58,0)+0,7)),1))*INDEX(TABLAS!$D$52:$D$58,MIN(MATCH(DATOS!$C$26,TABLAS!$B$52:$B$58,0)+0,7))&gt;=4/3*IF(BB40&lt;=0,0,IF((1-2*BB40*1E5/(DATOS!$C$58*P40*BF40^2*DATOS!$C$48))&lt;0,-1,IF((1-SQRT((1-2*BB40*1E5/(DATOS!$C$58*P40*BF40^2*DATOS!$C$48))))*DATOS!$C$48*P40*BF40/DATOS!$C$40&gt;DATOS!$C$82*P40*BF40,-1,(1-SQRT((1-2*BB40*1E5/(DATOS!$C$58*P40*BF40^2*DATOS!$C$48))))*DATOS!$C$48*P40*BF40/DATOS!$C$40)))-0.0001,MAX(DATOS!$C$29,CEILING(BG40/INDEX(TABLAS!$D$52:$D$58,MIN(MATCH(DATOS!$C$26,TABLAS!$B$52:$B$58,0)+0,7)),1)),MAX(MAX(DATOS!$C$29,CEILING(BG40/INDEX(TABLAS!$D$52:$D$58,MIN(MATCH(DATOS!$C$26,TABLAS!$B$52:$B$58,0)+0,7)),1)),2))&lt;=MIN(DATOS!$C$28,INT(((DATOS!$C$13-2*R40-2*IF(DATOS!$C$25=0,0,INDEX(TABLAS!$C$52:$C$58,MATCH(DATOS!$C$25,TABLAS!$B$52:$B$58,0))))+MAX(DATOS!$C$32,INDEX(TABLAS!$C$52:$C$58,MIN(MATCH(DATOS!$C$26,TABLAS!$B$52:$B$58,0)+0,7))))/(INDEX(TABLAS!$C$52:$C$58,MIN(MATCH(DATOS!$C$26,TABLAS!$B$52:$B$58,0)+0,7))+MAX(DATOS!$C$32,INDEX(TABLAS!$C$52:$C$58,MIN(MATCH(DATOS!$C$26,TABLAS!$B$52:$B$58,0)+0,7))))))),INDEX(TABLAS!$B$52:$B$58,MIN(MATCH(DATOS!$C$26,TABLAS!$B$52:$B$58,0)+0,7)),IF(AND(BG40&gt;=0,IF(MAX(DATOS!$C$29,CEILING(BG40/INDEX(TABLAS!$D$52:$D$58,MIN(MATCH(DATOS!$C$26,TABLAS!$B$52:$B$58,0)+1,7)),1))*INDEX(TABLAS!$D$52:$D$58,MIN(MATCH(DATOS!$C$26,TABLAS!$B$52:$B$58,0)+1,7))&gt;=4/3*IF(BB40&lt;=0,0,IF((1-2*BB40*1E5/(DATOS!$C$58*P40*BF40^2*DATOS!$C$48))&lt;0,-1,IF((1-SQRT((1-2*BB40*1E5/(DATOS!$C$58*P40*BF40^2*DATOS!$C$48))))*DATOS!$C$48*P40*BF40/DATOS!$C$40&gt;DATOS!$C$82*P40*BF40,-1,(1-SQRT((1-2*BB40*1E5/(DATOS!$C$58*P40*BF40^2*DATOS!$C$48))))*DATOS!$C$48*P40*BF40/DATOS!$C$40)))-0.0001,MAX(DATOS!$C$29,CEILING(BG40/INDEX(TABLAS!$D$52:$D$58,MIN(MATCH(DATOS!$C$26,TABLAS!$B$52:$B$58,0)+1,7)),1)),MAX(MAX(DATOS!$C$29,CEILING(BG40/INDEX(TABLAS!$D$52:$D$58,MIN(MATCH(DATOS!$C$26,TABLAS!$B$52:$B$58,0)+1,7)),1)),2))&lt;=MIN(DATOS!$C$28,INT(((DATOS!$C$13-2*R40-2*IF(DATOS!$C$25=0,0,INDEX(TABLAS!$C$52:$C$58,MATCH(DATOS!$C$25,TABLAS!$B$52:$B$58,0))))+MAX(DATOS!$C$32,INDEX(TABLAS!$C$52:$C$58,MIN(MATCH(DATOS!$C$26,TABLAS!$B$52:$B$58,0)+1,7))))/(INDEX(TABLAS!$C$52:$C$58,MIN(MATCH(DATOS!$C$26,TABLAS!$B$52:$B$58,0)+1,7))+MAX(DATOS!$C$32,INDEX(TABLAS!$C$52:$C$58,MIN(MATCH(DATOS!$C$26,TABLAS!$B$52:$B$58,0)+1,7))))))),INDEX(TABLAS!$B$52:$B$58,MIN(MATCH(DATOS!$C$26,TABLAS!$B$52:$B$58,0)+1,7)),IF(AND(BG40&gt;=0,IF(MAX(DATOS!$C$29,CEILING(BG40/INDEX(TABLAS!$D$52:$D$58,MIN(MATCH(DATOS!$C$26,TABLAS!$B$52:$B$58,0)+2,7)),1))*INDEX(TABLAS!$D$52:$D$58,MIN(MATCH(DATOS!$C$26,TABLAS!$B$52:$B$58,0)+2,7))&gt;=4/3*IF(BB40&lt;=0,0,IF((1-2*BB40*1E5/(DATOS!$C$58*P40*BF40^2*DATOS!$C$48))&lt;0,-1,IF((1-SQRT((1-2*BB40*1E5/(DATOS!$C$58*P40*BF40^2*DATOS!$C$48))))*DATOS!$C$48*P40*BF40/DATOS!$C$40&gt;DATOS!$C$82*P40*BF40,-1,(1-SQRT((1-2*BB40*1E5/(DATOS!$C$58*P40*BF40^2*DATOS!$C$48))))*DATOS!$C$48*P40*BF40/DATOS!$C$40)))-0.0001,MAX(DATOS!$C$29,CEILING(BG40/INDEX(TABLAS!$D$52:$D$58,MIN(MATCH(DATOS!$C$26,TABLAS!$B$52:$B$58,0)+2,7)),1)),MAX(MAX(DATOS!$C$29,CEILING(BG40/INDEX(TABLAS!$D$52:$D$58,MIN(MATCH(DATOS!$C$26,TABLAS!$B$52:$B$58,0)+2,7)),1)),2))&lt;=MIN(DATOS!$C$28,INT(((DATOS!$C$13-2*R40-2*IF(DATOS!$C$25=0,0,INDEX(TABLAS!$C$52:$C$58,MATCH(DATOS!$C$25,TABLAS!$B$52:$B$58,0))))+MAX(DATOS!$C$32,INDEX(TABLAS!$C$52:$C$58,MIN(MATCH(DATOS!$C$26,TABLAS!$B$52:$B$58,0)+2,7))))/(INDEX(TABLAS!$C$52:$C$58,MIN(MATCH(DATOS!$C$26,TABLAS!$B$52:$B$58,0)+2,7))+MAX(DATOS!$C$32,INDEX(TABLAS!$C$52:$C$58,MIN(MATCH(DATOS!$C$26,TABLAS!$B$52:$B$58,0)+2,7))))))),INDEX(TABLAS!$B$52:$B$58,MIN(MATCH(DATOS!$C$26,TABLAS!$B$52:$B$58,0)+2,7)),IF(AND(BG40&gt;=0,IF(MAX(DATOS!$C$29,CEILING(BG40/INDEX(TABLAS!$D$52:$D$58,MIN(MATCH(DATOS!$C$26,TABLAS!$B$52:$B$58,0)+3,7)),1))*INDEX(TABLAS!$D$52:$D$58,MIN(MATCH(DATOS!$C$26,TABLAS!$B$52:$B$58,0)+3,7))&gt;=4/3*IF(BB40&lt;=0,0,IF((1-2*BB40*1E5/(DATOS!$C$58*P40*BF40^2*DATOS!$C$48))&lt;0,-1,IF((1-SQRT((1-2*BB40*1E5/(DATOS!$C$58*P40*BF40^2*DATOS!$C$48))))*DATOS!$C$48*P40*BF40/DATOS!$C$40&gt;DATOS!$C$82*P40*BF40,-1,(1-SQRT((1-2*BB40*1E5/(DATOS!$C$58*P40*BF40^2*DATOS!$C$48))))*DATOS!$C$48*P40*BF40/DATOS!$C$40)))-0.0001,MAX(DATOS!$C$29,CEILING(BG40/INDEX(TABLAS!$D$52:$D$58,MIN(MATCH(DATOS!$C$26,TABLAS!$B$52:$B$58,0)+3,7)),1)),MAX(MAX(DATOS!$C$29,CEILING(BG40/INDEX(TABLAS!$D$52:$D$58,MIN(MATCH(DATOS!$C$26,TABLAS!$B$52:$B$58,0)+3,7)),1)),2))&lt;=MIN(DATOS!$C$28,INT(((DATOS!$C$13-2*R40-2*IF(DATOS!$C$25=0,0,INDEX(TABLAS!$C$52:$C$58,MATCH(DATOS!$C$25,TABLAS!$B$52:$B$58,0))))+MAX(DATOS!$C$32,INDEX(TABLAS!$C$52:$C$58,MIN(MATCH(DATOS!$C$26,TABLAS!$B$52:$B$58,0)+3,7))))/(INDEX(TABLAS!$C$52:$C$58,MIN(MATCH(DATOS!$C$26,TABLAS!$B$52:$B$58,0)+3,7))+MAX(DATOS!$C$32,INDEX(TABLAS!$C$52:$C$58,MIN(MATCH(DATOS!$C$26,TABLAS!$B$52:$B$58,0)+3,7))))))),INDEX(TABLAS!$B$52:$B$58,MIN(MATCH(DATOS!$C$26,TABLAS!$B$52:$B$58,0)+3,7)),IF(AND(BG40&gt;=0,IF(MAX(DATOS!$C$29,CEILING(BG40/INDEX(TABLAS!$D$52:$D$58,MIN(MATCH(DATOS!$C$26,TABLAS!$B$52:$B$58,0)+4,7)),1))*INDEX(TABLAS!$D$52:$D$58,MIN(MATCH(DATOS!$C$26,TABLAS!$B$52:$B$58,0)+4,7))&gt;=4/3*IF(BB40&lt;=0,0,IF((1-2*BB40*1E5/(DATOS!$C$58*P40*BF40^2*DATOS!$C$48))&lt;0,-1,IF((1-SQRT((1-2*BB40*1E5/(DATOS!$C$58*P40*BF40^2*DATOS!$C$48))))*DATOS!$C$48*P40*BF40/DATOS!$C$40&gt;DATOS!$C$82*P40*BF40,-1,(1-SQRT((1-2*BB40*1E5/(DATOS!$C$58*P40*BF40^2*DATOS!$C$48))))*DATOS!$C$48*P40*BF40/DATOS!$C$40)))-0.0001,MAX(DATOS!$C$29,CEILING(BG40/INDEX(TABLAS!$D$52:$D$58,MIN(MATCH(DATOS!$C$26,TABLAS!$B$52:$B$58,0)+4,7)),1)),MAX(MAX(DATOS!$C$29,CEILING(BG40/INDEX(TABLAS!$D$52:$D$58,MIN(MATCH(DATOS!$C$26,TABLAS!$B$52:$B$58,0)+4,7)),1)),2))&lt;=MIN(DATOS!$C$28,INT(((DATOS!$C$13-2*R40-2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I40" s="56">
        <f>IF(D40="HUECO",0,IF(BG40&lt;0,0,IF(MAX(DATOS!$C$29,CEILING(MAX(BG40,0)/INDEX(TABLAS!$D$52:$D$58,MATCH(BH40,TABLAS!$B$52:$B$58,0)),1))*INDEX(TABLAS!$D$52:$D$58,MATCH(BH40,TABLAS!$B$52:$B$58,0))&gt;=4/3*IF(BB40&lt;=0,0,IF((1-2*BB40*1E5/(DATOS!$C$58*P40*BF40^2*DATOS!$C$48))&lt;0,-1,IF((1-SQRT((1-2*BB40*1E5/(DATOS!$C$58*P40*BF40^2*DATOS!$C$48))))*DATOS!$C$48*P40*BF40/DATOS!$C$40&gt;DATOS!$C$82*P40*BF40,-1,(1-SQRT((1-2*BB40*1E5/(DATOS!$C$58*P40*BF40^2*DATOS!$C$48))))*DATOS!$C$48*P40*BF40/DATOS!$C$40)))-0.0001,MAX(DATOS!$C$29,CEILING(MAX(BG40,0)/INDEX(TABLAS!$D$52:$D$58,MATCH(BH40,TABLAS!$B$52:$B$58,0)),1)),MAX(MAX(DATOS!$C$29,CEILING(MAX(BG40,0)/INDEX(TABLAS!$D$52:$D$58,MATCH(BH40,TABLAS!$B$52:$B$58,0)),1)),2))))</f>
        <v>1</v>
      </c>
      <c r="BJ40" s="43">
        <f>DATOS!$C$15-R40-IF(DATOS!$C$25=0,0,INDEX(TABLAS!$C$52:$C$58,MATCH(DATOS!$C$25,TABLAS!$B$52:$B$58,0)))-INDEX(TABLAS!$C$52:$C$58,MATCH(BH40,TABLAS!$B$52:$B$58,0))/2</f>
        <v>20.365</v>
      </c>
      <c r="BK40" s="36">
        <f>IF(BI40=0,0,DATOS!$C$58*BI40*INDEX(TABLAS!$D$52:$D$58,MATCH(BH40,TABLAS!$B$52:$B$58,0))*DATOS!$C$40*(BJ40-BI40*INDEX(TABLAS!$D$52:$D$58,MATCH(BH40,TABLAS!$B$52:$B$58,0))*DATOS!$C$40/(DATOS!$C$48*P40)/2)/1E5)</f>
        <v>0.966907160355037</v>
      </c>
      <c r="BL40" s="62">
        <f>IF(BG40&lt;0,9.99,IF(BK40&gt;0,BB40/BK40,0))</f>
        <v>0.139087851000666</v>
      </c>
      <c r="BM40" s="63">
        <f>IF(BI40=0,"—",0.003*(BJ40-(BI40*INDEX(TABLAS!$D$52:$D$58,MATCH(BH40,TABLAS!$B$52:$B$58,0))*DATOS!$C$40/(DATOS!$C$48*P40)/DATOS!$C$49))/(BI40*INDEX(TABLAS!$D$52:$D$58,MATCH(BH40,TABLAS!$B$52:$B$58,0))*DATOS!$C$40/(DATOS!$C$48*P40)/DATOS!$C$49))</f>
        <v>0.113114611088653</v>
      </c>
      <c r="BN40" s="43">
        <f>((DATOS!$C$15-S40-2*DATOS!$C$35-IF(DATOS!$C$25=0,0,INDEX(TABLAS!$C$52:$C$58,MATCH(DATOS!$C$25,TABLAS!$B$52:$B$58,0)))-INDEX(TABLAS!$C$52:$C$58,MATCH(DATOS!$C$27,TABLAS!$B$52:$B$58,0))/2)-IF(AND((DATOS!$C$15-S40-2*DATOS!$C$35-IF(DATOS!$C$25=0,0,INDEX(TABLAS!$C$52:$C$58,MATCH(DATOS!$C$25,TABLAS!$B$52:$B$58,0)))-INDEX(TABLAS!$C$52:$C$58,MATCH(DATOS!$C$27,TABLAS!$B$52:$B$58,0))/2)&lt;=20,DATOS!$C$18&lt;&gt;"SÍ"),2,0))</f>
        <v>19.389</v>
      </c>
      <c r="BO40" s="43">
        <f>IF(D40="HUECO",0,IF(IF(BC40&lt;=0,0,IF((1-2*BC40*1E5/(DATOS!$C$58*DATOS!$C$19*BN40^2*DATOS!$C$48))&lt;0,-1,IF((1-SQRT((1-2*BC40*1E5/(DATOS!$C$58*DATOS!$C$19*BN40^2*DATOS!$C$48))))*DATOS!$C$48*DATOS!$C$19*BN40/DATOS!$C$40&gt;DATOS!$C$82*DATOS!$C$19*BN40,-1,(1-SQRT((1-2*BC40*1E5/(DATOS!$C$58*DATOS!$C$19*BN40^2*DATOS!$C$48))))*DATOS!$C$48*DATOS!$C$19*BN40/DATOS!$C$40)))&lt;0,-1,MAX(IF(BC40&lt;=0,0,IF((1-2*BC40*1E5/(DATOS!$C$58*DATOS!$C$19*BN40^2*DATOS!$C$48))&lt;0,-1,IF((1-SQRT((1-2*BC40*1E5/(DATOS!$C$58*DATOS!$C$19*BN40^2*DATOS!$C$48))))*DATOS!$C$48*DATOS!$C$19*BN40/DATOS!$C$40&gt;DATOS!$C$82*DATOS!$C$19*BN40,-1,(1-SQRT((1-2*BC40*1E5/(DATOS!$C$58*DATOS!$C$19*BN40^2*DATOS!$C$48))))*DATOS!$C$48*DATOS!$C$19*BN40/DATOS!$C$40))),MIN(DATOS!$C$83*IF(D40="VOLADO",2*DATOS!$C$13,DATOS!$C$13)*BN40,4/3*IF(BC40&lt;=0,0,IF((1-2*BC40*1E5/(DATOS!$C$58*DATOS!$C$19*BN40^2*DATOS!$C$48))&lt;0,-1,IF((1-SQRT((1-2*BC40*1E5/(DATOS!$C$58*DATOS!$C$19*BN40^2*DATOS!$C$48))))*DATOS!$C$48*DATOS!$C$19*BN40/DATOS!$C$40&gt;DATOS!$C$82*DATOS!$C$19*BN40,-1,(1-SQRT((1-2*BC40*1E5/(DATOS!$C$58*DATOS!$C$19*BN40^2*DATOS!$C$48))))*DATOS!$C$48*DATOS!$C$19*BN40/DATOS!$C$40)))))))</f>
        <v>0.716383357118216</v>
      </c>
      <c r="BP40" s="41">
        <f>IF(AND(BO40&gt;=0,IF(MAX(DATOS!$C$29,CEILING(BO40/INDEX(TABLAS!$D$52:$D$58,MIN(MATCH(DATOS!$C$27,TABLAS!$B$52:$B$58,0)+0,7)),1))*INDEX(TABLAS!$D$52:$D$58,MIN(MATCH(DATOS!$C$27,TABLAS!$B$52:$B$58,0)+0,7))&gt;=4/3*IF(BC40&lt;=0,0,IF((1-2*BC40*1E5/(DATOS!$C$58*DATOS!$C$19*BN40^2*DATOS!$C$48))&lt;0,-1,IF((1-SQRT((1-2*BC40*1E5/(DATOS!$C$58*DATOS!$C$19*BN40^2*DATOS!$C$48))))*DATOS!$C$48*DATOS!$C$19*BN40/DATOS!$C$40&gt;DATOS!$C$82*DATOS!$C$19*BN40,-1,(1-SQRT((1-2*BC40*1E5/(DATOS!$C$58*DATOS!$C$19*BN40^2*DATOS!$C$48))))*DATOS!$C$48*DATOS!$C$19*BN40/DATOS!$C$40)))-0.0001,MAX(DATOS!$C$29,CEILING(BO40/INDEX(TABLAS!$D$52:$D$58,MIN(MATCH(DATOS!$C$27,TABLAS!$B$52:$B$58,0)+0,7)),1)),MAX(MAX(DATOS!$C$29,CEILING(BO40/INDEX(TABLAS!$D$52:$D$58,MIN(MATCH(DATOS!$C$27,TABLAS!$B$52:$B$58,0)+0,7)),1)),2))&lt;=MIN(DATOS!$C$28,INT(((DATOS!$C$13-2*S40-2*IF(DATOS!$C$25=0,0,INDEX(TABLAS!$C$52:$C$58,MATCH(DATOS!$C$25,TABLAS!$B$52:$B$58,0))))+MAX(DATOS!$C$32,INDEX(TABLAS!$C$52:$C$58,MIN(MATCH(DATOS!$C$27,TABLAS!$B$52:$B$58,0)+0,7))))/(INDEX(TABLAS!$C$52:$C$58,MIN(MATCH(DATOS!$C$27,TABLAS!$B$52:$B$58,0)+0,7))+MAX(DATOS!$C$32,INDEX(TABLAS!$C$52:$C$58,MIN(MATCH(DATOS!$C$27,TABLAS!$B$52:$B$58,0)+0,7))))))),INDEX(TABLAS!$B$52:$B$58,MIN(MATCH(DATOS!$C$27,TABLAS!$B$52:$B$58,0)+0,7)),IF(AND(BO40&gt;=0,IF(MAX(DATOS!$C$29,CEILING(BO40/INDEX(TABLAS!$D$52:$D$58,MIN(MATCH(DATOS!$C$27,TABLAS!$B$52:$B$58,0)+1,7)),1))*INDEX(TABLAS!$D$52:$D$58,MIN(MATCH(DATOS!$C$27,TABLAS!$B$52:$B$58,0)+1,7))&gt;=4/3*IF(BC40&lt;=0,0,IF((1-2*BC40*1E5/(DATOS!$C$58*DATOS!$C$19*BN40^2*DATOS!$C$48))&lt;0,-1,IF((1-SQRT((1-2*BC40*1E5/(DATOS!$C$58*DATOS!$C$19*BN40^2*DATOS!$C$48))))*DATOS!$C$48*DATOS!$C$19*BN40/DATOS!$C$40&gt;DATOS!$C$82*DATOS!$C$19*BN40,-1,(1-SQRT((1-2*BC40*1E5/(DATOS!$C$58*DATOS!$C$19*BN40^2*DATOS!$C$48))))*DATOS!$C$48*DATOS!$C$19*BN40/DATOS!$C$40)))-0.0001,MAX(DATOS!$C$29,CEILING(BO40/INDEX(TABLAS!$D$52:$D$58,MIN(MATCH(DATOS!$C$27,TABLAS!$B$52:$B$58,0)+1,7)),1)),MAX(MAX(DATOS!$C$29,CEILING(BO40/INDEX(TABLAS!$D$52:$D$58,MIN(MATCH(DATOS!$C$27,TABLAS!$B$52:$B$58,0)+1,7)),1)),2))&lt;=MIN(DATOS!$C$28,INT(((DATOS!$C$13-2*S40-2*IF(DATOS!$C$25=0,0,INDEX(TABLAS!$C$52:$C$58,MATCH(DATOS!$C$25,TABLAS!$B$52:$B$58,0))))+MAX(DATOS!$C$32,INDEX(TABLAS!$C$52:$C$58,MIN(MATCH(DATOS!$C$27,TABLAS!$B$52:$B$58,0)+1,7))))/(INDEX(TABLAS!$C$52:$C$58,MIN(MATCH(DATOS!$C$27,TABLAS!$B$52:$B$58,0)+1,7))+MAX(DATOS!$C$32,INDEX(TABLAS!$C$52:$C$58,MIN(MATCH(DATOS!$C$27,TABLAS!$B$52:$B$58,0)+1,7))))))),INDEX(TABLAS!$B$52:$B$58,MIN(MATCH(DATOS!$C$27,TABLAS!$B$52:$B$58,0)+1,7)),IF(AND(BO40&gt;=0,IF(MAX(DATOS!$C$29,CEILING(BO40/INDEX(TABLAS!$D$52:$D$58,MIN(MATCH(DATOS!$C$27,TABLAS!$B$52:$B$58,0)+2,7)),1))*INDEX(TABLAS!$D$52:$D$58,MIN(MATCH(DATOS!$C$27,TABLAS!$B$52:$B$58,0)+2,7))&gt;=4/3*IF(BC40&lt;=0,0,IF((1-2*BC40*1E5/(DATOS!$C$58*DATOS!$C$19*BN40^2*DATOS!$C$48))&lt;0,-1,IF((1-SQRT((1-2*BC40*1E5/(DATOS!$C$58*DATOS!$C$19*BN40^2*DATOS!$C$48))))*DATOS!$C$48*DATOS!$C$19*BN40/DATOS!$C$40&gt;DATOS!$C$82*DATOS!$C$19*BN40,-1,(1-SQRT((1-2*BC40*1E5/(DATOS!$C$58*DATOS!$C$19*BN40^2*DATOS!$C$48))))*DATOS!$C$48*DATOS!$C$19*BN40/DATOS!$C$40)))-0.0001,MAX(DATOS!$C$29,CEILING(BO40/INDEX(TABLAS!$D$52:$D$58,MIN(MATCH(DATOS!$C$27,TABLAS!$B$52:$B$58,0)+2,7)),1)),MAX(MAX(DATOS!$C$29,CEILING(BO40/INDEX(TABLAS!$D$52:$D$58,MIN(MATCH(DATOS!$C$27,TABLAS!$B$52:$B$58,0)+2,7)),1)),2))&lt;=MIN(DATOS!$C$28,INT(((DATOS!$C$13-2*S40-2*IF(DATOS!$C$25=0,0,INDEX(TABLAS!$C$52:$C$58,MATCH(DATOS!$C$25,TABLAS!$B$52:$B$58,0))))+MAX(DATOS!$C$32,INDEX(TABLAS!$C$52:$C$58,MIN(MATCH(DATOS!$C$27,TABLAS!$B$52:$B$58,0)+2,7))))/(INDEX(TABLAS!$C$52:$C$58,MIN(MATCH(DATOS!$C$27,TABLAS!$B$52:$B$58,0)+2,7))+MAX(DATOS!$C$32,INDEX(TABLAS!$C$52:$C$58,MIN(MATCH(DATOS!$C$27,TABLAS!$B$52:$B$58,0)+2,7))))))),INDEX(TABLAS!$B$52:$B$58,MIN(MATCH(DATOS!$C$27,TABLAS!$B$52:$B$58,0)+2,7)),IF(AND(BO40&gt;=0,IF(MAX(DATOS!$C$29,CEILING(BO40/INDEX(TABLAS!$D$52:$D$58,MIN(MATCH(DATOS!$C$27,TABLAS!$B$52:$B$58,0)+3,7)),1))*INDEX(TABLAS!$D$52:$D$58,MIN(MATCH(DATOS!$C$27,TABLAS!$B$52:$B$58,0)+3,7))&gt;=4/3*IF(BC40&lt;=0,0,IF((1-2*BC40*1E5/(DATOS!$C$58*DATOS!$C$19*BN40^2*DATOS!$C$48))&lt;0,-1,IF((1-SQRT((1-2*BC40*1E5/(DATOS!$C$58*DATOS!$C$19*BN40^2*DATOS!$C$48))))*DATOS!$C$48*DATOS!$C$19*BN40/DATOS!$C$40&gt;DATOS!$C$82*DATOS!$C$19*BN40,-1,(1-SQRT((1-2*BC40*1E5/(DATOS!$C$58*DATOS!$C$19*BN40^2*DATOS!$C$48))))*DATOS!$C$48*DATOS!$C$19*BN40/DATOS!$C$40)))-0.0001,MAX(DATOS!$C$29,CEILING(BO40/INDEX(TABLAS!$D$52:$D$58,MIN(MATCH(DATOS!$C$27,TABLAS!$B$52:$B$58,0)+3,7)),1)),MAX(MAX(DATOS!$C$29,CEILING(BO40/INDEX(TABLAS!$D$52:$D$58,MIN(MATCH(DATOS!$C$27,TABLAS!$B$52:$B$58,0)+3,7)),1)),2))&lt;=MIN(DATOS!$C$28,INT(((DATOS!$C$13-2*S40-2*IF(DATOS!$C$25=0,0,INDEX(TABLAS!$C$52:$C$58,MATCH(DATOS!$C$25,TABLAS!$B$52:$B$58,0))))+MAX(DATOS!$C$32,INDEX(TABLAS!$C$52:$C$58,MIN(MATCH(DATOS!$C$27,TABLAS!$B$52:$B$58,0)+3,7))))/(INDEX(TABLAS!$C$52:$C$58,MIN(MATCH(DATOS!$C$27,TABLAS!$B$52:$B$58,0)+3,7))+MAX(DATOS!$C$32,INDEX(TABLAS!$C$52:$C$58,MIN(MATCH(DATOS!$C$27,TABLAS!$B$52:$B$58,0)+3,7))))))),INDEX(TABLAS!$B$52:$B$58,MIN(MATCH(DATOS!$C$27,TABLAS!$B$52:$B$58,0)+3,7)),IF(AND(BO40&gt;=0,IF(MAX(DATOS!$C$29,CEILING(BO40/INDEX(TABLAS!$D$52:$D$58,MIN(MATCH(DATOS!$C$27,TABLAS!$B$52:$B$58,0)+4,7)),1))*INDEX(TABLAS!$D$52:$D$58,MIN(MATCH(DATOS!$C$27,TABLAS!$B$52:$B$58,0)+4,7))&gt;=4/3*IF(BC40&lt;=0,0,IF((1-2*BC40*1E5/(DATOS!$C$58*DATOS!$C$19*BN40^2*DATOS!$C$48))&lt;0,-1,IF((1-SQRT((1-2*BC40*1E5/(DATOS!$C$58*DATOS!$C$19*BN40^2*DATOS!$C$48))))*DATOS!$C$48*DATOS!$C$19*BN40/DATOS!$C$40&gt;DATOS!$C$82*DATOS!$C$19*BN40,-1,(1-SQRT((1-2*BC40*1E5/(DATOS!$C$58*DATOS!$C$19*BN40^2*DATOS!$C$48))))*DATOS!$C$48*DATOS!$C$19*BN40/DATOS!$C$40)))-0.0001,MAX(DATOS!$C$29,CEILING(BO40/INDEX(TABLAS!$D$52:$D$58,MIN(MATCH(DATOS!$C$27,TABLAS!$B$52:$B$58,0)+4,7)),1)),MAX(MAX(DATOS!$C$29,CEILING(BO40/INDEX(TABLAS!$D$52:$D$58,MIN(MATCH(DATOS!$C$27,TABLAS!$B$52:$B$58,0)+4,7)),1)),2))&lt;=MIN(DATOS!$C$28,INT(((DATOS!$C$13-2*S40-2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BQ40" s="56">
        <f>IF(D40="HUECO",0,IF(BO40&lt;0,0,IF(MAX(DATOS!$C$29,CEILING(MAX(BO40,0)/INDEX(TABLAS!$D$52:$D$58,MATCH(BP40,TABLAS!$B$52:$B$58,0)),1))*INDEX(TABLAS!$D$52:$D$58,MATCH(BP40,TABLAS!$B$52:$B$58,0))&gt;=4/3*IF(BC40&lt;=0,0,IF((1-2*BC40*1E5/(DATOS!$C$58*DATOS!$C$19*BN40^2*DATOS!$C$48))&lt;0,-1,IF((1-SQRT((1-2*BC40*1E5/(DATOS!$C$58*DATOS!$C$19*BN40^2*DATOS!$C$48))))*DATOS!$C$48*DATOS!$C$19*BN40/DATOS!$C$40&gt;DATOS!$C$82*DATOS!$C$19*BN40,-1,(1-SQRT((1-2*BC40*1E5/(DATOS!$C$58*DATOS!$C$19*BN40^2*DATOS!$C$48))))*DATOS!$C$48*DATOS!$C$19*BN40/DATOS!$C$40)))-0.0001,MAX(DATOS!$C$29,CEILING(MAX(BO40,0)/INDEX(TABLAS!$D$52:$D$58,MATCH(BP40,TABLAS!$B$52:$B$58,0)),1)),MAX(MAX(DATOS!$C$29,CEILING(MAX(BO40,0)/INDEX(TABLAS!$D$52:$D$58,MATCH(BP40,TABLAS!$B$52:$B$58,0)),1)),2))))</f>
        <v>1</v>
      </c>
      <c r="BR40" s="43">
        <f>((DATOS!$C$15-S40-2*DATOS!$C$35-IF(DATOS!$C$25=0,0,INDEX(TABLAS!$C$52:$C$58,MATCH(DATOS!$C$25,TABLAS!$B$52:$B$58,0)))-INDEX(TABLAS!$C$52:$C$58,MATCH(BP40,TABLAS!$B$52:$B$58,0))/2)-IF(AND((DATOS!$C$15-S40-2*DATOS!$C$35-IF(DATOS!$C$25=0,0,INDEX(TABLAS!$C$52:$C$58,MATCH(DATOS!$C$25,TABLAS!$B$52:$B$58,0)))-INDEX(TABLAS!$C$52:$C$58,MATCH(BP40,TABLAS!$B$52:$B$58,0))/2)&lt;=20,DATOS!$C$18&lt;&gt;"SÍ"),2,0))</f>
        <v>19.389</v>
      </c>
      <c r="BS40" s="36">
        <f>IF(BQ40=0,0,DATOS!$C$58*BQ40*INDEX(TABLAS!$D$52:$D$58,MATCH(BP40,TABLAS!$B$52:$B$58,0))*DATOS!$C$40*(BR40-BQ40*INDEX(TABLAS!$D$52:$D$58,MATCH(BP40,TABLAS!$B$52:$B$58,0))*DATOS!$C$40/(DATOS!$C$48*DATOS!$C$19)/2)/1E5)</f>
        <v>0.870537980117647</v>
      </c>
      <c r="BT40" s="62">
        <f>IF(BO40&lt;0,9.99,IF(BS40&gt;0,BC40/BS40,0))</f>
        <v>0.581099796684607</v>
      </c>
      <c r="BU40" s="63">
        <f>IF(BQ40=0,"—",0.003*(BR40-(BQ40*INDEX(TABLAS!$D$52:$D$58,MATCH(BP40,TABLAS!$B$52:$B$58,0))*DATOS!$C$40/(DATOS!$C$48*DATOS!$C$19)/DATOS!$C$49))/(BQ40*INDEX(TABLAS!$D$52:$D$58,MATCH(BP40,TABLAS!$B$52:$B$58,0))*DATOS!$C$40/(DATOS!$C$48*DATOS!$C$19)/DATOS!$C$49))</f>
        <v>0.0166970648200225</v>
      </c>
      <c r="BV40" s="43">
        <f>(DATOS!$C$15-R40-IF(DATOS!$C$25=0,0,INDEX(TABLAS!$C$52:$C$58,MATCH(DATOS!$C$25,TABLAS!$B$52:$B$58,0)))-INDEX(TABLAS!$C$52:$C$58,MATCH(DATOS!$C$26,TABLAS!$B$52:$B$58,0))-INDEX(TABLAS!$C$52:$C$58,MATCH(DATOS!$C$26,TABLAS!$B$52:$B$58,0))/2)</f>
        <v>19.095</v>
      </c>
      <c r="BW40" s="43">
        <f>IF(D40="HUECO",0,IF(IF(BD40&lt;=0,0,IF((1-2*BD40*1E5/(DATOS!$C$58*Q40*BV40^2*DATOS!$C$48))&lt;0,-1,IF((1-SQRT((1-2*BD40*1E5/(DATOS!$C$58*Q40*BV40^2*DATOS!$C$48))))*DATOS!$C$48*Q40*BV40/DATOS!$C$40&gt;DATOS!$C$82*Q40*BV40,-1,(1-SQRT((1-2*BD40*1E5/(DATOS!$C$58*Q40*BV40^2*DATOS!$C$48))))*DATOS!$C$48*Q40*BV40/DATOS!$C$40)))&lt;0,-1,MAX(IF(BD40&lt;=0,0,IF((1-2*BD40*1E5/(DATOS!$C$58*Q40*BV40^2*DATOS!$C$48))&lt;0,-1,IF((1-SQRT((1-2*BD40*1E5/(DATOS!$C$58*Q40*BV40^2*DATOS!$C$48))))*DATOS!$C$48*Q40*BV40/DATOS!$C$40&gt;DATOS!$C$82*Q40*BV40,-1,(1-SQRT((1-2*BD40*1E5/(DATOS!$C$58*Q40*BV40^2*DATOS!$C$48))))*DATOS!$C$48*Q40*BV40/DATOS!$C$40))),MIN(DATOS!$C$83*DATOS!$C$13*BV40,4/3*IF(BD40&lt;=0,0,IF((1-2*BD40*1E5/(DATOS!$C$58*Q40*BV40^2*DATOS!$C$48))&lt;0,-1,IF((1-SQRT((1-2*BD40*1E5/(DATOS!$C$58*Q40*BV40^2*DATOS!$C$48))))*DATOS!$C$48*Q40*BV40/DATOS!$C$40&gt;DATOS!$C$82*Q40*BV40,-1,(1-SQRT((1-2*BD40*1E5/(DATOS!$C$58*Q40*BV40^2*DATOS!$C$48))))*DATOS!$C$48*Q40*BV40/DATOS!$C$40)))))))</f>
        <v>0.124859856819181</v>
      </c>
      <c r="BX40" s="41">
        <f>IF(AND(BW40&gt;=0,IF(MAX(DATOS!$C$29,CEILING(BW40/INDEX(TABLAS!$D$52:$D$58,MIN(MATCH(DATOS!$C$26,TABLAS!$B$52:$B$58,0)+0,7)),1))*INDEX(TABLAS!$D$52:$D$58,MIN(MATCH(DATOS!$C$26,TABLAS!$B$52:$B$58,0)+0,7))&gt;=4/3*IF(BD40&lt;=0,0,IF((1-2*BD40*1E5/(DATOS!$C$58*Q40*BV40^2*DATOS!$C$48))&lt;0,-1,IF((1-SQRT((1-2*BD40*1E5/(DATOS!$C$58*Q40*BV40^2*DATOS!$C$48))))*DATOS!$C$48*Q40*BV40/DATOS!$C$40&gt;DATOS!$C$82*Q40*BV40,-1,(1-SQRT((1-2*BD40*1E5/(DATOS!$C$58*Q40*BV40^2*DATOS!$C$48))))*DATOS!$C$48*Q40*BV40/DATOS!$C$40)))-0.0001,MAX(DATOS!$C$29,CEILING(BW40/INDEX(TABLAS!$D$52:$D$58,MIN(MATCH(DATOS!$C$26,TABLAS!$B$52:$B$58,0)+0,7)),1)),MAX(MAX(DATOS!$C$29,CEILING(BW40/INDEX(TABLAS!$D$52:$D$58,MIN(MATCH(DATOS!$C$26,TABLAS!$B$52:$B$58,0)+0,7)),1)),2))&lt;=MIN(DATOS!$C$28,INT(((DATOS!$C$13-2*R40-2*IF(DATOS!$C$25=0,0,INDEX(TABLAS!$C$52:$C$58,MATCH(DATOS!$C$25,TABLAS!$B$52:$B$58,0))))+MAX(DATOS!$C$32,INDEX(TABLAS!$C$52:$C$58,MIN(MATCH(DATOS!$C$26,TABLAS!$B$52:$B$58,0)+0,7))))/(INDEX(TABLAS!$C$52:$C$58,MIN(MATCH(DATOS!$C$26,TABLAS!$B$52:$B$58,0)+0,7))+MAX(DATOS!$C$32,INDEX(TABLAS!$C$52:$C$58,MIN(MATCH(DATOS!$C$26,TABLAS!$B$52:$B$58,0)+0,7))))))),INDEX(TABLAS!$B$52:$B$58,MIN(MATCH(DATOS!$C$26,TABLAS!$B$52:$B$58,0)+0,7)),IF(AND(BW40&gt;=0,IF(MAX(DATOS!$C$29,CEILING(BW40/INDEX(TABLAS!$D$52:$D$58,MIN(MATCH(DATOS!$C$26,TABLAS!$B$52:$B$58,0)+1,7)),1))*INDEX(TABLAS!$D$52:$D$58,MIN(MATCH(DATOS!$C$26,TABLAS!$B$52:$B$58,0)+1,7))&gt;=4/3*IF(BD40&lt;=0,0,IF((1-2*BD40*1E5/(DATOS!$C$58*Q40*BV40^2*DATOS!$C$48))&lt;0,-1,IF((1-SQRT((1-2*BD40*1E5/(DATOS!$C$58*Q40*BV40^2*DATOS!$C$48))))*DATOS!$C$48*Q40*BV40/DATOS!$C$40&gt;DATOS!$C$82*Q40*BV40,-1,(1-SQRT((1-2*BD40*1E5/(DATOS!$C$58*Q40*BV40^2*DATOS!$C$48))))*DATOS!$C$48*Q40*BV40/DATOS!$C$40)))-0.0001,MAX(DATOS!$C$29,CEILING(BW40/INDEX(TABLAS!$D$52:$D$58,MIN(MATCH(DATOS!$C$26,TABLAS!$B$52:$B$58,0)+1,7)),1)),MAX(MAX(DATOS!$C$29,CEILING(BW40/INDEX(TABLAS!$D$52:$D$58,MIN(MATCH(DATOS!$C$26,TABLAS!$B$52:$B$58,0)+1,7)),1)),2))&lt;=MIN(DATOS!$C$28,INT(((DATOS!$C$13-2*R40-2*IF(DATOS!$C$25=0,0,INDEX(TABLAS!$C$52:$C$58,MATCH(DATOS!$C$25,TABLAS!$B$52:$B$58,0))))+MAX(DATOS!$C$32,INDEX(TABLAS!$C$52:$C$58,MIN(MATCH(DATOS!$C$26,TABLAS!$B$52:$B$58,0)+1,7))))/(INDEX(TABLAS!$C$52:$C$58,MIN(MATCH(DATOS!$C$26,TABLAS!$B$52:$B$58,0)+1,7))+MAX(DATOS!$C$32,INDEX(TABLAS!$C$52:$C$58,MIN(MATCH(DATOS!$C$26,TABLAS!$B$52:$B$58,0)+1,7))))))),INDEX(TABLAS!$B$52:$B$58,MIN(MATCH(DATOS!$C$26,TABLAS!$B$52:$B$58,0)+1,7)),IF(AND(BW40&gt;=0,IF(MAX(DATOS!$C$29,CEILING(BW40/INDEX(TABLAS!$D$52:$D$58,MIN(MATCH(DATOS!$C$26,TABLAS!$B$52:$B$58,0)+2,7)),1))*INDEX(TABLAS!$D$52:$D$58,MIN(MATCH(DATOS!$C$26,TABLAS!$B$52:$B$58,0)+2,7))&gt;=4/3*IF(BD40&lt;=0,0,IF((1-2*BD40*1E5/(DATOS!$C$58*Q40*BV40^2*DATOS!$C$48))&lt;0,-1,IF((1-SQRT((1-2*BD40*1E5/(DATOS!$C$58*Q40*BV40^2*DATOS!$C$48))))*DATOS!$C$48*Q40*BV40/DATOS!$C$40&gt;DATOS!$C$82*Q40*BV40,-1,(1-SQRT((1-2*BD40*1E5/(DATOS!$C$58*Q40*BV40^2*DATOS!$C$48))))*DATOS!$C$48*Q40*BV40/DATOS!$C$40)))-0.0001,MAX(DATOS!$C$29,CEILING(BW40/INDEX(TABLAS!$D$52:$D$58,MIN(MATCH(DATOS!$C$26,TABLAS!$B$52:$B$58,0)+2,7)),1)),MAX(MAX(DATOS!$C$29,CEILING(BW40/INDEX(TABLAS!$D$52:$D$58,MIN(MATCH(DATOS!$C$26,TABLAS!$B$52:$B$58,0)+2,7)),1)),2))&lt;=MIN(DATOS!$C$28,INT(((DATOS!$C$13-2*R40-2*IF(DATOS!$C$25=0,0,INDEX(TABLAS!$C$52:$C$58,MATCH(DATOS!$C$25,TABLAS!$B$52:$B$58,0))))+MAX(DATOS!$C$32,INDEX(TABLAS!$C$52:$C$58,MIN(MATCH(DATOS!$C$26,TABLAS!$B$52:$B$58,0)+2,7))))/(INDEX(TABLAS!$C$52:$C$58,MIN(MATCH(DATOS!$C$26,TABLAS!$B$52:$B$58,0)+2,7))+MAX(DATOS!$C$32,INDEX(TABLAS!$C$52:$C$58,MIN(MATCH(DATOS!$C$26,TABLAS!$B$52:$B$58,0)+2,7))))))),INDEX(TABLAS!$B$52:$B$58,MIN(MATCH(DATOS!$C$26,TABLAS!$B$52:$B$58,0)+2,7)),IF(AND(BW40&gt;=0,IF(MAX(DATOS!$C$29,CEILING(BW40/INDEX(TABLAS!$D$52:$D$58,MIN(MATCH(DATOS!$C$26,TABLAS!$B$52:$B$58,0)+3,7)),1))*INDEX(TABLAS!$D$52:$D$58,MIN(MATCH(DATOS!$C$26,TABLAS!$B$52:$B$58,0)+3,7))&gt;=4/3*IF(BD40&lt;=0,0,IF((1-2*BD40*1E5/(DATOS!$C$58*Q40*BV40^2*DATOS!$C$48))&lt;0,-1,IF((1-SQRT((1-2*BD40*1E5/(DATOS!$C$58*Q40*BV40^2*DATOS!$C$48))))*DATOS!$C$48*Q40*BV40/DATOS!$C$40&gt;DATOS!$C$82*Q40*BV40,-1,(1-SQRT((1-2*BD40*1E5/(DATOS!$C$58*Q40*BV40^2*DATOS!$C$48))))*DATOS!$C$48*Q40*BV40/DATOS!$C$40)))-0.0001,MAX(DATOS!$C$29,CEILING(BW40/INDEX(TABLAS!$D$52:$D$58,MIN(MATCH(DATOS!$C$26,TABLAS!$B$52:$B$58,0)+3,7)),1)),MAX(MAX(DATOS!$C$29,CEILING(BW40/INDEX(TABLAS!$D$52:$D$58,MIN(MATCH(DATOS!$C$26,TABLAS!$B$52:$B$58,0)+3,7)),1)),2))&lt;=MIN(DATOS!$C$28,INT(((DATOS!$C$13-2*R40-2*IF(DATOS!$C$25=0,0,INDEX(TABLAS!$C$52:$C$58,MATCH(DATOS!$C$25,TABLAS!$B$52:$B$58,0))))+MAX(DATOS!$C$32,INDEX(TABLAS!$C$52:$C$58,MIN(MATCH(DATOS!$C$26,TABLAS!$B$52:$B$58,0)+3,7))))/(INDEX(TABLAS!$C$52:$C$58,MIN(MATCH(DATOS!$C$26,TABLAS!$B$52:$B$58,0)+3,7))+MAX(DATOS!$C$32,INDEX(TABLAS!$C$52:$C$58,MIN(MATCH(DATOS!$C$26,TABLAS!$B$52:$B$58,0)+3,7))))))),INDEX(TABLAS!$B$52:$B$58,MIN(MATCH(DATOS!$C$26,TABLAS!$B$52:$B$58,0)+3,7)),IF(AND(BW40&gt;=0,IF(MAX(DATOS!$C$29,CEILING(BW40/INDEX(TABLAS!$D$52:$D$58,MIN(MATCH(DATOS!$C$26,TABLAS!$B$52:$B$58,0)+4,7)),1))*INDEX(TABLAS!$D$52:$D$58,MIN(MATCH(DATOS!$C$26,TABLAS!$B$52:$B$58,0)+4,7))&gt;=4/3*IF(BD40&lt;=0,0,IF((1-2*BD40*1E5/(DATOS!$C$58*Q40*BV40^2*DATOS!$C$48))&lt;0,-1,IF((1-SQRT((1-2*BD40*1E5/(DATOS!$C$58*Q40*BV40^2*DATOS!$C$48))))*DATOS!$C$48*Q40*BV40/DATOS!$C$40&gt;DATOS!$C$82*Q40*BV40,-1,(1-SQRT((1-2*BD40*1E5/(DATOS!$C$58*Q40*BV40^2*DATOS!$C$48))))*DATOS!$C$48*Q40*BV40/DATOS!$C$40)))-0.0001,MAX(DATOS!$C$29,CEILING(BW40/INDEX(TABLAS!$D$52:$D$58,MIN(MATCH(DATOS!$C$26,TABLAS!$B$52:$B$58,0)+4,7)),1)),MAX(MAX(DATOS!$C$29,CEILING(BW40/INDEX(TABLAS!$D$52:$D$58,MIN(MATCH(DATOS!$C$26,TABLAS!$B$52:$B$58,0)+4,7)),1)),2))&lt;=MIN(DATOS!$C$28,INT(((DATOS!$C$13-2*R40-2*IF(DATOS!$C$25=0,0,INDEX(TABLAS!$C$52:$C$58,MATCH(DATOS!$C$25,TABLAS!$B$52:$B$58,0))))+MAX(DATOS!$C$32,INDEX(TABLAS!$C$52:$C$58,MIN(MATCH(DATOS!$C$26,TABLAS!$B$52:$B$58,0)+4,7))))/(INDEX(TABLAS!$C$52:$C$58,MIN(MATCH(DATOS!$C$26,TABLAS!$B$52:$B$58,0)+4,7))+MAX(DATOS!$C$32,INDEX(TABLAS!$C$52:$C$58,MIN(MATCH(DATOS!$C$26,TABLAS!$B$52:$B$58,0)+4,7))))))),INDEX(TABLAS!$B$52:$B$58,MIN(MATCH(DATOS!$C$26,TABLAS!$B$52:$B$58,0)+4,7)),INDEX(TABLAS!$B$52:$B$58,7))))))</f>
        <v>4</v>
      </c>
      <c r="BY40" s="56">
        <f>IF(D40="HUECO",0,IF(BW40&lt;0,0,IF(MAX(DATOS!$C$29,CEILING(MAX(BW40,0)/INDEX(TABLAS!$D$52:$D$58,MATCH(BX40,TABLAS!$B$52:$B$58,0)),1))*INDEX(TABLAS!$D$52:$D$58,MATCH(BX40,TABLAS!$B$52:$B$58,0))&gt;=4/3*IF(BD40&lt;=0,0,IF((1-2*BD40*1E5/(DATOS!$C$58*Q40*BV40^2*DATOS!$C$48))&lt;0,-1,IF((1-SQRT((1-2*BD40*1E5/(DATOS!$C$58*Q40*BV40^2*DATOS!$C$48))))*DATOS!$C$48*Q40*BV40/DATOS!$C$40&gt;DATOS!$C$82*Q40*BV40,-1,(1-SQRT((1-2*BD40*1E5/(DATOS!$C$58*Q40*BV40^2*DATOS!$C$48))))*DATOS!$C$48*Q40*BV40/DATOS!$C$40)))-0.0001,MAX(DATOS!$C$29,CEILING(MAX(BW40,0)/INDEX(TABLAS!$D$52:$D$58,MATCH(BX40,TABLAS!$B$52:$B$58,0)),1)),MAX(MAX(DATOS!$C$29,CEILING(MAX(BW40,0)/INDEX(TABLAS!$D$52:$D$58,MATCH(BX40,TABLAS!$B$52:$B$58,0)),1)),2))))</f>
        <v>1</v>
      </c>
      <c r="BZ40" s="43">
        <f>DATOS!$C$15-R40-IF(DATOS!$C$25=0,0,INDEX(TABLAS!$C$52:$C$58,MATCH(DATOS!$C$25,TABLAS!$B$52:$B$58,0)))-INDEX(TABLAS!$C$52:$C$58,MATCH(BH40,TABLAS!$B$52:$B$58,0))-INDEX(TABLAS!$C$52:$C$58,MATCH(BX40,TABLAS!$B$52:$B$58,0))/2</f>
        <v>19.095</v>
      </c>
      <c r="CA40" s="36">
        <f>IF(BY40=0,0,DATOS!$C$58*BY40*INDEX(TABLAS!$D$52:$D$58,MATCH(BX40,TABLAS!$B$52:$B$58,0))*DATOS!$C$40*(BZ40-BY40*INDEX(TABLAS!$D$52:$D$58,MATCH(BX40,TABLAS!$B$52:$B$58,0))*DATOS!$C$40/(DATOS!$C$48*Q40)/2)/1E5)</f>
        <v>0.908067376588235</v>
      </c>
      <c r="CB40" s="62">
        <f>IF(BW40&lt;0,9.99,IF(CA40&gt;0,BD40/CA40,0))</f>
        <v>0.0743835148835932</v>
      </c>
      <c r="CC40" s="63">
        <f>IF(BY40=0,"—",0.003*(BZ40-(BY40*INDEX(TABLAS!$D$52:$D$58,MATCH(BX40,TABLAS!$B$52:$B$58,0))*DATOS!$C$40/(DATOS!$C$48*Q40)/DATOS!$C$49))/(BY40*INDEX(TABLAS!$D$52:$D$58,MATCH(BX40,TABLAS!$B$52:$B$58,0))*DATOS!$C$40/(DATOS!$C$48*Q40)/DATOS!$C$49))</f>
        <v>0.13278875492126</v>
      </c>
      <c r="CD40" s="43">
        <f>((DATOS!$C$15-S40-2*DATOS!$C$35-IF(DATOS!$C$25=0,0,INDEX(TABLAS!$C$52:$C$58,MATCH(DATOS!$C$25,TABLAS!$B$52:$B$58,0)))-INDEX(TABLAS!$C$52:$C$58,MATCH(DATOS!$C$27,TABLAS!$B$52:$B$58,0))-INDEX(TABLAS!$C$52:$C$58,MATCH(DATOS!$C$27,TABLAS!$B$52:$B$58,0))/2)-IF(AND((DATOS!$C$15-S40-2*DATOS!$C$35-IF(DATOS!$C$25=0,0,INDEX(TABLAS!$C$52:$C$58,MATCH(DATOS!$C$25,TABLAS!$B$52:$B$58,0)))-INDEX(TABLAS!$C$52:$C$58,MATCH(DATOS!$C$27,TABLAS!$B$52:$B$58,0))-INDEX(TABLAS!$C$52:$C$58,MATCH(DATOS!$C$27,TABLAS!$B$52:$B$58,0))/2)&lt;=20,DATOS!$C$18&lt;&gt;"SÍ"),2,0))</f>
        <v>18.119</v>
      </c>
      <c r="CE40" s="43">
        <f>IF(D40="HUECO",0,IF(IF(BE40&lt;=0,0,IF((1-2*BE40*1E5/(DATOS!$C$58*DATOS!$C$19*CD40^2*DATOS!$C$48))&lt;0,-1,IF((1-SQRT((1-2*BE40*1E5/(DATOS!$C$58*DATOS!$C$19*CD40^2*DATOS!$C$48))))*DATOS!$C$48*DATOS!$C$19*CD40/DATOS!$C$40&gt;DATOS!$C$82*DATOS!$C$19*CD40,-1,(1-SQRT((1-2*BE40*1E5/(DATOS!$C$58*DATOS!$C$19*CD40^2*DATOS!$C$48))))*DATOS!$C$48*DATOS!$C$19*CD40/DATOS!$C$40)))&lt;0,-1,MAX(IF(BE40&lt;=0,0,IF((1-2*BE40*1E5/(DATOS!$C$58*DATOS!$C$19*CD40^2*DATOS!$C$48))&lt;0,-1,IF((1-SQRT((1-2*BE40*1E5/(DATOS!$C$58*DATOS!$C$19*CD40^2*DATOS!$C$48))))*DATOS!$C$48*DATOS!$C$19*CD40/DATOS!$C$40&gt;DATOS!$C$82*DATOS!$C$19*CD40,-1,(1-SQRT((1-2*BE40*1E5/(DATOS!$C$58*DATOS!$C$19*CD40^2*DATOS!$C$48))))*DATOS!$C$48*DATOS!$C$19*CD40/DATOS!$C$40))),MIN(DATOS!$C$83*DATOS!$C$13*CD40,4/3*IF(BE40&lt;=0,0,IF((1-2*BE40*1E5/(DATOS!$C$58*DATOS!$C$19*CD40^2*DATOS!$C$48))&lt;0,-1,IF((1-SQRT((1-2*BE40*1E5/(DATOS!$C$58*DATOS!$C$19*CD40^2*DATOS!$C$48))))*DATOS!$C$48*DATOS!$C$19*CD40/DATOS!$C$40&gt;DATOS!$C$82*DATOS!$C$19*CD40,-1,(1-SQRT((1-2*BE40*1E5/(DATOS!$C$58*DATOS!$C$19*CD40^2*DATOS!$C$48))))*DATOS!$C$48*DATOS!$C$19*CD40/DATOS!$C$40)))))))</f>
        <v>0.603966666666667</v>
      </c>
      <c r="CF40" s="41">
        <f>IF(AND(CE40&gt;=0,IF(MAX(DATOS!$C$29,CEILING(CE40/INDEX(TABLAS!$D$52:$D$58,MIN(MATCH(DATOS!$C$27,TABLAS!$B$52:$B$58,0)+0,7)),1))*INDEX(TABLAS!$D$52:$D$58,MIN(MATCH(DATOS!$C$27,TABLAS!$B$52:$B$58,0)+0,7))&gt;=4/3*IF(BE40&lt;=0,0,IF((1-2*BE40*1E5/(DATOS!$C$58*DATOS!$C$19*CD40^2*DATOS!$C$48))&lt;0,-1,IF((1-SQRT((1-2*BE40*1E5/(DATOS!$C$58*DATOS!$C$19*CD40^2*DATOS!$C$48))))*DATOS!$C$48*DATOS!$C$19*CD40/DATOS!$C$40&gt;DATOS!$C$82*DATOS!$C$19*CD40,-1,(1-SQRT((1-2*BE40*1E5/(DATOS!$C$58*DATOS!$C$19*CD40^2*DATOS!$C$48))))*DATOS!$C$48*DATOS!$C$19*CD40/DATOS!$C$40)))-0.0001,MAX(DATOS!$C$29,CEILING(CE40/INDEX(TABLAS!$D$52:$D$58,MIN(MATCH(DATOS!$C$27,TABLAS!$B$52:$B$58,0)+0,7)),1)),MAX(MAX(DATOS!$C$29,CEILING(CE40/INDEX(TABLAS!$D$52:$D$58,MIN(MATCH(DATOS!$C$27,TABLAS!$B$52:$B$58,0)+0,7)),1)),2))&lt;=MIN(DATOS!$C$28,INT(((DATOS!$C$13-2*S40-2*IF(DATOS!$C$25=0,0,INDEX(TABLAS!$C$52:$C$58,MATCH(DATOS!$C$25,TABLAS!$B$52:$B$58,0))))+MAX(DATOS!$C$32,INDEX(TABLAS!$C$52:$C$58,MIN(MATCH(DATOS!$C$27,TABLAS!$B$52:$B$58,0)+0,7))))/(INDEX(TABLAS!$C$52:$C$58,MIN(MATCH(DATOS!$C$27,TABLAS!$B$52:$B$58,0)+0,7))+MAX(DATOS!$C$32,INDEX(TABLAS!$C$52:$C$58,MIN(MATCH(DATOS!$C$27,TABLAS!$B$52:$B$58,0)+0,7))))))),INDEX(TABLAS!$B$52:$B$58,MIN(MATCH(DATOS!$C$27,TABLAS!$B$52:$B$58,0)+0,7)),IF(AND(CE40&gt;=0,IF(MAX(DATOS!$C$29,CEILING(CE40/INDEX(TABLAS!$D$52:$D$58,MIN(MATCH(DATOS!$C$27,TABLAS!$B$52:$B$58,0)+1,7)),1))*INDEX(TABLAS!$D$52:$D$58,MIN(MATCH(DATOS!$C$27,TABLAS!$B$52:$B$58,0)+1,7))&gt;=4/3*IF(BE40&lt;=0,0,IF((1-2*BE40*1E5/(DATOS!$C$58*DATOS!$C$19*CD40^2*DATOS!$C$48))&lt;0,-1,IF((1-SQRT((1-2*BE40*1E5/(DATOS!$C$58*DATOS!$C$19*CD40^2*DATOS!$C$48))))*DATOS!$C$48*DATOS!$C$19*CD40/DATOS!$C$40&gt;DATOS!$C$82*DATOS!$C$19*CD40,-1,(1-SQRT((1-2*BE40*1E5/(DATOS!$C$58*DATOS!$C$19*CD40^2*DATOS!$C$48))))*DATOS!$C$48*DATOS!$C$19*CD40/DATOS!$C$40)))-0.0001,MAX(DATOS!$C$29,CEILING(CE40/INDEX(TABLAS!$D$52:$D$58,MIN(MATCH(DATOS!$C$27,TABLAS!$B$52:$B$58,0)+1,7)),1)),MAX(MAX(DATOS!$C$29,CEILING(CE40/INDEX(TABLAS!$D$52:$D$58,MIN(MATCH(DATOS!$C$27,TABLAS!$B$52:$B$58,0)+1,7)),1)),2))&lt;=MIN(DATOS!$C$28,INT(((DATOS!$C$13-2*S40-2*IF(DATOS!$C$25=0,0,INDEX(TABLAS!$C$52:$C$58,MATCH(DATOS!$C$25,TABLAS!$B$52:$B$58,0))))+MAX(DATOS!$C$32,INDEX(TABLAS!$C$52:$C$58,MIN(MATCH(DATOS!$C$27,TABLAS!$B$52:$B$58,0)+1,7))))/(INDEX(TABLAS!$C$52:$C$58,MIN(MATCH(DATOS!$C$27,TABLAS!$B$52:$B$58,0)+1,7))+MAX(DATOS!$C$32,INDEX(TABLAS!$C$52:$C$58,MIN(MATCH(DATOS!$C$27,TABLAS!$B$52:$B$58,0)+1,7))))))),INDEX(TABLAS!$B$52:$B$58,MIN(MATCH(DATOS!$C$27,TABLAS!$B$52:$B$58,0)+1,7)),IF(AND(CE40&gt;=0,IF(MAX(DATOS!$C$29,CEILING(CE40/INDEX(TABLAS!$D$52:$D$58,MIN(MATCH(DATOS!$C$27,TABLAS!$B$52:$B$58,0)+2,7)),1))*INDEX(TABLAS!$D$52:$D$58,MIN(MATCH(DATOS!$C$27,TABLAS!$B$52:$B$58,0)+2,7))&gt;=4/3*IF(BE40&lt;=0,0,IF((1-2*BE40*1E5/(DATOS!$C$58*DATOS!$C$19*CD40^2*DATOS!$C$48))&lt;0,-1,IF((1-SQRT((1-2*BE40*1E5/(DATOS!$C$58*DATOS!$C$19*CD40^2*DATOS!$C$48))))*DATOS!$C$48*DATOS!$C$19*CD40/DATOS!$C$40&gt;DATOS!$C$82*DATOS!$C$19*CD40,-1,(1-SQRT((1-2*BE40*1E5/(DATOS!$C$58*DATOS!$C$19*CD40^2*DATOS!$C$48))))*DATOS!$C$48*DATOS!$C$19*CD40/DATOS!$C$40)))-0.0001,MAX(DATOS!$C$29,CEILING(CE40/INDEX(TABLAS!$D$52:$D$58,MIN(MATCH(DATOS!$C$27,TABLAS!$B$52:$B$58,0)+2,7)),1)),MAX(MAX(DATOS!$C$29,CEILING(CE40/INDEX(TABLAS!$D$52:$D$58,MIN(MATCH(DATOS!$C$27,TABLAS!$B$52:$B$58,0)+2,7)),1)),2))&lt;=MIN(DATOS!$C$28,INT(((DATOS!$C$13-2*S40-2*IF(DATOS!$C$25=0,0,INDEX(TABLAS!$C$52:$C$58,MATCH(DATOS!$C$25,TABLAS!$B$52:$B$58,0))))+MAX(DATOS!$C$32,INDEX(TABLAS!$C$52:$C$58,MIN(MATCH(DATOS!$C$27,TABLAS!$B$52:$B$58,0)+2,7))))/(INDEX(TABLAS!$C$52:$C$58,MIN(MATCH(DATOS!$C$27,TABLAS!$B$52:$B$58,0)+2,7))+MAX(DATOS!$C$32,INDEX(TABLAS!$C$52:$C$58,MIN(MATCH(DATOS!$C$27,TABLAS!$B$52:$B$58,0)+2,7))))))),INDEX(TABLAS!$B$52:$B$58,MIN(MATCH(DATOS!$C$27,TABLAS!$B$52:$B$58,0)+2,7)),IF(AND(CE40&gt;=0,IF(MAX(DATOS!$C$29,CEILING(CE40/INDEX(TABLAS!$D$52:$D$58,MIN(MATCH(DATOS!$C$27,TABLAS!$B$52:$B$58,0)+3,7)),1))*INDEX(TABLAS!$D$52:$D$58,MIN(MATCH(DATOS!$C$27,TABLAS!$B$52:$B$58,0)+3,7))&gt;=4/3*IF(BE40&lt;=0,0,IF((1-2*BE40*1E5/(DATOS!$C$58*DATOS!$C$19*CD40^2*DATOS!$C$48))&lt;0,-1,IF((1-SQRT((1-2*BE40*1E5/(DATOS!$C$58*DATOS!$C$19*CD40^2*DATOS!$C$48))))*DATOS!$C$48*DATOS!$C$19*CD40/DATOS!$C$40&gt;DATOS!$C$82*DATOS!$C$19*CD40,-1,(1-SQRT((1-2*BE40*1E5/(DATOS!$C$58*DATOS!$C$19*CD40^2*DATOS!$C$48))))*DATOS!$C$48*DATOS!$C$19*CD40/DATOS!$C$40)))-0.0001,MAX(DATOS!$C$29,CEILING(CE40/INDEX(TABLAS!$D$52:$D$58,MIN(MATCH(DATOS!$C$27,TABLAS!$B$52:$B$58,0)+3,7)),1)),MAX(MAX(DATOS!$C$29,CEILING(CE40/INDEX(TABLAS!$D$52:$D$58,MIN(MATCH(DATOS!$C$27,TABLAS!$B$52:$B$58,0)+3,7)),1)),2))&lt;=MIN(DATOS!$C$28,INT(((DATOS!$C$13-2*S40-2*IF(DATOS!$C$25=0,0,INDEX(TABLAS!$C$52:$C$58,MATCH(DATOS!$C$25,TABLAS!$B$52:$B$58,0))))+MAX(DATOS!$C$32,INDEX(TABLAS!$C$52:$C$58,MIN(MATCH(DATOS!$C$27,TABLAS!$B$52:$B$58,0)+3,7))))/(INDEX(TABLAS!$C$52:$C$58,MIN(MATCH(DATOS!$C$27,TABLAS!$B$52:$B$58,0)+3,7))+MAX(DATOS!$C$32,INDEX(TABLAS!$C$52:$C$58,MIN(MATCH(DATOS!$C$27,TABLAS!$B$52:$B$58,0)+3,7))))))),INDEX(TABLAS!$B$52:$B$58,MIN(MATCH(DATOS!$C$27,TABLAS!$B$52:$B$58,0)+3,7)),IF(AND(CE40&gt;=0,IF(MAX(DATOS!$C$29,CEILING(CE40/INDEX(TABLAS!$D$52:$D$58,MIN(MATCH(DATOS!$C$27,TABLAS!$B$52:$B$58,0)+4,7)),1))*INDEX(TABLAS!$D$52:$D$58,MIN(MATCH(DATOS!$C$27,TABLAS!$B$52:$B$58,0)+4,7))&gt;=4/3*IF(BE40&lt;=0,0,IF((1-2*BE40*1E5/(DATOS!$C$58*DATOS!$C$19*CD40^2*DATOS!$C$48))&lt;0,-1,IF((1-SQRT((1-2*BE40*1E5/(DATOS!$C$58*DATOS!$C$19*CD40^2*DATOS!$C$48))))*DATOS!$C$48*DATOS!$C$19*CD40/DATOS!$C$40&gt;DATOS!$C$82*DATOS!$C$19*CD40,-1,(1-SQRT((1-2*BE40*1E5/(DATOS!$C$58*DATOS!$C$19*CD40^2*DATOS!$C$48))))*DATOS!$C$48*DATOS!$C$19*CD40/DATOS!$C$40)))-0.0001,MAX(DATOS!$C$29,CEILING(CE40/INDEX(TABLAS!$D$52:$D$58,MIN(MATCH(DATOS!$C$27,TABLAS!$B$52:$B$58,0)+4,7)),1)),MAX(MAX(DATOS!$C$29,CEILING(CE40/INDEX(TABLAS!$D$52:$D$58,MIN(MATCH(DATOS!$C$27,TABLAS!$B$52:$B$58,0)+4,7)),1)),2))&lt;=MIN(DATOS!$C$28,INT(((DATOS!$C$13-2*S40-2*IF(DATOS!$C$25=0,0,INDEX(TABLAS!$C$52:$C$58,MATCH(DATOS!$C$25,TABLAS!$B$52:$B$58,0))))+MAX(DATOS!$C$32,INDEX(TABLAS!$C$52:$C$58,MIN(MATCH(DATOS!$C$27,TABLAS!$B$52:$B$58,0)+4,7))))/(INDEX(TABLAS!$C$52:$C$58,MIN(MATCH(DATOS!$C$27,TABLAS!$B$52:$B$58,0)+4,7))+MAX(DATOS!$C$32,INDEX(TABLAS!$C$52:$C$58,MIN(MATCH(DATOS!$C$27,TABLAS!$B$52:$B$58,0)+4,7))))))),INDEX(TABLAS!$B$52:$B$58,MIN(MATCH(DATOS!$C$27,TABLAS!$B$52:$B$58,0)+4,7)),INDEX(TABLAS!$B$52:$B$58,7))))))</f>
        <v>4</v>
      </c>
      <c r="CG40" s="56">
        <f>IF(D40="HUECO",0,IF(CE40&lt;0,0,IF(MAX(DATOS!$C$29,CEILING(MAX(CE40,0)/INDEX(TABLAS!$D$52:$D$58,MATCH(CF40,TABLAS!$B$52:$B$58,0)),1))*INDEX(TABLAS!$D$52:$D$58,MATCH(CF40,TABLAS!$B$52:$B$58,0))&gt;=4/3*IF(BE40&lt;=0,0,IF((1-2*BE40*1E5/(DATOS!$C$58*DATOS!$C$19*CD40^2*DATOS!$C$48))&lt;0,-1,IF((1-SQRT((1-2*BE40*1E5/(DATOS!$C$58*DATOS!$C$19*CD40^2*DATOS!$C$48))))*DATOS!$C$48*DATOS!$C$19*CD40/DATOS!$C$40&gt;DATOS!$C$82*DATOS!$C$19*CD40,-1,(1-SQRT((1-2*BE40*1E5/(DATOS!$C$58*DATOS!$C$19*CD40^2*DATOS!$C$48))))*DATOS!$C$48*DATOS!$C$19*CD40/DATOS!$C$40)))-0.0001,MAX(DATOS!$C$29,CEILING(MAX(CE40,0)/INDEX(TABLAS!$D$52:$D$58,MATCH(CF40,TABLAS!$B$52:$B$58,0)),1)),MAX(MAX(DATOS!$C$29,CEILING(MAX(CE40,0)/INDEX(TABLAS!$D$52:$D$58,MATCH(CF40,TABLAS!$B$52:$B$58,0)),1)),2))))</f>
        <v>1</v>
      </c>
      <c r="CH40" s="43">
        <f>((DATOS!$C$15-S40-2*DATOS!$C$35-IF(DATOS!$C$25=0,0,INDEX(TABLAS!$C$52:$C$58,MATCH(DATOS!$C$25,TABLAS!$B$52:$B$58,0)))-INDEX(TABLAS!$C$52:$C$58,MATCH(BP40,TABLAS!$B$52:$B$58,0))-INDEX(TABLAS!$C$52:$C$58,MATCH(CF40,TABLAS!$B$52:$B$58,0))/2)-IF(AND((DATOS!$C$15-S40-2*DATOS!$C$35-IF(DATOS!$C$25=0,0,INDEX(TABLAS!$C$52:$C$58,MATCH(DATOS!$C$25,TABLAS!$B$52:$B$58,0)))-INDEX(TABLAS!$C$52:$C$58,MATCH(BP40,TABLAS!$B$52:$B$58,0))-INDEX(TABLAS!$C$52:$C$58,MATCH(CF40,TABLAS!$B$52:$B$58,0))/2)&lt;=20,DATOS!$C$18&lt;&gt;"SÍ"),2,0))</f>
        <v>18.119</v>
      </c>
      <c r="CI40" s="36">
        <f>IF(CG40=0,0,DATOS!$C$58*CG40*INDEX(TABLAS!$D$52:$D$58,MATCH(CF40,TABLAS!$B$52:$B$58,0))*DATOS!$C$40*(CH40-CG40*INDEX(TABLAS!$D$52:$D$58,MATCH(CF40,TABLAS!$B$52:$B$58,0))*DATOS!$C$40/(DATOS!$C$48*DATOS!$C$19)/2)/1E5)</f>
        <v>0.809570360117647</v>
      </c>
      <c r="CJ40" s="62">
        <f>IF(CE40&lt;0,9.99,IF(CI40&gt;0,BE40/CI40,0))</f>
        <v>0.413727603260676</v>
      </c>
      <c r="CK40" s="63">
        <f>IF(CG40=0,"—",0.003*(CH40-(CG40*INDEX(TABLAS!$D$52:$D$58,MATCH(CF40,TABLAS!$B$52:$B$58,0))*DATOS!$C$40/(DATOS!$C$48*DATOS!$C$19)/DATOS!$C$49))/(CG40*INDEX(TABLAS!$D$52:$D$58,MATCH(CF40,TABLAS!$B$52:$B$58,0))*DATOS!$C$40/(DATOS!$C$48*DATOS!$C$19)/DATOS!$C$49))</f>
        <v>0.0154068862485939</v>
      </c>
      <c r="CL40" s="52" t="str">
        <f>IF(D40="HUECO","—",IF(AND(D40="PERIMETRAL",J40*100&gt;=6*DATOS!$C$11,DATOS!$C$11&lt;=80,DATOS!$C$13&gt;=10,DATOS!$C$15&lt;=3.5*DATOS!$C$13,DATOS!$C$14&gt;=MAX(DATOS!$C$11/13,5)),"SÍ","NO"))</f>
        <v>NO</v>
      </c>
      <c r="CM40" s="36">
        <f>IF(D40="PERIMETRAL",MAX(0,(N40/2-BR40)/100)*(0.95-0.5*L40)*Y40*IF(AND(Z40&gt;0,Z40&lt;4),DATOS!$C$63,1)*DATOS!$C$16/100/1000+AX40,IF(D40="VOLADO",(Y40*MAX(0,N40-BR40)/100+DATOS!$C$55*BA40)*DATOS!$C$16/100/1000,0))</f>
        <v>0.363692554955259</v>
      </c>
      <c r="CN40" s="36">
        <f>IF(D40="HUECO",0,DATOS!$C$59*2*MIN(1,SQRT(2/(1+0.04*BR40)))*(BQ40*INDEX(TABLAS!$D$52:$D$58,MATCH(BP40,TABLAS!$B$52:$B$58,0))/(DATOS!$C$19*BR40))^(1/3)*SQRT(DATOS!$C$39)*DATOS!$C$19*BR40*IF(CL40="SÍ",DATOS!$C$62,1)/1000)</f>
        <v>0.860398102904257</v>
      </c>
      <c r="CO40" s="51" t="str">
        <f>IF(D40="HUECO","—",IF(CM40&lt;=CN40,"CUMPLE",IF(MAX(0,CEILING((IF(D40="VOLADO",(N40-(CN40*1E5/DATOS!$C$16-DATOS!$C$55*BA40)*100/Y40),IF(CN40&lt;=AX40,N40,N40/2-(CN40-AX40)/MAX(CM40-AX40,1E-9)*(N40/2-BR40)))-IF(INT((J40*100-DATOS!$C$17+DATOS!$C$13)/DATOS!$C$16)&gt;0,(J40*100-DATOS!$C$17-(INT((J40*100-DATOS!$C$17+DATOS!$C$13)/DATOS!$C$16)*DATOS!$C$11+(INT((J40*100-DATOS!$C$17+DATOS!$C$13)/DATOS!$C$16)-1)*DATOS!$C$13))/2,J40*100/2))/DATOS!$C$16,1))&lt;=0,"CUMPLE (basta el macizo de orilla)","MACIZAR "&amp;MAX(0,CEILING((IF(D40="VOLADO",(N40-(CN40*1E5/DATOS!$C$16-DATOS!$C$55*BA40)*100/Y40),IF(CN40&lt;=AX40,N40,N40/2-(CN40-AX40)/MAX(CM40-AX40,1E-9)*(N40/2-BR40)))-IF(INT((J40*100-DATOS!$C$17+DATOS!$C$13)/DATOS!$C$16)&gt;0,(J40*100-DATOS!$C$17-(INT((J40*100-DATOS!$C$17+DATOS!$C$13)/DATOS!$C$16)*DATOS!$C$11+(INT((J40*100-DATOS!$C$17+DATOS!$C$13)/DATOS!$C$16)-1)*DATOS!$C$13))/2,J40*100/2))/DATOS!$C$16,1))&amp;" hilera(s)")))</f>
        <v>CUMPLE</v>
      </c>
      <c r="CP40" s="43">
        <f>IF(D40="PERIMETRAL",(0+99+0+(PRINCIPALES!$N$42*PRINCIPALES!$O$42^3/12/(1.995*100*IF(APOYOS!$G$156="CONTINUO",1,0.5)*DATOS!$C$77^3/12)))/4,0)</f>
        <v>24.8127980050786</v>
      </c>
      <c r="CQ40" s="57">
        <f>IF(D40="PERIMETRAL",IF(CP40&gt;2,MAX(9,O40*(0.8+DATOS!$C$40/14000)/(36+9*(O40/MAX(N40,1)))),IF(CP40&gt;0.2,MAX(13,O40*(0.8+DATOS!$C$40/14000)/(36+5*(O40/MAX(N40,1))*(CP40-0.2))),MAX(13,O40/IF(Z40&gt;0,30,33))))*IF(AND(CP40&gt;0.2,OR(AND((APOYOS!$G$153="DISCONTINUO"),0&lt;0.8),AND((APOYOS!$G$154="DISCONTINUO"),99&lt;0.8),AND((APOYOS!$G$155="DISCONTINUO"),0&lt;0.8),AND((APOYOS!$G$156="DISCONTINUO"),(PRINCIPALES!$N$42*PRINCIPALES!$O$42^3/12/(1.995*100*IF(APOYOS!$G$156="CONTINUO",1,0.5)*DATOS!$C$77^3/12))&lt;0.8))),1.1,1),IF(D40="VOLADO",MAX(25,J40*100/8),0))</f>
        <v>9.9</v>
      </c>
      <c r="CR40" s="57">
        <f>IF(D40="VOLADO",DATOS!$C$15,DATOS!$C$77)</f>
        <v>16.7232564120244</v>
      </c>
      <c r="CS40" s="52" t="str">
        <f>IF(D40="HUECO","—",IF(CR40&gt;=CQ40,"CUMPLE",IF(D40="VOLADO","NO CUMPLE","CALCULAR FLECHA")))</f>
        <v>CUMPLE</v>
      </c>
      <c r="CT40" s="52" t="str">
        <f>IF(D40="HUECO","—",IF(DATOS!$C$14&gt;=IF(IF(D40="VOLADO",J40,K40)&gt;=6,6,5),"CUMPLE","CAPA ≥ 6 cm"))</f>
        <v>CUMPLE</v>
      </c>
      <c r="CU40" s="59">
        <f>IF(D40="HUECO",0,IF(((4*((AL40*Y40*J40^2*1E-4*DATOS!$C$16/100/1000)+((MAX(AH40,AJ40)*Y40*J40^2*1E-4*DATOS!$C$16/100/1000)+(IF(AND(AH40&gt;0,AJ40&gt;0),MIN(AH40,AJ40),MAX(AH40,AJ40))*Y40*J40^2*1E-4*DATOS!$C$16/100/1000))/2)+BC40-(IF(AND(AH40&gt;0,AJ40&gt;0),MIN(AH40,AJ40),MAX(AH40,AJ40))*Y40*J40^2*1E-4*DATOS!$C$16/100/1000))^2-16*((AL40*Y40*J40^2*1E-4*DATOS!$C$16/100/1000)+((MAX(AH40,AJ40)*Y40*J40^2*1E-4*DATOS!$C$16/100/1000)+(IF(AND(AH40&gt;0,AJ40&gt;0),MIN(AH40,AJ40),MAX(AH40,AJ40))*Y40*J40^2*1E-4*DATOS!$C$16/100/1000))/2)*BC40)&lt;0,CEILING(N40,5),CEILING(MAX(N40*((4*((AL40*Y40*J40^2*1E-4*DATOS!$C$16/100/1000)+((MAX(AH40,AJ40)*Y40*J40^2*1E-4*DATOS!$C$16/100/1000)+(IF(AND(AH40&gt;0,AJ40&gt;0),MIN(AH40,AJ40),MAX(AH40,AJ40))*Y40*J40^2*1E-4*DATOS!$C$16/100/1000))/2)+BC40-(IF(AND(AH40&gt;0,AJ40&gt;0),MIN(AH40,AJ40),MAX(AH40,AJ40))*Y40*J40^2*1E-4*DATOS!$C$16/100/1000))-SQRT(MAX(0,((4*((AL40*Y40*J40^2*1E-4*DATOS!$C$16/100/1000)+((MAX(AH40,AJ40)*Y40*J40^2*1E-4*DATOS!$C$16/100/1000)+(IF(AND(AH40&gt;0,AJ40&gt;0),MIN(AH40,AJ40),MAX(AH40,AJ40))*Y40*J40^2*1E-4*DATOS!$C$16/100/1000))/2)+BC40-(IF(AND(AH40&gt;0,AJ40&gt;0),MIN(AH40,AJ40),MAX(AH40,AJ40))*Y40*J40^2*1E-4*DATOS!$C$16/100/1000))^2-16*((AL40*Y40*J40^2*1E-4*DATOS!$C$16/100/1000)+((MAX(AH40,AJ40)*Y40*J40^2*1E-4*DATOS!$C$16/100/1000)+(IF(AND(AH40&gt;0,AJ40&gt;0),MIN(AH40,AJ40),MAX(AH40,AJ40))*Y40*J40^2*1E-4*DATOS!$C$16/100/1000))/2)*BC40))))/(8*MAX(((AL40*Y40*J40^2*1E-4*DATOS!$C$16/100/1000)+((MAX(AH40,AJ40)*Y40*J40^2*1E-4*DATOS!$C$16/100/1000)+(IF(AND(AH40&gt;0,AJ40&gt;0),MIN(AH40,AJ40),MAX(AH40,AJ40))*Y40*J40^2*1E-4*DATOS!$C$16/100/1000))/2),1E-9))+MAX(BR40,12*INDEX(TABLAS!$C$52:$C$58,MATCH(BP40,TABLAS!$B$52:$B$58,0)),N40/16),IF(OR(S40&lt;INDEX(TABLAS!$C$52:$C$58,MATCH(BP40,TABLAS!$B$52:$B$58,0)),AND(BQ40&gt;=2,(DATOS!$C$13-2*S40-2*IF(DATOS!$C$25=0,0,INDEX(TABLAS!$C$52:$C$58,MATCH(DATOS!$C$25,TABLAS!$B$52:$B$58,0)))-BQ40*INDEX(TABLAS!$C$52:$C$58,MATCH(BP40,TABLAS!$B$52:$B$58,0)))/MAX(BQ40-1,1)&lt;2*INDEX(TABLAS!$C$52:$C$58,MATCH(BP40,TABLAS!$B$52:$B$58,0)))),INDEX(TABLAS!$I$52:$I$58,MATCH(BP40,TABLAS!$B$52:$B$58,0)),INDEX(TABLAS!$F$52:$F$58,MATCH(BP40,TABLAS!$B$52:$B$58,0)))),5)))</f>
        <v>185</v>
      </c>
      <c r="CV40" s="59">
        <f>IF(D40="HUECO",0,IF(((4*((AM40*Y40*J40^2*1E-4*DATOS!$C$16/100/1000)+((MAX(AI40,AK40)*Y40*J40^2*1E-4*DATOS!$C$16/100/1000)+(IF(AND(AI40&gt;0,AK40&gt;0),MIN(AI40,AK40),MAX(AI40,AK40))*Y40*J40^2*1E-4*DATOS!$C$16/100/1000))/2)+BE40-(IF(AND(AI40&gt;0,AK40&gt;0),MIN(AI40,AK40),MAX(AI40,AK40))*Y40*J40^2*1E-4*DATOS!$C$16/100/1000))^2-16*((AM40*Y40*J40^2*1E-4*DATOS!$C$16/100/1000)+((MAX(AI40,AK40)*Y40*J40^2*1E-4*DATOS!$C$16/100/1000)+(IF(AND(AI40&gt;0,AK40&gt;0),MIN(AI40,AK40),MAX(AI40,AK40))*Y40*J40^2*1E-4*DATOS!$C$16/100/1000))/2)*BE40)&lt;0,CEILING(O40,5),CEILING(MAX(O40*((4*((AM40*Y40*J40^2*1E-4*DATOS!$C$16/100/1000)+((MAX(AI40,AK40)*Y40*J40^2*1E-4*DATOS!$C$16/100/1000)+(IF(AND(AI40&gt;0,AK40&gt;0),MIN(AI40,AK40),MAX(AI40,AK40))*Y40*J40^2*1E-4*DATOS!$C$16/100/1000))/2)+BE40-(IF(AND(AI40&gt;0,AK40&gt;0),MIN(AI40,AK40),MAX(AI40,AK40))*Y40*J40^2*1E-4*DATOS!$C$16/100/1000))-SQRT(MAX(0,((4*((AM40*Y40*J40^2*1E-4*DATOS!$C$16/100/1000)+((MAX(AI40,AK40)*Y40*J40^2*1E-4*DATOS!$C$16/100/1000)+(IF(AND(AI40&gt;0,AK40&gt;0),MIN(AI40,AK40),MAX(AI40,AK40))*Y40*J40^2*1E-4*DATOS!$C$16/100/1000))/2)+BE40-(IF(AND(AI40&gt;0,AK40&gt;0),MIN(AI40,AK40),MAX(AI40,AK40))*Y40*J40^2*1E-4*DATOS!$C$16/100/1000))^2-16*((AM40*Y40*J40^2*1E-4*DATOS!$C$16/100/1000)+((MAX(AI40,AK40)*Y40*J40^2*1E-4*DATOS!$C$16/100/1000)+(IF(AND(AI40&gt;0,AK40&gt;0),MIN(AI40,AK40),MAX(AI40,AK40))*Y40*J40^2*1E-4*DATOS!$C$16/100/1000))/2)*BE40))))/(8*MAX(((AM40*Y40*J40^2*1E-4*DATOS!$C$16/100/1000)+((MAX(AI40,AK40)*Y40*J40^2*1E-4*DATOS!$C$16/100/1000)+(IF(AND(AI40&gt;0,AK40&gt;0),MIN(AI40,AK40),MAX(AI40,AK40))*Y40*J40^2*1E-4*DATOS!$C$16/100/1000))/2),1E-9))+MAX(CH40,12*INDEX(TABLAS!$C$52:$C$58,MATCH(CF40,TABLAS!$B$52:$B$58,0)),O40/16),IF(OR(S40&lt;INDEX(TABLAS!$C$52:$C$58,MATCH(CF40,TABLAS!$B$52:$B$58,0)),AND(CG40&gt;=2,(DATOS!$C$13-2*S40-2*IF(DATOS!$C$25=0,0,INDEX(TABLAS!$C$52:$C$58,MATCH(DATOS!$C$25,TABLAS!$B$52:$B$58,0)))-CG40*INDEX(TABLAS!$C$52:$C$58,MATCH(CF40,TABLAS!$B$52:$B$58,0)))/MAX(CG40-1,1)&lt;2*INDEX(TABLAS!$C$52:$C$58,MATCH(CF40,TABLAS!$B$52:$B$58,0)))),INDEX(TABLAS!$I$52:$I$58,MATCH(CF40,TABLAS!$B$52:$B$58,0)),INDEX(TABLAS!$F$52:$F$58,MATCH(CF40,TABLAS!$B$52:$B$58,0)))),5)))</f>
        <v>330</v>
      </c>
      <c r="CW40" s="56">
        <f>MAX(0,INT((F40*100-DATOS!$C$17+DATOS!$C$13)/DATOS!$C$16))</f>
        <v>4</v>
      </c>
      <c r="CX40" s="56">
        <f>MAX(0,INT((G40*100-DATOS!$C$17+DATOS!$C$13)/DATOS!$C$16))</f>
        <v>16</v>
      </c>
      <c r="CY40" s="51" t="str">
        <f>IF(COUNTIFS(TRIB!$C$6:$C$255,B40,TRIB!$K$6:$K$255,"NO CUMPLE*")+COUNTIFS(TRIB!$C$6:$C$255,B40,TRIB!$K$6:$K$255,"SIN APOYO*")&gt;0,"VER PRINCIPALES",IF((APOYOS!$F$153="LIBRE")+(APOYOS!$F$154="LIBRE")+(APOYOS!$F$155="LIBRE")+(APOYOS!$F$156="LIBRE")&gt;0,"REVISAR: borde libre","OK"))</f>
        <v>OK</v>
      </c>
      <c r="CZ40" s="64" t="str">
        <f>IF(D40="HUECO","HUECO — marco de nervaduras principales",IF(AND(MAX(BL40,BT40,CB40,CJ40)&lt;=1,NOT(OR(BI40&gt;MIN(DATOS!$C$28,INT(((DATOS!$C$13-2*R40-2*IF(DATOS!$C$25=0,0,INDEX(TABLAS!$C$52:$C$58,MATCH(DATOS!$C$25,TABLAS!$B$52:$B$58,0))))+DATOS!$C$32)/(INDEX(TABLAS!$C$52:$C$58,MATCH(BH40,TABLAS!$B$52:$B$58,0))+DATOS!$C$32))),BQ40&gt;MIN(DATOS!$C$28,INT(((DATOS!$C$13-2*S40-2*IF(DATOS!$C$25=0,0,INDEX(TABLAS!$C$52:$C$58,MATCH(DATOS!$C$25,TABLAS!$B$52:$B$58,0))))+DATOS!$C$32)/(INDEX(TABLAS!$C$52:$C$58,MATCH(BP40,TABLAS!$B$52:$B$58,0))+DATOS!$C$32))),BY40&gt;MIN(DATOS!$C$28,INT(((DATOS!$C$13-2*R40-2*IF(DATOS!$C$25=0,0,INDEX(TABLAS!$C$52:$C$58,MATCH(DATOS!$C$25,TABLAS!$B$52:$B$58,0))))+DATOS!$C$32)/(INDEX(TABLAS!$C$52:$C$58,MATCH(BX40,TABLAS!$B$52:$B$58,0))+DATOS!$C$32))),CG40&gt;MIN(DATOS!$C$28,INT(((DATOS!$C$13-2*S40-2*IF(DATOS!$C$25=0,0,INDEX(TABLAS!$C$52:$C$58,MATCH(DATOS!$C$25,TABLAS!$B$52:$B$58,0))))+DATOS!$C$32)/(INDEX(TABLAS!$C$52:$C$58,MATCH(CF40,TABLAS!$B$52:$B$58,0))+DATOS!$C$32))))),NOT(OR(AND(ISNUMBER(BM40),BM40&lt;0.005),AND(ISNUMBER(BU40),BU40&lt;0.005),AND(ISNUMBER(CC40),CC40&lt;0.005),AND(ISNUMBER(CK40),CK40&lt;0.005))),CS40="CUMPLE",CT40="CUMPLE"),IF(CY40="OK",IF(LEFT(CO40,6)="CUMPLE","CUMPLE","CUMPLE — "&amp;CO40)&amp;IF(LEFT(AZ40,5)="FUERA"," · fuera de 3.4.2.1 c)",""),IF(CY40="VER PRINCIPALES","VER PRINCIPALES","REVISAR APOYOS")),IF(AND(MAX(BL40,BT40,CB40,CJ40)&lt;=1,NOT(OR(BI40&gt;MIN(DATOS!$C$28,INT(((DATOS!$C$13-2*R40-2*IF(DATOS!$C$25=0,0,INDEX(TABLAS!$C$52:$C$58,MATCH(DATOS!$C$25,TABLAS!$B$52:$B$58,0))))+DATOS!$C$32)/(INDEX(TABLAS!$C$52:$C$58,MATCH(BH40,TABLAS!$B$52:$B$58,0))+DATOS!$C$32))),BQ40&gt;MIN(DATOS!$C$28,INT(((DATOS!$C$13-2*S40-2*IF(DATOS!$C$25=0,0,INDEX(TABLAS!$C$52:$C$58,MATCH(DATOS!$C$25,TABLAS!$B$52:$B$58,0))))+DATOS!$C$32)/(INDEX(TABLAS!$C$52:$C$58,MATCH(BP40,TABLAS!$B$52:$B$58,0))+DATOS!$C$32))),BY40&gt;MIN(DATOS!$C$28,INT(((DATOS!$C$13-2*R40-2*IF(DATOS!$C$25=0,0,INDEX(TABLAS!$C$52:$C$58,MATCH(DATOS!$C$25,TABLAS!$B$52:$B$58,0))))+DATOS!$C$32)/(INDEX(TABLAS!$C$52:$C$58,MATCH(BX40,TABLAS!$B$52:$B$58,0))+DATOS!$C$32))),CG40&gt;MIN(DATOS!$C$28,INT(((DATOS!$C$13-2*S40-2*IF(DATOS!$C$25=0,0,INDEX(TABLAS!$C$52:$C$58,MATCH(DATOS!$C$25,TABLAS!$B$52:$B$58,0))))+DATOS!$C$32)/(INDEX(TABLAS!$C$52:$C$58,MATCH(CF40,TABLAS!$B$52:$B$58,0))+DATOS!$C$32))))),NOT(OR(AND(ISNUMBER(BM40),BM40&lt;0.005),AND(ISNUMBER(BU40),BU40&lt;0.005),AND(ISNUMBER(CC40),CC40&lt;0.005),AND(ISNUMBER(CK40),CK40&lt;0.005))),CS40="CALCULAR FLECHA"),"REVISAR: calcular flecha (h_eq &lt; h mín.)","NO CUMPLE: "&amp;IF(MAX(BL40,BT40,CB40,CJ40)&gt;1,"flexión ","")&amp;IF(OR(BI40&gt;MIN(DATOS!$C$28,INT(((DATOS!$C$13-2*R40-2*IF(DATOS!$C$25=0,0,INDEX(TABLAS!$C$52:$C$58,MATCH(DATOS!$C$25,TABLAS!$B$52:$B$58,0))))+DATOS!$C$32)/(INDEX(TABLAS!$C$52:$C$58,MATCH(BH40,TABLAS!$B$52:$B$58,0))+DATOS!$C$32))),BQ40&gt;MIN(DATOS!$C$28,INT(((DATOS!$C$13-2*S40-2*IF(DATOS!$C$25=0,0,INDEX(TABLAS!$C$52:$C$58,MATCH(DATOS!$C$25,TABLAS!$B$52:$B$58,0))))+DATOS!$C$32)/(INDEX(TABLAS!$C$52:$C$58,MATCH(BP40,TABLAS!$B$52:$B$58,0))+DATOS!$C$32))),BY40&gt;MIN(DATOS!$C$28,INT(((DATOS!$C$13-2*R40-2*IF(DATOS!$C$25=0,0,INDEX(TABLAS!$C$52:$C$58,MATCH(DATOS!$C$25,TABLAS!$B$52:$B$58,0))))+DATOS!$C$32)/(INDEX(TABLAS!$C$52:$C$58,MATCH(BX40,TABLAS!$B$52:$B$58,0))+DATOS!$C$32))),CG40&gt;MIN(DATOS!$C$28,INT(((DATOS!$C$13-2*S40-2*IF(DATOS!$C$25=0,0,INDEX(TABLAS!$C$52:$C$58,MATCH(DATOS!$C$25,TABLAS!$B$52:$B$58,0))))+DATOS!$C$32)/(INDEX(TABLAS!$C$52:$C$58,MATCH(CF40,TABLAS!$B$52:$B$58,0))+DATOS!$C$32)))),"no caben ","")&amp;IF(OR(AND(ISNUMBER(BM40),BM40&lt;0.005),AND(ISNUMBER(BU40),BU40&lt;0.005),AND(ISNUMBER(CC40),CC40&lt;0.005),AND(ISNUMBER(CK40),CK40&lt;0.005)),"ε_t &lt; 0.005 ","")&amp;IF(CS40="NO CUMPLE","peralte ","")&amp;IF(CT40&lt;&gt;"CUMPLE","capa &lt; 6 cm",""))))</f>
        <v>CUMPLE · fuera de 3.4.2.1 c)</v>
      </c>
      <c r="DA40" s="65" t="str">
        <f>IF(AND(D40="PERIMETRAL",MIN(CW40,CX40)=0),"Tablero macizo (no cabe un casetón en el claro corto): no aplica 6.7.8. La resistencia se revisa con una nervadura de 10 cm cada 70 cm y r_np (conservador); "&amp;"como losa maciza lleva además As,mín = 0.0018·Ag en cada dirección cerca de la cara a tensión (6.7.6.1.1, p. 175). ",IF(AND(CL40="NO",D40="PERIMETRAL"),"No cumple 6.7.8.1.4 (a_c = "&amp;DATOS!$C$11&amp;" cm &gt; claro corto/6 = "&amp;TEXT(J40*100/6,"0")&amp;" cm): se diseña como losa apoyada en vigas (6.7.8.1.9): nervaduras con recubrimiento de viga r_np = "&amp;DATOS!$C$22&amp;" cm (Tabla 4.14.16.a), V_cR sin ×1.1 y cortante sin estribos por 5.5.3.8.1 (criterio del Proyectista). Para que cuente como encasetonada: casetón de "&amp;TEXT(FLOOR(MIN(80,J40*100/6),1),"0")&amp;" cm o menor. ",""))&amp;IF(LEFT(AZ40,5)="FUERA","M⁻ del borde común "&amp;AZ40&amp;": difieren más de 50% (3.4.2.1 c); se distribuyen 2/3 del desequilibrio (3.4.3.1) y conviene confirmar los momentos con el modelo. ","")&amp;"Parte x 3.427–5.422, y 14.021–17.446: la de mayor claro corto. El resto es pasillo de 1.10–1.60 m. En el E2K está como «Slab1» (maciza 20 cm, 4000 psi): corregir a LR-25."</f>
        <v>No cumple 6.7.8.1.4 (a_c = 60 cm &gt; claro corto/6 = 33 cm): se diseña como losa apoyada en vigas (6.7.8.1.9): nervaduras con recubrimiento de viga r_np = 4 cm (Tabla 4.14.16.a), V_cR sin ×1.1 y cortante sin estribos por 5.5.3.8.1 (criterio del Proyectista). Para que cuente como encasetonada: casetón de 33 cm o menor. M⁻ del borde común FUERA con F80024 F80030 F80031 F80027 F80010 F80025 F80026 · continuidad asimétrica con F80023 (cada uno con su momento; revisar APOYOS) · continuidad asimétrica con F80024 (cada uno con su momento; revisar APOYOS) · continuidad asimétrica con F80030 (cada uno con su momento; revisar APOYOS) · continuidad asimétrica con F80031 (cada uno con su momento; revisar APOYOS): difieren más de 50% (3.4.2.1 c); se distribuyen 2/3 del desequilibrio (3.4.3.1) y conviene confirmar los momentos con el modelo. Parte x 3.427–5.422, y 14.021–17.446: la de mayor claro corto. El resto es pasillo de 1.10–1.60 m. En el E2K está como «Slab1» (maciza 20 cm, 4000 psi): corregir a LR-25.</v>
      </c>
    </row>
  </sheetData>
  <mergeCells count="17">
    <mergeCell ref="CL6:CO6"/>
    <mergeCell ref="B1:DA1"/>
    <mergeCell ref="T6:Y6"/>
    <mergeCell ref="AN6:AZ6"/>
    <mergeCell ref="AF6:AM6"/>
    <mergeCell ref="CU6:DA6"/>
    <mergeCell ref="B6:E6"/>
    <mergeCell ref="B2:DA2"/>
    <mergeCell ref="BA6:BE6"/>
    <mergeCell ref="BN6:BU6"/>
    <mergeCell ref="B3:DA3"/>
    <mergeCell ref="BV6:CC6"/>
    <mergeCell ref="CP6:CT6"/>
    <mergeCell ref="BF6:BM6"/>
    <mergeCell ref="Z6:AE6"/>
    <mergeCell ref="F6:S6"/>
    <mergeCell ref="CD6:CK6"/>
  </mergeCells>
  <conditionalFormatting sqref="B9:CZ40">
    <cfRule type="expression" priority="1" dxfId="0" stopIfTrue="1">
      <formula>OR(ISNUMBER(FIND("NO CUMPLE",B9)),ISNUMBER(FIND("REVISAR",B9)),ISNUMBER(FIND("NO CABE",B9)),ISNUMBER(FIND("FUERA",B9)),ISNUMBER(FIND("SIN APOYO",B9)),ISNUMBER(FIND("INSUFICIENTE",B9)),ISNUMBER(FIND("PENDIENTE",B9)))</formula>
    </cfRule>
    <cfRule type="expression" priority="2" dxfId="1" stopIfTrue="1">
      <formula>OR(ISNUMBER(FIND("CUMPLE",B9)),ISNUMBER(FIND("SÍ aplica",B9)),ISNUMBER(FIND("MANDA",B9)))</formula>
    </cfRule>
    <cfRule type="expression" priority="3" dxfId="2" stopIfTrue="1">
      <formula>OR(ISNUMBER(FIND("MACIZAR",B9)),ISNUMBER(FIND("VOLADO",B9)),ISNUMBER(FIND("PROPUESTO",B9)),ISNUMBER(FIND("VER ",B9)))</formula>
    </cfRule>
  </conditionalFormatting>
  <conditionalFormatting sqref="CL9:CL40">
    <cfRule type="expression" priority="4" dxfId="0" stopIfTrue="1">
      <formula>OR(ISNUMBER(FIND("NO CUMPLE",CL9)),ISNUMBER(FIND("REVISAR",CL9)),ISNUMBER(FIND("NO CABE",CL9)),ISNUMBER(FIND("FUERA",CL9)),ISNUMBER(FIND("SIN APOYO",CL9)),ISNUMBER(FIND("INSUFICIENTE",CL9)),ISNUMBER(FIND("PENDIENTE",CL9)))</formula>
    </cfRule>
    <cfRule type="expression" priority="5" dxfId="1" stopIfTrue="1">
      <formula>OR(ISNUMBER(FIND("CUMPLE",CL9)),ISNUMBER(FIND("SÍ aplica",CL9)),ISNUMBER(FIND("MANDA",CL9)))</formula>
    </cfRule>
    <cfRule type="expression" priority="6" dxfId="2" stopIfTrue="1">
      <formula>OR(ISNUMBER(FIND("MACIZAR",CL9)),ISNUMBER(FIND("VOLADO",CL9)),ISNUMBER(FIND("PROPUESTO",CL9)),ISNUMBER(FIND("VER ",CL9)))</formula>
    </cfRule>
  </conditionalFormatting>
  <conditionalFormatting sqref="CS9:CS40">
    <cfRule type="expression" priority="7" dxfId="0" stopIfTrue="1">
      <formula>OR(ISNUMBER(FIND("NO CUMPLE",CS9)),ISNUMBER(FIND("REVISAR",CS9)),ISNUMBER(FIND("NO CABE",CS9)),ISNUMBER(FIND("FUERA",CS9)),ISNUMBER(FIND("SIN APOYO",CS9)),ISNUMBER(FIND("INSUFICIENTE",CS9)),ISNUMBER(FIND("PENDIENTE",CS9)))</formula>
    </cfRule>
    <cfRule type="expression" priority="8" dxfId="1" stopIfTrue="1">
      <formula>OR(ISNUMBER(FIND("CUMPLE",CS9)),ISNUMBER(FIND("SÍ aplica",CS9)),ISNUMBER(FIND("MANDA",CS9)))</formula>
    </cfRule>
    <cfRule type="expression" priority="9" dxfId="2" stopIfTrue="1">
      <formula>OR(ISNUMBER(FIND("MACIZAR",CS9)),ISNUMBER(FIND("VOLADO",CS9)),ISNUMBER(FIND("PROPUESTO",CS9)),ISNUMBER(FIND("VER ",CS9)))</formula>
    </cfRule>
  </conditionalFormatting>
  <conditionalFormatting sqref="CT9:CT40">
    <cfRule type="expression" priority="10" dxfId="0" stopIfTrue="1">
      <formula>OR(ISNUMBER(FIND("NO CUMPLE",CT9)),ISNUMBER(FIND("REVISAR",CT9)),ISNUMBER(FIND("NO CABE",CT9)),ISNUMBER(FIND("FUERA",CT9)),ISNUMBER(FIND("SIN APOYO",CT9)),ISNUMBER(FIND("INSUFICIENTE",CT9)),ISNUMBER(FIND("PENDIENTE",CT9)))</formula>
    </cfRule>
    <cfRule type="expression" priority="11" dxfId="1" stopIfTrue="1">
      <formula>OR(ISNUMBER(FIND("CUMPLE",CT9)),ISNUMBER(FIND("SÍ aplica",CT9)),ISNUMBER(FIND("MANDA",CT9)))</formula>
    </cfRule>
    <cfRule type="expression" priority="12" dxfId="2" stopIfTrue="1">
      <formula>OR(ISNUMBER(FIND("MACIZAR",CT9)),ISNUMBER(FIND("VOLADO",CT9)),ISNUMBER(FIND("PROPUESTO",CT9)),ISNUMBER(FIND("VER ",CT9)))</formula>
    </cfRule>
  </conditionalFormatting>
  <conditionalFormatting sqref="CO9:CO40">
    <cfRule type="expression" priority="13" dxfId="0" stopIfTrue="1">
      <formula>OR(ISNUMBER(FIND("NO CUMPLE",CO9)),ISNUMBER(FIND("REVISAR",CO9)),ISNUMBER(FIND("NO CABE",CO9)),ISNUMBER(FIND("FUERA",CO9)),ISNUMBER(FIND("SIN APOYO",CO9)),ISNUMBER(FIND("INSUFICIENTE",CO9)),ISNUMBER(FIND("PENDIENTE",CO9)))</formula>
    </cfRule>
    <cfRule type="expression" priority="14" dxfId="1" stopIfTrue="1">
      <formula>OR(ISNUMBER(FIND("CUMPLE",CO9)),ISNUMBER(FIND("SÍ aplica",CO9)),ISNUMBER(FIND("MANDA",CO9)))</formula>
    </cfRule>
    <cfRule type="expression" priority="15" dxfId="2" stopIfTrue="1">
      <formula>OR(ISNUMBER(FIND("MACIZAR",CO9)),ISNUMBER(FIND("VOLADO",CO9)),ISNUMBER(FIND("PROPUESTO",CO9)),ISNUMBER(FIND("VER ",CO9)))</formula>
    </cfRule>
  </conditionalFormatting>
  <conditionalFormatting sqref="AZ9:AZ40">
    <cfRule type="expression" priority="16" dxfId="0" stopIfTrue="1">
      <formula>OR(ISNUMBER(FIND("NO CUMPLE",AZ9)),ISNUMBER(FIND("REVISAR",AZ9)),ISNUMBER(FIND("NO CABE",AZ9)),ISNUMBER(FIND("FUERA",AZ9)),ISNUMBER(FIND("SIN APOYO",AZ9)),ISNUMBER(FIND("INSUFICIENTE",AZ9)),ISNUMBER(FIND("PENDIENTE",AZ9)))</formula>
    </cfRule>
    <cfRule type="expression" priority="17" dxfId="1" stopIfTrue="1">
      <formula>OR(ISNUMBER(FIND("CUMPLE",AZ9)),ISNUMBER(FIND("SÍ aplica",AZ9)),ISNUMBER(FIND("MANDA",AZ9)))</formula>
    </cfRule>
    <cfRule type="expression" priority="18" dxfId="2" stopIfTrue="1">
      <formula>OR(ISNUMBER(FIND("MACIZAR",AZ9)),ISNUMBER(FIND("VOLADO",AZ9)),ISNUMBER(FIND("PROPUESTO",AZ9)),ISNUMBER(FIND("VER ",AZ9)))</formula>
    </cfRule>
  </conditionalFormatting>
  <dataValidations count="96">
    <dataValidation sqref="D9" showDropDown="0" showInputMessage="0" showErrorMessage="0" allowBlank="0" errorTitle="Valor no válido" error="Escoge un valor de la lista" type="list">
      <formula1>=TABLAS!$C$72:$C$74</formula1>
    </dataValidation>
    <dataValidation sqref="E9" showDropDown="0" showInputMessage="0" showErrorMessage="0" allowBlank="0" errorTitle="Valor no válido" error="Escoge un valor de la lista" type="list">
      <formula1>=TABLAS!$D$72:$D$73</formula1>
    </dataValidation>
    <dataValidation sqref="AD9" showDropDown="0" showInputMessage="0" showErrorMessage="0" allowBlank="0" errorTitle="Valor no válido" error="Escoge un valor de la lista" type="list">
      <formula1>=TABLAS!$B$72:$B$79</formula1>
    </dataValidation>
    <dataValidation sqref="D10" showDropDown="0" showInputMessage="0" showErrorMessage="0" allowBlank="0" errorTitle="Valor no válido" error="Escoge un valor de la lista" type="list">
      <formula1>=TABLAS!$C$72:$C$74</formula1>
    </dataValidation>
    <dataValidation sqref="E10" showDropDown="0" showInputMessage="0" showErrorMessage="0" allowBlank="0" errorTitle="Valor no válido" error="Escoge un valor de la lista" type="list">
      <formula1>=TABLAS!$D$72:$D$73</formula1>
    </dataValidation>
    <dataValidation sqref="AD10" showDropDown="0" showInputMessage="0" showErrorMessage="0" allowBlank="0" errorTitle="Valor no válido" error="Escoge un valor de la lista" type="list">
      <formula1>=TABLAS!$B$72:$B$79</formula1>
    </dataValidation>
    <dataValidation sqref="D11" showDropDown="0" showInputMessage="0" showErrorMessage="0" allowBlank="0" errorTitle="Valor no válido" error="Escoge un valor de la lista" type="list">
      <formula1>=TABLAS!$C$72:$C$74</formula1>
    </dataValidation>
    <dataValidation sqref="E11" showDropDown="0" showInputMessage="0" showErrorMessage="0" allowBlank="0" errorTitle="Valor no válido" error="Escoge un valor de la lista" type="list">
      <formula1>=TABLAS!$D$72:$D$73</formula1>
    </dataValidation>
    <dataValidation sqref="AD11" showDropDown="0" showInputMessage="0" showErrorMessage="0" allowBlank="0" errorTitle="Valor no válido" error="Escoge un valor de la lista" type="list">
      <formula1>=TABLAS!$B$72:$B$79</formula1>
    </dataValidation>
    <dataValidation sqref="D12" showDropDown="0" showInputMessage="0" showErrorMessage="0" allowBlank="0" errorTitle="Valor no válido" error="Escoge un valor de la lista" type="list">
      <formula1>=TABLAS!$C$72:$C$74</formula1>
    </dataValidation>
    <dataValidation sqref="E12" showDropDown="0" showInputMessage="0" showErrorMessage="0" allowBlank="0" errorTitle="Valor no válido" error="Escoge un valor de la lista" type="list">
      <formula1>=TABLAS!$D$72:$D$73</formula1>
    </dataValidation>
    <dataValidation sqref="AD12" showDropDown="0" showInputMessage="0" showErrorMessage="0" allowBlank="0" errorTitle="Valor no válido" error="Escoge un valor de la lista" type="list">
      <formula1>=TABLAS!$B$72:$B$79</formula1>
    </dataValidation>
    <dataValidation sqref="D13" showDropDown="0" showInputMessage="0" showErrorMessage="0" allowBlank="0" errorTitle="Valor no válido" error="Escoge un valor de la lista" type="list">
      <formula1>=TABLAS!$C$72:$C$74</formula1>
    </dataValidation>
    <dataValidation sqref="E13" showDropDown="0" showInputMessage="0" showErrorMessage="0" allowBlank="0" errorTitle="Valor no válido" error="Escoge un valor de la lista" type="list">
      <formula1>=TABLAS!$D$72:$D$73</formula1>
    </dataValidation>
    <dataValidation sqref="AD13" showDropDown="0" showInputMessage="0" showErrorMessage="0" allowBlank="0" errorTitle="Valor no válido" error="Escoge un valor de la lista" type="list">
      <formula1>=TABLAS!$B$72:$B$79</formula1>
    </dataValidation>
    <dataValidation sqref="D14" showDropDown="0" showInputMessage="0" showErrorMessage="0" allowBlank="0" errorTitle="Valor no válido" error="Escoge un valor de la lista" type="list">
      <formula1>=TABLAS!$C$72:$C$74</formula1>
    </dataValidation>
    <dataValidation sqref="E14" showDropDown="0" showInputMessage="0" showErrorMessage="0" allowBlank="0" errorTitle="Valor no válido" error="Escoge un valor de la lista" type="list">
      <formula1>=TABLAS!$D$72:$D$73</formula1>
    </dataValidation>
    <dataValidation sqref="AD14" showDropDown="0" showInputMessage="0" showErrorMessage="0" allowBlank="0" errorTitle="Valor no válido" error="Escoge un valor de la lista" type="list">
      <formula1>=TABLAS!$B$72:$B$79</formula1>
    </dataValidation>
    <dataValidation sqref="D15" showDropDown="0" showInputMessage="0" showErrorMessage="0" allowBlank="0" errorTitle="Valor no válido" error="Escoge un valor de la lista" type="list">
      <formula1>=TABLAS!$C$72:$C$74</formula1>
    </dataValidation>
    <dataValidation sqref="E15" showDropDown="0" showInputMessage="0" showErrorMessage="0" allowBlank="0" errorTitle="Valor no válido" error="Escoge un valor de la lista" type="list">
      <formula1>=TABLAS!$D$72:$D$73</formula1>
    </dataValidation>
    <dataValidation sqref="AD15" showDropDown="0" showInputMessage="0" showErrorMessage="0" allowBlank="0" errorTitle="Valor no válido" error="Escoge un valor de la lista" type="list">
      <formula1>=TABLAS!$B$72:$B$79</formula1>
    </dataValidation>
    <dataValidation sqref="D16" showDropDown="0" showInputMessage="0" showErrorMessage="0" allowBlank="0" errorTitle="Valor no válido" error="Escoge un valor de la lista" type="list">
      <formula1>=TABLAS!$C$72:$C$74</formula1>
    </dataValidation>
    <dataValidation sqref="E16" showDropDown="0" showInputMessage="0" showErrorMessage="0" allowBlank="0" errorTitle="Valor no válido" error="Escoge un valor de la lista" type="list">
      <formula1>=TABLAS!$D$72:$D$73</formula1>
    </dataValidation>
    <dataValidation sqref="AD16" showDropDown="0" showInputMessage="0" showErrorMessage="0" allowBlank="0" errorTitle="Valor no válido" error="Escoge un valor de la lista" type="list">
      <formula1>=TABLAS!$B$72:$B$79</formula1>
    </dataValidation>
    <dataValidation sqref="D17" showDropDown="0" showInputMessage="0" showErrorMessage="0" allowBlank="0" errorTitle="Valor no válido" error="Escoge un valor de la lista" type="list">
      <formula1>=TABLAS!$C$72:$C$74</formula1>
    </dataValidation>
    <dataValidation sqref="E17" showDropDown="0" showInputMessage="0" showErrorMessage="0" allowBlank="0" errorTitle="Valor no válido" error="Escoge un valor de la lista" type="list">
      <formula1>=TABLAS!$D$72:$D$73</formula1>
    </dataValidation>
    <dataValidation sqref="AD17" showDropDown="0" showInputMessage="0" showErrorMessage="0" allowBlank="0" errorTitle="Valor no válido" error="Escoge un valor de la lista" type="list">
      <formula1>=TABLAS!$B$72:$B$79</formula1>
    </dataValidation>
    <dataValidation sqref="D18" showDropDown="0" showInputMessage="0" showErrorMessage="0" allowBlank="0" errorTitle="Valor no válido" error="Escoge un valor de la lista" type="list">
      <formula1>=TABLAS!$C$72:$C$74</formula1>
    </dataValidation>
    <dataValidation sqref="E18" showDropDown="0" showInputMessage="0" showErrorMessage="0" allowBlank="0" errorTitle="Valor no válido" error="Escoge un valor de la lista" type="list">
      <formula1>=TABLAS!$D$72:$D$73</formula1>
    </dataValidation>
    <dataValidation sqref="AD18" showDropDown="0" showInputMessage="0" showErrorMessage="0" allowBlank="0" errorTitle="Valor no válido" error="Escoge un valor de la lista" type="list">
      <formula1>=TABLAS!$B$72:$B$79</formula1>
    </dataValidation>
    <dataValidation sqref="D19" showDropDown="0" showInputMessage="0" showErrorMessage="0" allowBlank="0" errorTitle="Valor no válido" error="Escoge un valor de la lista" type="list">
      <formula1>=TABLAS!$C$72:$C$74</formula1>
    </dataValidation>
    <dataValidation sqref="E19" showDropDown="0" showInputMessage="0" showErrorMessage="0" allowBlank="0" errorTitle="Valor no válido" error="Escoge un valor de la lista" type="list">
      <formula1>=TABLAS!$D$72:$D$73</formula1>
    </dataValidation>
    <dataValidation sqref="AD19" showDropDown="0" showInputMessage="0" showErrorMessage="0" allowBlank="0" errorTitle="Valor no válido" error="Escoge un valor de la lista" type="list">
      <formula1>=TABLAS!$B$72:$B$79</formula1>
    </dataValidation>
    <dataValidation sqref="D20" showDropDown="0" showInputMessage="0" showErrorMessage="0" allowBlank="0" errorTitle="Valor no válido" error="Escoge un valor de la lista" type="list">
      <formula1>=TABLAS!$C$72:$C$74</formula1>
    </dataValidation>
    <dataValidation sqref="E20" showDropDown="0" showInputMessage="0" showErrorMessage="0" allowBlank="0" errorTitle="Valor no válido" error="Escoge un valor de la lista" type="list">
      <formula1>=TABLAS!$D$72:$D$73</formula1>
    </dataValidation>
    <dataValidation sqref="AD20" showDropDown="0" showInputMessage="0" showErrorMessage="0" allowBlank="0" errorTitle="Valor no válido" error="Escoge un valor de la lista" type="list">
      <formula1>=TABLAS!$B$72:$B$79</formula1>
    </dataValidation>
    <dataValidation sqref="D21" showDropDown="0" showInputMessage="0" showErrorMessage="0" allowBlank="0" errorTitle="Valor no válido" error="Escoge un valor de la lista" type="list">
      <formula1>=TABLAS!$C$72:$C$74</formula1>
    </dataValidation>
    <dataValidation sqref="E21" showDropDown="0" showInputMessage="0" showErrorMessage="0" allowBlank="0" errorTitle="Valor no válido" error="Escoge un valor de la lista" type="list">
      <formula1>=TABLAS!$D$72:$D$73</formula1>
    </dataValidation>
    <dataValidation sqref="AD21" showDropDown="0" showInputMessage="0" showErrorMessage="0" allowBlank="0" errorTitle="Valor no válido" error="Escoge un valor de la lista" type="list">
      <formula1>=TABLAS!$B$72:$B$79</formula1>
    </dataValidation>
    <dataValidation sqref="D22" showDropDown="0" showInputMessage="0" showErrorMessage="0" allowBlank="0" errorTitle="Valor no válido" error="Escoge un valor de la lista" type="list">
      <formula1>=TABLAS!$C$72:$C$74</formula1>
    </dataValidation>
    <dataValidation sqref="E22" showDropDown="0" showInputMessage="0" showErrorMessage="0" allowBlank="0" errorTitle="Valor no válido" error="Escoge un valor de la lista" type="list">
      <formula1>=TABLAS!$D$72:$D$73</formula1>
    </dataValidation>
    <dataValidation sqref="AD22" showDropDown="0" showInputMessage="0" showErrorMessage="0" allowBlank="0" errorTitle="Valor no válido" error="Escoge un valor de la lista" type="list">
      <formula1>=TABLAS!$B$72:$B$79</formula1>
    </dataValidation>
    <dataValidation sqref="D23" showDropDown="0" showInputMessage="0" showErrorMessage="0" allowBlank="0" errorTitle="Valor no válido" error="Escoge un valor de la lista" type="list">
      <formula1>=TABLAS!$C$72:$C$74</formula1>
    </dataValidation>
    <dataValidation sqref="E23" showDropDown="0" showInputMessage="0" showErrorMessage="0" allowBlank="0" errorTitle="Valor no válido" error="Escoge un valor de la lista" type="list">
      <formula1>=TABLAS!$D$72:$D$73</formula1>
    </dataValidation>
    <dataValidation sqref="AD23" showDropDown="0" showInputMessage="0" showErrorMessage="0" allowBlank="0" errorTitle="Valor no válido" error="Escoge un valor de la lista" type="list">
      <formula1>=TABLAS!$B$72:$B$79</formula1>
    </dataValidation>
    <dataValidation sqref="D24" showDropDown="0" showInputMessage="0" showErrorMessage="0" allowBlank="0" errorTitle="Valor no válido" error="Escoge un valor de la lista" type="list">
      <formula1>=TABLAS!$C$72:$C$74</formula1>
    </dataValidation>
    <dataValidation sqref="E24" showDropDown="0" showInputMessage="0" showErrorMessage="0" allowBlank="0" errorTitle="Valor no válido" error="Escoge un valor de la lista" type="list">
      <formula1>=TABLAS!$D$72:$D$73</formula1>
    </dataValidation>
    <dataValidation sqref="AD24" showDropDown="0" showInputMessage="0" showErrorMessage="0" allowBlank="0" errorTitle="Valor no válido" error="Escoge un valor de la lista" type="list">
      <formula1>=TABLAS!$B$72:$B$79</formula1>
    </dataValidation>
    <dataValidation sqref="D25" showDropDown="0" showInputMessage="0" showErrorMessage="0" allowBlank="0" errorTitle="Valor no válido" error="Escoge un valor de la lista" type="list">
      <formula1>=TABLAS!$C$72:$C$74</formula1>
    </dataValidation>
    <dataValidation sqref="E25" showDropDown="0" showInputMessage="0" showErrorMessage="0" allowBlank="0" errorTitle="Valor no válido" error="Escoge un valor de la lista" type="list">
      <formula1>=TABLAS!$D$72:$D$73</formula1>
    </dataValidation>
    <dataValidation sqref="AD25" showDropDown="0" showInputMessage="0" showErrorMessage="0" allowBlank="0" errorTitle="Valor no válido" error="Escoge un valor de la lista" type="list">
      <formula1>=TABLAS!$B$72:$B$79</formula1>
    </dataValidation>
    <dataValidation sqref="D26" showDropDown="0" showInputMessage="0" showErrorMessage="0" allowBlank="0" errorTitle="Valor no válido" error="Escoge un valor de la lista" type="list">
      <formula1>=TABLAS!$C$72:$C$74</formula1>
    </dataValidation>
    <dataValidation sqref="E26" showDropDown="0" showInputMessage="0" showErrorMessage="0" allowBlank="0" errorTitle="Valor no válido" error="Escoge un valor de la lista" type="list">
      <formula1>=TABLAS!$D$72:$D$73</formula1>
    </dataValidation>
    <dataValidation sqref="AD26" showDropDown="0" showInputMessage="0" showErrorMessage="0" allowBlank="0" errorTitle="Valor no válido" error="Escoge un valor de la lista" type="list">
      <formula1>=TABLAS!$B$72:$B$79</formula1>
    </dataValidation>
    <dataValidation sqref="D27" showDropDown="0" showInputMessage="0" showErrorMessage="0" allowBlank="0" errorTitle="Valor no válido" error="Escoge un valor de la lista" type="list">
      <formula1>=TABLAS!$C$72:$C$74</formula1>
    </dataValidation>
    <dataValidation sqref="E27" showDropDown="0" showInputMessage="0" showErrorMessage="0" allowBlank="0" errorTitle="Valor no válido" error="Escoge un valor de la lista" type="list">
      <formula1>=TABLAS!$D$72:$D$73</formula1>
    </dataValidation>
    <dataValidation sqref="AD27" showDropDown="0" showInputMessage="0" showErrorMessage="0" allowBlank="0" errorTitle="Valor no válido" error="Escoge un valor de la lista" type="list">
      <formula1>=TABLAS!$B$72:$B$79</formula1>
    </dataValidation>
    <dataValidation sqref="D28" showDropDown="0" showInputMessage="0" showErrorMessage="0" allowBlank="0" errorTitle="Valor no válido" error="Escoge un valor de la lista" type="list">
      <formula1>=TABLAS!$C$72:$C$74</formula1>
    </dataValidation>
    <dataValidation sqref="E28" showDropDown="0" showInputMessage="0" showErrorMessage="0" allowBlank="0" errorTitle="Valor no válido" error="Escoge un valor de la lista" type="list">
      <formula1>=TABLAS!$D$72:$D$73</formula1>
    </dataValidation>
    <dataValidation sqref="AD28" showDropDown="0" showInputMessage="0" showErrorMessage="0" allowBlank="0" errorTitle="Valor no válido" error="Escoge un valor de la lista" type="list">
      <formula1>=TABLAS!$B$72:$B$79</formula1>
    </dataValidation>
    <dataValidation sqref="D29" showDropDown="0" showInputMessage="0" showErrorMessage="0" allowBlank="0" errorTitle="Valor no válido" error="Escoge un valor de la lista" type="list">
      <formula1>=TABLAS!$C$72:$C$74</formula1>
    </dataValidation>
    <dataValidation sqref="E29" showDropDown="0" showInputMessage="0" showErrorMessage="0" allowBlank="0" errorTitle="Valor no válido" error="Escoge un valor de la lista" type="list">
      <formula1>=TABLAS!$D$72:$D$73</formula1>
    </dataValidation>
    <dataValidation sqref="AD29" showDropDown="0" showInputMessage="0" showErrorMessage="0" allowBlank="0" errorTitle="Valor no válido" error="Escoge un valor de la lista" type="list">
      <formula1>=TABLAS!$B$72:$B$79</formula1>
    </dataValidation>
    <dataValidation sqref="D30" showDropDown="0" showInputMessage="0" showErrorMessage="0" allowBlank="0" errorTitle="Valor no válido" error="Escoge un valor de la lista" type="list">
      <formula1>=TABLAS!$C$72:$C$74</formula1>
    </dataValidation>
    <dataValidation sqref="E30" showDropDown="0" showInputMessage="0" showErrorMessage="0" allowBlank="0" errorTitle="Valor no válido" error="Escoge un valor de la lista" type="list">
      <formula1>=TABLAS!$D$72:$D$73</formula1>
    </dataValidation>
    <dataValidation sqref="AD30" showDropDown="0" showInputMessage="0" showErrorMessage="0" allowBlank="0" errorTitle="Valor no válido" error="Escoge un valor de la lista" type="list">
      <formula1>=TABLAS!$B$72:$B$79</formula1>
    </dataValidation>
    <dataValidation sqref="D31" showDropDown="0" showInputMessage="0" showErrorMessage="0" allowBlank="0" errorTitle="Valor no válido" error="Escoge un valor de la lista" type="list">
      <formula1>=TABLAS!$C$72:$C$74</formula1>
    </dataValidation>
    <dataValidation sqref="E31" showDropDown="0" showInputMessage="0" showErrorMessage="0" allowBlank="0" errorTitle="Valor no válido" error="Escoge un valor de la lista" type="list">
      <formula1>=TABLAS!$D$72:$D$73</formula1>
    </dataValidation>
    <dataValidation sqref="AD31" showDropDown="0" showInputMessage="0" showErrorMessage="0" allowBlank="0" errorTitle="Valor no válido" error="Escoge un valor de la lista" type="list">
      <formula1>=TABLAS!$B$72:$B$79</formula1>
    </dataValidation>
    <dataValidation sqref="D32" showDropDown="0" showInputMessage="0" showErrorMessage="0" allowBlank="0" errorTitle="Valor no válido" error="Escoge un valor de la lista" type="list">
      <formula1>=TABLAS!$C$72:$C$74</formula1>
    </dataValidation>
    <dataValidation sqref="E32" showDropDown="0" showInputMessage="0" showErrorMessage="0" allowBlank="0" errorTitle="Valor no válido" error="Escoge un valor de la lista" type="list">
      <formula1>=TABLAS!$D$72:$D$73</formula1>
    </dataValidation>
    <dataValidation sqref="AD32" showDropDown="0" showInputMessage="0" showErrorMessage="0" allowBlank="0" errorTitle="Valor no válido" error="Escoge un valor de la lista" type="list">
      <formula1>=TABLAS!$B$72:$B$79</formula1>
    </dataValidation>
    <dataValidation sqref="D33" showDropDown="0" showInputMessage="0" showErrorMessage="0" allowBlank="0" errorTitle="Valor no válido" error="Escoge un valor de la lista" type="list">
      <formula1>=TABLAS!$C$72:$C$74</formula1>
    </dataValidation>
    <dataValidation sqref="E33" showDropDown="0" showInputMessage="0" showErrorMessage="0" allowBlank="0" errorTitle="Valor no válido" error="Escoge un valor de la lista" type="list">
      <formula1>=TABLAS!$D$72:$D$73</formula1>
    </dataValidation>
    <dataValidation sqref="AD33" showDropDown="0" showInputMessage="0" showErrorMessage="0" allowBlank="0" errorTitle="Valor no válido" error="Escoge un valor de la lista" type="list">
      <formula1>=TABLAS!$B$72:$B$79</formula1>
    </dataValidation>
    <dataValidation sqref="D34" showDropDown="0" showInputMessage="0" showErrorMessage="0" allowBlank="0" errorTitle="Valor no válido" error="Escoge un valor de la lista" type="list">
      <formula1>=TABLAS!$C$72:$C$74</formula1>
    </dataValidation>
    <dataValidation sqref="E34" showDropDown="0" showInputMessage="0" showErrorMessage="0" allowBlank="0" errorTitle="Valor no válido" error="Escoge un valor de la lista" type="list">
      <formula1>=TABLAS!$D$72:$D$73</formula1>
    </dataValidation>
    <dataValidation sqref="AD34" showDropDown="0" showInputMessage="0" showErrorMessage="0" allowBlank="0" errorTitle="Valor no válido" error="Escoge un valor de la lista" type="list">
      <formula1>=TABLAS!$B$72:$B$79</formula1>
    </dataValidation>
    <dataValidation sqref="D35" showDropDown="0" showInputMessage="0" showErrorMessage="0" allowBlank="0" errorTitle="Valor no válido" error="Escoge un valor de la lista" type="list">
      <formula1>=TABLAS!$C$72:$C$74</formula1>
    </dataValidation>
    <dataValidation sqref="E35" showDropDown="0" showInputMessage="0" showErrorMessage="0" allowBlank="0" errorTitle="Valor no válido" error="Escoge un valor de la lista" type="list">
      <formula1>=TABLAS!$D$72:$D$73</formula1>
    </dataValidation>
    <dataValidation sqref="AD35" showDropDown="0" showInputMessage="0" showErrorMessage="0" allowBlank="0" errorTitle="Valor no válido" error="Escoge un valor de la lista" type="list">
      <formula1>=TABLAS!$B$72:$B$79</formula1>
    </dataValidation>
    <dataValidation sqref="D36" showDropDown="0" showInputMessage="0" showErrorMessage="0" allowBlank="0" errorTitle="Valor no válido" error="Escoge un valor de la lista" type="list">
      <formula1>=TABLAS!$C$72:$C$74</formula1>
    </dataValidation>
    <dataValidation sqref="E36" showDropDown="0" showInputMessage="0" showErrorMessage="0" allowBlank="0" errorTitle="Valor no válido" error="Escoge un valor de la lista" type="list">
      <formula1>=TABLAS!$D$72:$D$73</formula1>
    </dataValidation>
    <dataValidation sqref="AD36" showDropDown="0" showInputMessage="0" showErrorMessage="0" allowBlank="0" errorTitle="Valor no válido" error="Escoge un valor de la lista" type="list">
      <formula1>=TABLAS!$B$72:$B$79</formula1>
    </dataValidation>
    <dataValidation sqref="D37" showDropDown="0" showInputMessage="0" showErrorMessage="0" allowBlank="0" errorTitle="Valor no válido" error="Escoge un valor de la lista" type="list">
      <formula1>=TABLAS!$C$72:$C$74</formula1>
    </dataValidation>
    <dataValidation sqref="E37" showDropDown="0" showInputMessage="0" showErrorMessage="0" allowBlank="0" errorTitle="Valor no válido" error="Escoge un valor de la lista" type="list">
      <formula1>=TABLAS!$D$72:$D$73</formula1>
    </dataValidation>
    <dataValidation sqref="AD37" showDropDown="0" showInputMessage="0" showErrorMessage="0" allowBlank="0" errorTitle="Valor no válido" error="Escoge un valor de la lista" type="list">
      <formula1>=TABLAS!$B$72:$B$79</formula1>
    </dataValidation>
    <dataValidation sqref="D38" showDropDown="0" showInputMessage="0" showErrorMessage="0" allowBlank="0" errorTitle="Valor no válido" error="Escoge un valor de la lista" type="list">
      <formula1>=TABLAS!$C$72:$C$74</formula1>
    </dataValidation>
    <dataValidation sqref="E38" showDropDown="0" showInputMessage="0" showErrorMessage="0" allowBlank="0" errorTitle="Valor no válido" error="Escoge un valor de la lista" type="list">
      <formula1>=TABLAS!$D$72:$D$73</formula1>
    </dataValidation>
    <dataValidation sqref="AD38" showDropDown="0" showInputMessage="0" showErrorMessage="0" allowBlank="0" errorTitle="Valor no válido" error="Escoge un valor de la lista" type="list">
      <formula1>=TABLAS!$B$72:$B$79</formula1>
    </dataValidation>
    <dataValidation sqref="D39" showDropDown="0" showInputMessage="0" showErrorMessage="0" allowBlank="0" errorTitle="Valor no válido" error="Escoge un valor de la lista" type="list">
      <formula1>=TABLAS!$C$72:$C$74</formula1>
    </dataValidation>
    <dataValidation sqref="E39" showDropDown="0" showInputMessage="0" showErrorMessage="0" allowBlank="0" errorTitle="Valor no válido" error="Escoge un valor de la lista" type="list">
      <formula1>=TABLAS!$D$72:$D$73</formula1>
    </dataValidation>
    <dataValidation sqref="AD39" showDropDown="0" showInputMessage="0" showErrorMessage="0" allowBlank="0" errorTitle="Valor no válido" error="Escoge un valor de la lista" type="list">
      <formula1>=TABLAS!$B$72:$B$79</formula1>
    </dataValidation>
    <dataValidation sqref="D40" showDropDown="0" showInputMessage="0" showErrorMessage="0" allowBlank="0" errorTitle="Valor no válido" error="Escoge un valor de la lista" type="list">
      <formula1>=TABLAS!$C$72:$C$74</formula1>
    </dataValidation>
    <dataValidation sqref="E40" showDropDown="0" showInputMessage="0" showErrorMessage="0" allowBlank="0" errorTitle="Valor no válido" error="Escoge un valor de la lista" type="list">
      <formula1>=TABLAS!$D$72:$D$73</formula1>
    </dataValidation>
    <dataValidation sqref="AD40" showDropDown="0" showInputMessage="0" showErrorMessage="0" allowBlank="0" errorTitle="Valor no válido" error="Escoge un valor de la lista" type="list">
      <formula1>=TABLAS!$B$72:$B$79</formula1>
    </dataValidation>
  </dataValidations>
  <pageMargins left="0.75" right="0.75" top="1" bottom="1" header="0.5" footer="0.5"/>
  <pageSetup orientation="landscape" paperSize="1" fitToHeight="0" fitToWidth="1"/>
</worksheet>
</file>

<file path=xl/worksheets/sheet5.xml><?xml version="1.0" encoding="utf-8"?>
<worksheet xmlns="http://schemas.openxmlformats.org/spreadsheetml/2006/main">
  <sheetPr>
    <outlinePr summaryBelow="1" summaryRight="1"/>
    <pageSetUpPr fitToPage="1"/>
  </sheetPr>
  <dimension ref="B1:F175"/>
  <sheetViews>
    <sheetView showGridLines="0" zoomScale="85" workbookViewId="0">
      <selection activeCell="A1" sqref="A1"/>
    </sheetView>
  </sheetViews>
  <sheetFormatPr baseColWidth="8" defaultRowHeight="15"/>
  <cols>
    <col width="1.78" customWidth="1" min="1" max="1"/>
    <col width="46" customWidth="1" min="2" max="2"/>
    <col width="17" customWidth="1" min="3" max="3"/>
    <col width="9" customWidth="1" min="4" max="4"/>
    <col width="54" customWidth="1" min="5" max="5"/>
    <col width="44" customWidth="1" min="6" max="6"/>
  </cols>
  <sheetData>
    <row r="1" ht="26" customHeight="1">
      <c r="B1" s="1" t="inlineStr">
        <is>
          <t>NERVADURA — DISEÑO PASO A PASO DE UN TABLERO</t>
        </is>
      </c>
    </row>
    <row r="2" ht="30" customHeight="1">
      <c r="B2" s="2" t="inlineStr">
        <is>
          <t>Escoge el tablero en la celda amarilla. La hoja vuelve a hacer, con la fórmula a la vista, lo mismo que hace TABLEROS en un renglón; al final compara los dos resultados. La sección 11 revisa la capa de compresión (es igual para todos los tableros).</t>
        </is>
      </c>
    </row>
    <row r="3" ht="6" customHeight="1"/>
    <row r="4" ht="21" customHeight="1">
      <c r="B4" s="5" t="inlineStr">
        <is>
          <t>0. TABLERO</t>
        </is>
      </c>
    </row>
    <row r="5" ht="30" customHeight="1">
      <c r="B5" s="8" t="inlineStr">
        <is>
          <t>Concepto</t>
        </is>
      </c>
      <c r="C5" s="8" t="inlineStr">
        <is>
          <t>Valor</t>
        </is>
      </c>
      <c r="D5" s="8" t="inlineStr">
        <is>
          <t>Unidad</t>
        </is>
      </c>
      <c r="E5" s="8" t="inlineStr">
        <is>
          <t>Cómo se calcula / de dónde sale</t>
        </is>
      </c>
      <c r="F5" s="8" t="inlineStr">
        <is>
          <t>Referencia</t>
        </is>
      </c>
    </row>
    <row r="6" ht="19.5" customHeight="1">
      <c r="B6" s="9" t="inlineStr">
        <is>
          <t>Tablero a revisar (y a dibujar en CROQUIS)</t>
        </is>
      </c>
      <c r="C6" s="15" t="inlineStr">
        <is>
          <t>F80016 N+3.00</t>
        </is>
      </c>
      <c r="D6" s="11" t="inlineStr">
        <is>
          <t>—</t>
        </is>
      </c>
      <c r="E6" s="12" t="inlineStr">
        <is>
          <t>SELECTOR. Lista de TABLEROS columna B.</t>
        </is>
      </c>
      <c r="F6" s="13" t="inlineStr">
        <is>
          <t>—</t>
        </is>
      </c>
    </row>
    <row r="7" ht="19.5" customHeight="1">
      <c r="B7" s="9" t="inlineStr">
        <is>
          <t>Renglón en TABLEROS</t>
        </is>
      </c>
      <c r="C7" s="45">
        <f>MATCH(NERVADURA!$C$6,TABLEROS!$B$9:$B$40,0)</f>
        <v>15</v>
      </c>
      <c r="D7" s="11" t="inlineStr">
        <is>
          <t>—</t>
        </is>
      </c>
      <c r="E7" s="12" t="inlineStr">
        <is>
          <t>Auxiliar.</t>
        </is>
      </c>
      <c r="F7" s="13" t="inlineStr">
        <is>
          <t>—</t>
        </is>
      </c>
    </row>
    <row r="8" ht="6" customHeight="1"/>
    <row r="9" ht="21" customHeight="1">
      <c r="B9" s="5" t="inlineStr">
        <is>
          <t>1. GEOMETRÍA Y CARGAS</t>
        </is>
      </c>
    </row>
    <row r="10" ht="30" customHeight="1">
      <c r="B10" s="8" t="inlineStr">
        <is>
          <t>Concepto</t>
        </is>
      </c>
      <c r="C10" s="8" t="inlineStr">
        <is>
          <t>Valor</t>
        </is>
      </c>
      <c r="D10" s="8" t="inlineStr">
        <is>
          <t>Unidad</t>
        </is>
      </c>
      <c r="E10" s="8" t="inlineStr">
        <is>
          <t>Cómo se calcula / de dónde sale</t>
        </is>
      </c>
      <c r="F10" s="8" t="inlineStr">
        <is>
          <t>Referencia</t>
        </is>
      </c>
    </row>
    <row r="11" ht="30" customHeight="1">
      <c r="B11" s="9" t="inlineStr">
        <is>
          <t>Modo</t>
        </is>
      </c>
      <c r="C11" s="66" t="str">
        <f>INDEX(TABLEROS!$D$9:$D$40,NERVADURA!$C$7)</f>
        <v>PERIMETRAL</v>
      </c>
      <c r="D11" s="11" t="inlineStr">
        <is>
          <t>—</t>
        </is>
      </c>
      <c r="E11" s="12" t="inlineStr">
        <is>
          <t>PERIMETRAL = apoyado en sus cuatro bordes; VOLADO; HUECO.</t>
        </is>
      </c>
      <c r="F11" s="13" t="inlineStr">
        <is>
          <t>APOYOS / TABLEROS</t>
        </is>
      </c>
    </row>
    <row r="12" ht="19.5" customHeight="1">
      <c r="B12" s="9" t="inlineStr">
        <is>
          <t>Nivel</t>
        </is>
      </c>
      <c r="C12" s="20" t="str">
        <f>INDEX(TABLEROS!$C$9:$C$40,NERVADURA!$C$7)</f>
        <v>N+3.00</v>
      </c>
      <c r="D12" s="11" t="inlineStr">
        <is>
          <t>—</t>
        </is>
      </c>
      <c r="E12" s="12" t="inlineStr">
        <is>
          <t>—</t>
        </is>
      </c>
      <c r="F12" s="13" t="inlineStr">
        <is>
          <t>001_EST_CROCHA_R3.2.e2k</t>
        </is>
      </c>
    </row>
    <row r="13" ht="43.5" customHeight="1">
      <c r="B13" s="9" t="inlineStr">
        <is>
          <t>a_x — claro en X usado (a ejes)</t>
        </is>
      </c>
      <c r="C13" s="22">
        <f>INDEX(TABLEROS!$H$9:$H$40,NERVADURA!$C$7)</f>
        <v>4.426</v>
      </c>
      <c r="D13" s="11" t="inlineStr">
        <is>
          <t>m</t>
        </is>
      </c>
      <c r="E13" s="12" t="inlineStr">
        <is>
          <t>De TABLEROS (para irregulares es el rectángulo representativo). Usar claros a ejes queda del lado seguro: la tabla permite claros libres en el caso I.</t>
        </is>
      </c>
      <c r="F13" s="13" t="inlineStr">
        <is>
          <t>AREAS_TRIBUTARIAS_R3.2.dxf · TRIB_TABLERO · NTC-Concreto 2023 (CDMX) Tabla 3.4.2.1, nota final (Caso I: claros libres entre paños), p. 65</t>
        </is>
      </c>
    </row>
    <row r="14" ht="19.5" customHeight="1">
      <c r="B14" s="9" t="inlineStr">
        <is>
          <t>a_y — claro en Y usado (a ejes)</t>
        </is>
      </c>
      <c r="C14" s="22">
        <f>INDEX(TABLEROS!$I$9:$I$40,NERVADURA!$C$7)</f>
        <v>4</v>
      </c>
      <c r="D14" s="11" t="inlineStr">
        <is>
          <t>m</t>
        </is>
      </c>
      <c r="E14" s="12" t="inlineStr">
        <is>
          <t>—</t>
        </is>
      </c>
      <c r="F14" s="13" t="inlineStr">
        <is>
          <t>AREAS_TRIBUTARIAS_R3.2.dxf</t>
        </is>
      </c>
    </row>
    <row r="15" ht="19.5" customHeight="1">
      <c r="B15" s="9" t="inlineStr">
        <is>
          <t>a1 — claro corto</t>
        </is>
      </c>
      <c r="C15" s="31">
        <f>MIN(NERVADURA!$C$13,NERVADURA!$C$14)</f>
        <v>4</v>
      </c>
      <c r="D15" s="11" t="inlineStr">
        <is>
          <t>m</t>
        </is>
      </c>
      <c r="E15" s="12" t="inlineStr">
        <is>
          <t>CALCULADA.</t>
        </is>
      </c>
      <c r="F15" s="13" t="inlineStr">
        <is>
          <t>—</t>
        </is>
      </c>
    </row>
    <row r="16" ht="19.5" customHeight="1">
      <c r="B16" s="9" t="inlineStr">
        <is>
          <t>a2 — claro largo</t>
        </is>
      </c>
      <c r="C16" s="22">
        <f>MAX(NERVADURA!$C$13,NERVADURA!$C$14)</f>
        <v>4.426</v>
      </c>
      <c r="D16" s="11" t="inlineStr">
        <is>
          <t>m</t>
        </is>
      </c>
      <c r="E16" s="12" t="inlineStr">
        <is>
          <t>CALCULADA.</t>
        </is>
      </c>
      <c r="F16" s="13" t="inlineStr">
        <is>
          <t>—</t>
        </is>
      </c>
    </row>
    <row r="17" ht="19.5" customHeight="1">
      <c r="B17" s="9" t="inlineStr">
        <is>
          <t>m = a1/a2</t>
        </is>
      </c>
      <c r="C17" s="22">
        <f>NERVADURA!$C$15/NERVADURA!$C$16</f>
        <v>0.903750564844103</v>
      </c>
      <c r="D17" s="11" t="inlineStr">
        <is>
          <t>—</t>
        </is>
      </c>
      <c r="E17" s="12" t="inlineStr">
        <is>
          <t>CALCULADA.</t>
        </is>
      </c>
      <c r="F17" s="13" t="inlineStr">
        <is>
          <t>—</t>
        </is>
      </c>
    </row>
    <row r="18" ht="30" customHeight="1">
      <c r="B18" s="9" t="inlineStr">
        <is>
          <t>Dirección del claro corto (ahí trabajan las nervaduras que más cargan)</t>
        </is>
      </c>
      <c r="C18" s="66" t="str">
        <f>IF(NERVADURA!$C$13&lt;=NERVADURA!$C$14,"‖ X","‖ Y")</f>
        <v>‖ Y</v>
      </c>
      <c r="D18" s="11" t="inlineStr">
        <is>
          <t>—</t>
        </is>
      </c>
      <c r="E18" s="12" t="inlineStr">
        <is>
          <t>Su acero va por fuera; el del claro largo se apoya sobre él (d menor).</t>
        </is>
      </c>
      <c r="F18" s="13" t="inlineStr">
        <is>
          <t>—</t>
        </is>
      </c>
    </row>
    <row r="19" ht="30" customHeight="1">
      <c r="B19" s="9" t="inlineStr">
        <is>
          <t>Claros libres L_n corto / largo</t>
        </is>
      </c>
      <c r="C19" s="20" t="str">
        <f>TEXT(INDEX(TABLEROS!$N$9:$N$40,NERVADURA!$C$7),"0")&amp;" / "&amp;TEXT(INDEX(TABLEROS!$O$9:$O$40,NERVADURA!$C$7),"0")</f>
        <v>385 / 428</v>
      </c>
      <c r="D19" s="11" t="inlineStr">
        <is>
          <t>cm</t>
        </is>
      </c>
      <c r="E19" s="12" t="inlineStr">
        <is>
          <t>Claro a ejes menos el ancho de la nervadura principal o dala.</t>
        </is>
      </c>
      <c r="F19" s="13" t="inlineStr">
        <is>
          <t>NTC-Concreto 2023 (CDMX) 6.3.2.1, p. 117</t>
        </is>
      </c>
    </row>
    <row r="20" ht="19.5" customHeight="1">
      <c r="B20" s="9" t="inlineStr">
        <is>
          <t>Patín efectivo b_f claro corto / largo</t>
        </is>
      </c>
      <c r="C20" s="20" t="str">
        <f>TEXT(INDEX(TABLEROS!$P$9:$P$40,NERVADURA!$C$7),"0.0")&amp;" / "&amp;TEXT(INDEX(TABLEROS!$Q$9:$Q$40,NERVADURA!$C$7),"0.0")</f>
        <v>70.0 / 70.0</v>
      </c>
      <c r="D20" s="11" t="inlineStr">
        <is>
          <t>cm</t>
        </is>
      </c>
      <c r="E20" s="12" t="inlineStr">
        <is>
          <t>b_w + 2·el menor de 8t, a_c/2 y L_n/8 (no más que s).</t>
        </is>
      </c>
      <c r="F20" s="13" t="inlineStr">
        <is>
          <t>NTC-Concreto 2023 (CDMX) Tabla 5.2.1.4.2, p. 89</t>
        </is>
      </c>
    </row>
    <row r="21" ht="19.5" customHeight="1">
      <c r="B21" s="9" t="inlineStr">
        <is>
          <t>SCM — sobrecarga muerta</t>
        </is>
      </c>
      <c r="C21" s="45">
        <f>INDEX(TABLEROS!$T$9:$T$40,NERVADURA!$C$7)</f>
        <v>160</v>
      </c>
      <c r="D21" s="11" t="inlineStr">
        <is>
          <t>kg/m²</t>
        </is>
      </c>
      <c r="E21" s="12" t="inlineStr">
        <is>
          <t>Del E2K, tablero por tablero.</t>
        </is>
      </c>
      <c r="F21" s="13" t="inlineStr">
        <is>
          <t>001_EST_CROCHA_R3.2.e2k · AREALOAD "Sobrecarga"</t>
        </is>
      </c>
    </row>
    <row r="22" ht="30" customHeight="1">
      <c r="B22" s="9" t="inlineStr">
        <is>
          <t>W_m — carga viva</t>
        </is>
      </c>
      <c r="C22" s="45">
        <f>INDEX(TABLEROS!$U$9:$U$40,NERVADURA!$C$7)</f>
        <v>190</v>
      </c>
      <c r="D22" s="11" t="inlineStr">
        <is>
          <t>kg/m²</t>
        </is>
      </c>
      <c r="E22" s="12" t="inlineStr">
        <is>
          <t>Según el destino del tablero.</t>
        </is>
      </c>
      <c r="F22" s="13" t="inlineStr">
        <is>
          <t>NTC-Criterios y Acciones 2023 (CDMX) Tabla 6.1.2.2, p. 11</t>
        </is>
      </c>
    </row>
    <row r="23" ht="19.5" customHeight="1">
      <c r="B23" s="9" t="inlineStr">
        <is>
          <t>PP de diseño (geométrico + 20 + 20)</t>
        </is>
      </c>
      <c r="C23" s="26">
        <f>CARGAS!$C$9</f>
        <v>293.673469387755</v>
      </c>
      <c r="D23" s="11" t="inlineStr">
        <is>
          <t>kg/m²</t>
        </is>
      </c>
      <c r="E23" s="12" t="inlineStr">
        <is>
          <t>CARGAS sección 1.</t>
        </is>
      </c>
      <c r="F23" s="13" t="inlineStr">
        <is>
          <t>NTC-Criterios y Acciones 2023 (CDMX) 5.1.2.1, p. 9</t>
        </is>
      </c>
    </row>
    <row r="24" ht="57" customHeight="1">
      <c r="B24" s="9" t="inlineStr">
        <is>
          <t>CM = PP + SCM</t>
        </is>
      </c>
      <c r="C24" s="45">
        <f>NERVADURA!$C$23+NERVADURA!$C$21</f>
        <v>453.673469387755</v>
      </c>
      <c r="D24" s="11" t="inlineStr">
        <is>
          <t>kg/m²</t>
        </is>
      </c>
      <c r="E24" s="12" t="inlineStr">
        <is>
          <t>CALCULADA. W_m/CM &lt; 2.5: cumple 3.4.2.1 d). La condición c) (M⁻ de tableros vecinos que no difieran más de 50 %) se revisa en TABLEROS, columna «3.4.2.1 c)», y se reporta abajo.</t>
        </is>
      </c>
      <c r="F24" s="13" t="inlineStr">
        <is>
          <t>NTC-Concreto 2023 (CDMX) 3.4.2.1 c) y d), p. 64</t>
        </is>
      </c>
    </row>
    <row r="25" ht="19.5" customHeight="1">
      <c r="B25" s="9" t="inlineStr">
        <is>
          <t>w — carga de servicio</t>
        </is>
      </c>
      <c r="C25" s="45">
        <f>NERVADURA!$C$24+NERVADURA!$C$22</f>
        <v>643.673469387755</v>
      </c>
      <c r="D25" s="11" t="inlineStr">
        <is>
          <t>kg/m²</t>
        </is>
      </c>
      <c r="E25" s="12" t="inlineStr">
        <is>
          <t>CM + W_m.</t>
        </is>
      </c>
      <c r="F25" s="13" t="inlineStr">
        <is>
          <t>NTC-Criterios y Acciones 2023 (CDMX) 3.4.1 d), p. 7</t>
        </is>
      </c>
    </row>
    <row r="26" ht="30" customHeight="1">
      <c r="B26" s="9" t="inlineStr">
        <is>
          <t>w_u — carga última</t>
        </is>
      </c>
      <c r="C26" s="14">
        <f>MAX(DATOS!$C$55*NERVADURA!$C$24+DATOS!$C$56*NERVADURA!$C$22,IF(INDEX(TABLEROS!$E$9:$E$40,NERVADURA!$C$7)="AZOTEA",DATOS!$C$57*(NERVADURA!$C$24+DATOS!$C$97),0))</f>
        <v>874.775510204082</v>
      </c>
      <c r="D26" s="11" t="inlineStr">
        <is>
          <t>kg/m²</t>
        </is>
      </c>
      <c r="E26" s="12" t="inlineStr">
        <is>
          <t>El mayor de 1.3·CM + 1.5·W_m y, en azotea, 1.1·(CM + W_g).</t>
        </is>
      </c>
      <c r="F26" s="13" t="inlineStr">
        <is>
          <t>NTC-Criterios y Acciones 2023 (CDMX) 3.4.1 a) y b), p. 7 · 7.3.2.1, p. 17</t>
        </is>
      </c>
    </row>
    <row r="27" ht="6" customHeight="1"/>
    <row r="28" ht="21" customHeight="1">
      <c r="B28" s="5" t="inlineStr">
        <is>
          <t>2. CASO Y COEFICIENTES</t>
        </is>
      </c>
    </row>
    <row r="29" ht="30" customHeight="1">
      <c r="B29" s="8" t="inlineStr">
        <is>
          <t>Concepto</t>
        </is>
      </c>
      <c r="C29" s="8" t="inlineStr">
        <is>
          <t>Valor</t>
        </is>
      </c>
      <c r="D29" s="8" t="inlineStr">
        <is>
          <t>Unidad</t>
        </is>
      </c>
      <c r="E29" s="8" t="inlineStr">
        <is>
          <t>Cómo se calcula / de dónde sale</t>
        </is>
      </c>
      <c r="F29" s="8" t="inlineStr">
        <is>
          <t>Referencia</t>
        </is>
      </c>
    </row>
    <row r="30" ht="19.5" customHeight="1">
      <c r="B30" s="9" t="inlineStr">
        <is>
          <t>Bordes discontinuos (de APOYOS)</t>
        </is>
      </c>
      <c r="C30" s="45">
        <f>INDEX(TABLEROS!$Z$9:$Z$40,NERVADURA!$C$7)</f>
        <v>1</v>
      </c>
      <c r="D30" s="11" t="inlineStr">
        <is>
          <t>—</t>
        </is>
      </c>
      <c r="E30" s="12" t="inlineStr">
        <is>
          <t>Cuenta de bordes con «DISCONTINUO» en APOYOS sección C.</t>
        </is>
      </c>
      <c r="F30" s="13" t="inlineStr">
        <is>
          <t>APOYOS</t>
        </is>
      </c>
    </row>
    <row r="31" ht="43.5" customHeight="1">
      <c r="B31" s="9" t="inlineStr">
        <is>
          <t>Caso de la tabla</t>
        </is>
      </c>
      <c r="C31" s="66" t="str">
        <f>INDEX(TABLEROS!$AE$9:$AE$40,NERVADURA!$C$7)</f>
        <v>BORDE-CORTO</v>
      </c>
      <c r="D31" s="11" t="inlineStr">
        <is>
          <t>—</t>
        </is>
      </c>
      <c r="E31" s="12" t="inlineStr">
        <is>
          <t>Automático según cuántos bordes discontinuos son cortos o largos; se puede forzar en TABLEROS. Caso I: losa colada monolíticamente con sus apoyos.</t>
        </is>
      </c>
      <c r="F31" s="13" t="inlineStr">
        <is>
          <t>NTC-Concreto 2023 (CDMX) Tabla 3.4.2.1, p. 65</t>
        </is>
      </c>
    </row>
    <row r="32" ht="19.5" customHeight="1">
      <c r="B32" s="9" t="inlineStr">
        <is>
          <t>Coef. M⁻ en bordes continuos, claro corto</t>
        </is>
      </c>
      <c r="C32" s="45">
        <f>INDEX(TABLEROS!$AH$9:$AH$40,NERVADURA!$C$7)</f>
        <v>542.774514234072</v>
      </c>
      <c r="D32" s="11" t="inlineStr">
        <is>
          <t>×10⁻⁴</t>
        </is>
      </c>
      <c r="E32" s="12" t="inlineStr">
        <is>
          <t>Interpolado en m.</t>
        </is>
      </c>
      <c r="F32" s="13" t="inlineStr">
        <is>
          <t>TABLAS sección A</t>
        </is>
      </c>
    </row>
    <row r="33" ht="19.5" customHeight="1">
      <c r="B33" s="9" t="inlineStr">
        <is>
          <t>Coef. M⁻ en bordes discontinuos, claro corto</t>
        </is>
      </c>
      <c r="C33" s="45">
        <f>INDEX(TABLEROS!$AJ$9:$AJ$40,NERVADURA!$C$7)</f>
        <v>0</v>
      </c>
      <c r="D33" s="11" t="inlineStr">
        <is>
          <t>×10⁻⁴</t>
        </is>
      </c>
      <c r="E33" s="12" t="inlineStr">
        <is>
          <t>Interpolado en m.</t>
        </is>
      </c>
      <c r="F33" s="13" t="inlineStr">
        <is>
          <t>TABLAS sección A</t>
        </is>
      </c>
    </row>
    <row r="34" ht="19.5" customHeight="1">
      <c r="B34" s="9" t="inlineStr">
        <is>
          <t>Coef. M⁺ claro corto</t>
        </is>
      </c>
      <c r="C34" s="45">
        <f>INDEX(TABLEROS!$AL$9:$AL$40,NERVADURA!$C$7)</f>
        <v>274.574785359241</v>
      </c>
      <c r="D34" s="11" t="inlineStr">
        <is>
          <t>×10⁻⁴</t>
        </is>
      </c>
      <c r="E34" s="12" t="inlineStr">
        <is>
          <t>Interpolado en m.</t>
        </is>
      </c>
      <c r="F34" s="13" t="inlineStr">
        <is>
          <t>TABLAS sección A</t>
        </is>
      </c>
    </row>
    <row r="35" ht="19.5" customHeight="1">
      <c r="B35" s="9" t="inlineStr">
        <is>
          <t>Coef. M⁻ en bordes continuos, claro largo</t>
        </is>
      </c>
      <c r="C35" s="45">
        <f>INDEX(TABLEROS!$AI$9:$AI$40,NERVADURA!$C$7)</f>
        <v>439.28739267962</v>
      </c>
      <c r="D35" s="11" t="inlineStr">
        <is>
          <t>×10⁻⁴</t>
        </is>
      </c>
      <c r="E35" s="12" t="inlineStr">
        <is>
          <t>Interpolado en m.</t>
        </is>
      </c>
      <c r="F35" s="13" t="inlineStr">
        <is>
          <t>TABLAS sección A</t>
        </is>
      </c>
    </row>
    <row r="36" ht="19.5" customHeight="1">
      <c r="B36" s="9" t="inlineStr">
        <is>
          <t>Coef. M⁻ en bordes discontinuos, claro largo</t>
        </is>
      </c>
      <c r="C36" s="45">
        <f>INDEX(TABLEROS!$AK$9:$AK$40,NERVADURA!$C$7)</f>
        <v>205.399909624944</v>
      </c>
      <c r="D36" s="11" t="inlineStr">
        <is>
          <t>×10⁻⁴</t>
        </is>
      </c>
      <c r="E36" s="12" t="inlineStr">
        <is>
          <t>Interpolado en m.</t>
        </is>
      </c>
      <c r="F36" s="13" t="inlineStr">
        <is>
          <t>TABLAS sección A</t>
        </is>
      </c>
    </row>
    <row r="37" ht="19.5" customHeight="1">
      <c r="B37" s="9" t="inlineStr">
        <is>
          <t>Coef. M⁺ claro largo</t>
        </is>
      </c>
      <c r="C37" s="45">
        <f>INDEX(TABLEROS!$AM$9:$AM$40,NERVADURA!$C$7)</f>
        <v>263.862629914144</v>
      </c>
      <c r="D37" s="11" t="inlineStr">
        <is>
          <t>×10⁻⁴</t>
        </is>
      </c>
      <c r="E37" s="12" t="inlineStr">
        <is>
          <t>Interpolado en m.</t>
        </is>
      </c>
      <c r="F37" s="13" t="inlineStr">
        <is>
          <t>TABLAS sección A</t>
        </is>
      </c>
    </row>
    <row r="38" ht="19.5" customHeight="1">
      <c r="B38" s="9" t="inlineStr">
        <is>
          <t>Carga en la orilla del volado (servicio)</t>
        </is>
      </c>
      <c r="C38" s="26">
        <f>INDEX(TABLEROS!$BA$9:$BA$40,NERVADURA!$C$7)</f>
        <v>0</v>
      </c>
      <c r="D38" s="11" t="inlineStr">
        <is>
          <t>kg/m</t>
        </is>
      </c>
      <c r="E38" s="12" t="inlineStr">
        <is>
          <t>Sólo para volados: barandal del E2K.</t>
        </is>
      </c>
      <c r="F38" s="13" t="inlineStr">
        <is>
          <t>001_EST_CROCHA_R3.2.e2k · FRAME OBJECT LOADS</t>
        </is>
      </c>
    </row>
    <row r="39" ht="84" customHeight="1">
      <c r="B39" s="9" t="inlineStr">
        <is>
          <t>3.4.2.1 c): M⁻ del borde común con cada vecino</t>
        </is>
      </c>
      <c r="C39" s="66" t="str">
        <f>INDEX(TABLEROS!$AZ$9:$AZ$40,NERVADURA!$C$7)</f>
        <v>FUERA con F80008 F80014 F80017 · junto al volado F80019: se arma con su M⁻ y su cortante entra en V_u</v>
      </c>
      <c r="D39" s="11" t="inlineStr">
        <is>
          <t>—</t>
        </is>
      </c>
      <c r="E39" s="12" t="inlineStr">
        <is>
          <t>FUERA = con ese vecino (perimetral) los M⁻ difieren más de 50 % del menor: los coeficientes quedan fuera de su campo; se distribuye el desequilibrio (renglones de abajo) y conviene confirmar con el modelo (método reconocido, 3.4.1.1). Se avisa también si APOYOS marca distinto el borde común en los dos tableros y si el vecino es un volado.</t>
        </is>
      </c>
      <c r="F39" s="13" t="inlineStr">
        <is>
          <t>NTC-Concreto 2023 (CDMX) 3.4.2.1 c), p. 64</t>
        </is>
      </c>
    </row>
    <row r="40" ht="97.5" customHeight="1">
      <c r="B40" s="9" t="inlineStr">
        <is>
          <t>M⁻ que deja el vecino al distribuir (corto / largo)</t>
        </is>
      </c>
      <c r="C40" s="20" t="str">
        <f>TEXT(INDEX(TABLEROS!$AT$9:$AT$40,NERVADURA!$C$7),"0.000")&amp;" / "&amp;TEXT(INDEX(TABLEROS!$AU$9:$AU$40,NERVADURA!$C$7),"0.000")</f>
        <v>0.000 / 0.000</v>
      </c>
      <c r="D40" s="11" t="inlineStr">
        <is>
          <t>t·m</t>
        </is>
      </c>
      <c r="E40" s="12" t="inlineStr">
        <is>
          <t>En cada borde común que alguno de los dos tableros marque CONTINUO (APOYOS; cada uno entra con el M⁻ de su propia clasificación) con vecino de M⁻ mayor: M + 2/3·(M_vecino − M)·k/(k + k_vecino), con k = d³/a1 y d el peralte del lecho superior de cada tablero en esa dirección. Por nervadura. Los volados no entran: su momento es estático; se arma con el del volado y su desequilibrio se suma al cortante.</t>
        </is>
      </c>
      <c r="F40" s="13" t="inlineStr">
        <is>
          <t>NTC-Concreto 2023 (CDMX) 3.4.3.1, p. 64</t>
        </is>
      </c>
    </row>
    <row r="41" ht="30" customHeight="1">
      <c r="B41" s="9" t="inlineStr">
        <is>
          <t>ΔM⁺ por la distribución (corto / largo)</t>
        </is>
      </c>
      <c r="C41" s="20" t="str">
        <f>TEXT(INDEX(TABLEROS!$AV$9:$AV$40,NERVADURA!$C$7),"0.000")&amp;" / "&amp;TEXT(INDEX(TABLEROS!$AW$9:$AW$40,NERVADURA!$C$7),"0.000")</f>
        <v>0.060 / 0.017</v>
      </c>
      <c r="D41" s="11" t="inlineStr">
        <is>
          <t>t·m</t>
        </is>
      </c>
      <c r="E41" s="12" t="inlineStr">
        <is>
          <t>Donde el tablero cede negativo al vecino, el M⁺ sube la mitad de lo que baja el M⁻ en cada extremo.</t>
        </is>
      </c>
      <c r="F41" s="13" t="inlineStr">
        <is>
          <t>NTC-Concreto 2023 (CDMX) 3.4.3.1, p. 64</t>
        </is>
      </c>
    </row>
    <row r="42" ht="6" customHeight="1"/>
    <row r="43" ht="21" customHeight="1">
      <c r="B43" s="5" t="inlineStr">
        <is>
          <t>3. MOMENTOS POR NERVADURA</t>
        </is>
      </c>
    </row>
    <row r="44" ht="30" customHeight="1">
      <c r="B44" s="6" t="inlineStr">
        <is>
          <t>Por metro: M = coef × 10⁻⁴ × w_u × a1². Por nervadura: × s. En volado: M = (w_u·L_n²/2 + 1.3·P·L_n)·s, con L_n medido al paño del muro.</t>
        </is>
      </c>
      <c r="C44" s="7" t="n"/>
      <c r="D44" s="7" t="n"/>
      <c r="E44" s="7" t="n"/>
      <c r="F44" s="7" t="n"/>
    </row>
    <row r="45" ht="30" customHeight="1">
      <c r="B45" s="8" t="inlineStr">
        <is>
          <t>Concepto</t>
        </is>
      </c>
      <c r="C45" s="8" t="inlineStr">
        <is>
          <t>Valor</t>
        </is>
      </c>
      <c r="D45" s="8" t="inlineStr">
        <is>
          <t>Unidad</t>
        </is>
      </c>
      <c r="E45" s="8" t="inlineStr">
        <is>
          <t>Cómo se calcula / de dónde sale</t>
        </is>
      </c>
      <c r="F45" s="8" t="inlineStr">
        <is>
          <t>Referencia</t>
        </is>
      </c>
    </row>
    <row r="46" ht="30" customHeight="1">
      <c r="B46" s="9" t="inlineStr">
        <is>
          <t>M⁺ claro corto</t>
        </is>
      </c>
      <c r="C46" s="31">
        <f>IF(NERVADURA!$C$11="PERIMETRAL",NERVADURA!$C$34*NERVADURA!$C$26*NERVADURA!$C$15^2*1E-4*DATOS!$C$16/100/1000+INDEX(TABLEROS!$AV$9:$AV$40,NERVADURA!$C$7),0)</f>
        <v>0.3294504703035</v>
      </c>
      <c r="D46" s="11" t="inlineStr">
        <is>
          <t>t·m</t>
        </is>
      </c>
      <c r="E46" s="12" t="inlineStr">
        <is>
          <t>Coef. M⁺ corto × 10⁻⁴ × w_u × a1² × s, más el ΔM⁺ de la distribución.</t>
        </is>
      </c>
      <c r="F46" s="13" t="inlineStr">
        <is>
          <t>NTC-Concreto 2023 (CDMX) 3.4.2.1, p. 64 y Tabla 3.4.2.1, p. 65 · 3.4.3.1, p. 64</t>
        </is>
      </c>
    </row>
    <row r="47" ht="57" customHeight="1">
      <c r="B47" s="9" t="inlineStr">
        <is>
          <t>M⁻ claro corto</t>
        </is>
      </c>
      <c r="C47" s="31">
        <f>IF(NERVADURA!$C$11="PERIMETRAL",MAX(MAX(NERVADURA!$C$32,NERVADURA!$C$33)*NERVADURA!$C$26*NERVADURA!$C$15^2*1E-4*DATOS!$C$16/100/1000,INDEX(TABLEROS!$AT$9:$AT$40,NERVADURA!$C$7)),IF(NERVADURA!$C$11="VOLADO",(NERVADURA!$C$26*(INDEX(TABLEROS!$N$9:$N$40,NERVADURA!$C$7)/100)^2/2+DATOS!$C$55*NERVADURA!$C$38*INDEX(TABLEROS!$N$9:$N$40,NERVADURA!$C$7)/100)*DATOS!$C$16/100/1000,0))</f>
        <v>0.531782554928668</v>
      </c>
      <c r="D47" s="11" t="inlineStr">
        <is>
          <t>t·m</t>
        </is>
      </c>
      <c r="E47" s="12" t="inlineStr">
        <is>
          <t>El mayor entre borde continuo, borde discontinuo y lo que deja el vecino al distribuir (3.4.3.1); en volado, el momento en el paño. En el borde común se arma con el mayor de los dos tableros.</t>
        </is>
      </c>
      <c r="F47" s="13" t="inlineStr">
        <is>
          <t>NTC-Concreto 2023 (CDMX) 3.4.3.1, p. 64</t>
        </is>
      </c>
    </row>
    <row r="48" ht="30" customHeight="1">
      <c r="B48" s="9" t="inlineStr">
        <is>
          <t>M⁺ claro largo</t>
        </is>
      </c>
      <c r="C48" s="31">
        <f>IF(NERVADURA!$C$11="PERIMETRAL",NERVADURA!$C$37*NERVADURA!$C$26*NERVADURA!$C$15^2*1E-4*DATOS!$C$16/100/1000+INDEX(TABLEROS!$AW$9:$AW$40,NERVADURA!$C$7),0)</f>
        <v>0.275423047315945</v>
      </c>
      <c r="D48" s="11" t="inlineStr">
        <is>
          <t>t·m</t>
        </is>
      </c>
      <c r="E48" s="12" t="inlineStr">
        <is>
          <t>Mismo procedimiento.</t>
        </is>
      </c>
      <c r="F48" s="13" t="inlineStr">
        <is>
          <t>NTC-Concreto 2023 (CDMX) Tabla 3.4.2.1, p. 65 · 3.4.3.1, p. 64</t>
        </is>
      </c>
    </row>
    <row r="49" ht="30" customHeight="1">
      <c r="B49" s="9" t="inlineStr">
        <is>
          <t>M⁻ claro largo</t>
        </is>
      </c>
      <c r="C49" s="31">
        <f>IF(NERVADURA!$C$11="PERIMETRAL",MAX(MAX(NERVADURA!$C$35,NERVADURA!$C$36)*NERVADURA!$C$26*NERVADURA!$C$15^2*1E-4*DATOS!$C$16/100/1000,INDEX(TABLEROS!$AU$9:$AU$40,NERVADURA!$C$7)),0)</f>
        <v>0.43039119542444</v>
      </c>
      <c r="D49" s="11" t="inlineStr">
        <is>
          <t>t·m</t>
        </is>
      </c>
      <c r="E49" s="12" t="inlineStr">
        <is>
          <t>Mismo procedimiento.</t>
        </is>
      </c>
      <c r="F49" s="13" t="inlineStr">
        <is>
          <t>NTC-Concreto 2023 (CDMX) Tabla 3.4.2.1, p. 65 · 3.4.3.1, p. 64</t>
        </is>
      </c>
    </row>
    <row r="50" ht="6" customHeight="1"/>
    <row r="51" ht="21" customHeight="1">
      <c r="B51" s="5" t="inlineStr">
        <is>
          <t>4. LECHO INFERIOR — CLARO CORTO</t>
        </is>
      </c>
    </row>
    <row r="52" ht="30" customHeight="1">
      <c r="B52" s="8" t="inlineStr">
        <is>
          <t>Concepto</t>
        </is>
      </c>
      <c r="C52" s="8" t="inlineStr">
        <is>
          <t>Valor</t>
        </is>
      </c>
      <c r="D52" s="8" t="inlineStr">
        <is>
          <t>Unidad</t>
        </is>
      </c>
      <c r="E52" s="8" t="inlineStr">
        <is>
          <t>Cómo se calcula / de dónde sale</t>
        </is>
      </c>
      <c r="F52" s="8" t="inlineStr">
        <is>
          <t>Referencia</t>
        </is>
      </c>
    </row>
    <row r="53" ht="30" customHeight="1">
      <c r="B53" s="9" t="inlineStr">
        <is>
          <t>b — ancho que trabaja a compresión</t>
        </is>
      </c>
      <c r="C53" s="26">
        <f>INDEX(TABLEROS!$P$9:$P$40,NERVADURA!$C$7)</f>
        <v>70</v>
      </c>
      <c r="D53" s="11" t="inlineStr">
        <is>
          <t>cm</t>
        </is>
      </c>
      <c r="E53" s="12" t="inlineStr">
        <is>
          <t>Arriba comprime el patín efectivo b_f (sección T).</t>
        </is>
      </c>
      <c r="F53" s="13" t="inlineStr">
        <is>
          <t>NTC-Concreto 2023 (CDMX) Tabla 5.2.1.4.2, p. 89 · 5.2.2.1.3.1, p. 90</t>
        </is>
      </c>
    </row>
    <row r="54" ht="30" customHeight="1">
      <c r="B54" s="9" t="inlineStr">
        <is>
          <t>d — peralte efectivo con la varilla que se usa</t>
        </is>
      </c>
      <c r="C54" s="21">
        <f>INDEX(TABLEROS!$BJ$9:$BJ$40,NERVADURA!$C$7)</f>
        <v>22.365</v>
      </c>
      <c r="D54" s="11" t="inlineStr">
        <is>
          <t>cm</t>
        </is>
      </c>
      <c r="E54" s="12" t="inlineStr">
        <is>
          <t>h − r − d_b/2. r = r inferior (r_np si el tablero no cumple 6.7.8; r_ext en volados).</t>
        </is>
      </c>
      <c r="F54" s="13" t="inlineStr">
        <is>
          <t>NTC-Concreto 2023 (CDMX) Tabla 4.14.16.a, p. 85</t>
        </is>
      </c>
    </row>
    <row r="55" ht="30" customHeight="1">
      <c r="B55" s="9" t="inlineStr">
        <is>
          <t>As mín = máx(0.80·√f'c, 14)/fy · b_w · d</t>
        </is>
      </c>
      <c r="C55" s="21">
        <f>DATOS!$C$83*IF(AND(FALSE,NERVADURA!$C$11="VOLADO"),2*DATOS!$C$13,DATOS!$C$13)*NERVADURA!$C$54</f>
        <v>0.7455</v>
      </c>
      <c r="D55" s="11" t="inlineStr">
        <is>
          <t>cm²</t>
        </is>
      </c>
      <c r="E55" s="12" t="inlineStr">
        <is>
          <t>Sobre b_w (en el volado, patín a tensión: 2b_w). Se dispensa si la As colocada es ≥ 4/3 de la requerida.</t>
        </is>
      </c>
      <c r="F55" s="13" t="inlineStr">
        <is>
          <t>NTC-Concreto 2023 (CDMX) 6.3.5.1.2 y 6.3.5.1.3, p. 122</t>
        </is>
      </c>
    </row>
    <row r="56" ht="43.5" customHeight="1">
      <c r="B56" s="9" t="inlineStr">
        <is>
          <t>As requerida (TABLEROS)</t>
        </is>
      </c>
      <c r="C56" s="29">
        <f>INDEX(TABLEROS!$BG$9:$BG$40,NERVADURA!$C$7)</f>
        <v>0.520883336393713</v>
      </c>
      <c r="D56" s="11" t="inlineStr">
        <is>
          <t>cm²</t>
        </is>
      </c>
      <c r="E56" s="12" t="inlineStr">
        <is>
          <t>q = 1 − √(1 − 2Mu/(F_R·b·d²·f''c)); As = q·f''c·b·d/fy; luego el mayor de esa y el menor de (As mín, 4/3·As). −1 = no alcanza o rebasa p_max.</t>
        </is>
      </c>
      <c r="F56" s="13" t="inlineStr">
        <is>
          <t>NTC-Concreto 2023 (CDMX) ecs. 5.2.2.1.1.1.a y b, p. 89 · 6.3.5.1.3, p. 122</t>
        </is>
      </c>
    </row>
    <row r="57" ht="19.5" customHeight="1">
      <c r="B57" s="9" t="inlineStr">
        <is>
          <t>Varilla que se usa</t>
        </is>
      </c>
      <c r="C57" s="67">
        <f>INDEX(TABLEROS!$BH$9:$BH$40,NERVADURA!$C$7)</f>
        <v>4</v>
      </c>
      <c r="D57" s="11" t="inlineStr">
        <is>
          <t>No.</t>
        </is>
      </c>
      <c r="E57" s="12" t="inlineStr">
        <is>
          <t>La preferida (No. 4) o la siguiente que quepa.</t>
        </is>
      </c>
      <c r="F57" s="13" t="inlineStr">
        <is>
          <t>NTC-Concreto 2023 (CDMX) 6.7.6.1.3, p. 175</t>
        </is>
      </c>
    </row>
    <row r="58" ht="30" customHeight="1">
      <c r="B58" s="9" t="inlineStr">
        <is>
          <t>Número de varillas</t>
        </is>
      </c>
      <c r="C58" s="14">
        <f>INDEX(TABLEROS!$BI$9:$BI$40,NERVADURA!$C$7)</f>
        <v>1</v>
      </c>
      <c r="D58" s="11" t="inlineStr">
        <is>
          <t>pzas</t>
        </is>
      </c>
      <c r="E58" s="12" t="inlineStr">
        <is>
          <t>Al menos 1 (la No. 4 corrida). Si As colocada &lt; 4/3 de la de flexión, al menos 2. Todas corridas.</t>
        </is>
      </c>
      <c r="F58" s="13" t="inlineStr">
        <is>
          <t>NTC-Concreto 2023 (CDMX) 6.7.6.1.3, p. 175 · 6.3.5.1.1, p. 122</t>
        </is>
      </c>
    </row>
    <row r="59" ht="19.5" customHeight="1">
      <c r="B59" s="9" t="inlineStr">
        <is>
          <t>a — profundidad del bloque</t>
        </is>
      </c>
      <c r="C59" s="21">
        <f>NERVADURA!$C$58*INDEX(TABLAS!$D$52:$D$58,MATCH(NERVADURA!$C$57,TABLAS!$B$52:$B$58,0))*DATOS!$C$40/(DATOS!$C$48*NERVADURA!$C$53)</f>
        <v>0.358588235294118</v>
      </c>
      <c r="D59" s="11" t="inlineStr">
        <is>
          <t>cm</t>
        </is>
      </c>
      <c r="E59" s="12" t="inlineStr">
        <is>
          <t>a = As·fy/(f''c·b). Debe quedar dentro del patín (a ≤ t).</t>
        </is>
      </c>
      <c r="F59" s="13" t="inlineStr">
        <is>
          <t>NTC-Concreto 2023 (CDMX) 3.6.1 e), p. 68</t>
        </is>
      </c>
    </row>
    <row r="60" ht="43.5" customHeight="1">
      <c r="B60" s="9" t="inlineStr">
        <is>
          <t>M_R — momento resistente</t>
        </is>
      </c>
      <c r="C60" s="22">
        <f>DATOS!$C$58*NERVADURA!$C$58*INDEX(TABLAS!$D$52:$D$58,MATCH(NERVADURA!$C$57,TABLAS!$B$52:$B$58,0))*DATOS!$C$40*(NERVADURA!$C$54-NERVADURA!$C$59/2)/1E5</f>
        <v>1.06504699658824</v>
      </c>
      <c r="D60" s="11" t="inlineStr">
        <is>
          <t>t·m</t>
        </is>
      </c>
      <c r="E60" s="12" t="inlineStr">
        <is>
          <t>F_R·As·fy·(d − a/2).</t>
        </is>
      </c>
      <c r="F60" s="13" t="inlineStr">
        <is>
          <t>NTC-Concreto 2023 (CDMX) ec. 5.2.2.1.1.1.b, p. 89 · Naim — CASA HABITACIÓN, MEMORIA DE CÁLCULO (sep-2024) pág. 13</t>
        </is>
      </c>
    </row>
    <row r="61" ht="19.5" customHeight="1">
      <c r="B61" s="9" t="inlineStr">
        <is>
          <t>Mu / M_R</t>
        </is>
      </c>
      <c r="C61" s="29">
        <f>IF(NERVADURA!$C$56&lt;0,9.99,IF(NERVADURA!$C$60&gt;0,NERVADURA!$C$46/NERVADURA!$C$60,0))</f>
        <v>0.309329514433503</v>
      </c>
      <c r="D61" s="11" t="inlineStr">
        <is>
          <t>—</t>
        </is>
      </c>
      <c r="E61" s="12" t="inlineStr">
        <is>
          <t>Debe ser ≤ 1. 9.99 = la sección no alcanza.</t>
        </is>
      </c>
      <c r="F61" s="13" t="inlineStr">
        <is>
          <t>—</t>
        </is>
      </c>
    </row>
    <row r="62" ht="30" customHeight="1">
      <c r="B62" s="9" t="inlineStr">
        <is>
          <t>ε_t — deformación del acero de tensión</t>
        </is>
      </c>
      <c r="C62" s="27">
        <f>0.003*(NERVADURA!$C$54-NERVADURA!$C$59/DATOS!$C$49)/(NERVADURA!$C$59/DATOS!$C$49)</f>
        <v>0.156042445866142</v>
      </c>
      <c r="D62" s="11" t="inlineStr">
        <is>
          <t>—</t>
        </is>
      </c>
      <c r="E62" s="12" t="inlineStr">
        <is>
          <t>ε_t = 0.003·(d − c)/c con c = a/β1. Debe ser ≥ 0.005 para usar F_R = 0.9 (sección controlada por tensión).</t>
        </is>
      </c>
      <c r="F62" s="13" t="inlineStr">
        <is>
          <t>NTC-Concreto 2023 (CDMX) Tabla 3.8.2.2, p. 70 · 6.7.3.3.1, p. 169</t>
        </is>
      </c>
    </row>
    <row r="63" ht="19.5" customHeight="1">
      <c r="B63" s="9" t="inlineStr">
        <is>
          <t>¿Caben en la nervadura?</t>
        </is>
      </c>
      <c r="C63" s="20" t="str">
        <f>IF(NERVADURA!$C$58=0,"—",IF(NERVADURA!$C$58*INDEX(TABLAS!$C$52:$C$58,MATCH(NERVADURA!$C$57,TABLAS!$B$52:$B$58,0))+(NERVADURA!$C$58-1)*MAX(DATOS!$C$32,INDEX(TABLAS!$C$52:$C$58,MATCH(NERVADURA!$C$57,TABLAS!$B$52:$B$58,0)))&lt;=DATOS!$C$13-2*INDEX(TABLEROS!$R$9:$R$40,NERVADURA!$C$7)-2*IF(DATOS!$C$25=0,0,INDEX(TABLAS!$C$52:$C$58,MATCH(DATOS!$C$25,TABLAS!$B$52:$B$58,0)))+0.01,"CUMPLE","NO CABE"))</f>
        <v>CUMPLE</v>
      </c>
      <c r="D63" s="11" t="inlineStr">
        <is>
          <t>—</t>
        </is>
      </c>
      <c r="E63" s="12" t="inlineStr">
        <is>
          <t>n·d_b + (n−1)·s_libre ≤ b_w − 2r − 2·estribo.</t>
        </is>
      </c>
      <c r="F63" s="13" t="inlineStr">
        <is>
          <t>NTC-Concreto 2023 (CDMX) 14.2.1, p. 347</t>
        </is>
      </c>
    </row>
    <row r="64" ht="30" customHeight="1">
      <c r="B64" s="9" t="inlineStr">
        <is>
          <t>Estado</t>
        </is>
      </c>
      <c r="C64" s="66" t="str">
        <f>IF(AND(NERVADURA!$C$61&lt;=1,NERVADURA!$C$62&gt;=0.005),"CUMPLE","NO CUMPLE")</f>
        <v>CUMPLE</v>
      </c>
      <c r="D64" s="11" t="inlineStr">
        <is>
          <t>—</t>
        </is>
      </c>
      <c r="E64" s="12" t="inlineStr">
        <is>
          <t>—</t>
        </is>
      </c>
      <c r="F64" s="13" t="inlineStr">
        <is>
          <t>—</t>
        </is>
      </c>
    </row>
    <row r="65" ht="6" customHeight="1"/>
    <row r="66" ht="21" customHeight="1">
      <c r="B66" s="5" t="inlineStr">
        <is>
          <t>5. LECHO SUPERIOR — CLARO CORTO</t>
        </is>
      </c>
    </row>
    <row r="67" ht="30" customHeight="1">
      <c r="B67" s="8" t="inlineStr">
        <is>
          <t>Concepto</t>
        </is>
      </c>
      <c r="C67" s="8" t="inlineStr">
        <is>
          <t>Valor</t>
        </is>
      </c>
      <c r="D67" s="8" t="inlineStr">
        <is>
          <t>Unidad</t>
        </is>
      </c>
      <c r="E67" s="8" t="inlineStr">
        <is>
          <t>Cómo se calcula / de dónde sale</t>
        </is>
      </c>
      <c r="F67" s="8" t="inlineStr">
        <is>
          <t>Referencia</t>
        </is>
      </c>
    </row>
    <row r="68" ht="19.5" customHeight="1">
      <c r="B68" s="9" t="inlineStr">
        <is>
          <t>b — ancho que trabaja a compresión</t>
        </is>
      </c>
      <c r="C68" s="26">
        <f>DATOS!$C$19</f>
        <v>10</v>
      </c>
      <c r="D68" s="11" t="inlineStr">
        <is>
          <t>cm</t>
        </is>
      </c>
      <c r="E68" s="12" t="inlineStr">
        <is>
          <t>Arriba en tensión: comprime la nervadura (b_w de cálculo).</t>
        </is>
      </c>
      <c r="F68" s="13" t="inlineStr">
        <is>
          <t>NTC-Concreto 2023 (CDMX) 3.9.1 e), p. 74</t>
        </is>
      </c>
    </row>
    <row r="69" ht="57" customHeight="1">
      <c r="B69" s="9" t="inlineStr">
        <is>
          <t>d — peralte efectivo con la varilla que se usa</t>
        </is>
      </c>
      <c r="C69" s="21">
        <f>INDEX(TABLEROS!$BR$9:$BR$40,NERVADURA!$C$7)</f>
        <v>21.389</v>
      </c>
      <c r="D69" s="11" t="inlineStr">
        <is>
          <t>cm</t>
        </is>
      </c>
      <c r="E69" s="12" t="inlineStr">
        <is>
          <t>h − r − d_b/2 − 2·Ø de la malla (la varilla va bajo la malla). r = r superior (r_np si el tablero no cumple 6.7.8; r_ext si la cara queda expuesta); − 2 cm si d ≤ 20 cm sin la precaución de 3.9.2.</t>
        </is>
      </c>
      <c r="F69" s="13" t="inlineStr">
        <is>
          <t>NTC-Concreto 2023 (CDMX) Tabla 4.14.16.a, p. 85 · 3.9.1 d) y 3.9.2, p. 74</t>
        </is>
      </c>
    </row>
    <row r="70" ht="30" customHeight="1">
      <c r="B70" s="9" t="inlineStr">
        <is>
          <t>As mín = máx(0.80·√f'c, 14)/fy · b_w · d</t>
        </is>
      </c>
      <c r="C70" s="21">
        <f>DATOS!$C$83*IF(AND(TRUE,NERVADURA!$C$11="VOLADO"),2*DATOS!$C$13,DATOS!$C$13)*NERVADURA!$C$69</f>
        <v>0.712966666666667</v>
      </c>
      <c r="D70" s="11" t="inlineStr">
        <is>
          <t>cm²</t>
        </is>
      </c>
      <c r="E70" s="12" t="inlineStr">
        <is>
          <t>Sobre b_w (en el volado, patín a tensión: 2b_w). Se dispensa si la As colocada es ≥ 4/3 de la requerida.</t>
        </is>
      </c>
      <c r="F70" s="13" t="inlineStr">
        <is>
          <t>NTC-Concreto 2023 (CDMX) 6.3.5.1.2 y 6.3.5.1.3, p. 122</t>
        </is>
      </c>
    </row>
    <row r="71" ht="43.5" customHeight="1">
      <c r="B71" s="9" t="inlineStr">
        <is>
          <t>As requerida (TABLEROS)</t>
        </is>
      </c>
      <c r="C71" s="29">
        <f>INDEX(TABLEROS!$BO$9:$BO$40,NERVADURA!$C$7)</f>
        <v>0.712966666666667</v>
      </c>
      <c r="D71" s="11" t="inlineStr">
        <is>
          <t>cm²</t>
        </is>
      </c>
      <c r="E71" s="12" t="inlineStr">
        <is>
          <t>q = 1 − √(1 − 2Mu/(F_R·b·d²·f''c)); As = q·f''c·b·d/fy; luego el mayor de esa y el menor de (As mín, 4/3·As). −1 = no alcanza o rebasa p_max.</t>
        </is>
      </c>
      <c r="F71" s="13" t="inlineStr">
        <is>
          <t>NTC-Concreto 2023 (CDMX) ecs. 5.2.2.1.1.1.a y b, p. 89 · 6.3.5.1.3, p. 122</t>
        </is>
      </c>
    </row>
    <row r="72" ht="19.5" customHeight="1">
      <c r="B72" s="9" t="inlineStr">
        <is>
          <t>Varilla que se usa</t>
        </is>
      </c>
      <c r="C72" s="67">
        <f>INDEX(TABLEROS!$BP$9:$BP$40,NERVADURA!$C$7)</f>
        <v>4</v>
      </c>
      <c r="D72" s="11" t="inlineStr">
        <is>
          <t>No.</t>
        </is>
      </c>
      <c r="E72" s="12" t="inlineStr">
        <is>
          <t>La preferida (No. 4) o la siguiente que quepa.</t>
        </is>
      </c>
      <c r="F72" s="13" t="inlineStr">
        <is>
          <t>NTC-Concreto 2023 (CDMX) 6.7.6.1.3, p. 175</t>
        </is>
      </c>
    </row>
    <row r="73" ht="43.5" customHeight="1">
      <c r="B73" s="9" t="inlineStr">
        <is>
          <t>Número de varillas</t>
        </is>
      </c>
      <c r="C73" s="14">
        <f>INDEX(TABLEROS!$BQ$9:$BQ$40,NERVADURA!$C$7)</f>
        <v>1</v>
      </c>
      <c r="D73" s="11" t="inlineStr">
        <is>
          <t>pzas</t>
        </is>
      </c>
      <c r="E73" s="12" t="inlineStr">
        <is>
          <t>Al menos 1 (la No. 4 corrida). Si As colocada &lt; 4/3 de la de flexión, al menos 2. Arriba: 1 corrida + el resto bastones.</t>
        </is>
      </c>
      <c r="F73" s="13" t="inlineStr">
        <is>
          <t>NTC-Concreto 2023 (CDMX) 6.7.6.1.3, p. 175 · 6.3.5.1.1, p. 122</t>
        </is>
      </c>
    </row>
    <row r="74" ht="19.5" customHeight="1">
      <c r="B74" s="9" t="inlineStr">
        <is>
          <t>a — profundidad del bloque</t>
        </is>
      </c>
      <c r="C74" s="21">
        <f>NERVADURA!$C$73*INDEX(TABLAS!$D$52:$D$58,MATCH(NERVADURA!$C$72,TABLAS!$B$52:$B$58,0))*DATOS!$C$40/(DATOS!$C$48*NERVADURA!$C$68)</f>
        <v>2.51011764705882</v>
      </c>
      <c r="D74" s="11" t="inlineStr">
        <is>
          <t>cm</t>
        </is>
      </c>
      <c r="E74" s="12" t="inlineStr">
        <is>
          <t>a = As·fy/(f''c·b).</t>
        </is>
      </c>
      <c r="F74" s="13" t="inlineStr">
        <is>
          <t>NTC-Concreto 2023 (CDMX) 3.6.1 e), p. 68</t>
        </is>
      </c>
    </row>
    <row r="75" ht="43.5" customHeight="1">
      <c r="B75" s="9" t="inlineStr">
        <is>
          <t>M_R — momento resistente</t>
        </is>
      </c>
      <c r="C75" s="22">
        <f>DATOS!$C$58*NERVADURA!$C$73*INDEX(TABLAS!$D$52:$D$58,MATCH(NERVADURA!$C$72,TABLAS!$B$52:$B$58,0))*DATOS!$C$40*(NERVADURA!$C$69-NERVADURA!$C$74/2)/1E5</f>
        <v>0.966549980117647</v>
      </c>
      <c r="D75" s="11" t="inlineStr">
        <is>
          <t>t·m</t>
        </is>
      </c>
      <c r="E75" s="12" t="inlineStr">
        <is>
          <t>F_R·As·fy·(d − a/2).</t>
        </is>
      </c>
      <c r="F75" s="13" t="inlineStr">
        <is>
          <t>NTC-Concreto 2023 (CDMX) ec. 5.2.2.1.1.1.b, p. 89 · Naim — CASA HABITACIÓN, MEMORIA DE CÁLCULO (sep-2024) pág. 13</t>
        </is>
      </c>
    </row>
    <row r="76" ht="19.5" customHeight="1">
      <c r="B76" s="9" t="inlineStr">
        <is>
          <t>Mu / M_R</t>
        </is>
      </c>
      <c r="C76" s="29">
        <f>IF(NERVADURA!$C$71&lt;0,9.99,IF(NERVADURA!$C$75&gt;0,NERVADURA!$C$47/NERVADURA!$C$75,0))</f>
        <v>0.550186297519701</v>
      </c>
      <c r="D76" s="11" t="inlineStr">
        <is>
          <t>—</t>
        </is>
      </c>
      <c r="E76" s="12" t="inlineStr">
        <is>
          <t>Debe ser ≤ 1. 9.99 = la sección no alcanza.</t>
        </is>
      </c>
      <c r="F76" s="13" t="inlineStr">
        <is>
          <t>—</t>
        </is>
      </c>
    </row>
    <row r="77" ht="30" customHeight="1">
      <c r="B77" s="9" t="inlineStr">
        <is>
          <t>ε_t — deformación del acero de tensión</t>
        </is>
      </c>
      <c r="C77" s="27">
        <f>0.003*(NERVADURA!$C$69-NERVADURA!$C$74/DATOS!$C$49)/(NERVADURA!$C$74/DATOS!$C$49)</f>
        <v>0.0187288420978628</v>
      </c>
      <c r="D77" s="11" t="inlineStr">
        <is>
          <t>—</t>
        </is>
      </c>
      <c r="E77" s="12" t="inlineStr">
        <is>
          <t>ε_t = 0.003·(d − c)/c con c = a/β1. Debe ser ≥ 0.005 para usar F_R = 0.9 (sección controlada por tensión).</t>
        </is>
      </c>
      <c r="F77" s="13" t="inlineStr">
        <is>
          <t>NTC-Concreto 2023 (CDMX) Tabla 3.8.2.2, p. 70 · 6.7.3.3.1, p. 169</t>
        </is>
      </c>
    </row>
    <row r="78" ht="19.5" customHeight="1">
      <c r="B78" s="9" t="inlineStr">
        <is>
          <t>¿Caben en la nervadura?</t>
        </is>
      </c>
      <c r="C78" s="20" t="str">
        <f>IF(NERVADURA!$C$73=0,"—",IF(NERVADURA!$C$73*INDEX(TABLAS!$C$52:$C$58,MATCH(NERVADURA!$C$72,TABLAS!$B$52:$B$58,0))+(NERVADURA!$C$73-1)*MAX(DATOS!$C$32,INDEX(TABLAS!$C$52:$C$58,MATCH(NERVADURA!$C$72,TABLAS!$B$52:$B$58,0)))&lt;=DATOS!$C$13-2*INDEX(TABLEROS!$S$9:$S$40,NERVADURA!$C$7)-2*IF(DATOS!$C$25=0,0,INDEX(TABLAS!$C$52:$C$58,MATCH(DATOS!$C$25,TABLAS!$B$52:$B$58,0)))+0.01,"CUMPLE","NO CABE"))</f>
        <v>CUMPLE</v>
      </c>
      <c r="D78" s="11" t="inlineStr">
        <is>
          <t>—</t>
        </is>
      </c>
      <c r="E78" s="12" t="inlineStr">
        <is>
          <t>n·d_b + (n−1)·s_libre ≤ b_w − 2r − 2·estribo.</t>
        </is>
      </c>
      <c r="F78" s="13" t="inlineStr">
        <is>
          <t>NTC-Concreto 2023 (CDMX) 14.2.1, p. 347</t>
        </is>
      </c>
    </row>
    <row r="79" ht="30" customHeight="1">
      <c r="B79" s="9" t="inlineStr">
        <is>
          <t>Estado</t>
        </is>
      </c>
      <c r="C79" s="66" t="str">
        <f>IF(AND(NERVADURA!$C$76&lt;=1,NERVADURA!$C$77&gt;=0.005),"CUMPLE","NO CUMPLE")</f>
        <v>CUMPLE</v>
      </c>
      <c r="D79" s="11" t="inlineStr">
        <is>
          <t>—</t>
        </is>
      </c>
      <c r="E79" s="12" t="inlineStr">
        <is>
          <t>—</t>
        </is>
      </c>
      <c r="F79" s="13" t="inlineStr">
        <is>
          <t>—</t>
        </is>
      </c>
    </row>
    <row r="80" ht="6" customHeight="1"/>
    <row r="81" ht="21" customHeight="1">
      <c r="B81" s="5" t="inlineStr">
        <is>
          <t>6. LECHO INFERIOR — CLARO LARGO</t>
        </is>
      </c>
    </row>
    <row r="82" ht="30" customHeight="1">
      <c r="B82" s="8" t="inlineStr">
        <is>
          <t>Concepto</t>
        </is>
      </c>
      <c r="C82" s="8" t="inlineStr">
        <is>
          <t>Valor</t>
        </is>
      </c>
      <c r="D82" s="8" t="inlineStr">
        <is>
          <t>Unidad</t>
        </is>
      </c>
      <c r="E82" s="8" t="inlineStr">
        <is>
          <t>Cómo se calcula / de dónde sale</t>
        </is>
      </c>
      <c r="F82" s="8" t="inlineStr">
        <is>
          <t>Referencia</t>
        </is>
      </c>
    </row>
    <row r="83" ht="30" customHeight="1">
      <c r="B83" s="9" t="inlineStr">
        <is>
          <t>b — ancho que trabaja a compresión</t>
        </is>
      </c>
      <c r="C83" s="26">
        <f>INDEX(TABLEROS!$Q$9:$Q$40,NERVADURA!$C$7)</f>
        <v>70</v>
      </c>
      <c r="D83" s="11" t="inlineStr">
        <is>
          <t>cm</t>
        </is>
      </c>
      <c r="E83" s="12" t="inlineStr">
        <is>
          <t>Arriba comprime el patín efectivo b_f (sección T).</t>
        </is>
      </c>
      <c r="F83" s="13" t="inlineStr">
        <is>
          <t>NTC-Concreto 2023 (CDMX) Tabla 5.2.1.4.2, p. 89 · 5.2.2.1.3.1, p. 90</t>
        </is>
      </c>
    </row>
    <row r="84" ht="43.5" customHeight="1">
      <c r="B84" s="9" t="inlineStr">
        <is>
          <t>d — peralte efectivo con la varilla que se usa</t>
        </is>
      </c>
      <c r="C84" s="21">
        <f>INDEX(TABLEROS!$BZ$9:$BZ$40,NERVADURA!$C$7)</f>
        <v>21.095</v>
      </c>
      <c r="D84" s="11" t="inlineStr">
        <is>
          <t>cm</t>
        </is>
      </c>
      <c r="E84" s="12" t="inlineStr">
        <is>
          <t>h − r − d_b/2 − d_b del lecho del claro corto. r = r inferior (r_np si el tablero no cumple 6.7.8; r_ext en volados).</t>
        </is>
      </c>
      <c r="F84" s="13" t="inlineStr">
        <is>
          <t>NTC-Concreto 2023 (CDMX) Tabla 4.14.16.a, p. 85</t>
        </is>
      </c>
    </row>
    <row r="85" ht="30" customHeight="1">
      <c r="B85" s="9" t="inlineStr">
        <is>
          <t>As mín = máx(0.80·√f'c, 14)/fy · b_w · d</t>
        </is>
      </c>
      <c r="C85" s="21">
        <f>DATOS!$C$83*IF(AND(FALSE,NERVADURA!$C$11="VOLADO"),2*DATOS!$C$13,DATOS!$C$13)*NERVADURA!$C$84</f>
        <v>0.703166666666667</v>
      </c>
      <c r="D85" s="11" t="inlineStr">
        <is>
          <t>cm²</t>
        </is>
      </c>
      <c r="E85" s="12" t="inlineStr">
        <is>
          <t>Sobre b_w (en el volado, patín a tensión: 2b_w). Se dispensa si la As colocada es ≥ 4/3 de la requerida.</t>
        </is>
      </c>
      <c r="F85" s="13" t="inlineStr">
        <is>
          <t>NTC-Concreto 2023 (CDMX) 6.3.5.1.2 y 6.3.5.1.3, p. 122</t>
        </is>
      </c>
    </row>
    <row r="86" ht="43.5" customHeight="1">
      <c r="B86" s="9" t="inlineStr">
        <is>
          <t>As requerida (TABLEROS)</t>
        </is>
      </c>
      <c r="C86" s="29">
        <f>INDEX(TABLEROS!$BW$9:$BW$40,NERVADURA!$C$7)</f>
        <v>0.461609882557827</v>
      </c>
      <c r="D86" s="11" t="inlineStr">
        <is>
          <t>cm²</t>
        </is>
      </c>
      <c r="E86" s="12" t="inlineStr">
        <is>
          <t>q = 1 − √(1 − 2Mu/(F_R·b·d²·f''c)); As = q·f''c·b·d/fy; luego el mayor de esa y el menor de (As mín, 4/3·As). −1 = no alcanza o rebasa p_max.</t>
        </is>
      </c>
      <c r="F86" s="13" t="inlineStr">
        <is>
          <t>NTC-Concreto 2023 (CDMX) ecs. 5.2.2.1.1.1.a y b, p. 89 · 6.3.5.1.3, p. 122</t>
        </is>
      </c>
    </row>
    <row r="87" ht="19.5" customHeight="1">
      <c r="B87" s="9" t="inlineStr">
        <is>
          <t>Varilla que se usa</t>
        </is>
      </c>
      <c r="C87" s="67">
        <f>INDEX(TABLEROS!$BX$9:$BX$40,NERVADURA!$C$7)</f>
        <v>4</v>
      </c>
      <c r="D87" s="11" t="inlineStr">
        <is>
          <t>No.</t>
        </is>
      </c>
      <c r="E87" s="12" t="inlineStr">
        <is>
          <t>La preferida (No. 4) o la siguiente que quepa.</t>
        </is>
      </c>
      <c r="F87" s="13" t="inlineStr">
        <is>
          <t>NTC-Concreto 2023 (CDMX) 6.7.6.1.3, p. 175</t>
        </is>
      </c>
    </row>
    <row r="88" ht="30" customHeight="1">
      <c r="B88" s="9" t="inlineStr">
        <is>
          <t>Número de varillas</t>
        </is>
      </c>
      <c r="C88" s="14">
        <f>INDEX(TABLEROS!$BY$9:$BY$40,NERVADURA!$C$7)</f>
        <v>1</v>
      </c>
      <c r="D88" s="11" t="inlineStr">
        <is>
          <t>pzas</t>
        </is>
      </c>
      <c r="E88" s="12" t="inlineStr">
        <is>
          <t>Al menos 1 (la No. 4 corrida). Si As colocada &lt; 4/3 de la de flexión, al menos 2. Todas corridas.</t>
        </is>
      </c>
      <c r="F88" s="13" t="inlineStr">
        <is>
          <t>NTC-Concreto 2023 (CDMX) 6.7.6.1.3, p. 175 · 6.3.5.1.1, p. 122</t>
        </is>
      </c>
    </row>
    <row r="89" ht="19.5" customHeight="1">
      <c r="B89" s="9" t="inlineStr">
        <is>
          <t>a — profundidad del bloque</t>
        </is>
      </c>
      <c r="C89" s="21">
        <f>NERVADURA!$C$88*INDEX(TABLAS!$D$52:$D$58,MATCH(NERVADURA!$C$87,TABLAS!$B$52:$B$58,0))*DATOS!$C$40/(DATOS!$C$48*NERVADURA!$C$83)</f>
        <v>0.358588235294118</v>
      </c>
      <c r="D89" s="11" t="inlineStr">
        <is>
          <t>cm</t>
        </is>
      </c>
      <c r="E89" s="12" t="inlineStr">
        <is>
          <t>a = As·fy/(f''c·b). Debe quedar dentro del patín (a ≤ t).</t>
        </is>
      </c>
      <c r="F89" s="13" t="inlineStr">
        <is>
          <t>NTC-Concreto 2023 (CDMX) 3.6.1 e), p. 68</t>
        </is>
      </c>
    </row>
    <row r="90" ht="43.5" customHeight="1">
      <c r="B90" s="9" t="inlineStr">
        <is>
          <t>M_R — momento resistente</t>
        </is>
      </c>
      <c r="C90" s="22">
        <f>DATOS!$C$58*NERVADURA!$C$88*INDEX(TABLAS!$D$52:$D$58,MATCH(NERVADURA!$C$87,TABLAS!$B$52:$B$58,0))*DATOS!$C$40*(NERVADURA!$C$84-NERVADURA!$C$89/2)/1E5</f>
        <v>1.00407937658824</v>
      </c>
      <c r="D90" s="11" t="inlineStr">
        <is>
          <t>t·m</t>
        </is>
      </c>
      <c r="E90" s="12" t="inlineStr">
        <is>
          <t>F_R·As·fy·(d − a/2).</t>
        </is>
      </c>
      <c r="F90" s="13" t="inlineStr">
        <is>
          <t>NTC-Concreto 2023 (CDMX) ec. 5.2.2.1.1.1.b, p. 89 · Naim — CASA HABITACIÓN, MEMORIA DE CÁLCULO (sep-2024) pág. 13</t>
        </is>
      </c>
    </row>
    <row r="91" ht="19.5" customHeight="1">
      <c r="B91" s="9" t="inlineStr">
        <is>
          <t>Mu / M_R</t>
        </is>
      </c>
      <c r="C91" s="29">
        <f>IF(NERVADURA!$C$86&lt;0,9.99,IF(NERVADURA!$C$90&gt;0,NERVADURA!$C$48/NERVADURA!$C$90,0))</f>
        <v>0.274304057764642</v>
      </c>
      <c r="D91" s="11" t="inlineStr">
        <is>
          <t>—</t>
        </is>
      </c>
      <c r="E91" s="12" t="inlineStr">
        <is>
          <t>Debe ser ≤ 1. 9.99 = la sección no alcanza.</t>
        </is>
      </c>
      <c r="F91" s="13" t="inlineStr">
        <is>
          <t>—</t>
        </is>
      </c>
    </row>
    <row r="92" ht="30" customHeight="1">
      <c r="B92" s="9" t="inlineStr">
        <is>
          <t>ε_t — deformación del acero de tensión</t>
        </is>
      </c>
      <c r="C92" s="27">
        <f>0.003*(NERVADURA!$C$84-NERVADURA!$C$89/DATOS!$C$49)/(NERVADURA!$C$89/DATOS!$C$49)</f>
        <v>0.147011195866142</v>
      </c>
      <c r="D92" s="11" t="inlineStr">
        <is>
          <t>—</t>
        </is>
      </c>
      <c r="E92" s="12" t="inlineStr">
        <is>
          <t>ε_t = 0.003·(d − c)/c con c = a/β1. Debe ser ≥ 0.005 para usar F_R = 0.9 (sección controlada por tensión).</t>
        </is>
      </c>
      <c r="F92" s="13" t="inlineStr">
        <is>
          <t>NTC-Concreto 2023 (CDMX) Tabla 3.8.2.2, p. 70 · 6.7.3.3.1, p. 169</t>
        </is>
      </c>
    </row>
    <row r="93" ht="19.5" customHeight="1">
      <c r="B93" s="9" t="inlineStr">
        <is>
          <t>¿Caben en la nervadura?</t>
        </is>
      </c>
      <c r="C93" s="20" t="str">
        <f>IF(NERVADURA!$C$88=0,"—",IF(NERVADURA!$C$88*INDEX(TABLAS!$C$52:$C$58,MATCH(NERVADURA!$C$87,TABLAS!$B$52:$B$58,0))+(NERVADURA!$C$88-1)*MAX(DATOS!$C$32,INDEX(TABLAS!$C$52:$C$58,MATCH(NERVADURA!$C$87,TABLAS!$B$52:$B$58,0)))&lt;=DATOS!$C$13-2*INDEX(TABLEROS!$R$9:$R$40,NERVADURA!$C$7)-2*IF(DATOS!$C$25=0,0,INDEX(TABLAS!$C$52:$C$58,MATCH(DATOS!$C$25,TABLAS!$B$52:$B$58,0)))+0.01,"CUMPLE","NO CABE"))</f>
        <v>CUMPLE</v>
      </c>
      <c r="D93" s="11" t="inlineStr">
        <is>
          <t>—</t>
        </is>
      </c>
      <c r="E93" s="12" t="inlineStr">
        <is>
          <t>n·d_b + (n−1)·s_libre ≤ b_w − 2r − 2·estribo.</t>
        </is>
      </c>
      <c r="F93" s="13" t="inlineStr">
        <is>
          <t>NTC-Concreto 2023 (CDMX) 14.2.1, p. 347</t>
        </is>
      </c>
    </row>
    <row r="94" ht="30" customHeight="1">
      <c r="B94" s="9" t="inlineStr">
        <is>
          <t>Estado</t>
        </is>
      </c>
      <c r="C94" s="66" t="str">
        <f>IF(AND(NERVADURA!$C$91&lt;=1,NERVADURA!$C$92&gt;=0.005),"CUMPLE","NO CUMPLE")</f>
        <v>CUMPLE</v>
      </c>
      <c r="D94" s="11" t="inlineStr">
        <is>
          <t>—</t>
        </is>
      </c>
      <c r="E94" s="12" t="inlineStr">
        <is>
          <t>—</t>
        </is>
      </c>
      <c r="F94" s="13" t="inlineStr">
        <is>
          <t>—</t>
        </is>
      </c>
    </row>
    <row r="95" ht="6" customHeight="1"/>
    <row r="96" ht="21" customHeight="1">
      <c r="B96" s="5" t="inlineStr">
        <is>
          <t>7. LECHO SUPERIOR — CLARO LARGO</t>
        </is>
      </c>
    </row>
    <row r="97" ht="30" customHeight="1">
      <c r="B97" s="8" t="inlineStr">
        <is>
          <t>Concepto</t>
        </is>
      </c>
      <c r="C97" s="8" t="inlineStr">
        <is>
          <t>Valor</t>
        </is>
      </c>
      <c r="D97" s="8" t="inlineStr">
        <is>
          <t>Unidad</t>
        </is>
      </c>
      <c r="E97" s="8" t="inlineStr">
        <is>
          <t>Cómo se calcula / de dónde sale</t>
        </is>
      </c>
      <c r="F97" s="8" t="inlineStr">
        <is>
          <t>Referencia</t>
        </is>
      </c>
    </row>
    <row r="98" ht="19.5" customHeight="1">
      <c r="B98" s="9" t="inlineStr">
        <is>
          <t>b — ancho que trabaja a compresión</t>
        </is>
      </c>
      <c r="C98" s="26">
        <f>DATOS!$C$19</f>
        <v>10</v>
      </c>
      <c r="D98" s="11" t="inlineStr">
        <is>
          <t>cm</t>
        </is>
      </c>
      <c r="E98" s="12" t="inlineStr">
        <is>
          <t>Arriba en tensión: comprime la nervadura (b_w de cálculo).</t>
        </is>
      </c>
      <c r="F98" s="13" t="inlineStr">
        <is>
          <t>NTC-Concreto 2023 (CDMX) 3.9.1 e), p. 74</t>
        </is>
      </c>
    </row>
    <row r="99" ht="57" customHeight="1">
      <c r="B99" s="9" t="inlineStr">
        <is>
          <t>d — peralte efectivo con la varilla que se usa</t>
        </is>
      </c>
      <c r="C99" s="21">
        <f>INDEX(TABLEROS!$CH$9:$CH$40,NERVADURA!$C$7)</f>
        <v>20.119</v>
      </c>
      <c r="D99" s="11" t="inlineStr">
        <is>
          <t>cm</t>
        </is>
      </c>
      <c r="E99" s="12" t="inlineStr">
        <is>
          <t>h − r − d_b/2 − 2·Ø de la malla (la varilla va bajo la malla) − d_b del lecho del claro corto. r = r superior (r_np si el tablero no cumple 6.7.8; r_ext si la cara queda expuesta); − 2 cm si d ≤ 20 cm sin la precaución de 3.9.2.</t>
        </is>
      </c>
      <c r="F99" s="13" t="inlineStr">
        <is>
          <t>NTC-Concreto 2023 (CDMX) Tabla 4.14.16.a, p. 85 · 3.9.1 d) y 3.9.2, p. 74</t>
        </is>
      </c>
    </row>
    <row r="100" ht="30" customHeight="1">
      <c r="B100" s="9" t="inlineStr">
        <is>
          <t>As mín = máx(0.80·√f'c, 14)/fy · b_w · d</t>
        </is>
      </c>
      <c r="C100" s="21">
        <f>DATOS!$C$83*IF(AND(FALSE,NERVADURA!$C$11="VOLADO"),2*DATOS!$C$13,DATOS!$C$13)*NERVADURA!$C$99</f>
        <v>0.670633333333333</v>
      </c>
      <c r="D100" s="11" t="inlineStr">
        <is>
          <t>cm²</t>
        </is>
      </c>
      <c r="E100" s="12" t="inlineStr">
        <is>
          <t>Sobre b_w (en el volado, patín a tensión: 2b_w). Se dispensa si la As colocada es ≥ 4/3 de la requerida.</t>
        </is>
      </c>
      <c r="F100" s="13" t="inlineStr">
        <is>
          <t>NTC-Concreto 2023 (CDMX) 6.3.5.1.2 y 6.3.5.1.3, p. 122</t>
        </is>
      </c>
    </row>
    <row r="101" ht="43.5" customHeight="1">
      <c r="B101" s="9" t="inlineStr">
        <is>
          <t>As requerida (TABLEROS)</t>
        </is>
      </c>
      <c r="C101" s="29">
        <f>INDEX(TABLEROS!$CE$9:$CE$40,NERVADURA!$C$7)</f>
        <v>0.670633333333333</v>
      </c>
      <c r="D101" s="11" t="inlineStr">
        <is>
          <t>cm²</t>
        </is>
      </c>
      <c r="E101" s="12" t="inlineStr">
        <is>
          <t>q = 1 − √(1 − 2Mu/(F_R·b·d²·f''c)); As = q·f''c·b·d/fy; luego el mayor de esa y el menor de (As mín, 4/3·As). −1 = no alcanza o rebasa p_max.</t>
        </is>
      </c>
      <c r="F101" s="13" t="inlineStr">
        <is>
          <t>NTC-Concreto 2023 (CDMX) ecs. 5.2.2.1.1.1.a y b, p. 89 · 6.3.5.1.3, p. 122</t>
        </is>
      </c>
    </row>
    <row r="102" ht="19.5" customHeight="1">
      <c r="B102" s="9" t="inlineStr">
        <is>
          <t>Varilla que se usa</t>
        </is>
      </c>
      <c r="C102" s="67">
        <f>INDEX(TABLEROS!$CF$9:$CF$40,NERVADURA!$C$7)</f>
        <v>4</v>
      </c>
      <c r="D102" s="11" t="inlineStr">
        <is>
          <t>No.</t>
        </is>
      </c>
      <c r="E102" s="12" t="inlineStr">
        <is>
          <t>La preferida (No. 4) o la siguiente que quepa.</t>
        </is>
      </c>
      <c r="F102" s="13" t="inlineStr">
        <is>
          <t>NTC-Concreto 2023 (CDMX) 6.7.6.1.3, p. 175</t>
        </is>
      </c>
    </row>
    <row r="103" ht="43.5" customHeight="1">
      <c r="B103" s="9" t="inlineStr">
        <is>
          <t>Número de varillas</t>
        </is>
      </c>
      <c r="C103" s="14">
        <f>INDEX(TABLEROS!$CG$9:$CG$40,NERVADURA!$C$7)</f>
        <v>1</v>
      </c>
      <c r="D103" s="11" t="inlineStr">
        <is>
          <t>pzas</t>
        </is>
      </c>
      <c r="E103" s="12" t="inlineStr">
        <is>
          <t>Al menos 1 (la No. 4 corrida). Si As colocada &lt; 4/3 de la de flexión, al menos 2. Arriba: 1 corrida + el resto bastones.</t>
        </is>
      </c>
      <c r="F103" s="13" t="inlineStr">
        <is>
          <t>NTC-Concreto 2023 (CDMX) 6.7.6.1.3, p. 175 · 6.3.5.1.1, p. 122</t>
        </is>
      </c>
    </row>
    <row r="104" ht="19.5" customHeight="1">
      <c r="B104" s="9" t="inlineStr">
        <is>
          <t>a — profundidad del bloque</t>
        </is>
      </c>
      <c r="C104" s="21">
        <f>NERVADURA!$C$103*INDEX(TABLAS!$D$52:$D$58,MATCH(NERVADURA!$C$102,TABLAS!$B$52:$B$58,0))*DATOS!$C$40/(DATOS!$C$48*NERVADURA!$C$98)</f>
        <v>2.51011764705882</v>
      </c>
      <c r="D104" s="11" t="inlineStr">
        <is>
          <t>cm</t>
        </is>
      </c>
      <c r="E104" s="12" t="inlineStr">
        <is>
          <t>a = As·fy/(f''c·b).</t>
        </is>
      </c>
      <c r="F104" s="13" t="inlineStr">
        <is>
          <t>NTC-Concreto 2023 (CDMX) 3.6.1 e), p. 68</t>
        </is>
      </c>
    </row>
    <row r="105" ht="43.5" customHeight="1">
      <c r="B105" s="9" t="inlineStr">
        <is>
          <t>M_R — momento resistente</t>
        </is>
      </c>
      <c r="C105" s="22">
        <f>DATOS!$C$58*NERVADURA!$C$103*INDEX(TABLAS!$D$52:$D$58,MATCH(NERVADURA!$C$102,TABLAS!$B$52:$B$58,0))*DATOS!$C$40*(NERVADURA!$C$99-NERVADURA!$C$104/2)/1E5</f>
        <v>0.905582360117647</v>
      </c>
      <c r="D105" s="11" t="inlineStr">
        <is>
          <t>t·m</t>
        </is>
      </c>
      <c r="E105" s="12" t="inlineStr">
        <is>
          <t>F_R·As·fy·(d − a/2).</t>
        </is>
      </c>
      <c r="F105" s="13" t="inlineStr">
        <is>
          <t>NTC-Concreto 2023 (CDMX) ec. 5.2.2.1.1.1.b, p. 89 · Naim — CASA HABITACIÓN, MEMORIA DE CÁLCULO (sep-2024) pág. 13</t>
        </is>
      </c>
    </row>
    <row r="106" ht="19.5" customHeight="1">
      <c r="B106" s="9" t="inlineStr">
        <is>
          <t>Mu / M_R</t>
        </is>
      </c>
      <c r="C106" s="29">
        <f>IF(NERVADURA!$C$101&lt;0,9.99,IF(NERVADURA!$C$105&gt;0,NERVADURA!$C$49/NERVADURA!$C$105,0))</f>
        <v>0.475264552821597</v>
      </c>
      <c r="D106" s="11" t="inlineStr">
        <is>
          <t>—</t>
        </is>
      </c>
      <c r="E106" s="12" t="inlineStr">
        <is>
          <t>Debe ser ≤ 1. 9.99 = la sección no alcanza.</t>
        </is>
      </c>
      <c r="F106" s="13" t="inlineStr">
        <is>
          <t>—</t>
        </is>
      </c>
    </row>
    <row r="107" ht="30" customHeight="1">
      <c r="B107" s="9" t="inlineStr">
        <is>
          <t>ε_t — deformación del acero de tensión</t>
        </is>
      </c>
      <c r="C107" s="27">
        <f>0.003*(NERVADURA!$C$99-NERVADURA!$C$104/DATOS!$C$49)/(NERVADURA!$C$104/DATOS!$C$49)</f>
        <v>0.0174386635264342</v>
      </c>
      <c r="D107" s="11" t="inlineStr">
        <is>
          <t>—</t>
        </is>
      </c>
      <c r="E107" s="12" t="inlineStr">
        <is>
          <t>ε_t = 0.003·(d − c)/c con c = a/β1. Debe ser ≥ 0.005 para usar F_R = 0.9 (sección controlada por tensión).</t>
        </is>
      </c>
      <c r="F107" s="13" t="inlineStr">
        <is>
          <t>NTC-Concreto 2023 (CDMX) Tabla 3.8.2.2, p. 70 · 6.7.3.3.1, p. 169</t>
        </is>
      </c>
    </row>
    <row r="108" ht="19.5" customHeight="1">
      <c r="B108" s="9" t="inlineStr">
        <is>
          <t>¿Caben en la nervadura?</t>
        </is>
      </c>
      <c r="C108" s="20" t="str">
        <f>IF(NERVADURA!$C$103=0,"—",IF(NERVADURA!$C$103*INDEX(TABLAS!$C$52:$C$58,MATCH(NERVADURA!$C$102,TABLAS!$B$52:$B$58,0))+(NERVADURA!$C$103-1)*MAX(DATOS!$C$32,INDEX(TABLAS!$C$52:$C$58,MATCH(NERVADURA!$C$102,TABLAS!$B$52:$B$58,0)))&lt;=DATOS!$C$13-2*INDEX(TABLEROS!$S$9:$S$40,NERVADURA!$C$7)-2*IF(DATOS!$C$25=0,0,INDEX(TABLAS!$C$52:$C$58,MATCH(DATOS!$C$25,TABLAS!$B$52:$B$58,0)))+0.01,"CUMPLE","NO CABE"))</f>
        <v>CUMPLE</v>
      </c>
      <c r="D108" s="11" t="inlineStr">
        <is>
          <t>—</t>
        </is>
      </c>
      <c r="E108" s="12" t="inlineStr">
        <is>
          <t>n·d_b + (n−1)·s_libre ≤ b_w − 2r − 2·estribo.</t>
        </is>
      </c>
      <c r="F108" s="13" t="inlineStr">
        <is>
          <t>NTC-Concreto 2023 (CDMX) 14.2.1, p. 347</t>
        </is>
      </c>
    </row>
    <row r="109" ht="30" customHeight="1">
      <c r="B109" s="9" t="inlineStr">
        <is>
          <t>Estado</t>
        </is>
      </c>
      <c r="C109" s="66" t="str">
        <f>IF(AND(NERVADURA!$C$106&lt;=1,NERVADURA!$C$107&gt;=0.005),"CUMPLE","NO CUMPLE")</f>
        <v>CUMPLE</v>
      </c>
      <c r="D109" s="11" t="inlineStr">
        <is>
          <t>—</t>
        </is>
      </c>
      <c r="E109" s="12" t="inlineStr">
        <is>
          <t>—</t>
        </is>
      </c>
      <c r="F109" s="13" t="inlineStr">
        <is>
          <t>—</t>
        </is>
      </c>
    </row>
    <row r="110" ht="6" customHeight="1"/>
    <row r="111" ht="21" customHeight="1">
      <c r="B111" s="5" t="inlineStr">
        <is>
          <t>8. CORTANTE EN LA NERVADURA</t>
        </is>
      </c>
    </row>
    <row r="112" ht="42" customHeight="1">
      <c r="B112" s="6" t="inlineStr">
        <is>
          <t>V por metro a d del paño = (L_n/2 − d)·(0.95 − 0.5·m)·w_u, × 1.15 si hay bordes continuos y discontinuos (fórmula de la NTC 2017 que la 2023 ya no trae; se usa como método reconocido, 3.4.1.1). Por nervadura × s. V_cR sin estribos con la ec. 5.5.3.2.1 y la cuantía del acero superior.</t>
        </is>
      </c>
      <c r="C112" s="7" t="n"/>
      <c r="D112" s="7" t="n"/>
      <c r="E112" s="7" t="n"/>
      <c r="F112" s="7" t="n"/>
    </row>
    <row r="113" ht="30" customHeight="1">
      <c r="B113" s="8" t="inlineStr">
        <is>
          <t>Concepto</t>
        </is>
      </c>
      <c r="C113" s="8" t="inlineStr">
        <is>
          <t>Valor</t>
        </is>
      </c>
      <c r="D113" s="8" t="inlineStr">
        <is>
          <t>Unidad</t>
        </is>
      </c>
      <c r="E113" s="8" t="inlineStr">
        <is>
          <t>Cómo se calcula / de dónde sale</t>
        </is>
      </c>
      <c r="F113" s="8" t="inlineStr">
        <is>
          <t>Referencia</t>
        </is>
      </c>
    </row>
    <row r="114" ht="70.5" customHeight="1">
      <c r="B114" s="9" t="inlineStr">
        <is>
          <t>V_u por nervadura</t>
        </is>
      </c>
      <c r="C114" s="31">
        <f>INDEX(TABLEROS!$CM$9:$CM$40,NERVADURA!$C$7)</f>
        <v>0.930512349333298</v>
      </c>
      <c r="D114" s="11" t="inlineStr">
        <is>
          <t>t</t>
        </is>
      </c>
      <c r="E114" s="12" t="inlineStr">
        <is>
          <t>Incluye ΔV = (M⁻ del volado vecino − M⁻ propio)/L_n cuando las nervaduras rematan en un volado (si llegan por el claro largo se suma igual, del lado seguro); ese ΔV no baja a lo largo del claro y entra así en las hileras a macizar. En volado: V = (w_u·(L_n − d) + 1.3·P)·s.</t>
        </is>
      </c>
      <c r="F114" s="13" t="inlineStr">
        <is>
          <t>NTC-Concreto 2023 (CDMX) 3.4.1.1, p. 64 · 6.7.4.3.2, p. 172 (sección crítica a d del paño)</t>
        </is>
      </c>
    </row>
    <row r="115" ht="19.5" customHeight="1">
      <c r="B115" s="9" t="inlineStr">
        <is>
          <t>p — cuantía del acero superior en el apoyo</t>
        </is>
      </c>
      <c r="C115" s="27">
        <f>NERVADURA!$C$73*INDEX(TABLAS!$D$52:$D$58,MATCH(NERVADURA!$C$72,TABLAS!$B$52:$B$58,0))/(DATOS!$C$19*NERVADURA!$C$69)</f>
        <v>0.00593763149282341</v>
      </c>
      <c r="D115" s="11" t="inlineStr">
        <is>
          <t>—</t>
        </is>
      </c>
      <c r="E115" s="12" t="inlineStr">
        <is>
          <t>As_sup / (b_w·d).</t>
        </is>
      </c>
      <c r="F115" s="13" t="inlineStr">
        <is>
          <t>NTC-Concreto 2023 (CDMX) 5.5.3.2.1, p. 95</t>
        </is>
      </c>
    </row>
    <row r="116" ht="19.5" customHeight="1">
      <c r="B116" s="9" t="inlineStr">
        <is>
          <t>λs — factor de tamaño</t>
        </is>
      </c>
      <c r="C116" s="22">
        <f>MIN(1,SQRT(2/(1+0.04*NERVADURA!$C$69)))</f>
        <v>1</v>
      </c>
      <c r="D116" s="11" t="inlineStr">
        <is>
          <t>—</t>
        </is>
      </c>
      <c r="E116" s="12" t="inlineStr">
        <is>
          <t>√(2/(1 + 0.04d)) ≤ 1, d en cm.</t>
        </is>
      </c>
      <c r="F116" s="13" t="inlineStr">
        <is>
          <t>NTC-Concreto 2023 (CDMX) ec. 5.5.3.2.1.b, p. 95</t>
        </is>
      </c>
    </row>
    <row r="117" ht="57" customHeight="1">
      <c r="B117" s="9" t="inlineStr">
        <is>
          <t>¿Cumple 6.7.8 (losa encasetonada)?</t>
        </is>
      </c>
      <c r="C117" s="66" t="str">
        <f>INDEX(TABLEROS!$CL$9:$CL$40,NERVADURA!$C$7)</f>
        <v>SÍ</v>
      </c>
      <c r="D117" s="11" t="inlineStr">
        <is>
          <t>—</t>
        </is>
      </c>
      <c r="E117" s="12" t="inlineStr">
        <is>
          <t>Claro corto ≥ 6·a_c, a_c ≤ 80, b_w ≥ 10, h ≤ 3.5b_w, t ≥ máx(a_c/13, 5). Si NO, se diseña como losa apoyada en vigas: nervaduras con recubrimiento de viga (r_np) y sin el ×1.1.</t>
        </is>
      </c>
      <c r="F117" s="13" t="inlineStr">
        <is>
          <t>NTC-Concreto 2023 (CDMX) 6.7.8.1.2 a 6.7.8.1.4, p. 187 · 6.7.8.1.9, p. 188</t>
        </is>
      </c>
    </row>
    <row r="118" ht="43.5" customHeight="1">
      <c r="B118" s="9" t="inlineStr">
        <is>
          <t>V_cR — cortante que toma el concreto</t>
        </is>
      </c>
      <c r="C118" s="31">
        <f>DATOS!$C$59*2*NERVADURA!$C$116*NERVADURA!$C$115^(1/3)*SQRT(DATOS!$C$39)*DATOS!$C$19*NERVADURA!$C$69*IF(NERVADURA!$C$117="SÍ",DATOS!$C$62,1)/1000</f>
        <v>1.0104515843408</v>
      </c>
      <c r="D118" s="11" t="inlineStr">
        <is>
          <t>t</t>
        </is>
      </c>
      <c r="E118" s="12" t="inlineStr">
        <is>
          <t>F_R·2·λs·p^(1/3)·√f'c·b_w·d (× 1.1 si cumple 6.7.8). Sin estribos: elemento en que no es práctico colocarlos.</t>
        </is>
      </c>
      <c r="F118" s="13" t="inlineStr">
        <is>
          <t>NTC-Concreto 2023 (CDMX) 5.5.3.8.1, p. 97 · ec. 5.5.3.2.1.a, p. 95 · 6.7.8.1.5, p. 187 · Tabla 3.8.2.1, p. 70</t>
        </is>
      </c>
    </row>
    <row r="119" ht="84" customHeight="1">
      <c r="B119" s="9" t="inlineStr">
        <is>
          <t>Estado</t>
        </is>
      </c>
      <c r="C119" s="66" t="str">
        <f>INDEX(TABLEROS!$CO$9:$CO$40,NERVADURA!$C$7)</f>
        <v>CUMPLE</v>
      </c>
      <c r="D119" s="11" t="inlineStr">
        <is>
          <t>—</t>
        </is>
      </c>
      <c r="E119" s="12" t="inlineStr">
        <is>
          <t>Si V_u &gt; V_cR se mide desde el paño hasta donde V baja a V_cR y se compara con el macizo de orilla; lo que falte se cubre quitando hileras de casetones (macizo). Sin estribos por 5.5.3.8.1 (elemento en que no es práctico colocarlos, criterio del Proyectista); si el tablero no cumple 6.7.8 tampoco aplica la exención de la Tabla 6.3.5.4.1 c).</t>
        </is>
      </c>
      <c r="F119" s="13" t="inlineStr">
        <is>
          <t>NTC-Concreto 2023 (CDMX) 5.5.3.8.1, p. 97 · 5.5.3.1.1, p. 94 · Tabla 6.3.5.4.1 c), p. 123</t>
        </is>
      </c>
    </row>
    <row r="120" ht="6" customHeight="1"/>
    <row r="121" ht="21" customHeight="1">
      <c r="B121" s="5" t="inlineStr">
        <is>
          <t>9. ESPESOR MÍNIMO (SE PUEDE OMITIR EL CÁLCULO DE FLECHAS)</t>
        </is>
      </c>
    </row>
    <row r="122" ht="66" customHeight="1">
      <c r="B122" s="6" t="inlineStr">
        <is>
          <t>Tabla 6.7.3.1.2 con α_fm = promedio de α_f de los cuatro bordes: un muro bajo todo el borde cuenta como viga infinitamente rígida (α_f = ∞); una nervadura principal, como I_b/I_s. α_fm &gt; 2: h = L_n·(0.8 + fy/14 000)/(36 + 9β) ≥ 9 cm; 0.2 &lt; α_fm ≤ 2: h = L_n·(0.8 + fy/14 000)/(36 + 5β(α_fm − 0.2)) ≥ 13 cm; α_fm ≤ 0.2: Tabla 6.7.3.1.1 (L_n/30 o L_n/33, ≥ 13 cm). +10% con borde discontinuo sin viga de α_f ≥ 0.8. L_n = claro libre largo, β = L_n largo / L_n corto. La hoja compara contra h_eq (losa maciza de la misma inercia), no contra los 25 cm.</t>
        </is>
      </c>
      <c r="C122" s="7" t="n"/>
      <c r="D122" s="7" t="n"/>
      <c r="E122" s="7" t="n"/>
      <c r="F122" s="7" t="n"/>
    </row>
    <row r="123" ht="30" customHeight="1">
      <c r="B123" s="8" t="inlineStr">
        <is>
          <t>Concepto</t>
        </is>
      </c>
      <c r="C123" s="8" t="inlineStr">
        <is>
          <t>Valor</t>
        </is>
      </c>
      <c r="D123" s="8" t="inlineStr">
        <is>
          <t>Unidad</t>
        </is>
      </c>
      <c r="E123" s="8" t="inlineStr">
        <is>
          <t>Cómo se calcula / de dónde sale</t>
        </is>
      </c>
      <c r="F123" s="8" t="inlineStr">
        <is>
          <t>Referencia</t>
        </is>
      </c>
    </row>
    <row r="124" ht="30" customHeight="1">
      <c r="B124" s="9" t="inlineStr">
        <is>
          <t>α_fm</t>
        </is>
      </c>
      <c r="C124" s="21">
        <f>INDEX(TABLEROS!$CP$9:$CP$40,NERVADURA!$C$7)</f>
        <v>51.0294068211523</v>
      </c>
      <c r="D124" s="11" t="inlineStr">
        <is>
          <t>—</t>
        </is>
      </c>
      <c r="E124" s="12" t="inlineStr">
        <is>
          <t>Promedio de los cuatro bordes (99 = muro).</t>
        </is>
      </c>
      <c r="F124" s="13" t="inlineStr">
        <is>
          <t>NTC-Concreto 2023 (CDMX) Tabla 6.7.3.1.2 nota [1], p. 168 · comentario de 6.7.1, p. 165</t>
        </is>
      </c>
    </row>
    <row r="125" ht="43.5" customHeight="1">
      <c r="B125" s="9" t="inlineStr">
        <is>
          <t>h mínimo (o L/8 si es volado)</t>
        </is>
      </c>
      <c r="C125" s="29">
        <f>INDEX(TABLEROS!$CQ$9:$CQ$40,NERVADURA!$C$7)</f>
        <v>10.2261412662917</v>
      </c>
      <c r="D125" s="11" t="inlineStr">
        <is>
          <t>cm</t>
        </is>
      </c>
      <c r="E125" s="12" t="inlineStr">
        <is>
          <t>Volado: las nervaduras son vigas, h ≥ L/8 y ≥ 25 cm (si no carga elementos frágiles).</t>
        </is>
      </c>
      <c r="F125" s="13" t="inlineStr">
        <is>
          <t>NTC-Concreto 2023 (CDMX) Tabla 6.7.3.1.2 y 6.7.3.1.2.1, p. 168 · Tabla 6.7.3.1.1, p. 167 · Tabla 6.3.3.1.1, p. 120</t>
        </is>
      </c>
    </row>
    <row r="126" ht="19.5" customHeight="1">
      <c r="B126" s="9" t="inlineStr">
        <is>
          <t>h que se compara (h_eq, o h si es volado)</t>
        </is>
      </c>
      <c r="C126" s="21">
        <f>INDEX(TABLEROS!$CR$9:$CR$40,NERVADURA!$C$7)</f>
        <v>16.7232564120244</v>
      </c>
      <c r="D126" s="11" t="inlineStr">
        <is>
          <t>cm</t>
        </is>
      </c>
      <c r="E126" s="12" t="inlineStr">
        <is>
          <t>DATOS sección 4.</t>
        </is>
      </c>
      <c r="F126" s="13" t="inlineStr">
        <is>
          <t>Criterio de esta hoja</t>
        </is>
      </c>
    </row>
    <row r="127" ht="30" customHeight="1">
      <c r="B127" s="9" t="inlineStr">
        <is>
          <t>Estado</t>
        </is>
      </c>
      <c r="C127" s="66" t="str">
        <f>INDEX(TABLEROS!$CS$9:$CS$40,NERVADURA!$C$7)</f>
        <v>CUMPLE</v>
      </c>
      <c r="D127" s="11" t="inlineStr">
        <is>
          <t>—</t>
        </is>
      </c>
      <c r="E127" s="12" t="inlineStr">
        <is>
          <t>Si no cumple: calcular flechas (13.4) y revisar vibración (13.7).</t>
        </is>
      </c>
      <c r="F127" s="13" t="inlineStr">
        <is>
          <t>NTC-Concreto 2023 (CDMX) 6.7.3.2.1, p. 168 · 13.7.1.1, p. 343</t>
        </is>
      </c>
    </row>
    <row r="128" ht="6" customHeight="1"/>
    <row r="129" ht="21" customHeight="1">
      <c r="B129" s="5" t="inlineStr">
        <is>
          <t>10. ACOMODO DE CASETONES, BASTONES Y DETALLE</t>
        </is>
      </c>
    </row>
    <row r="130" ht="30" customHeight="1">
      <c r="B130" s="8" t="inlineStr">
        <is>
          <t>Concepto</t>
        </is>
      </c>
      <c r="C130" s="8" t="inlineStr">
        <is>
          <t>Valor</t>
        </is>
      </c>
      <c r="D130" s="8" t="inlineStr">
        <is>
          <t>Unidad</t>
        </is>
      </c>
      <c r="E130" s="8" t="inlineStr">
        <is>
          <t>Cómo se calcula / de dónde sale</t>
        </is>
      </c>
      <c r="F130" s="8" t="inlineStr">
        <is>
          <t>Referencia</t>
        </is>
      </c>
    </row>
    <row r="131" ht="30" customHeight="1">
      <c r="B131" s="9" t="inlineStr">
        <is>
          <t>Casetones en X</t>
        </is>
      </c>
      <c r="C131" s="14">
        <f>MAX(0,INT((NERVADURA!$C$13*100-DATOS!$C$17+DATOS!$C$13)/DATOS!$C$16))</f>
        <v>6</v>
      </c>
      <c r="D131" s="11" t="inlineStr">
        <is>
          <t>pzas</t>
        </is>
      </c>
      <c r="E131" s="12" t="inlineStr">
        <is>
          <t>INT((a_x − b_p + b_w)/s). Lo que sobra se reparte como macizo en las dos orillas.</t>
        </is>
      </c>
      <c r="F131" s="13" t="inlineStr">
        <is>
          <t>Geometría</t>
        </is>
      </c>
    </row>
    <row r="132" ht="19.5" customHeight="1">
      <c r="B132" s="9" t="inlineStr">
        <is>
          <t>Macizo en cada orilla X</t>
        </is>
      </c>
      <c r="C132" s="26">
        <f>IF(NERVADURA!$C$131&gt;0,(NERVADURA!$C$13*100-DATOS!$C$17-(NERVADURA!$C$131*DATOS!$C$11+(NERVADURA!$C$131-1)*DATOS!$C$13))/2,NERVADURA!$C$13*100/2)</f>
        <v>8.80000000000001</v>
      </c>
      <c r="D132" s="11" t="inlineStr">
        <is>
          <t>cm</t>
        </is>
      </c>
      <c r="E132" s="12" t="inlineStr">
        <is>
          <t>Del paño de la nervadura principal al primer casetón.</t>
        </is>
      </c>
      <c r="F132" s="13" t="inlineStr">
        <is>
          <t>Geometría</t>
        </is>
      </c>
    </row>
    <row r="133" ht="19.5" customHeight="1">
      <c r="B133" s="9" t="inlineStr">
        <is>
          <t>Casetones en Y</t>
        </is>
      </c>
      <c r="C133" s="14">
        <f>MAX(0,INT((NERVADURA!$C$14*100-DATOS!$C$17+DATOS!$C$13)/DATOS!$C$16))</f>
        <v>5</v>
      </c>
      <c r="D133" s="11" t="inlineStr">
        <is>
          <t>pzas</t>
        </is>
      </c>
      <c r="E133" s="12" t="inlineStr">
        <is>
          <t>Mismo cálculo.</t>
        </is>
      </c>
      <c r="F133" s="13" t="inlineStr">
        <is>
          <t>Geometría</t>
        </is>
      </c>
    </row>
    <row r="134" ht="19.5" customHeight="1">
      <c r="B134" s="9" t="inlineStr">
        <is>
          <t>Macizo en cada orilla Y</t>
        </is>
      </c>
      <c r="C134" s="26">
        <f>IF(NERVADURA!$C$133&gt;0,(NERVADURA!$C$14*100-DATOS!$C$17-(NERVADURA!$C$133*DATOS!$C$11+(NERVADURA!$C$133-1)*DATOS!$C$13))/2,NERVADURA!$C$14*100/2)</f>
        <v>22.5</v>
      </c>
      <c r="D134" s="11" t="inlineStr">
        <is>
          <t>cm</t>
        </is>
      </c>
      <c r="E134" s="12" t="inlineStr">
        <is>
          <t>Mismo cálculo.</t>
        </is>
      </c>
      <c r="F134" s="13" t="inlineStr">
        <is>
          <t>Geometría</t>
        </is>
      </c>
    </row>
    <row r="135" ht="19.5" customHeight="1">
      <c r="B135" s="9" t="inlineStr">
        <is>
          <t>Nervaduras secundarias ‖ X (entre casetones)</t>
        </is>
      </c>
      <c r="C135" s="45">
        <f>MAX(0,NERVADURA!$C$133-1)</f>
        <v>4</v>
      </c>
      <c r="D135" s="11" t="inlineStr">
        <is>
          <t>pzas</t>
        </is>
      </c>
      <c r="E135" s="12" t="inlineStr">
        <is>
          <t>Una entre cada par de hileras de casetones.</t>
        </is>
      </c>
      <c r="F135" s="13" t="inlineStr">
        <is>
          <t>Geometría</t>
        </is>
      </c>
    </row>
    <row r="136" ht="19.5" customHeight="1">
      <c r="B136" s="9" t="inlineStr">
        <is>
          <t>Nervaduras secundarias ‖ Y</t>
        </is>
      </c>
      <c r="C136" s="45">
        <f>MAX(0,NERVADURA!$C$131-1)</f>
        <v>5</v>
      </c>
      <c r="D136" s="11" t="inlineStr">
        <is>
          <t>pzas</t>
        </is>
      </c>
      <c r="E136" s="12" t="inlineStr">
        <is>
          <t>Mismo criterio.</t>
        </is>
      </c>
      <c r="F136" s="13" t="inlineStr">
        <is>
          <t>Geometría</t>
        </is>
      </c>
    </row>
    <row r="137" ht="111" customHeight="1">
      <c r="B137" s="9" t="inlineStr">
        <is>
          <t>Bastón superior ‖ claro corto: largo desde el paño</t>
        </is>
      </c>
      <c r="C137" s="14">
        <f>INDEX(TABLEROS!$CU$9:$CU$40,NERVADURA!$C$7)</f>
        <v>105</v>
      </c>
      <c r="D137" s="11" t="inlineStr">
        <is>
          <t>cm</t>
        </is>
      </c>
      <c r="E137" s="12" t="inlineStr">
        <is>
          <t>Punto de inflexión de M(ξ) = −M1(1−ξ) − M2·ξ + 4M0·ξ(1−ξ), con M1 = M⁻ de diseño (con la distribución), M2 = M⁻ del otro extremo y M0 = M⁺ + (M1+M2)/2 con los M⁻ sin distribuir (el momento estático no cambia), más el mayor de d, 12d_b y L_n/16, y no menos que L_d; si no hay punto de inflexión el bastón va de lado a lado («otros casos» de la Tabla 14.4.2.4 si r &lt; d_b o la separación libre &lt; 2d_b). En volado: hacia el claro de respaldo.</t>
        </is>
      </c>
      <c r="F137" s="13" t="inlineStr">
        <is>
          <t>NTC-Concreto 2023 (CDMX) 6.3.7.3.4, p. 127 · 6.3.7.3.10.4, p. 129 · 14.4.2.1, p. 352</t>
        </is>
      </c>
    </row>
    <row r="138" ht="30" customHeight="1">
      <c r="B138" s="9" t="inlineStr">
        <is>
          <t>Bastón superior ‖ claro largo: largo desde el paño</t>
        </is>
      </c>
      <c r="C138" s="14">
        <f>INDEX(TABLEROS!$CV$9:$CV$40,NERVADURA!$C$7)</f>
        <v>120</v>
      </c>
      <c r="D138" s="11" t="inlineStr">
        <is>
          <t>cm</t>
        </is>
      </c>
      <c r="E138" s="12" t="inlineStr">
        <is>
          <t>Mismo criterio.</t>
        </is>
      </c>
      <c r="F138" s="13" t="inlineStr">
        <is>
          <t>NTC-Concreto 2023 (CDMX) 6.3.7.3.10.4, p. 129</t>
        </is>
      </c>
    </row>
    <row r="139" ht="30" customHeight="1">
      <c r="B139" s="9" t="inlineStr">
        <is>
          <t>Ancho disponible para anclar en la dala o muro del borde discontinuo</t>
        </is>
      </c>
      <c r="C139" s="26">
        <f>DATOS!$C$17-DATOS!$C$22</f>
        <v>11</v>
      </c>
      <c r="D139" s="11" t="inlineStr">
        <is>
          <t>cm</t>
        </is>
      </c>
      <c r="E139" s="12" t="inlineStr">
        <is>
          <t>b de la dala (15 cm) menos el recubrimiento de la cara exterior. L_dh se mide del paño al lado exterior del doblez.</t>
        </is>
      </c>
      <c r="F139" s="13" t="inlineStr">
        <is>
          <t>NTC-Concreto 2023 (CDMX) 14.4.3.1, p. 355</t>
        </is>
      </c>
    </row>
    <row r="140" ht="84" customHeight="1">
      <c r="B140" s="9" t="inlineStr">
        <is>
          <t>Varilla inferior de integridad en bordes discontinuos (1.25 fy en el paño)</t>
        </is>
      </c>
      <c r="C140" s="66" t="str">
        <f>IF(AND(1.25*INDEX(TABLAS!$G$52:$G$58,MATCH(NERVADURA!$C$57,TABLAS!$B$52:$B$58,0))&lt;=NERVADURA!$C$139,NERVADURA!$C$139&gt;=15),"CUMPLE","NO CUMPLE: 1.25·L_dh = "&amp;TEXT(1.25*INDEX(TABLAS!$G$52:$G$58,MATCH(NERVADURA!$C$57,TABLAS!$B$52:$B$58,0)),"0.0")&amp;" cm y ≥ 15 cm dentro del apoyo; hay "&amp;TEXT(NERVADURA!$C$139,"0.0")&amp;" cm")</f>
        <v>NO CUMPLE: 1.25·L_dh = 31.6 cm y ≥ 15 cm dentro del apoyo; hay 11.0 cm</v>
      </c>
      <c r="D140" s="11" t="inlineStr">
        <is>
          <t>—</t>
        </is>
      </c>
      <c r="E140" s="12" t="inlineStr">
        <is>
          <t>Una varilla inferior por nervadura, continua y anclada para 1.25 fy en el paño, con ≥ 150 mm dentro del muro o viga. En dalas de 15 cm no cabe ni con gancho. Solución en los bordes discontinuos: dala o cadena de borde de ancho ≥ 1.25·L_dh + r (≈ 36 cm con No. 4) o anclaje mecánico con cabeza (14.4.4).</t>
        </is>
      </c>
      <c r="F140" s="13" t="inlineStr">
        <is>
          <t>NTC-Concreto 2023 (CDMX) 6.7.8.1.7, p. 188 · 6.7.7.4.1.1 a), p. 179 · 14.4.3.1, p. 355 · 14.4.10.2 a) y d), p. 366</t>
        </is>
      </c>
    </row>
    <row r="141" ht="57" customHeight="1">
      <c r="B141" s="9" t="inlineStr">
        <is>
          <t>Bastón superior en bordes discontinuos (fy en el paño)</t>
        </is>
      </c>
      <c r="C141" s="66" t="str">
        <f>IF(INDEX(TABLAS!$G$52:$G$58,MATCH(NERVADURA!$C$72,TABLAS!$B$52:$B$58,0))&lt;=NERVADURA!$C$139,"CUMPLE","NO CUMPLE: L_dh = "&amp;TEXT(INDEX(TABLAS!$G$52:$G$58,MATCH(NERVADURA!$C$72,TABLAS!$B$52:$B$58,0)),"0.0")&amp;" cm &gt; "&amp;TEXT(NERVADURA!$C$139,"0.0")&amp;" cm disponibles en la dala")</f>
        <v>NO CUMPLE: L_dh = 25.3 cm &gt; 11.0 cm disponibles en la dala</v>
      </c>
      <c r="D141" s="11" t="inlineStr">
        <is>
          <t>—</t>
        </is>
      </c>
      <c r="E141" s="12" t="inlineStr">
        <is>
          <t>El negativo se dobla o se ancla en el muro para desarrollarse en el paño (gancho de 90° con extensión de 12d_b). Solución: dala o cadena de borde de ancho ≥ L_dh + r (≈ 30 cm con No. 4) o anclaje mecánico (14.4.4).</t>
        </is>
      </c>
      <c r="F141" s="13" t="inlineStr">
        <is>
          <t>NTC-Concreto 2023 (CDMX) 6.7.7.4.1.1 b), p. 179 · 14.4.3.1, p. 355 · Tabla 14.3.1, p. 349 · NTC-Mampostería 2023 (CDMX) 4.1.17.2, p. 43</t>
        </is>
      </c>
    </row>
    <row r="142" ht="30" customHeight="1">
      <c r="B142" s="9" t="inlineStr">
        <is>
          <t>Refuerzo de esquina exterior (tableros de esquina sobre muros)</t>
        </is>
      </c>
      <c r="C142" s="20" t="inlineStr">
        <is>
          <t>arriba y abajo en L_largo/5</t>
        </is>
      </c>
      <c r="D142" s="11" t="inlineStr">
        <is>
          <t>—</t>
        </is>
      </c>
      <c r="E142" s="12" t="inlineStr">
        <is>
          <t>Para el M⁺ máximo del tablero, en un cuadro de un quinto del claro largo desde la esquina.</t>
        </is>
      </c>
      <c r="F142" s="13" t="inlineStr">
        <is>
          <t>NTC-Concreto 2023 (CDMX) 6.7.7.3.1, p. 178</t>
        </is>
      </c>
    </row>
    <row r="143" ht="6" customHeight="1"/>
    <row r="144" ht="21" customHeight="1">
      <c r="B144" s="5" t="inlineStr">
        <is>
          <t>11. CAPA DE COMPRESIÓN — MALLA, DIAFRAGMA Y CARGA CONCENTRADA (IGUAL PARA TODOS LOS TABLEROS)</t>
        </is>
      </c>
    </row>
    <row r="145" ht="30" customHeight="1">
      <c r="B145" s="8" t="inlineStr">
        <is>
          <t>Concepto</t>
        </is>
      </c>
      <c r="C145" s="8" t="inlineStr">
        <is>
          <t>Valor</t>
        </is>
      </c>
      <c r="D145" s="8" t="inlineStr">
        <is>
          <t>Unidad</t>
        </is>
      </c>
      <c r="E145" s="8" t="inlineStr">
        <is>
          <t>Cómo se calcula / de dónde sale</t>
        </is>
      </c>
      <c r="F145" s="8" t="inlineStr">
        <is>
          <t>Referencia</t>
        </is>
      </c>
    </row>
    <row r="146" ht="19.5" customHeight="1">
      <c r="B146" s="9" t="inlineStr">
        <is>
          <t>As de la malla escogida</t>
        </is>
      </c>
      <c r="C146" s="22">
        <f>INDEX(TABLAS!$D$63:$D$66,MATCH(DATOS!$C$34,TABLAS!$B$63:$B$66,0))</f>
        <v>1.22728254740237</v>
      </c>
      <c r="D146" s="11" t="inlineStr">
        <is>
          <t>cm²/m</t>
        </is>
      </c>
      <c r="E146" s="12" t="inlineStr">
        <is>
          <t>TABLAS sección C.</t>
        </is>
      </c>
      <c r="F146" s="13" t="inlineStr">
        <is>
          <t>TABLAS</t>
        </is>
      </c>
    </row>
    <row r="147" ht="19.5" customHeight="1">
      <c r="B147" s="9" t="inlineStr">
        <is>
          <t>Ø del alambre</t>
        </is>
      </c>
      <c r="C147" s="22">
        <f>INDEX(TABLAS!$C$63:$C$66,MATCH(DATOS!$C$34,TABLAS!$B$63:$B$66,0))/10</f>
        <v>0.488</v>
      </c>
      <c r="D147" s="11" t="inlineStr">
        <is>
          <t>cm</t>
        </is>
      </c>
      <c r="E147" s="12" t="inlineStr">
        <is>
          <t>TABLAS sección C.</t>
        </is>
      </c>
      <c r="F147" s="13" t="inlineStr">
        <is>
          <t>TABLAS</t>
        </is>
      </c>
    </row>
    <row r="148" ht="30" customHeight="1">
      <c r="B148" s="9" t="inlineStr">
        <is>
          <t>Contracción y temperatura: As mín = 0.0018·t·100</t>
        </is>
      </c>
      <c r="C148" s="22">
        <f>0.0018*DATOS!$C$14*100</f>
        <v>0.9</v>
      </c>
      <c r="D148" s="11" t="inlineStr">
        <is>
          <t>cm²/m</t>
        </is>
      </c>
      <c r="E148" s="12" t="inlineStr">
        <is>
          <t>Ya no depende de fy ni de la exposición (la fórmula 660x₁/(fy(x₁+100)) era de 2017).</t>
        </is>
      </c>
      <c r="F148" s="13" t="inlineStr">
        <is>
          <t>NTC-Concreto 2023 (CDMX) 13.8.2.1.1, p. 345 · 6.7.8.1.8, p. 188</t>
        </is>
      </c>
    </row>
    <row r="149" ht="30" customHeight="1">
      <c r="B149" s="9" t="inlineStr">
        <is>
          <t>Estado (temperatura)</t>
        </is>
      </c>
      <c r="C149" s="66" t="str">
        <f>IF(NERVADURA!$C$146&gt;=NERVADURA!$C$148,"CUMPLE","NO CUMPLE")</f>
        <v>CUMPLE</v>
      </c>
      <c r="D149" s="11" t="inlineStr">
        <is>
          <t>—</t>
        </is>
      </c>
      <c r="E149" s="12" t="inlineStr">
        <is>
          <t>—</t>
        </is>
      </c>
      <c r="F149" s="13" t="inlineStr">
        <is>
          <t>—</t>
        </is>
      </c>
    </row>
    <row r="150" ht="30" customHeight="1">
      <c r="B150" s="9" t="inlineStr">
        <is>
          <t>Diafragma: cuantía mínima por cortante = 0.0025·t·100</t>
        </is>
      </c>
      <c r="C150" s="22">
        <f>0.0025*DATOS!$C$14*100</f>
        <v>1.25</v>
      </c>
      <c r="D150" s="11" t="inlineStr">
        <is>
          <t>cm²/m</t>
        </is>
      </c>
      <c r="E150" s="12" t="inlineStr">
        <is>
          <t>Sólo cuenta el acero de la capa (el de cambios volumétricos sí contribuye; el de flexión de las nervaduras no).</t>
        </is>
      </c>
      <c r="F150" s="13" t="inlineStr">
        <is>
          <t>NTC-Concreto 2023 (CDMX) 6.8.6.4 y 6.8.6.3, p. 196 · 6.8.1.1 a), p. 188</t>
        </is>
      </c>
    </row>
    <row r="151" ht="30" customHeight="1">
      <c r="B151" s="9" t="inlineStr">
        <is>
          <t>Estado (diafragma)</t>
        </is>
      </c>
      <c r="C151" s="66" t="str">
        <f>IF(NERVADURA!$C$146&gt;=NERVADURA!$C$150-0.0005,"CUMPLE","NO CUMPLE: "&amp;TEXT(NERVADURA!$C$146/NERVADURA!$C$150,"0%")&amp;" — capa de 6 cm con 6x6-4/4")</f>
        <v>NO CUMPLE: 98% — capa de 6 cm con 6x6-4/4</v>
      </c>
      <c r="D151" s="11" t="inlineStr">
        <is>
          <t>—</t>
        </is>
      </c>
      <c r="E151" s="12" t="inlineStr">
        <is>
          <t>Con capa de 5 cm ninguna malla de la lista cumple a la vez diafragma y recubrimiento.</t>
        </is>
      </c>
      <c r="F151" s="13" t="inlineStr">
        <is>
          <t>—</t>
        </is>
      </c>
    </row>
    <row r="152" ht="43.5" customHeight="1">
      <c r="B152" s="9" t="inlineStr">
        <is>
          <t>Recubrimiento de la malla centrada en la capa</t>
        </is>
      </c>
      <c r="C152" s="21">
        <f>(DATOS!$C$14-2*NERVADURA!$C$147)/2</f>
        <v>2.012</v>
      </c>
      <c r="D152" s="11" t="inlineStr">
        <is>
          <t>cm</t>
        </is>
      </c>
      <c r="E152" s="12" t="inlineStr">
        <is>
          <t>(t − 2Ø)/2. Debe ser ≥ r (2 cm, interior A1) y ≥ r_ext donde la cara superior queda a la intemperie (azotea o volados marcados como expuestos en DATOS).</t>
        </is>
      </c>
      <c r="F152" s="13" t="inlineStr">
        <is>
          <t>NTC-Concreto 2023 (CDMX) Tabla 4.14.16.a, p. 85 · 4.3.2, p. 76</t>
        </is>
      </c>
    </row>
    <row r="153" ht="30" customHeight="1">
      <c r="B153" s="9" t="inlineStr">
        <is>
          <t>Estado (recubrimiento de la malla)</t>
        </is>
      </c>
      <c r="C153" s="66" t="str">
        <f>IF(NERVADURA!$C$152&gt;=IF(OR(DATOS!$C$23="SÍ",DATOS!$C$24="SÍ"),DATOS!$C$21,DATOS!$C$20)-0.005,"CUMPLE","NO CUMPLE"&amp;IF(AND(NERVADURA!$C$152&gt;=DATOS!$C$20-0.005,OR(DATOS!$C$23="SÍ",DATOS!$C$24="SÍ"))," en las zonas expuestas: protegerlas (piso o impermeabilizante, DATOS) o engrosar ahí la capa",""))</f>
        <v>NO CUMPLE en las zonas expuestas: protegerlas (piso o impermeabilizante, DATOS) o engrosar ahí la capa</v>
      </c>
      <c r="D153" s="11" t="inlineStr">
        <is>
          <t>—</t>
        </is>
      </c>
      <c r="E153" s="12" t="inlineStr">
        <is>
          <t>—</t>
        </is>
      </c>
      <c r="F153" s="13" t="inlineStr">
        <is>
          <t>—</t>
        </is>
      </c>
    </row>
    <row r="154" ht="30" customHeight="1">
      <c r="B154" s="9" t="inlineStr">
        <is>
          <t>Separación de la malla (15.24 cm) ≤ máx. permitida</t>
        </is>
      </c>
      <c r="C154" s="20" t="str">
        <f>IF(15.24&lt;=MIN(5*DATOS!$C$14,45,30),"CUMPLE","NO CUMPLE")</f>
        <v>CUMPLE</v>
      </c>
      <c r="D154" s="11" t="inlineStr">
        <is>
          <t>—</t>
        </is>
      </c>
      <c r="E154" s="12" t="inlineStr">
        <is>
          <t>El menor de 5t y 45 cm (diafragma) y 30 cm entre alambres soldados.</t>
        </is>
      </c>
      <c r="F154" s="13" t="inlineStr">
        <is>
          <t>NTC-Concreto 2023 (CDMX) 6.8.7.3, p. 196 · 2.4.2.1.6.3, p. 44</t>
        </is>
      </c>
    </row>
    <row r="155" ht="43.5" customHeight="1">
      <c r="B155" s="9" t="inlineStr">
        <is>
          <t>Espesor de pisos y rellenos que reparten la carga concentrada (45°)</t>
        </is>
      </c>
      <c r="C155" s="17" t="n">
        <v>0</v>
      </c>
      <c r="D155" s="11" t="inlineStr">
        <is>
          <t>cm</t>
        </is>
      </c>
      <c r="E155" s="12" t="inlineStr">
        <is>
          <t>CAPTURA. 0 = la carga actúa directo sobre la capa (lo más estricto). Si cuentas el piso y el pegapiso (≈ 6 cm), pon aquí su espesor.</t>
        </is>
      </c>
      <c r="F155" s="13" t="inlineStr">
        <is>
          <t>Criterio de esta hoja</t>
        </is>
      </c>
    </row>
    <row r="156" ht="30" customHeight="1">
      <c r="B156" s="9" t="inlineStr">
        <is>
          <t>P_u = FC_CV × 1 000 kg en 10 × 10 cm</t>
        </is>
      </c>
      <c r="C156" s="45">
        <f>DATOS!$C$56*CARGAS!$C$41</f>
        <v>1500</v>
      </c>
      <c r="D156" s="11" t="inlineStr">
        <is>
          <t>kg</t>
        </is>
      </c>
      <c r="E156" s="12" t="inlineStr">
        <is>
          <t>Carga concentrada mínima entre nervaduras.</t>
        </is>
      </c>
      <c r="F156" s="13" t="inlineStr">
        <is>
          <t>NTC-Concreto 2023 (CDMX) 6.7.8.1.6, p. 187 · NTC-Criterios y Acciones 2023 (CDMX) 3.4.1 a), p. 7</t>
        </is>
      </c>
    </row>
    <row r="157" ht="19.5" customHeight="1">
      <c r="B157" s="9" t="inlineStr">
        <is>
          <t>d de la capa (malla al centro)</t>
        </is>
      </c>
      <c r="C157" s="21">
        <f>DATOS!$C$14/2</f>
        <v>2.5</v>
      </c>
      <c r="D157" s="11" t="inlineStr">
        <is>
          <t>cm</t>
        </is>
      </c>
      <c r="E157" s="12" t="inlineStr">
        <is>
          <t>—</t>
        </is>
      </c>
      <c r="F157" s="13" t="inlineStr">
        <is>
          <t>Geometría</t>
        </is>
      </c>
    </row>
    <row r="158" ht="19.5" customHeight="1">
      <c r="B158" s="9" t="inlineStr">
        <is>
          <t>b₀ — perímetro crítico a d/2</t>
        </is>
      </c>
      <c r="C158" s="26">
        <f>4*(10+2*NERVADURA!$C$155+NERVADURA!$C$157)</f>
        <v>50</v>
      </c>
      <c r="D158" s="11" t="inlineStr">
        <is>
          <t>cm</t>
        </is>
      </c>
      <c r="E158" s="12" t="inlineStr">
        <is>
          <t>4·(c + d) con c = 10 cm más el reparto.</t>
        </is>
      </c>
      <c r="F158" s="13" t="inlineStr">
        <is>
          <t>NTC-Concreto 2023 (CDMX) 5.6, p. 99–100</t>
        </is>
      </c>
    </row>
    <row r="159" ht="30" customHeight="1">
      <c r="B159" s="9" t="inlineStr">
        <is>
          <t>V_cR punzonamiento de la capa</t>
        </is>
      </c>
      <c r="C159" s="45">
        <f>DATOS!$C$59*MIN(1,0.5*(1+2/1),0.27*(2+40*NERVADURA!$C$157/NERVADURA!$C$158))*MIN(1,SQRT(2/(1+0.04*NERVADURA!$C$157)))*SQRT(DATOS!$C$39)*NERVADURA!$C$158*NERVADURA!$C$157</f>
        <v>1482.31765320393</v>
      </c>
      <c r="D159" s="11" t="inlineStr">
        <is>
          <t>kg</t>
        </is>
      </c>
      <c r="E159" s="12" t="inlineStr">
        <is>
          <t>v_cR = F_R·(el menor de 1.0, 0.5(1 + 2/β) y 0.27(2 + α_s·d/b₀))·λs·√f'c, con β = 1 y α_s = 40.</t>
        </is>
      </c>
      <c r="F159" s="13" t="inlineStr">
        <is>
          <t>NTC-Concreto 2023 (CDMX) Tabla 5.6.2.1.1, p. 100</t>
        </is>
      </c>
    </row>
    <row r="160" ht="43.5" customHeight="1">
      <c r="B160" s="9" t="inlineStr">
        <is>
          <t>Estado (punzonamiento)</t>
        </is>
      </c>
      <c r="C160" s="66" t="str">
        <f>IF(NERVADURA!$C$156&lt;=NERVADURA!$C$159,"CUMPLE","NO CUMPLE: P_u/V_cR = "&amp;TEXT(NERVADURA!$C$156/NERVADURA!$C$159,"0.00")&amp;" — capa de 6 cm con 6x6-4/4")</f>
        <v>NO CUMPLE: P_u/V_cR = 1.01 — capa de 6 cm con 6x6-4/4</v>
      </c>
      <c r="D160" s="11" t="inlineStr">
        <is>
          <t>—</t>
        </is>
      </c>
      <c r="E160" s="12" t="inlineStr">
        <is>
          <t>Contar el reparto del piso (renglón de arriba) sólo ayuda aquí: no resuelve el diafragma ni el acero mínimo de abajo.</t>
        </is>
      </c>
      <c r="F160" s="13" t="inlineStr">
        <is>
          <t>—</t>
        </is>
      </c>
    </row>
    <row r="161" ht="19.5" customHeight="1">
      <c r="B161" s="9" t="inlineStr">
        <is>
          <t>v_uv — esfuerzo cortante en la sección crítica</t>
        </is>
      </c>
      <c r="C161" s="21">
        <f>NERVADURA!$C$156/(NERVADURA!$C$158*NERVADURA!$C$157)</f>
        <v>12</v>
      </c>
      <c r="D161" s="11" t="inlineStr">
        <is>
          <t>kg/cm²</t>
        </is>
      </c>
      <c r="E161" s="12" t="inlineStr">
        <is>
          <t>P_u/(b₀·d).</t>
        </is>
      </c>
      <c r="F161" s="13" t="inlineStr">
        <is>
          <t>NTC-Concreto 2023 (CDMX) 6.7.6.1.2, p. 175</t>
        </is>
      </c>
    </row>
    <row r="162" ht="30" customHeight="1">
      <c r="B162" s="9" t="inlineStr">
        <is>
          <t>Límite 0.5·F_R·λs·λ·√f'c</t>
        </is>
      </c>
      <c r="C162" s="21">
        <f>0.5*DATOS!$C$59*MIN(1,SQRT(2/(1+0.04*NERVADURA!$C$157)))*SQRT(DATOS!$C$39)</f>
        <v>5.92927061281571</v>
      </c>
      <c r="D162" s="11" t="inlineStr">
        <is>
          <t>kg/cm²</t>
        </is>
      </c>
      <c r="E162" s="12" t="inlineStr">
        <is>
          <t>Si v_uv lo rebasa, se pide acero mínimo alrededor de la carga concentrada (ec. 6.7.6.1.2).</t>
        </is>
      </c>
      <c r="F162" s="13" t="inlineStr">
        <is>
          <t>NTC-Concreto 2023 (CDMX) 6.7.6.1.2, p. 175</t>
        </is>
      </c>
    </row>
    <row r="163" ht="19.5" customHeight="1">
      <c r="B163" s="9" t="inlineStr">
        <is>
          <t>b_losa — ancho en que se coloca ese acero</t>
        </is>
      </c>
      <c r="C163" s="26">
        <f>10+2*NERVADURA!$C$155+2*1.5*DATOS!$C$14</f>
        <v>25</v>
      </c>
      <c r="D163" s="11" t="inlineStr">
        <is>
          <t>cm</t>
        </is>
      </c>
      <c r="E163" s="12" t="inlineStr">
        <is>
          <t>Ancho cargado más 1.5h a cada lado.</t>
        </is>
      </c>
      <c r="F163" s="13" t="inlineStr">
        <is>
          <t>NTC-Concreto 2023 (CDMX) Tabla 6.7.4.2.2.3, p. 171</t>
        </is>
      </c>
    </row>
    <row r="164" ht="30" customHeight="1">
      <c r="B164" s="9" t="inlineStr">
        <is>
          <t>As,mín alrededor de la carga = 5·v_uv·b_losa·b₀/(F_R·α_s·fy)</t>
        </is>
      </c>
      <c r="C164" s="22">
        <f>IF(NERVADURA!$C$161&gt;NERVADURA!$C$162,5*NERVADURA!$C$161*NERVADURA!$C$163*NERVADURA!$C$158/(DATOS!$C$59*40*DATOS!$C$41),0)</f>
        <v>0.5</v>
      </c>
      <c r="D164" s="11" t="inlineStr">
        <is>
          <t>cm²</t>
        </is>
      </c>
      <c r="E164" s="12" t="inlineStr">
        <is>
          <t>α_s = 40 (carga interior); fy de la malla.</t>
        </is>
      </c>
      <c r="F164" s="13" t="inlineStr">
        <is>
          <t>NTC-Concreto 2023 (CDMX) ec. 6.7.6.1.2, p. 175 · Tabla 5.6.2.1.1, p. 100</t>
        </is>
      </c>
    </row>
    <row r="165" ht="30" customHeight="1">
      <c r="B165" s="9" t="inlineStr">
        <is>
          <t>Estado (acero mínimo alrededor de la carga concentrada)</t>
        </is>
      </c>
      <c r="C165" s="66" t="str">
        <f>IF(NERVADURA!$C$146/100*NERVADURA!$C$163&gt;=NERVADURA!$C$164-0.0005,"CUMPLE","NO CUMPLE: la malla da "&amp;TEXT(NERVADURA!$C$146/100*NERVADURA!$C$163,"0.00")&amp;" de "&amp;TEXT(NERVADURA!$C$164,"0.00")&amp;" cm² — capa de 6 cm con 6x6-4/4")</f>
        <v>NO CUMPLE: la malla da 0.31 de 0.50 cm² — capa de 6 cm con 6x6-4/4</v>
      </c>
      <c r="D165" s="11" t="inlineStr">
        <is>
          <t>—</t>
        </is>
      </c>
      <c r="E165" s="12" t="inlineStr">
        <is>
          <t>Malla dentro de b_losa contra As,mín.</t>
        </is>
      </c>
      <c r="F165" s="13" t="inlineStr">
        <is>
          <t>NTC-Concreto 2023 (CDMX) 6.7.6.1.2, p. 175</t>
        </is>
      </c>
    </row>
    <row r="166" ht="19.5" customHeight="1">
      <c r="B166" s="9" t="inlineStr">
        <is>
          <t>m_R de la capa por unidad de ancho</t>
        </is>
      </c>
      <c r="C166" s="26">
        <f>DATOS!$C$58*NERVADURA!$C$146/100*DATOS!$C$41*(NERVADURA!$C$157-NERVADURA!$C$146/100*DATOS!$C$41/(DATOS!$C$48)/2)</f>
        <v>130.095167723693</v>
      </c>
      <c r="D166" s="11" t="inlineStr">
        <is>
          <t>kg·cm/cm</t>
        </is>
      </c>
      <c r="E166" s="12" t="inlineStr">
        <is>
          <t>F_R·As·fy·(d − a/2) por cm.</t>
        </is>
      </c>
      <c r="F166" s="13" t="inlineStr">
        <is>
          <t>NTC-Concreto 2023 (CDMX) ec. 5.2.2.1.1.1.b, p. 89</t>
        </is>
      </c>
    </row>
    <row r="167" ht="57" customHeight="1">
      <c r="B167" s="9" t="inlineStr">
        <is>
          <t>m requerido = P_u/(4π) (abanico de líneas de fluencia, m = m′)</t>
        </is>
      </c>
      <c r="C167" s="26">
        <f>NERVADURA!$C$156/(4*PI())</f>
        <v>119.366207318922</v>
      </c>
      <c r="D167" s="11" t="inlineStr">
        <is>
          <t>kg·cm/cm</t>
        </is>
      </c>
      <c r="E167" s="12" t="inlineStr">
        <is>
          <t>Mecanismo de abanico alrededor de la carga; la malla única al centro da m = m′. Ignorar el área cargada queda del lado seguro.</t>
        </is>
      </c>
      <c r="F167" s="13" t="inlineStr">
        <is>
          <t>Criterio de esta hoja · NTC-Concreto 2023 (CDMX) 3.4.1.1, p. 64 (líneas de fluencia) · véase también ec. 3.4.5.1, p. 66 (se desprecia 2r/3R_b, del lado seguro) · 6.7.8.1.8, p. 188</t>
        </is>
      </c>
    </row>
    <row r="168" ht="30" customHeight="1">
      <c r="B168" s="9" t="inlineStr">
        <is>
          <t>Estado (flexión de la capa)</t>
        </is>
      </c>
      <c r="C168" s="66" t="str">
        <f>IF(NERVADURA!$C$167&lt;=NERVADURA!$C$166,"CUMPLE","NO CUMPLE")</f>
        <v>CUMPLE</v>
      </c>
      <c r="D168" s="11" t="inlineStr">
        <is>
          <t>—</t>
        </is>
      </c>
      <c r="E168" s="12" t="inlineStr">
        <is>
          <t>—</t>
        </is>
      </c>
      <c r="F168" s="13" t="inlineStr">
        <is>
          <t>—</t>
        </is>
      </c>
    </row>
    <row r="169" ht="6" customHeight="1"/>
    <row r="170" ht="21" customHeight="1">
      <c r="B170" s="5" t="inlineStr">
        <is>
          <t>12. COMPROBACIÓN CONTRA TABLEROS</t>
        </is>
      </c>
    </row>
    <row r="171" ht="30" customHeight="1">
      <c r="B171" s="8" t="inlineStr">
        <is>
          <t>Concepto</t>
        </is>
      </c>
      <c r="C171" s="8" t="inlineStr">
        <is>
          <t>Valor</t>
        </is>
      </c>
      <c r="D171" s="8" t="inlineStr">
        <is>
          <t>Unidad</t>
        </is>
      </c>
      <c r="E171" s="8" t="inlineStr">
        <is>
          <t>Cómo se calcula / de dónde sale</t>
        </is>
      </c>
      <c r="F171" s="8" t="inlineStr">
        <is>
          <t>Referencia</t>
        </is>
      </c>
    </row>
    <row r="172" ht="19.5" customHeight="1">
      <c r="B172" s="9" t="inlineStr">
        <is>
          <t>Mu/M_R inferior corto (aquí / TABLEROS)</t>
        </is>
      </c>
      <c r="C172" s="20" t="str">
        <f>TEXT(NERVADURA!$C$61,"0.000")&amp;" / "&amp;TEXT(INDEX(TABLEROS!$BL$9:$BL$40,NERVADURA!$C$7),"0.000")</f>
        <v>0.309 / 0.309</v>
      </c>
      <c r="D172" s="11" t="inlineStr">
        <is>
          <t>—</t>
        </is>
      </c>
      <c r="E172" s="12" t="inlineStr">
        <is>
          <t>Deben coincidir.</t>
        </is>
      </c>
      <c r="F172" s="13" t="inlineStr">
        <is>
          <t>—</t>
        </is>
      </c>
    </row>
    <row r="173" ht="19.5" customHeight="1">
      <c r="B173" s="9" t="inlineStr">
        <is>
          <t>Mu/M_R superior corto (aquí / TABLEROS)</t>
        </is>
      </c>
      <c r="C173" s="20" t="str">
        <f>TEXT(NERVADURA!$C$76,"0.000")&amp;" / "&amp;TEXT(INDEX(TABLEROS!$BT$9:$BT$40,NERVADURA!$C$7),"0.000")</f>
        <v>0.550 / 0.550</v>
      </c>
      <c r="D173" s="11" t="inlineStr">
        <is>
          <t>—</t>
        </is>
      </c>
      <c r="E173" s="12" t="inlineStr">
        <is>
          <t>Deben coincidir.</t>
        </is>
      </c>
      <c r="F173" s="13" t="inlineStr">
        <is>
          <t>—</t>
        </is>
      </c>
    </row>
    <row r="174" ht="30" customHeight="1">
      <c r="B174" s="9" t="inlineStr">
        <is>
          <t>¿Coinciden?</t>
        </is>
      </c>
      <c r="C174" s="66" t="str">
        <f>IF(AND(ABS(NERVADURA!$C$61-INDEX(TABLEROS!$BL$9:$BL$40,NERVADURA!$C$7))&lt;0.0005,ABS(NERVADURA!$C$76-INDEX(TABLEROS!$BT$9:$BT$40,NERVADURA!$C$7))&lt;0.0005,ABS(NERVADURA!$C$91-INDEX(TABLEROS!$CB$9:$CB$40,NERVADURA!$C$7))&lt;0.0005,ABS(NERVADURA!$C$106-INDEX(TABLEROS!$CJ$9:$CJ$40,NERVADURA!$C$7))&lt;0.0005,ABS(NERVADURA!$C$118-INDEX(TABLEROS!$CN$9:$CN$40,NERVADURA!$C$7))&lt;0.0005),"CUMPLE — coinciden","REVISAR")</f>
        <v>CUMPLE — coinciden</v>
      </c>
      <c r="D174" s="11" t="inlineStr">
        <is>
          <t>—</t>
        </is>
      </c>
      <c r="E174" s="12" t="inlineStr">
        <is>
          <t>Control interno de la hoja.</t>
        </is>
      </c>
      <c r="F174" s="13" t="inlineStr">
        <is>
          <t>—</t>
        </is>
      </c>
    </row>
    <row r="175" ht="30" customHeight="1">
      <c r="B175" s="9" t="inlineStr">
        <is>
          <t>ESTADO DEL TABLERO (TABLEROS)</t>
        </is>
      </c>
      <c r="C175" s="66" t="str">
        <f>INDEX(TABLEROS!$CZ$9:$CZ$40,NERVADURA!$C$7)</f>
        <v>CUMPLE · fuera de 3.4.2.1 c)</v>
      </c>
      <c r="D175" s="11" t="inlineStr">
        <is>
          <t>—</t>
        </is>
      </c>
      <c r="E175" s="12" t="inlineStr">
        <is>
          <t>—</t>
        </is>
      </c>
      <c r="F175" s="13" t="inlineStr">
        <is>
          <t>—</t>
        </is>
      </c>
    </row>
  </sheetData>
  <mergeCells count="18">
    <mergeCell ref="B4:F4"/>
    <mergeCell ref="B44:F44"/>
    <mergeCell ref="B43:F43"/>
    <mergeCell ref="B96:F96"/>
    <mergeCell ref="B129:F129"/>
    <mergeCell ref="B144:F144"/>
    <mergeCell ref="B2:F2"/>
    <mergeCell ref="B81:F81"/>
    <mergeCell ref="B111:F111"/>
    <mergeCell ref="B28:F28"/>
    <mergeCell ref="B112:F112"/>
    <mergeCell ref="B51:F51"/>
    <mergeCell ref="B66:F66"/>
    <mergeCell ref="B121:F121"/>
    <mergeCell ref="B122:F122"/>
    <mergeCell ref="B1:F1"/>
    <mergeCell ref="B170:F170"/>
    <mergeCell ref="B9:F9"/>
  </mergeCells>
  <conditionalFormatting sqref="C1:F176">
    <cfRule type="expression" priority="1" dxfId="0" stopIfTrue="1">
      <formula>OR(ISNUMBER(FIND("NO CUMPLE",C1)),ISNUMBER(FIND("REVISAR",C1)),ISNUMBER(FIND("NO CABE",C1)),ISNUMBER(FIND("FUERA",C1)),ISNUMBER(FIND("SIN APOYO",C1)),ISNUMBER(FIND("INSUFICIENTE",C1)),ISNUMBER(FIND("PENDIENTE",C1)))</formula>
    </cfRule>
    <cfRule type="expression" priority="2" dxfId="1" stopIfTrue="1">
      <formula>OR(ISNUMBER(FIND("CUMPLE",C1)),ISNUMBER(FIND("SÍ aplica",C1)),ISNUMBER(FIND("MANDA",C1)))</formula>
    </cfRule>
    <cfRule type="expression" priority="3" dxfId="2" stopIfTrue="1">
      <formula>OR(ISNUMBER(FIND("MACIZAR",C1)),ISNUMBER(FIND("VOLADO",C1)),ISNUMBER(FIND("PROPUESTO",C1)),ISNUMBER(FIND("VER ",C1)))</formula>
    </cfRule>
  </conditionalFormatting>
  <dataValidations count="1">
    <dataValidation sqref="C6" showDropDown="0" showInputMessage="0" showErrorMessage="0" allowBlank="0" errorTitle="Valor no válido" error="Escoge un valor de la lista" type="list">
      <formula1>=TABLEROS!$B$9:$B$40</formula1>
    </dataValidation>
  </dataValidations>
  <pageMargins left="0.75" right="0.75" top="1" bottom="1" header="0.5" footer="0.5"/>
  <pageSetup orientation="landscape" paperSize="1" fitToHeight="0" fitToWidth="1"/>
</worksheet>
</file>

<file path=xl/worksheets/sheet6.xml><?xml version="1.0" encoding="utf-8"?>
<worksheet xmlns="http://schemas.openxmlformats.org/spreadsheetml/2006/main">
  <sheetPr>
    <outlinePr summaryBelow="1" summaryRight="1"/>
    <pageSetUpPr fitToPage="1"/>
  </sheetPr>
  <dimension ref="B1:CB42"/>
  <sheetViews>
    <sheetView showGridLines="0" zoomScale="80" workbookViewId="0">
      <pane xSplit="2" ySplit="8" topLeftCell="C9" activePane="bottomRight" state="frozen"/>
      <selection pane="topRight"/>
      <selection pane="bottomLeft"/>
      <selection pane="bottomRight" activeCell="A1" sqref="A1"/>
    </sheetView>
  </sheetViews>
  <sheetFormatPr baseColWidth="8" defaultRowHeight="15"/>
  <cols>
    <col width="1.78" customWidth="1" min="1" max="1"/>
    <col width="7" customWidth="1" min="2" max="2"/>
    <col width="7.5" customWidth="1" min="3" max="3"/>
    <col width="16" customWidth="1" min="4" max="4"/>
    <col width="13" customWidth="1" min="5" max="5"/>
    <col width="13" customWidth="1" min="6" max="6"/>
    <col width="6.5" customWidth="1" min="7" max="7"/>
    <col width="10.5" customWidth="1" min="8" max="8"/>
    <col width="10.5" customWidth="1" min="9" max="9"/>
    <col width="7" customWidth="1" min="10" max="10"/>
    <col width="7" customWidth="1" min="11" max="11"/>
    <col width="13" customWidth="1" min="12" max="12"/>
    <col width="6.5" customWidth="1" min="13" max="13"/>
    <col width="6" customWidth="1" min="14" max="14"/>
    <col width="6" customWidth="1" min="15" max="15"/>
    <col width="16" customWidth="1" min="16" max="16"/>
    <col width="7" customWidth="1" min="17" max="17"/>
    <col width="7" customWidth="1" min="18" max="18"/>
    <col width="7" customWidth="1" min="19" max="19"/>
    <col width="7" customWidth="1" min="20" max="20"/>
    <col width="7.5" customWidth="1" min="21" max="21"/>
    <col width="7.5" customWidth="1" min="22" max="22"/>
    <col width="7.5" customWidth="1" min="23" max="23"/>
    <col width="7" customWidth="1" min="24" max="24"/>
    <col width="7" customWidth="1" min="25" max="25"/>
    <col width="7.5" customWidth="1" min="26" max="26"/>
    <col width="7" customWidth="1" min="27" max="27"/>
    <col width="7" customWidth="1" min="28" max="28"/>
    <col width="7" customWidth="1" min="29" max="29"/>
    <col width="7.5" customWidth="1" min="30" max="30"/>
    <col width="7.5" customWidth="1" min="31" max="31"/>
    <col width="7.5" customWidth="1" min="32" max="32"/>
    <col width="7.5" customWidth="1" min="33" max="33"/>
    <col width="7.5"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6" customWidth="1" min="43" max="43"/>
    <col width="7" customWidth="1" min="44" max="44"/>
    <col width="5.5" customWidth="1" min="45" max="45"/>
    <col width="6" customWidth="1" min="46" max="46"/>
    <col width="5" customWidth="1" min="47" max="47"/>
    <col width="7" customWidth="1" min="48" max="48"/>
    <col width="7" customWidth="1" min="49" max="49"/>
    <col width="6.5" customWidth="1" min="50" max="50"/>
    <col width="7" customWidth="1" min="51" max="51"/>
    <col width="5.5" customWidth="1" min="52" max="52"/>
    <col width="5" customWidth="1" min="53" max="53"/>
    <col width="7" customWidth="1" min="54" max="54"/>
    <col width="7" customWidth="1" min="55" max="55"/>
    <col width="6.5" customWidth="1" min="56" max="56"/>
    <col width="7" customWidth="1" min="57" max="57"/>
    <col width="7" customWidth="1" min="58" max="58"/>
    <col width="7" customWidth="1" min="59" max="59"/>
    <col width="20" customWidth="1" min="60" max="60"/>
    <col width="6.5" customWidth="1" min="61" max="61"/>
    <col width="8.5" customWidth="1" min="62" max="62"/>
    <col width="7" customWidth="1" min="63" max="63"/>
    <col width="7" customWidth="1" min="64" max="64"/>
    <col width="7" customWidth="1" min="65" max="65"/>
    <col width="8.5" customWidth="1" min="66" max="66"/>
    <col width="8" customWidth="1" min="67" max="67"/>
    <col width="7" customWidth="1" min="68" max="68"/>
    <col width="7" customWidth="1" min="69" max="69"/>
    <col width="7" customWidth="1" min="70" max="70"/>
    <col width="6" customWidth="1" min="71" max="71"/>
    <col width="7" customWidth="1" min="72" max="72"/>
    <col width="16" customWidth="1" min="73" max="73"/>
    <col width="9" customWidth="1" min="74" max="74"/>
    <col width="8" customWidth="1" min="75" max="75"/>
    <col width="8" customWidth="1" min="76" max="76"/>
    <col width="10" customWidth="1" min="77" max="77"/>
    <col width="30" customWidth="1" min="78" max="78"/>
    <col width="50" customWidth="1" min="79" max="79"/>
    <col width="7" customWidth="1" min="80" max="80"/>
  </cols>
  <sheetData>
    <row r="1" ht="26" customHeight="1">
      <c r="B1" s="68" t="inlineStr">
        <is>
          <t>PRINCIPALES — NERVADURAS PRINCIPALES SIN MURO ABAJO (TRABAJAN COMO TRABE)</t>
        </is>
      </c>
    </row>
    <row r="2" ht="42" customHeight="1">
      <c r="B2" s="47" t="inlineStr">
        <is>
          <t>Cada renglón es un tramo de dala del modelo que NO tiene muro abajo, entre dos apoyos. Carga = áreas tributarias del DXF × w_u del tablero + muro de planta alta encima + la AZOTEA que ese muro recibe por su dala de N+6.00 + cargas lineales del E2K + peso extra de la trabe + reacciones de otras principales (TRANSFER, directas o por el muro). Apoyada: M⁺ = wL²/8 + ΣPab/L, M⁻ = 0.667·M⁺. Volado: M⁻ = wL²/2 + ΣP·brazo. Recubrimiento de viga (4 cm), estribos cerrados No. 3 y A_v,mín en todo el claro; flecha con la inercia efectiva de la Tabla 13.4.3.2; con muro encima, además la NTC-Mampostería 4.1.18.</t>
        </is>
      </c>
    </row>
    <row r="3" ht="30" customHeight="1">
      <c r="B3" s="48" t="inlineStr">
        <is>
          <t>b y h (amarillo) son la SECCIÓN PROPUESTA: la hoja la dimensionó para que el tramo cumpla todo; donde dice «PERALTAR» la dala de 15×25 del modelo no alcanza y debe ir como trabe descolgada de esa sección. Los extremos con castillo (C1…C8) dependen de lo que decidas en APOYOS sección B. «h mín. por flexión, Tabla 6.3.3.1.1 y NTC-M 4.1.18» no incluye la flecha ni el acomodo de varillas; la flecha y el muro sobre la viga se revisan con la h capturada y el estado propone el h que falta.</t>
        </is>
      </c>
    </row>
    <row r="6">
      <c r="B6" s="49" t="inlineStr">
        <is>
          <t>TRAMO Y APOYOS</t>
        </is>
      </c>
      <c r="N6" s="49" t="inlineStr">
        <is>
          <t>SECCIÓN PROPUESTA</t>
        </is>
      </c>
      <c r="Q6" s="49" t="inlineStr">
        <is>
          <t>CARGA REPARTIDA (última; servicio D / W_m / W)</t>
        </is>
      </c>
      <c r="AD6" s="49" t="inlineStr">
        <is>
          <t>CARGAS PUNTUALES Y REACCIONES</t>
        </is>
      </c>
      <c r="AM6" s="49" t="inlineStr">
        <is>
          <t>ELEMENTOS MECÁNICOS</t>
        </is>
      </c>
      <c r="AQ6" s="49" t="inlineStr">
        <is>
          <t>FLEXIÓN</t>
        </is>
      </c>
      <c r="BE6" s="49" t="inlineStr">
        <is>
          <t>CORTANTE</t>
        </is>
      </c>
      <c r="BI6" s="49" t="inlineStr">
        <is>
          <t>FLECHA (13.4) — SECCIÓN T CON LA CAPA</t>
        </is>
      </c>
      <c r="BR6" s="49" t="inlineStr">
        <is>
          <t>MURO SOBRE VIGA (NTC-M 4.1.18)</t>
        </is>
      </c>
      <c r="BV6" s="49" t="inlineStr">
        <is>
          <t>PERALTE Y ESTADO</t>
        </is>
      </c>
    </row>
    <row r="7" ht="42" customHeight="1">
      <c r="B7" s="8" t="inlineStr">
        <is>
          <t>Tramo</t>
        </is>
      </c>
      <c r="C7" s="8" t="inlineStr">
        <is>
          <t>Nivel</t>
        </is>
      </c>
      <c r="D7" s="8" t="inlineStr">
        <is>
          <t>Eje / línea</t>
        </is>
      </c>
      <c r="E7" s="8" t="inlineStr">
        <is>
          <t>De (x, y)</t>
        </is>
      </c>
      <c r="F7" s="8" t="inlineStr">
        <is>
          <t>A (x, y)</t>
        </is>
      </c>
      <c r="G7" s="8" t="inlineStr">
        <is>
          <t>L</t>
        </is>
      </c>
      <c r="H7" s="8" t="inlineStr">
        <is>
          <t>Extremo i</t>
        </is>
      </c>
      <c r="I7" s="8" t="inlineStr">
        <is>
          <t>Extremo j</t>
        </is>
      </c>
      <c r="J7" s="8" t="inlineStr">
        <is>
          <t>Castillo en i</t>
        </is>
      </c>
      <c r="K7" s="8" t="inlineStr">
        <is>
          <t>Castillo en j</t>
        </is>
      </c>
      <c r="L7" s="8" t="inlineStr">
        <is>
          <t>Condición</t>
        </is>
      </c>
      <c r="M7" s="8" t="inlineStr">
        <is>
          <t>Raíz del volado</t>
        </is>
      </c>
      <c r="N7" s="8" t="inlineStr">
        <is>
          <t>b</t>
        </is>
      </c>
      <c r="O7" s="8" t="inlineStr">
        <is>
          <t>h</t>
        </is>
      </c>
      <c r="P7" s="8" t="inlineStr">
        <is>
          <t>Respecto al modelo (15×25)</t>
        </is>
      </c>
      <c r="Q7" s="8" t="inlineStr">
        <is>
          <t>Área trib.</t>
        </is>
      </c>
      <c r="R7" s="8" t="inlineStr">
        <is>
          <t>w losa</t>
        </is>
      </c>
      <c r="S7" s="8" t="inlineStr">
        <is>
          <t>Muro encima</t>
        </is>
      </c>
      <c r="T7" s="8" t="inlineStr">
        <is>
          <t>w muro</t>
        </is>
      </c>
      <c r="U7" s="8" t="inlineStr">
        <is>
          <t>w azotea por el muro</t>
        </is>
      </c>
      <c r="V7" s="8" t="inlineStr">
        <is>
          <t>SCM lineal E2K</t>
        </is>
      </c>
      <c r="W7" s="8" t="inlineStr">
        <is>
          <t>CV lineal E2K</t>
        </is>
      </c>
      <c r="X7" s="8" t="inlineStr">
        <is>
          <t>w lineal</t>
        </is>
      </c>
      <c r="Y7" s="8" t="inlineStr">
        <is>
          <t>w peso extra</t>
        </is>
      </c>
      <c r="Z7" s="8" t="inlineStr">
        <is>
          <t>w_u total</t>
        </is>
      </c>
      <c r="AA7" s="8" t="inlineStr">
        <is>
          <t>w_D serv.</t>
        </is>
      </c>
      <c r="AB7" s="8" t="inlineStr">
        <is>
          <t>w_L serv. (W_m)</t>
        </is>
      </c>
      <c r="AC7" s="8" t="inlineStr">
        <is>
          <t>w_L media (W)</t>
        </is>
      </c>
      <c r="AD7" s="8" t="inlineStr">
        <is>
          <t>ΣP_u recibidas</t>
        </is>
      </c>
      <c r="AE7" s="8" t="inlineStr">
        <is>
          <t>ΣM_u por P</t>
        </is>
      </c>
      <c r="AF7" s="8" t="inlineStr">
        <is>
          <t>ΣV_u por P</t>
        </is>
      </c>
      <c r="AG7" s="8" t="inlineStr">
        <is>
          <t>ΣP_u por el muro</t>
        </is>
      </c>
      <c r="AH7" s="8" t="inlineStr">
        <is>
          <t>ΣM serv. por P</t>
        </is>
      </c>
      <c r="AI7" s="8" t="inlineStr">
        <is>
          <t>R_i</t>
        </is>
      </c>
      <c r="AJ7" s="8" t="inlineStr">
        <is>
          <t>R_j</t>
        </is>
      </c>
      <c r="AK7" s="8" t="inlineStr">
        <is>
          <t>R_i serv.</t>
        </is>
      </c>
      <c r="AL7" s="8" t="inlineStr">
        <is>
          <t>R_j serv.</t>
        </is>
      </c>
      <c r="AM7" s="8" t="inlineStr">
        <is>
          <t>Mu⁺</t>
        </is>
      </c>
      <c r="AN7" s="8" t="inlineStr">
        <is>
          <t>Mu⁻</t>
        </is>
      </c>
      <c r="AO7" s="8" t="inlineStr">
        <is>
          <t>Vu</t>
        </is>
      </c>
      <c r="AP7" s="8" t="inlineStr">
        <is>
          <t>M serv.</t>
        </is>
      </c>
      <c r="AQ7" s="8" t="inlineStr">
        <is>
          <t>d</t>
        </is>
      </c>
      <c r="AR7" s="8" t="inlineStr">
        <is>
          <t>As⁺ req.</t>
        </is>
      </c>
      <c r="AS7" s="8" t="inlineStr">
        <is>
          <t>Var.</t>
        </is>
      </c>
      <c r="AT7" s="8" t="inlineStr">
        <is>
          <t>Extra por flecha</t>
        </is>
      </c>
      <c r="AU7" s="8" t="inlineStr">
        <is>
          <t>Pzas</t>
        </is>
      </c>
      <c r="AV7" s="8" t="inlineStr">
        <is>
          <t>M_R⁺</t>
        </is>
      </c>
      <c r="AW7" s="8" t="inlineStr">
        <is>
          <t>Mu⁺/M_R</t>
        </is>
      </c>
      <c r="AX7" s="8" t="inlineStr">
        <is>
          <t>ε_t⁺</t>
        </is>
      </c>
      <c r="AY7" s="8" t="inlineStr">
        <is>
          <t>As⁻ req.</t>
        </is>
      </c>
      <c r="AZ7" s="8" t="inlineStr">
        <is>
          <t>Var.</t>
        </is>
      </c>
      <c r="BA7" s="8" t="inlineStr">
        <is>
          <t>Pzas</t>
        </is>
      </c>
      <c r="BB7" s="8" t="inlineStr">
        <is>
          <t>M_R⁻</t>
        </is>
      </c>
      <c r="BC7" s="8" t="inlineStr">
        <is>
          <t>Mu⁻/M_R</t>
        </is>
      </c>
      <c r="BD7" s="8" t="inlineStr">
        <is>
          <t>ε_t⁻</t>
        </is>
      </c>
      <c r="BE7" s="8" t="inlineStr">
        <is>
          <t>V_cR</t>
        </is>
      </c>
      <c r="BF7" s="8" t="inlineStr">
        <is>
          <t>Sep. estribo claro</t>
        </is>
      </c>
      <c r="BG7" s="8" t="inlineStr">
        <is>
          <t>Sep. en 2h extremos</t>
        </is>
      </c>
      <c r="BH7" s="8" t="inlineStr">
        <is>
          <t>Cortante</t>
        </is>
      </c>
      <c r="BI7" s="8" t="inlineStr">
        <is>
          <t>Patín b_f</t>
        </is>
      </c>
      <c r="BJ7" s="8" t="inlineStr">
        <is>
          <t>I_g sección T</t>
        </is>
      </c>
      <c r="BK7" s="8" t="inlineStr">
        <is>
          <t>d con la varilla real</t>
        </is>
      </c>
      <c r="BL7" s="8" t="inlineStr">
        <is>
          <t>n·A_s a tensión</t>
        </is>
      </c>
      <c r="BM7" s="8" t="inlineStr">
        <is>
          <t>kd (rectángulo)</t>
        </is>
      </c>
      <c r="BN7" s="8" t="inlineStr">
        <is>
          <t>I_cr agrietada (T real)</t>
        </is>
      </c>
      <c r="BO7" s="8" t="inlineStr">
        <is>
          <t>I_e</t>
        </is>
      </c>
      <c r="BP7" s="8" t="inlineStr">
        <is>
          <t>Flecha total</t>
        </is>
      </c>
      <c r="BQ7" s="8" t="inlineStr">
        <is>
          <t>Límite</t>
        </is>
      </c>
      <c r="BR7" s="8" t="inlineStr">
        <is>
          <t>P_u del muro</t>
        </is>
      </c>
      <c r="BS7" s="8" t="inlineStr">
        <is>
          <t>K</t>
        </is>
      </c>
      <c r="BT7" s="8" t="inlineStr">
        <is>
          <t>f_CM</t>
        </is>
      </c>
      <c r="BU7" s="8" t="inlineStr">
        <is>
          <t>Estado muro</t>
        </is>
      </c>
      <c r="BV7" s="8" t="inlineStr">
        <is>
          <t>h mín. (Tabla 6.3.3.1.1 / NTC-M 4.1.18.4)</t>
        </is>
      </c>
      <c r="BW7" s="8" t="inlineStr">
        <is>
          <t>h por NTC-M 4.1.18.3</t>
        </is>
      </c>
      <c r="BX7" s="8" t="inlineStr">
        <is>
          <t>h req. flexión</t>
        </is>
      </c>
      <c r="BY7" s="8" t="inlineStr">
        <is>
          <t>h mín. por flexión, Tabla 6.3.3.1.1 y NTC-M 4.1.18 (sin flecha ni acomodo)</t>
        </is>
      </c>
      <c r="BZ7" s="8" t="inlineStr">
        <is>
          <t>ESTADO</t>
        </is>
      </c>
      <c r="CA7" s="8" t="inlineStr">
        <is>
          <t>Nota</t>
        </is>
      </c>
      <c r="CB7" s="8" t="inlineStr">
        <is>
          <t>Ancho libre para varillas</t>
        </is>
      </c>
    </row>
    <row r="8">
      <c r="B8" s="50" t="inlineStr"/>
      <c r="C8" s="50" t="inlineStr"/>
      <c r="D8" s="50" t="inlineStr"/>
      <c r="E8" s="50" t="inlineStr"/>
      <c r="F8" s="50" t="inlineStr"/>
      <c r="G8" s="50" t="inlineStr">
        <is>
          <t>m</t>
        </is>
      </c>
      <c r="H8" s="50" t="inlineStr"/>
      <c r="I8" s="50" t="inlineStr"/>
      <c r="J8" s="50" t="inlineStr"/>
      <c r="K8" s="50" t="inlineStr"/>
      <c r="L8" s="50" t="inlineStr"/>
      <c r="M8" s="50" t="inlineStr"/>
      <c r="N8" s="50" t="inlineStr">
        <is>
          <t>cm</t>
        </is>
      </c>
      <c r="O8" s="50" t="inlineStr">
        <is>
          <t>cm</t>
        </is>
      </c>
      <c r="P8" s="50" t="inlineStr"/>
      <c r="Q8" s="50" t="inlineStr">
        <is>
          <t>m²</t>
        </is>
      </c>
      <c r="R8" s="50" t="inlineStr">
        <is>
          <t>t/m</t>
        </is>
      </c>
      <c r="S8" s="50" t="inlineStr">
        <is>
          <t>m</t>
        </is>
      </c>
      <c r="T8" s="50" t="inlineStr">
        <is>
          <t>t/m</t>
        </is>
      </c>
      <c r="U8" s="50" t="inlineStr">
        <is>
          <t>t/m</t>
        </is>
      </c>
      <c r="V8" s="50" t="inlineStr">
        <is>
          <t>kg/m</t>
        </is>
      </c>
      <c r="W8" s="50" t="inlineStr">
        <is>
          <t>kg/m</t>
        </is>
      </c>
      <c r="X8" s="50" t="inlineStr">
        <is>
          <t>t/m</t>
        </is>
      </c>
      <c r="Y8" s="50" t="inlineStr">
        <is>
          <t>t/m</t>
        </is>
      </c>
      <c r="Z8" s="50" t="inlineStr">
        <is>
          <t>t/m</t>
        </is>
      </c>
      <c r="AA8" s="50" t="inlineStr">
        <is>
          <t>t/m</t>
        </is>
      </c>
      <c r="AB8" s="50" t="inlineStr">
        <is>
          <t>t/m</t>
        </is>
      </c>
      <c r="AC8" s="50" t="inlineStr">
        <is>
          <t>t/m</t>
        </is>
      </c>
      <c r="AD8" s="50" t="inlineStr">
        <is>
          <t>t</t>
        </is>
      </c>
      <c r="AE8" s="50" t="inlineStr">
        <is>
          <t>t·m</t>
        </is>
      </c>
      <c r="AF8" s="50" t="inlineStr">
        <is>
          <t>t</t>
        </is>
      </c>
      <c r="AG8" s="50" t="inlineStr">
        <is>
          <t>t</t>
        </is>
      </c>
      <c r="AH8" s="50" t="inlineStr">
        <is>
          <t>t·m</t>
        </is>
      </c>
      <c r="AI8" s="50" t="inlineStr">
        <is>
          <t>t</t>
        </is>
      </c>
      <c r="AJ8" s="50" t="inlineStr">
        <is>
          <t>t</t>
        </is>
      </c>
      <c r="AK8" s="50" t="inlineStr">
        <is>
          <t>t</t>
        </is>
      </c>
      <c r="AL8" s="50" t="inlineStr">
        <is>
          <t>t</t>
        </is>
      </c>
      <c r="AM8" s="50" t="inlineStr">
        <is>
          <t>t·m</t>
        </is>
      </c>
      <c r="AN8" s="50" t="inlineStr">
        <is>
          <t>t·m</t>
        </is>
      </c>
      <c r="AO8" s="50" t="inlineStr">
        <is>
          <t>t</t>
        </is>
      </c>
      <c r="AP8" s="50" t="inlineStr">
        <is>
          <t>t·m</t>
        </is>
      </c>
      <c r="AQ8" s="50" t="inlineStr">
        <is>
          <t>cm</t>
        </is>
      </c>
      <c r="AR8" s="50" t="inlineStr">
        <is>
          <t>cm²</t>
        </is>
      </c>
      <c r="AS8" s="50" t="inlineStr"/>
      <c r="AT8" s="50" t="inlineStr"/>
      <c r="AU8" s="50" t="inlineStr"/>
      <c r="AV8" s="50" t="inlineStr">
        <is>
          <t>t·m</t>
        </is>
      </c>
      <c r="AW8" s="50" t="inlineStr"/>
      <c r="AX8" s="50" t="inlineStr">
        <is>
          <t>≥ 0.005</t>
        </is>
      </c>
      <c r="AY8" s="50" t="inlineStr">
        <is>
          <t>cm²</t>
        </is>
      </c>
      <c r="AZ8" s="50" t="inlineStr"/>
      <c r="BA8" s="50" t="inlineStr"/>
      <c r="BB8" s="50" t="inlineStr">
        <is>
          <t>t·m</t>
        </is>
      </c>
      <c r="BC8" s="50" t="inlineStr"/>
      <c r="BD8" s="50" t="inlineStr">
        <is>
          <t>≥ 0.005</t>
        </is>
      </c>
      <c r="BE8" s="50" t="inlineStr">
        <is>
          <t>t</t>
        </is>
      </c>
      <c r="BF8" s="50" t="inlineStr">
        <is>
          <t>cm</t>
        </is>
      </c>
      <c r="BG8" s="50" t="inlineStr">
        <is>
          <t>cm</t>
        </is>
      </c>
      <c r="BH8" s="50" t="inlineStr"/>
      <c r="BI8" s="50" t="inlineStr">
        <is>
          <t>cm</t>
        </is>
      </c>
      <c r="BJ8" s="50" t="inlineStr">
        <is>
          <t>cm⁴</t>
        </is>
      </c>
      <c r="BK8" s="50" t="inlineStr">
        <is>
          <t>cm</t>
        </is>
      </c>
      <c r="BL8" s="50" t="inlineStr">
        <is>
          <t>cm²</t>
        </is>
      </c>
      <c r="BM8" s="50" t="inlineStr">
        <is>
          <t>cm</t>
        </is>
      </c>
      <c r="BN8" s="50" t="inlineStr">
        <is>
          <t>cm⁴</t>
        </is>
      </c>
      <c r="BO8" s="50" t="inlineStr">
        <is>
          <t>cm⁴</t>
        </is>
      </c>
      <c r="BP8" s="50" t="inlineStr">
        <is>
          <t>cm</t>
        </is>
      </c>
      <c r="BQ8" s="50" t="inlineStr">
        <is>
          <t>cm</t>
        </is>
      </c>
      <c r="BR8" s="50" t="inlineStr">
        <is>
          <t>t</t>
        </is>
      </c>
      <c r="BS8" s="50" t="inlineStr"/>
      <c r="BT8" s="50" t="inlineStr">
        <is>
          <t>kg/cm²</t>
        </is>
      </c>
      <c r="BU8" s="50" t="inlineStr"/>
      <c r="BV8" s="50" t="inlineStr">
        <is>
          <t>cm</t>
        </is>
      </c>
      <c r="BW8" s="50" t="inlineStr">
        <is>
          <t>cm</t>
        </is>
      </c>
      <c r="BX8" s="50" t="inlineStr">
        <is>
          <t>cm</t>
        </is>
      </c>
      <c r="BY8" s="50" t="inlineStr">
        <is>
          <t>cm</t>
        </is>
      </c>
      <c r="BZ8" s="50" t="inlineStr"/>
      <c r="CA8" s="50" t="inlineStr"/>
      <c r="CB8" s="50" t="inlineStr">
        <is>
          <t>cm</t>
        </is>
      </c>
    </row>
    <row r="9" ht="30" customHeight="1">
      <c r="B9" s="60" t="inlineStr">
        <is>
          <t>NP-01</t>
        </is>
      </c>
      <c r="C9" s="52" t="inlineStr">
        <is>
          <t>N+3.00</t>
        </is>
      </c>
      <c r="D9" s="51" t="inlineStr">
        <is>
          <t>Eje 2 (y = 1.919)</t>
        </is>
      </c>
      <c r="E9" s="52" t="inlineStr">
        <is>
          <t>(0.000, 1.919)</t>
        </is>
      </c>
      <c r="F9" s="52" t="inlineStr">
        <is>
          <t>(4.327, 1.919)</t>
        </is>
      </c>
      <c r="G9" s="55" t="n">
        <v>4.327</v>
      </c>
      <c r="H9" s="52" t="inlineStr">
        <is>
          <t>FIRME</t>
        </is>
      </c>
      <c r="I9" s="52" t="str">
        <f>IF(APOYOS!$C$17="SÍ","FIRME","LIBRE")</f>
        <v>FIRME</v>
      </c>
      <c r="J9" s="52" t="inlineStr">
        <is>
          <t>—</t>
        </is>
      </c>
      <c r="K9" s="52" t="inlineStr">
        <is>
          <t>C1</t>
        </is>
      </c>
      <c r="L9" s="60" t="str">
        <f>IF(AND(OR(H9="FIRME",H9="NERVADURA",H9="PUNTA"),OR(I9="FIRME",I9="NERVADURA",I9="PUNTA")),"APOYADA",IF(OR(OR(H9="FIRME",H9="NERVADURA",H9="PUNTA"),OR(I9="FIRME",I9="NERVADURA",I9="PUNTA")),"VOLADO","SIN APOYO"))</f>
        <v>APOYADA</v>
      </c>
      <c r="M9" s="52" t="str">
        <f>IF(L9="VOLADO",IF(OR(H9="FIRME",H9="NERVADURA",H9="PUNTA"),"i","j"),"—")</f>
        <v>—</v>
      </c>
      <c r="N9" s="58" t="n">
        <v>20</v>
      </c>
      <c r="O9" s="58" t="n">
        <v>55</v>
      </c>
      <c r="P9" s="65" t="str">
        <f>IF(L9="BORDE DE VOLADO","—",IF(OR(N9&lt;&gt;DATOS!$C$17,O9&lt;&gt;DATOS!$C$15),"PERALTAR: trabe "&amp;TEXT(N9,"0")&amp;"×"&amp;TEXT(O9,"0")&amp;IF(O9&gt;DATOS!$C$15," (descuelga "&amp;TEXT(O9-DATOS!$C$15,"0")&amp;" cm)",""),"Queda en la losa (15×25)"))</f>
        <v>PERALTAR: trabe 20×55 (descuelga 30 cm)</v>
      </c>
      <c r="Q9" s="43">
        <f>SUMIFS(TRIB!$E$6:$E$255,TRIB!$B$6:$B$255,"NP-01")</f>
        <v>1.9168</v>
      </c>
      <c r="R9" s="36">
        <f>SUMIFS(TRIB!$G$6:$G$255,TRIB!$B$6:$B$255,"NP-01")/G9</f>
        <v>0.401910260679266</v>
      </c>
      <c r="S9" s="69" t="n">
        <v>4.327</v>
      </c>
      <c r="T9" s="36">
        <f>DATOS!$C$55*S9*DATOS!$C$107/G9</f>
        <v>1.233375</v>
      </c>
      <c r="U9" s="36">
        <f>(SUMIFS(TRIB!$G$6:$G$255,TRIB!$B$6:$B$255,"DM-66")*1.0)/G9</f>
        <v>0.391057106068681</v>
      </c>
      <c r="V9" s="61" t="n">
        <v>0</v>
      </c>
      <c r="W9" s="61" t="n">
        <v>0</v>
      </c>
      <c r="X9" s="36">
        <f>(DATOS!$C$55*V9+DATOS!$C$56*W9)/1000</f>
        <v>0</v>
      </c>
      <c r="Y9" s="36">
        <f>DATOS!$C$55*(N9/100*O9/100*DATOS!$C$43-N9/100*DATOS!$C$70/1000)</f>
        <v>0.282964897959184</v>
      </c>
      <c r="Z9" s="70">
        <f>R9+T9+U9+X9+Y9</f>
        <v>2.30930726470713</v>
      </c>
      <c r="AA9" s="36">
        <f>(SUMIFS(TRIB!$I$6:$I$255,TRIB!$B$6:$B$255,"NP-01")-SUMIFS(TRIB!$L$6:$L$255,TRIB!$B$6:$B$255,"NP-01"))/G9+S9*DATOS!$C$107/G9+((SUMIFS(TRIB!$I$6:$I$255,TRIB!$B$6:$B$255,"DM-66")-SUMIFS(TRIB!$L$6:$L$255,TRIB!$B$6:$B$255,"DM-66"))*1.0)/G9+V9/1000+Y9/DATOS!$C$55</f>
        <v>1.62816030548573</v>
      </c>
      <c r="AB9" s="36">
        <f>SUMIFS(TRIB!$L$6:$L$255,TRIB!$B$6:$B$255,"NP-01")/G9+(SUMIFS(TRIB!$L$6:$L$255,TRIB!$B$6:$B$255,"DM-66")*1.0)/G9+W9/1000</f>
        <v>0.128465911717125</v>
      </c>
      <c r="AC9" s="36">
        <f>SUMIFS(TRIB!$M$6:$M$255,TRIB!$B$6:$B$255,"NP-01")/G9+(SUMIFS(TRIB!$M$6:$M$255,TRIB!$B$6:$B$255,"DM-66")*1.0)/G9+W9/1000*DATOS!$C$91/DATOS!$C$89</f>
        <v>0.0420836607349203</v>
      </c>
      <c r="AD9" s="36">
        <f>0</f>
        <v>0</v>
      </c>
      <c r="AE9" s="36">
        <f>0</f>
        <v>0</v>
      </c>
      <c r="AF9" s="36">
        <f>0</f>
        <v>0</v>
      </c>
      <c r="AG9" s="36">
        <f>0</f>
        <v>0</v>
      </c>
      <c r="AH9" s="36">
        <f>0</f>
        <v>0</v>
      </c>
      <c r="AI9" s="36">
        <f>IF(L9="APOYADA",Z9*G9/2+0,IF(AND(L9="VOLADO",M9="i"),Z9*G9+AD9,0))</f>
        <v>4.99618626719388</v>
      </c>
      <c r="AJ9" s="36">
        <f>IF(L9="APOYADA",Z9*G9/2+0,IF(AND(L9="VOLADO",M9="j"),Z9*G9+AD9,0))</f>
        <v>4.99618626719388</v>
      </c>
      <c r="AK9" s="36">
        <f>IF(L9="APOYADA",(AA9+AB9)*G9/2+0,IF(AND(L9="VOLADO",M9="i"),(AA9+AB9)*G9+0,0))</f>
        <v>3.80046082091837</v>
      </c>
      <c r="AL9" s="36">
        <f>IF(L9="APOYADA",(AA9+AB9)*G9/2+0,IF(AND(L9="VOLADO",M9="j"),(AA9+AB9)*G9+0,0))</f>
        <v>3.80046082091837</v>
      </c>
      <c r="AM9" s="70">
        <f>IF(L9="APOYADA",Z9*G9^2/8+AE9,0)</f>
        <v>5.40462449453698</v>
      </c>
      <c r="AN9" s="70">
        <f>IF(L9="APOYADA",DATOS!$C$64*AM9,IF(L9="VOLADO",Z9*G9^2/2+AE9,0))</f>
        <v>3.60488453785616</v>
      </c>
      <c r="AO9" s="70">
        <f>IF(L9="APOYADA",Z9*G9/2+AF9,IF(L9="VOLADO",Z9*G9+AF9,0))</f>
        <v>4.99618626719388</v>
      </c>
      <c r="AP9" s="36">
        <f>IF(L9="APOYADA",(AA9+AB9)*G9^2/8+AH9,IF(L9="VOLADO",(AA9+AB9)*G9^2/2+AH9,0))</f>
        <v>4.11114849302844</v>
      </c>
      <c r="AQ9" s="43">
        <f>O9-DATOS!$C$22-INDEX(TABLAS!$C$52:$C$58,MATCH(DATOS!$C$113,TABLAS!$B$52:$B$58,0))-INDEX(TABLAS!$C$52:$C$58,MATCH(DATOS!$C$112,TABLAS!$B$52:$B$58,0))/2</f>
        <v>49.415</v>
      </c>
      <c r="AR9" s="43">
        <f>IF(OR(L9="BORDE DE VOLADO",L9="SIN APOYO"),0,IF(IF(AM9&lt;=0,0,IF((1-2*AM9*1E5/(DATOS!$C$58*N9*AQ9^2*DATOS!$C$48))&lt;0,-1,IF((1-SQRT((1-2*AM9*1E5/(DATOS!$C$58*N9*AQ9^2*DATOS!$C$48))))*DATOS!$C$48*N9*AQ9/DATOS!$C$40&gt;DATOS!$C$82*N9*AQ9,-1,(1-SQRT((1-2*AM9*1E5/(DATOS!$C$58*N9*AQ9^2*DATOS!$C$48))))*DATOS!$C$48*N9*AQ9/DATOS!$C$40)))&lt;0,-1,MAX(IF(AM9&lt;=0,0,IF((1-2*AM9*1E5/(DATOS!$C$58*N9*AQ9^2*DATOS!$C$48))&lt;0,-1,IF((1-SQRT((1-2*AM9*1E5/(DATOS!$C$58*N9*AQ9^2*DATOS!$C$48))))*DATOS!$C$48*N9*AQ9/DATOS!$C$40&gt;DATOS!$C$82*N9*AQ9,-1,(1-SQRT((1-2*AM9*1E5/(DATOS!$C$58*N9*AQ9^2*DATOS!$C$48))))*DATOS!$C$48*N9*AQ9/DATOS!$C$40))),MIN(DATOS!$C$83*N9*AQ9,4/3*IF(AM9&lt;=0,0,IF((1-2*AM9*1E5/(DATOS!$C$58*N9*AQ9^2*DATOS!$C$48))&lt;0,-1,IF((1-SQRT((1-2*AM9*1E5/(DATOS!$C$58*N9*AQ9^2*DATOS!$C$48))))*DATOS!$C$48*N9*AQ9/DATOS!$C$40&gt;DATOS!$C$82*N9*AQ9,-1,(1-SQRT((1-2*AM9*1E5/(DATOS!$C$58*N9*AQ9^2*DATOS!$C$48))))*DATOS!$C$48*N9*AQ9/DATOS!$C$40)))))))</f>
        <v>3.29433333333333</v>
      </c>
      <c r="AS9" s="41">
        <f>IF(AR9&lt;0,0,IF(AND(AR9&gt;=0,MAX(DATOS!$C$114,CEILING(AR9/INDEX(TABLAS!$D$52:$D$58,MIN(MATCH(DATOS!$C$112,TABLAS!$B$52:$B$58,0)+0,7)),1))&lt;=MIN(99,INT((CB9+MAX(DATOS!$C$32,INDEX(TABLAS!$C$52:$C$58,MIN(MATCH(DATOS!$C$112,TABLAS!$B$52:$B$58,0)+0,7))))/(INDEX(TABLAS!$C$52:$C$58,MIN(MATCH(DATOS!$C$112,TABLAS!$B$52:$B$58,0)+0,7))+MAX(DATOS!$C$32,INDEX(TABLAS!$C$52:$C$58,MIN(MATCH(DATOS!$C$112,TABLAS!$B$52:$B$58,0)+0,7))))))),INDEX(TABLAS!$B$52:$B$58,MIN(MATCH(DATOS!$C$112,TABLAS!$B$52:$B$58,0)+0,7)),IF(AND(AR9&gt;=0,MAX(DATOS!$C$114,CEILING(AR9/INDEX(TABLAS!$D$52:$D$58,MIN(MATCH(DATOS!$C$112,TABLAS!$B$52:$B$58,0)+1,7)),1))&lt;=MIN(99,INT((CB9+MAX(DATOS!$C$32,INDEX(TABLAS!$C$52:$C$58,MIN(MATCH(DATOS!$C$112,TABLAS!$B$52:$B$58,0)+1,7))))/(INDEX(TABLAS!$C$52:$C$58,MIN(MATCH(DATOS!$C$112,TABLAS!$B$52:$B$58,0)+1,7))+MAX(DATOS!$C$32,INDEX(TABLAS!$C$52:$C$58,MIN(MATCH(DATOS!$C$112,TABLAS!$B$52:$B$58,0)+1,7))))))),INDEX(TABLAS!$B$52:$B$58,MIN(MATCH(DATOS!$C$112,TABLAS!$B$52:$B$58,0)+1,7)),IF(AND(AR9&gt;=0,MAX(DATOS!$C$114,CEILING(AR9/INDEX(TABLAS!$D$52:$D$58,MIN(MATCH(DATOS!$C$112,TABLAS!$B$52:$B$58,0)+2,7)),1))&lt;=MIN(99,INT((CB9+MAX(DATOS!$C$32,INDEX(TABLAS!$C$52:$C$58,MIN(MATCH(DATOS!$C$112,TABLAS!$B$52:$B$58,0)+2,7))))/(INDEX(TABLAS!$C$52:$C$58,MIN(MATCH(DATOS!$C$112,TABLAS!$B$52:$B$58,0)+2,7))+MAX(DATOS!$C$32,INDEX(TABLAS!$C$52:$C$58,MIN(MATCH(DATOS!$C$112,TABLAS!$B$52:$B$58,0)+2,7))))))),INDEX(TABLAS!$B$52:$B$58,MIN(MATCH(DATOS!$C$112,TABLAS!$B$52:$B$58,0)+2,7)),IF(AND(AR9&gt;=0,MAX(DATOS!$C$114,CEILING(AR9/INDEX(TABLAS!$D$52:$D$58,MIN(MATCH(DATOS!$C$112,TABLAS!$B$52:$B$58,0)+3,7)),1))&lt;=MIN(99,INT((CB9+MAX(DATOS!$C$32,INDEX(TABLAS!$C$52:$C$58,MIN(MATCH(DATOS!$C$112,TABLAS!$B$52:$B$58,0)+3,7))))/(INDEX(TABLAS!$C$52:$C$58,MIN(MATCH(DATOS!$C$112,TABLAS!$B$52:$B$58,0)+3,7))+MAX(DATOS!$C$32,INDEX(TABLAS!$C$52:$C$58,MIN(MATCH(DATOS!$C$112,TABLAS!$B$52:$B$58,0)+3,7))))))),INDEX(TABLAS!$B$52:$B$58,MIN(MATCH(DATOS!$C$112,TABLAS!$B$52:$B$58,0)+3,7)),IF(AND(AR9&gt;=0,MAX(DATOS!$C$114,CEILING(AR9/INDEX(TABLAS!$D$52:$D$58,MIN(MATCH(DATOS!$C$112,TABLAS!$B$52:$B$58,0)+4,7)),1))&lt;=MIN(99,INT((CB9+MAX(DATOS!$C$32,INDEX(TABLAS!$C$52:$C$58,MIN(MATCH(DATOS!$C$112,TABLAS!$B$52:$B$58,0)+4,7))))/(INDEX(TABLAS!$C$52:$C$58,MIN(MATCH(DATOS!$C$112,TABLAS!$B$52:$B$58,0)+4,7))+MAX(DATOS!$C$32,INDEX(TABLAS!$C$52:$C$58,MIN(MATCH(DATOS!$C$112,TABLAS!$B$52:$B$58,0)+4,7))))))),INDEX(TABLAS!$B$52:$B$58,MIN(MATCH(DATOS!$C$112,TABLAS!$B$52:$B$58,0)+4,7)),INDEX(TABLAS!$B$52:$B$58,7)))))))</f>
        <v>4</v>
      </c>
      <c r="AT9" s="58" t="n">
        <v>0</v>
      </c>
      <c r="AU9" s="56">
        <f>IF(OR(L9="BORDE DE VOLADO",L9="SIN APOYO"),0,IF(AR9&lt;0,0,MAX(DATOS!$C$114,CEILING(AR9/INDEX(TABLAS!$D$52:$D$58,MATCH(IF(AS9=0,8,AS9),TABLAS!$B$52:$B$58,0)),1))+AT9))</f>
        <v>3</v>
      </c>
      <c r="AV9" s="36">
        <f>IF(AU9=0,0,DATOS!$C$58*AU9*INDEX(TABLAS!$D$52:$D$58,MATCH(AS9,TABLAS!$B$52:$B$58,0))*DATOS!$C$40*((O9-DATOS!$C$22-INDEX(TABLAS!$C$52:$C$58,MATCH(DATOS!$C$113,TABLAS!$B$52:$B$58,0))-INDEX(TABLAS!$C$52:$C$58,MATCH(AS9,TABLAS!$B$52:$B$58,0))/2)-AU9*INDEX(TABLAS!$D$52:$D$58,MATCH(AS9,TABLAS!$B$52:$B$58,0))*DATOS!$C$40/(DATOS!$C$48*N9)/2)/1E5)</f>
        <v>6.84552287752941</v>
      </c>
      <c r="AW9" s="62">
        <f>IF(AR9&lt;0,9.99,IF(AV9&gt;0,AM9/AV9,0))</f>
        <v>0.789512297486841</v>
      </c>
      <c r="AX9" s="63">
        <f>IF(AU9=0,"—",0.003*((O9-DATOS!$C$22-INDEX(TABLAS!$C$52:$C$58,MATCH(DATOS!$C$113,TABLAS!$B$52:$B$58,0))-INDEX(TABLAS!$C$52:$C$58,MATCH(AS9,TABLAS!$B$52:$B$58,0))/2)-(AU9*INDEX(TABLAS!$D$52:$D$58,MATCH(AS9,TABLAS!$B$52:$B$58,0))*DATOS!$C$40/(DATOS!$C$48*N9)/DATOS!$C$49))/(AU9*INDEX(TABLAS!$D$52:$D$58,MATCH(AS9,TABLAS!$B$52:$B$58,0))*DATOS!$C$40/(DATOS!$C$48*N9)/DATOS!$C$49))</f>
        <v>0.0304667580614923</v>
      </c>
      <c r="AY9" s="43">
        <f>IF(OR(L9="BORDE DE VOLADO",L9="SIN APOYO"),0,IF(IF(AN9&lt;=0,0,IF((1-2*AN9*1E5/(DATOS!$C$58*N9*AQ9^2*DATOS!$C$48))&lt;0,-1,IF((1-SQRT((1-2*AN9*1E5/(DATOS!$C$58*N9*AQ9^2*DATOS!$C$48))))*DATOS!$C$48*N9*AQ9/DATOS!$C$40&gt;DATOS!$C$82*N9*AQ9,-1,(1-SQRT((1-2*AN9*1E5/(DATOS!$C$58*N9*AQ9^2*DATOS!$C$48))))*DATOS!$C$48*N9*AQ9/DATOS!$C$40)))&lt;0,-1,MAX(IF(AN9&lt;=0,0,IF((1-2*AN9*1E5/(DATOS!$C$58*N9*AQ9^2*DATOS!$C$48))&lt;0,-1,IF((1-SQRT((1-2*AN9*1E5/(DATOS!$C$58*N9*AQ9^2*DATOS!$C$48))))*DATOS!$C$48*N9*AQ9/DATOS!$C$40&gt;DATOS!$C$82*N9*AQ9,-1,(1-SQRT((1-2*AN9*1E5/(DATOS!$C$58*N9*AQ9^2*DATOS!$C$48))))*DATOS!$C$48*N9*AQ9/DATOS!$C$40))),MIN(DATOS!$C$83*IF(L9="VOLADO",MIN(BI9,2*N9),N9)*AQ9,4/3*IF(AN9&lt;=0,0,IF((1-2*AN9*1E5/(DATOS!$C$58*N9*AQ9^2*DATOS!$C$48))&lt;0,-1,IF((1-SQRT((1-2*AN9*1E5/(DATOS!$C$58*N9*AQ9^2*DATOS!$C$48))))*DATOS!$C$48*N9*AQ9/DATOS!$C$40&gt;DATOS!$C$82*N9*AQ9,-1,(1-SQRT((1-2*AN9*1E5/(DATOS!$C$58*N9*AQ9^2*DATOS!$C$48))))*DATOS!$C$48*N9*AQ9/DATOS!$C$40)))))))</f>
        <v>2.62490795441794</v>
      </c>
      <c r="AZ9" s="41">
        <f>IF(AY9&lt;0,0,IF(AND(AY9&gt;=0,MAX(DATOS!$C$114,CEILING(AY9/INDEX(TABLAS!$D$52:$D$58,MIN(MATCH(DATOS!$C$112,TABLAS!$B$52:$B$58,0)+0,7)),1))&lt;=MIN(99,INT((CB9+MAX(DATOS!$C$32,INDEX(TABLAS!$C$52:$C$58,MIN(MATCH(DATOS!$C$112,TABLAS!$B$52:$B$58,0)+0,7))))/(INDEX(TABLAS!$C$52:$C$58,MIN(MATCH(DATOS!$C$112,TABLAS!$B$52:$B$58,0)+0,7))+MAX(DATOS!$C$32,INDEX(TABLAS!$C$52:$C$58,MIN(MATCH(DATOS!$C$112,TABLAS!$B$52:$B$58,0)+0,7))))))),INDEX(TABLAS!$B$52:$B$58,MIN(MATCH(DATOS!$C$112,TABLAS!$B$52:$B$58,0)+0,7)),IF(AND(AY9&gt;=0,MAX(DATOS!$C$114,CEILING(AY9/INDEX(TABLAS!$D$52:$D$58,MIN(MATCH(DATOS!$C$112,TABLAS!$B$52:$B$58,0)+1,7)),1))&lt;=MIN(99,INT((CB9+MAX(DATOS!$C$32,INDEX(TABLAS!$C$52:$C$58,MIN(MATCH(DATOS!$C$112,TABLAS!$B$52:$B$58,0)+1,7))))/(INDEX(TABLAS!$C$52:$C$58,MIN(MATCH(DATOS!$C$112,TABLAS!$B$52:$B$58,0)+1,7))+MAX(DATOS!$C$32,INDEX(TABLAS!$C$52:$C$58,MIN(MATCH(DATOS!$C$112,TABLAS!$B$52:$B$58,0)+1,7))))))),INDEX(TABLAS!$B$52:$B$58,MIN(MATCH(DATOS!$C$112,TABLAS!$B$52:$B$58,0)+1,7)),IF(AND(AY9&gt;=0,MAX(DATOS!$C$114,CEILING(AY9/INDEX(TABLAS!$D$52:$D$58,MIN(MATCH(DATOS!$C$112,TABLAS!$B$52:$B$58,0)+2,7)),1))&lt;=MIN(99,INT((CB9+MAX(DATOS!$C$32,INDEX(TABLAS!$C$52:$C$58,MIN(MATCH(DATOS!$C$112,TABLAS!$B$52:$B$58,0)+2,7))))/(INDEX(TABLAS!$C$52:$C$58,MIN(MATCH(DATOS!$C$112,TABLAS!$B$52:$B$58,0)+2,7))+MAX(DATOS!$C$32,INDEX(TABLAS!$C$52:$C$58,MIN(MATCH(DATOS!$C$112,TABLAS!$B$52:$B$58,0)+2,7))))))),INDEX(TABLAS!$B$52:$B$58,MIN(MATCH(DATOS!$C$112,TABLAS!$B$52:$B$58,0)+2,7)),IF(AND(AY9&gt;=0,MAX(DATOS!$C$114,CEILING(AY9/INDEX(TABLAS!$D$52:$D$58,MIN(MATCH(DATOS!$C$112,TABLAS!$B$52:$B$58,0)+3,7)),1))&lt;=MIN(99,INT((CB9+MAX(DATOS!$C$32,INDEX(TABLAS!$C$52:$C$58,MIN(MATCH(DATOS!$C$112,TABLAS!$B$52:$B$58,0)+3,7))))/(INDEX(TABLAS!$C$52:$C$58,MIN(MATCH(DATOS!$C$112,TABLAS!$B$52:$B$58,0)+3,7))+MAX(DATOS!$C$32,INDEX(TABLAS!$C$52:$C$58,MIN(MATCH(DATOS!$C$112,TABLAS!$B$52:$B$58,0)+3,7))))))),INDEX(TABLAS!$B$52:$B$58,MIN(MATCH(DATOS!$C$112,TABLAS!$B$52:$B$58,0)+3,7)),IF(AND(AY9&gt;=0,MAX(DATOS!$C$114,CEILING(AY9/INDEX(TABLAS!$D$52:$D$58,MIN(MATCH(DATOS!$C$112,TABLAS!$B$52:$B$58,0)+4,7)),1))&lt;=MIN(99,INT((CB9+MAX(DATOS!$C$32,INDEX(TABLAS!$C$52:$C$58,MIN(MATCH(DATOS!$C$112,TABLAS!$B$52:$B$58,0)+4,7))))/(INDEX(TABLAS!$C$52:$C$58,MIN(MATCH(DATOS!$C$112,TABLAS!$B$52:$B$58,0)+4,7))+MAX(DATOS!$C$32,INDEX(TABLAS!$C$52:$C$58,MIN(MATCH(DATOS!$C$112,TABLAS!$B$52:$B$58,0)+4,7))))))),INDEX(TABLAS!$B$52:$B$58,MIN(MATCH(DATOS!$C$112,TABLAS!$B$52:$B$58,0)+4,7)),INDEX(TABLAS!$B$52:$B$58,7)))))))</f>
        <v>4</v>
      </c>
      <c r="BA9" s="56">
        <f>IF(OR(L9="BORDE DE VOLADO",L9="SIN APOYO"),0,IF(AY9&lt;0,0,MAX(DATOS!$C$114,CEILING(AY9/INDEX(TABLAS!$D$52:$D$58,MATCH(IF(AZ9=0,8,AZ9),TABLAS!$B$52:$B$58,0)),1))))</f>
        <v>3</v>
      </c>
      <c r="BB9" s="36">
        <f>IF(BA9=0,0,DATOS!$C$58*BA9*INDEX(TABLAS!$D$52:$D$58,MATCH(AZ9,TABLAS!$B$52:$B$58,0))*DATOS!$C$40*((O9-DATOS!$C$22-INDEX(TABLAS!$C$52:$C$58,MATCH(DATOS!$C$113,TABLAS!$B$52:$B$58,0))-INDEX(TABLAS!$C$52:$C$58,MATCH(AZ9,TABLAS!$B$52:$B$58,0))/2)-BA9*INDEX(TABLAS!$D$52:$D$58,MATCH(AZ9,TABLAS!$B$52:$B$58,0))*DATOS!$C$40/(DATOS!$C$48*N9)/2)/1E5)</f>
        <v>6.84552287752941</v>
      </c>
      <c r="BC9" s="62">
        <f>IF(AY9&lt;0,9.99,IF(BB9&gt;0,AN9/BB9,0))</f>
        <v>0.526604702423723</v>
      </c>
      <c r="BD9" s="63">
        <f>IF(BA9=0,"—",0.003*((O9-DATOS!$C$22-INDEX(TABLAS!$C$52:$C$58,MATCH(DATOS!$C$113,TABLAS!$B$52:$B$58,0))-INDEX(TABLAS!$C$52:$C$58,MATCH(AZ9,TABLAS!$B$52:$B$58,0))/2)-(BA9*INDEX(TABLAS!$D$52:$D$58,MATCH(AZ9,TABLAS!$B$52:$B$58,0))*DATOS!$C$40/(DATOS!$C$48*N9)/DATOS!$C$49))/(BA9*INDEX(TABLAS!$D$52:$D$58,MATCH(AZ9,TABLAS!$B$52:$B$58,0))*DATOS!$C$40/(DATOS!$C$48*N9)/DATOS!$C$49))</f>
        <v>0.0304667580614923</v>
      </c>
      <c r="BE9" s="36">
        <f>IF(BA9=0,0,DATOS!$C$59*MIN(1.25,MAX(0.5,2*MAX(1E-6,MIN(AU9*INDEX(TABLAS!$D$52:$D$58,MATCH(MAX(AS9,2),TABLAS!$B$52:$B$58,0)),BA9*INDEX(TABLAS!$D$52:$D$58,MATCH(MAX(AZ9,2),TABLAS!$B$52:$B$58,0)))/(N9*AQ9))^(1/3)))*SQRT(DATOS!$C$39)*N9*AQ9/1000)</f>
        <v>5.85989814664577</v>
      </c>
      <c r="BF9" s="57">
        <f>IF(AO9=0,0,FLOOR(MIN(IF(AO9&gt;BE9,DATOS!$C$59*2*INDEX(TABLAS!$D$52:$D$58,MATCH(DATOS!$C$113,TABLAS!$B$52:$B$58,0))*DATOS!$C$42*AQ9/((AO9-BE9)*1000),999),IF(MAX(0,AO9-BE9)/DATOS!$C$59&lt;=1.1*SQRT(DATOS!$C$39)*N9*AQ9/1000,MIN(AQ9/2,60),MIN(AQ9/4,30)),2*INDEX(TABLAS!$D$52:$D$58,MATCH(DATOS!$C$113,TABLAS!$B$52:$B$58,0))*DATOS!$C$42/(MAX(0.2*SQRT(DATOS!$C$39),3.5)*N9),MIN(16*INDEX(TABLAS!$C$52:$C$58,MATCH(MIN(MAX(AS9,2),MAX(AZ9,2)),TABLAS!$B$52:$B$58,0)),48*INDEX(TABLAS!$C$52:$C$58,MATCH(DATOS!$C$113,TABLAS!$B$52:$B$58,0))),DATOS!$C$115),0.5))</f>
        <v>20</v>
      </c>
      <c r="BG9" s="57">
        <f>IF(AO9=0,0,FLOOR(MIN(BF9,AQ9/4,8*INDEX(TABLAS!$C$52:$C$58,MATCH(MIN(MAX(AS9,2),MAX(AZ9,2)),TABLAS!$B$52:$B$58,0)),24*INDEX(TABLAS!$C$52:$C$58,MATCH(DATOS!$C$113,TABLAS!$B$52:$B$58,0)),30),0.5))</f>
        <v>10</v>
      </c>
      <c r="BH9" s="51" t="str">
        <f>IF(AO9=0,"—",IF(AO9&gt;DATOS!$C$59*(BE9/DATOS!$C$59+2.2*SQRT(DATOS!$C$39)*N9*AQ9/1000),"SECCIÓN INSUFICIENTE","E No. "&amp;TEXT(DATOS!$C$113,"0")&amp;IF(BG9&lt;BF9," @ "&amp;TEXT(BG9,"0.0")&amp;" en 2h y"," @")&amp;" "&amp;TEXT(BF9,"0.0")&amp;" cm"))</f>
        <v>E No. 3 @ 10.0 en 2h y 20.0 cm</v>
      </c>
      <c r="BI9" s="56">
        <f>N9+MIN(6*DATOS!$C$14,DATOS!$C$11/2,G9*100/12)</f>
        <v>50</v>
      </c>
      <c r="BJ9" s="71">
        <f>BI9*DATOS!$C$14^3/12+BI9*DATOS!$C$14*(((BI9*DATOS!$C$14^2/2+N9*(O9-DATOS!$C$14)*(DATOS!$C$14+(O9-DATOS!$C$14)/2))/(BI9*DATOS!$C$14+N9*(O9-DATOS!$C$14)))-DATOS!$C$14/2)^2+N9*(O9-DATOS!$C$14)^3/12+N9*(O9-DATOS!$C$14)*(DATOS!$C$14+(O9-DATOS!$C$14)/2-((BI9*DATOS!$C$14^2/2+N9*(O9-DATOS!$C$14)*(DATOS!$C$14+(O9-DATOS!$C$14)/2))/(BI9*DATOS!$C$14+N9*(O9-DATOS!$C$14))))^2</f>
        <v>360104.166666667</v>
      </c>
      <c r="BK9" s="43">
        <f>O9-DATOS!$C$22-INDEX(TABLAS!$C$52:$C$58,MATCH(DATOS!$C$113,TABLAS!$B$52:$B$58,0))-INDEX(TABLAS!$C$52:$C$58,MATCH(MAX(IF(L9="VOLADO",AZ9,AS9),2),TABLAS!$B$52:$B$58,0))/2</f>
        <v>49.415</v>
      </c>
      <c r="BL9" s="43">
        <f>DATOS!$C$46/DATOS!$C$45*IF(L9="VOLADO",BA9*INDEX(TABLAS!$D$52:$D$58,MATCH(MAX(AZ9,2),TABLAS!$B$52:$B$58,0)),AU9*INDEX(TABLAS!$D$52:$D$58,MATCH(MAX(AS9,2),TABLAS!$B$52:$B$58,0)))</f>
        <v>34.4236511006901</v>
      </c>
      <c r="BM9" s="43">
        <f>IF(BL9&lt;=0,0,(SQRT(2*(BL9/(IF(L9="VOLADO",N9,BI9)*BK9))+(BL9/(IF(L9="VOLADO",N9,BI9)*BK9))^2)-(BL9/(IF(L9="VOLADO",N9,BI9)*BK9)))*BK9)</f>
        <v>7.58895314000449</v>
      </c>
      <c r="BN9" s="71">
        <f>IF(AND(L9&lt;&gt;"VOLADO",BM9&gt;DATOS!$C$14),(BI9*DATOS!$C$14^3/12+BI9*DATOS!$C$14*(((-((BI9-N9)*DATOS!$C$14+BL9)+SQRT(((BI9-N9)*DATOS!$C$14+BL9)^2+2*N9*((BI9-N9)*DATOS!$C$14^2/2+BL9*BK9)))/N9)-DATOS!$C$14/2)^2+N9*(((-((BI9-N9)*DATOS!$C$14+BL9)+SQRT(((BI9-N9)*DATOS!$C$14+BL9)^2+2*N9*((BI9-N9)*DATOS!$C$14^2/2+BL9*BK9)))/N9)-DATOS!$C$14)^3/3+BL9*(BK9-((-((BI9-N9)*DATOS!$C$14+BL9)+SQRT(((BI9-N9)*DATOS!$C$14+BL9)^2+2*N9*((BI9-N9)*DATOS!$C$14^2/2+BL9*BK9)))/N9))^2),(IF(L9="VOLADO",N9,BI9)*BM9^3/3+BL9*(BK9-BM9)^2))</f>
        <v>67302.3518739435</v>
      </c>
      <c r="BO9" s="71">
        <f>IF(AP9&lt;=0,BJ9,IF((AP9*1E5)&lt;=2/3*(DATOS!$C$47*BJ9/IF(L9="VOLADO",((BI9*DATOS!$C$14^2/2+N9*(O9-DATOS!$C$14)*(DATOS!$C$14+(O9-DATOS!$C$14)/2))/(BI9*DATOS!$C$14+N9*(O9-DATOS!$C$14))),O9-((BI9*DATOS!$C$14^2/2+N9*(O9-DATOS!$C$14)*(DATOS!$C$14+(O9-DATOS!$C$14)/2))/(BI9*DATOS!$C$14+N9*(O9-DATOS!$C$14))))),BJ9,IF(BL9&lt;=0,0,BN9/(1-(2/3*(DATOS!$C$47*BJ9/IF(L9="VOLADO",((BI9*DATOS!$C$14^2/2+N9*(O9-DATOS!$C$14)*(DATOS!$C$14+(O9-DATOS!$C$14)/2))/(BI9*DATOS!$C$14+N9*(O9-DATOS!$C$14))),O9-((BI9*DATOS!$C$14^2/2+N9*(O9-DATOS!$C$14)*(DATOS!$C$14+(O9-DATOS!$C$14)/2))/(BI9*DATOS!$C$14+N9*(O9-DATOS!$C$14)))))/(AP9*1E5))^2*(1-BN9/BJ9)))))</f>
        <v>95879.5244935494</v>
      </c>
      <c r="BP9" s="62">
        <f>IF(OR(L9="APOYADA",L9="VOLADO"),(IF(L9="VOLADO",(AP9-AH9)/4+AH9/3,5/48*AP9)*1E5*(G9*100)^2/(DATOS!$C$45*MAX(BO9,1)))*(1+2/(1+50*IF(L9="VOLADO",AU9*INDEX(TABLAS!$D$52:$D$58,MATCH(MAX(AS9,2),TABLAS!$B$52:$B$58,0)),DATOS!$C$114*INDEX(TABLAS!$D$52:$D$58,MATCH(MAX(AZ9,2),TABLAS!$B$52:$B$58,0)))/(N9*BK9))*((AA9+AC9)/MAX(AA9+AB9,1E-6))),0)</f>
        <v>1.01438660343097</v>
      </c>
      <c r="BQ9" s="43">
        <f>IF(S9&gt;0,0.3+G9*100/480,0.5+G9*100/240)</f>
        <v>1.20145833333333</v>
      </c>
      <c r="BR9" s="43">
        <f>IF(S9&gt;0,(T9+U9)*G9+AG9,0)</f>
        <v>7.02891772295918</v>
      </c>
      <c r="BS9" s="43">
        <f>IF(S9&gt;0,(DATOS!$C$51*DATOS!$C$103*100*(G9*100)^3/(DATOS!$C$45*BJ9*((BR9*1000/(DATOS!$C$103*100*S9*100)*DATOS!$C$103*100*(MIN(1,S9/G9)^4-4*MIN(1,S9/G9)^3+8*MIN(1,S9/G9)))/((BR9*1000/(DATOS!$C$103*100*S9*100)*DATOS!$C$103*100*(MIN(1,S9/G9)^4-4*MIN(1,S9/G9)^3+8*MIN(1,S9/G9)))+5*((R9+X9+Y9+IF(L9="APOYADA",8*(0)/G9^2,0))*10)))))^0.25,0)</f>
        <v>5.42614602053943</v>
      </c>
      <c r="BT9" s="57">
        <f>IF(S9&gt;0,MAX(1,IF(MIN(1,S9/G9)&gt;=1,(1.6*BS9-3.9),IF(MIN(1,S9/G9)&lt;0.9,((3.2*BS9-7.8)*1),((3.2*BS9-7.8)*1)+((1.6*BS9-3.9)-((3.2*BS9-7.8)*1))*(MIN(1,S9/G9)-0.9)/0.1)))*BR9*1000/(DATOS!$C$103*100*S9*100),0)</f>
        <v>5.1785093860679</v>
      </c>
      <c r="BU9" s="65" t="str">
        <f>IF(S9=0,"—",IF(DATOS!$C$105/S9&lt;0.6,"REVISAR: H/L &lt; 0.6, interacción muro-viga",IF(BT9&lt;=DATOS!$C$60*DATOS!$C$50,"CUMPLE","NO CUMPLE f_CM &gt; F_R·f'm")))</f>
        <v>CUMPLE</v>
      </c>
      <c r="BV9" s="57">
        <f>IF(S9&gt;0,MAX(25,IF(BJ9&gt;=(G9*100)^3/1600,0,MIN(G9*100/14,(12*(G9*100)^3/1600/N9)^(1/3)))),IF(L9="APOYADA",MAX(25,G9*100/16),IF(L9="VOLADO",MAX(25,G9*100/8),0)))</f>
        <v>25</v>
      </c>
      <c r="BW9" s="57">
        <f>IF(S9&gt;0,IF(BJ9&gt;=(5/4*(G9*100)^3/DATOS!$C$45*((((S9*DATOS!$C$107+(((SUMIFS(TRIB!$I$6:$I$255,TRIB!$B$6:$B$255,"DM-66")-SUMIFS(TRIB!$L$6:$L$255,TRIB!$B$6:$B$255,"DM-66"))*1.0)/G9+(SUMIFS(TRIB!$M$6:$M$255,TRIB!$B$6:$B$255,"DM-66")*1.0)/G9)*G9+AG9/DATOS!$C$55)*1000)/(DATOS!$C$103*100*S9*100)*DATOS!$C$103*100*(MIN(1,S9/G9)^4-4*MIN(1,S9/G9)^3+8*MIN(1,S9/G9)))+5*((AA9-S9*DATOS!$C$107/G9-(((SUMIFS(TRIB!$I$6:$I$255,TRIB!$B$6:$B$255,"DM-66")-SUMIFS(TRIB!$L$6:$L$255,TRIB!$B$6:$B$255,"DM-66"))*1.0)/G9))*10))),0,MIN((G9*100/((1/15*DATOS!$C$45*N9/((((S9*DATOS!$C$107+(((SUMIFS(TRIB!$I$6:$I$255,TRIB!$B$6:$B$255,"DM-66")-SUMIFS(TRIB!$L$6:$L$255,TRIB!$B$6:$B$255,"DM-66"))*1.0)/G9+(SUMIFS(TRIB!$M$6:$M$255,TRIB!$B$6:$B$255,"DM-66")*1.0)/G9)*G9+AG9/DATOS!$C$55)*1000)/(DATOS!$C$103*100*S9*100)*DATOS!$C$103*100*(MIN(1,S9/G9)^4-4*MIN(1,S9/G9)^3+8*MIN(1,S9/G9)))+5*((AA9-S9*DATOS!$C$107/G9-(((SUMIFS(TRIB!$I$6:$I$255,TRIB!$B$6:$B$255,"DM-66")-SUMIFS(TRIB!$L$6:$L$255,TRIB!$B$6:$B$255,"DM-66"))*1.0)/G9))*10)))^(1/3))),(12*(5/4*(G9*100)^3/DATOS!$C$45*((((S9*DATOS!$C$107+(((SUMIFS(TRIB!$I$6:$I$255,TRIB!$B$6:$B$255,"DM-66")-SUMIFS(TRIB!$L$6:$L$255,TRIB!$B$6:$B$255,"DM-66"))*1.0)/G9+(SUMIFS(TRIB!$M$6:$M$255,TRIB!$B$6:$B$255,"DM-66")*1.0)/G9)*G9+AG9/DATOS!$C$55)*1000)/(DATOS!$C$103*100*S9*100)*DATOS!$C$103*100*(MIN(1,S9/G9)^4-4*MIN(1,S9/G9)^3+8*MIN(1,S9/G9)))+5*((AA9-S9*DATOS!$C$107/G9-(((SUMIFS(TRIB!$I$6:$I$255,TRIB!$B$6:$B$255,"DM-66")-SUMIFS(TRIB!$L$6:$L$255,TRIB!$B$6:$B$255,"DM-66"))*1.0)/G9))*10)))/N9)^(1/3))),0)</f>
        <v>0</v>
      </c>
      <c r="BX9" s="57">
        <f>SQRT(MAX(AM9,AN9)*1E5/(DATOS!$C$58*N9*DATOS!$C$48*(DATOS!$C$82*DATOS!$C$40/DATOS!$C$48)*(1-(DATOS!$C$82*DATOS!$C$40/DATOS!$C$48)/2)))+(O9-AQ9)</f>
        <v>28.5486434609116</v>
      </c>
      <c r="BY9" s="59">
        <f>IF(OR(L9="BORDE DE VOLADO",L9="SIN APOYO"),0,CEILING(MAX(BV9,BW9,BX9,DATOS!$C$15),5))</f>
        <v>30</v>
      </c>
      <c r="BZ9" s="72" t="str">
        <f>IF(L9="BORDE DE VOLADO","BORDE DE VOLADO — armado de orilla",IF(L9="SIN APOYO","SIN APOYO — REVISAR",IF(AND(AW9&lt;=1,BC9&lt;=1,IF(AU9=0,TRUE,AU9&lt;=INT((CB9+DATOS!$C$32)/(INDEX(TABLAS!$C$52:$C$58,MATCH(MAX(AS9,2),TABLAS!$B$52:$B$58,0))+DATOS!$C$32))),IF(BA9=0,TRUE,BA9&lt;=INT((CB9+DATOS!$C$32)/(INDEX(TABLAS!$C$52:$C$58,MATCH(MAX(AZ9,2),TABLAS!$B$52:$B$58,0))+DATOS!$C$32))),AND(OR(NOT(ISNUMBER(AX9)),AX9&gt;=0.005),OR(NOT(ISNUMBER(BD9)),BD9&gt;=0.005)),BH9&lt;&gt;"SECCIÓN INSUFICIENTE",AND(O9&gt;=BV9,O9&gt;=BW9,O9/N9&lt;=6),BP9&lt;=BQ9,OR(S9=0,LEFT(BU9,6)&lt;&gt;"NO CUM")),IF(LEFT(BU9,7)="REVISAR","PENDIENTE: H/L &lt; 0.6, falta el análisis de interacción muro-viga (NTC-M 4.1.18.2.1, p. 44)","CUMPLE")&amp;IF(L9="VOLADO"," (en VOLADO)",""),"NO CUMPLE: "&amp;IF(OR(AR9&lt;0,AY9&lt;0),"sección insuficiente en flexión ",IF(OR(AW9&gt;1,BC9&gt;1),"flexión ",""))&amp;IF(NOT(AND(IF(AU9=0,TRUE,AU9&lt;=INT((CB9+DATOS!$C$32)/(INDEX(TABLAS!$C$52:$C$58,MATCH(MAX(AS9,2),TABLAS!$B$52:$B$58,0))+DATOS!$C$32))),IF(BA9=0,TRUE,BA9&lt;=INT((CB9+DATOS!$C$32)/(INDEX(TABLAS!$C$52:$C$58,MATCH(MAX(AZ9,2),TABLAS!$B$52:$B$58,0))+DATOS!$C$32))))),"no caben ","")&amp;IF(NOT(AND(OR(NOT(ISNUMBER(AX9)),AX9&gt;=0.005),OR(NOT(ISNUMBER(BD9)),BD9&gt;=0.005))),"ε_t ","")&amp;IF(BH9="SECCIÓN INSUFICIENTE","cortante ","")&amp;IF(NOT(AND(O9&gt;=BV9,O9&gt;=BW9,O9/N9&lt;=6)),"peralte ","")&amp;IF(NOT(BP9&lt;=BQ9),"flecha ","")&amp;IF(NOT(OR(S9=0,LEFT(BU9,6)&lt;&gt;"NO CUM")),"muro sobre viga ","")&amp;"→ h ≥ "&amp;TEXT(MAX(BY9,IF(BP9&gt;BQ9,MAX(O9+5,CEILING(O9*(BP9/BQ9)^(1/3),5)),0)),"0")&amp;" cm"&amp;IF(NOT(AND(IF(AU9=0,TRUE,AU9&lt;=INT((CB9+DATOS!$C$32)/(INDEX(TABLAS!$C$52:$C$58,MATCH(MAX(AS9,2),TABLAS!$B$52:$B$58,0))+DATOS!$C$32))),IF(BA9=0,TRUE,BA9&lt;=INT((CB9+DATOS!$C$32)/(INDEX(TABLAS!$C$52:$C$58,MATCH(MAX(AZ9,2),TABLAS!$B$52:$B$58,0))+DATOS!$C$32)))))," y b ≥ "&amp;TEXT(N9+5,"0")&amp;" cm","")&amp;" (verificar)")))</f>
        <v>CUMPLE</v>
      </c>
      <c r="CA9" s="65" t="inlineStr">
        <is>
          <t>Extremo j en castillo propuesto C1. Viga perimetral: refuerzo de integridad continuo arriba y abajo (≥ 2 barras) y estribos cerrados en todo el claro, más cerrados en 2h junto a cada apoyo (NTC-Concreto 6.3.7.7.1, 6.3.7.7.7 y 6.3.7.7.8, p. 134). Muro de planta alta encima (4.33 m) con la azotea de DM-66: viga que soporta muro estructural (NTC-Mampostería 4.1.18): la flecha se calcula y el límite es 0.3 cm + L/480.</t>
        </is>
      </c>
      <c r="CB9" s="43">
        <f>N9-2*DATOS!$C$22-2*INDEX(TABLAS!$C$52:$C$58,MATCH(DATOS!$C$113,TABLAS!$B$52:$B$58,0))</f>
        <v>10.1</v>
      </c>
    </row>
    <row r="10" ht="30" customHeight="1">
      <c r="B10" s="60" t="inlineStr">
        <is>
          <t>NP-02</t>
        </is>
      </c>
      <c r="C10" s="52" t="inlineStr">
        <is>
          <t>N+3.00</t>
        </is>
      </c>
      <c r="D10" s="51" t="inlineStr">
        <is>
          <t>Eje 3 (y = 2.921)</t>
        </is>
      </c>
      <c r="E10" s="52" t="inlineStr">
        <is>
          <t>(0.000, 2.921)</t>
        </is>
      </c>
      <c r="F10" s="52" t="inlineStr">
        <is>
          <t>(4.327, 2.921)</t>
        </is>
      </c>
      <c r="G10" s="55" t="n">
        <v>4.327</v>
      </c>
      <c r="H10" s="52" t="inlineStr">
        <is>
          <t>FIRME</t>
        </is>
      </c>
      <c r="I10" s="52" t="str">
        <f>IF(APOYOS!$C$18="SÍ","FIRME","LIBRE")</f>
        <v>FIRME</v>
      </c>
      <c r="J10" s="52" t="inlineStr">
        <is>
          <t>—</t>
        </is>
      </c>
      <c r="K10" s="52" t="inlineStr">
        <is>
          <t>C2</t>
        </is>
      </c>
      <c r="L10" s="60" t="str">
        <f>IF(AND(OR(H10="FIRME",H10="NERVADURA",H10="PUNTA"),OR(I10="FIRME",I10="NERVADURA",I10="PUNTA")),"APOYADA",IF(OR(OR(H10="FIRME",H10="NERVADURA",H10="PUNTA"),OR(I10="FIRME",I10="NERVADURA",I10="PUNTA")),"VOLADO","SIN APOYO"))</f>
        <v>APOYADA</v>
      </c>
      <c r="M10" s="52" t="str">
        <f>IF(L10="VOLADO",IF(OR(H10="FIRME",H10="NERVADURA",H10="PUNTA"),"i","j"),"—")</f>
        <v>—</v>
      </c>
      <c r="N10" s="58" t="n">
        <v>20</v>
      </c>
      <c r="O10" s="58" t="n">
        <v>60</v>
      </c>
      <c r="P10" s="65" t="str">
        <f>IF(L10="BORDE DE VOLADO","—",IF(OR(N10&lt;&gt;DATOS!$C$17,O10&lt;&gt;DATOS!$C$15),"PERALTAR: trabe "&amp;TEXT(N10,"0")&amp;"×"&amp;TEXT(O10,"0")&amp;IF(O10&gt;DATOS!$C$15," (descuelga "&amp;TEXT(O10-DATOS!$C$15,"0")&amp;" cm)",""),"Queda en la losa (15×25)"))</f>
        <v>PERALTAR: trabe 20×60 (descuelga 35 cm)</v>
      </c>
      <c r="Q10" s="43">
        <f>SUMIFS(TRIB!$E$6:$E$255,TRIB!$B$6:$B$255,"NP-02")</f>
        <v>5.7111</v>
      </c>
      <c r="R10" s="36">
        <f>SUMIFS(TRIB!$G$6:$G$255,TRIB!$B$6:$B$255,"NP-02")/G10</f>
        <v>1.16899154525688</v>
      </c>
      <c r="S10" s="69" t="n">
        <v>4.327</v>
      </c>
      <c r="T10" s="36">
        <f>DATOS!$C$55*S10*DATOS!$C$107/G10</f>
        <v>1.233375</v>
      </c>
      <c r="U10" s="36">
        <f>(SUMIFS(TRIB!$G$6:$G$255,TRIB!$B$6:$B$255,"DM-67")*1.0+SUMIFS(TRIB!$G$6:$G$255,TRIB!$B$6:$B$255,"DM-68")*1.0+SUMIFS(TRIB!$G$6:$G$255,TRIB!$B$6:$B$255,"DM-69")*1.0)/G10</f>
        <v>1.40931702881291</v>
      </c>
      <c r="V10" s="61" t="n">
        <v>0</v>
      </c>
      <c r="W10" s="61" t="n">
        <v>0</v>
      </c>
      <c r="X10" s="36">
        <f>(DATOS!$C$55*V10+DATOS!$C$56*W10)/1000</f>
        <v>0</v>
      </c>
      <c r="Y10" s="36">
        <f>DATOS!$C$55*(N10/100*O10/100*DATOS!$C$43-N10/100*DATOS!$C$70/1000)</f>
        <v>0.314684897959184</v>
      </c>
      <c r="Z10" s="70">
        <f>R10+T10+U10+X10+Y10</f>
        <v>4.12636847202898</v>
      </c>
      <c r="AA10" s="36">
        <f>(SUMIFS(TRIB!$I$6:$I$255,TRIB!$B$6:$B$255,"NP-02")-SUMIFS(TRIB!$L$6:$L$255,TRIB!$B$6:$B$255,"NP-02"))/G10+S10*DATOS!$C$107/G10+((SUMIFS(TRIB!$I$6:$I$255,TRIB!$B$6:$B$255,"DM-67")-SUMIFS(TRIB!$L$6:$L$255,TRIB!$B$6:$B$255,"DM-67"))*1.0+(SUMIFS(TRIB!$I$6:$I$255,TRIB!$B$6:$B$255,"DM-68")-SUMIFS(TRIB!$L$6:$L$255,TRIB!$B$6:$B$255,"DM-68"))*1.0+(SUMIFS(TRIB!$I$6:$I$255,TRIB!$B$6:$B$255,"DM-69")-SUMIFS(TRIB!$L$6:$L$255,TRIB!$B$6:$B$255,"DM-69"))*1.0)/G10+V10/1000+Y10/DATOS!$C$55</f>
        <v>2.70883679907369</v>
      </c>
      <c r="AB10" s="36">
        <f>SUMIFS(TRIB!$L$6:$L$255,TRIB!$B$6:$B$255,"NP-02")/G10+(SUMIFS(TRIB!$L$6:$L$255,TRIB!$B$6:$B$255,"DM-67")*1.0+SUMIFS(TRIB!$L$6:$L$255,TRIB!$B$6:$B$255,"DM-68")*1.0+SUMIFS(TRIB!$L$6:$L$255,TRIB!$B$6:$B$255,"DM-69")*1.0)/G10+W10/1000</f>
        <v>0.403253755488791</v>
      </c>
      <c r="AC10" s="36">
        <f>SUMIFS(TRIB!$M$6:$M$255,TRIB!$B$6:$B$255,"NP-02")/G10+(SUMIFS(TRIB!$M$6:$M$255,TRIB!$B$6:$B$255,"DM-67")*1.0+SUMIFS(TRIB!$M$6:$M$255,TRIB!$B$6:$B$255,"DM-68")*1.0+SUMIFS(TRIB!$M$6:$M$255,TRIB!$B$6:$B$255,"DM-69")*1.0)/G10+W10/1000*DATOS!$C$91/DATOS!$C$89</f>
        <v>0.128461636237578</v>
      </c>
      <c r="AD10" s="36">
        <f>0</f>
        <v>0</v>
      </c>
      <c r="AE10" s="36">
        <f>0</f>
        <v>0</v>
      </c>
      <c r="AF10" s="36">
        <f>0</f>
        <v>0</v>
      </c>
      <c r="AG10" s="36">
        <f>0</f>
        <v>0</v>
      </c>
      <c r="AH10" s="36">
        <f>0</f>
        <v>0</v>
      </c>
      <c r="AI10" s="36">
        <f>IF(L10="APOYADA",Z10*G10/2+0,IF(AND(L10="VOLADO",M10="i"),Z10*G10+AD10,0))</f>
        <v>8.92739818923469</v>
      </c>
      <c r="AJ10" s="36">
        <f>IF(L10="APOYADA",Z10*G10/2+0,IF(AND(L10="VOLADO",M10="j"),Z10*G10+AD10,0))</f>
        <v>8.92739818923469</v>
      </c>
      <c r="AK10" s="36">
        <f>IF(L10="APOYADA",(AA10+AB10)*G10/2+0,IF(AND(L10="VOLADO",M10="i"),(AA10+AB10)*G10+0,0))</f>
        <v>6.73300791479592</v>
      </c>
      <c r="AL10" s="36">
        <f>IF(L10="APOYADA",(AA10+AB10)*G10/2+0,IF(AND(L10="VOLADO",M10="j"),(AA10+AB10)*G10+0,0))</f>
        <v>6.73300791479592</v>
      </c>
      <c r="AM10" s="70">
        <f>IF(L10="APOYADA",Z10*G10^2/8+AE10,0)</f>
        <v>9.65721299120463</v>
      </c>
      <c r="AN10" s="70">
        <f>IF(L10="APOYADA",DATOS!$C$64*AM10,IF(L10="VOLADO",Z10*G10^2/2+AE10,0))</f>
        <v>6.44136106513349</v>
      </c>
      <c r="AO10" s="70">
        <f>IF(L10="APOYADA",Z10*G10/2+AF10,IF(L10="VOLADO",Z10*G10+AF10,0))</f>
        <v>8.92739818923469</v>
      </c>
      <c r="AP10" s="36">
        <f>IF(L10="APOYADA",(AA10+AB10)*G10^2/8+AH10,IF(L10="VOLADO",(AA10+AB10)*G10^2/2+AH10,0))</f>
        <v>7.28343131183049</v>
      </c>
      <c r="AQ10" s="43">
        <f>O10-DATOS!$C$22-INDEX(TABLAS!$C$52:$C$58,MATCH(DATOS!$C$113,TABLAS!$B$52:$B$58,0))-INDEX(TABLAS!$C$52:$C$58,MATCH(DATOS!$C$112,TABLAS!$B$52:$B$58,0))/2</f>
        <v>54.415</v>
      </c>
      <c r="AR10" s="43">
        <f>IF(OR(L10="BORDE DE VOLADO",L10="SIN APOYO"),0,IF(IF(AM10&lt;=0,0,IF((1-2*AM10*1E5/(DATOS!$C$58*N10*AQ10^2*DATOS!$C$48))&lt;0,-1,IF((1-SQRT((1-2*AM10*1E5/(DATOS!$C$58*N10*AQ10^2*DATOS!$C$48))))*DATOS!$C$48*N10*AQ10/DATOS!$C$40&gt;DATOS!$C$82*N10*AQ10,-1,(1-SQRT((1-2*AM10*1E5/(DATOS!$C$58*N10*AQ10^2*DATOS!$C$48))))*DATOS!$C$48*N10*AQ10/DATOS!$C$40)))&lt;0,-1,MAX(IF(AM10&lt;=0,0,IF((1-2*AM10*1E5/(DATOS!$C$58*N10*AQ10^2*DATOS!$C$48))&lt;0,-1,IF((1-SQRT((1-2*AM10*1E5/(DATOS!$C$58*N10*AQ10^2*DATOS!$C$48))))*DATOS!$C$48*N10*AQ10/DATOS!$C$40&gt;DATOS!$C$82*N10*AQ10,-1,(1-SQRT((1-2*AM10*1E5/(DATOS!$C$58*N10*AQ10^2*DATOS!$C$48))))*DATOS!$C$48*N10*AQ10/DATOS!$C$40))),MIN(DATOS!$C$83*N10*AQ10,4/3*IF(AM10&lt;=0,0,IF((1-2*AM10*1E5/(DATOS!$C$58*N10*AQ10^2*DATOS!$C$48))&lt;0,-1,IF((1-SQRT((1-2*AM10*1E5/(DATOS!$C$58*N10*AQ10^2*DATOS!$C$48))))*DATOS!$C$48*N10*AQ10/DATOS!$C$40&gt;DATOS!$C$82*N10*AQ10,-1,(1-SQRT((1-2*AM10*1E5/(DATOS!$C$58*N10*AQ10^2*DATOS!$C$48))))*DATOS!$C$48*N10*AQ10/DATOS!$C$40)))))))</f>
        <v>4.91436662954643</v>
      </c>
      <c r="AS10" s="41">
        <f>IF(AR10&lt;0,0,IF(AND(AR10&gt;=0,MAX(DATOS!$C$114,CEILING(AR10/INDEX(TABLAS!$D$52:$D$58,MIN(MATCH(DATOS!$C$112,TABLAS!$B$52:$B$58,0)+0,7)),1))&lt;=MIN(99,INT((CB10+MAX(DATOS!$C$32,INDEX(TABLAS!$C$52:$C$58,MIN(MATCH(DATOS!$C$112,TABLAS!$B$52:$B$58,0)+0,7))))/(INDEX(TABLAS!$C$52:$C$58,MIN(MATCH(DATOS!$C$112,TABLAS!$B$52:$B$58,0)+0,7))+MAX(DATOS!$C$32,INDEX(TABLAS!$C$52:$C$58,MIN(MATCH(DATOS!$C$112,TABLAS!$B$52:$B$58,0)+0,7))))))),INDEX(TABLAS!$B$52:$B$58,MIN(MATCH(DATOS!$C$112,TABLAS!$B$52:$B$58,0)+0,7)),IF(AND(AR10&gt;=0,MAX(DATOS!$C$114,CEILING(AR10/INDEX(TABLAS!$D$52:$D$58,MIN(MATCH(DATOS!$C$112,TABLAS!$B$52:$B$58,0)+1,7)),1))&lt;=MIN(99,INT((CB10+MAX(DATOS!$C$32,INDEX(TABLAS!$C$52:$C$58,MIN(MATCH(DATOS!$C$112,TABLAS!$B$52:$B$58,0)+1,7))))/(INDEX(TABLAS!$C$52:$C$58,MIN(MATCH(DATOS!$C$112,TABLAS!$B$52:$B$58,0)+1,7))+MAX(DATOS!$C$32,INDEX(TABLAS!$C$52:$C$58,MIN(MATCH(DATOS!$C$112,TABLAS!$B$52:$B$58,0)+1,7))))))),INDEX(TABLAS!$B$52:$B$58,MIN(MATCH(DATOS!$C$112,TABLAS!$B$52:$B$58,0)+1,7)),IF(AND(AR10&gt;=0,MAX(DATOS!$C$114,CEILING(AR10/INDEX(TABLAS!$D$52:$D$58,MIN(MATCH(DATOS!$C$112,TABLAS!$B$52:$B$58,0)+2,7)),1))&lt;=MIN(99,INT((CB10+MAX(DATOS!$C$32,INDEX(TABLAS!$C$52:$C$58,MIN(MATCH(DATOS!$C$112,TABLAS!$B$52:$B$58,0)+2,7))))/(INDEX(TABLAS!$C$52:$C$58,MIN(MATCH(DATOS!$C$112,TABLAS!$B$52:$B$58,0)+2,7))+MAX(DATOS!$C$32,INDEX(TABLAS!$C$52:$C$58,MIN(MATCH(DATOS!$C$112,TABLAS!$B$52:$B$58,0)+2,7))))))),INDEX(TABLAS!$B$52:$B$58,MIN(MATCH(DATOS!$C$112,TABLAS!$B$52:$B$58,0)+2,7)),IF(AND(AR10&gt;=0,MAX(DATOS!$C$114,CEILING(AR10/INDEX(TABLAS!$D$52:$D$58,MIN(MATCH(DATOS!$C$112,TABLAS!$B$52:$B$58,0)+3,7)),1))&lt;=MIN(99,INT((CB10+MAX(DATOS!$C$32,INDEX(TABLAS!$C$52:$C$58,MIN(MATCH(DATOS!$C$112,TABLAS!$B$52:$B$58,0)+3,7))))/(INDEX(TABLAS!$C$52:$C$58,MIN(MATCH(DATOS!$C$112,TABLAS!$B$52:$B$58,0)+3,7))+MAX(DATOS!$C$32,INDEX(TABLAS!$C$52:$C$58,MIN(MATCH(DATOS!$C$112,TABLAS!$B$52:$B$58,0)+3,7))))))),INDEX(TABLAS!$B$52:$B$58,MIN(MATCH(DATOS!$C$112,TABLAS!$B$52:$B$58,0)+3,7)),IF(AND(AR10&gt;=0,MAX(DATOS!$C$114,CEILING(AR10/INDEX(TABLAS!$D$52:$D$58,MIN(MATCH(DATOS!$C$112,TABLAS!$B$52:$B$58,0)+4,7)),1))&lt;=MIN(99,INT((CB10+MAX(DATOS!$C$32,INDEX(TABLAS!$C$52:$C$58,MIN(MATCH(DATOS!$C$112,TABLAS!$B$52:$B$58,0)+4,7))))/(INDEX(TABLAS!$C$52:$C$58,MIN(MATCH(DATOS!$C$112,TABLAS!$B$52:$B$58,0)+4,7))+MAX(DATOS!$C$32,INDEX(TABLAS!$C$52:$C$58,MIN(MATCH(DATOS!$C$112,TABLAS!$B$52:$B$58,0)+4,7))))))),INDEX(TABLAS!$B$52:$B$58,MIN(MATCH(DATOS!$C$112,TABLAS!$B$52:$B$58,0)+4,7)),INDEX(TABLAS!$B$52:$B$58,7)))))))</f>
        <v>5</v>
      </c>
      <c r="AT10" s="58" t="n">
        <v>0</v>
      </c>
      <c r="AU10" s="56">
        <f>IF(OR(L10="BORDE DE VOLADO",L10="SIN APOYO"),0,IF(AR10&lt;0,0,MAX(DATOS!$C$114,CEILING(AR10/INDEX(TABLAS!$D$52:$D$58,MATCH(IF(AS10=0,8,AS10),TABLAS!$B$52:$B$58,0)),1))+AT10))</f>
        <v>3</v>
      </c>
      <c r="AV10" s="36">
        <f>IF(AU10=0,0,DATOS!$C$58*AU10*INDEX(TABLAS!$D$52:$D$58,MATCH(AS10,TABLAS!$B$52:$B$58,0))*DATOS!$C$40*((O10-DATOS!$C$22-INDEX(TABLAS!$C$52:$C$58,MATCH(DATOS!$C$113,TABLAS!$B$52:$B$58,0))-INDEX(TABLAS!$C$52:$C$58,MATCH(AS10,TABLAS!$B$52:$B$58,0))/2)-AU10*INDEX(TABLAS!$D$52:$D$58,MATCH(AS10,TABLAS!$B$52:$B$58,0))*DATOS!$C$40/(DATOS!$C$48*N10)/2)/1E5)</f>
        <v>11.5229690322353</v>
      </c>
      <c r="AW10" s="62">
        <f>IF(AR10&lt;0,9.99,IF(AV10&gt;0,AM10/AV10,0))</f>
        <v>0.838083740760628</v>
      </c>
      <c r="AX10" s="63">
        <f>IF(AU10=0,"—",0.003*((O10-DATOS!$C$22-INDEX(TABLAS!$C$52:$C$58,MATCH(DATOS!$C$113,TABLAS!$B$52:$B$58,0))-INDEX(TABLAS!$C$52:$C$58,MATCH(AS10,TABLAS!$B$52:$B$58,0))/2)-(AU10*INDEX(TABLAS!$D$52:$D$58,MATCH(AS10,TABLAS!$B$52:$B$58,0))*DATOS!$C$40/(DATOS!$C$48*N10)/DATOS!$C$49))/(AU10*INDEX(TABLAS!$D$52:$D$58,MATCH(AS10,TABLAS!$B$52:$B$58,0))*DATOS!$C$40/(DATOS!$C$48*N10)/DATOS!$C$49))</f>
        <v>0.0205685651154401</v>
      </c>
      <c r="AY10" s="43">
        <f>IF(OR(L10="BORDE DE VOLADO",L10="SIN APOYO"),0,IF(IF(AN10&lt;=0,0,IF((1-2*AN10*1E5/(DATOS!$C$58*N10*AQ10^2*DATOS!$C$48))&lt;0,-1,IF((1-SQRT((1-2*AN10*1E5/(DATOS!$C$58*N10*AQ10^2*DATOS!$C$48))))*DATOS!$C$48*N10*AQ10/DATOS!$C$40&gt;DATOS!$C$82*N10*AQ10,-1,(1-SQRT((1-2*AN10*1E5/(DATOS!$C$58*N10*AQ10^2*DATOS!$C$48))))*DATOS!$C$48*N10*AQ10/DATOS!$C$40)))&lt;0,-1,MAX(IF(AN10&lt;=0,0,IF((1-2*AN10*1E5/(DATOS!$C$58*N10*AQ10^2*DATOS!$C$48))&lt;0,-1,IF((1-SQRT((1-2*AN10*1E5/(DATOS!$C$58*N10*AQ10^2*DATOS!$C$48))))*DATOS!$C$48*N10*AQ10/DATOS!$C$40&gt;DATOS!$C$82*N10*AQ10,-1,(1-SQRT((1-2*AN10*1E5/(DATOS!$C$58*N10*AQ10^2*DATOS!$C$48))))*DATOS!$C$48*N10*AQ10/DATOS!$C$40))),MIN(DATOS!$C$83*IF(L10="VOLADO",MIN(BI10,2*N10),N10)*AQ10,4/3*IF(AN10&lt;=0,0,IF((1-2*AN10*1E5/(DATOS!$C$58*N10*AQ10^2*DATOS!$C$48))&lt;0,-1,IF((1-SQRT((1-2*AN10*1E5/(DATOS!$C$58*N10*AQ10^2*DATOS!$C$48))))*DATOS!$C$48*N10*AQ10/DATOS!$C$40&gt;DATOS!$C$82*N10*AQ10,-1,(1-SQRT((1-2*AN10*1E5/(DATOS!$C$58*N10*AQ10^2*DATOS!$C$48))))*DATOS!$C$48*N10*AQ10/DATOS!$C$40)))))))</f>
        <v>3.62766666666667</v>
      </c>
      <c r="AZ10" s="41">
        <f>IF(AY10&lt;0,0,IF(AND(AY10&gt;=0,MAX(DATOS!$C$114,CEILING(AY10/INDEX(TABLAS!$D$52:$D$58,MIN(MATCH(DATOS!$C$112,TABLAS!$B$52:$B$58,0)+0,7)),1))&lt;=MIN(99,INT((CB10+MAX(DATOS!$C$32,INDEX(TABLAS!$C$52:$C$58,MIN(MATCH(DATOS!$C$112,TABLAS!$B$52:$B$58,0)+0,7))))/(INDEX(TABLAS!$C$52:$C$58,MIN(MATCH(DATOS!$C$112,TABLAS!$B$52:$B$58,0)+0,7))+MAX(DATOS!$C$32,INDEX(TABLAS!$C$52:$C$58,MIN(MATCH(DATOS!$C$112,TABLAS!$B$52:$B$58,0)+0,7))))))),INDEX(TABLAS!$B$52:$B$58,MIN(MATCH(DATOS!$C$112,TABLAS!$B$52:$B$58,0)+0,7)),IF(AND(AY10&gt;=0,MAX(DATOS!$C$114,CEILING(AY10/INDEX(TABLAS!$D$52:$D$58,MIN(MATCH(DATOS!$C$112,TABLAS!$B$52:$B$58,0)+1,7)),1))&lt;=MIN(99,INT((CB10+MAX(DATOS!$C$32,INDEX(TABLAS!$C$52:$C$58,MIN(MATCH(DATOS!$C$112,TABLAS!$B$52:$B$58,0)+1,7))))/(INDEX(TABLAS!$C$52:$C$58,MIN(MATCH(DATOS!$C$112,TABLAS!$B$52:$B$58,0)+1,7))+MAX(DATOS!$C$32,INDEX(TABLAS!$C$52:$C$58,MIN(MATCH(DATOS!$C$112,TABLAS!$B$52:$B$58,0)+1,7))))))),INDEX(TABLAS!$B$52:$B$58,MIN(MATCH(DATOS!$C$112,TABLAS!$B$52:$B$58,0)+1,7)),IF(AND(AY10&gt;=0,MAX(DATOS!$C$114,CEILING(AY10/INDEX(TABLAS!$D$52:$D$58,MIN(MATCH(DATOS!$C$112,TABLAS!$B$52:$B$58,0)+2,7)),1))&lt;=MIN(99,INT((CB10+MAX(DATOS!$C$32,INDEX(TABLAS!$C$52:$C$58,MIN(MATCH(DATOS!$C$112,TABLAS!$B$52:$B$58,0)+2,7))))/(INDEX(TABLAS!$C$52:$C$58,MIN(MATCH(DATOS!$C$112,TABLAS!$B$52:$B$58,0)+2,7))+MAX(DATOS!$C$32,INDEX(TABLAS!$C$52:$C$58,MIN(MATCH(DATOS!$C$112,TABLAS!$B$52:$B$58,0)+2,7))))))),INDEX(TABLAS!$B$52:$B$58,MIN(MATCH(DATOS!$C$112,TABLAS!$B$52:$B$58,0)+2,7)),IF(AND(AY10&gt;=0,MAX(DATOS!$C$114,CEILING(AY10/INDEX(TABLAS!$D$52:$D$58,MIN(MATCH(DATOS!$C$112,TABLAS!$B$52:$B$58,0)+3,7)),1))&lt;=MIN(99,INT((CB10+MAX(DATOS!$C$32,INDEX(TABLAS!$C$52:$C$58,MIN(MATCH(DATOS!$C$112,TABLAS!$B$52:$B$58,0)+3,7))))/(INDEX(TABLAS!$C$52:$C$58,MIN(MATCH(DATOS!$C$112,TABLAS!$B$52:$B$58,0)+3,7))+MAX(DATOS!$C$32,INDEX(TABLAS!$C$52:$C$58,MIN(MATCH(DATOS!$C$112,TABLAS!$B$52:$B$58,0)+3,7))))))),INDEX(TABLAS!$B$52:$B$58,MIN(MATCH(DATOS!$C$112,TABLAS!$B$52:$B$58,0)+3,7)),IF(AND(AY10&gt;=0,MAX(DATOS!$C$114,CEILING(AY10/INDEX(TABLAS!$D$52:$D$58,MIN(MATCH(DATOS!$C$112,TABLAS!$B$52:$B$58,0)+4,7)),1))&lt;=MIN(99,INT((CB10+MAX(DATOS!$C$32,INDEX(TABLAS!$C$52:$C$58,MIN(MATCH(DATOS!$C$112,TABLAS!$B$52:$B$58,0)+4,7))))/(INDEX(TABLAS!$C$52:$C$58,MIN(MATCH(DATOS!$C$112,TABLAS!$B$52:$B$58,0)+4,7))+MAX(DATOS!$C$32,INDEX(TABLAS!$C$52:$C$58,MIN(MATCH(DATOS!$C$112,TABLAS!$B$52:$B$58,0)+4,7))))))),INDEX(TABLAS!$B$52:$B$58,MIN(MATCH(DATOS!$C$112,TABLAS!$B$52:$B$58,0)+4,7)),INDEX(TABLAS!$B$52:$B$58,7)))))))</f>
        <v>4</v>
      </c>
      <c r="BA10" s="56">
        <f>IF(OR(L10="BORDE DE VOLADO",L10="SIN APOYO"),0,IF(AY10&lt;0,0,MAX(DATOS!$C$114,CEILING(AY10/INDEX(TABLAS!$D$52:$D$58,MATCH(IF(AZ10=0,8,AZ10),TABLAS!$B$52:$B$58,0)),1))))</f>
        <v>3</v>
      </c>
      <c r="BB10" s="36">
        <f>IF(BA10=0,0,DATOS!$C$58*BA10*INDEX(TABLAS!$D$52:$D$58,MATCH(AZ10,TABLAS!$B$52:$B$58,0))*DATOS!$C$40*((O10-DATOS!$C$22-INDEX(TABLAS!$C$52:$C$58,MATCH(DATOS!$C$113,TABLAS!$B$52:$B$58,0))-INDEX(TABLAS!$C$52:$C$58,MATCH(AZ10,TABLAS!$B$52:$B$58,0))/2)-BA10*INDEX(TABLAS!$D$52:$D$58,MATCH(AZ10,TABLAS!$B$52:$B$58,0))*DATOS!$C$40/(DATOS!$C$48*N10)/2)/1E5)</f>
        <v>7.56561287752941</v>
      </c>
      <c r="BC10" s="62">
        <f>IF(AY10&lt;0,9.99,IF(BB10&gt;0,AN10/BB10,0))</f>
        <v>0.851399770171289</v>
      </c>
      <c r="BD10" s="63">
        <f>IF(BA10=0,"—",0.003*((O10-DATOS!$C$22-INDEX(TABLAS!$C$52:$C$58,MATCH(DATOS!$C$113,TABLAS!$B$52:$B$58,0))-INDEX(TABLAS!$C$52:$C$58,MATCH(AZ10,TABLAS!$B$52:$B$58,0))/2)-(BA10*INDEX(TABLAS!$D$52:$D$58,MATCH(AZ10,TABLAS!$B$52:$B$58,0))*DATOS!$C$40/(DATOS!$C$48*N10)/DATOS!$C$49))/(BA10*INDEX(TABLAS!$D$52:$D$58,MATCH(AZ10,TABLAS!$B$52:$B$58,0))*DATOS!$C$40/(DATOS!$C$48*N10)/DATOS!$C$49))</f>
        <v>0.0338530535245594</v>
      </c>
      <c r="BE10" s="36">
        <f>IF(BA10=0,0,DATOS!$C$59*MIN(1.25,MAX(0.5,2*MAX(1E-6,MIN(AU10*INDEX(TABLAS!$D$52:$D$58,MATCH(MAX(AS10,2),TABLAS!$B$52:$B$58,0)),BA10*INDEX(TABLAS!$D$52:$D$58,MATCH(MAX(AZ10,2),TABLAS!$B$52:$B$58,0)))/(N10*AQ10))^(1/3)))*SQRT(DATOS!$C$39)*N10*AQ10/1000)</f>
        <v>6.45282520792734</v>
      </c>
      <c r="BF10" s="57">
        <f>IF(AO10=0,0,FLOOR(MIN(IF(AO10&gt;BE10,DATOS!$C$59*2*INDEX(TABLAS!$D$52:$D$58,MATCH(DATOS!$C$113,TABLAS!$B$52:$B$58,0))*DATOS!$C$42*AQ10/((AO10-BE10)*1000),999),IF(MAX(0,AO10-BE10)/DATOS!$C$59&lt;=1.1*SQRT(DATOS!$C$39)*N10*AQ10/1000,MIN(AQ10/2,60),MIN(AQ10/4,30)),2*INDEX(TABLAS!$D$52:$D$58,MATCH(DATOS!$C$113,TABLAS!$B$52:$B$58,0))*DATOS!$C$42/(MAX(0.2*SQRT(DATOS!$C$39),3.5)*N10),MIN(16*INDEX(TABLAS!$C$52:$C$58,MATCH(MIN(MAX(AS10,2),MAX(AZ10,2)),TABLAS!$B$52:$B$58,0)),48*INDEX(TABLAS!$C$52:$C$58,MATCH(DATOS!$C$113,TABLAS!$B$52:$B$58,0))),DATOS!$C$115),0.5))</f>
        <v>20</v>
      </c>
      <c r="BG10" s="57">
        <f>BF10</f>
        <v>20</v>
      </c>
      <c r="BH10" s="51" t="str">
        <f>IF(AO10=0,"—",IF(AO10&gt;DATOS!$C$59*(BE10/DATOS!$C$59+2.2*SQRT(DATOS!$C$39)*N10*AQ10/1000),"SECCIÓN INSUFICIENTE","E No. "&amp;TEXT(DATOS!$C$113,"0")&amp;IF(BG10&lt;BF10," @ "&amp;TEXT(BG10,"0.0")&amp;" en 2h y"," @")&amp;" "&amp;TEXT(BF10,"0.0")&amp;" cm"))</f>
        <v>E No. 3 @ 20.0 cm</v>
      </c>
      <c r="BI10" s="56">
        <f>N10+2*MIN(8*DATOS!$C$14,DATOS!$C$11/2,G10*100/8)</f>
        <v>80</v>
      </c>
      <c r="BJ10" s="71">
        <f>BI10*DATOS!$C$14^3/12+BI10*DATOS!$C$14*(((BI10*DATOS!$C$14^2/2+N10*(O10-DATOS!$C$14)*(DATOS!$C$14+(O10-DATOS!$C$14)/2))/(BI10*DATOS!$C$14+N10*(O10-DATOS!$C$14)))-DATOS!$C$14/2)^2+N10*(O10-DATOS!$C$14)^3/12+N10*(O10-DATOS!$C$14)*(DATOS!$C$14+(O10-DATOS!$C$14)/2-((BI10*DATOS!$C$14^2/2+N10*(O10-DATOS!$C$14)*(DATOS!$C$14+(O10-DATOS!$C$14)/2))/(BI10*DATOS!$C$14+N10*(O10-DATOS!$C$14))))^2</f>
        <v>542125</v>
      </c>
      <c r="BK10" s="43">
        <f>O10-DATOS!$C$22-INDEX(TABLAS!$C$52:$C$58,MATCH(DATOS!$C$113,TABLAS!$B$52:$B$58,0))-INDEX(TABLAS!$C$52:$C$58,MATCH(MAX(IF(L10="VOLADO",AZ10,AS10),2),TABLAS!$B$52:$B$58,0))/2</f>
        <v>54.255</v>
      </c>
      <c r="BL10" s="43">
        <f>DATOS!$C$46/DATOS!$C$45*IF(L10="VOLADO",BA10*INDEX(TABLAS!$D$52:$D$58,MATCH(MAX(AZ10,2),TABLAS!$B$52:$B$58,0)),AU10*INDEX(TABLAS!$D$52:$D$58,MATCH(MAX(AS10,2),TABLAS!$B$52:$B$58,0)))</f>
        <v>53.6683694325719</v>
      </c>
      <c r="BM10" s="43">
        <f>IF(BL10&lt;=0,0,(SQRT(2*(BL10/(IF(L10="VOLADO",N10,BI10)*BK10))+(BL10/(IF(L10="VOLADO",N10,BI10)*BK10))^2)-(BL10/(IF(L10="VOLADO",N10,BI10)*BK10)))*BK10)</f>
        <v>7.88744430813371</v>
      </c>
      <c r="BN10" s="71">
        <f>IF(AND(L10&lt;&gt;"VOLADO",BM10&gt;DATOS!$C$14),(BI10*DATOS!$C$14^3/12+BI10*DATOS!$C$14*(((-((BI10-N10)*DATOS!$C$14+BL10)+SQRT(((BI10-N10)*DATOS!$C$14+BL10)^2+2*N10*((BI10-N10)*DATOS!$C$14^2/2+BL10*BK10)))/N10)-DATOS!$C$14/2)^2+N10*(((-((BI10-N10)*DATOS!$C$14+BL10)+SQRT(((BI10-N10)*DATOS!$C$14+BL10)^2+2*N10*((BI10-N10)*DATOS!$C$14^2/2+BL10*BK10)))/N10)-DATOS!$C$14)^3/3+BL10*(BK10-((-((BI10-N10)*DATOS!$C$14+BL10)+SQRT(((BI10-N10)*DATOS!$C$14+BL10)^2+2*N10*((BI10-N10)*DATOS!$C$14^2/2+BL10*BK10)))/N10))^2),(IF(L10="VOLADO",N10,BI10)*BM10^3/3+BL10*(BK10-BM10)^2))</f>
        <v>127866.411219935</v>
      </c>
      <c r="BO10" s="71">
        <f>IF(AP10&lt;=0,BJ10,IF((AP10*1E5)&lt;=2/3*(DATOS!$C$47*BJ10/IF(L10="VOLADO",((BI10*DATOS!$C$14^2/2+N10*(O10-DATOS!$C$14)*(DATOS!$C$14+(O10-DATOS!$C$14)/2))/(BI10*DATOS!$C$14+N10*(O10-DATOS!$C$14))),O10-((BI10*DATOS!$C$14^2/2+N10*(O10-DATOS!$C$14)*(DATOS!$C$14+(O10-DATOS!$C$14)/2))/(BI10*DATOS!$C$14+N10*(O10-DATOS!$C$14))))),BJ10,IF(BL10&lt;=0,0,BN10/(1-(2/3*(DATOS!$C$47*BJ10/IF(L10="VOLADO",((BI10*DATOS!$C$14^2/2+N10*(O10-DATOS!$C$14)*(DATOS!$C$14+(O10-DATOS!$C$14)/2))/(BI10*DATOS!$C$14+N10*(O10-DATOS!$C$14))),O10-((BI10*DATOS!$C$14^2/2+N10*(O10-DATOS!$C$14)*(DATOS!$C$14+(O10-DATOS!$C$14)/2))/(BI10*DATOS!$C$14+N10*(O10-DATOS!$C$14)))))/(AP10*1E5))^2*(1-BN10/BJ10)))))</f>
        <v>150307.281462342</v>
      </c>
      <c r="BP10" s="62">
        <f>IF(OR(L10="APOYADA",L10="VOLADO"),(IF(L10="VOLADO",(AP10-AH10)/4+AH10/3,5/48*AP10)*1E5*(G10*100)^2/(DATOS!$C$45*MAX(BO10,1)))*(1+2/(1+50*IF(L10="VOLADO",AU10*INDEX(TABLAS!$D$52:$D$58,MATCH(MAX(AS10,2),TABLAS!$B$52:$B$58,0)),DATOS!$C$114*INDEX(TABLAS!$D$52:$D$58,MATCH(MAX(AZ10,2),TABLAS!$B$52:$B$58,0)))/(N10*BK10))*((AA10+AC10)/MAX(AA10+AB10,1E-6))),0)</f>
        <v>1.12384046734135</v>
      </c>
      <c r="BQ10" s="43">
        <f>IF(S10&gt;0,0.3+G10*100/480,0.5+G10*100/240)</f>
        <v>1.20145833333333</v>
      </c>
      <c r="BR10" s="43">
        <f>IF(S10&gt;0,(T10+U10)*G10+AG10,0)</f>
        <v>11.4349284086735</v>
      </c>
      <c r="BS10" s="43">
        <f>IF(S10&gt;0,(DATOS!$C$51*DATOS!$C$103*100*(G10*100)^3/(DATOS!$C$45*BJ10*((BR10*1000/(DATOS!$C$103*100*S10*100)*DATOS!$C$103*100*(MIN(1,S10/G10)^4-4*MIN(1,S10/G10)^3+8*MIN(1,S10/G10)))/((BR10*1000/(DATOS!$C$103*100*S10*100)*DATOS!$C$103*100*(MIN(1,S10/G10)^4-4*MIN(1,S10/G10)^3+8*MIN(1,S10/G10)))+5*((R10+X10+Y10+IF(L10="APOYADA",8*(0)/G10^2,0))*10)))))^0.25,0)</f>
        <v>5.01486190339562</v>
      </c>
      <c r="BT10" s="57">
        <f>IF(S10&gt;0,MAX(1,IF(MIN(1,S10/G10)&gt;=1,(1.6*BS10-3.9),IF(MIN(1,S10/G10)&lt;0.9,((3.2*BS10-7.8)*1),((3.2*BS10-7.8)*1)+((1.6*BS10-3.9)-((3.2*BS10-7.8)*1))*(MIN(1,S10/G10)-0.9)/0.1)))*BR10*1000/(DATOS!$C$103*100*S10*100),0)</f>
        <v>7.26525200796766</v>
      </c>
      <c r="BU10" s="65" t="str">
        <f>IF(S10=0,"—",IF(DATOS!$C$105/S10&lt;0.6,"REVISAR: H/L &lt; 0.6, interacción muro-viga",IF(BT10&lt;=DATOS!$C$60*DATOS!$C$50,"CUMPLE","NO CUMPLE f_CM &gt; F_R·f'm")))</f>
        <v>CUMPLE</v>
      </c>
      <c r="BV10" s="57">
        <f>IF(S10&gt;0,MAX(25,IF(BJ10&gt;=(G10*100)^3/1600,0,MIN(G10*100/14,(12*(G10*100)^3/1600/N10)^(1/3)))),IF(L10="APOYADA",MAX(25,G10*100/16),IF(L10="VOLADO",MAX(25,G10*100/8),0)))</f>
        <v>25</v>
      </c>
      <c r="BW10" s="57">
        <f>IF(S10&gt;0,IF(BJ10&gt;=(5/4*(G10*100)^3/DATOS!$C$45*((((S10*DATOS!$C$107+(((SUMIFS(TRIB!$I$6:$I$255,TRIB!$B$6:$B$255,"DM-67")-SUMIFS(TRIB!$L$6:$L$255,TRIB!$B$6:$B$255,"DM-67"))*1.0+(SUMIFS(TRIB!$I$6:$I$255,TRIB!$B$6:$B$255,"DM-68")-SUMIFS(TRIB!$L$6:$L$255,TRIB!$B$6:$B$255,"DM-68"))*1.0+(SUMIFS(TRIB!$I$6:$I$255,TRIB!$B$6:$B$255,"DM-69")-SUMIFS(TRIB!$L$6:$L$255,TRIB!$B$6:$B$255,"DM-69"))*1.0)/G10+(SUMIFS(TRIB!$M$6:$M$255,TRIB!$B$6:$B$255,"DM-67")*1.0+SUMIFS(TRIB!$M$6:$M$255,TRIB!$B$6:$B$255,"DM-68")*1.0+SUMIFS(TRIB!$M$6:$M$255,TRIB!$B$6:$B$255,"DM-69")*1.0)/G10)*G10+AG10/DATOS!$C$55)*1000)/(DATOS!$C$103*100*S10*100)*DATOS!$C$103*100*(MIN(1,S10/G10)^4-4*MIN(1,S10/G10)^3+8*MIN(1,S10/G10)))+5*((AA10-S10*DATOS!$C$107/G10-(((SUMIFS(TRIB!$I$6:$I$255,TRIB!$B$6:$B$255,"DM-67")-SUMIFS(TRIB!$L$6:$L$255,TRIB!$B$6:$B$255,"DM-67"))*1.0+(SUMIFS(TRIB!$I$6:$I$255,TRIB!$B$6:$B$255,"DM-68")-SUMIFS(TRIB!$L$6:$L$255,TRIB!$B$6:$B$255,"DM-68"))*1.0+(SUMIFS(TRIB!$I$6:$I$255,TRIB!$B$6:$B$255,"DM-69")-SUMIFS(TRIB!$L$6:$L$255,TRIB!$B$6:$B$255,"DM-69"))*1.0)/G10))*10))),0,MIN((G10*100/((1/15*DATOS!$C$45*N10/((((S10*DATOS!$C$107+(((SUMIFS(TRIB!$I$6:$I$255,TRIB!$B$6:$B$255,"DM-67")-SUMIFS(TRIB!$L$6:$L$255,TRIB!$B$6:$B$255,"DM-67"))*1.0+(SUMIFS(TRIB!$I$6:$I$255,TRIB!$B$6:$B$255,"DM-68")-SUMIFS(TRIB!$L$6:$L$255,TRIB!$B$6:$B$255,"DM-68"))*1.0+(SUMIFS(TRIB!$I$6:$I$255,TRIB!$B$6:$B$255,"DM-69")-SUMIFS(TRIB!$L$6:$L$255,TRIB!$B$6:$B$255,"DM-69"))*1.0)/G10+(SUMIFS(TRIB!$M$6:$M$255,TRIB!$B$6:$B$255,"DM-67")*1.0+SUMIFS(TRIB!$M$6:$M$255,TRIB!$B$6:$B$255,"DM-68")*1.0+SUMIFS(TRIB!$M$6:$M$255,TRIB!$B$6:$B$255,"DM-69")*1.0)/G10)*G10+AG10/DATOS!$C$55)*1000)/(DATOS!$C$103*100*S10*100)*DATOS!$C$103*100*(MIN(1,S10/G10)^4-4*MIN(1,S10/G10)^3+8*MIN(1,S10/G10)))+5*((AA10-S10*DATOS!$C$107/G10-(((SUMIFS(TRIB!$I$6:$I$255,TRIB!$B$6:$B$255,"DM-67")-SUMIFS(TRIB!$L$6:$L$255,TRIB!$B$6:$B$255,"DM-67"))*1.0+(SUMIFS(TRIB!$I$6:$I$255,TRIB!$B$6:$B$255,"DM-68")-SUMIFS(TRIB!$L$6:$L$255,TRIB!$B$6:$B$255,"DM-68"))*1.0+(SUMIFS(TRIB!$I$6:$I$255,TRIB!$B$6:$B$255,"DM-69")-SUMIFS(TRIB!$L$6:$L$255,TRIB!$B$6:$B$255,"DM-69"))*1.0)/G10))*10)))^(1/3))),(12*(5/4*(G10*100)^3/DATOS!$C$45*((((S10*DATOS!$C$107+(((SUMIFS(TRIB!$I$6:$I$255,TRIB!$B$6:$B$255,"DM-67")-SUMIFS(TRIB!$L$6:$L$255,TRIB!$B$6:$B$255,"DM-67"))*1.0+(SUMIFS(TRIB!$I$6:$I$255,TRIB!$B$6:$B$255,"DM-68")-SUMIFS(TRIB!$L$6:$L$255,TRIB!$B$6:$B$255,"DM-68"))*1.0+(SUMIFS(TRIB!$I$6:$I$255,TRIB!$B$6:$B$255,"DM-69")-SUMIFS(TRIB!$L$6:$L$255,TRIB!$B$6:$B$255,"DM-69"))*1.0)/G10+(SUMIFS(TRIB!$M$6:$M$255,TRIB!$B$6:$B$255,"DM-67")*1.0+SUMIFS(TRIB!$M$6:$M$255,TRIB!$B$6:$B$255,"DM-68")*1.0+SUMIFS(TRIB!$M$6:$M$255,TRIB!$B$6:$B$255,"DM-69")*1.0)/G10)*G10+AG10/DATOS!$C$55)*1000)/(DATOS!$C$103*100*S10*100)*DATOS!$C$103*100*(MIN(1,S10/G10)^4-4*MIN(1,S10/G10)^3+8*MIN(1,S10/G10)))+5*((AA10-S10*DATOS!$C$107/G10-(((SUMIFS(TRIB!$I$6:$I$255,TRIB!$B$6:$B$255,"DM-67")-SUMIFS(TRIB!$L$6:$L$255,TRIB!$B$6:$B$255,"DM-67"))*1.0+(SUMIFS(TRIB!$I$6:$I$255,TRIB!$B$6:$B$255,"DM-68")-SUMIFS(TRIB!$L$6:$L$255,TRIB!$B$6:$B$255,"DM-68"))*1.0+(SUMIFS(TRIB!$I$6:$I$255,TRIB!$B$6:$B$255,"DM-69")-SUMIFS(TRIB!$L$6:$L$255,TRIB!$B$6:$B$255,"DM-69"))*1.0)/G10))*10)))/N10)^(1/3))),0)</f>
        <v>0</v>
      </c>
      <c r="BX10" s="57">
        <f>SQRT(MAX(AM10,AN10)*1E5/(DATOS!$C$58*N10*DATOS!$C$48*(DATOS!$C$82*DATOS!$C$40/DATOS!$C$48)*(1-(DATOS!$C$82*DATOS!$C$40/DATOS!$C$48)/2)))+(O10-AQ10)</f>
        <v>36.2811520667001</v>
      </c>
      <c r="BY10" s="59">
        <f>IF(OR(L10="BORDE DE VOLADO",L10="SIN APOYO"),0,CEILING(MAX(BV10,BW10,BX10,DATOS!$C$15),5))</f>
        <v>40</v>
      </c>
      <c r="BZ10" s="72" t="str">
        <f>IF(L10="BORDE DE VOLADO","BORDE DE VOLADO — armado de orilla",IF(L10="SIN APOYO","SIN APOYO — REVISAR",IF(AND(AW10&lt;=1,BC10&lt;=1,IF(AU10=0,TRUE,AU10&lt;=INT((CB10+DATOS!$C$32)/(INDEX(TABLAS!$C$52:$C$58,MATCH(MAX(AS10,2),TABLAS!$B$52:$B$58,0))+DATOS!$C$32))),IF(BA10=0,TRUE,BA10&lt;=INT((CB10+DATOS!$C$32)/(INDEX(TABLAS!$C$52:$C$58,MATCH(MAX(AZ10,2),TABLAS!$B$52:$B$58,0))+DATOS!$C$32))),AND(OR(NOT(ISNUMBER(AX10)),AX10&gt;=0.005),OR(NOT(ISNUMBER(BD10)),BD10&gt;=0.005)),BH10&lt;&gt;"SECCIÓN INSUFICIENTE",AND(O10&gt;=BV10,O10&gt;=BW10,O10/N10&lt;=6),BP10&lt;=BQ10,OR(S10=0,LEFT(BU10,6)&lt;&gt;"NO CUM")),IF(LEFT(BU10,7)="REVISAR","PENDIENTE: H/L &lt; 0.6, falta el análisis de interacción muro-viga (NTC-M 4.1.18.2.1, p. 44)","CUMPLE")&amp;IF(L10="VOLADO"," (en VOLADO)",""),"NO CUMPLE: "&amp;IF(OR(AR10&lt;0,AY10&lt;0),"sección insuficiente en flexión ",IF(OR(AW10&gt;1,BC10&gt;1),"flexión ",""))&amp;IF(NOT(AND(IF(AU10=0,TRUE,AU10&lt;=INT((CB10+DATOS!$C$32)/(INDEX(TABLAS!$C$52:$C$58,MATCH(MAX(AS10,2),TABLAS!$B$52:$B$58,0))+DATOS!$C$32))),IF(BA10=0,TRUE,BA10&lt;=INT((CB10+DATOS!$C$32)/(INDEX(TABLAS!$C$52:$C$58,MATCH(MAX(AZ10,2),TABLAS!$B$52:$B$58,0))+DATOS!$C$32))))),"no caben ","")&amp;IF(NOT(AND(OR(NOT(ISNUMBER(AX10)),AX10&gt;=0.005),OR(NOT(ISNUMBER(BD10)),BD10&gt;=0.005))),"ε_t ","")&amp;IF(BH10="SECCIÓN INSUFICIENTE","cortante ","")&amp;IF(NOT(AND(O10&gt;=BV10,O10&gt;=BW10,O10/N10&lt;=6)),"peralte ","")&amp;IF(NOT(BP10&lt;=BQ10),"flecha ","")&amp;IF(NOT(OR(S10=0,LEFT(BU10,6)&lt;&gt;"NO CUM")),"muro sobre viga ","")&amp;"→ h ≥ "&amp;TEXT(MAX(BY10,IF(BP10&gt;BQ10,MAX(O10+5,CEILING(O10*(BP10/BQ10)^(1/3),5)),0)),"0")&amp;" cm"&amp;IF(NOT(AND(IF(AU10=0,TRUE,AU10&lt;=INT((CB10+DATOS!$C$32)/(INDEX(TABLAS!$C$52:$C$58,MATCH(MAX(AS10,2),TABLAS!$B$52:$B$58,0))+DATOS!$C$32))),IF(BA10=0,TRUE,BA10&lt;=INT((CB10+DATOS!$C$32)/(INDEX(TABLAS!$C$52:$C$58,MATCH(MAX(AZ10,2),TABLAS!$B$52:$B$58,0))+DATOS!$C$32)))))," y b ≥ "&amp;TEXT(N10+5,"0")&amp;" cm","")&amp;" (verificar)")))</f>
        <v>CUMPLE</v>
      </c>
      <c r="CA10" s="65" t="inlineStr">
        <is>
          <t>Extremo j en castillo propuesto C2. Muro de planta alta encima (4.33 m) con la azotea de DM-67, DM-68, DM-69: viga que soporta muro estructural (NTC-Mampostería 4.1.18): la flecha se calcula y el límite es 0.3 cm + L/480.</t>
        </is>
      </c>
      <c r="CB10" s="43">
        <f>N10-2*DATOS!$C$22-2*INDEX(TABLAS!$C$52:$C$58,MATCH(DATOS!$C$113,TABLAS!$B$52:$B$58,0))</f>
        <v>10.1</v>
      </c>
    </row>
    <row r="11" ht="30" customHeight="1">
      <c r="B11" s="60" t="inlineStr">
        <is>
          <t>NP-03</t>
        </is>
      </c>
      <c r="C11" s="52" t="inlineStr">
        <is>
          <t>N+3.00</t>
        </is>
      </c>
      <c r="D11" s="51" t="inlineStr">
        <is>
          <t>Eje 3 (y = 2.921)</t>
        </is>
      </c>
      <c r="E11" s="52" t="inlineStr">
        <is>
          <t>(4.327, 2.921)</t>
        </is>
      </c>
      <c r="F11" s="52" t="inlineStr">
        <is>
          <t>(5.923, 2.921)</t>
        </is>
      </c>
      <c r="G11" s="55" t="n">
        <v>1.596</v>
      </c>
      <c r="H11" s="52" t="str">
        <f>IF(APOYOS!$C$18="SÍ","FIRME","LIBRE")</f>
        <v>FIRME</v>
      </c>
      <c r="I11" s="52" t="str">
        <f>IF(APOYOS!$C$19="SÍ","FIRME","LIBRE")</f>
        <v>FIRME</v>
      </c>
      <c r="J11" s="52" t="inlineStr">
        <is>
          <t>C2</t>
        </is>
      </c>
      <c r="K11" s="52" t="inlineStr">
        <is>
          <t>C3</t>
        </is>
      </c>
      <c r="L11" s="60" t="str">
        <f>IF(AND(OR(H11="FIRME",H11="NERVADURA",H11="PUNTA"),OR(I11="FIRME",I11="NERVADURA",I11="PUNTA")),"APOYADA",IF(OR(OR(H11="FIRME",H11="NERVADURA",H11="PUNTA"),OR(I11="FIRME",I11="NERVADURA",I11="PUNTA")),"VOLADO","SIN APOYO"))</f>
        <v>APOYADA</v>
      </c>
      <c r="M11" s="52" t="str">
        <f>IF(L11="VOLADO",IF(OR(H11="FIRME",H11="NERVADURA",H11="PUNTA"),"i","j"),"—")</f>
        <v>—</v>
      </c>
      <c r="N11" s="58">
        <f>DATOS!$C$17</f>
        <v>15</v>
      </c>
      <c r="O11" s="58">
        <f>DATOS!$C$15</f>
        <v>25</v>
      </c>
      <c r="P11" s="65" t="str">
        <f>IF(L11="BORDE DE VOLADO","—",IF(OR(N11&lt;&gt;DATOS!$C$17,O11&lt;&gt;DATOS!$C$15),"PERALTAR: trabe "&amp;TEXT(N11,"0")&amp;"×"&amp;TEXT(O11,"0")&amp;IF(O11&gt;DATOS!$C$15," (descuelga "&amp;TEXT(O11-DATOS!$C$15,"0")&amp;" cm)",""),"Queda en la losa (15×25)"))</f>
        <v>Queda en la losa (15×25)</v>
      </c>
      <c r="Q11" s="43">
        <f>SUMIFS(TRIB!$E$6:$E$255,TRIB!$B$6:$B$255,"NP-03")</f>
        <v>0.6368</v>
      </c>
      <c r="R11" s="36">
        <f>SUMIFS(TRIB!$G$6:$G$255,TRIB!$B$6:$B$255,"NP-03")/G11</f>
        <v>0.385342008081428</v>
      </c>
      <c r="S11" s="69" t="n">
        <v>1.596</v>
      </c>
      <c r="T11" s="36">
        <f>DATOS!$C$55*S11*DATOS!$C$107/G11</f>
        <v>1.233375</v>
      </c>
      <c r="U11" s="36">
        <f>(SUMIFS(TRIB!$G$6:$G$255,TRIB!$B$6:$B$255,"DM-70")*1.0)/G11</f>
        <v>0.352225216101478</v>
      </c>
      <c r="V11" s="61" t="n">
        <v>0</v>
      </c>
      <c r="W11" s="61" t="n">
        <v>0</v>
      </c>
      <c r="X11" s="36">
        <f>(DATOS!$C$55*V11+DATOS!$C$56*W11)/1000</f>
        <v>0</v>
      </c>
      <c r="Y11" s="36">
        <f>DATOS!$C$55*(N11/100*O11/100*DATOS!$C$43-N11/100*DATOS!$C$70/1000)</f>
        <v>0.0694836734693878</v>
      </c>
      <c r="Z11" s="70">
        <f>R11+T11+U11+X11+Y11</f>
        <v>2.04042589765229</v>
      </c>
      <c r="AA11" s="36">
        <f>(SUMIFS(TRIB!$I$6:$I$255,TRIB!$B$6:$B$255,"NP-03")-SUMIFS(TRIB!$L$6:$L$255,TRIB!$B$6:$B$255,"NP-03"))/G11+S11*DATOS!$C$107/G11+((SUMIFS(TRIB!$I$6:$I$255,TRIB!$B$6:$B$255,"DM-70")-SUMIFS(TRIB!$L$6:$L$255,TRIB!$B$6:$B$255,"DM-70"))*1.0)/G11+V11/1000+Y11/DATOS!$C$55</f>
        <v>1.43604768298297</v>
      </c>
      <c r="AB11" s="36">
        <f>SUMIFS(TRIB!$L$6:$L$255,TRIB!$B$6:$B$255,"NP-03")/G11+(SUMIFS(TRIB!$L$6:$L$255,TRIB!$B$6:$B$255,"DM-70")*1.0)/G11+W11/1000</f>
        <v>0.115709273182957</v>
      </c>
      <c r="AC11" s="36">
        <f>SUMIFS(TRIB!$M$6:$M$255,TRIB!$B$6:$B$255,"NP-03")/G11+(SUMIFS(TRIB!$M$6:$M$255,TRIB!$B$6:$B$255,"DM-70")*1.0)/G11+W11/1000*DATOS!$C$91/DATOS!$C$89</f>
        <v>0.0379047619047619</v>
      </c>
      <c r="AD11" s="36">
        <f>0</f>
        <v>0</v>
      </c>
      <c r="AE11" s="36">
        <f>0</f>
        <v>0</v>
      </c>
      <c r="AF11" s="36">
        <f>0</f>
        <v>0</v>
      </c>
      <c r="AG11" s="36">
        <f>0</f>
        <v>0</v>
      </c>
      <c r="AH11" s="36">
        <f>0</f>
        <v>0</v>
      </c>
      <c r="AI11" s="36">
        <f>IF(L11="APOYADA",Z11*G11/2+0,IF(AND(L11="VOLADO",M11="i"),Z11*G11+AD11,0))</f>
        <v>1.62825986632653</v>
      </c>
      <c r="AJ11" s="36">
        <f>IF(L11="APOYADA",Z11*G11/2+0,IF(AND(L11="VOLADO",M11="j"),Z11*G11+AD11,0))</f>
        <v>1.62825986632653</v>
      </c>
      <c r="AK11" s="36">
        <f>IF(L11="APOYADA",(AA11+AB11)*G11/2+0,IF(AND(L11="VOLADO",M11="i"),(AA11+AB11)*G11+0,0))</f>
        <v>1.23830205102041</v>
      </c>
      <c r="AL11" s="36">
        <f>IF(L11="APOYADA",(AA11+AB11)*G11/2+0,IF(AND(L11="VOLADO",M11="j"),(AA11+AB11)*G11+0,0))</f>
        <v>1.23830205102041</v>
      </c>
      <c r="AM11" s="70">
        <f>IF(L11="APOYADA",Z11*G11^2/8+AE11,0)</f>
        <v>0.649675686664286</v>
      </c>
      <c r="AN11" s="70">
        <f>IF(L11="APOYADA",DATOS!$C$64*AM11,IF(L11="VOLADO",Z11*G11^2/2+AE11,0))</f>
        <v>0.433333683005079</v>
      </c>
      <c r="AO11" s="70">
        <f>IF(L11="APOYADA",Z11*G11/2+AF11,IF(L11="VOLADO",Z11*G11+AF11,0))</f>
        <v>1.62825986632653</v>
      </c>
      <c r="AP11" s="36">
        <f>IF(L11="APOYADA",(AA11+AB11)*G11^2/8+AH11,IF(L11="VOLADO",(AA11+AB11)*G11^2/2+AH11,0))</f>
        <v>0.494082518357143</v>
      </c>
      <c r="AQ11" s="43">
        <f>O11-DATOS!$C$22-INDEX(TABLAS!$C$52:$C$58,MATCH(DATOS!$C$113,TABLAS!$B$52:$B$58,0))-INDEX(TABLAS!$C$52:$C$58,MATCH(DATOS!$C$112,TABLAS!$B$52:$B$58,0))/2</f>
        <v>19.415</v>
      </c>
      <c r="AR11" s="43">
        <f>IF(OR(L11="BORDE DE VOLADO",L11="SIN APOYO"),0,IF(IF(AM11&lt;=0,0,IF((1-2*AM11*1E5/(DATOS!$C$58*N11*AQ11^2*DATOS!$C$48))&lt;0,-1,IF((1-SQRT((1-2*AM11*1E5/(DATOS!$C$58*N11*AQ11^2*DATOS!$C$48))))*DATOS!$C$48*N11*AQ11/DATOS!$C$40&gt;DATOS!$C$82*N11*AQ11,-1,(1-SQRT((1-2*AM11*1E5/(DATOS!$C$58*N11*AQ11^2*DATOS!$C$48))))*DATOS!$C$48*N11*AQ11/DATOS!$C$40)))&lt;0,-1,MAX(IF(AM11&lt;=0,0,IF((1-2*AM11*1E5/(DATOS!$C$58*N11*AQ11^2*DATOS!$C$48))&lt;0,-1,IF((1-SQRT((1-2*AM11*1E5/(DATOS!$C$58*N11*AQ11^2*DATOS!$C$48))))*DATOS!$C$48*N11*AQ11/DATOS!$C$40&gt;DATOS!$C$82*N11*AQ11,-1,(1-SQRT((1-2*AM11*1E5/(DATOS!$C$58*N11*AQ11^2*DATOS!$C$48))))*DATOS!$C$48*N11*AQ11/DATOS!$C$40))),MIN(DATOS!$C$83*N11*AQ11,4/3*IF(AM11&lt;=0,0,IF((1-2*AM11*1E5/(DATOS!$C$58*N11*AQ11^2*DATOS!$C$48))&lt;0,-1,IF((1-SQRT((1-2*AM11*1E5/(DATOS!$C$58*N11*AQ11^2*DATOS!$C$48))))*DATOS!$C$48*N11*AQ11/DATOS!$C$40&gt;DATOS!$C$82*N11*AQ11,-1,(1-SQRT((1-2*AM11*1E5/(DATOS!$C$58*N11*AQ11^2*DATOS!$C$48))))*DATOS!$C$48*N11*AQ11/DATOS!$C$40)))))))</f>
        <v>0.97075</v>
      </c>
      <c r="AS11" s="41">
        <f>IF(AR11&lt;0,0,IF(AND(AR11&gt;=0,MAX(DATOS!$C$114,CEILING(AR11/INDEX(TABLAS!$D$52:$D$58,MIN(MATCH(DATOS!$C$112,TABLAS!$B$52:$B$58,0)+0,7)),1))&lt;=MIN(99,INT((CB11+MAX(DATOS!$C$32,INDEX(TABLAS!$C$52:$C$58,MIN(MATCH(DATOS!$C$112,TABLAS!$B$52:$B$58,0)+0,7))))/(INDEX(TABLAS!$C$52:$C$58,MIN(MATCH(DATOS!$C$112,TABLAS!$B$52:$B$58,0)+0,7))+MAX(DATOS!$C$32,INDEX(TABLAS!$C$52:$C$58,MIN(MATCH(DATOS!$C$112,TABLAS!$B$52:$B$58,0)+0,7))))))),INDEX(TABLAS!$B$52:$B$58,MIN(MATCH(DATOS!$C$112,TABLAS!$B$52:$B$58,0)+0,7)),IF(AND(AR11&gt;=0,MAX(DATOS!$C$114,CEILING(AR11/INDEX(TABLAS!$D$52:$D$58,MIN(MATCH(DATOS!$C$112,TABLAS!$B$52:$B$58,0)+1,7)),1))&lt;=MIN(99,INT((CB11+MAX(DATOS!$C$32,INDEX(TABLAS!$C$52:$C$58,MIN(MATCH(DATOS!$C$112,TABLAS!$B$52:$B$58,0)+1,7))))/(INDEX(TABLAS!$C$52:$C$58,MIN(MATCH(DATOS!$C$112,TABLAS!$B$52:$B$58,0)+1,7))+MAX(DATOS!$C$32,INDEX(TABLAS!$C$52:$C$58,MIN(MATCH(DATOS!$C$112,TABLAS!$B$52:$B$58,0)+1,7))))))),INDEX(TABLAS!$B$52:$B$58,MIN(MATCH(DATOS!$C$112,TABLAS!$B$52:$B$58,0)+1,7)),IF(AND(AR11&gt;=0,MAX(DATOS!$C$114,CEILING(AR11/INDEX(TABLAS!$D$52:$D$58,MIN(MATCH(DATOS!$C$112,TABLAS!$B$52:$B$58,0)+2,7)),1))&lt;=MIN(99,INT((CB11+MAX(DATOS!$C$32,INDEX(TABLAS!$C$52:$C$58,MIN(MATCH(DATOS!$C$112,TABLAS!$B$52:$B$58,0)+2,7))))/(INDEX(TABLAS!$C$52:$C$58,MIN(MATCH(DATOS!$C$112,TABLAS!$B$52:$B$58,0)+2,7))+MAX(DATOS!$C$32,INDEX(TABLAS!$C$52:$C$58,MIN(MATCH(DATOS!$C$112,TABLAS!$B$52:$B$58,0)+2,7))))))),INDEX(TABLAS!$B$52:$B$58,MIN(MATCH(DATOS!$C$112,TABLAS!$B$52:$B$58,0)+2,7)),IF(AND(AR11&gt;=0,MAX(DATOS!$C$114,CEILING(AR11/INDEX(TABLAS!$D$52:$D$58,MIN(MATCH(DATOS!$C$112,TABLAS!$B$52:$B$58,0)+3,7)),1))&lt;=MIN(99,INT((CB11+MAX(DATOS!$C$32,INDEX(TABLAS!$C$52:$C$58,MIN(MATCH(DATOS!$C$112,TABLAS!$B$52:$B$58,0)+3,7))))/(INDEX(TABLAS!$C$52:$C$58,MIN(MATCH(DATOS!$C$112,TABLAS!$B$52:$B$58,0)+3,7))+MAX(DATOS!$C$32,INDEX(TABLAS!$C$52:$C$58,MIN(MATCH(DATOS!$C$112,TABLAS!$B$52:$B$58,0)+3,7))))))),INDEX(TABLAS!$B$52:$B$58,MIN(MATCH(DATOS!$C$112,TABLAS!$B$52:$B$58,0)+3,7)),IF(AND(AR11&gt;=0,MAX(DATOS!$C$114,CEILING(AR11/INDEX(TABLAS!$D$52:$D$58,MIN(MATCH(DATOS!$C$112,TABLAS!$B$52:$B$58,0)+4,7)),1))&lt;=MIN(99,INT((CB11+MAX(DATOS!$C$32,INDEX(TABLAS!$C$52:$C$58,MIN(MATCH(DATOS!$C$112,TABLAS!$B$52:$B$58,0)+4,7))))/(INDEX(TABLAS!$C$52:$C$58,MIN(MATCH(DATOS!$C$112,TABLAS!$B$52:$B$58,0)+4,7))+MAX(DATOS!$C$32,INDEX(TABLAS!$C$52:$C$58,MIN(MATCH(DATOS!$C$112,TABLAS!$B$52:$B$58,0)+4,7))))))),INDEX(TABLAS!$B$52:$B$58,MIN(MATCH(DATOS!$C$112,TABLAS!$B$52:$B$58,0)+4,7)),INDEX(TABLAS!$B$52:$B$58,7)))))))</f>
        <v>4</v>
      </c>
      <c r="AT11" s="58" t="n">
        <v>0</v>
      </c>
      <c r="AU11" s="56">
        <f>IF(OR(L11="BORDE DE VOLADO",L11="SIN APOYO"),0,IF(AR11&lt;0,0,MAX(DATOS!$C$114,CEILING(AR11/INDEX(TABLAS!$D$52:$D$58,MATCH(IF(AS11=0,8,AS11),TABLAS!$B$52:$B$58,0)),1))+AT11))</f>
        <v>2</v>
      </c>
      <c r="AV11" s="36">
        <f>IF(AU11=0,0,DATOS!$C$58*AU11*INDEX(TABLAS!$D$52:$D$58,MATCH(AS11,TABLAS!$B$52:$B$58,0))*DATOS!$C$40*((O11-DATOS!$C$22-INDEX(TABLAS!$C$52:$C$58,MATCH(DATOS!$C$113,TABLAS!$B$52:$B$58,0))-INDEX(TABLAS!$C$52:$C$58,MATCH(AS11,TABLAS!$B$52:$B$58,0))/2)-AU11*INDEX(TABLAS!$D$52:$D$58,MATCH(AS11,TABLAS!$B$52:$B$58,0))*DATOS!$C$40/(DATOS!$C$48*N11)/2)/1E5)</f>
        <v>1.70340536964706</v>
      </c>
      <c r="AW11" s="62">
        <f>IF(AR11&lt;0,9.99,IF(AV11&gt;0,AM11/AV11,0))</f>
        <v>0.381398167600527</v>
      </c>
      <c r="AX11" s="63">
        <f>IF(AU11=0,"—",0.003*((O11-DATOS!$C$22-INDEX(TABLAS!$C$52:$C$58,MATCH(DATOS!$C$113,TABLAS!$B$52:$B$58,0))-INDEX(TABLAS!$C$52:$C$58,MATCH(AS11,TABLAS!$B$52:$B$58,0))/2)-(AU11*INDEX(TABLAS!$D$52:$D$58,MATCH(AS11,TABLAS!$B$52:$B$58,0))*DATOS!$C$40/(DATOS!$C$48*N11)/DATOS!$C$49))/(AU11*INDEX(TABLAS!$D$52:$D$58,MATCH(AS11,TABLAS!$B$52:$B$58,0))*DATOS!$C$40/(DATOS!$C$48*N11)/DATOS!$C$49))</f>
        <v>0.0117926084434758</v>
      </c>
      <c r="AY11" s="43">
        <f>IF(OR(L11="BORDE DE VOLADO",L11="SIN APOYO"),0,IF(IF(AN11&lt;=0,0,IF((1-2*AN11*1E5/(DATOS!$C$58*N11*AQ11^2*DATOS!$C$48))&lt;0,-1,IF((1-SQRT((1-2*AN11*1E5/(DATOS!$C$58*N11*AQ11^2*DATOS!$C$48))))*DATOS!$C$48*N11*AQ11/DATOS!$C$40&gt;DATOS!$C$82*N11*AQ11,-1,(1-SQRT((1-2*AN11*1E5/(DATOS!$C$58*N11*AQ11^2*DATOS!$C$48))))*DATOS!$C$48*N11*AQ11/DATOS!$C$40)))&lt;0,-1,MAX(IF(AN11&lt;=0,0,IF((1-2*AN11*1E5/(DATOS!$C$58*N11*AQ11^2*DATOS!$C$48))&lt;0,-1,IF((1-SQRT((1-2*AN11*1E5/(DATOS!$C$58*N11*AQ11^2*DATOS!$C$48))))*DATOS!$C$48*N11*AQ11/DATOS!$C$40&gt;DATOS!$C$82*N11*AQ11,-1,(1-SQRT((1-2*AN11*1E5/(DATOS!$C$58*N11*AQ11^2*DATOS!$C$48))))*DATOS!$C$48*N11*AQ11/DATOS!$C$40))),MIN(DATOS!$C$83*IF(L11="VOLADO",MIN(BI11,2*N11),N11)*AQ11,4/3*IF(AN11&lt;=0,0,IF((1-2*AN11*1E5/(DATOS!$C$58*N11*AQ11^2*DATOS!$C$48))&lt;0,-1,IF((1-SQRT((1-2*AN11*1E5/(DATOS!$C$58*N11*AQ11^2*DATOS!$C$48))))*DATOS!$C$48*N11*AQ11/DATOS!$C$40&gt;DATOS!$C$82*N11*AQ11,-1,(1-SQRT((1-2*AN11*1E5/(DATOS!$C$58*N11*AQ11^2*DATOS!$C$48))))*DATOS!$C$48*N11*AQ11/DATOS!$C$40)))))))</f>
        <v>0.803725265662142</v>
      </c>
      <c r="AZ11" s="41">
        <f>IF(AY11&lt;0,0,IF(AND(AY11&gt;=0,MAX(DATOS!$C$114,CEILING(AY11/INDEX(TABLAS!$D$52:$D$58,MIN(MATCH(DATOS!$C$112,TABLAS!$B$52:$B$58,0)+0,7)),1))&lt;=MIN(99,INT((CB11+MAX(DATOS!$C$32,INDEX(TABLAS!$C$52:$C$58,MIN(MATCH(DATOS!$C$112,TABLAS!$B$52:$B$58,0)+0,7))))/(INDEX(TABLAS!$C$52:$C$58,MIN(MATCH(DATOS!$C$112,TABLAS!$B$52:$B$58,0)+0,7))+MAX(DATOS!$C$32,INDEX(TABLAS!$C$52:$C$58,MIN(MATCH(DATOS!$C$112,TABLAS!$B$52:$B$58,0)+0,7))))))),INDEX(TABLAS!$B$52:$B$58,MIN(MATCH(DATOS!$C$112,TABLAS!$B$52:$B$58,0)+0,7)),IF(AND(AY11&gt;=0,MAX(DATOS!$C$114,CEILING(AY11/INDEX(TABLAS!$D$52:$D$58,MIN(MATCH(DATOS!$C$112,TABLAS!$B$52:$B$58,0)+1,7)),1))&lt;=MIN(99,INT((CB11+MAX(DATOS!$C$32,INDEX(TABLAS!$C$52:$C$58,MIN(MATCH(DATOS!$C$112,TABLAS!$B$52:$B$58,0)+1,7))))/(INDEX(TABLAS!$C$52:$C$58,MIN(MATCH(DATOS!$C$112,TABLAS!$B$52:$B$58,0)+1,7))+MAX(DATOS!$C$32,INDEX(TABLAS!$C$52:$C$58,MIN(MATCH(DATOS!$C$112,TABLAS!$B$52:$B$58,0)+1,7))))))),INDEX(TABLAS!$B$52:$B$58,MIN(MATCH(DATOS!$C$112,TABLAS!$B$52:$B$58,0)+1,7)),IF(AND(AY11&gt;=0,MAX(DATOS!$C$114,CEILING(AY11/INDEX(TABLAS!$D$52:$D$58,MIN(MATCH(DATOS!$C$112,TABLAS!$B$52:$B$58,0)+2,7)),1))&lt;=MIN(99,INT((CB11+MAX(DATOS!$C$32,INDEX(TABLAS!$C$52:$C$58,MIN(MATCH(DATOS!$C$112,TABLAS!$B$52:$B$58,0)+2,7))))/(INDEX(TABLAS!$C$52:$C$58,MIN(MATCH(DATOS!$C$112,TABLAS!$B$52:$B$58,0)+2,7))+MAX(DATOS!$C$32,INDEX(TABLAS!$C$52:$C$58,MIN(MATCH(DATOS!$C$112,TABLAS!$B$52:$B$58,0)+2,7))))))),INDEX(TABLAS!$B$52:$B$58,MIN(MATCH(DATOS!$C$112,TABLAS!$B$52:$B$58,0)+2,7)),IF(AND(AY11&gt;=0,MAX(DATOS!$C$114,CEILING(AY11/INDEX(TABLAS!$D$52:$D$58,MIN(MATCH(DATOS!$C$112,TABLAS!$B$52:$B$58,0)+3,7)),1))&lt;=MIN(99,INT((CB11+MAX(DATOS!$C$32,INDEX(TABLAS!$C$52:$C$58,MIN(MATCH(DATOS!$C$112,TABLAS!$B$52:$B$58,0)+3,7))))/(INDEX(TABLAS!$C$52:$C$58,MIN(MATCH(DATOS!$C$112,TABLAS!$B$52:$B$58,0)+3,7))+MAX(DATOS!$C$32,INDEX(TABLAS!$C$52:$C$58,MIN(MATCH(DATOS!$C$112,TABLAS!$B$52:$B$58,0)+3,7))))))),INDEX(TABLAS!$B$52:$B$58,MIN(MATCH(DATOS!$C$112,TABLAS!$B$52:$B$58,0)+3,7)),IF(AND(AY11&gt;=0,MAX(DATOS!$C$114,CEILING(AY11/INDEX(TABLAS!$D$52:$D$58,MIN(MATCH(DATOS!$C$112,TABLAS!$B$52:$B$58,0)+4,7)),1))&lt;=MIN(99,INT((CB11+MAX(DATOS!$C$32,INDEX(TABLAS!$C$52:$C$58,MIN(MATCH(DATOS!$C$112,TABLAS!$B$52:$B$58,0)+4,7))))/(INDEX(TABLAS!$C$52:$C$58,MIN(MATCH(DATOS!$C$112,TABLAS!$B$52:$B$58,0)+4,7))+MAX(DATOS!$C$32,INDEX(TABLAS!$C$52:$C$58,MIN(MATCH(DATOS!$C$112,TABLAS!$B$52:$B$58,0)+4,7))))))),INDEX(TABLAS!$B$52:$B$58,MIN(MATCH(DATOS!$C$112,TABLAS!$B$52:$B$58,0)+4,7)),INDEX(TABLAS!$B$52:$B$58,7)))))))</f>
        <v>4</v>
      </c>
      <c r="BA11" s="56">
        <f>IF(OR(L11="BORDE DE VOLADO",L11="SIN APOYO"),0,IF(AY11&lt;0,0,MAX(DATOS!$C$114,CEILING(AY11/INDEX(TABLAS!$D$52:$D$58,MATCH(IF(AZ11=0,8,AZ11),TABLAS!$B$52:$B$58,0)),1))))</f>
        <v>2</v>
      </c>
      <c r="BB11" s="36">
        <f>IF(BA11=0,0,DATOS!$C$58*BA11*INDEX(TABLAS!$D$52:$D$58,MATCH(AZ11,TABLAS!$B$52:$B$58,0))*DATOS!$C$40*((O11-DATOS!$C$22-INDEX(TABLAS!$C$52:$C$58,MATCH(DATOS!$C$113,TABLAS!$B$52:$B$58,0))-INDEX(TABLAS!$C$52:$C$58,MATCH(AZ11,TABLAS!$B$52:$B$58,0))/2)-BA11*INDEX(TABLAS!$D$52:$D$58,MATCH(AZ11,TABLAS!$B$52:$B$58,0))*DATOS!$C$40/(DATOS!$C$48*N11)/2)/1E5)</f>
        <v>1.70340536964706</v>
      </c>
      <c r="BC11" s="62">
        <f>IF(AY11&lt;0,9.99,IF(BB11&gt;0,AN11/BB11,0))</f>
        <v>0.254392577789551</v>
      </c>
      <c r="BD11" s="63">
        <f>IF(BA11=0,"—",0.003*((O11-DATOS!$C$22-INDEX(TABLAS!$C$52:$C$58,MATCH(DATOS!$C$113,TABLAS!$B$52:$B$58,0))-INDEX(TABLAS!$C$52:$C$58,MATCH(AZ11,TABLAS!$B$52:$B$58,0))/2)-(BA11*INDEX(TABLAS!$D$52:$D$58,MATCH(AZ11,TABLAS!$B$52:$B$58,0))*DATOS!$C$40/(DATOS!$C$48*N11)/DATOS!$C$49))/(BA11*INDEX(TABLAS!$D$52:$D$58,MATCH(AZ11,TABLAS!$B$52:$B$58,0))*DATOS!$C$40/(DATOS!$C$48*N11)/DATOS!$C$49))</f>
        <v>0.0117926084434758</v>
      </c>
      <c r="BE11" s="36">
        <f>IF(BA11=0,0,DATOS!$C$59*MIN(1.25,MAX(0.5,2*MAX(1E-6,MIN(AU11*INDEX(TABLAS!$D$52:$D$58,MATCH(MAX(AS11,2),TABLAS!$B$52:$B$58,0)),BA11*INDEX(TABLAS!$D$52:$D$58,MATCH(MAX(AZ11,2),TABLAS!$B$52:$B$58,0)))/(N11*AQ11))^(1/3)))*SQRT(DATOS!$C$39)*N11*AQ11/1000)</f>
        <v>1.72675183421726</v>
      </c>
      <c r="BF11" s="57">
        <f>IF(AO11=0,0,FLOOR(MIN(IF(AO11&gt;BE11,DATOS!$C$59*2*INDEX(TABLAS!$D$52:$D$58,MATCH(DATOS!$C$113,TABLAS!$B$52:$B$58,0))*DATOS!$C$42*AQ11/((AO11-BE11)*1000),999),IF(MAX(0,AO11-BE11)/DATOS!$C$59&lt;=1.1*SQRT(DATOS!$C$39)*N11*AQ11/1000,MIN(AQ11/2,60),MIN(AQ11/4,30)),2*INDEX(TABLAS!$D$52:$D$58,MATCH(DATOS!$C$113,TABLAS!$B$52:$B$58,0))*DATOS!$C$42/(MAX(0.2*SQRT(DATOS!$C$39),3.5)*N11),MIN(16*INDEX(TABLAS!$C$52:$C$58,MATCH(MIN(MAX(AS11,2),MAX(AZ11,2)),TABLAS!$B$52:$B$58,0)),48*INDEX(TABLAS!$C$52:$C$58,MATCH(DATOS!$C$113,TABLAS!$B$52:$B$58,0))),DATOS!$C$115),0.5))</f>
        <v>9.5</v>
      </c>
      <c r="BG11" s="57">
        <f>BF11</f>
        <v>9.5</v>
      </c>
      <c r="BH11" s="51" t="str">
        <f>IF(AO11=0,"—",IF(AO11&gt;DATOS!$C$59*(BE11/DATOS!$C$59+2.2*SQRT(DATOS!$C$39)*N11*AQ11/1000),"SECCIÓN INSUFICIENTE","E No. "&amp;TEXT(DATOS!$C$113,"0")&amp;IF(BG11&lt;BF11," @ "&amp;TEXT(BG11,"0.0")&amp;" en 2h y"," @")&amp;" "&amp;TEXT(BF11,"0.0")&amp;" cm"))</f>
        <v>E No. 3 @ 9.5 cm</v>
      </c>
      <c r="BI11" s="56">
        <f>N11+MIN(6*DATOS!$C$14,DATOS!$C$11/2,G11*100/12)</f>
        <v>28.3</v>
      </c>
      <c r="BJ11" s="71">
        <f>BI11*DATOS!$C$14^3/12+BI11*DATOS!$C$14*(((BI11*DATOS!$C$14^2/2+N11*(O11-DATOS!$C$14)*(DATOS!$C$14+(O11-DATOS!$C$14)/2))/(BI11*DATOS!$C$14+N11*(O11-DATOS!$C$14)))-DATOS!$C$14/2)^2+N11*(O11-DATOS!$C$14)^3/12+N11*(O11-DATOS!$C$14)*(DATOS!$C$14+(O11-DATOS!$C$14)/2-((BI11*DATOS!$C$14^2/2+N11*(O11-DATOS!$C$14)*(DATOS!$C$14+(O11-DATOS!$C$14)/2))/(BI11*DATOS!$C$14+N11*(O11-DATOS!$C$14))))^2</f>
        <v>25318.1495375614</v>
      </c>
      <c r="BK11" s="43">
        <f>O11-DATOS!$C$22-INDEX(TABLAS!$C$52:$C$58,MATCH(DATOS!$C$113,TABLAS!$B$52:$B$58,0))-INDEX(TABLAS!$C$52:$C$58,MATCH(MAX(IF(L11="VOLADO",AZ11,AS11),2),TABLAS!$B$52:$B$58,0))/2</f>
        <v>19.415</v>
      </c>
      <c r="BL11" s="43">
        <f>DATOS!$C$46/DATOS!$C$45*IF(L11="VOLADO",BA11*INDEX(TABLAS!$D$52:$D$58,MATCH(MAX(AZ11,2),TABLAS!$B$52:$B$58,0)),AU11*INDEX(TABLAS!$D$52:$D$58,MATCH(MAX(AS11,2),TABLAS!$B$52:$B$58,0)))</f>
        <v>22.9491007337934</v>
      </c>
      <c r="BM11" s="43">
        <f>IF(BL11&lt;=0,0,(SQRT(2*(BL11/(IF(L11="VOLADO",N11,BI11)*BK11))+(BL11/(IF(L11="VOLADO",N11,BI11)*BK11))^2)-(BL11/(IF(L11="VOLADO",N11,BI11)*BK11)))*BK11)</f>
        <v>4.85879616913099</v>
      </c>
      <c r="BN11" s="71">
        <f>IF(AND(L11&lt;&gt;"VOLADO",BM11&gt;DATOS!$C$14),(BI11*DATOS!$C$14^3/12+BI11*DATOS!$C$14*(((-((BI11-N11)*DATOS!$C$14+BL11)+SQRT(((BI11-N11)*DATOS!$C$14+BL11)^2+2*N11*((BI11-N11)*DATOS!$C$14^2/2+BL11*BK11)))/N11)-DATOS!$C$14/2)^2+N11*(((-((BI11-N11)*DATOS!$C$14+BL11)+SQRT(((BI11-N11)*DATOS!$C$14+BL11)^2+2*N11*((BI11-N11)*DATOS!$C$14^2/2+BL11*BK11)))/N11)-DATOS!$C$14)^3/3+BL11*(BK11-((-((BI11-N11)*DATOS!$C$14+BL11)+SQRT(((BI11-N11)*DATOS!$C$14+BL11)^2+2*N11*((BI11-N11)*DATOS!$C$14^2/2+BL11*BK11)))/N11))^2),(IF(L11="VOLADO",N11,BI11)*BM11^3/3+BL11*(BK11-BM11)^2))</f>
        <v>5944.58561503378</v>
      </c>
      <c r="BO11" s="71">
        <f>IF(AP11&lt;=0,BJ11,IF((AP11*1E5)&lt;=2/3*(DATOS!$C$47*BJ11/IF(L11="VOLADO",((BI11*DATOS!$C$14^2/2+N11*(O11-DATOS!$C$14)*(DATOS!$C$14+(O11-DATOS!$C$14)/2))/(BI11*DATOS!$C$14+N11*(O11-DATOS!$C$14))),O11-((BI11*DATOS!$C$14^2/2+N11*(O11-DATOS!$C$14)*(DATOS!$C$14+(O11-DATOS!$C$14)/2))/(BI11*DATOS!$C$14+N11*(O11-DATOS!$C$14))))),BJ11,IF(BL11&lt;=0,0,BN11/(1-(2/3*(DATOS!$C$47*BJ11/IF(L11="VOLADO",((BI11*DATOS!$C$14^2/2+N11*(O11-DATOS!$C$14)*(DATOS!$C$14+(O11-DATOS!$C$14)/2))/(BI11*DATOS!$C$14+N11*(O11-DATOS!$C$14))),O11-((BI11*DATOS!$C$14^2/2+N11*(O11-DATOS!$C$14)*(DATOS!$C$14+(O11-DATOS!$C$14)/2))/(BI11*DATOS!$C$14+N11*(O11-DATOS!$C$14)))))/(AP11*1E5))^2*(1-BN11/BJ11)))))</f>
        <v>10911.8220124344</v>
      </c>
      <c r="BP11" s="62">
        <f>IF(OR(L11="APOYADA",L11="VOLADO"),(IF(L11="VOLADO",(AP11-AH11)/4+AH11/3,5/48*AP11)*1E5*(G11*100)^2/(DATOS!$C$45*MAX(BO11,1)))*(1+2/(1+50*IF(L11="VOLADO",AU11*INDEX(TABLAS!$D$52:$D$58,MATCH(MAX(AS11,2),TABLAS!$B$52:$B$58,0)),DATOS!$C$114*INDEX(TABLAS!$D$52:$D$58,MATCH(MAX(AZ11,2),TABLAS!$B$52:$B$58,0)))/(N11*BK11))*((AA11+AC11)/MAX(AA11+AB11,1E-6))),0)</f>
        <v>0.126072000701203</v>
      </c>
      <c r="BQ11" s="43">
        <f>IF(S11&gt;0,0.3+G11*100/480,0.5+G11*100/240)</f>
        <v>0.6325</v>
      </c>
      <c r="BR11" s="43">
        <f>IF(S11&gt;0,(T11+U11)*G11+AG11,0)</f>
        <v>2.53061794489796</v>
      </c>
      <c r="BS11" s="43">
        <f>IF(S11&gt;0,(DATOS!$C$51*DATOS!$C$103*100*(G11*100)^3/(DATOS!$C$45*BJ11*((BR11*1000/(DATOS!$C$103*100*S11*100)*DATOS!$C$103*100*(MIN(1,S11/G11)^4-4*MIN(1,S11/G11)^3+8*MIN(1,S11/G11)))/((BR11*1000/(DATOS!$C$103*100*S11*100)*DATOS!$C$103*100*(MIN(1,S11/G11)^4-4*MIN(1,S11/G11)^3+8*MIN(1,S11/G11)))+5*((R11+X11+Y11+IF(L11="APOYADA",8*(0)/G11^2,0))*10)))))^0.25,0)</f>
        <v>4.86476381868377</v>
      </c>
      <c r="BT11" s="57">
        <f>IF(S11&gt;0,MAX(1,IF(MIN(1,S11/G11)&gt;=1,(1.6*BS11-3.9),IF(MIN(1,S11/G11)&lt;0.9,((3.2*BS11-7.8)*1),((3.2*BS11-7.8)*1)+((1.6*BS11-3.9)-((3.2*BS11-7.8)*1))*(MIN(1,S11/G11)-0.9)/0.1)))*BR11*1000/(DATOS!$C$103*100*S11*100),0)</f>
        <v>4.10524803780298</v>
      </c>
      <c r="BU11" s="65" t="str">
        <f>IF(S11=0,"—",IF(DATOS!$C$105/S11&lt;0.6,"REVISAR: H/L &lt; 0.6, interacción muro-viga",IF(BT11&lt;=DATOS!$C$60*DATOS!$C$50,"CUMPLE","NO CUMPLE f_CM &gt; F_R·f'm")))</f>
        <v>CUMPLE</v>
      </c>
      <c r="BV11" s="57">
        <f>IF(S11&gt;0,MAX(25,IF(BJ11&gt;=(G11*100)^3/1600,0,MIN(G11*100/14,(12*(G11*100)^3/1600/N11)^(1/3)))),IF(L11="APOYADA",MAX(25,G11*100/16),IF(L11="VOLADO",MAX(25,G11*100/8),0)))</f>
        <v>25</v>
      </c>
      <c r="BW11" s="57">
        <f>IF(S11&gt;0,IF(BJ11&gt;=(5/4*(G11*100)^3/DATOS!$C$45*((((S11*DATOS!$C$107+(((SUMIFS(TRIB!$I$6:$I$255,TRIB!$B$6:$B$255,"DM-70")-SUMIFS(TRIB!$L$6:$L$255,TRIB!$B$6:$B$255,"DM-70"))*1.0)/G11+(SUMIFS(TRIB!$M$6:$M$255,TRIB!$B$6:$B$255,"DM-70")*1.0)/G11)*G11+AG11/DATOS!$C$55)*1000)/(DATOS!$C$103*100*S11*100)*DATOS!$C$103*100*(MIN(1,S11/G11)^4-4*MIN(1,S11/G11)^3+8*MIN(1,S11/G11)))+5*((AA11-S11*DATOS!$C$107/G11-(((SUMIFS(TRIB!$I$6:$I$255,TRIB!$B$6:$B$255,"DM-70")-SUMIFS(TRIB!$L$6:$L$255,TRIB!$B$6:$B$255,"DM-70"))*1.0)/G11))*10))),0,MIN((G11*100/((1/15*DATOS!$C$45*N11/((((S11*DATOS!$C$107+(((SUMIFS(TRIB!$I$6:$I$255,TRIB!$B$6:$B$255,"DM-70")-SUMIFS(TRIB!$L$6:$L$255,TRIB!$B$6:$B$255,"DM-70"))*1.0)/G11+(SUMIFS(TRIB!$M$6:$M$255,TRIB!$B$6:$B$255,"DM-70")*1.0)/G11)*G11+AG11/DATOS!$C$55)*1000)/(DATOS!$C$103*100*S11*100)*DATOS!$C$103*100*(MIN(1,S11/G11)^4-4*MIN(1,S11/G11)^3+8*MIN(1,S11/G11)))+5*((AA11-S11*DATOS!$C$107/G11-(((SUMIFS(TRIB!$I$6:$I$255,TRIB!$B$6:$B$255,"DM-70")-SUMIFS(TRIB!$L$6:$L$255,TRIB!$B$6:$B$255,"DM-70"))*1.0)/G11))*10)))^(1/3))),(12*(5/4*(G11*100)^3/DATOS!$C$45*((((S11*DATOS!$C$107+(((SUMIFS(TRIB!$I$6:$I$255,TRIB!$B$6:$B$255,"DM-70")-SUMIFS(TRIB!$L$6:$L$255,TRIB!$B$6:$B$255,"DM-70"))*1.0)/G11+(SUMIFS(TRIB!$M$6:$M$255,TRIB!$B$6:$B$255,"DM-70")*1.0)/G11)*G11+AG11/DATOS!$C$55)*1000)/(DATOS!$C$103*100*S11*100)*DATOS!$C$103*100*(MIN(1,S11/G11)^4-4*MIN(1,S11/G11)^3+8*MIN(1,S11/G11)))+5*((AA11-S11*DATOS!$C$107/G11-(((SUMIFS(TRIB!$I$6:$I$255,TRIB!$B$6:$B$255,"DM-70")-SUMIFS(TRIB!$L$6:$L$255,TRIB!$B$6:$B$255,"DM-70"))*1.0)/G11))*10)))/N11)^(1/3))),0)</f>
        <v>0</v>
      </c>
      <c r="BX11" s="57">
        <f>SQRT(MAX(AM11,AN11)*1E5/(DATOS!$C$58*N11*DATOS!$C$48*(DATOS!$C$82*DATOS!$C$40/DATOS!$C$48)*(1-(DATOS!$C$82*DATOS!$C$40/DATOS!$C$48)/2)))+(O11-AQ11)</f>
        <v>14.778390508088</v>
      </c>
      <c r="BY11" s="59">
        <f>IF(OR(L11="BORDE DE VOLADO",L11="SIN APOYO"),0,CEILING(MAX(BV11,BW11,BX11,DATOS!$C$15),5))</f>
        <v>25</v>
      </c>
      <c r="BZ11" s="72" t="str">
        <f>IF(L11="BORDE DE VOLADO","BORDE DE VOLADO — armado de orilla",IF(L11="SIN APOYO","SIN APOYO — REVISAR",IF(AND(AW11&lt;=1,BC11&lt;=1,IF(AU11=0,TRUE,AU11&lt;=INT((CB11+DATOS!$C$32)/(INDEX(TABLAS!$C$52:$C$58,MATCH(MAX(AS11,2),TABLAS!$B$52:$B$58,0))+DATOS!$C$32))),IF(BA11=0,TRUE,BA11&lt;=INT((CB11+DATOS!$C$32)/(INDEX(TABLAS!$C$52:$C$58,MATCH(MAX(AZ11,2),TABLAS!$B$52:$B$58,0))+DATOS!$C$32))),AND(OR(NOT(ISNUMBER(AX11)),AX11&gt;=0.005),OR(NOT(ISNUMBER(BD11)),BD11&gt;=0.005)),BH11&lt;&gt;"SECCIÓN INSUFICIENTE",AND(O11&gt;=BV11,O11&gt;=BW11,O11/N11&lt;=6),BP11&lt;=BQ11,OR(S11=0,LEFT(BU11,6)&lt;&gt;"NO CUM")),IF(LEFT(BU11,7)="REVISAR","PENDIENTE: H/L &lt; 0.6, falta el análisis de interacción muro-viga (NTC-M 4.1.18.2.1, p. 44)","CUMPLE")&amp;IF(L11="VOLADO"," (en VOLADO)",""),"NO CUMPLE: "&amp;IF(OR(AR11&lt;0,AY11&lt;0),"sección insuficiente en flexión ",IF(OR(AW11&gt;1,BC11&gt;1),"flexión ",""))&amp;IF(NOT(AND(IF(AU11=0,TRUE,AU11&lt;=INT((CB11+DATOS!$C$32)/(INDEX(TABLAS!$C$52:$C$58,MATCH(MAX(AS11,2),TABLAS!$B$52:$B$58,0))+DATOS!$C$32))),IF(BA11=0,TRUE,BA11&lt;=INT((CB11+DATOS!$C$32)/(INDEX(TABLAS!$C$52:$C$58,MATCH(MAX(AZ11,2),TABLAS!$B$52:$B$58,0))+DATOS!$C$32))))),"no caben ","")&amp;IF(NOT(AND(OR(NOT(ISNUMBER(AX11)),AX11&gt;=0.005),OR(NOT(ISNUMBER(BD11)),BD11&gt;=0.005))),"ε_t ","")&amp;IF(BH11="SECCIÓN INSUFICIENTE","cortante ","")&amp;IF(NOT(AND(O11&gt;=BV11,O11&gt;=BW11,O11/N11&lt;=6)),"peralte ","")&amp;IF(NOT(BP11&lt;=BQ11),"flecha ","")&amp;IF(NOT(OR(S11=0,LEFT(BU11,6)&lt;&gt;"NO CUM")),"muro sobre viga ","")&amp;"→ h ≥ "&amp;TEXT(MAX(BY11,IF(BP11&gt;BQ11,MAX(O11+5,CEILING(O11*(BP11/BQ11)^(1/3),5)),0)),"0")&amp;" cm"&amp;IF(NOT(AND(IF(AU11=0,TRUE,AU11&lt;=INT((CB11+DATOS!$C$32)/(INDEX(TABLAS!$C$52:$C$58,MATCH(MAX(AS11,2),TABLAS!$B$52:$B$58,0))+DATOS!$C$32))),IF(BA11=0,TRUE,BA11&lt;=INT((CB11+DATOS!$C$32)/(INDEX(TABLAS!$C$52:$C$58,MATCH(MAX(AZ11,2),TABLAS!$B$52:$B$58,0))+DATOS!$C$32)))))," y b ≥ "&amp;TEXT(N11+5,"0")&amp;" cm","")&amp;" (verificar)")))</f>
        <v>CUMPLE</v>
      </c>
      <c r="CA11" s="65" t="inlineStr">
        <is>
          <t>Extremo i en castillo propuesto C2. Extremo j en castillo propuesto C3. Muro de planta alta encima (1.60 m) con la azotea de DM-70: viga que soporta muro estructural (NTC-Mampostería 4.1.18): la flecha se calcula y el límite es 0.3 cm + L/480.</t>
        </is>
      </c>
      <c r="CB11" s="43">
        <f>N11-2*DATOS!$C$22-2*INDEX(TABLAS!$C$52:$C$58,MATCH(DATOS!$C$113,TABLAS!$B$52:$B$58,0))</f>
        <v>5.1</v>
      </c>
    </row>
    <row r="12" ht="30" customHeight="1">
      <c r="B12" s="60" t="inlineStr">
        <is>
          <t>NP-04</t>
        </is>
      </c>
      <c r="C12" s="52" t="inlineStr">
        <is>
          <t>N+3.00</t>
        </is>
      </c>
      <c r="D12" s="51" t="inlineStr">
        <is>
          <t>Eje 6 (y = 6.948)</t>
        </is>
      </c>
      <c r="E12" s="52" t="inlineStr">
        <is>
          <t>(2.925, 6.948)</t>
        </is>
      </c>
      <c r="F12" s="52" t="inlineStr">
        <is>
          <t>(4.327, 6.948)</t>
        </is>
      </c>
      <c r="G12" s="55" t="n">
        <v>1.402</v>
      </c>
      <c r="H12" s="52" t="inlineStr">
        <is>
          <t>FIRME</t>
        </is>
      </c>
      <c r="I12" s="52" t="inlineStr">
        <is>
          <t>NERVADURA</t>
        </is>
      </c>
      <c r="J12" s="52" t="inlineStr">
        <is>
          <t>—</t>
        </is>
      </c>
      <c r="K12" s="52" t="inlineStr">
        <is>
          <t>—</t>
        </is>
      </c>
      <c r="L12" s="60" t="str">
        <f>IF(AND(OR(H12="FIRME",H12="NERVADURA",H12="PUNTA"),OR(I12="FIRME",I12="NERVADURA",I12="PUNTA")),"APOYADA",IF(OR(OR(H12="FIRME",H12="NERVADURA",H12="PUNTA"),OR(I12="FIRME",I12="NERVADURA",I12="PUNTA")),"VOLADO","SIN APOYO"))</f>
        <v>APOYADA</v>
      </c>
      <c r="M12" s="52" t="str">
        <f>IF(L12="VOLADO",IF(OR(H12="FIRME",H12="NERVADURA",H12="PUNTA"),"i","j"),"—")</f>
        <v>—</v>
      </c>
      <c r="N12" s="58">
        <f>DATOS!$C$17</f>
        <v>15</v>
      </c>
      <c r="O12" s="58">
        <f>DATOS!$C$15</f>
        <v>25</v>
      </c>
      <c r="P12" s="65" t="str">
        <f>IF(L12="BORDE DE VOLADO","—",IF(OR(N12&lt;&gt;DATOS!$C$17,O12&lt;&gt;DATOS!$C$15),"PERALTAR: trabe "&amp;TEXT(N12,"0")&amp;"×"&amp;TEXT(O12,"0")&amp;IF(O12&gt;DATOS!$C$15," (descuelga "&amp;TEXT(O12-DATOS!$C$15,"0")&amp;" cm)",""),"Queda en la losa (15×25)"))</f>
        <v>Queda en la losa (15×25)</v>
      </c>
      <c r="Q12" s="43">
        <f>SUMIFS(TRIB!$E$6:$E$255,TRIB!$B$6:$B$255,"NP-04")</f>
        <v>0.9919</v>
      </c>
      <c r="R12" s="36">
        <f>SUMIFS(TRIB!$G$6:$G$255,TRIB!$B$6:$B$255,"NP-04")/G12</f>
        <v>0.618894314244956</v>
      </c>
      <c r="S12" s="69" t="n">
        <v>0</v>
      </c>
      <c r="T12" s="36">
        <f>DATOS!$C$55*S12*DATOS!$C$107/G12</f>
        <v>0</v>
      </c>
      <c r="U12" s="36">
        <f>0</f>
        <v>0</v>
      </c>
      <c r="V12" s="61" t="n">
        <v>0</v>
      </c>
      <c r="W12" s="61" t="n">
        <v>0</v>
      </c>
      <c r="X12" s="36">
        <f>(DATOS!$C$55*V12+DATOS!$C$56*W12)/1000</f>
        <v>0</v>
      </c>
      <c r="Y12" s="36">
        <f>DATOS!$C$55*(N12/100*O12/100*DATOS!$C$43-N12/100*DATOS!$C$70/1000)</f>
        <v>0.0694836734693878</v>
      </c>
      <c r="Z12" s="70">
        <f>R12+T12+U12+X12+Y12</f>
        <v>0.688377987714344</v>
      </c>
      <c r="AA12" s="36">
        <f>(SUMIFS(TRIB!$I$6:$I$255,TRIB!$B$6:$B$255,"NP-04")-SUMIFS(TRIB!$L$6:$L$255,TRIB!$B$6:$B$255,"NP-04"))/G12+S12*DATOS!$C$107/G12+0+V12/1000+Y12/DATOS!$C$55</f>
        <v>0.374418105330577</v>
      </c>
      <c r="AB12" s="36">
        <f>SUMIFS(TRIB!$L$6:$L$255,TRIB!$B$6:$B$255,"NP-04")/G12+0+W12/1000</f>
        <v>0.134422967189729</v>
      </c>
      <c r="AC12" s="36">
        <f>SUMIFS(TRIB!$M$6:$M$255,TRIB!$B$6:$B$255,"NP-04")/G12+0+W12/1000*DATOS!$C$91/DATOS!$C$89</f>
        <v>0.0565991440798859</v>
      </c>
      <c r="AD12" s="36">
        <f>0</f>
        <v>0</v>
      </c>
      <c r="AE12" s="36">
        <f>0</f>
        <v>0</v>
      </c>
      <c r="AF12" s="36">
        <f>0</f>
        <v>0</v>
      </c>
      <c r="AG12" s="36">
        <f>0</f>
        <v>0</v>
      </c>
      <c r="AH12" s="36">
        <f>0</f>
        <v>0</v>
      </c>
      <c r="AI12" s="36">
        <f>IF(L12="APOYADA",Z12*G12/2+0,IF(AND(L12="VOLADO",M12="i"),Z12*G12+AD12,0))</f>
        <v>0.482552969387755</v>
      </c>
      <c r="AJ12" s="36">
        <f>IF(L12="APOYADA",Z12*G12/2+0,IF(AND(L12="VOLADO",M12="j"),Z12*G12+AD12,0))</f>
        <v>0.482552969387755</v>
      </c>
      <c r="AK12" s="36">
        <f>IF(L12="APOYADA",(AA12+AB12)*G12/2+0,IF(AND(L12="VOLADO",M12="i"),(AA12+AB12)*G12+0,0))</f>
        <v>0.356697591836735</v>
      </c>
      <c r="AL12" s="36">
        <f>IF(L12="APOYADA",(AA12+AB12)*G12/2+0,IF(AND(L12="VOLADO",M12="j"),(AA12+AB12)*G12+0,0))</f>
        <v>0.356697591836735</v>
      </c>
      <c r="AM12" s="70">
        <f>IF(L12="APOYADA",Z12*G12^2/8+AE12,0)</f>
        <v>0.169134815770408</v>
      </c>
      <c r="AN12" s="70">
        <f>IF(L12="APOYADA",DATOS!$C$64*AM12,IF(L12="VOLADO",Z12*G12^2/2+AE12,0))</f>
        <v>0.112812922118862</v>
      </c>
      <c r="AO12" s="70">
        <f>IF(L12="APOYADA",Z12*G12/2+AF12,IF(L12="VOLADO",Z12*G12+AF12,0))</f>
        <v>0.482552969387755</v>
      </c>
      <c r="AP12" s="36">
        <f>IF(L12="APOYADA",(AA12+AB12)*G12^2/8+AH12,IF(L12="VOLADO",(AA12+AB12)*G12^2/2+AH12,0))</f>
        <v>0.125022505938776</v>
      </c>
      <c r="AQ12" s="43">
        <f>O12-DATOS!$C$22-INDEX(TABLAS!$C$52:$C$58,MATCH(DATOS!$C$113,TABLAS!$B$52:$B$58,0))-INDEX(TABLAS!$C$52:$C$58,MATCH(DATOS!$C$112,TABLAS!$B$52:$B$58,0))/2</f>
        <v>19.415</v>
      </c>
      <c r="AR12" s="43">
        <f>IF(OR(L12="BORDE DE VOLADO",L12="SIN APOYO"),0,IF(IF(AM12&lt;=0,0,IF((1-2*AM12*1E5/(DATOS!$C$58*N12*AQ12^2*DATOS!$C$48))&lt;0,-1,IF((1-SQRT((1-2*AM12*1E5/(DATOS!$C$58*N12*AQ12^2*DATOS!$C$48))))*DATOS!$C$48*N12*AQ12/DATOS!$C$40&gt;DATOS!$C$82*N12*AQ12,-1,(1-SQRT((1-2*AM12*1E5/(DATOS!$C$58*N12*AQ12^2*DATOS!$C$48))))*DATOS!$C$48*N12*AQ12/DATOS!$C$40)))&lt;0,-1,MAX(IF(AM12&lt;=0,0,IF((1-2*AM12*1E5/(DATOS!$C$58*N12*AQ12^2*DATOS!$C$48))&lt;0,-1,IF((1-SQRT((1-2*AM12*1E5/(DATOS!$C$58*N12*AQ12^2*DATOS!$C$48))))*DATOS!$C$48*N12*AQ12/DATOS!$C$40&gt;DATOS!$C$82*N12*AQ12,-1,(1-SQRT((1-2*AM12*1E5/(DATOS!$C$58*N12*AQ12^2*DATOS!$C$48))))*DATOS!$C$48*N12*AQ12/DATOS!$C$40))),MIN(DATOS!$C$83*N12*AQ12,4/3*IF(AM12&lt;=0,0,IF((1-2*AM12*1E5/(DATOS!$C$58*N12*AQ12^2*DATOS!$C$48))&lt;0,-1,IF((1-SQRT((1-2*AM12*1E5/(DATOS!$C$58*N12*AQ12^2*DATOS!$C$48))))*DATOS!$C$48*N12*AQ12/DATOS!$C$40&gt;DATOS!$C$82*N12*AQ12,-1,(1-SQRT((1-2*AM12*1E5/(DATOS!$C$58*N12*AQ12^2*DATOS!$C$48))))*DATOS!$C$48*N12*AQ12/DATOS!$C$40)))))))</f>
        <v>0.309727319445202</v>
      </c>
      <c r="AS12" s="41">
        <f>IF(AR12&lt;0,0,IF(AND(AR12&gt;=0,MAX(DATOS!$C$114,CEILING(AR12/INDEX(TABLAS!$D$52:$D$58,MIN(MATCH(DATOS!$C$112,TABLAS!$B$52:$B$58,0)+0,7)),1))&lt;=MIN(99,INT((CB12+MAX(DATOS!$C$32,INDEX(TABLAS!$C$52:$C$58,MIN(MATCH(DATOS!$C$112,TABLAS!$B$52:$B$58,0)+0,7))))/(INDEX(TABLAS!$C$52:$C$58,MIN(MATCH(DATOS!$C$112,TABLAS!$B$52:$B$58,0)+0,7))+MAX(DATOS!$C$32,INDEX(TABLAS!$C$52:$C$58,MIN(MATCH(DATOS!$C$112,TABLAS!$B$52:$B$58,0)+0,7))))))),INDEX(TABLAS!$B$52:$B$58,MIN(MATCH(DATOS!$C$112,TABLAS!$B$52:$B$58,0)+0,7)),IF(AND(AR12&gt;=0,MAX(DATOS!$C$114,CEILING(AR12/INDEX(TABLAS!$D$52:$D$58,MIN(MATCH(DATOS!$C$112,TABLAS!$B$52:$B$58,0)+1,7)),1))&lt;=MIN(99,INT((CB12+MAX(DATOS!$C$32,INDEX(TABLAS!$C$52:$C$58,MIN(MATCH(DATOS!$C$112,TABLAS!$B$52:$B$58,0)+1,7))))/(INDEX(TABLAS!$C$52:$C$58,MIN(MATCH(DATOS!$C$112,TABLAS!$B$52:$B$58,0)+1,7))+MAX(DATOS!$C$32,INDEX(TABLAS!$C$52:$C$58,MIN(MATCH(DATOS!$C$112,TABLAS!$B$52:$B$58,0)+1,7))))))),INDEX(TABLAS!$B$52:$B$58,MIN(MATCH(DATOS!$C$112,TABLAS!$B$52:$B$58,0)+1,7)),IF(AND(AR12&gt;=0,MAX(DATOS!$C$114,CEILING(AR12/INDEX(TABLAS!$D$52:$D$58,MIN(MATCH(DATOS!$C$112,TABLAS!$B$52:$B$58,0)+2,7)),1))&lt;=MIN(99,INT((CB12+MAX(DATOS!$C$32,INDEX(TABLAS!$C$52:$C$58,MIN(MATCH(DATOS!$C$112,TABLAS!$B$52:$B$58,0)+2,7))))/(INDEX(TABLAS!$C$52:$C$58,MIN(MATCH(DATOS!$C$112,TABLAS!$B$52:$B$58,0)+2,7))+MAX(DATOS!$C$32,INDEX(TABLAS!$C$52:$C$58,MIN(MATCH(DATOS!$C$112,TABLAS!$B$52:$B$58,0)+2,7))))))),INDEX(TABLAS!$B$52:$B$58,MIN(MATCH(DATOS!$C$112,TABLAS!$B$52:$B$58,0)+2,7)),IF(AND(AR12&gt;=0,MAX(DATOS!$C$114,CEILING(AR12/INDEX(TABLAS!$D$52:$D$58,MIN(MATCH(DATOS!$C$112,TABLAS!$B$52:$B$58,0)+3,7)),1))&lt;=MIN(99,INT((CB12+MAX(DATOS!$C$32,INDEX(TABLAS!$C$52:$C$58,MIN(MATCH(DATOS!$C$112,TABLAS!$B$52:$B$58,0)+3,7))))/(INDEX(TABLAS!$C$52:$C$58,MIN(MATCH(DATOS!$C$112,TABLAS!$B$52:$B$58,0)+3,7))+MAX(DATOS!$C$32,INDEX(TABLAS!$C$52:$C$58,MIN(MATCH(DATOS!$C$112,TABLAS!$B$52:$B$58,0)+3,7))))))),INDEX(TABLAS!$B$52:$B$58,MIN(MATCH(DATOS!$C$112,TABLAS!$B$52:$B$58,0)+3,7)),IF(AND(AR12&gt;=0,MAX(DATOS!$C$114,CEILING(AR12/INDEX(TABLAS!$D$52:$D$58,MIN(MATCH(DATOS!$C$112,TABLAS!$B$52:$B$58,0)+4,7)),1))&lt;=MIN(99,INT((CB12+MAX(DATOS!$C$32,INDEX(TABLAS!$C$52:$C$58,MIN(MATCH(DATOS!$C$112,TABLAS!$B$52:$B$58,0)+4,7))))/(INDEX(TABLAS!$C$52:$C$58,MIN(MATCH(DATOS!$C$112,TABLAS!$B$52:$B$58,0)+4,7))+MAX(DATOS!$C$32,INDEX(TABLAS!$C$52:$C$58,MIN(MATCH(DATOS!$C$112,TABLAS!$B$52:$B$58,0)+4,7))))))),INDEX(TABLAS!$B$52:$B$58,MIN(MATCH(DATOS!$C$112,TABLAS!$B$52:$B$58,0)+4,7)),INDEX(TABLAS!$B$52:$B$58,7)))))))</f>
        <v>4</v>
      </c>
      <c r="AT12" s="58" t="n">
        <v>0</v>
      </c>
      <c r="AU12" s="56">
        <f>IF(OR(L12="BORDE DE VOLADO",L12="SIN APOYO"),0,IF(AR12&lt;0,0,MAX(DATOS!$C$114,CEILING(AR12/INDEX(TABLAS!$D$52:$D$58,MATCH(IF(AS12=0,8,AS12),TABLAS!$B$52:$B$58,0)),1))+AT12))</f>
        <v>2</v>
      </c>
      <c r="AV12" s="36">
        <f>IF(AU12=0,0,DATOS!$C$58*AU12*INDEX(TABLAS!$D$52:$D$58,MATCH(AS12,TABLAS!$B$52:$B$58,0))*DATOS!$C$40*((O12-DATOS!$C$22-INDEX(TABLAS!$C$52:$C$58,MATCH(DATOS!$C$113,TABLAS!$B$52:$B$58,0))-INDEX(TABLAS!$C$52:$C$58,MATCH(AS12,TABLAS!$B$52:$B$58,0))/2)-AU12*INDEX(TABLAS!$D$52:$D$58,MATCH(AS12,TABLAS!$B$52:$B$58,0))*DATOS!$C$40/(DATOS!$C$48*N12)/2)/1E5)</f>
        <v>1.70340536964706</v>
      </c>
      <c r="AW12" s="62">
        <f>IF(AR12&lt;0,9.99,IF(AV12&gt;0,AM12/AV12,0))</f>
        <v>0.0992921701341428</v>
      </c>
      <c r="AX12" s="63">
        <f>IF(AU12=0,"—",0.003*((O12-DATOS!$C$22-INDEX(TABLAS!$C$52:$C$58,MATCH(DATOS!$C$113,TABLAS!$B$52:$B$58,0))-INDEX(TABLAS!$C$52:$C$58,MATCH(AS12,TABLAS!$B$52:$B$58,0))/2)-(AU12*INDEX(TABLAS!$D$52:$D$58,MATCH(AS12,TABLAS!$B$52:$B$58,0))*DATOS!$C$40/(DATOS!$C$48*N12)/DATOS!$C$49))/(AU12*INDEX(TABLAS!$D$52:$D$58,MATCH(AS12,TABLAS!$B$52:$B$58,0))*DATOS!$C$40/(DATOS!$C$48*N12)/DATOS!$C$49))</f>
        <v>0.0117926084434758</v>
      </c>
      <c r="AY12" s="43">
        <f>IF(OR(L12="BORDE DE VOLADO",L12="SIN APOYO"),0,IF(IF(AN12&lt;=0,0,IF((1-2*AN12*1E5/(DATOS!$C$58*N12*AQ12^2*DATOS!$C$48))&lt;0,-1,IF((1-SQRT((1-2*AN12*1E5/(DATOS!$C$58*N12*AQ12^2*DATOS!$C$48))))*DATOS!$C$48*N12*AQ12/DATOS!$C$40&gt;DATOS!$C$82*N12*AQ12,-1,(1-SQRT((1-2*AN12*1E5/(DATOS!$C$58*N12*AQ12^2*DATOS!$C$48))))*DATOS!$C$48*N12*AQ12/DATOS!$C$40)))&lt;0,-1,MAX(IF(AN12&lt;=0,0,IF((1-2*AN12*1E5/(DATOS!$C$58*N12*AQ12^2*DATOS!$C$48))&lt;0,-1,IF((1-SQRT((1-2*AN12*1E5/(DATOS!$C$58*N12*AQ12^2*DATOS!$C$48))))*DATOS!$C$48*N12*AQ12/DATOS!$C$40&gt;DATOS!$C$82*N12*AQ12,-1,(1-SQRT((1-2*AN12*1E5/(DATOS!$C$58*N12*AQ12^2*DATOS!$C$48))))*DATOS!$C$48*N12*AQ12/DATOS!$C$40))),MIN(DATOS!$C$83*IF(L12="VOLADO",MIN(BI12,2*N12),N12)*AQ12,4/3*IF(AN12&lt;=0,0,IF((1-2*AN12*1E5/(DATOS!$C$58*N12*AQ12^2*DATOS!$C$48))&lt;0,-1,IF((1-SQRT((1-2*AN12*1E5/(DATOS!$C$58*N12*AQ12^2*DATOS!$C$48))))*DATOS!$C$48*N12*AQ12/DATOS!$C$40&gt;DATOS!$C$82*N12*AQ12,-1,(1-SQRT((1-2*AN12*1E5/(DATOS!$C$58*N12*AQ12^2*DATOS!$C$48))))*DATOS!$C$48*N12*AQ12/DATOS!$C$40)))))))</f>
        <v>0.206040088792029</v>
      </c>
      <c r="AZ12" s="41">
        <f>IF(AY12&lt;0,0,IF(AND(AY12&gt;=0,MAX(DATOS!$C$114,CEILING(AY12/INDEX(TABLAS!$D$52:$D$58,MIN(MATCH(DATOS!$C$112,TABLAS!$B$52:$B$58,0)+0,7)),1))&lt;=MIN(99,INT((CB12+MAX(DATOS!$C$32,INDEX(TABLAS!$C$52:$C$58,MIN(MATCH(DATOS!$C$112,TABLAS!$B$52:$B$58,0)+0,7))))/(INDEX(TABLAS!$C$52:$C$58,MIN(MATCH(DATOS!$C$112,TABLAS!$B$52:$B$58,0)+0,7))+MAX(DATOS!$C$32,INDEX(TABLAS!$C$52:$C$58,MIN(MATCH(DATOS!$C$112,TABLAS!$B$52:$B$58,0)+0,7))))))),INDEX(TABLAS!$B$52:$B$58,MIN(MATCH(DATOS!$C$112,TABLAS!$B$52:$B$58,0)+0,7)),IF(AND(AY12&gt;=0,MAX(DATOS!$C$114,CEILING(AY12/INDEX(TABLAS!$D$52:$D$58,MIN(MATCH(DATOS!$C$112,TABLAS!$B$52:$B$58,0)+1,7)),1))&lt;=MIN(99,INT((CB12+MAX(DATOS!$C$32,INDEX(TABLAS!$C$52:$C$58,MIN(MATCH(DATOS!$C$112,TABLAS!$B$52:$B$58,0)+1,7))))/(INDEX(TABLAS!$C$52:$C$58,MIN(MATCH(DATOS!$C$112,TABLAS!$B$52:$B$58,0)+1,7))+MAX(DATOS!$C$32,INDEX(TABLAS!$C$52:$C$58,MIN(MATCH(DATOS!$C$112,TABLAS!$B$52:$B$58,0)+1,7))))))),INDEX(TABLAS!$B$52:$B$58,MIN(MATCH(DATOS!$C$112,TABLAS!$B$52:$B$58,0)+1,7)),IF(AND(AY12&gt;=0,MAX(DATOS!$C$114,CEILING(AY12/INDEX(TABLAS!$D$52:$D$58,MIN(MATCH(DATOS!$C$112,TABLAS!$B$52:$B$58,0)+2,7)),1))&lt;=MIN(99,INT((CB12+MAX(DATOS!$C$32,INDEX(TABLAS!$C$52:$C$58,MIN(MATCH(DATOS!$C$112,TABLAS!$B$52:$B$58,0)+2,7))))/(INDEX(TABLAS!$C$52:$C$58,MIN(MATCH(DATOS!$C$112,TABLAS!$B$52:$B$58,0)+2,7))+MAX(DATOS!$C$32,INDEX(TABLAS!$C$52:$C$58,MIN(MATCH(DATOS!$C$112,TABLAS!$B$52:$B$58,0)+2,7))))))),INDEX(TABLAS!$B$52:$B$58,MIN(MATCH(DATOS!$C$112,TABLAS!$B$52:$B$58,0)+2,7)),IF(AND(AY12&gt;=0,MAX(DATOS!$C$114,CEILING(AY12/INDEX(TABLAS!$D$52:$D$58,MIN(MATCH(DATOS!$C$112,TABLAS!$B$52:$B$58,0)+3,7)),1))&lt;=MIN(99,INT((CB12+MAX(DATOS!$C$32,INDEX(TABLAS!$C$52:$C$58,MIN(MATCH(DATOS!$C$112,TABLAS!$B$52:$B$58,0)+3,7))))/(INDEX(TABLAS!$C$52:$C$58,MIN(MATCH(DATOS!$C$112,TABLAS!$B$52:$B$58,0)+3,7))+MAX(DATOS!$C$32,INDEX(TABLAS!$C$52:$C$58,MIN(MATCH(DATOS!$C$112,TABLAS!$B$52:$B$58,0)+3,7))))))),INDEX(TABLAS!$B$52:$B$58,MIN(MATCH(DATOS!$C$112,TABLAS!$B$52:$B$58,0)+3,7)),IF(AND(AY12&gt;=0,MAX(DATOS!$C$114,CEILING(AY12/INDEX(TABLAS!$D$52:$D$58,MIN(MATCH(DATOS!$C$112,TABLAS!$B$52:$B$58,0)+4,7)),1))&lt;=MIN(99,INT((CB12+MAX(DATOS!$C$32,INDEX(TABLAS!$C$52:$C$58,MIN(MATCH(DATOS!$C$112,TABLAS!$B$52:$B$58,0)+4,7))))/(INDEX(TABLAS!$C$52:$C$58,MIN(MATCH(DATOS!$C$112,TABLAS!$B$52:$B$58,0)+4,7))+MAX(DATOS!$C$32,INDEX(TABLAS!$C$52:$C$58,MIN(MATCH(DATOS!$C$112,TABLAS!$B$52:$B$58,0)+4,7))))))),INDEX(TABLAS!$B$52:$B$58,MIN(MATCH(DATOS!$C$112,TABLAS!$B$52:$B$58,0)+4,7)),INDEX(TABLAS!$B$52:$B$58,7)))))))</f>
        <v>4</v>
      </c>
      <c r="BA12" s="56">
        <f>IF(OR(L12="BORDE DE VOLADO",L12="SIN APOYO"),0,IF(AY12&lt;0,0,MAX(DATOS!$C$114,CEILING(AY12/INDEX(TABLAS!$D$52:$D$58,MATCH(IF(AZ12=0,8,AZ12),TABLAS!$B$52:$B$58,0)),1))))</f>
        <v>2</v>
      </c>
      <c r="BB12" s="36">
        <f>IF(BA12=0,0,DATOS!$C$58*BA12*INDEX(TABLAS!$D$52:$D$58,MATCH(AZ12,TABLAS!$B$52:$B$58,0))*DATOS!$C$40*((O12-DATOS!$C$22-INDEX(TABLAS!$C$52:$C$58,MATCH(DATOS!$C$113,TABLAS!$B$52:$B$58,0))-INDEX(TABLAS!$C$52:$C$58,MATCH(AZ12,TABLAS!$B$52:$B$58,0))/2)-BA12*INDEX(TABLAS!$D$52:$D$58,MATCH(AZ12,TABLAS!$B$52:$B$58,0))*DATOS!$C$40/(DATOS!$C$48*N12)/2)/1E5)</f>
        <v>1.70340536964706</v>
      </c>
      <c r="BC12" s="62">
        <f>IF(AY12&lt;0,9.99,IF(BB12&gt;0,AN12/BB12,0))</f>
        <v>0.0662278774794732</v>
      </c>
      <c r="BD12" s="63">
        <f>IF(BA12=0,"—",0.003*((O12-DATOS!$C$22-INDEX(TABLAS!$C$52:$C$58,MATCH(DATOS!$C$113,TABLAS!$B$52:$B$58,0))-INDEX(TABLAS!$C$52:$C$58,MATCH(AZ12,TABLAS!$B$52:$B$58,0))/2)-(BA12*INDEX(TABLAS!$D$52:$D$58,MATCH(AZ12,TABLAS!$B$52:$B$58,0))*DATOS!$C$40/(DATOS!$C$48*N12)/DATOS!$C$49))/(BA12*INDEX(TABLAS!$D$52:$D$58,MATCH(AZ12,TABLAS!$B$52:$B$58,0))*DATOS!$C$40/(DATOS!$C$48*N12)/DATOS!$C$49))</f>
        <v>0.0117926084434758</v>
      </c>
      <c r="BE12" s="36">
        <f>IF(BA12=0,0,DATOS!$C$59*MIN(1.25,MAX(0.5,2*MAX(1E-6,MIN(AU12*INDEX(TABLAS!$D$52:$D$58,MATCH(MAX(AS12,2),TABLAS!$B$52:$B$58,0)),BA12*INDEX(TABLAS!$D$52:$D$58,MATCH(MAX(AZ12,2),TABLAS!$B$52:$B$58,0)))/(N12*AQ12))^(1/3)))*SQRT(DATOS!$C$39)*N12*AQ12/1000)</f>
        <v>1.72675183421726</v>
      </c>
      <c r="BF12" s="57">
        <f>IF(AO12=0,0,FLOOR(MIN(IF(AO12&gt;BE12,DATOS!$C$59*2*INDEX(TABLAS!$D$52:$D$58,MATCH(DATOS!$C$113,TABLAS!$B$52:$B$58,0))*DATOS!$C$42*AQ12/((AO12-BE12)*1000),999),IF(MAX(0,AO12-BE12)/DATOS!$C$59&lt;=1.1*SQRT(DATOS!$C$39)*N12*AQ12/1000,MIN(AQ12/2,60),MIN(AQ12/4,30)),2*INDEX(TABLAS!$D$52:$D$58,MATCH(DATOS!$C$113,TABLAS!$B$52:$B$58,0))*DATOS!$C$42/(MAX(0.2*SQRT(DATOS!$C$39),3.5)*N12),MIN(16*INDEX(TABLAS!$C$52:$C$58,MATCH(MIN(MAX(AS12,2),MAX(AZ12,2)),TABLAS!$B$52:$B$58,0)),48*INDEX(TABLAS!$C$52:$C$58,MATCH(DATOS!$C$113,TABLAS!$B$52:$B$58,0))),DATOS!$C$115),0.5))</f>
        <v>9.5</v>
      </c>
      <c r="BG12" s="57">
        <f>BF12</f>
        <v>9.5</v>
      </c>
      <c r="BH12" s="51" t="str">
        <f>IF(AO12=0,"—",IF(AO12&gt;DATOS!$C$59*(BE12/DATOS!$C$59+2.2*SQRT(DATOS!$C$39)*N12*AQ12/1000),"SECCIÓN INSUFICIENTE","E No. "&amp;TEXT(DATOS!$C$113,"0")&amp;IF(BG12&lt;BF12," @ "&amp;TEXT(BG12,"0.0")&amp;" en 2h y"," @")&amp;" "&amp;TEXT(BF12,"0.0")&amp;" cm"))</f>
        <v>E No. 3 @ 9.5 cm</v>
      </c>
      <c r="BI12" s="56">
        <f>N12+2*MIN(8*DATOS!$C$14,DATOS!$C$11/2,G12*100/8)</f>
        <v>50.05</v>
      </c>
      <c r="BJ12" s="71">
        <f>BI12*DATOS!$C$14^3/12+BI12*DATOS!$C$14*(((BI12*DATOS!$C$14^2/2+N12*(O12-DATOS!$C$14)*(DATOS!$C$14+(O12-DATOS!$C$14)/2))/(BI12*DATOS!$C$14+N12*(O12-DATOS!$C$14)))-DATOS!$C$14/2)^2+N12*(O12-DATOS!$C$14)^3/12+N12*(O12-DATOS!$C$14)*(DATOS!$C$14+(O12-DATOS!$C$14)/2-((BI12*DATOS!$C$14^2/2+N12*(O12-DATOS!$C$14)*(DATOS!$C$14+(O12-DATOS!$C$14)/2))/(BI12*DATOS!$C$14+N12*(O12-DATOS!$C$14))))^2</f>
        <v>31839.7889690292</v>
      </c>
      <c r="BK12" s="43">
        <f>O12-DATOS!$C$22-INDEX(TABLAS!$C$52:$C$58,MATCH(DATOS!$C$113,TABLAS!$B$52:$B$58,0))-INDEX(TABLAS!$C$52:$C$58,MATCH(MAX(IF(L12="VOLADO",AZ12,AS12),2),TABLAS!$B$52:$B$58,0))/2</f>
        <v>19.415</v>
      </c>
      <c r="BL12" s="43">
        <f>DATOS!$C$46/DATOS!$C$45*IF(L12="VOLADO",BA12*INDEX(TABLAS!$D$52:$D$58,MATCH(MAX(AZ12,2),TABLAS!$B$52:$B$58,0)),AU12*INDEX(TABLAS!$D$52:$D$58,MATCH(MAX(AS12,2),TABLAS!$B$52:$B$58,0)))</f>
        <v>22.9491007337934</v>
      </c>
      <c r="BM12" s="43">
        <f>IF(BL12&lt;=0,0,(SQRT(2*(BL12/(IF(L12="VOLADO",N12,BI12)*BK12))+(BL12/(IF(L12="VOLADO",N12,BI12)*BK12))^2)-(BL12/(IF(L12="VOLADO",N12,BI12)*BK12)))*BK12)</f>
        <v>3.78585054448529</v>
      </c>
      <c r="BN12" s="71">
        <f>IF(AND(L12&lt;&gt;"VOLADO",BM12&gt;DATOS!$C$14),(BI12*DATOS!$C$14^3/12+BI12*DATOS!$C$14*(((-((BI12-N12)*DATOS!$C$14+BL12)+SQRT(((BI12-N12)*DATOS!$C$14+BL12)^2+2*N12*((BI12-N12)*DATOS!$C$14^2/2+BL12*BK12)))/N12)-DATOS!$C$14/2)^2+N12*(((-((BI12-N12)*DATOS!$C$14+BL12)+SQRT(((BI12-N12)*DATOS!$C$14+BL12)^2+2*N12*((BI12-N12)*DATOS!$C$14^2/2+BL12*BK12)))/N12)-DATOS!$C$14)^3/3+BL12*(BK12-((-((BI12-N12)*DATOS!$C$14+BL12)+SQRT(((BI12-N12)*DATOS!$C$14+BL12)^2+2*N12*((BI12-N12)*DATOS!$C$14^2/2+BL12*BK12)))/N12))^2),(IF(L12="VOLADO",N12,BI12)*BM12^3/3+BL12*(BK12-BM12)^2))</f>
        <v>6511.0437864961</v>
      </c>
      <c r="BO12" s="71">
        <f>IF(AP12&lt;=0,BJ12,IF((AP12*1E5)&lt;=2/3*(DATOS!$C$47*BJ12/IF(L12="VOLADO",((BI12*DATOS!$C$14^2/2+N12*(O12-DATOS!$C$14)*(DATOS!$C$14+(O12-DATOS!$C$14)/2))/(BI12*DATOS!$C$14+N12*(O12-DATOS!$C$14))),O12-((BI12*DATOS!$C$14^2/2+N12*(O12-DATOS!$C$14)*(DATOS!$C$14+(O12-DATOS!$C$14)/2))/(BI12*DATOS!$C$14+N12*(O12-DATOS!$C$14))))),BJ12,IF(BL12&lt;=0,0,BN12/(1-(2/3*(DATOS!$C$47*BJ12/IF(L12="VOLADO",((BI12*DATOS!$C$14^2/2+N12*(O12-DATOS!$C$14)*(DATOS!$C$14+(O12-DATOS!$C$14)/2))/(BI12*DATOS!$C$14+N12*(O12-DATOS!$C$14))),O12-((BI12*DATOS!$C$14^2/2+N12*(O12-DATOS!$C$14)*(DATOS!$C$14+(O12-DATOS!$C$14)/2))/(BI12*DATOS!$C$14+N12*(O12-DATOS!$C$14)))))/(AP12*1E5))^2*(1-BN12/BJ12)))))</f>
        <v>31839.7889690292</v>
      </c>
      <c r="BP12" s="62">
        <f>IF(OR(L12="APOYADA",L12="VOLADO"),(IF(L12="VOLADO",(AP12-AH12)/4+AH12/3,5/48*AP12)*1E5*(G12*100)^2/(DATOS!$C$45*MAX(BO12,1)))*(1+2/(1+50*IF(L12="VOLADO",AU12*INDEX(TABLAS!$D$52:$D$58,MATCH(MAX(AS12,2),TABLAS!$B$52:$B$58,0)),DATOS!$C$114*INDEX(TABLAS!$D$52:$D$58,MATCH(MAX(AZ12,2),TABLAS!$B$52:$B$58,0)))/(N12*BK12))*((AA12+AC12)/MAX(AA12+AB12,1E-6))),0)</f>
        <v>0.0079165480779131</v>
      </c>
      <c r="BQ12" s="43">
        <f>IF(S12&gt;0,0.3+G12*100/480,0.5+G12*100/240)</f>
        <v>1.08416666666667</v>
      </c>
      <c r="BR12" s="43">
        <f>IF(S12&gt;0,(T12+U12)*G12+AG12,0)</f>
        <v>0</v>
      </c>
      <c r="BS12" s="43">
        <f>IF(S12&gt;0,(DATOS!$C$51*DATOS!$C$103*100*(G12*100)^3/(DATOS!$C$45*BJ12*((BR12*1000/(DATOS!$C$103*100*S12*100)*DATOS!$C$103*100*(MIN(1,S12/G12)^4-4*MIN(1,S12/G12)^3+8*MIN(1,S12/G12)))/((BR12*1000/(DATOS!$C$103*100*S12*100)*DATOS!$C$103*100*(MIN(1,S12/G12)^4-4*MIN(1,S12/G12)^3+8*MIN(1,S12/G12)))+5*((R12+X12+Y12+IF(L12="APOYADA",8*(0)/G12^2,0))*10)))))^0.25,0)</f>
        <v>0</v>
      </c>
      <c r="BT12" s="57">
        <f>IF(S12&gt;0,MAX(1,IF(MIN(1,S12/G12)&gt;=1,(1.6*BS12-3.9),IF(MIN(1,S12/G12)&lt;0.9,((3.2*BS12-7.8)*1),((3.2*BS12-7.8)*1)+((1.6*BS12-3.9)-((3.2*BS12-7.8)*1))*(MIN(1,S12/G12)-0.9)/0.1)))*BR12*1000/(DATOS!$C$103*100*S12*100),0)</f>
        <v>0</v>
      </c>
      <c r="BU12" s="65" t="str">
        <f>IF(S12=0,"—",IF(DATOS!$C$105/S12&lt;0.6,"REVISAR: H/L &lt; 0.6, interacción muro-viga",IF(BT12&lt;=DATOS!$C$60*DATOS!$C$50,"CUMPLE","NO CUMPLE f_CM &gt; F_R·f'm")))</f>
        <v>—</v>
      </c>
      <c r="BV12" s="57">
        <f>IF(S12&gt;0,MAX(25,IF(BJ12&gt;=(G12*100)^3/1600,0,MIN(G12*100/14,(12*(G12*100)^3/1600/N12)^(1/3)))),IF(L12="APOYADA",MAX(25,G12*100/16),IF(L12="VOLADO",MAX(25,G12*100/8),0)))</f>
        <v>25</v>
      </c>
      <c r="BW12" s="57">
        <f>IF(S12&gt;0,IF(BJ12&gt;=(5/4*(G12*100)^3/DATOS!$C$45*((((S12*DATOS!$C$107+(0+0)*G12+AG12/DATOS!$C$55)*1000)/(DATOS!$C$103*100*S12*100)*DATOS!$C$103*100*(MIN(1,S12/G12)^4-4*MIN(1,S12/G12)^3+8*MIN(1,S12/G12)))+5*((AA12-S12*DATOS!$C$107/G12-(0))*10))),0,MIN((G12*100/((1/15*DATOS!$C$45*N12/((((S12*DATOS!$C$107+(0+0)*G12+AG12/DATOS!$C$55)*1000)/(DATOS!$C$103*100*S12*100)*DATOS!$C$103*100*(MIN(1,S12/G12)^4-4*MIN(1,S12/G12)^3+8*MIN(1,S12/G12)))+5*((AA12-S12*DATOS!$C$107/G12-(0))*10)))^(1/3))),(12*(5/4*(G12*100)^3/DATOS!$C$45*((((S12*DATOS!$C$107+(0+0)*G12+AG12/DATOS!$C$55)*1000)/(DATOS!$C$103*100*S12*100)*DATOS!$C$103*100*(MIN(1,S12/G12)^4-4*MIN(1,S12/G12)^3+8*MIN(1,S12/G12)))+5*((AA12-S12*DATOS!$C$107/G12-(0))*10)))/N12)^(1/3))),0)</f>
        <v>0</v>
      </c>
      <c r="BX12" s="57">
        <f>SQRT(MAX(AM12,AN12)*1E5/(DATOS!$C$58*N12*DATOS!$C$48*(DATOS!$C$82*DATOS!$C$40/DATOS!$C$48)*(1-(DATOS!$C$82*DATOS!$C$40/DATOS!$C$48)/2)))+(O12-AQ12)</f>
        <v>10.2757675093606</v>
      </c>
      <c r="BY12" s="59">
        <f>IF(OR(L12="BORDE DE VOLADO",L12="SIN APOYO"),0,CEILING(MAX(BV12,BW12,BX12,DATOS!$C$15),5))</f>
        <v>25</v>
      </c>
      <c r="BZ12" s="72" t="str">
        <f>IF(L12="BORDE DE VOLADO","BORDE DE VOLADO — armado de orilla",IF(L12="SIN APOYO","SIN APOYO — REVISAR",IF(AND(AW12&lt;=1,BC12&lt;=1,IF(AU12=0,TRUE,AU12&lt;=INT((CB12+DATOS!$C$32)/(INDEX(TABLAS!$C$52:$C$58,MATCH(MAX(AS12,2),TABLAS!$B$52:$B$58,0))+DATOS!$C$32))),IF(BA12=0,TRUE,BA12&lt;=INT((CB12+DATOS!$C$32)/(INDEX(TABLAS!$C$52:$C$58,MATCH(MAX(AZ12,2),TABLAS!$B$52:$B$58,0))+DATOS!$C$32))),AND(OR(NOT(ISNUMBER(AX12)),AX12&gt;=0.005),OR(NOT(ISNUMBER(BD12)),BD12&gt;=0.005)),BH12&lt;&gt;"SECCIÓN INSUFICIENTE",AND(O12&gt;=BV12,O12&gt;=BW12,O12/N12&lt;=6),BP12&lt;=BQ12,OR(S12=0,LEFT(BU12,6)&lt;&gt;"NO CUM")),IF(LEFT(BU12,7)="REVISAR","PENDIENTE: H/L &lt; 0.6, falta el análisis de interacción muro-viga (NTC-M 4.1.18.2.1, p. 44)","CUMPLE")&amp;IF(L12="VOLADO"," (en VOLADO)",""),"NO CUMPLE: "&amp;IF(OR(AR12&lt;0,AY12&lt;0),"sección insuficiente en flexión ",IF(OR(AW12&gt;1,BC12&gt;1),"flexión ",""))&amp;IF(NOT(AND(IF(AU12=0,TRUE,AU12&lt;=INT((CB12+DATOS!$C$32)/(INDEX(TABLAS!$C$52:$C$58,MATCH(MAX(AS12,2),TABLAS!$B$52:$B$58,0))+DATOS!$C$32))),IF(BA12=0,TRUE,BA12&lt;=INT((CB12+DATOS!$C$32)/(INDEX(TABLAS!$C$52:$C$58,MATCH(MAX(AZ12,2),TABLAS!$B$52:$B$58,0))+DATOS!$C$32))))),"no caben ","")&amp;IF(NOT(AND(OR(NOT(ISNUMBER(AX12)),AX12&gt;=0.005),OR(NOT(ISNUMBER(BD12)),BD12&gt;=0.005))),"ε_t ","")&amp;IF(BH12="SECCIÓN INSUFICIENTE","cortante ","")&amp;IF(NOT(AND(O12&gt;=BV12,O12&gt;=BW12,O12/N12&lt;=6)),"peralte ","")&amp;IF(NOT(BP12&lt;=BQ12),"flecha ","")&amp;IF(NOT(OR(S12=0,LEFT(BU12,6)&lt;&gt;"NO CUM")),"muro sobre viga ","")&amp;"→ h ≥ "&amp;TEXT(MAX(BY12,IF(BP12&gt;BQ12,MAX(O12+5,CEILING(O12*(BP12/BQ12)^(1/3),5)),0)),"0")&amp;" cm"&amp;IF(NOT(AND(IF(AU12=0,TRUE,AU12&lt;=INT((CB12+DATOS!$C$32)/(INDEX(TABLAS!$C$52:$C$58,MATCH(MAX(AS12,2),TABLAS!$B$52:$B$58,0))+DATOS!$C$32))),IF(BA12=0,TRUE,BA12&lt;=INT((CB12+DATOS!$C$32)/(INDEX(TABLAS!$C$52:$C$58,MATCH(MAX(AZ12,2),TABLAS!$B$52:$B$58,0))+DATOS!$C$32)))))," y b ≥ "&amp;TEXT(N12+5,"0")&amp;" cm","")&amp;" (verificar)")))</f>
        <v>CUMPLE</v>
      </c>
      <c r="CA12" s="65" t="inlineStr">
        <is>
          <t>Extremo j se apoya en NP-22.</t>
        </is>
      </c>
      <c r="CB12" s="43">
        <f>N12-2*DATOS!$C$22-2*INDEX(TABLAS!$C$52:$C$58,MATCH(DATOS!$C$113,TABLAS!$B$52:$B$58,0))</f>
        <v>5.1</v>
      </c>
    </row>
    <row r="13" ht="30" customHeight="1">
      <c r="B13" s="60" t="inlineStr">
        <is>
          <t>NP-05</t>
        </is>
      </c>
      <c r="C13" s="52" t="inlineStr">
        <is>
          <t>N+3.00</t>
        </is>
      </c>
      <c r="D13" s="51" t="inlineStr">
        <is>
          <t>Eje 6 (y = 6.948)</t>
        </is>
      </c>
      <c r="E13" s="52" t="inlineStr">
        <is>
          <t>(5.460, 6.948)</t>
        </is>
      </c>
      <c r="F13" s="52" t="inlineStr">
        <is>
          <t>(5.923, 6.948)</t>
        </is>
      </c>
      <c r="G13" s="55" t="n">
        <v>0.463</v>
      </c>
      <c r="H13" s="52" t="inlineStr">
        <is>
          <t>LIBRE</t>
        </is>
      </c>
      <c r="I13" s="52" t="inlineStr">
        <is>
          <t>FIRME</t>
        </is>
      </c>
      <c r="J13" s="52" t="inlineStr">
        <is>
          <t>—</t>
        </is>
      </c>
      <c r="K13" s="52" t="inlineStr">
        <is>
          <t>—</t>
        </is>
      </c>
      <c r="L13" s="60" t="str">
        <f>IF(AND(OR(H13="FIRME",H13="NERVADURA",H13="PUNTA"),OR(I13="FIRME",I13="NERVADURA",I13="PUNTA")),"APOYADA",IF(OR(OR(H13="FIRME",H13="NERVADURA",H13="PUNTA"),OR(I13="FIRME",I13="NERVADURA",I13="PUNTA")),"VOLADO","SIN APOYO"))</f>
        <v>VOLADO</v>
      </c>
      <c r="M13" s="52" t="str">
        <f>IF(L13="VOLADO",IF(OR(H13="FIRME",H13="NERVADURA",H13="PUNTA"),"i","j"),"—")</f>
        <v>j</v>
      </c>
      <c r="N13" s="58">
        <f>DATOS!$C$17</f>
        <v>15</v>
      </c>
      <c r="O13" s="58">
        <f>DATOS!$C$15</f>
        <v>25</v>
      </c>
      <c r="P13" s="65" t="str">
        <f>IF(L13="BORDE DE VOLADO","—",IF(OR(N13&lt;&gt;DATOS!$C$17,O13&lt;&gt;DATOS!$C$15),"PERALTAR: trabe "&amp;TEXT(N13,"0")&amp;"×"&amp;TEXT(O13,"0")&amp;IF(O13&gt;DATOS!$C$15," (descuelga "&amp;TEXT(O13-DATOS!$C$15,"0")&amp;" cm)",""),"Queda en la losa (15×25)"))</f>
        <v>Queda en la losa (15×25)</v>
      </c>
      <c r="Q13" s="43">
        <f>SUMIFS(TRIB!$E$6:$E$255,TRIB!$B$6:$B$255,"NP-05")</f>
        <v>0.1072</v>
      </c>
      <c r="R13" s="36">
        <f>SUMIFS(TRIB!$G$6:$G$255,TRIB!$B$6:$B$255,"NP-05")/G13</f>
        <v>0.202539815753515</v>
      </c>
      <c r="S13" s="69" t="n">
        <v>0</v>
      </c>
      <c r="T13" s="36">
        <f>DATOS!$C$55*S13*DATOS!$C$107/G13</f>
        <v>0</v>
      </c>
      <c r="U13" s="36">
        <f>0</f>
        <v>0</v>
      </c>
      <c r="V13" s="61" t="n">
        <v>50</v>
      </c>
      <c r="W13" s="61" t="n">
        <v>0</v>
      </c>
      <c r="X13" s="36">
        <f>(DATOS!$C$55*V13+DATOS!$C$56*W13)/1000</f>
        <v>0.065</v>
      </c>
      <c r="Y13" s="36">
        <f>DATOS!$C$55*(N13/100*O13/100*DATOS!$C$43-N13/100*DATOS!$C$70/1000)</f>
        <v>0.0694836734693878</v>
      </c>
      <c r="Z13" s="70">
        <f>R13+T13+U13+X13+Y13</f>
        <v>0.337023489222903</v>
      </c>
      <c r="AA13" s="36">
        <f>(SUMIFS(TRIB!$I$6:$I$255,TRIB!$B$6:$B$255,"NP-05")-SUMIFS(TRIB!$L$6:$L$255,TRIB!$B$6:$B$255,"NP-05"))/G13+S13*DATOS!$C$107/G13+0+V13/1000+Y13/DATOS!$C$55</f>
        <v>0.208489575527835</v>
      </c>
      <c r="AB13" s="36">
        <f>SUMIFS(TRIB!$L$6:$L$255,TRIB!$B$6:$B$255,"NP-05")/G13+0+W13/1000</f>
        <v>0.0439913606911447</v>
      </c>
      <c r="AC13" s="36">
        <f>SUMIFS(TRIB!$M$6:$M$255,TRIB!$B$6:$B$255,"NP-05")/G13+0+W13/1000*DATOS!$C$91/DATOS!$C$89</f>
        <v>0.0185226781857451</v>
      </c>
      <c r="AD13" s="36">
        <f>TRANSFER!$F$13</f>
        <v>0.618084973469388</v>
      </c>
      <c r="AE13" s="36">
        <f>TRANSFER!$H$13</f>
        <v>0.286173342716327</v>
      </c>
      <c r="AF13" s="36">
        <f>TRANSFER!$I$13</f>
        <v>0.618084973469388</v>
      </c>
      <c r="AG13" s="36">
        <f>0</f>
        <v>0</v>
      </c>
      <c r="AH13" s="36">
        <f>TRANSFER!$N$13</f>
        <v>0.21261190555102</v>
      </c>
      <c r="AI13" s="36">
        <f>IF(L13="APOYADA",Z13*G13/2+TRANSFER!$J$13,IF(AND(L13="VOLADO",M13="i"),Z13*G13+AD13,0))</f>
        <v>0</v>
      </c>
      <c r="AJ13" s="36">
        <f>IF(L13="APOYADA",Z13*G13/2+TRANSFER!$K$13,IF(AND(L13="VOLADO",M13="j"),Z13*G13+AD13,0))</f>
        <v>0.774126848979592</v>
      </c>
      <c r="AK13" s="36">
        <f>IF(L13="APOYADA",(AA13+AB13)*G13/2+TRANSFER!$O$13,IF(AND(L13="VOLADO",M13="i"),(AA13+AB13)*G13+TRANSFER!$M$13,0))</f>
        <v>0</v>
      </c>
      <c r="AL13" s="36">
        <f>IF(L13="APOYADA",(AA13+AB13)*G13/2+TRANSFER!$P$13,IF(AND(L13="VOLADO",M13="j"),(AA13+AB13)*G13+TRANSFER!$M$13,0))</f>
        <v>0.576103653061225</v>
      </c>
      <c r="AM13" s="70">
        <f>IF(L13="APOYADA",Z13*G13^2/8+AE13,0)</f>
        <v>0</v>
      </c>
      <c r="AN13" s="70">
        <f>IF(L13="APOYADA",DATOS!$C$64*AM13,IF(L13="VOLADO",Z13*G13^2/2+AE13,0))</f>
        <v>0.322297036896939</v>
      </c>
      <c r="AO13" s="70">
        <f>IF(L13="APOYADA",Z13*G13/2+AF13,IF(L13="VOLADO",Z13*G13+AF13,0))</f>
        <v>0.774126848979592</v>
      </c>
      <c r="AP13" s="36">
        <f>IF(L13="APOYADA",(AA13+AB13)*G13^2/8+AH13,IF(L13="VOLADO",(AA13+AB13)*G13^2/2+AH13,0))</f>
        <v>0.239673948459184</v>
      </c>
      <c r="AQ13" s="43">
        <f>O13-DATOS!$C$22-INDEX(TABLAS!$C$52:$C$58,MATCH(DATOS!$C$113,TABLAS!$B$52:$B$58,0))-INDEX(TABLAS!$C$52:$C$58,MATCH(DATOS!$C$112,TABLAS!$B$52:$B$58,0))/2</f>
        <v>19.415</v>
      </c>
      <c r="AR13" s="43">
        <f>IF(OR(L13="BORDE DE VOLADO",L13="SIN APOYO"),0,IF(IF(AM13&lt;=0,0,IF((1-2*AM13*1E5/(DATOS!$C$58*N13*AQ13^2*DATOS!$C$48))&lt;0,-1,IF((1-SQRT((1-2*AM13*1E5/(DATOS!$C$58*N13*AQ13^2*DATOS!$C$48))))*DATOS!$C$48*N13*AQ13/DATOS!$C$40&gt;DATOS!$C$82*N13*AQ13,-1,(1-SQRT((1-2*AM13*1E5/(DATOS!$C$58*N13*AQ13^2*DATOS!$C$48))))*DATOS!$C$48*N13*AQ13/DATOS!$C$40)))&lt;0,-1,MAX(IF(AM13&lt;=0,0,IF((1-2*AM13*1E5/(DATOS!$C$58*N13*AQ13^2*DATOS!$C$48))&lt;0,-1,IF((1-SQRT((1-2*AM13*1E5/(DATOS!$C$58*N13*AQ13^2*DATOS!$C$48))))*DATOS!$C$48*N13*AQ13/DATOS!$C$40&gt;DATOS!$C$82*N13*AQ13,-1,(1-SQRT((1-2*AM13*1E5/(DATOS!$C$58*N13*AQ13^2*DATOS!$C$48))))*DATOS!$C$48*N13*AQ13/DATOS!$C$40))),MIN(DATOS!$C$83*N13*AQ13,4/3*IF(AM13&lt;=0,0,IF((1-2*AM13*1E5/(DATOS!$C$58*N13*AQ13^2*DATOS!$C$48))&lt;0,-1,IF((1-SQRT((1-2*AM13*1E5/(DATOS!$C$58*N13*AQ13^2*DATOS!$C$48))))*DATOS!$C$48*N13*AQ13/DATOS!$C$40&gt;DATOS!$C$82*N13*AQ13,-1,(1-SQRT((1-2*AM13*1E5/(DATOS!$C$58*N13*AQ13^2*DATOS!$C$48))))*DATOS!$C$48*N13*AQ13/DATOS!$C$40)))))))</f>
        <v>0</v>
      </c>
      <c r="AS13" s="41">
        <f>IF(AR13&lt;0,0,IF(AND(AR13&gt;=0,MAX(DATOS!$C$114,CEILING(AR13/INDEX(TABLAS!$D$52:$D$58,MIN(MATCH(DATOS!$C$112,TABLAS!$B$52:$B$58,0)+0,7)),1))&lt;=MIN(99,INT((CB13+MAX(DATOS!$C$32,INDEX(TABLAS!$C$52:$C$58,MIN(MATCH(DATOS!$C$112,TABLAS!$B$52:$B$58,0)+0,7))))/(INDEX(TABLAS!$C$52:$C$58,MIN(MATCH(DATOS!$C$112,TABLAS!$B$52:$B$58,0)+0,7))+MAX(DATOS!$C$32,INDEX(TABLAS!$C$52:$C$58,MIN(MATCH(DATOS!$C$112,TABLAS!$B$52:$B$58,0)+0,7))))))),INDEX(TABLAS!$B$52:$B$58,MIN(MATCH(DATOS!$C$112,TABLAS!$B$52:$B$58,0)+0,7)),IF(AND(AR13&gt;=0,MAX(DATOS!$C$114,CEILING(AR13/INDEX(TABLAS!$D$52:$D$58,MIN(MATCH(DATOS!$C$112,TABLAS!$B$52:$B$58,0)+1,7)),1))&lt;=MIN(99,INT((CB13+MAX(DATOS!$C$32,INDEX(TABLAS!$C$52:$C$58,MIN(MATCH(DATOS!$C$112,TABLAS!$B$52:$B$58,0)+1,7))))/(INDEX(TABLAS!$C$52:$C$58,MIN(MATCH(DATOS!$C$112,TABLAS!$B$52:$B$58,0)+1,7))+MAX(DATOS!$C$32,INDEX(TABLAS!$C$52:$C$58,MIN(MATCH(DATOS!$C$112,TABLAS!$B$52:$B$58,0)+1,7))))))),INDEX(TABLAS!$B$52:$B$58,MIN(MATCH(DATOS!$C$112,TABLAS!$B$52:$B$58,0)+1,7)),IF(AND(AR13&gt;=0,MAX(DATOS!$C$114,CEILING(AR13/INDEX(TABLAS!$D$52:$D$58,MIN(MATCH(DATOS!$C$112,TABLAS!$B$52:$B$58,0)+2,7)),1))&lt;=MIN(99,INT((CB13+MAX(DATOS!$C$32,INDEX(TABLAS!$C$52:$C$58,MIN(MATCH(DATOS!$C$112,TABLAS!$B$52:$B$58,0)+2,7))))/(INDEX(TABLAS!$C$52:$C$58,MIN(MATCH(DATOS!$C$112,TABLAS!$B$52:$B$58,0)+2,7))+MAX(DATOS!$C$32,INDEX(TABLAS!$C$52:$C$58,MIN(MATCH(DATOS!$C$112,TABLAS!$B$52:$B$58,0)+2,7))))))),INDEX(TABLAS!$B$52:$B$58,MIN(MATCH(DATOS!$C$112,TABLAS!$B$52:$B$58,0)+2,7)),IF(AND(AR13&gt;=0,MAX(DATOS!$C$114,CEILING(AR13/INDEX(TABLAS!$D$52:$D$58,MIN(MATCH(DATOS!$C$112,TABLAS!$B$52:$B$58,0)+3,7)),1))&lt;=MIN(99,INT((CB13+MAX(DATOS!$C$32,INDEX(TABLAS!$C$52:$C$58,MIN(MATCH(DATOS!$C$112,TABLAS!$B$52:$B$58,0)+3,7))))/(INDEX(TABLAS!$C$52:$C$58,MIN(MATCH(DATOS!$C$112,TABLAS!$B$52:$B$58,0)+3,7))+MAX(DATOS!$C$32,INDEX(TABLAS!$C$52:$C$58,MIN(MATCH(DATOS!$C$112,TABLAS!$B$52:$B$58,0)+3,7))))))),INDEX(TABLAS!$B$52:$B$58,MIN(MATCH(DATOS!$C$112,TABLAS!$B$52:$B$58,0)+3,7)),IF(AND(AR13&gt;=0,MAX(DATOS!$C$114,CEILING(AR13/INDEX(TABLAS!$D$52:$D$58,MIN(MATCH(DATOS!$C$112,TABLAS!$B$52:$B$58,0)+4,7)),1))&lt;=MIN(99,INT((CB13+MAX(DATOS!$C$32,INDEX(TABLAS!$C$52:$C$58,MIN(MATCH(DATOS!$C$112,TABLAS!$B$52:$B$58,0)+4,7))))/(INDEX(TABLAS!$C$52:$C$58,MIN(MATCH(DATOS!$C$112,TABLAS!$B$52:$B$58,0)+4,7))+MAX(DATOS!$C$32,INDEX(TABLAS!$C$52:$C$58,MIN(MATCH(DATOS!$C$112,TABLAS!$B$52:$B$58,0)+4,7))))))),INDEX(TABLAS!$B$52:$B$58,MIN(MATCH(DATOS!$C$112,TABLAS!$B$52:$B$58,0)+4,7)),INDEX(TABLAS!$B$52:$B$58,7)))))))</f>
        <v>4</v>
      </c>
      <c r="AT13" s="58" t="n">
        <v>0</v>
      </c>
      <c r="AU13" s="56">
        <f>IF(OR(L13="BORDE DE VOLADO",L13="SIN APOYO"),0,IF(AR13&lt;0,0,MAX(DATOS!$C$114,CEILING(AR13/INDEX(TABLAS!$D$52:$D$58,MATCH(IF(AS13=0,8,AS13),TABLAS!$B$52:$B$58,0)),1))+AT13))</f>
        <v>2</v>
      </c>
      <c r="AV13" s="36">
        <f>IF(AU13=0,0,DATOS!$C$58*AU13*INDEX(TABLAS!$D$52:$D$58,MATCH(AS13,TABLAS!$B$52:$B$58,0))*DATOS!$C$40*((O13-DATOS!$C$22-INDEX(TABLAS!$C$52:$C$58,MATCH(DATOS!$C$113,TABLAS!$B$52:$B$58,0))-INDEX(TABLAS!$C$52:$C$58,MATCH(AS13,TABLAS!$B$52:$B$58,0))/2)-AU13*INDEX(TABLAS!$D$52:$D$58,MATCH(AS13,TABLAS!$B$52:$B$58,0))*DATOS!$C$40/(DATOS!$C$48*N13)/2)/1E5)</f>
        <v>1.70340536964706</v>
      </c>
      <c r="AW13" s="62">
        <f>IF(AR13&lt;0,9.99,IF(AV13&gt;0,AM13/AV13,0))</f>
        <v>0</v>
      </c>
      <c r="AX13" s="63">
        <f>IF(AU13=0,"—",0.003*((O13-DATOS!$C$22-INDEX(TABLAS!$C$52:$C$58,MATCH(DATOS!$C$113,TABLAS!$B$52:$B$58,0))-INDEX(TABLAS!$C$52:$C$58,MATCH(AS13,TABLAS!$B$52:$B$58,0))/2)-(AU13*INDEX(TABLAS!$D$52:$D$58,MATCH(AS13,TABLAS!$B$52:$B$58,0))*DATOS!$C$40/(DATOS!$C$48*N13)/DATOS!$C$49))/(AU13*INDEX(TABLAS!$D$52:$D$58,MATCH(AS13,TABLAS!$B$52:$B$58,0))*DATOS!$C$40/(DATOS!$C$48*N13)/DATOS!$C$49))</f>
        <v>0.0117926084434758</v>
      </c>
      <c r="AY13" s="43">
        <f>IF(OR(L13="BORDE DE VOLADO",L13="SIN APOYO"),0,IF(IF(AN13&lt;=0,0,IF((1-2*AN13*1E5/(DATOS!$C$58*N13*AQ13^2*DATOS!$C$48))&lt;0,-1,IF((1-SQRT((1-2*AN13*1E5/(DATOS!$C$58*N13*AQ13^2*DATOS!$C$48))))*DATOS!$C$48*N13*AQ13/DATOS!$C$40&gt;DATOS!$C$82*N13*AQ13,-1,(1-SQRT((1-2*AN13*1E5/(DATOS!$C$58*N13*AQ13^2*DATOS!$C$48))))*DATOS!$C$48*N13*AQ13/DATOS!$C$40)))&lt;0,-1,MAX(IF(AN13&lt;=0,0,IF((1-2*AN13*1E5/(DATOS!$C$58*N13*AQ13^2*DATOS!$C$48))&lt;0,-1,IF((1-SQRT((1-2*AN13*1E5/(DATOS!$C$58*N13*AQ13^2*DATOS!$C$48))))*DATOS!$C$48*N13*AQ13/DATOS!$C$40&gt;DATOS!$C$82*N13*AQ13,-1,(1-SQRT((1-2*AN13*1E5/(DATOS!$C$58*N13*AQ13^2*DATOS!$C$48))))*DATOS!$C$48*N13*AQ13/DATOS!$C$40))),MIN(DATOS!$C$83*IF(L13="VOLADO",MIN(BI13,2*N13),N13)*AQ13,4/3*IF(AN13&lt;=0,0,IF((1-2*AN13*1E5/(DATOS!$C$58*N13*AQ13^2*DATOS!$C$48))&lt;0,-1,IF((1-SQRT((1-2*AN13*1E5/(DATOS!$C$58*N13*AQ13^2*DATOS!$C$48))))*DATOS!$C$48*N13*AQ13/DATOS!$C$40&gt;DATOS!$C$82*N13*AQ13,-1,(1-SQRT((1-2*AN13*1E5/(DATOS!$C$58*N13*AQ13^2*DATOS!$C$48))))*DATOS!$C$48*N13*AQ13/DATOS!$C$40)))))))</f>
        <v>0.594548907625152</v>
      </c>
      <c r="AZ13" s="41">
        <f>IF(AY13&lt;0,0,IF(AND(AY13&gt;=0,MAX(DATOS!$C$114,CEILING(AY13/INDEX(TABLAS!$D$52:$D$58,MIN(MATCH(DATOS!$C$112,TABLAS!$B$52:$B$58,0)+0,7)),1))&lt;=MIN(99,INT((CB13+MAX(DATOS!$C$32,INDEX(TABLAS!$C$52:$C$58,MIN(MATCH(DATOS!$C$112,TABLAS!$B$52:$B$58,0)+0,7))))/(INDEX(TABLAS!$C$52:$C$58,MIN(MATCH(DATOS!$C$112,TABLAS!$B$52:$B$58,0)+0,7))+MAX(DATOS!$C$32,INDEX(TABLAS!$C$52:$C$58,MIN(MATCH(DATOS!$C$112,TABLAS!$B$52:$B$58,0)+0,7))))))),INDEX(TABLAS!$B$52:$B$58,MIN(MATCH(DATOS!$C$112,TABLAS!$B$52:$B$58,0)+0,7)),IF(AND(AY13&gt;=0,MAX(DATOS!$C$114,CEILING(AY13/INDEX(TABLAS!$D$52:$D$58,MIN(MATCH(DATOS!$C$112,TABLAS!$B$52:$B$58,0)+1,7)),1))&lt;=MIN(99,INT((CB13+MAX(DATOS!$C$32,INDEX(TABLAS!$C$52:$C$58,MIN(MATCH(DATOS!$C$112,TABLAS!$B$52:$B$58,0)+1,7))))/(INDEX(TABLAS!$C$52:$C$58,MIN(MATCH(DATOS!$C$112,TABLAS!$B$52:$B$58,0)+1,7))+MAX(DATOS!$C$32,INDEX(TABLAS!$C$52:$C$58,MIN(MATCH(DATOS!$C$112,TABLAS!$B$52:$B$58,0)+1,7))))))),INDEX(TABLAS!$B$52:$B$58,MIN(MATCH(DATOS!$C$112,TABLAS!$B$52:$B$58,0)+1,7)),IF(AND(AY13&gt;=0,MAX(DATOS!$C$114,CEILING(AY13/INDEX(TABLAS!$D$52:$D$58,MIN(MATCH(DATOS!$C$112,TABLAS!$B$52:$B$58,0)+2,7)),1))&lt;=MIN(99,INT((CB13+MAX(DATOS!$C$32,INDEX(TABLAS!$C$52:$C$58,MIN(MATCH(DATOS!$C$112,TABLAS!$B$52:$B$58,0)+2,7))))/(INDEX(TABLAS!$C$52:$C$58,MIN(MATCH(DATOS!$C$112,TABLAS!$B$52:$B$58,0)+2,7))+MAX(DATOS!$C$32,INDEX(TABLAS!$C$52:$C$58,MIN(MATCH(DATOS!$C$112,TABLAS!$B$52:$B$58,0)+2,7))))))),INDEX(TABLAS!$B$52:$B$58,MIN(MATCH(DATOS!$C$112,TABLAS!$B$52:$B$58,0)+2,7)),IF(AND(AY13&gt;=0,MAX(DATOS!$C$114,CEILING(AY13/INDEX(TABLAS!$D$52:$D$58,MIN(MATCH(DATOS!$C$112,TABLAS!$B$52:$B$58,0)+3,7)),1))&lt;=MIN(99,INT((CB13+MAX(DATOS!$C$32,INDEX(TABLAS!$C$52:$C$58,MIN(MATCH(DATOS!$C$112,TABLAS!$B$52:$B$58,0)+3,7))))/(INDEX(TABLAS!$C$52:$C$58,MIN(MATCH(DATOS!$C$112,TABLAS!$B$52:$B$58,0)+3,7))+MAX(DATOS!$C$32,INDEX(TABLAS!$C$52:$C$58,MIN(MATCH(DATOS!$C$112,TABLAS!$B$52:$B$58,0)+3,7))))))),INDEX(TABLAS!$B$52:$B$58,MIN(MATCH(DATOS!$C$112,TABLAS!$B$52:$B$58,0)+3,7)),IF(AND(AY13&gt;=0,MAX(DATOS!$C$114,CEILING(AY13/INDEX(TABLAS!$D$52:$D$58,MIN(MATCH(DATOS!$C$112,TABLAS!$B$52:$B$58,0)+4,7)),1))&lt;=MIN(99,INT((CB13+MAX(DATOS!$C$32,INDEX(TABLAS!$C$52:$C$58,MIN(MATCH(DATOS!$C$112,TABLAS!$B$52:$B$58,0)+4,7))))/(INDEX(TABLAS!$C$52:$C$58,MIN(MATCH(DATOS!$C$112,TABLAS!$B$52:$B$58,0)+4,7))+MAX(DATOS!$C$32,INDEX(TABLAS!$C$52:$C$58,MIN(MATCH(DATOS!$C$112,TABLAS!$B$52:$B$58,0)+4,7))))))),INDEX(TABLAS!$B$52:$B$58,MIN(MATCH(DATOS!$C$112,TABLAS!$B$52:$B$58,0)+4,7)),INDEX(TABLAS!$B$52:$B$58,7)))))))</f>
        <v>4</v>
      </c>
      <c r="BA13" s="56">
        <f>IF(OR(L13="BORDE DE VOLADO",L13="SIN APOYO"),0,IF(AY13&lt;0,0,MAX(DATOS!$C$114,CEILING(AY13/INDEX(TABLAS!$D$52:$D$58,MATCH(IF(AZ13=0,8,AZ13),TABLAS!$B$52:$B$58,0)),1))))</f>
        <v>2</v>
      </c>
      <c r="BB13" s="36">
        <f>IF(BA13=0,0,DATOS!$C$58*BA13*INDEX(TABLAS!$D$52:$D$58,MATCH(AZ13,TABLAS!$B$52:$B$58,0))*DATOS!$C$40*((O13-DATOS!$C$22-INDEX(TABLAS!$C$52:$C$58,MATCH(DATOS!$C$113,TABLAS!$B$52:$B$58,0))-INDEX(TABLAS!$C$52:$C$58,MATCH(AZ13,TABLAS!$B$52:$B$58,0))/2)-BA13*INDEX(TABLAS!$D$52:$D$58,MATCH(AZ13,TABLAS!$B$52:$B$58,0))*DATOS!$C$40/(DATOS!$C$48*N13)/2)/1E5)</f>
        <v>1.70340536964706</v>
      </c>
      <c r="BC13" s="62">
        <f>IF(AY13&lt;0,9.99,IF(BB13&gt;0,AN13/BB13,0))</f>
        <v>0.189207479699162</v>
      </c>
      <c r="BD13" s="63">
        <f>IF(BA13=0,"—",0.003*((O13-DATOS!$C$22-INDEX(TABLAS!$C$52:$C$58,MATCH(DATOS!$C$113,TABLAS!$B$52:$B$58,0))-INDEX(TABLAS!$C$52:$C$58,MATCH(AZ13,TABLAS!$B$52:$B$58,0))/2)-(BA13*INDEX(TABLAS!$D$52:$D$58,MATCH(AZ13,TABLAS!$B$52:$B$58,0))*DATOS!$C$40/(DATOS!$C$48*N13)/DATOS!$C$49))/(BA13*INDEX(TABLAS!$D$52:$D$58,MATCH(AZ13,TABLAS!$B$52:$B$58,0))*DATOS!$C$40/(DATOS!$C$48*N13)/DATOS!$C$49))</f>
        <v>0.0117926084434758</v>
      </c>
      <c r="BE13" s="36">
        <f>IF(BA13=0,0,DATOS!$C$59*MIN(1.25,MAX(0.5,2*MAX(1E-6,MIN(AU13*INDEX(TABLAS!$D$52:$D$58,MATCH(MAX(AS13,2),TABLAS!$B$52:$B$58,0)),BA13*INDEX(TABLAS!$D$52:$D$58,MATCH(MAX(AZ13,2),TABLAS!$B$52:$B$58,0)))/(N13*AQ13))^(1/3)))*SQRT(DATOS!$C$39)*N13*AQ13/1000)</f>
        <v>1.72675183421726</v>
      </c>
      <c r="BF13" s="57">
        <f>IF(AO13=0,0,FLOOR(MIN(IF(AO13&gt;BE13,DATOS!$C$59*2*INDEX(TABLAS!$D$52:$D$58,MATCH(DATOS!$C$113,TABLAS!$B$52:$B$58,0))*DATOS!$C$42*AQ13/((AO13-BE13)*1000),999),IF(MAX(0,AO13-BE13)/DATOS!$C$59&lt;=1.1*SQRT(DATOS!$C$39)*N13*AQ13/1000,MIN(AQ13/2,60),MIN(AQ13/4,30)),2*INDEX(TABLAS!$D$52:$D$58,MATCH(DATOS!$C$113,TABLAS!$B$52:$B$58,0))*DATOS!$C$42/(MAX(0.2*SQRT(DATOS!$C$39),3.5)*N13),MIN(16*INDEX(TABLAS!$C$52:$C$58,MATCH(MIN(MAX(AS13,2),MAX(AZ13,2)),TABLAS!$B$52:$B$58,0)),48*INDEX(TABLAS!$C$52:$C$58,MATCH(DATOS!$C$113,TABLAS!$B$52:$B$58,0))),DATOS!$C$115),0.5))</f>
        <v>9.5</v>
      </c>
      <c r="BG13" s="57">
        <f>BF13</f>
        <v>9.5</v>
      </c>
      <c r="BH13" s="51" t="str">
        <f>IF(AO13=0,"—",IF(AO13&gt;DATOS!$C$59*(BE13/DATOS!$C$59+2.2*SQRT(DATOS!$C$39)*N13*AQ13/1000),"SECCIÓN INSUFICIENTE","E No. "&amp;TEXT(DATOS!$C$113,"0")&amp;IF(BG13&lt;BF13," @ "&amp;TEXT(BG13,"0.0")&amp;" en 2h y"," @")&amp;" "&amp;TEXT(BF13,"0.0")&amp;" cm"))</f>
        <v>E No. 3 @ 9.5 cm</v>
      </c>
      <c r="BI13" s="56">
        <f>N13+MIN(6*DATOS!$C$14,DATOS!$C$11/2,G13*100/12)</f>
        <v>18.8583333333333</v>
      </c>
      <c r="BJ13" s="71">
        <f>BI13*DATOS!$C$14^3/12+BI13*DATOS!$C$14*(((BI13*DATOS!$C$14^2/2+N13*(O13-DATOS!$C$14)*(DATOS!$C$14+(O13-DATOS!$C$14)/2))/(BI13*DATOS!$C$14+N13*(O13-DATOS!$C$14)))-DATOS!$C$14/2)^2+N13*(O13-DATOS!$C$14)^3/12+N13*(O13-DATOS!$C$14)*(DATOS!$C$14+(O13-DATOS!$C$14)/2-((BI13*DATOS!$C$14^2/2+N13*(O13-DATOS!$C$14)*(DATOS!$C$14+(O13-DATOS!$C$14)/2))/(BI13*DATOS!$C$14+N13*(O13-DATOS!$C$14))))^2</f>
        <v>21406.2185269089</v>
      </c>
      <c r="BK13" s="43">
        <f>O13-DATOS!$C$22-INDEX(TABLAS!$C$52:$C$58,MATCH(DATOS!$C$113,TABLAS!$B$52:$B$58,0))-INDEX(TABLAS!$C$52:$C$58,MATCH(MAX(IF(L13="VOLADO",AZ13,AS13),2),TABLAS!$B$52:$B$58,0))/2</f>
        <v>19.415</v>
      </c>
      <c r="BL13" s="43">
        <f>DATOS!$C$46/DATOS!$C$45*IF(L13="VOLADO",BA13*INDEX(TABLAS!$D$52:$D$58,MATCH(MAX(AZ13,2),TABLAS!$B$52:$B$58,0)),AU13*INDEX(TABLAS!$D$52:$D$58,MATCH(MAX(AS13,2),TABLAS!$B$52:$B$58,0)))</f>
        <v>22.9491007337934</v>
      </c>
      <c r="BM13" s="43">
        <f>IF(BL13&lt;=0,0,(SQRT(2*(BL13/(IF(L13="VOLADO",N13,BI13)*BK13))+(BL13/(IF(L13="VOLADO",N13,BI13)*BK13))^2)-(BL13/(IF(L13="VOLADO",N13,BI13)*BK13)))*BK13)</f>
        <v>6.32806788266428</v>
      </c>
      <c r="BN13" s="71">
        <f>IF(AND(L13&lt;&gt;"VOLADO",BM13&gt;DATOS!$C$14),(BI13*DATOS!$C$14^3/12+BI13*DATOS!$C$14*(((-((BI13-N13)*DATOS!$C$14+BL13)+SQRT(((BI13-N13)*DATOS!$C$14+BL13)^2+2*N13*((BI13-N13)*DATOS!$C$14^2/2+BL13*BK13)))/N13)-DATOS!$C$14/2)^2+N13*(((-((BI13-N13)*DATOS!$C$14+BL13)+SQRT(((BI13-N13)*DATOS!$C$14+BL13)^2+2*N13*((BI13-N13)*DATOS!$C$14^2/2+BL13*BK13)))/N13)-DATOS!$C$14)^3/3+BL13*(BK13-((-((BI13-N13)*DATOS!$C$14+BL13)+SQRT(((BI13-N13)*DATOS!$C$14+BL13)^2+2*N13*((BI13-N13)*DATOS!$C$14^2/2+BL13*BK13)))/N13))^2),(IF(L13="VOLADO",N13,BI13)*BM13^3/3+BL13*(BK13-BM13)^2))</f>
        <v>5197.46158883123</v>
      </c>
      <c r="BO13" s="71">
        <f>IF(AP13&lt;=0,BJ13,IF((AP13*1E5)&lt;=2/3*(DATOS!$C$47*BJ13/IF(L13="VOLADO",((BI13*DATOS!$C$14^2/2+N13*(O13-DATOS!$C$14)*(DATOS!$C$14+(O13-DATOS!$C$14)/2))/(BI13*DATOS!$C$14+N13*(O13-DATOS!$C$14))),O13-((BI13*DATOS!$C$14^2/2+N13*(O13-DATOS!$C$14)*(DATOS!$C$14+(O13-DATOS!$C$14)/2))/(BI13*DATOS!$C$14+N13*(O13-DATOS!$C$14))))),BJ13,IF(BL13&lt;=0,0,BN13/(1-(2/3*(DATOS!$C$47*BJ13/IF(L13="VOLADO",((BI13*DATOS!$C$14^2/2+N13*(O13-DATOS!$C$14)*(DATOS!$C$14+(O13-DATOS!$C$14)/2))/(BI13*DATOS!$C$14+N13*(O13-DATOS!$C$14))),O13-((BI13*DATOS!$C$14^2/2+N13*(O13-DATOS!$C$14)*(DATOS!$C$14+(O13-DATOS!$C$14)/2))/(BI13*DATOS!$C$14+N13*(O13-DATOS!$C$14)))))/(AP13*1E5))^2*(1-BN13/BJ13)))))</f>
        <v>21406.2185269089</v>
      </c>
      <c r="BP13" s="62">
        <f>IF(OR(L13="APOYADA",L13="VOLADO"),(IF(L13="VOLADO",(AP13-AH13)/4+AH13/3,5/48*AP13)*1E5*(G13*100)^2/(DATOS!$C$45*MAX(BO13,1)))*(1+2/(1+50*IF(L13="VOLADO",AU13*INDEX(TABLAS!$D$52:$D$58,MATCH(MAX(AS13,2),TABLAS!$B$52:$B$58,0)),DATOS!$C$114*INDEX(TABLAS!$D$52:$D$58,MATCH(MAX(AZ13,2),TABLAS!$B$52:$B$58,0)))/(N13*BK13))*((AA13+AC13)/MAX(AA13+AB13,1E-6))),0)</f>
        <v>0.00791029173785924</v>
      </c>
      <c r="BQ13" s="43">
        <f>IF(S13&gt;0,0.3+G13*100/480,0.5+G13*100/240)</f>
        <v>0.692916666666667</v>
      </c>
      <c r="BR13" s="43">
        <f>IF(S13&gt;0,(T13+U13)*G13+AG13,0)</f>
        <v>0</v>
      </c>
      <c r="BS13" s="43">
        <f>IF(S13&gt;0,(DATOS!$C$51*DATOS!$C$103*100*(G13*100)^3/(DATOS!$C$45*BJ13*((BR13*1000/(DATOS!$C$103*100*S13*100)*DATOS!$C$103*100*(MIN(1,S13/G13)^4-4*MIN(1,S13/G13)^3+8*MIN(1,S13/G13)))/((BR13*1000/(DATOS!$C$103*100*S13*100)*DATOS!$C$103*100*(MIN(1,S13/G13)^4-4*MIN(1,S13/G13)^3+8*MIN(1,S13/G13)))+5*((R13+X13+Y13+IF(L13="APOYADA",8*(TRANSFER!$H$13)/G13^2,0))*10)))))^0.25,0)</f>
        <v>0</v>
      </c>
      <c r="BT13" s="57">
        <f>IF(S13&gt;0,MAX(1,IF(MIN(1,S13/G13)&gt;=1,(1.6*BS13-3.9),IF(MIN(1,S13/G13)&lt;0.9,((3.2*BS13-7.8)*1),((3.2*BS13-7.8)*1)+((1.6*BS13-3.9)-((3.2*BS13-7.8)*1))*(MIN(1,S13/G13)-0.9)/0.1)))*BR13*1000/(DATOS!$C$103*100*S13*100),0)</f>
        <v>0</v>
      </c>
      <c r="BU13" s="65" t="str">
        <f>IF(S13=0,"—",IF(DATOS!$C$105/S13&lt;0.6,"REVISAR: H/L &lt; 0.6, interacción muro-viga",IF(BT13&lt;=DATOS!$C$60*DATOS!$C$50,"CUMPLE","NO CUMPLE f_CM &gt; F_R·f'm")))</f>
        <v>—</v>
      </c>
      <c r="BV13" s="57">
        <f>IF(S13&gt;0,MAX(25,IF(BJ13&gt;=(G13*100)^3/1600,0,MIN(G13*100/14,(12*(G13*100)^3/1600/N13)^(1/3)))),IF(L13="APOYADA",MAX(25,G13*100/16),IF(L13="VOLADO",MAX(25,G13*100/8),0)))</f>
        <v>25</v>
      </c>
      <c r="BW13" s="57">
        <f>IF(S13&gt;0,IF(BJ13&gt;=(5/4*(G13*100)^3/DATOS!$C$45*((((S13*DATOS!$C$107+(0+0)*G13+AG13/DATOS!$C$55)*1000)/(DATOS!$C$103*100*S13*100)*DATOS!$C$103*100*(MIN(1,S13/G13)^4-4*MIN(1,S13/G13)^3+8*MIN(1,S13/G13)))+5*((AA13-S13*DATOS!$C$107/G13-(0))*10))),0,MIN((G13*100/((1/15*DATOS!$C$45*N13/((((S13*DATOS!$C$107+(0+0)*G13+AG13/DATOS!$C$55)*1000)/(DATOS!$C$103*100*S13*100)*DATOS!$C$103*100*(MIN(1,S13/G13)^4-4*MIN(1,S13/G13)^3+8*MIN(1,S13/G13)))+5*((AA13-S13*DATOS!$C$107/G13-(0))*10)))^(1/3))),(12*(5/4*(G13*100)^3/DATOS!$C$45*((((S13*DATOS!$C$107+(0+0)*G13+AG13/DATOS!$C$55)*1000)/(DATOS!$C$103*100*S13*100)*DATOS!$C$103*100*(MIN(1,S13/G13)^4-4*MIN(1,S13/G13)^3+8*MIN(1,S13/G13)))+5*((AA13-S13*DATOS!$C$107/G13-(0))*10)))/N13)^(1/3))),0)</f>
        <v>0</v>
      </c>
      <c r="BX13" s="57">
        <f>SQRT(MAX(AM13,AN13)*1E5/(DATOS!$C$58*N13*DATOS!$C$48*(DATOS!$C$82*DATOS!$C$40/DATOS!$C$48)*(1-(DATOS!$C$82*DATOS!$C$40/DATOS!$C$48)/2)))+(O13-AQ13)</f>
        <v>12.0602353409705</v>
      </c>
      <c r="BY13" s="59">
        <f>IF(OR(L13="BORDE DE VOLADO",L13="SIN APOYO"),0,CEILING(MAX(BV13,BW13,BX13,DATOS!$C$15),5))</f>
        <v>25</v>
      </c>
      <c r="BZ13" s="72" t="str">
        <f>IF(L13="BORDE DE VOLADO","BORDE DE VOLADO — armado de orilla",IF(L13="SIN APOYO","SIN APOYO — REVISAR",IF(AND(AW13&lt;=1,BC13&lt;=1,IF(AU13=0,TRUE,AU13&lt;=INT((CB13+DATOS!$C$32)/(INDEX(TABLAS!$C$52:$C$58,MATCH(MAX(AS13,2),TABLAS!$B$52:$B$58,0))+DATOS!$C$32))),IF(BA13=0,TRUE,BA13&lt;=INT((CB13+DATOS!$C$32)/(INDEX(TABLAS!$C$52:$C$58,MATCH(MAX(AZ13,2),TABLAS!$B$52:$B$58,0))+DATOS!$C$32))),AND(OR(NOT(ISNUMBER(AX13)),AX13&gt;=0.005),OR(NOT(ISNUMBER(BD13)),BD13&gt;=0.005)),BH13&lt;&gt;"SECCIÓN INSUFICIENTE",AND(O13&gt;=BV13,O13&gt;=BW13,O13/N13&lt;=6),BP13&lt;=BQ13,OR(S13=0,LEFT(BU13,6)&lt;&gt;"NO CUM")),IF(LEFT(BU13,7)="REVISAR","PENDIENTE: H/L &lt; 0.6, falta el análisis de interacción muro-viga (NTC-M 4.1.18.2.1, p. 44)","CUMPLE")&amp;IF(L13="VOLADO"," (en VOLADO)",""),"NO CUMPLE: "&amp;IF(OR(AR13&lt;0,AY13&lt;0),"sección insuficiente en flexión ",IF(OR(AW13&gt;1,BC13&gt;1),"flexión ",""))&amp;IF(NOT(AND(IF(AU13=0,TRUE,AU13&lt;=INT((CB13+DATOS!$C$32)/(INDEX(TABLAS!$C$52:$C$58,MATCH(MAX(AS13,2),TABLAS!$B$52:$B$58,0))+DATOS!$C$32))),IF(BA13=0,TRUE,BA13&lt;=INT((CB13+DATOS!$C$32)/(INDEX(TABLAS!$C$52:$C$58,MATCH(MAX(AZ13,2),TABLAS!$B$52:$B$58,0))+DATOS!$C$32))))),"no caben ","")&amp;IF(NOT(AND(OR(NOT(ISNUMBER(AX13)),AX13&gt;=0.005),OR(NOT(ISNUMBER(BD13)),BD13&gt;=0.005))),"ε_t ","")&amp;IF(BH13="SECCIÓN INSUFICIENTE","cortante ","")&amp;IF(NOT(AND(O13&gt;=BV13,O13&gt;=BW13,O13/N13&lt;=6)),"peralte ","")&amp;IF(NOT(BP13&lt;=BQ13),"flecha ","")&amp;IF(NOT(OR(S13=0,LEFT(BU13,6)&lt;&gt;"NO CUM")),"muro sobre viga ","")&amp;"→ h ≥ "&amp;TEXT(MAX(BY13,IF(BP13&gt;BQ13,MAX(O13+5,CEILING(O13*(BP13/BQ13)^(1/3),5)),0)),"0")&amp;" cm"&amp;IF(NOT(AND(IF(AU13=0,TRUE,AU13&lt;=INT((CB13+DATOS!$C$32)/(INDEX(TABLAS!$C$52:$C$58,MATCH(MAX(AS13,2),TABLAS!$B$52:$B$58,0))+DATOS!$C$32))),IF(BA13=0,TRUE,BA13&lt;=INT((CB13+DATOS!$C$32)/(INDEX(TABLAS!$C$52:$C$58,MATCH(MAX(AZ13,2),TABLAS!$B$52:$B$58,0))+DATOS!$C$32)))))," y b ≥ "&amp;TEXT(N13+5,"0")&amp;" cm","")&amp;" (verificar)")))</f>
        <v>CUMPLE (en VOLADO)</v>
      </c>
      <c r="CA13" s="65" t="inlineStr">
        <is>
          <t>Recibe a NP-25.</t>
        </is>
      </c>
      <c r="CB13" s="43">
        <f>N13-2*DATOS!$C$22-2*INDEX(TABLAS!$C$52:$C$58,MATCH(DATOS!$C$113,TABLAS!$B$52:$B$58,0))</f>
        <v>5.1</v>
      </c>
    </row>
    <row r="14" ht="30" customHeight="1">
      <c r="B14" s="60" t="inlineStr">
        <is>
          <t>NP-06</t>
        </is>
      </c>
      <c r="C14" s="52" t="inlineStr">
        <is>
          <t>N+3.00</t>
        </is>
      </c>
      <c r="D14" s="51" t="inlineStr">
        <is>
          <t>Eje 7 (y = 7.871)</t>
        </is>
      </c>
      <c r="E14" s="52" t="inlineStr">
        <is>
          <t>(0.000, 7.871)</t>
        </is>
      </c>
      <c r="F14" s="52" t="inlineStr">
        <is>
          <t>(4.327, 7.871)</t>
        </is>
      </c>
      <c r="G14" s="55" t="n">
        <v>4.327</v>
      </c>
      <c r="H14" s="52" t="inlineStr">
        <is>
          <t>FIRME</t>
        </is>
      </c>
      <c r="I14" s="52" t="str">
        <f>IF(APOYOS!$C$20="SÍ","FIRME","LIBRE")</f>
        <v>FIRME</v>
      </c>
      <c r="J14" s="52" t="inlineStr">
        <is>
          <t>—</t>
        </is>
      </c>
      <c r="K14" s="52" t="inlineStr">
        <is>
          <t>C4</t>
        </is>
      </c>
      <c r="L14" s="60" t="str">
        <f>IF(AND(OR(H14="FIRME",H14="NERVADURA",H14="PUNTA"),OR(I14="FIRME",I14="NERVADURA",I14="PUNTA")),"APOYADA",IF(OR(OR(H14="FIRME",H14="NERVADURA",H14="PUNTA"),OR(I14="FIRME",I14="NERVADURA",I14="PUNTA")),"VOLADO","SIN APOYO"))</f>
        <v>APOYADA</v>
      </c>
      <c r="M14" s="52" t="str">
        <f>IF(L14="VOLADO",IF(OR(H14="FIRME",H14="NERVADURA",H14="PUNTA"),"i","j"),"—")</f>
        <v>—</v>
      </c>
      <c r="N14" s="58" t="n">
        <v>20</v>
      </c>
      <c r="O14" s="58" t="n">
        <v>60</v>
      </c>
      <c r="P14" s="65" t="str">
        <f>IF(L14="BORDE DE VOLADO","—",IF(OR(N14&lt;&gt;DATOS!$C$17,O14&lt;&gt;DATOS!$C$15),"PERALTAR: trabe "&amp;TEXT(N14,"0")&amp;"×"&amp;TEXT(O14,"0")&amp;IF(O14&gt;DATOS!$C$15," (descuelga "&amp;TEXT(O14-DATOS!$C$15,"0")&amp;" cm)",""),"Queda en la losa (15×25)"))</f>
        <v>PERALTAR: trabe 20×60 (descuelga 35 cm)</v>
      </c>
      <c r="Q14" s="43">
        <f>SUMIFS(TRIB!$E$6:$E$255,TRIB!$B$6:$B$255,"NP-06")</f>
        <v>1.7839</v>
      </c>
      <c r="R14" s="36">
        <f>SUMIFS(TRIB!$G$6:$G$255,TRIB!$B$6:$B$255,"NP-06")/G14</f>
        <v>0.360645258297449</v>
      </c>
      <c r="S14" s="69" t="n">
        <v>4.327</v>
      </c>
      <c r="T14" s="36">
        <f>DATOS!$C$55*S14*DATOS!$C$107/G14</f>
        <v>1.233375</v>
      </c>
      <c r="U14" s="36">
        <f>(SUMIFS(TRIB!$G$6:$G$255,TRIB!$B$6:$B$255,"DM-76")*1.0+SUMIFS(TRIB!$G$6:$G$255,TRIB!$B$6:$B$255,"DM-77")*1.0)/G14</f>
        <v>1.01821776764785</v>
      </c>
      <c r="V14" s="61" t="n">
        <v>0</v>
      </c>
      <c r="W14" s="61" t="n">
        <v>0</v>
      </c>
      <c r="X14" s="36">
        <f>(DATOS!$C$55*V14+DATOS!$C$56*W14)/1000</f>
        <v>0</v>
      </c>
      <c r="Y14" s="36">
        <f>DATOS!$C$55*(N14/100*O14/100*DATOS!$C$43-N14/100*DATOS!$C$70/1000)</f>
        <v>0.314684897959184</v>
      </c>
      <c r="Z14" s="70">
        <f>R14+T14+U14+X14+Y14</f>
        <v>2.92692292390448</v>
      </c>
      <c r="AA14" s="36">
        <f>(SUMIFS(TRIB!$I$6:$I$255,TRIB!$B$6:$B$255,"NP-06")-SUMIFS(TRIB!$L$6:$L$255,TRIB!$B$6:$B$255,"NP-06"))/G14+S14*DATOS!$C$107/G14+((SUMIFS(TRIB!$I$6:$I$255,TRIB!$B$6:$B$255,"DM-76")-SUMIFS(TRIB!$L$6:$L$255,TRIB!$B$6:$B$255,"DM-76"))*1.0+(SUMIFS(TRIB!$I$6:$I$255,TRIB!$B$6:$B$255,"DM-77")-SUMIFS(TRIB!$L$6:$L$255,TRIB!$B$6:$B$255,"DM-77"))*1.0)/G14+V14/1000+Y14/DATOS!$C$55</f>
        <v>2.0362800646628</v>
      </c>
      <c r="AB14" s="36">
        <f>SUMIFS(TRIB!$L$6:$L$255,TRIB!$B$6:$B$255,"NP-06")/G14+(SUMIFS(TRIB!$L$6:$L$255,TRIB!$B$6:$B$255,"DM-76")*1.0+SUMIFS(TRIB!$L$6:$L$255,TRIB!$B$6:$B$255,"DM-77")*1.0)/G14+W14/1000</f>
        <v>0.186505893228565</v>
      </c>
      <c r="AC14" s="36">
        <f>SUMIFS(TRIB!$M$6:$M$255,TRIB!$B$6:$B$255,"NP-06")/G14+(SUMIFS(TRIB!$M$6:$M$255,TRIB!$B$6:$B$255,"DM-76")*1.0+SUMIFS(TRIB!$M$6:$M$255,TRIB!$B$6:$B$255,"DM-77")*1.0)/G14+W14/1000*DATOS!$C$91/DATOS!$C$89</f>
        <v>0.0492078807487867</v>
      </c>
      <c r="AD14" s="36">
        <f>0</f>
        <v>0</v>
      </c>
      <c r="AE14" s="36">
        <f>0</f>
        <v>0</v>
      </c>
      <c r="AF14" s="36">
        <f>0</f>
        <v>0</v>
      </c>
      <c r="AG14" s="36">
        <f>0</f>
        <v>0</v>
      </c>
      <c r="AH14" s="36">
        <f>0</f>
        <v>0</v>
      </c>
      <c r="AI14" s="36">
        <f>IF(L14="APOYADA",Z14*G14/2+0,IF(AND(L14="VOLADO",M14="i"),Z14*G14+AD14,0))</f>
        <v>6.33239774586735</v>
      </c>
      <c r="AJ14" s="36">
        <f>IF(L14="APOYADA",Z14*G14/2+0,IF(AND(L14="VOLADO",M14="j"),Z14*G14+AD14,0))</f>
        <v>6.33239774586735</v>
      </c>
      <c r="AK14" s="36">
        <f>IF(L14="APOYADA",(AA14+AB14)*G14/2+0,IF(AND(L14="VOLADO",M14="i"),(AA14+AB14)*G14+0,0))</f>
        <v>4.80899741989796</v>
      </c>
      <c r="AL14" s="36">
        <f>IF(L14="APOYADA",(AA14+AB14)*G14/2+0,IF(AND(L14="VOLADO",M14="j"),(AA14+AB14)*G14+0,0))</f>
        <v>4.80899741989796</v>
      </c>
      <c r="AM14" s="70">
        <f>IF(L14="APOYADA",Z14*G14^2/8+AE14,0)</f>
        <v>6.850071261592</v>
      </c>
      <c r="AN14" s="70">
        <f>IF(L14="APOYADA",DATOS!$C$64*AM14,IF(L14="VOLADO",Z14*G14^2/2+AE14,0))</f>
        <v>4.56899753148187</v>
      </c>
      <c r="AO14" s="70">
        <f>IF(L14="APOYADA",Z14*G14/2+AF14,IF(L14="VOLADO",Z14*G14+AF14,0))</f>
        <v>6.33239774586735</v>
      </c>
      <c r="AP14" s="36">
        <f>IF(L14="APOYADA",(AA14+AB14)*G14^2/8+AH14,IF(L14="VOLADO",(AA14+AB14)*G14^2/2+AH14,0))</f>
        <v>5.20213295897462</v>
      </c>
      <c r="AQ14" s="43">
        <f>O14-DATOS!$C$22-INDEX(TABLAS!$C$52:$C$58,MATCH(DATOS!$C$113,TABLAS!$B$52:$B$58,0))-INDEX(TABLAS!$C$52:$C$58,MATCH(DATOS!$C$112,TABLAS!$B$52:$B$58,0))/2</f>
        <v>54.415</v>
      </c>
      <c r="AR14" s="43">
        <f>IF(OR(L14="BORDE DE VOLADO",L14="SIN APOYO"),0,IF(IF(AM14&lt;=0,0,IF((1-2*AM14*1E5/(DATOS!$C$58*N14*AQ14^2*DATOS!$C$48))&lt;0,-1,IF((1-SQRT((1-2*AM14*1E5/(DATOS!$C$58*N14*AQ14^2*DATOS!$C$48))))*DATOS!$C$48*N14*AQ14/DATOS!$C$40&gt;DATOS!$C$82*N14*AQ14,-1,(1-SQRT((1-2*AM14*1E5/(DATOS!$C$58*N14*AQ14^2*DATOS!$C$48))))*DATOS!$C$48*N14*AQ14/DATOS!$C$40)))&lt;0,-1,MAX(IF(AM14&lt;=0,0,IF((1-2*AM14*1E5/(DATOS!$C$58*N14*AQ14^2*DATOS!$C$48))&lt;0,-1,IF((1-SQRT((1-2*AM14*1E5/(DATOS!$C$58*N14*AQ14^2*DATOS!$C$48))))*DATOS!$C$48*N14*AQ14/DATOS!$C$40&gt;DATOS!$C$82*N14*AQ14,-1,(1-SQRT((1-2*AM14*1E5/(DATOS!$C$58*N14*AQ14^2*DATOS!$C$48))))*DATOS!$C$48*N14*AQ14/DATOS!$C$40))),MIN(DATOS!$C$83*N14*AQ14,4/3*IF(AM14&lt;=0,0,IF((1-2*AM14*1E5/(DATOS!$C$58*N14*AQ14^2*DATOS!$C$48))&lt;0,-1,IF((1-SQRT((1-2*AM14*1E5/(DATOS!$C$58*N14*AQ14^2*DATOS!$C$48))))*DATOS!$C$48*N14*AQ14/DATOS!$C$40&gt;DATOS!$C$82*N14*AQ14,-1,(1-SQRT((1-2*AM14*1E5/(DATOS!$C$58*N14*AQ14^2*DATOS!$C$48))))*DATOS!$C$48*N14*AQ14/DATOS!$C$40)))))))</f>
        <v>3.62766666666667</v>
      </c>
      <c r="AS14" s="41">
        <f>IF(AR14&lt;0,0,IF(AND(AR14&gt;=0,MAX(DATOS!$C$114,CEILING(AR14/INDEX(TABLAS!$D$52:$D$58,MIN(MATCH(DATOS!$C$112,TABLAS!$B$52:$B$58,0)+0,7)),1))&lt;=MIN(99,INT((CB14+MAX(DATOS!$C$32,INDEX(TABLAS!$C$52:$C$58,MIN(MATCH(DATOS!$C$112,TABLAS!$B$52:$B$58,0)+0,7))))/(INDEX(TABLAS!$C$52:$C$58,MIN(MATCH(DATOS!$C$112,TABLAS!$B$52:$B$58,0)+0,7))+MAX(DATOS!$C$32,INDEX(TABLAS!$C$52:$C$58,MIN(MATCH(DATOS!$C$112,TABLAS!$B$52:$B$58,0)+0,7))))))),INDEX(TABLAS!$B$52:$B$58,MIN(MATCH(DATOS!$C$112,TABLAS!$B$52:$B$58,0)+0,7)),IF(AND(AR14&gt;=0,MAX(DATOS!$C$114,CEILING(AR14/INDEX(TABLAS!$D$52:$D$58,MIN(MATCH(DATOS!$C$112,TABLAS!$B$52:$B$58,0)+1,7)),1))&lt;=MIN(99,INT((CB14+MAX(DATOS!$C$32,INDEX(TABLAS!$C$52:$C$58,MIN(MATCH(DATOS!$C$112,TABLAS!$B$52:$B$58,0)+1,7))))/(INDEX(TABLAS!$C$52:$C$58,MIN(MATCH(DATOS!$C$112,TABLAS!$B$52:$B$58,0)+1,7))+MAX(DATOS!$C$32,INDEX(TABLAS!$C$52:$C$58,MIN(MATCH(DATOS!$C$112,TABLAS!$B$52:$B$58,0)+1,7))))))),INDEX(TABLAS!$B$52:$B$58,MIN(MATCH(DATOS!$C$112,TABLAS!$B$52:$B$58,0)+1,7)),IF(AND(AR14&gt;=0,MAX(DATOS!$C$114,CEILING(AR14/INDEX(TABLAS!$D$52:$D$58,MIN(MATCH(DATOS!$C$112,TABLAS!$B$52:$B$58,0)+2,7)),1))&lt;=MIN(99,INT((CB14+MAX(DATOS!$C$32,INDEX(TABLAS!$C$52:$C$58,MIN(MATCH(DATOS!$C$112,TABLAS!$B$52:$B$58,0)+2,7))))/(INDEX(TABLAS!$C$52:$C$58,MIN(MATCH(DATOS!$C$112,TABLAS!$B$52:$B$58,0)+2,7))+MAX(DATOS!$C$32,INDEX(TABLAS!$C$52:$C$58,MIN(MATCH(DATOS!$C$112,TABLAS!$B$52:$B$58,0)+2,7))))))),INDEX(TABLAS!$B$52:$B$58,MIN(MATCH(DATOS!$C$112,TABLAS!$B$52:$B$58,0)+2,7)),IF(AND(AR14&gt;=0,MAX(DATOS!$C$114,CEILING(AR14/INDEX(TABLAS!$D$52:$D$58,MIN(MATCH(DATOS!$C$112,TABLAS!$B$52:$B$58,0)+3,7)),1))&lt;=MIN(99,INT((CB14+MAX(DATOS!$C$32,INDEX(TABLAS!$C$52:$C$58,MIN(MATCH(DATOS!$C$112,TABLAS!$B$52:$B$58,0)+3,7))))/(INDEX(TABLAS!$C$52:$C$58,MIN(MATCH(DATOS!$C$112,TABLAS!$B$52:$B$58,0)+3,7))+MAX(DATOS!$C$32,INDEX(TABLAS!$C$52:$C$58,MIN(MATCH(DATOS!$C$112,TABLAS!$B$52:$B$58,0)+3,7))))))),INDEX(TABLAS!$B$52:$B$58,MIN(MATCH(DATOS!$C$112,TABLAS!$B$52:$B$58,0)+3,7)),IF(AND(AR14&gt;=0,MAX(DATOS!$C$114,CEILING(AR14/INDEX(TABLAS!$D$52:$D$58,MIN(MATCH(DATOS!$C$112,TABLAS!$B$52:$B$58,0)+4,7)),1))&lt;=MIN(99,INT((CB14+MAX(DATOS!$C$32,INDEX(TABLAS!$C$52:$C$58,MIN(MATCH(DATOS!$C$112,TABLAS!$B$52:$B$58,0)+4,7))))/(INDEX(TABLAS!$C$52:$C$58,MIN(MATCH(DATOS!$C$112,TABLAS!$B$52:$B$58,0)+4,7))+MAX(DATOS!$C$32,INDEX(TABLAS!$C$52:$C$58,MIN(MATCH(DATOS!$C$112,TABLAS!$B$52:$B$58,0)+4,7))))))),INDEX(TABLAS!$B$52:$B$58,MIN(MATCH(DATOS!$C$112,TABLAS!$B$52:$B$58,0)+4,7)),INDEX(TABLAS!$B$52:$B$58,7)))))))</f>
        <v>4</v>
      </c>
      <c r="AT14" s="58" t="n">
        <v>0</v>
      </c>
      <c r="AU14" s="56">
        <f>IF(OR(L14="BORDE DE VOLADO",L14="SIN APOYO"),0,IF(AR14&lt;0,0,MAX(DATOS!$C$114,CEILING(AR14/INDEX(TABLAS!$D$52:$D$58,MATCH(IF(AS14=0,8,AS14),TABLAS!$B$52:$B$58,0)),1))+AT14))</f>
        <v>3</v>
      </c>
      <c r="AV14" s="36">
        <f>IF(AU14=0,0,DATOS!$C$58*AU14*INDEX(TABLAS!$D$52:$D$58,MATCH(AS14,TABLAS!$B$52:$B$58,0))*DATOS!$C$40*((O14-DATOS!$C$22-INDEX(TABLAS!$C$52:$C$58,MATCH(DATOS!$C$113,TABLAS!$B$52:$B$58,0))-INDEX(TABLAS!$C$52:$C$58,MATCH(AS14,TABLAS!$B$52:$B$58,0))/2)-AU14*INDEX(TABLAS!$D$52:$D$58,MATCH(AS14,TABLAS!$B$52:$B$58,0))*DATOS!$C$40/(DATOS!$C$48*N14)/2)/1E5)</f>
        <v>7.56561287752941</v>
      </c>
      <c r="AW14" s="62">
        <f>IF(AR14&lt;0,9.99,IF(AV14&gt;0,AM14/AV14,0))</f>
        <v>0.905421857089379</v>
      </c>
      <c r="AX14" s="63">
        <f>IF(AU14=0,"—",0.003*((O14-DATOS!$C$22-INDEX(TABLAS!$C$52:$C$58,MATCH(DATOS!$C$113,TABLAS!$B$52:$B$58,0))-INDEX(TABLAS!$C$52:$C$58,MATCH(AS14,TABLAS!$B$52:$B$58,0))/2)-(AU14*INDEX(TABLAS!$D$52:$D$58,MATCH(AS14,TABLAS!$B$52:$B$58,0))*DATOS!$C$40/(DATOS!$C$48*N14)/DATOS!$C$49))/(AU14*INDEX(TABLAS!$D$52:$D$58,MATCH(AS14,TABLAS!$B$52:$B$58,0))*DATOS!$C$40/(DATOS!$C$48*N14)/DATOS!$C$49))</f>
        <v>0.0338530535245594</v>
      </c>
      <c r="AY14" s="43">
        <f>IF(OR(L14="BORDE DE VOLADO",L14="SIN APOYO"),0,IF(IF(AN14&lt;=0,0,IF((1-2*AN14*1E5/(DATOS!$C$58*N14*AQ14^2*DATOS!$C$48))&lt;0,-1,IF((1-SQRT((1-2*AN14*1E5/(DATOS!$C$58*N14*AQ14^2*DATOS!$C$48))))*DATOS!$C$48*N14*AQ14/DATOS!$C$40&gt;DATOS!$C$82*N14*AQ14,-1,(1-SQRT((1-2*AN14*1E5/(DATOS!$C$58*N14*AQ14^2*DATOS!$C$48))))*DATOS!$C$48*N14*AQ14/DATOS!$C$40)))&lt;0,-1,MAX(IF(AN14&lt;=0,0,IF((1-2*AN14*1E5/(DATOS!$C$58*N14*AQ14^2*DATOS!$C$48))&lt;0,-1,IF((1-SQRT((1-2*AN14*1E5/(DATOS!$C$58*N14*AQ14^2*DATOS!$C$48))))*DATOS!$C$48*N14*AQ14/DATOS!$C$40&gt;DATOS!$C$82*N14*AQ14,-1,(1-SQRT((1-2*AN14*1E5/(DATOS!$C$58*N14*AQ14^2*DATOS!$C$48))))*DATOS!$C$48*N14*AQ14/DATOS!$C$40))),MIN(DATOS!$C$83*IF(L14="VOLADO",MIN(BI14,2*N14),N14)*AQ14,4/3*IF(AN14&lt;=0,0,IF((1-2*AN14*1E5/(DATOS!$C$58*N14*AQ14^2*DATOS!$C$48))&lt;0,-1,IF((1-SQRT((1-2*AN14*1E5/(DATOS!$C$58*N14*AQ14^2*DATOS!$C$48))))*DATOS!$C$48*N14*AQ14/DATOS!$C$40&gt;DATOS!$C$82*N14*AQ14,-1,(1-SQRT((1-2*AN14*1E5/(DATOS!$C$58*N14*AQ14^2*DATOS!$C$48))))*DATOS!$C$48*N14*AQ14/DATOS!$C$40)))))))</f>
        <v>3.02403538898933</v>
      </c>
      <c r="AZ14" s="41">
        <f>IF(AY14&lt;0,0,IF(AND(AY14&gt;=0,MAX(DATOS!$C$114,CEILING(AY14/INDEX(TABLAS!$D$52:$D$58,MIN(MATCH(DATOS!$C$112,TABLAS!$B$52:$B$58,0)+0,7)),1))&lt;=MIN(99,INT((CB14+MAX(DATOS!$C$32,INDEX(TABLAS!$C$52:$C$58,MIN(MATCH(DATOS!$C$112,TABLAS!$B$52:$B$58,0)+0,7))))/(INDEX(TABLAS!$C$52:$C$58,MIN(MATCH(DATOS!$C$112,TABLAS!$B$52:$B$58,0)+0,7))+MAX(DATOS!$C$32,INDEX(TABLAS!$C$52:$C$58,MIN(MATCH(DATOS!$C$112,TABLAS!$B$52:$B$58,0)+0,7))))))),INDEX(TABLAS!$B$52:$B$58,MIN(MATCH(DATOS!$C$112,TABLAS!$B$52:$B$58,0)+0,7)),IF(AND(AY14&gt;=0,MAX(DATOS!$C$114,CEILING(AY14/INDEX(TABLAS!$D$52:$D$58,MIN(MATCH(DATOS!$C$112,TABLAS!$B$52:$B$58,0)+1,7)),1))&lt;=MIN(99,INT((CB14+MAX(DATOS!$C$32,INDEX(TABLAS!$C$52:$C$58,MIN(MATCH(DATOS!$C$112,TABLAS!$B$52:$B$58,0)+1,7))))/(INDEX(TABLAS!$C$52:$C$58,MIN(MATCH(DATOS!$C$112,TABLAS!$B$52:$B$58,0)+1,7))+MAX(DATOS!$C$32,INDEX(TABLAS!$C$52:$C$58,MIN(MATCH(DATOS!$C$112,TABLAS!$B$52:$B$58,0)+1,7))))))),INDEX(TABLAS!$B$52:$B$58,MIN(MATCH(DATOS!$C$112,TABLAS!$B$52:$B$58,0)+1,7)),IF(AND(AY14&gt;=0,MAX(DATOS!$C$114,CEILING(AY14/INDEX(TABLAS!$D$52:$D$58,MIN(MATCH(DATOS!$C$112,TABLAS!$B$52:$B$58,0)+2,7)),1))&lt;=MIN(99,INT((CB14+MAX(DATOS!$C$32,INDEX(TABLAS!$C$52:$C$58,MIN(MATCH(DATOS!$C$112,TABLAS!$B$52:$B$58,0)+2,7))))/(INDEX(TABLAS!$C$52:$C$58,MIN(MATCH(DATOS!$C$112,TABLAS!$B$52:$B$58,0)+2,7))+MAX(DATOS!$C$32,INDEX(TABLAS!$C$52:$C$58,MIN(MATCH(DATOS!$C$112,TABLAS!$B$52:$B$58,0)+2,7))))))),INDEX(TABLAS!$B$52:$B$58,MIN(MATCH(DATOS!$C$112,TABLAS!$B$52:$B$58,0)+2,7)),IF(AND(AY14&gt;=0,MAX(DATOS!$C$114,CEILING(AY14/INDEX(TABLAS!$D$52:$D$58,MIN(MATCH(DATOS!$C$112,TABLAS!$B$52:$B$58,0)+3,7)),1))&lt;=MIN(99,INT((CB14+MAX(DATOS!$C$32,INDEX(TABLAS!$C$52:$C$58,MIN(MATCH(DATOS!$C$112,TABLAS!$B$52:$B$58,0)+3,7))))/(INDEX(TABLAS!$C$52:$C$58,MIN(MATCH(DATOS!$C$112,TABLAS!$B$52:$B$58,0)+3,7))+MAX(DATOS!$C$32,INDEX(TABLAS!$C$52:$C$58,MIN(MATCH(DATOS!$C$112,TABLAS!$B$52:$B$58,0)+3,7))))))),INDEX(TABLAS!$B$52:$B$58,MIN(MATCH(DATOS!$C$112,TABLAS!$B$52:$B$58,0)+3,7)),IF(AND(AY14&gt;=0,MAX(DATOS!$C$114,CEILING(AY14/INDEX(TABLAS!$D$52:$D$58,MIN(MATCH(DATOS!$C$112,TABLAS!$B$52:$B$58,0)+4,7)),1))&lt;=MIN(99,INT((CB14+MAX(DATOS!$C$32,INDEX(TABLAS!$C$52:$C$58,MIN(MATCH(DATOS!$C$112,TABLAS!$B$52:$B$58,0)+4,7))))/(INDEX(TABLAS!$C$52:$C$58,MIN(MATCH(DATOS!$C$112,TABLAS!$B$52:$B$58,0)+4,7))+MAX(DATOS!$C$32,INDEX(TABLAS!$C$52:$C$58,MIN(MATCH(DATOS!$C$112,TABLAS!$B$52:$B$58,0)+4,7))))))),INDEX(TABLAS!$B$52:$B$58,MIN(MATCH(DATOS!$C$112,TABLAS!$B$52:$B$58,0)+4,7)),INDEX(TABLAS!$B$52:$B$58,7)))))))</f>
        <v>4</v>
      </c>
      <c r="BA14" s="56">
        <f>IF(OR(L14="BORDE DE VOLADO",L14="SIN APOYO"),0,IF(AY14&lt;0,0,MAX(DATOS!$C$114,CEILING(AY14/INDEX(TABLAS!$D$52:$D$58,MATCH(IF(AZ14=0,8,AZ14),TABLAS!$B$52:$B$58,0)),1))))</f>
        <v>3</v>
      </c>
      <c r="BB14" s="36">
        <f>IF(BA14=0,0,DATOS!$C$58*BA14*INDEX(TABLAS!$D$52:$D$58,MATCH(AZ14,TABLAS!$B$52:$B$58,0))*DATOS!$C$40*((O14-DATOS!$C$22-INDEX(TABLAS!$C$52:$C$58,MATCH(DATOS!$C$113,TABLAS!$B$52:$B$58,0))-INDEX(TABLAS!$C$52:$C$58,MATCH(AZ14,TABLAS!$B$52:$B$58,0))/2)-BA14*INDEX(TABLAS!$D$52:$D$58,MATCH(AZ14,TABLAS!$B$52:$B$58,0))*DATOS!$C$40/(DATOS!$C$48*N14)/2)/1E5)</f>
        <v>7.56561287752941</v>
      </c>
      <c r="BC14" s="62">
        <f>IF(AY14&lt;0,9.99,IF(BB14&gt;0,AN14/BB14,0))</f>
        <v>0.603916378678616</v>
      </c>
      <c r="BD14" s="63">
        <f>IF(BA14=0,"—",0.003*((O14-DATOS!$C$22-INDEX(TABLAS!$C$52:$C$58,MATCH(DATOS!$C$113,TABLAS!$B$52:$B$58,0))-INDEX(TABLAS!$C$52:$C$58,MATCH(AZ14,TABLAS!$B$52:$B$58,0))/2)-(BA14*INDEX(TABLAS!$D$52:$D$58,MATCH(AZ14,TABLAS!$B$52:$B$58,0))*DATOS!$C$40/(DATOS!$C$48*N14)/DATOS!$C$49))/(BA14*INDEX(TABLAS!$D$52:$D$58,MATCH(AZ14,TABLAS!$B$52:$B$58,0))*DATOS!$C$40/(DATOS!$C$48*N14)/DATOS!$C$49))</f>
        <v>0.0338530535245594</v>
      </c>
      <c r="BE14" s="36">
        <f>IF(BA14=0,0,DATOS!$C$59*MIN(1.25,MAX(0.5,2*MAX(1E-6,MIN(AU14*INDEX(TABLAS!$D$52:$D$58,MATCH(MAX(AS14,2),TABLAS!$B$52:$B$58,0)),BA14*INDEX(TABLAS!$D$52:$D$58,MATCH(MAX(AZ14,2),TABLAS!$B$52:$B$58,0)))/(N14*AQ14))^(1/3)))*SQRT(DATOS!$C$39)*N14*AQ14/1000)</f>
        <v>6.45282520792734</v>
      </c>
      <c r="BF14" s="57">
        <f>IF(AO14=0,0,FLOOR(MIN(IF(AO14&gt;BE14,DATOS!$C$59*2*INDEX(TABLAS!$D$52:$D$58,MATCH(DATOS!$C$113,TABLAS!$B$52:$B$58,0))*DATOS!$C$42*AQ14/((AO14-BE14)*1000),999),IF(MAX(0,AO14-BE14)/DATOS!$C$59&lt;=1.1*SQRT(DATOS!$C$39)*N14*AQ14/1000,MIN(AQ14/2,60),MIN(AQ14/4,30)),2*INDEX(TABLAS!$D$52:$D$58,MATCH(DATOS!$C$113,TABLAS!$B$52:$B$58,0))*DATOS!$C$42/(MAX(0.2*SQRT(DATOS!$C$39),3.5)*N14),MIN(16*INDEX(TABLAS!$C$52:$C$58,MATCH(MIN(MAX(AS14,2),MAX(AZ14,2)),TABLAS!$B$52:$B$58,0)),48*INDEX(TABLAS!$C$52:$C$58,MATCH(DATOS!$C$113,TABLAS!$B$52:$B$58,0))),DATOS!$C$115),0.5))</f>
        <v>20</v>
      </c>
      <c r="BG14" s="57">
        <f>BF14</f>
        <v>20</v>
      </c>
      <c r="BH14" s="51" t="str">
        <f>IF(AO14=0,"—",IF(AO14&gt;DATOS!$C$59*(BE14/DATOS!$C$59+2.2*SQRT(DATOS!$C$39)*N14*AQ14/1000),"SECCIÓN INSUFICIENTE","E No. "&amp;TEXT(DATOS!$C$113,"0")&amp;IF(BG14&lt;BF14," @ "&amp;TEXT(BG14,"0.0")&amp;" en 2h y"," @")&amp;" "&amp;TEXT(BF14,"0.0")&amp;" cm"))</f>
        <v>E No. 3 @ 20.0 cm</v>
      </c>
      <c r="BI14" s="56">
        <f>N14+MIN(6*DATOS!$C$14,DATOS!$C$11/2,G14*100/12)</f>
        <v>50</v>
      </c>
      <c r="BJ14" s="71">
        <f>BI14*DATOS!$C$14^3/12+BI14*DATOS!$C$14*(((BI14*DATOS!$C$14^2/2+N14*(O14-DATOS!$C$14)*(DATOS!$C$14+(O14-DATOS!$C$14)/2))/(BI14*DATOS!$C$14+N14*(O14-DATOS!$C$14)))-DATOS!$C$14/2)^2+N14*(O14-DATOS!$C$14)^3/12+N14*(O14-DATOS!$C$14)*(DATOS!$C$14+(O14-DATOS!$C$14)/2-((BI14*DATOS!$C$14^2/2+N14*(O14-DATOS!$C$14)*(DATOS!$C$14+(O14-DATOS!$C$14)/2))/(BI14*DATOS!$C$14+N14*(O14-DATOS!$C$14))))^2</f>
        <v>461145.833333333</v>
      </c>
      <c r="BK14" s="43">
        <f>O14-DATOS!$C$22-INDEX(TABLAS!$C$52:$C$58,MATCH(DATOS!$C$113,TABLAS!$B$52:$B$58,0))-INDEX(TABLAS!$C$52:$C$58,MATCH(MAX(IF(L14="VOLADO",AZ14,AS14),2),TABLAS!$B$52:$B$58,0))/2</f>
        <v>54.415</v>
      </c>
      <c r="BL14" s="43">
        <f>DATOS!$C$46/DATOS!$C$45*IF(L14="VOLADO",BA14*INDEX(TABLAS!$D$52:$D$58,MATCH(MAX(AZ14,2),TABLAS!$B$52:$B$58,0)),AU14*INDEX(TABLAS!$D$52:$D$58,MATCH(MAX(AS14,2),TABLAS!$B$52:$B$58,0)))</f>
        <v>34.4236511006901</v>
      </c>
      <c r="BM14" s="43">
        <f>IF(BL14&lt;=0,0,(SQRT(2*(BL14/(IF(L14="VOLADO",N14,BI14)*BK14))+(BL14/(IF(L14="VOLADO",N14,BI14)*BK14))^2)-(BL14/(IF(L14="VOLADO",N14,BI14)*BK14)))*BK14)</f>
        <v>7.99487391841204</v>
      </c>
      <c r="BN14" s="71">
        <f>IF(AND(L14&lt;&gt;"VOLADO",BM14&gt;DATOS!$C$14),(BI14*DATOS!$C$14^3/12+BI14*DATOS!$C$14*(((-((BI14-N14)*DATOS!$C$14+BL14)+SQRT(((BI14-N14)*DATOS!$C$14+BL14)^2+2*N14*((BI14-N14)*DATOS!$C$14^2/2+BL14*BK14)))/N14)-DATOS!$C$14/2)^2+N14*(((-((BI14-N14)*DATOS!$C$14+BL14)+SQRT(((BI14-N14)*DATOS!$C$14+BL14)^2+2*N14*((BI14-N14)*DATOS!$C$14^2/2+BL14*BK14)))/N14)-DATOS!$C$14)^3/3+BL14*(BK14-((-((BI14-N14)*DATOS!$C$14+BL14)+SQRT(((BI14-N14)*DATOS!$C$14+BL14)^2+2*N14*((BI14-N14)*DATOS!$C$14^2/2+BL14*BK14)))/N14))^2),(IF(L14="VOLADO",N14,BI14)*BM14^3/3+BL14*(BK14-BM14)^2))</f>
        <v>82373.194629131</v>
      </c>
      <c r="BO14" s="71">
        <f>IF(AP14&lt;=0,BJ14,IF((AP14*1E5)&lt;=2/3*(DATOS!$C$47*BJ14/IF(L14="VOLADO",((BI14*DATOS!$C$14^2/2+N14*(O14-DATOS!$C$14)*(DATOS!$C$14+(O14-DATOS!$C$14)/2))/(BI14*DATOS!$C$14+N14*(O14-DATOS!$C$14))),O14-((BI14*DATOS!$C$14^2/2+N14*(O14-DATOS!$C$14)*(DATOS!$C$14+(O14-DATOS!$C$14)/2))/(BI14*DATOS!$C$14+N14*(O14-DATOS!$C$14))))),BJ14,IF(BL14&lt;=0,0,BN14/(1-(2/3*(DATOS!$C$47*BJ14/IF(L14="VOLADO",((BI14*DATOS!$C$14^2/2+N14*(O14-DATOS!$C$14)*(DATOS!$C$14+(O14-DATOS!$C$14)/2))/(BI14*DATOS!$C$14+N14*(O14-DATOS!$C$14))),O14-((BI14*DATOS!$C$14^2/2+N14*(O14-DATOS!$C$14)*(DATOS!$C$14+(O14-DATOS!$C$14)/2))/(BI14*DATOS!$C$14+N14*(O14-DATOS!$C$14)))))/(AP14*1E5))^2*(1-BN14/BJ14)))))</f>
        <v>111697.341844617</v>
      </c>
      <c r="BP14" s="62">
        <f>IF(OR(L14="APOYADA",L14="VOLADO"),(IF(L14="VOLADO",(AP14-AH14)/4+AH14/3,5/48*AP14)*1E5*(G14*100)^2/(DATOS!$C$45*MAX(BO14,1)))*(1+2/(1+50*IF(L14="VOLADO",AU14*INDEX(TABLAS!$D$52:$D$58,MATCH(MAX(AS14,2),TABLAS!$B$52:$B$58,0)),DATOS!$C$114*INDEX(TABLAS!$D$52:$D$58,MATCH(MAX(AZ14,2),TABLAS!$B$52:$B$58,0)))/(N14*BK14))*((AA14+AC14)/MAX(AA14+AB14,1E-6))),0)</f>
        <v>1.09986157712871</v>
      </c>
      <c r="BQ14" s="43">
        <f>IF(S14&gt;0,0.3+G14*100/480,0.5+G14*100/240)</f>
        <v>1.20145833333333</v>
      </c>
      <c r="BR14" s="43">
        <f>IF(S14&gt;0,(T14+U14)*G14+AG14,0)</f>
        <v>9.74264190561224</v>
      </c>
      <c r="BS14" s="43">
        <f>IF(S14&gt;0,(DATOS!$C$51*DATOS!$C$103*100*(G14*100)^3/(DATOS!$C$45*BJ14*((BR14*1000/(DATOS!$C$103*100*S14*100)*DATOS!$C$103*100*(MIN(1,S14/G14)^4-4*MIN(1,S14/G14)^3+8*MIN(1,S14/G14)))/((BR14*1000/(DATOS!$C$103*100*S14*100)*DATOS!$C$103*100*(MIN(1,S14/G14)^4-4*MIN(1,S14/G14)^3+8*MIN(1,S14/G14)))+5*((R14+X14+Y14+IF(L14="APOYADA",8*(0)/G14^2,0))*10)))))^0.25,0)</f>
        <v>4.98797493026167</v>
      </c>
      <c r="BT14" s="57">
        <f>IF(S14&gt;0,MAX(1,IF(MIN(1,S14/G14)&gt;=1,(1.6*BS14-3.9),IF(MIN(1,S14/G14)&lt;0.9,((3.2*BS14-7.8)*1),((3.2*BS14-7.8)*1)+((1.6*BS14-3.9)-((3.2*BS14-7.8)*1))*(MIN(1,S14/G14)-0.9)/0.1)))*BR14*1000/(DATOS!$C$103*100*S14*100),0)</f>
        <v>6.12547296751394</v>
      </c>
      <c r="BU14" s="65" t="str">
        <f>IF(S14=0,"—",IF(DATOS!$C$105/S14&lt;0.6,"REVISAR: H/L &lt; 0.6, interacción muro-viga",IF(BT14&lt;=DATOS!$C$60*DATOS!$C$50,"CUMPLE","NO CUMPLE f_CM &gt; F_R·f'm")))</f>
        <v>CUMPLE</v>
      </c>
      <c r="BV14" s="57">
        <f>IF(S14&gt;0,MAX(25,IF(BJ14&gt;=(G14*100)^3/1600,0,MIN(G14*100/14,(12*(G14*100)^3/1600/N14)^(1/3)))),IF(L14="APOYADA",MAX(25,G14*100/16),IF(L14="VOLADO",MAX(25,G14*100/8),0)))</f>
        <v>25</v>
      </c>
      <c r="BW14" s="57">
        <f>IF(S14&gt;0,IF(BJ14&gt;=(5/4*(G14*100)^3/DATOS!$C$45*((((S14*DATOS!$C$107+(((SUMIFS(TRIB!$I$6:$I$255,TRIB!$B$6:$B$255,"DM-76")-SUMIFS(TRIB!$L$6:$L$255,TRIB!$B$6:$B$255,"DM-76"))*1.0+(SUMIFS(TRIB!$I$6:$I$255,TRIB!$B$6:$B$255,"DM-77")-SUMIFS(TRIB!$L$6:$L$255,TRIB!$B$6:$B$255,"DM-77"))*1.0)/G14+(SUMIFS(TRIB!$M$6:$M$255,TRIB!$B$6:$B$255,"DM-76")*1.0+SUMIFS(TRIB!$M$6:$M$255,TRIB!$B$6:$B$255,"DM-77")*1.0)/G14)*G14+AG14/DATOS!$C$55)*1000)/(DATOS!$C$103*100*S14*100)*DATOS!$C$103*100*(MIN(1,S14/G14)^4-4*MIN(1,S14/G14)^3+8*MIN(1,S14/G14)))+5*((AA14-S14*DATOS!$C$107/G14-(((SUMIFS(TRIB!$I$6:$I$255,TRIB!$B$6:$B$255,"DM-76")-SUMIFS(TRIB!$L$6:$L$255,TRIB!$B$6:$B$255,"DM-76"))*1.0+(SUMIFS(TRIB!$I$6:$I$255,TRIB!$B$6:$B$255,"DM-77")-SUMIFS(TRIB!$L$6:$L$255,TRIB!$B$6:$B$255,"DM-77"))*1.0)/G14))*10))),0,MIN((G14*100/((1/15*DATOS!$C$45*N14/((((S14*DATOS!$C$107+(((SUMIFS(TRIB!$I$6:$I$255,TRIB!$B$6:$B$255,"DM-76")-SUMIFS(TRIB!$L$6:$L$255,TRIB!$B$6:$B$255,"DM-76"))*1.0+(SUMIFS(TRIB!$I$6:$I$255,TRIB!$B$6:$B$255,"DM-77")-SUMIFS(TRIB!$L$6:$L$255,TRIB!$B$6:$B$255,"DM-77"))*1.0)/G14+(SUMIFS(TRIB!$M$6:$M$255,TRIB!$B$6:$B$255,"DM-76")*1.0+SUMIFS(TRIB!$M$6:$M$255,TRIB!$B$6:$B$255,"DM-77")*1.0)/G14)*G14+AG14/DATOS!$C$55)*1000)/(DATOS!$C$103*100*S14*100)*DATOS!$C$103*100*(MIN(1,S14/G14)^4-4*MIN(1,S14/G14)^3+8*MIN(1,S14/G14)))+5*((AA14-S14*DATOS!$C$107/G14-(((SUMIFS(TRIB!$I$6:$I$255,TRIB!$B$6:$B$255,"DM-76")-SUMIFS(TRIB!$L$6:$L$255,TRIB!$B$6:$B$255,"DM-76"))*1.0+(SUMIFS(TRIB!$I$6:$I$255,TRIB!$B$6:$B$255,"DM-77")-SUMIFS(TRIB!$L$6:$L$255,TRIB!$B$6:$B$255,"DM-77"))*1.0)/G14))*10)))^(1/3))),(12*(5/4*(G14*100)^3/DATOS!$C$45*((((S14*DATOS!$C$107+(((SUMIFS(TRIB!$I$6:$I$255,TRIB!$B$6:$B$255,"DM-76")-SUMIFS(TRIB!$L$6:$L$255,TRIB!$B$6:$B$255,"DM-76"))*1.0+(SUMIFS(TRIB!$I$6:$I$255,TRIB!$B$6:$B$255,"DM-77")-SUMIFS(TRIB!$L$6:$L$255,TRIB!$B$6:$B$255,"DM-77"))*1.0)/G14+(SUMIFS(TRIB!$M$6:$M$255,TRIB!$B$6:$B$255,"DM-76")*1.0+SUMIFS(TRIB!$M$6:$M$255,TRIB!$B$6:$B$255,"DM-77")*1.0)/G14)*G14+AG14/DATOS!$C$55)*1000)/(DATOS!$C$103*100*S14*100)*DATOS!$C$103*100*(MIN(1,S14/G14)^4-4*MIN(1,S14/G14)^3+8*MIN(1,S14/G14)))+5*((AA14-S14*DATOS!$C$107/G14-(((SUMIFS(TRIB!$I$6:$I$255,TRIB!$B$6:$B$255,"DM-76")-SUMIFS(TRIB!$L$6:$L$255,TRIB!$B$6:$B$255,"DM-76"))*1.0+(SUMIFS(TRIB!$I$6:$I$255,TRIB!$B$6:$B$255,"DM-77")-SUMIFS(TRIB!$L$6:$L$255,TRIB!$B$6:$B$255,"DM-77"))*1.0)/G14))*10)))/N14)^(1/3))),0)</f>
        <v>0</v>
      </c>
      <c r="BX14" s="57">
        <f>SQRT(MAX(AM14,AN14)*1E5/(DATOS!$C$58*N14*DATOS!$C$48*(DATOS!$C$82*DATOS!$C$40/DATOS!$C$48)*(1-(DATOS!$C$82*DATOS!$C$40/DATOS!$C$48)/2)))+(O14-AQ14)</f>
        <v>31.4376804075074</v>
      </c>
      <c r="BY14" s="59">
        <f>IF(OR(L14="BORDE DE VOLADO",L14="SIN APOYO"),0,CEILING(MAX(BV14,BW14,BX14,DATOS!$C$15),5))</f>
        <v>35</v>
      </c>
      <c r="BZ14" s="72" t="str">
        <f>IF(L14="BORDE DE VOLADO","BORDE DE VOLADO — armado de orilla",IF(L14="SIN APOYO","SIN APOYO — REVISAR",IF(AND(AW14&lt;=1,BC14&lt;=1,IF(AU14=0,TRUE,AU14&lt;=INT((CB14+DATOS!$C$32)/(INDEX(TABLAS!$C$52:$C$58,MATCH(MAX(AS14,2),TABLAS!$B$52:$B$58,0))+DATOS!$C$32))),IF(BA14=0,TRUE,BA14&lt;=INT((CB14+DATOS!$C$32)/(INDEX(TABLAS!$C$52:$C$58,MATCH(MAX(AZ14,2),TABLAS!$B$52:$B$58,0))+DATOS!$C$32))),AND(OR(NOT(ISNUMBER(AX14)),AX14&gt;=0.005),OR(NOT(ISNUMBER(BD14)),BD14&gt;=0.005)),BH14&lt;&gt;"SECCIÓN INSUFICIENTE",AND(O14&gt;=BV14,O14&gt;=BW14,O14/N14&lt;=6),BP14&lt;=BQ14,OR(S14=0,LEFT(BU14,6)&lt;&gt;"NO CUM")),IF(LEFT(BU14,7)="REVISAR","PENDIENTE: H/L &lt; 0.6, falta el análisis de interacción muro-viga (NTC-M 4.1.18.2.1, p. 44)","CUMPLE")&amp;IF(L14="VOLADO"," (en VOLADO)",""),"NO CUMPLE: "&amp;IF(OR(AR14&lt;0,AY14&lt;0),"sección insuficiente en flexión ",IF(OR(AW14&gt;1,BC14&gt;1),"flexión ",""))&amp;IF(NOT(AND(IF(AU14=0,TRUE,AU14&lt;=INT((CB14+DATOS!$C$32)/(INDEX(TABLAS!$C$52:$C$58,MATCH(MAX(AS14,2),TABLAS!$B$52:$B$58,0))+DATOS!$C$32))),IF(BA14=0,TRUE,BA14&lt;=INT((CB14+DATOS!$C$32)/(INDEX(TABLAS!$C$52:$C$58,MATCH(MAX(AZ14,2),TABLAS!$B$52:$B$58,0))+DATOS!$C$32))))),"no caben ","")&amp;IF(NOT(AND(OR(NOT(ISNUMBER(AX14)),AX14&gt;=0.005),OR(NOT(ISNUMBER(BD14)),BD14&gt;=0.005))),"ε_t ","")&amp;IF(BH14="SECCIÓN INSUFICIENTE","cortante ","")&amp;IF(NOT(AND(O14&gt;=BV14,O14&gt;=BW14,O14/N14&lt;=6)),"peralte ","")&amp;IF(NOT(BP14&lt;=BQ14),"flecha ","")&amp;IF(NOT(OR(S14=0,LEFT(BU14,6)&lt;&gt;"NO CUM")),"muro sobre viga ","")&amp;"→ h ≥ "&amp;TEXT(MAX(BY14,IF(BP14&gt;BQ14,MAX(O14+5,CEILING(O14*(BP14/BQ14)^(1/3),5)),0)),"0")&amp;" cm"&amp;IF(NOT(AND(IF(AU14=0,TRUE,AU14&lt;=INT((CB14+DATOS!$C$32)/(INDEX(TABLAS!$C$52:$C$58,MATCH(MAX(AS14,2),TABLAS!$B$52:$B$58,0))+DATOS!$C$32))),IF(BA14=0,TRUE,BA14&lt;=INT((CB14+DATOS!$C$32)/(INDEX(TABLAS!$C$52:$C$58,MATCH(MAX(AZ14,2),TABLAS!$B$52:$B$58,0))+DATOS!$C$32)))))," y b ≥ "&amp;TEXT(N14+5,"0")&amp;" cm","")&amp;" (verificar)")))</f>
        <v>CUMPLE</v>
      </c>
      <c r="CA14" s="65" t="inlineStr">
        <is>
          <t>Extremo j en castillo propuesto C4. Muro de planta alta encima (4.33 m) con la azotea de DM-76, DM-77: viga que soporta muro estructural (NTC-Mampostería 4.1.18): la flecha se calcula y el límite es 0.3 cm + L/480.</t>
        </is>
      </c>
      <c r="CB14" s="43">
        <f>N14-2*DATOS!$C$22-2*INDEX(TABLAS!$C$52:$C$58,MATCH(DATOS!$C$113,TABLAS!$B$52:$B$58,0))</f>
        <v>10.1</v>
      </c>
    </row>
    <row r="15" ht="30" customHeight="1">
      <c r="B15" s="60" t="inlineStr">
        <is>
          <t>NP-07</t>
        </is>
      </c>
      <c r="C15" s="52" t="inlineStr">
        <is>
          <t>N+3.00</t>
        </is>
      </c>
      <c r="D15" s="51" t="inlineStr">
        <is>
          <t>y = 8.910</t>
        </is>
      </c>
      <c r="E15" s="52" t="inlineStr">
        <is>
          <t>(5.441, 8.910)</t>
        </is>
      </c>
      <c r="F15" s="52" t="inlineStr">
        <is>
          <t>(7.350, 8.910)</t>
        </is>
      </c>
      <c r="G15" s="55" t="n">
        <v>1.909</v>
      </c>
      <c r="H15" s="52" t="str">
        <f>IF(APOYOS!$C$23="SÍ","FIRME","LIBRE")</f>
        <v>FIRME</v>
      </c>
      <c r="I15" s="52" t="inlineStr">
        <is>
          <t>LIBRE</t>
        </is>
      </c>
      <c r="J15" s="52" t="inlineStr">
        <is>
          <t>C7</t>
        </is>
      </c>
      <c r="K15" s="52" t="inlineStr">
        <is>
          <t>—</t>
        </is>
      </c>
      <c r="L15" s="60" t="str">
        <f>IF(AND(OR(H15="FIRME",H15="NERVADURA",H15="PUNTA"),OR(I15="FIRME",I15="NERVADURA",I15="PUNTA")),"APOYADA",IF(OR(OR(H15="FIRME",H15="NERVADURA",H15="PUNTA"),OR(I15="FIRME",I15="NERVADURA",I15="PUNTA")),"VOLADO","SIN APOYO"))</f>
        <v>VOLADO</v>
      </c>
      <c r="M15" s="52" t="str">
        <f>IF(L15="VOLADO",IF(OR(H15="FIRME",H15="NERVADURA",H15="PUNTA"),"i","j"),"—")</f>
        <v>i</v>
      </c>
      <c r="N15" s="58" t="n">
        <v>15</v>
      </c>
      <c r="O15" s="58" t="n">
        <v>30</v>
      </c>
      <c r="P15" s="65" t="str">
        <f>IF(L15="BORDE DE VOLADO","—",IF(OR(N15&lt;&gt;DATOS!$C$17,O15&lt;&gt;DATOS!$C$15),"PERALTAR: trabe "&amp;TEXT(N15,"0")&amp;"×"&amp;TEXT(O15,"0")&amp;IF(O15&gt;DATOS!$C$15," (descuelga "&amp;TEXT(O15-DATOS!$C$15,"0")&amp;" cm)",""),"Queda en la losa (15×25)"))</f>
        <v>PERALTAR: trabe 15×30 (descuelga 5 cm)</v>
      </c>
      <c r="Q15" s="43">
        <f>SUMIFS(TRIB!$E$6:$E$255,TRIB!$B$6:$B$255,"NP-07")</f>
        <v>0.8476</v>
      </c>
      <c r="R15" s="36">
        <f>SUMIFS(TRIB!$G$6:$G$255,TRIB!$B$6:$B$255,"NP-07")/G15</f>
        <v>0.388402159480869</v>
      </c>
      <c r="S15" s="69" t="n">
        <v>0</v>
      </c>
      <c r="T15" s="36">
        <f>DATOS!$C$55*S15*DATOS!$C$107/G15</f>
        <v>0</v>
      </c>
      <c r="U15" s="36">
        <f>0</f>
        <v>0</v>
      </c>
      <c r="V15" s="61" t="n">
        <v>189.4</v>
      </c>
      <c r="W15" s="61" t="n">
        <v>34.1</v>
      </c>
      <c r="X15" s="36">
        <f>(DATOS!$C$55*V15+DATOS!$C$56*W15)/1000</f>
        <v>0.29737</v>
      </c>
      <c r="Y15" s="36">
        <f>DATOS!$C$55*(N15/100*O15/100*DATOS!$C$43-N15/100*DATOS!$C$70/1000)</f>
        <v>0.0932736734693878</v>
      </c>
      <c r="Z15" s="70">
        <f>R15+T15+U15+X15+Y15</f>
        <v>0.779045832950257</v>
      </c>
      <c r="AA15" s="36">
        <f>(SUMIFS(TRIB!$I$6:$I$255,TRIB!$B$6:$B$255,"NP-07")-SUMIFS(TRIB!$L$6:$L$255,TRIB!$B$6:$B$255,"NP-07"))/G15+S15*DATOS!$C$107/G15+0+V15/1000+Y15/DATOS!$C$55</f>
        <v>0.462580950599202</v>
      </c>
      <c r="AB15" s="36">
        <f>SUMIFS(TRIB!$L$6:$L$255,TRIB!$B$6:$B$255,"NP-07")/G15+0+W15/1000</f>
        <v>0.118460398114196</v>
      </c>
      <c r="AC15" s="36">
        <f>SUMIFS(TRIB!$M$6:$M$255,TRIB!$B$6:$B$255,"NP-07")/G15+0+W15/1000*DATOS!$C$91/DATOS!$C$89</f>
        <v>0.049878062363872</v>
      </c>
      <c r="AD15" s="36">
        <f>0</f>
        <v>0</v>
      </c>
      <c r="AE15" s="36">
        <f>0</f>
        <v>0</v>
      </c>
      <c r="AF15" s="36">
        <f>0</f>
        <v>0</v>
      </c>
      <c r="AG15" s="36">
        <f>0</f>
        <v>0</v>
      </c>
      <c r="AH15" s="36">
        <f>0</f>
        <v>0</v>
      </c>
      <c r="AI15" s="36">
        <f>IF(L15="APOYADA",Z15*G15/2+0,IF(AND(L15="VOLADO",M15="i"),Z15*G15+AD15,0))</f>
        <v>1.48719849510204</v>
      </c>
      <c r="AJ15" s="36">
        <f>IF(L15="APOYADA",Z15*G15/2+0,IF(AND(L15="VOLADO",M15="j"),Z15*G15+AD15,0))</f>
        <v>0</v>
      </c>
      <c r="AK15" s="36">
        <f>IF(L15="APOYADA",(AA15+AB15)*G15/2+0,IF(AND(L15="VOLADO",M15="i"),(AA15+AB15)*G15+0,0))</f>
        <v>1.10920793469388</v>
      </c>
      <c r="AL15" s="36">
        <f>IF(L15="APOYADA",(AA15+AB15)*G15/2+0,IF(AND(L15="VOLADO",M15="j"),(AA15+AB15)*G15+0,0))</f>
        <v>0</v>
      </c>
      <c r="AM15" s="70">
        <f>IF(L15="APOYADA",Z15*G15^2/8+AE15,0)</f>
        <v>0</v>
      </c>
      <c r="AN15" s="70">
        <f>IF(L15="APOYADA",DATOS!$C$64*AM15,IF(L15="VOLADO",Z15*G15^2/2+AE15,0))</f>
        <v>1.4195309635749</v>
      </c>
      <c r="AO15" s="70">
        <f>IF(L15="APOYADA",Z15*G15/2+AF15,IF(L15="VOLADO",Z15*G15+AF15,0))</f>
        <v>1.48719849510204</v>
      </c>
      <c r="AP15" s="36">
        <f>IF(L15="APOYADA",(AA15+AB15)*G15^2/8+AH15,IF(L15="VOLADO",(AA15+AB15)*G15^2/2+AH15,0))</f>
        <v>1.05873897366531</v>
      </c>
      <c r="AQ15" s="43">
        <f>O15-DATOS!$C$22-INDEX(TABLAS!$C$52:$C$58,MATCH(DATOS!$C$113,TABLAS!$B$52:$B$58,0))-INDEX(TABLAS!$C$52:$C$58,MATCH(DATOS!$C$112,TABLAS!$B$52:$B$58,0))/2</f>
        <v>24.415</v>
      </c>
      <c r="AR15" s="43">
        <f>IF(OR(L15="BORDE DE VOLADO",L15="SIN APOYO"),0,IF(IF(AM15&lt;=0,0,IF((1-2*AM15*1E5/(DATOS!$C$58*N15*AQ15^2*DATOS!$C$48))&lt;0,-1,IF((1-SQRT((1-2*AM15*1E5/(DATOS!$C$58*N15*AQ15^2*DATOS!$C$48))))*DATOS!$C$48*N15*AQ15/DATOS!$C$40&gt;DATOS!$C$82*N15*AQ15,-1,(1-SQRT((1-2*AM15*1E5/(DATOS!$C$58*N15*AQ15^2*DATOS!$C$48))))*DATOS!$C$48*N15*AQ15/DATOS!$C$40)))&lt;0,-1,MAX(IF(AM15&lt;=0,0,IF((1-2*AM15*1E5/(DATOS!$C$58*N15*AQ15^2*DATOS!$C$48))&lt;0,-1,IF((1-SQRT((1-2*AM15*1E5/(DATOS!$C$58*N15*AQ15^2*DATOS!$C$48))))*DATOS!$C$48*N15*AQ15/DATOS!$C$40&gt;DATOS!$C$82*N15*AQ15,-1,(1-SQRT((1-2*AM15*1E5/(DATOS!$C$58*N15*AQ15^2*DATOS!$C$48))))*DATOS!$C$48*N15*AQ15/DATOS!$C$40))),MIN(DATOS!$C$83*N15*AQ15,4/3*IF(AM15&lt;=0,0,IF((1-2*AM15*1E5/(DATOS!$C$58*N15*AQ15^2*DATOS!$C$48))&lt;0,-1,IF((1-SQRT((1-2*AM15*1E5/(DATOS!$C$58*N15*AQ15^2*DATOS!$C$48))))*DATOS!$C$48*N15*AQ15/DATOS!$C$40&gt;DATOS!$C$82*N15*AQ15,-1,(1-SQRT((1-2*AM15*1E5/(DATOS!$C$58*N15*AQ15^2*DATOS!$C$48))))*DATOS!$C$48*N15*AQ15/DATOS!$C$40)))))))</f>
        <v>0</v>
      </c>
      <c r="AS15" s="41">
        <f>IF(AR15&lt;0,0,IF(AND(AR15&gt;=0,MAX(DATOS!$C$114,CEILING(AR15/INDEX(TABLAS!$D$52:$D$58,MIN(MATCH(DATOS!$C$112,TABLAS!$B$52:$B$58,0)+0,7)),1))&lt;=MIN(99,INT((CB15+MAX(DATOS!$C$32,INDEX(TABLAS!$C$52:$C$58,MIN(MATCH(DATOS!$C$112,TABLAS!$B$52:$B$58,0)+0,7))))/(INDEX(TABLAS!$C$52:$C$58,MIN(MATCH(DATOS!$C$112,TABLAS!$B$52:$B$58,0)+0,7))+MAX(DATOS!$C$32,INDEX(TABLAS!$C$52:$C$58,MIN(MATCH(DATOS!$C$112,TABLAS!$B$52:$B$58,0)+0,7))))))),INDEX(TABLAS!$B$52:$B$58,MIN(MATCH(DATOS!$C$112,TABLAS!$B$52:$B$58,0)+0,7)),IF(AND(AR15&gt;=0,MAX(DATOS!$C$114,CEILING(AR15/INDEX(TABLAS!$D$52:$D$58,MIN(MATCH(DATOS!$C$112,TABLAS!$B$52:$B$58,0)+1,7)),1))&lt;=MIN(99,INT((CB15+MAX(DATOS!$C$32,INDEX(TABLAS!$C$52:$C$58,MIN(MATCH(DATOS!$C$112,TABLAS!$B$52:$B$58,0)+1,7))))/(INDEX(TABLAS!$C$52:$C$58,MIN(MATCH(DATOS!$C$112,TABLAS!$B$52:$B$58,0)+1,7))+MAX(DATOS!$C$32,INDEX(TABLAS!$C$52:$C$58,MIN(MATCH(DATOS!$C$112,TABLAS!$B$52:$B$58,0)+1,7))))))),INDEX(TABLAS!$B$52:$B$58,MIN(MATCH(DATOS!$C$112,TABLAS!$B$52:$B$58,0)+1,7)),IF(AND(AR15&gt;=0,MAX(DATOS!$C$114,CEILING(AR15/INDEX(TABLAS!$D$52:$D$58,MIN(MATCH(DATOS!$C$112,TABLAS!$B$52:$B$58,0)+2,7)),1))&lt;=MIN(99,INT((CB15+MAX(DATOS!$C$32,INDEX(TABLAS!$C$52:$C$58,MIN(MATCH(DATOS!$C$112,TABLAS!$B$52:$B$58,0)+2,7))))/(INDEX(TABLAS!$C$52:$C$58,MIN(MATCH(DATOS!$C$112,TABLAS!$B$52:$B$58,0)+2,7))+MAX(DATOS!$C$32,INDEX(TABLAS!$C$52:$C$58,MIN(MATCH(DATOS!$C$112,TABLAS!$B$52:$B$58,0)+2,7))))))),INDEX(TABLAS!$B$52:$B$58,MIN(MATCH(DATOS!$C$112,TABLAS!$B$52:$B$58,0)+2,7)),IF(AND(AR15&gt;=0,MAX(DATOS!$C$114,CEILING(AR15/INDEX(TABLAS!$D$52:$D$58,MIN(MATCH(DATOS!$C$112,TABLAS!$B$52:$B$58,0)+3,7)),1))&lt;=MIN(99,INT((CB15+MAX(DATOS!$C$32,INDEX(TABLAS!$C$52:$C$58,MIN(MATCH(DATOS!$C$112,TABLAS!$B$52:$B$58,0)+3,7))))/(INDEX(TABLAS!$C$52:$C$58,MIN(MATCH(DATOS!$C$112,TABLAS!$B$52:$B$58,0)+3,7))+MAX(DATOS!$C$32,INDEX(TABLAS!$C$52:$C$58,MIN(MATCH(DATOS!$C$112,TABLAS!$B$52:$B$58,0)+3,7))))))),INDEX(TABLAS!$B$52:$B$58,MIN(MATCH(DATOS!$C$112,TABLAS!$B$52:$B$58,0)+3,7)),IF(AND(AR15&gt;=0,MAX(DATOS!$C$114,CEILING(AR15/INDEX(TABLAS!$D$52:$D$58,MIN(MATCH(DATOS!$C$112,TABLAS!$B$52:$B$58,0)+4,7)),1))&lt;=MIN(99,INT((CB15+MAX(DATOS!$C$32,INDEX(TABLAS!$C$52:$C$58,MIN(MATCH(DATOS!$C$112,TABLAS!$B$52:$B$58,0)+4,7))))/(INDEX(TABLAS!$C$52:$C$58,MIN(MATCH(DATOS!$C$112,TABLAS!$B$52:$B$58,0)+4,7))+MAX(DATOS!$C$32,INDEX(TABLAS!$C$52:$C$58,MIN(MATCH(DATOS!$C$112,TABLAS!$B$52:$B$58,0)+4,7))))))),INDEX(TABLAS!$B$52:$B$58,MIN(MATCH(DATOS!$C$112,TABLAS!$B$52:$B$58,0)+4,7)),INDEX(TABLAS!$B$52:$B$58,7)))))))</f>
        <v>4</v>
      </c>
      <c r="AT15" s="58" t="n">
        <v>0</v>
      </c>
      <c r="AU15" s="56">
        <f>IF(OR(L15="BORDE DE VOLADO",L15="SIN APOYO"),0,IF(AR15&lt;0,0,MAX(DATOS!$C$114,CEILING(AR15/INDEX(TABLAS!$D$52:$D$58,MATCH(IF(AS15=0,8,AS15),TABLAS!$B$52:$B$58,0)),1))+AT15))</f>
        <v>2</v>
      </c>
      <c r="AV15" s="36">
        <f>IF(AU15=0,0,DATOS!$C$58*AU15*INDEX(TABLAS!$D$52:$D$58,MATCH(AS15,TABLAS!$B$52:$B$58,0))*DATOS!$C$40*((O15-DATOS!$C$22-INDEX(TABLAS!$C$52:$C$58,MATCH(DATOS!$C$113,TABLAS!$B$52:$B$58,0))-INDEX(TABLAS!$C$52:$C$58,MATCH(AS15,TABLAS!$B$52:$B$58,0))/2)-AU15*INDEX(TABLAS!$D$52:$D$58,MATCH(AS15,TABLAS!$B$52:$B$58,0))*DATOS!$C$40/(DATOS!$C$48*N15)/2)/1E5)</f>
        <v>2.18346536964706</v>
      </c>
      <c r="AW15" s="62">
        <f>IF(AR15&lt;0,9.99,IF(AV15&gt;0,AM15/AV15,0))</f>
        <v>0</v>
      </c>
      <c r="AX15" s="63">
        <f>IF(AU15=0,"—",0.003*((O15-DATOS!$C$22-INDEX(TABLAS!$C$52:$C$58,MATCH(DATOS!$C$113,TABLAS!$B$52:$B$58,0))-INDEX(TABLAS!$C$52:$C$58,MATCH(AS15,TABLAS!$B$52:$B$58,0))/2)-(AU15*INDEX(TABLAS!$D$52:$D$58,MATCH(AS15,TABLAS!$B$52:$B$58,0))*DATOS!$C$40/(DATOS!$C$48*N15)/DATOS!$C$49))/(AU15*INDEX(TABLAS!$D$52:$D$58,MATCH(AS15,TABLAS!$B$52:$B$58,0))*DATOS!$C$40/(DATOS!$C$48*N15)/DATOS!$C$49))</f>
        <v>0.0156021908394263</v>
      </c>
      <c r="AY15" s="43">
        <f>IF(OR(L15="BORDE DE VOLADO",L15="SIN APOYO"),0,IF(IF(AN15&lt;=0,0,IF((1-2*AN15*1E5/(DATOS!$C$58*N15*AQ15^2*DATOS!$C$48))&lt;0,-1,IF((1-SQRT((1-2*AN15*1E5/(DATOS!$C$58*N15*AQ15^2*DATOS!$C$48))))*DATOS!$C$48*N15*AQ15/DATOS!$C$40&gt;DATOS!$C$82*N15*AQ15,-1,(1-SQRT((1-2*AN15*1E5/(DATOS!$C$58*N15*AQ15^2*DATOS!$C$48))))*DATOS!$C$48*N15*AQ15/DATOS!$C$40)))&lt;0,-1,MAX(IF(AN15&lt;=0,0,IF((1-2*AN15*1E5/(DATOS!$C$58*N15*AQ15^2*DATOS!$C$48))&lt;0,-1,IF((1-SQRT((1-2*AN15*1E5/(DATOS!$C$58*N15*AQ15^2*DATOS!$C$48))))*DATOS!$C$48*N15*AQ15/DATOS!$C$40&gt;DATOS!$C$82*N15*AQ15,-1,(1-SQRT((1-2*AN15*1E5/(DATOS!$C$58*N15*AQ15^2*DATOS!$C$48))))*DATOS!$C$48*N15*AQ15/DATOS!$C$40))),MIN(DATOS!$C$83*IF(L15="VOLADO",MIN(BI15,2*N15),N15)*AQ15,4/3*IF(AN15&lt;=0,0,IF((1-2*AN15*1E5/(DATOS!$C$58*N15*AQ15^2*DATOS!$C$48))&lt;0,-1,IF((1-SQRT((1-2*AN15*1E5/(DATOS!$C$58*N15*AQ15^2*DATOS!$C$48))))*DATOS!$C$48*N15*AQ15/DATOS!$C$40&gt;DATOS!$C$82*N15*AQ15,-1,(1-SQRT((1-2*AN15*1E5/(DATOS!$C$58*N15*AQ15^2*DATOS!$C$48))))*DATOS!$C$48*N15*AQ15/DATOS!$C$40)))))))</f>
        <v>2.14387474609906</v>
      </c>
      <c r="AZ15" s="41">
        <f>IF(AY15&lt;0,0,IF(AND(AY15&gt;=0,MAX(DATOS!$C$114,CEILING(AY15/INDEX(TABLAS!$D$52:$D$58,MIN(MATCH(DATOS!$C$112,TABLAS!$B$52:$B$58,0)+0,7)),1))&lt;=MIN(99,INT((CB15+MAX(DATOS!$C$32,INDEX(TABLAS!$C$52:$C$58,MIN(MATCH(DATOS!$C$112,TABLAS!$B$52:$B$58,0)+0,7))))/(INDEX(TABLAS!$C$52:$C$58,MIN(MATCH(DATOS!$C$112,TABLAS!$B$52:$B$58,0)+0,7))+MAX(DATOS!$C$32,INDEX(TABLAS!$C$52:$C$58,MIN(MATCH(DATOS!$C$112,TABLAS!$B$52:$B$58,0)+0,7))))))),INDEX(TABLAS!$B$52:$B$58,MIN(MATCH(DATOS!$C$112,TABLAS!$B$52:$B$58,0)+0,7)),IF(AND(AY15&gt;=0,MAX(DATOS!$C$114,CEILING(AY15/INDEX(TABLAS!$D$52:$D$58,MIN(MATCH(DATOS!$C$112,TABLAS!$B$52:$B$58,0)+1,7)),1))&lt;=MIN(99,INT((CB15+MAX(DATOS!$C$32,INDEX(TABLAS!$C$52:$C$58,MIN(MATCH(DATOS!$C$112,TABLAS!$B$52:$B$58,0)+1,7))))/(INDEX(TABLAS!$C$52:$C$58,MIN(MATCH(DATOS!$C$112,TABLAS!$B$52:$B$58,0)+1,7))+MAX(DATOS!$C$32,INDEX(TABLAS!$C$52:$C$58,MIN(MATCH(DATOS!$C$112,TABLAS!$B$52:$B$58,0)+1,7))))))),INDEX(TABLAS!$B$52:$B$58,MIN(MATCH(DATOS!$C$112,TABLAS!$B$52:$B$58,0)+1,7)),IF(AND(AY15&gt;=0,MAX(DATOS!$C$114,CEILING(AY15/INDEX(TABLAS!$D$52:$D$58,MIN(MATCH(DATOS!$C$112,TABLAS!$B$52:$B$58,0)+2,7)),1))&lt;=MIN(99,INT((CB15+MAX(DATOS!$C$32,INDEX(TABLAS!$C$52:$C$58,MIN(MATCH(DATOS!$C$112,TABLAS!$B$52:$B$58,0)+2,7))))/(INDEX(TABLAS!$C$52:$C$58,MIN(MATCH(DATOS!$C$112,TABLAS!$B$52:$B$58,0)+2,7))+MAX(DATOS!$C$32,INDEX(TABLAS!$C$52:$C$58,MIN(MATCH(DATOS!$C$112,TABLAS!$B$52:$B$58,0)+2,7))))))),INDEX(TABLAS!$B$52:$B$58,MIN(MATCH(DATOS!$C$112,TABLAS!$B$52:$B$58,0)+2,7)),IF(AND(AY15&gt;=0,MAX(DATOS!$C$114,CEILING(AY15/INDEX(TABLAS!$D$52:$D$58,MIN(MATCH(DATOS!$C$112,TABLAS!$B$52:$B$58,0)+3,7)),1))&lt;=MIN(99,INT((CB15+MAX(DATOS!$C$32,INDEX(TABLAS!$C$52:$C$58,MIN(MATCH(DATOS!$C$112,TABLAS!$B$52:$B$58,0)+3,7))))/(INDEX(TABLAS!$C$52:$C$58,MIN(MATCH(DATOS!$C$112,TABLAS!$B$52:$B$58,0)+3,7))+MAX(DATOS!$C$32,INDEX(TABLAS!$C$52:$C$58,MIN(MATCH(DATOS!$C$112,TABLAS!$B$52:$B$58,0)+3,7))))))),INDEX(TABLAS!$B$52:$B$58,MIN(MATCH(DATOS!$C$112,TABLAS!$B$52:$B$58,0)+3,7)),IF(AND(AY15&gt;=0,MAX(DATOS!$C$114,CEILING(AY15/INDEX(TABLAS!$D$52:$D$58,MIN(MATCH(DATOS!$C$112,TABLAS!$B$52:$B$58,0)+4,7)),1))&lt;=MIN(99,INT((CB15+MAX(DATOS!$C$32,INDEX(TABLAS!$C$52:$C$58,MIN(MATCH(DATOS!$C$112,TABLAS!$B$52:$B$58,0)+4,7))))/(INDEX(TABLAS!$C$52:$C$58,MIN(MATCH(DATOS!$C$112,TABLAS!$B$52:$B$58,0)+4,7))+MAX(DATOS!$C$32,INDEX(TABLAS!$C$52:$C$58,MIN(MATCH(DATOS!$C$112,TABLAS!$B$52:$B$58,0)+4,7))))))),INDEX(TABLAS!$B$52:$B$58,MIN(MATCH(DATOS!$C$112,TABLAS!$B$52:$B$58,0)+4,7)),INDEX(TABLAS!$B$52:$B$58,7)))))))</f>
        <v>4</v>
      </c>
      <c r="BA15" s="56">
        <f>IF(OR(L15="BORDE DE VOLADO",L15="SIN APOYO"),0,IF(AY15&lt;0,0,MAX(DATOS!$C$114,CEILING(AY15/INDEX(TABLAS!$D$52:$D$58,MATCH(IF(AZ15=0,8,AZ15),TABLAS!$B$52:$B$58,0)),1))))</f>
        <v>2</v>
      </c>
      <c r="BB15" s="36">
        <f>IF(BA15=0,0,DATOS!$C$58*BA15*INDEX(TABLAS!$D$52:$D$58,MATCH(AZ15,TABLAS!$B$52:$B$58,0))*DATOS!$C$40*((O15-DATOS!$C$22-INDEX(TABLAS!$C$52:$C$58,MATCH(DATOS!$C$113,TABLAS!$B$52:$B$58,0))-INDEX(TABLAS!$C$52:$C$58,MATCH(AZ15,TABLAS!$B$52:$B$58,0))/2)-BA15*INDEX(TABLAS!$D$52:$D$58,MATCH(AZ15,TABLAS!$B$52:$B$58,0))*DATOS!$C$40/(DATOS!$C$48*N15)/2)/1E5)</f>
        <v>2.18346536964706</v>
      </c>
      <c r="BC15" s="62">
        <f>IF(AY15&lt;0,9.99,IF(BB15&gt;0,AN15/BB15,0))</f>
        <v>0.650127537312101</v>
      </c>
      <c r="BD15" s="63">
        <f>IF(BA15=0,"—",0.003*((O15-DATOS!$C$22-INDEX(TABLAS!$C$52:$C$58,MATCH(DATOS!$C$113,TABLAS!$B$52:$B$58,0))-INDEX(TABLAS!$C$52:$C$58,MATCH(AZ15,TABLAS!$B$52:$B$58,0))/2)-(BA15*INDEX(TABLAS!$D$52:$D$58,MATCH(AZ15,TABLAS!$B$52:$B$58,0))*DATOS!$C$40/(DATOS!$C$48*N15)/DATOS!$C$49))/(BA15*INDEX(TABLAS!$D$52:$D$58,MATCH(AZ15,TABLAS!$B$52:$B$58,0))*DATOS!$C$40/(DATOS!$C$48*N15)/DATOS!$C$49))</f>
        <v>0.0156021908394263</v>
      </c>
      <c r="BE15" s="36">
        <f>IF(BA15=0,0,DATOS!$C$59*MIN(1.25,MAX(0.5,2*MAX(1E-6,MIN(AU15*INDEX(TABLAS!$D$52:$D$58,MATCH(MAX(AS15,2),TABLAS!$B$52:$B$58,0)),BA15*INDEX(TABLAS!$D$52:$D$58,MATCH(MAX(AZ15,2),TABLAS!$B$52:$B$58,0)))/(N15*AQ15))^(1/3)))*SQRT(DATOS!$C$39)*N15*AQ15/1000)</f>
        <v>2.17144713017843</v>
      </c>
      <c r="BF15" s="57">
        <f>IF(AO15=0,0,FLOOR(MIN(IF(AO15&gt;BE15,DATOS!$C$59*2*INDEX(TABLAS!$D$52:$D$58,MATCH(DATOS!$C$113,TABLAS!$B$52:$B$58,0))*DATOS!$C$42*AQ15/((AO15-BE15)*1000),999),IF(MAX(0,AO15-BE15)/DATOS!$C$59&lt;=1.1*SQRT(DATOS!$C$39)*N15*AQ15/1000,MIN(AQ15/2,60),MIN(AQ15/4,30)),2*INDEX(TABLAS!$D$52:$D$58,MATCH(DATOS!$C$113,TABLAS!$B$52:$B$58,0))*DATOS!$C$42/(MAX(0.2*SQRT(DATOS!$C$39),3.5)*N15),MIN(16*INDEX(TABLAS!$C$52:$C$58,MATCH(MIN(MAX(AS15,2),MAX(AZ15,2)),TABLAS!$B$52:$B$58,0)),48*INDEX(TABLAS!$C$52:$C$58,MATCH(DATOS!$C$113,TABLAS!$B$52:$B$58,0))),DATOS!$C$115),0.5))</f>
        <v>12</v>
      </c>
      <c r="BG15" s="57">
        <f>BF15</f>
        <v>12</v>
      </c>
      <c r="BH15" s="51" t="str">
        <f>IF(AO15=0,"—",IF(AO15&gt;DATOS!$C$59*(BE15/DATOS!$C$59+2.2*SQRT(DATOS!$C$39)*N15*AQ15/1000),"SECCIÓN INSUFICIENTE","E No. "&amp;TEXT(DATOS!$C$113,"0")&amp;IF(BG15&lt;BF15," @ "&amp;TEXT(BG15,"0.0")&amp;" en 2h y"," @")&amp;" "&amp;TEXT(BF15,"0.0")&amp;" cm"))</f>
        <v>E No. 3 @ 12.0 cm</v>
      </c>
      <c r="BI15" s="56">
        <f>N15+MIN(6*DATOS!$C$14,DATOS!$C$11/2,G15*100/12)</f>
        <v>30.9083333333333</v>
      </c>
      <c r="BJ15" s="71">
        <f>BI15*DATOS!$C$14^3/12+BI15*DATOS!$C$14*(((BI15*DATOS!$C$14^2/2+N15*(O15-DATOS!$C$14)*(DATOS!$C$14+(O15-DATOS!$C$14)/2))/(BI15*DATOS!$C$14+N15*(O15-DATOS!$C$14)))-DATOS!$C$14/2)^2+N15*(O15-DATOS!$C$14)^3/12+N15*(O15-DATOS!$C$14)*(DATOS!$C$14+(O15-DATOS!$C$14)/2-((BI15*DATOS!$C$14^2/2+N15*(O15-DATOS!$C$14)*(DATOS!$C$14+(O15-DATOS!$C$14)/2))/(BI15*DATOS!$C$14+N15*(O15-DATOS!$C$14))))^2</f>
        <v>44477.2479216937</v>
      </c>
      <c r="BK15" s="43">
        <f>O15-DATOS!$C$22-INDEX(TABLAS!$C$52:$C$58,MATCH(DATOS!$C$113,TABLAS!$B$52:$B$58,0))-INDEX(TABLAS!$C$52:$C$58,MATCH(MAX(IF(L15="VOLADO",AZ15,AS15),2),TABLAS!$B$52:$B$58,0))/2</f>
        <v>24.415</v>
      </c>
      <c r="BL15" s="43">
        <f>DATOS!$C$46/DATOS!$C$45*IF(L15="VOLADO",BA15*INDEX(TABLAS!$D$52:$D$58,MATCH(MAX(AZ15,2),TABLAS!$B$52:$B$58,0)),AU15*INDEX(TABLAS!$D$52:$D$58,MATCH(MAX(AS15,2),TABLAS!$B$52:$B$58,0)))</f>
        <v>22.9491007337934</v>
      </c>
      <c r="BM15" s="43">
        <f>IF(BL15&lt;=0,0,(SQRT(2*(BL15/(IF(L15="VOLADO",N15,BI15)*BK15))+(BL15/(IF(L15="VOLADO",N15,BI15)*BK15))^2)-(BL15/(IF(L15="VOLADO",N15,BI15)*BK15)))*BK15)</f>
        <v>7.24774125892194</v>
      </c>
      <c r="BN15" s="71">
        <f>IF(AND(L15&lt;&gt;"VOLADO",BM15&gt;DATOS!$C$14),(BI15*DATOS!$C$14^3/12+BI15*DATOS!$C$14*(((-((BI15-N15)*DATOS!$C$14+BL15)+SQRT(((BI15-N15)*DATOS!$C$14+BL15)^2+2*N15*((BI15-N15)*DATOS!$C$14^2/2+BL15*BK15)))/N15)-DATOS!$C$14/2)^2+N15*(((-((BI15-N15)*DATOS!$C$14+BL15)+SQRT(((BI15-N15)*DATOS!$C$14+BL15)^2+2*N15*((BI15-N15)*DATOS!$C$14^2/2+BL15*BK15)))/N15)-DATOS!$C$14)^3/3+BL15*(BK15-((-((BI15-N15)*DATOS!$C$14+BL15)+SQRT(((BI15-N15)*DATOS!$C$14+BL15)^2+2*N15*((BI15-N15)*DATOS!$C$14^2/2+BL15*BK15)))/N15))^2),(IF(L15="VOLADO",N15,BI15)*BM15^3/3+BL15*(BK15-BM15)^2))</f>
        <v>8667.04930964846</v>
      </c>
      <c r="BO15" s="71">
        <f>IF(AP15&lt;=0,BJ15,IF((AP15*1E5)&lt;=2/3*(DATOS!$C$47*BJ15/IF(L15="VOLADO",((BI15*DATOS!$C$14^2/2+N15*(O15-DATOS!$C$14)*(DATOS!$C$14+(O15-DATOS!$C$14)/2))/(BI15*DATOS!$C$14+N15*(O15-DATOS!$C$14))),O15-((BI15*DATOS!$C$14^2/2+N15*(O15-DATOS!$C$14)*(DATOS!$C$14+(O15-DATOS!$C$14)/2))/(BI15*DATOS!$C$14+N15*(O15-DATOS!$C$14))))),BJ15,IF(BL15&lt;=0,0,BN15/(1-(2/3*(DATOS!$C$47*BJ15/IF(L15="VOLADO",((BI15*DATOS!$C$14^2/2+N15*(O15-DATOS!$C$14)*(DATOS!$C$14+(O15-DATOS!$C$14)/2))/(BI15*DATOS!$C$14+N15*(O15-DATOS!$C$14))),O15-((BI15*DATOS!$C$14^2/2+N15*(O15-DATOS!$C$14)*(DATOS!$C$14+(O15-DATOS!$C$14)/2))/(BI15*DATOS!$C$14+N15*(O15-DATOS!$C$14)))))/(AP15*1E5))^2*(1-BN15/BJ15)))))</f>
        <v>13686.397951391</v>
      </c>
      <c r="BP15" s="62">
        <f>IF(OR(L15="APOYADA",L15="VOLADO"),(IF(L15="VOLADO",(AP15-AH15)/4+AH15/3,5/48*AP15)*1E5*(G15*100)^2/(DATOS!$C$45*MAX(BO15,1)))*(1+2/(1+50*IF(L15="VOLADO",AU15*INDEX(TABLAS!$D$52:$D$58,MATCH(MAX(AS15,2),TABLAS!$B$52:$B$58,0)),DATOS!$C$114*INDEX(TABLAS!$D$52:$D$58,MATCH(MAX(AZ15,2),TABLAS!$B$52:$B$58,0)))/(N15*BK15))*((AA15+AC15)/MAX(AA15+AB15,1E-6))),0)</f>
        <v>0.735388112229841</v>
      </c>
      <c r="BQ15" s="43">
        <f>IF(S15&gt;0,0.3+G15*100/480,0.5+G15*100/240)</f>
        <v>1.29541666666667</v>
      </c>
      <c r="BR15" s="43">
        <f>IF(S15&gt;0,(T15+U15)*G15+AG15,0)</f>
        <v>0</v>
      </c>
      <c r="BS15" s="43">
        <f>IF(S15&gt;0,(DATOS!$C$51*DATOS!$C$103*100*(G15*100)^3/(DATOS!$C$45*BJ15*((BR15*1000/(DATOS!$C$103*100*S15*100)*DATOS!$C$103*100*(MIN(1,S15/G15)^4-4*MIN(1,S15/G15)^3+8*MIN(1,S15/G15)))/((BR15*1000/(DATOS!$C$103*100*S15*100)*DATOS!$C$103*100*(MIN(1,S15/G15)^4-4*MIN(1,S15/G15)^3+8*MIN(1,S15/G15)))+5*((R15+X15+Y15+IF(L15="APOYADA",8*(0)/G15^2,0))*10)))))^0.25,0)</f>
        <v>0</v>
      </c>
      <c r="BT15" s="57">
        <f>IF(S15&gt;0,MAX(1,IF(MIN(1,S15/G15)&gt;=1,(1.6*BS15-3.9),IF(MIN(1,S15/G15)&lt;0.9,((3.2*BS15-7.8)*1),((3.2*BS15-7.8)*1)+((1.6*BS15-3.9)-((3.2*BS15-7.8)*1))*(MIN(1,S15/G15)-0.9)/0.1)))*BR15*1000/(DATOS!$C$103*100*S15*100),0)</f>
        <v>0</v>
      </c>
      <c r="BU15" s="65" t="str">
        <f>IF(S15=0,"—",IF(DATOS!$C$105/S15&lt;0.6,"REVISAR: H/L &lt; 0.6, interacción muro-viga",IF(BT15&lt;=DATOS!$C$60*DATOS!$C$50,"CUMPLE","NO CUMPLE f_CM &gt; F_R·f'm")))</f>
        <v>—</v>
      </c>
      <c r="BV15" s="57">
        <f>IF(S15&gt;0,MAX(25,IF(BJ15&gt;=(G15*100)^3/1600,0,MIN(G15*100/14,(12*(G15*100)^3/1600/N15)^(1/3)))),IF(L15="APOYADA",MAX(25,G15*100/16),IF(L15="VOLADO",MAX(25,G15*100/8),0)))</f>
        <v>25</v>
      </c>
      <c r="BW15" s="57">
        <f>IF(S15&gt;0,IF(BJ15&gt;=(5/4*(G15*100)^3/DATOS!$C$45*((((S15*DATOS!$C$107+(0+0)*G15+AG15/DATOS!$C$55)*1000)/(DATOS!$C$103*100*S15*100)*DATOS!$C$103*100*(MIN(1,S15/G15)^4-4*MIN(1,S15/G15)^3+8*MIN(1,S15/G15)))+5*((AA15-S15*DATOS!$C$107/G15-(0))*10))),0,MIN((G15*100/((1/15*DATOS!$C$45*N15/((((S15*DATOS!$C$107+(0+0)*G15+AG15/DATOS!$C$55)*1000)/(DATOS!$C$103*100*S15*100)*DATOS!$C$103*100*(MIN(1,S15/G15)^4-4*MIN(1,S15/G15)^3+8*MIN(1,S15/G15)))+5*((AA15-S15*DATOS!$C$107/G15-(0))*10)))^(1/3))),(12*(5/4*(G15*100)^3/DATOS!$C$45*((((S15*DATOS!$C$107+(0+0)*G15+AG15/DATOS!$C$55)*1000)/(DATOS!$C$103*100*S15*100)*DATOS!$C$103*100*(MIN(1,S15/G15)^4-4*MIN(1,S15/G15)^3+8*MIN(1,S15/G15)))+5*((AA15-S15*DATOS!$C$107/G15-(0))*10)))/N15)^(1/3))),0)</f>
        <v>0</v>
      </c>
      <c r="BX15" s="57">
        <f>SQRT(MAX(AM15,AN15)*1E5/(DATOS!$C$58*N15*DATOS!$C$48*(DATOS!$C$82*DATOS!$C$40/DATOS!$C$48)*(1-(DATOS!$C$82*DATOS!$C$40/DATOS!$C$48)/2)))+(O15-AQ15)</f>
        <v>19.1743860397172</v>
      </c>
      <c r="BY15" s="59">
        <f>IF(OR(L15="BORDE DE VOLADO",L15="SIN APOYO"),0,CEILING(MAX(BV15,BW15,BX15,DATOS!$C$15),5))</f>
        <v>25</v>
      </c>
      <c r="BZ15" s="72" t="str">
        <f>IF(L15="BORDE DE VOLADO","BORDE DE VOLADO — armado de orilla",IF(L15="SIN APOYO","SIN APOYO — REVISAR",IF(AND(AW15&lt;=1,BC15&lt;=1,IF(AU15=0,TRUE,AU15&lt;=INT((CB15+DATOS!$C$32)/(INDEX(TABLAS!$C$52:$C$58,MATCH(MAX(AS15,2),TABLAS!$B$52:$B$58,0))+DATOS!$C$32))),IF(BA15=0,TRUE,BA15&lt;=INT((CB15+DATOS!$C$32)/(INDEX(TABLAS!$C$52:$C$58,MATCH(MAX(AZ15,2),TABLAS!$B$52:$B$58,0))+DATOS!$C$32))),AND(OR(NOT(ISNUMBER(AX15)),AX15&gt;=0.005),OR(NOT(ISNUMBER(BD15)),BD15&gt;=0.005)),BH15&lt;&gt;"SECCIÓN INSUFICIENTE",AND(O15&gt;=BV15,O15&gt;=BW15,O15/N15&lt;=6),BP15&lt;=BQ15,OR(S15=0,LEFT(BU15,6)&lt;&gt;"NO CUM")),IF(LEFT(BU15,7)="REVISAR","PENDIENTE: H/L &lt; 0.6, falta el análisis de interacción muro-viga (NTC-M 4.1.18.2.1, p. 44)","CUMPLE")&amp;IF(L15="VOLADO"," (en VOLADO)",""),"NO CUMPLE: "&amp;IF(OR(AR15&lt;0,AY15&lt;0),"sección insuficiente en flexión ",IF(OR(AW15&gt;1,BC15&gt;1),"flexión ",""))&amp;IF(NOT(AND(IF(AU15=0,TRUE,AU15&lt;=INT((CB15+DATOS!$C$32)/(INDEX(TABLAS!$C$52:$C$58,MATCH(MAX(AS15,2),TABLAS!$B$52:$B$58,0))+DATOS!$C$32))),IF(BA15=0,TRUE,BA15&lt;=INT((CB15+DATOS!$C$32)/(INDEX(TABLAS!$C$52:$C$58,MATCH(MAX(AZ15,2),TABLAS!$B$52:$B$58,0))+DATOS!$C$32))))),"no caben ","")&amp;IF(NOT(AND(OR(NOT(ISNUMBER(AX15)),AX15&gt;=0.005),OR(NOT(ISNUMBER(BD15)),BD15&gt;=0.005))),"ε_t ","")&amp;IF(BH15="SECCIÓN INSUFICIENTE","cortante ","")&amp;IF(NOT(AND(O15&gt;=BV15,O15&gt;=BW15,O15/N15&lt;=6)),"peralte ","")&amp;IF(NOT(BP15&lt;=BQ15),"flecha ","")&amp;IF(NOT(OR(S15=0,LEFT(BU15,6)&lt;&gt;"NO CUM")),"muro sobre viga ","")&amp;"→ h ≥ "&amp;TEXT(MAX(BY15,IF(BP15&gt;BQ15,MAX(O15+5,CEILING(O15*(BP15/BQ15)^(1/3),5)),0)),"0")&amp;" cm"&amp;IF(NOT(AND(IF(AU15=0,TRUE,AU15&lt;=INT((CB15+DATOS!$C$32)/(INDEX(TABLAS!$C$52:$C$58,MATCH(MAX(AS15,2),TABLAS!$B$52:$B$58,0))+DATOS!$C$32))),IF(BA15=0,TRUE,BA15&lt;=INT((CB15+DATOS!$C$32)/(INDEX(TABLAS!$C$52:$C$58,MATCH(MAX(AZ15,2),TABLAS!$B$52:$B$58,0))+DATOS!$C$32)))))," y b ≥ "&amp;TEXT(N15+5,"0")&amp;" cm","")&amp;" (verificar)")))</f>
        <v>CUMPLE (en VOLADO)</v>
      </c>
      <c r="CA15" s="65" t="inlineStr">
        <is>
          <t>Extremo i en castillo propuesto C7. Llegada de la escalera: revisar junto con el diseño de la escalera.</t>
        </is>
      </c>
      <c r="CB15" s="43">
        <f>N15-2*DATOS!$C$22-2*INDEX(TABLAS!$C$52:$C$58,MATCH(DATOS!$C$113,TABLAS!$B$52:$B$58,0))</f>
        <v>5.1</v>
      </c>
    </row>
    <row r="16" ht="30" customHeight="1">
      <c r="B16" s="60" t="inlineStr">
        <is>
          <t>NP-08</t>
        </is>
      </c>
      <c r="C16" s="52" t="inlineStr">
        <is>
          <t>N+3.00</t>
        </is>
      </c>
      <c r="D16" s="51" t="inlineStr">
        <is>
          <t>Eje 8 (y = 9.950)</t>
        </is>
      </c>
      <c r="E16" s="52" t="inlineStr">
        <is>
          <t>(5.422, 9.950)</t>
        </is>
      </c>
      <c r="F16" s="52" t="inlineStr">
        <is>
          <t>(8.144, 9.950)</t>
        </is>
      </c>
      <c r="G16" s="55" t="n">
        <v>2.722</v>
      </c>
      <c r="H16" s="52" t="str">
        <f>IF(APOYOS!$C$22="SÍ","FIRME","LIBRE")</f>
        <v>FIRME</v>
      </c>
      <c r="I16" s="52" t="inlineStr">
        <is>
          <t>FIRME</t>
        </is>
      </c>
      <c r="J16" s="52" t="inlineStr">
        <is>
          <t>C6</t>
        </is>
      </c>
      <c r="K16" s="52" t="inlineStr">
        <is>
          <t>—</t>
        </is>
      </c>
      <c r="L16" s="60" t="str">
        <f>IF(AND(OR(H16="FIRME",H16="NERVADURA",H16="PUNTA"),OR(I16="FIRME",I16="NERVADURA",I16="PUNTA")),"APOYADA",IF(OR(OR(H16="FIRME",H16="NERVADURA",H16="PUNTA"),OR(I16="FIRME",I16="NERVADURA",I16="PUNTA")),"VOLADO","SIN APOYO"))</f>
        <v>APOYADA</v>
      </c>
      <c r="M16" s="52" t="str">
        <f>IF(L16="VOLADO",IF(OR(H16="FIRME",H16="NERVADURA",H16="PUNTA"),"i","j"),"—")</f>
        <v>—</v>
      </c>
      <c r="N16" s="58" t="n">
        <v>20</v>
      </c>
      <c r="O16" s="58" t="n">
        <v>40</v>
      </c>
      <c r="P16" s="65" t="str">
        <f>IF(L16="BORDE DE VOLADO","—",IF(OR(N16&lt;&gt;DATOS!$C$17,O16&lt;&gt;DATOS!$C$15),"PERALTAR: trabe "&amp;TEXT(N16,"0")&amp;"×"&amp;TEXT(O16,"0")&amp;IF(O16&gt;DATOS!$C$15," (descuelga "&amp;TEXT(O16-DATOS!$C$15,"0")&amp;" cm)",""),"Queda en la losa (15×25)"))</f>
        <v>PERALTAR: trabe 20×40 (descuelga 15 cm)</v>
      </c>
      <c r="Q16" s="43">
        <f>SUMIFS(TRIB!$E$6:$E$255,TRIB!$B$6:$B$255,"NP-08")</f>
        <v>3.5757</v>
      </c>
      <c r="R16" s="36">
        <f>SUMIFS(TRIB!$G$6:$G$255,TRIB!$B$6:$B$255,"NP-08")/G16</f>
        <v>1.16839180449549</v>
      </c>
      <c r="S16" s="69" t="n">
        <v>2.722</v>
      </c>
      <c r="T16" s="36">
        <f>DATOS!$C$55*S16*DATOS!$C$107/G16</f>
        <v>1.233375</v>
      </c>
      <c r="U16" s="36">
        <f>(SUMIFS(TRIB!$G$6:$G$255,TRIB!$B$6:$B$255,"DM-78")*1.0+SUMIFS(TRIB!$G$6:$G$255,TRIB!$B$6:$B$255,"DM-79")*1.0+SUMIFS(TRIB!$G$6:$G$255,TRIB!$B$6:$B$255,"DM-80")*1.0)/G16</f>
        <v>0.953863230442802</v>
      </c>
      <c r="V16" s="61" t="n">
        <v>0</v>
      </c>
      <c r="W16" s="61" t="n">
        <v>0</v>
      </c>
      <c r="X16" s="36">
        <f>(DATOS!$C$55*V16+DATOS!$C$56*W16)/1000</f>
        <v>0</v>
      </c>
      <c r="Y16" s="36">
        <f>DATOS!$C$55*(N16/100*O16/100*DATOS!$C$43-N16/100*DATOS!$C$70/1000)</f>
        <v>0.187804897959184</v>
      </c>
      <c r="Z16" s="70">
        <f>R16+T16+U16+X16+Y16</f>
        <v>3.54343493289748</v>
      </c>
      <c r="AA16" s="36">
        <f>(SUMIFS(TRIB!$I$6:$I$255,TRIB!$B$6:$B$255,"NP-08")-SUMIFS(TRIB!$L$6:$L$255,TRIB!$B$6:$B$255,"NP-08"))/G16+S16*DATOS!$C$107/G16+((SUMIFS(TRIB!$I$6:$I$255,TRIB!$B$6:$B$255,"DM-78")-SUMIFS(TRIB!$L$6:$L$255,TRIB!$B$6:$B$255,"DM-78"))*1.0+(SUMIFS(TRIB!$I$6:$I$255,TRIB!$B$6:$B$255,"DM-79")-SUMIFS(TRIB!$L$6:$L$255,TRIB!$B$6:$B$255,"DM-79"))*1.0+(SUMIFS(TRIB!$I$6:$I$255,TRIB!$B$6:$B$255,"DM-80")-SUMIFS(TRIB!$L$6:$L$255,TRIB!$B$6:$B$255,"DM-80"))*1.0)/G16+V16/1000+Y16/DATOS!$C$55</f>
        <v>2.31844243128552</v>
      </c>
      <c r="AB16" s="36">
        <f>SUMIFS(TRIB!$L$6:$L$255,TRIB!$B$6:$B$255,"NP-08")/G16+(SUMIFS(TRIB!$L$6:$L$255,TRIB!$B$6:$B$255,"DM-78")*1.0+SUMIFS(TRIB!$L$6:$L$255,TRIB!$B$6:$B$255,"DM-79")*1.0+SUMIFS(TRIB!$L$6:$L$255,TRIB!$B$6:$B$255,"DM-80")*1.0)/G16+W16/1000</f>
        <v>0.352973181484203</v>
      </c>
      <c r="AC16" s="36">
        <f>SUMIFS(TRIB!$M$6:$M$255,TRIB!$B$6:$B$255,"NP-08")/G16+(SUMIFS(TRIB!$M$6:$M$255,TRIB!$B$6:$B$255,"DM-78")*1.0+SUMIFS(TRIB!$M$6:$M$255,TRIB!$B$6:$B$255,"DM-79")*1.0+SUMIFS(TRIB!$M$6:$M$255,TRIB!$B$6:$B$255,"DM-80")*1.0)/G16+W16/1000*DATOS!$C$91/DATOS!$C$89</f>
        <v>0.120597905951506</v>
      </c>
      <c r="AD16" s="36">
        <f>TRANSFER!$F$15+TRANSFER!$F$20</f>
        <v>5.48692985357143</v>
      </c>
      <c r="AE16" s="36">
        <f>TRANSFER!$H$15+TRANSFER!$H$20</f>
        <v>2.87540464849725</v>
      </c>
      <c r="AF16" s="36">
        <f>TRANSFER!$I$15+TRANSFER!$I$20</f>
        <v>4.03385146170977</v>
      </c>
      <c r="AG16" s="36">
        <f>TRANSFER!$F$20</f>
        <v>1.36977106173469</v>
      </c>
      <c r="AH16" s="36">
        <f>TRANSFER!$N$15+TRANSFER!$N$20</f>
        <v>2.16247343166849</v>
      </c>
      <c r="AI16" s="36">
        <f>IF(L16="APOYADA",Z16*G16/2+TRANSFER!$J$15+TRANSFER!$J$20,IF(AND(L16="VOLADO",M16="i"),Z16*G16+AD16,0))</f>
        <v>7.1412356669766</v>
      </c>
      <c r="AJ16" s="36">
        <f>IF(L16="APOYADA",Z16*G16/2+TRANSFER!$K$15+TRANSFER!$K$20,IF(AND(L16="VOLADO",M16="j"),Z16*G16+AD16,0))</f>
        <v>7.99092407394177</v>
      </c>
      <c r="AK16" s="36">
        <f>IF(L16="APOYADA",(AA16+AB16)*G16/2+TRANSFER!$O$15+TRANSFER!$O$20,IF(AND(L16="VOLADO",M16="i"),(AA16+AB16)*G16+TRANSFER!$M$15+TRANSFER!$M$20,0))</f>
        <v>5.38319515093831</v>
      </c>
      <c r="AL16" s="36">
        <f>IF(L16="APOYADA",(AA16+AB16)*G16/2+TRANSFER!$P$15+TRANSFER!$P$20,IF(AND(L16="VOLADO",M16="j"),(AA16+AB16)*G16+TRANSFER!$M$15+TRANSFER!$M$20,0))</f>
        <v>6.01654711130659</v>
      </c>
      <c r="AM16" s="70">
        <f>IF(L16="APOYADA",Z16*G16^2/8+AE16,0)</f>
        <v>6.15719411766704</v>
      </c>
      <c r="AN16" s="70">
        <f>IF(L16="APOYADA",DATOS!$C$64*AM16,IF(L16="VOLADO",Z16*G16^2/2+AE16,0))</f>
        <v>4.10684847648392</v>
      </c>
      <c r="AO16" s="70">
        <f>IF(L16="APOYADA",Z16*G16/2+AF16,IF(L16="VOLADO",Z16*G16+AF16,0))</f>
        <v>8.85646640538323</v>
      </c>
      <c r="AP16" s="36">
        <f>IF(L16="APOYADA",(AA16+AB16)*G16^2/8+AH16,IF(L16="VOLADO",(AA16+AB16)*G16^2/2+AH16,0))</f>
        <v>4.6366330512991</v>
      </c>
      <c r="AQ16" s="43">
        <f>O16-DATOS!$C$22-INDEX(TABLAS!$C$52:$C$58,MATCH(DATOS!$C$113,TABLAS!$B$52:$B$58,0))-INDEX(TABLAS!$C$52:$C$58,MATCH(DATOS!$C$112,TABLAS!$B$52:$B$58,0))/2</f>
        <v>34.415</v>
      </c>
      <c r="AR16" s="43">
        <f>IF(OR(L16="BORDE DE VOLADO",L16="SIN APOYO"),0,IF(IF(AM16&lt;=0,0,IF((1-2*AM16*1E5/(DATOS!$C$58*N16*AQ16^2*DATOS!$C$48))&lt;0,-1,IF((1-SQRT((1-2*AM16*1E5/(DATOS!$C$58*N16*AQ16^2*DATOS!$C$48))))*DATOS!$C$48*N16*AQ16/DATOS!$C$40&gt;DATOS!$C$82*N16*AQ16,-1,(1-SQRT((1-2*AM16*1E5/(DATOS!$C$58*N16*AQ16^2*DATOS!$C$48))))*DATOS!$C$48*N16*AQ16/DATOS!$C$40)))&lt;0,-1,MAX(IF(AM16&lt;=0,0,IF((1-2*AM16*1E5/(DATOS!$C$58*N16*AQ16^2*DATOS!$C$48))&lt;0,-1,IF((1-SQRT((1-2*AM16*1E5/(DATOS!$C$58*N16*AQ16^2*DATOS!$C$48))))*DATOS!$C$48*N16*AQ16/DATOS!$C$40&gt;DATOS!$C$82*N16*AQ16,-1,(1-SQRT((1-2*AM16*1E5/(DATOS!$C$58*N16*AQ16^2*DATOS!$C$48))))*DATOS!$C$48*N16*AQ16/DATOS!$C$40))),MIN(DATOS!$C$83*N16*AQ16,4/3*IF(AM16&lt;=0,0,IF((1-2*AM16*1E5/(DATOS!$C$58*N16*AQ16^2*DATOS!$C$48))&lt;0,-1,IF((1-SQRT((1-2*AM16*1E5/(DATOS!$C$58*N16*AQ16^2*DATOS!$C$48))))*DATOS!$C$48*N16*AQ16/DATOS!$C$40&gt;DATOS!$C$82*N16*AQ16,-1,(1-SQRT((1-2*AM16*1E5/(DATOS!$C$58*N16*AQ16^2*DATOS!$C$48))))*DATOS!$C$48*N16*AQ16/DATOS!$C$40)))))))</f>
        <v>5.10763445348775</v>
      </c>
      <c r="AS16" s="41">
        <f>IF(AR16&lt;0,0,IF(AND(AR16&gt;=0,MAX(DATOS!$C$114,CEILING(AR16/INDEX(TABLAS!$D$52:$D$58,MIN(MATCH(DATOS!$C$112,TABLAS!$B$52:$B$58,0)+0,7)),1))&lt;=MIN(99,INT((CB16+MAX(DATOS!$C$32,INDEX(TABLAS!$C$52:$C$58,MIN(MATCH(DATOS!$C$112,TABLAS!$B$52:$B$58,0)+0,7))))/(INDEX(TABLAS!$C$52:$C$58,MIN(MATCH(DATOS!$C$112,TABLAS!$B$52:$B$58,0)+0,7))+MAX(DATOS!$C$32,INDEX(TABLAS!$C$52:$C$58,MIN(MATCH(DATOS!$C$112,TABLAS!$B$52:$B$58,0)+0,7))))))),INDEX(TABLAS!$B$52:$B$58,MIN(MATCH(DATOS!$C$112,TABLAS!$B$52:$B$58,0)+0,7)),IF(AND(AR16&gt;=0,MAX(DATOS!$C$114,CEILING(AR16/INDEX(TABLAS!$D$52:$D$58,MIN(MATCH(DATOS!$C$112,TABLAS!$B$52:$B$58,0)+1,7)),1))&lt;=MIN(99,INT((CB16+MAX(DATOS!$C$32,INDEX(TABLAS!$C$52:$C$58,MIN(MATCH(DATOS!$C$112,TABLAS!$B$52:$B$58,0)+1,7))))/(INDEX(TABLAS!$C$52:$C$58,MIN(MATCH(DATOS!$C$112,TABLAS!$B$52:$B$58,0)+1,7))+MAX(DATOS!$C$32,INDEX(TABLAS!$C$52:$C$58,MIN(MATCH(DATOS!$C$112,TABLAS!$B$52:$B$58,0)+1,7))))))),INDEX(TABLAS!$B$52:$B$58,MIN(MATCH(DATOS!$C$112,TABLAS!$B$52:$B$58,0)+1,7)),IF(AND(AR16&gt;=0,MAX(DATOS!$C$114,CEILING(AR16/INDEX(TABLAS!$D$52:$D$58,MIN(MATCH(DATOS!$C$112,TABLAS!$B$52:$B$58,0)+2,7)),1))&lt;=MIN(99,INT((CB16+MAX(DATOS!$C$32,INDEX(TABLAS!$C$52:$C$58,MIN(MATCH(DATOS!$C$112,TABLAS!$B$52:$B$58,0)+2,7))))/(INDEX(TABLAS!$C$52:$C$58,MIN(MATCH(DATOS!$C$112,TABLAS!$B$52:$B$58,0)+2,7))+MAX(DATOS!$C$32,INDEX(TABLAS!$C$52:$C$58,MIN(MATCH(DATOS!$C$112,TABLAS!$B$52:$B$58,0)+2,7))))))),INDEX(TABLAS!$B$52:$B$58,MIN(MATCH(DATOS!$C$112,TABLAS!$B$52:$B$58,0)+2,7)),IF(AND(AR16&gt;=0,MAX(DATOS!$C$114,CEILING(AR16/INDEX(TABLAS!$D$52:$D$58,MIN(MATCH(DATOS!$C$112,TABLAS!$B$52:$B$58,0)+3,7)),1))&lt;=MIN(99,INT((CB16+MAX(DATOS!$C$32,INDEX(TABLAS!$C$52:$C$58,MIN(MATCH(DATOS!$C$112,TABLAS!$B$52:$B$58,0)+3,7))))/(INDEX(TABLAS!$C$52:$C$58,MIN(MATCH(DATOS!$C$112,TABLAS!$B$52:$B$58,0)+3,7))+MAX(DATOS!$C$32,INDEX(TABLAS!$C$52:$C$58,MIN(MATCH(DATOS!$C$112,TABLAS!$B$52:$B$58,0)+3,7))))))),INDEX(TABLAS!$B$52:$B$58,MIN(MATCH(DATOS!$C$112,TABLAS!$B$52:$B$58,0)+3,7)),IF(AND(AR16&gt;=0,MAX(DATOS!$C$114,CEILING(AR16/INDEX(TABLAS!$D$52:$D$58,MIN(MATCH(DATOS!$C$112,TABLAS!$B$52:$B$58,0)+4,7)),1))&lt;=MIN(99,INT((CB16+MAX(DATOS!$C$32,INDEX(TABLAS!$C$52:$C$58,MIN(MATCH(DATOS!$C$112,TABLAS!$B$52:$B$58,0)+4,7))))/(INDEX(TABLAS!$C$52:$C$58,MIN(MATCH(DATOS!$C$112,TABLAS!$B$52:$B$58,0)+4,7))+MAX(DATOS!$C$32,INDEX(TABLAS!$C$52:$C$58,MIN(MATCH(DATOS!$C$112,TABLAS!$B$52:$B$58,0)+4,7))))))),INDEX(TABLAS!$B$52:$B$58,MIN(MATCH(DATOS!$C$112,TABLAS!$B$52:$B$58,0)+4,7)),INDEX(TABLAS!$B$52:$B$58,7)))))))</f>
        <v>5</v>
      </c>
      <c r="AT16" s="58" t="n">
        <v>0</v>
      </c>
      <c r="AU16" s="56">
        <f>IF(OR(L16="BORDE DE VOLADO",L16="SIN APOYO"),0,IF(AR16&lt;0,0,MAX(DATOS!$C$114,CEILING(AR16/INDEX(TABLAS!$D$52:$D$58,MATCH(IF(AS16=0,8,AS16),TABLAS!$B$52:$B$58,0)),1))+AT16))</f>
        <v>3</v>
      </c>
      <c r="AV16" s="36">
        <f>IF(AU16=0,0,DATOS!$C$58*AU16*INDEX(TABLAS!$D$52:$D$58,MATCH(AS16,TABLAS!$B$52:$B$58,0))*DATOS!$C$40*((O16-DATOS!$C$22-INDEX(TABLAS!$C$52:$C$58,MATCH(DATOS!$C$113,TABLAS!$B$52:$B$58,0))-INDEX(TABLAS!$C$52:$C$58,MATCH(AS16,TABLAS!$B$52:$B$58,0))/2)-AU16*INDEX(TABLAS!$D$52:$D$58,MATCH(AS16,TABLAS!$B$52:$B$58,0))*DATOS!$C$40/(DATOS!$C$48*N16)/2)/1E5)</f>
        <v>7.03232903223529</v>
      </c>
      <c r="AW16" s="62">
        <f>IF(AR16&lt;0,9.99,IF(AV16&gt;0,AM16/AV16,0))</f>
        <v>0.875555465258132</v>
      </c>
      <c r="AX16" s="63">
        <f>IF(AU16=0,"—",0.003*((O16-DATOS!$C$22-INDEX(TABLAS!$C$52:$C$58,MATCH(DATOS!$C$113,TABLAS!$B$52:$B$58,0))-INDEX(TABLAS!$C$52:$C$58,MATCH(AS16,TABLAS!$B$52:$B$58,0))/2)-(AU16*INDEX(TABLAS!$D$52:$D$58,MATCH(AS16,TABLAS!$B$52:$B$58,0))*DATOS!$C$40/(DATOS!$C$48*N16)/DATOS!$C$49))/(AU16*INDEX(TABLAS!$D$52:$D$58,MATCH(AS16,TABLAS!$B$52:$B$58,0))*DATOS!$C$40/(DATOS!$C$48*N16)/DATOS!$C$49))</f>
        <v>0.0118804939273689</v>
      </c>
      <c r="AY16" s="43">
        <f>IF(OR(L16="BORDE DE VOLADO",L16="SIN APOYO"),0,IF(IF(AN16&lt;=0,0,IF((1-2*AN16*1E5/(DATOS!$C$58*N16*AQ16^2*DATOS!$C$48))&lt;0,-1,IF((1-SQRT((1-2*AN16*1E5/(DATOS!$C$58*N16*AQ16^2*DATOS!$C$48))))*DATOS!$C$48*N16*AQ16/DATOS!$C$40&gt;DATOS!$C$82*N16*AQ16,-1,(1-SQRT((1-2*AN16*1E5/(DATOS!$C$58*N16*AQ16^2*DATOS!$C$48))))*DATOS!$C$48*N16*AQ16/DATOS!$C$40)))&lt;0,-1,MAX(IF(AN16&lt;=0,0,IF((1-2*AN16*1E5/(DATOS!$C$58*N16*AQ16^2*DATOS!$C$48))&lt;0,-1,IF((1-SQRT((1-2*AN16*1E5/(DATOS!$C$58*N16*AQ16^2*DATOS!$C$48))))*DATOS!$C$48*N16*AQ16/DATOS!$C$40&gt;DATOS!$C$82*N16*AQ16,-1,(1-SQRT((1-2*AN16*1E5/(DATOS!$C$58*N16*AQ16^2*DATOS!$C$48))))*DATOS!$C$48*N16*AQ16/DATOS!$C$40))),MIN(DATOS!$C$83*IF(L16="VOLADO",MIN(BI16,2*N16),N16)*AQ16,4/3*IF(AN16&lt;=0,0,IF((1-2*AN16*1E5/(DATOS!$C$58*N16*AQ16^2*DATOS!$C$48))&lt;0,-1,IF((1-SQRT((1-2*AN16*1E5/(DATOS!$C$58*N16*AQ16^2*DATOS!$C$48))))*DATOS!$C$48*N16*AQ16/DATOS!$C$40&gt;DATOS!$C$82*N16*AQ16,-1,(1-SQRT((1-2*AN16*1E5/(DATOS!$C$58*N16*AQ16^2*DATOS!$C$48))))*DATOS!$C$48*N16*AQ16/DATOS!$C$40)))))))</f>
        <v>3.31471194107608</v>
      </c>
      <c r="AZ16" s="41">
        <f>IF(AY16&lt;0,0,IF(AND(AY16&gt;=0,MAX(DATOS!$C$114,CEILING(AY16/INDEX(TABLAS!$D$52:$D$58,MIN(MATCH(DATOS!$C$112,TABLAS!$B$52:$B$58,0)+0,7)),1))&lt;=MIN(99,INT((CB16+MAX(DATOS!$C$32,INDEX(TABLAS!$C$52:$C$58,MIN(MATCH(DATOS!$C$112,TABLAS!$B$52:$B$58,0)+0,7))))/(INDEX(TABLAS!$C$52:$C$58,MIN(MATCH(DATOS!$C$112,TABLAS!$B$52:$B$58,0)+0,7))+MAX(DATOS!$C$32,INDEX(TABLAS!$C$52:$C$58,MIN(MATCH(DATOS!$C$112,TABLAS!$B$52:$B$58,0)+0,7))))))),INDEX(TABLAS!$B$52:$B$58,MIN(MATCH(DATOS!$C$112,TABLAS!$B$52:$B$58,0)+0,7)),IF(AND(AY16&gt;=0,MAX(DATOS!$C$114,CEILING(AY16/INDEX(TABLAS!$D$52:$D$58,MIN(MATCH(DATOS!$C$112,TABLAS!$B$52:$B$58,0)+1,7)),1))&lt;=MIN(99,INT((CB16+MAX(DATOS!$C$32,INDEX(TABLAS!$C$52:$C$58,MIN(MATCH(DATOS!$C$112,TABLAS!$B$52:$B$58,0)+1,7))))/(INDEX(TABLAS!$C$52:$C$58,MIN(MATCH(DATOS!$C$112,TABLAS!$B$52:$B$58,0)+1,7))+MAX(DATOS!$C$32,INDEX(TABLAS!$C$52:$C$58,MIN(MATCH(DATOS!$C$112,TABLAS!$B$52:$B$58,0)+1,7))))))),INDEX(TABLAS!$B$52:$B$58,MIN(MATCH(DATOS!$C$112,TABLAS!$B$52:$B$58,0)+1,7)),IF(AND(AY16&gt;=0,MAX(DATOS!$C$114,CEILING(AY16/INDEX(TABLAS!$D$52:$D$58,MIN(MATCH(DATOS!$C$112,TABLAS!$B$52:$B$58,0)+2,7)),1))&lt;=MIN(99,INT((CB16+MAX(DATOS!$C$32,INDEX(TABLAS!$C$52:$C$58,MIN(MATCH(DATOS!$C$112,TABLAS!$B$52:$B$58,0)+2,7))))/(INDEX(TABLAS!$C$52:$C$58,MIN(MATCH(DATOS!$C$112,TABLAS!$B$52:$B$58,0)+2,7))+MAX(DATOS!$C$32,INDEX(TABLAS!$C$52:$C$58,MIN(MATCH(DATOS!$C$112,TABLAS!$B$52:$B$58,0)+2,7))))))),INDEX(TABLAS!$B$52:$B$58,MIN(MATCH(DATOS!$C$112,TABLAS!$B$52:$B$58,0)+2,7)),IF(AND(AY16&gt;=0,MAX(DATOS!$C$114,CEILING(AY16/INDEX(TABLAS!$D$52:$D$58,MIN(MATCH(DATOS!$C$112,TABLAS!$B$52:$B$58,0)+3,7)),1))&lt;=MIN(99,INT((CB16+MAX(DATOS!$C$32,INDEX(TABLAS!$C$52:$C$58,MIN(MATCH(DATOS!$C$112,TABLAS!$B$52:$B$58,0)+3,7))))/(INDEX(TABLAS!$C$52:$C$58,MIN(MATCH(DATOS!$C$112,TABLAS!$B$52:$B$58,0)+3,7))+MAX(DATOS!$C$32,INDEX(TABLAS!$C$52:$C$58,MIN(MATCH(DATOS!$C$112,TABLAS!$B$52:$B$58,0)+3,7))))))),INDEX(TABLAS!$B$52:$B$58,MIN(MATCH(DATOS!$C$112,TABLAS!$B$52:$B$58,0)+3,7)),IF(AND(AY16&gt;=0,MAX(DATOS!$C$114,CEILING(AY16/INDEX(TABLAS!$D$52:$D$58,MIN(MATCH(DATOS!$C$112,TABLAS!$B$52:$B$58,0)+4,7)),1))&lt;=MIN(99,INT((CB16+MAX(DATOS!$C$32,INDEX(TABLAS!$C$52:$C$58,MIN(MATCH(DATOS!$C$112,TABLAS!$B$52:$B$58,0)+4,7))))/(INDEX(TABLAS!$C$52:$C$58,MIN(MATCH(DATOS!$C$112,TABLAS!$B$52:$B$58,0)+4,7))+MAX(DATOS!$C$32,INDEX(TABLAS!$C$52:$C$58,MIN(MATCH(DATOS!$C$112,TABLAS!$B$52:$B$58,0)+4,7))))))),INDEX(TABLAS!$B$52:$B$58,MIN(MATCH(DATOS!$C$112,TABLAS!$B$52:$B$58,0)+4,7)),INDEX(TABLAS!$B$52:$B$58,7)))))))</f>
        <v>4</v>
      </c>
      <c r="BA16" s="56">
        <f>IF(OR(L16="BORDE DE VOLADO",L16="SIN APOYO"),0,IF(AY16&lt;0,0,MAX(DATOS!$C$114,CEILING(AY16/INDEX(TABLAS!$D$52:$D$58,MATCH(IF(AZ16=0,8,AZ16),TABLAS!$B$52:$B$58,0)),1))))</f>
        <v>3</v>
      </c>
      <c r="BB16" s="36">
        <f>IF(BA16=0,0,DATOS!$C$58*BA16*INDEX(TABLAS!$D$52:$D$58,MATCH(AZ16,TABLAS!$B$52:$B$58,0))*DATOS!$C$40*((O16-DATOS!$C$22-INDEX(TABLAS!$C$52:$C$58,MATCH(DATOS!$C$113,TABLAS!$B$52:$B$58,0))-INDEX(TABLAS!$C$52:$C$58,MATCH(AZ16,TABLAS!$B$52:$B$58,0))/2)-BA16*INDEX(TABLAS!$D$52:$D$58,MATCH(AZ16,TABLAS!$B$52:$B$58,0))*DATOS!$C$40/(DATOS!$C$48*N16)/2)/1E5)</f>
        <v>4.68525287752941</v>
      </c>
      <c r="BC16" s="62">
        <f>IF(AY16&lt;0,9.99,IF(BB16&gt;0,AN16/BB16,0))</f>
        <v>0.876547879876551</v>
      </c>
      <c r="BD16" s="63">
        <f>IF(BA16=0,"—",0.003*((O16-DATOS!$C$22-INDEX(TABLAS!$C$52:$C$58,MATCH(DATOS!$C$113,TABLAS!$B$52:$B$58,0))-INDEX(TABLAS!$C$52:$C$58,MATCH(AZ16,TABLAS!$B$52:$B$58,0))/2)-(BA16*INDEX(TABLAS!$D$52:$D$58,MATCH(AZ16,TABLAS!$B$52:$B$58,0))*DATOS!$C$40/(DATOS!$C$48*N16)/DATOS!$C$49))/(BA16*INDEX(TABLAS!$D$52:$D$58,MATCH(AZ16,TABLAS!$B$52:$B$58,0))*DATOS!$C$40/(DATOS!$C$48*N16)/DATOS!$C$49))</f>
        <v>0.020307871672291</v>
      </c>
      <c r="BE16" s="36">
        <f>IF(BA16=0,0,DATOS!$C$59*MIN(1.25,MAX(0.5,2*MAX(1E-6,MIN(AU16*INDEX(TABLAS!$D$52:$D$58,MATCH(MAX(AS16,2),TABLAS!$B$52:$B$58,0)),BA16*INDEX(TABLAS!$D$52:$D$58,MATCH(MAX(AZ16,2),TABLAS!$B$52:$B$58,0)))/(N16*AQ16))^(1/3)))*SQRT(DATOS!$C$39)*N16*AQ16/1000)</f>
        <v>4.08111696280105</v>
      </c>
      <c r="BF16" s="57">
        <f>IF(AO16=0,0,FLOOR(MIN(IF(AO16&gt;BE16,DATOS!$C$59*2*INDEX(TABLAS!$D$52:$D$58,MATCH(DATOS!$C$113,TABLAS!$B$52:$B$58,0))*DATOS!$C$42*AQ16/((AO16-BE16)*1000),999),IF(MAX(0,AO16-BE16)/DATOS!$C$59&lt;=1.1*SQRT(DATOS!$C$39)*N16*AQ16/1000,MIN(AQ16/2,60),MIN(AQ16/4,30)),2*INDEX(TABLAS!$D$52:$D$58,MATCH(DATOS!$C$113,TABLAS!$B$52:$B$58,0))*DATOS!$C$42/(MAX(0.2*SQRT(DATOS!$C$39),3.5)*N16),MIN(16*INDEX(TABLAS!$C$52:$C$58,MATCH(MIN(MAX(AS16,2),MAX(AZ16,2)),TABLAS!$B$52:$B$58,0)),48*INDEX(TABLAS!$C$52:$C$58,MATCH(DATOS!$C$113,TABLAS!$B$52:$B$58,0))),DATOS!$C$115),0.5))</f>
        <v>17</v>
      </c>
      <c r="BG16" s="57">
        <f>BF16</f>
        <v>17</v>
      </c>
      <c r="BH16" s="51" t="str">
        <f>IF(AO16=0,"—",IF(AO16&gt;DATOS!$C$59*(BE16/DATOS!$C$59+2.2*SQRT(DATOS!$C$39)*N16*AQ16/1000),"SECCIÓN INSUFICIENTE","E No. "&amp;TEXT(DATOS!$C$113,"0")&amp;IF(BG16&lt;BF16," @ "&amp;TEXT(BG16,"0.0")&amp;" en 2h y"," @")&amp;" "&amp;TEXT(BF16,"0.0")&amp;" cm"))</f>
        <v>E No. 3 @ 17.0 cm</v>
      </c>
      <c r="BI16" s="56">
        <f>N16+2*MIN(8*DATOS!$C$14,DATOS!$C$11/2,G16*100/8)</f>
        <v>80</v>
      </c>
      <c r="BJ16" s="71">
        <f>BI16*DATOS!$C$14^3/12+BI16*DATOS!$C$14*(((BI16*DATOS!$C$14^2/2+N16*(O16-DATOS!$C$14)*(DATOS!$C$14+(O16-DATOS!$C$14)/2))/(BI16*DATOS!$C$14+N16*(O16-DATOS!$C$14)))-DATOS!$C$14/2)^2+N16*(O16-DATOS!$C$14)^3/12+N16*(O16-DATOS!$C$14)*(DATOS!$C$14+(O16-DATOS!$C$14)/2-((BI16*DATOS!$C$14^2/2+N16*(O16-DATOS!$C$14)*(DATOS!$C$14+(O16-DATOS!$C$14)/2))/(BI16*DATOS!$C$14+N16*(O16-DATOS!$C$14))))^2</f>
        <v>174109.848484848</v>
      </c>
      <c r="BK16" s="43">
        <f>O16-DATOS!$C$22-INDEX(TABLAS!$C$52:$C$58,MATCH(DATOS!$C$113,TABLAS!$B$52:$B$58,0))-INDEX(TABLAS!$C$52:$C$58,MATCH(MAX(IF(L16="VOLADO",AZ16,AS16),2),TABLAS!$B$52:$B$58,0))/2</f>
        <v>34.255</v>
      </c>
      <c r="BL16" s="43">
        <f>DATOS!$C$46/DATOS!$C$45*IF(L16="VOLADO",BA16*INDEX(TABLAS!$D$52:$D$58,MATCH(MAX(AZ16,2),TABLAS!$B$52:$B$58,0)),AU16*INDEX(TABLAS!$D$52:$D$58,MATCH(MAX(AS16,2),TABLAS!$B$52:$B$58,0)))</f>
        <v>53.6683694325719</v>
      </c>
      <c r="BM16" s="43">
        <f>IF(BL16&lt;=0,0,(SQRT(2*(BL16/(IF(L16="VOLADO",N16,BI16)*BK16))+(BL16/(IF(L16="VOLADO",N16,BI16)*BK16))^2)-(BL16/(IF(L16="VOLADO",N16,BI16)*BK16)))*BK16)</f>
        <v>6.1416556236401</v>
      </c>
      <c r="BN16" s="71">
        <f>IF(AND(L16&lt;&gt;"VOLADO",BM16&gt;DATOS!$C$14),(BI16*DATOS!$C$14^3/12+BI16*DATOS!$C$14*(((-((BI16-N16)*DATOS!$C$14+BL16)+SQRT(((BI16-N16)*DATOS!$C$14+BL16)^2+2*N16*((BI16-N16)*DATOS!$C$14^2/2+BL16*BK16)))/N16)-DATOS!$C$14/2)^2+N16*(((-((BI16-N16)*DATOS!$C$14+BL16)+SQRT(((BI16-N16)*DATOS!$C$14+BL16)^2+2*N16*((BI16-N16)*DATOS!$C$14^2/2+BL16*BK16)))/N16)-DATOS!$C$14)^3/3+BL16*(BK16-((-((BI16-N16)*DATOS!$C$14+BL16)+SQRT(((BI16-N16)*DATOS!$C$14+BL16)^2+2*N16*((BI16-N16)*DATOS!$C$14^2/2+BL16*BK16)))/N16))^2),(IF(L16="VOLADO",N16,BI16)*BM16^3/3+BL16*(BK16-BM16)^2))</f>
        <v>48562.0502624902</v>
      </c>
      <c r="BO16" s="71">
        <f>IF(AP16&lt;=0,BJ16,IF((AP16*1E5)&lt;=2/3*(DATOS!$C$47*BJ16/IF(L16="VOLADO",((BI16*DATOS!$C$14^2/2+N16*(O16-DATOS!$C$14)*(DATOS!$C$14+(O16-DATOS!$C$14)/2))/(BI16*DATOS!$C$14+N16*(O16-DATOS!$C$14))),O16-((BI16*DATOS!$C$14^2/2+N16*(O16-DATOS!$C$14)*(DATOS!$C$14+(O16-DATOS!$C$14)/2))/(BI16*DATOS!$C$14+N16*(O16-DATOS!$C$14))))),BJ16,IF(BL16&lt;=0,0,BN16/(1-(2/3*(DATOS!$C$47*BJ16/IF(L16="VOLADO",((BI16*DATOS!$C$14^2/2+N16*(O16-DATOS!$C$14)*(DATOS!$C$14+(O16-DATOS!$C$14)/2))/(BI16*DATOS!$C$14+N16*(O16-DATOS!$C$14))),O16-((BI16*DATOS!$C$14^2/2+N16*(O16-DATOS!$C$14)*(DATOS!$C$14+(O16-DATOS!$C$14)/2))/(BI16*DATOS!$C$14+N16*(O16-DATOS!$C$14)))))/(AP16*1E5))^2*(1-BN16/BJ16)))))</f>
        <v>52422.2759481138</v>
      </c>
      <c r="BP16" s="62">
        <f>IF(OR(L16="APOYADA",L16="VOLADO"),(IF(L16="VOLADO",(AP16-AH16)/4+AH16/3,5/48*AP16)*1E5*(G16*100)^2/(DATOS!$C$45*MAX(BO16,1)))*(1+2/(1+50*IF(L16="VOLADO",AU16*INDEX(TABLAS!$D$52:$D$58,MATCH(MAX(AS16,2),TABLAS!$B$52:$B$58,0)),DATOS!$C$114*INDEX(TABLAS!$D$52:$D$58,MATCH(MAX(AZ16,2),TABLAS!$B$52:$B$58,0)))/(N16*BK16))*((AA16+AC16)/MAX(AA16+AB16,1E-6))),0)</f>
        <v>0.783442494316705</v>
      </c>
      <c r="BQ16" s="43">
        <f>IF(S16&gt;0,0.3+G16*100/480,0.5+G16*100/240)</f>
        <v>0.867083333333333</v>
      </c>
      <c r="BR16" s="43">
        <f>IF(S16&gt;0,(T16+U16)*G16+AG16,0)</f>
        <v>7.323433525</v>
      </c>
      <c r="BS16" s="43">
        <f>IF(S16&gt;0,(DATOS!$C$51*DATOS!$C$103*100*(G16*100)^3/(DATOS!$C$45*BJ16*((BR16*1000/(DATOS!$C$103*100*S16*100)*DATOS!$C$103*100*(MIN(1,S16/G16)^4-4*MIN(1,S16/G16)^3+8*MIN(1,S16/G16)))/((BR16*1000/(DATOS!$C$103*100*S16*100)*DATOS!$C$103*100*(MIN(1,S16/G16)^4-4*MIN(1,S16/G16)^3+8*MIN(1,S16/G16)))+5*((R16+X16+Y16+IF(L16="APOYADA",8*(TRANSFER!$H$15)/G16^2,0))*10)))))^0.25,0)</f>
        <v>5.25742191759149</v>
      </c>
      <c r="BT16" s="57">
        <f>IF(S16&gt;0,MAX(1,IF(MIN(1,S16/G16)&gt;=1,(1.6*BS16-3.9),IF(MIN(1,S16/G16)&lt;0.9,((3.2*BS16-7.8)*1),((3.2*BS16-7.8)*1)+((1.6*BS16-3.9)-((3.2*BS16-7.8)*1))*(MIN(1,S16/G16)-0.9)/0.1)))*BR16*1000/(DATOS!$C$103*100*S16*100),0)</f>
        <v>8.09268114981017</v>
      </c>
      <c r="BU16" s="65" t="str">
        <f>IF(S16=0,"—",IF(DATOS!$C$105/S16&lt;0.6,"REVISAR: H/L &lt; 0.6, interacción muro-viga",IF(BT16&lt;=DATOS!$C$60*DATOS!$C$50,"CUMPLE","NO CUMPLE f_CM &gt; F_R·f'm")))</f>
        <v>CUMPLE</v>
      </c>
      <c r="BV16" s="57">
        <f>IF(S16&gt;0,MAX(25,IF(BJ16&gt;=(G16*100)^3/1600,0,MIN(G16*100/14,(12*(G16*100)^3/1600/N16)^(1/3)))),IF(L16="APOYADA",MAX(25,G16*100/16),IF(L16="VOLADO",MAX(25,G16*100/8),0)))</f>
        <v>25</v>
      </c>
      <c r="BW16" s="57">
        <f>IF(S16&gt;0,IF(BJ16&gt;=(5/4*(G16*100)^3/DATOS!$C$45*((((S16*DATOS!$C$107+(((SUMIFS(TRIB!$I$6:$I$255,TRIB!$B$6:$B$255,"DM-78")-SUMIFS(TRIB!$L$6:$L$255,TRIB!$B$6:$B$255,"DM-78"))*1.0+(SUMIFS(TRIB!$I$6:$I$255,TRIB!$B$6:$B$255,"DM-79")-SUMIFS(TRIB!$L$6:$L$255,TRIB!$B$6:$B$255,"DM-79"))*1.0+(SUMIFS(TRIB!$I$6:$I$255,TRIB!$B$6:$B$255,"DM-80")-SUMIFS(TRIB!$L$6:$L$255,TRIB!$B$6:$B$255,"DM-80"))*1.0)/G16+(SUMIFS(TRIB!$M$6:$M$255,TRIB!$B$6:$B$255,"DM-78")*1.0+SUMIFS(TRIB!$M$6:$M$255,TRIB!$B$6:$B$255,"DM-79")*1.0+SUMIFS(TRIB!$M$6:$M$255,TRIB!$B$6:$B$255,"DM-80")*1.0)/G16)*G16+AG16/DATOS!$C$55)*1000)/(DATOS!$C$103*100*S16*100)*DATOS!$C$103*100*(MIN(1,S16/G16)^4-4*MIN(1,S16/G16)^3+8*MIN(1,S16/G16)))+5*((AA16-S16*DATOS!$C$107/G16-(((SUMIFS(TRIB!$I$6:$I$255,TRIB!$B$6:$B$255,"DM-78")-SUMIFS(TRIB!$L$6:$L$255,TRIB!$B$6:$B$255,"DM-78"))*1.0+(SUMIFS(TRIB!$I$6:$I$255,TRIB!$B$6:$B$255,"DM-79")-SUMIFS(TRIB!$L$6:$L$255,TRIB!$B$6:$B$255,"DM-79"))*1.0+(SUMIFS(TRIB!$I$6:$I$255,TRIB!$B$6:$B$255,"DM-80")-SUMIFS(TRIB!$L$6:$L$255,TRIB!$B$6:$B$255,"DM-80"))*1.0)/G16))*10))),0,MIN((G16*100/((1/15*DATOS!$C$45*N16/((((S16*DATOS!$C$107+(((SUMIFS(TRIB!$I$6:$I$255,TRIB!$B$6:$B$255,"DM-78")-SUMIFS(TRIB!$L$6:$L$255,TRIB!$B$6:$B$255,"DM-78"))*1.0+(SUMIFS(TRIB!$I$6:$I$255,TRIB!$B$6:$B$255,"DM-79")-SUMIFS(TRIB!$L$6:$L$255,TRIB!$B$6:$B$255,"DM-79"))*1.0+(SUMIFS(TRIB!$I$6:$I$255,TRIB!$B$6:$B$255,"DM-80")-SUMIFS(TRIB!$L$6:$L$255,TRIB!$B$6:$B$255,"DM-80"))*1.0)/G16+(SUMIFS(TRIB!$M$6:$M$255,TRIB!$B$6:$B$255,"DM-78")*1.0+SUMIFS(TRIB!$M$6:$M$255,TRIB!$B$6:$B$255,"DM-79")*1.0+SUMIFS(TRIB!$M$6:$M$255,TRIB!$B$6:$B$255,"DM-80")*1.0)/G16)*G16+AG16/DATOS!$C$55)*1000)/(DATOS!$C$103*100*S16*100)*DATOS!$C$103*100*(MIN(1,S16/G16)^4-4*MIN(1,S16/G16)^3+8*MIN(1,S16/G16)))+5*((AA16-S16*DATOS!$C$107/G16-(((SUMIFS(TRIB!$I$6:$I$255,TRIB!$B$6:$B$255,"DM-78")-SUMIFS(TRIB!$L$6:$L$255,TRIB!$B$6:$B$255,"DM-78"))*1.0+(SUMIFS(TRIB!$I$6:$I$255,TRIB!$B$6:$B$255,"DM-79")-SUMIFS(TRIB!$L$6:$L$255,TRIB!$B$6:$B$255,"DM-79"))*1.0+(SUMIFS(TRIB!$I$6:$I$255,TRIB!$B$6:$B$255,"DM-80")-SUMIFS(TRIB!$L$6:$L$255,TRIB!$B$6:$B$255,"DM-80"))*1.0)/G16))*10)))^(1/3))),(12*(5/4*(G16*100)^3/DATOS!$C$45*((((S16*DATOS!$C$107+(((SUMIFS(TRIB!$I$6:$I$255,TRIB!$B$6:$B$255,"DM-78")-SUMIFS(TRIB!$L$6:$L$255,TRIB!$B$6:$B$255,"DM-78"))*1.0+(SUMIFS(TRIB!$I$6:$I$255,TRIB!$B$6:$B$255,"DM-79")-SUMIFS(TRIB!$L$6:$L$255,TRIB!$B$6:$B$255,"DM-79"))*1.0+(SUMIFS(TRIB!$I$6:$I$255,TRIB!$B$6:$B$255,"DM-80")-SUMIFS(TRIB!$L$6:$L$255,TRIB!$B$6:$B$255,"DM-80"))*1.0)/G16+(SUMIFS(TRIB!$M$6:$M$255,TRIB!$B$6:$B$255,"DM-78")*1.0+SUMIFS(TRIB!$M$6:$M$255,TRIB!$B$6:$B$255,"DM-79")*1.0+SUMIFS(TRIB!$M$6:$M$255,TRIB!$B$6:$B$255,"DM-80")*1.0)/G16)*G16+AG16/DATOS!$C$55)*1000)/(DATOS!$C$103*100*S16*100)*DATOS!$C$103*100*(MIN(1,S16/G16)^4-4*MIN(1,S16/G16)^3+8*MIN(1,S16/G16)))+5*((AA16-S16*DATOS!$C$107/G16-(((SUMIFS(TRIB!$I$6:$I$255,TRIB!$B$6:$B$255,"DM-78")-SUMIFS(TRIB!$L$6:$L$255,TRIB!$B$6:$B$255,"DM-78"))*1.0+(SUMIFS(TRIB!$I$6:$I$255,TRIB!$B$6:$B$255,"DM-79")-SUMIFS(TRIB!$L$6:$L$255,TRIB!$B$6:$B$255,"DM-79"))*1.0+(SUMIFS(TRIB!$I$6:$I$255,TRIB!$B$6:$B$255,"DM-80")-SUMIFS(TRIB!$L$6:$L$255,TRIB!$B$6:$B$255,"DM-80"))*1.0)/G16))*10)))/N16)^(1/3))),0)</f>
        <v>0</v>
      </c>
      <c r="BX16" s="57">
        <f>SQRT(MAX(AM16,AN16)*1E5/(DATOS!$C$58*N16*DATOS!$C$48*(DATOS!$C$82*DATOS!$C$40/DATOS!$C$48)*(1-(DATOS!$C$82*DATOS!$C$40/DATOS!$C$48)/2)))+(O16-AQ16)</f>
        <v>30.0953467665736</v>
      </c>
      <c r="BY16" s="59">
        <f>IF(OR(L16="BORDE DE VOLADO",L16="SIN APOYO"),0,CEILING(MAX(BV16,BW16,BX16,DATOS!$C$15),5))</f>
        <v>35</v>
      </c>
      <c r="BZ16" s="72" t="str">
        <f>IF(L16="BORDE DE VOLADO","BORDE DE VOLADO — armado de orilla",IF(L16="SIN APOYO","SIN APOYO — REVISAR",IF(AND(AW16&lt;=1,BC16&lt;=1,IF(AU16=0,TRUE,AU16&lt;=INT((CB16+DATOS!$C$32)/(INDEX(TABLAS!$C$52:$C$58,MATCH(MAX(AS16,2),TABLAS!$B$52:$B$58,0))+DATOS!$C$32))),IF(BA16=0,TRUE,BA16&lt;=INT((CB16+DATOS!$C$32)/(INDEX(TABLAS!$C$52:$C$58,MATCH(MAX(AZ16,2),TABLAS!$B$52:$B$58,0))+DATOS!$C$32))),AND(OR(NOT(ISNUMBER(AX16)),AX16&gt;=0.005),OR(NOT(ISNUMBER(BD16)),BD16&gt;=0.005)),BH16&lt;&gt;"SECCIÓN INSUFICIENTE",AND(O16&gt;=BV16,O16&gt;=BW16,O16/N16&lt;=6),BP16&lt;=BQ16,OR(S16=0,LEFT(BU16,6)&lt;&gt;"NO CUM")),IF(LEFT(BU16,7)="REVISAR","PENDIENTE: H/L &lt; 0.6, falta el análisis de interacción muro-viga (NTC-M 4.1.18.2.1, p. 44)","CUMPLE")&amp;IF(L16="VOLADO"," (en VOLADO)",""),"NO CUMPLE: "&amp;IF(OR(AR16&lt;0,AY16&lt;0),"sección insuficiente en flexión ",IF(OR(AW16&gt;1,BC16&gt;1),"flexión ",""))&amp;IF(NOT(AND(IF(AU16=0,TRUE,AU16&lt;=INT((CB16+DATOS!$C$32)/(INDEX(TABLAS!$C$52:$C$58,MATCH(MAX(AS16,2),TABLAS!$B$52:$B$58,0))+DATOS!$C$32))),IF(BA16=0,TRUE,BA16&lt;=INT((CB16+DATOS!$C$32)/(INDEX(TABLAS!$C$52:$C$58,MATCH(MAX(AZ16,2),TABLAS!$B$52:$B$58,0))+DATOS!$C$32))))),"no caben ","")&amp;IF(NOT(AND(OR(NOT(ISNUMBER(AX16)),AX16&gt;=0.005),OR(NOT(ISNUMBER(BD16)),BD16&gt;=0.005))),"ε_t ","")&amp;IF(BH16="SECCIÓN INSUFICIENTE","cortante ","")&amp;IF(NOT(AND(O16&gt;=BV16,O16&gt;=BW16,O16/N16&lt;=6)),"peralte ","")&amp;IF(NOT(BP16&lt;=BQ16),"flecha ","")&amp;IF(NOT(OR(S16=0,LEFT(BU16,6)&lt;&gt;"NO CUM")),"muro sobre viga ","")&amp;"→ h ≥ "&amp;TEXT(MAX(BY16,IF(BP16&gt;BQ16,MAX(O16+5,CEILING(O16*(BP16/BQ16)^(1/3),5)),0)),"0")&amp;" cm"&amp;IF(NOT(AND(IF(AU16=0,TRUE,AU16&lt;=INT((CB16+DATOS!$C$32)/(INDEX(TABLAS!$C$52:$C$58,MATCH(MAX(AS16,2),TABLAS!$B$52:$B$58,0))+DATOS!$C$32))),IF(BA16=0,TRUE,BA16&lt;=INT((CB16+DATOS!$C$32)/(INDEX(TABLAS!$C$52:$C$58,MATCH(MAX(AZ16,2),TABLAS!$B$52:$B$58,0))+DATOS!$C$32)))))," y b ≥ "&amp;TEXT(N16+5,"0")&amp;" cm","")&amp;" (verificar)")))</f>
        <v>CUMPLE</v>
      </c>
      <c r="CA16" s="65" t="inlineStr">
        <is>
          <t>Extremo i en castillo propuesto C6. Recibe a NP-30, NP-34 (por el muro de arriba). Muro de planta alta encima (2.72 m) con la azotea de DM-78, DM-79, DM-80: viga que soporta muro estructural (NTC-Mampostería 4.1.18): la flecha se calcula y el límite es 0.3 cm + L/480.</t>
        </is>
      </c>
      <c r="CB16" s="43">
        <f>N16-2*DATOS!$C$22-2*INDEX(TABLAS!$C$52:$C$58,MATCH(DATOS!$C$113,TABLAS!$B$52:$B$58,0))</f>
        <v>10.1</v>
      </c>
    </row>
    <row r="17" ht="30" customHeight="1">
      <c r="B17" s="60" t="inlineStr">
        <is>
          <t>NP-09</t>
        </is>
      </c>
      <c r="C17" s="52" t="inlineStr">
        <is>
          <t>N+3.00</t>
        </is>
      </c>
      <c r="D17" s="51" t="inlineStr">
        <is>
          <t>y = 14.021</t>
        </is>
      </c>
      <c r="E17" s="52" t="inlineStr">
        <is>
          <t>(-2.000, 14.021)</t>
        </is>
      </c>
      <c r="F17" s="52" t="inlineStr">
        <is>
          <t>(0.000, 14.021)</t>
        </is>
      </c>
      <c r="G17" s="55" t="n">
        <v>2</v>
      </c>
      <c r="H17" s="52" t="inlineStr">
        <is>
          <t>LIBRE</t>
        </is>
      </c>
      <c r="I17" s="52" t="inlineStr">
        <is>
          <t>FIRME</t>
        </is>
      </c>
      <c r="J17" s="52" t="inlineStr">
        <is>
          <t>—</t>
        </is>
      </c>
      <c r="K17" s="52" t="inlineStr">
        <is>
          <t>—</t>
        </is>
      </c>
      <c r="L17" s="52" t="inlineStr">
        <is>
          <t>BORDE DE VOLADO</t>
        </is>
      </c>
      <c r="M17" s="52" t="str">
        <f>IF(L17="VOLADO",IF(OR(H17="FIRME",H17="NERVADURA",H17="PUNTA"),"i","j"),"—")</f>
        <v>—</v>
      </c>
      <c r="N17" s="58">
        <f>DATOS!$C$17</f>
        <v>15</v>
      </c>
      <c r="O17" s="58">
        <f>DATOS!$C$15</f>
        <v>25</v>
      </c>
      <c r="P17" s="65" t="str">
        <f>IF(L17="BORDE DE VOLADO","—",IF(OR(N17&lt;&gt;DATOS!$C$17,O17&lt;&gt;DATOS!$C$15),"PERALTAR: trabe "&amp;TEXT(N17,"0")&amp;"×"&amp;TEXT(O17,"0")&amp;IF(O17&gt;DATOS!$C$15," (descuelga "&amp;TEXT(O17-DATOS!$C$15,"0")&amp;" cm)",""),"Queda en la losa (15×25)"))</f>
        <v>—</v>
      </c>
      <c r="Q17" s="43">
        <f>SUMIFS(TRIB!$E$6:$E$255,TRIB!$B$6:$B$255,"NP-09")</f>
        <v>0</v>
      </c>
      <c r="R17" s="36">
        <f>SUMIFS(TRIB!$G$6:$G$255,TRIB!$B$6:$B$255,"NP-09")/G17</f>
        <v>0</v>
      </c>
      <c r="S17" s="69" t="n">
        <v>0</v>
      </c>
      <c r="T17" s="36">
        <f>DATOS!$C$55*S17*DATOS!$C$107/G17</f>
        <v>0</v>
      </c>
      <c r="U17" s="36">
        <f>0</f>
        <v>0</v>
      </c>
      <c r="V17" s="61" t="n">
        <v>333.7</v>
      </c>
      <c r="W17" s="61" t="n">
        <v>0</v>
      </c>
      <c r="X17" s="36">
        <f>(DATOS!$C$55*V17+DATOS!$C$56*W17)/1000</f>
        <v>0.43381</v>
      </c>
      <c r="Y17" s="36">
        <f>DATOS!$C$55*(N17/100*O17/100*DATOS!$C$43-N17/100*DATOS!$C$70/1000)</f>
        <v>0.0694836734693878</v>
      </c>
      <c r="Z17" s="70">
        <f>R17+T17+U17+X17+Y17</f>
        <v>0.503293673469388</v>
      </c>
      <c r="AA17" s="36">
        <f>(SUMIFS(TRIB!$I$6:$I$255,TRIB!$B$6:$B$255,"NP-09")-SUMIFS(TRIB!$L$6:$L$255,TRIB!$B$6:$B$255,"NP-09"))/G17+S17*DATOS!$C$107/G17+0+V17/1000+Y17/DATOS!$C$55</f>
        <v>0.387148979591837</v>
      </c>
      <c r="AB17" s="36">
        <f>SUMIFS(TRIB!$L$6:$L$255,TRIB!$B$6:$B$255,"NP-09")/G17+0+W17/1000</f>
        <v>0</v>
      </c>
      <c r="AC17" s="36">
        <f>SUMIFS(TRIB!$M$6:$M$255,TRIB!$B$6:$B$255,"NP-09")/G17+0+W17/1000*DATOS!$C$91/DATOS!$C$89</f>
        <v>0</v>
      </c>
      <c r="AD17" s="36">
        <f>0</f>
        <v>0</v>
      </c>
      <c r="AE17" s="36">
        <f>0</f>
        <v>0</v>
      </c>
      <c r="AF17" s="36">
        <f>0</f>
        <v>0</v>
      </c>
      <c r="AG17" s="36">
        <f>0</f>
        <v>0</v>
      </c>
      <c r="AH17" s="36">
        <f>0</f>
        <v>0</v>
      </c>
      <c r="AI17" s="36">
        <f>IF(L17="APOYADA",Z17*G17/2+0,IF(AND(L17="VOLADO",M17="i"),Z17*G17+AD17,0))</f>
        <v>0</v>
      </c>
      <c r="AJ17" s="36">
        <f>IF(L17="APOYADA",Z17*G17/2+0,IF(AND(L17="VOLADO",M17="j"),Z17*G17+AD17,0))</f>
        <v>0</v>
      </c>
      <c r="AK17" s="36">
        <f>IF(L17="APOYADA",(AA17+AB17)*G17/2+0,IF(AND(L17="VOLADO",M17="i"),(AA17+AB17)*G17+0,0))</f>
        <v>0</v>
      </c>
      <c r="AL17" s="36">
        <f>IF(L17="APOYADA",(AA17+AB17)*G17/2+0,IF(AND(L17="VOLADO",M17="j"),(AA17+AB17)*G17+0,0))</f>
        <v>0</v>
      </c>
      <c r="AM17" s="70">
        <f>IF(L17="APOYADA",Z17*G17^2/8+AE17,0)</f>
        <v>0</v>
      </c>
      <c r="AN17" s="70">
        <f>IF(L17="APOYADA",DATOS!$C$64*AM17,IF(L17="VOLADO",Z17*G17^2/2+AE17,0))</f>
        <v>0</v>
      </c>
      <c r="AO17" s="70">
        <f>IF(L17="APOYADA",Z17*G17/2+AF17,IF(L17="VOLADO",Z17*G17+AF17,0))</f>
        <v>0</v>
      </c>
      <c r="AP17" s="36">
        <f>IF(L17="APOYADA",(AA17+AB17)*G17^2/8+AH17,IF(L17="VOLADO",(AA17+AB17)*G17^2/2+AH17,0))</f>
        <v>0</v>
      </c>
      <c r="AQ17" s="43">
        <f>O17-DATOS!$C$22-INDEX(TABLAS!$C$52:$C$58,MATCH(DATOS!$C$113,TABLAS!$B$52:$B$58,0))-INDEX(TABLAS!$C$52:$C$58,MATCH(DATOS!$C$112,TABLAS!$B$52:$B$58,0))/2</f>
        <v>19.415</v>
      </c>
      <c r="AR17" s="43">
        <f>IF(OR(L17="BORDE DE VOLADO",L17="SIN APOYO"),0,IF(IF(AM17&lt;=0,0,IF((1-2*AM17*1E5/(DATOS!$C$58*N17*AQ17^2*DATOS!$C$48))&lt;0,-1,IF((1-SQRT((1-2*AM17*1E5/(DATOS!$C$58*N17*AQ17^2*DATOS!$C$48))))*DATOS!$C$48*N17*AQ17/DATOS!$C$40&gt;DATOS!$C$82*N17*AQ17,-1,(1-SQRT((1-2*AM17*1E5/(DATOS!$C$58*N17*AQ17^2*DATOS!$C$48))))*DATOS!$C$48*N17*AQ17/DATOS!$C$40)))&lt;0,-1,MAX(IF(AM17&lt;=0,0,IF((1-2*AM17*1E5/(DATOS!$C$58*N17*AQ17^2*DATOS!$C$48))&lt;0,-1,IF((1-SQRT((1-2*AM17*1E5/(DATOS!$C$58*N17*AQ17^2*DATOS!$C$48))))*DATOS!$C$48*N17*AQ17/DATOS!$C$40&gt;DATOS!$C$82*N17*AQ17,-1,(1-SQRT((1-2*AM17*1E5/(DATOS!$C$58*N17*AQ17^2*DATOS!$C$48))))*DATOS!$C$48*N17*AQ17/DATOS!$C$40))),MIN(DATOS!$C$83*N17*AQ17,4/3*IF(AM17&lt;=0,0,IF((1-2*AM17*1E5/(DATOS!$C$58*N17*AQ17^2*DATOS!$C$48))&lt;0,-1,IF((1-SQRT((1-2*AM17*1E5/(DATOS!$C$58*N17*AQ17^2*DATOS!$C$48))))*DATOS!$C$48*N17*AQ17/DATOS!$C$40&gt;DATOS!$C$82*N17*AQ17,-1,(1-SQRT((1-2*AM17*1E5/(DATOS!$C$58*N17*AQ17^2*DATOS!$C$48))))*DATOS!$C$48*N17*AQ17/DATOS!$C$40)))))))</f>
        <v>0</v>
      </c>
      <c r="AS17" s="41">
        <f>IF(AR17&lt;0,0,IF(AND(AR17&gt;=0,MAX(DATOS!$C$114,CEILING(AR17/INDEX(TABLAS!$D$52:$D$58,MIN(MATCH(DATOS!$C$112,TABLAS!$B$52:$B$58,0)+0,7)),1))&lt;=MIN(99,INT((CB17+MAX(DATOS!$C$32,INDEX(TABLAS!$C$52:$C$58,MIN(MATCH(DATOS!$C$112,TABLAS!$B$52:$B$58,0)+0,7))))/(INDEX(TABLAS!$C$52:$C$58,MIN(MATCH(DATOS!$C$112,TABLAS!$B$52:$B$58,0)+0,7))+MAX(DATOS!$C$32,INDEX(TABLAS!$C$52:$C$58,MIN(MATCH(DATOS!$C$112,TABLAS!$B$52:$B$58,0)+0,7))))))),INDEX(TABLAS!$B$52:$B$58,MIN(MATCH(DATOS!$C$112,TABLAS!$B$52:$B$58,0)+0,7)),IF(AND(AR17&gt;=0,MAX(DATOS!$C$114,CEILING(AR17/INDEX(TABLAS!$D$52:$D$58,MIN(MATCH(DATOS!$C$112,TABLAS!$B$52:$B$58,0)+1,7)),1))&lt;=MIN(99,INT((CB17+MAX(DATOS!$C$32,INDEX(TABLAS!$C$52:$C$58,MIN(MATCH(DATOS!$C$112,TABLAS!$B$52:$B$58,0)+1,7))))/(INDEX(TABLAS!$C$52:$C$58,MIN(MATCH(DATOS!$C$112,TABLAS!$B$52:$B$58,0)+1,7))+MAX(DATOS!$C$32,INDEX(TABLAS!$C$52:$C$58,MIN(MATCH(DATOS!$C$112,TABLAS!$B$52:$B$58,0)+1,7))))))),INDEX(TABLAS!$B$52:$B$58,MIN(MATCH(DATOS!$C$112,TABLAS!$B$52:$B$58,0)+1,7)),IF(AND(AR17&gt;=0,MAX(DATOS!$C$114,CEILING(AR17/INDEX(TABLAS!$D$52:$D$58,MIN(MATCH(DATOS!$C$112,TABLAS!$B$52:$B$58,0)+2,7)),1))&lt;=MIN(99,INT((CB17+MAX(DATOS!$C$32,INDEX(TABLAS!$C$52:$C$58,MIN(MATCH(DATOS!$C$112,TABLAS!$B$52:$B$58,0)+2,7))))/(INDEX(TABLAS!$C$52:$C$58,MIN(MATCH(DATOS!$C$112,TABLAS!$B$52:$B$58,0)+2,7))+MAX(DATOS!$C$32,INDEX(TABLAS!$C$52:$C$58,MIN(MATCH(DATOS!$C$112,TABLAS!$B$52:$B$58,0)+2,7))))))),INDEX(TABLAS!$B$52:$B$58,MIN(MATCH(DATOS!$C$112,TABLAS!$B$52:$B$58,0)+2,7)),IF(AND(AR17&gt;=0,MAX(DATOS!$C$114,CEILING(AR17/INDEX(TABLAS!$D$52:$D$58,MIN(MATCH(DATOS!$C$112,TABLAS!$B$52:$B$58,0)+3,7)),1))&lt;=MIN(99,INT((CB17+MAX(DATOS!$C$32,INDEX(TABLAS!$C$52:$C$58,MIN(MATCH(DATOS!$C$112,TABLAS!$B$52:$B$58,0)+3,7))))/(INDEX(TABLAS!$C$52:$C$58,MIN(MATCH(DATOS!$C$112,TABLAS!$B$52:$B$58,0)+3,7))+MAX(DATOS!$C$32,INDEX(TABLAS!$C$52:$C$58,MIN(MATCH(DATOS!$C$112,TABLAS!$B$52:$B$58,0)+3,7))))))),INDEX(TABLAS!$B$52:$B$58,MIN(MATCH(DATOS!$C$112,TABLAS!$B$52:$B$58,0)+3,7)),IF(AND(AR17&gt;=0,MAX(DATOS!$C$114,CEILING(AR17/INDEX(TABLAS!$D$52:$D$58,MIN(MATCH(DATOS!$C$112,TABLAS!$B$52:$B$58,0)+4,7)),1))&lt;=MIN(99,INT((CB17+MAX(DATOS!$C$32,INDEX(TABLAS!$C$52:$C$58,MIN(MATCH(DATOS!$C$112,TABLAS!$B$52:$B$58,0)+4,7))))/(INDEX(TABLAS!$C$52:$C$58,MIN(MATCH(DATOS!$C$112,TABLAS!$B$52:$B$58,0)+4,7))+MAX(DATOS!$C$32,INDEX(TABLAS!$C$52:$C$58,MIN(MATCH(DATOS!$C$112,TABLAS!$B$52:$B$58,0)+4,7))))))),INDEX(TABLAS!$B$52:$B$58,MIN(MATCH(DATOS!$C$112,TABLAS!$B$52:$B$58,0)+4,7)),INDEX(TABLAS!$B$52:$B$58,7)))))))</f>
        <v>4</v>
      </c>
      <c r="AT17" s="58" t="n">
        <v>0</v>
      </c>
      <c r="AU17" s="56">
        <f>IF(OR(L17="BORDE DE VOLADO",L17="SIN APOYO"),0,IF(AR17&lt;0,0,MAX(DATOS!$C$114,CEILING(AR17/INDEX(TABLAS!$D$52:$D$58,MATCH(IF(AS17=0,8,AS17),TABLAS!$B$52:$B$58,0)),1))+AT17))</f>
        <v>0</v>
      </c>
      <c r="AV17" s="36">
        <f>IF(AU17=0,0,DATOS!$C$58*AU17*INDEX(TABLAS!$D$52:$D$58,MATCH(AS17,TABLAS!$B$52:$B$58,0))*DATOS!$C$40*((O17-DATOS!$C$22-INDEX(TABLAS!$C$52:$C$58,MATCH(DATOS!$C$113,TABLAS!$B$52:$B$58,0))-INDEX(TABLAS!$C$52:$C$58,MATCH(AS17,TABLAS!$B$52:$B$58,0))/2)-AU17*INDEX(TABLAS!$D$52:$D$58,MATCH(AS17,TABLAS!$B$52:$B$58,0))*DATOS!$C$40/(DATOS!$C$48*N17)/2)/1E5)</f>
        <v>0</v>
      </c>
      <c r="AW17" s="62">
        <f>IF(AR17&lt;0,9.99,IF(AV17&gt;0,AM17/AV17,0))</f>
        <v>0</v>
      </c>
      <c r="AX17" s="63" t="str">
        <f>IF(AU17=0,"—",0.003*((O17-DATOS!$C$22-INDEX(TABLAS!$C$52:$C$58,MATCH(DATOS!$C$113,TABLAS!$B$52:$B$58,0))-INDEX(TABLAS!$C$52:$C$58,MATCH(AS17,TABLAS!$B$52:$B$58,0))/2)-(AU17*INDEX(TABLAS!$D$52:$D$58,MATCH(AS17,TABLAS!$B$52:$B$58,0))*DATOS!$C$40/(DATOS!$C$48*N17)/DATOS!$C$49))/(AU17*INDEX(TABLAS!$D$52:$D$58,MATCH(AS17,TABLAS!$B$52:$B$58,0))*DATOS!$C$40/(DATOS!$C$48*N17)/DATOS!$C$49))</f>
        <v>—</v>
      </c>
      <c r="AY17" s="43">
        <f>IF(OR(L17="BORDE DE VOLADO",L17="SIN APOYO"),0,IF(IF(AN17&lt;=0,0,IF((1-2*AN17*1E5/(DATOS!$C$58*N17*AQ17^2*DATOS!$C$48))&lt;0,-1,IF((1-SQRT((1-2*AN17*1E5/(DATOS!$C$58*N17*AQ17^2*DATOS!$C$48))))*DATOS!$C$48*N17*AQ17/DATOS!$C$40&gt;DATOS!$C$82*N17*AQ17,-1,(1-SQRT((1-2*AN17*1E5/(DATOS!$C$58*N17*AQ17^2*DATOS!$C$48))))*DATOS!$C$48*N17*AQ17/DATOS!$C$40)))&lt;0,-1,MAX(IF(AN17&lt;=0,0,IF((1-2*AN17*1E5/(DATOS!$C$58*N17*AQ17^2*DATOS!$C$48))&lt;0,-1,IF((1-SQRT((1-2*AN17*1E5/(DATOS!$C$58*N17*AQ17^2*DATOS!$C$48))))*DATOS!$C$48*N17*AQ17/DATOS!$C$40&gt;DATOS!$C$82*N17*AQ17,-1,(1-SQRT((1-2*AN17*1E5/(DATOS!$C$58*N17*AQ17^2*DATOS!$C$48))))*DATOS!$C$48*N17*AQ17/DATOS!$C$40))),MIN(DATOS!$C$83*IF(L17="VOLADO",MIN(BI17,2*N17),N17)*AQ17,4/3*IF(AN17&lt;=0,0,IF((1-2*AN17*1E5/(DATOS!$C$58*N17*AQ17^2*DATOS!$C$48))&lt;0,-1,IF((1-SQRT((1-2*AN17*1E5/(DATOS!$C$58*N17*AQ17^2*DATOS!$C$48))))*DATOS!$C$48*N17*AQ17/DATOS!$C$40&gt;DATOS!$C$82*N17*AQ17,-1,(1-SQRT((1-2*AN17*1E5/(DATOS!$C$58*N17*AQ17^2*DATOS!$C$48))))*DATOS!$C$48*N17*AQ17/DATOS!$C$40)))))))</f>
        <v>0</v>
      </c>
      <c r="AZ17" s="41">
        <f>IF(AY17&lt;0,0,IF(AND(AY17&gt;=0,MAX(DATOS!$C$114,CEILING(AY17/INDEX(TABLAS!$D$52:$D$58,MIN(MATCH(DATOS!$C$112,TABLAS!$B$52:$B$58,0)+0,7)),1))&lt;=MIN(99,INT((CB17+MAX(DATOS!$C$32,INDEX(TABLAS!$C$52:$C$58,MIN(MATCH(DATOS!$C$112,TABLAS!$B$52:$B$58,0)+0,7))))/(INDEX(TABLAS!$C$52:$C$58,MIN(MATCH(DATOS!$C$112,TABLAS!$B$52:$B$58,0)+0,7))+MAX(DATOS!$C$32,INDEX(TABLAS!$C$52:$C$58,MIN(MATCH(DATOS!$C$112,TABLAS!$B$52:$B$58,0)+0,7))))))),INDEX(TABLAS!$B$52:$B$58,MIN(MATCH(DATOS!$C$112,TABLAS!$B$52:$B$58,0)+0,7)),IF(AND(AY17&gt;=0,MAX(DATOS!$C$114,CEILING(AY17/INDEX(TABLAS!$D$52:$D$58,MIN(MATCH(DATOS!$C$112,TABLAS!$B$52:$B$58,0)+1,7)),1))&lt;=MIN(99,INT((CB17+MAX(DATOS!$C$32,INDEX(TABLAS!$C$52:$C$58,MIN(MATCH(DATOS!$C$112,TABLAS!$B$52:$B$58,0)+1,7))))/(INDEX(TABLAS!$C$52:$C$58,MIN(MATCH(DATOS!$C$112,TABLAS!$B$52:$B$58,0)+1,7))+MAX(DATOS!$C$32,INDEX(TABLAS!$C$52:$C$58,MIN(MATCH(DATOS!$C$112,TABLAS!$B$52:$B$58,0)+1,7))))))),INDEX(TABLAS!$B$52:$B$58,MIN(MATCH(DATOS!$C$112,TABLAS!$B$52:$B$58,0)+1,7)),IF(AND(AY17&gt;=0,MAX(DATOS!$C$114,CEILING(AY17/INDEX(TABLAS!$D$52:$D$58,MIN(MATCH(DATOS!$C$112,TABLAS!$B$52:$B$58,0)+2,7)),1))&lt;=MIN(99,INT((CB17+MAX(DATOS!$C$32,INDEX(TABLAS!$C$52:$C$58,MIN(MATCH(DATOS!$C$112,TABLAS!$B$52:$B$58,0)+2,7))))/(INDEX(TABLAS!$C$52:$C$58,MIN(MATCH(DATOS!$C$112,TABLAS!$B$52:$B$58,0)+2,7))+MAX(DATOS!$C$32,INDEX(TABLAS!$C$52:$C$58,MIN(MATCH(DATOS!$C$112,TABLAS!$B$52:$B$58,0)+2,7))))))),INDEX(TABLAS!$B$52:$B$58,MIN(MATCH(DATOS!$C$112,TABLAS!$B$52:$B$58,0)+2,7)),IF(AND(AY17&gt;=0,MAX(DATOS!$C$114,CEILING(AY17/INDEX(TABLAS!$D$52:$D$58,MIN(MATCH(DATOS!$C$112,TABLAS!$B$52:$B$58,0)+3,7)),1))&lt;=MIN(99,INT((CB17+MAX(DATOS!$C$32,INDEX(TABLAS!$C$52:$C$58,MIN(MATCH(DATOS!$C$112,TABLAS!$B$52:$B$58,0)+3,7))))/(INDEX(TABLAS!$C$52:$C$58,MIN(MATCH(DATOS!$C$112,TABLAS!$B$52:$B$58,0)+3,7))+MAX(DATOS!$C$32,INDEX(TABLAS!$C$52:$C$58,MIN(MATCH(DATOS!$C$112,TABLAS!$B$52:$B$58,0)+3,7))))))),INDEX(TABLAS!$B$52:$B$58,MIN(MATCH(DATOS!$C$112,TABLAS!$B$52:$B$58,0)+3,7)),IF(AND(AY17&gt;=0,MAX(DATOS!$C$114,CEILING(AY17/INDEX(TABLAS!$D$52:$D$58,MIN(MATCH(DATOS!$C$112,TABLAS!$B$52:$B$58,0)+4,7)),1))&lt;=MIN(99,INT((CB17+MAX(DATOS!$C$32,INDEX(TABLAS!$C$52:$C$58,MIN(MATCH(DATOS!$C$112,TABLAS!$B$52:$B$58,0)+4,7))))/(INDEX(TABLAS!$C$52:$C$58,MIN(MATCH(DATOS!$C$112,TABLAS!$B$52:$B$58,0)+4,7))+MAX(DATOS!$C$32,INDEX(TABLAS!$C$52:$C$58,MIN(MATCH(DATOS!$C$112,TABLAS!$B$52:$B$58,0)+4,7))))))),INDEX(TABLAS!$B$52:$B$58,MIN(MATCH(DATOS!$C$112,TABLAS!$B$52:$B$58,0)+4,7)),INDEX(TABLAS!$B$52:$B$58,7)))))))</f>
        <v>4</v>
      </c>
      <c r="BA17" s="56">
        <f>IF(OR(L17="BORDE DE VOLADO",L17="SIN APOYO"),0,IF(AY17&lt;0,0,MAX(DATOS!$C$114,CEILING(AY17/INDEX(TABLAS!$D$52:$D$58,MATCH(IF(AZ17=0,8,AZ17),TABLAS!$B$52:$B$58,0)),1))))</f>
        <v>0</v>
      </c>
      <c r="BB17" s="36">
        <f>IF(BA17=0,0,DATOS!$C$58*BA17*INDEX(TABLAS!$D$52:$D$58,MATCH(AZ17,TABLAS!$B$52:$B$58,0))*DATOS!$C$40*((O17-DATOS!$C$22-INDEX(TABLAS!$C$52:$C$58,MATCH(DATOS!$C$113,TABLAS!$B$52:$B$58,0))-INDEX(TABLAS!$C$52:$C$58,MATCH(AZ17,TABLAS!$B$52:$B$58,0))/2)-BA17*INDEX(TABLAS!$D$52:$D$58,MATCH(AZ17,TABLAS!$B$52:$B$58,0))*DATOS!$C$40/(DATOS!$C$48*N17)/2)/1E5)</f>
        <v>0</v>
      </c>
      <c r="BC17" s="62">
        <f>IF(AY17&lt;0,9.99,IF(BB17&gt;0,AN17/BB17,0))</f>
        <v>0</v>
      </c>
      <c r="BD17" s="63" t="str">
        <f>IF(BA17=0,"—",0.003*((O17-DATOS!$C$22-INDEX(TABLAS!$C$52:$C$58,MATCH(DATOS!$C$113,TABLAS!$B$52:$B$58,0))-INDEX(TABLAS!$C$52:$C$58,MATCH(AZ17,TABLAS!$B$52:$B$58,0))/2)-(BA17*INDEX(TABLAS!$D$52:$D$58,MATCH(AZ17,TABLAS!$B$52:$B$58,0))*DATOS!$C$40/(DATOS!$C$48*N17)/DATOS!$C$49))/(BA17*INDEX(TABLAS!$D$52:$D$58,MATCH(AZ17,TABLAS!$B$52:$B$58,0))*DATOS!$C$40/(DATOS!$C$48*N17)/DATOS!$C$49))</f>
        <v>—</v>
      </c>
      <c r="BE17" s="36">
        <f>IF(BA17=0,0,DATOS!$C$59*MIN(1.25,MAX(0.5,2*MAX(1E-6,MIN(AU17*INDEX(TABLAS!$D$52:$D$58,MATCH(MAX(AS17,2),TABLAS!$B$52:$B$58,0)),BA17*INDEX(TABLAS!$D$52:$D$58,MATCH(MAX(AZ17,2),TABLAS!$B$52:$B$58,0)))/(N17*AQ17))^(1/3)))*SQRT(DATOS!$C$39)*N17*AQ17/1000)</f>
        <v>0</v>
      </c>
      <c r="BF17" s="57">
        <f>IF(AO17=0,0,FLOOR(MIN(IF(AO17&gt;BE17,DATOS!$C$59*2*INDEX(TABLAS!$D$52:$D$58,MATCH(DATOS!$C$113,TABLAS!$B$52:$B$58,0))*DATOS!$C$42*AQ17/((AO17-BE17)*1000),999),IF(MAX(0,AO17-BE17)/DATOS!$C$59&lt;=1.1*SQRT(DATOS!$C$39)*N17*AQ17/1000,MIN(AQ17/2,60),MIN(AQ17/4,30)),2*INDEX(TABLAS!$D$52:$D$58,MATCH(DATOS!$C$113,TABLAS!$B$52:$B$58,0))*DATOS!$C$42/(MAX(0.2*SQRT(DATOS!$C$39),3.5)*N17),MIN(16*INDEX(TABLAS!$C$52:$C$58,MATCH(MIN(MAX(AS17,2),MAX(AZ17,2)),TABLAS!$B$52:$B$58,0)),48*INDEX(TABLAS!$C$52:$C$58,MATCH(DATOS!$C$113,TABLAS!$B$52:$B$58,0))),DATOS!$C$115),0.5))</f>
        <v>0</v>
      </c>
      <c r="BG17" s="57">
        <f>BF17</f>
        <v>0</v>
      </c>
      <c r="BH17" s="51" t="str">
        <f>IF(AO17=0,"—",IF(AO17&gt;DATOS!$C$59*(BE17/DATOS!$C$59+2.2*SQRT(DATOS!$C$39)*N17*AQ17/1000),"SECCIÓN INSUFICIENTE","E No. "&amp;TEXT(DATOS!$C$113,"0")&amp;IF(BG17&lt;BF17," @ "&amp;TEXT(BG17,"0.0")&amp;" en 2h y"," @")&amp;" "&amp;TEXT(BF17,"0.0")&amp;" cm"))</f>
        <v>—</v>
      </c>
      <c r="BI17" s="56">
        <f>N17+MIN(6*DATOS!$C$14,DATOS!$C$11/2,G17*100/12)</f>
        <v>31.6666666666667</v>
      </c>
      <c r="BJ17" s="71">
        <f>BI17*DATOS!$C$14^3/12+BI17*DATOS!$C$14*(((BI17*DATOS!$C$14^2/2+N17*(O17-DATOS!$C$14)*(DATOS!$C$14+(O17-DATOS!$C$14)/2))/(BI17*DATOS!$C$14+N17*(O17-DATOS!$C$14)))-DATOS!$C$14/2)^2+N17*(O17-DATOS!$C$14)^3/12+N17*(O17-DATOS!$C$14)*(DATOS!$C$14+(O17-DATOS!$C$14)/2-((BI17*DATOS!$C$14^2/2+N17*(O17-DATOS!$C$14)*(DATOS!$C$14+(O17-DATOS!$C$14)/2))/(BI17*DATOS!$C$14+N17*(O17-DATOS!$C$14))))^2</f>
        <v>26523.0429292929</v>
      </c>
      <c r="BK17" s="43">
        <f>O17-DATOS!$C$22-INDEX(TABLAS!$C$52:$C$58,MATCH(DATOS!$C$113,TABLAS!$B$52:$B$58,0))-INDEX(TABLAS!$C$52:$C$58,MATCH(MAX(IF(L17="VOLADO",AZ17,AS17),2),TABLAS!$B$52:$B$58,0))/2</f>
        <v>19.415</v>
      </c>
      <c r="BL17" s="43">
        <f>DATOS!$C$46/DATOS!$C$45*IF(L17="VOLADO",BA17*INDEX(TABLAS!$D$52:$D$58,MATCH(MAX(AZ17,2),TABLAS!$B$52:$B$58,0)),AU17*INDEX(TABLAS!$D$52:$D$58,MATCH(MAX(AS17,2),TABLAS!$B$52:$B$58,0)))</f>
        <v>0</v>
      </c>
      <c r="BM17" s="43">
        <f>IF(BL17&lt;=0,0,(SQRT(2*(BL17/(IF(L17="VOLADO",N17,BI17)*BK17))+(BL17/(IF(L17="VOLADO",N17,BI17)*BK17))^2)-(BL17/(IF(L17="VOLADO",N17,BI17)*BK17)))*BK17)</f>
        <v>0</v>
      </c>
      <c r="BN17" s="71">
        <f>IF(AND(L17&lt;&gt;"VOLADO",BM17&gt;DATOS!$C$14),(BI17*DATOS!$C$14^3/12+BI17*DATOS!$C$14*(((-((BI17-N17)*DATOS!$C$14+BL17)+SQRT(((BI17-N17)*DATOS!$C$14+BL17)^2+2*N17*((BI17-N17)*DATOS!$C$14^2/2+BL17*BK17)))/N17)-DATOS!$C$14/2)^2+N17*(((-((BI17-N17)*DATOS!$C$14+BL17)+SQRT(((BI17-N17)*DATOS!$C$14+BL17)^2+2*N17*((BI17-N17)*DATOS!$C$14^2/2+BL17*BK17)))/N17)-DATOS!$C$14)^3/3+BL17*(BK17-((-((BI17-N17)*DATOS!$C$14+BL17)+SQRT(((BI17-N17)*DATOS!$C$14+BL17)^2+2*N17*((BI17-N17)*DATOS!$C$14^2/2+BL17*BK17)))/N17))^2),(IF(L17="VOLADO",N17,BI17)*BM17^3/3+BL17*(BK17-BM17)^2))</f>
        <v>0</v>
      </c>
      <c r="BO17" s="71">
        <f>IF(AP17&lt;=0,BJ17,IF((AP17*1E5)&lt;=2/3*(DATOS!$C$47*BJ17/IF(L17="VOLADO",((BI17*DATOS!$C$14^2/2+N17*(O17-DATOS!$C$14)*(DATOS!$C$14+(O17-DATOS!$C$14)/2))/(BI17*DATOS!$C$14+N17*(O17-DATOS!$C$14))),O17-((BI17*DATOS!$C$14^2/2+N17*(O17-DATOS!$C$14)*(DATOS!$C$14+(O17-DATOS!$C$14)/2))/(BI17*DATOS!$C$14+N17*(O17-DATOS!$C$14))))),BJ17,IF(BL17&lt;=0,0,BN17/(1-(2/3*(DATOS!$C$47*BJ17/IF(L17="VOLADO",((BI17*DATOS!$C$14^2/2+N17*(O17-DATOS!$C$14)*(DATOS!$C$14+(O17-DATOS!$C$14)/2))/(BI17*DATOS!$C$14+N17*(O17-DATOS!$C$14))),O17-((BI17*DATOS!$C$14^2/2+N17*(O17-DATOS!$C$14)*(DATOS!$C$14+(O17-DATOS!$C$14)/2))/(BI17*DATOS!$C$14+N17*(O17-DATOS!$C$14)))))/(AP17*1E5))^2*(1-BN17/BJ17)))))</f>
        <v>26523.0429292929</v>
      </c>
      <c r="BP17" s="62">
        <f>IF(OR(L17="APOYADA",L17="VOLADO"),(IF(L17="VOLADO",(AP17-AH17)/4+AH17/3,5/48*AP17)*1E5*(G17*100)^2/(DATOS!$C$45*MAX(BO17,1)))*(1+2/(1+50*IF(L17="VOLADO",AU17*INDEX(TABLAS!$D$52:$D$58,MATCH(MAX(AS17,2),TABLAS!$B$52:$B$58,0)),DATOS!$C$114*INDEX(TABLAS!$D$52:$D$58,MATCH(MAX(AZ17,2),TABLAS!$B$52:$B$58,0)))/(N17*BK17))*((AA17+AC17)/MAX(AA17+AB17,1E-6))),0)</f>
        <v>0</v>
      </c>
      <c r="BQ17" s="43">
        <f>IF(S17&gt;0,0.3+G17*100/480,0.5+G17*100/240)</f>
        <v>1.33333333333333</v>
      </c>
      <c r="BR17" s="43">
        <f>IF(S17&gt;0,(T17+U17)*G17+AG17,0)</f>
        <v>0</v>
      </c>
      <c r="BS17" s="43">
        <f>IF(S17&gt;0,(DATOS!$C$51*DATOS!$C$103*100*(G17*100)^3/(DATOS!$C$45*BJ17*((BR17*1000/(DATOS!$C$103*100*S17*100)*DATOS!$C$103*100*(MIN(1,S17/G17)^4-4*MIN(1,S17/G17)^3+8*MIN(1,S17/G17)))/((BR17*1000/(DATOS!$C$103*100*S17*100)*DATOS!$C$103*100*(MIN(1,S17/G17)^4-4*MIN(1,S17/G17)^3+8*MIN(1,S17/G17)))+5*((R17+X17+Y17+IF(L17="APOYADA",8*(0)/G17^2,0))*10)))))^0.25,0)</f>
        <v>0</v>
      </c>
      <c r="BT17" s="57">
        <f>IF(S17&gt;0,MAX(1,IF(MIN(1,S17/G17)&gt;=1,(1.6*BS17-3.9),IF(MIN(1,S17/G17)&lt;0.9,((3.2*BS17-7.8)*1),((3.2*BS17-7.8)*1)+((1.6*BS17-3.9)-((3.2*BS17-7.8)*1))*(MIN(1,S17/G17)-0.9)/0.1)))*BR17*1000/(DATOS!$C$103*100*S17*100),0)</f>
        <v>0</v>
      </c>
      <c r="BU17" s="65" t="str">
        <f>IF(S17=0,"—",IF(DATOS!$C$105/S17&lt;0.6,"REVISAR: H/L &lt; 0.6, interacción muro-viga",IF(BT17&lt;=DATOS!$C$60*DATOS!$C$50,"CUMPLE","NO CUMPLE f_CM &gt; F_R·f'm")))</f>
        <v>—</v>
      </c>
      <c r="BV17" s="57">
        <f>IF(S17&gt;0,MAX(25,IF(BJ17&gt;=(G17*100)^3/1600,0,MIN(G17*100/14,(12*(G17*100)^3/1600/N17)^(1/3)))),IF(L17="APOYADA",MAX(25,G17*100/16),IF(L17="VOLADO",MAX(25,G17*100/8),0)))</f>
        <v>0</v>
      </c>
      <c r="BW17" s="57">
        <f>IF(S17&gt;0,IF(BJ17&gt;=(5/4*(G17*100)^3/DATOS!$C$45*((((S17*DATOS!$C$107+(0+0)*G17+AG17/DATOS!$C$55)*1000)/(DATOS!$C$103*100*S17*100)*DATOS!$C$103*100*(MIN(1,S17/G17)^4-4*MIN(1,S17/G17)^3+8*MIN(1,S17/G17)))+5*((AA17-S17*DATOS!$C$107/G17-(0))*10))),0,MIN((G17*100/((1/15*DATOS!$C$45*N17/((((S17*DATOS!$C$107+(0+0)*G17+AG17/DATOS!$C$55)*1000)/(DATOS!$C$103*100*S17*100)*DATOS!$C$103*100*(MIN(1,S17/G17)^4-4*MIN(1,S17/G17)^3+8*MIN(1,S17/G17)))+5*((AA17-S17*DATOS!$C$107/G17-(0))*10)))^(1/3))),(12*(5/4*(G17*100)^3/DATOS!$C$45*((((S17*DATOS!$C$107+(0+0)*G17+AG17/DATOS!$C$55)*1000)/(DATOS!$C$103*100*S17*100)*DATOS!$C$103*100*(MIN(1,S17/G17)^4-4*MIN(1,S17/G17)^3+8*MIN(1,S17/G17)))+5*((AA17-S17*DATOS!$C$107/G17-(0))*10)))/N17)^(1/3))),0)</f>
        <v>0</v>
      </c>
      <c r="BX17" s="57">
        <f>SQRT(MAX(AM17,AN17)*1E5/(DATOS!$C$58*N17*DATOS!$C$48*(DATOS!$C$82*DATOS!$C$40/DATOS!$C$48)*(1-(DATOS!$C$82*DATOS!$C$40/DATOS!$C$48)/2)))+(O17-AQ17)</f>
        <v>5.585</v>
      </c>
      <c r="BY17" s="59">
        <f>IF(OR(L17="BORDE DE VOLADO",L17="SIN APOYO"),0,CEILING(MAX(BV17,BW17,BX17,DATOS!$C$15),5))</f>
        <v>0</v>
      </c>
      <c r="BZ17" s="72" t="str">
        <f>IF(L17="BORDE DE VOLADO","BORDE DE VOLADO — armado de orilla",IF(L17="SIN APOYO","SIN APOYO — REVISAR",IF(AND(AW17&lt;=1,BC17&lt;=1,IF(AU17=0,TRUE,AU17&lt;=INT((CB17+DATOS!$C$32)/(INDEX(TABLAS!$C$52:$C$58,MATCH(MAX(AS17,2),TABLAS!$B$52:$B$58,0))+DATOS!$C$32))),IF(BA17=0,TRUE,BA17&lt;=INT((CB17+DATOS!$C$32)/(INDEX(TABLAS!$C$52:$C$58,MATCH(MAX(AZ17,2),TABLAS!$B$52:$B$58,0))+DATOS!$C$32))),AND(OR(NOT(ISNUMBER(AX17)),AX17&gt;=0.005),OR(NOT(ISNUMBER(BD17)),BD17&gt;=0.005)),BH17&lt;&gt;"SECCIÓN INSUFICIENTE",AND(O17&gt;=BV17,O17&gt;=BW17,O17/N17&lt;=6),BP17&lt;=BQ17,OR(S17=0,LEFT(BU17,6)&lt;&gt;"NO CUM")),IF(LEFT(BU17,7)="REVISAR","PENDIENTE: H/L &lt; 0.6, falta el análisis de interacción muro-viga (NTC-M 4.1.18.2.1, p. 44)","CUMPLE")&amp;IF(L17="VOLADO"," (en VOLADO)",""),"NO CUMPLE: "&amp;IF(OR(AR17&lt;0,AY17&lt;0),"sección insuficiente en flexión ",IF(OR(AW17&gt;1,BC17&gt;1),"flexión ",""))&amp;IF(NOT(AND(IF(AU17=0,TRUE,AU17&lt;=INT((CB17+DATOS!$C$32)/(INDEX(TABLAS!$C$52:$C$58,MATCH(MAX(AS17,2),TABLAS!$B$52:$B$58,0))+DATOS!$C$32))),IF(BA17=0,TRUE,BA17&lt;=INT((CB17+DATOS!$C$32)/(INDEX(TABLAS!$C$52:$C$58,MATCH(MAX(AZ17,2),TABLAS!$B$52:$B$58,0))+DATOS!$C$32))))),"no caben ","")&amp;IF(NOT(AND(OR(NOT(ISNUMBER(AX17)),AX17&gt;=0.005),OR(NOT(ISNUMBER(BD17)),BD17&gt;=0.005))),"ε_t ","")&amp;IF(BH17="SECCIÓN INSUFICIENTE","cortante ","")&amp;IF(NOT(AND(O17&gt;=BV17,O17&gt;=BW17,O17/N17&lt;=6)),"peralte ","")&amp;IF(NOT(BP17&lt;=BQ17),"flecha ","")&amp;IF(NOT(OR(S17=0,LEFT(BU17,6)&lt;&gt;"NO CUM")),"muro sobre viga ","")&amp;"→ h ≥ "&amp;TEXT(MAX(BY17,IF(BP17&gt;BQ17,MAX(O17+5,CEILING(O17*(BP17/BQ17)^(1/3),5)),0)),"0")&amp;" cm"&amp;IF(NOT(AND(IF(AU17=0,TRUE,AU17&lt;=INT((CB17+DATOS!$C$32)/(INDEX(TABLAS!$C$52:$C$58,MATCH(MAX(AS17,2),TABLAS!$B$52:$B$58,0))+DATOS!$C$32))),IF(BA17=0,TRUE,BA17&lt;=INT((CB17+DATOS!$C$32)/(INDEX(TABLAS!$C$52:$C$58,MATCH(MAX(AZ17,2),TABLAS!$B$52:$B$58,0))+DATOS!$C$32)))))," y b ≥ "&amp;TEXT(N17+5,"0")&amp;" cm","")&amp;" (verificar)")))</f>
        <v>BORDE DE VOLADO — armado de orilla</v>
      </c>
      <c r="CA17" s="65" t="inlineStr">
        <is>
          <t>Orilla libre de tablero en volado: lleva el armado de la orilla, no trabaja como trabe.</t>
        </is>
      </c>
      <c r="CB17" s="43">
        <f>N17-2*DATOS!$C$22-2*INDEX(TABLAS!$C$52:$C$58,MATCH(DATOS!$C$113,TABLAS!$B$52:$B$58,0))</f>
        <v>5.1</v>
      </c>
    </row>
    <row r="18" ht="30" customHeight="1">
      <c r="B18" s="60" t="inlineStr">
        <is>
          <t>NP-10</t>
        </is>
      </c>
      <c r="C18" s="52" t="inlineStr">
        <is>
          <t>N+3.00</t>
        </is>
      </c>
      <c r="D18" s="51" t="inlineStr">
        <is>
          <t>y = 14.021</t>
        </is>
      </c>
      <c r="E18" s="52" t="inlineStr">
        <is>
          <t>(0.000, 14.021)</t>
        </is>
      </c>
      <c r="F18" s="52" t="inlineStr">
        <is>
          <t>(4.327, 14.021)</t>
        </is>
      </c>
      <c r="G18" s="55" t="n">
        <v>4.327</v>
      </c>
      <c r="H18" s="52" t="inlineStr">
        <is>
          <t>FIRME</t>
        </is>
      </c>
      <c r="I18" s="52" t="str">
        <f>IF(APOYOS!$C$21="SÍ","FIRME","LIBRE")</f>
        <v>FIRME</v>
      </c>
      <c r="J18" s="52" t="inlineStr">
        <is>
          <t>—</t>
        </is>
      </c>
      <c r="K18" s="52" t="inlineStr">
        <is>
          <t>C5</t>
        </is>
      </c>
      <c r="L18" s="60" t="str">
        <f>IF(AND(OR(H18="FIRME",H18="NERVADURA",H18="PUNTA"),OR(I18="FIRME",I18="NERVADURA",I18="PUNTA")),"APOYADA",IF(OR(OR(H18="FIRME",H18="NERVADURA",H18="PUNTA"),OR(I18="FIRME",I18="NERVADURA",I18="PUNTA")),"VOLADO","SIN APOYO"))</f>
        <v>APOYADA</v>
      </c>
      <c r="M18" s="52" t="str">
        <f>IF(L18="VOLADO",IF(OR(H18="FIRME",H18="NERVADURA",H18="PUNTA"),"i","j"),"—")</f>
        <v>—</v>
      </c>
      <c r="N18" s="58" t="n">
        <v>20</v>
      </c>
      <c r="O18" s="58" t="n">
        <v>60</v>
      </c>
      <c r="P18" s="65" t="str">
        <f>IF(L18="BORDE DE VOLADO","—",IF(OR(N18&lt;&gt;DATOS!$C$17,O18&lt;&gt;DATOS!$C$15),"PERALTAR: trabe "&amp;TEXT(N18,"0")&amp;"×"&amp;TEXT(O18,"0")&amp;IF(O18&gt;DATOS!$C$15," (descuelga "&amp;TEXT(O18-DATOS!$C$15,"0")&amp;" cm)",""),"Queda en la losa (15×25)"))</f>
        <v>PERALTAR: trabe 20×60 (descuelga 35 cm)</v>
      </c>
      <c r="Q18" s="43">
        <f>SUMIFS(TRIB!$E$6:$E$255,TRIB!$B$6:$B$255,"NP-10")</f>
        <v>2.6995</v>
      </c>
      <c r="R18" s="36">
        <f>SUMIFS(TRIB!$G$6:$G$255,TRIB!$B$6:$B$255,"NP-10")/G18</f>
        <v>0.60089773279314</v>
      </c>
      <c r="S18" s="69" t="n">
        <v>4.247</v>
      </c>
      <c r="T18" s="36">
        <f>DATOS!$C$55*S18*DATOS!$C$107/G18</f>
        <v>1.21057167205916</v>
      </c>
      <c r="U18" s="36">
        <f>(SUMIFS(TRIB!$G$6:$G$255,TRIB!$B$6:$B$255,"DM-82")*1.0+SUMIFS(TRIB!$G$6:$G$255,TRIB!$B$6:$B$255,"DM-83")*1.0+SUMIFS(TRIB!$G$6:$G$255,TRIB!$B$6:$B$255,"DM-84")*1.0)/G18</f>
        <v>0.561929913264127</v>
      </c>
      <c r="V18" s="61" t="n">
        <v>0</v>
      </c>
      <c r="W18" s="61" t="n">
        <v>0</v>
      </c>
      <c r="X18" s="36">
        <f>(DATOS!$C$55*V18+DATOS!$C$56*W18)/1000</f>
        <v>0</v>
      </c>
      <c r="Y18" s="36">
        <f>DATOS!$C$55*(N18/100*O18/100*DATOS!$C$43-N18/100*DATOS!$C$70/1000)</f>
        <v>0.314684897959184</v>
      </c>
      <c r="Z18" s="70">
        <f>R18+T18+U18+X18+Y18</f>
        <v>2.68808421607561</v>
      </c>
      <c r="AA18" s="36">
        <f>(SUMIFS(TRIB!$I$6:$I$255,TRIB!$B$6:$B$255,"NP-10")-SUMIFS(TRIB!$L$6:$L$255,TRIB!$B$6:$B$255,"NP-10"))/G18+S18*DATOS!$C$107/G18+((SUMIFS(TRIB!$I$6:$I$255,TRIB!$B$6:$B$255,"DM-82")-SUMIFS(TRIB!$L$6:$L$255,TRIB!$B$6:$B$255,"DM-82"))*1.0+(SUMIFS(TRIB!$I$6:$I$255,TRIB!$B$6:$B$255,"DM-83")-SUMIFS(TRIB!$L$6:$L$255,TRIB!$B$6:$B$255,"DM-83"))*1.0+(SUMIFS(TRIB!$I$6:$I$255,TRIB!$B$6:$B$255,"DM-84")-SUMIFS(TRIB!$L$6:$L$255,TRIB!$B$6:$B$255,"DM-84"))*1.0)/G18+V18/1000+Y18/DATOS!$C$55</f>
        <v>1.86083410125317</v>
      </c>
      <c r="AB18" s="36">
        <f>SUMIFS(TRIB!$L$6:$L$255,TRIB!$B$6:$B$255,"NP-10")/G18+(SUMIFS(TRIB!$L$6:$L$255,TRIB!$B$6:$B$255,"DM-82")*1.0+SUMIFS(TRIB!$L$6:$L$255,TRIB!$B$6:$B$255,"DM-83")*1.0+SUMIFS(TRIB!$L$6:$L$255,TRIB!$B$6:$B$255,"DM-84")*1.0)/G18+W18/1000</f>
        <v>0.179333256297666</v>
      </c>
      <c r="AC18" s="36">
        <f>SUMIFS(TRIB!$M$6:$M$255,TRIB!$B$6:$B$255,"NP-10")/G18+(SUMIFS(TRIB!$M$6:$M$255,TRIB!$B$6:$B$255,"DM-82")*1.0+SUMIFS(TRIB!$M$6:$M$255,TRIB!$B$6:$B$255,"DM-83")*1.0+SUMIFS(TRIB!$M$6:$M$255,TRIB!$B$6:$B$255,"DM-84")*1.0)/G18+W18/1000*DATOS!$C$91/DATOS!$C$89</f>
        <v>0.0590294661428241</v>
      </c>
      <c r="AD18" s="36">
        <f>TRANSFER!$F$11+TRANSFER!$F$18</f>
        <v>3.78902444821429</v>
      </c>
      <c r="AE18" s="36">
        <f>TRANSFER!$H$11+TRANSFER!$H$18</f>
        <v>2.29667236130893</v>
      </c>
      <c r="AF18" s="36">
        <f>TRANSFER!$I$11+TRANSFER!$I$18</f>
        <v>3.11885451494643</v>
      </c>
      <c r="AG18" s="36">
        <f>TRANSFER!$F$18</f>
        <v>0.566996335714286</v>
      </c>
      <c r="AH18" s="36">
        <f>TRANSFER!$N$11+TRANSFER!$N$18</f>
        <v>1.73195642846949</v>
      </c>
      <c r="AI18" s="36">
        <f>IF(L18="APOYADA",Z18*G18/2+TRANSFER!$J$11+TRANSFER!$J$18,IF(AND(L18="VOLADO",M18="i"),Z18*G18+AD18,0))</f>
        <v>7.05283647046173</v>
      </c>
      <c r="AJ18" s="36">
        <f>IF(L18="APOYADA",Z18*G18/2+TRANSFER!$K$11+TRANSFER!$K$18,IF(AND(L18="VOLADO",M18="j"),Z18*G18+AD18,0))</f>
        <v>8.36752838071174</v>
      </c>
      <c r="AK18" s="36">
        <f>IF(L18="APOYADA",(AA18+AB18)*G18/2+TRANSFER!$O$11+TRANSFER!$O$18,IF(AND(L18="VOLADO",M18="i"),(AA18+AB18)*G18+TRANSFER!$M$11+TRANSFER!$M$18,0))</f>
        <v>5.3490333142856</v>
      </c>
      <c r="AL18" s="36">
        <f>IF(L18="APOYADA",(AA18+AB18)*G18/2+TRANSFER!$P$11+TRANSFER!$P$18,IF(AND(L18="VOLADO",M18="j"),(AA18+AB18)*G18+TRANSFER!$M$11+TRANSFER!$M$18,0))</f>
        <v>6.338298109694</v>
      </c>
      <c r="AM18" s="70">
        <f>IF(L18="APOYADA",Z18*G18^2/8+AE18,0)</f>
        <v>8.58777360175948</v>
      </c>
      <c r="AN18" s="70">
        <f>IF(L18="APOYADA",DATOS!$C$64*AM18,IF(L18="VOLADO",Z18*G18^2/2+AE18,0))</f>
        <v>5.72804499237357</v>
      </c>
      <c r="AO18" s="70">
        <f>IF(L18="APOYADA",Z18*G18/2+AF18,IF(L18="VOLADO",Z18*G18+AF18,0))</f>
        <v>8.93452471642602</v>
      </c>
      <c r="AP18" s="36">
        <f>IF(L18="APOYADA",(AA18+AB18)*G18^2/8+AH18,IF(L18="VOLADO",(AA18+AB18)*G18^2/2+AH18,0))</f>
        <v>6.50669500141222</v>
      </c>
      <c r="AQ18" s="43">
        <f>O18-DATOS!$C$22-INDEX(TABLAS!$C$52:$C$58,MATCH(DATOS!$C$113,TABLAS!$B$52:$B$58,0))-INDEX(TABLAS!$C$52:$C$58,MATCH(DATOS!$C$112,TABLAS!$B$52:$B$58,0))/2</f>
        <v>54.415</v>
      </c>
      <c r="AR18" s="43">
        <f>IF(OR(L18="BORDE DE VOLADO",L18="SIN APOYO"),0,IF(IF(AM18&lt;=0,0,IF((1-2*AM18*1E5/(DATOS!$C$58*N18*AQ18^2*DATOS!$C$48))&lt;0,-1,IF((1-SQRT((1-2*AM18*1E5/(DATOS!$C$58*N18*AQ18^2*DATOS!$C$48))))*DATOS!$C$48*N18*AQ18/DATOS!$C$40&gt;DATOS!$C$82*N18*AQ18,-1,(1-SQRT((1-2*AM18*1E5/(DATOS!$C$58*N18*AQ18^2*DATOS!$C$48))))*DATOS!$C$48*N18*AQ18/DATOS!$C$40)))&lt;0,-1,MAX(IF(AM18&lt;=0,0,IF((1-2*AM18*1E5/(DATOS!$C$58*N18*AQ18^2*DATOS!$C$48))&lt;0,-1,IF((1-SQRT((1-2*AM18*1E5/(DATOS!$C$58*N18*AQ18^2*DATOS!$C$48))))*DATOS!$C$48*N18*AQ18/DATOS!$C$40&gt;DATOS!$C$82*N18*AQ18,-1,(1-SQRT((1-2*AM18*1E5/(DATOS!$C$58*N18*AQ18^2*DATOS!$C$48))))*DATOS!$C$48*N18*AQ18/DATOS!$C$40))),MIN(DATOS!$C$83*N18*AQ18,4/3*IF(AM18&lt;=0,0,IF((1-2*AM18*1E5/(DATOS!$C$58*N18*AQ18^2*DATOS!$C$48))&lt;0,-1,IF((1-SQRT((1-2*AM18*1E5/(DATOS!$C$58*N18*AQ18^2*DATOS!$C$48))))*DATOS!$C$48*N18*AQ18/DATOS!$C$40&gt;DATOS!$C$82*N18*AQ18,-1,(1-SQRT((1-2*AM18*1E5/(DATOS!$C$58*N18*AQ18^2*DATOS!$C$48))))*DATOS!$C$48*N18*AQ18/DATOS!$C$40)))))))</f>
        <v>4.34669716206101</v>
      </c>
      <c r="AS18" s="41">
        <f>IF(AR18&lt;0,0,IF(AND(AR18&gt;=0,MAX(DATOS!$C$114,CEILING(AR18/INDEX(TABLAS!$D$52:$D$58,MIN(MATCH(DATOS!$C$112,TABLAS!$B$52:$B$58,0)+0,7)),1))&lt;=MIN(99,INT((CB18+MAX(DATOS!$C$32,INDEX(TABLAS!$C$52:$C$58,MIN(MATCH(DATOS!$C$112,TABLAS!$B$52:$B$58,0)+0,7))))/(INDEX(TABLAS!$C$52:$C$58,MIN(MATCH(DATOS!$C$112,TABLAS!$B$52:$B$58,0)+0,7))+MAX(DATOS!$C$32,INDEX(TABLAS!$C$52:$C$58,MIN(MATCH(DATOS!$C$112,TABLAS!$B$52:$B$58,0)+0,7))))))),INDEX(TABLAS!$B$52:$B$58,MIN(MATCH(DATOS!$C$112,TABLAS!$B$52:$B$58,0)+0,7)),IF(AND(AR18&gt;=0,MAX(DATOS!$C$114,CEILING(AR18/INDEX(TABLAS!$D$52:$D$58,MIN(MATCH(DATOS!$C$112,TABLAS!$B$52:$B$58,0)+1,7)),1))&lt;=MIN(99,INT((CB18+MAX(DATOS!$C$32,INDEX(TABLAS!$C$52:$C$58,MIN(MATCH(DATOS!$C$112,TABLAS!$B$52:$B$58,0)+1,7))))/(INDEX(TABLAS!$C$52:$C$58,MIN(MATCH(DATOS!$C$112,TABLAS!$B$52:$B$58,0)+1,7))+MAX(DATOS!$C$32,INDEX(TABLAS!$C$52:$C$58,MIN(MATCH(DATOS!$C$112,TABLAS!$B$52:$B$58,0)+1,7))))))),INDEX(TABLAS!$B$52:$B$58,MIN(MATCH(DATOS!$C$112,TABLAS!$B$52:$B$58,0)+1,7)),IF(AND(AR18&gt;=0,MAX(DATOS!$C$114,CEILING(AR18/INDEX(TABLAS!$D$52:$D$58,MIN(MATCH(DATOS!$C$112,TABLAS!$B$52:$B$58,0)+2,7)),1))&lt;=MIN(99,INT((CB18+MAX(DATOS!$C$32,INDEX(TABLAS!$C$52:$C$58,MIN(MATCH(DATOS!$C$112,TABLAS!$B$52:$B$58,0)+2,7))))/(INDEX(TABLAS!$C$52:$C$58,MIN(MATCH(DATOS!$C$112,TABLAS!$B$52:$B$58,0)+2,7))+MAX(DATOS!$C$32,INDEX(TABLAS!$C$52:$C$58,MIN(MATCH(DATOS!$C$112,TABLAS!$B$52:$B$58,0)+2,7))))))),INDEX(TABLAS!$B$52:$B$58,MIN(MATCH(DATOS!$C$112,TABLAS!$B$52:$B$58,0)+2,7)),IF(AND(AR18&gt;=0,MAX(DATOS!$C$114,CEILING(AR18/INDEX(TABLAS!$D$52:$D$58,MIN(MATCH(DATOS!$C$112,TABLAS!$B$52:$B$58,0)+3,7)),1))&lt;=MIN(99,INT((CB18+MAX(DATOS!$C$32,INDEX(TABLAS!$C$52:$C$58,MIN(MATCH(DATOS!$C$112,TABLAS!$B$52:$B$58,0)+3,7))))/(INDEX(TABLAS!$C$52:$C$58,MIN(MATCH(DATOS!$C$112,TABLAS!$B$52:$B$58,0)+3,7))+MAX(DATOS!$C$32,INDEX(TABLAS!$C$52:$C$58,MIN(MATCH(DATOS!$C$112,TABLAS!$B$52:$B$58,0)+3,7))))))),INDEX(TABLAS!$B$52:$B$58,MIN(MATCH(DATOS!$C$112,TABLAS!$B$52:$B$58,0)+3,7)),IF(AND(AR18&gt;=0,MAX(DATOS!$C$114,CEILING(AR18/INDEX(TABLAS!$D$52:$D$58,MIN(MATCH(DATOS!$C$112,TABLAS!$B$52:$B$58,0)+4,7)),1))&lt;=MIN(99,INT((CB18+MAX(DATOS!$C$32,INDEX(TABLAS!$C$52:$C$58,MIN(MATCH(DATOS!$C$112,TABLAS!$B$52:$B$58,0)+4,7))))/(INDEX(TABLAS!$C$52:$C$58,MIN(MATCH(DATOS!$C$112,TABLAS!$B$52:$B$58,0)+4,7))+MAX(DATOS!$C$32,INDEX(TABLAS!$C$52:$C$58,MIN(MATCH(DATOS!$C$112,TABLAS!$B$52:$B$58,0)+4,7))))))),INDEX(TABLAS!$B$52:$B$58,MIN(MATCH(DATOS!$C$112,TABLAS!$B$52:$B$58,0)+4,7)),INDEX(TABLAS!$B$52:$B$58,7)))))))</f>
        <v>5</v>
      </c>
      <c r="AT18" s="58" t="n">
        <v>0</v>
      </c>
      <c r="AU18" s="56">
        <f>IF(OR(L18="BORDE DE VOLADO",L18="SIN APOYO"),0,IF(AR18&lt;0,0,MAX(DATOS!$C$114,CEILING(AR18/INDEX(TABLAS!$D$52:$D$58,MATCH(IF(AS18=0,8,AS18),TABLAS!$B$52:$B$58,0)),1))+AT18))</f>
        <v>3</v>
      </c>
      <c r="AV18" s="36">
        <f>IF(AU18=0,0,DATOS!$C$58*AU18*INDEX(TABLAS!$D$52:$D$58,MATCH(AS18,TABLAS!$B$52:$B$58,0))*DATOS!$C$40*((O18-DATOS!$C$22-INDEX(TABLAS!$C$52:$C$58,MATCH(DATOS!$C$113,TABLAS!$B$52:$B$58,0))-INDEX(TABLAS!$C$52:$C$58,MATCH(AS18,TABLAS!$B$52:$B$58,0))/2)-AU18*INDEX(TABLAS!$D$52:$D$58,MATCH(AS18,TABLAS!$B$52:$B$58,0))*DATOS!$C$40/(DATOS!$C$48*N18)/2)/1E5)</f>
        <v>11.5229690322353</v>
      </c>
      <c r="AW18" s="62">
        <f>IF(AR18&lt;0,9.99,IF(AV18&gt;0,AM18/AV18,0))</f>
        <v>0.745274380043489</v>
      </c>
      <c r="AX18" s="63">
        <f>IF(AU18=0,"—",0.003*((O18-DATOS!$C$22-INDEX(TABLAS!$C$52:$C$58,MATCH(DATOS!$C$113,TABLAS!$B$52:$B$58,0))-INDEX(TABLAS!$C$52:$C$58,MATCH(AS18,TABLAS!$B$52:$B$58,0))/2)-(AU18*INDEX(TABLAS!$D$52:$D$58,MATCH(AS18,TABLAS!$B$52:$B$58,0))*DATOS!$C$40/(DATOS!$C$48*N18)/DATOS!$C$49))/(AU18*INDEX(TABLAS!$D$52:$D$58,MATCH(AS18,TABLAS!$B$52:$B$58,0))*DATOS!$C$40/(DATOS!$C$48*N18)/DATOS!$C$49))</f>
        <v>0.0205685651154401</v>
      </c>
      <c r="AY18" s="43">
        <f>IF(OR(L18="BORDE DE VOLADO",L18="SIN APOYO"),0,IF(IF(AN18&lt;=0,0,IF((1-2*AN18*1E5/(DATOS!$C$58*N18*AQ18^2*DATOS!$C$48))&lt;0,-1,IF((1-SQRT((1-2*AN18*1E5/(DATOS!$C$58*N18*AQ18^2*DATOS!$C$48))))*DATOS!$C$48*N18*AQ18/DATOS!$C$40&gt;DATOS!$C$82*N18*AQ18,-1,(1-SQRT((1-2*AN18*1E5/(DATOS!$C$58*N18*AQ18^2*DATOS!$C$48))))*DATOS!$C$48*N18*AQ18/DATOS!$C$40)))&lt;0,-1,MAX(IF(AN18&lt;=0,0,IF((1-2*AN18*1E5/(DATOS!$C$58*N18*AQ18^2*DATOS!$C$48))&lt;0,-1,IF((1-SQRT((1-2*AN18*1E5/(DATOS!$C$58*N18*AQ18^2*DATOS!$C$48))))*DATOS!$C$48*N18*AQ18/DATOS!$C$40&gt;DATOS!$C$82*N18*AQ18,-1,(1-SQRT((1-2*AN18*1E5/(DATOS!$C$58*N18*AQ18^2*DATOS!$C$48))))*DATOS!$C$48*N18*AQ18/DATOS!$C$40))),MIN(DATOS!$C$83*IF(L18="VOLADO",MIN(BI18,2*N18),N18)*AQ18,4/3*IF(AN18&lt;=0,0,IF((1-2*AN18*1E5/(DATOS!$C$58*N18*AQ18^2*DATOS!$C$48))&lt;0,-1,IF((1-SQRT((1-2*AN18*1E5/(DATOS!$C$58*N18*AQ18^2*DATOS!$C$48))))*DATOS!$C$48*N18*AQ18/DATOS!$C$40&gt;DATOS!$C$82*N18*AQ18,-1,(1-SQRT((1-2*AN18*1E5/(DATOS!$C$58*N18*AQ18^2*DATOS!$C$48))))*DATOS!$C$48*N18*AQ18/DATOS!$C$40)))))))</f>
        <v>3.62766666666667</v>
      </c>
      <c r="AZ18" s="41">
        <f>IF(AY18&lt;0,0,IF(AND(AY18&gt;=0,MAX(DATOS!$C$114,CEILING(AY18/INDEX(TABLAS!$D$52:$D$58,MIN(MATCH(DATOS!$C$112,TABLAS!$B$52:$B$58,0)+0,7)),1))&lt;=MIN(99,INT((CB18+MAX(DATOS!$C$32,INDEX(TABLAS!$C$52:$C$58,MIN(MATCH(DATOS!$C$112,TABLAS!$B$52:$B$58,0)+0,7))))/(INDEX(TABLAS!$C$52:$C$58,MIN(MATCH(DATOS!$C$112,TABLAS!$B$52:$B$58,0)+0,7))+MAX(DATOS!$C$32,INDEX(TABLAS!$C$52:$C$58,MIN(MATCH(DATOS!$C$112,TABLAS!$B$52:$B$58,0)+0,7))))))),INDEX(TABLAS!$B$52:$B$58,MIN(MATCH(DATOS!$C$112,TABLAS!$B$52:$B$58,0)+0,7)),IF(AND(AY18&gt;=0,MAX(DATOS!$C$114,CEILING(AY18/INDEX(TABLAS!$D$52:$D$58,MIN(MATCH(DATOS!$C$112,TABLAS!$B$52:$B$58,0)+1,7)),1))&lt;=MIN(99,INT((CB18+MAX(DATOS!$C$32,INDEX(TABLAS!$C$52:$C$58,MIN(MATCH(DATOS!$C$112,TABLAS!$B$52:$B$58,0)+1,7))))/(INDEX(TABLAS!$C$52:$C$58,MIN(MATCH(DATOS!$C$112,TABLAS!$B$52:$B$58,0)+1,7))+MAX(DATOS!$C$32,INDEX(TABLAS!$C$52:$C$58,MIN(MATCH(DATOS!$C$112,TABLAS!$B$52:$B$58,0)+1,7))))))),INDEX(TABLAS!$B$52:$B$58,MIN(MATCH(DATOS!$C$112,TABLAS!$B$52:$B$58,0)+1,7)),IF(AND(AY18&gt;=0,MAX(DATOS!$C$114,CEILING(AY18/INDEX(TABLAS!$D$52:$D$58,MIN(MATCH(DATOS!$C$112,TABLAS!$B$52:$B$58,0)+2,7)),1))&lt;=MIN(99,INT((CB18+MAX(DATOS!$C$32,INDEX(TABLAS!$C$52:$C$58,MIN(MATCH(DATOS!$C$112,TABLAS!$B$52:$B$58,0)+2,7))))/(INDEX(TABLAS!$C$52:$C$58,MIN(MATCH(DATOS!$C$112,TABLAS!$B$52:$B$58,0)+2,7))+MAX(DATOS!$C$32,INDEX(TABLAS!$C$52:$C$58,MIN(MATCH(DATOS!$C$112,TABLAS!$B$52:$B$58,0)+2,7))))))),INDEX(TABLAS!$B$52:$B$58,MIN(MATCH(DATOS!$C$112,TABLAS!$B$52:$B$58,0)+2,7)),IF(AND(AY18&gt;=0,MAX(DATOS!$C$114,CEILING(AY18/INDEX(TABLAS!$D$52:$D$58,MIN(MATCH(DATOS!$C$112,TABLAS!$B$52:$B$58,0)+3,7)),1))&lt;=MIN(99,INT((CB18+MAX(DATOS!$C$32,INDEX(TABLAS!$C$52:$C$58,MIN(MATCH(DATOS!$C$112,TABLAS!$B$52:$B$58,0)+3,7))))/(INDEX(TABLAS!$C$52:$C$58,MIN(MATCH(DATOS!$C$112,TABLAS!$B$52:$B$58,0)+3,7))+MAX(DATOS!$C$32,INDEX(TABLAS!$C$52:$C$58,MIN(MATCH(DATOS!$C$112,TABLAS!$B$52:$B$58,0)+3,7))))))),INDEX(TABLAS!$B$52:$B$58,MIN(MATCH(DATOS!$C$112,TABLAS!$B$52:$B$58,0)+3,7)),IF(AND(AY18&gt;=0,MAX(DATOS!$C$114,CEILING(AY18/INDEX(TABLAS!$D$52:$D$58,MIN(MATCH(DATOS!$C$112,TABLAS!$B$52:$B$58,0)+4,7)),1))&lt;=MIN(99,INT((CB18+MAX(DATOS!$C$32,INDEX(TABLAS!$C$52:$C$58,MIN(MATCH(DATOS!$C$112,TABLAS!$B$52:$B$58,0)+4,7))))/(INDEX(TABLAS!$C$52:$C$58,MIN(MATCH(DATOS!$C$112,TABLAS!$B$52:$B$58,0)+4,7))+MAX(DATOS!$C$32,INDEX(TABLAS!$C$52:$C$58,MIN(MATCH(DATOS!$C$112,TABLAS!$B$52:$B$58,0)+4,7))))))),INDEX(TABLAS!$B$52:$B$58,MIN(MATCH(DATOS!$C$112,TABLAS!$B$52:$B$58,0)+4,7)),INDEX(TABLAS!$B$52:$B$58,7)))))))</f>
        <v>4</v>
      </c>
      <c r="BA18" s="56">
        <f>IF(OR(L18="BORDE DE VOLADO",L18="SIN APOYO"),0,IF(AY18&lt;0,0,MAX(DATOS!$C$114,CEILING(AY18/INDEX(TABLAS!$D$52:$D$58,MATCH(IF(AZ18=0,8,AZ18),TABLAS!$B$52:$B$58,0)),1))))</f>
        <v>3</v>
      </c>
      <c r="BB18" s="36">
        <f>IF(BA18=0,0,DATOS!$C$58*BA18*INDEX(TABLAS!$D$52:$D$58,MATCH(AZ18,TABLAS!$B$52:$B$58,0))*DATOS!$C$40*((O18-DATOS!$C$22-INDEX(TABLAS!$C$52:$C$58,MATCH(DATOS!$C$113,TABLAS!$B$52:$B$58,0))-INDEX(TABLAS!$C$52:$C$58,MATCH(AZ18,TABLAS!$B$52:$B$58,0))/2)-BA18*INDEX(TABLAS!$D$52:$D$58,MATCH(AZ18,TABLAS!$B$52:$B$58,0))*DATOS!$C$40/(DATOS!$C$48*N18)/2)/1E5)</f>
        <v>7.56561287752941</v>
      </c>
      <c r="BC18" s="62">
        <f>IF(AY18&lt;0,9.99,IF(BB18&gt;0,AN18/BB18,0))</f>
        <v>0.757115792877324</v>
      </c>
      <c r="BD18" s="63">
        <f>IF(BA18=0,"—",0.003*((O18-DATOS!$C$22-INDEX(TABLAS!$C$52:$C$58,MATCH(DATOS!$C$113,TABLAS!$B$52:$B$58,0))-INDEX(TABLAS!$C$52:$C$58,MATCH(AZ18,TABLAS!$B$52:$B$58,0))/2)-(BA18*INDEX(TABLAS!$D$52:$D$58,MATCH(AZ18,TABLAS!$B$52:$B$58,0))*DATOS!$C$40/(DATOS!$C$48*N18)/DATOS!$C$49))/(BA18*INDEX(TABLAS!$D$52:$D$58,MATCH(AZ18,TABLAS!$B$52:$B$58,0))*DATOS!$C$40/(DATOS!$C$48*N18)/DATOS!$C$49))</f>
        <v>0.0338530535245594</v>
      </c>
      <c r="BE18" s="36">
        <f>IF(BA18=0,0,DATOS!$C$59*MIN(1.25,MAX(0.5,2*MAX(1E-6,MIN(AU18*INDEX(TABLAS!$D$52:$D$58,MATCH(MAX(AS18,2),TABLAS!$B$52:$B$58,0)),BA18*INDEX(TABLAS!$D$52:$D$58,MATCH(MAX(AZ18,2),TABLAS!$B$52:$B$58,0)))/(N18*AQ18))^(1/3)))*SQRT(DATOS!$C$39)*N18*AQ18/1000)</f>
        <v>6.45282520792734</v>
      </c>
      <c r="BF18" s="57">
        <f>IF(AO18=0,0,FLOOR(MIN(IF(AO18&gt;BE18,DATOS!$C$59*2*INDEX(TABLAS!$D$52:$D$58,MATCH(DATOS!$C$113,TABLAS!$B$52:$B$58,0))*DATOS!$C$42*AQ18/((AO18-BE18)*1000),999),IF(MAX(0,AO18-BE18)/DATOS!$C$59&lt;=1.1*SQRT(DATOS!$C$39)*N18*AQ18/1000,MIN(AQ18/2,60),MIN(AQ18/4,30)),2*INDEX(TABLAS!$D$52:$D$58,MATCH(DATOS!$C$113,TABLAS!$B$52:$B$58,0))*DATOS!$C$42/(MAX(0.2*SQRT(DATOS!$C$39),3.5)*N18),MIN(16*INDEX(TABLAS!$C$52:$C$58,MATCH(MIN(MAX(AS18,2),MAX(AZ18,2)),TABLAS!$B$52:$B$58,0)),48*INDEX(TABLAS!$C$52:$C$58,MATCH(DATOS!$C$113,TABLAS!$B$52:$B$58,0))),DATOS!$C$115),0.5))</f>
        <v>20</v>
      </c>
      <c r="BG18" s="57">
        <f>BF18</f>
        <v>20</v>
      </c>
      <c r="BH18" s="51" t="str">
        <f>IF(AO18=0,"—",IF(AO18&gt;DATOS!$C$59*(BE18/DATOS!$C$59+2.2*SQRT(DATOS!$C$39)*N18*AQ18/1000),"SECCIÓN INSUFICIENTE","E No. "&amp;TEXT(DATOS!$C$113,"0")&amp;IF(BG18&lt;BF18," @ "&amp;TEXT(BG18,"0.0")&amp;" en 2h y"," @")&amp;" "&amp;TEXT(BF18,"0.0")&amp;" cm"))</f>
        <v>E No. 3 @ 20.0 cm</v>
      </c>
      <c r="BI18" s="56">
        <f>N18+2*MIN(8*DATOS!$C$14,DATOS!$C$11/2,G18*100/8)</f>
        <v>80</v>
      </c>
      <c r="BJ18" s="71">
        <f>BI18*DATOS!$C$14^3/12+BI18*DATOS!$C$14*(((BI18*DATOS!$C$14^2/2+N18*(O18-DATOS!$C$14)*(DATOS!$C$14+(O18-DATOS!$C$14)/2))/(BI18*DATOS!$C$14+N18*(O18-DATOS!$C$14)))-DATOS!$C$14/2)^2+N18*(O18-DATOS!$C$14)^3/12+N18*(O18-DATOS!$C$14)*(DATOS!$C$14+(O18-DATOS!$C$14)/2-((BI18*DATOS!$C$14^2/2+N18*(O18-DATOS!$C$14)*(DATOS!$C$14+(O18-DATOS!$C$14)/2))/(BI18*DATOS!$C$14+N18*(O18-DATOS!$C$14))))^2</f>
        <v>542125</v>
      </c>
      <c r="BK18" s="43">
        <f>O18-DATOS!$C$22-INDEX(TABLAS!$C$52:$C$58,MATCH(DATOS!$C$113,TABLAS!$B$52:$B$58,0))-INDEX(TABLAS!$C$52:$C$58,MATCH(MAX(IF(L18="VOLADO",AZ18,AS18),2),TABLAS!$B$52:$B$58,0))/2</f>
        <v>54.255</v>
      </c>
      <c r="BL18" s="43">
        <f>DATOS!$C$46/DATOS!$C$45*IF(L18="VOLADO",BA18*INDEX(TABLAS!$D$52:$D$58,MATCH(MAX(AZ18,2),TABLAS!$B$52:$B$58,0)),AU18*INDEX(TABLAS!$D$52:$D$58,MATCH(MAX(AS18,2),TABLAS!$B$52:$B$58,0)))</f>
        <v>53.6683694325719</v>
      </c>
      <c r="BM18" s="43">
        <f>IF(BL18&lt;=0,0,(SQRT(2*(BL18/(IF(L18="VOLADO",N18,BI18)*BK18))+(BL18/(IF(L18="VOLADO",N18,BI18)*BK18))^2)-(BL18/(IF(L18="VOLADO",N18,BI18)*BK18)))*BK18)</f>
        <v>7.88744430813371</v>
      </c>
      <c r="BN18" s="71">
        <f>IF(AND(L18&lt;&gt;"VOLADO",BM18&gt;DATOS!$C$14),(BI18*DATOS!$C$14^3/12+BI18*DATOS!$C$14*(((-((BI18-N18)*DATOS!$C$14+BL18)+SQRT(((BI18-N18)*DATOS!$C$14+BL18)^2+2*N18*((BI18-N18)*DATOS!$C$14^2/2+BL18*BK18)))/N18)-DATOS!$C$14/2)^2+N18*(((-((BI18-N18)*DATOS!$C$14+BL18)+SQRT(((BI18-N18)*DATOS!$C$14+BL18)^2+2*N18*((BI18-N18)*DATOS!$C$14^2/2+BL18*BK18)))/N18)-DATOS!$C$14)^3/3+BL18*(BK18-((-((BI18-N18)*DATOS!$C$14+BL18)+SQRT(((BI18-N18)*DATOS!$C$14+BL18)^2+2*N18*((BI18-N18)*DATOS!$C$14^2/2+BL18*BK18)))/N18))^2),(IF(L18="VOLADO",N18,BI18)*BM18^3/3+BL18*(BK18-BM18)^2))</f>
        <v>127866.411219935</v>
      </c>
      <c r="BO18" s="71">
        <f>IF(AP18&lt;=0,BJ18,IF((AP18*1E5)&lt;=2/3*(DATOS!$C$47*BJ18/IF(L18="VOLADO",((BI18*DATOS!$C$14^2/2+N18*(O18-DATOS!$C$14)*(DATOS!$C$14+(O18-DATOS!$C$14)/2))/(BI18*DATOS!$C$14+N18*(O18-DATOS!$C$14))),O18-((BI18*DATOS!$C$14^2/2+N18*(O18-DATOS!$C$14)*(DATOS!$C$14+(O18-DATOS!$C$14)/2))/(BI18*DATOS!$C$14+N18*(O18-DATOS!$C$14))))),BJ18,IF(BL18&lt;=0,0,BN18/(1-(2/3*(DATOS!$C$47*BJ18/IF(L18="VOLADO",((BI18*DATOS!$C$14^2/2+N18*(O18-DATOS!$C$14)*(DATOS!$C$14+(O18-DATOS!$C$14)/2))/(BI18*DATOS!$C$14+N18*(O18-DATOS!$C$14))),O18-((BI18*DATOS!$C$14^2/2+N18*(O18-DATOS!$C$14)*(DATOS!$C$14+(O18-DATOS!$C$14)/2))/(BI18*DATOS!$C$14+N18*(O18-DATOS!$C$14)))))/(AP18*1E5))^2*(1-BN18/BJ18)))))</f>
        <v>157291.358716786</v>
      </c>
      <c r="BP18" s="62">
        <f>IF(OR(L18="APOYADA",L18="VOLADO"),(IF(L18="VOLADO",(AP18-AH18)/4+AH18/3,5/48*AP18)*1E5*(G18*100)^2/(DATOS!$C$45*MAX(BO18,1)))*(1+2/(1+50*IF(L18="VOLADO",AU18*INDEX(TABLAS!$D$52:$D$58,MATCH(MAX(AS18,2),TABLAS!$B$52:$B$58,0)),DATOS!$C$114*INDEX(TABLAS!$D$52:$D$58,MATCH(MAX(AZ18,2),TABLAS!$B$52:$B$58,0)))/(N18*BK18))*((AA18+AC18)/MAX(AA18+AB18,1E-6))),0)</f>
        <v>0.978550044446738</v>
      </c>
      <c r="BQ18" s="43">
        <f>IF(S18&gt;0,0.3+G18*100/480,0.5+G18*100/240)</f>
        <v>1.20145833333333</v>
      </c>
      <c r="BR18" s="43">
        <f>IF(S18&gt;0,(T18+U18)*G18+AG18,0)</f>
        <v>8.23661069540816</v>
      </c>
      <c r="BS18" s="43">
        <f>IF(S18&gt;0,(DATOS!$C$51*DATOS!$C$103*100*(G18*100)^3/(DATOS!$C$45*BJ18*((BR18*1000/(DATOS!$C$103*100*S18*100)*DATOS!$C$103*100*(MIN(1,S18/G18)^4-4*MIN(1,S18/G18)^3+8*MIN(1,S18/G18)))/((BR18*1000/(DATOS!$C$103*100*S18*100)*DATOS!$C$103*100*(MIN(1,S18/G18)^4-4*MIN(1,S18/G18)^3+8*MIN(1,S18/G18)))+5*((R18+X18+Y18+IF(L18="APOYADA",8*(TRANSFER!$H$11)/G18^2,0))*10)))))^0.25,0)</f>
        <v>5.32062242303771</v>
      </c>
      <c r="BT18" s="57">
        <f>IF(S18&gt;0,MAX(1,IF(MIN(1,S18/G18)&gt;=1,(1.6*BS18-3.9),IF(MIN(1,S18/G18)&lt;0.9,((3.2*BS18-7.8)*1),((3.2*BS18-7.8)*1)+((1.6*BS18-3.9)-((3.2*BS18-7.8)*1))*(MIN(1,S18/G18)-0.9)/0.1)))*BR18*1000/(DATOS!$C$103*100*S18*100),0)</f>
        <v>7.06699050979764</v>
      </c>
      <c r="BU18" s="65" t="str">
        <f>IF(S18=0,"—",IF(DATOS!$C$105/S18&lt;0.6,"REVISAR: H/L &lt; 0.6, interacción muro-viga",IF(BT18&lt;=DATOS!$C$60*DATOS!$C$50,"CUMPLE","NO CUMPLE f_CM &gt; F_R·f'm")))</f>
        <v>CUMPLE</v>
      </c>
      <c r="BV18" s="57">
        <f>IF(S18&gt;0,MAX(25,IF(BJ18&gt;=(G18*100)^3/1600,0,MIN(G18*100/14,(12*(G18*100)^3/1600/N18)^(1/3)))),IF(L18="APOYADA",MAX(25,G18*100/16),IF(L18="VOLADO",MAX(25,G18*100/8),0)))</f>
        <v>25</v>
      </c>
      <c r="BW18" s="57">
        <f>IF(S18&gt;0,IF(BJ18&gt;=(5/4*(G18*100)^3/DATOS!$C$45*((((S18*DATOS!$C$107+(((SUMIFS(TRIB!$I$6:$I$255,TRIB!$B$6:$B$255,"DM-82")-SUMIFS(TRIB!$L$6:$L$255,TRIB!$B$6:$B$255,"DM-82"))*1.0+(SUMIFS(TRIB!$I$6:$I$255,TRIB!$B$6:$B$255,"DM-83")-SUMIFS(TRIB!$L$6:$L$255,TRIB!$B$6:$B$255,"DM-83"))*1.0+(SUMIFS(TRIB!$I$6:$I$255,TRIB!$B$6:$B$255,"DM-84")-SUMIFS(TRIB!$L$6:$L$255,TRIB!$B$6:$B$255,"DM-84"))*1.0)/G18+(SUMIFS(TRIB!$M$6:$M$255,TRIB!$B$6:$B$255,"DM-82")*1.0+SUMIFS(TRIB!$M$6:$M$255,TRIB!$B$6:$B$255,"DM-83")*1.0+SUMIFS(TRIB!$M$6:$M$255,TRIB!$B$6:$B$255,"DM-84")*1.0)/G18)*G18+AG18/DATOS!$C$55)*1000)/(DATOS!$C$103*100*S18*100)*DATOS!$C$103*100*(MIN(1,S18/G18)^4-4*MIN(1,S18/G18)^3+8*MIN(1,S18/G18)))+5*((AA18-S18*DATOS!$C$107/G18-(((SUMIFS(TRIB!$I$6:$I$255,TRIB!$B$6:$B$255,"DM-82")-SUMIFS(TRIB!$L$6:$L$255,TRIB!$B$6:$B$255,"DM-82"))*1.0+(SUMIFS(TRIB!$I$6:$I$255,TRIB!$B$6:$B$255,"DM-83")-SUMIFS(TRIB!$L$6:$L$255,TRIB!$B$6:$B$255,"DM-83"))*1.0+(SUMIFS(TRIB!$I$6:$I$255,TRIB!$B$6:$B$255,"DM-84")-SUMIFS(TRIB!$L$6:$L$255,TRIB!$B$6:$B$255,"DM-84"))*1.0)/G18))*10))),0,MIN((G18*100/((1/15*DATOS!$C$45*N18/((((S18*DATOS!$C$107+(((SUMIFS(TRIB!$I$6:$I$255,TRIB!$B$6:$B$255,"DM-82")-SUMIFS(TRIB!$L$6:$L$255,TRIB!$B$6:$B$255,"DM-82"))*1.0+(SUMIFS(TRIB!$I$6:$I$255,TRIB!$B$6:$B$255,"DM-83")-SUMIFS(TRIB!$L$6:$L$255,TRIB!$B$6:$B$255,"DM-83"))*1.0+(SUMIFS(TRIB!$I$6:$I$255,TRIB!$B$6:$B$255,"DM-84")-SUMIFS(TRIB!$L$6:$L$255,TRIB!$B$6:$B$255,"DM-84"))*1.0)/G18+(SUMIFS(TRIB!$M$6:$M$255,TRIB!$B$6:$B$255,"DM-82")*1.0+SUMIFS(TRIB!$M$6:$M$255,TRIB!$B$6:$B$255,"DM-83")*1.0+SUMIFS(TRIB!$M$6:$M$255,TRIB!$B$6:$B$255,"DM-84")*1.0)/G18)*G18+AG18/DATOS!$C$55)*1000)/(DATOS!$C$103*100*S18*100)*DATOS!$C$103*100*(MIN(1,S18/G18)^4-4*MIN(1,S18/G18)^3+8*MIN(1,S18/G18)))+5*((AA18-S18*DATOS!$C$107/G18-(((SUMIFS(TRIB!$I$6:$I$255,TRIB!$B$6:$B$255,"DM-82")-SUMIFS(TRIB!$L$6:$L$255,TRIB!$B$6:$B$255,"DM-82"))*1.0+(SUMIFS(TRIB!$I$6:$I$255,TRIB!$B$6:$B$255,"DM-83")-SUMIFS(TRIB!$L$6:$L$255,TRIB!$B$6:$B$255,"DM-83"))*1.0+(SUMIFS(TRIB!$I$6:$I$255,TRIB!$B$6:$B$255,"DM-84")-SUMIFS(TRIB!$L$6:$L$255,TRIB!$B$6:$B$255,"DM-84"))*1.0)/G18))*10)))^(1/3))),(12*(5/4*(G18*100)^3/DATOS!$C$45*((((S18*DATOS!$C$107+(((SUMIFS(TRIB!$I$6:$I$255,TRIB!$B$6:$B$255,"DM-82")-SUMIFS(TRIB!$L$6:$L$255,TRIB!$B$6:$B$255,"DM-82"))*1.0+(SUMIFS(TRIB!$I$6:$I$255,TRIB!$B$6:$B$255,"DM-83")-SUMIFS(TRIB!$L$6:$L$255,TRIB!$B$6:$B$255,"DM-83"))*1.0+(SUMIFS(TRIB!$I$6:$I$255,TRIB!$B$6:$B$255,"DM-84")-SUMIFS(TRIB!$L$6:$L$255,TRIB!$B$6:$B$255,"DM-84"))*1.0)/G18+(SUMIFS(TRIB!$M$6:$M$255,TRIB!$B$6:$B$255,"DM-82")*1.0+SUMIFS(TRIB!$M$6:$M$255,TRIB!$B$6:$B$255,"DM-83")*1.0+SUMIFS(TRIB!$M$6:$M$255,TRIB!$B$6:$B$255,"DM-84")*1.0)/G18)*G18+AG18/DATOS!$C$55)*1000)/(DATOS!$C$103*100*S18*100)*DATOS!$C$103*100*(MIN(1,S18/G18)^4-4*MIN(1,S18/G18)^3+8*MIN(1,S18/G18)))+5*((AA18-S18*DATOS!$C$107/G18-(((SUMIFS(TRIB!$I$6:$I$255,TRIB!$B$6:$B$255,"DM-82")-SUMIFS(TRIB!$L$6:$L$255,TRIB!$B$6:$B$255,"DM-82"))*1.0+(SUMIFS(TRIB!$I$6:$I$255,TRIB!$B$6:$B$255,"DM-83")-SUMIFS(TRIB!$L$6:$L$255,TRIB!$B$6:$B$255,"DM-83"))*1.0+(SUMIFS(TRIB!$I$6:$I$255,TRIB!$B$6:$B$255,"DM-84")-SUMIFS(TRIB!$L$6:$L$255,TRIB!$B$6:$B$255,"DM-84"))*1.0)/G18))*10)))/N18)^(1/3))),0)</f>
        <v>0</v>
      </c>
      <c r="BX18" s="57">
        <f>SQRT(MAX(AM18,AN18)*1E5/(DATOS!$C$58*N18*DATOS!$C$48*(DATOS!$C$82*DATOS!$C$40/DATOS!$C$48)*(1-(DATOS!$C$82*DATOS!$C$40/DATOS!$C$48)/2)))+(O18-AQ18)</f>
        <v>34.5316510678173</v>
      </c>
      <c r="BY18" s="59">
        <f>IF(OR(L18="BORDE DE VOLADO",L18="SIN APOYO"),0,CEILING(MAX(BV18,BW18,BX18,DATOS!$C$15),5))</f>
        <v>35</v>
      </c>
      <c r="BZ18" s="72" t="str">
        <f>IF(L18="BORDE DE VOLADO","BORDE DE VOLADO — armado de orilla",IF(L18="SIN APOYO","SIN APOYO — REVISAR",IF(AND(AW18&lt;=1,BC18&lt;=1,IF(AU18=0,TRUE,AU18&lt;=INT((CB18+DATOS!$C$32)/(INDEX(TABLAS!$C$52:$C$58,MATCH(MAX(AS18,2),TABLAS!$B$52:$B$58,0))+DATOS!$C$32))),IF(BA18=0,TRUE,BA18&lt;=INT((CB18+DATOS!$C$32)/(INDEX(TABLAS!$C$52:$C$58,MATCH(MAX(AZ18,2),TABLAS!$B$52:$B$58,0))+DATOS!$C$32))),AND(OR(NOT(ISNUMBER(AX18)),AX18&gt;=0.005),OR(NOT(ISNUMBER(BD18)),BD18&gt;=0.005)),BH18&lt;&gt;"SECCIÓN INSUFICIENTE",AND(O18&gt;=BV18,O18&gt;=BW18,O18/N18&lt;=6),BP18&lt;=BQ18,OR(S18=0,LEFT(BU18,6)&lt;&gt;"NO CUM")),IF(LEFT(BU18,7)="REVISAR","PENDIENTE: H/L &lt; 0.6, falta el análisis de interacción muro-viga (NTC-M 4.1.18.2.1, p. 44)","CUMPLE")&amp;IF(L18="VOLADO"," (en VOLADO)",""),"NO CUMPLE: "&amp;IF(OR(AR18&lt;0,AY18&lt;0),"sección insuficiente en flexión ",IF(OR(AW18&gt;1,BC18&gt;1),"flexión ",""))&amp;IF(NOT(AND(IF(AU18=0,TRUE,AU18&lt;=INT((CB18+DATOS!$C$32)/(INDEX(TABLAS!$C$52:$C$58,MATCH(MAX(AS18,2),TABLAS!$B$52:$B$58,0))+DATOS!$C$32))),IF(BA18=0,TRUE,BA18&lt;=INT((CB18+DATOS!$C$32)/(INDEX(TABLAS!$C$52:$C$58,MATCH(MAX(AZ18,2),TABLAS!$B$52:$B$58,0))+DATOS!$C$32))))),"no caben ","")&amp;IF(NOT(AND(OR(NOT(ISNUMBER(AX18)),AX18&gt;=0.005),OR(NOT(ISNUMBER(BD18)),BD18&gt;=0.005))),"ε_t ","")&amp;IF(BH18="SECCIÓN INSUFICIENTE","cortante ","")&amp;IF(NOT(AND(O18&gt;=BV18,O18&gt;=BW18,O18/N18&lt;=6)),"peralte ","")&amp;IF(NOT(BP18&lt;=BQ18),"flecha ","")&amp;IF(NOT(OR(S18=0,LEFT(BU18,6)&lt;&gt;"NO CUM")),"muro sobre viga ","")&amp;"→ h ≥ "&amp;TEXT(MAX(BY18,IF(BP18&gt;BQ18,MAX(O18+5,CEILING(O18*(BP18/BQ18)^(1/3),5)),0)),"0")&amp;" cm"&amp;IF(NOT(AND(IF(AU18=0,TRUE,AU18&lt;=INT((CB18+DATOS!$C$32)/(INDEX(TABLAS!$C$52:$C$58,MATCH(MAX(AS18,2),TABLAS!$B$52:$B$58,0))+DATOS!$C$32))),IF(BA18=0,TRUE,BA18&lt;=INT((CB18+DATOS!$C$32)/(INDEX(TABLAS!$C$52:$C$58,MATCH(MAX(AZ18,2),TABLAS!$B$52:$B$58,0))+DATOS!$C$32)))))," y b ≥ "&amp;TEXT(N18+5,"0")&amp;" cm","")&amp;" (verificar)")))</f>
        <v>CUMPLE</v>
      </c>
      <c r="CA18" s="65" t="inlineStr">
        <is>
          <t>Extremo j en castillo propuesto C5. Recibe a NP-19, NP-33 (por el muro de arriba). Muro de planta alta encima (4.25 m) con la azotea de DM-82, DM-83, DM-84: viga que soporta muro estructural (NTC-Mampostería 4.1.18): la flecha se calcula y el límite es 0.3 cm + L/480.</t>
        </is>
      </c>
      <c r="CB18" s="43">
        <f>N18-2*DATOS!$C$22-2*INDEX(TABLAS!$C$52:$C$58,MATCH(DATOS!$C$113,TABLAS!$B$52:$B$58,0))</f>
        <v>10.1</v>
      </c>
    </row>
    <row r="19" ht="30" customHeight="1">
      <c r="B19" s="60" t="inlineStr">
        <is>
          <t>NP-11</t>
        </is>
      </c>
      <c r="C19" s="52" t="inlineStr">
        <is>
          <t>N+3.00</t>
        </is>
      </c>
      <c r="D19" s="51" t="inlineStr">
        <is>
          <t>y = 14.247</t>
        </is>
      </c>
      <c r="E19" s="52" t="inlineStr">
        <is>
          <t>(5.441, 14.247)</t>
        </is>
      </c>
      <c r="F19" s="52" t="inlineStr">
        <is>
          <t>(8.850, 14.247)</t>
        </is>
      </c>
      <c r="G19" s="55" t="n">
        <v>3.409</v>
      </c>
      <c r="H19" s="52" t="inlineStr">
        <is>
          <t>NERVADURA</t>
        </is>
      </c>
      <c r="I19" s="52" t="inlineStr">
        <is>
          <t>FIRME</t>
        </is>
      </c>
      <c r="J19" s="52" t="inlineStr">
        <is>
          <t>—</t>
        </is>
      </c>
      <c r="K19" s="52" t="inlineStr">
        <is>
          <t>—</t>
        </is>
      </c>
      <c r="L19" s="60" t="str">
        <f>IF(AND(OR(H19="FIRME",H19="NERVADURA",H19="PUNTA"),OR(I19="FIRME",I19="NERVADURA",I19="PUNTA")),"APOYADA",IF(OR(OR(H19="FIRME",H19="NERVADURA",H19="PUNTA"),OR(I19="FIRME",I19="NERVADURA",I19="PUNTA")),"VOLADO","SIN APOYO"))</f>
        <v>APOYADA</v>
      </c>
      <c r="M19" s="52" t="str">
        <f>IF(L19="VOLADO",IF(OR(H19="FIRME",H19="NERVADURA",H19="PUNTA"),"i","j"),"—")</f>
        <v>—</v>
      </c>
      <c r="N19" s="58" t="n">
        <v>15</v>
      </c>
      <c r="O19" s="58" t="n">
        <v>35</v>
      </c>
      <c r="P19" s="65" t="str">
        <f>IF(L19="BORDE DE VOLADO","—",IF(OR(N19&lt;&gt;DATOS!$C$17,O19&lt;&gt;DATOS!$C$15),"PERALTAR: trabe "&amp;TEXT(N19,"0")&amp;"×"&amp;TEXT(O19,"0")&amp;IF(O19&gt;DATOS!$C$15," (descuelga "&amp;TEXT(O19-DATOS!$C$15,"0")&amp;" cm)",""),"Queda en la losa (15×25)"))</f>
        <v>PERALTAR: trabe 15×35 (descuelga 10 cm)</v>
      </c>
      <c r="Q19" s="43">
        <f>SUMIFS(TRIB!$E$6:$E$255,TRIB!$B$6:$B$255,"NP-11")</f>
        <v>0</v>
      </c>
      <c r="R19" s="36">
        <f>SUMIFS(TRIB!$G$6:$G$255,TRIB!$B$6:$B$255,"NP-11")/G19</f>
        <v>0</v>
      </c>
      <c r="S19" s="69" t="n">
        <v>2.603</v>
      </c>
      <c r="T19" s="36">
        <f>DATOS!$C$55*S19*DATOS!$C$107/G19</f>
        <v>0.941764483719566</v>
      </c>
      <c r="U19" s="36">
        <f>(SUMIFS(TRIB!$G$6:$G$255,TRIB!$B$6:$B$255,"DM-85")*1.0)/G19</f>
        <v>0</v>
      </c>
      <c r="V19" s="61" t="n">
        <v>0</v>
      </c>
      <c r="W19" s="61" t="n">
        <v>0</v>
      </c>
      <c r="X19" s="36">
        <f>(DATOS!$C$55*V19+DATOS!$C$56*W19)/1000</f>
        <v>0</v>
      </c>
      <c r="Y19" s="36">
        <f>DATOS!$C$55*(N19/100*O19/100*DATOS!$C$43-N19/100*DATOS!$C$70/1000)</f>
        <v>0.117063673469388</v>
      </c>
      <c r="Z19" s="70">
        <f>R19+T19+U19+X19+Y19</f>
        <v>1.05882815718895</v>
      </c>
      <c r="AA19" s="36">
        <f>(SUMIFS(TRIB!$I$6:$I$255,TRIB!$B$6:$B$255,"NP-11")-SUMIFS(TRIB!$L$6:$L$255,TRIB!$B$6:$B$255,"NP-11"))/G19+S19*DATOS!$C$107/G19+((SUMIFS(TRIB!$I$6:$I$255,TRIB!$B$6:$B$255,"DM-85")-SUMIFS(TRIB!$L$6:$L$255,TRIB!$B$6:$B$255,"DM-85"))*1.0)/G19+V19/1000+Y19/DATOS!$C$55</f>
        <v>0.814483197837657</v>
      </c>
      <c r="AB19" s="36">
        <f>SUMIFS(TRIB!$L$6:$L$255,TRIB!$B$6:$B$255,"NP-11")/G19+(SUMIFS(TRIB!$L$6:$L$255,TRIB!$B$6:$B$255,"DM-85")*1.0)/G19+W19/1000</f>
        <v>0</v>
      </c>
      <c r="AC19" s="36">
        <f>SUMIFS(TRIB!$M$6:$M$255,TRIB!$B$6:$B$255,"NP-11")/G19+(SUMIFS(TRIB!$M$6:$M$255,TRIB!$B$6:$B$255,"DM-85")*1.0)/G19+W19/1000*DATOS!$C$91/DATOS!$C$89</f>
        <v>0</v>
      </c>
      <c r="AD19" s="36">
        <f>0</f>
        <v>0</v>
      </c>
      <c r="AE19" s="36">
        <f>0</f>
        <v>0</v>
      </c>
      <c r="AF19" s="36">
        <f>0</f>
        <v>0</v>
      </c>
      <c r="AG19" s="36">
        <f>0</f>
        <v>0</v>
      </c>
      <c r="AH19" s="36">
        <f>0</f>
        <v>0</v>
      </c>
      <c r="AI19" s="36">
        <f>IF(L19="APOYADA",Z19*G19/2+0,IF(AND(L19="VOLADO",M19="i"),Z19*G19+AD19,0))</f>
        <v>1.80477259392857</v>
      </c>
      <c r="AJ19" s="36">
        <f>IF(L19="APOYADA",Z19*G19/2+0,IF(AND(L19="VOLADO",M19="j"),Z19*G19+AD19,0))</f>
        <v>1.80477259392857</v>
      </c>
      <c r="AK19" s="36">
        <f>IF(L19="APOYADA",(AA19+AB19)*G19/2+0,IF(AND(L19="VOLADO",M19="i"),(AA19+AB19)*G19+0,0))</f>
        <v>1.38828661071429</v>
      </c>
      <c r="AL19" s="36">
        <f>IF(L19="APOYADA",(AA19+AB19)*G19/2+0,IF(AND(L19="VOLADO",M19="j"),(AA19+AB19)*G19+0,0))</f>
        <v>1.38828661071429</v>
      </c>
      <c r="AM19" s="70">
        <f>IF(L19="APOYADA",Z19*G19^2/8+AE19,0)</f>
        <v>1.53811744317562</v>
      </c>
      <c r="AN19" s="70">
        <f>IF(L19="APOYADA",DATOS!$C$64*AM19,IF(L19="VOLADO",Z19*G19^2/2+AE19,0))</f>
        <v>1.02592433459814</v>
      </c>
      <c r="AO19" s="70">
        <f>IF(L19="APOYADA",Z19*G19/2+AF19,IF(L19="VOLADO",Z19*G19+AF19,0))</f>
        <v>1.80477259392857</v>
      </c>
      <c r="AP19" s="36">
        <f>IF(L19="APOYADA",(AA19+AB19)*G19^2/8+AH19,IF(L19="VOLADO",(AA19+AB19)*G19^2/2+AH19,0))</f>
        <v>1.18316726398125</v>
      </c>
      <c r="AQ19" s="43">
        <f>O19-DATOS!$C$22-INDEX(TABLAS!$C$52:$C$58,MATCH(DATOS!$C$113,TABLAS!$B$52:$B$58,0))-INDEX(TABLAS!$C$52:$C$58,MATCH(DATOS!$C$112,TABLAS!$B$52:$B$58,0))/2</f>
        <v>29.415</v>
      </c>
      <c r="AR19" s="43">
        <f>IF(OR(L19="BORDE DE VOLADO",L19="SIN APOYO"),0,IF(IF(AM19&lt;=0,0,IF((1-2*AM19*1E5/(DATOS!$C$58*N19*AQ19^2*DATOS!$C$48))&lt;0,-1,IF((1-SQRT((1-2*AM19*1E5/(DATOS!$C$58*N19*AQ19^2*DATOS!$C$48))))*DATOS!$C$48*N19*AQ19/DATOS!$C$40&gt;DATOS!$C$82*N19*AQ19,-1,(1-SQRT((1-2*AM19*1E5/(DATOS!$C$58*N19*AQ19^2*DATOS!$C$48))))*DATOS!$C$48*N19*AQ19/DATOS!$C$40)))&lt;0,-1,MAX(IF(AM19&lt;=0,0,IF((1-2*AM19*1E5/(DATOS!$C$58*N19*AQ19^2*DATOS!$C$48))&lt;0,-1,IF((1-SQRT((1-2*AM19*1E5/(DATOS!$C$58*N19*AQ19^2*DATOS!$C$48))))*DATOS!$C$48*N19*AQ19/DATOS!$C$40&gt;DATOS!$C$82*N19*AQ19,-1,(1-SQRT((1-2*AM19*1E5/(DATOS!$C$58*N19*AQ19^2*DATOS!$C$48))))*DATOS!$C$48*N19*AQ19/DATOS!$C$40))),MIN(DATOS!$C$83*N19*AQ19,4/3*IF(AM19&lt;=0,0,IF((1-2*AM19*1E5/(DATOS!$C$58*N19*AQ19^2*DATOS!$C$48))&lt;0,-1,IF((1-SQRT((1-2*AM19*1E5/(DATOS!$C$58*N19*AQ19^2*DATOS!$C$48))))*DATOS!$C$48*N19*AQ19/DATOS!$C$40&gt;DATOS!$C$82*N19*AQ19,-1,(1-SQRT((1-2*AM19*1E5/(DATOS!$C$58*N19*AQ19^2*DATOS!$C$48))))*DATOS!$C$48*N19*AQ19/DATOS!$C$40)))))))</f>
        <v>1.47075</v>
      </c>
      <c r="AS19" s="41">
        <f>IF(AR19&lt;0,0,IF(AND(AR19&gt;=0,MAX(DATOS!$C$114,CEILING(AR19/INDEX(TABLAS!$D$52:$D$58,MIN(MATCH(DATOS!$C$112,TABLAS!$B$52:$B$58,0)+0,7)),1))&lt;=MIN(99,INT((CB19+MAX(DATOS!$C$32,INDEX(TABLAS!$C$52:$C$58,MIN(MATCH(DATOS!$C$112,TABLAS!$B$52:$B$58,0)+0,7))))/(INDEX(TABLAS!$C$52:$C$58,MIN(MATCH(DATOS!$C$112,TABLAS!$B$52:$B$58,0)+0,7))+MAX(DATOS!$C$32,INDEX(TABLAS!$C$52:$C$58,MIN(MATCH(DATOS!$C$112,TABLAS!$B$52:$B$58,0)+0,7))))))),INDEX(TABLAS!$B$52:$B$58,MIN(MATCH(DATOS!$C$112,TABLAS!$B$52:$B$58,0)+0,7)),IF(AND(AR19&gt;=0,MAX(DATOS!$C$114,CEILING(AR19/INDEX(TABLAS!$D$52:$D$58,MIN(MATCH(DATOS!$C$112,TABLAS!$B$52:$B$58,0)+1,7)),1))&lt;=MIN(99,INT((CB19+MAX(DATOS!$C$32,INDEX(TABLAS!$C$52:$C$58,MIN(MATCH(DATOS!$C$112,TABLAS!$B$52:$B$58,0)+1,7))))/(INDEX(TABLAS!$C$52:$C$58,MIN(MATCH(DATOS!$C$112,TABLAS!$B$52:$B$58,0)+1,7))+MAX(DATOS!$C$32,INDEX(TABLAS!$C$52:$C$58,MIN(MATCH(DATOS!$C$112,TABLAS!$B$52:$B$58,0)+1,7))))))),INDEX(TABLAS!$B$52:$B$58,MIN(MATCH(DATOS!$C$112,TABLAS!$B$52:$B$58,0)+1,7)),IF(AND(AR19&gt;=0,MAX(DATOS!$C$114,CEILING(AR19/INDEX(TABLAS!$D$52:$D$58,MIN(MATCH(DATOS!$C$112,TABLAS!$B$52:$B$58,0)+2,7)),1))&lt;=MIN(99,INT((CB19+MAX(DATOS!$C$32,INDEX(TABLAS!$C$52:$C$58,MIN(MATCH(DATOS!$C$112,TABLAS!$B$52:$B$58,0)+2,7))))/(INDEX(TABLAS!$C$52:$C$58,MIN(MATCH(DATOS!$C$112,TABLAS!$B$52:$B$58,0)+2,7))+MAX(DATOS!$C$32,INDEX(TABLAS!$C$52:$C$58,MIN(MATCH(DATOS!$C$112,TABLAS!$B$52:$B$58,0)+2,7))))))),INDEX(TABLAS!$B$52:$B$58,MIN(MATCH(DATOS!$C$112,TABLAS!$B$52:$B$58,0)+2,7)),IF(AND(AR19&gt;=0,MAX(DATOS!$C$114,CEILING(AR19/INDEX(TABLAS!$D$52:$D$58,MIN(MATCH(DATOS!$C$112,TABLAS!$B$52:$B$58,0)+3,7)),1))&lt;=MIN(99,INT((CB19+MAX(DATOS!$C$32,INDEX(TABLAS!$C$52:$C$58,MIN(MATCH(DATOS!$C$112,TABLAS!$B$52:$B$58,0)+3,7))))/(INDEX(TABLAS!$C$52:$C$58,MIN(MATCH(DATOS!$C$112,TABLAS!$B$52:$B$58,0)+3,7))+MAX(DATOS!$C$32,INDEX(TABLAS!$C$52:$C$58,MIN(MATCH(DATOS!$C$112,TABLAS!$B$52:$B$58,0)+3,7))))))),INDEX(TABLAS!$B$52:$B$58,MIN(MATCH(DATOS!$C$112,TABLAS!$B$52:$B$58,0)+3,7)),IF(AND(AR19&gt;=0,MAX(DATOS!$C$114,CEILING(AR19/INDEX(TABLAS!$D$52:$D$58,MIN(MATCH(DATOS!$C$112,TABLAS!$B$52:$B$58,0)+4,7)),1))&lt;=MIN(99,INT((CB19+MAX(DATOS!$C$32,INDEX(TABLAS!$C$52:$C$58,MIN(MATCH(DATOS!$C$112,TABLAS!$B$52:$B$58,0)+4,7))))/(INDEX(TABLAS!$C$52:$C$58,MIN(MATCH(DATOS!$C$112,TABLAS!$B$52:$B$58,0)+4,7))+MAX(DATOS!$C$32,INDEX(TABLAS!$C$52:$C$58,MIN(MATCH(DATOS!$C$112,TABLAS!$B$52:$B$58,0)+4,7))))))),INDEX(TABLAS!$B$52:$B$58,MIN(MATCH(DATOS!$C$112,TABLAS!$B$52:$B$58,0)+4,7)),INDEX(TABLAS!$B$52:$B$58,7)))))))</f>
        <v>4</v>
      </c>
      <c r="AT19" s="58" t="n">
        <v>0</v>
      </c>
      <c r="AU19" s="56">
        <f>IF(OR(L19="BORDE DE VOLADO",L19="SIN APOYO"),0,IF(AR19&lt;0,0,MAX(DATOS!$C$114,CEILING(AR19/INDEX(TABLAS!$D$52:$D$58,MATCH(IF(AS19=0,8,AS19),TABLAS!$B$52:$B$58,0)),1))+AT19))</f>
        <v>2</v>
      </c>
      <c r="AV19" s="36">
        <f>IF(AU19=0,0,DATOS!$C$58*AU19*INDEX(TABLAS!$D$52:$D$58,MATCH(AS19,TABLAS!$B$52:$B$58,0))*DATOS!$C$40*((O19-DATOS!$C$22-INDEX(TABLAS!$C$52:$C$58,MATCH(DATOS!$C$113,TABLAS!$B$52:$B$58,0))-INDEX(TABLAS!$C$52:$C$58,MATCH(AS19,TABLAS!$B$52:$B$58,0))/2)-AU19*INDEX(TABLAS!$D$52:$D$58,MATCH(AS19,TABLAS!$B$52:$B$58,0))*DATOS!$C$40/(DATOS!$C$48*N19)/2)/1E5)</f>
        <v>2.66352536964706</v>
      </c>
      <c r="AW19" s="62">
        <f>IF(AR19&lt;0,9.99,IF(AV19&gt;0,AM19/AV19,0))</f>
        <v>0.577474298050121</v>
      </c>
      <c r="AX19" s="63">
        <f>IF(AU19=0,"—",0.003*((O19-DATOS!$C$22-INDEX(TABLAS!$C$52:$C$58,MATCH(DATOS!$C$113,TABLAS!$B$52:$B$58,0))-INDEX(TABLAS!$C$52:$C$58,MATCH(AS19,TABLAS!$B$52:$B$58,0))/2)-(AU19*INDEX(TABLAS!$D$52:$D$58,MATCH(AS19,TABLAS!$B$52:$B$58,0))*DATOS!$C$40/(DATOS!$C$48*N19)/DATOS!$C$49))/(AU19*INDEX(TABLAS!$D$52:$D$58,MATCH(AS19,TABLAS!$B$52:$B$58,0))*DATOS!$C$40/(DATOS!$C$48*N19)/DATOS!$C$49))</f>
        <v>0.0194117732353768</v>
      </c>
      <c r="AY19" s="43">
        <f>IF(OR(L19="BORDE DE VOLADO",L19="SIN APOYO"),0,IF(IF(AN19&lt;=0,0,IF((1-2*AN19*1E5/(DATOS!$C$58*N19*AQ19^2*DATOS!$C$48))&lt;0,-1,IF((1-SQRT((1-2*AN19*1E5/(DATOS!$C$58*N19*AQ19^2*DATOS!$C$48))))*DATOS!$C$48*N19*AQ19/DATOS!$C$40&gt;DATOS!$C$82*N19*AQ19,-1,(1-SQRT((1-2*AN19*1E5/(DATOS!$C$58*N19*AQ19^2*DATOS!$C$48))))*DATOS!$C$48*N19*AQ19/DATOS!$C$40)))&lt;0,-1,MAX(IF(AN19&lt;=0,0,IF((1-2*AN19*1E5/(DATOS!$C$58*N19*AQ19^2*DATOS!$C$48))&lt;0,-1,IF((1-SQRT((1-2*AN19*1E5/(DATOS!$C$58*N19*AQ19^2*DATOS!$C$48))))*DATOS!$C$48*N19*AQ19/DATOS!$C$40&gt;DATOS!$C$82*N19*AQ19,-1,(1-SQRT((1-2*AN19*1E5/(DATOS!$C$58*N19*AQ19^2*DATOS!$C$48))))*DATOS!$C$48*N19*AQ19/DATOS!$C$40))),MIN(DATOS!$C$83*IF(L19="VOLADO",MIN(BI19,2*N19),N19)*AQ19,4/3*IF(AN19&lt;=0,0,IF((1-2*AN19*1E5/(DATOS!$C$58*N19*AQ19^2*DATOS!$C$48))&lt;0,-1,IF((1-SQRT((1-2*AN19*1E5/(DATOS!$C$58*N19*AQ19^2*DATOS!$C$48))))*DATOS!$C$48*N19*AQ19/DATOS!$C$40&gt;DATOS!$C$82*N19*AQ19,-1,(1-SQRT((1-2*AN19*1E5/(DATOS!$C$58*N19*AQ19^2*DATOS!$C$48))))*DATOS!$C$48*N19*AQ19/DATOS!$C$40)))))))</f>
        <v>1.25678285196104</v>
      </c>
      <c r="AZ19" s="41">
        <f>IF(AY19&lt;0,0,IF(AND(AY19&gt;=0,MAX(DATOS!$C$114,CEILING(AY19/INDEX(TABLAS!$D$52:$D$58,MIN(MATCH(DATOS!$C$112,TABLAS!$B$52:$B$58,0)+0,7)),1))&lt;=MIN(99,INT((CB19+MAX(DATOS!$C$32,INDEX(TABLAS!$C$52:$C$58,MIN(MATCH(DATOS!$C$112,TABLAS!$B$52:$B$58,0)+0,7))))/(INDEX(TABLAS!$C$52:$C$58,MIN(MATCH(DATOS!$C$112,TABLAS!$B$52:$B$58,0)+0,7))+MAX(DATOS!$C$32,INDEX(TABLAS!$C$52:$C$58,MIN(MATCH(DATOS!$C$112,TABLAS!$B$52:$B$58,0)+0,7))))))),INDEX(TABLAS!$B$52:$B$58,MIN(MATCH(DATOS!$C$112,TABLAS!$B$52:$B$58,0)+0,7)),IF(AND(AY19&gt;=0,MAX(DATOS!$C$114,CEILING(AY19/INDEX(TABLAS!$D$52:$D$58,MIN(MATCH(DATOS!$C$112,TABLAS!$B$52:$B$58,0)+1,7)),1))&lt;=MIN(99,INT((CB19+MAX(DATOS!$C$32,INDEX(TABLAS!$C$52:$C$58,MIN(MATCH(DATOS!$C$112,TABLAS!$B$52:$B$58,0)+1,7))))/(INDEX(TABLAS!$C$52:$C$58,MIN(MATCH(DATOS!$C$112,TABLAS!$B$52:$B$58,0)+1,7))+MAX(DATOS!$C$32,INDEX(TABLAS!$C$52:$C$58,MIN(MATCH(DATOS!$C$112,TABLAS!$B$52:$B$58,0)+1,7))))))),INDEX(TABLAS!$B$52:$B$58,MIN(MATCH(DATOS!$C$112,TABLAS!$B$52:$B$58,0)+1,7)),IF(AND(AY19&gt;=0,MAX(DATOS!$C$114,CEILING(AY19/INDEX(TABLAS!$D$52:$D$58,MIN(MATCH(DATOS!$C$112,TABLAS!$B$52:$B$58,0)+2,7)),1))&lt;=MIN(99,INT((CB19+MAX(DATOS!$C$32,INDEX(TABLAS!$C$52:$C$58,MIN(MATCH(DATOS!$C$112,TABLAS!$B$52:$B$58,0)+2,7))))/(INDEX(TABLAS!$C$52:$C$58,MIN(MATCH(DATOS!$C$112,TABLAS!$B$52:$B$58,0)+2,7))+MAX(DATOS!$C$32,INDEX(TABLAS!$C$52:$C$58,MIN(MATCH(DATOS!$C$112,TABLAS!$B$52:$B$58,0)+2,7))))))),INDEX(TABLAS!$B$52:$B$58,MIN(MATCH(DATOS!$C$112,TABLAS!$B$52:$B$58,0)+2,7)),IF(AND(AY19&gt;=0,MAX(DATOS!$C$114,CEILING(AY19/INDEX(TABLAS!$D$52:$D$58,MIN(MATCH(DATOS!$C$112,TABLAS!$B$52:$B$58,0)+3,7)),1))&lt;=MIN(99,INT((CB19+MAX(DATOS!$C$32,INDEX(TABLAS!$C$52:$C$58,MIN(MATCH(DATOS!$C$112,TABLAS!$B$52:$B$58,0)+3,7))))/(INDEX(TABLAS!$C$52:$C$58,MIN(MATCH(DATOS!$C$112,TABLAS!$B$52:$B$58,0)+3,7))+MAX(DATOS!$C$32,INDEX(TABLAS!$C$52:$C$58,MIN(MATCH(DATOS!$C$112,TABLAS!$B$52:$B$58,0)+3,7))))))),INDEX(TABLAS!$B$52:$B$58,MIN(MATCH(DATOS!$C$112,TABLAS!$B$52:$B$58,0)+3,7)),IF(AND(AY19&gt;=0,MAX(DATOS!$C$114,CEILING(AY19/INDEX(TABLAS!$D$52:$D$58,MIN(MATCH(DATOS!$C$112,TABLAS!$B$52:$B$58,0)+4,7)),1))&lt;=MIN(99,INT((CB19+MAX(DATOS!$C$32,INDEX(TABLAS!$C$52:$C$58,MIN(MATCH(DATOS!$C$112,TABLAS!$B$52:$B$58,0)+4,7))))/(INDEX(TABLAS!$C$52:$C$58,MIN(MATCH(DATOS!$C$112,TABLAS!$B$52:$B$58,0)+4,7))+MAX(DATOS!$C$32,INDEX(TABLAS!$C$52:$C$58,MIN(MATCH(DATOS!$C$112,TABLAS!$B$52:$B$58,0)+4,7))))))),INDEX(TABLAS!$B$52:$B$58,MIN(MATCH(DATOS!$C$112,TABLAS!$B$52:$B$58,0)+4,7)),INDEX(TABLAS!$B$52:$B$58,7)))))))</f>
        <v>4</v>
      </c>
      <c r="BA19" s="56">
        <f>IF(OR(L19="BORDE DE VOLADO",L19="SIN APOYO"),0,IF(AY19&lt;0,0,MAX(DATOS!$C$114,CEILING(AY19/INDEX(TABLAS!$D$52:$D$58,MATCH(IF(AZ19=0,8,AZ19),TABLAS!$B$52:$B$58,0)),1))))</f>
        <v>2</v>
      </c>
      <c r="BB19" s="36">
        <f>IF(BA19=0,0,DATOS!$C$58*BA19*INDEX(TABLAS!$D$52:$D$58,MATCH(AZ19,TABLAS!$B$52:$B$58,0))*DATOS!$C$40*((O19-DATOS!$C$22-INDEX(TABLAS!$C$52:$C$58,MATCH(DATOS!$C$113,TABLAS!$B$52:$B$58,0))-INDEX(TABLAS!$C$52:$C$58,MATCH(AZ19,TABLAS!$B$52:$B$58,0))/2)-BA19*INDEX(TABLAS!$D$52:$D$58,MATCH(AZ19,TABLAS!$B$52:$B$58,0))*DATOS!$C$40/(DATOS!$C$48*N19)/2)/1E5)</f>
        <v>2.66352536964706</v>
      </c>
      <c r="BC19" s="62">
        <f>IF(AY19&lt;0,9.99,IF(BB19&gt;0,AN19/BB19,0))</f>
        <v>0.385175356799431</v>
      </c>
      <c r="BD19" s="63">
        <f>IF(BA19=0,"—",0.003*((O19-DATOS!$C$22-INDEX(TABLAS!$C$52:$C$58,MATCH(DATOS!$C$113,TABLAS!$B$52:$B$58,0))-INDEX(TABLAS!$C$52:$C$58,MATCH(AZ19,TABLAS!$B$52:$B$58,0))/2)-(BA19*INDEX(TABLAS!$D$52:$D$58,MATCH(AZ19,TABLAS!$B$52:$B$58,0))*DATOS!$C$40/(DATOS!$C$48*N19)/DATOS!$C$49))/(BA19*INDEX(TABLAS!$D$52:$D$58,MATCH(AZ19,TABLAS!$B$52:$B$58,0))*DATOS!$C$40/(DATOS!$C$48*N19)/DATOS!$C$49))</f>
        <v>0.0194117732353768</v>
      </c>
      <c r="BE19" s="36">
        <f>IF(BA19=0,0,DATOS!$C$59*MIN(1.25,MAX(0.5,2*MAX(1E-6,MIN(AU19*INDEX(TABLAS!$D$52:$D$58,MATCH(MAX(AS19,2),TABLAS!$B$52:$B$58,0)),BA19*INDEX(TABLAS!$D$52:$D$58,MATCH(MAX(AZ19,2),TABLAS!$B$52:$B$58,0)))/(N19*AQ19))^(1/3)))*SQRT(DATOS!$C$39)*N19*AQ19/1000)</f>
        <v>2.61614242613961</v>
      </c>
      <c r="BF19" s="57">
        <f>IF(AO19=0,0,FLOOR(MIN(IF(AO19&gt;BE19,DATOS!$C$59*2*INDEX(TABLAS!$D$52:$D$58,MATCH(DATOS!$C$113,TABLAS!$B$52:$B$58,0))*DATOS!$C$42*AQ19/((AO19-BE19)*1000),999),IF(MAX(0,AO19-BE19)/DATOS!$C$59&lt;=1.1*SQRT(DATOS!$C$39)*N19*AQ19/1000,MIN(AQ19/2,60),MIN(AQ19/4,30)),2*INDEX(TABLAS!$D$52:$D$58,MATCH(DATOS!$C$113,TABLAS!$B$52:$B$58,0))*DATOS!$C$42/(MAX(0.2*SQRT(DATOS!$C$39),3.5)*N19),MIN(16*INDEX(TABLAS!$C$52:$C$58,MATCH(MIN(MAX(AS19,2),MAX(AZ19,2)),TABLAS!$B$52:$B$58,0)),48*INDEX(TABLAS!$C$52:$C$58,MATCH(DATOS!$C$113,TABLAS!$B$52:$B$58,0))),DATOS!$C$115),0.5))</f>
        <v>14.5</v>
      </c>
      <c r="BG19" s="57">
        <f>BF19</f>
        <v>14.5</v>
      </c>
      <c r="BH19" s="51" t="str">
        <f>IF(AO19=0,"—",IF(AO19&gt;DATOS!$C$59*(BE19/DATOS!$C$59+2.2*SQRT(DATOS!$C$39)*N19*AQ19/1000),"SECCIÓN INSUFICIENTE","E No. "&amp;TEXT(DATOS!$C$113,"0")&amp;IF(BG19&lt;BF19," @ "&amp;TEXT(BG19,"0.0")&amp;" en 2h y"," @")&amp;" "&amp;TEXT(BF19,"0.0")&amp;" cm"))</f>
        <v>E No. 3 @ 14.5 cm</v>
      </c>
      <c r="BI19" s="56">
        <f>N19+MIN(6*DATOS!$C$14,DATOS!$C$11/2,G19*100/12)</f>
        <v>43.4083333333333</v>
      </c>
      <c r="BJ19" s="71">
        <f>BI19*DATOS!$C$14^3/12+BI19*DATOS!$C$14*(((BI19*DATOS!$C$14^2/2+N19*(O19-DATOS!$C$14)*(DATOS!$C$14+(O19-DATOS!$C$14)/2))/(BI19*DATOS!$C$14+N19*(O19-DATOS!$C$14)))-DATOS!$C$14/2)^2+N19*(O19-DATOS!$C$14)^3/12+N19*(O19-DATOS!$C$14)*(DATOS!$C$14+(O19-DATOS!$C$14)/2-((BI19*DATOS!$C$14^2/2+N19*(O19-DATOS!$C$14)*(DATOS!$C$14+(O19-DATOS!$C$14)/2))/(BI19*DATOS!$C$14+N19*(O19-DATOS!$C$14))))^2</f>
        <v>79043.5289058325</v>
      </c>
      <c r="BK19" s="43">
        <f>O19-DATOS!$C$22-INDEX(TABLAS!$C$52:$C$58,MATCH(DATOS!$C$113,TABLAS!$B$52:$B$58,0))-INDEX(TABLAS!$C$52:$C$58,MATCH(MAX(IF(L19="VOLADO",AZ19,AS19),2),TABLAS!$B$52:$B$58,0))/2</f>
        <v>29.415</v>
      </c>
      <c r="BL19" s="43">
        <f>DATOS!$C$46/DATOS!$C$45*IF(L19="VOLADO",BA19*INDEX(TABLAS!$D$52:$D$58,MATCH(MAX(AZ19,2),TABLAS!$B$52:$B$58,0)),AU19*INDEX(TABLAS!$D$52:$D$58,MATCH(MAX(AS19,2),TABLAS!$B$52:$B$58,0)))</f>
        <v>22.9491007337934</v>
      </c>
      <c r="BM19" s="43">
        <f>IF(BL19&lt;=0,0,(SQRT(2*(BL19/(IF(L19="VOLADO",N19,BI19)*BK19))+(BL19/(IF(L19="VOLADO",N19,BI19)*BK19))^2)-(BL19/(IF(L19="VOLADO",N19,BI19)*BK19)))*BK19)</f>
        <v>5.07325965977669</v>
      </c>
      <c r="BN19" s="71">
        <f>IF(AND(L19&lt;&gt;"VOLADO",BM19&gt;DATOS!$C$14),(BI19*DATOS!$C$14^3/12+BI19*DATOS!$C$14*(((-((BI19-N19)*DATOS!$C$14+BL19)+SQRT(((BI19-N19)*DATOS!$C$14+BL19)^2+2*N19*((BI19-N19)*DATOS!$C$14^2/2+BL19*BK19)))/N19)-DATOS!$C$14/2)^2+N19*(((-((BI19-N19)*DATOS!$C$14+BL19)+SQRT(((BI19-N19)*DATOS!$C$14+BL19)^2+2*N19*((BI19-N19)*DATOS!$C$14^2/2+BL19*BK19)))/N19)-DATOS!$C$14)^3/3+BL19*(BK19-((-((BI19-N19)*DATOS!$C$14+BL19)+SQRT(((BI19-N19)*DATOS!$C$14+BL19)^2+2*N19*((BI19-N19)*DATOS!$C$14^2/2+BL19*BK19)))/N19))^2),(IF(L19="VOLADO",N19,BI19)*BM19^3/3+BL19*(BK19-BM19)^2))</f>
        <v>15487.1579229951</v>
      </c>
      <c r="BO19" s="71">
        <f>IF(AP19&lt;=0,BJ19,IF((AP19*1E5)&lt;=2/3*(DATOS!$C$47*BJ19/IF(L19="VOLADO",((BI19*DATOS!$C$14^2/2+N19*(O19-DATOS!$C$14)*(DATOS!$C$14+(O19-DATOS!$C$14)/2))/(BI19*DATOS!$C$14+N19*(O19-DATOS!$C$14))),O19-((BI19*DATOS!$C$14^2/2+N19*(O19-DATOS!$C$14)*(DATOS!$C$14+(O19-DATOS!$C$14)/2))/(BI19*DATOS!$C$14+N19*(O19-DATOS!$C$14))))),BJ19,IF(BL19&lt;=0,0,BN19/(1-(2/3*(DATOS!$C$47*BJ19/IF(L19="VOLADO",((BI19*DATOS!$C$14^2/2+N19*(O19-DATOS!$C$14)*(DATOS!$C$14+(O19-DATOS!$C$14)/2))/(BI19*DATOS!$C$14+N19*(O19-DATOS!$C$14))),O19-((BI19*DATOS!$C$14^2/2+N19*(O19-DATOS!$C$14)*(DATOS!$C$14+(O19-DATOS!$C$14)/2))/(BI19*DATOS!$C$14+N19*(O19-DATOS!$C$14)))))/(AP19*1E5))^2*(1-BN19/BJ19)))))</f>
        <v>24678.3527808815</v>
      </c>
      <c r="BP19" s="62">
        <f>IF(OR(L19="APOYADA",L19="VOLADO"),(IF(L19="VOLADO",(AP19-AH19)/4+AH19/3,5/48*AP19)*1E5*(G19*100)^2/(DATOS!$C$45*MAX(BO19,1)))*(1+2/(1+50*IF(L19="VOLADO",AU19*INDEX(TABLAS!$D$52:$D$58,MATCH(MAX(AS19,2),TABLAS!$B$52:$B$58,0)),DATOS!$C$114*INDEX(TABLAS!$D$52:$D$58,MATCH(MAX(AZ19,2),TABLAS!$B$52:$B$58,0)))/(N19*BK19))*((AA19+AC19)/MAX(AA19+AB19,1E-6))),0)</f>
        <v>0.66936730510018</v>
      </c>
      <c r="BQ19" s="43">
        <f>IF(S19&gt;0,0.3+G19*100/480,0.5+G19*100/240)</f>
        <v>1.01020833333333</v>
      </c>
      <c r="BR19" s="43">
        <f>IF(S19&gt;0,(T19+U19)*G19+AG19,0)</f>
        <v>3.210475125</v>
      </c>
      <c r="BS19" s="43">
        <f>IF(S19&gt;0,(DATOS!$C$51*DATOS!$C$103*100*(G19*100)^3/(DATOS!$C$45*BJ19*((BR19*1000/(DATOS!$C$103*100*S19*100)*DATOS!$C$103*100*(MIN(1,S19/G19)^4-4*MIN(1,S19/G19)^3+8*MIN(1,S19/G19)))/((BR19*1000/(DATOS!$C$103*100*S19*100)*DATOS!$C$103*100*(MIN(1,S19/G19)^4-4*MIN(1,S19/G19)^3+8*MIN(1,S19/G19)))+5*((R19+X19+Y19+IF(L19="APOYADA",8*(0)/G19^2,0))*10)))))^0.25,0)</f>
        <v>6.21984893131368</v>
      </c>
      <c r="BT19" s="57">
        <f>IF(S19&gt;0,MAX(1,IF(MIN(1,S19/G19)&gt;=1,(1.6*BS19-3.9),IF(MIN(1,S19/G19)&lt;0.9,((3.2*BS19-7.8)*1),((3.2*BS19-7.8)*1)+((1.6*BS19-3.9)-((3.2*BS19-7.8)*1))*(MIN(1,S19/G19)-0.9)/0.1)))*BR19*1000/(DATOS!$C$103*100*S19*100),0)</f>
        <v>9.95211650807255</v>
      </c>
      <c r="BU19" s="65" t="str">
        <f>IF(S19=0,"—",IF(DATOS!$C$105/S19&lt;0.6,"REVISAR: H/L &lt; 0.6, interacción muro-viga",IF(BT19&lt;=DATOS!$C$60*DATOS!$C$50,"CUMPLE","NO CUMPLE f_CM &gt; F_R·f'm")))</f>
        <v>CUMPLE</v>
      </c>
      <c r="BV19" s="57">
        <f>IF(S19&gt;0,MAX(25,IF(BJ19&gt;=(G19*100)^3/1600,0,MIN(G19*100/14,(12*(G19*100)^3/1600/N19)^(1/3)))),IF(L19="APOYADA",MAX(25,G19*100/16),IF(L19="VOLADO",MAX(25,G19*100/8),0)))</f>
        <v>25</v>
      </c>
      <c r="BW19" s="57">
        <f>IF(S19&gt;0,IF(BJ19&gt;=(5/4*(G19*100)^3/DATOS!$C$45*((((S19*DATOS!$C$107+(((SUMIFS(TRIB!$I$6:$I$255,TRIB!$B$6:$B$255,"DM-85")-SUMIFS(TRIB!$L$6:$L$255,TRIB!$B$6:$B$255,"DM-85"))*1.0)/G19+(SUMIFS(TRIB!$M$6:$M$255,TRIB!$B$6:$B$255,"DM-85")*1.0)/G19)*G19+AG19/DATOS!$C$55)*1000)/(DATOS!$C$103*100*S19*100)*DATOS!$C$103*100*(MIN(1,S19/G19)^4-4*MIN(1,S19/G19)^3+8*MIN(1,S19/G19)))+5*((AA19-S19*DATOS!$C$107/G19-(((SUMIFS(TRIB!$I$6:$I$255,TRIB!$B$6:$B$255,"DM-85")-SUMIFS(TRIB!$L$6:$L$255,TRIB!$B$6:$B$255,"DM-85"))*1.0)/G19))*10))),0,MIN((G19*100/((1/15*DATOS!$C$45*N19/((((S19*DATOS!$C$107+(((SUMIFS(TRIB!$I$6:$I$255,TRIB!$B$6:$B$255,"DM-85")-SUMIFS(TRIB!$L$6:$L$255,TRIB!$B$6:$B$255,"DM-85"))*1.0)/G19+(SUMIFS(TRIB!$M$6:$M$255,TRIB!$B$6:$B$255,"DM-85")*1.0)/G19)*G19+AG19/DATOS!$C$55)*1000)/(DATOS!$C$103*100*S19*100)*DATOS!$C$103*100*(MIN(1,S19/G19)^4-4*MIN(1,S19/G19)^3+8*MIN(1,S19/G19)))+5*((AA19-S19*DATOS!$C$107/G19-(((SUMIFS(TRIB!$I$6:$I$255,TRIB!$B$6:$B$255,"DM-85")-SUMIFS(TRIB!$L$6:$L$255,TRIB!$B$6:$B$255,"DM-85"))*1.0)/G19))*10)))^(1/3))),(12*(5/4*(G19*100)^3/DATOS!$C$45*((((S19*DATOS!$C$107+(((SUMIFS(TRIB!$I$6:$I$255,TRIB!$B$6:$B$255,"DM-85")-SUMIFS(TRIB!$L$6:$L$255,TRIB!$B$6:$B$255,"DM-85"))*1.0)/G19+(SUMIFS(TRIB!$M$6:$M$255,TRIB!$B$6:$B$255,"DM-85")*1.0)/G19)*G19+AG19/DATOS!$C$55)*1000)/(DATOS!$C$103*100*S19*100)*DATOS!$C$103*100*(MIN(1,S19/G19)^4-4*MIN(1,S19/G19)^3+8*MIN(1,S19/G19)))+5*((AA19-S19*DATOS!$C$107/G19-(((SUMIFS(TRIB!$I$6:$I$255,TRIB!$B$6:$B$255,"DM-85")-SUMIFS(TRIB!$L$6:$L$255,TRIB!$B$6:$B$255,"DM-85"))*1.0)/G19))*10)))/N19)^(1/3))),0)</f>
        <v>0</v>
      </c>
      <c r="BX19" s="57">
        <f>SQRT(MAX(AM19,AN19)*1E5/(DATOS!$C$58*N19*DATOS!$C$48*(DATOS!$C$82*DATOS!$C$40/DATOS!$C$48)*(1-(DATOS!$C$82*DATOS!$C$40/DATOS!$C$48)/2)))+(O19-AQ19)</f>
        <v>19.7306252899828</v>
      </c>
      <c r="BY19" s="59">
        <f>IF(OR(L19="BORDE DE VOLADO",L19="SIN APOYO"),0,CEILING(MAX(BV19,BW19,BX19,DATOS!$C$15),5))</f>
        <v>25</v>
      </c>
      <c r="BZ19" s="72" t="str">
        <f>IF(L19="BORDE DE VOLADO","BORDE DE VOLADO — armado de orilla",IF(L19="SIN APOYO","SIN APOYO — REVISAR",IF(AND(AW19&lt;=1,BC19&lt;=1,IF(AU19=0,TRUE,AU19&lt;=INT((CB19+DATOS!$C$32)/(INDEX(TABLAS!$C$52:$C$58,MATCH(MAX(AS19,2),TABLAS!$B$52:$B$58,0))+DATOS!$C$32))),IF(BA19=0,TRUE,BA19&lt;=INT((CB19+DATOS!$C$32)/(INDEX(TABLAS!$C$52:$C$58,MATCH(MAX(AZ19,2),TABLAS!$B$52:$B$58,0))+DATOS!$C$32))),AND(OR(NOT(ISNUMBER(AX19)),AX19&gt;=0.005),OR(NOT(ISNUMBER(BD19)),BD19&gt;=0.005)),BH19&lt;&gt;"SECCIÓN INSUFICIENTE",AND(O19&gt;=BV19,O19&gt;=BW19,O19/N19&lt;=6),BP19&lt;=BQ19,OR(S19=0,LEFT(BU19,6)&lt;&gt;"NO CUM")),IF(LEFT(BU19,7)="REVISAR","PENDIENTE: H/L &lt; 0.6, falta el análisis de interacción muro-viga (NTC-M 4.1.18.2.1, p. 44)","CUMPLE")&amp;IF(L19="VOLADO"," (en VOLADO)",""),"NO CUMPLE: "&amp;IF(OR(AR19&lt;0,AY19&lt;0),"sección insuficiente en flexión ",IF(OR(AW19&gt;1,BC19&gt;1),"flexión ",""))&amp;IF(NOT(AND(IF(AU19=0,TRUE,AU19&lt;=INT((CB19+DATOS!$C$32)/(INDEX(TABLAS!$C$52:$C$58,MATCH(MAX(AS19,2),TABLAS!$B$52:$B$58,0))+DATOS!$C$32))),IF(BA19=0,TRUE,BA19&lt;=INT((CB19+DATOS!$C$32)/(INDEX(TABLAS!$C$52:$C$58,MATCH(MAX(AZ19,2),TABLAS!$B$52:$B$58,0))+DATOS!$C$32))))),"no caben ","")&amp;IF(NOT(AND(OR(NOT(ISNUMBER(AX19)),AX19&gt;=0.005),OR(NOT(ISNUMBER(BD19)),BD19&gt;=0.005))),"ε_t ","")&amp;IF(BH19="SECCIÓN INSUFICIENTE","cortante ","")&amp;IF(NOT(AND(O19&gt;=BV19,O19&gt;=BW19,O19/N19&lt;=6)),"peralte ","")&amp;IF(NOT(BP19&lt;=BQ19),"flecha ","")&amp;IF(NOT(OR(S19=0,LEFT(BU19,6)&lt;&gt;"NO CUM")),"muro sobre viga ","")&amp;"→ h ≥ "&amp;TEXT(MAX(BY19,IF(BP19&gt;BQ19,MAX(O19+5,CEILING(O19*(BP19/BQ19)^(1/3),5)),0)),"0")&amp;" cm"&amp;IF(NOT(AND(IF(AU19=0,TRUE,AU19&lt;=INT((CB19+DATOS!$C$32)/(INDEX(TABLAS!$C$52:$C$58,MATCH(MAX(AS19,2),TABLAS!$B$52:$B$58,0))+DATOS!$C$32))),IF(BA19=0,TRUE,BA19&lt;=INT((CB19+DATOS!$C$32)/(INDEX(TABLAS!$C$52:$C$58,MATCH(MAX(AZ19,2),TABLAS!$B$52:$B$58,0))+DATOS!$C$32)))))," y b ≥ "&amp;TEXT(N19+5,"0")&amp;" cm","")&amp;" (verificar)")))</f>
        <v>CUMPLE</v>
      </c>
      <c r="CA19" s="65" t="inlineStr">
        <is>
          <t>Extremo i se apoya en NP-26. Muro de planta alta encima (2.60 m) con la azotea de DM-85: viga que soporta muro estructural (NTC-Mampostería 4.1.18): la flecha se calcula y el límite es 0.3 cm + L/480. PROPUESTO: la dala bajo el muro de y = 14.247 se prolonga hasta la nervadura del eje F (x = 5.44); en el modelo remata suelta dentro de F80009.</t>
        </is>
      </c>
      <c r="CB19" s="43">
        <f>N19-2*DATOS!$C$22-2*INDEX(TABLAS!$C$52:$C$58,MATCH(DATOS!$C$113,TABLAS!$B$52:$B$58,0))</f>
        <v>5.1</v>
      </c>
    </row>
    <row r="20" ht="30" customHeight="1">
      <c r="B20" s="60" t="inlineStr">
        <is>
          <t>NP-12</t>
        </is>
      </c>
      <c r="C20" s="52" t="inlineStr">
        <is>
          <t>N+3.00</t>
        </is>
      </c>
      <c r="D20" s="51" t="inlineStr">
        <is>
          <t>y = 15.846</t>
        </is>
      </c>
      <c r="E20" s="52" t="inlineStr">
        <is>
          <t>(0.000, 15.846)</t>
        </is>
      </c>
      <c r="F20" s="52" t="inlineStr">
        <is>
          <t>(3.427, 15.846)</t>
        </is>
      </c>
      <c r="G20" s="55" t="n">
        <v>3.427</v>
      </c>
      <c r="H20" s="52" t="inlineStr">
        <is>
          <t>FIRME</t>
        </is>
      </c>
      <c r="I20" s="52" t="str">
        <f>IF(APOYOS!$C$24="SÍ","FIRME","LIBRE")</f>
        <v>FIRME</v>
      </c>
      <c r="J20" s="52" t="inlineStr">
        <is>
          <t>—</t>
        </is>
      </c>
      <c r="K20" s="52" t="inlineStr">
        <is>
          <t>C8</t>
        </is>
      </c>
      <c r="L20" s="60" t="str">
        <f>IF(AND(OR(H20="FIRME",H20="NERVADURA",H20="PUNTA"),OR(I20="FIRME",I20="NERVADURA",I20="PUNTA")),"APOYADA",IF(OR(OR(H20="FIRME",H20="NERVADURA",H20="PUNTA"),OR(I20="FIRME",I20="NERVADURA",I20="PUNTA")),"VOLADO","SIN APOYO"))</f>
        <v>APOYADA</v>
      </c>
      <c r="M20" s="52" t="str">
        <f>IF(L20="VOLADO",IF(OR(H20="FIRME",H20="NERVADURA",H20="PUNTA"),"i","j"),"—")</f>
        <v>—</v>
      </c>
      <c r="N20" s="58" t="n">
        <v>20</v>
      </c>
      <c r="O20" s="58" t="n">
        <v>45</v>
      </c>
      <c r="P20" s="65" t="str">
        <f>IF(L20="BORDE DE VOLADO","—",IF(OR(N20&lt;&gt;DATOS!$C$17,O20&lt;&gt;DATOS!$C$15),"PERALTAR: trabe "&amp;TEXT(N20,"0")&amp;"×"&amp;TEXT(O20,"0")&amp;IF(O20&gt;DATOS!$C$15," (descuelga "&amp;TEXT(O20-DATOS!$C$15,"0")&amp;" cm)",""),"Queda en la losa (15×25)"))</f>
        <v>PERALTAR: trabe 20×45 (descuelga 20 cm)</v>
      </c>
      <c r="Q20" s="43">
        <f>SUMIFS(TRIB!$E$6:$E$255,TRIB!$B$6:$B$255,"NP-12")</f>
        <v>4.1569</v>
      </c>
      <c r="R20" s="36">
        <f>SUMIFS(TRIB!$G$6:$G$255,TRIB!$B$6:$B$255,"NP-12")/G20</f>
        <v>1.17807222596071</v>
      </c>
      <c r="S20" s="69" t="n">
        <v>3.427</v>
      </c>
      <c r="T20" s="36">
        <f>DATOS!$C$55*S20*DATOS!$C$107/G20</f>
        <v>1.233375</v>
      </c>
      <c r="U20" s="36">
        <f>(SUMIFS(TRIB!$G$6:$G$255,TRIB!$B$6:$B$255,"DM-86")*1.0+SUMIFS(TRIB!$G$6:$G$255,TRIB!$B$6:$B$255,"DM-87")*1.0+SUMIFS(TRIB!$G$6:$G$255,TRIB!$B$6:$B$255,"DM-88")*1.0)/G20</f>
        <v>1.01602916515308</v>
      </c>
      <c r="V20" s="61" t="n">
        <v>0</v>
      </c>
      <c r="W20" s="61" t="n">
        <v>0</v>
      </c>
      <c r="X20" s="36">
        <f>(DATOS!$C$55*V20+DATOS!$C$56*W20)/1000</f>
        <v>0</v>
      </c>
      <c r="Y20" s="36">
        <f>DATOS!$C$55*(N20/100*O20/100*DATOS!$C$43-N20/100*DATOS!$C$70/1000)</f>
        <v>0.219524897959184</v>
      </c>
      <c r="Z20" s="70">
        <f>R20+T20+U20+X20+Y20</f>
        <v>3.64700128907297</v>
      </c>
      <c r="AA20" s="36">
        <f>(SUMIFS(TRIB!$I$6:$I$255,TRIB!$B$6:$B$255,"NP-12")-SUMIFS(TRIB!$L$6:$L$255,TRIB!$B$6:$B$255,"NP-12"))/G20+S20*DATOS!$C$107/G20+((SUMIFS(TRIB!$I$6:$I$255,TRIB!$B$6:$B$255,"DM-86")-SUMIFS(TRIB!$L$6:$L$255,TRIB!$B$6:$B$255,"DM-86"))*1.0+(SUMIFS(TRIB!$I$6:$I$255,TRIB!$B$6:$B$255,"DM-87")-SUMIFS(TRIB!$L$6:$L$255,TRIB!$B$6:$B$255,"DM-87"))*1.0+(SUMIFS(TRIB!$I$6:$I$255,TRIB!$B$6:$B$255,"DM-88")-SUMIFS(TRIB!$L$6:$L$255,TRIB!$B$6:$B$255,"DM-88"))*1.0)/G20+V20/1000+Y20/DATOS!$C$55</f>
        <v>2.41200016108574</v>
      </c>
      <c r="AB20" s="36">
        <f>SUMIFS(TRIB!$L$6:$L$255,TRIB!$B$6:$B$255,"NP-12")/G20+(SUMIFS(TRIB!$L$6:$L$255,TRIB!$B$6:$B$255,"DM-86")*1.0+SUMIFS(TRIB!$L$6:$L$255,TRIB!$B$6:$B$255,"DM-87")*1.0+SUMIFS(TRIB!$L$6:$L$255,TRIB!$B$6:$B$255,"DM-88")*1.0)/G20+W20/1000</f>
        <v>0.340934053107674</v>
      </c>
      <c r="AC20" s="36">
        <f>SUMIFS(TRIB!$M$6:$M$255,TRIB!$B$6:$B$255,"NP-12")/G20+(SUMIFS(TRIB!$M$6:$M$255,TRIB!$B$6:$B$255,"DM-86")*1.0+SUMIFS(TRIB!$M$6:$M$255,TRIB!$B$6:$B$255,"DM-87")*1.0+SUMIFS(TRIB!$M$6:$M$255,TRIB!$B$6:$B$255,"DM-88")*1.0)/G20+W20/1000*DATOS!$C$91/DATOS!$C$89</f>
        <v>0.113608841552378</v>
      </c>
      <c r="AD20" s="36">
        <f>TRANSFER!$F$9+TRANSFER!$F$19</f>
        <v>3.31963724620249</v>
      </c>
      <c r="AE20" s="36">
        <f>TRANSFER!$H$9+TRANSFER!$H$19</f>
        <v>0.968317545524298</v>
      </c>
      <c r="AF20" s="36">
        <f>TRANSFER!$I$9+TRANSFER!$I$19</f>
        <v>2.99995499281051</v>
      </c>
      <c r="AG20" s="36">
        <f>TRANSFER!$F$19</f>
        <v>0.566996335714286</v>
      </c>
      <c r="AH20" s="36">
        <f>TRANSFER!$N$9+TRANSFER!$N$19</f>
        <v>0.731023704285904</v>
      </c>
      <c r="AI20" s="36">
        <f>IF(L20="APOYADA",Z20*G20/2+TRANSFER!$J$9+TRANSFER!$J$19,IF(AND(L20="VOLADO",M20="i"),Z20*G20+AD20,0))</f>
        <v>7.13581529793279</v>
      </c>
      <c r="AJ20" s="36">
        <f>IF(L20="APOYADA",Z20*G20/2+TRANSFER!$K$9+TRANSFER!$K$19,IF(AND(L20="VOLADO",M20="j"),Z20*G20+AD20,0))</f>
        <v>8.68209536592275</v>
      </c>
      <c r="AK20" s="36">
        <f>IF(L20="APOYADA",(AA20+AB20)*G20/2+TRANSFER!$O$9+TRANSFER!$O$19,IF(AND(L20="VOLADO",M20="i"),(AA20+AB20)*G20+TRANSFER!$M$9+TRANSFER!$M$19,0))</f>
        <v>5.3882400181796</v>
      </c>
      <c r="AL20" s="36">
        <f>IF(L20="APOYADA",(AA20+AB20)*G20/2+TRANSFER!$P$9+TRANSFER!$P$19,IF(AND(L20="VOLADO",M20="j"),(AA20+AB20)*G20+TRANSFER!$M$9+TRANSFER!$M$19,0))</f>
        <v>6.55389575161313</v>
      </c>
      <c r="AM20" s="70">
        <f>IF(L20="APOYADA",Z20*G20^2/8+AE20,0)</f>
        <v>6.32226542081143</v>
      </c>
      <c r="AN20" s="70">
        <f>IF(L20="APOYADA",DATOS!$C$64*AM20,IF(L20="VOLADO",Z20*G20^2/2+AE20,0))</f>
        <v>4.21695103568122</v>
      </c>
      <c r="AO20" s="70">
        <f>IF(L20="APOYADA",Z20*G20/2+AF20,IF(L20="VOLADO",Z20*G20+AF20,0))</f>
        <v>9.24909170163704</v>
      </c>
      <c r="AP20" s="36">
        <f>IF(L20="APOYADA",(AA20+AB20)*G20^2/8+AH20,IF(L20="VOLADO",(AA20+AB20)*G20^2/2+AH20,0))</f>
        <v>4.77244434514139</v>
      </c>
      <c r="AQ20" s="43">
        <f>O20-DATOS!$C$22-INDEX(TABLAS!$C$52:$C$58,MATCH(DATOS!$C$113,TABLAS!$B$52:$B$58,0))-INDEX(TABLAS!$C$52:$C$58,MATCH(DATOS!$C$112,TABLAS!$B$52:$B$58,0))/2</f>
        <v>39.415</v>
      </c>
      <c r="AR20" s="43">
        <f>IF(OR(L20="BORDE DE VOLADO",L20="SIN APOYO"),0,IF(IF(AM20&lt;=0,0,IF((1-2*AM20*1E5/(DATOS!$C$58*N20*AQ20^2*DATOS!$C$48))&lt;0,-1,IF((1-SQRT((1-2*AM20*1E5/(DATOS!$C$58*N20*AQ20^2*DATOS!$C$48))))*DATOS!$C$48*N20*AQ20/DATOS!$C$40&gt;DATOS!$C$82*N20*AQ20,-1,(1-SQRT((1-2*AM20*1E5/(DATOS!$C$58*N20*AQ20^2*DATOS!$C$48))))*DATOS!$C$48*N20*AQ20/DATOS!$C$40)))&lt;0,-1,MAX(IF(AM20&lt;=0,0,IF((1-2*AM20*1E5/(DATOS!$C$58*N20*AQ20^2*DATOS!$C$48))&lt;0,-1,IF((1-SQRT((1-2*AM20*1E5/(DATOS!$C$58*N20*AQ20^2*DATOS!$C$48))))*DATOS!$C$48*N20*AQ20/DATOS!$C$40&gt;DATOS!$C$82*N20*AQ20,-1,(1-SQRT((1-2*AM20*1E5/(DATOS!$C$58*N20*AQ20^2*DATOS!$C$48))))*DATOS!$C$48*N20*AQ20/DATOS!$C$40))),MIN(DATOS!$C$83*N20*AQ20,4/3*IF(AM20&lt;=0,0,IF((1-2*AM20*1E5/(DATOS!$C$58*N20*AQ20^2*DATOS!$C$48))&lt;0,-1,IF((1-SQRT((1-2*AM20*1E5/(DATOS!$C$58*N20*AQ20^2*DATOS!$C$48))))*DATOS!$C$48*N20*AQ20/DATOS!$C$40&gt;DATOS!$C$82*N20*AQ20,-1,(1-SQRT((1-2*AM20*1E5/(DATOS!$C$58*N20*AQ20^2*DATOS!$C$48))))*DATOS!$C$48*N20*AQ20/DATOS!$C$40)))))))</f>
        <v>4.49697110704549</v>
      </c>
      <c r="AS20" s="41">
        <f>IF(AR20&lt;0,0,IF(AND(AR20&gt;=0,MAX(DATOS!$C$114,CEILING(AR20/INDEX(TABLAS!$D$52:$D$58,MIN(MATCH(DATOS!$C$112,TABLAS!$B$52:$B$58,0)+0,7)),1))&lt;=MIN(99,INT((CB20+MAX(DATOS!$C$32,INDEX(TABLAS!$C$52:$C$58,MIN(MATCH(DATOS!$C$112,TABLAS!$B$52:$B$58,0)+0,7))))/(INDEX(TABLAS!$C$52:$C$58,MIN(MATCH(DATOS!$C$112,TABLAS!$B$52:$B$58,0)+0,7))+MAX(DATOS!$C$32,INDEX(TABLAS!$C$52:$C$58,MIN(MATCH(DATOS!$C$112,TABLAS!$B$52:$B$58,0)+0,7))))))),INDEX(TABLAS!$B$52:$B$58,MIN(MATCH(DATOS!$C$112,TABLAS!$B$52:$B$58,0)+0,7)),IF(AND(AR20&gt;=0,MAX(DATOS!$C$114,CEILING(AR20/INDEX(TABLAS!$D$52:$D$58,MIN(MATCH(DATOS!$C$112,TABLAS!$B$52:$B$58,0)+1,7)),1))&lt;=MIN(99,INT((CB20+MAX(DATOS!$C$32,INDEX(TABLAS!$C$52:$C$58,MIN(MATCH(DATOS!$C$112,TABLAS!$B$52:$B$58,0)+1,7))))/(INDEX(TABLAS!$C$52:$C$58,MIN(MATCH(DATOS!$C$112,TABLAS!$B$52:$B$58,0)+1,7))+MAX(DATOS!$C$32,INDEX(TABLAS!$C$52:$C$58,MIN(MATCH(DATOS!$C$112,TABLAS!$B$52:$B$58,0)+1,7))))))),INDEX(TABLAS!$B$52:$B$58,MIN(MATCH(DATOS!$C$112,TABLAS!$B$52:$B$58,0)+1,7)),IF(AND(AR20&gt;=0,MAX(DATOS!$C$114,CEILING(AR20/INDEX(TABLAS!$D$52:$D$58,MIN(MATCH(DATOS!$C$112,TABLAS!$B$52:$B$58,0)+2,7)),1))&lt;=MIN(99,INT((CB20+MAX(DATOS!$C$32,INDEX(TABLAS!$C$52:$C$58,MIN(MATCH(DATOS!$C$112,TABLAS!$B$52:$B$58,0)+2,7))))/(INDEX(TABLAS!$C$52:$C$58,MIN(MATCH(DATOS!$C$112,TABLAS!$B$52:$B$58,0)+2,7))+MAX(DATOS!$C$32,INDEX(TABLAS!$C$52:$C$58,MIN(MATCH(DATOS!$C$112,TABLAS!$B$52:$B$58,0)+2,7))))))),INDEX(TABLAS!$B$52:$B$58,MIN(MATCH(DATOS!$C$112,TABLAS!$B$52:$B$58,0)+2,7)),IF(AND(AR20&gt;=0,MAX(DATOS!$C$114,CEILING(AR20/INDEX(TABLAS!$D$52:$D$58,MIN(MATCH(DATOS!$C$112,TABLAS!$B$52:$B$58,0)+3,7)),1))&lt;=MIN(99,INT((CB20+MAX(DATOS!$C$32,INDEX(TABLAS!$C$52:$C$58,MIN(MATCH(DATOS!$C$112,TABLAS!$B$52:$B$58,0)+3,7))))/(INDEX(TABLAS!$C$52:$C$58,MIN(MATCH(DATOS!$C$112,TABLAS!$B$52:$B$58,0)+3,7))+MAX(DATOS!$C$32,INDEX(TABLAS!$C$52:$C$58,MIN(MATCH(DATOS!$C$112,TABLAS!$B$52:$B$58,0)+3,7))))))),INDEX(TABLAS!$B$52:$B$58,MIN(MATCH(DATOS!$C$112,TABLAS!$B$52:$B$58,0)+3,7)),IF(AND(AR20&gt;=0,MAX(DATOS!$C$114,CEILING(AR20/INDEX(TABLAS!$D$52:$D$58,MIN(MATCH(DATOS!$C$112,TABLAS!$B$52:$B$58,0)+4,7)),1))&lt;=MIN(99,INT((CB20+MAX(DATOS!$C$32,INDEX(TABLAS!$C$52:$C$58,MIN(MATCH(DATOS!$C$112,TABLAS!$B$52:$B$58,0)+4,7))))/(INDEX(TABLAS!$C$52:$C$58,MIN(MATCH(DATOS!$C$112,TABLAS!$B$52:$B$58,0)+4,7))+MAX(DATOS!$C$32,INDEX(TABLAS!$C$52:$C$58,MIN(MATCH(DATOS!$C$112,TABLAS!$B$52:$B$58,0)+4,7))))))),INDEX(TABLAS!$B$52:$B$58,MIN(MATCH(DATOS!$C$112,TABLAS!$B$52:$B$58,0)+4,7)),INDEX(TABLAS!$B$52:$B$58,7)))))))</f>
        <v>5</v>
      </c>
      <c r="AT20" s="58" t="n">
        <v>0</v>
      </c>
      <c r="AU20" s="56">
        <f>IF(OR(L20="BORDE DE VOLADO",L20="SIN APOYO"),0,IF(AR20&lt;0,0,MAX(DATOS!$C$114,CEILING(AR20/INDEX(TABLAS!$D$52:$D$58,MATCH(IF(AS20=0,8,AS20),TABLAS!$B$52:$B$58,0)),1))+AT20))</f>
        <v>3</v>
      </c>
      <c r="AV20" s="36">
        <f>IF(AU20=0,0,DATOS!$C$58*AU20*INDEX(TABLAS!$D$52:$D$58,MATCH(AS20,TABLAS!$B$52:$B$58,0))*DATOS!$C$40*((O20-DATOS!$C$22-INDEX(TABLAS!$C$52:$C$58,MATCH(DATOS!$C$113,TABLAS!$B$52:$B$58,0))-INDEX(TABLAS!$C$52:$C$58,MATCH(AS20,TABLAS!$B$52:$B$58,0))/2)-AU20*INDEX(TABLAS!$D$52:$D$58,MATCH(AS20,TABLAS!$B$52:$B$58,0))*DATOS!$C$40/(DATOS!$C$48*N20)/2)/1E5)</f>
        <v>8.15498903223529</v>
      </c>
      <c r="AW20" s="62">
        <f>IF(AR20&lt;0,9.99,IF(AV20&gt;0,AM20/AV20,0))</f>
        <v>0.775263509959435</v>
      </c>
      <c r="AX20" s="63">
        <f>IF(AU20=0,"—",0.003*((O20-DATOS!$C$22-INDEX(TABLAS!$C$52:$C$58,MATCH(DATOS!$C$113,TABLAS!$B$52:$B$58,0))-INDEX(TABLAS!$C$52:$C$58,MATCH(AS20,TABLAS!$B$52:$B$58,0))/2)-(AU20*INDEX(TABLAS!$D$52:$D$58,MATCH(AS20,TABLAS!$B$52:$B$58,0))*DATOS!$C$40/(DATOS!$C$48*N20)/DATOS!$C$49))/(AU20*INDEX(TABLAS!$D$52:$D$58,MATCH(AS20,TABLAS!$B$52:$B$58,0))*DATOS!$C$40/(DATOS!$C$48*N20)/DATOS!$C$49))</f>
        <v>0.0140525117243867</v>
      </c>
      <c r="AY20" s="43">
        <f>IF(OR(L20="BORDE DE VOLADO",L20="SIN APOYO"),0,IF(IF(AN20&lt;=0,0,IF((1-2*AN20*1E5/(DATOS!$C$58*N20*AQ20^2*DATOS!$C$48))&lt;0,-1,IF((1-SQRT((1-2*AN20*1E5/(DATOS!$C$58*N20*AQ20^2*DATOS!$C$48))))*DATOS!$C$48*N20*AQ20/DATOS!$C$40&gt;DATOS!$C$82*N20*AQ20,-1,(1-SQRT((1-2*AN20*1E5/(DATOS!$C$58*N20*AQ20^2*DATOS!$C$48))))*DATOS!$C$48*N20*AQ20/DATOS!$C$40)))&lt;0,-1,MAX(IF(AN20&lt;=0,0,IF((1-2*AN20*1E5/(DATOS!$C$58*N20*AQ20^2*DATOS!$C$48))&lt;0,-1,IF((1-SQRT((1-2*AN20*1E5/(DATOS!$C$58*N20*AQ20^2*DATOS!$C$48))))*DATOS!$C$48*N20*AQ20/DATOS!$C$40&gt;DATOS!$C$82*N20*AQ20,-1,(1-SQRT((1-2*AN20*1E5/(DATOS!$C$58*N20*AQ20^2*DATOS!$C$48))))*DATOS!$C$48*N20*AQ20/DATOS!$C$40))),MIN(DATOS!$C$83*IF(L20="VOLADO",MIN(BI20,2*N20),N20)*AQ20,4/3*IF(AN20&lt;=0,0,IF((1-2*AN20*1E5/(DATOS!$C$58*N20*AQ20^2*DATOS!$C$48))&lt;0,-1,IF((1-SQRT((1-2*AN20*1E5/(DATOS!$C$58*N20*AQ20^2*DATOS!$C$48))))*DATOS!$C$48*N20*AQ20/DATOS!$C$40&gt;DATOS!$C$82*N20*AQ20,-1,(1-SQRT((1-2*AN20*1E5/(DATOS!$C$58*N20*AQ20^2*DATOS!$C$48))))*DATOS!$C$48*N20*AQ20/DATOS!$C$40)))))))</f>
        <v>2.93864165584753</v>
      </c>
      <c r="AZ20" s="41">
        <f>IF(AY20&lt;0,0,IF(AND(AY20&gt;=0,MAX(DATOS!$C$114,CEILING(AY20/INDEX(TABLAS!$D$52:$D$58,MIN(MATCH(DATOS!$C$112,TABLAS!$B$52:$B$58,0)+0,7)),1))&lt;=MIN(99,INT((CB20+MAX(DATOS!$C$32,INDEX(TABLAS!$C$52:$C$58,MIN(MATCH(DATOS!$C$112,TABLAS!$B$52:$B$58,0)+0,7))))/(INDEX(TABLAS!$C$52:$C$58,MIN(MATCH(DATOS!$C$112,TABLAS!$B$52:$B$58,0)+0,7))+MAX(DATOS!$C$32,INDEX(TABLAS!$C$52:$C$58,MIN(MATCH(DATOS!$C$112,TABLAS!$B$52:$B$58,0)+0,7))))))),INDEX(TABLAS!$B$52:$B$58,MIN(MATCH(DATOS!$C$112,TABLAS!$B$52:$B$58,0)+0,7)),IF(AND(AY20&gt;=0,MAX(DATOS!$C$114,CEILING(AY20/INDEX(TABLAS!$D$52:$D$58,MIN(MATCH(DATOS!$C$112,TABLAS!$B$52:$B$58,0)+1,7)),1))&lt;=MIN(99,INT((CB20+MAX(DATOS!$C$32,INDEX(TABLAS!$C$52:$C$58,MIN(MATCH(DATOS!$C$112,TABLAS!$B$52:$B$58,0)+1,7))))/(INDEX(TABLAS!$C$52:$C$58,MIN(MATCH(DATOS!$C$112,TABLAS!$B$52:$B$58,0)+1,7))+MAX(DATOS!$C$32,INDEX(TABLAS!$C$52:$C$58,MIN(MATCH(DATOS!$C$112,TABLAS!$B$52:$B$58,0)+1,7))))))),INDEX(TABLAS!$B$52:$B$58,MIN(MATCH(DATOS!$C$112,TABLAS!$B$52:$B$58,0)+1,7)),IF(AND(AY20&gt;=0,MAX(DATOS!$C$114,CEILING(AY20/INDEX(TABLAS!$D$52:$D$58,MIN(MATCH(DATOS!$C$112,TABLAS!$B$52:$B$58,0)+2,7)),1))&lt;=MIN(99,INT((CB20+MAX(DATOS!$C$32,INDEX(TABLAS!$C$52:$C$58,MIN(MATCH(DATOS!$C$112,TABLAS!$B$52:$B$58,0)+2,7))))/(INDEX(TABLAS!$C$52:$C$58,MIN(MATCH(DATOS!$C$112,TABLAS!$B$52:$B$58,0)+2,7))+MAX(DATOS!$C$32,INDEX(TABLAS!$C$52:$C$58,MIN(MATCH(DATOS!$C$112,TABLAS!$B$52:$B$58,0)+2,7))))))),INDEX(TABLAS!$B$52:$B$58,MIN(MATCH(DATOS!$C$112,TABLAS!$B$52:$B$58,0)+2,7)),IF(AND(AY20&gt;=0,MAX(DATOS!$C$114,CEILING(AY20/INDEX(TABLAS!$D$52:$D$58,MIN(MATCH(DATOS!$C$112,TABLAS!$B$52:$B$58,0)+3,7)),1))&lt;=MIN(99,INT((CB20+MAX(DATOS!$C$32,INDEX(TABLAS!$C$52:$C$58,MIN(MATCH(DATOS!$C$112,TABLAS!$B$52:$B$58,0)+3,7))))/(INDEX(TABLAS!$C$52:$C$58,MIN(MATCH(DATOS!$C$112,TABLAS!$B$52:$B$58,0)+3,7))+MAX(DATOS!$C$32,INDEX(TABLAS!$C$52:$C$58,MIN(MATCH(DATOS!$C$112,TABLAS!$B$52:$B$58,0)+3,7))))))),INDEX(TABLAS!$B$52:$B$58,MIN(MATCH(DATOS!$C$112,TABLAS!$B$52:$B$58,0)+3,7)),IF(AND(AY20&gt;=0,MAX(DATOS!$C$114,CEILING(AY20/INDEX(TABLAS!$D$52:$D$58,MIN(MATCH(DATOS!$C$112,TABLAS!$B$52:$B$58,0)+4,7)),1))&lt;=MIN(99,INT((CB20+MAX(DATOS!$C$32,INDEX(TABLAS!$C$52:$C$58,MIN(MATCH(DATOS!$C$112,TABLAS!$B$52:$B$58,0)+4,7))))/(INDEX(TABLAS!$C$52:$C$58,MIN(MATCH(DATOS!$C$112,TABLAS!$B$52:$B$58,0)+4,7))+MAX(DATOS!$C$32,INDEX(TABLAS!$C$52:$C$58,MIN(MATCH(DATOS!$C$112,TABLAS!$B$52:$B$58,0)+4,7))))))),INDEX(TABLAS!$B$52:$B$58,MIN(MATCH(DATOS!$C$112,TABLAS!$B$52:$B$58,0)+4,7)),INDEX(TABLAS!$B$52:$B$58,7)))))))</f>
        <v>4</v>
      </c>
      <c r="BA20" s="56">
        <f>IF(OR(L20="BORDE DE VOLADO",L20="SIN APOYO"),0,IF(AY20&lt;0,0,MAX(DATOS!$C$114,CEILING(AY20/INDEX(TABLAS!$D$52:$D$58,MATCH(IF(AZ20=0,8,AZ20),TABLAS!$B$52:$B$58,0)),1))))</f>
        <v>3</v>
      </c>
      <c r="BB20" s="36">
        <f>IF(BA20=0,0,DATOS!$C$58*BA20*INDEX(TABLAS!$D$52:$D$58,MATCH(AZ20,TABLAS!$B$52:$B$58,0))*DATOS!$C$40*((O20-DATOS!$C$22-INDEX(TABLAS!$C$52:$C$58,MATCH(DATOS!$C$113,TABLAS!$B$52:$B$58,0))-INDEX(TABLAS!$C$52:$C$58,MATCH(AZ20,TABLAS!$B$52:$B$58,0))/2)-BA20*INDEX(TABLAS!$D$52:$D$58,MATCH(AZ20,TABLAS!$B$52:$B$58,0))*DATOS!$C$40/(DATOS!$C$48*N20)/2)/1E5)</f>
        <v>5.40534287752941</v>
      </c>
      <c r="BC20" s="62">
        <f>IF(AY20&lt;0,9.99,IF(BB20&gt;0,AN20/BB20,0))</f>
        <v>0.78014496605045</v>
      </c>
      <c r="BD20" s="63">
        <f>IF(BA20=0,"—",0.003*((O20-DATOS!$C$22-INDEX(TABLAS!$C$52:$C$58,MATCH(DATOS!$C$113,TABLAS!$B$52:$B$58,0))-INDEX(TABLAS!$C$52:$C$58,MATCH(AZ20,TABLAS!$B$52:$B$58,0))/2)-(BA20*INDEX(TABLAS!$D$52:$D$58,MATCH(AZ20,TABLAS!$B$52:$B$58,0))*DATOS!$C$40/(DATOS!$C$48*N20)/DATOS!$C$49))/(BA20*INDEX(TABLAS!$D$52:$D$58,MATCH(AZ20,TABLAS!$B$52:$B$58,0))*DATOS!$C$40/(DATOS!$C$48*N20)/DATOS!$C$49))</f>
        <v>0.0236941671353581</v>
      </c>
      <c r="BE20" s="36">
        <f>IF(BA20=0,0,DATOS!$C$59*MIN(1.25,MAX(0.5,2*MAX(1E-6,MIN(AU20*INDEX(TABLAS!$D$52:$D$58,MATCH(MAX(AS20,2),TABLAS!$B$52:$B$58,0)),BA20*INDEX(TABLAS!$D$52:$D$58,MATCH(MAX(AZ20,2),TABLAS!$B$52:$B$58,0)))/(N20*AQ20))^(1/3)))*SQRT(DATOS!$C$39)*N20*AQ20/1000)</f>
        <v>4.67404402408263</v>
      </c>
      <c r="BF20" s="57">
        <f>IF(AO20=0,0,FLOOR(MIN(IF(AO20&gt;BE20,DATOS!$C$59*2*INDEX(TABLAS!$D$52:$D$58,MATCH(DATOS!$C$113,TABLAS!$B$52:$B$58,0))*DATOS!$C$42*AQ20/((AO20-BE20)*1000),999),IF(MAX(0,AO20-BE20)/DATOS!$C$59&lt;=1.1*SQRT(DATOS!$C$39)*N20*AQ20/1000,MIN(AQ20/2,60),MIN(AQ20/4,30)),2*INDEX(TABLAS!$D$52:$D$58,MATCH(DATOS!$C$113,TABLAS!$B$52:$B$58,0))*DATOS!$C$42/(MAX(0.2*SQRT(DATOS!$C$39),3.5)*N20),MIN(16*INDEX(TABLAS!$C$52:$C$58,MATCH(MIN(MAX(AS20,2),MAX(AZ20,2)),TABLAS!$B$52:$B$58,0)),48*INDEX(TABLAS!$C$52:$C$58,MATCH(DATOS!$C$113,TABLAS!$B$52:$B$58,0))),DATOS!$C$115),0.5))</f>
        <v>19.5</v>
      </c>
      <c r="BG20" s="57">
        <f>BF20</f>
        <v>19.5</v>
      </c>
      <c r="BH20" s="51" t="str">
        <f>IF(AO20=0,"—",IF(AO20&gt;DATOS!$C$59*(BE20/DATOS!$C$59+2.2*SQRT(DATOS!$C$39)*N20*AQ20/1000),"SECCIÓN INSUFICIENTE","E No. "&amp;TEXT(DATOS!$C$113,"0")&amp;IF(BG20&lt;BF20," @ "&amp;TEXT(BG20,"0.0")&amp;" en 2h y"," @")&amp;" "&amp;TEXT(BF20,"0.0")&amp;" cm"))</f>
        <v>E No. 3 @ 19.5 cm</v>
      </c>
      <c r="BI20" s="56">
        <f>N20+2*MIN(8*DATOS!$C$14,DATOS!$C$11/2,G20*100/8)</f>
        <v>80</v>
      </c>
      <c r="BJ20" s="71">
        <f>BI20*DATOS!$C$14^3/12+BI20*DATOS!$C$14*(((BI20*DATOS!$C$14^2/2+N20*(O20-DATOS!$C$14)*(DATOS!$C$14+(O20-DATOS!$C$14)/2))/(BI20*DATOS!$C$14+N20*(O20-DATOS!$C$14)))-DATOS!$C$14/2)^2+N20*(O20-DATOS!$C$14)^3/12+N20*(O20-DATOS!$C$14)*(DATOS!$C$14+(O20-DATOS!$C$14)/2-((BI20*DATOS!$C$14^2/2+N20*(O20-DATOS!$C$14)*(DATOS!$C$14+(O20-DATOS!$C$14)/2))/(BI20*DATOS!$C$14+N20*(O20-DATOS!$C$14))))^2</f>
        <v>242500</v>
      </c>
      <c r="BK20" s="43">
        <f>O20-DATOS!$C$22-INDEX(TABLAS!$C$52:$C$58,MATCH(DATOS!$C$113,TABLAS!$B$52:$B$58,0))-INDEX(TABLAS!$C$52:$C$58,MATCH(MAX(IF(L20="VOLADO",AZ20,AS20),2),TABLAS!$B$52:$B$58,0))/2</f>
        <v>39.255</v>
      </c>
      <c r="BL20" s="43">
        <f>DATOS!$C$46/DATOS!$C$45*IF(L20="VOLADO",BA20*INDEX(TABLAS!$D$52:$D$58,MATCH(MAX(AZ20,2),TABLAS!$B$52:$B$58,0)),AU20*INDEX(TABLAS!$D$52:$D$58,MATCH(MAX(AS20,2),TABLAS!$B$52:$B$58,0)))</f>
        <v>53.6683694325719</v>
      </c>
      <c r="BM20" s="43">
        <f>IF(BL20&lt;=0,0,(SQRT(2*(BL20/(IF(L20="VOLADO",N20,BI20)*BK20))+(BL20/(IF(L20="VOLADO",N20,BI20)*BK20))^2)-(BL20/(IF(L20="VOLADO",N20,BI20)*BK20)))*BK20)</f>
        <v>6.61741280105174</v>
      </c>
      <c r="BN20" s="71">
        <f>IF(AND(L20&lt;&gt;"VOLADO",BM20&gt;DATOS!$C$14),(BI20*DATOS!$C$14^3/12+BI20*DATOS!$C$14*(((-((BI20-N20)*DATOS!$C$14+BL20)+SQRT(((BI20-N20)*DATOS!$C$14+BL20)^2+2*N20*((BI20-N20)*DATOS!$C$14^2/2+BL20*BK20)))/N20)-DATOS!$C$14/2)^2+N20*(((-((BI20-N20)*DATOS!$C$14+BL20)+SQRT(((BI20-N20)*DATOS!$C$14+BL20)^2+2*N20*((BI20-N20)*DATOS!$C$14^2/2+BL20*BK20)))/N20)-DATOS!$C$14)^3/3+BL20*(BK20-((-((BI20-N20)*DATOS!$C$14+BL20)+SQRT(((BI20-N20)*DATOS!$C$14+BL20)^2+2*N20*((BI20-N20)*DATOS!$C$14^2/2+BL20*BK20)))/N20))^2),(IF(L20="VOLADO",N20,BI20)*BM20^3/3+BL20*(BK20-BM20)^2))</f>
        <v>64798.3280153154</v>
      </c>
      <c r="BO20" s="71">
        <f>IF(AP20&lt;=0,BJ20,IF((AP20*1E5)&lt;=2/3*(DATOS!$C$47*BJ20/IF(L20="VOLADO",((BI20*DATOS!$C$14^2/2+N20*(O20-DATOS!$C$14)*(DATOS!$C$14+(O20-DATOS!$C$14)/2))/(BI20*DATOS!$C$14+N20*(O20-DATOS!$C$14))),O20-((BI20*DATOS!$C$14^2/2+N20*(O20-DATOS!$C$14)*(DATOS!$C$14+(O20-DATOS!$C$14)/2))/(BI20*DATOS!$C$14+N20*(O20-DATOS!$C$14))))),BJ20,IF(BL20&lt;=0,0,BN20/(1-(2/3*(DATOS!$C$47*BJ20/IF(L20="VOLADO",((BI20*DATOS!$C$14^2/2+N20*(O20-DATOS!$C$14)*(DATOS!$C$14+(O20-DATOS!$C$14)/2))/(BI20*DATOS!$C$14+N20*(O20-DATOS!$C$14))),O20-((BI20*DATOS!$C$14^2/2+N20*(O20-DATOS!$C$14)*(DATOS!$C$14+(O20-DATOS!$C$14)/2))/(BI20*DATOS!$C$14+N20*(O20-DATOS!$C$14)))))/(AP20*1E5))^2*(1-BN20/BJ20)))))</f>
        <v>72904.7547015931</v>
      </c>
      <c r="BP20" s="62">
        <f>IF(OR(L20="APOYADA",L20="VOLADO"),(IF(L20="VOLADO",(AP20-AH20)/4+AH20/3,5/48*AP20)*1E5*(G20*100)^2/(DATOS!$C$45*MAX(BO20,1)))*(1+2/(1+50*IF(L20="VOLADO",AU20*INDEX(TABLAS!$D$52:$D$58,MATCH(MAX(AS20,2),TABLAS!$B$52:$B$58,0)),DATOS!$C$114*INDEX(TABLAS!$D$52:$D$58,MATCH(MAX(AZ20,2),TABLAS!$B$52:$B$58,0)))/(N20*BK20))*((AA20+AC20)/MAX(AA20+AB20,1E-6))),0)</f>
        <v>0.933161765633293</v>
      </c>
      <c r="BQ20" s="43">
        <f>IF(S20&gt;0,0.3+G20*100/480,0.5+G20*100/240)</f>
        <v>1.01395833333333</v>
      </c>
      <c r="BR20" s="43">
        <f>IF(S20&gt;0,(T20+U20)*G20+AG20,0)</f>
        <v>8.27570440969388</v>
      </c>
      <c r="BS20" s="43">
        <f>IF(S20&gt;0,(DATOS!$C$51*DATOS!$C$103*100*(G20*100)^3/(DATOS!$C$45*BJ20*((BR20*1000/(DATOS!$C$103*100*S20*100)*DATOS!$C$103*100*(MIN(1,S20/G20)^4-4*MIN(1,S20/G20)^3+8*MIN(1,S20/G20)))/((BR20*1000/(DATOS!$C$103*100*S20*100)*DATOS!$C$103*100*(MIN(1,S20/G20)^4-4*MIN(1,S20/G20)^3+8*MIN(1,S20/G20)))+5*((R20+X20+Y20+IF(L20="APOYADA",8*(TRANSFER!$H$9)/G20^2,0))*10)))))^0.25,0)</f>
        <v>5.37248086724039</v>
      </c>
      <c r="BT20" s="57">
        <f>IF(S20&gt;0,MAX(1,IF(MIN(1,S20/G20)&gt;=1,(1.6*BS20-3.9),IF(MIN(1,S20/G20)&lt;0.9,((3.2*BS20-7.8)*1),((3.2*BS20-7.8)*1)+((1.6*BS20-3.9)-((3.2*BS20-7.8)*1))*(MIN(1,S20/G20)-0.9)/0.1)))*BR20*1000/(DATOS!$C$103*100*S20*100),0)</f>
        <v>7.56005341282395</v>
      </c>
      <c r="BU20" s="65" t="str">
        <f>IF(S20=0,"—",IF(DATOS!$C$105/S20&lt;0.6,"REVISAR: H/L &lt; 0.6, interacción muro-viga",IF(BT20&lt;=DATOS!$C$60*DATOS!$C$50,"CUMPLE","NO CUMPLE f_CM &gt; F_R·f'm")))</f>
        <v>CUMPLE</v>
      </c>
      <c r="BV20" s="57">
        <f>IF(S20&gt;0,MAX(25,IF(BJ20&gt;=(G20*100)^3/1600,0,MIN(G20*100/14,(12*(G20*100)^3/1600/N20)^(1/3)))),IF(L20="APOYADA",MAX(25,G20*100/16),IF(L20="VOLADO",MAX(25,G20*100/8),0)))</f>
        <v>25</v>
      </c>
      <c r="BW20" s="57">
        <f>IF(S20&gt;0,IF(BJ20&gt;=(5/4*(G20*100)^3/DATOS!$C$45*((((S20*DATOS!$C$107+(((SUMIFS(TRIB!$I$6:$I$255,TRIB!$B$6:$B$255,"DM-86")-SUMIFS(TRIB!$L$6:$L$255,TRIB!$B$6:$B$255,"DM-86"))*1.0+(SUMIFS(TRIB!$I$6:$I$255,TRIB!$B$6:$B$255,"DM-87")-SUMIFS(TRIB!$L$6:$L$255,TRIB!$B$6:$B$255,"DM-87"))*1.0+(SUMIFS(TRIB!$I$6:$I$255,TRIB!$B$6:$B$255,"DM-88")-SUMIFS(TRIB!$L$6:$L$255,TRIB!$B$6:$B$255,"DM-88"))*1.0)/G20+(SUMIFS(TRIB!$M$6:$M$255,TRIB!$B$6:$B$255,"DM-86")*1.0+SUMIFS(TRIB!$M$6:$M$255,TRIB!$B$6:$B$255,"DM-87")*1.0+SUMIFS(TRIB!$M$6:$M$255,TRIB!$B$6:$B$255,"DM-88")*1.0)/G20)*G20+AG20/DATOS!$C$55)*1000)/(DATOS!$C$103*100*S20*100)*DATOS!$C$103*100*(MIN(1,S20/G20)^4-4*MIN(1,S20/G20)^3+8*MIN(1,S20/G20)))+5*((AA20-S20*DATOS!$C$107/G20-(((SUMIFS(TRIB!$I$6:$I$255,TRIB!$B$6:$B$255,"DM-86")-SUMIFS(TRIB!$L$6:$L$255,TRIB!$B$6:$B$255,"DM-86"))*1.0+(SUMIFS(TRIB!$I$6:$I$255,TRIB!$B$6:$B$255,"DM-87")-SUMIFS(TRIB!$L$6:$L$255,TRIB!$B$6:$B$255,"DM-87"))*1.0+(SUMIFS(TRIB!$I$6:$I$255,TRIB!$B$6:$B$255,"DM-88")-SUMIFS(TRIB!$L$6:$L$255,TRIB!$B$6:$B$255,"DM-88"))*1.0)/G20))*10))),0,MIN((G20*100/((1/15*DATOS!$C$45*N20/((((S20*DATOS!$C$107+(((SUMIFS(TRIB!$I$6:$I$255,TRIB!$B$6:$B$255,"DM-86")-SUMIFS(TRIB!$L$6:$L$255,TRIB!$B$6:$B$255,"DM-86"))*1.0+(SUMIFS(TRIB!$I$6:$I$255,TRIB!$B$6:$B$255,"DM-87")-SUMIFS(TRIB!$L$6:$L$255,TRIB!$B$6:$B$255,"DM-87"))*1.0+(SUMIFS(TRIB!$I$6:$I$255,TRIB!$B$6:$B$255,"DM-88")-SUMIFS(TRIB!$L$6:$L$255,TRIB!$B$6:$B$255,"DM-88"))*1.0)/G20+(SUMIFS(TRIB!$M$6:$M$255,TRIB!$B$6:$B$255,"DM-86")*1.0+SUMIFS(TRIB!$M$6:$M$255,TRIB!$B$6:$B$255,"DM-87")*1.0+SUMIFS(TRIB!$M$6:$M$255,TRIB!$B$6:$B$255,"DM-88")*1.0)/G20)*G20+AG20/DATOS!$C$55)*1000)/(DATOS!$C$103*100*S20*100)*DATOS!$C$103*100*(MIN(1,S20/G20)^4-4*MIN(1,S20/G20)^3+8*MIN(1,S20/G20)))+5*((AA20-S20*DATOS!$C$107/G20-(((SUMIFS(TRIB!$I$6:$I$255,TRIB!$B$6:$B$255,"DM-86")-SUMIFS(TRIB!$L$6:$L$255,TRIB!$B$6:$B$255,"DM-86"))*1.0+(SUMIFS(TRIB!$I$6:$I$255,TRIB!$B$6:$B$255,"DM-87")-SUMIFS(TRIB!$L$6:$L$255,TRIB!$B$6:$B$255,"DM-87"))*1.0+(SUMIFS(TRIB!$I$6:$I$255,TRIB!$B$6:$B$255,"DM-88")-SUMIFS(TRIB!$L$6:$L$255,TRIB!$B$6:$B$255,"DM-88"))*1.0)/G20))*10)))^(1/3))),(12*(5/4*(G20*100)^3/DATOS!$C$45*((((S20*DATOS!$C$107+(((SUMIFS(TRIB!$I$6:$I$255,TRIB!$B$6:$B$255,"DM-86")-SUMIFS(TRIB!$L$6:$L$255,TRIB!$B$6:$B$255,"DM-86"))*1.0+(SUMIFS(TRIB!$I$6:$I$255,TRIB!$B$6:$B$255,"DM-87")-SUMIFS(TRIB!$L$6:$L$255,TRIB!$B$6:$B$255,"DM-87"))*1.0+(SUMIFS(TRIB!$I$6:$I$255,TRIB!$B$6:$B$255,"DM-88")-SUMIFS(TRIB!$L$6:$L$255,TRIB!$B$6:$B$255,"DM-88"))*1.0)/G20+(SUMIFS(TRIB!$M$6:$M$255,TRIB!$B$6:$B$255,"DM-86")*1.0+SUMIFS(TRIB!$M$6:$M$255,TRIB!$B$6:$B$255,"DM-87")*1.0+SUMIFS(TRIB!$M$6:$M$255,TRIB!$B$6:$B$255,"DM-88")*1.0)/G20)*G20+AG20/DATOS!$C$55)*1000)/(DATOS!$C$103*100*S20*100)*DATOS!$C$103*100*(MIN(1,S20/G20)^4-4*MIN(1,S20/G20)^3+8*MIN(1,S20/G20)))+5*((AA20-S20*DATOS!$C$107/G20-(((SUMIFS(TRIB!$I$6:$I$255,TRIB!$B$6:$B$255,"DM-86")-SUMIFS(TRIB!$L$6:$L$255,TRIB!$B$6:$B$255,"DM-86"))*1.0+(SUMIFS(TRIB!$I$6:$I$255,TRIB!$B$6:$B$255,"DM-87")-SUMIFS(TRIB!$L$6:$L$255,TRIB!$B$6:$B$255,"DM-87"))*1.0+(SUMIFS(TRIB!$I$6:$I$255,TRIB!$B$6:$B$255,"DM-88")-SUMIFS(TRIB!$L$6:$L$255,TRIB!$B$6:$B$255,"DM-88"))*1.0)/G20))*10)))/N20)^(1/3))),0)</f>
        <v>0</v>
      </c>
      <c r="BX20" s="57">
        <f>SQRT(MAX(AM20,AN20)*1E5/(DATOS!$C$58*N20*DATOS!$C$48*(DATOS!$C$82*DATOS!$C$40/DATOS!$C$48)*(1-(DATOS!$C$82*DATOS!$C$40/DATOS!$C$48)/2)))+(O20-AQ20)</f>
        <v>30.4217287858055</v>
      </c>
      <c r="BY20" s="59">
        <f>IF(OR(L20="BORDE DE VOLADO",L20="SIN APOYO"),0,CEILING(MAX(BV20,BW20,BX20,DATOS!$C$15),5))</f>
        <v>35</v>
      </c>
      <c r="BZ20" s="72" t="str">
        <f>IF(L20="BORDE DE VOLADO","BORDE DE VOLADO — armado de orilla",IF(L20="SIN APOYO","SIN APOYO — REVISAR",IF(AND(AW20&lt;=1,BC20&lt;=1,IF(AU20=0,TRUE,AU20&lt;=INT((CB20+DATOS!$C$32)/(INDEX(TABLAS!$C$52:$C$58,MATCH(MAX(AS20,2),TABLAS!$B$52:$B$58,0))+DATOS!$C$32))),IF(BA20=0,TRUE,BA20&lt;=INT((CB20+DATOS!$C$32)/(INDEX(TABLAS!$C$52:$C$58,MATCH(MAX(AZ20,2),TABLAS!$B$52:$B$58,0))+DATOS!$C$32))),AND(OR(NOT(ISNUMBER(AX20)),AX20&gt;=0.005),OR(NOT(ISNUMBER(BD20)),BD20&gt;=0.005)),BH20&lt;&gt;"SECCIÓN INSUFICIENTE",AND(O20&gt;=BV20,O20&gt;=BW20,O20/N20&lt;=6),BP20&lt;=BQ20,OR(S20=0,LEFT(BU20,6)&lt;&gt;"NO CUM")),IF(LEFT(BU20,7)="REVISAR","PENDIENTE: H/L &lt; 0.6, falta el análisis de interacción muro-viga (NTC-M 4.1.18.2.1, p. 44)","CUMPLE")&amp;IF(L20="VOLADO"," (en VOLADO)",""),"NO CUMPLE: "&amp;IF(OR(AR20&lt;0,AY20&lt;0),"sección insuficiente en flexión ",IF(OR(AW20&gt;1,BC20&gt;1),"flexión ",""))&amp;IF(NOT(AND(IF(AU20=0,TRUE,AU20&lt;=INT((CB20+DATOS!$C$32)/(INDEX(TABLAS!$C$52:$C$58,MATCH(MAX(AS20,2),TABLAS!$B$52:$B$58,0))+DATOS!$C$32))),IF(BA20=0,TRUE,BA20&lt;=INT((CB20+DATOS!$C$32)/(INDEX(TABLAS!$C$52:$C$58,MATCH(MAX(AZ20,2),TABLAS!$B$52:$B$58,0))+DATOS!$C$32))))),"no caben ","")&amp;IF(NOT(AND(OR(NOT(ISNUMBER(AX20)),AX20&gt;=0.005),OR(NOT(ISNUMBER(BD20)),BD20&gt;=0.005))),"ε_t ","")&amp;IF(BH20="SECCIÓN INSUFICIENTE","cortante ","")&amp;IF(NOT(AND(O20&gt;=BV20,O20&gt;=BW20,O20/N20&lt;=6)),"peralte ","")&amp;IF(NOT(BP20&lt;=BQ20),"flecha ","")&amp;IF(NOT(OR(S20=0,LEFT(BU20,6)&lt;&gt;"NO CUM")),"muro sobre viga ","")&amp;"→ h ≥ "&amp;TEXT(MAX(BY20,IF(BP20&gt;BQ20,MAX(O20+5,CEILING(O20*(BP20/BQ20)^(1/3),5)),0)),"0")&amp;" cm"&amp;IF(NOT(AND(IF(AU20=0,TRUE,AU20&lt;=INT((CB20+DATOS!$C$32)/(INDEX(TABLAS!$C$52:$C$58,MATCH(MAX(AS20,2),TABLAS!$B$52:$B$58,0))+DATOS!$C$32))),IF(BA20=0,TRUE,BA20&lt;=INT((CB20+DATOS!$C$32)/(INDEX(TABLAS!$C$52:$C$58,MATCH(MAX(AZ20,2),TABLAS!$B$52:$B$58,0))+DATOS!$C$32)))))," y b ≥ "&amp;TEXT(N20+5,"0")&amp;" cm","")&amp;" (verificar)")))</f>
        <v>CUMPLE</v>
      </c>
      <c r="CA20" s="65" t="inlineStr">
        <is>
          <t>Extremo j en castillo propuesto C8. Recibe a NP-18, NP-33 (por el muro de arriba). Muro de planta alta encima (3.43 m) con la azotea de DM-86, DM-87, DM-88: viga que soporta muro estructural (NTC-Mampostería 4.1.18): la flecha se calcula y el límite es 0.3 cm + L/480.</t>
        </is>
      </c>
      <c r="CB20" s="43">
        <f>N20-2*DATOS!$C$22-2*INDEX(TABLAS!$C$52:$C$58,MATCH(DATOS!$C$113,TABLAS!$B$52:$B$58,0))</f>
        <v>10.1</v>
      </c>
    </row>
    <row r="21" ht="30" customHeight="1">
      <c r="B21" s="60" t="inlineStr">
        <is>
          <t>NP-13</t>
        </is>
      </c>
      <c r="C21" s="52" t="inlineStr">
        <is>
          <t>N+3.00</t>
        </is>
      </c>
      <c r="D21" s="51" t="inlineStr">
        <is>
          <t>y = 15.846</t>
        </is>
      </c>
      <c r="E21" s="52" t="inlineStr">
        <is>
          <t>(5.422, 15.846)</t>
        </is>
      </c>
      <c r="F21" s="52" t="inlineStr">
        <is>
          <t>(8.850, 15.846)</t>
        </is>
      </c>
      <c r="G21" s="55" t="n">
        <v>3.428</v>
      </c>
      <c r="H21" s="52" t="inlineStr">
        <is>
          <t>PUNTA</t>
        </is>
      </c>
      <c r="I21" s="52" t="inlineStr">
        <is>
          <t>FIRME</t>
        </is>
      </c>
      <c r="J21" s="52" t="inlineStr">
        <is>
          <t>—</t>
        </is>
      </c>
      <c r="K21" s="52" t="inlineStr">
        <is>
          <t>—</t>
        </is>
      </c>
      <c r="L21" s="60" t="str">
        <f>IF(AND(OR(H21="FIRME",H21="NERVADURA",H21="PUNTA"),OR(I21="FIRME",I21="NERVADURA",I21="PUNTA")),"APOYADA",IF(OR(OR(H21="FIRME",H21="NERVADURA",H21="PUNTA"),OR(I21="FIRME",I21="NERVADURA",I21="PUNTA")),"VOLADO","SIN APOYO"))</f>
        <v>APOYADA</v>
      </c>
      <c r="M21" s="52" t="str">
        <f>IF(L21="VOLADO",IF(OR(H21="FIRME",H21="NERVADURA",H21="PUNTA"),"i","j"),"—")</f>
        <v>—</v>
      </c>
      <c r="N21" s="58" t="n">
        <v>20</v>
      </c>
      <c r="O21" s="58" t="n">
        <v>45</v>
      </c>
      <c r="P21" s="65" t="str">
        <f>IF(L21="BORDE DE VOLADO","—",IF(OR(N21&lt;&gt;DATOS!$C$17,O21&lt;&gt;DATOS!$C$15),"PERALTAR: trabe "&amp;TEXT(N21,"0")&amp;"×"&amp;TEXT(O21,"0")&amp;IF(O21&gt;DATOS!$C$15," (descuelga "&amp;TEXT(O21-DATOS!$C$15,"0")&amp;" cm)",""),"Queda en la losa (15×25)"))</f>
        <v>PERALTAR: trabe 20×45 (descuelga 20 cm)</v>
      </c>
      <c r="Q21" s="43">
        <f>SUMIFS(TRIB!$E$6:$E$255,TRIB!$B$6:$B$255,"NP-13")</f>
        <v>2.5065</v>
      </c>
      <c r="R21" s="36">
        <f>SUMIFS(TRIB!$G$6:$G$255,TRIB!$B$6:$B$255,"NP-13")/G21</f>
        <v>0.704036264972733</v>
      </c>
      <c r="S21" s="69" t="n">
        <v>3.428</v>
      </c>
      <c r="T21" s="36">
        <f>DATOS!$C$55*S21*DATOS!$C$107/G21</f>
        <v>1.233375</v>
      </c>
      <c r="U21" s="36">
        <f>(SUMIFS(TRIB!$G$6:$G$255,TRIB!$B$6:$B$255,"DM-89")*1.0+SUMIFS(TRIB!$G$6:$G$255,TRIB!$B$6:$B$255,"DM-90")*1.0+SUMIFS(TRIB!$G$6:$G$255,TRIB!$B$6:$B$255,"DM-91")*1.0)/G21</f>
        <v>1.10760508596671</v>
      </c>
      <c r="V21" s="61" t="n">
        <v>0</v>
      </c>
      <c r="W21" s="61" t="n">
        <v>0</v>
      </c>
      <c r="X21" s="36">
        <f>(DATOS!$C$55*V21+DATOS!$C$56*W21)/1000</f>
        <v>0</v>
      </c>
      <c r="Y21" s="36">
        <f>DATOS!$C$55*(N21/100*O21/100*DATOS!$C$43-N21/100*DATOS!$C$70/1000)</f>
        <v>0.219524897959184</v>
      </c>
      <c r="Z21" s="70">
        <f>R21+T21+U21+X21+Y21</f>
        <v>3.26454124889863</v>
      </c>
      <c r="AA21" s="36">
        <f>(SUMIFS(TRIB!$I$6:$I$255,TRIB!$B$6:$B$255,"NP-13")-SUMIFS(TRIB!$L$6:$L$255,TRIB!$B$6:$B$255,"NP-13"))/G21+S21*DATOS!$C$107/G21+((SUMIFS(TRIB!$I$6:$I$255,TRIB!$B$6:$B$255,"DM-89")-SUMIFS(TRIB!$L$6:$L$255,TRIB!$B$6:$B$255,"DM-89"))*1.0+(SUMIFS(TRIB!$I$6:$I$255,TRIB!$B$6:$B$255,"DM-90")-SUMIFS(TRIB!$L$6:$L$255,TRIB!$B$6:$B$255,"DM-90"))*1.0+(SUMIFS(TRIB!$I$6:$I$255,TRIB!$B$6:$B$255,"DM-91")-SUMIFS(TRIB!$L$6:$L$255,TRIB!$B$6:$B$255,"DM-91"))*1.0)/G21+V21/1000+Y21/DATOS!$C$55</f>
        <v>2.21203547734146</v>
      </c>
      <c r="AB21" s="36">
        <f>SUMIFS(TRIB!$L$6:$L$255,TRIB!$B$6:$B$255,"NP-13")/G21+(SUMIFS(TRIB!$L$6:$L$255,TRIB!$B$6:$B$255,"DM-89")*1.0+SUMIFS(TRIB!$L$6:$L$255,TRIB!$B$6:$B$255,"DM-90")*1.0+SUMIFS(TRIB!$L$6:$L$255,TRIB!$B$6:$B$255,"DM-91")*1.0)/G21+W21/1000</f>
        <v>0.259263418903151</v>
      </c>
      <c r="AC21" s="36">
        <f>SUMIFS(TRIB!$M$6:$M$255,TRIB!$B$6:$B$255,"NP-13")/G21+(SUMIFS(TRIB!$M$6:$M$255,TRIB!$B$6:$B$255,"DM-89")*1.0+SUMIFS(TRIB!$M$6:$M$255,TRIB!$B$6:$B$255,"DM-90")*1.0+SUMIFS(TRIB!$M$6:$M$255,TRIB!$B$6:$B$255,"DM-91")*1.0)/G21+W21/1000*DATOS!$C$91/DATOS!$C$89</f>
        <v>0.0765455075845974</v>
      </c>
      <c r="AD21" s="36">
        <f>TRANSFER!$F$14</f>
        <v>2.60484117537883</v>
      </c>
      <c r="AE21" s="36">
        <f>TRANSFER!$H$14</f>
        <v>0.920356952047501</v>
      </c>
      <c r="AF21" s="36">
        <f>TRANSFER!$I$14</f>
        <v>2.30089238011875</v>
      </c>
      <c r="AG21" s="36">
        <f>0</f>
        <v>0</v>
      </c>
      <c r="AH21" s="36">
        <f>TRANSFER!$N$14</f>
        <v>0.696225881419719</v>
      </c>
      <c r="AI21" s="36">
        <f>IF(L21="APOYADA",Z21*G21/2+TRANSFER!$J$14,IF(AND(L21="VOLADO",M21="i"),Z21*G21+AD21,0))</f>
        <v>7.896316080731</v>
      </c>
      <c r="AJ21" s="36">
        <f>IF(L21="APOYADA",Z21*G21/2+TRANSFER!$K$14,IF(AND(L21="VOLADO",M21="j"),Z21*G21+AD21,0))</f>
        <v>5.89937249587232</v>
      </c>
      <c r="AK21" s="36">
        <f>IF(L21="APOYADA",(AA21+AB21)*G21/2+TRANSFER!$O$14,IF(AND(L21="VOLADO",M21="i"),(AA21+AB21)*G21+TRANSFER!$M$14,0))</f>
        <v>5.97637101171256</v>
      </c>
      <c r="AL21" s="36">
        <f>IF(L21="APOYADA",(AA21+AB21)*G21/2+TRANSFER!$P$14,IF(AND(L21="VOLADO",M21="j"),(AA21+AB21)*G21+TRANSFER!$M$14,0))</f>
        <v>4.46573559528999</v>
      </c>
      <c r="AM21" s="70">
        <f>IF(L21="APOYADA",Z21*G21^2/8+AE21,0)</f>
        <v>5.7156350634722</v>
      </c>
      <c r="AN21" s="70">
        <f>IF(L21="APOYADA",DATOS!$C$64*AM21,IF(L21="VOLADO",Z21*G21^2/2+AE21,0))</f>
        <v>3.81232858733595</v>
      </c>
      <c r="AO21" s="70">
        <f>IF(L21="APOYADA",Z21*G21/2+AF21,IF(L21="VOLADO",Z21*G21+AF21,0))</f>
        <v>7.896316080731</v>
      </c>
      <c r="AP21" s="36">
        <f>IF(L21="APOYADA",(AA21+AB21)*G21^2/8+AH21,IF(L21="VOLADO",(AA21+AB21)*G21^2/2+AH21,0))</f>
        <v>4.32631188751564</v>
      </c>
      <c r="AQ21" s="43">
        <f>O21-DATOS!$C$22-INDEX(TABLAS!$C$52:$C$58,MATCH(DATOS!$C$113,TABLAS!$B$52:$B$58,0))-INDEX(TABLAS!$C$52:$C$58,MATCH(DATOS!$C$112,TABLAS!$B$52:$B$58,0))/2</f>
        <v>39.415</v>
      </c>
      <c r="AR21" s="43">
        <f>IF(OR(L21="BORDE DE VOLADO",L21="SIN APOYO"),0,IF(IF(AM21&lt;=0,0,IF((1-2*AM21*1E5/(DATOS!$C$58*N21*AQ21^2*DATOS!$C$48))&lt;0,-1,IF((1-SQRT((1-2*AM21*1E5/(DATOS!$C$58*N21*AQ21^2*DATOS!$C$48))))*DATOS!$C$48*N21*AQ21/DATOS!$C$40&gt;DATOS!$C$82*N21*AQ21,-1,(1-SQRT((1-2*AM21*1E5/(DATOS!$C$58*N21*AQ21^2*DATOS!$C$48))))*DATOS!$C$48*N21*AQ21/DATOS!$C$40)))&lt;0,-1,MAX(IF(AM21&lt;=0,0,IF((1-2*AM21*1E5/(DATOS!$C$58*N21*AQ21^2*DATOS!$C$48))&lt;0,-1,IF((1-SQRT((1-2*AM21*1E5/(DATOS!$C$58*N21*AQ21^2*DATOS!$C$48))))*DATOS!$C$48*N21*AQ21/DATOS!$C$40&gt;DATOS!$C$82*N21*AQ21,-1,(1-SQRT((1-2*AM21*1E5/(DATOS!$C$58*N21*AQ21^2*DATOS!$C$48))))*DATOS!$C$48*N21*AQ21/DATOS!$C$40))),MIN(DATOS!$C$83*N21*AQ21,4/3*IF(AM21&lt;=0,0,IF((1-2*AM21*1E5/(DATOS!$C$58*N21*AQ21^2*DATOS!$C$48))&lt;0,-1,IF((1-SQRT((1-2*AM21*1E5/(DATOS!$C$58*N21*AQ21^2*DATOS!$C$48))))*DATOS!$C$48*N21*AQ21/DATOS!$C$40&gt;DATOS!$C$82*N21*AQ21,-1,(1-SQRT((1-2*AM21*1E5/(DATOS!$C$58*N21*AQ21^2*DATOS!$C$48))))*DATOS!$C$48*N21*AQ21/DATOS!$C$40)))))))</f>
        <v>4.04100128070022</v>
      </c>
      <c r="AS21" s="41">
        <f>IF(AR21&lt;0,0,IF(AND(AR21&gt;=0,MAX(DATOS!$C$114,CEILING(AR21/INDEX(TABLAS!$D$52:$D$58,MIN(MATCH(DATOS!$C$112,TABLAS!$B$52:$B$58,0)+0,7)),1))&lt;=MIN(99,INT((CB21+MAX(DATOS!$C$32,INDEX(TABLAS!$C$52:$C$58,MIN(MATCH(DATOS!$C$112,TABLAS!$B$52:$B$58,0)+0,7))))/(INDEX(TABLAS!$C$52:$C$58,MIN(MATCH(DATOS!$C$112,TABLAS!$B$52:$B$58,0)+0,7))+MAX(DATOS!$C$32,INDEX(TABLAS!$C$52:$C$58,MIN(MATCH(DATOS!$C$112,TABLAS!$B$52:$B$58,0)+0,7))))))),INDEX(TABLAS!$B$52:$B$58,MIN(MATCH(DATOS!$C$112,TABLAS!$B$52:$B$58,0)+0,7)),IF(AND(AR21&gt;=0,MAX(DATOS!$C$114,CEILING(AR21/INDEX(TABLAS!$D$52:$D$58,MIN(MATCH(DATOS!$C$112,TABLAS!$B$52:$B$58,0)+1,7)),1))&lt;=MIN(99,INT((CB21+MAX(DATOS!$C$32,INDEX(TABLAS!$C$52:$C$58,MIN(MATCH(DATOS!$C$112,TABLAS!$B$52:$B$58,0)+1,7))))/(INDEX(TABLAS!$C$52:$C$58,MIN(MATCH(DATOS!$C$112,TABLAS!$B$52:$B$58,0)+1,7))+MAX(DATOS!$C$32,INDEX(TABLAS!$C$52:$C$58,MIN(MATCH(DATOS!$C$112,TABLAS!$B$52:$B$58,0)+1,7))))))),INDEX(TABLAS!$B$52:$B$58,MIN(MATCH(DATOS!$C$112,TABLAS!$B$52:$B$58,0)+1,7)),IF(AND(AR21&gt;=0,MAX(DATOS!$C$114,CEILING(AR21/INDEX(TABLAS!$D$52:$D$58,MIN(MATCH(DATOS!$C$112,TABLAS!$B$52:$B$58,0)+2,7)),1))&lt;=MIN(99,INT((CB21+MAX(DATOS!$C$32,INDEX(TABLAS!$C$52:$C$58,MIN(MATCH(DATOS!$C$112,TABLAS!$B$52:$B$58,0)+2,7))))/(INDEX(TABLAS!$C$52:$C$58,MIN(MATCH(DATOS!$C$112,TABLAS!$B$52:$B$58,0)+2,7))+MAX(DATOS!$C$32,INDEX(TABLAS!$C$52:$C$58,MIN(MATCH(DATOS!$C$112,TABLAS!$B$52:$B$58,0)+2,7))))))),INDEX(TABLAS!$B$52:$B$58,MIN(MATCH(DATOS!$C$112,TABLAS!$B$52:$B$58,0)+2,7)),IF(AND(AR21&gt;=0,MAX(DATOS!$C$114,CEILING(AR21/INDEX(TABLAS!$D$52:$D$58,MIN(MATCH(DATOS!$C$112,TABLAS!$B$52:$B$58,0)+3,7)),1))&lt;=MIN(99,INT((CB21+MAX(DATOS!$C$32,INDEX(TABLAS!$C$52:$C$58,MIN(MATCH(DATOS!$C$112,TABLAS!$B$52:$B$58,0)+3,7))))/(INDEX(TABLAS!$C$52:$C$58,MIN(MATCH(DATOS!$C$112,TABLAS!$B$52:$B$58,0)+3,7))+MAX(DATOS!$C$32,INDEX(TABLAS!$C$52:$C$58,MIN(MATCH(DATOS!$C$112,TABLAS!$B$52:$B$58,0)+3,7))))))),INDEX(TABLAS!$B$52:$B$58,MIN(MATCH(DATOS!$C$112,TABLAS!$B$52:$B$58,0)+3,7)),IF(AND(AR21&gt;=0,MAX(DATOS!$C$114,CEILING(AR21/INDEX(TABLAS!$D$52:$D$58,MIN(MATCH(DATOS!$C$112,TABLAS!$B$52:$B$58,0)+4,7)),1))&lt;=MIN(99,INT((CB21+MAX(DATOS!$C$32,INDEX(TABLAS!$C$52:$C$58,MIN(MATCH(DATOS!$C$112,TABLAS!$B$52:$B$58,0)+4,7))))/(INDEX(TABLAS!$C$52:$C$58,MIN(MATCH(DATOS!$C$112,TABLAS!$B$52:$B$58,0)+4,7))+MAX(DATOS!$C$32,INDEX(TABLAS!$C$52:$C$58,MIN(MATCH(DATOS!$C$112,TABLAS!$B$52:$B$58,0)+4,7))))))),INDEX(TABLAS!$B$52:$B$58,MIN(MATCH(DATOS!$C$112,TABLAS!$B$52:$B$58,0)+4,7)),INDEX(TABLAS!$B$52:$B$58,7)))))))</f>
        <v>5</v>
      </c>
      <c r="AT21" s="58" t="n">
        <v>0</v>
      </c>
      <c r="AU21" s="56">
        <f>IF(OR(L21="BORDE DE VOLADO",L21="SIN APOYO"),0,IF(AR21&lt;0,0,MAX(DATOS!$C$114,CEILING(AR21/INDEX(TABLAS!$D$52:$D$58,MATCH(IF(AS21=0,8,AS21),TABLAS!$B$52:$B$58,0)),1))+AT21))</f>
        <v>3</v>
      </c>
      <c r="AV21" s="36">
        <f>IF(AU21=0,0,DATOS!$C$58*AU21*INDEX(TABLAS!$D$52:$D$58,MATCH(AS21,TABLAS!$B$52:$B$58,0))*DATOS!$C$40*((O21-DATOS!$C$22-INDEX(TABLAS!$C$52:$C$58,MATCH(DATOS!$C$113,TABLAS!$B$52:$B$58,0))-INDEX(TABLAS!$C$52:$C$58,MATCH(AS21,TABLAS!$B$52:$B$58,0))/2)-AU21*INDEX(TABLAS!$D$52:$D$58,MATCH(AS21,TABLAS!$B$52:$B$58,0))*DATOS!$C$40/(DATOS!$C$48*N21)/2)/1E5)</f>
        <v>8.15498903223529</v>
      </c>
      <c r="AW21" s="62">
        <f>IF(AR21&lt;0,9.99,IF(AV21&gt;0,AM21/AV21,0))</f>
        <v>0.700875873760131</v>
      </c>
      <c r="AX21" s="63">
        <f>IF(AU21=0,"—",0.003*((O21-DATOS!$C$22-INDEX(TABLAS!$C$52:$C$58,MATCH(DATOS!$C$113,TABLAS!$B$52:$B$58,0))-INDEX(TABLAS!$C$52:$C$58,MATCH(AS21,TABLAS!$B$52:$B$58,0))/2)-(AU21*INDEX(TABLAS!$D$52:$D$58,MATCH(AS21,TABLAS!$B$52:$B$58,0))*DATOS!$C$40/(DATOS!$C$48*N21)/DATOS!$C$49))/(AU21*INDEX(TABLAS!$D$52:$D$58,MATCH(AS21,TABLAS!$B$52:$B$58,0))*DATOS!$C$40/(DATOS!$C$48*N21)/DATOS!$C$49))</f>
        <v>0.0140525117243867</v>
      </c>
      <c r="AY21" s="43">
        <f>IF(OR(L21="BORDE DE VOLADO",L21="SIN APOYO"),0,IF(IF(AN21&lt;=0,0,IF((1-2*AN21*1E5/(DATOS!$C$58*N21*AQ21^2*DATOS!$C$48))&lt;0,-1,IF((1-SQRT((1-2*AN21*1E5/(DATOS!$C$58*N21*AQ21^2*DATOS!$C$48))))*DATOS!$C$48*N21*AQ21/DATOS!$C$40&gt;DATOS!$C$82*N21*AQ21,-1,(1-SQRT((1-2*AN21*1E5/(DATOS!$C$58*N21*AQ21^2*DATOS!$C$48))))*DATOS!$C$48*N21*AQ21/DATOS!$C$40)))&lt;0,-1,MAX(IF(AN21&lt;=0,0,IF((1-2*AN21*1E5/(DATOS!$C$58*N21*AQ21^2*DATOS!$C$48))&lt;0,-1,IF((1-SQRT((1-2*AN21*1E5/(DATOS!$C$58*N21*AQ21^2*DATOS!$C$48))))*DATOS!$C$48*N21*AQ21/DATOS!$C$40&gt;DATOS!$C$82*N21*AQ21,-1,(1-SQRT((1-2*AN21*1E5/(DATOS!$C$58*N21*AQ21^2*DATOS!$C$48))))*DATOS!$C$48*N21*AQ21/DATOS!$C$40))),MIN(DATOS!$C$83*IF(L21="VOLADO",MIN(BI21,2*N21),N21)*AQ21,4/3*IF(AN21&lt;=0,0,IF((1-2*AN21*1E5/(DATOS!$C$58*N21*AQ21^2*DATOS!$C$48))&lt;0,-1,IF((1-SQRT((1-2*AN21*1E5/(DATOS!$C$58*N21*AQ21^2*DATOS!$C$48))))*DATOS!$C$48*N21*AQ21/DATOS!$C$40&gt;DATOS!$C$82*N21*AQ21,-1,(1-SQRT((1-2*AN21*1E5/(DATOS!$C$58*N21*AQ21^2*DATOS!$C$48))))*DATOS!$C$48*N21*AQ21/DATOS!$C$40)))))))</f>
        <v>2.64661515024002</v>
      </c>
      <c r="AZ21" s="41">
        <f>IF(AY21&lt;0,0,IF(AND(AY21&gt;=0,MAX(DATOS!$C$114,CEILING(AY21/INDEX(TABLAS!$D$52:$D$58,MIN(MATCH(DATOS!$C$112,TABLAS!$B$52:$B$58,0)+0,7)),1))&lt;=MIN(99,INT((CB21+MAX(DATOS!$C$32,INDEX(TABLAS!$C$52:$C$58,MIN(MATCH(DATOS!$C$112,TABLAS!$B$52:$B$58,0)+0,7))))/(INDEX(TABLAS!$C$52:$C$58,MIN(MATCH(DATOS!$C$112,TABLAS!$B$52:$B$58,0)+0,7))+MAX(DATOS!$C$32,INDEX(TABLAS!$C$52:$C$58,MIN(MATCH(DATOS!$C$112,TABLAS!$B$52:$B$58,0)+0,7))))))),INDEX(TABLAS!$B$52:$B$58,MIN(MATCH(DATOS!$C$112,TABLAS!$B$52:$B$58,0)+0,7)),IF(AND(AY21&gt;=0,MAX(DATOS!$C$114,CEILING(AY21/INDEX(TABLAS!$D$52:$D$58,MIN(MATCH(DATOS!$C$112,TABLAS!$B$52:$B$58,0)+1,7)),1))&lt;=MIN(99,INT((CB21+MAX(DATOS!$C$32,INDEX(TABLAS!$C$52:$C$58,MIN(MATCH(DATOS!$C$112,TABLAS!$B$52:$B$58,0)+1,7))))/(INDEX(TABLAS!$C$52:$C$58,MIN(MATCH(DATOS!$C$112,TABLAS!$B$52:$B$58,0)+1,7))+MAX(DATOS!$C$32,INDEX(TABLAS!$C$52:$C$58,MIN(MATCH(DATOS!$C$112,TABLAS!$B$52:$B$58,0)+1,7))))))),INDEX(TABLAS!$B$52:$B$58,MIN(MATCH(DATOS!$C$112,TABLAS!$B$52:$B$58,0)+1,7)),IF(AND(AY21&gt;=0,MAX(DATOS!$C$114,CEILING(AY21/INDEX(TABLAS!$D$52:$D$58,MIN(MATCH(DATOS!$C$112,TABLAS!$B$52:$B$58,0)+2,7)),1))&lt;=MIN(99,INT((CB21+MAX(DATOS!$C$32,INDEX(TABLAS!$C$52:$C$58,MIN(MATCH(DATOS!$C$112,TABLAS!$B$52:$B$58,0)+2,7))))/(INDEX(TABLAS!$C$52:$C$58,MIN(MATCH(DATOS!$C$112,TABLAS!$B$52:$B$58,0)+2,7))+MAX(DATOS!$C$32,INDEX(TABLAS!$C$52:$C$58,MIN(MATCH(DATOS!$C$112,TABLAS!$B$52:$B$58,0)+2,7))))))),INDEX(TABLAS!$B$52:$B$58,MIN(MATCH(DATOS!$C$112,TABLAS!$B$52:$B$58,0)+2,7)),IF(AND(AY21&gt;=0,MAX(DATOS!$C$114,CEILING(AY21/INDEX(TABLAS!$D$52:$D$58,MIN(MATCH(DATOS!$C$112,TABLAS!$B$52:$B$58,0)+3,7)),1))&lt;=MIN(99,INT((CB21+MAX(DATOS!$C$32,INDEX(TABLAS!$C$52:$C$58,MIN(MATCH(DATOS!$C$112,TABLAS!$B$52:$B$58,0)+3,7))))/(INDEX(TABLAS!$C$52:$C$58,MIN(MATCH(DATOS!$C$112,TABLAS!$B$52:$B$58,0)+3,7))+MAX(DATOS!$C$32,INDEX(TABLAS!$C$52:$C$58,MIN(MATCH(DATOS!$C$112,TABLAS!$B$52:$B$58,0)+3,7))))))),INDEX(TABLAS!$B$52:$B$58,MIN(MATCH(DATOS!$C$112,TABLAS!$B$52:$B$58,0)+3,7)),IF(AND(AY21&gt;=0,MAX(DATOS!$C$114,CEILING(AY21/INDEX(TABLAS!$D$52:$D$58,MIN(MATCH(DATOS!$C$112,TABLAS!$B$52:$B$58,0)+4,7)),1))&lt;=MIN(99,INT((CB21+MAX(DATOS!$C$32,INDEX(TABLAS!$C$52:$C$58,MIN(MATCH(DATOS!$C$112,TABLAS!$B$52:$B$58,0)+4,7))))/(INDEX(TABLAS!$C$52:$C$58,MIN(MATCH(DATOS!$C$112,TABLAS!$B$52:$B$58,0)+4,7))+MAX(DATOS!$C$32,INDEX(TABLAS!$C$52:$C$58,MIN(MATCH(DATOS!$C$112,TABLAS!$B$52:$B$58,0)+4,7))))))),INDEX(TABLAS!$B$52:$B$58,MIN(MATCH(DATOS!$C$112,TABLAS!$B$52:$B$58,0)+4,7)),INDEX(TABLAS!$B$52:$B$58,7)))))))</f>
        <v>4</v>
      </c>
      <c r="BA21" s="56">
        <f>IF(OR(L21="BORDE DE VOLADO",L21="SIN APOYO"),0,IF(AY21&lt;0,0,MAX(DATOS!$C$114,CEILING(AY21/INDEX(TABLAS!$D$52:$D$58,MATCH(IF(AZ21=0,8,AZ21),TABLAS!$B$52:$B$58,0)),1))))</f>
        <v>3</v>
      </c>
      <c r="BB21" s="36">
        <f>IF(BA21=0,0,DATOS!$C$58*BA21*INDEX(TABLAS!$D$52:$D$58,MATCH(AZ21,TABLAS!$B$52:$B$58,0))*DATOS!$C$40*((O21-DATOS!$C$22-INDEX(TABLAS!$C$52:$C$58,MATCH(DATOS!$C$113,TABLAS!$B$52:$B$58,0))-INDEX(TABLAS!$C$52:$C$58,MATCH(AZ21,TABLAS!$B$52:$B$58,0))/2)-BA21*INDEX(TABLAS!$D$52:$D$58,MATCH(AZ21,TABLAS!$B$52:$B$58,0))*DATOS!$C$40/(DATOS!$C$48*N21)/2)/1E5)</f>
        <v>5.40534287752941</v>
      </c>
      <c r="BC21" s="62">
        <f>IF(AY21&lt;0,9.99,IF(BB21&gt;0,AN21/BB21,0))</f>
        <v>0.70528894719782</v>
      </c>
      <c r="BD21" s="63">
        <f>IF(BA21=0,"—",0.003*((O21-DATOS!$C$22-INDEX(TABLAS!$C$52:$C$58,MATCH(DATOS!$C$113,TABLAS!$B$52:$B$58,0))-INDEX(TABLAS!$C$52:$C$58,MATCH(AZ21,TABLAS!$B$52:$B$58,0))/2)-(BA21*INDEX(TABLAS!$D$52:$D$58,MATCH(AZ21,TABLAS!$B$52:$B$58,0))*DATOS!$C$40/(DATOS!$C$48*N21)/DATOS!$C$49))/(BA21*INDEX(TABLAS!$D$52:$D$58,MATCH(AZ21,TABLAS!$B$52:$B$58,0))*DATOS!$C$40/(DATOS!$C$48*N21)/DATOS!$C$49))</f>
        <v>0.0236941671353581</v>
      </c>
      <c r="BE21" s="36">
        <f>IF(BA21=0,0,DATOS!$C$59*MIN(1.25,MAX(0.5,2*MAX(1E-6,MIN(AU21*INDEX(TABLAS!$D$52:$D$58,MATCH(MAX(AS21,2),TABLAS!$B$52:$B$58,0)),BA21*INDEX(TABLAS!$D$52:$D$58,MATCH(MAX(AZ21,2),TABLAS!$B$52:$B$58,0)))/(N21*AQ21))^(1/3)))*SQRT(DATOS!$C$39)*N21*AQ21/1000)</f>
        <v>4.67404402408263</v>
      </c>
      <c r="BF21" s="57">
        <f>IF(AO21=0,0,FLOOR(MIN(IF(AO21&gt;BE21,DATOS!$C$59*2*INDEX(TABLAS!$D$52:$D$58,MATCH(DATOS!$C$113,TABLAS!$B$52:$B$58,0))*DATOS!$C$42*AQ21/((AO21-BE21)*1000),999),IF(MAX(0,AO21-BE21)/DATOS!$C$59&lt;=1.1*SQRT(DATOS!$C$39)*N21*AQ21/1000,MIN(AQ21/2,60),MIN(AQ21/4,30)),2*INDEX(TABLAS!$D$52:$D$58,MATCH(DATOS!$C$113,TABLAS!$B$52:$B$58,0))*DATOS!$C$42/(MAX(0.2*SQRT(DATOS!$C$39),3.5)*N21),MIN(16*INDEX(TABLAS!$C$52:$C$58,MATCH(MIN(MAX(AS21,2),MAX(AZ21,2)),TABLAS!$B$52:$B$58,0)),48*INDEX(TABLAS!$C$52:$C$58,MATCH(DATOS!$C$113,TABLAS!$B$52:$B$58,0))),DATOS!$C$115),0.5))</f>
        <v>19.5</v>
      </c>
      <c r="BG21" s="57">
        <f>BF21</f>
        <v>19.5</v>
      </c>
      <c r="BH21" s="51" t="str">
        <f>IF(AO21=0,"—",IF(AO21&gt;DATOS!$C$59*(BE21/DATOS!$C$59+2.2*SQRT(DATOS!$C$39)*N21*AQ21/1000),"SECCIÓN INSUFICIENTE","E No. "&amp;TEXT(DATOS!$C$113,"0")&amp;IF(BG21&lt;BF21," @ "&amp;TEXT(BG21,"0.0")&amp;" en 2h y"," @")&amp;" "&amp;TEXT(BF21,"0.0")&amp;" cm"))</f>
        <v>E No. 3 @ 19.5 cm</v>
      </c>
      <c r="BI21" s="56">
        <f>N21+2*MIN(8*DATOS!$C$14,DATOS!$C$11/2,G21*100/8)</f>
        <v>80</v>
      </c>
      <c r="BJ21" s="71">
        <f>BI21*DATOS!$C$14^3/12+BI21*DATOS!$C$14*(((BI21*DATOS!$C$14^2/2+N21*(O21-DATOS!$C$14)*(DATOS!$C$14+(O21-DATOS!$C$14)/2))/(BI21*DATOS!$C$14+N21*(O21-DATOS!$C$14)))-DATOS!$C$14/2)^2+N21*(O21-DATOS!$C$14)^3/12+N21*(O21-DATOS!$C$14)*(DATOS!$C$14+(O21-DATOS!$C$14)/2-((BI21*DATOS!$C$14^2/2+N21*(O21-DATOS!$C$14)*(DATOS!$C$14+(O21-DATOS!$C$14)/2))/(BI21*DATOS!$C$14+N21*(O21-DATOS!$C$14))))^2</f>
        <v>242500</v>
      </c>
      <c r="BK21" s="43">
        <f>O21-DATOS!$C$22-INDEX(TABLAS!$C$52:$C$58,MATCH(DATOS!$C$113,TABLAS!$B$52:$B$58,0))-INDEX(TABLAS!$C$52:$C$58,MATCH(MAX(IF(L21="VOLADO",AZ21,AS21),2),TABLAS!$B$52:$B$58,0))/2</f>
        <v>39.255</v>
      </c>
      <c r="BL21" s="43">
        <f>DATOS!$C$46/DATOS!$C$45*IF(L21="VOLADO",BA21*INDEX(TABLAS!$D$52:$D$58,MATCH(MAX(AZ21,2),TABLAS!$B$52:$B$58,0)),AU21*INDEX(TABLAS!$D$52:$D$58,MATCH(MAX(AS21,2),TABLAS!$B$52:$B$58,0)))</f>
        <v>53.6683694325719</v>
      </c>
      <c r="BM21" s="43">
        <f>IF(BL21&lt;=0,0,(SQRT(2*(BL21/(IF(L21="VOLADO",N21,BI21)*BK21))+(BL21/(IF(L21="VOLADO",N21,BI21)*BK21))^2)-(BL21/(IF(L21="VOLADO",N21,BI21)*BK21)))*BK21)</f>
        <v>6.61741280105174</v>
      </c>
      <c r="BN21" s="71">
        <f>IF(AND(L21&lt;&gt;"VOLADO",BM21&gt;DATOS!$C$14),(BI21*DATOS!$C$14^3/12+BI21*DATOS!$C$14*(((-((BI21-N21)*DATOS!$C$14+BL21)+SQRT(((BI21-N21)*DATOS!$C$14+BL21)^2+2*N21*((BI21-N21)*DATOS!$C$14^2/2+BL21*BK21)))/N21)-DATOS!$C$14/2)^2+N21*(((-((BI21-N21)*DATOS!$C$14+BL21)+SQRT(((BI21-N21)*DATOS!$C$14+BL21)^2+2*N21*((BI21-N21)*DATOS!$C$14^2/2+BL21*BK21)))/N21)-DATOS!$C$14)^3/3+BL21*(BK21-((-((BI21-N21)*DATOS!$C$14+BL21)+SQRT(((BI21-N21)*DATOS!$C$14+BL21)^2+2*N21*((BI21-N21)*DATOS!$C$14^2/2+BL21*BK21)))/N21))^2),(IF(L21="VOLADO",N21,BI21)*BM21^3/3+BL21*(BK21-BM21)^2))</f>
        <v>64798.3280153154</v>
      </c>
      <c r="BO21" s="71">
        <f>IF(AP21&lt;=0,BJ21,IF((AP21*1E5)&lt;=2/3*(DATOS!$C$47*BJ21/IF(L21="VOLADO",((BI21*DATOS!$C$14^2/2+N21*(O21-DATOS!$C$14)*(DATOS!$C$14+(O21-DATOS!$C$14)/2))/(BI21*DATOS!$C$14+N21*(O21-DATOS!$C$14))),O21-((BI21*DATOS!$C$14^2/2+N21*(O21-DATOS!$C$14)*(DATOS!$C$14+(O21-DATOS!$C$14)/2))/(BI21*DATOS!$C$14+N21*(O21-DATOS!$C$14))))),BJ21,IF(BL21&lt;=0,0,BN21/(1-(2/3*(DATOS!$C$47*BJ21/IF(L21="VOLADO",((BI21*DATOS!$C$14^2/2+N21*(O21-DATOS!$C$14)*(DATOS!$C$14+(O21-DATOS!$C$14)/2))/(BI21*DATOS!$C$14+N21*(O21-DATOS!$C$14))),O21-((BI21*DATOS!$C$14^2/2+N21*(O21-DATOS!$C$14)*(DATOS!$C$14+(O21-DATOS!$C$14)/2))/(BI21*DATOS!$C$14+N21*(O21-DATOS!$C$14)))))/(AP21*1E5))^2*(1-BN21/BJ21)))))</f>
        <v>74937.9431275392</v>
      </c>
      <c r="BP21" s="62">
        <f>IF(OR(L21="APOYADA",L21="VOLADO"),(IF(L21="VOLADO",(AP21-AH21)/4+AH21/3,5/48*AP21)*1E5*(G21*100)^2/(DATOS!$C$45*MAX(BO21,1)))*(1+2/(1+50*IF(L21="VOLADO",AU21*INDEX(TABLAS!$D$52:$D$58,MATCH(MAX(AS21,2),TABLAS!$B$52:$B$58,0)),DATOS!$C$114*INDEX(TABLAS!$D$52:$D$58,MATCH(MAX(AZ21,2),TABLAS!$B$52:$B$58,0)))/(N21*BK21))*((AA21+AC21)/MAX(AA21+AB21,1E-6))),0)</f>
        <v>0.828206155632527</v>
      </c>
      <c r="BQ21" s="43">
        <f>IF(S21&gt;0,0.3+G21*100/480,0.5+G21*100/240)</f>
        <v>1.01416666666667</v>
      </c>
      <c r="BR21" s="43">
        <f>IF(S21&gt;0,(T21+U21)*G21+AG21,0)</f>
        <v>8.02487973469388</v>
      </c>
      <c r="BS21" s="43">
        <f>IF(S21&gt;0,(DATOS!$C$51*DATOS!$C$103*100*(G21*100)^3/(DATOS!$C$45*BJ21*((BR21*1000/(DATOS!$C$103*100*S21*100)*DATOS!$C$103*100*(MIN(1,S21/G21)^4-4*MIN(1,S21/G21)^3+8*MIN(1,S21/G21)))/((BR21*1000/(DATOS!$C$103*100*S21*100)*DATOS!$C$103*100*(MIN(1,S21/G21)^4-4*MIN(1,S21/G21)^3+8*MIN(1,S21/G21)))+5*((R21+X21+Y21+IF(L21="APOYADA",8*(TRANSFER!$H$14)/G21^2,0))*10)))))^0.25,0)</f>
        <v>5.23039827552661</v>
      </c>
      <c r="BT21" s="57">
        <f>IF(S21&gt;0,MAX(1,IF(MIN(1,S21/G21)&gt;=1,(1.6*BS21-3.9),IF(MIN(1,S21/G21)&lt;0.9,((3.2*BS21-7.8)*1),((3.2*BS21-7.8)*1)+((1.6*BS21-3.9)-((3.2*BS21-7.8)*1))*(MIN(1,S21/G21)-0.9)/0.1)))*BR21*1000/(DATOS!$C$103*100*S21*100),0)</f>
        <v>6.97399386148112</v>
      </c>
      <c r="BU21" s="65" t="str">
        <f>IF(S21=0,"—",IF(DATOS!$C$105/S21&lt;0.6,"REVISAR: H/L &lt; 0.6, interacción muro-viga",IF(BT21&lt;=DATOS!$C$60*DATOS!$C$50,"CUMPLE","NO CUMPLE f_CM &gt; F_R·f'm")))</f>
        <v>CUMPLE</v>
      </c>
      <c r="BV21" s="57">
        <f>IF(S21&gt;0,MAX(25,IF(BJ21&gt;=(G21*100)^3/1600,0,MIN(G21*100/14,(12*(G21*100)^3/1600/N21)^(1/3)))),IF(L21="APOYADA",MAX(25,G21*100/16),IF(L21="VOLADO",MAX(25,G21*100/8),0)))</f>
        <v>25</v>
      </c>
      <c r="BW21" s="57">
        <f>IF(S21&gt;0,IF(BJ21&gt;=(5/4*(G21*100)^3/DATOS!$C$45*((((S21*DATOS!$C$107+(((SUMIFS(TRIB!$I$6:$I$255,TRIB!$B$6:$B$255,"DM-89")-SUMIFS(TRIB!$L$6:$L$255,TRIB!$B$6:$B$255,"DM-89"))*1.0+(SUMIFS(TRIB!$I$6:$I$255,TRIB!$B$6:$B$255,"DM-90")-SUMIFS(TRIB!$L$6:$L$255,TRIB!$B$6:$B$255,"DM-90"))*1.0+(SUMIFS(TRIB!$I$6:$I$255,TRIB!$B$6:$B$255,"DM-91")-SUMIFS(TRIB!$L$6:$L$255,TRIB!$B$6:$B$255,"DM-91"))*1.0)/G21+(SUMIFS(TRIB!$M$6:$M$255,TRIB!$B$6:$B$255,"DM-89")*1.0+SUMIFS(TRIB!$M$6:$M$255,TRIB!$B$6:$B$255,"DM-90")*1.0+SUMIFS(TRIB!$M$6:$M$255,TRIB!$B$6:$B$255,"DM-91")*1.0)/G21)*G21+AG21/DATOS!$C$55)*1000)/(DATOS!$C$103*100*S21*100)*DATOS!$C$103*100*(MIN(1,S21/G21)^4-4*MIN(1,S21/G21)^3+8*MIN(1,S21/G21)))+5*((AA21-S21*DATOS!$C$107/G21-(((SUMIFS(TRIB!$I$6:$I$255,TRIB!$B$6:$B$255,"DM-89")-SUMIFS(TRIB!$L$6:$L$255,TRIB!$B$6:$B$255,"DM-89"))*1.0+(SUMIFS(TRIB!$I$6:$I$255,TRIB!$B$6:$B$255,"DM-90")-SUMIFS(TRIB!$L$6:$L$255,TRIB!$B$6:$B$255,"DM-90"))*1.0+(SUMIFS(TRIB!$I$6:$I$255,TRIB!$B$6:$B$255,"DM-91")-SUMIFS(TRIB!$L$6:$L$255,TRIB!$B$6:$B$255,"DM-91"))*1.0)/G21))*10))),0,MIN((G21*100/((1/15*DATOS!$C$45*N21/((((S21*DATOS!$C$107+(((SUMIFS(TRIB!$I$6:$I$255,TRIB!$B$6:$B$255,"DM-89")-SUMIFS(TRIB!$L$6:$L$255,TRIB!$B$6:$B$255,"DM-89"))*1.0+(SUMIFS(TRIB!$I$6:$I$255,TRIB!$B$6:$B$255,"DM-90")-SUMIFS(TRIB!$L$6:$L$255,TRIB!$B$6:$B$255,"DM-90"))*1.0+(SUMIFS(TRIB!$I$6:$I$255,TRIB!$B$6:$B$255,"DM-91")-SUMIFS(TRIB!$L$6:$L$255,TRIB!$B$6:$B$255,"DM-91"))*1.0)/G21+(SUMIFS(TRIB!$M$6:$M$255,TRIB!$B$6:$B$255,"DM-89")*1.0+SUMIFS(TRIB!$M$6:$M$255,TRIB!$B$6:$B$255,"DM-90")*1.0+SUMIFS(TRIB!$M$6:$M$255,TRIB!$B$6:$B$255,"DM-91")*1.0)/G21)*G21+AG21/DATOS!$C$55)*1000)/(DATOS!$C$103*100*S21*100)*DATOS!$C$103*100*(MIN(1,S21/G21)^4-4*MIN(1,S21/G21)^3+8*MIN(1,S21/G21)))+5*((AA21-S21*DATOS!$C$107/G21-(((SUMIFS(TRIB!$I$6:$I$255,TRIB!$B$6:$B$255,"DM-89")-SUMIFS(TRIB!$L$6:$L$255,TRIB!$B$6:$B$255,"DM-89"))*1.0+(SUMIFS(TRIB!$I$6:$I$255,TRIB!$B$6:$B$255,"DM-90")-SUMIFS(TRIB!$L$6:$L$255,TRIB!$B$6:$B$255,"DM-90"))*1.0+(SUMIFS(TRIB!$I$6:$I$255,TRIB!$B$6:$B$255,"DM-91")-SUMIFS(TRIB!$L$6:$L$255,TRIB!$B$6:$B$255,"DM-91"))*1.0)/G21))*10)))^(1/3))),(12*(5/4*(G21*100)^3/DATOS!$C$45*((((S21*DATOS!$C$107+(((SUMIFS(TRIB!$I$6:$I$255,TRIB!$B$6:$B$255,"DM-89")-SUMIFS(TRIB!$L$6:$L$255,TRIB!$B$6:$B$255,"DM-89"))*1.0+(SUMIFS(TRIB!$I$6:$I$255,TRIB!$B$6:$B$255,"DM-90")-SUMIFS(TRIB!$L$6:$L$255,TRIB!$B$6:$B$255,"DM-90"))*1.0+(SUMIFS(TRIB!$I$6:$I$255,TRIB!$B$6:$B$255,"DM-91")-SUMIFS(TRIB!$L$6:$L$255,TRIB!$B$6:$B$255,"DM-91"))*1.0)/G21+(SUMIFS(TRIB!$M$6:$M$255,TRIB!$B$6:$B$255,"DM-89")*1.0+SUMIFS(TRIB!$M$6:$M$255,TRIB!$B$6:$B$255,"DM-90")*1.0+SUMIFS(TRIB!$M$6:$M$255,TRIB!$B$6:$B$255,"DM-91")*1.0)/G21)*G21+AG21/DATOS!$C$55)*1000)/(DATOS!$C$103*100*S21*100)*DATOS!$C$103*100*(MIN(1,S21/G21)^4-4*MIN(1,S21/G21)^3+8*MIN(1,S21/G21)))+5*((AA21-S21*DATOS!$C$107/G21-(((SUMIFS(TRIB!$I$6:$I$255,TRIB!$B$6:$B$255,"DM-89")-SUMIFS(TRIB!$L$6:$L$255,TRIB!$B$6:$B$255,"DM-89"))*1.0+(SUMIFS(TRIB!$I$6:$I$255,TRIB!$B$6:$B$255,"DM-90")-SUMIFS(TRIB!$L$6:$L$255,TRIB!$B$6:$B$255,"DM-90"))*1.0+(SUMIFS(TRIB!$I$6:$I$255,TRIB!$B$6:$B$255,"DM-91")-SUMIFS(TRIB!$L$6:$L$255,TRIB!$B$6:$B$255,"DM-91"))*1.0)/G21))*10)))/N21)^(1/3))),0)</f>
        <v>0</v>
      </c>
      <c r="BX21" s="57">
        <f>SQRT(MAX(AM21,AN21)*1E5/(DATOS!$C$58*N21*DATOS!$C$48*(DATOS!$C$82*DATOS!$C$40/DATOS!$C$48)*(1-(DATOS!$C$82*DATOS!$C$40/DATOS!$C$48)/2)))+(O21-AQ21)</f>
        <v>29.200126624033</v>
      </c>
      <c r="BY21" s="59">
        <f>IF(OR(L21="BORDE DE VOLADO",L21="SIN APOYO"),0,CEILING(MAX(BV21,BW21,BX21,DATOS!$C$15),5))</f>
        <v>30</v>
      </c>
      <c r="BZ21" s="72" t="str">
        <f>IF(L21="BORDE DE VOLADO","BORDE DE VOLADO — armado de orilla",IF(L21="SIN APOYO","SIN APOYO — REVISAR",IF(AND(AW21&lt;=1,BC21&lt;=1,IF(AU21=0,TRUE,AU21&lt;=INT((CB21+DATOS!$C$32)/(INDEX(TABLAS!$C$52:$C$58,MATCH(MAX(AS21,2),TABLAS!$B$52:$B$58,0))+DATOS!$C$32))),IF(BA21=0,TRUE,BA21&lt;=INT((CB21+DATOS!$C$32)/(INDEX(TABLAS!$C$52:$C$58,MATCH(MAX(AZ21,2),TABLAS!$B$52:$B$58,0))+DATOS!$C$32))),AND(OR(NOT(ISNUMBER(AX21)),AX21&gt;=0.005),OR(NOT(ISNUMBER(BD21)),BD21&gt;=0.005)),BH21&lt;&gt;"SECCIÓN INSUFICIENTE",AND(O21&gt;=BV21,O21&gt;=BW21,O21/N21&lt;=6),BP21&lt;=BQ21,OR(S21=0,LEFT(BU21,6)&lt;&gt;"NO CUM")),IF(LEFT(BU21,7)="REVISAR","PENDIENTE: H/L &lt; 0.6, falta el análisis de interacción muro-viga (NTC-M 4.1.18.2.1, p. 44)","CUMPLE")&amp;IF(L21="VOLADO"," (en VOLADO)",""),"NO CUMPLE: "&amp;IF(OR(AR21&lt;0,AY21&lt;0),"sección insuficiente en flexión ",IF(OR(AW21&gt;1,BC21&gt;1),"flexión ",""))&amp;IF(NOT(AND(IF(AU21=0,TRUE,AU21&lt;=INT((CB21+DATOS!$C$32)/(INDEX(TABLAS!$C$52:$C$58,MATCH(MAX(AS21,2),TABLAS!$B$52:$B$58,0))+DATOS!$C$32))),IF(BA21=0,TRUE,BA21&lt;=INT((CB21+DATOS!$C$32)/(INDEX(TABLAS!$C$52:$C$58,MATCH(MAX(AZ21,2),TABLAS!$B$52:$B$58,0))+DATOS!$C$32))))),"no caben ","")&amp;IF(NOT(AND(OR(NOT(ISNUMBER(AX21)),AX21&gt;=0.005),OR(NOT(ISNUMBER(BD21)),BD21&gt;=0.005))),"ε_t ","")&amp;IF(BH21="SECCIÓN INSUFICIENTE","cortante ","")&amp;IF(NOT(AND(O21&gt;=BV21,O21&gt;=BW21,O21/N21&lt;=6)),"peralte ","")&amp;IF(NOT(BP21&lt;=BQ21),"flecha ","")&amp;IF(NOT(OR(S21=0,LEFT(BU21,6)&lt;&gt;"NO CUM")),"muro sobre viga ","")&amp;"→ h ≥ "&amp;TEXT(MAX(BY21,IF(BP21&gt;BQ21,MAX(O21+5,CEILING(O21*(BP21/BQ21)^(1/3),5)),0)),"0")&amp;" cm"&amp;IF(NOT(AND(IF(AU21=0,TRUE,AU21&lt;=INT((CB21+DATOS!$C$32)/(INDEX(TABLAS!$C$52:$C$58,MATCH(MAX(AS21,2),TABLAS!$B$52:$B$58,0))+DATOS!$C$32))),IF(BA21=0,TRUE,BA21&lt;=INT((CB21+DATOS!$C$32)/(INDEX(TABLAS!$C$52:$C$58,MATCH(MAX(AZ21,2),TABLAS!$B$52:$B$58,0))+DATOS!$C$32)))))," y b ≥ "&amp;TEXT(N21+5,"0")&amp;" cm","")&amp;" (verificar)")))</f>
        <v>CUMPLE</v>
      </c>
      <c r="CA21" s="65" t="inlineStr">
        <is>
          <t>Extremo i se apoya en la punta del volado corto NP-27. Recibe a NP-28. Muro de planta alta encima (3.43 m) con la azotea de DM-89, DM-90, DM-91: viga que soporta muro estructural (NTC-Mampostería 4.1.18): la flecha se calcula y el límite es 0.3 cm + L/480.</t>
        </is>
      </c>
      <c r="CB21" s="43">
        <f>N21-2*DATOS!$C$22-2*INDEX(TABLAS!$C$52:$C$58,MATCH(DATOS!$C$113,TABLAS!$B$52:$B$58,0))</f>
        <v>10.1</v>
      </c>
    </row>
    <row r="22" ht="30" customHeight="1">
      <c r="B22" s="60" t="inlineStr">
        <is>
          <t>NP-14</t>
        </is>
      </c>
      <c r="C22" s="52" t="inlineStr">
        <is>
          <t>N+3.00</t>
        </is>
      </c>
      <c r="D22" s="51" t="inlineStr">
        <is>
          <t>Eje 12 (y = 17.446)</t>
        </is>
      </c>
      <c r="E22" s="52" t="inlineStr">
        <is>
          <t>(-2.000, 17.446)</t>
        </is>
      </c>
      <c r="F22" s="52" t="inlineStr">
        <is>
          <t>(0.000, 17.446)</t>
        </is>
      </c>
      <c r="G22" s="55" t="n">
        <v>2</v>
      </c>
      <c r="H22" s="52" t="inlineStr">
        <is>
          <t>LIBRE</t>
        </is>
      </c>
      <c r="I22" s="52" t="inlineStr">
        <is>
          <t>FIRME</t>
        </is>
      </c>
      <c r="J22" s="52" t="inlineStr">
        <is>
          <t>—</t>
        </is>
      </c>
      <c r="K22" s="52" t="inlineStr">
        <is>
          <t>—</t>
        </is>
      </c>
      <c r="L22" s="52" t="inlineStr">
        <is>
          <t>BORDE DE VOLADO</t>
        </is>
      </c>
      <c r="M22" s="52" t="str">
        <f>IF(L22="VOLADO",IF(OR(H22="FIRME",H22="NERVADURA",H22="PUNTA"),"i","j"),"—")</f>
        <v>—</v>
      </c>
      <c r="N22" s="58">
        <f>DATOS!$C$17</f>
        <v>15</v>
      </c>
      <c r="O22" s="58">
        <f>DATOS!$C$15</f>
        <v>25</v>
      </c>
      <c r="P22" s="65" t="str">
        <f>IF(L22="BORDE DE VOLADO","—",IF(OR(N22&lt;&gt;DATOS!$C$17,O22&lt;&gt;DATOS!$C$15),"PERALTAR: trabe "&amp;TEXT(N22,"0")&amp;"×"&amp;TEXT(O22,"0")&amp;IF(O22&gt;DATOS!$C$15," (descuelga "&amp;TEXT(O22-DATOS!$C$15,"0")&amp;" cm)",""),"Queda en la losa (15×25)"))</f>
        <v>—</v>
      </c>
      <c r="Q22" s="43">
        <f>SUMIFS(TRIB!$E$6:$E$255,TRIB!$B$6:$B$255,"NP-14")</f>
        <v>0</v>
      </c>
      <c r="R22" s="36">
        <f>SUMIFS(TRIB!$G$6:$G$255,TRIB!$B$6:$B$255,"NP-14")/G22</f>
        <v>0</v>
      </c>
      <c r="S22" s="69" t="n">
        <v>0</v>
      </c>
      <c r="T22" s="36">
        <f>DATOS!$C$55*S22*DATOS!$C$107/G22</f>
        <v>0</v>
      </c>
      <c r="U22" s="36">
        <f>0</f>
        <v>0</v>
      </c>
      <c r="V22" s="61" t="n">
        <v>333.7</v>
      </c>
      <c r="W22" s="61" t="n">
        <v>0</v>
      </c>
      <c r="X22" s="36">
        <f>(DATOS!$C$55*V22+DATOS!$C$56*W22)/1000</f>
        <v>0.43381</v>
      </c>
      <c r="Y22" s="36">
        <f>DATOS!$C$55*(N22/100*O22/100*DATOS!$C$43-N22/100*DATOS!$C$70/1000)</f>
        <v>0.0694836734693878</v>
      </c>
      <c r="Z22" s="70">
        <f>R22+T22+U22+X22+Y22</f>
        <v>0.503293673469388</v>
      </c>
      <c r="AA22" s="36">
        <f>(SUMIFS(TRIB!$I$6:$I$255,TRIB!$B$6:$B$255,"NP-14")-SUMIFS(TRIB!$L$6:$L$255,TRIB!$B$6:$B$255,"NP-14"))/G22+S22*DATOS!$C$107/G22+0+V22/1000+Y22/DATOS!$C$55</f>
        <v>0.387148979591837</v>
      </c>
      <c r="AB22" s="36">
        <f>SUMIFS(TRIB!$L$6:$L$255,TRIB!$B$6:$B$255,"NP-14")/G22+0+W22/1000</f>
        <v>0</v>
      </c>
      <c r="AC22" s="36">
        <f>SUMIFS(TRIB!$M$6:$M$255,TRIB!$B$6:$B$255,"NP-14")/G22+0+W22/1000*DATOS!$C$91/DATOS!$C$89</f>
        <v>0</v>
      </c>
      <c r="AD22" s="36">
        <f>0</f>
        <v>0</v>
      </c>
      <c r="AE22" s="36">
        <f>0</f>
        <v>0</v>
      </c>
      <c r="AF22" s="36">
        <f>0</f>
        <v>0</v>
      </c>
      <c r="AG22" s="36">
        <f>0</f>
        <v>0</v>
      </c>
      <c r="AH22" s="36">
        <f>0</f>
        <v>0</v>
      </c>
      <c r="AI22" s="36">
        <f>IF(L22="APOYADA",Z22*G22/2+0,IF(AND(L22="VOLADO",M22="i"),Z22*G22+AD22,0))</f>
        <v>0</v>
      </c>
      <c r="AJ22" s="36">
        <f>IF(L22="APOYADA",Z22*G22/2+0,IF(AND(L22="VOLADO",M22="j"),Z22*G22+AD22,0))</f>
        <v>0</v>
      </c>
      <c r="AK22" s="36">
        <f>IF(L22="APOYADA",(AA22+AB22)*G22/2+0,IF(AND(L22="VOLADO",M22="i"),(AA22+AB22)*G22+0,0))</f>
        <v>0</v>
      </c>
      <c r="AL22" s="36">
        <f>IF(L22="APOYADA",(AA22+AB22)*G22/2+0,IF(AND(L22="VOLADO",M22="j"),(AA22+AB22)*G22+0,0))</f>
        <v>0</v>
      </c>
      <c r="AM22" s="70">
        <f>IF(L22="APOYADA",Z22*G22^2/8+AE22,0)</f>
        <v>0</v>
      </c>
      <c r="AN22" s="70">
        <f>IF(L22="APOYADA",DATOS!$C$64*AM22,IF(L22="VOLADO",Z22*G22^2/2+AE22,0))</f>
        <v>0</v>
      </c>
      <c r="AO22" s="70">
        <f>IF(L22="APOYADA",Z22*G22/2+AF22,IF(L22="VOLADO",Z22*G22+AF22,0))</f>
        <v>0</v>
      </c>
      <c r="AP22" s="36">
        <f>IF(L22="APOYADA",(AA22+AB22)*G22^2/8+AH22,IF(L22="VOLADO",(AA22+AB22)*G22^2/2+AH22,0))</f>
        <v>0</v>
      </c>
      <c r="AQ22" s="43">
        <f>O22-DATOS!$C$22-INDEX(TABLAS!$C$52:$C$58,MATCH(DATOS!$C$113,TABLAS!$B$52:$B$58,0))-INDEX(TABLAS!$C$52:$C$58,MATCH(DATOS!$C$112,TABLAS!$B$52:$B$58,0))/2</f>
        <v>19.415</v>
      </c>
      <c r="AR22" s="43">
        <f>IF(OR(L22="BORDE DE VOLADO",L22="SIN APOYO"),0,IF(IF(AM22&lt;=0,0,IF((1-2*AM22*1E5/(DATOS!$C$58*N22*AQ22^2*DATOS!$C$48))&lt;0,-1,IF((1-SQRT((1-2*AM22*1E5/(DATOS!$C$58*N22*AQ22^2*DATOS!$C$48))))*DATOS!$C$48*N22*AQ22/DATOS!$C$40&gt;DATOS!$C$82*N22*AQ22,-1,(1-SQRT((1-2*AM22*1E5/(DATOS!$C$58*N22*AQ22^2*DATOS!$C$48))))*DATOS!$C$48*N22*AQ22/DATOS!$C$40)))&lt;0,-1,MAX(IF(AM22&lt;=0,0,IF((1-2*AM22*1E5/(DATOS!$C$58*N22*AQ22^2*DATOS!$C$48))&lt;0,-1,IF((1-SQRT((1-2*AM22*1E5/(DATOS!$C$58*N22*AQ22^2*DATOS!$C$48))))*DATOS!$C$48*N22*AQ22/DATOS!$C$40&gt;DATOS!$C$82*N22*AQ22,-1,(1-SQRT((1-2*AM22*1E5/(DATOS!$C$58*N22*AQ22^2*DATOS!$C$48))))*DATOS!$C$48*N22*AQ22/DATOS!$C$40))),MIN(DATOS!$C$83*N22*AQ22,4/3*IF(AM22&lt;=0,0,IF((1-2*AM22*1E5/(DATOS!$C$58*N22*AQ22^2*DATOS!$C$48))&lt;0,-1,IF((1-SQRT((1-2*AM22*1E5/(DATOS!$C$58*N22*AQ22^2*DATOS!$C$48))))*DATOS!$C$48*N22*AQ22/DATOS!$C$40&gt;DATOS!$C$82*N22*AQ22,-1,(1-SQRT((1-2*AM22*1E5/(DATOS!$C$58*N22*AQ22^2*DATOS!$C$48))))*DATOS!$C$48*N22*AQ22/DATOS!$C$40)))))))</f>
        <v>0</v>
      </c>
      <c r="AS22" s="41">
        <f>IF(AR22&lt;0,0,IF(AND(AR22&gt;=0,MAX(DATOS!$C$114,CEILING(AR22/INDEX(TABLAS!$D$52:$D$58,MIN(MATCH(DATOS!$C$112,TABLAS!$B$52:$B$58,0)+0,7)),1))&lt;=MIN(99,INT((CB22+MAX(DATOS!$C$32,INDEX(TABLAS!$C$52:$C$58,MIN(MATCH(DATOS!$C$112,TABLAS!$B$52:$B$58,0)+0,7))))/(INDEX(TABLAS!$C$52:$C$58,MIN(MATCH(DATOS!$C$112,TABLAS!$B$52:$B$58,0)+0,7))+MAX(DATOS!$C$32,INDEX(TABLAS!$C$52:$C$58,MIN(MATCH(DATOS!$C$112,TABLAS!$B$52:$B$58,0)+0,7))))))),INDEX(TABLAS!$B$52:$B$58,MIN(MATCH(DATOS!$C$112,TABLAS!$B$52:$B$58,0)+0,7)),IF(AND(AR22&gt;=0,MAX(DATOS!$C$114,CEILING(AR22/INDEX(TABLAS!$D$52:$D$58,MIN(MATCH(DATOS!$C$112,TABLAS!$B$52:$B$58,0)+1,7)),1))&lt;=MIN(99,INT((CB22+MAX(DATOS!$C$32,INDEX(TABLAS!$C$52:$C$58,MIN(MATCH(DATOS!$C$112,TABLAS!$B$52:$B$58,0)+1,7))))/(INDEX(TABLAS!$C$52:$C$58,MIN(MATCH(DATOS!$C$112,TABLAS!$B$52:$B$58,0)+1,7))+MAX(DATOS!$C$32,INDEX(TABLAS!$C$52:$C$58,MIN(MATCH(DATOS!$C$112,TABLAS!$B$52:$B$58,0)+1,7))))))),INDEX(TABLAS!$B$52:$B$58,MIN(MATCH(DATOS!$C$112,TABLAS!$B$52:$B$58,0)+1,7)),IF(AND(AR22&gt;=0,MAX(DATOS!$C$114,CEILING(AR22/INDEX(TABLAS!$D$52:$D$58,MIN(MATCH(DATOS!$C$112,TABLAS!$B$52:$B$58,0)+2,7)),1))&lt;=MIN(99,INT((CB22+MAX(DATOS!$C$32,INDEX(TABLAS!$C$52:$C$58,MIN(MATCH(DATOS!$C$112,TABLAS!$B$52:$B$58,0)+2,7))))/(INDEX(TABLAS!$C$52:$C$58,MIN(MATCH(DATOS!$C$112,TABLAS!$B$52:$B$58,0)+2,7))+MAX(DATOS!$C$32,INDEX(TABLAS!$C$52:$C$58,MIN(MATCH(DATOS!$C$112,TABLAS!$B$52:$B$58,0)+2,7))))))),INDEX(TABLAS!$B$52:$B$58,MIN(MATCH(DATOS!$C$112,TABLAS!$B$52:$B$58,0)+2,7)),IF(AND(AR22&gt;=0,MAX(DATOS!$C$114,CEILING(AR22/INDEX(TABLAS!$D$52:$D$58,MIN(MATCH(DATOS!$C$112,TABLAS!$B$52:$B$58,0)+3,7)),1))&lt;=MIN(99,INT((CB22+MAX(DATOS!$C$32,INDEX(TABLAS!$C$52:$C$58,MIN(MATCH(DATOS!$C$112,TABLAS!$B$52:$B$58,0)+3,7))))/(INDEX(TABLAS!$C$52:$C$58,MIN(MATCH(DATOS!$C$112,TABLAS!$B$52:$B$58,0)+3,7))+MAX(DATOS!$C$32,INDEX(TABLAS!$C$52:$C$58,MIN(MATCH(DATOS!$C$112,TABLAS!$B$52:$B$58,0)+3,7))))))),INDEX(TABLAS!$B$52:$B$58,MIN(MATCH(DATOS!$C$112,TABLAS!$B$52:$B$58,0)+3,7)),IF(AND(AR22&gt;=0,MAX(DATOS!$C$114,CEILING(AR22/INDEX(TABLAS!$D$52:$D$58,MIN(MATCH(DATOS!$C$112,TABLAS!$B$52:$B$58,0)+4,7)),1))&lt;=MIN(99,INT((CB22+MAX(DATOS!$C$32,INDEX(TABLAS!$C$52:$C$58,MIN(MATCH(DATOS!$C$112,TABLAS!$B$52:$B$58,0)+4,7))))/(INDEX(TABLAS!$C$52:$C$58,MIN(MATCH(DATOS!$C$112,TABLAS!$B$52:$B$58,0)+4,7))+MAX(DATOS!$C$32,INDEX(TABLAS!$C$52:$C$58,MIN(MATCH(DATOS!$C$112,TABLAS!$B$52:$B$58,0)+4,7))))))),INDEX(TABLAS!$B$52:$B$58,MIN(MATCH(DATOS!$C$112,TABLAS!$B$52:$B$58,0)+4,7)),INDEX(TABLAS!$B$52:$B$58,7)))))))</f>
        <v>4</v>
      </c>
      <c r="AT22" s="58" t="n">
        <v>0</v>
      </c>
      <c r="AU22" s="56">
        <f>IF(OR(L22="BORDE DE VOLADO",L22="SIN APOYO"),0,IF(AR22&lt;0,0,MAX(DATOS!$C$114,CEILING(AR22/INDEX(TABLAS!$D$52:$D$58,MATCH(IF(AS22=0,8,AS22),TABLAS!$B$52:$B$58,0)),1))+AT22))</f>
        <v>0</v>
      </c>
      <c r="AV22" s="36">
        <f>IF(AU22=0,0,DATOS!$C$58*AU22*INDEX(TABLAS!$D$52:$D$58,MATCH(AS22,TABLAS!$B$52:$B$58,0))*DATOS!$C$40*((O22-DATOS!$C$22-INDEX(TABLAS!$C$52:$C$58,MATCH(DATOS!$C$113,TABLAS!$B$52:$B$58,0))-INDEX(TABLAS!$C$52:$C$58,MATCH(AS22,TABLAS!$B$52:$B$58,0))/2)-AU22*INDEX(TABLAS!$D$52:$D$58,MATCH(AS22,TABLAS!$B$52:$B$58,0))*DATOS!$C$40/(DATOS!$C$48*N22)/2)/1E5)</f>
        <v>0</v>
      </c>
      <c r="AW22" s="62">
        <f>IF(AR22&lt;0,9.99,IF(AV22&gt;0,AM22/AV22,0))</f>
        <v>0</v>
      </c>
      <c r="AX22" s="63" t="str">
        <f>IF(AU22=0,"—",0.003*((O22-DATOS!$C$22-INDEX(TABLAS!$C$52:$C$58,MATCH(DATOS!$C$113,TABLAS!$B$52:$B$58,0))-INDEX(TABLAS!$C$52:$C$58,MATCH(AS22,TABLAS!$B$52:$B$58,0))/2)-(AU22*INDEX(TABLAS!$D$52:$D$58,MATCH(AS22,TABLAS!$B$52:$B$58,0))*DATOS!$C$40/(DATOS!$C$48*N22)/DATOS!$C$49))/(AU22*INDEX(TABLAS!$D$52:$D$58,MATCH(AS22,TABLAS!$B$52:$B$58,0))*DATOS!$C$40/(DATOS!$C$48*N22)/DATOS!$C$49))</f>
        <v>—</v>
      </c>
      <c r="AY22" s="43">
        <f>IF(OR(L22="BORDE DE VOLADO",L22="SIN APOYO"),0,IF(IF(AN22&lt;=0,0,IF((1-2*AN22*1E5/(DATOS!$C$58*N22*AQ22^2*DATOS!$C$48))&lt;0,-1,IF((1-SQRT((1-2*AN22*1E5/(DATOS!$C$58*N22*AQ22^2*DATOS!$C$48))))*DATOS!$C$48*N22*AQ22/DATOS!$C$40&gt;DATOS!$C$82*N22*AQ22,-1,(1-SQRT((1-2*AN22*1E5/(DATOS!$C$58*N22*AQ22^2*DATOS!$C$48))))*DATOS!$C$48*N22*AQ22/DATOS!$C$40)))&lt;0,-1,MAX(IF(AN22&lt;=0,0,IF((1-2*AN22*1E5/(DATOS!$C$58*N22*AQ22^2*DATOS!$C$48))&lt;0,-1,IF((1-SQRT((1-2*AN22*1E5/(DATOS!$C$58*N22*AQ22^2*DATOS!$C$48))))*DATOS!$C$48*N22*AQ22/DATOS!$C$40&gt;DATOS!$C$82*N22*AQ22,-1,(1-SQRT((1-2*AN22*1E5/(DATOS!$C$58*N22*AQ22^2*DATOS!$C$48))))*DATOS!$C$48*N22*AQ22/DATOS!$C$40))),MIN(DATOS!$C$83*IF(L22="VOLADO",MIN(BI22,2*N22),N22)*AQ22,4/3*IF(AN22&lt;=0,0,IF((1-2*AN22*1E5/(DATOS!$C$58*N22*AQ22^2*DATOS!$C$48))&lt;0,-1,IF((1-SQRT((1-2*AN22*1E5/(DATOS!$C$58*N22*AQ22^2*DATOS!$C$48))))*DATOS!$C$48*N22*AQ22/DATOS!$C$40&gt;DATOS!$C$82*N22*AQ22,-1,(1-SQRT((1-2*AN22*1E5/(DATOS!$C$58*N22*AQ22^2*DATOS!$C$48))))*DATOS!$C$48*N22*AQ22/DATOS!$C$40)))))))</f>
        <v>0</v>
      </c>
      <c r="AZ22" s="41">
        <f>IF(AY22&lt;0,0,IF(AND(AY22&gt;=0,MAX(DATOS!$C$114,CEILING(AY22/INDEX(TABLAS!$D$52:$D$58,MIN(MATCH(DATOS!$C$112,TABLAS!$B$52:$B$58,0)+0,7)),1))&lt;=MIN(99,INT((CB22+MAX(DATOS!$C$32,INDEX(TABLAS!$C$52:$C$58,MIN(MATCH(DATOS!$C$112,TABLAS!$B$52:$B$58,0)+0,7))))/(INDEX(TABLAS!$C$52:$C$58,MIN(MATCH(DATOS!$C$112,TABLAS!$B$52:$B$58,0)+0,7))+MAX(DATOS!$C$32,INDEX(TABLAS!$C$52:$C$58,MIN(MATCH(DATOS!$C$112,TABLAS!$B$52:$B$58,0)+0,7))))))),INDEX(TABLAS!$B$52:$B$58,MIN(MATCH(DATOS!$C$112,TABLAS!$B$52:$B$58,0)+0,7)),IF(AND(AY22&gt;=0,MAX(DATOS!$C$114,CEILING(AY22/INDEX(TABLAS!$D$52:$D$58,MIN(MATCH(DATOS!$C$112,TABLAS!$B$52:$B$58,0)+1,7)),1))&lt;=MIN(99,INT((CB22+MAX(DATOS!$C$32,INDEX(TABLAS!$C$52:$C$58,MIN(MATCH(DATOS!$C$112,TABLAS!$B$52:$B$58,0)+1,7))))/(INDEX(TABLAS!$C$52:$C$58,MIN(MATCH(DATOS!$C$112,TABLAS!$B$52:$B$58,0)+1,7))+MAX(DATOS!$C$32,INDEX(TABLAS!$C$52:$C$58,MIN(MATCH(DATOS!$C$112,TABLAS!$B$52:$B$58,0)+1,7))))))),INDEX(TABLAS!$B$52:$B$58,MIN(MATCH(DATOS!$C$112,TABLAS!$B$52:$B$58,0)+1,7)),IF(AND(AY22&gt;=0,MAX(DATOS!$C$114,CEILING(AY22/INDEX(TABLAS!$D$52:$D$58,MIN(MATCH(DATOS!$C$112,TABLAS!$B$52:$B$58,0)+2,7)),1))&lt;=MIN(99,INT((CB22+MAX(DATOS!$C$32,INDEX(TABLAS!$C$52:$C$58,MIN(MATCH(DATOS!$C$112,TABLAS!$B$52:$B$58,0)+2,7))))/(INDEX(TABLAS!$C$52:$C$58,MIN(MATCH(DATOS!$C$112,TABLAS!$B$52:$B$58,0)+2,7))+MAX(DATOS!$C$32,INDEX(TABLAS!$C$52:$C$58,MIN(MATCH(DATOS!$C$112,TABLAS!$B$52:$B$58,0)+2,7))))))),INDEX(TABLAS!$B$52:$B$58,MIN(MATCH(DATOS!$C$112,TABLAS!$B$52:$B$58,0)+2,7)),IF(AND(AY22&gt;=0,MAX(DATOS!$C$114,CEILING(AY22/INDEX(TABLAS!$D$52:$D$58,MIN(MATCH(DATOS!$C$112,TABLAS!$B$52:$B$58,0)+3,7)),1))&lt;=MIN(99,INT((CB22+MAX(DATOS!$C$32,INDEX(TABLAS!$C$52:$C$58,MIN(MATCH(DATOS!$C$112,TABLAS!$B$52:$B$58,0)+3,7))))/(INDEX(TABLAS!$C$52:$C$58,MIN(MATCH(DATOS!$C$112,TABLAS!$B$52:$B$58,0)+3,7))+MAX(DATOS!$C$32,INDEX(TABLAS!$C$52:$C$58,MIN(MATCH(DATOS!$C$112,TABLAS!$B$52:$B$58,0)+3,7))))))),INDEX(TABLAS!$B$52:$B$58,MIN(MATCH(DATOS!$C$112,TABLAS!$B$52:$B$58,0)+3,7)),IF(AND(AY22&gt;=0,MAX(DATOS!$C$114,CEILING(AY22/INDEX(TABLAS!$D$52:$D$58,MIN(MATCH(DATOS!$C$112,TABLAS!$B$52:$B$58,0)+4,7)),1))&lt;=MIN(99,INT((CB22+MAX(DATOS!$C$32,INDEX(TABLAS!$C$52:$C$58,MIN(MATCH(DATOS!$C$112,TABLAS!$B$52:$B$58,0)+4,7))))/(INDEX(TABLAS!$C$52:$C$58,MIN(MATCH(DATOS!$C$112,TABLAS!$B$52:$B$58,0)+4,7))+MAX(DATOS!$C$32,INDEX(TABLAS!$C$52:$C$58,MIN(MATCH(DATOS!$C$112,TABLAS!$B$52:$B$58,0)+4,7))))))),INDEX(TABLAS!$B$52:$B$58,MIN(MATCH(DATOS!$C$112,TABLAS!$B$52:$B$58,0)+4,7)),INDEX(TABLAS!$B$52:$B$58,7)))))))</f>
        <v>4</v>
      </c>
      <c r="BA22" s="56">
        <f>IF(OR(L22="BORDE DE VOLADO",L22="SIN APOYO"),0,IF(AY22&lt;0,0,MAX(DATOS!$C$114,CEILING(AY22/INDEX(TABLAS!$D$52:$D$58,MATCH(IF(AZ22=0,8,AZ22),TABLAS!$B$52:$B$58,0)),1))))</f>
        <v>0</v>
      </c>
      <c r="BB22" s="36">
        <f>IF(BA22=0,0,DATOS!$C$58*BA22*INDEX(TABLAS!$D$52:$D$58,MATCH(AZ22,TABLAS!$B$52:$B$58,0))*DATOS!$C$40*((O22-DATOS!$C$22-INDEX(TABLAS!$C$52:$C$58,MATCH(DATOS!$C$113,TABLAS!$B$52:$B$58,0))-INDEX(TABLAS!$C$52:$C$58,MATCH(AZ22,TABLAS!$B$52:$B$58,0))/2)-BA22*INDEX(TABLAS!$D$52:$D$58,MATCH(AZ22,TABLAS!$B$52:$B$58,0))*DATOS!$C$40/(DATOS!$C$48*N22)/2)/1E5)</f>
        <v>0</v>
      </c>
      <c r="BC22" s="62">
        <f>IF(AY22&lt;0,9.99,IF(BB22&gt;0,AN22/BB22,0))</f>
        <v>0</v>
      </c>
      <c r="BD22" s="63" t="str">
        <f>IF(BA22=0,"—",0.003*((O22-DATOS!$C$22-INDEX(TABLAS!$C$52:$C$58,MATCH(DATOS!$C$113,TABLAS!$B$52:$B$58,0))-INDEX(TABLAS!$C$52:$C$58,MATCH(AZ22,TABLAS!$B$52:$B$58,0))/2)-(BA22*INDEX(TABLAS!$D$52:$D$58,MATCH(AZ22,TABLAS!$B$52:$B$58,0))*DATOS!$C$40/(DATOS!$C$48*N22)/DATOS!$C$49))/(BA22*INDEX(TABLAS!$D$52:$D$58,MATCH(AZ22,TABLAS!$B$52:$B$58,0))*DATOS!$C$40/(DATOS!$C$48*N22)/DATOS!$C$49))</f>
        <v>—</v>
      </c>
      <c r="BE22" s="36">
        <f>IF(BA22=0,0,DATOS!$C$59*MIN(1.25,MAX(0.5,2*MAX(1E-6,MIN(AU22*INDEX(TABLAS!$D$52:$D$58,MATCH(MAX(AS22,2),TABLAS!$B$52:$B$58,0)),BA22*INDEX(TABLAS!$D$52:$D$58,MATCH(MAX(AZ22,2),TABLAS!$B$52:$B$58,0)))/(N22*AQ22))^(1/3)))*SQRT(DATOS!$C$39)*N22*AQ22/1000)</f>
        <v>0</v>
      </c>
      <c r="BF22" s="57">
        <f>IF(AO22=0,0,FLOOR(MIN(IF(AO22&gt;BE22,DATOS!$C$59*2*INDEX(TABLAS!$D$52:$D$58,MATCH(DATOS!$C$113,TABLAS!$B$52:$B$58,0))*DATOS!$C$42*AQ22/((AO22-BE22)*1000),999),IF(MAX(0,AO22-BE22)/DATOS!$C$59&lt;=1.1*SQRT(DATOS!$C$39)*N22*AQ22/1000,MIN(AQ22/2,60),MIN(AQ22/4,30)),2*INDEX(TABLAS!$D$52:$D$58,MATCH(DATOS!$C$113,TABLAS!$B$52:$B$58,0))*DATOS!$C$42/(MAX(0.2*SQRT(DATOS!$C$39),3.5)*N22),MIN(16*INDEX(TABLAS!$C$52:$C$58,MATCH(MIN(MAX(AS22,2),MAX(AZ22,2)),TABLAS!$B$52:$B$58,0)),48*INDEX(TABLAS!$C$52:$C$58,MATCH(DATOS!$C$113,TABLAS!$B$52:$B$58,0))),DATOS!$C$115),0.5))</f>
        <v>0</v>
      </c>
      <c r="BG22" s="57">
        <f>BF22</f>
        <v>0</v>
      </c>
      <c r="BH22" s="51" t="str">
        <f>IF(AO22=0,"—",IF(AO22&gt;DATOS!$C$59*(BE22/DATOS!$C$59+2.2*SQRT(DATOS!$C$39)*N22*AQ22/1000),"SECCIÓN INSUFICIENTE","E No. "&amp;TEXT(DATOS!$C$113,"0")&amp;IF(BG22&lt;BF22," @ "&amp;TEXT(BG22,"0.0")&amp;" en 2h y"," @")&amp;" "&amp;TEXT(BF22,"0.0")&amp;" cm"))</f>
        <v>—</v>
      </c>
      <c r="BI22" s="56">
        <f>N22+MIN(6*DATOS!$C$14,DATOS!$C$11/2,G22*100/12)</f>
        <v>31.6666666666667</v>
      </c>
      <c r="BJ22" s="71">
        <f>BI22*DATOS!$C$14^3/12+BI22*DATOS!$C$14*(((BI22*DATOS!$C$14^2/2+N22*(O22-DATOS!$C$14)*(DATOS!$C$14+(O22-DATOS!$C$14)/2))/(BI22*DATOS!$C$14+N22*(O22-DATOS!$C$14)))-DATOS!$C$14/2)^2+N22*(O22-DATOS!$C$14)^3/12+N22*(O22-DATOS!$C$14)*(DATOS!$C$14+(O22-DATOS!$C$14)/2-((BI22*DATOS!$C$14^2/2+N22*(O22-DATOS!$C$14)*(DATOS!$C$14+(O22-DATOS!$C$14)/2))/(BI22*DATOS!$C$14+N22*(O22-DATOS!$C$14))))^2</f>
        <v>26523.0429292929</v>
      </c>
      <c r="BK22" s="43">
        <f>O22-DATOS!$C$22-INDEX(TABLAS!$C$52:$C$58,MATCH(DATOS!$C$113,TABLAS!$B$52:$B$58,0))-INDEX(TABLAS!$C$52:$C$58,MATCH(MAX(IF(L22="VOLADO",AZ22,AS22),2),TABLAS!$B$52:$B$58,0))/2</f>
        <v>19.415</v>
      </c>
      <c r="BL22" s="43">
        <f>DATOS!$C$46/DATOS!$C$45*IF(L22="VOLADO",BA22*INDEX(TABLAS!$D$52:$D$58,MATCH(MAX(AZ22,2),TABLAS!$B$52:$B$58,0)),AU22*INDEX(TABLAS!$D$52:$D$58,MATCH(MAX(AS22,2),TABLAS!$B$52:$B$58,0)))</f>
        <v>0</v>
      </c>
      <c r="BM22" s="43">
        <f>IF(BL22&lt;=0,0,(SQRT(2*(BL22/(IF(L22="VOLADO",N22,BI22)*BK22))+(BL22/(IF(L22="VOLADO",N22,BI22)*BK22))^2)-(BL22/(IF(L22="VOLADO",N22,BI22)*BK22)))*BK22)</f>
        <v>0</v>
      </c>
      <c r="BN22" s="71">
        <f>IF(AND(L22&lt;&gt;"VOLADO",BM22&gt;DATOS!$C$14),(BI22*DATOS!$C$14^3/12+BI22*DATOS!$C$14*(((-((BI22-N22)*DATOS!$C$14+BL22)+SQRT(((BI22-N22)*DATOS!$C$14+BL22)^2+2*N22*((BI22-N22)*DATOS!$C$14^2/2+BL22*BK22)))/N22)-DATOS!$C$14/2)^2+N22*(((-((BI22-N22)*DATOS!$C$14+BL22)+SQRT(((BI22-N22)*DATOS!$C$14+BL22)^2+2*N22*((BI22-N22)*DATOS!$C$14^2/2+BL22*BK22)))/N22)-DATOS!$C$14)^3/3+BL22*(BK22-((-((BI22-N22)*DATOS!$C$14+BL22)+SQRT(((BI22-N22)*DATOS!$C$14+BL22)^2+2*N22*((BI22-N22)*DATOS!$C$14^2/2+BL22*BK22)))/N22))^2),(IF(L22="VOLADO",N22,BI22)*BM22^3/3+BL22*(BK22-BM22)^2))</f>
        <v>0</v>
      </c>
      <c r="BO22" s="71">
        <f>IF(AP22&lt;=0,BJ22,IF((AP22*1E5)&lt;=2/3*(DATOS!$C$47*BJ22/IF(L22="VOLADO",((BI22*DATOS!$C$14^2/2+N22*(O22-DATOS!$C$14)*(DATOS!$C$14+(O22-DATOS!$C$14)/2))/(BI22*DATOS!$C$14+N22*(O22-DATOS!$C$14))),O22-((BI22*DATOS!$C$14^2/2+N22*(O22-DATOS!$C$14)*(DATOS!$C$14+(O22-DATOS!$C$14)/2))/(BI22*DATOS!$C$14+N22*(O22-DATOS!$C$14))))),BJ22,IF(BL22&lt;=0,0,BN22/(1-(2/3*(DATOS!$C$47*BJ22/IF(L22="VOLADO",((BI22*DATOS!$C$14^2/2+N22*(O22-DATOS!$C$14)*(DATOS!$C$14+(O22-DATOS!$C$14)/2))/(BI22*DATOS!$C$14+N22*(O22-DATOS!$C$14))),O22-((BI22*DATOS!$C$14^2/2+N22*(O22-DATOS!$C$14)*(DATOS!$C$14+(O22-DATOS!$C$14)/2))/(BI22*DATOS!$C$14+N22*(O22-DATOS!$C$14)))))/(AP22*1E5))^2*(1-BN22/BJ22)))))</f>
        <v>26523.0429292929</v>
      </c>
      <c r="BP22" s="62">
        <f>IF(OR(L22="APOYADA",L22="VOLADO"),(IF(L22="VOLADO",(AP22-AH22)/4+AH22/3,5/48*AP22)*1E5*(G22*100)^2/(DATOS!$C$45*MAX(BO22,1)))*(1+2/(1+50*IF(L22="VOLADO",AU22*INDEX(TABLAS!$D$52:$D$58,MATCH(MAX(AS22,2),TABLAS!$B$52:$B$58,0)),DATOS!$C$114*INDEX(TABLAS!$D$52:$D$58,MATCH(MAX(AZ22,2),TABLAS!$B$52:$B$58,0)))/(N22*BK22))*((AA22+AC22)/MAX(AA22+AB22,1E-6))),0)</f>
        <v>0</v>
      </c>
      <c r="BQ22" s="43">
        <f>IF(S22&gt;0,0.3+G22*100/480,0.5+G22*100/240)</f>
        <v>1.33333333333333</v>
      </c>
      <c r="BR22" s="43">
        <f>IF(S22&gt;0,(T22+U22)*G22+AG22,0)</f>
        <v>0</v>
      </c>
      <c r="BS22" s="43">
        <f>IF(S22&gt;0,(DATOS!$C$51*DATOS!$C$103*100*(G22*100)^3/(DATOS!$C$45*BJ22*((BR22*1000/(DATOS!$C$103*100*S22*100)*DATOS!$C$103*100*(MIN(1,S22/G22)^4-4*MIN(1,S22/G22)^3+8*MIN(1,S22/G22)))/((BR22*1000/(DATOS!$C$103*100*S22*100)*DATOS!$C$103*100*(MIN(1,S22/G22)^4-4*MIN(1,S22/G22)^3+8*MIN(1,S22/G22)))+5*((R22+X22+Y22+IF(L22="APOYADA",8*(0)/G22^2,0))*10)))))^0.25,0)</f>
        <v>0</v>
      </c>
      <c r="BT22" s="57">
        <f>IF(S22&gt;0,MAX(1,IF(MIN(1,S22/G22)&gt;=1,(1.6*BS22-3.9),IF(MIN(1,S22/G22)&lt;0.9,((3.2*BS22-7.8)*1),((3.2*BS22-7.8)*1)+((1.6*BS22-3.9)-((3.2*BS22-7.8)*1))*(MIN(1,S22/G22)-0.9)/0.1)))*BR22*1000/(DATOS!$C$103*100*S22*100),0)</f>
        <v>0</v>
      </c>
      <c r="BU22" s="65" t="str">
        <f>IF(S22=0,"—",IF(DATOS!$C$105/S22&lt;0.6,"REVISAR: H/L &lt; 0.6, interacción muro-viga",IF(BT22&lt;=DATOS!$C$60*DATOS!$C$50,"CUMPLE","NO CUMPLE f_CM &gt; F_R·f'm")))</f>
        <v>—</v>
      </c>
      <c r="BV22" s="57">
        <f>IF(S22&gt;0,MAX(25,IF(BJ22&gt;=(G22*100)^3/1600,0,MIN(G22*100/14,(12*(G22*100)^3/1600/N22)^(1/3)))),IF(L22="APOYADA",MAX(25,G22*100/16),IF(L22="VOLADO",MAX(25,G22*100/8),0)))</f>
        <v>0</v>
      </c>
      <c r="BW22" s="57">
        <f>IF(S22&gt;0,IF(BJ22&gt;=(5/4*(G22*100)^3/DATOS!$C$45*((((S22*DATOS!$C$107+(0+0)*G22+AG22/DATOS!$C$55)*1000)/(DATOS!$C$103*100*S22*100)*DATOS!$C$103*100*(MIN(1,S22/G22)^4-4*MIN(1,S22/G22)^3+8*MIN(1,S22/G22)))+5*((AA22-S22*DATOS!$C$107/G22-(0))*10))),0,MIN((G22*100/((1/15*DATOS!$C$45*N22/((((S22*DATOS!$C$107+(0+0)*G22+AG22/DATOS!$C$55)*1000)/(DATOS!$C$103*100*S22*100)*DATOS!$C$103*100*(MIN(1,S22/G22)^4-4*MIN(1,S22/G22)^3+8*MIN(1,S22/G22)))+5*((AA22-S22*DATOS!$C$107/G22-(0))*10)))^(1/3))),(12*(5/4*(G22*100)^3/DATOS!$C$45*((((S22*DATOS!$C$107+(0+0)*G22+AG22/DATOS!$C$55)*1000)/(DATOS!$C$103*100*S22*100)*DATOS!$C$103*100*(MIN(1,S22/G22)^4-4*MIN(1,S22/G22)^3+8*MIN(1,S22/G22)))+5*((AA22-S22*DATOS!$C$107/G22-(0))*10)))/N22)^(1/3))),0)</f>
        <v>0</v>
      </c>
      <c r="BX22" s="57">
        <f>SQRT(MAX(AM22,AN22)*1E5/(DATOS!$C$58*N22*DATOS!$C$48*(DATOS!$C$82*DATOS!$C$40/DATOS!$C$48)*(1-(DATOS!$C$82*DATOS!$C$40/DATOS!$C$48)/2)))+(O22-AQ22)</f>
        <v>5.585</v>
      </c>
      <c r="BY22" s="59">
        <f>IF(OR(L22="BORDE DE VOLADO",L22="SIN APOYO"),0,CEILING(MAX(BV22,BW22,BX22,DATOS!$C$15),5))</f>
        <v>0</v>
      </c>
      <c r="BZ22" s="72" t="str">
        <f>IF(L22="BORDE DE VOLADO","BORDE DE VOLADO — armado de orilla",IF(L22="SIN APOYO","SIN APOYO — REVISAR",IF(AND(AW22&lt;=1,BC22&lt;=1,IF(AU22=0,TRUE,AU22&lt;=INT((CB22+DATOS!$C$32)/(INDEX(TABLAS!$C$52:$C$58,MATCH(MAX(AS22,2),TABLAS!$B$52:$B$58,0))+DATOS!$C$32))),IF(BA22=0,TRUE,BA22&lt;=INT((CB22+DATOS!$C$32)/(INDEX(TABLAS!$C$52:$C$58,MATCH(MAX(AZ22,2),TABLAS!$B$52:$B$58,0))+DATOS!$C$32))),AND(OR(NOT(ISNUMBER(AX22)),AX22&gt;=0.005),OR(NOT(ISNUMBER(BD22)),BD22&gt;=0.005)),BH22&lt;&gt;"SECCIÓN INSUFICIENTE",AND(O22&gt;=BV22,O22&gt;=BW22,O22/N22&lt;=6),BP22&lt;=BQ22,OR(S22=0,LEFT(BU22,6)&lt;&gt;"NO CUM")),IF(LEFT(BU22,7)="REVISAR","PENDIENTE: H/L &lt; 0.6, falta el análisis de interacción muro-viga (NTC-M 4.1.18.2.1, p. 44)","CUMPLE")&amp;IF(L22="VOLADO"," (en VOLADO)",""),"NO CUMPLE: "&amp;IF(OR(AR22&lt;0,AY22&lt;0),"sección insuficiente en flexión ",IF(OR(AW22&gt;1,BC22&gt;1),"flexión ",""))&amp;IF(NOT(AND(IF(AU22=0,TRUE,AU22&lt;=INT((CB22+DATOS!$C$32)/(INDEX(TABLAS!$C$52:$C$58,MATCH(MAX(AS22,2),TABLAS!$B$52:$B$58,0))+DATOS!$C$32))),IF(BA22=0,TRUE,BA22&lt;=INT((CB22+DATOS!$C$32)/(INDEX(TABLAS!$C$52:$C$58,MATCH(MAX(AZ22,2),TABLAS!$B$52:$B$58,0))+DATOS!$C$32))))),"no caben ","")&amp;IF(NOT(AND(OR(NOT(ISNUMBER(AX22)),AX22&gt;=0.005),OR(NOT(ISNUMBER(BD22)),BD22&gt;=0.005))),"ε_t ","")&amp;IF(BH22="SECCIÓN INSUFICIENTE","cortante ","")&amp;IF(NOT(AND(O22&gt;=BV22,O22&gt;=BW22,O22/N22&lt;=6)),"peralte ","")&amp;IF(NOT(BP22&lt;=BQ22),"flecha ","")&amp;IF(NOT(OR(S22=0,LEFT(BU22,6)&lt;&gt;"NO CUM")),"muro sobre viga ","")&amp;"→ h ≥ "&amp;TEXT(MAX(BY22,IF(BP22&gt;BQ22,MAX(O22+5,CEILING(O22*(BP22/BQ22)^(1/3),5)),0)),"0")&amp;" cm"&amp;IF(NOT(AND(IF(AU22=0,TRUE,AU22&lt;=INT((CB22+DATOS!$C$32)/(INDEX(TABLAS!$C$52:$C$58,MATCH(MAX(AS22,2),TABLAS!$B$52:$B$58,0))+DATOS!$C$32))),IF(BA22=0,TRUE,BA22&lt;=INT((CB22+DATOS!$C$32)/(INDEX(TABLAS!$C$52:$C$58,MATCH(MAX(AZ22,2),TABLAS!$B$52:$B$58,0))+DATOS!$C$32)))))," y b ≥ "&amp;TEXT(N22+5,"0")&amp;" cm","")&amp;" (verificar)")))</f>
        <v>BORDE DE VOLADO — armado de orilla</v>
      </c>
      <c r="CA22" s="65" t="inlineStr">
        <is>
          <t>Orilla libre de tablero en volado: lleva el armado de la orilla, no trabaja como trabe.</t>
        </is>
      </c>
      <c r="CB22" s="43">
        <f>N22-2*DATOS!$C$22-2*INDEX(TABLAS!$C$52:$C$58,MATCH(DATOS!$C$113,TABLAS!$B$52:$B$58,0))</f>
        <v>5.1</v>
      </c>
    </row>
    <row r="23" ht="30" customHeight="1">
      <c r="B23" s="60" t="inlineStr">
        <is>
          <t>NP-15</t>
        </is>
      </c>
      <c r="C23" s="52" t="inlineStr">
        <is>
          <t>N+3.00</t>
        </is>
      </c>
      <c r="D23" s="51" t="inlineStr">
        <is>
          <t>Eje 12 (y = 17.446)</t>
        </is>
      </c>
      <c r="E23" s="52" t="inlineStr">
        <is>
          <t>(0.000, 17.446)</t>
        </is>
      </c>
      <c r="F23" s="52" t="inlineStr">
        <is>
          <t>(4.925, 17.446)</t>
        </is>
      </c>
      <c r="G23" s="55" t="n">
        <v>4.925</v>
      </c>
      <c r="H23" s="52" t="inlineStr">
        <is>
          <t>FIRME</t>
        </is>
      </c>
      <c r="I23" s="52" t="inlineStr">
        <is>
          <t>FIRME</t>
        </is>
      </c>
      <c r="J23" s="52" t="inlineStr">
        <is>
          <t>—</t>
        </is>
      </c>
      <c r="K23" s="52" t="inlineStr">
        <is>
          <t>—</t>
        </is>
      </c>
      <c r="L23" s="60" t="str">
        <f>IF(AND(OR(H23="FIRME",H23="NERVADURA",H23="PUNTA"),OR(I23="FIRME",I23="NERVADURA",I23="PUNTA")),"APOYADA",IF(OR(OR(H23="FIRME",H23="NERVADURA",H23="PUNTA"),OR(I23="FIRME",I23="NERVADURA",I23="PUNTA")),"VOLADO","SIN APOYO"))</f>
        <v>APOYADA</v>
      </c>
      <c r="M23" s="52" t="str">
        <f>IF(L23="VOLADO",IF(OR(H23="FIRME",H23="NERVADURA",H23="PUNTA"),"i","j"),"—")</f>
        <v>—</v>
      </c>
      <c r="N23" s="58" t="n">
        <v>20</v>
      </c>
      <c r="O23" s="58" t="n">
        <v>75</v>
      </c>
      <c r="P23" s="65" t="str">
        <f>IF(L23="BORDE DE VOLADO","—",IF(OR(N23&lt;&gt;DATOS!$C$17,O23&lt;&gt;DATOS!$C$15),"PERALTAR: trabe "&amp;TEXT(N23,"0")&amp;"×"&amp;TEXT(O23,"0")&amp;IF(O23&gt;DATOS!$C$15," (descuelga "&amp;TEXT(O23-DATOS!$C$15,"0")&amp;" cm)",""),"Queda en la losa (15×25)"))</f>
        <v>PERALTAR: trabe 20×75 (descuelga 50 cm)</v>
      </c>
      <c r="Q23" s="43">
        <f>SUMIFS(TRIB!$E$6:$E$255,TRIB!$B$6:$B$255,"NP-15")</f>
        <v>7.5962</v>
      </c>
      <c r="R23" s="36">
        <f>SUMIFS(TRIB!$G$6:$G$255,TRIB!$B$6:$B$255,"NP-15")/G23</f>
        <v>1.3821808996167</v>
      </c>
      <c r="S23" s="69" t="n">
        <v>4.925</v>
      </c>
      <c r="T23" s="36">
        <f>DATOS!$C$55*S23*DATOS!$C$107/G23</f>
        <v>1.233375</v>
      </c>
      <c r="U23" s="36">
        <f>(SUMIFS(TRIB!$G$6:$G$255,TRIB!$B$6:$B$255,"DM-92")*1.0+SUMIFS(TRIB!$G$6:$G$255,TRIB!$B$6:$B$255,"DM-93")*1.0+SUMIFS(TRIB!$G$6:$G$255,TRIB!$B$6:$B$255,"DM-94")*1.0+SUMIFS(TRIB!$G$6:$G$255,TRIB!$B$6:$B$255,"DM-95")*1.0+SUMIFS(TRIB!$G$6:$G$255,TRIB!$B$6:$B$255,"DM-96")*0.501)/G23</f>
        <v>1.28186983154667</v>
      </c>
      <c r="V23" s="61" t="n">
        <v>0</v>
      </c>
      <c r="W23" s="61" t="n">
        <v>0</v>
      </c>
      <c r="X23" s="36">
        <f>(DATOS!$C$55*V23+DATOS!$C$56*W23)/1000</f>
        <v>0</v>
      </c>
      <c r="Y23" s="36">
        <f>DATOS!$C$55*(N23/100*O23/100*DATOS!$C$43-N23/100*DATOS!$C$70/1000)</f>
        <v>0.409844897959184</v>
      </c>
      <c r="Z23" s="70">
        <f>R23+T23+U23+X23+Y23</f>
        <v>4.30727062912255</v>
      </c>
      <c r="AA23" s="36">
        <f>(SUMIFS(TRIB!$I$6:$I$255,TRIB!$B$6:$B$255,"NP-15")-SUMIFS(TRIB!$L$6:$L$255,TRIB!$B$6:$B$255,"NP-15"))/G23+S23*DATOS!$C$107/G23+((SUMIFS(TRIB!$I$6:$I$255,TRIB!$B$6:$B$255,"DM-92")-SUMIFS(TRIB!$L$6:$L$255,TRIB!$B$6:$B$255,"DM-92"))*1.0+(SUMIFS(TRIB!$I$6:$I$255,TRIB!$B$6:$B$255,"DM-93")-SUMIFS(TRIB!$L$6:$L$255,TRIB!$B$6:$B$255,"DM-93"))*1.0+(SUMIFS(TRIB!$I$6:$I$255,TRIB!$B$6:$B$255,"DM-94")-SUMIFS(TRIB!$L$6:$L$255,TRIB!$B$6:$B$255,"DM-94"))*1.0+(SUMIFS(TRIB!$I$6:$I$255,TRIB!$B$6:$B$255,"DM-95")-SUMIFS(TRIB!$L$6:$L$255,TRIB!$B$6:$B$255,"DM-95"))*1.0+(SUMIFS(TRIB!$I$6:$I$255,TRIB!$B$6:$B$255,"DM-96")-SUMIFS(TRIB!$L$6:$L$255,TRIB!$B$6:$B$255,"DM-96"))*0.501)/G23+V23/1000+Y23/DATOS!$C$55</f>
        <v>2.81704291892676</v>
      </c>
      <c r="AB23" s="36">
        <f>SUMIFS(TRIB!$L$6:$L$255,TRIB!$B$6:$B$255,"NP-15")/G23+(SUMIFS(TRIB!$L$6:$L$255,TRIB!$B$6:$B$255,"DM-92")*1.0+SUMIFS(TRIB!$L$6:$L$255,TRIB!$B$6:$B$255,"DM-93")*1.0+SUMIFS(TRIB!$L$6:$L$255,TRIB!$B$6:$B$255,"DM-94")*1.0+SUMIFS(TRIB!$L$6:$L$255,TRIB!$B$6:$B$255,"DM-95")*1.0+SUMIFS(TRIB!$L$6:$L$255,TRIB!$B$6:$B$255,"DM-96")*0.501)/G23+W23/1000</f>
        <v>0.430076556345178</v>
      </c>
      <c r="AC23" s="36">
        <f>SUMIFS(TRIB!$M$6:$M$255,TRIB!$B$6:$B$255,"NP-15")/G23+(SUMIFS(TRIB!$M$6:$M$255,TRIB!$B$6:$B$255,"DM-92")*1.0+SUMIFS(TRIB!$M$6:$M$255,TRIB!$B$6:$B$255,"DM-93")*1.0+SUMIFS(TRIB!$M$6:$M$255,TRIB!$B$6:$B$255,"DM-94")*1.0+SUMIFS(TRIB!$M$6:$M$255,TRIB!$B$6:$B$255,"DM-95")*1.0+SUMIFS(TRIB!$M$6:$M$255,TRIB!$B$6:$B$255,"DM-96")*0.501)/G23+W23/1000*DATOS!$C$91/DATOS!$C$89</f>
        <v>0.143943828629442</v>
      </c>
      <c r="AD23" s="36">
        <f>TRANSFER!$F$10+TRANSFER!$F$12</f>
        <v>12.0584808583894</v>
      </c>
      <c r="AE23" s="36">
        <f>TRANSFER!$H$10+TRANSFER!$H$12</f>
        <v>7.65223812734236</v>
      </c>
      <c r="AF23" s="36">
        <f>TRANSFER!$I$10+TRANSFER!$I$12</f>
        <v>9.94947856685302</v>
      </c>
      <c r="AG23" s="36">
        <f>0</f>
        <v>0</v>
      </c>
      <c r="AH23" s="36">
        <f>TRANSFER!$N$10+TRANSFER!$N$12</f>
        <v>5.77407736268488</v>
      </c>
      <c r="AI23" s="36">
        <f>IF(L23="APOYADA",Z23*G23/2+TRANSFER!$J$10+TRANSFER!$J$12,IF(AND(L23="VOLADO",M23="i"),Z23*G23+AD23,0))</f>
        <v>12.7156562157506</v>
      </c>
      <c r="AJ23" s="36">
        <f>IF(L23="APOYADA",Z23*G23/2+TRANSFER!$K$10+TRANSFER!$K$12,IF(AND(L23="VOLADO",M23="j"),Z23*G23+AD23,0))</f>
        <v>20.5561324910673</v>
      </c>
      <c r="AK23" s="36">
        <f>IF(L23="APOYADA",(AA23+AB23)*G23/2+TRANSFER!$O$10+TRANSFER!$O$12,IF(AND(L23="VOLADO",M23="i"),(AA23+AB23)*G23+TRANSFER!$M$10+TRANSFER!$M$12,0))</f>
        <v>9.58752613825174</v>
      </c>
      <c r="AL23" s="36">
        <f>IF(L23="APOYADA",(AA23+AB23)*G23/2+TRANSFER!$P$10+TRANSFER!$P$12,IF(AND(L23="VOLADO",M23="j"),(AA23+AB23)*G23+TRANSFER!$M$10+TRANSFER!$M$12,0))</f>
        <v>15.5017533709351</v>
      </c>
      <c r="AM23" s="70">
        <f>IF(L23="APOYADA",Z23*G23^2/8+AE23,0)</f>
        <v>20.7116807715312</v>
      </c>
      <c r="AN23" s="70">
        <f>IF(L23="APOYADA",DATOS!$C$64*AM23,IF(L23="VOLADO",Z23*G23^2/2+AE23,0))</f>
        <v>13.8146910746113</v>
      </c>
      <c r="AO23" s="70">
        <f>IF(L23="APOYADA",Z23*G23/2+AF23,IF(L23="VOLADO",Z23*G23+AF23,0))</f>
        <v>20.5561324910673</v>
      </c>
      <c r="AP23" s="36">
        <f>IF(L23="APOYADA",(AA23+AB23)*G23^2/8+AH23,IF(L23="VOLADO",(AA23+AB23)*G23^2/2+AH23,0))</f>
        <v>15.619191402984</v>
      </c>
      <c r="AQ23" s="43">
        <f>O23-DATOS!$C$22-INDEX(TABLAS!$C$52:$C$58,MATCH(DATOS!$C$113,TABLAS!$B$52:$B$58,0))-INDEX(TABLAS!$C$52:$C$58,MATCH(DATOS!$C$112,TABLAS!$B$52:$B$58,0))/2</f>
        <v>69.415</v>
      </c>
      <c r="AR23" s="43">
        <f>IF(OR(L23="BORDE DE VOLADO",L23="SIN APOYO"),0,IF(IF(AM23&lt;=0,0,IF((1-2*AM23*1E5/(DATOS!$C$58*N23*AQ23^2*DATOS!$C$48))&lt;0,-1,IF((1-SQRT((1-2*AM23*1E5/(DATOS!$C$58*N23*AQ23^2*DATOS!$C$48))))*DATOS!$C$48*N23*AQ23/DATOS!$C$40&gt;DATOS!$C$82*N23*AQ23,-1,(1-SQRT((1-2*AM23*1E5/(DATOS!$C$58*N23*AQ23^2*DATOS!$C$48))))*DATOS!$C$48*N23*AQ23/DATOS!$C$40)))&lt;0,-1,MAX(IF(AM23&lt;=0,0,IF((1-2*AM23*1E5/(DATOS!$C$58*N23*AQ23^2*DATOS!$C$48))&lt;0,-1,IF((1-SQRT((1-2*AM23*1E5/(DATOS!$C$58*N23*AQ23^2*DATOS!$C$48))))*DATOS!$C$48*N23*AQ23/DATOS!$C$40&gt;DATOS!$C$82*N23*AQ23,-1,(1-SQRT((1-2*AM23*1E5/(DATOS!$C$58*N23*AQ23^2*DATOS!$C$48))))*DATOS!$C$48*N23*AQ23/DATOS!$C$40))),MIN(DATOS!$C$83*N23*AQ23,4/3*IF(AM23&lt;=0,0,IF((1-2*AM23*1E5/(DATOS!$C$58*N23*AQ23^2*DATOS!$C$48))&lt;0,-1,IF((1-SQRT((1-2*AM23*1E5/(DATOS!$C$58*N23*AQ23^2*DATOS!$C$48))))*DATOS!$C$48*N23*AQ23/DATOS!$C$40&gt;DATOS!$C$82*N23*AQ23,-1,(1-SQRT((1-2*AM23*1E5/(DATOS!$C$58*N23*AQ23^2*DATOS!$C$48))))*DATOS!$C$48*N23*AQ23/DATOS!$C$40)))))))</f>
        <v>8.3952059172333</v>
      </c>
      <c r="AS23" s="41">
        <f>IF(AR23&lt;0,0,IF(AND(AR23&gt;=0,MAX(DATOS!$C$114,CEILING(AR23/INDEX(TABLAS!$D$52:$D$58,MIN(MATCH(DATOS!$C$112,TABLAS!$B$52:$B$58,0)+0,7)),1))&lt;=MIN(99,INT((CB23+MAX(DATOS!$C$32,INDEX(TABLAS!$C$52:$C$58,MIN(MATCH(DATOS!$C$112,TABLAS!$B$52:$B$58,0)+0,7))))/(INDEX(TABLAS!$C$52:$C$58,MIN(MATCH(DATOS!$C$112,TABLAS!$B$52:$B$58,0)+0,7))+MAX(DATOS!$C$32,INDEX(TABLAS!$C$52:$C$58,MIN(MATCH(DATOS!$C$112,TABLAS!$B$52:$B$58,0)+0,7))))))),INDEX(TABLAS!$B$52:$B$58,MIN(MATCH(DATOS!$C$112,TABLAS!$B$52:$B$58,0)+0,7)),IF(AND(AR23&gt;=0,MAX(DATOS!$C$114,CEILING(AR23/INDEX(TABLAS!$D$52:$D$58,MIN(MATCH(DATOS!$C$112,TABLAS!$B$52:$B$58,0)+1,7)),1))&lt;=MIN(99,INT((CB23+MAX(DATOS!$C$32,INDEX(TABLAS!$C$52:$C$58,MIN(MATCH(DATOS!$C$112,TABLAS!$B$52:$B$58,0)+1,7))))/(INDEX(TABLAS!$C$52:$C$58,MIN(MATCH(DATOS!$C$112,TABLAS!$B$52:$B$58,0)+1,7))+MAX(DATOS!$C$32,INDEX(TABLAS!$C$52:$C$58,MIN(MATCH(DATOS!$C$112,TABLAS!$B$52:$B$58,0)+1,7))))))),INDEX(TABLAS!$B$52:$B$58,MIN(MATCH(DATOS!$C$112,TABLAS!$B$52:$B$58,0)+1,7)),IF(AND(AR23&gt;=0,MAX(DATOS!$C$114,CEILING(AR23/INDEX(TABLAS!$D$52:$D$58,MIN(MATCH(DATOS!$C$112,TABLAS!$B$52:$B$58,0)+2,7)),1))&lt;=MIN(99,INT((CB23+MAX(DATOS!$C$32,INDEX(TABLAS!$C$52:$C$58,MIN(MATCH(DATOS!$C$112,TABLAS!$B$52:$B$58,0)+2,7))))/(INDEX(TABLAS!$C$52:$C$58,MIN(MATCH(DATOS!$C$112,TABLAS!$B$52:$B$58,0)+2,7))+MAX(DATOS!$C$32,INDEX(TABLAS!$C$52:$C$58,MIN(MATCH(DATOS!$C$112,TABLAS!$B$52:$B$58,0)+2,7))))))),INDEX(TABLAS!$B$52:$B$58,MIN(MATCH(DATOS!$C$112,TABLAS!$B$52:$B$58,0)+2,7)),IF(AND(AR23&gt;=0,MAX(DATOS!$C$114,CEILING(AR23/INDEX(TABLAS!$D$52:$D$58,MIN(MATCH(DATOS!$C$112,TABLAS!$B$52:$B$58,0)+3,7)),1))&lt;=MIN(99,INT((CB23+MAX(DATOS!$C$32,INDEX(TABLAS!$C$52:$C$58,MIN(MATCH(DATOS!$C$112,TABLAS!$B$52:$B$58,0)+3,7))))/(INDEX(TABLAS!$C$52:$C$58,MIN(MATCH(DATOS!$C$112,TABLAS!$B$52:$B$58,0)+3,7))+MAX(DATOS!$C$32,INDEX(TABLAS!$C$52:$C$58,MIN(MATCH(DATOS!$C$112,TABLAS!$B$52:$B$58,0)+3,7))))))),INDEX(TABLAS!$B$52:$B$58,MIN(MATCH(DATOS!$C$112,TABLAS!$B$52:$B$58,0)+3,7)),IF(AND(AR23&gt;=0,MAX(DATOS!$C$114,CEILING(AR23/INDEX(TABLAS!$D$52:$D$58,MIN(MATCH(DATOS!$C$112,TABLAS!$B$52:$B$58,0)+4,7)),1))&lt;=MIN(99,INT((CB23+MAX(DATOS!$C$32,INDEX(TABLAS!$C$52:$C$58,MIN(MATCH(DATOS!$C$112,TABLAS!$B$52:$B$58,0)+4,7))))/(INDEX(TABLAS!$C$52:$C$58,MIN(MATCH(DATOS!$C$112,TABLAS!$B$52:$B$58,0)+4,7))+MAX(DATOS!$C$32,INDEX(TABLAS!$C$52:$C$58,MIN(MATCH(DATOS!$C$112,TABLAS!$B$52:$B$58,0)+4,7))))))),INDEX(TABLAS!$B$52:$B$58,MIN(MATCH(DATOS!$C$112,TABLAS!$B$52:$B$58,0)+4,7)),INDEX(TABLAS!$B$52:$B$58,7)))))))</f>
        <v>8</v>
      </c>
      <c r="AT23" s="58" t="n">
        <v>0</v>
      </c>
      <c r="AU23" s="56">
        <f>IF(OR(L23="BORDE DE VOLADO",L23="SIN APOYO"),0,IF(AR23&lt;0,0,MAX(DATOS!$C$114,CEILING(AR23/INDEX(TABLAS!$D$52:$D$58,MATCH(IF(AS23=0,8,AS23),TABLAS!$B$52:$B$58,0)),1))+AT23))</f>
        <v>2</v>
      </c>
      <c r="AV23" s="36">
        <f>IF(AU23=0,0,DATOS!$C$58*AU23*INDEX(TABLAS!$D$52:$D$58,MATCH(AS23,TABLAS!$B$52:$B$58,0))*DATOS!$C$40*((O23-DATOS!$C$22-INDEX(TABLAS!$C$52:$C$58,MATCH(DATOS!$C$113,TABLAS!$B$52:$B$58,0))-INDEX(TABLAS!$C$52:$C$58,MATCH(AS23,TABLAS!$B$52:$B$58,0))/2)-AU23*INDEX(TABLAS!$D$52:$D$58,MATCH(AS23,TABLAS!$B$52:$B$58,0))*DATOS!$C$40/(DATOS!$C$48*N23)/2)/1E5)</f>
        <v>24.4423955604706</v>
      </c>
      <c r="AW23" s="62">
        <f>IF(AR23&lt;0,9.99,IF(AV23&gt;0,AM23/AV23,0))</f>
        <v>0.84736705615824</v>
      </c>
      <c r="AX23" s="63">
        <f>IF(AU23=0,"—",0.003*((O23-DATOS!$C$22-INDEX(TABLAS!$C$52:$C$58,MATCH(DATOS!$C$113,TABLAS!$B$52:$B$58,0))-INDEX(TABLAS!$C$52:$C$58,MATCH(AS23,TABLAS!$B$52:$B$58,0))/2)-(AU23*INDEX(TABLAS!$D$52:$D$58,MATCH(AS23,TABLAS!$B$52:$B$58,0))*DATOS!$C$40/(DATOS!$C$48*N23)/DATOS!$C$49))/(AU23*INDEX(TABLAS!$D$52:$D$58,MATCH(AS23,TABLAS!$B$52:$B$58,0))*DATOS!$C$40/(DATOS!$C$48*N23)/DATOS!$C$49))</f>
        <v>0.0145026591997746</v>
      </c>
      <c r="AY23" s="43">
        <f>IF(OR(L23="BORDE DE VOLADO",L23="SIN APOYO"),0,IF(IF(AN23&lt;=0,0,IF((1-2*AN23*1E5/(DATOS!$C$58*N23*AQ23^2*DATOS!$C$48))&lt;0,-1,IF((1-SQRT((1-2*AN23*1E5/(DATOS!$C$58*N23*AQ23^2*DATOS!$C$48))))*DATOS!$C$48*N23*AQ23/DATOS!$C$40&gt;DATOS!$C$82*N23*AQ23,-1,(1-SQRT((1-2*AN23*1E5/(DATOS!$C$58*N23*AQ23^2*DATOS!$C$48))))*DATOS!$C$48*N23*AQ23/DATOS!$C$40)))&lt;0,-1,MAX(IF(AN23&lt;=0,0,IF((1-2*AN23*1E5/(DATOS!$C$58*N23*AQ23^2*DATOS!$C$48))&lt;0,-1,IF((1-SQRT((1-2*AN23*1E5/(DATOS!$C$58*N23*AQ23^2*DATOS!$C$48))))*DATOS!$C$48*N23*AQ23/DATOS!$C$40&gt;DATOS!$C$82*N23*AQ23,-1,(1-SQRT((1-2*AN23*1E5/(DATOS!$C$58*N23*AQ23^2*DATOS!$C$48))))*DATOS!$C$48*N23*AQ23/DATOS!$C$40))),MIN(DATOS!$C$83*IF(L23="VOLADO",MIN(BI23,2*N23),N23)*AQ23,4/3*IF(AN23&lt;=0,0,IF((1-2*AN23*1E5/(DATOS!$C$58*N23*AQ23^2*DATOS!$C$48))&lt;0,-1,IF((1-SQRT((1-2*AN23*1E5/(DATOS!$C$58*N23*AQ23^2*DATOS!$C$48))))*DATOS!$C$48*N23*AQ23/DATOS!$C$40&gt;DATOS!$C$82*N23*AQ23,-1,(1-SQRT((1-2*AN23*1E5/(DATOS!$C$58*N23*AQ23^2*DATOS!$C$48))))*DATOS!$C$48*N23*AQ23/DATOS!$C$40)))))))</f>
        <v>5.47863075994663</v>
      </c>
      <c r="AZ23" s="41">
        <f>IF(AY23&lt;0,0,IF(AND(AY23&gt;=0,MAX(DATOS!$C$114,CEILING(AY23/INDEX(TABLAS!$D$52:$D$58,MIN(MATCH(DATOS!$C$112,TABLAS!$B$52:$B$58,0)+0,7)),1))&lt;=MIN(99,INT((CB23+MAX(DATOS!$C$32,INDEX(TABLAS!$C$52:$C$58,MIN(MATCH(DATOS!$C$112,TABLAS!$B$52:$B$58,0)+0,7))))/(INDEX(TABLAS!$C$52:$C$58,MIN(MATCH(DATOS!$C$112,TABLAS!$B$52:$B$58,0)+0,7))+MAX(DATOS!$C$32,INDEX(TABLAS!$C$52:$C$58,MIN(MATCH(DATOS!$C$112,TABLAS!$B$52:$B$58,0)+0,7))))))),INDEX(TABLAS!$B$52:$B$58,MIN(MATCH(DATOS!$C$112,TABLAS!$B$52:$B$58,0)+0,7)),IF(AND(AY23&gt;=0,MAX(DATOS!$C$114,CEILING(AY23/INDEX(TABLAS!$D$52:$D$58,MIN(MATCH(DATOS!$C$112,TABLAS!$B$52:$B$58,0)+1,7)),1))&lt;=MIN(99,INT((CB23+MAX(DATOS!$C$32,INDEX(TABLAS!$C$52:$C$58,MIN(MATCH(DATOS!$C$112,TABLAS!$B$52:$B$58,0)+1,7))))/(INDEX(TABLAS!$C$52:$C$58,MIN(MATCH(DATOS!$C$112,TABLAS!$B$52:$B$58,0)+1,7))+MAX(DATOS!$C$32,INDEX(TABLAS!$C$52:$C$58,MIN(MATCH(DATOS!$C$112,TABLAS!$B$52:$B$58,0)+1,7))))))),INDEX(TABLAS!$B$52:$B$58,MIN(MATCH(DATOS!$C$112,TABLAS!$B$52:$B$58,0)+1,7)),IF(AND(AY23&gt;=0,MAX(DATOS!$C$114,CEILING(AY23/INDEX(TABLAS!$D$52:$D$58,MIN(MATCH(DATOS!$C$112,TABLAS!$B$52:$B$58,0)+2,7)),1))&lt;=MIN(99,INT((CB23+MAX(DATOS!$C$32,INDEX(TABLAS!$C$52:$C$58,MIN(MATCH(DATOS!$C$112,TABLAS!$B$52:$B$58,0)+2,7))))/(INDEX(TABLAS!$C$52:$C$58,MIN(MATCH(DATOS!$C$112,TABLAS!$B$52:$B$58,0)+2,7))+MAX(DATOS!$C$32,INDEX(TABLAS!$C$52:$C$58,MIN(MATCH(DATOS!$C$112,TABLAS!$B$52:$B$58,0)+2,7))))))),INDEX(TABLAS!$B$52:$B$58,MIN(MATCH(DATOS!$C$112,TABLAS!$B$52:$B$58,0)+2,7)),IF(AND(AY23&gt;=0,MAX(DATOS!$C$114,CEILING(AY23/INDEX(TABLAS!$D$52:$D$58,MIN(MATCH(DATOS!$C$112,TABLAS!$B$52:$B$58,0)+3,7)),1))&lt;=MIN(99,INT((CB23+MAX(DATOS!$C$32,INDEX(TABLAS!$C$52:$C$58,MIN(MATCH(DATOS!$C$112,TABLAS!$B$52:$B$58,0)+3,7))))/(INDEX(TABLAS!$C$52:$C$58,MIN(MATCH(DATOS!$C$112,TABLAS!$B$52:$B$58,0)+3,7))+MAX(DATOS!$C$32,INDEX(TABLAS!$C$52:$C$58,MIN(MATCH(DATOS!$C$112,TABLAS!$B$52:$B$58,0)+3,7))))))),INDEX(TABLAS!$B$52:$B$58,MIN(MATCH(DATOS!$C$112,TABLAS!$B$52:$B$58,0)+3,7)),IF(AND(AY23&gt;=0,MAX(DATOS!$C$114,CEILING(AY23/INDEX(TABLAS!$D$52:$D$58,MIN(MATCH(DATOS!$C$112,TABLAS!$B$52:$B$58,0)+4,7)),1))&lt;=MIN(99,INT((CB23+MAX(DATOS!$C$32,INDEX(TABLAS!$C$52:$C$58,MIN(MATCH(DATOS!$C$112,TABLAS!$B$52:$B$58,0)+4,7))))/(INDEX(TABLAS!$C$52:$C$58,MIN(MATCH(DATOS!$C$112,TABLAS!$B$52:$B$58,0)+4,7))+MAX(DATOS!$C$32,INDEX(TABLAS!$C$52:$C$58,MIN(MATCH(DATOS!$C$112,TABLAS!$B$52:$B$58,0)+4,7))))))),INDEX(TABLAS!$B$52:$B$58,MIN(MATCH(DATOS!$C$112,TABLAS!$B$52:$B$58,0)+4,7)),INDEX(TABLAS!$B$52:$B$58,7)))))))</f>
        <v>5</v>
      </c>
      <c r="BA23" s="56">
        <f>IF(OR(L23="BORDE DE VOLADO",L23="SIN APOYO"),0,IF(AY23&lt;0,0,MAX(DATOS!$C$114,CEILING(AY23/INDEX(TABLAS!$D$52:$D$58,MATCH(IF(AZ23=0,8,AZ23),TABLAS!$B$52:$B$58,0)),1))))</f>
        <v>3</v>
      </c>
      <c r="BB23" s="36">
        <f>IF(BA23=0,0,DATOS!$C$58*BA23*INDEX(TABLAS!$D$52:$D$58,MATCH(AZ23,TABLAS!$B$52:$B$58,0))*DATOS!$C$40*((O23-DATOS!$C$22-INDEX(TABLAS!$C$52:$C$58,MATCH(DATOS!$C$113,TABLAS!$B$52:$B$58,0))-INDEX(TABLAS!$C$52:$C$58,MATCH(AZ23,TABLAS!$B$52:$B$58,0))/2)-BA23*INDEX(TABLAS!$D$52:$D$58,MATCH(AZ23,TABLAS!$B$52:$B$58,0))*DATOS!$C$40/(DATOS!$C$48*N23)/2)/1E5)</f>
        <v>14.8909490322353</v>
      </c>
      <c r="BC23" s="62">
        <f>IF(AY23&lt;0,9.99,IF(BB23&gt;0,AN23/BB23,0))</f>
        <v>0.927724018442737</v>
      </c>
      <c r="BD23" s="63">
        <f>IF(BA23=0,"—",0.003*((O23-DATOS!$C$22-INDEX(TABLAS!$C$52:$C$58,MATCH(DATOS!$C$113,TABLAS!$B$52:$B$58,0))-INDEX(TABLAS!$C$52:$C$58,MATCH(AZ23,TABLAS!$B$52:$B$58,0))/2)-(BA23*INDEX(TABLAS!$D$52:$D$58,MATCH(AZ23,TABLAS!$B$52:$B$58,0))*DATOS!$C$40/(DATOS!$C$48*N23)/DATOS!$C$49))/(BA23*INDEX(TABLAS!$D$52:$D$58,MATCH(AZ23,TABLAS!$B$52:$B$58,0))*DATOS!$C$40/(DATOS!$C$48*N23)/DATOS!$C$49))</f>
        <v>0.0270846185064935</v>
      </c>
      <c r="BE23" s="36">
        <f>IF(BA23=0,0,DATOS!$C$59*MIN(1.25,MAX(0.5,2*MAX(1E-6,MIN(AU23*INDEX(TABLAS!$D$52:$D$58,MATCH(MAX(AS23,2),TABLAS!$B$52:$B$58,0)),BA23*INDEX(TABLAS!$D$52:$D$58,MATCH(MAX(AZ23,2),TABLAS!$B$52:$B$58,0)))/(N23*AQ23))^(1/3)))*SQRT(DATOS!$C$39)*N23*AQ23/1000)</f>
        <v>8.23160639177205</v>
      </c>
      <c r="BF23" s="57">
        <f>IF(AO23=0,0,FLOOR(MIN(IF(AO23&gt;BE23,DATOS!$C$59*2*INDEX(TABLAS!$D$52:$D$58,MATCH(DATOS!$C$113,TABLAS!$B$52:$B$58,0))*DATOS!$C$42*AQ23/((AO23-BE23)*1000),999),IF(MAX(0,AO23-BE23)/DATOS!$C$59&lt;=1.1*SQRT(DATOS!$C$39)*N23*AQ23/1000,MIN(AQ23/2,60),MIN(AQ23/4,30)),2*INDEX(TABLAS!$D$52:$D$58,MATCH(DATOS!$C$113,TABLAS!$B$52:$B$58,0))*DATOS!$C$42/(MAX(0.2*SQRT(DATOS!$C$39),3.5)*N23),MIN(16*INDEX(TABLAS!$C$52:$C$58,MATCH(MIN(MAX(AS23,2),MAX(AZ23,2)),TABLAS!$B$52:$B$58,0)),48*INDEX(TABLAS!$C$52:$C$58,MATCH(DATOS!$C$113,TABLAS!$B$52:$B$58,0))),DATOS!$C$115),0.5))</f>
        <v>20</v>
      </c>
      <c r="BG23" s="57">
        <f>BF23</f>
        <v>20</v>
      </c>
      <c r="BH23" s="51" t="str">
        <f>IF(AO23=0,"—",IF(AO23&gt;DATOS!$C$59*(BE23/DATOS!$C$59+2.2*SQRT(DATOS!$C$39)*N23*AQ23/1000),"SECCIÓN INSUFICIENTE","E No. "&amp;TEXT(DATOS!$C$113,"0")&amp;IF(BG23&lt;BF23," @ "&amp;TEXT(BG23,"0.0")&amp;" en 2h y"," @")&amp;" "&amp;TEXT(BF23,"0.0")&amp;" cm"))</f>
        <v>E No. 3 @ 20.0 cm</v>
      </c>
      <c r="BI23" s="56">
        <f>N23+2*MIN(8*DATOS!$C$14,DATOS!$C$11/2,G23*100/8)</f>
        <v>80</v>
      </c>
      <c r="BJ23" s="71">
        <f>BI23*DATOS!$C$14^3/12+BI23*DATOS!$C$14*(((BI23*DATOS!$C$14^2/2+N23*(O23-DATOS!$C$14)*(DATOS!$C$14+(O23-DATOS!$C$14)/2))/(BI23*DATOS!$C$14+N23*(O23-DATOS!$C$14)))-DATOS!$C$14/2)^2+N23*(O23-DATOS!$C$14)^3/12+N23*(O23-DATOS!$C$14)*(DATOS!$C$14+(O23-DATOS!$C$14)/2-((BI23*DATOS!$C$14^2/2+N23*(O23-DATOS!$C$14)*(DATOS!$C$14+(O23-DATOS!$C$14)/2))/(BI23*DATOS!$C$14+N23*(O23-DATOS!$C$14))))^2</f>
        <v>1010000</v>
      </c>
      <c r="BK23" s="43">
        <f>O23-DATOS!$C$22-INDEX(TABLAS!$C$52:$C$58,MATCH(DATOS!$C$113,TABLAS!$B$52:$B$58,0))-INDEX(TABLAS!$C$52:$C$58,MATCH(MAX(IF(L23="VOLADO",AZ23,AS23),2),TABLAS!$B$52:$B$58,0))/2</f>
        <v>68.78</v>
      </c>
      <c r="BL23" s="43">
        <f>DATOS!$C$46/DATOS!$C$45*IF(L23="VOLADO",BA23*INDEX(TABLAS!$D$52:$D$58,MATCH(MAX(AZ23,2),TABLAS!$B$52:$B$58,0)),AU23*INDEX(TABLAS!$D$52:$D$58,MATCH(MAX(AS23,2),TABLAS!$B$52:$B$58,0)))</f>
        <v>91.6157013545925</v>
      </c>
      <c r="BM23" s="43">
        <f>IF(BL23&lt;=0,0,(SQRT(2*(BL23/(IF(L23="VOLADO",N23,BI23)*BK23))+(BL23/(IF(L23="VOLADO",N23,BI23)*BK23))^2)-(BL23/(IF(L23="VOLADO",N23,BI23)*BK23)))*BK23)</f>
        <v>11.4581633236299</v>
      </c>
      <c r="BN23" s="71">
        <f>IF(AND(L23&lt;&gt;"VOLADO",BM23&gt;DATOS!$C$14),(BI23*DATOS!$C$14^3/12+BI23*DATOS!$C$14*(((-((BI23-N23)*DATOS!$C$14+BL23)+SQRT(((BI23-N23)*DATOS!$C$14+BL23)^2+2*N23*((BI23-N23)*DATOS!$C$14^2/2+BL23*BK23)))/N23)-DATOS!$C$14/2)^2+N23*(((-((BI23-N23)*DATOS!$C$14+BL23)+SQRT(((BI23-N23)*DATOS!$C$14+BL23)^2+2*N23*((BI23-N23)*DATOS!$C$14^2/2+BL23*BK23)))/N23)-DATOS!$C$14)^3/3+BL23*(BK23-((-((BI23-N23)*DATOS!$C$14+BL23)+SQRT(((BI23-N23)*DATOS!$C$14+BL23)^2+2*N23*((BI23-N23)*DATOS!$C$14^2/2+BL23*BK23)))/N23))^2),(IF(L23="VOLADO",N23,BI23)*BM23^3/3+BL23*(BK23-BM23)^2))</f>
        <v>333288.856650927</v>
      </c>
      <c r="BO23" s="71">
        <f>IF(AP23&lt;=0,BJ23,IF((AP23*1E5)&lt;=2/3*(DATOS!$C$47*BJ23/IF(L23="VOLADO",((BI23*DATOS!$C$14^2/2+N23*(O23-DATOS!$C$14)*(DATOS!$C$14+(O23-DATOS!$C$14)/2))/(BI23*DATOS!$C$14+N23*(O23-DATOS!$C$14))),O23-((BI23*DATOS!$C$14^2/2+N23*(O23-DATOS!$C$14)*(DATOS!$C$14+(O23-DATOS!$C$14)/2))/(BI23*DATOS!$C$14+N23*(O23-DATOS!$C$14))))),BJ23,IF(BL23&lt;=0,0,BN23/(1-(2/3*(DATOS!$C$47*BJ23/IF(L23="VOLADO",((BI23*DATOS!$C$14^2/2+N23*(O23-DATOS!$C$14)*(DATOS!$C$14+(O23-DATOS!$C$14)/2))/(BI23*DATOS!$C$14+N23*(O23-DATOS!$C$14))),O23-((BI23*DATOS!$C$14^2/2+N23*(O23-DATOS!$C$14)*(DATOS!$C$14+(O23-DATOS!$C$14)/2))/(BI23*DATOS!$C$14+N23*(O23-DATOS!$C$14)))))/(AP23*1E5))^2*(1-BN23/BJ23)))))</f>
        <v>356958.903268642</v>
      </c>
      <c r="BP23" s="62">
        <f>IF(OR(L23="APOYADA",L23="VOLADO"),(IF(L23="VOLADO",(AP23-AH23)/4+AH23/3,5/48*AP23)*1E5*(G23*100)^2/(DATOS!$C$45*MAX(BO23,1)))*(1+2/(1+50*IF(L23="VOLADO",AU23*INDEX(TABLAS!$D$52:$D$58,MATCH(MAX(AS23,2),TABLAS!$B$52:$B$58,0)),DATOS!$C$114*INDEX(TABLAS!$D$52:$D$58,MATCH(MAX(AZ23,2),TABLAS!$B$52:$B$58,0)))/(N23*BK23))*((AA23+AC23)/MAX(AA23+AB23,1E-6))),0)</f>
        <v>1.2956903997348</v>
      </c>
      <c r="BQ23" s="43">
        <f>IF(S23&gt;0,0.3+G23*100/480,0.5+G23*100/240)</f>
        <v>1.32604166666667</v>
      </c>
      <c r="BR23" s="43">
        <f>IF(S23&gt;0,(T23+U23)*G23+AG23,0)</f>
        <v>12.3875807953673</v>
      </c>
      <c r="BS23" s="43">
        <f>IF(S23&gt;0,(DATOS!$C$51*DATOS!$C$103*100*(G23*100)^3/(DATOS!$C$45*BJ23*((BR23*1000/(DATOS!$C$103*100*S23*100)*DATOS!$C$103*100*(MIN(1,S23/G23)^4-4*MIN(1,S23/G23)^3+8*MIN(1,S23/G23)))/((BR23*1000/(DATOS!$C$103*100*S23*100)*DATOS!$C$103*100*(MIN(1,S23/G23)^4-4*MIN(1,S23/G23)^3+8*MIN(1,S23/G23)))+5*((R23+X23+Y23+IF(L23="APOYADA",8*(TRANSFER!$H$10+TRANSFER!$H$12)/G23^2,0))*10)))))^0.25,0)</f>
        <v>5.43207533333707</v>
      </c>
      <c r="BT23" s="57">
        <f>IF(S23&gt;0,MAX(1,IF(MIN(1,S23/G23)&gt;=1,(1.6*BS23-3.9),IF(MIN(1,S23/G23)&lt;0.9,((3.2*BS23-7.8)*1),((3.2*BS23-7.8)*1)+((1.6*BS23-3.9)-((3.2*BS23-7.8)*1))*(MIN(1,S23/G23)-0.9)/0.1)))*BR23*1000/(DATOS!$C$103*100*S23*100),0)</f>
        <v>8.03422947184343</v>
      </c>
      <c r="BU23" s="65" t="str">
        <f>IF(S23=0,"—",IF(DATOS!$C$105/S23&lt;0.6,"REVISAR: H/L &lt; 0.6, interacción muro-viga",IF(BT23&lt;=DATOS!$C$60*DATOS!$C$50,"CUMPLE","NO CUMPLE f_CM &gt; F_R·f'm")))</f>
        <v>REVISAR: H/L &lt; 0.6, interacción muro-viga</v>
      </c>
      <c r="BV23" s="57">
        <f>IF(S23&gt;0,MAX(25,IF(BJ23&gt;=(G23*100)^3/1600,0,MIN(G23*100/14,(12*(G23*100)^3/1600/N23)^(1/3)))),IF(L23="APOYADA",MAX(25,G23*100/16),IF(L23="VOLADO",MAX(25,G23*100/8),0)))</f>
        <v>25</v>
      </c>
      <c r="BW23" s="57">
        <f>IF(S23&gt;0,IF(BJ23&gt;=(5/4*(G23*100)^3/DATOS!$C$45*((((S23*DATOS!$C$107+(((SUMIFS(TRIB!$I$6:$I$255,TRIB!$B$6:$B$255,"DM-92")-SUMIFS(TRIB!$L$6:$L$255,TRIB!$B$6:$B$255,"DM-92"))*1.0+(SUMIFS(TRIB!$I$6:$I$255,TRIB!$B$6:$B$255,"DM-93")-SUMIFS(TRIB!$L$6:$L$255,TRIB!$B$6:$B$255,"DM-93"))*1.0+(SUMIFS(TRIB!$I$6:$I$255,TRIB!$B$6:$B$255,"DM-94")-SUMIFS(TRIB!$L$6:$L$255,TRIB!$B$6:$B$255,"DM-94"))*1.0+(SUMIFS(TRIB!$I$6:$I$255,TRIB!$B$6:$B$255,"DM-95")-SUMIFS(TRIB!$L$6:$L$255,TRIB!$B$6:$B$255,"DM-95"))*1.0+(SUMIFS(TRIB!$I$6:$I$255,TRIB!$B$6:$B$255,"DM-96")-SUMIFS(TRIB!$L$6:$L$255,TRIB!$B$6:$B$255,"DM-96"))*0.501)/G23+(SUMIFS(TRIB!$M$6:$M$255,TRIB!$B$6:$B$255,"DM-92")*1.0+SUMIFS(TRIB!$M$6:$M$255,TRIB!$B$6:$B$255,"DM-93")*1.0+SUMIFS(TRIB!$M$6:$M$255,TRIB!$B$6:$B$255,"DM-94")*1.0+SUMIFS(TRIB!$M$6:$M$255,TRIB!$B$6:$B$255,"DM-95")*1.0+SUMIFS(TRIB!$M$6:$M$255,TRIB!$B$6:$B$255,"DM-96")*0.501)/G23)*G23+AG23/DATOS!$C$55)*1000)/(DATOS!$C$103*100*S23*100)*DATOS!$C$103*100*(MIN(1,S23/G23)^4-4*MIN(1,S23/G23)^3+8*MIN(1,S23/G23)))+5*((AA23-S23*DATOS!$C$107/G23-(((SUMIFS(TRIB!$I$6:$I$255,TRIB!$B$6:$B$255,"DM-92")-SUMIFS(TRIB!$L$6:$L$255,TRIB!$B$6:$B$255,"DM-92"))*1.0+(SUMIFS(TRIB!$I$6:$I$255,TRIB!$B$6:$B$255,"DM-93")-SUMIFS(TRIB!$L$6:$L$255,TRIB!$B$6:$B$255,"DM-93"))*1.0+(SUMIFS(TRIB!$I$6:$I$255,TRIB!$B$6:$B$255,"DM-94")-SUMIFS(TRIB!$L$6:$L$255,TRIB!$B$6:$B$255,"DM-94"))*1.0+(SUMIFS(TRIB!$I$6:$I$255,TRIB!$B$6:$B$255,"DM-95")-SUMIFS(TRIB!$L$6:$L$255,TRIB!$B$6:$B$255,"DM-95"))*1.0+(SUMIFS(TRIB!$I$6:$I$255,TRIB!$B$6:$B$255,"DM-96")-SUMIFS(TRIB!$L$6:$L$255,TRIB!$B$6:$B$255,"DM-96"))*0.501)/G23))*10))),0,MIN((G23*100/((1/15*DATOS!$C$45*N23/((((S23*DATOS!$C$107+(((SUMIFS(TRIB!$I$6:$I$255,TRIB!$B$6:$B$255,"DM-92")-SUMIFS(TRIB!$L$6:$L$255,TRIB!$B$6:$B$255,"DM-92"))*1.0+(SUMIFS(TRIB!$I$6:$I$255,TRIB!$B$6:$B$255,"DM-93")-SUMIFS(TRIB!$L$6:$L$255,TRIB!$B$6:$B$255,"DM-93"))*1.0+(SUMIFS(TRIB!$I$6:$I$255,TRIB!$B$6:$B$255,"DM-94")-SUMIFS(TRIB!$L$6:$L$255,TRIB!$B$6:$B$255,"DM-94"))*1.0+(SUMIFS(TRIB!$I$6:$I$255,TRIB!$B$6:$B$255,"DM-95")-SUMIFS(TRIB!$L$6:$L$255,TRIB!$B$6:$B$255,"DM-95"))*1.0+(SUMIFS(TRIB!$I$6:$I$255,TRIB!$B$6:$B$255,"DM-96")-SUMIFS(TRIB!$L$6:$L$255,TRIB!$B$6:$B$255,"DM-96"))*0.501)/G23+(SUMIFS(TRIB!$M$6:$M$255,TRIB!$B$6:$B$255,"DM-92")*1.0+SUMIFS(TRIB!$M$6:$M$255,TRIB!$B$6:$B$255,"DM-93")*1.0+SUMIFS(TRIB!$M$6:$M$255,TRIB!$B$6:$B$255,"DM-94")*1.0+SUMIFS(TRIB!$M$6:$M$255,TRIB!$B$6:$B$255,"DM-95")*1.0+SUMIFS(TRIB!$M$6:$M$255,TRIB!$B$6:$B$255,"DM-96")*0.501)/G23)*G23+AG23/DATOS!$C$55)*1000)/(DATOS!$C$103*100*S23*100)*DATOS!$C$103*100*(MIN(1,S23/G23)^4-4*MIN(1,S23/G23)^3+8*MIN(1,S23/G23)))+5*((AA23-S23*DATOS!$C$107/G23-(((SUMIFS(TRIB!$I$6:$I$255,TRIB!$B$6:$B$255,"DM-92")-SUMIFS(TRIB!$L$6:$L$255,TRIB!$B$6:$B$255,"DM-92"))*1.0+(SUMIFS(TRIB!$I$6:$I$255,TRIB!$B$6:$B$255,"DM-93")-SUMIFS(TRIB!$L$6:$L$255,TRIB!$B$6:$B$255,"DM-93"))*1.0+(SUMIFS(TRIB!$I$6:$I$255,TRIB!$B$6:$B$255,"DM-94")-SUMIFS(TRIB!$L$6:$L$255,TRIB!$B$6:$B$255,"DM-94"))*1.0+(SUMIFS(TRIB!$I$6:$I$255,TRIB!$B$6:$B$255,"DM-95")-SUMIFS(TRIB!$L$6:$L$255,TRIB!$B$6:$B$255,"DM-95"))*1.0+(SUMIFS(TRIB!$I$6:$I$255,TRIB!$B$6:$B$255,"DM-96")-SUMIFS(TRIB!$L$6:$L$255,TRIB!$B$6:$B$255,"DM-96"))*0.501)/G23))*10)))^(1/3))),(12*(5/4*(G23*100)^3/DATOS!$C$45*((((S23*DATOS!$C$107+(((SUMIFS(TRIB!$I$6:$I$255,TRIB!$B$6:$B$255,"DM-92")-SUMIFS(TRIB!$L$6:$L$255,TRIB!$B$6:$B$255,"DM-92"))*1.0+(SUMIFS(TRIB!$I$6:$I$255,TRIB!$B$6:$B$255,"DM-93")-SUMIFS(TRIB!$L$6:$L$255,TRIB!$B$6:$B$255,"DM-93"))*1.0+(SUMIFS(TRIB!$I$6:$I$255,TRIB!$B$6:$B$255,"DM-94")-SUMIFS(TRIB!$L$6:$L$255,TRIB!$B$6:$B$255,"DM-94"))*1.0+(SUMIFS(TRIB!$I$6:$I$255,TRIB!$B$6:$B$255,"DM-95")-SUMIFS(TRIB!$L$6:$L$255,TRIB!$B$6:$B$255,"DM-95"))*1.0+(SUMIFS(TRIB!$I$6:$I$255,TRIB!$B$6:$B$255,"DM-96")-SUMIFS(TRIB!$L$6:$L$255,TRIB!$B$6:$B$255,"DM-96"))*0.501)/G23+(SUMIFS(TRIB!$M$6:$M$255,TRIB!$B$6:$B$255,"DM-92")*1.0+SUMIFS(TRIB!$M$6:$M$255,TRIB!$B$6:$B$255,"DM-93")*1.0+SUMIFS(TRIB!$M$6:$M$255,TRIB!$B$6:$B$255,"DM-94")*1.0+SUMIFS(TRIB!$M$6:$M$255,TRIB!$B$6:$B$255,"DM-95")*1.0+SUMIFS(TRIB!$M$6:$M$255,TRIB!$B$6:$B$255,"DM-96")*0.501)/G23)*G23+AG23/DATOS!$C$55)*1000)/(DATOS!$C$103*100*S23*100)*DATOS!$C$103*100*(MIN(1,S23/G23)^4-4*MIN(1,S23/G23)^3+8*MIN(1,S23/G23)))+5*((AA23-S23*DATOS!$C$107/G23-(((SUMIFS(TRIB!$I$6:$I$255,TRIB!$B$6:$B$255,"DM-92")-SUMIFS(TRIB!$L$6:$L$255,TRIB!$B$6:$B$255,"DM-92"))*1.0+(SUMIFS(TRIB!$I$6:$I$255,TRIB!$B$6:$B$255,"DM-93")-SUMIFS(TRIB!$L$6:$L$255,TRIB!$B$6:$B$255,"DM-93"))*1.0+(SUMIFS(TRIB!$I$6:$I$255,TRIB!$B$6:$B$255,"DM-94")-SUMIFS(TRIB!$L$6:$L$255,TRIB!$B$6:$B$255,"DM-94"))*1.0+(SUMIFS(TRIB!$I$6:$I$255,TRIB!$B$6:$B$255,"DM-95")-SUMIFS(TRIB!$L$6:$L$255,TRIB!$B$6:$B$255,"DM-95"))*1.0+(SUMIFS(TRIB!$I$6:$I$255,TRIB!$B$6:$B$255,"DM-96")-SUMIFS(TRIB!$L$6:$L$255,TRIB!$B$6:$B$255,"DM-96"))*0.501)/G23))*10)))/N23)^(1/3))),0)</f>
        <v>0</v>
      </c>
      <c r="BX23" s="57">
        <f>SQRT(MAX(AM23,AN23)*1E5/(DATOS!$C$58*N23*DATOS!$C$48*(DATOS!$C$82*DATOS!$C$40/DATOS!$C$48)*(1-(DATOS!$C$82*DATOS!$C$40/DATOS!$C$48)/2)))+(O23-AQ23)</f>
        <v>50.5387270753388</v>
      </c>
      <c r="BY23" s="59">
        <f>IF(OR(L23="BORDE DE VOLADO",L23="SIN APOYO"),0,CEILING(MAX(BV23,BW23,BX23,DATOS!$C$15),5))</f>
        <v>55</v>
      </c>
      <c r="BZ23" s="72" t="str">
        <f>IF(L23="BORDE DE VOLADO","BORDE DE VOLADO — armado de orilla",IF(L23="SIN APOYO","SIN APOYO — REVISAR",IF(AND(AW23&lt;=1,BC23&lt;=1,IF(AU23=0,TRUE,AU23&lt;=INT((CB23+DATOS!$C$32)/(INDEX(TABLAS!$C$52:$C$58,MATCH(MAX(AS23,2),TABLAS!$B$52:$B$58,0))+DATOS!$C$32))),IF(BA23=0,TRUE,BA23&lt;=INT((CB23+DATOS!$C$32)/(INDEX(TABLAS!$C$52:$C$58,MATCH(MAX(AZ23,2),TABLAS!$B$52:$B$58,0))+DATOS!$C$32))),AND(OR(NOT(ISNUMBER(AX23)),AX23&gt;=0.005),OR(NOT(ISNUMBER(BD23)),BD23&gt;=0.005)),BH23&lt;&gt;"SECCIÓN INSUFICIENTE",AND(O23&gt;=BV23,O23&gt;=BW23,O23/N23&lt;=6),BP23&lt;=BQ23,OR(S23=0,LEFT(BU23,6)&lt;&gt;"NO CUM")),IF(LEFT(BU23,7)="REVISAR","PENDIENTE: H/L &lt; 0.6, falta el análisis de interacción muro-viga (NTC-M 4.1.18.2.1, p. 44)","CUMPLE")&amp;IF(L23="VOLADO"," (en VOLADO)",""),"NO CUMPLE: "&amp;IF(OR(AR23&lt;0,AY23&lt;0),"sección insuficiente en flexión ",IF(OR(AW23&gt;1,BC23&gt;1),"flexión ",""))&amp;IF(NOT(AND(IF(AU23=0,TRUE,AU23&lt;=INT((CB23+DATOS!$C$32)/(INDEX(TABLAS!$C$52:$C$58,MATCH(MAX(AS23,2),TABLAS!$B$52:$B$58,0))+DATOS!$C$32))),IF(BA23=0,TRUE,BA23&lt;=INT((CB23+DATOS!$C$32)/(INDEX(TABLAS!$C$52:$C$58,MATCH(MAX(AZ23,2),TABLAS!$B$52:$B$58,0))+DATOS!$C$32))))),"no caben ","")&amp;IF(NOT(AND(OR(NOT(ISNUMBER(AX23)),AX23&gt;=0.005),OR(NOT(ISNUMBER(BD23)),BD23&gt;=0.005))),"ε_t ","")&amp;IF(BH23="SECCIÓN INSUFICIENTE","cortante ","")&amp;IF(NOT(AND(O23&gt;=BV23,O23&gt;=BW23,O23/N23&lt;=6)),"peralte ","")&amp;IF(NOT(BP23&lt;=BQ23),"flecha ","")&amp;IF(NOT(OR(S23=0,LEFT(BU23,6)&lt;&gt;"NO CUM")),"muro sobre viga ","")&amp;"→ h ≥ "&amp;TEXT(MAX(BY23,IF(BP23&gt;BQ23,MAX(O23+5,CEILING(O23*(BP23/BQ23)^(1/3),5)),0)),"0")&amp;" cm"&amp;IF(NOT(AND(IF(AU23=0,TRUE,AU23&lt;=INT((CB23+DATOS!$C$32)/(INDEX(TABLAS!$C$52:$C$58,MATCH(MAX(AS23,2),TABLAS!$B$52:$B$58,0))+DATOS!$C$32))),IF(BA23=0,TRUE,BA23&lt;=INT((CB23+DATOS!$C$32)/(INDEX(TABLAS!$C$52:$C$58,MATCH(MAX(AZ23,2),TABLAS!$B$52:$B$58,0))+DATOS!$C$32)))))," y b ≥ "&amp;TEXT(N23+5,"0")&amp;" cm","")&amp;" (verificar)")))</f>
        <v>PENDIENTE: H/L &lt; 0.6, falta el análisis de interacción muro-viga (NTC-M 4.1.18.2.1, p. 44)</v>
      </c>
      <c r="CA23" s="65" t="inlineStr">
        <is>
          <t>Recibe a NP-18, NP-24. Muro de planta alta encima (4.92 m) con la azotea de DM-92, DM-93, DM-94, DM-95, DM-96: viga que soporta muro estructural (NTC-Mampostería 4.1.18): la flecha se calcula y el límite es 0.3 cm + L/480.</t>
        </is>
      </c>
      <c r="CB23" s="43">
        <f>N23-2*DATOS!$C$22-2*INDEX(TABLAS!$C$52:$C$58,MATCH(DATOS!$C$113,TABLAS!$B$52:$B$58,0))</f>
        <v>10.1</v>
      </c>
    </row>
    <row r="24" ht="30" customHeight="1">
      <c r="B24" s="60" t="inlineStr">
        <is>
          <t>NP-16</t>
        </is>
      </c>
      <c r="C24" s="52" t="inlineStr">
        <is>
          <t>N+3.00</t>
        </is>
      </c>
      <c r="D24" s="51" t="inlineStr">
        <is>
          <t>y = 23.446</t>
        </is>
      </c>
      <c r="E24" s="52" t="inlineStr">
        <is>
          <t>(0.000, 23.446)</t>
        </is>
      </c>
      <c r="F24" s="52" t="inlineStr">
        <is>
          <t>(7.250, 23.446)</t>
        </is>
      </c>
      <c r="G24" s="55" t="n">
        <v>7.25</v>
      </c>
      <c r="H24" s="52" t="inlineStr">
        <is>
          <t>FIRME</t>
        </is>
      </c>
      <c r="I24" s="52" t="inlineStr">
        <is>
          <t>FIRME</t>
        </is>
      </c>
      <c r="J24" s="52" t="inlineStr">
        <is>
          <t>—</t>
        </is>
      </c>
      <c r="K24" s="52" t="inlineStr">
        <is>
          <t>—</t>
        </is>
      </c>
      <c r="L24" s="52" t="inlineStr">
        <is>
          <t>BORDE DE VOLADO</t>
        </is>
      </c>
      <c r="M24" s="52" t="str">
        <f>IF(L24="VOLADO",IF(OR(H24="FIRME",H24="NERVADURA",H24="PUNTA"),"i","j"),"—")</f>
        <v>—</v>
      </c>
      <c r="N24" s="58">
        <f>DATOS!$C$17</f>
        <v>15</v>
      </c>
      <c r="O24" s="58">
        <f>DATOS!$C$15</f>
        <v>25</v>
      </c>
      <c r="P24" s="65" t="str">
        <f>IF(L24="BORDE DE VOLADO","—",IF(OR(N24&lt;&gt;DATOS!$C$17,O24&lt;&gt;DATOS!$C$15),"PERALTAR: trabe "&amp;TEXT(N24,"0")&amp;"×"&amp;TEXT(O24,"0")&amp;IF(O24&gt;DATOS!$C$15," (descuelga "&amp;TEXT(O24-DATOS!$C$15,"0")&amp;" cm)",""),"Queda en la losa (15×25)"))</f>
        <v>—</v>
      </c>
      <c r="Q24" s="43">
        <f>SUMIFS(TRIB!$E$6:$E$255,TRIB!$B$6:$B$255,"NP-16")</f>
        <v>6.25</v>
      </c>
      <c r="R24" s="36">
        <f>SUMIFS(TRIB!$G$6:$G$255,TRIB!$B$6:$B$255,"NP-16")/G24</f>
        <v>0.81015130190007</v>
      </c>
      <c r="S24" s="69" t="n">
        <v>0</v>
      </c>
      <c r="T24" s="36">
        <f>DATOS!$C$55*S24*DATOS!$C$107/G24</f>
        <v>0</v>
      </c>
      <c r="U24" s="36">
        <f>0</f>
        <v>0</v>
      </c>
      <c r="V24" s="61" t="n">
        <v>333.7</v>
      </c>
      <c r="W24" s="61" t="n">
        <v>0</v>
      </c>
      <c r="X24" s="36">
        <f>(DATOS!$C$55*V24+DATOS!$C$56*W24)/1000</f>
        <v>0.43381</v>
      </c>
      <c r="Y24" s="36">
        <f>DATOS!$C$55*(N24/100*O24/100*DATOS!$C$43-N24/100*DATOS!$C$70/1000)</f>
        <v>0.0694836734693878</v>
      </c>
      <c r="Z24" s="70">
        <f>R24+T24+U24+X24+Y24</f>
        <v>1.31344497536946</v>
      </c>
      <c r="AA24" s="36">
        <f>(SUMIFS(TRIB!$I$6:$I$255,TRIB!$B$6:$B$255,"NP-16")-SUMIFS(TRIB!$L$6:$L$255,TRIB!$B$6:$B$255,"NP-16"))/G24+S24*DATOS!$C$107/G24+0+V24/1000+Y24/DATOS!$C$55</f>
        <v>0.821350246305419</v>
      </c>
      <c r="AB24" s="36">
        <f>SUMIFS(TRIB!$L$6:$L$255,TRIB!$B$6:$B$255,"NP-16")/G24+0+W24/1000</f>
        <v>0.163793103448276</v>
      </c>
      <c r="AC24" s="36">
        <f>SUMIFS(TRIB!$M$6:$M$255,TRIB!$B$6:$B$255,"NP-16")/G24+0+W24/1000*DATOS!$C$91/DATOS!$C$89</f>
        <v>0.0689655172413793</v>
      </c>
      <c r="AD24" s="36">
        <f>0</f>
        <v>0</v>
      </c>
      <c r="AE24" s="36">
        <f>0</f>
        <v>0</v>
      </c>
      <c r="AF24" s="36">
        <f>0</f>
        <v>0</v>
      </c>
      <c r="AG24" s="36">
        <f>0</f>
        <v>0</v>
      </c>
      <c r="AH24" s="36">
        <f>0</f>
        <v>0</v>
      </c>
      <c r="AI24" s="36">
        <f>IF(L24="APOYADA",Z24*G24/2+0,IF(AND(L24="VOLADO",M24="i"),Z24*G24+AD24,0))</f>
        <v>0</v>
      </c>
      <c r="AJ24" s="36">
        <f>IF(L24="APOYADA",Z24*G24/2+0,IF(AND(L24="VOLADO",M24="j"),Z24*G24+AD24,0))</f>
        <v>0</v>
      </c>
      <c r="AK24" s="36">
        <f>IF(L24="APOYADA",(AA24+AB24)*G24/2+0,IF(AND(L24="VOLADO",M24="i"),(AA24+AB24)*G24+0,0))</f>
        <v>0</v>
      </c>
      <c r="AL24" s="36">
        <f>IF(L24="APOYADA",(AA24+AB24)*G24/2+0,IF(AND(L24="VOLADO",M24="j"),(AA24+AB24)*G24+0,0))</f>
        <v>0</v>
      </c>
      <c r="AM24" s="70">
        <f>IF(L24="APOYADA",Z24*G24^2/8+AE24,0)</f>
        <v>0</v>
      </c>
      <c r="AN24" s="70">
        <f>IF(L24="APOYADA",DATOS!$C$64*AM24,IF(L24="VOLADO",Z24*G24^2/2+AE24,0))</f>
        <v>0</v>
      </c>
      <c r="AO24" s="70">
        <f>IF(L24="APOYADA",Z24*G24/2+AF24,IF(L24="VOLADO",Z24*G24+AF24,0))</f>
        <v>0</v>
      </c>
      <c r="AP24" s="36">
        <f>IF(L24="APOYADA",(AA24+AB24)*G24^2/8+AH24,IF(L24="VOLADO",(AA24+AB24)*G24^2/2+AH24,0))</f>
        <v>0</v>
      </c>
      <c r="AQ24" s="43">
        <f>O24-DATOS!$C$22-INDEX(TABLAS!$C$52:$C$58,MATCH(DATOS!$C$113,TABLAS!$B$52:$B$58,0))-INDEX(TABLAS!$C$52:$C$58,MATCH(DATOS!$C$112,TABLAS!$B$52:$B$58,0))/2</f>
        <v>19.415</v>
      </c>
      <c r="AR24" s="43">
        <f>IF(OR(L24="BORDE DE VOLADO",L24="SIN APOYO"),0,IF(IF(AM24&lt;=0,0,IF((1-2*AM24*1E5/(DATOS!$C$58*N24*AQ24^2*DATOS!$C$48))&lt;0,-1,IF((1-SQRT((1-2*AM24*1E5/(DATOS!$C$58*N24*AQ24^2*DATOS!$C$48))))*DATOS!$C$48*N24*AQ24/DATOS!$C$40&gt;DATOS!$C$82*N24*AQ24,-1,(1-SQRT((1-2*AM24*1E5/(DATOS!$C$58*N24*AQ24^2*DATOS!$C$48))))*DATOS!$C$48*N24*AQ24/DATOS!$C$40)))&lt;0,-1,MAX(IF(AM24&lt;=0,0,IF((1-2*AM24*1E5/(DATOS!$C$58*N24*AQ24^2*DATOS!$C$48))&lt;0,-1,IF((1-SQRT((1-2*AM24*1E5/(DATOS!$C$58*N24*AQ24^2*DATOS!$C$48))))*DATOS!$C$48*N24*AQ24/DATOS!$C$40&gt;DATOS!$C$82*N24*AQ24,-1,(1-SQRT((1-2*AM24*1E5/(DATOS!$C$58*N24*AQ24^2*DATOS!$C$48))))*DATOS!$C$48*N24*AQ24/DATOS!$C$40))),MIN(DATOS!$C$83*N24*AQ24,4/3*IF(AM24&lt;=0,0,IF((1-2*AM24*1E5/(DATOS!$C$58*N24*AQ24^2*DATOS!$C$48))&lt;0,-1,IF((1-SQRT((1-2*AM24*1E5/(DATOS!$C$58*N24*AQ24^2*DATOS!$C$48))))*DATOS!$C$48*N24*AQ24/DATOS!$C$40&gt;DATOS!$C$82*N24*AQ24,-1,(1-SQRT((1-2*AM24*1E5/(DATOS!$C$58*N24*AQ24^2*DATOS!$C$48))))*DATOS!$C$48*N24*AQ24/DATOS!$C$40)))))))</f>
        <v>0</v>
      </c>
      <c r="AS24" s="41">
        <f>IF(AR24&lt;0,0,IF(AND(AR24&gt;=0,MAX(DATOS!$C$114,CEILING(AR24/INDEX(TABLAS!$D$52:$D$58,MIN(MATCH(DATOS!$C$112,TABLAS!$B$52:$B$58,0)+0,7)),1))&lt;=MIN(99,INT((CB24+MAX(DATOS!$C$32,INDEX(TABLAS!$C$52:$C$58,MIN(MATCH(DATOS!$C$112,TABLAS!$B$52:$B$58,0)+0,7))))/(INDEX(TABLAS!$C$52:$C$58,MIN(MATCH(DATOS!$C$112,TABLAS!$B$52:$B$58,0)+0,7))+MAX(DATOS!$C$32,INDEX(TABLAS!$C$52:$C$58,MIN(MATCH(DATOS!$C$112,TABLAS!$B$52:$B$58,0)+0,7))))))),INDEX(TABLAS!$B$52:$B$58,MIN(MATCH(DATOS!$C$112,TABLAS!$B$52:$B$58,0)+0,7)),IF(AND(AR24&gt;=0,MAX(DATOS!$C$114,CEILING(AR24/INDEX(TABLAS!$D$52:$D$58,MIN(MATCH(DATOS!$C$112,TABLAS!$B$52:$B$58,0)+1,7)),1))&lt;=MIN(99,INT((CB24+MAX(DATOS!$C$32,INDEX(TABLAS!$C$52:$C$58,MIN(MATCH(DATOS!$C$112,TABLAS!$B$52:$B$58,0)+1,7))))/(INDEX(TABLAS!$C$52:$C$58,MIN(MATCH(DATOS!$C$112,TABLAS!$B$52:$B$58,0)+1,7))+MAX(DATOS!$C$32,INDEX(TABLAS!$C$52:$C$58,MIN(MATCH(DATOS!$C$112,TABLAS!$B$52:$B$58,0)+1,7))))))),INDEX(TABLAS!$B$52:$B$58,MIN(MATCH(DATOS!$C$112,TABLAS!$B$52:$B$58,0)+1,7)),IF(AND(AR24&gt;=0,MAX(DATOS!$C$114,CEILING(AR24/INDEX(TABLAS!$D$52:$D$58,MIN(MATCH(DATOS!$C$112,TABLAS!$B$52:$B$58,0)+2,7)),1))&lt;=MIN(99,INT((CB24+MAX(DATOS!$C$32,INDEX(TABLAS!$C$52:$C$58,MIN(MATCH(DATOS!$C$112,TABLAS!$B$52:$B$58,0)+2,7))))/(INDEX(TABLAS!$C$52:$C$58,MIN(MATCH(DATOS!$C$112,TABLAS!$B$52:$B$58,0)+2,7))+MAX(DATOS!$C$32,INDEX(TABLAS!$C$52:$C$58,MIN(MATCH(DATOS!$C$112,TABLAS!$B$52:$B$58,0)+2,7))))))),INDEX(TABLAS!$B$52:$B$58,MIN(MATCH(DATOS!$C$112,TABLAS!$B$52:$B$58,0)+2,7)),IF(AND(AR24&gt;=0,MAX(DATOS!$C$114,CEILING(AR24/INDEX(TABLAS!$D$52:$D$58,MIN(MATCH(DATOS!$C$112,TABLAS!$B$52:$B$58,0)+3,7)),1))&lt;=MIN(99,INT((CB24+MAX(DATOS!$C$32,INDEX(TABLAS!$C$52:$C$58,MIN(MATCH(DATOS!$C$112,TABLAS!$B$52:$B$58,0)+3,7))))/(INDEX(TABLAS!$C$52:$C$58,MIN(MATCH(DATOS!$C$112,TABLAS!$B$52:$B$58,0)+3,7))+MAX(DATOS!$C$32,INDEX(TABLAS!$C$52:$C$58,MIN(MATCH(DATOS!$C$112,TABLAS!$B$52:$B$58,0)+3,7))))))),INDEX(TABLAS!$B$52:$B$58,MIN(MATCH(DATOS!$C$112,TABLAS!$B$52:$B$58,0)+3,7)),IF(AND(AR24&gt;=0,MAX(DATOS!$C$114,CEILING(AR24/INDEX(TABLAS!$D$52:$D$58,MIN(MATCH(DATOS!$C$112,TABLAS!$B$52:$B$58,0)+4,7)),1))&lt;=MIN(99,INT((CB24+MAX(DATOS!$C$32,INDEX(TABLAS!$C$52:$C$58,MIN(MATCH(DATOS!$C$112,TABLAS!$B$52:$B$58,0)+4,7))))/(INDEX(TABLAS!$C$52:$C$58,MIN(MATCH(DATOS!$C$112,TABLAS!$B$52:$B$58,0)+4,7))+MAX(DATOS!$C$32,INDEX(TABLAS!$C$52:$C$58,MIN(MATCH(DATOS!$C$112,TABLAS!$B$52:$B$58,0)+4,7))))))),INDEX(TABLAS!$B$52:$B$58,MIN(MATCH(DATOS!$C$112,TABLAS!$B$52:$B$58,0)+4,7)),INDEX(TABLAS!$B$52:$B$58,7)))))))</f>
        <v>4</v>
      </c>
      <c r="AT24" s="58" t="n">
        <v>0</v>
      </c>
      <c r="AU24" s="56">
        <f>IF(OR(L24="BORDE DE VOLADO",L24="SIN APOYO"),0,IF(AR24&lt;0,0,MAX(DATOS!$C$114,CEILING(AR24/INDEX(TABLAS!$D$52:$D$58,MATCH(IF(AS24=0,8,AS24),TABLAS!$B$52:$B$58,0)),1))+AT24))</f>
        <v>0</v>
      </c>
      <c r="AV24" s="36">
        <f>IF(AU24=0,0,DATOS!$C$58*AU24*INDEX(TABLAS!$D$52:$D$58,MATCH(AS24,TABLAS!$B$52:$B$58,0))*DATOS!$C$40*((O24-DATOS!$C$22-INDEX(TABLAS!$C$52:$C$58,MATCH(DATOS!$C$113,TABLAS!$B$52:$B$58,0))-INDEX(TABLAS!$C$52:$C$58,MATCH(AS24,TABLAS!$B$52:$B$58,0))/2)-AU24*INDEX(TABLAS!$D$52:$D$58,MATCH(AS24,TABLAS!$B$52:$B$58,0))*DATOS!$C$40/(DATOS!$C$48*N24)/2)/1E5)</f>
        <v>0</v>
      </c>
      <c r="AW24" s="62">
        <f>IF(AR24&lt;0,9.99,IF(AV24&gt;0,AM24/AV24,0))</f>
        <v>0</v>
      </c>
      <c r="AX24" s="63" t="str">
        <f>IF(AU24=0,"—",0.003*((O24-DATOS!$C$22-INDEX(TABLAS!$C$52:$C$58,MATCH(DATOS!$C$113,TABLAS!$B$52:$B$58,0))-INDEX(TABLAS!$C$52:$C$58,MATCH(AS24,TABLAS!$B$52:$B$58,0))/2)-(AU24*INDEX(TABLAS!$D$52:$D$58,MATCH(AS24,TABLAS!$B$52:$B$58,0))*DATOS!$C$40/(DATOS!$C$48*N24)/DATOS!$C$49))/(AU24*INDEX(TABLAS!$D$52:$D$58,MATCH(AS24,TABLAS!$B$52:$B$58,0))*DATOS!$C$40/(DATOS!$C$48*N24)/DATOS!$C$49))</f>
        <v>—</v>
      </c>
      <c r="AY24" s="43">
        <f>IF(OR(L24="BORDE DE VOLADO",L24="SIN APOYO"),0,IF(IF(AN24&lt;=0,0,IF((1-2*AN24*1E5/(DATOS!$C$58*N24*AQ24^2*DATOS!$C$48))&lt;0,-1,IF((1-SQRT((1-2*AN24*1E5/(DATOS!$C$58*N24*AQ24^2*DATOS!$C$48))))*DATOS!$C$48*N24*AQ24/DATOS!$C$40&gt;DATOS!$C$82*N24*AQ24,-1,(1-SQRT((1-2*AN24*1E5/(DATOS!$C$58*N24*AQ24^2*DATOS!$C$48))))*DATOS!$C$48*N24*AQ24/DATOS!$C$40)))&lt;0,-1,MAX(IF(AN24&lt;=0,0,IF((1-2*AN24*1E5/(DATOS!$C$58*N24*AQ24^2*DATOS!$C$48))&lt;0,-1,IF((1-SQRT((1-2*AN24*1E5/(DATOS!$C$58*N24*AQ24^2*DATOS!$C$48))))*DATOS!$C$48*N24*AQ24/DATOS!$C$40&gt;DATOS!$C$82*N24*AQ24,-1,(1-SQRT((1-2*AN24*1E5/(DATOS!$C$58*N24*AQ24^2*DATOS!$C$48))))*DATOS!$C$48*N24*AQ24/DATOS!$C$40))),MIN(DATOS!$C$83*IF(L24="VOLADO",MIN(BI24,2*N24),N24)*AQ24,4/3*IF(AN24&lt;=0,0,IF((1-2*AN24*1E5/(DATOS!$C$58*N24*AQ24^2*DATOS!$C$48))&lt;0,-1,IF((1-SQRT((1-2*AN24*1E5/(DATOS!$C$58*N24*AQ24^2*DATOS!$C$48))))*DATOS!$C$48*N24*AQ24/DATOS!$C$40&gt;DATOS!$C$82*N24*AQ24,-1,(1-SQRT((1-2*AN24*1E5/(DATOS!$C$58*N24*AQ24^2*DATOS!$C$48))))*DATOS!$C$48*N24*AQ24/DATOS!$C$40)))))))</f>
        <v>0</v>
      </c>
      <c r="AZ24" s="41">
        <f>IF(AY24&lt;0,0,IF(AND(AY24&gt;=0,MAX(DATOS!$C$114,CEILING(AY24/INDEX(TABLAS!$D$52:$D$58,MIN(MATCH(DATOS!$C$112,TABLAS!$B$52:$B$58,0)+0,7)),1))&lt;=MIN(99,INT((CB24+MAX(DATOS!$C$32,INDEX(TABLAS!$C$52:$C$58,MIN(MATCH(DATOS!$C$112,TABLAS!$B$52:$B$58,0)+0,7))))/(INDEX(TABLAS!$C$52:$C$58,MIN(MATCH(DATOS!$C$112,TABLAS!$B$52:$B$58,0)+0,7))+MAX(DATOS!$C$32,INDEX(TABLAS!$C$52:$C$58,MIN(MATCH(DATOS!$C$112,TABLAS!$B$52:$B$58,0)+0,7))))))),INDEX(TABLAS!$B$52:$B$58,MIN(MATCH(DATOS!$C$112,TABLAS!$B$52:$B$58,0)+0,7)),IF(AND(AY24&gt;=0,MAX(DATOS!$C$114,CEILING(AY24/INDEX(TABLAS!$D$52:$D$58,MIN(MATCH(DATOS!$C$112,TABLAS!$B$52:$B$58,0)+1,7)),1))&lt;=MIN(99,INT((CB24+MAX(DATOS!$C$32,INDEX(TABLAS!$C$52:$C$58,MIN(MATCH(DATOS!$C$112,TABLAS!$B$52:$B$58,0)+1,7))))/(INDEX(TABLAS!$C$52:$C$58,MIN(MATCH(DATOS!$C$112,TABLAS!$B$52:$B$58,0)+1,7))+MAX(DATOS!$C$32,INDEX(TABLAS!$C$52:$C$58,MIN(MATCH(DATOS!$C$112,TABLAS!$B$52:$B$58,0)+1,7))))))),INDEX(TABLAS!$B$52:$B$58,MIN(MATCH(DATOS!$C$112,TABLAS!$B$52:$B$58,0)+1,7)),IF(AND(AY24&gt;=0,MAX(DATOS!$C$114,CEILING(AY24/INDEX(TABLAS!$D$52:$D$58,MIN(MATCH(DATOS!$C$112,TABLAS!$B$52:$B$58,0)+2,7)),1))&lt;=MIN(99,INT((CB24+MAX(DATOS!$C$32,INDEX(TABLAS!$C$52:$C$58,MIN(MATCH(DATOS!$C$112,TABLAS!$B$52:$B$58,0)+2,7))))/(INDEX(TABLAS!$C$52:$C$58,MIN(MATCH(DATOS!$C$112,TABLAS!$B$52:$B$58,0)+2,7))+MAX(DATOS!$C$32,INDEX(TABLAS!$C$52:$C$58,MIN(MATCH(DATOS!$C$112,TABLAS!$B$52:$B$58,0)+2,7))))))),INDEX(TABLAS!$B$52:$B$58,MIN(MATCH(DATOS!$C$112,TABLAS!$B$52:$B$58,0)+2,7)),IF(AND(AY24&gt;=0,MAX(DATOS!$C$114,CEILING(AY24/INDEX(TABLAS!$D$52:$D$58,MIN(MATCH(DATOS!$C$112,TABLAS!$B$52:$B$58,0)+3,7)),1))&lt;=MIN(99,INT((CB24+MAX(DATOS!$C$32,INDEX(TABLAS!$C$52:$C$58,MIN(MATCH(DATOS!$C$112,TABLAS!$B$52:$B$58,0)+3,7))))/(INDEX(TABLAS!$C$52:$C$58,MIN(MATCH(DATOS!$C$112,TABLAS!$B$52:$B$58,0)+3,7))+MAX(DATOS!$C$32,INDEX(TABLAS!$C$52:$C$58,MIN(MATCH(DATOS!$C$112,TABLAS!$B$52:$B$58,0)+3,7))))))),INDEX(TABLAS!$B$52:$B$58,MIN(MATCH(DATOS!$C$112,TABLAS!$B$52:$B$58,0)+3,7)),IF(AND(AY24&gt;=0,MAX(DATOS!$C$114,CEILING(AY24/INDEX(TABLAS!$D$52:$D$58,MIN(MATCH(DATOS!$C$112,TABLAS!$B$52:$B$58,0)+4,7)),1))&lt;=MIN(99,INT((CB24+MAX(DATOS!$C$32,INDEX(TABLAS!$C$52:$C$58,MIN(MATCH(DATOS!$C$112,TABLAS!$B$52:$B$58,0)+4,7))))/(INDEX(TABLAS!$C$52:$C$58,MIN(MATCH(DATOS!$C$112,TABLAS!$B$52:$B$58,0)+4,7))+MAX(DATOS!$C$32,INDEX(TABLAS!$C$52:$C$58,MIN(MATCH(DATOS!$C$112,TABLAS!$B$52:$B$58,0)+4,7))))))),INDEX(TABLAS!$B$52:$B$58,MIN(MATCH(DATOS!$C$112,TABLAS!$B$52:$B$58,0)+4,7)),INDEX(TABLAS!$B$52:$B$58,7)))))))</f>
        <v>4</v>
      </c>
      <c r="BA24" s="56">
        <f>IF(OR(L24="BORDE DE VOLADO",L24="SIN APOYO"),0,IF(AY24&lt;0,0,MAX(DATOS!$C$114,CEILING(AY24/INDEX(TABLAS!$D$52:$D$58,MATCH(IF(AZ24=0,8,AZ24),TABLAS!$B$52:$B$58,0)),1))))</f>
        <v>0</v>
      </c>
      <c r="BB24" s="36">
        <f>IF(BA24=0,0,DATOS!$C$58*BA24*INDEX(TABLAS!$D$52:$D$58,MATCH(AZ24,TABLAS!$B$52:$B$58,0))*DATOS!$C$40*((O24-DATOS!$C$22-INDEX(TABLAS!$C$52:$C$58,MATCH(DATOS!$C$113,TABLAS!$B$52:$B$58,0))-INDEX(TABLAS!$C$52:$C$58,MATCH(AZ24,TABLAS!$B$52:$B$58,0))/2)-BA24*INDEX(TABLAS!$D$52:$D$58,MATCH(AZ24,TABLAS!$B$52:$B$58,0))*DATOS!$C$40/(DATOS!$C$48*N24)/2)/1E5)</f>
        <v>0</v>
      </c>
      <c r="BC24" s="62">
        <f>IF(AY24&lt;0,9.99,IF(BB24&gt;0,AN24/BB24,0))</f>
        <v>0</v>
      </c>
      <c r="BD24" s="63" t="str">
        <f>IF(BA24=0,"—",0.003*((O24-DATOS!$C$22-INDEX(TABLAS!$C$52:$C$58,MATCH(DATOS!$C$113,TABLAS!$B$52:$B$58,0))-INDEX(TABLAS!$C$52:$C$58,MATCH(AZ24,TABLAS!$B$52:$B$58,0))/2)-(BA24*INDEX(TABLAS!$D$52:$D$58,MATCH(AZ24,TABLAS!$B$52:$B$58,0))*DATOS!$C$40/(DATOS!$C$48*N24)/DATOS!$C$49))/(BA24*INDEX(TABLAS!$D$52:$D$58,MATCH(AZ24,TABLAS!$B$52:$B$58,0))*DATOS!$C$40/(DATOS!$C$48*N24)/DATOS!$C$49))</f>
        <v>—</v>
      </c>
      <c r="BE24" s="36">
        <f>IF(BA24=0,0,DATOS!$C$59*MIN(1.25,MAX(0.5,2*MAX(1E-6,MIN(AU24*INDEX(TABLAS!$D$52:$D$58,MATCH(MAX(AS24,2),TABLAS!$B$52:$B$58,0)),BA24*INDEX(TABLAS!$D$52:$D$58,MATCH(MAX(AZ24,2),TABLAS!$B$52:$B$58,0)))/(N24*AQ24))^(1/3)))*SQRT(DATOS!$C$39)*N24*AQ24/1000)</f>
        <v>0</v>
      </c>
      <c r="BF24" s="57">
        <f>IF(AO24=0,0,FLOOR(MIN(IF(AO24&gt;BE24,DATOS!$C$59*2*INDEX(TABLAS!$D$52:$D$58,MATCH(DATOS!$C$113,TABLAS!$B$52:$B$58,0))*DATOS!$C$42*AQ24/((AO24-BE24)*1000),999),IF(MAX(0,AO24-BE24)/DATOS!$C$59&lt;=1.1*SQRT(DATOS!$C$39)*N24*AQ24/1000,MIN(AQ24/2,60),MIN(AQ24/4,30)),2*INDEX(TABLAS!$D$52:$D$58,MATCH(DATOS!$C$113,TABLAS!$B$52:$B$58,0))*DATOS!$C$42/(MAX(0.2*SQRT(DATOS!$C$39),3.5)*N24),MIN(16*INDEX(TABLAS!$C$52:$C$58,MATCH(MIN(MAX(AS24,2),MAX(AZ24,2)),TABLAS!$B$52:$B$58,0)),48*INDEX(TABLAS!$C$52:$C$58,MATCH(DATOS!$C$113,TABLAS!$B$52:$B$58,0))),DATOS!$C$115),0.5))</f>
        <v>0</v>
      </c>
      <c r="BG24" s="57">
        <f>BF24</f>
        <v>0</v>
      </c>
      <c r="BH24" s="51" t="str">
        <f>IF(AO24=0,"—",IF(AO24&gt;DATOS!$C$59*(BE24/DATOS!$C$59+2.2*SQRT(DATOS!$C$39)*N24*AQ24/1000),"SECCIÓN INSUFICIENTE","E No. "&amp;TEXT(DATOS!$C$113,"0")&amp;IF(BG24&lt;BF24," @ "&amp;TEXT(BG24,"0.0")&amp;" en 2h y"," @")&amp;" "&amp;TEXT(BF24,"0.0")&amp;" cm"))</f>
        <v>—</v>
      </c>
      <c r="BI24" s="56">
        <f>N24+MIN(6*DATOS!$C$14,DATOS!$C$11/2,G24*100/12)</f>
        <v>45</v>
      </c>
      <c r="BJ24" s="71">
        <f>BI24*DATOS!$C$14^3/12+BI24*DATOS!$C$14*(((BI24*DATOS!$C$14^2/2+N24*(O24-DATOS!$C$14)*(DATOS!$C$14+(O24-DATOS!$C$14)/2))/(BI24*DATOS!$C$14+N24*(O24-DATOS!$C$14)))-DATOS!$C$14/2)^2+N24*(O24-DATOS!$C$14)^3/12+N24*(O24-DATOS!$C$14)*(DATOS!$C$14+(O24-DATOS!$C$14)/2-((BI24*DATOS!$C$14^2/2+N24*(O24-DATOS!$C$14)*(DATOS!$C$14+(O24-DATOS!$C$14)/2))/(BI24*DATOS!$C$14+N24*(O24-DATOS!$C$14))))^2</f>
        <v>30558.0357142857</v>
      </c>
      <c r="BK24" s="43">
        <f>O24-DATOS!$C$22-INDEX(TABLAS!$C$52:$C$58,MATCH(DATOS!$C$113,TABLAS!$B$52:$B$58,0))-INDEX(TABLAS!$C$52:$C$58,MATCH(MAX(IF(L24="VOLADO",AZ24,AS24),2),TABLAS!$B$52:$B$58,0))/2</f>
        <v>19.415</v>
      </c>
      <c r="BL24" s="43">
        <f>DATOS!$C$46/DATOS!$C$45*IF(L24="VOLADO",BA24*INDEX(TABLAS!$D$52:$D$58,MATCH(MAX(AZ24,2),TABLAS!$B$52:$B$58,0)),AU24*INDEX(TABLAS!$D$52:$D$58,MATCH(MAX(AS24,2),TABLAS!$B$52:$B$58,0)))</f>
        <v>0</v>
      </c>
      <c r="BM24" s="43">
        <f>IF(BL24&lt;=0,0,(SQRT(2*(BL24/(IF(L24="VOLADO",N24,BI24)*BK24))+(BL24/(IF(L24="VOLADO",N24,BI24)*BK24))^2)-(BL24/(IF(L24="VOLADO",N24,BI24)*BK24)))*BK24)</f>
        <v>0</v>
      </c>
      <c r="BN24" s="71">
        <f>IF(AND(L24&lt;&gt;"VOLADO",BM24&gt;DATOS!$C$14),(BI24*DATOS!$C$14^3/12+BI24*DATOS!$C$14*(((-((BI24-N24)*DATOS!$C$14+BL24)+SQRT(((BI24-N24)*DATOS!$C$14+BL24)^2+2*N24*((BI24-N24)*DATOS!$C$14^2/2+BL24*BK24)))/N24)-DATOS!$C$14/2)^2+N24*(((-((BI24-N24)*DATOS!$C$14+BL24)+SQRT(((BI24-N24)*DATOS!$C$14+BL24)^2+2*N24*((BI24-N24)*DATOS!$C$14^2/2+BL24*BK24)))/N24)-DATOS!$C$14)^3/3+BL24*(BK24-((-((BI24-N24)*DATOS!$C$14+BL24)+SQRT(((BI24-N24)*DATOS!$C$14+BL24)^2+2*N24*((BI24-N24)*DATOS!$C$14^2/2+BL24*BK24)))/N24))^2),(IF(L24="VOLADO",N24,BI24)*BM24^3/3+BL24*(BK24-BM24)^2))</f>
        <v>0</v>
      </c>
      <c r="BO24" s="71">
        <f>IF(AP24&lt;=0,BJ24,IF((AP24*1E5)&lt;=2/3*(DATOS!$C$47*BJ24/IF(L24="VOLADO",((BI24*DATOS!$C$14^2/2+N24*(O24-DATOS!$C$14)*(DATOS!$C$14+(O24-DATOS!$C$14)/2))/(BI24*DATOS!$C$14+N24*(O24-DATOS!$C$14))),O24-((BI24*DATOS!$C$14^2/2+N24*(O24-DATOS!$C$14)*(DATOS!$C$14+(O24-DATOS!$C$14)/2))/(BI24*DATOS!$C$14+N24*(O24-DATOS!$C$14))))),BJ24,IF(BL24&lt;=0,0,BN24/(1-(2/3*(DATOS!$C$47*BJ24/IF(L24="VOLADO",((BI24*DATOS!$C$14^2/2+N24*(O24-DATOS!$C$14)*(DATOS!$C$14+(O24-DATOS!$C$14)/2))/(BI24*DATOS!$C$14+N24*(O24-DATOS!$C$14))),O24-((BI24*DATOS!$C$14^2/2+N24*(O24-DATOS!$C$14)*(DATOS!$C$14+(O24-DATOS!$C$14)/2))/(BI24*DATOS!$C$14+N24*(O24-DATOS!$C$14)))))/(AP24*1E5))^2*(1-BN24/BJ24)))))</f>
        <v>30558.0357142857</v>
      </c>
      <c r="BP24" s="62">
        <f>IF(OR(L24="APOYADA",L24="VOLADO"),(IF(L24="VOLADO",(AP24-AH24)/4+AH24/3,5/48*AP24)*1E5*(G24*100)^2/(DATOS!$C$45*MAX(BO24,1)))*(1+2/(1+50*IF(L24="VOLADO",AU24*INDEX(TABLAS!$D$52:$D$58,MATCH(MAX(AS24,2),TABLAS!$B$52:$B$58,0)),DATOS!$C$114*INDEX(TABLAS!$D$52:$D$58,MATCH(MAX(AZ24,2),TABLAS!$B$52:$B$58,0)))/(N24*BK24))*((AA24+AC24)/MAX(AA24+AB24,1E-6))),0)</f>
        <v>0</v>
      </c>
      <c r="BQ24" s="43">
        <f>IF(S24&gt;0,0.3+G24*100/480,0.5+G24*100/240)</f>
        <v>3.52083333333333</v>
      </c>
      <c r="BR24" s="43">
        <f>IF(S24&gt;0,(T24+U24)*G24+AG24,0)</f>
        <v>0</v>
      </c>
      <c r="BS24" s="43">
        <f>IF(S24&gt;0,(DATOS!$C$51*DATOS!$C$103*100*(G24*100)^3/(DATOS!$C$45*BJ24*((BR24*1000/(DATOS!$C$103*100*S24*100)*DATOS!$C$103*100*(MIN(1,S24/G24)^4-4*MIN(1,S24/G24)^3+8*MIN(1,S24/G24)))/((BR24*1000/(DATOS!$C$103*100*S24*100)*DATOS!$C$103*100*(MIN(1,S24/G24)^4-4*MIN(1,S24/G24)^3+8*MIN(1,S24/G24)))+5*((R24+X24+Y24+IF(L24="APOYADA",8*(0)/G24^2,0))*10)))))^0.25,0)</f>
        <v>0</v>
      </c>
      <c r="BT24" s="57">
        <f>IF(S24&gt;0,MAX(1,IF(MIN(1,S24/G24)&gt;=1,(1.6*BS24-3.9),IF(MIN(1,S24/G24)&lt;0.9,((3.2*BS24-7.8)*1),((3.2*BS24-7.8)*1)+((1.6*BS24-3.9)-((3.2*BS24-7.8)*1))*(MIN(1,S24/G24)-0.9)/0.1)))*BR24*1000/(DATOS!$C$103*100*S24*100),0)</f>
        <v>0</v>
      </c>
      <c r="BU24" s="65" t="str">
        <f>IF(S24=0,"—",IF(DATOS!$C$105/S24&lt;0.6,"REVISAR: H/L &lt; 0.6, interacción muro-viga",IF(BT24&lt;=DATOS!$C$60*DATOS!$C$50,"CUMPLE","NO CUMPLE f_CM &gt; F_R·f'm")))</f>
        <v>—</v>
      </c>
      <c r="BV24" s="57">
        <f>IF(S24&gt;0,MAX(25,IF(BJ24&gt;=(G24*100)^3/1600,0,MIN(G24*100/14,(12*(G24*100)^3/1600/N24)^(1/3)))),IF(L24="APOYADA",MAX(25,G24*100/16),IF(L24="VOLADO",MAX(25,G24*100/8),0)))</f>
        <v>0</v>
      </c>
      <c r="BW24" s="57">
        <f>IF(S24&gt;0,IF(BJ24&gt;=(5/4*(G24*100)^3/DATOS!$C$45*((((S24*DATOS!$C$107+(0+0)*G24+AG24/DATOS!$C$55)*1000)/(DATOS!$C$103*100*S24*100)*DATOS!$C$103*100*(MIN(1,S24/G24)^4-4*MIN(1,S24/G24)^3+8*MIN(1,S24/G24)))+5*((AA24-S24*DATOS!$C$107/G24-(0))*10))),0,MIN((G24*100/((1/15*DATOS!$C$45*N24/((((S24*DATOS!$C$107+(0+0)*G24+AG24/DATOS!$C$55)*1000)/(DATOS!$C$103*100*S24*100)*DATOS!$C$103*100*(MIN(1,S24/G24)^4-4*MIN(1,S24/G24)^3+8*MIN(1,S24/G24)))+5*((AA24-S24*DATOS!$C$107/G24-(0))*10)))^(1/3))),(12*(5/4*(G24*100)^3/DATOS!$C$45*((((S24*DATOS!$C$107+(0+0)*G24+AG24/DATOS!$C$55)*1000)/(DATOS!$C$103*100*S24*100)*DATOS!$C$103*100*(MIN(1,S24/G24)^4-4*MIN(1,S24/G24)^3+8*MIN(1,S24/G24)))+5*((AA24-S24*DATOS!$C$107/G24-(0))*10)))/N24)^(1/3))),0)</f>
        <v>0</v>
      </c>
      <c r="BX24" s="57">
        <f>SQRT(MAX(AM24,AN24)*1E5/(DATOS!$C$58*N24*DATOS!$C$48*(DATOS!$C$82*DATOS!$C$40/DATOS!$C$48)*(1-(DATOS!$C$82*DATOS!$C$40/DATOS!$C$48)/2)))+(O24-AQ24)</f>
        <v>5.585</v>
      </c>
      <c r="BY24" s="59">
        <f>IF(OR(L24="BORDE DE VOLADO",L24="SIN APOYO"),0,CEILING(MAX(BV24,BW24,BX24,DATOS!$C$15),5))</f>
        <v>0</v>
      </c>
      <c r="BZ24" s="72" t="str">
        <f>IF(L24="BORDE DE VOLADO","BORDE DE VOLADO — armado de orilla",IF(L24="SIN APOYO","SIN APOYO — REVISAR",IF(AND(AW24&lt;=1,BC24&lt;=1,IF(AU24=0,TRUE,AU24&lt;=INT((CB24+DATOS!$C$32)/(INDEX(TABLAS!$C$52:$C$58,MATCH(MAX(AS24,2),TABLAS!$B$52:$B$58,0))+DATOS!$C$32))),IF(BA24=0,TRUE,BA24&lt;=INT((CB24+DATOS!$C$32)/(INDEX(TABLAS!$C$52:$C$58,MATCH(MAX(AZ24,2),TABLAS!$B$52:$B$58,0))+DATOS!$C$32))),AND(OR(NOT(ISNUMBER(AX24)),AX24&gt;=0.005),OR(NOT(ISNUMBER(BD24)),BD24&gt;=0.005)),BH24&lt;&gt;"SECCIÓN INSUFICIENTE",AND(O24&gt;=BV24,O24&gt;=BW24,O24/N24&lt;=6),BP24&lt;=BQ24,OR(S24=0,LEFT(BU24,6)&lt;&gt;"NO CUM")),IF(LEFT(BU24,7)="REVISAR","PENDIENTE: H/L &lt; 0.6, falta el análisis de interacción muro-viga (NTC-M 4.1.18.2.1, p. 44)","CUMPLE")&amp;IF(L24="VOLADO"," (en VOLADO)",""),"NO CUMPLE: "&amp;IF(OR(AR24&lt;0,AY24&lt;0),"sección insuficiente en flexión ",IF(OR(AW24&gt;1,BC24&gt;1),"flexión ",""))&amp;IF(NOT(AND(IF(AU24=0,TRUE,AU24&lt;=INT((CB24+DATOS!$C$32)/(INDEX(TABLAS!$C$52:$C$58,MATCH(MAX(AS24,2),TABLAS!$B$52:$B$58,0))+DATOS!$C$32))),IF(BA24=0,TRUE,BA24&lt;=INT((CB24+DATOS!$C$32)/(INDEX(TABLAS!$C$52:$C$58,MATCH(MAX(AZ24,2),TABLAS!$B$52:$B$58,0))+DATOS!$C$32))))),"no caben ","")&amp;IF(NOT(AND(OR(NOT(ISNUMBER(AX24)),AX24&gt;=0.005),OR(NOT(ISNUMBER(BD24)),BD24&gt;=0.005))),"ε_t ","")&amp;IF(BH24="SECCIÓN INSUFICIENTE","cortante ","")&amp;IF(NOT(AND(O24&gt;=BV24,O24&gt;=BW24,O24/N24&lt;=6)),"peralte ","")&amp;IF(NOT(BP24&lt;=BQ24),"flecha ","")&amp;IF(NOT(OR(S24=0,LEFT(BU24,6)&lt;&gt;"NO CUM")),"muro sobre viga ","")&amp;"→ h ≥ "&amp;TEXT(MAX(BY24,IF(BP24&gt;BQ24,MAX(O24+5,CEILING(O24*(BP24/BQ24)^(1/3),5)),0)),"0")&amp;" cm"&amp;IF(NOT(AND(IF(AU24=0,TRUE,AU24&lt;=INT((CB24+DATOS!$C$32)/(INDEX(TABLAS!$C$52:$C$58,MATCH(MAX(AS24,2),TABLAS!$B$52:$B$58,0))+DATOS!$C$32))),IF(BA24=0,TRUE,BA24&lt;=INT((CB24+DATOS!$C$32)/(INDEX(TABLAS!$C$52:$C$58,MATCH(MAX(AZ24,2),TABLAS!$B$52:$B$58,0))+DATOS!$C$32)))))," y b ≥ "&amp;TEXT(N24+5,"0")&amp;" cm","")&amp;" (verificar)")))</f>
        <v>BORDE DE VOLADO — armado de orilla</v>
      </c>
      <c r="CA24" s="65" t="inlineStr">
        <is>
          <t>Orilla libre de tablero en volado: lleva el armado de la orilla, no trabaja como trabe.</t>
        </is>
      </c>
      <c r="CB24" s="43">
        <f>N24-2*DATOS!$C$22-2*INDEX(TABLAS!$C$52:$C$58,MATCH(DATOS!$C$113,TABLAS!$B$52:$B$58,0))</f>
        <v>5.1</v>
      </c>
    </row>
    <row r="25" ht="30" customHeight="1">
      <c r="B25" s="60" t="inlineStr">
        <is>
          <t>NP-17</t>
        </is>
      </c>
      <c r="C25" s="52" t="inlineStr">
        <is>
          <t>N+3.00</t>
        </is>
      </c>
      <c r="D25" s="51" t="inlineStr">
        <is>
          <t>x = -2.000</t>
        </is>
      </c>
      <c r="E25" s="52" t="inlineStr">
        <is>
          <t>(-2.000, 14.021)</t>
        </is>
      </c>
      <c r="F25" s="52" t="inlineStr">
        <is>
          <t>(-2.000, 17.446)</t>
        </is>
      </c>
      <c r="G25" s="55" t="n">
        <v>3.425</v>
      </c>
      <c r="H25" s="52" t="inlineStr">
        <is>
          <t>LIBRE</t>
        </is>
      </c>
      <c r="I25" s="52" t="inlineStr">
        <is>
          <t>LIBRE</t>
        </is>
      </c>
      <c r="J25" s="52" t="inlineStr">
        <is>
          <t>—</t>
        </is>
      </c>
      <c r="K25" s="52" t="inlineStr">
        <is>
          <t>—</t>
        </is>
      </c>
      <c r="L25" s="52" t="inlineStr">
        <is>
          <t>BORDE DE VOLADO</t>
        </is>
      </c>
      <c r="M25" s="52" t="str">
        <f>IF(L25="VOLADO",IF(OR(H25="FIRME",H25="NERVADURA",H25="PUNTA"),"i","j"),"—")</f>
        <v>—</v>
      </c>
      <c r="N25" s="58">
        <f>DATOS!$C$17</f>
        <v>15</v>
      </c>
      <c r="O25" s="58">
        <f>DATOS!$C$15</f>
        <v>25</v>
      </c>
      <c r="P25" s="65" t="str">
        <f>IF(L25="BORDE DE VOLADO","—",IF(OR(N25&lt;&gt;DATOS!$C$17,O25&lt;&gt;DATOS!$C$15),"PERALTAR: trabe "&amp;TEXT(N25,"0")&amp;"×"&amp;TEXT(O25,"0")&amp;IF(O25&gt;DATOS!$C$15," (descuelga "&amp;TEXT(O25-DATOS!$C$15,"0")&amp;" cm)",""),"Queda en la losa (15×25)"))</f>
        <v>—</v>
      </c>
      <c r="Q25" s="43">
        <f>SUMIFS(TRIB!$E$6:$E$255,TRIB!$B$6:$B$255,"NP-17")</f>
        <v>0</v>
      </c>
      <c r="R25" s="36">
        <f>SUMIFS(TRIB!$G$6:$G$255,TRIB!$B$6:$B$255,"NP-17")/G25</f>
        <v>0</v>
      </c>
      <c r="S25" s="69" t="n">
        <v>0</v>
      </c>
      <c r="T25" s="36">
        <f>DATOS!$C$55*S25*DATOS!$C$107/G25</f>
        <v>0</v>
      </c>
      <c r="U25" s="36">
        <f>0</f>
        <v>0</v>
      </c>
      <c r="V25" s="61" t="n">
        <v>333.7</v>
      </c>
      <c r="W25" s="61" t="n">
        <v>0</v>
      </c>
      <c r="X25" s="36">
        <f>(DATOS!$C$55*V25+DATOS!$C$56*W25)/1000</f>
        <v>0.43381</v>
      </c>
      <c r="Y25" s="36">
        <f>DATOS!$C$55*(N25/100*O25/100*DATOS!$C$43-N25/100*DATOS!$C$70/1000)</f>
        <v>0.0694836734693878</v>
      </c>
      <c r="Z25" s="70">
        <f>R25+T25+U25+X25+Y25</f>
        <v>0.503293673469388</v>
      </c>
      <c r="AA25" s="36">
        <f>(SUMIFS(TRIB!$I$6:$I$255,TRIB!$B$6:$B$255,"NP-17")-SUMIFS(TRIB!$L$6:$L$255,TRIB!$B$6:$B$255,"NP-17"))/G25+S25*DATOS!$C$107/G25+0+V25/1000+Y25/DATOS!$C$55</f>
        <v>0.387148979591837</v>
      </c>
      <c r="AB25" s="36">
        <f>SUMIFS(TRIB!$L$6:$L$255,TRIB!$B$6:$B$255,"NP-17")/G25+0+W25/1000</f>
        <v>0</v>
      </c>
      <c r="AC25" s="36">
        <f>SUMIFS(TRIB!$M$6:$M$255,TRIB!$B$6:$B$255,"NP-17")/G25+0+W25/1000*DATOS!$C$91/DATOS!$C$89</f>
        <v>0</v>
      </c>
      <c r="AD25" s="36">
        <f>0</f>
        <v>0</v>
      </c>
      <c r="AE25" s="36">
        <f>0</f>
        <v>0</v>
      </c>
      <c r="AF25" s="36">
        <f>0</f>
        <v>0</v>
      </c>
      <c r="AG25" s="36">
        <f>0</f>
        <v>0</v>
      </c>
      <c r="AH25" s="36">
        <f>0</f>
        <v>0</v>
      </c>
      <c r="AI25" s="36">
        <f>IF(L25="APOYADA",Z25*G25/2+0,IF(AND(L25="VOLADO",M25="i"),Z25*G25+AD25,0))</f>
        <v>0</v>
      </c>
      <c r="AJ25" s="36">
        <f>IF(L25="APOYADA",Z25*G25/2+0,IF(AND(L25="VOLADO",M25="j"),Z25*G25+AD25,0))</f>
        <v>0</v>
      </c>
      <c r="AK25" s="36">
        <f>IF(L25="APOYADA",(AA25+AB25)*G25/2+0,IF(AND(L25="VOLADO",M25="i"),(AA25+AB25)*G25+0,0))</f>
        <v>0</v>
      </c>
      <c r="AL25" s="36">
        <f>IF(L25="APOYADA",(AA25+AB25)*G25/2+0,IF(AND(L25="VOLADO",M25="j"),(AA25+AB25)*G25+0,0))</f>
        <v>0</v>
      </c>
      <c r="AM25" s="70">
        <f>IF(L25="APOYADA",Z25*G25^2/8+AE25,0)</f>
        <v>0</v>
      </c>
      <c r="AN25" s="70">
        <f>IF(L25="APOYADA",DATOS!$C$64*AM25,IF(L25="VOLADO",Z25*G25^2/2+AE25,0))</f>
        <v>0</v>
      </c>
      <c r="AO25" s="70">
        <f>IF(L25="APOYADA",Z25*G25/2+AF25,IF(L25="VOLADO",Z25*G25+AF25,0))</f>
        <v>0</v>
      </c>
      <c r="AP25" s="36">
        <f>IF(L25="APOYADA",(AA25+AB25)*G25^2/8+AH25,IF(L25="VOLADO",(AA25+AB25)*G25^2/2+AH25,0))</f>
        <v>0</v>
      </c>
      <c r="AQ25" s="43">
        <f>O25-DATOS!$C$22-INDEX(TABLAS!$C$52:$C$58,MATCH(DATOS!$C$113,TABLAS!$B$52:$B$58,0))-INDEX(TABLAS!$C$52:$C$58,MATCH(DATOS!$C$112,TABLAS!$B$52:$B$58,0))/2</f>
        <v>19.415</v>
      </c>
      <c r="AR25" s="43">
        <f>IF(OR(L25="BORDE DE VOLADO",L25="SIN APOYO"),0,IF(IF(AM25&lt;=0,0,IF((1-2*AM25*1E5/(DATOS!$C$58*N25*AQ25^2*DATOS!$C$48))&lt;0,-1,IF((1-SQRT((1-2*AM25*1E5/(DATOS!$C$58*N25*AQ25^2*DATOS!$C$48))))*DATOS!$C$48*N25*AQ25/DATOS!$C$40&gt;DATOS!$C$82*N25*AQ25,-1,(1-SQRT((1-2*AM25*1E5/(DATOS!$C$58*N25*AQ25^2*DATOS!$C$48))))*DATOS!$C$48*N25*AQ25/DATOS!$C$40)))&lt;0,-1,MAX(IF(AM25&lt;=0,0,IF((1-2*AM25*1E5/(DATOS!$C$58*N25*AQ25^2*DATOS!$C$48))&lt;0,-1,IF((1-SQRT((1-2*AM25*1E5/(DATOS!$C$58*N25*AQ25^2*DATOS!$C$48))))*DATOS!$C$48*N25*AQ25/DATOS!$C$40&gt;DATOS!$C$82*N25*AQ25,-1,(1-SQRT((1-2*AM25*1E5/(DATOS!$C$58*N25*AQ25^2*DATOS!$C$48))))*DATOS!$C$48*N25*AQ25/DATOS!$C$40))),MIN(DATOS!$C$83*N25*AQ25,4/3*IF(AM25&lt;=0,0,IF((1-2*AM25*1E5/(DATOS!$C$58*N25*AQ25^2*DATOS!$C$48))&lt;0,-1,IF((1-SQRT((1-2*AM25*1E5/(DATOS!$C$58*N25*AQ25^2*DATOS!$C$48))))*DATOS!$C$48*N25*AQ25/DATOS!$C$40&gt;DATOS!$C$82*N25*AQ25,-1,(1-SQRT((1-2*AM25*1E5/(DATOS!$C$58*N25*AQ25^2*DATOS!$C$48))))*DATOS!$C$48*N25*AQ25/DATOS!$C$40)))))))</f>
        <v>0</v>
      </c>
      <c r="AS25" s="41">
        <f>IF(AR25&lt;0,0,IF(AND(AR25&gt;=0,MAX(DATOS!$C$114,CEILING(AR25/INDEX(TABLAS!$D$52:$D$58,MIN(MATCH(DATOS!$C$112,TABLAS!$B$52:$B$58,0)+0,7)),1))&lt;=MIN(99,INT((CB25+MAX(DATOS!$C$32,INDEX(TABLAS!$C$52:$C$58,MIN(MATCH(DATOS!$C$112,TABLAS!$B$52:$B$58,0)+0,7))))/(INDEX(TABLAS!$C$52:$C$58,MIN(MATCH(DATOS!$C$112,TABLAS!$B$52:$B$58,0)+0,7))+MAX(DATOS!$C$32,INDEX(TABLAS!$C$52:$C$58,MIN(MATCH(DATOS!$C$112,TABLAS!$B$52:$B$58,0)+0,7))))))),INDEX(TABLAS!$B$52:$B$58,MIN(MATCH(DATOS!$C$112,TABLAS!$B$52:$B$58,0)+0,7)),IF(AND(AR25&gt;=0,MAX(DATOS!$C$114,CEILING(AR25/INDEX(TABLAS!$D$52:$D$58,MIN(MATCH(DATOS!$C$112,TABLAS!$B$52:$B$58,0)+1,7)),1))&lt;=MIN(99,INT((CB25+MAX(DATOS!$C$32,INDEX(TABLAS!$C$52:$C$58,MIN(MATCH(DATOS!$C$112,TABLAS!$B$52:$B$58,0)+1,7))))/(INDEX(TABLAS!$C$52:$C$58,MIN(MATCH(DATOS!$C$112,TABLAS!$B$52:$B$58,0)+1,7))+MAX(DATOS!$C$32,INDEX(TABLAS!$C$52:$C$58,MIN(MATCH(DATOS!$C$112,TABLAS!$B$52:$B$58,0)+1,7))))))),INDEX(TABLAS!$B$52:$B$58,MIN(MATCH(DATOS!$C$112,TABLAS!$B$52:$B$58,0)+1,7)),IF(AND(AR25&gt;=0,MAX(DATOS!$C$114,CEILING(AR25/INDEX(TABLAS!$D$52:$D$58,MIN(MATCH(DATOS!$C$112,TABLAS!$B$52:$B$58,0)+2,7)),1))&lt;=MIN(99,INT((CB25+MAX(DATOS!$C$32,INDEX(TABLAS!$C$52:$C$58,MIN(MATCH(DATOS!$C$112,TABLAS!$B$52:$B$58,0)+2,7))))/(INDEX(TABLAS!$C$52:$C$58,MIN(MATCH(DATOS!$C$112,TABLAS!$B$52:$B$58,0)+2,7))+MAX(DATOS!$C$32,INDEX(TABLAS!$C$52:$C$58,MIN(MATCH(DATOS!$C$112,TABLAS!$B$52:$B$58,0)+2,7))))))),INDEX(TABLAS!$B$52:$B$58,MIN(MATCH(DATOS!$C$112,TABLAS!$B$52:$B$58,0)+2,7)),IF(AND(AR25&gt;=0,MAX(DATOS!$C$114,CEILING(AR25/INDEX(TABLAS!$D$52:$D$58,MIN(MATCH(DATOS!$C$112,TABLAS!$B$52:$B$58,0)+3,7)),1))&lt;=MIN(99,INT((CB25+MAX(DATOS!$C$32,INDEX(TABLAS!$C$52:$C$58,MIN(MATCH(DATOS!$C$112,TABLAS!$B$52:$B$58,0)+3,7))))/(INDEX(TABLAS!$C$52:$C$58,MIN(MATCH(DATOS!$C$112,TABLAS!$B$52:$B$58,0)+3,7))+MAX(DATOS!$C$32,INDEX(TABLAS!$C$52:$C$58,MIN(MATCH(DATOS!$C$112,TABLAS!$B$52:$B$58,0)+3,7))))))),INDEX(TABLAS!$B$52:$B$58,MIN(MATCH(DATOS!$C$112,TABLAS!$B$52:$B$58,0)+3,7)),IF(AND(AR25&gt;=0,MAX(DATOS!$C$114,CEILING(AR25/INDEX(TABLAS!$D$52:$D$58,MIN(MATCH(DATOS!$C$112,TABLAS!$B$52:$B$58,0)+4,7)),1))&lt;=MIN(99,INT((CB25+MAX(DATOS!$C$32,INDEX(TABLAS!$C$52:$C$58,MIN(MATCH(DATOS!$C$112,TABLAS!$B$52:$B$58,0)+4,7))))/(INDEX(TABLAS!$C$52:$C$58,MIN(MATCH(DATOS!$C$112,TABLAS!$B$52:$B$58,0)+4,7))+MAX(DATOS!$C$32,INDEX(TABLAS!$C$52:$C$58,MIN(MATCH(DATOS!$C$112,TABLAS!$B$52:$B$58,0)+4,7))))))),INDEX(TABLAS!$B$52:$B$58,MIN(MATCH(DATOS!$C$112,TABLAS!$B$52:$B$58,0)+4,7)),INDEX(TABLAS!$B$52:$B$58,7)))))))</f>
        <v>4</v>
      </c>
      <c r="AT25" s="58" t="n">
        <v>0</v>
      </c>
      <c r="AU25" s="56">
        <f>IF(OR(L25="BORDE DE VOLADO",L25="SIN APOYO"),0,IF(AR25&lt;0,0,MAX(DATOS!$C$114,CEILING(AR25/INDEX(TABLAS!$D$52:$D$58,MATCH(IF(AS25=0,8,AS25),TABLAS!$B$52:$B$58,0)),1))+AT25))</f>
        <v>0</v>
      </c>
      <c r="AV25" s="36">
        <f>IF(AU25=0,0,DATOS!$C$58*AU25*INDEX(TABLAS!$D$52:$D$58,MATCH(AS25,TABLAS!$B$52:$B$58,0))*DATOS!$C$40*((O25-DATOS!$C$22-INDEX(TABLAS!$C$52:$C$58,MATCH(DATOS!$C$113,TABLAS!$B$52:$B$58,0))-INDEX(TABLAS!$C$52:$C$58,MATCH(AS25,TABLAS!$B$52:$B$58,0))/2)-AU25*INDEX(TABLAS!$D$52:$D$58,MATCH(AS25,TABLAS!$B$52:$B$58,0))*DATOS!$C$40/(DATOS!$C$48*N25)/2)/1E5)</f>
        <v>0</v>
      </c>
      <c r="AW25" s="62">
        <f>IF(AR25&lt;0,9.99,IF(AV25&gt;0,AM25/AV25,0))</f>
        <v>0</v>
      </c>
      <c r="AX25" s="63" t="str">
        <f>IF(AU25=0,"—",0.003*((O25-DATOS!$C$22-INDEX(TABLAS!$C$52:$C$58,MATCH(DATOS!$C$113,TABLAS!$B$52:$B$58,0))-INDEX(TABLAS!$C$52:$C$58,MATCH(AS25,TABLAS!$B$52:$B$58,0))/2)-(AU25*INDEX(TABLAS!$D$52:$D$58,MATCH(AS25,TABLAS!$B$52:$B$58,0))*DATOS!$C$40/(DATOS!$C$48*N25)/DATOS!$C$49))/(AU25*INDEX(TABLAS!$D$52:$D$58,MATCH(AS25,TABLAS!$B$52:$B$58,0))*DATOS!$C$40/(DATOS!$C$48*N25)/DATOS!$C$49))</f>
        <v>—</v>
      </c>
      <c r="AY25" s="43">
        <f>IF(OR(L25="BORDE DE VOLADO",L25="SIN APOYO"),0,IF(IF(AN25&lt;=0,0,IF((1-2*AN25*1E5/(DATOS!$C$58*N25*AQ25^2*DATOS!$C$48))&lt;0,-1,IF((1-SQRT((1-2*AN25*1E5/(DATOS!$C$58*N25*AQ25^2*DATOS!$C$48))))*DATOS!$C$48*N25*AQ25/DATOS!$C$40&gt;DATOS!$C$82*N25*AQ25,-1,(1-SQRT((1-2*AN25*1E5/(DATOS!$C$58*N25*AQ25^2*DATOS!$C$48))))*DATOS!$C$48*N25*AQ25/DATOS!$C$40)))&lt;0,-1,MAX(IF(AN25&lt;=0,0,IF((1-2*AN25*1E5/(DATOS!$C$58*N25*AQ25^2*DATOS!$C$48))&lt;0,-1,IF((1-SQRT((1-2*AN25*1E5/(DATOS!$C$58*N25*AQ25^2*DATOS!$C$48))))*DATOS!$C$48*N25*AQ25/DATOS!$C$40&gt;DATOS!$C$82*N25*AQ25,-1,(1-SQRT((1-2*AN25*1E5/(DATOS!$C$58*N25*AQ25^2*DATOS!$C$48))))*DATOS!$C$48*N25*AQ25/DATOS!$C$40))),MIN(DATOS!$C$83*IF(L25="VOLADO",MIN(BI25,2*N25),N25)*AQ25,4/3*IF(AN25&lt;=0,0,IF((1-2*AN25*1E5/(DATOS!$C$58*N25*AQ25^2*DATOS!$C$48))&lt;0,-1,IF((1-SQRT((1-2*AN25*1E5/(DATOS!$C$58*N25*AQ25^2*DATOS!$C$48))))*DATOS!$C$48*N25*AQ25/DATOS!$C$40&gt;DATOS!$C$82*N25*AQ25,-1,(1-SQRT((1-2*AN25*1E5/(DATOS!$C$58*N25*AQ25^2*DATOS!$C$48))))*DATOS!$C$48*N25*AQ25/DATOS!$C$40)))))))</f>
        <v>0</v>
      </c>
      <c r="AZ25" s="41">
        <f>IF(AY25&lt;0,0,IF(AND(AY25&gt;=0,MAX(DATOS!$C$114,CEILING(AY25/INDEX(TABLAS!$D$52:$D$58,MIN(MATCH(DATOS!$C$112,TABLAS!$B$52:$B$58,0)+0,7)),1))&lt;=MIN(99,INT((CB25+MAX(DATOS!$C$32,INDEX(TABLAS!$C$52:$C$58,MIN(MATCH(DATOS!$C$112,TABLAS!$B$52:$B$58,0)+0,7))))/(INDEX(TABLAS!$C$52:$C$58,MIN(MATCH(DATOS!$C$112,TABLAS!$B$52:$B$58,0)+0,7))+MAX(DATOS!$C$32,INDEX(TABLAS!$C$52:$C$58,MIN(MATCH(DATOS!$C$112,TABLAS!$B$52:$B$58,0)+0,7))))))),INDEX(TABLAS!$B$52:$B$58,MIN(MATCH(DATOS!$C$112,TABLAS!$B$52:$B$58,0)+0,7)),IF(AND(AY25&gt;=0,MAX(DATOS!$C$114,CEILING(AY25/INDEX(TABLAS!$D$52:$D$58,MIN(MATCH(DATOS!$C$112,TABLAS!$B$52:$B$58,0)+1,7)),1))&lt;=MIN(99,INT((CB25+MAX(DATOS!$C$32,INDEX(TABLAS!$C$52:$C$58,MIN(MATCH(DATOS!$C$112,TABLAS!$B$52:$B$58,0)+1,7))))/(INDEX(TABLAS!$C$52:$C$58,MIN(MATCH(DATOS!$C$112,TABLAS!$B$52:$B$58,0)+1,7))+MAX(DATOS!$C$32,INDEX(TABLAS!$C$52:$C$58,MIN(MATCH(DATOS!$C$112,TABLAS!$B$52:$B$58,0)+1,7))))))),INDEX(TABLAS!$B$52:$B$58,MIN(MATCH(DATOS!$C$112,TABLAS!$B$52:$B$58,0)+1,7)),IF(AND(AY25&gt;=0,MAX(DATOS!$C$114,CEILING(AY25/INDEX(TABLAS!$D$52:$D$58,MIN(MATCH(DATOS!$C$112,TABLAS!$B$52:$B$58,0)+2,7)),1))&lt;=MIN(99,INT((CB25+MAX(DATOS!$C$32,INDEX(TABLAS!$C$52:$C$58,MIN(MATCH(DATOS!$C$112,TABLAS!$B$52:$B$58,0)+2,7))))/(INDEX(TABLAS!$C$52:$C$58,MIN(MATCH(DATOS!$C$112,TABLAS!$B$52:$B$58,0)+2,7))+MAX(DATOS!$C$32,INDEX(TABLAS!$C$52:$C$58,MIN(MATCH(DATOS!$C$112,TABLAS!$B$52:$B$58,0)+2,7))))))),INDEX(TABLAS!$B$52:$B$58,MIN(MATCH(DATOS!$C$112,TABLAS!$B$52:$B$58,0)+2,7)),IF(AND(AY25&gt;=0,MAX(DATOS!$C$114,CEILING(AY25/INDEX(TABLAS!$D$52:$D$58,MIN(MATCH(DATOS!$C$112,TABLAS!$B$52:$B$58,0)+3,7)),1))&lt;=MIN(99,INT((CB25+MAX(DATOS!$C$32,INDEX(TABLAS!$C$52:$C$58,MIN(MATCH(DATOS!$C$112,TABLAS!$B$52:$B$58,0)+3,7))))/(INDEX(TABLAS!$C$52:$C$58,MIN(MATCH(DATOS!$C$112,TABLAS!$B$52:$B$58,0)+3,7))+MAX(DATOS!$C$32,INDEX(TABLAS!$C$52:$C$58,MIN(MATCH(DATOS!$C$112,TABLAS!$B$52:$B$58,0)+3,7))))))),INDEX(TABLAS!$B$52:$B$58,MIN(MATCH(DATOS!$C$112,TABLAS!$B$52:$B$58,0)+3,7)),IF(AND(AY25&gt;=0,MAX(DATOS!$C$114,CEILING(AY25/INDEX(TABLAS!$D$52:$D$58,MIN(MATCH(DATOS!$C$112,TABLAS!$B$52:$B$58,0)+4,7)),1))&lt;=MIN(99,INT((CB25+MAX(DATOS!$C$32,INDEX(TABLAS!$C$52:$C$58,MIN(MATCH(DATOS!$C$112,TABLAS!$B$52:$B$58,0)+4,7))))/(INDEX(TABLAS!$C$52:$C$58,MIN(MATCH(DATOS!$C$112,TABLAS!$B$52:$B$58,0)+4,7))+MAX(DATOS!$C$32,INDEX(TABLAS!$C$52:$C$58,MIN(MATCH(DATOS!$C$112,TABLAS!$B$52:$B$58,0)+4,7))))))),INDEX(TABLAS!$B$52:$B$58,MIN(MATCH(DATOS!$C$112,TABLAS!$B$52:$B$58,0)+4,7)),INDEX(TABLAS!$B$52:$B$58,7)))))))</f>
        <v>4</v>
      </c>
      <c r="BA25" s="56">
        <f>IF(OR(L25="BORDE DE VOLADO",L25="SIN APOYO"),0,IF(AY25&lt;0,0,MAX(DATOS!$C$114,CEILING(AY25/INDEX(TABLAS!$D$52:$D$58,MATCH(IF(AZ25=0,8,AZ25),TABLAS!$B$52:$B$58,0)),1))))</f>
        <v>0</v>
      </c>
      <c r="BB25" s="36">
        <f>IF(BA25=0,0,DATOS!$C$58*BA25*INDEX(TABLAS!$D$52:$D$58,MATCH(AZ25,TABLAS!$B$52:$B$58,0))*DATOS!$C$40*((O25-DATOS!$C$22-INDEX(TABLAS!$C$52:$C$58,MATCH(DATOS!$C$113,TABLAS!$B$52:$B$58,0))-INDEX(TABLAS!$C$52:$C$58,MATCH(AZ25,TABLAS!$B$52:$B$58,0))/2)-BA25*INDEX(TABLAS!$D$52:$D$58,MATCH(AZ25,TABLAS!$B$52:$B$58,0))*DATOS!$C$40/(DATOS!$C$48*N25)/2)/1E5)</f>
        <v>0</v>
      </c>
      <c r="BC25" s="62">
        <f>IF(AY25&lt;0,9.99,IF(BB25&gt;0,AN25/BB25,0))</f>
        <v>0</v>
      </c>
      <c r="BD25" s="63" t="str">
        <f>IF(BA25=0,"—",0.003*((O25-DATOS!$C$22-INDEX(TABLAS!$C$52:$C$58,MATCH(DATOS!$C$113,TABLAS!$B$52:$B$58,0))-INDEX(TABLAS!$C$52:$C$58,MATCH(AZ25,TABLAS!$B$52:$B$58,0))/2)-(BA25*INDEX(TABLAS!$D$52:$D$58,MATCH(AZ25,TABLAS!$B$52:$B$58,0))*DATOS!$C$40/(DATOS!$C$48*N25)/DATOS!$C$49))/(BA25*INDEX(TABLAS!$D$52:$D$58,MATCH(AZ25,TABLAS!$B$52:$B$58,0))*DATOS!$C$40/(DATOS!$C$48*N25)/DATOS!$C$49))</f>
        <v>—</v>
      </c>
      <c r="BE25" s="36">
        <f>IF(BA25=0,0,DATOS!$C$59*MIN(1.25,MAX(0.5,2*MAX(1E-6,MIN(AU25*INDEX(TABLAS!$D$52:$D$58,MATCH(MAX(AS25,2),TABLAS!$B$52:$B$58,0)),BA25*INDEX(TABLAS!$D$52:$D$58,MATCH(MAX(AZ25,2),TABLAS!$B$52:$B$58,0)))/(N25*AQ25))^(1/3)))*SQRT(DATOS!$C$39)*N25*AQ25/1000)</f>
        <v>0</v>
      </c>
      <c r="BF25" s="57">
        <f>IF(AO25=0,0,FLOOR(MIN(IF(AO25&gt;BE25,DATOS!$C$59*2*INDEX(TABLAS!$D$52:$D$58,MATCH(DATOS!$C$113,TABLAS!$B$52:$B$58,0))*DATOS!$C$42*AQ25/((AO25-BE25)*1000),999),IF(MAX(0,AO25-BE25)/DATOS!$C$59&lt;=1.1*SQRT(DATOS!$C$39)*N25*AQ25/1000,MIN(AQ25/2,60),MIN(AQ25/4,30)),2*INDEX(TABLAS!$D$52:$D$58,MATCH(DATOS!$C$113,TABLAS!$B$52:$B$58,0))*DATOS!$C$42/(MAX(0.2*SQRT(DATOS!$C$39),3.5)*N25),MIN(16*INDEX(TABLAS!$C$52:$C$58,MATCH(MIN(MAX(AS25,2),MAX(AZ25,2)),TABLAS!$B$52:$B$58,0)),48*INDEX(TABLAS!$C$52:$C$58,MATCH(DATOS!$C$113,TABLAS!$B$52:$B$58,0))),DATOS!$C$115),0.5))</f>
        <v>0</v>
      </c>
      <c r="BG25" s="57">
        <f>BF25</f>
        <v>0</v>
      </c>
      <c r="BH25" s="51" t="str">
        <f>IF(AO25=0,"—",IF(AO25&gt;DATOS!$C$59*(BE25/DATOS!$C$59+2.2*SQRT(DATOS!$C$39)*N25*AQ25/1000),"SECCIÓN INSUFICIENTE","E No. "&amp;TEXT(DATOS!$C$113,"0")&amp;IF(BG25&lt;BF25," @ "&amp;TEXT(BG25,"0.0")&amp;" en 2h y"," @")&amp;" "&amp;TEXT(BF25,"0.0")&amp;" cm"))</f>
        <v>—</v>
      </c>
      <c r="BI25" s="56">
        <f>N25+MIN(6*DATOS!$C$14,DATOS!$C$11/2,G25*100/12)</f>
        <v>43.5416666666667</v>
      </c>
      <c r="BJ25" s="71">
        <f>BI25*DATOS!$C$14^3/12+BI25*DATOS!$C$14*(((BI25*DATOS!$C$14^2/2+N25*(O25-DATOS!$C$14)*(DATOS!$C$14+(O25-DATOS!$C$14)/2))/(BI25*DATOS!$C$14+N25*(O25-DATOS!$C$14)))-DATOS!$C$14/2)^2+N25*(O25-DATOS!$C$14)^3/12+N25*(O25-DATOS!$C$14)*(DATOS!$C$14+(O25-DATOS!$C$14)/2-((BI25*DATOS!$C$14^2/2+N25*(O25-DATOS!$C$14)*(DATOS!$C$14+(O25-DATOS!$C$14)/2))/(BI25*DATOS!$C$14+N25*(O25-DATOS!$C$14))))^2</f>
        <v>30165.5811605746</v>
      </c>
      <c r="BK25" s="43">
        <f>O25-DATOS!$C$22-INDEX(TABLAS!$C$52:$C$58,MATCH(DATOS!$C$113,TABLAS!$B$52:$B$58,0))-INDEX(TABLAS!$C$52:$C$58,MATCH(MAX(IF(L25="VOLADO",AZ25,AS25),2),TABLAS!$B$52:$B$58,0))/2</f>
        <v>19.415</v>
      </c>
      <c r="BL25" s="43">
        <f>DATOS!$C$46/DATOS!$C$45*IF(L25="VOLADO",BA25*INDEX(TABLAS!$D$52:$D$58,MATCH(MAX(AZ25,2),TABLAS!$B$52:$B$58,0)),AU25*INDEX(TABLAS!$D$52:$D$58,MATCH(MAX(AS25,2),TABLAS!$B$52:$B$58,0)))</f>
        <v>0</v>
      </c>
      <c r="BM25" s="43">
        <f>IF(BL25&lt;=0,0,(SQRT(2*(BL25/(IF(L25="VOLADO",N25,BI25)*BK25))+(BL25/(IF(L25="VOLADO",N25,BI25)*BK25))^2)-(BL25/(IF(L25="VOLADO",N25,BI25)*BK25)))*BK25)</f>
        <v>0</v>
      </c>
      <c r="BN25" s="71">
        <f>IF(AND(L25&lt;&gt;"VOLADO",BM25&gt;DATOS!$C$14),(BI25*DATOS!$C$14^3/12+BI25*DATOS!$C$14*(((-((BI25-N25)*DATOS!$C$14+BL25)+SQRT(((BI25-N25)*DATOS!$C$14+BL25)^2+2*N25*((BI25-N25)*DATOS!$C$14^2/2+BL25*BK25)))/N25)-DATOS!$C$14/2)^2+N25*(((-((BI25-N25)*DATOS!$C$14+BL25)+SQRT(((BI25-N25)*DATOS!$C$14+BL25)^2+2*N25*((BI25-N25)*DATOS!$C$14^2/2+BL25*BK25)))/N25)-DATOS!$C$14)^3/3+BL25*(BK25-((-((BI25-N25)*DATOS!$C$14+BL25)+SQRT(((BI25-N25)*DATOS!$C$14+BL25)^2+2*N25*((BI25-N25)*DATOS!$C$14^2/2+BL25*BK25)))/N25))^2),(IF(L25="VOLADO",N25,BI25)*BM25^3/3+BL25*(BK25-BM25)^2))</f>
        <v>0</v>
      </c>
      <c r="BO25" s="71">
        <f>IF(AP25&lt;=0,BJ25,IF((AP25*1E5)&lt;=2/3*(DATOS!$C$47*BJ25/IF(L25="VOLADO",((BI25*DATOS!$C$14^2/2+N25*(O25-DATOS!$C$14)*(DATOS!$C$14+(O25-DATOS!$C$14)/2))/(BI25*DATOS!$C$14+N25*(O25-DATOS!$C$14))),O25-((BI25*DATOS!$C$14^2/2+N25*(O25-DATOS!$C$14)*(DATOS!$C$14+(O25-DATOS!$C$14)/2))/(BI25*DATOS!$C$14+N25*(O25-DATOS!$C$14))))),BJ25,IF(BL25&lt;=0,0,BN25/(1-(2/3*(DATOS!$C$47*BJ25/IF(L25="VOLADO",((BI25*DATOS!$C$14^2/2+N25*(O25-DATOS!$C$14)*(DATOS!$C$14+(O25-DATOS!$C$14)/2))/(BI25*DATOS!$C$14+N25*(O25-DATOS!$C$14))),O25-((BI25*DATOS!$C$14^2/2+N25*(O25-DATOS!$C$14)*(DATOS!$C$14+(O25-DATOS!$C$14)/2))/(BI25*DATOS!$C$14+N25*(O25-DATOS!$C$14)))))/(AP25*1E5))^2*(1-BN25/BJ25)))))</f>
        <v>30165.5811605746</v>
      </c>
      <c r="BP25" s="62">
        <f>IF(OR(L25="APOYADA",L25="VOLADO"),(IF(L25="VOLADO",(AP25-AH25)/4+AH25/3,5/48*AP25)*1E5*(G25*100)^2/(DATOS!$C$45*MAX(BO25,1)))*(1+2/(1+50*IF(L25="VOLADO",AU25*INDEX(TABLAS!$D$52:$D$58,MATCH(MAX(AS25,2),TABLAS!$B$52:$B$58,0)),DATOS!$C$114*INDEX(TABLAS!$D$52:$D$58,MATCH(MAX(AZ25,2),TABLAS!$B$52:$B$58,0)))/(N25*BK25))*((AA25+AC25)/MAX(AA25+AB25,1E-6))),0)</f>
        <v>0</v>
      </c>
      <c r="BQ25" s="43">
        <f>IF(S25&gt;0,0.3+G25*100/480,0.5+G25*100/240)</f>
        <v>1.92708333333333</v>
      </c>
      <c r="BR25" s="43">
        <f>IF(S25&gt;0,(T25+U25)*G25+AG25,0)</f>
        <v>0</v>
      </c>
      <c r="BS25" s="43">
        <f>IF(S25&gt;0,(DATOS!$C$51*DATOS!$C$103*100*(G25*100)^3/(DATOS!$C$45*BJ25*((BR25*1000/(DATOS!$C$103*100*S25*100)*DATOS!$C$103*100*(MIN(1,S25/G25)^4-4*MIN(1,S25/G25)^3+8*MIN(1,S25/G25)))/((BR25*1000/(DATOS!$C$103*100*S25*100)*DATOS!$C$103*100*(MIN(1,S25/G25)^4-4*MIN(1,S25/G25)^3+8*MIN(1,S25/G25)))+5*((R25+X25+Y25+IF(L25="APOYADA",8*(0)/G25^2,0))*10)))))^0.25,0)</f>
        <v>0</v>
      </c>
      <c r="BT25" s="57">
        <f>IF(S25&gt;0,MAX(1,IF(MIN(1,S25/G25)&gt;=1,(1.6*BS25-3.9),IF(MIN(1,S25/G25)&lt;0.9,((3.2*BS25-7.8)*1),((3.2*BS25-7.8)*1)+((1.6*BS25-3.9)-((3.2*BS25-7.8)*1))*(MIN(1,S25/G25)-0.9)/0.1)))*BR25*1000/(DATOS!$C$103*100*S25*100),0)</f>
        <v>0</v>
      </c>
      <c r="BU25" s="65" t="str">
        <f>IF(S25=0,"—",IF(DATOS!$C$105/S25&lt;0.6,"REVISAR: H/L &lt; 0.6, interacción muro-viga",IF(BT25&lt;=DATOS!$C$60*DATOS!$C$50,"CUMPLE","NO CUMPLE f_CM &gt; F_R·f'm")))</f>
        <v>—</v>
      </c>
      <c r="BV25" s="57">
        <f>IF(S25&gt;0,MAX(25,IF(BJ25&gt;=(G25*100)^3/1600,0,MIN(G25*100/14,(12*(G25*100)^3/1600/N25)^(1/3)))),IF(L25="APOYADA",MAX(25,G25*100/16),IF(L25="VOLADO",MAX(25,G25*100/8),0)))</f>
        <v>0</v>
      </c>
      <c r="BW25" s="57">
        <f>IF(S25&gt;0,IF(BJ25&gt;=(5/4*(G25*100)^3/DATOS!$C$45*((((S25*DATOS!$C$107+(0+0)*G25+AG25/DATOS!$C$55)*1000)/(DATOS!$C$103*100*S25*100)*DATOS!$C$103*100*(MIN(1,S25/G25)^4-4*MIN(1,S25/G25)^3+8*MIN(1,S25/G25)))+5*((AA25-S25*DATOS!$C$107/G25-(0))*10))),0,MIN((G25*100/((1/15*DATOS!$C$45*N25/((((S25*DATOS!$C$107+(0+0)*G25+AG25/DATOS!$C$55)*1000)/(DATOS!$C$103*100*S25*100)*DATOS!$C$103*100*(MIN(1,S25/G25)^4-4*MIN(1,S25/G25)^3+8*MIN(1,S25/G25)))+5*((AA25-S25*DATOS!$C$107/G25-(0))*10)))^(1/3))),(12*(5/4*(G25*100)^3/DATOS!$C$45*((((S25*DATOS!$C$107+(0+0)*G25+AG25/DATOS!$C$55)*1000)/(DATOS!$C$103*100*S25*100)*DATOS!$C$103*100*(MIN(1,S25/G25)^4-4*MIN(1,S25/G25)^3+8*MIN(1,S25/G25)))+5*((AA25-S25*DATOS!$C$107/G25-(0))*10)))/N25)^(1/3))),0)</f>
        <v>0</v>
      </c>
      <c r="BX25" s="57">
        <f>SQRT(MAX(AM25,AN25)*1E5/(DATOS!$C$58*N25*DATOS!$C$48*(DATOS!$C$82*DATOS!$C$40/DATOS!$C$48)*(1-(DATOS!$C$82*DATOS!$C$40/DATOS!$C$48)/2)))+(O25-AQ25)</f>
        <v>5.585</v>
      </c>
      <c r="BY25" s="59">
        <f>IF(OR(L25="BORDE DE VOLADO",L25="SIN APOYO"),0,CEILING(MAX(BV25,BW25,BX25,DATOS!$C$15),5))</f>
        <v>0</v>
      </c>
      <c r="BZ25" s="72" t="str">
        <f>IF(L25="BORDE DE VOLADO","BORDE DE VOLADO — armado de orilla",IF(L25="SIN APOYO","SIN APOYO — REVISAR",IF(AND(AW25&lt;=1,BC25&lt;=1,IF(AU25=0,TRUE,AU25&lt;=INT((CB25+DATOS!$C$32)/(INDEX(TABLAS!$C$52:$C$58,MATCH(MAX(AS25,2),TABLAS!$B$52:$B$58,0))+DATOS!$C$32))),IF(BA25=0,TRUE,BA25&lt;=INT((CB25+DATOS!$C$32)/(INDEX(TABLAS!$C$52:$C$58,MATCH(MAX(AZ25,2),TABLAS!$B$52:$B$58,0))+DATOS!$C$32))),AND(OR(NOT(ISNUMBER(AX25)),AX25&gt;=0.005),OR(NOT(ISNUMBER(BD25)),BD25&gt;=0.005)),BH25&lt;&gt;"SECCIÓN INSUFICIENTE",AND(O25&gt;=BV25,O25&gt;=BW25,O25/N25&lt;=6),BP25&lt;=BQ25,OR(S25=0,LEFT(BU25,6)&lt;&gt;"NO CUM")),IF(LEFT(BU25,7)="REVISAR","PENDIENTE: H/L &lt; 0.6, falta el análisis de interacción muro-viga (NTC-M 4.1.18.2.1, p. 44)","CUMPLE")&amp;IF(L25="VOLADO"," (en VOLADO)",""),"NO CUMPLE: "&amp;IF(OR(AR25&lt;0,AY25&lt;0),"sección insuficiente en flexión ",IF(OR(AW25&gt;1,BC25&gt;1),"flexión ",""))&amp;IF(NOT(AND(IF(AU25=0,TRUE,AU25&lt;=INT((CB25+DATOS!$C$32)/(INDEX(TABLAS!$C$52:$C$58,MATCH(MAX(AS25,2),TABLAS!$B$52:$B$58,0))+DATOS!$C$32))),IF(BA25=0,TRUE,BA25&lt;=INT((CB25+DATOS!$C$32)/(INDEX(TABLAS!$C$52:$C$58,MATCH(MAX(AZ25,2),TABLAS!$B$52:$B$58,0))+DATOS!$C$32))))),"no caben ","")&amp;IF(NOT(AND(OR(NOT(ISNUMBER(AX25)),AX25&gt;=0.005),OR(NOT(ISNUMBER(BD25)),BD25&gt;=0.005))),"ε_t ","")&amp;IF(BH25="SECCIÓN INSUFICIENTE","cortante ","")&amp;IF(NOT(AND(O25&gt;=BV25,O25&gt;=BW25,O25/N25&lt;=6)),"peralte ","")&amp;IF(NOT(BP25&lt;=BQ25),"flecha ","")&amp;IF(NOT(OR(S25=0,LEFT(BU25,6)&lt;&gt;"NO CUM")),"muro sobre viga ","")&amp;"→ h ≥ "&amp;TEXT(MAX(BY25,IF(BP25&gt;BQ25,MAX(O25+5,CEILING(O25*(BP25/BQ25)^(1/3),5)),0)),"0")&amp;" cm"&amp;IF(NOT(AND(IF(AU25=0,TRUE,AU25&lt;=INT((CB25+DATOS!$C$32)/(INDEX(TABLAS!$C$52:$C$58,MATCH(MAX(AS25,2),TABLAS!$B$52:$B$58,0))+DATOS!$C$32))),IF(BA25=0,TRUE,BA25&lt;=INT((CB25+DATOS!$C$32)/(INDEX(TABLAS!$C$52:$C$58,MATCH(MAX(AZ25,2),TABLAS!$B$52:$B$58,0))+DATOS!$C$32)))))," y b ≥ "&amp;TEXT(N25+5,"0")&amp;" cm","")&amp;" (verificar)")))</f>
        <v>BORDE DE VOLADO — armado de orilla</v>
      </c>
      <c r="CA25" s="65" t="inlineStr">
        <is>
          <t>Orilla libre de tablero en volado: lleva el armado de la orilla, no trabaja como trabe.</t>
        </is>
      </c>
      <c r="CB25" s="43">
        <f>N25-2*DATOS!$C$22-2*INDEX(TABLAS!$C$52:$C$58,MATCH(DATOS!$C$113,TABLAS!$B$52:$B$58,0))</f>
        <v>5.1</v>
      </c>
    </row>
    <row r="26" ht="30" customHeight="1">
      <c r="B26" s="60" t="inlineStr">
        <is>
          <t>NP-18</t>
        </is>
      </c>
      <c r="C26" s="52" t="inlineStr">
        <is>
          <t>N+3.00</t>
        </is>
      </c>
      <c r="D26" s="51" t="inlineStr">
        <is>
          <t>x = 3.029</t>
        </is>
      </c>
      <c r="E26" s="52" t="inlineStr">
        <is>
          <t>(3.029, 15.846)</t>
        </is>
      </c>
      <c r="F26" s="52" t="inlineStr">
        <is>
          <t>(3.029, 17.446)</t>
        </is>
      </c>
      <c r="G26" s="55" t="n">
        <v>1.6</v>
      </c>
      <c r="H26" s="52" t="inlineStr">
        <is>
          <t>NERVADURA</t>
        </is>
      </c>
      <c r="I26" s="52" t="inlineStr">
        <is>
          <t>NERVADURA</t>
        </is>
      </c>
      <c r="J26" s="52" t="inlineStr">
        <is>
          <t>—</t>
        </is>
      </c>
      <c r="K26" s="52" t="inlineStr">
        <is>
          <t>—</t>
        </is>
      </c>
      <c r="L26" s="60" t="str">
        <f>IF(AND(OR(H26="FIRME",H26="NERVADURA",H26="PUNTA"),OR(I26="FIRME",I26="NERVADURA",I26="PUNTA")),"APOYADA",IF(OR(OR(H26="FIRME",H26="NERVADURA",H26="PUNTA"),OR(I26="FIRME",I26="NERVADURA",I26="PUNTA")),"VOLADO","SIN APOYO"))</f>
        <v>APOYADA</v>
      </c>
      <c r="M26" s="52" t="str">
        <f>IF(L26="VOLADO",IF(OR(H26="FIRME",H26="NERVADURA",H26="PUNTA"),"i","j"),"—")</f>
        <v>—</v>
      </c>
      <c r="N26" s="58">
        <f>DATOS!$C$17</f>
        <v>15</v>
      </c>
      <c r="O26" s="58">
        <f>DATOS!$C$15</f>
        <v>25</v>
      </c>
      <c r="P26" s="65" t="str">
        <f>IF(L26="BORDE DE VOLADO","—",IF(OR(N26&lt;&gt;DATOS!$C$17,O26&lt;&gt;DATOS!$C$15),"PERALTAR: trabe "&amp;TEXT(N26,"0")&amp;"×"&amp;TEXT(O26,"0")&amp;IF(O26&gt;DATOS!$C$15," (descuelga "&amp;TEXT(O26-DATOS!$C$15,"0")&amp;" cm)",""),"Queda en la losa (15×25)"))</f>
        <v>Queda en la losa (15×25)</v>
      </c>
      <c r="Q26" s="43">
        <f>SUMIFS(TRIB!$E$6:$E$255,TRIB!$B$6:$B$255,"NP-18")</f>
        <v>1.6282</v>
      </c>
      <c r="R26" s="36">
        <f>SUMIFS(TRIB!$G$6:$G$255,TRIB!$B$6:$B$255,"NP-18")/G26</f>
        <v>0.926593428571429</v>
      </c>
      <c r="S26" s="69" t="n">
        <v>1.6</v>
      </c>
      <c r="T26" s="36">
        <f>DATOS!$C$55*S26*DATOS!$C$107/G26</f>
        <v>1.233375</v>
      </c>
      <c r="U26" s="36">
        <f>(SUMIFS(TRIB!$G$6:$G$255,TRIB!$B$6:$B$255,"DM-117")*1.0)/G26</f>
        <v>0.911341428571428</v>
      </c>
      <c r="V26" s="61" t="n">
        <v>0</v>
      </c>
      <c r="W26" s="61" t="n">
        <v>0</v>
      </c>
      <c r="X26" s="36">
        <f>(DATOS!$C$55*V26+DATOS!$C$56*W26)/1000</f>
        <v>0</v>
      </c>
      <c r="Y26" s="36">
        <f>DATOS!$C$55*(N26/100*O26/100*DATOS!$C$43-N26/100*DATOS!$C$70/1000)</f>
        <v>0.0694836734693878</v>
      </c>
      <c r="Z26" s="70">
        <f>R26+T26+U26+X26+Y26</f>
        <v>3.14079353061224</v>
      </c>
      <c r="AA26" s="36">
        <f>(SUMIFS(TRIB!$I$6:$I$255,TRIB!$B$6:$B$255,"NP-18")-SUMIFS(TRIB!$L$6:$L$255,TRIB!$B$6:$B$255,"NP-18"))/G26+S26*DATOS!$C$107/G26+((SUMIFS(TRIB!$I$6:$I$255,TRIB!$B$6:$B$255,"DM-117")-SUMIFS(TRIB!$L$6:$L$255,TRIB!$B$6:$B$255,"DM-117"))*1.0)/G26+V26/1000+Y26/DATOS!$C$55</f>
        <v>2.08042915816327</v>
      </c>
      <c r="AB26" s="36">
        <f>SUMIFS(TRIB!$L$6:$L$255,TRIB!$B$6:$B$255,"NP-18")/G26+(SUMIFS(TRIB!$L$6:$L$255,TRIB!$B$6:$B$255,"DM-117")*1.0)/G26+W26/1000</f>
        <v>0.29082375</v>
      </c>
      <c r="AC26" s="36">
        <f>SUMIFS(TRIB!$M$6:$M$255,TRIB!$B$6:$B$255,"NP-18")/G26+(SUMIFS(TRIB!$M$6:$M$255,TRIB!$B$6:$B$255,"DM-117")*1.0)/G26+W26/1000*DATOS!$C$91/DATOS!$C$89</f>
        <v>0.09603125</v>
      </c>
      <c r="AD26" s="36">
        <f>TRANSFER!$F$17</f>
        <v>0.855255540306122</v>
      </c>
      <c r="AE26" s="36">
        <f>TRANSFER!$H$17</f>
        <v>0.276247004984165</v>
      </c>
      <c r="AF26" s="36">
        <f>TRANSFER!$I$17</f>
        <v>0.615249454307717</v>
      </c>
      <c r="AG26" s="36">
        <f>TRANSFER!$F$17</f>
        <v>0.855255540306122</v>
      </c>
      <c r="AH26" s="36">
        <f>TRANSFER!$N$17</f>
        <v>0.208425667867146</v>
      </c>
      <c r="AI26" s="36">
        <f>IF(L26="APOYADA",Z26*G26/2+TRANSFER!$J$17,IF(AND(L26="VOLADO",M26="i"),Z26*G26+AD26,0))</f>
        <v>2.7526409104882</v>
      </c>
      <c r="AJ26" s="36">
        <f>IF(L26="APOYADA",Z26*G26/2+TRANSFER!$K$17,IF(AND(L26="VOLADO",M26="j"),Z26*G26+AD26,0))</f>
        <v>3.12788427879751</v>
      </c>
      <c r="AK26" s="36">
        <f>IF(L26="APOYADA",(AA26+AB26)*G26/2+TRANSFER!$O$17,IF(AND(L26="VOLADO",M26="i"),(AA26+AB26)*G26+TRANSFER!$M$17,0))</f>
        <v>2.07808457489477</v>
      </c>
      <c r="AL26" s="36">
        <f>IF(L26="APOYADA",(AA26+AB26)*G26/2+TRANSFER!$P$17,IF(AND(L26="VOLADO",M26="j"),(AA26+AB26)*G26+TRANSFER!$M$17,0))</f>
        <v>2.36120203224809</v>
      </c>
      <c r="AM26" s="70">
        <f>IF(L26="APOYADA",Z26*G26^2/8+AE26,0)</f>
        <v>1.28130093478008</v>
      </c>
      <c r="AN26" s="70">
        <f>IF(L26="APOYADA",DATOS!$C$64*AM26,IF(L26="VOLADO",Z26*G26^2/2+AE26,0))</f>
        <v>0.854627723498316</v>
      </c>
      <c r="AO26" s="70">
        <f>IF(L26="APOYADA",Z26*G26/2+AF26,IF(L26="VOLADO",Z26*G26+AF26,0))</f>
        <v>3.12788427879751</v>
      </c>
      <c r="AP26" s="36">
        <f>IF(L26="APOYADA",(AA26+AB26)*G26^2/8+AH26,IF(L26="VOLADO",(AA26+AB26)*G26^2/2+AH26,0))</f>
        <v>0.967226598479391</v>
      </c>
      <c r="AQ26" s="43">
        <f>O26-DATOS!$C$22-INDEX(TABLAS!$C$52:$C$58,MATCH(DATOS!$C$113,TABLAS!$B$52:$B$58,0))-INDEX(TABLAS!$C$52:$C$58,MATCH(DATOS!$C$112,TABLAS!$B$52:$B$58,0))/2</f>
        <v>19.415</v>
      </c>
      <c r="AR26" s="43">
        <f>IF(OR(L26="BORDE DE VOLADO",L26="SIN APOYO"),0,IF(IF(AM26&lt;=0,0,IF((1-2*AM26*1E5/(DATOS!$C$58*N26*AQ26^2*DATOS!$C$48))&lt;0,-1,IF((1-SQRT((1-2*AM26*1E5/(DATOS!$C$58*N26*AQ26^2*DATOS!$C$48))))*DATOS!$C$48*N26*AQ26/DATOS!$C$40&gt;DATOS!$C$82*N26*AQ26,-1,(1-SQRT((1-2*AM26*1E5/(DATOS!$C$58*N26*AQ26^2*DATOS!$C$48))))*DATOS!$C$48*N26*AQ26/DATOS!$C$40)))&lt;0,-1,MAX(IF(AM26&lt;=0,0,IF((1-2*AM26*1E5/(DATOS!$C$58*N26*AQ26^2*DATOS!$C$48))&lt;0,-1,IF((1-SQRT((1-2*AM26*1E5/(DATOS!$C$58*N26*AQ26^2*DATOS!$C$48))))*DATOS!$C$48*N26*AQ26/DATOS!$C$40&gt;DATOS!$C$82*N26*AQ26,-1,(1-SQRT((1-2*AM26*1E5/(DATOS!$C$58*N26*AQ26^2*DATOS!$C$48))))*DATOS!$C$48*N26*AQ26/DATOS!$C$40))),MIN(DATOS!$C$83*N26*AQ26,4/3*IF(AM26&lt;=0,0,IF((1-2*AM26*1E5/(DATOS!$C$58*N26*AQ26^2*DATOS!$C$48))&lt;0,-1,IF((1-SQRT((1-2*AM26*1E5/(DATOS!$C$58*N26*AQ26^2*DATOS!$C$48))))*DATOS!$C$48*N26*AQ26/DATOS!$C$40&gt;DATOS!$C$82*N26*AQ26,-1,(1-SQRT((1-2*AM26*1E5/(DATOS!$C$58*N26*AQ26^2*DATOS!$C$48))))*DATOS!$C$48*N26*AQ26/DATOS!$C$40)))))))</f>
        <v>1.86378594576006</v>
      </c>
      <c r="AS26" s="41">
        <f>IF(AR26&lt;0,0,IF(AND(AR26&gt;=0,MAX(DATOS!$C$114,CEILING(AR26/INDEX(TABLAS!$D$52:$D$58,MIN(MATCH(DATOS!$C$112,TABLAS!$B$52:$B$58,0)+0,7)),1))&lt;=MIN(99,INT((CB26+MAX(DATOS!$C$32,INDEX(TABLAS!$C$52:$C$58,MIN(MATCH(DATOS!$C$112,TABLAS!$B$52:$B$58,0)+0,7))))/(INDEX(TABLAS!$C$52:$C$58,MIN(MATCH(DATOS!$C$112,TABLAS!$B$52:$B$58,0)+0,7))+MAX(DATOS!$C$32,INDEX(TABLAS!$C$52:$C$58,MIN(MATCH(DATOS!$C$112,TABLAS!$B$52:$B$58,0)+0,7))))))),INDEX(TABLAS!$B$52:$B$58,MIN(MATCH(DATOS!$C$112,TABLAS!$B$52:$B$58,0)+0,7)),IF(AND(AR26&gt;=0,MAX(DATOS!$C$114,CEILING(AR26/INDEX(TABLAS!$D$52:$D$58,MIN(MATCH(DATOS!$C$112,TABLAS!$B$52:$B$58,0)+1,7)),1))&lt;=MIN(99,INT((CB26+MAX(DATOS!$C$32,INDEX(TABLAS!$C$52:$C$58,MIN(MATCH(DATOS!$C$112,TABLAS!$B$52:$B$58,0)+1,7))))/(INDEX(TABLAS!$C$52:$C$58,MIN(MATCH(DATOS!$C$112,TABLAS!$B$52:$B$58,0)+1,7))+MAX(DATOS!$C$32,INDEX(TABLAS!$C$52:$C$58,MIN(MATCH(DATOS!$C$112,TABLAS!$B$52:$B$58,0)+1,7))))))),INDEX(TABLAS!$B$52:$B$58,MIN(MATCH(DATOS!$C$112,TABLAS!$B$52:$B$58,0)+1,7)),IF(AND(AR26&gt;=0,MAX(DATOS!$C$114,CEILING(AR26/INDEX(TABLAS!$D$52:$D$58,MIN(MATCH(DATOS!$C$112,TABLAS!$B$52:$B$58,0)+2,7)),1))&lt;=MIN(99,INT((CB26+MAX(DATOS!$C$32,INDEX(TABLAS!$C$52:$C$58,MIN(MATCH(DATOS!$C$112,TABLAS!$B$52:$B$58,0)+2,7))))/(INDEX(TABLAS!$C$52:$C$58,MIN(MATCH(DATOS!$C$112,TABLAS!$B$52:$B$58,0)+2,7))+MAX(DATOS!$C$32,INDEX(TABLAS!$C$52:$C$58,MIN(MATCH(DATOS!$C$112,TABLAS!$B$52:$B$58,0)+2,7))))))),INDEX(TABLAS!$B$52:$B$58,MIN(MATCH(DATOS!$C$112,TABLAS!$B$52:$B$58,0)+2,7)),IF(AND(AR26&gt;=0,MAX(DATOS!$C$114,CEILING(AR26/INDEX(TABLAS!$D$52:$D$58,MIN(MATCH(DATOS!$C$112,TABLAS!$B$52:$B$58,0)+3,7)),1))&lt;=MIN(99,INT((CB26+MAX(DATOS!$C$32,INDEX(TABLAS!$C$52:$C$58,MIN(MATCH(DATOS!$C$112,TABLAS!$B$52:$B$58,0)+3,7))))/(INDEX(TABLAS!$C$52:$C$58,MIN(MATCH(DATOS!$C$112,TABLAS!$B$52:$B$58,0)+3,7))+MAX(DATOS!$C$32,INDEX(TABLAS!$C$52:$C$58,MIN(MATCH(DATOS!$C$112,TABLAS!$B$52:$B$58,0)+3,7))))))),INDEX(TABLAS!$B$52:$B$58,MIN(MATCH(DATOS!$C$112,TABLAS!$B$52:$B$58,0)+3,7)),IF(AND(AR26&gt;=0,MAX(DATOS!$C$114,CEILING(AR26/INDEX(TABLAS!$D$52:$D$58,MIN(MATCH(DATOS!$C$112,TABLAS!$B$52:$B$58,0)+4,7)),1))&lt;=MIN(99,INT((CB26+MAX(DATOS!$C$32,INDEX(TABLAS!$C$52:$C$58,MIN(MATCH(DATOS!$C$112,TABLAS!$B$52:$B$58,0)+4,7))))/(INDEX(TABLAS!$C$52:$C$58,MIN(MATCH(DATOS!$C$112,TABLAS!$B$52:$B$58,0)+4,7))+MAX(DATOS!$C$32,INDEX(TABLAS!$C$52:$C$58,MIN(MATCH(DATOS!$C$112,TABLAS!$B$52:$B$58,0)+4,7))))))),INDEX(TABLAS!$B$52:$B$58,MIN(MATCH(DATOS!$C$112,TABLAS!$B$52:$B$58,0)+4,7)),INDEX(TABLAS!$B$52:$B$58,7)))))))</f>
        <v>4</v>
      </c>
      <c r="AT26" s="58" t="n">
        <v>0</v>
      </c>
      <c r="AU26" s="56">
        <f>IF(OR(L26="BORDE DE VOLADO",L26="SIN APOYO"),0,IF(AR26&lt;0,0,MAX(DATOS!$C$114,CEILING(AR26/INDEX(TABLAS!$D$52:$D$58,MATCH(IF(AS26=0,8,AS26),TABLAS!$B$52:$B$58,0)),1))+AT26))</f>
        <v>2</v>
      </c>
      <c r="AV26" s="36">
        <f>IF(AU26=0,0,DATOS!$C$58*AU26*INDEX(TABLAS!$D$52:$D$58,MATCH(AS26,TABLAS!$B$52:$B$58,0))*DATOS!$C$40*((O26-DATOS!$C$22-INDEX(TABLAS!$C$52:$C$58,MATCH(DATOS!$C$113,TABLAS!$B$52:$B$58,0))-INDEX(TABLAS!$C$52:$C$58,MATCH(AS26,TABLAS!$B$52:$B$58,0))/2)-AU26*INDEX(TABLAS!$D$52:$D$58,MATCH(AS26,TABLAS!$B$52:$B$58,0))*DATOS!$C$40/(DATOS!$C$48*N26)/2)/1E5)</f>
        <v>1.70340536964706</v>
      </c>
      <c r="AW26" s="62">
        <f>IF(AR26&lt;0,9.99,IF(AV26&gt;0,AM26/AV26,0))</f>
        <v>0.75219965699977</v>
      </c>
      <c r="AX26" s="63">
        <f>IF(AU26=0,"—",0.003*((O26-DATOS!$C$22-INDEX(TABLAS!$C$52:$C$58,MATCH(DATOS!$C$113,TABLAS!$B$52:$B$58,0))-INDEX(TABLAS!$C$52:$C$58,MATCH(AS26,TABLAS!$B$52:$B$58,0))/2)-(AU26*INDEX(TABLAS!$D$52:$D$58,MATCH(AS26,TABLAS!$B$52:$B$58,0))*DATOS!$C$40/(DATOS!$C$48*N26)/DATOS!$C$49))/(AU26*INDEX(TABLAS!$D$52:$D$58,MATCH(AS26,TABLAS!$B$52:$B$58,0))*DATOS!$C$40/(DATOS!$C$48*N26)/DATOS!$C$49))</f>
        <v>0.0117926084434758</v>
      </c>
      <c r="AY26" s="43">
        <f>IF(OR(L26="BORDE DE VOLADO",L26="SIN APOYO"),0,IF(IF(AN26&lt;=0,0,IF((1-2*AN26*1E5/(DATOS!$C$58*N26*AQ26^2*DATOS!$C$48))&lt;0,-1,IF((1-SQRT((1-2*AN26*1E5/(DATOS!$C$58*N26*AQ26^2*DATOS!$C$48))))*DATOS!$C$48*N26*AQ26/DATOS!$C$40&gt;DATOS!$C$82*N26*AQ26,-1,(1-SQRT((1-2*AN26*1E5/(DATOS!$C$58*N26*AQ26^2*DATOS!$C$48))))*DATOS!$C$48*N26*AQ26/DATOS!$C$40)))&lt;0,-1,MAX(IF(AN26&lt;=0,0,IF((1-2*AN26*1E5/(DATOS!$C$58*N26*AQ26^2*DATOS!$C$48))&lt;0,-1,IF((1-SQRT((1-2*AN26*1E5/(DATOS!$C$58*N26*AQ26^2*DATOS!$C$48))))*DATOS!$C$48*N26*AQ26/DATOS!$C$40&gt;DATOS!$C$82*N26*AQ26,-1,(1-SQRT((1-2*AN26*1E5/(DATOS!$C$58*N26*AQ26^2*DATOS!$C$48))))*DATOS!$C$48*N26*AQ26/DATOS!$C$40))),MIN(DATOS!$C$83*IF(L26="VOLADO",MIN(BI26,2*N26),N26)*AQ26,4/3*IF(AN26&lt;=0,0,IF((1-2*AN26*1E5/(DATOS!$C$58*N26*AQ26^2*DATOS!$C$48))&lt;0,-1,IF((1-SQRT((1-2*AN26*1E5/(DATOS!$C$58*N26*AQ26^2*DATOS!$C$48))))*DATOS!$C$48*N26*AQ26/DATOS!$C$40&gt;DATOS!$C$82*N26*AQ26,-1,(1-SQRT((1-2*AN26*1E5/(DATOS!$C$58*N26*AQ26^2*DATOS!$C$48))))*DATOS!$C$48*N26*AQ26/DATOS!$C$40)))))))</f>
        <v>1.21458156163808</v>
      </c>
      <c r="AZ26" s="41">
        <f>IF(AY26&lt;0,0,IF(AND(AY26&gt;=0,MAX(DATOS!$C$114,CEILING(AY26/INDEX(TABLAS!$D$52:$D$58,MIN(MATCH(DATOS!$C$112,TABLAS!$B$52:$B$58,0)+0,7)),1))&lt;=MIN(99,INT((CB26+MAX(DATOS!$C$32,INDEX(TABLAS!$C$52:$C$58,MIN(MATCH(DATOS!$C$112,TABLAS!$B$52:$B$58,0)+0,7))))/(INDEX(TABLAS!$C$52:$C$58,MIN(MATCH(DATOS!$C$112,TABLAS!$B$52:$B$58,0)+0,7))+MAX(DATOS!$C$32,INDEX(TABLAS!$C$52:$C$58,MIN(MATCH(DATOS!$C$112,TABLAS!$B$52:$B$58,0)+0,7))))))),INDEX(TABLAS!$B$52:$B$58,MIN(MATCH(DATOS!$C$112,TABLAS!$B$52:$B$58,0)+0,7)),IF(AND(AY26&gt;=0,MAX(DATOS!$C$114,CEILING(AY26/INDEX(TABLAS!$D$52:$D$58,MIN(MATCH(DATOS!$C$112,TABLAS!$B$52:$B$58,0)+1,7)),1))&lt;=MIN(99,INT((CB26+MAX(DATOS!$C$32,INDEX(TABLAS!$C$52:$C$58,MIN(MATCH(DATOS!$C$112,TABLAS!$B$52:$B$58,0)+1,7))))/(INDEX(TABLAS!$C$52:$C$58,MIN(MATCH(DATOS!$C$112,TABLAS!$B$52:$B$58,0)+1,7))+MAX(DATOS!$C$32,INDEX(TABLAS!$C$52:$C$58,MIN(MATCH(DATOS!$C$112,TABLAS!$B$52:$B$58,0)+1,7))))))),INDEX(TABLAS!$B$52:$B$58,MIN(MATCH(DATOS!$C$112,TABLAS!$B$52:$B$58,0)+1,7)),IF(AND(AY26&gt;=0,MAX(DATOS!$C$114,CEILING(AY26/INDEX(TABLAS!$D$52:$D$58,MIN(MATCH(DATOS!$C$112,TABLAS!$B$52:$B$58,0)+2,7)),1))&lt;=MIN(99,INT((CB26+MAX(DATOS!$C$32,INDEX(TABLAS!$C$52:$C$58,MIN(MATCH(DATOS!$C$112,TABLAS!$B$52:$B$58,0)+2,7))))/(INDEX(TABLAS!$C$52:$C$58,MIN(MATCH(DATOS!$C$112,TABLAS!$B$52:$B$58,0)+2,7))+MAX(DATOS!$C$32,INDEX(TABLAS!$C$52:$C$58,MIN(MATCH(DATOS!$C$112,TABLAS!$B$52:$B$58,0)+2,7))))))),INDEX(TABLAS!$B$52:$B$58,MIN(MATCH(DATOS!$C$112,TABLAS!$B$52:$B$58,0)+2,7)),IF(AND(AY26&gt;=0,MAX(DATOS!$C$114,CEILING(AY26/INDEX(TABLAS!$D$52:$D$58,MIN(MATCH(DATOS!$C$112,TABLAS!$B$52:$B$58,0)+3,7)),1))&lt;=MIN(99,INT((CB26+MAX(DATOS!$C$32,INDEX(TABLAS!$C$52:$C$58,MIN(MATCH(DATOS!$C$112,TABLAS!$B$52:$B$58,0)+3,7))))/(INDEX(TABLAS!$C$52:$C$58,MIN(MATCH(DATOS!$C$112,TABLAS!$B$52:$B$58,0)+3,7))+MAX(DATOS!$C$32,INDEX(TABLAS!$C$52:$C$58,MIN(MATCH(DATOS!$C$112,TABLAS!$B$52:$B$58,0)+3,7))))))),INDEX(TABLAS!$B$52:$B$58,MIN(MATCH(DATOS!$C$112,TABLAS!$B$52:$B$58,0)+3,7)),IF(AND(AY26&gt;=0,MAX(DATOS!$C$114,CEILING(AY26/INDEX(TABLAS!$D$52:$D$58,MIN(MATCH(DATOS!$C$112,TABLAS!$B$52:$B$58,0)+4,7)),1))&lt;=MIN(99,INT((CB26+MAX(DATOS!$C$32,INDEX(TABLAS!$C$52:$C$58,MIN(MATCH(DATOS!$C$112,TABLAS!$B$52:$B$58,0)+4,7))))/(INDEX(TABLAS!$C$52:$C$58,MIN(MATCH(DATOS!$C$112,TABLAS!$B$52:$B$58,0)+4,7))+MAX(DATOS!$C$32,INDEX(TABLAS!$C$52:$C$58,MIN(MATCH(DATOS!$C$112,TABLAS!$B$52:$B$58,0)+4,7))))))),INDEX(TABLAS!$B$52:$B$58,MIN(MATCH(DATOS!$C$112,TABLAS!$B$52:$B$58,0)+4,7)),INDEX(TABLAS!$B$52:$B$58,7)))))))</f>
        <v>4</v>
      </c>
      <c r="BA26" s="56">
        <f>IF(OR(L26="BORDE DE VOLADO",L26="SIN APOYO"),0,IF(AY26&lt;0,0,MAX(DATOS!$C$114,CEILING(AY26/INDEX(TABLAS!$D$52:$D$58,MATCH(IF(AZ26=0,8,AZ26),TABLAS!$B$52:$B$58,0)),1))))</f>
        <v>2</v>
      </c>
      <c r="BB26" s="36">
        <f>IF(BA26=0,0,DATOS!$C$58*BA26*INDEX(TABLAS!$D$52:$D$58,MATCH(AZ26,TABLAS!$B$52:$B$58,0))*DATOS!$C$40*((O26-DATOS!$C$22-INDEX(TABLAS!$C$52:$C$58,MATCH(DATOS!$C$113,TABLAS!$B$52:$B$58,0))-INDEX(TABLAS!$C$52:$C$58,MATCH(AZ26,TABLAS!$B$52:$B$58,0))/2)-BA26*INDEX(TABLAS!$D$52:$D$58,MATCH(AZ26,TABLAS!$B$52:$B$58,0))*DATOS!$C$40/(DATOS!$C$48*N26)/2)/1E5)</f>
        <v>1.70340536964706</v>
      </c>
      <c r="BC26" s="62">
        <f>IF(AY26&lt;0,9.99,IF(BB26&gt;0,AN26/BB26,0))</f>
        <v>0.501717171218846</v>
      </c>
      <c r="BD26" s="63">
        <f>IF(BA26=0,"—",0.003*((O26-DATOS!$C$22-INDEX(TABLAS!$C$52:$C$58,MATCH(DATOS!$C$113,TABLAS!$B$52:$B$58,0))-INDEX(TABLAS!$C$52:$C$58,MATCH(AZ26,TABLAS!$B$52:$B$58,0))/2)-(BA26*INDEX(TABLAS!$D$52:$D$58,MATCH(AZ26,TABLAS!$B$52:$B$58,0))*DATOS!$C$40/(DATOS!$C$48*N26)/DATOS!$C$49))/(BA26*INDEX(TABLAS!$D$52:$D$58,MATCH(AZ26,TABLAS!$B$52:$B$58,0))*DATOS!$C$40/(DATOS!$C$48*N26)/DATOS!$C$49))</f>
        <v>0.0117926084434758</v>
      </c>
      <c r="BE26" s="36">
        <f>IF(BA26=0,0,DATOS!$C$59*MIN(1.25,MAX(0.5,2*MAX(1E-6,MIN(AU26*INDEX(TABLAS!$D$52:$D$58,MATCH(MAX(AS26,2),TABLAS!$B$52:$B$58,0)),BA26*INDEX(TABLAS!$D$52:$D$58,MATCH(MAX(AZ26,2),TABLAS!$B$52:$B$58,0)))/(N26*AQ26))^(1/3)))*SQRT(DATOS!$C$39)*N26*AQ26/1000)</f>
        <v>1.72675183421726</v>
      </c>
      <c r="BF26" s="57">
        <f>IF(AO26=0,0,FLOOR(MIN(IF(AO26&gt;BE26,DATOS!$C$59*2*INDEX(TABLAS!$D$52:$D$58,MATCH(DATOS!$C$113,TABLAS!$B$52:$B$58,0))*DATOS!$C$42*AQ26/((AO26-BE26)*1000),999),IF(MAX(0,AO26-BE26)/DATOS!$C$59&lt;=1.1*SQRT(DATOS!$C$39)*N26*AQ26/1000,MIN(AQ26/2,60),MIN(AQ26/4,30)),2*INDEX(TABLAS!$D$52:$D$58,MATCH(DATOS!$C$113,TABLAS!$B$52:$B$58,0))*DATOS!$C$42/(MAX(0.2*SQRT(DATOS!$C$39),3.5)*N26),MIN(16*INDEX(TABLAS!$C$52:$C$58,MATCH(MIN(MAX(AS26,2),MAX(AZ26,2)),TABLAS!$B$52:$B$58,0)),48*INDEX(TABLAS!$C$52:$C$58,MATCH(DATOS!$C$113,TABLAS!$B$52:$B$58,0))),DATOS!$C$115),0.5))</f>
        <v>9.5</v>
      </c>
      <c r="BG26" s="57">
        <f>BF26</f>
        <v>9.5</v>
      </c>
      <c r="BH26" s="51" t="str">
        <f>IF(AO26=0,"—",IF(AO26&gt;DATOS!$C$59*(BE26/DATOS!$C$59+2.2*SQRT(DATOS!$C$39)*N26*AQ26/1000),"SECCIÓN INSUFICIENTE","E No. "&amp;TEXT(DATOS!$C$113,"0")&amp;IF(BG26&lt;BF26," @ "&amp;TEXT(BG26,"0.0")&amp;" en 2h y"," @")&amp;" "&amp;TEXT(BF26,"0.0")&amp;" cm"))</f>
        <v>E No. 3 @ 9.5 cm</v>
      </c>
      <c r="BI26" s="56">
        <f>N26+2*MIN(8*DATOS!$C$14,DATOS!$C$11/2,G26*100/8)</f>
        <v>55</v>
      </c>
      <c r="BJ26" s="71">
        <f>BI26*DATOS!$C$14^3/12+BI26*DATOS!$C$14*(((BI26*DATOS!$C$14^2/2+N26*(O26-DATOS!$C$14)*(DATOS!$C$14+(O26-DATOS!$C$14)/2))/(BI26*DATOS!$C$14+N26*(O26-DATOS!$C$14)))-DATOS!$C$14/2)^2+N26*(O26-DATOS!$C$14)^3/12+N26*(O26-DATOS!$C$14)*(DATOS!$C$14+(O26-DATOS!$C$14)/2-((BI26*DATOS!$C$14^2/2+N26*(O26-DATOS!$C$14)*(DATOS!$C$14+(O26-DATOS!$C$14)/2))/(BI26*DATOS!$C$14+N26*(O26-DATOS!$C$14))))^2</f>
        <v>32991.3949275362</v>
      </c>
      <c r="BK26" s="43">
        <f>O26-DATOS!$C$22-INDEX(TABLAS!$C$52:$C$58,MATCH(DATOS!$C$113,TABLAS!$B$52:$B$58,0))-INDEX(TABLAS!$C$52:$C$58,MATCH(MAX(IF(L26="VOLADO",AZ26,AS26),2),TABLAS!$B$52:$B$58,0))/2</f>
        <v>19.415</v>
      </c>
      <c r="BL26" s="43">
        <f>DATOS!$C$46/DATOS!$C$45*IF(L26="VOLADO",BA26*INDEX(TABLAS!$D$52:$D$58,MATCH(MAX(AZ26,2),TABLAS!$B$52:$B$58,0)),AU26*INDEX(TABLAS!$D$52:$D$58,MATCH(MAX(AS26,2),TABLAS!$B$52:$B$58,0)))</f>
        <v>22.9491007337934</v>
      </c>
      <c r="BM26" s="43">
        <f>IF(BL26&lt;=0,0,(SQRT(2*(BL26/(IF(L26="VOLADO",N26,BI26)*BK26))+(BL26/(IF(L26="VOLADO",N26,BI26)*BK26))^2)-(BL26/(IF(L26="VOLADO",N26,BI26)*BK26)))*BK26)</f>
        <v>3.62949145334038</v>
      </c>
      <c r="BN26" s="71">
        <f>IF(AND(L26&lt;&gt;"VOLADO",BM26&gt;DATOS!$C$14),(BI26*DATOS!$C$14^3/12+BI26*DATOS!$C$14*(((-((BI26-N26)*DATOS!$C$14+BL26)+SQRT(((BI26-N26)*DATOS!$C$14+BL26)^2+2*N26*((BI26-N26)*DATOS!$C$14^2/2+BL26*BK26)))/N26)-DATOS!$C$14/2)^2+N26*(((-((BI26-N26)*DATOS!$C$14+BL26)+SQRT(((BI26-N26)*DATOS!$C$14+BL26)^2+2*N26*((BI26-N26)*DATOS!$C$14^2/2+BL26*BK26)))/N26)-DATOS!$C$14)^3/3+BL26*(BK26-((-((BI26-N26)*DATOS!$C$14+BL26)+SQRT(((BI26-N26)*DATOS!$C$14+BL26)^2+2*N26*((BI26-N26)*DATOS!$C$14^2/2+BL26*BK26)))/N26))^2),(IF(L26="VOLADO",N26,BI26)*BM26^3/3+BL26*(BK26-BM26)^2))</f>
        <v>6595.06343442034</v>
      </c>
      <c r="BO26" s="71">
        <f>IF(AP26&lt;=0,BJ26,IF((AP26*1E5)&lt;=2/3*(DATOS!$C$47*BJ26/IF(L26="VOLADO",((BI26*DATOS!$C$14^2/2+N26*(O26-DATOS!$C$14)*(DATOS!$C$14+(O26-DATOS!$C$14)/2))/(BI26*DATOS!$C$14+N26*(O26-DATOS!$C$14))),O26-((BI26*DATOS!$C$14^2/2+N26*(O26-DATOS!$C$14)*(DATOS!$C$14+(O26-DATOS!$C$14)/2))/(BI26*DATOS!$C$14+N26*(O26-DATOS!$C$14))))),BJ26,IF(BL26&lt;=0,0,BN26/(1-(2/3*(DATOS!$C$47*BJ26/IF(L26="VOLADO",((BI26*DATOS!$C$14^2/2+N26*(O26-DATOS!$C$14)*(DATOS!$C$14+(O26-DATOS!$C$14)/2))/(BI26*DATOS!$C$14+N26*(O26-DATOS!$C$14))),O26-((BI26*DATOS!$C$14^2/2+N26*(O26-DATOS!$C$14)*(DATOS!$C$14+(O26-DATOS!$C$14)/2))/(BI26*DATOS!$C$14+N26*(O26-DATOS!$C$14)))))/(AP26*1E5))^2*(1-BN26/BJ26)))))</f>
        <v>7870.46396114538</v>
      </c>
      <c r="BP26" s="62">
        <f>IF(OR(L26="APOYADA",L26="VOLADO"),(IF(L26="VOLADO",(AP26-AH26)/4+AH26/3,5/48*AP26)*1E5*(G26*100)^2/(DATOS!$C$45*MAX(BO26,1)))*(1+2/(1+50*IF(L26="VOLADO",AU26*INDEX(TABLAS!$D$52:$D$58,MATCH(MAX(AS26,2),TABLAS!$B$52:$B$58,0)),DATOS!$C$114*INDEX(TABLAS!$D$52:$D$58,MATCH(MAX(AZ26,2),TABLAS!$B$52:$B$58,0)))/(N26*BK26))*((AA26+AC26)/MAX(AA26+AB26,1E-6))),0)</f>
        <v>0.337289790407515</v>
      </c>
      <c r="BQ26" s="43">
        <f>IF(S26&gt;0,0.3+G26*100/480,0.5+G26*100/240)</f>
        <v>0.633333333333333</v>
      </c>
      <c r="BR26" s="43">
        <f>IF(S26&gt;0,(T26+U26)*G26+AG26,0)</f>
        <v>4.28680182602041</v>
      </c>
      <c r="BS26" s="43">
        <f>IF(S26&gt;0,(DATOS!$C$51*DATOS!$C$103*100*(G26*100)^3/(DATOS!$C$45*BJ26*((BR26*1000/(DATOS!$C$103*100*S26*100)*DATOS!$C$103*100*(MIN(1,S26/G26)^4-4*MIN(1,S26/G26)^3+8*MIN(1,S26/G26)))/((BR26*1000/(DATOS!$C$103*100*S26*100)*DATOS!$C$103*100*(MIN(1,S26/G26)^4-4*MIN(1,S26/G26)^3+8*MIN(1,S26/G26)))+5*((R26+X26+Y26+IF(L26="APOYADA",8*(0)/G26^2,0))*10)))))^0.25,0)</f>
        <v>4.63525676946568</v>
      </c>
      <c r="BT26" s="57">
        <f>IF(S26&gt;0,MAX(1,IF(MIN(1,S26/G26)&gt;=1,(1.6*BS26-3.9),IF(MIN(1,S26/G26)&lt;0.9,((3.2*BS26-7.8)*1),((3.2*BS26-7.8)*1)+((1.6*BS26-3.9)-((3.2*BS26-7.8)*1))*(MIN(1,S26/G26)-0.9)/0.1)))*BR26*1000/(DATOS!$C$103*100*S26*100),0)</f>
        <v>6.28089848832946</v>
      </c>
      <c r="BU26" s="65" t="str">
        <f>IF(S26=0,"—",IF(DATOS!$C$105/S26&lt;0.6,"REVISAR: H/L &lt; 0.6, interacción muro-viga",IF(BT26&lt;=DATOS!$C$60*DATOS!$C$50,"CUMPLE","NO CUMPLE f_CM &gt; F_R·f'm")))</f>
        <v>CUMPLE</v>
      </c>
      <c r="BV26" s="57">
        <f>IF(S26&gt;0,MAX(25,IF(BJ26&gt;=(G26*100)^3/1600,0,MIN(G26*100/14,(12*(G26*100)^3/1600/N26)^(1/3)))),IF(L26="APOYADA",MAX(25,G26*100/16),IF(L26="VOLADO",MAX(25,G26*100/8),0)))</f>
        <v>25</v>
      </c>
      <c r="BW26" s="57">
        <f>IF(S26&gt;0,IF(BJ26&gt;=(5/4*(G26*100)^3/DATOS!$C$45*((((S26*DATOS!$C$107+(((SUMIFS(TRIB!$I$6:$I$255,TRIB!$B$6:$B$255,"DM-117")-SUMIFS(TRIB!$L$6:$L$255,TRIB!$B$6:$B$255,"DM-117"))*1.0)/G26+(SUMIFS(TRIB!$M$6:$M$255,TRIB!$B$6:$B$255,"DM-117")*1.0)/G26)*G26+AG26/DATOS!$C$55)*1000)/(DATOS!$C$103*100*S26*100)*DATOS!$C$103*100*(MIN(1,S26/G26)^4-4*MIN(1,S26/G26)^3+8*MIN(1,S26/G26)))+5*((AA26-S26*DATOS!$C$107/G26-(((SUMIFS(TRIB!$I$6:$I$255,TRIB!$B$6:$B$255,"DM-117")-SUMIFS(TRIB!$L$6:$L$255,TRIB!$B$6:$B$255,"DM-117"))*1.0)/G26))*10))),0,MIN((G26*100/((1/15*DATOS!$C$45*N26/((((S26*DATOS!$C$107+(((SUMIFS(TRIB!$I$6:$I$255,TRIB!$B$6:$B$255,"DM-117")-SUMIFS(TRIB!$L$6:$L$255,TRIB!$B$6:$B$255,"DM-117"))*1.0)/G26+(SUMIFS(TRIB!$M$6:$M$255,TRIB!$B$6:$B$255,"DM-117")*1.0)/G26)*G26+AG26/DATOS!$C$55)*1000)/(DATOS!$C$103*100*S26*100)*DATOS!$C$103*100*(MIN(1,S26/G26)^4-4*MIN(1,S26/G26)^3+8*MIN(1,S26/G26)))+5*((AA26-S26*DATOS!$C$107/G26-(((SUMIFS(TRIB!$I$6:$I$255,TRIB!$B$6:$B$255,"DM-117")-SUMIFS(TRIB!$L$6:$L$255,TRIB!$B$6:$B$255,"DM-117"))*1.0)/G26))*10)))^(1/3))),(12*(5/4*(G26*100)^3/DATOS!$C$45*((((S26*DATOS!$C$107+(((SUMIFS(TRIB!$I$6:$I$255,TRIB!$B$6:$B$255,"DM-117")-SUMIFS(TRIB!$L$6:$L$255,TRIB!$B$6:$B$255,"DM-117"))*1.0)/G26+(SUMIFS(TRIB!$M$6:$M$255,TRIB!$B$6:$B$255,"DM-117")*1.0)/G26)*G26+AG26/DATOS!$C$55)*1000)/(DATOS!$C$103*100*S26*100)*DATOS!$C$103*100*(MIN(1,S26/G26)^4-4*MIN(1,S26/G26)^3+8*MIN(1,S26/G26)))+5*((AA26-S26*DATOS!$C$107/G26-(((SUMIFS(TRIB!$I$6:$I$255,TRIB!$B$6:$B$255,"DM-117")-SUMIFS(TRIB!$L$6:$L$255,TRIB!$B$6:$B$255,"DM-117"))*1.0)/G26))*10)))/N26)^(1/3))),0)</f>
        <v>0</v>
      </c>
      <c r="BX26" s="57">
        <f>SQRT(MAX(AM26,AN26)*1E5/(DATOS!$C$58*N26*DATOS!$C$48*(DATOS!$C$82*DATOS!$C$40/DATOS!$C$48)*(1-(DATOS!$C$82*DATOS!$C$40/DATOS!$C$48)/2)))+(O26-AQ26)</f>
        <v>18.4957946171043</v>
      </c>
      <c r="BY26" s="59">
        <f>IF(OR(L26="BORDE DE VOLADO",L26="SIN APOYO"),0,CEILING(MAX(BV26,BW26,BX26,DATOS!$C$15),5))</f>
        <v>25</v>
      </c>
      <c r="BZ26" s="72" t="str">
        <f>IF(L26="BORDE DE VOLADO","BORDE DE VOLADO — armado de orilla",IF(L26="SIN APOYO","SIN APOYO — REVISAR",IF(AND(AW26&lt;=1,BC26&lt;=1,IF(AU26=0,TRUE,AU26&lt;=INT((CB26+DATOS!$C$32)/(INDEX(TABLAS!$C$52:$C$58,MATCH(MAX(AS26,2),TABLAS!$B$52:$B$58,0))+DATOS!$C$32))),IF(BA26=0,TRUE,BA26&lt;=INT((CB26+DATOS!$C$32)/(INDEX(TABLAS!$C$52:$C$58,MATCH(MAX(AZ26,2),TABLAS!$B$52:$B$58,0))+DATOS!$C$32))),AND(OR(NOT(ISNUMBER(AX26)),AX26&gt;=0.005),OR(NOT(ISNUMBER(BD26)),BD26&gt;=0.005)),BH26&lt;&gt;"SECCIÓN INSUFICIENTE",AND(O26&gt;=BV26,O26&gt;=BW26,O26/N26&lt;=6),BP26&lt;=BQ26,OR(S26=0,LEFT(BU26,6)&lt;&gt;"NO CUM")),IF(LEFT(BU26,7)="REVISAR","PENDIENTE: H/L &lt; 0.6, falta el análisis de interacción muro-viga (NTC-M 4.1.18.2.1, p. 44)","CUMPLE")&amp;IF(L26="VOLADO"," (en VOLADO)",""),"NO CUMPLE: "&amp;IF(OR(AR26&lt;0,AY26&lt;0),"sección insuficiente en flexión ",IF(OR(AW26&gt;1,BC26&gt;1),"flexión ",""))&amp;IF(NOT(AND(IF(AU26=0,TRUE,AU26&lt;=INT((CB26+DATOS!$C$32)/(INDEX(TABLAS!$C$52:$C$58,MATCH(MAX(AS26,2),TABLAS!$B$52:$B$58,0))+DATOS!$C$32))),IF(BA26=0,TRUE,BA26&lt;=INT((CB26+DATOS!$C$32)/(INDEX(TABLAS!$C$52:$C$58,MATCH(MAX(AZ26,2),TABLAS!$B$52:$B$58,0))+DATOS!$C$32))))),"no caben ","")&amp;IF(NOT(AND(OR(NOT(ISNUMBER(AX26)),AX26&gt;=0.005),OR(NOT(ISNUMBER(BD26)),BD26&gt;=0.005))),"ε_t ","")&amp;IF(BH26="SECCIÓN INSUFICIENTE","cortante ","")&amp;IF(NOT(AND(O26&gt;=BV26,O26&gt;=BW26,O26/N26&lt;=6)),"peralte ","")&amp;IF(NOT(BP26&lt;=BQ26),"flecha ","")&amp;IF(NOT(OR(S26=0,LEFT(BU26,6)&lt;&gt;"NO CUM")),"muro sobre viga ","")&amp;"→ h ≥ "&amp;TEXT(MAX(BY26,IF(BP26&gt;BQ26,MAX(O26+5,CEILING(O26*(BP26/BQ26)^(1/3),5)),0)),"0")&amp;" cm"&amp;IF(NOT(AND(IF(AU26=0,TRUE,AU26&lt;=INT((CB26+DATOS!$C$32)/(INDEX(TABLAS!$C$52:$C$58,MATCH(MAX(AS26,2),TABLAS!$B$52:$B$58,0))+DATOS!$C$32))),IF(BA26=0,TRUE,BA26&lt;=INT((CB26+DATOS!$C$32)/(INDEX(TABLAS!$C$52:$C$58,MATCH(MAX(AZ26,2),TABLAS!$B$52:$B$58,0))+DATOS!$C$32)))))," y b ≥ "&amp;TEXT(N26+5,"0")&amp;" cm","")&amp;" (verificar)")))</f>
        <v>CUMPLE</v>
      </c>
      <c r="CA26" s="65" t="inlineStr">
        <is>
          <t>Extremo i se apoya en NP-12. Extremo j se apoya en NP-15. Recibe a NP-32 (por el muro de arriba). Muro de planta alta encima (1.60 m) con la azotea de DM-117: viga que soporta muro estructural (NTC-Mampostería 4.1.18): la flecha se calcula y el límite es 0.3 cm + L/480.</t>
        </is>
      </c>
      <c r="CB26" s="43">
        <f>N26-2*DATOS!$C$22-2*INDEX(TABLAS!$C$52:$C$58,MATCH(DATOS!$C$113,TABLAS!$B$52:$B$58,0))</f>
        <v>5.1</v>
      </c>
    </row>
    <row r="27" ht="30" customHeight="1">
      <c r="B27" s="60" t="inlineStr">
        <is>
          <t>NP-19</t>
        </is>
      </c>
      <c r="C27" s="52" t="inlineStr">
        <is>
          <t>N+3.00</t>
        </is>
      </c>
      <c r="D27" s="51" t="inlineStr">
        <is>
          <t>Eje C (x = 3.427)</t>
        </is>
      </c>
      <c r="E27" s="52" t="inlineStr">
        <is>
          <t>(3.427, 14.021)</t>
        </is>
      </c>
      <c r="F27" s="52" t="inlineStr">
        <is>
          <t>(3.427, 15.846)</t>
        </is>
      </c>
      <c r="G27" s="55" t="n">
        <v>1.825</v>
      </c>
      <c r="H27" s="52" t="inlineStr">
        <is>
          <t>NERVADURA</t>
        </is>
      </c>
      <c r="I27" s="52" t="str">
        <f>IF(APOYOS!$C$24="SÍ","FIRME","LIBRE")</f>
        <v>FIRME</v>
      </c>
      <c r="J27" s="52" t="inlineStr">
        <is>
          <t>—</t>
        </is>
      </c>
      <c r="K27" s="52" t="inlineStr">
        <is>
          <t>C8</t>
        </is>
      </c>
      <c r="L27" s="60" t="str">
        <f>IF(AND(OR(H27="FIRME",H27="NERVADURA",H27="PUNTA"),OR(I27="FIRME",I27="NERVADURA",I27="PUNTA")),"APOYADA",IF(OR(OR(H27="FIRME",H27="NERVADURA",H27="PUNTA"),OR(I27="FIRME",I27="NERVADURA",I27="PUNTA")),"VOLADO","SIN APOYO"))</f>
        <v>APOYADA</v>
      </c>
      <c r="M27" s="52" t="str">
        <f>IF(L27="VOLADO",IF(OR(H27="FIRME",H27="NERVADURA",H27="PUNTA"),"i","j"),"—")</f>
        <v>—</v>
      </c>
      <c r="N27" s="58">
        <f>DATOS!$C$17</f>
        <v>15</v>
      </c>
      <c r="O27" s="58">
        <f>DATOS!$C$15</f>
        <v>25</v>
      </c>
      <c r="P27" s="65" t="str">
        <f>IF(L27="BORDE DE VOLADO","—",IF(OR(N27&lt;&gt;DATOS!$C$17,O27&lt;&gt;DATOS!$C$15),"PERALTAR: trabe "&amp;TEXT(N27,"0")&amp;"×"&amp;TEXT(O27,"0")&amp;IF(O27&gt;DATOS!$C$15," (descuelga "&amp;TEXT(O27-DATOS!$C$15,"0")&amp;" cm)",""),"Queda en la losa (15×25)"))</f>
        <v>Queda en la losa (15×25)</v>
      </c>
      <c r="Q27" s="43">
        <f>SUMIFS(TRIB!$E$6:$E$255,TRIB!$B$6:$B$255,"NP-19")</f>
        <v>2.149</v>
      </c>
      <c r="R27" s="36">
        <f>SUMIFS(TRIB!$G$6:$G$255,TRIB!$B$6:$B$255,"NP-19")/G27</f>
        <v>1.07753061448141</v>
      </c>
      <c r="S27" s="69" t="n">
        <v>1.825</v>
      </c>
      <c r="T27" s="36">
        <f>DATOS!$C$55*S27*DATOS!$C$107/G27</f>
        <v>1.233375</v>
      </c>
      <c r="U27" s="36">
        <f>(SUMIFS(TRIB!$G$6:$G$255,TRIB!$B$6:$B$255,"DM-118")*1.0+SUMIFS(TRIB!$G$6:$G$255,TRIB!$B$6:$B$255,"DM-119")*1.0)/G27</f>
        <v>1.15060042437797</v>
      </c>
      <c r="V27" s="61" t="n">
        <v>0</v>
      </c>
      <c r="W27" s="61" t="n">
        <v>0</v>
      </c>
      <c r="X27" s="36">
        <f>(DATOS!$C$55*V27+DATOS!$C$56*W27)/1000</f>
        <v>0</v>
      </c>
      <c r="Y27" s="36">
        <f>DATOS!$C$55*(N27/100*O27/100*DATOS!$C$43-N27/100*DATOS!$C$70/1000)</f>
        <v>0.0694836734693878</v>
      </c>
      <c r="Z27" s="70">
        <f>R27+T27+U27+X27+Y27</f>
        <v>3.53098971232877</v>
      </c>
      <c r="AA27" s="36">
        <f>(SUMIFS(TRIB!$I$6:$I$255,TRIB!$B$6:$B$255,"NP-19")-SUMIFS(TRIB!$L$6:$L$255,TRIB!$B$6:$B$255,"NP-19"))/G27+S27*DATOS!$C$107/G27+((SUMIFS(TRIB!$I$6:$I$255,TRIB!$B$6:$B$255,"DM-118")-SUMIFS(TRIB!$L$6:$L$255,TRIB!$B$6:$B$255,"DM-118"))*1.0+(SUMIFS(TRIB!$I$6:$I$255,TRIB!$B$6:$B$255,"DM-119")-SUMIFS(TRIB!$L$6:$L$255,TRIB!$B$6:$B$255,"DM-119"))*1.0)/G27+V27/1000+Y27/DATOS!$C$55</f>
        <v>2.31585931506849</v>
      </c>
      <c r="AB27" s="36">
        <f>SUMIFS(TRIB!$L$6:$L$255,TRIB!$B$6:$B$255,"NP-19")/G27+(SUMIFS(TRIB!$L$6:$L$255,TRIB!$B$6:$B$255,"DM-118")*1.0+SUMIFS(TRIB!$L$6:$L$255,TRIB!$B$6:$B$255,"DM-119")*1.0)/G27+W27/1000</f>
        <v>0.346915068493151</v>
      </c>
      <c r="AC27" s="36">
        <f>SUMIFS(TRIB!$M$6:$M$255,TRIB!$B$6:$B$255,"NP-19")/G27+(SUMIFS(TRIB!$M$6:$M$255,TRIB!$B$6:$B$255,"DM-118")*1.0+SUMIFS(TRIB!$M$6:$M$255,TRIB!$B$6:$B$255,"DM-119")*1.0)/G27+W27/1000*DATOS!$C$91/DATOS!$C$89</f>
        <v>0.112680273972603</v>
      </c>
      <c r="AD27" s="36">
        <f>0</f>
        <v>0</v>
      </c>
      <c r="AE27" s="36">
        <f>0</f>
        <v>0</v>
      </c>
      <c r="AF27" s="36">
        <f>0</f>
        <v>0</v>
      </c>
      <c r="AG27" s="36">
        <f>0</f>
        <v>0</v>
      </c>
      <c r="AH27" s="36">
        <f>0</f>
        <v>0</v>
      </c>
      <c r="AI27" s="36">
        <f>IF(L27="APOYADA",Z27*G27/2+0,IF(AND(L27="VOLADO",M27="i"),Z27*G27+AD27,0))</f>
        <v>3.2220281125</v>
      </c>
      <c r="AJ27" s="36">
        <f>IF(L27="APOYADA",Z27*G27/2+0,IF(AND(L27="VOLADO",M27="j"),Z27*G27+AD27,0))</f>
        <v>3.2220281125</v>
      </c>
      <c r="AK27" s="36">
        <f>IF(L27="APOYADA",(AA27+AB27)*G27/2+0,IF(AND(L27="VOLADO",M27="i"),(AA27+AB27)*G27+0,0))</f>
        <v>2.429781625</v>
      </c>
      <c r="AL27" s="36">
        <f>IF(L27="APOYADA",(AA27+AB27)*G27/2+0,IF(AND(L27="VOLADO",M27="j"),(AA27+AB27)*G27+0,0))</f>
        <v>2.429781625</v>
      </c>
      <c r="AM27" s="70">
        <f>IF(L27="APOYADA",Z27*G27^2/8+AE27,0)</f>
        <v>1.47005032632812</v>
      </c>
      <c r="AN27" s="70">
        <f>IF(L27="APOYADA",DATOS!$C$64*AM27,IF(L27="VOLADO",Z27*G27^2/2+AE27,0))</f>
        <v>0.980523567660859</v>
      </c>
      <c r="AO27" s="70">
        <f>IF(L27="APOYADA",Z27*G27/2+AF27,IF(L27="VOLADO",Z27*G27+AF27,0))</f>
        <v>3.2220281125</v>
      </c>
      <c r="AP27" s="36">
        <f>IF(L27="APOYADA",(AA27+AB27)*G27^2/8+AH27,IF(L27="VOLADO",(AA27+AB27)*G27^2/2+AH27,0))</f>
        <v>1.10858786640625</v>
      </c>
      <c r="AQ27" s="43">
        <f>O27-DATOS!$C$22-INDEX(TABLAS!$C$52:$C$58,MATCH(DATOS!$C$113,TABLAS!$B$52:$B$58,0))-INDEX(TABLAS!$C$52:$C$58,MATCH(DATOS!$C$112,TABLAS!$B$52:$B$58,0))/2</f>
        <v>19.415</v>
      </c>
      <c r="AR27" s="43">
        <f>IF(OR(L27="BORDE DE VOLADO",L27="SIN APOYO"),0,IF(IF(AM27&lt;=0,0,IF((1-2*AM27*1E5/(DATOS!$C$58*N27*AQ27^2*DATOS!$C$48))&lt;0,-1,IF((1-SQRT((1-2*AM27*1E5/(DATOS!$C$58*N27*AQ27^2*DATOS!$C$48))))*DATOS!$C$48*N27*AQ27/DATOS!$C$40&gt;DATOS!$C$82*N27*AQ27,-1,(1-SQRT((1-2*AM27*1E5/(DATOS!$C$58*N27*AQ27^2*DATOS!$C$48))))*DATOS!$C$48*N27*AQ27/DATOS!$C$40)))&lt;0,-1,MAX(IF(AM27&lt;=0,0,IF((1-2*AM27*1E5/(DATOS!$C$58*N27*AQ27^2*DATOS!$C$48))&lt;0,-1,IF((1-SQRT((1-2*AM27*1E5/(DATOS!$C$58*N27*AQ27^2*DATOS!$C$48))))*DATOS!$C$48*N27*AQ27/DATOS!$C$40&gt;DATOS!$C$82*N27*AQ27,-1,(1-SQRT((1-2*AM27*1E5/(DATOS!$C$58*N27*AQ27^2*DATOS!$C$48))))*DATOS!$C$48*N27*AQ27/DATOS!$C$40))),MIN(DATOS!$C$83*N27*AQ27,4/3*IF(AM27&lt;=0,0,IF((1-2*AM27*1E5/(DATOS!$C$58*N27*AQ27^2*DATOS!$C$48))&lt;0,-1,IF((1-SQRT((1-2*AM27*1E5/(DATOS!$C$58*N27*AQ27^2*DATOS!$C$48))))*DATOS!$C$48*N27*AQ27/DATOS!$C$40&gt;DATOS!$C$82*N27*AQ27,-1,(1-SQRT((1-2*AM27*1E5/(DATOS!$C$58*N27*AQ27^2*DATOS!$C$48))))*DATOS!$C$48*N27*AQ27/DATOS!$C$40)))))))</f>
        <v>2.16166753335771</v>
      </c>
      <c r="AS27" s="41">
        <f>IF(AR27&lt;0,0,IF(AND(AR27&gt;=0,MAX(DATOS!$C$114,CEILING(AR27/INDEX(TABLAS!$D$52:$D$58,MIN(MATCH(DATOS!$C$112,TABLAS!$B$52:$B$58,0)+0,7)),1))&lt;=MIN(99,INT((CB27+MAX(DATOS!$C$32,INDEX(TABLAS!$C$52:$C$58,MIN(MATCH(DATOS!$C$112,TABLAS!$B$52:$B$58,0)+0,7))))/(INDEX(TABLAS!$C$52:$C$58,MIN(MATCH(DATOS!$C$112,TABLAS!$B$52:$B$58,0)+0,7))+MAX(DATOS!$C$32,INDEX(TABLAS!$C$52:$C$58,MIN(MATCH(DATOS!$C$112,TABLAS!$B$52:$B$58,0)+0,7))))))),INDEX(TABLAS!$B$52:$B$58,MIN(MATCH(DATOS!$C$112,TABLAS!$B$52:$B$58,0)+0,7)),IF(AND(AR27&gt;=0,MAX(DATOS!$C$114,CEILING(AR27/INDEX(TABLAS!$D$52:$D$58,MIN(MATCH(DATOS!$C$112,TABLAS!$B$52:$B$58,0)+1,7)),1))&lt;=MIN(99,INT((CB27+MAX(DATOS!$C$32,INDEX(TABLAS!$C$52:$C$58,MIN(MATCH(DATOS!$C$112,TABLAS!$B$52:$B$58,0)+1,7))))/(INDEX(TABLAS!$C$52:$C$58,MIN(MATCH(DATOS!$C$112,TABLAS!$B$52:$B$58,0)+1,7))+MAX(DATOS!$C$32,INDEX(TABLAS!$C$52:$C$58,MIN(MATCH(DATOS!$C$112,TABLAS!$B$52:$B$58,0)+1,7))))))),INDEX(TABLAS!$B$52:$B$58,MIN(MATCH(DATOS!$C$112,TABLAS!$B$52:$B$58,0)+1,7)),IF(AND(AR27&gt;=0,MAX(DATOS!$C$114,CEILING(AR27/INDEX(TABLAS!$D$52:$D$58,MIN(MATCH(DATOS!$C$112,TABLAS!$B$52:$B$58,0)+2,7)),1))&lt;=MIN(99,INT((CB27+MAX(DATOS!$C$32,INDEX(TABLAS!$C$52:$C$58,MIN(MATCH(DATOS!$C$112,TABLAS!$B$52:$B$58,0)+2,7))))/(INDEX(TABLAS!$C$52:$C$58,MIN(MATCH(DATOS!$C$112,TABLAS!$B$52:$B$58,0)+2,7))+MAX(DATOS!$C$32,INDEX(TABLAS!$C$52:$C$58,MIN(MATCH(DATOS!$C$112,TABLAS!$B$52:$B$58,0)+2,7))))))),INDEX(TABLAS!$B$52:$B$58,MIN(MATCH(DATOS!$C$112,TABLAS!$B$52:$B$58,0)+2,7)),IF(AND(AR27&gt;=0,MAX(DATOS!$C$114,CEILING(AR27/INDEX(TABLAS!$D$52:$D$58,MIN(MATCH(DATOS!$C$112,TABLAS!$B$52:$B$58,0)+3,7)),1))&lt;=MIN(99,INT((CB27+MAX(DATOS!$C$32,INDEX(TABLAS!$C$52:$C$58,MIN(MATCH(DATOS!$C$112,TABLAS!$B$52:$B$58,0)+3,7))))/(INDEX(TABLAS!$C$52:$C$58,MIN(MATCH(DATOS!$C$112,TABLAS!$B$52:$B$58,0)+3,7))+MAX(DATOS!$C$32,INDEX(TABLAS!$C$52:$C$58,MIN(MATCH(DATOS!$C$112,TABLAS!$B$52:$B$58,0)+3,7))))))),INDEX(TABLAS!$B$52:$B$58,MIN(MATCH(DATOS!$C$112,TABLAS!$B$52:$B$58,0)+3,7)),IF(AND(AR27&gt;=0,MAX(DATOS!$C$114,CEILING(AR27/INDEX(TABLAS!$D$52:$D$58,MIN(MATCH(DATOS!$C$112,TABLAS!$B$52:$B$58,0)+4,7)),1))&lt;=MIN(99,INT((CB27+MAX(DATOS!$C$32,INDEX(TABLAS!$C$52:$C$58,MIN(MATCH(DATOS!$C$112,TABLAS!$B$52:$B$58,0)+4,7))))/(INDEX(TABLAS!$C$52:$C$58,MIN(MATCH(DATOS!$C$112,TABLAS!$B$52:$B$58,0)+4,7))+MAX(DATOS!$C$32,INDEX(TABLAS!$C$52:$C$58,MIN(MATCH(DATOS!$C$112,TABLAS!$B$52:$B$58,0)+4,7))))))),INDEX(TABLAS!$B$52:$B$58,MIN(MATCH(DATOS!$C$112,TABLAS!$B$52:$B$58,0)+4,7)),INDEX(TABLAS!$B$52:$B$58,7)))))))</f>
        <v>4</v>
      </c>
      <c r="AT27" s="58" t="n">
        <v>0</v>
      </c>
      <c r="AU27" s="56">
        <f>IF(OR(L27="BORDE DE VOLADO",L27="SIN APOYO"),0,IF(AR27&lt;0,0,MAX(DATOS!$C$114,CEILING(AR27/INDEX(TABLAS!$D$52:$D$58,MATCH(IF(AS27=0,8,AS27),TABLAS!$B$52:$B$58,0)),1))+AT27))</f>
        <v>2</v>
      </c>
      <c r="AV27" s="36">
        <f>IF(AU27=0,0,DATOS!$C$58*AU27*INDEX(TABLAS!$D$52:$D$58,MATCH(AS27,TABLAS!$B$52:$B$58,0))*DATOS!$C$40*((O27-DATOS!$C$22-INDEX(TABLAS!$C$52:$C$58,MATCH(DATOS!$C$113,TABLAS!$B$52:$B$58,0))-INDEX(TABLAS!$C$52:$C$58,MATCH(AS27,TABLAS!$B$52:$B$58,0))/2)-AU27*INDEX(TABLAS!$D$52:$D$58,MATCH(AS27,TABLAS!$B$52:$B$58,0))*DATOS!$C$40/(DATOS!$C$48*N27)/2)/1E5)</f>
        <v>1.70340536964706</v>
      </c>
      <c r="AW27" s="62">
        <f>IF(AR27&lt;0,9.99,IF(AV27&gt;0,AM27/AV27,0))</f>
        <v>0.863006746675171</v>
      </c>
      <c r="AX27" s="63">
        <f>IF(AU27=0,"—",0.003*((O27-DATOS!$C$22-INDEX(TABLAS!$C$52:$C$58,MATCH(DATOS!$C$113,TABLAS!$B$52:$B$58,0))-INDEX(TABLAS!$C$52:$C$58,MATCH(AS27,TABLAS!$B$52:$B$58,0))/2)-(AU27*INDEX(TABLAS!$D$52:$D$58,MATCH(AS27,TABLAS!$B$52:$B$58,0))*DATOS!$C$40/(DATOS!$C$48*N27)/DATOS!$C$49))/(AU27*INDEX(TABLAS!$D$52:$D$58,MATCH(AS27,TABLAS!$B$52:$B$58,0))*DATOS!$C$40/(DATOS!$C$48*N27)/DATOS!$C$49))</f>
        <v>0.0117926084434758</v>
      </c>
      <c r="AY27" s="43">
        <f>IF(OR(L27="BORDE DE VOLADO",L27="SIN APOYO"),0,IF(IF(AN27&lt;=0,0,IF((1-2*AN27*1E5/(DATOS!$C$58*N27*AQ27^2*DATOS!$C$48))&lt;0,-1,IF((1-SQRT((1-2*AN27*1E5/(DATOS!$C$58*N27*AQ27^2*DATOS!$C$48))))*DATOS!$C$48*N27*AQ27/DATOS!$C$40&gt;DATOS!$C$82*N27*AQ27,-1,(1-SQRT((1-2*AN27*1E5/(DATOS!$C$58*N27*AQ27^2*DATOS!$C$48))))*DATOS!$C$48*N27*AQ27/DATOS!$C$40)))&lt;0,-1,MAX(IF(AN27&lt;=0,0,IF((1-2*AN27*1E5/(DATOS!$C$58*N27*AQ27^2*DATOS!$C$48))&lt;0,-1,IF((1-SQRT((1-2*AN27*1E5/(DATOS!$C$58*N27*AQ27^2*DATOS!$C$48))))*DATOS!$C$48*N27*AQ27/DATOS!$C$40&gt;DATOS!$C$82*N27*AQ27,-1,(1-SQRT((1-2*AN27*1E5/(DATOS!$C$58*N27*AQ27^2*DATOS!$C$48))))*DATOS!$C$48*N27*AQ27/DATOS!$C$40))),MIN(DATOS!$C$83*IF(L27="VOLADO",MIN(BI27,2*N27),N27)*AQ27,4/3*IF(AN27&lt;=0,0,IF((1-2*AN27*1E5/(DATOS!$C$58*N27*AQ27^2*DATOS!$C$48))&lt;0,-1,IF((1-SQRT((1-2*AN27*1E5/(DATOS!$C$58*N27*AQ27^2*DATOS!$C$48))))*DATOS!$C$48*N27*AQ27/DATOS!$C$40&gt;DATOS!$C$82*N27*AQ27,-1,(1-SQRT((1-2*AN27*1E5/(DATOS!$C$58*N27*AQ27^2*DATOS!$C$48))))*DATOS!$C$48*N27*AQ27/DATOS!$C$40)))))))</f>
        <v>1.40285005994071</v>
      </c>
      <c r="AZ27" s="41">
        <f>IF(AY27&lt;0,0,IF(AND(AY27&gt;=0,MAX(DATOS!$C$114,CEILING(AY27/INDEX(TABLAS!$D$52:$D$58,MIN(MATCH(DATOS!$C$112,TABLAS!$B$52:$B$58,0)+0,7)),1))&lt;=MIN(99,INT((CB27+MAX(DATOS!$C$32,INDEX(TABLAS!$C$52:$C$58,MIN(MATCH(DATOS!$C$112,TABLAS!$B$52:$B$58,0)+0,7))))/(INDEX(TABLAS!$C$52:$C$58,MIN(MATCH(DATOS!$C$112,TABLAS!$B$52:$B$58,0)+0,7))+MAX(DATOS!$C$32,INDEX(TABLAS!$C$52:$C$58,MIN(MATCH(DATOS!$C$112,TABLAS!$B$52:$B$58,0)+0,7))))))),INDEX(TABLAS!$B$52:$B$58,MIN(MATCH(DATOS!$C$112,TABLAS!$B$52:$B$58,0)+0,7)),IF(AND(AY27&gt;=0,MAX(DATOS!$C$114,CEILING(AY27/INDEX(TABLAS!$D$52:$D$58,MIN(MATCH(DATOS!$C$112,TABLAS!$B$52:$B$58,0)+1,7)),1))&lt;=MIN(99,INT((CB27+MAX(DATOS!$C$32,INDEX(TABLAS!$C$52:$C$58,MIN(MATCH(DATOS!$C$112,TABLAS!$B$52:$B$58,0)+1,7))))/(INDEX(TABLAS!$C$52:$C$58,MIN(MATCH(DATOS!$C$112,TABLAS!$B$52:$B$58,0)+1,7))+MAX(DATOS!$C$32,INDEX(TABLAS!$C$52:$C$58,MIN(MATCH(DATOS!$C$112,TABLAS!$B$52:$B$58,0)+1,7))))))),INDEX(TABLAS!$B$52:$B$58,MIN(MATCH(DATOS!$C$112,TABLAS!$B$52:$B$58,0)+1,7)),IF(AND(AY27&gt;=0,MAX(DATOS!$C$114,CEILING(AY27/INDEX(TABLAS!$D$52:$D$58,MIN(MATCH(DATOS!$C$112,TABLAS!$B$52:$B$58,0)+2,7)),1))&lt;=MIN(99,INT((CB27+MAX(DATOS!$C$32,INDEX(TABLAS!$C$52:$C$58,MIN(MATCH(DATOS!$C$112,TABLAS!$B$52:$B$58,0)+2,7))))/(INDEX(TABLAS!$C$52:$C$58,MIN(MATCH(DATOS!$C$112,TABLAS!$B$52:$B$58,0)+2,7))+MAX(DATOS!$C$32,INDEX(TABLAS!$C$52:$C$58,MIN(MATCH(DATOS!$C$112,TABLAS!$B$52:$B$58,0)+2,7))))))),INDEX(TABLAS!$B$52:$B$58,MIN(MATCH(DATOS!$C$112,TABLAS!$B$52:$B$58,0)+2,7)),IF(AND(AY27&gt;=0,MAX(DATOS!$C$114,CEILING(AY27/INDEX(TABLAS!$D$52:$D$58,MIN(MATCH(DATOS!$C$112,TABLAS!$B$52:$B$58,0)+3,7)),1))&lt;=MIN(99,INT((CB27+MAX(DATOS!$C$32,INDEX(TABLAS!$C$52:$C$58,MIN(MATCH(DATOS!$C$112,TABLAS!$B$52:$B$58,0)+3,7))))/(INDEX(TABLAS!$C$52:$C$58,MIN(MATCH(DATOS!$C$112,TABLAS!$B$52:$B$58,0)+3,7))+MAX(DATOS!$C$32,INDEX(TABLAS!$C$52:$C$58,MIN(MATCH(DATOS!$C$112,TABLAS!$B$52:$B$58,0)+3,7))))))),INDEX(TABLAS!$B$52:$B$58,MIN(MATCH(DATOS!$C$112,TABLAS!$B$52:$B$58,0)+3,7)),IF(AND(AY27&gt;=0,MAX(DATOS!$C$114,CEILING(AY27/INDEX(TABLAS!$D$52:$D$58,MIN(MATCH(DATOS!$C$112,TABLAS!$B$52:$B$58,0)+4,7)),1))&lt;=MIN(99,INT((CB27+MAX(DATOS!$C$32,INDEX(TABLAS!$C$52:$C$58,MIN(MATCH(DATOS!$C$112,TABLAS!$B$52:$B$58,0)+4,7))))/(INDEX(TABLAS!$C$52:$C$58,MIN(MATCH(DATOS!$C$112,TABLAS!$B$52:$B$58,0)+4,7))+MAX(DATOS!$C$32,INDEX(TABLAS!$C$52:$C$58,MIN(MATCH(DATOS!$C$112,TABLAS!$B$52:$B$58,0)+4,7))))))),INDEX(TABLAS!$B$52:$B$58,MIN(MATCH(DATOS!$C$112,TABLAS!$B$52:$B$58,0)+4,7)),INDEX(TABLAS!$B$52:$B$58,7)))))))</f>
        <v>4</v>
      </c>
      <c r="BA27" s="56">
        <f>IF(OR(L27="BORDE DE VOLADO",L27="SIN APOYO"),0,IF(AY27&lt;0,0,MAX(DATOS!$C$114,CEILING(AY27/INDEX(TABLAS!$D$52:$D$58,MATCH(IF(AZ27=0,8,AZ27),TABLAS!$B$52:$B$58,0)),1))))</f>
        <v>2</v>
      </c>
      <c r="BB27" s="36">
        <f>IF(BA27=0,0,DATOS!$C$58*BA27*INDEX(TABLAS!$D$52:$D$58,MATCH(AZ27,TABLAS!$B$52:$B$58,0))*DATOS!$C$40*((O27-DATOS!$C$22-INDEX(TABLAS!$C$52:$C$58,MATCH(DATOS!$C$113,TABLAS!$B$52:$B$58,0))-INDEX(TABLAS!$C$52:$C$58,MATCH(AZ27,TABLAS!$B$52:$B$58,0))/2)-BA27*INDEX(TABLAS!$D$52:$D$58,MATCH(AZ27,TABLAS!$B$52:$B$58,0))*DATOS!$C$40/(DATOS!$C$48*N27)/2)/1E5)</f>
        <v>1.70340536964706</v>
      </c>
      <c r="BC27" s="62">
        <f>IF(AY27&lt;0,9.99,IF(BB27&gt;0,AN27/BB27,0))</f>
        <v>0.575625500032339</v>
      </c>
      <c r="BD27" s="63">
        <f>IF(BA27=0,"—",0.003*((O27-DATOS!$C$22-INDEX(TABLAS!$C$52:$C$58,MATCH(DATOS!$C$113,TABLAS!$B$52:$B$58,0))-INDEX(TABLAS!$C$52:$C$58,MATCH(AZ27,TABLAS!$B$52:$B$58,0))/2)-(BA27*INDEX(TABLAS!$D$52:$D$58,MATCH(AZ27,TABLAS!$B$52:$B$58,0))*DATOS!$C$40/(DATOS!$C$48*N27)/DATOS!$C$49))/(BA27*INDEX(TABLAS!$D$52:$D$58,MATCH(AZ27,TABLAS!$B$52:$B$58,0))*DATOS!$C$40/(DATOS!$C$48*N27)/DATOS!$C$49))</f>
        <v>0.0117926084434758</v>
      </c>
      <c r="BE27" s="36">
        <f>IF(BA27=0,0,DATOS!$C$59*MIN(1.25,MAX(0.5,2*MAX(1E-6,MIN(AU27*INDEX(TABLAS!$D$52:$D$58,MATCH(MAX(AS27,2),TABLAS!$B$52:$B$58,0)),BA27*INDEX(TABLAS!$D$52:$D$58,MATCH(MAX(AZ27,2),TABLAS!$B$52:$B$58,0)))/(N27*AQ27))^(1/3)))*SQRT(DATOS!$C$39)*N27*AQ27/1000)</f>
        <v>1.72675183421726</v>
      </c>
      <c r="BF27" s="57">
        <f>IF(AO27=0,0,FLOOR(MIN(IF(AO27&gt;BE27,DATOS!$C$59*2*INDEX(TABLAS!$D$52:$D$58,MATCH(DATOS!$C$113,TABLAS!$B$52:$B$58,0))*DATOS!$C$42*AQ27/((AO27-BE27)*1000),999),IF(MAX(0,AO27-BE27)/DATOS!$C$59&lt;=1.1*SQRT(DATOS!$C$39)*N27*AQ27/1000,MIN(AQ27/2,60),MIN(AQ27/4,30)),2*INDEX(TABLAS!$D$52:$D$58,MATCH(DATOS!$C$113,TABLAS!$B$52:$B$58,0))*DATOS!$C$42/(MAX(0.2*SQRT(DATOS!$C$39),3.5)*N27),MIN(16*INDEX(TABLAS!$C$52:$C$58,MATCH(MIN(MAX(AS27,2),MAX(AZ27,2)),TABLAS!$B$52:$B$58,0)),48*INDEX(TABLAS!$C$52:$C$58,MATCH(DATOS!$C$113,TABLAS!$B$52:$B$58,0))),DATOS!$C$115),0.5))</f>
        <v>9.5</v>
      </c>
      <c r="BG27" s="57">
        <f>BF27</f>
        <v>9.5</v>
      </c>
      <c r="BH27" s="51" t="str">
        <f>IF(AO27=0,"—",IF(AO27&gt;DATOS!$C$59*(BE27/DATOS!$C$59+2.2*SQRT(DATOS!$C$39)*N27*AQ27/1000),"SECCIÓN INSUFICIENTE","E No. "&amp;TEXT(DATOS!$C$113,"0")&amp;IF(BG27&lt;BF27," @ "&amp;TEXT(BG27,"0.0")&amp;" en 2h y"," @")&amp;" "&amp;TEXT(BF27,"0.0")&amp;" cm"))</f>
        <v>E No. 3 @ 9.5 cm</v>
      </c>
      <c r="BI27" s="56">
        <f>N27+2*MIN(8*DATOS!$C$14,DATOS!$C$11/2,G27*100/8)</f>
        <v>60.625</v>
      </c>
      <c r="BJ27" s="71">
        <f>BI27*DATOS!$C$14^3/12+BI27*DATOS!$C$14*(((BI27*DATOS!$C$14^2/2+N27*(O27-DATOS!$C$14)*(DATOS!$C$14+(O27-DATOS!$C$14)/2))/(BI27*DATOS!$C$14+N27*(O27-DATOS!$C$14)))-DATOS!$C$14/2)^2+N27*(O27-DATOS!$C$14)^3/12+N27*(O27-DATOS!$C$14)*(DATOS!$C$14+(O27-DATOS!$C$14)/2-((BI27*DATOS!$C$14^2/2+N27*(O27-DATOS!$C$14)*(DATOS!$C$14+(O27-DATOS!$C$14)/2))/(BI27*DATOS!$C$14+N27*(O27-DATOS!$C$14))))^2</f>
        <v>34190.4482405009</v>
      </c>
      <c r="BK27" s="43">
        <f>O27-DATOS!$C$22-INDEX(TABLAS!$C$52:$C$58,MATCH(DATOS!$C$113,TABLAS!$B$52:$B$58,0))-INDEX(TABLAS!$C$52:$C$58,MATCH(MAX(IF(L27="VOLADO",AZ27,AS27),2),TABLAS!$B$52:$B$58,0))/2</f>
        <v>19.415</v>
      </c>
      <c r="BL27" s="43">
        <f>DATOS!$C$46/DATOS!$C$45*IF(L27="VOLADO",BA27*INDEX(TABLAS!$D$52:$D$58,MATCH(MAX(AZ27,2),TABLAS!$B$52:$B$58,0)),AU27*INDEX(TABLAS!$D$52:$D$58,MATCH(MAX(AS27,2),TABLAS!$B$52:$B$58,0)))</f>
        <v>22.9491007337934</v>
      </c>
      <c r="BM27" s="43">
        <f>IF(BL27&lt;=0,0,(SQRT(2*(BL27/(IF(L27="VOLADO",N27,BI27)*BK27))+(BL27/(IF(L27="VOLADO",N27,BI27)*BK27))^2)-(BL27/(IF(L27="VOLADO",N27,BI27)*BK27)))*BK27)</f>
        <v>3.47399945858701</v>
      </c>
      <c r="BN27" s="71">
        <f>IF(AND(L27&lt;&gt;"VOLADO",BM27&gt;DATOS!$C$14),(BI27*DATOS!$C$14^3/12+BI27*DATOS!$C$14*(((-((BI27-N27)*DATOS!$C$14+BL27)+SQRT(((BI27-N27)*DATOS!$C$14+BL27)^2+2*N27*((BI27-N27)*DATOS!$C$14^2/2+BL27*BK27)))/N27)-DATOS!$C$14/2)^2+N27*(((-((BI27-N27)*DATOS!$C$14+BL27)+SQRT(((BI27-N27)*DATOS!$C$14+BL27)^2+2*N27*((BI27-N27)*DATOS!$C$14^2/2+BL27*BK27)))/N27)-DATOS!$C$14)^3/3+BL27*(BK27-((-((BI27-N27)*DATOS!$C$14+BL27)+SQRT(((BI27-N27)*DATOS!$C$14+BL27)^2+2*N27*((BI27-N27)*DATOS!$C$14^2/2+BL27*BK27)))/N27))^2),(IF(L27="VOLADO",N27,BI27)*BM27^3/3+BL27*(BK27-BM27)^2))</f>
        <v>6678.98808422029</v>
      </c>
      <c r="BO27" s="71">
        <f>IF(AP27&lt;=0,BJ27,IF((AP27*1E5)&lt;=2/3*(DATOS!$C$47*BJ27/IF(L27="VOLADO",((BI27*DATOS!$C$14^2/2+N27*(O27-DATOS!$C$14)*(DATOS!$C$14+(O27-DATOS!$C$14)/2))/(BI27*DATOS!$C$14+N27*(O27-DATOS!$C$14))),O27-((BI27*DATOS!$C$14^2/2+N27*(O27-DATOS!$C$14)*(DATOS!$C$14+(O27-DATOS!$C$14)/2))/(BI27*DATOS!$C$14+N27*(O27-DATOS!$C$14))))),BJ27,IF(BL27&lt;=0,0,BN27/(1-(2/3*(DATOS!$C$47*BJ27/IF(L27="VOLADO",((BI27*DATOS!$C$14^2/2+N27*(O27-DATOS!$C$14)*(DATOS!$C$14+(O27-DATOS!$C$14)/2))/(BI27*DATOS!$C$14+N27*(O27-DATOS!$C$14))),O27-((BI27*DATOS!$C$14^2/2+N27*(O27-DATOS!$C$14)*(DATOS!$C$14+(O27-DATOS!$C$14)/2))/(BI27*DATOS!$C$14+N27*(O27-DATOS!$C$14)))))/(AP27*1E5))^2*(1-BN27/BJ27)))))</f>
        <v>7662.11188513457</v>
      </c>
      <c r="BP27" s="62">
        <f>IF(OR(L27="APOYADA",L27="VOLADO"),(IF(L27="VOLADO",(AP27-AH27)/4+AH27/3,5/48*AP27)*1E5*(G27*100)^2/(DATOS!$C$45*MAX(BO27,1)))*(1+2/(1+50*IF(L27="VOLADO",AU27*INDEX(TABLAS!$D$52:$D$58,MATCH(MAX(AS27,2),TABLAS!$B$52:$B$58,0)),DATOS!$C$114*INDEX(TABLAS!$D$52:$D$58,MATCH(MAX(AZ27,2),TABLAS!$B$52:$B$58,0)))/(N27*BK27))*((AA27+AC27)/MAX(AA27+AB27,1E-6))),0)</f>
        <v>0.514795981322241</v>
      </c>
      <c r="BQ27" s="43">
        <f>IF(S27&gt;0,0.3+G27*100/480,0.5+G27*100/240)</f>
        <v>0.680208333333333</v>
      </c>
      <c r="BR27" s="43">
        <f>IF(S27&gt;0,(T27+U27)*G27+AG27,0)</f>
        <v>4.3507551494898</v>
      </c>
      <c r="BS27" s="43">
        <f>IF(S27&gt;0,(DATOS!$C$51*DATOS!$C$103*100*(G27*100)^3/(DATOS!$C$45*BJ27*((BR27*1000/(DATOS!$C$103*100*S27*100)*DATOS!$C$103*100*(MIN(1,S27/G27)^4-4*MIN(1,S27/G27)^3+8*MIN(1,S27/G27)))/((BR27*1000/(DATOS!$C$103*100*S27*100)*DATOS!$C$103*100*(MIN(1,S27/G27)^4-4*MIN(1,S27/G27)^3+8*MIN(1,S27/G27)))+5*((R27+X27+Y27+IF(L27="APOYADA",8*(0)/G27^2,0))*10)))))^0.25,0)</f>
        <v>5.16871903485963</v>
      </c>
      <c r="BT27" s="57">
        <f>IF(S27&gt;0,MAX(1,IF(MIN(1,S27/G27)&gt;=1,(1.6*BS27-3.9),IF(MIN(1,S27/G27)&lt;0.9,((3.2*BS27-7.8)*1),((3.2*BS27-7.8)*1)+((1.6*BS27-3.9)-((3.2*BS27-7.8)*1))*(MIN(1,S27/G27)-0.9)/0.1)))*BR27*1000/(DATOS!$C$103*100*S27*100),0)</f>
        <v>6.94523632821191</v>
      </c>
      <c r="BU27" s="65" t="str">
        <f>IF(S27=0,"—",IF(DATOS!$C$105/S27&lt;0.6,"REVISAR: H/L &lt; 0.6, interacción muro-viga",IF(BT27&lt;=DATOS!$C$60*DATOS!$C$50,"CUMPLE","NO CUMPLE f_CM &gt; F_R·f'm")))</f>
        <v>CUMPLE</v>
      </c>
      <c r="BV27" s="57">
        <f>IF(S27&gt;0,MAX(25,IF(BJ27&gt;=(G27*100)^3/1600,0,MIN(G27*100/14,(12*(G27*100)^3/1600/N27)^(1/3)))),IF(L27="APOYADA",MAX(25,G27*100/16),IF(L27="VOLADO",MAX(25,G27*100/8),0)))</f>
        <v>25</v>
      </c>
      <c r="BW27" s="57">
        <f>IF(S27&gt;0,IF(BJ27&gt;=(5/4*(G27*100)^3/DATOS!$C$45*((((S27*DATOS!$C$107+(((SUMIFS(TRIB!$I$6:$I$255,TRIB!$B$6:$B$255,"DM-118")-SUMIFS(TRIB!$L$6:$L$255,TRIB!$B$6:$B$255,"DM-118"))*1.0+(SUMIFS(TRIB!$I$6:$I$255,TRIB!$B$6:$B$255,"DM-119")-SUMIFS(TRIB!$L$6:$L$255,TRIB!$B$6:$B$255,"DM-119"))*1.0)/G27+(SUMIFS(TRIB!$M$6:$M$255,TRIB!$B$6:$B$255,"DM-118")*1.0+SUMIFS(TRIB!$M$6:$M$255,TRIB!$B$6:$B$255,"DM-119")*1.0)/G27)*G27+AG27/DATOS!$C$55)*1000)/(DATOS!$C$103*100*S27*100)*DATOS!$C$103*100*(MIN(1,S27/G27)^4-4*MIN(1,S27/G27)^3+8*MIN(1,S27/G27)))+5*((AA27-S27*DATOS!$C$107/G27-(((SUMIFS(TRIB!$I$6:$I$255,TRIB!$B$6:$B$255,"DM-118")-SUMIFS(TRIB!$L$6:$L$255,TRIB!$B$6:$B$255,"DM-118"))*1.0+(SUMIFS(TRIB!$I$6:$I$255,TRIB!$B$6:$B$255,"DM-119")-SUMIFS(TRIB!$L$6:$L$255,TRIB!$B$6:$B$255,"DM-119"))*1.0)/G27))*10))),0,MIN((G27*100/((1/15*DATOS!$C$45*N27/((((S27*DATOS!$C$107+(((SUMIFS(TRIB!$I$6:$I$255,TRIB!$B$6:$B$255,"DM-118")-SUMIFS(TRIB!$L$6:$L$255,TRIB!$B$6:$B$255,"DM-118"))*1.0+(SUMIFS(TRIB!$I$6:$I$255,TRIB!$B$6:$B$255,"DM-119")-SUMIFS(TRIB!$L$6:$L$255,TRIB!$B$6:$B$255,"DM-119"))*1.0)/G27+(SUMIFS(TRIB!$M$6:$M$255,TRIB!$B$6:$B$255,"DM-118")*1.0+SUMIFS(TRIB!$M$6:$M$255,TRIB!$B$6:$B$255,"DM-119")*1.0)/G27)*G27+AG27/DATOS!$C$55)*1000)/(DATOS!$C$103*100*S27*100)*DATOS!$C$103*100*(MIN(1,S27/G27)^4-4*MIN(1,S27/G27)^3+8*MIN(1,S27/G27)))+5*((AA27-S27*DATOS!$C$107/G27-(((SUMIFS(TRIB!$I$6:$I$255,TRIB!$B$6:$B$255,"DM-118")-SUMIFS(TRIB!$L$6:$L$255,TRIB!$B$6:$B$255,"DM-118"))*1.0+(SUMIFS(TRIB!$I$6:$I$255,TRIB!$B$6:$B$255,"DM-119")-SUMIFS(TRIB!$L$6:$L$255,TRIB!$B$6:$B$255,"DM-119"))*1.0)/G27))*10)))^(1/3))),(12*(5/4*(G27*100)^3/DATOS!$C$45*((((S27*DATOS!$C$107+(((SUMIFS(TRIB!$I$6:$I$255,TRIB!$B$6:$B$255,"DM-118")-SUMIFS(TRIB!$L$6:$L$255,TRIB!$B$6:$B$255,"DM-118"))*1.0+(SUMIFS(TRIB!$I$6:$I$255,TRIB!$B$6:$B$255,"DM-119")-SUMIFS(TRIB!$L$6:$L$255,TRIB!$B$6:$B$255,"DM-119"))*1.0)/G27+(SUMIFS(TRIB!$M$6:$M$255,TRIB!$B$6:$B$255,"DM-118")*1.0+SUMIFS(TRIB!$M$6:$M$255,TRIB!$B$6:$B$255,"DM-119")*1.0)/G27)*G27+AG27/DATOS!$C$55)*1000)/(DATOS!$C$103*100*S27*100)*DATOS!$C$103*100*(MIN(1,S27/G27)^4-4*MIN(1,S27/G27)^3+8*MIN(1,S27/G27)))+5*((AA27-S27*DATOS!$C$107/G27-(((SUMIFS(TRIB!$I$6:$I$255,TRIB!$B$6:$B$255,"DM-118")-SUMIFS(TRIB!$L$6:$L$255,TRIB!$B$6:$B$255,"DM-118"))*1.0+(SUMIFS(TRIB!$I$6:$I$255,TRIB!$B$6:$B$255,"DM-119")-SUMIFS(TRIB!$L$6:$L$255,TRIB!$B$6:$B$255,"DM-119"))*1.0)/G27))*10)))/N27)^(1/3))),0)</f>
        <v>0</v>
      </c>
      <c r="BX27" s="57">
        <f>SQRT(MAX(AM27,AN27)*1E5/(DATOS!$C$58*N27*DATOS!$C$48*(DATOS!$C$82*DATOS!$C$40/DATOS!$C$48)*(1-(DATOS!$C$82*DATOS!$C$40/DATOS!$C$48)/2)))+(O27-AQ27)</f>
        <v>19.4140867959148</v>
      </c>
      <c r="BY27" s="59">
        <f>IF(OR(L27="BORDE DE VOLADO",L27="SIN APOYO"),0,CEILING(MAX(BV27,BW27,BX27,DATOS!$C$15),5))</f>
        <v>25</v>
      </c>
      <c r="BZ27" s="72" t="str">
        <f>IF(L27="BORDE DE VOLADO","BORDE DE VOLADO — armado de orilla",IF(L27="SIN APOYO","SIN APOYO — REVISAR",IF(AND(AW27&lt;=1,BC27&lt;=1,IF(AU27=0,TRUE,AU27&lt;=INT((CB27+DATOS!$C$32)/(INDEX(TABLAS!$C$52:$C$58,MATCH(MAX(AS27,2),TABLAS!$B$52:$B$58,0))+DATOS!$C$32))),IF(BA27=0,TRUE,BA27&lt;=INT((CB27+DATOS!$C$32)/(INDEX(TABLAS!$C$52:$C$58,MATCH(MAX(AZ27,2),TABLAS!$B$52:$B$58,0))+DATOS!$C$32))),AND(OR(NOT(ISNUMBER(AX27)),AX27&gt;=0.005),OR(NOT(ISNUMBER(BD27)),BD27&gt;=0.005)),BH27&lt;&gt;"SECCIÓN INSUFICIENTE",AND(O27&gt;=BV27,O27&gt;=BW27,O27/N27&lt;=6),BP27&lt;=BQ27,OR(S27=0,LEFT(BU27,6)&lt;&gt;"NO CUM")),IF(LEFT(BU27,7)="REVISAR","PENDIENTE: H/L &lt; 0.6, falta el análisis de interacción muro-viga (NTC-M 4.1.18.2.1, p. 44)","CUMPLE")&amp;IF(L27="VOLADO"," (en VOLADO)",""),"NO CUMPLE: "&amp;IF(OR(AR27&lt;0,AY27&lt;0),"sección insuficiente en flexión ",IF(OR(AW27&gt;1,BC27&gt;1),"flexión ",""))&amp;IF(NOT(AND(IF(AU27=0,TRUE,AU27&lt;=INT((CB27+DATOS!$C$32)/(INDEX(TABLAS!$C$52:$C$58,MATCH(MAX(AS27,2),TABLAS!$B$52:$B$58,0))+DATOS!$C$32))),IF(BA27=0,TRUE,BA27&lt;=INT((CB27+DATOS!$C$32)/(INDEX(TABLAS!$C$52:$C$58,MATCH(MAX(AZ27,2),TABLAS!$B$52:$B$58,0))+DATOS!$C$32))))),"no caben ","")&amp;IF(NOT(AND(OR(NOT(ISNUMBER(AX27)),AX27&gt;=0.005),OR(NOT(ISNUMBER(BD27)),BD27&gt;=0.005))),"ε_t ","")&amp;IF(BH27="SECCIÓN INSUFICIENTE","cortante ","")&amp;IF(NOT(AND(O27&gt;=BV27,O27&gt;=BW27,O27/N27&lt;=6)),"peralte ","")&amp;IF(NOT(BP27&lt;=BQ27),"flecha ","")&amp;IF(NOT(OR(S27=0,LEFT(BU27,6)&lt;&gt;"NO CUM")),"muro sobre viga ","")&amp;"→ h ≥ "&amp;TEXT(MAX(BY27,IF(BP27&gt;BQ27,MAX(O27+5,CEILING(O27*(BP27/BQ27)^(1/3),5)),0)),"0")&amp;" cm"&amp;IF(NOT(AND(IF(AU27=0,TRUE,AU27&lt;=INT((CB27+DATOS!$C$32)/(INDEX(TABLAS!$C$52:$C$58,MATCH(MAX(AS27,2),TABLAS!$B$52:$B$58,0))+DATOS!$C$32))),IF(BA27=0,TRUE,BA27&lt;=INT((CB27+DATOS!$C$32)/(INDEX(TABLAS!$C$52:$C$58,MATCH(MAX(AZ27,2),TABLAS!$B$52:$B$58,0))+DATOS!$C$32)))))," y b ≥ "&amp;TEXT(N27+5,"0")&amp;" cm","")&amp;" (verificar)")))</f>
        <v>CUMPLE</v>
      </c>
      <c r="CA27" s="65" t="inlineStr">
        <is>
          <t>Extremo i se apoya en NP-10. Extremo j en castillo propuesto C8. Muro de planta alta encima (1.82 m) con la azotea de DM-118, DM-119: viga que soporta muro estructural (NTC-Mampostería 4.1.18): la flecha se calcula y el límite es 0.3 cm + L/480.</t>
        </is>
      </c>
      <c r="CB27" s="43">
        <f>N27-2*DATOS!$C$22-2*INDEX(TABLAS!$C$52:$C$58,MATCH(DATOS!$C$113,TABLAS!$B$52:$B$58,0))</f>
        <v>5.1</v>
      </c>
    </row>
    <row r="28" ht="30" customHeight="1">
      <c r="B28" s="60" t="inlineStr">
        <is>
          <t>NP-20</t>
        </is>
      </c>
      <c r="C28" s="52" t="inlineStr">
        <is>
          <t>N+3.00</t>
        </is>
      </c>
      <c r="D28" s="51" t="inlineStr">
        <is>
          <t>x = 4.327</t>
        </is>
      </c>
      <c r="E28" s="52" t="inlineStr">
        <is>
          <t>(4.327, 1.919)</t>
        </is>
      </c>
      <c r="F28" s="52" t="inlineStr">
        <is>
          <t>(4.327, 2.921)</t>
        </is>
      </c>
      <c r="G28" s="55" t="n">
        <v>1.002</v>
      </c>
      <c r="H28" s="52" t="str">
        <f>IF(APOYOS!$C$17="SÍ","FIRME","LIBRE")</f>
        <v>FIRME</v>
      </c>
      <c r="I28" s="52" t="str">
        <f>IF(APOYOS!$C$18="SÍ","FIRME","LIBRE")</f>
        <v>FIRME</v>
      </c>
      <c r="J28" s="52" t="inlineStr">
        <is>
          <t>C1</t>
        </is>
      </c>
      <c r="K28" s="52" t="inlineStr">
        <is>
          <t>C2</t>
        </is>
      </c>
      <c r="L28" s="60" t="str">
        <f>IF(AND(OR(H28="FIRME",H28="NERVADURA",H28="PUNTA"),OR(I28="FIRME",I28="NERVADURA",I28="PUNTA")),"APOYADA",IF(OR(OR(H28="FIRME",H28="NERVADURA",H28="PUNTA"),OR(I28="FIRME",I28="NERVADURA",I28="PUNTA")),"VOLADO","SIN APOYO"))</f>
        <v>APOYADA</v>
      </c>
      <c r="M28" s="52" t="str">
        <f>IF(L28="VOLADO",IF(OR(H28="FIRME",H28="NERVADURA",H28="PUNTA"),"i","j"),"—")</f>
        <v>—</v>
      </c>
      <c r="N28" s="58">
        <f>DATOS!$C$17</f>
        <v>15</v>
      </c>
      <c r="O28" s="58">
        <f>DATOS!$C$15</f>
        <v>25</v>
      </c>
      <c r="P28" s="65" t="str">
        <f>IF(L28="BORDE DE VOLADO","—",IF(OR(N28&lt;&gt;DATOS!$C$17,O28&lt;&gt;DATOS!$C$15),"PERALTAR: trabe "&amp;TEXT(N28,"0")&amp;"×"&amp;TEXT(O28,"0")&amp;IF(O28&gt;DATOS!$C$15," (descuelga "&amp;TEXT(O28-DATOS!$C$15,"0")&amp;" cm)",""),"Queda en la losa (15×25)"))</f>
        <v>Queda en la losa (15×25)</v>
      </c>
      <c r="Q28" s="43">
        <f>SUMIFS(TRIB!$E$6:$E$255,TRIB!$B$6:$B$255,"NP-20")</f>
        <v>0.251</v>
      </c>
      <c r="R28" s="36">
        <f>SUMIFS(TRIB!$G$6:$G$255,TRIB!$B$6:$B$255,"NP-20")/G28</f>
        <v>0.227271609841541</v>
      </c>
      <c r="S28" s="69" t="n">
        <v>1.002</v>
      </c>
      <c r="T28" s="36">
        <f>DATOS!$C$55*S28*DATOS!$C$107/G28</f>
        <v>1.233375</v>
      </c>
      <c r="U28" s="36">
        <f>(SUMIFS(TRIB!$G$6:$G$255,TRIB!$B$6:$B$255,"DM-120")*1.0)/G28</f>
        <v>0.221134384292639</v>
      </c>
      <c r="V28" s="61" t="n">
        <v>294</v>
      </c>
      <c r="W28" s="61" t="n">
        <v>0</v>
      </c>
      <c r="X28" s="36">
        <f>(DATOS!$C$55*V28+DATOS!$C$56*W28)/1000</f>
        <v>0.3822</v>
      </c>
      <c r="Y28" s="36">
        <f>DATOS!$C$55*(N28/100*O28/100*DATOS!$C$43-N28/100*DATOS!$C$70/1000)</f>
        <v>0.0694836734693878</v>
      </c>
      <c r="Z28" s="70">
        <f>R28+T28+U28+X28+Y28</f>
        <v>2.13346466760357</v>
      </c>
      <c r="AA28" s="36">
        <f>(SUMIFS(TRIB!$I$6:$I$255,TRIB!$B$6:$B$255,"NP-20")-SUMIFS(TRIB!$L$6:$L$255,TRIB!$B$6:$B$255,"NP-20"))/G28+S28*DATOS!$C$107/G28+((SUMIFS(TRIB!$I$6:$I$255,TRIB!$B$6:$B$255,"DM-120")-SUMIFS(TRIB!$L$6:$L$255,TRIB!$B$6:$B$255,"DM-120"))*1.0)/G28+V28/1000+Y28/DATOS!$C$55</f>
        <v>1.5573058474887</v>
      </c>
      <c r="AB28" s="36">
        <f>SUMIFS(TRIB!$L$6:$L$255,TRIB!$B$6:$B$255,"NP-20")/G28+(SUMIFS(TRIB!$L$6:$L$255,TRIB!$B$6:$B$255,"DM-120")*1.0)/G28+W28/1000</f>
        <v>0.0726447105788423</v>
      </c>
      <c r="AC28" s="36">
        <f>SUMIFS(TRIB!$M$6:$M$255,TRIB!$B$6:$B$255,"NP-20")/G28+(SUMIFS(TRIB!$M$6:$M$255,TRIB!$B$6:$B$255,"DM-120")*1.0)/G28+W28/1000*DATOS!$C$91/DATOS!$C$89</f>
        <v>0.0237974051896208</v>
      </c>
      <c r="AD28" s="36">
        <f>0</f>
        <v>0</v>
      </c>
      <c r="AE28" s="36">
        <f>0</f>
        <v>0</v>
      </c>
      <c r="AF28" s="36">
        <f>0</f>
        <v>0</v>
      </c>
      <c r="AG28" s="36">
        <f>0</f>
        <v>0</v>
      </c>
      <c r="AH28" s="36">
        <f>0</f>
        <v>0</v>
      </c>
      <c r="AI28" s="36">
        <f>IF(L28="APOYADA",Z28*G28/2+0,IF(AND(L28="VOLADO",M28="i"),Z28*G28+AD28,0))</f>
        <v>1.06886579846939</v>
      </c>
      <c r="AJ28" s="36">
        <f>IF(L28="APOYADA",Z28*G28/2+0,IF(AND(L28="VOLADO",M28="j"),Z28*G28+AD28,0))</f>
        <v>1.06886579846939</v>
      </c>
      <c r="AK28" s="36">
        <f>IF(L28="APOYADA",(AA28+AB28)*G28/2+0,IF(AND(L28="VOLADO",M28="i"),(AA28+AB28)*G28+0,0))</f>
        <v>0.816605229591837</v>
      </c>
      <c r="AL28" s="36">
        <f>IF(L28="APOYADA",(AA28+AB28)*G28/2+0,IF(AND(L28="VOLADO",M28="j"),(AA28+AB28)*G28+0,0))</f>
        <v>0.816605229591837</v>
      </c>
      <c r="AM28" s="70">
        <f>IF(L28="APOYADA",Z28*G28^2/8+AE28,0)</f>
        <v>0.267750882516582</v>
      </c>
      <c r="AN28" s="70">
        <f>IF(L28="APOYADA",DATOS!$C$64*AM28,IF(L28="VOLADO",Z28*G28^2/2+AE28,0))</f>
        <v>0.17858983863856</v>
      </c>
      <c r="AO28" s="70">
        <f>IF(L28="APOYADA",Z28*G28/2+AF28,IF(L28="VOLADO",Z28*G28+AF28,0))</f>
        <v>1.06886579846939</v>
      </c>
      <c r="AP28" s="36">
        <f>IF(L28="APOYADA",(AA28+AB28)*G28^2/8+AH28,IF(L28="VOLADO",(AA28+AB28)*G28^2/2+AH28,0))</f>
        <v>0.204559610012755</v>
      </c>
      <c r="AQ28" s="43">
        <f>O28-DATOS!$C$22-INDEX(TABLAS!$C$52:$C$58,MATCH(DATOS!$C$113,TABLAS!$B$52:$B$58,0))-INDEX(TABLAS!$C$52:$C$58,MATCH(DATOS!$C$112,TABLAS!$B$52:$B$58,0))/2</f>
        <v>19.415</v>
      </c>
      <c r="AR28" s="43">
        <f>IF(OR(L28="BORDE DE VOLADO",L28="SIN APOYO"),0,IF(IF(AM28&lt;=0,0,IF((1-2*AM28*1E5/(DATOS!$C$58*N28*AQ28^2*DATOS!$C$48))&lt;0,-1,IF((1-SQRT((1-2*AM28*1E5/(DATOS!$C$58*N28*AQ28^2*DATOS!$C$48))))*DATOS!$C$48*N28*AQ28/DATOS!$C$40&gt;DATOS!$C$82*N28*AQ28,-1,(1-SQRT((1-2*AM28*1E5/(DATOS!$C$58*N28*AQ28^2*DATOS!$C$48))))*DATOS!$C$48*N28*AQ28/DATOS!$C$40)))&lt;0,-1,MAX(IF(AM28&lt;=0,0,IF((1-2*AM28*1E5/(DATOS!$C$58*N28*AQ28^2*DATOS!$C$48))&lt;0,-1,IF((1-SQRT((1-2*AM28*1E5/(DATOS!$C$58*N28*AQ28^2*DATOS!$C$48))))*DATOS!$C$48*N28*AQ28/DATOS!$C$40&gt;DATOS!$C$82*N28*AQ28,-1,(1-SQRT((1-2*AM28*1E5/(DATOS!$C$58*N28*AQ28^2*DATOS!$C$48))))*DATOS!$C$48*N28*AQ28/DATOS!$C$40))),MIN(DATOS!$C$83*N28*AQ28,4/3*IF(AM28&lt;=0,0,IF((1-2*AM28*1E5/(DATOS!$C$58*N28*AQ28^2*DATOS!$C$48))&lt;0,-1,IF((1-SQRT((1-2*AM28*1E5/(DATOS!$C$58*N28*AQ28^2*DATOS!$C$48))))*DATOS!$C$48*N28*AQ28/DATOS!$C$40&gt;DATOS!$C$82*N28*AQ28,-1,(1-SQRT((1-2*AM28*1E5/(DATOS!$C$58*N28*AQ28^2*DATOS!$C$48))))*DATOS!$C$48*N28*AQ28/DATOS!$C$40)))))))</f>
        <v>0.492628876141621</v>
      </c>
      <c r="AS28" s="41">
        <f>IF(AR28&lt;0,0,IF(AND(AR28&gt;=0,MAX(DATOS!$C$114,CEILING(AR28/INDEX(TABLAS!$D$52:$D$58,MIN(MATCH(DATOS!$C$112,TABLAS!$B$52:$B$58,0)+0,7)),1))&lt;=MIN(99,INT((CB28+MAX(DATOS!$C$32,INDEX(TABLAS!$C$52:$C$58,MIN(MATCH(DATOS!$C$112,TABLAS!$B$52:$B$58,0)+0,7))))/(INDEX(TABLAS!$C$52:$C$58,MIN(MATCH(DATOS!$C$112,TABLAS!$B$52:$B$58,0)+0,7))+MAX(DATOS!$C$32,INDEX(TABLAS!$C$52:$C$58,MIN(MATCH(DATOS!$C$112,TABLAS!$B$52:$B$58,0)+0,7))))))),INDEX(TABLAS!$B$52:$B$58,MIN(MATCH(DATOS!$C$112,TABLAS!$B$52:$B$58,0)+0,7)),IF(AND(AR28&gt;=0,MAX(DATOS!$C$114,CEILING(AR28/INDEX(TABLAS!$D$52:$D$58,MIN(MATCH(DATOS!$C$112,TABLAS!$B$52:$B$58,0)+1,7)),1))&lt;=MIN(99,INT((CB28+MAX(DATOS!$C$32,INDEX(TABLAS!$C$52:$C$58,MIN(MATCH(DATOS!$C$112,TABLAS!$B$52:$B$58,0)+1,7))))/(INDEX(TABLAS!$C$52:$C$58,MIN(MATCH(DATOS!$C$112,TABLAS!$B$52:$B$58,0)+1,7))+MAX(DATOS!$C$32,INDEX(TABLAS!$C$52:$C$58,MIN(MATCH(DATOS!$C$112,TABLAS!$B$52:$B$58,0)+1,7))))))),INDEX(TABLAS!$B$52:$B$58,MIN(MATCH(DATOS!$C$112,TABLAS!$B$52:$B$58,0)+1,7)),IF(AND(AR28&gt;=0,MAX(DATOS!$C$114,CEILING(AR28/INDEX(TABLAS!$D$52:$D$58,MIN(MATCH(DATOS!$C$112,TABLAS!$B$52:$B$58,0)+2,7)),1))&lt;=MIN(99,INT((CB28+MAX(DATOS!$C$32,INDEX(TABLAS!$C$52:$C$58,MIN(MATCH(DATOS!$C$112,TABLAS!$B$52:$B$58,0)+2,7))))/(INDEX(TABLAS!$C$52:$C$58,MIN(MATCH(DATOS!$C$112,TABLAS!$B$52:$B$58,0)+2,7))+MAX(DATOS!$C$32,INDEX(TABLAS!$C$52:$C$58,MIN(MATCH(DATOS!$C$112,TABLAS!$B$52:$B$58,0)+2,7))))))),INDEX(TABLAS!$B$52:$B$58,MIN(MATCH(DATOS!$C$112,TABLAS!$B$52:$B$58,0)+2,7)),IF(AND(AR28&gt;=0,MAX(DATOS!$C$114,CEILING(AR28/INDEX(TABLAS!$D$52:$D$58,MIN(MATCH(DATOS!$C$112,TABLAS!$B$52:$B$58,0)+3,7)),1))&lt;=MIN(99,INT((CB28+MAX(DATOS!$C$32,INDEX(TABLAS!$C$52:$C$58,MIN(MATCH(DATOS!$C$112,TABLAS!$B$52:$B$58,0)+3,7))))/(INDEX(TABLAS!$C$52:$C$58,MIN(MATCH(DATOS!$C$112,TABLAS!$B$52:$B$58,0)+3,7))+MAX(DATOS!$C$32,INDEX(TABLAS!$C$52:$C$58,MIN(MATCH(DATOS!$C$112,TABLAS!$B$52:$B$58,0)+3,7))))))),INDEX(TABLAS!$B$52:$B$58,MIN(MATCH(DATOS!$C$112,TABLAS!$B$52:$B$58,0)+3,7)),IF(AND(AR28&gt;=0,MAX(DATOS!$C$114,CEILING(AR28/INDEX(TABLAS!$D$52:$D$58,MIN(MATCH(DATOS!$C$112,TABLAS!$B$52:$B$58,0)+4,7)),1))&lt;=MIN(99,INT((CB28+MAX(DATOS!$C$32,INDEX(TABLAS!$C$52:$C$58,MIN(MATCH(DATOS!$C$112,TABLAS!$B$52:$B$58,0)+4,7))))/(INDEX(TABLAS!$C$52:$C$58,MIN(MATCH(DATOS!$C$112,TABLAS!$B$52:$B$58,0)+4,7))+MAX(DATOS!$C$32,INDEX(TABLAS!$C$52:$C$58,MIN(MATCH(DATOS!$C$112,TABLAS!$B$52:$B$58,0)+4,7))))))),INDEX(TABLAS!$B$52:$B$58,MIN(MATCH(DATOS!$C$112,TABLAS!$B$52:$B$58,0)+4,7)),INDEX(TABLAS!$B$52:$B$58,7)))))))</f>
        <v>4</v>
      </c>
      <c r="AT28" s="58" t="n">
        <v>0</v>
      </c>
      <c r="AU28" s="56">
        <f>IF(OR(L28="BORDE DE VOLADO",L28="SIN APOYO"),0,IF(AR28&lt;0,0,MAX(DATOS!$C$114,CEILING(AR28/INDEX(TABLAS!$D$52:$D$58,MATCH(IF(AS28=0,8,AS28),TABLAS!$B$52:$B$58,0)),1))+AT28))</f>
        <v>2</v>
      </c>
      <c r="AV28" s="36">
        <f>IF(AU28=0,0,DATOS!$C$58*AU28*INDEX(TABLAS!$D$52:$D$58,MATCH(AS28,TABLAS!$B$52:$B$58,0))*DATOS!$C$40*((O28-DATOS!$C$22-INDEX(TABLAS!$C$52:$C$58,MATCH(DATOS!$C$113,TABLAS!$B$52:$B$58,0))-INDEX(TABLAS!$C$52:$C$58,MATCH(AS28,TABLAS!$B$52:$B$58,0))/2)-AU28*INDEX(TABLAS!$D$52:$D$58,MATCH(AS28,TABLAS!$B$52:$B$58,0))*DATOS!$C$40/(DATOS!$C$48*N28)/2)/1E5)</f>
        <v>1.70340536964706</v>
      </c>
      <c r="AW28" s="62">
        <f>IF(AR28&lt;0,9.99,IF(AV28&gt;0,AM28/AV28,0))</f>
        <v>0.157185651335629</v>
      </c>
      <c r="AX28" s="63">
        <f>IF(AU28=0,"—",0.003*((O28-DATOS!$C$22-INDEX(TABLAS!$C$52:$C$58,MATCH(DATOS!$C$113,TABLAS!$B$52:$B$58,0))-INDEX(TABLAS!$C$52:$C$58,MATCH(AS28,TABLAS!$B$52:$B$58,0))/2)-(AU28*INDEX(TABLAS!$D$52:$D$58,MATCH(AS28,TABLAS!$B$52:$B$58,0))*DATOS!$C$40/(DATOS!$C$48*N28)/DATOS!$C$49))/(AU28*INDEX(TABLAS!$D$52:$D$58,MATCH(AS28,TABLAS!$B$52:$B$58,0))*DATOS!$C$40/(DATOS!$C$48*N28)/DATOS!$C$49))</f>
        <v>0.0117926084434758</v>
      </c>
      <c r="AY28" s="43">
        <f>IF(OR(L28="BORDE DE VOLADO",L28="SIN APOYO"),0,IF(IF(AN28&lt;=0,0,IF((1-2*AN28*1E5/(DATOS!$C$58*N28*AQ28^2*DATOS!$C$48))&lt;0,-1,IF((1-SQRT((1-2*AN28*1E5/(DATOS!$C$58*N28*AQ28^2*DATOS!$C$48))))*DATOS!$C$48*N28*AQ28/DATOS!$C$40&gt;DATOS!$C$82*N28*AQ28,-1,(1-SQRT((1-2*AN28*1E5/(DATOS!$C$58*N28*AQ28^2*DATOS!$C$48))))*DATOS!$C$48*N28*AQ28/DATOS!$C$40)))&lt;0,-1,MAX(IF(AN28&lt;=0,0,IF((1-2*AN28*1E5/(DATOS!$C$58*N28*AQ28^2*DATOS!$C$48))&lt;0,-1,IF((1-SQRT((1-2*AN28*1E5/(DATOS!$C$58*N28*AQ28^2*DATOS!$C$48))))*DATOS!$C$48*N28*AQ28/DATOS!$C$40&gt;DATOS!$C$82*N28*AQ28,-1,(1-SQRT((1-2*AN28*1E5/(DATOS!$C$58*N28*AQ28^2*DATOS!$C$48))))*DATOS!$C$48*N28*AQ28/DATOS!$C$40))),MIN(DATOS!$C$83*IF(L28="VOLADO",MIN(BI28,2*N28),N28)*AQ28,4/3*IF(AN28&lt;=0,0,IF((1-2*AN28*1E5/(DATOS!$C$58*N28*AQ28^2*DATOS!$C$48))&lt;0,-1,IF((1-SQRT((1-2*AN28*1E5/(DATOS!$C$58*N28*AQ28^2*DATOS!$C$48))))*DATOS!$C$48*N28*AQ28/DATOS!$C$40&gt;DATOS!$C$82*N28*AQ28,-1,(1-SQRT((1-2*AN28*1E5/(DATOS!$C$58*N28*AQ28^2*DATOS!$C$48))))*DATOS!$C$48*N28*AQ28/DATOS!$C$40)))))))</f>
        <v>0.327188338567121</v>
      </c>
      <c r="AZ28" s="41">
        <f>IF(AY28&lt;0,0,IF(AND(AY28&gt;=0,MAX(DATOS!$C$114,CEILING(AY28/INDEX(TABLAS!$D$52:$D$58,MIN(MATCH(DATOS!$C$112,TABLAS!$B$52:$B$58,0)+0,7)),1))&lt;=MIN(99,INT((CB28+MAX(DATOS!$C$32,INDEX(TABLAS!$C$52:$C$58,MIN(MATCH(DATOS!$C$112,TABLAS!$B$52:$B$58,0)+0,7))))/(INDEX(TABLAS!$C$52:$C$58,MIN(MATCH(DATOS!$C$112,TABLAS!$B$52:$B$58,0)+0,7))+MAX(DATOS!$C$32,INDEX(TABLAS!$C$52:$C$58,MIN(MATCH(DATOS!$C$112,TABLAS!$B$52:$B$58,0)+0,7))))))),INDEX(TABLAS!$B$52:$B$58,MIN(MATCH(DATOS!$C$112,TABLAS!$B$52:$B$58,0)+0,7)),IF(AND(AY28&gt;=0,MAX(DATOS!$C$114,CEILING(AY28/INDEX(TABLAS!$D$52:$D$58,MIN(MATCH(DATOS!$C$112,TABLAS!$B$52:$B$58,0)+1,7)),1))&lt;=MIN(99,INT((CB28+MAX(DATOS!$C$32,INDEX(TABLAS!$C$52:$C$58,MIN(MATCH(DATOS!$C$112,TABLAS!$B$52:$B$58,0)+1,7))))/(INDEX(TABLAS!$C$52:$C$58,MIN(MATCH(DATOS!$C$112,TABLAS!$B$52:$B$58,0)+1,7))+MAX(DATOS!$C$32,INDEX(TABLAS!$C$52:$C$58,MIN(MATCH(DATOS!$C$112,TABLAS!$B$52:$B$58,0)+1,7))))))),INDEX(TABLAS!$B$52:$B$58,MIN(MATCH(DATOS!$C$112,TABLAS!$B$52:$B$58,0)+1,7)),IF(AND(AY28&gt;=0,MAX(DATOS!$C$114,CEILING(AY28/INDEX(TABLAS!$D$52:$D$58,MIN(MATCH(DATOS!$C$112,TABLAS!$B$52:$B$58,0)+2,7)),1))&lt;=MIN(99,INT((CB28+MAX(DATOS!$C$32,INDEX(TABLAS!$C$52:$C$58,MIN(MATCH(DATOS!$C$112,TABLAS!$B$52:$B$58,0)+2,7))))/(INDEX(TABLAS!$C$52:$C$58,MIN(MATCH(DATOS!$C$112,TABLAS!$B$52:$B$58,0)+2,7))+MAX(DATOS!$C$32,INDEX(TABLAS!$C$52:$C$58,MIN(MATCH(DATOS!$C$112,TABLAS!$B$52:$B$58,0)+2,7))))))),INDEX(TABLAS!$B$52:$B$58,MIN(MATCH(DATOS!$C$112,TABLAS!$B$52:$B$58,0)+2,7)),IF(AND(AY28&gt;=0,MAX(DATOS!$C$114,CEILING(AY28/INDEX(TABLAS!$D$52:$D$58,MIN(MATCH(DATOS!$C$112,TABLAS!$B$52:$B$58,0)+3,7)),1))&lt;=MIN(99,INT((CB28+MAX(DATOS!$C$32,INDEX(TABLAS!$C$52:$C$58,MIN(MATCH(DATOS!$C$112,TABLAS!$B$52:$B$58,0)+3,7))))/(INDEX(TABLAS!$C$52:$C$58,MIN(MATCH(DATOS!$C$112,TABLAS!$B$52:$B$58,0)+3,7))+MAX(DATOS!$C$32,INDEX(TABLAS!$C$52:$C$58,MIN(MATCH(DATOS!$C$112,TABLAS!$B$52:$B$58,0)+3,7))))))),INDEX(TABLAS!$B$52:$B$58,MIN(MATCH(DATOS!$C$112,TABLAS!$B$52:$B$58,0)+3,7)),IF(AND(AY28&gt;=0,MAX(DATOS!$C$114,CEILING(AY28/INDEX(TABLAS!$D$52:$D$58,MIN(MATCH(DATOS!$C$112,TABLAS!$B$52:$B$58,0)+4,7)),1))&lt;=MIN(99,INT((CB28+MAX(DATOS!$C$32,INDEX(TABLAS!$C$52:$C$58,MIN(MATCH(DATOS!$C$112,TABLAS!$B$52:$B$58,0)+4,7))))/(INDEX(TABLAS!$C$52:$C$58,MIN(MATCH(DATOS!$C$112,TABLAS!$B$52:$B$58,0)+4,7))+MAX(DATOS!$C$32,INDEX(TABLAS!$C$52:$C$58,MIN(MATCH(DATOS!$C$112,TABLAS!$B$52:$B$58,0)+4,7))))))),INDEX(TABLAS!$B$52:$B$58,MIN(MATCH(DATOS!$C$112,TABLAS!$B$52:$B$58,0)+4,7)),INDEX(TABLAS!$B$52:$B$58,7)))))))</f>
        <v>4</v>
      </c>
      <c r="BA28" s="56">
        <f>IF(OR(L28="BORDE DE VOLADO",L28="SIN APOYO"),0,IF(AY28&lt;0,0,MAX(DATOS!$C$114,CEILING(AY28/INDEX(TABLAS!$D$52:$D$58,MATCH(IF(AZ28=0,8,AZ28),TABLAS!$B$52:$B$58,0)),1))))</f>
        <v>2</v>
      </c>
      <c r="BB28" s="36">
        <f>IF(BA28=0,0,DATOS!$C$58*BA28*INDEX(TABLAS!$D$52:$D$58,MATCH(AZ28,TABLAS!$B$52:$B$58,0))*DATOS!$C$40*((O28-DATOS!$C$22-INDEX(TABLAS!$C$52:$C$58,MATCH(DATOS!$C$113,TABLAS!$B$52:$B$58,0))-INDEX(TABLAS!$C$52:$C$58,MATCH(AZ28,TABLAS!$B$52:$B$58,0))/2)-BA28*INDEX(TABLAS!$D$52:$D$58,MATCH(AZ28,TABLAS!$B$52:$B$58,0))*DATOS!$C$40/(DATOS!$C$48*N28)/2)/1E5)</f>
        <v>1.70340536964706</v>
      </c>
      <c r="BC28" s="62">
        <f>IF(AY28&lt;0,9.99,IF(BB28&gt;0,AN28/BB28,0))</f>
        <v>0.104842829440865</v>
      </c>
      <c r="BD28" s="63">
        <f>IF(BA28=0,"—",0.003*((O28-DATOS!$C$22-INDEX(TABLAS!$C$52:$C$58,MATCH(DATOS!$C$113,TABLAS!$B$52:$B$58,0))-INDEX(TABLAS!$C$52:$C$58,MATCH(AZ28,TABLAS!$B$52:$B$58,0))/2)-(BA28*INDEX(TABLAS!$D$52:$D$58,MATCH(AZ28,TABLAS!$B$52:$B$58,0))*DATOS!$C$40/(DATOS!$C$48*N28)/DATOS!$C$49))/(BA28*INDEX(TABLAS!$D$52:$D$58,MATCH(AZ28,TABLAS!$B$52:$B$58,0))*DATOS!$C$40/(DATOS!$C$48*N28)/DATOS!$C$49))</f>
        <v>0.0117926084434758</v>
      </c>
      <c r="BE28" s="36">
        <f>IF(BA28=0,0,DATOS!$C$59*MIN(1.25,MAX(0.5,2*MAX(1E-6,MIN(AU28*INDEX(TABLAS!$D$52:$D$58,MATCH(MAX(AS28,2),TABLAS!$B$52:$B$58,0)),BA28*INDEX(TABLAS!$D$52:$D$58,MATCH(MAX(AZ28,2),TABLAS!$B$52:$B$58,0)))/(N28*AQ28))^(1/3)))*SQRT(DATOS!$C$39)*N28*AQ28/1000)</f>
        <v>1.72675183421726</v>
      </c>
      <c r="BF28" s="57">
        <f>IF(AO28=0,0,FLOOR(MIN(IF(AO28&gt;BE28,DATOS!$C$59*2*INDEX(TABLAS!$D$52:$D$58,MATCH(DATOS!$C$113,TABLAS!$B$52:$B$58,0))*DATOS!$C$42*AQ28/((AO28-BE28)*1000),999),IF(MAX(0,AO28-BE28)/DATOS!$C$59&lt;=1.1*SQRT(DATOS!$C$39)*N28*AQ28/1000,MIN(AQ28/2,60),MIN(AQ28/4,30)),2*INDEX(TABLAS!$D$52:$D$58,MATCH(DATOS!$C$113,TABLAS!$B$52:$B$58,0))*DATOS!$C$42/(MAX(0.2*SQRT(DATOS!$C$39),3.5)*N28),MIN(16*INDEX(TABLAS!$C$52:$C$58,MATCH(MIN(MAX(AS28,2),MAX(AZ28,2)),TABLAS!$B$52:$B$58,0)),48*INDEX(TABLAS!$C$52:$C$58,MATCH(DATOS!$C$113,TABLAS!$B$52:$B$58,0))),DATOS!$C$115),0.5))</f>
        <v>9.5</v>
      </c>
      <c r="BG28" s="57">
        <f>BF28</f>
        <v>9.5</v>
      </c>
      <c r="BH28" s="51" t="str">
        <f>IF(AO28=0,"—",IF(AO28&gt;DATOS!$C$59*(BE28/DATOS!$C$59+2.2*SQRT(DATOS!$C$39)*N28*AQ28/1000),"SECCIÓN INSUFICIENTE","E No. "&amp;TEXT(DATOS!$C$113,"0")&amp;IF(BG28&lt;BF28," @ "&amp;TEXT(BG28,"0.0")&amp;" en 2h y"," @")&amp;" "&amp;TEXT(BF28,"0.0")&amp;" cm"))</f>
        <v>E No. 3 @ 9.5 cm</v>
      </c>
      <c r="BI28" s="56">
        <f>N28+MIN(6*DATOS!$C$14,DATOS!$C$11/2,G28*100/12)</f>
        <v>23.35</v>
      </c>
      <c r="BJ28" s="71">
        <f>BI28*DATOS!$C$14^3/12+BI28*DATOS!$C$14*(((BI28*DATOS!$C$14^2/2+N28*(O28-DATOS!$C$14)*(DATOS!$C$14+(O28-DATOS!$C$14)/2))/(BI28*DATOS!$C$14+N28*(O28-DATOS!$C$14)))-DATOS!$C$14/2)^2+N28*(O28-DATOS!$C$14)^3/12+N28*(O28-DATOS!$C$14)*(DATOS!$C$14+(O28-DATOS!$C$14)/2-((BI28*DATOS!$C$14^2/2+N28*(O28-DATOS!$C$14)*(DATOS!$C$14+(O28-DATOS!$C$14)/2))/(BI28*DATOS!$C$14+N28*(O28-DATOS!$C$14))))^2</f>
        <v>23374.9778169366</v>
      </c>
      <c r="BK28" s="43">
        <f>O28-DATOS!$C$22-INDEX(TABLAS!$C$52:$C$58,MATCH(DATOS!$C$113,TABLAS!$B$52:$B$58,0))-INDEX(TABLAS!$C$52:$C$58,MATCH(MAX(IF(L28="VOLADO",AZ28,AS28),2),TABLAS!$B$52:$B$58,0))/2</f>
        <v>19.415</v>
      </c>
      <c r="BL28" s="43">
        <f>DATOS!$C$46/DATOS!$C$45*IF(L28="VOLADO",BA28*INDEX(TABLAS!$D$52:$D$58,MATCH(MAX(AZ28,2),TABLAS!$B$52:$B$58,0)),AU28*INDEX(TABLAS!$D$52:$D$58,MATCH(MAX(AS28,2),TABLAS!$B$52:$B$58,0)))</f>
        <v>22.9491007337934</v>
      </c>
      <c r="BM28" s="43">
        <f>IF(BL28&lt;=0,0,(SQRT(2*(BL28/(IF(L28="VOLADO",N28,BI28)*BK28))+(BL28/(IF(L28="VOLADO",N28,BI28)*BK28))^2)-(BL28/(IF(L28="VOLADO",N28,BI28)*BK28)))*BK28)</f>
        <v>5.27250917698075</v>
      </c>
      <c r="BN28" s="71">
        <f>IF(AND(L28&lt;&gt;"VOLADO",BM28&gt;DATOS!$C$14),(BI28*DATOS!$C$14^3/12+BI28*DATOS!$C$14*(((-((BI28-N28)*DATOS!$C$14+BL28)+SQRT(((BI28-N28)*DATOS!$C$14+BL28)^2+2*N28*((BI28-N28)*DATOS!$C$14^2/2+BL28*BK28)))/N28)-DATOS!$C$14/2)^2+N28*(((-((BI28-N28)*DATOS!$C$14+BL28)+SQRT(((BI28-N28)*DATOS!$C$14+BL28)^2+2*N28*((BI28-N28)*DATOS!$C$14^2/2+BL28*BK28)))/N28)-DATOS!$C$14)^3/3+BL28*(BK28-((-((BI28-N28)*DATOS!$C$14+BL28)+SQRT(((BI28-N28)*DATOS!$C$14+BL28)^2+2*N28*((BI28-N28)*DATOS!$C$14^2/2+BL28*BK28)))/N28))^2),(IF(L28="VOLADO",N28,BI28)*BM28^3/3+BL28*(BK28-BM28)^2))</f>
        <v>5730.8151247439</v>
      </c>
      <c r="BO28" s="71">
        <f>IF(AP28&lt;=0,BJ28,IF((AP28*1E5)&lt;=2/3*(DATOS!$C$47*BJ28/IF(L28="VOLADO",((BI28*DATOS!$C$14^2/2+N28*(O28-DATOS!$C$14)*(DATOS!$C$14+(O28-DATOS!$C$14)/2))/(BI28*DATOS!$C$14+N28*(O28-DATOS!$C$14))),O28-((BI28*DATOS!$C$14^2/2+N28*(O28-DATOS!$C$14)*(DATOS!$C$14+(O28-DATOS!$C$14)/2))/(BI28*DATOS!$C$14+N28*(O28-DATOS!$C$14))))),BJ28,IF(BL28&lt;=0,0,BN28/(1-(2/3*(DATOS!$C$47*BJ28/IF(L28="VOLADO",((BI28*DATOS!$C$14^2/2+N28*(O28-DATOS!$C$14)*(DATOS!$C$14+(O28-DATOS!$C$14)/2))/(BI28*DATOS!$C$14+N28*(O28-DATOS!$C$14))),O28-((BI28*DATOS!$C$14^2/2+N28*(O28-DATOS!$C$14)*(DATOS!$C$14+(O28-DATOS!$C$14)/2))/(BI28*DATOS!$C$14+N28*(O28-DATOS!$C$14)))))/(AP28*1E5))^2*(1-BN28/BJ28)))))</f>
        <v>23374.9778169366</v>
      </c>
      <c r="BP28" s="62">
        <f>IF(OR(L28="APOYADA",L28="VOLADO"),(IF(L28="VOLADO",(AP28-AH28)/4+AH28/3,5/48*AP28)*1E5*(G28*100)^2/(DATOS!$C$45*MAX(BO28,1)))*(1+2/(1+50*IF(L28="VOLADO",AU28*INDEX(TABLAS!$D$52:$D$58,MATCH(MAX(AS28,2),TABLAS!$B$52:$B$58,0)),DATOS!$C$114*INDEX(TABLAS!$D$52:$D$58,MATCH(MAX(AZ28,2),TABLAS!$B$52:$B$58,0)))/(N28*BK28))*((AA28+AC28)/MAX(AA28+AB28,1E-6))),0)</f>
        <v>0.00972020614676439</v>
      </c>
      <c r="BQ28" s="43">
        <f>IF(S28&gt;0,0.3+G28*100/480,0.5+G28*100/240)</f>
        <v>0.50875</v>
      </c>
      <c r="BR28" s="43">
        <f>IF(S28&gt;0,(T28+U28)*G28+AG28,0)</f>
        <v>1.45741840306122</v>
      </c>
      <c r="BS28" s="43">
        <f>IF(S28&gt;0,(DATOS!$C$51*DATOS!$C$103*100*(G28*100)^3/(DATOS!$C$45*BJ28*((BR28*1000/(DATOS!$C$103*100*S28*100)*DATOS!$C$103*100*(MIN(1,S28/G28)^4-4*MIN(1,S28/G28)^3+8*MIN(1,S28/G28)))/((BR28*1000/(DATOS!$C$103*100*S28*100)*DATOS!$C$103*100*(MIN(1,S28/G28)^4-4*MIN(1,S28/G28)^3+8*MIN(1,S28/G28)))+5*((R28+X28+Y28+IF(L28="APOYADA",8*(0)/G28^2,0))*10)))))^0.25,0)</f>
        <v>3.61675027963815</v>
      </c>
      <c r="BT28" s="57">
        <f>IF(S28&gt;0,MAX(1,IF(MIN(1,S28/G28)&gt;=1,(1.6*BS28-3.9),IF(MIN(1,S28/G28)&lt;0.9,((3.2*BS28-7.8)*1),((3.2*BS28-7.8)*1)+((1.6*BS28-3.9)-((3.2*BS28-7.8)*1))*(MIN(1,S28/G28)-0.9)/0.1)))*BR28*1000/(DATOS!$C$103*100*S28*100),0)</f>
        <v>1.82957930470764</v>
      </c>
      <c r="BU28" s="65" t="str">
        <f>IF(S28=0,"—",IF(DATOS!$C$105/S28&lt;0.6,"REVISAR: H/L &lt; 0.6, interacción muro-viga",IF(BT28&lt;=DATOS!$C$60*DATOS!$C$50,"CUMPLE","NO CUMPLE f_CM &gt; F_R·f'm")))</f>
        <v>CUMPLE</v>
      </c>
      <c r="BV28" s="57">
        <f>IF(S28&gt;0,MAX(25,IF(BJ28&gt;=(G28*100)^3/1600,0,MIN(G28*100/14,(12*(G28*100)^3/1600/N28)^(1/3)))),IF(L28="APOYADA",MAX(25,G28*100/16),IF(L28="VOLADO",MAX(25,G28*100/8),0)))</f>
        <v>25</v>
      </c>
      <c r="BW28" s="57">
        <f>IF(S28&gt;0,IF(BJ28&gt;=(5/4*(G28*100)^3/DATOS!$C$45*((((S28*DATOS!$C$107+(((SUMIFS(TRIB!$I$6:$I$255,TRIB!$B$6:$B$255,"DM-120")-SUMIFS(TRIB!$L$6:$L$255,TRIB!$B$6:$B$255,"DM-120"))*1.0)/G28+(SUMIFS(TRIB!$M$6:$M$255,TRIB!$B$6:$B$255,"DM-120")*1.0)/G28)*G28+AG28/DATOS!$C$55)*1000)/(DATOS!$C$103*100*S28*100)*DATOS!$C$103*100*(MIN(1,S28/G28)^4-4*MIN(1,S28/G28)^3+8*MIN(1,S28/G28)))+5*((AA28-S28*DATOS!$C$107/G28-(((SUMIFS(TRIB!$I$6:$I$255,TRIB!$B$6:$B$255,"DM-120")-SUMIFS(TRIB!$L$6:$L$255,TRIB!$B$6:$B$255,"DM-120"))*1.0)/G28))*10))),0,MIN((G28*100/((1/15*DATOS!$C$45*N28/((((S28*DATOS!$C$107+(((SUMIFS(TRIB!$I$6:$I$255,TRIB!$B$6:$B$255,"DM-120")-SUMIFS(TRIB!$L$6:$L$255,TRIB!$B$6:$B$255,"DM-120"))*1.0)/G28+(SUMIFS(TRIB!$M$6:$M$255,TRIB!$B$6:$B$255,"DM-120")*1.0)/G28)*G28+AG28/DATOS!$C$55)*1000)/(DATOS!$C$103*100*S28*100)*DATOS!$C$103*100*(MIN(1,S28/G28)^4-4*MIN(1,S28/G28)^3+8*MIN(1,S28/G28)))+5*((AA28-S28*DATOS!$C$107/G28-(((SUMIFS(TRIB!$I$6:$I$255,TRIB!$B$6:$B$255,"DM-120")-SUMIFS(TRIB!$L$6:$L$255,TRIB!$B$6:$B$255,"DM-120"))*1.0)/G28))*10)))^(1/3))),(12*(5/4*(G28*100)^3/DATOS!$C$45*((((S28*DATOS!$C$107+(((SUMIFS(TRIB!$I$6:$I$255,TRIB!$B$6:$B$255,"DM-120")-SUMIFS(TRIB!$L$6:$L$255,TRIB!$B$6:$B$255,"DM-120"))*1.0)/G28+(SUMIFS(TRIB!$M$6:$M$255,TRIB!$B$6:$B$255,"DM-120")*1.0)/G28)*G28+AG28/DATOS!$C$55)*1000)/(DATOS!$C$103*100*S28*100)*DATOS!$C$103*100*(MIN(1,S28/G28)^4-4*MIN(1,S28/G28)^3+8*MIN(1,S28/G28)))+5*((AA28-S28*DATOS!$C$107/G28-(((SUMIFS(TRIB!$I$6:$I$255,TRIB!$B$6:$B$255,"DM-120")-SUMIFS(TRIB!$L$6:$L$255,TRIB!$B$6:$B$255,"DM-120"))*1.0)/G28))*10)))/N28)^(1/3))),0)</f>
        <v>0</v>
      </c>
      <c r="BX28" s="57">
        <f>SQRT(MAX(AM28,AN28)*1E5/(DATOS!$C$58*N28*DATOS!$C$48*(DATOS!$C$82*DATOS!$C$40/DATOS!$C$48)*(1-(DATOS!$C$82*DATOS!$C$40/DATOS!$C$48)/2)))+(O28-AQ28)</f>
        <v>11.4869137228592</v>
      </c>
      <c r="BY28" s="59">
        <f>IF(OR(L28="BORDE DE VOLADO",L28="SIN APOYO"),0,CEILING(MAX(BV28,BW28,BX28,DATOS!$C$15),5))</f>
        <v>25</v>
      </c>
      <c r="BZ28" s="72" t="str">
        <f>IF(L28="BORDE DE VOLADO","BORDE DE VOLADO — armado de orilla",IF(L28="SIN APOYO","SIN APOYO — REVISAR",IF(AND(AW28&lt;=1,BC28&lt;=1,IF(AU28=0,TRUE,AU28&lt;=INT((CB28+DATOS!$C$32)/(INDEX(TABLAS!$C$52:$C$58,MATCH(MAX(AS28,2),TABLAS!$B$52:$B$58,0))+DATOS!$C$32))),IF(BA28=0,TRUE,BA28&lt;=INT((CB28+DATOS!$C$32)/(INDEX(TABLAS!$C$52:$C$58,MATCH(MAX(AZ28,2),TABLAS!$B$52:$B$58,0))+DATOS!$C$32))),AND(OR(NOT(ISNUMBER(AX28)),AX28&gt;=0.005),OR(NOT(ISNUMBER(BD28)),BD28&gt;=0.005)),BH28&lt;&gt;"SECCIÓN INSUFICIENTE",AND(O28&gt;=BV28,O28&gt;=BW28,O28/N28&lt;=6),BP28&lt;=BQ28,OR(S28=0,LEFT(BU28,6)&lt;&gt;"NO CUM")),IF(LEFT(BU28,7)="REVISAR","PENDIENTE: H/L &lt; 0.6, falta el análisis de interacción muro-viga (NTC-M 4.1.18.2.1, p. 44)","CUMPLE")&amp;IF(L28="VOLADO"," (en VOLADO)",""),"NO CUMPLE: "&amp;IF(OR(AR28&lt;0,AY28&lt;0),"sección insuficiente en flexión ",IF(OR(AW28&gt;1,BC28&gt;1),"flexión ",""))&amp;IF(NOT(AND(IF(AU28=0,TRUE,AU28&lt;=INT((CB28+DATOS!$C$32)/(INDEX(TABLAS!$C$52:$C$58,MATCH(MAX(AS28,2),TABLAS!$B$52:$B$58,0))+DATOS!$C$32))),IF(BA28=0,TRUE,BA28&lt;=INT((CB28+DATOS!$C$32)/(INDEX(TABLAS!$C$52:$C$58,MATCH(MAX(AZ28,2),TABLAS!$B$52:$B$58,0))+DATOS!$C$32))))),"no caben ","")&amp;IF(NOT(AND(OR(NOT(ISNUMBER(AX28)),AX28&gt;=0.005),OR(NOT(ISNUMBER(BD28)),BD28&gt;=0.005))),"ε_t ","")&amp;IF(BH28="SECCIÓN INSUFICIENTE","cortante ","")&amp;IF(NOT(AND(O28&gt;=BV28,O28&gt;=BW28,O28/N28&lt;=6)),"peralte ","")&amp;IF(NOT(BP28&lt;=BQ28),"flecha ","")&amp;IF(NOT(OR(S28=0,LEFT(BU28,6)&lt;&gt;"NO CUM")),"muro sobre viga ","")&amp;"→ h ≥ "&amp;TEXT(MAX(BY28,IF(BP28&gt;BQ28,MAX(O28+5,CEILING(O28*(BP28/BQ28)^(1/3),5)),0)),"0")&amp;" cm"&amp;IF(NOT(AND(IF(AU28=0,TRUE,AU28&lt;=INT((CB28+DATOS!$C$32)/(INDEX(TABLAS!$C$52:$C$58,MATCH(MAX(AS28,2),TABLAS!$B$52:$B$58,0))+DATOS!$C$32))),IF(BA28=0,TRUE,BA28&lt;=INT((CB28+DATOS!$C$32)/(INDEX(TABLAS!$C$52:$C$58,MATCH(MAX(AZ28,2),TABLAS!$B$52:$B$58,0))+DATOS!$C$32)))))," y b ≥ "&amp;TEXT(N28+5,"0")&amp;" cm","")&amp;" (verificar)")))</f>
        <v>CUMPLE</v>
      </c>
      <c r="CA28" s="65" t="inlineStr">
        <is>
          <t>Extremo i en castillo propuesto C1. Extremo j en castillo propuesto C2. Muro de planta alta encima (1.00 m) con la azotea de DM-120: viga que soporta muro estructural (NTC-Mampostería 4.1.18): la flecha se calcula y el límite es 0.3 cm + L/480.</t>
        </is>
      </c>
      <c r="CB28" s="43">
        <f>N28-2*DATOS!$C$22-2*INDEX(TABLAS!$C$52:$C$58,MATCH(DATOS!$C$113,TABLAS!$B$52:$B$58,0))</f>
        <v>5.1</v>
      </c>
    </row>
    <row r="29" ht="30" customHeight="1">
      <c r="B29" s="60" t="inlineStr">
        <is>
          <t>NP-21</t>
        </is>
      </c>
      <c r="C29" s="52" t="inlineStr">
        <is>
          <t>N+3.00</t>
        </is>
      </c>
      <c r="D29" s="51" t="inlineStr">
        <is>
          <t>x = 4.327</t>
        </is>
      </c>
      <c r="E29" s="52" t="inlineStr">
        <is>
          <t>(4.327, 2.921)</t>
        </is>
      </c>
      <c r="F29" s="52" t="inlineStr">
        <is>
          <t>(4.327, 5.946)</t>
        </is>
      </c>
      <c r="G29" s="55" t="n">
        <v>3.025</v>
      </c>
      <c r="H29" s="52" t="str">
        <f>IF(APOYOS!$C$18="SÍ","FIRME","LIBRE")</f>
        <v>FIRME</v>
      </c>
      <c r="I29" s="52" t="inlineStr">
        <is>
          <t>FIRME</t>
        </is>
      </c>
      <c r="J29" s="52" t="inlineStr">
        <is>
          <t>C2</t>
        </is>
      </c>
      <c r="K29" s="52" t="inlineStr">
        <is>
          <t>—</t>
        </is>
      </c>
      <c r="L29" s="60" t="str">
        <f>IF(AND(OR(H29="FIRME",H29="NERVADURA",H29="PUNTA"),OR(I29="FIRME",I29="NERVADURA",I29="PUNTA")),"APOYADA",IF(OR(OR(H29="FIRME",H29="NERVADURA",H29="PUNTA"),OR(I29="FIRME",I29="NERVADURA",I29="PUNTA")),"VOLADO","SIN APOYO"))</f>
        <v>APOYADA</v>
      </c>
      <c r="M29" s="52" t="str">
        <f>IF(L29="VOLADO",IF(OR(H29="FIRME",H29="NERVADURA",H29="PUNTA"),"i","j"),"—")</f>
        <v>—</v>
      </c>
      <c r="N29" s="58" t="n">
        <v>20</v>
      </c>
      <c r="O29" s="58" t="n">
        <v>40</v>
      </c>
      <c r="P29" s="65" t="str">
        <f>IF(L29="BORDE DE VOLADO","—",IF(OR(N29&lt;&gt;DATOS!$C$17,O29&lt;&gt;DATOS!$C$15),"PERALTAR: trabe "&amp;TEXT(N29,"0")&amp;"×"&amp;TEXT(O29,"0")&amp;IF(O29&gt;DATOS!$C$15," (descuelga "&amp;TEXT(O29-DATOS!$C$15,"0")&amp;" cm)",""),"Queda en la losa (15×25)"))</f>
        <v>PERALTAR: trabe 20×40 (descuelga 15 cm)</v>
      </c>
      <c r="Q29" s="43">
        <f>SUMIFS(TRIB!$E$6:$E$255,TRIB!$B$6:$B$255,"NP-21")</f>
        <v>4.0525</v>
      </c>
      <c r="R29" s="36">
        <f>SUMIFS(TRIB!$G$6:$G$255,TRIB!$B$6:$B$255,"NP-21")/G29</f>
        <v>1.22536986945522</v>
      </c>
      <c r="S29" s="69" t="n">
        <v>3.025</v>
      </c>
      <c r="T29" s="36">
        <f>DATOS!$C$55*S29*DATOS!$C$107/G29</f>
        <v>1.233375</v>
      </c>
      <c r="U29" s="36">
        <f>(SUMIFS(TRIB!$G$6:$G$255,TRIB!$B$6:$B$255,"DM-121")*1.0+SUMIFS(TRIB!$G$6:$G$255,TRIB!$B$6:$B$255,"DM-122")*1.0)/G29</f>
        <v>1.81796979659302</v>
      </c>
      <c r="V29" s="61" t="n">
        <v>0</v>
      </c>
      <c r="W29" s="61" t="n">
        <v>0</v>
      </c>
      <c r="X29" s="36">
        <f>(DATOS!$C$55*V29+DATOS!$C$56*W29)/1000</f>
        <v>0</v>
      </c>
      <c r="Y29" s="36">
        <f>DATOS!$C$55*(N29/100*O29/100*DATOS!$C$43-N29/100*DATOS!$C$70/1000)</f>
        <v>0.187804897959184</v>
      </c>
      <c r="Z29" s="70">
        <f>R29+T29+U29+X29+Y29</f>
        <v>4.46451956400742</v>
      </c>
      <c r="AA29" s="36">
        <f>(SUMIFS(TRIB!$I$6:$I$255,TRIB!$B$6:$B$255,"NP-21")-SUMIFS(TRIB!$L$6:$L$255,TRIB!$B$6:$B$255,"NP-21"))/G29+S29*DATOS!$C$107/G29+((SUMIFS(TRIB!$I$6:$I$255,TRIB!$B$6:$B$255,"DM-121")-SUMIFS(TRIB!$L$6:$L$255,TRIB!$B$6:$B$255,"DM-121"))*1.0+(SUMIFS(TRIB!$I$6:$I$255,TRIB!$B$6:$B$255,"DM-122")-SUMIFS(TRIB!$L$6:$L$255,TRIB!$B$6:$B$255,"DM-122"))*1.0)/G29+V29/1000+Y29/DATOS!$C$55</f>
        <v>2.91348358070501</v>
      </c>
      <c r="AB29" s="36">
        <f>SUMIFS(TRIB!$L$6:$L$255,TRIB!$B$6:$B$255,"NP-21")/G29+(SUMIFS(TRIB!$L$6:$L$255,TRIB!$B$6:$B$255,"DM-121")*1.0+SUMIFS(TRIB!$L$6:$L$255,TRIB!$B$6:$B$255,"DM-122")*1.0)/G29+W29/1000</f>
        <v>0.451327272727273</v>
      </c>
      <c r="AC29" s="36">
        <f>SUMIFS(TRIB!$M$6:$M$255,TRIB!$B$6:$B$255,"NP-21")/G29+(SUMIFS(TRIB!$M$6:$M$255,TRIB!$B$6:$B$255,"DM-121")*1.0+SUMIFS(TRIB!$M$6:$M$255,TRIB!$B$6:$B$255,"DM-122")*1.0)/G29+W29/1000*DATOS!$C$91/DATOS!$C$89</f>
        <v>0.136692066115702</v>
      </c>
      <c r="AD29" s="36">
        <f>0</f>
        <v>0</v>
      </c>
      <c r="AE29" s="36">
        <f>0</f>
        <v>0</v>
      </c>
      <c r="AF29" s="36">
        <f>0</f>
        <v>0</v>
      </c>
      <c r="AG29" s="36">
        <f>0</f>
        <v>0</v>
      </c>
      <c r="AH29" s="36">
        <f>0</f>
        <v>0</v>
      </c>
      <c r="AI29" s="36">
        <f>IF(L29="APOYADA",Z29*G29/2+0,IF(AND(L29="VOLADO",M29="i"),Z29*G29+AD29,0))</f>
        <v>6.75258584056122</v>
      </c>
      <c r="AJ29" s="36">
        <f>IF(L29="APOYADA",Z29*G29/2+0,IF(AND(L29="VOLADO",M29="j"),Z29*G29+AD29,0))</f>
        <v>6.75258584056122</v>
      </c>
      <c r="AK29" s="36">
        <f>IF(L29="APOYADA",(AA29+AB29)*G29/2+0,IF(AND(L29="VOLADO",M29="i"),(AA29+AB29)*G29+0,0))</f>
        <v>5.08927641581633</v>
      </c>
      <c r="AL29" s="36">
        <f>IF(L29="APOYADA",(AA29+AB29)*G29/2+0,IF(AND(L29="VOLADO",M29="j"),(AA29+AB29)*G29+0,0))</f>
        <v>5.08927641581633</v>
      </c>
      <c r="AM29" s="70">
        <f>IF(L29="APOYADA",Z29*G29^2/8+AE29,0)</f>
        <v>5.10664304192443</v>
      </c>
      <c r="AN29" s="70">
        <f>IF(L29="APOYADA",DATOS!$C$64*AM29,IF(L29="VOLADO",Z29*G29^2/2+AE29,0))</f>
        <v>3.40613090896359</v>
      </c>
      <c r="AO29" s="70">
        <f>IF(L29="APOYADA",Z29*G29/2+AF29,IF(L29="VOLADO",Z29*G29+AF29,0))</f>
        <v>6.75258584056122</v>
      </c>
      <c r="AP29" s="36">
        <f>IF(L29="APOYADA",(AA29+AB29)*G29^2/8+AH29,IF(L29="VOLADO",(AA29+AB29)*G29^2/2+AH29,0))</f>
        <v>3.8487652894611</v>
      </c>
      <c r="AQ29" s="43">
        <f>O29-DATOS!$C$22-INDEX(TABLAS!$C$52:$C$58,MATCH(DATOS!$C$113,TABLAS!$B$52:$B$58,0))-INDEX(TABLAS!$C$52:$C$58,MATCH(DATOS!$C$112,TABLAS!$B$52:$B$58,0))/2</f>
        <v>34.415</v>
      </c>
      <c r="AR29" s="43">
        <f>IF(OR(L29="BORDE DE VOLADO",L29="SIN APOYO"),0,IF(IF(AM29&lt;=0,0,IF((1-2*AM29*1E5/(DATOS!$C$58*N29*AQ29^2*DATOS!$C$48))&lt;0,-1,IF((1-SQRT((1-2*AM29*1E5/(DATOS!$C$58*N29*AQ29^2*DATOS!$C$48))))*DATOS!$C$48*N29*AQ29/DATOS!$C$40&gt;DATOS!$C$82*N29*AQ29,-1,(1-SQRT((1-2*AM29*1E5/(DATOS!$C$58*N29*AQ29^2*DATOS!$C$48))))*DATOS!$C$48*N29*AQ29/DATOS!$C$40)))&lt;0,-1,MAX(IF(AM29&lt;=0,0,IF((1-2*AM29*1E5/(DATOS!$C$58*N29*AQ29^2*DATOS!$C$48))&lt;0,-1,IF((1-SQRT((1-2*AM29*1E5/(DATOS!$C$58*N29*AQ29^2*DATOS!$C$48))))*DATOS!$C$48*N29*AQ29/DATOS!$C$40&gt;DATOS!$C$82*N29*AQ29,-1,(1-SQRT((1-2*AM29*1E5/(DATOS!$C$58*N29*AQ29^2*DATOS!$C$48))))*DATOS!$C$48*N29*AQ29/DATOS!$C$40))),MIN(DATOS!$C$83*N29*AQ29,4/3*IF(AM29&lt;=0,0,IF((1-2*AM29*1E5/(DATOS!$C$58*N29*AQ29^2*DATOS!$C$48))&lt;0,-1,IF((1-SQRT((1-2*AM29*1E5/(DATOS!$C$58*N29*AQ29^2*DATOS!$C$48))))*DATOS!$C$48*N29*AQ29/DATOS!$C$40&gt;DATOS!$C$82*N29*AQ29,-1,(1-SQRT((1-2*AM29*1E5/(DATOS!$C$58*N29*AQ29^2*DATOS!$C$48))))*DATOS!$C$48*N29*AQ29/DATOS!$C$40)))))))</f>
        <v>4.17587594368666</v>
      </c>
      <c r="AS29" s="41">
        <f>IF(AR29&lt;0,0,IF(AND(AR29&gt;=0,MAX(DATOS!$C$114,CEILING(AR29/INDEX(TABLAS!$D$52:$D$58,MIN(MATCH(DATOS!$C$112,TABLAS!$B$52:$B$58,0)+0,7)),1))&lt;=MIN(99,INT((CB29+MAX(DATOS!$C$32,INDEX(TABLAS!$C$52:$C$58,MIN(MATCH(DATOS!$C$112,TABLAS!$B$52:$B$58,0)+0,7))))/(INDEX(TABLAS!$C$52:$C$58,MIN(MATCH(DATOS!$C$112,TABLAS!$B$52:$B$58,0)+0,7))+MAX(DATOS!$C$32,INDEX(TABLAS!$C$52:$C$58,MIN(MATCH(DATOS!$C$112,TABLAS!$B$52:$B$58,0)+0,7))))))),INDEX(TABLAS!$B$52:$B$58,MIN(MATCH(DATOS!$C$112,TABLAS!$B$52:$B$58,0)+0,7)),IF(AND(AR29&gt;=0,MAX(DATOS!$C$114,CEILING(AR29/INDEX(TABLAS!$D$52:$D$58,MIN(MATCH(DATOS!$C$112,TABLAS!$B$52:$B$58,0)+1,7)),1))&lt;=MIN(99,INT((CB29+MAX(DATOS!$C$32,INDEX(TABLAS!$C$52:$C$58,MIN(MATCH(DATOS!$C$112,TABLAS!$B$52:$B$58,0)+1,7))))/(INDEX(TABLAS!$C$52:$C$58,MIN(MATCH(DATOS!$C$112,TABLAS!$B$52:$B$58,0)+1,7))+MAX(DATOS!$C$32,INDEX(TABLAS!$C$52:$C$58,MIN(MATCH(DATOS!$C$112,TABLAS!$B$52:$B$58,0)+1,7))))))),INDEX(TABLAS!$B$52:$B$58,MIN(MATCH(DATOS!$C$112,TABLAS!$B$52:$B$58,0)+1,7)),IF(AND(AR29&gt;=0,MAX(DATOS!$C$114,CEILING(AR29/INDEX(TABLAS!$D$52:$D$58,MIN(MATCH(DATOS!$C$112,TABLAS!$B$52:$B$58,0)+2,7)),1))&lt;=MIN(99,INT((CB29+MAX(DATOS!$C$32,INDEX(TABLAS!$C$52:$C$58,MIN(MATCH(DATOS!$C$112,TABLAS!$B$52:$B$58,0)+2,7))))/(INDEX(TABLAS!$C$52:$C$58,MIN(MATCH(DATOS!$C$112,TABLAS!$B$52:$B$58,0)+2,7))+MAX(DATOS!$C$32,INDEX(TABLAS!$C$52:$C$58,MIN(MATCH(DATOS!$C$112,TABLAS!$B$52:$B$58,0)+2,7))))))),INDEX(TABLAS!$B$52:$B$58,MIN(MATCH(DATOS!$C$112,TABLAS!$B$52:$B$58,0)+2,7)),IF(AND(AR29&gt;=0,MAX(DATOS!$C$114,CEILING(AR29/INDEX(TABLAS!$D$52:$D$58,MIN(MATCH(DATOS!$C$112,TABLAS!$B$52:$B$58,0)+3,7)),1))&lt;=MIN(99,INT((CB29+MAX(DATOS!$C$32,INDEX(TABLAS!$C$52:$C$58,MIN(MATCH(DATOS!$C$112,TABLAS!$B$52:$B$58,0)+3,7))))/(INDEX(TABLAS!$C$52:$C$58,MIN(MATCH(DATOS!$C$112,TABLAS!$B$52:$B$58,0)+3,7))+MAX(DATOS!$C$32,INDEX(TABLAS!$C$52:$C$58,MIN(MATCH(DATOS!$C$112,TABLAS!$B$52:$B$58,0)+3,7))))))),INDEX(TABLAS!$B$52:$B$58,MIN(MATCH(DATOS!$C$112,TABLAS!$B$52:$B$58,0)+3,7)),IF(AND(AR29&gt;=0,MAX(DATOS!$C$114,CEILING(AR29/INDEX(TABLAS!$D$52:$D$58,MIN(MATCH(DATOS!$C$112,TABLAS!$B$52:$B$58,0)+4,7)),1))&lt;=MIN(99,INT((CB29+MAX(DATOS!$C$32,INDEX(TABLAS!$C$52:$C$58,MIN(MATCH(DATOS!$C$112,TABLAS!$B$52:$B$58,0)+4,7))))/(INDEX(TABLAS!$C$52:$C$58,MIN(MATCH(DATOS!$C$112,TABLAS!$B$52:$B$58,0)+4,7))+MAX(DATOS!$C$32,INDEX(TABLAS!$C$52:$C$58,MIN(MATCH(DATOS!$C$112,TABLAS!$B$52:$B$58,0)+4,7))))))),INDEX(TABLAS!$B$52:$B$58,MIN(MATCH(DATOS!$C$112,TABLAS!$B$52:$B$58,0)+4,7)),INDEX(TABLAS!$B$52:$B$58,7)))))))</f>
        <v>5</v>
      </c>
      <c r="AT29" s="58" t="n">
        <v>0</v>
      </c>
      <c r="AU29" s="56">
        <f>IF(OR(L29="BORDE DE VOLADO",L29="SIN APOYO"),0,IF(AR29&lt;0,0,MAX(DATOS!$C$114,CEILING(AR29/INDEX(TABLAS!$D$52:$D$58,MATCH(IF(AS29=0,8,AS29),TABLAS!$B$52:$B$58,0)),1))+AT29))</f>
        <v>3</v>
      </c>
      <c r="AV29" s="36">
        <f>IF(AU29=0,0,DATOS!$C$58*AU29*INDEX(TABLAS!$D$52:$D$58,MATCH(AS29,TABLAS!$B$52:$B$58,0))*DATOS!$C$40*((O29-DATOS!$C$22-INDEX(TABLAS!$C$52:$C$58,MATCH(DATOS!$C$113,TABLAS!$B$52:$B$58,0))-INDEX(TABLAS!$C$52:$C$58,MATCH(AS29,TABLAS!$B$52:$B$58,0))/2)-AU29*INDEX(TABLAS!$D$52:$D$58,MATCH(AS29,TABLAS!$B$52:$B$58,0))*DATOS!$C$40/(DATOS!$C$48*N29)/2)/1E5)</f>
        <v>7.03232903223529</v>
      </c>
      <c r="AW29" s="62">
        <f>IF(AR29&lt;0,9.99,IF(AV29&gt;0,AM29/AV29,0))</f>
        <v>0.726166682263618</v>
      </c>
      <c r="AX29" s="63">
        <f>IF(AU29=0,"—",0.003*((O29-DATOS!$C$22-INDEX(TABLAS!$C$52:$C$58,MATCH(DATOS!$C$113,TABLAS!$B$52:$B$58,0))-INDEX(TABLAS!$C$52:$C$58,MATCH(AS29,TABLAS!$B$52:$B$58,0))/2)-(AU29*INDEX(TABLAS!$D$52:$D$58,MATCH(AS29,TABLAS!$B$52:$B$58,0))*DATOS!$C$40/(DATOS!$C$48*N29)/DATOS!$C$49))/(AU29*INDEX(TABLAS!$D$52:$D$58,MATCH(AS29,TABLAS!$B$52:$B$58,0))*DATOS!$C$40/(DATOS!$C$48*N29)/DATOS!$C$49))</f>
        <v>0.0118804939273689</v>
      </c>
      <c r="AY29" s="43">
        <f>IF(OR(L29="BORDE DE VOLADO",L29="SIN APOYO"),0,IF(IF(AN29&lt;=0,0,IF((1-2*AN29*1E5/(DATOS!$C$58*N29*AQ29^2*DATOS!$C$48))&lt;0,-1,IF((1-SQRT((1-2*AN29*1E5/(DATOS!$C$58*N29*AQ29^2*DATOS!$C$48))))*DATOS!$C$48*N29*AQ29/DATOS!$C$40&gt;DATOS!$C$82*N29*AQ29,-1,(1-SQRT((1-2*AN29*1E5/(DATOS!$C$58*N29*AQ29^2*DATOS!$C$48))))*DATOS!$C$48*N29*AQ29/DATOS!$C$40)))&lt;0,-1,MAX(IF(AN29&lt;=0,0,IF((1-2*AN29*1E5/(DATOS!$C$58*N29*AQ29^2*DATOS!$C$48))&lt;0,-1,IF((1-SQRT((1-2*AN29*1E5/(DATOS!$C$58*N29*AQ29^2*DATOS!$C$48))))*DATOS!$C$48*N29*AQ29/DATOS!$C$40&gt;DATOS!$C$82*N29*AQ29,-1,(1-SQRT((1-2*AN29*1E5/(DATOS!$C$58*N29*AQ29^2*DATOS!$C$48))))*DATOS!$C$48*N29*AQ29/DATOS!$C$40))),MIN(DATOS!$C$83*IF(L29="VOLADO",MIN(BI29,2*N29),N29)*AQ29,4/3*IF(AN29&lt;=0,0,IF((1-2*AN29*1E5/(DATOS!$C$58*N29*AQ29^2*DATOS!$C$48))&lt;0,-1,IF((1-SQRT((1-2*AN29*1E5/(DATOS!$C$58*N29*AQ29^2*DATOS!$C$48))))*DATOS!$C$48*N29*AQ29/DATOS!$C$40&gt;DATOS!$C$82*N29*AQ29,-1,(1-SQRT((1-2*AN29*1E5/(DATOS!$C$58*N29*AQ29^2*DATOS!$C$48))))*DATOS!$C$48*N29*AQ29/DATOS!$C$40)))))))</f>
        <v>2.72492247230271</v>
      </c>
      <c r="AZ29" s="41">
        <f>IF(AY29&lt;0,0,IF(AND(AY29&gt;=0,MAX(DATOS!$C$114,CEILING(AY29/INDEX(TABLAS!$D$52:$D$58,MIN(MATCH(DATOS!$C$112,TABLAS!$B$52:$B$58,0)+0,7)),1))&lt;=MIN(99,INT((CB29+MAX(DATOS!$C$32,INDEX(TABLAS!$C$52:$C$58,MIN(MATCH(DATOS!$C$112,TABLAS!$B$52:$B$58,0)+0,7))))/(INDEX(TABLAS!$C$52:$C$58,MIN(MATCH(DATOS!$C$112,TABLAS!$B$52:$B$58,0)+0,7))+MAX(DATOS!$C$32,INDEX(TABLAS!$C$52:$C$58,MIN(MATCH(DATOS!$C$112,TABLAS!$B$52:$B$58,0)+0,7))))))),INDEX(TABLAS!$B$52:$B$58,MIN(MATCH(DATOS!$C$112,TABLAS!$B$52:$B$58,0)+0,7)),IF(AND(AY29&gt;=0,MAX(DATOS!$C$114,CEILING(AY29/INDEX(TABLAS!$D$52:$D$58,MIN(MATCH(DATOS!$C$112,TABLAS!$B$52:$B$58,0)+1,7)),1))&lt;=MIN(99,INT((CB29+MAX(DATOS!$C$32,INDEX(TABLAS!$C$52:$C$58,MIN(MATCH(DATOS!$C$112,TABLAS!$B$52:$B$58,0)+1,7))))/(INDEX(TABLAS!$C$52:$C$58,MIN(MATCH(DATOS!$C$112,TABLAS!$B$52:$B$58,0)+1,7))+MAX(DATOS!$C$32,INDEX(TABLAS!$C$52:$C$58,MIN(MATCH(DATOS!$C$112,TABLAS!$B$52:$B$58,0)+1,7))))))),INDEX(TABLAS!$B$52:$B$58,MIN(MATCH(DATOS!$C$112,TABLAS!$B$52:$B$58,0)+1,7)),IF(AND(AY29&gt;=0,MAX(DATOS!$C$114,CEILING(AY29/INDEX(TABLAS!$D$52:$D$58,MIN(MATCH(DATOS!$C$112,TABLAS!$B$52:$B$58,0)+2,7)),1))&lt;=MIN(99,INT((CB29+MAX(DATOS!$C$32,INDEX(TABLAS!$C$52:$C$58,MIN(MATCH(DATOS!$C$112,TABLAS!$B$52:$B$58,0)+2,7))))/(INDEX(TABLAS!$C$52:$C$58,MIN(MATCH(DATOS!$C$112,TABLAS!$B$52:$B$58,0)+2,7))+MAX(DATOS!$C$32,INDEX(TABLAS!$C$52:$C$58,MIN(MATCH(DATOS!$C$112,TABLAS!$B$52:$B$58,0)+2,7))))))),INDEX(TABLAS!$B$52:$B$58,MIN(MATCH(DATOS!$C$112,TABLAS!$B$52:$B$58,0)+2,7)),IF(AND(AY29&gt;=0,MAX(DATOS!$C$114,CEILING(AY29/INDEX(TABLAS!$D$52:$D$58,MIN(MATCH(DATOS!$C$112,TABLAS!$B$52:$B$58,0)+3,7)),1))&lt;=MIN(99,INT((CB29+MAX(DATOS!$C$32,INDEX(TABLAS!$C$52:$C$58,MIN(MATCH(DATOS!$C$112,TABLAS!$B$52:$B$58,0)+3,7))))/(INDEX(TABLAS!$C$52:$C$58,MIN(MATCH(DATOS!$C$112,TABLAS!$B$52:$B$58,0)+3,7))+MAX(DATOS!$C$32,INDEX(TABLAS!$C$52:$C$58,MIN(MATCH(DATOS!$C$112,TABLAS!$B$52:$B$58,0)+3,7))))))),INDEX(TABLAS!$B$52:$B$58,MIN(MATCH(DATOS!$C$112,TABLAS!$B$52:$B$58,0)+3,7)),IF(AND(AY29&gt;=0,MAX(DATOS!$C$114,CEILING(AY29/INDEX(TABLAS!$D$52:$D$58,MIN(MATCH(DATOS!$C$112,TABLAS!$B$52:$B$58,0)+4,7)),1))&lt;=MIN(99,INT((CB29+MAX(DATOS!$C$32,INDEX(TABLAS!$C$52:$C$58,MIN(MATCH(DATOS!$C$112,TABLAS!$B$52:$B$58,0)+4,7))))/(INDEX(TABLAS!$C$52:$C$58,MIN(MATCH(DATOS!$C$112,TABLAS!$B$52:$B$58,0)+4,7))+MAX(DATOS!$C$32,INDEX(TABLAS!$C$52:$C$58,MIN(MATCH(DATOS!$C$112,TABLAS!$B$52:$B$58,0)+4,7))))))),INDEX(TABLAS!$B$52:$B$58,MIN(MATCH(DATOS!$C$112,TABLAS!$B$52:$B$58,0)+4,7)),INDEX(TABLAS!$B$52:$B$58,7)))))))</f>
        <v>4</v>
      </c>
      <c r="BA29" s="56">
        <f>IF(OR(L29="BORDE DE VOLADO",L29="SIN APOYO"),0,IF(AY29&lt;0,0,MAX(DATOS!$C$114,CEILING(AY29/INDEX(TABLAS!$D$52:$D$58,MATCH(IF(AZ29=0,8,AZ29),TABLAS!$B$52:$B$58,0)),1))))</f>
        <v>3</v>
      </c>
      <c r="BB29" s="36">
        <f>IF(BA29=0,0,DATOS!$C$58*BA29*INDEX(TABLAS!$D$52:$D$58,MATCH(AZ29,TABLAS!$B$52:$B$58,0))*DATOS!$C$40*((O29-DATOS!$C$22-INDEX(TABLAS!$C$52:$C$58,MATCH(DATOS!$C$113,TABLAS!$B$52:$B$58,0))-INDEX(TABLAS!$C$52:$C$58,MATCH(AZ29,TABLAS!$B$52:$B$58,0))/2)-BA29*INDEX(TABLAS!$D$52:$D$58,MATCH(AZ29,TABLAS!$B$52:$B$58,0))*DATOS!$C$40/(DATOS!$C$48*N29)/2)/1E5)</f>
        <v>4.68525287752941</v>
      </c>
      <c r="BC29" s="62">
        <f>IF(AY29&lt;0,9.99,IF(BB29&gt;0,AN29/BB29,0))</f>
        <v>0.726989769388858</v>
      </c>
      <c r="BD29" s="63">
        <f>IF(BA29=0,"—",0.003*((O29-DATOS!$C$22-INDEX(TABLAS!$C$52:$C$58,MATCH(DATOS!$C$113,TABLAS!$B$52:$B$58,0))-INDEX(TABLAS!$C$52:$C$58,MATCH(AZ29,TABLAS!$B$52:$B$58,0))/2)-(BA29*INDEX(TABLAS!$D$52:$D$58,MATCH(AZ29,TABLAS!$B$52:$B$58,0))*DATOS!$C$40/(DATOS!$C$48*N29)/DATOS!$C$49))/(BA29*INDEX(TABLAS!$D$52:$D$58,MATCH(AZ29,TABLAS!$B$52:$B$58,0))*DATOS!$C$40/(DATOS!$C$48*N29)/DATOS!$C$49))</f>
        <v>0.020307871672291</v>
      </c>
      <c r="BE29" s="36">
        <f>IF(BA29=0,0,DATOS!$C$59*MIN(1.25,MAX(0.5,2*MAX(1E-6,MIN(AU29*INDEX(TABLAS!$D$52:$D$58,MATCH(MAX(AS29,2),TABLAS!$B$52:$B$58,0)),BA29*INDEX(TABLAS!$D$52:$D$58,MATCH(MAX(AZ29,2),TABLAS!$B$52:$B$58,0)))/(N29*AQ29))^(1/3)))*SQRT(DATOS!$C$39)*N29*AQ29/1000)</f>
        <v>4.08111696280105</v>
      </c>
      <c r="BF29" s="57">
        <f>IF(AO29=0,0,FLOOR(MIN(IF(AO29&gt;BE29,DATOS!$C$59*2*INDEX(TABLAS!$D$52:$D$58,MATCH(DATOS!$C$113,TABLAS!$B$52:$B$58,0))*DATOS!$C$42*AQ29/((AO29-BE29)*1000),999),IF(MAX(0,AO29-BE29)/DATOS!$C$59&lt;=1.1*SQRT(DATOS!$C$39)*N29*AQ29/1000,MIN(AQ29/2,60),MIN(AQ29/4,30)),2*INDEX(TABLAS!$D$52:$D$58,MATCH(DATOS!$C$113,TABLAS!$B$52:$B$58,0))*DATOS!$C$42/(MAX(0.2*SQRT(DATOS!$C$39),3.5)*N29),MIN(16*INDEX(TABLAS!$C$52:$C$58,MATCH(MIN(MAX(AS29,2),MAX(AZ29,2)),TABLAS!$B$52:$B$58,0)),48*INDEX(TABLAS!$C$52:$C$58,MATCH(DATOS!$C$113,TABLAS!$B$52:$B$58,0))),DATOS!$C$115),0.5))</f>
        <v>17</v>
      </c>
      <c r="BG29" s="57">
        <f>BF29</f>
        <v>17</v>
      </c>
      <c r="BH29" s="51" t="str">
        <f>IF(AO29=0,"—",IF(AO29&gt;DATOS!$C$59*(BE29/DATOS!$C$59+2.2*SQRT(DATOS!$C$39)*N29*AQ29/1000),"SECCIÓN INSUFICIENTE","E No. "&amp;TEXT(DATOS!$C$113,"0")&amp;IF(BG29&lt;BF29," @ "&amp;TEXT(BG29,"0.0")&amp;" en 2h y"," @")&amp;" "&amp;TEXT(BF29,"0.0")&amp;" cm"))</f>
        <v>E No. 3 @ 17.0 cm</v>
      </c>
      <c r="BI29" s="56">
        <f>N29+2*MIN(8*DATOS!$C$14,DATOS!$C$11/2,G29*100/8)</f>
        <v>80</v>
      </c>
      <c r="BJ29" s="71">
        <f>BI29*DATOS!$C$14^3/12+BI29*DATOS!$C$14*(((BI29*DATOS!$C$14^2/2+N29*(O29-DATOS!$C$14)*(DATOS!$C$14+(O29-DATOS!$C$14)/2))/(BI29*DATOS!$C$14+N29*(O29-DATOS!$C$14)))-DATOS!$C$14/2)^2+N29*(O29-DATOS!$C$14)^3/12+N29*(O29-DATOS!$C$14)*(DATOS!$C$14+(O29-DATOS!$C$14)/2-((BI29*DATOS!$C$14^2/2+N29*(O29-DATOS!$C$14)*(DATOS!$C$14+(O29-DATOS!$C$14)/2))/(BI29*DATOS!$C$14+N29*(O29-DATOS!$C$14))))^2</f>
        <v>174109.848484848</v>
      </c>
      <c r="BK29" s="43">
        <f>O29-DATOS!$C$22-INDEX(TABLAS!$C$52:$C$58,MATCH(DATOS!$C$113,TABLAS!$B$52:$B$58,0))-INDEX(TABLAS!$C$52:$C$58,MATCH(MAX(IF(L29="VOLADO",AZ29,AS29),2),TABLAS!$B$52:$B$58,0))/2</f>
        <v>34.255</v>
      </c>
      <c r="BL29" s="43">
        <f>DATOS!$C$46/DATOS!$C$45*IF(L29="VOLADO",BA29*INDEX(TABLAS!$D$52:$D$58,MATCH(MAX(AZ29,2),TABLAS!$B$52:$B$58,0)),AU29*INDEX(TABLAS!$D$52:$D$58,MATCH(MAX(AS29,2),TABLAS!$B$52:$B$58,0)))</f>
        <v>53.6683694325719</v>
      </c>
      <c r="BM29" s="43">
        <f>IF(BL29&lt;=0,0,(SQRT(2*(BL29/(IF(L29="VOLADO",N29,BI29)*BK29))+(BL29/(IF(L29="VOLADO",N29,BI29)*BK29))^2)-(BL29/(IF(L29="VOLADO",N29,BI29)*BK29)))*BK29)</f>
        <v>6.1416556236401</v>
      </c>
      <c r="BN29" s="71">
        <f>IF(AND(L29&lt;&gt;"VOLADO",BM29&gt;DATOS!$C$14),(BI29*DATOS!$C$14^3/12+BI29*DATOS!$C$14*(((-((BI29-N29)*DATOS!$C$14+BL29)+SQRT(((BI29-N29)*DATOS!$C$14+BL29)^2+2*N29*((BI29-N29)*DATOS!$C$14^2/2+BL29*BK29)))/N29)-DATOS!$C$14/2)^2+N29*(((-((BI29-N29)*DATOS!$C$14+BL29)+SQRT(((BI29-N29)*DATOS!$C$14+BL29)^2+2*N29*((BI29-N29)*DATOS!$C$14^2/2+BL29*BK29)))/N29)-DATOS!$C$14)^3/3+BL29*(BK29-((-((BI29-N29)*DATOS!$C$14+BL29)+SQRT(((BI29-N29)*DATOS!$C$14+BL29)^2+2*N29*((BI29-N29)*DATOS!$C$14^2/2+BL29*BK29)))/N29))^2),(IF(L29="VOLADO",N29,BI29)*BM29^3/3+BL29*(BK29-BM29)^2))</f>
        <v>48562.0502624902</v>
      </c>
      <c r="BO29" s="71">
        <f>IF(AP29&lt;=0,BJ29,IF((AP29*1E5)&lt;=2/3*(DATOS!$C$47*BJ29/IF(L29="VOLADO",((BI29*DATOS!$C$14^2/2+N29*(O29-DATOS!$C$14)*(DATOS!$C$14+(O29-DATOS!$C$14)/2))/(BI29*DATOS!$C$14+N29*(O29-DATOS!$C$14))),O29-((BI29*DATOS!$C$14^2/2+N29*(O29-DATOS!$C$14)*(DATOS!$C$14+(O29-DATOS!$C$14)/2))/(BI29*DATOS!$C$14+N29*(O29-DATOS!$C$14))))),BJ29,IF(BL29&lt;=0,0,BN29/(1-(2/3*(DATOS!$C$47*BJ29/IF(L29="VOLADO",((BI29*DATOS!$C$14^2/2+N29*(O29-DATOS!$C$14)*(DATOS!$C$14+(O29-DATOS!$C$14)/2))/(BI29*DATOS!$C$14+N29*(O29-DATOS!$C$14))),O29-((BI29*DATOS!$C$14^2/2+N29*(O29-DATOS!$C$14)*(DATOS!$C$14+(O29-DATOS!$C$14)/2))/(BI29*DATOS!$C$14+N29*(O29-DATOS!$C$14)))))/(AP29*1E5))^2*(1-BN29/BJ29)))))</f>
        <v>54372.9340765964</v>
      </c>
      <c r="BP29" s="62">
        <f>IF(OR(L29="APOYADA",L29="VOLADO"),(IF(L29="VOLADO",(AP29-AH29)/4+AH29/3,5/48*AP29)*1E5*(G29*100)^2/(DATOS!$C$45*MAX(BO29,1)))*(1+2/(1+50*IF(L29="VOLADO",AU29*INDEX(TABLAS!$D$52:$D$58,MATCH(MAX(AS29,2),TABLAS!$B$52:$B$58,0)),DATOS!$C$114*INDEX(TABLAS!$D$52:$D$58,MATCH(MAX(AZ29,2),TABLAS!$B$52:$B$58,0)))/(N29*BK29))*((AA29+AC29)/MAX(AA29+AB29,1E-6))),0)</f>
        <v>0.770989165245882</v>
      </c>
      <c r="BQ29" s="43">
        <f>IF(S29&gt;0,0.3+G29*100/480,0.5+G29*100/240)</f>
        <v>0.930208333333333</v>
      </c>
      <c r="BR29" s="43">
        <f>IF(S29&gt;0,(T29+U29)*G29+AG29,0)</f>
        <v>9.23031800969388</v>
      </c>
      <c r="BS29" s="43">
        <f>IF(S29&gt;0,(DATOS!$C$51*DATOS!$C$103*100*(G29*100)^3/(DATOS!$C$45*BJ29*((BR29*1000/(DATOS!$C$103*100*S29*100)*DATOS!$C$103*100*(MIN(1,S29/G29)^4-4*MIN(1,S29/G29)^3+8*MIN(1,S29/G29)))/((BR29*1000/(DATOS!$C$103*100*S29*100)*DATOS!$C$103*100*(MIN(1,S29/G29)^4-4*MIN(1,S29/G29)^3+8*MIN(1,S29/G29)))+5*((R29+X29+Y29+IF(L29="APOYADA",8*(0)/G29^2,0))*10)))))^0.25,0)</f>
        <v>5.01097647437674</v>
      </c>
      <c r="BT29" s="57">
        <f>IF(S29&gt;0,MAX(1,IF(MIN(1,S29/G29)&gt;=1,(1.6*BS29-3.9),IF(MIN(1,S29/G29)&lt;0.9,((3.2*BS29-7.8)*1),((3.2*BS29-7.8)*1)+((1.6*BS29-3.9)-((3.2*BS29-7.8)*1))*(MIN(1,S29/G29)-0.9)/0.1)))*BR29*1000/(DATOS!$C$103*100*S29*100),0)</f>
        <v>8.37606831919362</v>
      </c>
      <c r="BU29" s="65" t="str">
        <f>IF(S29=0,"—",IF(DATOS!$C$105/S29&lt;0.6,"REVISAR: H/L &lt; 0.6, interacción muro-viga",IF(BT29&lt;=DATOS!$C$60*DATOS!$C$50,"CUMPLE","NO CUMPLE f_CM &gt; F_R·f'm")))</f>
        <v>CUMPLE</v>
      </c>
      <c r="BV29" s="57">
        <f>IF(S29&gt;0,MAX(25,IF(BJ29&gt;=(G29*100)^3/1600,0,MIN(G29*100/14,(12*(G29*100)^3/1600/N29)^(1/3)))),IF(L29="APOYADA",MAX(25,G29*100/16),IF(L29="VOLADO",MAX(25,G29*100/8),0)))</f>
        <v>25</v>
      </c>
      <c r="BW29" s="57">
        <f>IF(S29&gt;0,IF(BJ29&gt;=(5/4*(G29*100)^3/DATOS!$C$45*((((S29*DATOS!$C$107+(((SUMIFS(TRIB!$I$6:$I$255,TRIB!$B$6:$B$255,"DM-121")-SUMIFS(TRIB!$L$6:$L$255,TRIB!$B$6:$B$255,"DM-121"))*1.0+(SUMIFS(TRIB!$I$6:$I$255,TRIB!$B$6:$B$255,"DM-122")-SUMIFS(TRIB!$L$6:$L$255,TRIB!$B$6:$B$255,"DM-122"))*1.0)/G29+(SUMIFS(TRIB!$M$6:$M$255,TRIB!$B$6:$B$255,"DM-121")*1.0+SUMIFS(TRIB!$M$6:$M$255,TRIB!$B$6:$B$255,"DM-122")*1.0)/G29)*G29+AG29/DATOS!$C$55)*1000)/(DATOS!$C$103*100*S29*100)*DATOS!$C$103*100*(MIN(1,S29/G29)^4-4*MIN(1,S29/G29)^3+8*MIN(1,S29/G29)))+5*((AA29-S29*DATOS!$C$107/G29-(((SUMIFS(TRIB!$I$6:$I$255,TRIB!$B$6:$B$255,"DM-121")-SUMIFS(TRIB!$L$6:$L$255,TRIB!$B$6:$B$255,"DM-121"))*1.0+(SUMIFS(TRIB!$I$6:$I$255,TRIB!$B$6:$B$255,"DM-122")-SUMIFS(TRIB!$L$6:$L$255,TRIB!$B$6:$B$255,"DM-122"))*1.0)/G29))*10))),0,MIN((G29*100/((1/15*DATOS!$C$45*N29/((((S29*DATOS!$C$107+(((SUMIFS(TRIB!$I$6:$I$255,TRIB!$B$6:$B$255,"DM-121")-SUMIFS(TRIB!$L$6:$L$255,TRIB!$B$6:$B$255,"DM-121"))*1.0+(SUMIFS(TRIB!$I$6:$I$255,TRIB!$B$6:$B$255,"DM-122")-SUMIFS(TRIB!$L$6:$L$255,TRIB!$B$6:$B$255,"DM-122"))*1.0)/G29+(SUMIFS(TRIB!$M$6:$M$255,TRIB!$B$6:$B$255,"DM-121")*1.0+SUMIFS(TRIB!$M$6:$M$255,TRIB!$B$6:$B$255,"DM-122")*1.0)/G29)*G29+AG29/DATOS!$C$55)*1000)/(DATOS!$C$103*100*S29*100)*DATOS!$C$103*100*(MIN(1,S29/G29)^4-4*MIN(1,S29/G29)^3+8*MIN(1,S29/G29)))+5*((AA29-S29*DATOS!$C$107/G29-(((SUMIFS(TRIB!$I$6:$I$255,TRIB!$B$6:$B$255,"DM-121")-SUMIFS(TRIB!$L$6:$L$255,TRIB!$B$6:$B$255,"DM-121"))*1.0+(SUMIFS(TRIB!$I$6:$I$255,TRIB!$B$6:$B$255,"DM-122")-SUMIFS(TRIB!$L$6:$L$255,TRIB!$B$6:$B$255,"DM-122"))*1.0)/G29))*10)))^(1/3))),(12*(5/4*(G29*100)^3/DATOS!$C$45*((((S29*DATOS!$C$107+(((SUMIFS(TRIB!$I$6:$I$255,TRIB!$B$6:$B$255,"DM-121")-SUMIFS(TRIB!$L$6:$L$255,TRIB!$B$6:$B$255,"DM-121"))*1.0+(SUMIFS(TRIB!$I$6:$I$255,TRIB!$B$6:$B$255,"DM-122")-SUMIFS(TRIB!$L$6:$L$255,TRIB!$B$6:$B$255,"DM-122"))*1.0)/G29+(SUMIFS(TRIB!$M$6:$M$255,TRIB!$B$6:$B$255,"DM-121")*1.0+SUMIFS(TRIB!$M$6:$M$255,TRIB!$B$6:$B$255,"DM-122")*1.0)/G29)*G29+AG29/DATOS!$C$55)*1000)/(DATOS!$C$103*100*S29*100)*DATOS!$C$103*100*(MIN(1,S29/G29)^4-4*MIN(1,S29/G29)^3+8*MIN(1,S29/G29)))+5*((AA29-S29*DATOS!$C$107/G29-(((SUMIFS(TRIB!$I$6:$I$255,TRIB!$B$6:$B$255,"DM-121")-SUMIFS(TRIB!$L$6:$L$255,TRIB!$B$6:$B$255,"DM-121"))*1.0+(SUMIFS(TRIB!$I$6:$I$255,TRIB!$B$6:$B$255,"DM-122")-SUMIFS(TRIB!$L$6:$L$255,TRIB!$B$6:$B$255,"DM-122"))*1.0)/G29))*10)))/N29)^(1/3))),0)</f>
        <v>0</v>
      </c>
      <c r="BX29" s="57">
        <f>SQRT(MAX(AM29,AN29)*1E5/(DATOS!$C$58*N29*DATOS!$C$48*(DATOS!$C$82*DATOS!$C$40/DATOS!$C$48)*(1-(DATOS!$C$82*DATOS!$C$40/DATOS!$C$48)/2)))+(O29-AQ29)</f>
        <v>27.9066237471396</v>
      </c>
      <c r="BY29" s="59">
        <f>IF(OR(L29="BORDE DE VOLADO",L29="SIN APOYO"),0,CEILING(MAX(BV29,BW29,BX29,DATOS!$C$15),5))</f>
        <v>30</v>
      </c>
      <c r="BZ29" s="72" t="str">
        <f>IF(L29="BORDE DE VOLADO","BORDE DE VOLADO — armado de orilla",IF(L29="SIN APOYO","SIN APOYO — REVISAR",IF(AND(AW29&lt;=1,BC29&lt;=1,IF(AU29=0,TRUE,AU29&lt;=INT((CB29+DATOS!$C$32)/(INDEX(TABLAS!$C$52:$C$58,MATCH(MAX(AS29,2),TABLAS!$B$52:$B$58,0))+DATOS!$C$32))),IF(BA29=0,TRUE,BA29&lt;=INT((CB29+DATOS!$C$32)/(INDEX(TABLAS!$C$52:$C$58,MATCH(MAX(AZ29,2),TABLAS!$B$52:$B$58,0))+DATOS!$C$32))),AND(OR(NOT(ISNUMBER(AX29)),AX29&gt;=0.005),OR(NOT(ISNUMBER(BD29)),BD29&gt;=0.005)),BH29&lt;&gt;"SECCIÓN INSUFICIENTE",AND(O29&gt;=BV29,O29&gt;=BW29,O29/N29&lt;=6),BP29&lt;=BQ29,OR(S29=0,LEFT(BU29,6)&lt;&gt;"NO CUM")),IF(LEFT(BU29,7)="REVISAR","PENDIENTE: H/L &lt; 0.6, falta el análisis de interacción muro-viga (NTC-M 4.1.18.2.1, p. 44)","CUMPLE")&amp;IF(L29="VOLADO"," (en VOLADO)",""),"NO CUMPLE: "&amp;IF(OR(AR29&lt;0,AY29&lt;0),"sección insuficiente en flexión ",IF(OR(AW29&gt;1,BC29&gt;1),"flexión ",""))&amp;IF(NOT(AND(IF(AU29=0,TRUE,AU29&lt;=INT((CB29+DATOS!$C$32)/(INDEX(TABLAS!$C$52:$C$58,MATCH(MAX(AS29,2),TABLAS!$B$52:$B$58,0))+DATOS!$C$32))),IF(BA29=0,TRUE,BA29&lt;=INT((CB29+DATOS!$C$32)/(INDEX(TABLAS!$C$52:$C$58,MATCH(MAX(AZ29,2),TABLAS!$B$52:$B$58,0))+DATOS!$C$32))))),"no caben ","")&amp;IF(NOT(AND(OR(NOT(ISNUMBER(AX29)),AX29&gt;=0.005),OR(NOT(ISNUMBER(BD29)),BD29&gt;=0.005))),"ε_t ","")&amp;IF(BH29="SECCIÓN INSUFICIENTE","cortante ","")&amp;IF(NOT(AND(O29&gt;=BV29,O29&gt;=BW29,O29/N29&lt;=6)),"peralte ","")&amp;IF(NOT(BP29&lt;=BQ29),"flecha ","")&amp;IF(NOT(OR(S29=0,LEFT(BU29,6)&lt;&gt;"NO CUM")),"muro sobre viga ","")&amp;"→ h ≥ "&amp;TEXT(MAX(BY29,IF(BP29&gt;BQ29,MAX(O29+5,CEILING(O29*(BP29/BQ29)^(1/3),5)),0)),"0")&amp;" cm"&amp;IF(NOT(AND(IF(AU29=0,TRUE,AU29&lt;=INT((CB29+DATOS!$C$32)/(INDEX(TABLAS!$C$52:$C$58,MATCH(MAX(AS29,2),TABLAS!$B$52:$B$58,0))+DATOS!$C$32))),IF(BA29=0,TRUE,BA29&lt;=INT((CB29+DATOS!$C$32)/(INDEX(TABLAS!$C$52:$C$58,MATCH(MAX(AZ29,2),TABLAS!$B$52:$B$58,0))+DATOS!$C$32)))))," y b ≥ "&amp;TEXT(N29+5,"0")&amp;" cm","")&amp;" (verificar)")))</f>
        <v>CUMPLE</v>
      </c>
      <c r="CA29" s="65" t="inlineStr">
        <is>
          <t>Extremo i en castillo propuesto C2. Muro de planta alta encima (3.02 m) con la azotea de DM-121, DM-122: viga que soporta muro estructural (NTC-Mampostería 4.1.18): la flecha se calcula y el límite es 0.3 cm + L/480.</t>
        </is>
      </c>
      <c r="CB29" s="43">
        <f>N29-2*DATOS!$C$22-2*INDEX(TABLAS!$C$52:$C$58,MATCH(DATOS!$C$113,TABLAS!$B$52:$B$58,0))</f>
        <v>10.1</v>
      </c>
    </row>
    <row r="30" ht="30" customHeight="1">
      <c r="B30" s="60" t="inlineStr">
        <is>
          <t>NP-22</t>
        </is>
      </c>
      <c r="C30" s="52" t="inlineStr">
        <is>
          <t>N+3.00</t>
        </is>
      </c>
      <c r="D30" s="51" t="inlineStr">
        <is>
          <t>x = 4.327</t>
        </is>
      </c>
      <c r="E30" s="52" t="inlineStr">
        <is>
          <t>(4.327, 5.946)</t>
        </is>
      </c>
      <c r="F30" s="52" t="inlineStr">
        <is>
          <t>(4.327, 7.871)</t>
        </is>
      </c>
      <c r="G30" s="55" t="n">
        <v>1.925</v>
      </c>
      <c r="H30" s="52" t="inlineStr">
        <is>
          <t>FIRME</t>
        </is>
      </c>
      <c r="I30" s="52" t="str">
        <f>IF(APOYOS!$C$20="SÍ","FIRME","LIBRE")</f>
        <v>FIRME</v>
      </c>
      <c r="J30" s="52" t="inlineStr">
        <is>
          <t>—</t>
        </is>
      </c>
      <c r="K30" s="52" t="inlineStr">
        <is>
          <t>C4</t>
        </is>
      </c>
      <c r="L30" s="60" t="str">
        <f>IF(AND(OR(H30="FIRME",H30="NERVADURA",H30="PUNTA"),OR(I30="FIRME",I30="NERVADURA",I30="PUNTA")),"APOYADA",IF(OR(OR(H30="FIRME",H30="NERVADURA",H30="PUNTA"),OR(I30="FIRME",I30="NERVADURA",I30="PUNTA")),"VOLADO","SIN APOYO"))</f>
        <v>APOYADA</v>
      </c>
      <c r="M30" s="52" t="str">
        <f>IF(L30="VOLADO",IF(OR(H30="FIRME",H30="NERVADURA",H30="PUNTA"),"i","j"),"—")</f>
        <v>—</v>
      </c>
      <c r="N30" s="58" t="n">
        <v>20</v>
      </c>
      <c r="O30" s="58" t="n">
        <v>30</v>
      </c>
      <c r="P30" s="65" t="str">
        <f>IF(L30="BORDE DE VOLADO","—",IF(OR(N30&lt;&gt;DATOS!$C$17,O30&lt;&gt;DATOS!$C$15),"PERALTAR: trabe "&amp;TEXT(N30,"0")&amp;"×"&amp;TEXT(O30,"0")&amp;IF(O30&gt;DATOS!$C$15," (descuelga "&amp;TEXT(O30-DATOS!$C$15,"0")&amp;" cm)",""),"Queda en la losa (15×25)"))</f>
        <v>PERALTAR: trabe 20×30 (descuelga 5 cm)</v>
      </c>
      <c r="Q30" s="43">
        <f>SUMIFS(TRIB!$E$6:$E$255,TRIB!$B$6:$B$255,"NP-22")</f>
        <v>1.4681</v>
      </c>
      <c r="R30" s="36">
        <f>SUMIFS(TRIB!$G$6:$G$255,TRIB!$B$6:$B$255,"NP-22")/G30</f>
        <v>0.667146974821097</v>
      </c>
      <c r="S30" s="69" t="n">
        <v>1.925</v>
      </c>
      <c r="T30" s="36">
        <f>DATOS!$C$55*S30*DATOS!$C$107/G30</f>
        <v>1.233375</v>
      </c>
      <c r="U30" s="36">
        <f>(SUMIFS(TRIB!$G$6:$G$255,TRIB!$B$6:$B$255,"DM-123")*1.0+SUMIFS(TRIB!$G$6:$G$255,TRIB!$B$6:$B$255,"DM-124")*1.0)/G30</f>
        <v>1.50139556056189</v>
      </c>
      <c r="V30" s="61" t="n">
        <v>0</v>
      </c>
      <c r="W30" s="61" t="n">
        <v>0</v>
      </c>
      <c r="X30" s="36">
        <f>(DATOS!$C$55*V30+DATOS!$C$56*W30)/1000</f>
        <v>0</v>
      </c>
      <c r="Y30" s="36">
        <f>DATOS!$C$55*(N30/100*O30/100*DATOS!$C$43-N30/100*DATOS!$C$70/1000)</f>
        <v>0.124364897959184</v>
      </c>
      <c r="Z30" s="70">
        <f>R30+T30+U30+X30+Y30</f>
        <v>3.52628243334217</v>
      </c>
      <c r="AA30" s="36">
        <f>(SUMIFS(TRIB!$I$6:$I$255,TRIB!$B$6:$B$255,"NP-22")-SUMIFS(TRIB!$L$6:$L$255,TRIB!$B$6:$B$255,"NP-22"))/G30+S30*DATOS!$C$107/G30+((SUMIFS(TRIB!$I$6:$I$255,TRIB!$B$6:$B$255,"DM-123")-SUMIFS(TRIB!$L$6:$L$255,TRIB!$B$6:$B$255,"DM-123"))*1.0+(SUMIFS(TRIB!$I$6:$I$255,TRIB!$B$6:$B$255,"DM-124")-SUMIFS(TRIB!$L$6:$L$255,TRIB!$B$6:$B$255,"DM-124"))*1.0)/G30+V30/1000+Y30/DATOS!$C$55</f>
        <v>2.36128279088259</v>
      </c>
      <c r="AB30" s="36">
        <f>SUMIFS(TRIB!$L$6:$L$255,TRIB!$B$6:$B$255,"NP-22")/G30+(SUMIFS(TRIB!$L$6:$L$255,TRIB!$B$6:$B$255,"DM-123")*1.0+SUMIFS(TRIB!$L$6:$L$255,TRIB!$B$6:$B$255,"DM-124")*1.0)/G30+W30/1000</f>
        <v>0.30440987012987</v>
      </c>
      <c r="AC30" s="36">
        <f>SUMIFS(TRIB!$M$6:$M$255,TRIB!$B$6:$B$255,"NP-22")/G30+(SUMIFS(TRIB!$M$6:$M$255,TRIB!$B$6:$B$255,"DM-123")*1.0+SUMIFS(TRIB!$M$6:$M$255,TRIB!$B$6:$B$255,"DM-124")*1.0)/G30+W30/1000*DATOS!$C$91/DATOS!$C$89</f>
        <v>0.0849379220779221</v>
      </c>
      <c r="AD30" s="36">
        <f>TRANSFER!$F$6</f>
        <v>0.482552969387755</v>
      </c>
      <c r="AE30" s="36">
        <f>TRANSFER!$H$6</f>
        <v>0.231837497935786</v>
      </c>
      <c r="AF30" s="36">
        <f>TRANSFER!$I$6</f>
        <v>0.251178220948847</v>
      </c>
      <c r="AG30" s="36">
        <f>0</f>
        <v>0</v>
      </c>
      <c r="AH30" s="36">
        <f>TRANSFER!$N$6</f>
        <v>0.171371605724591</v>
      </c>
      <c r="AI30" s="36">
        <f>IF(L30="APOYADA",Z30*G30/2+TRANSFER!$J$6,IF(AND(L30="VOLADO",M30="i"),Z30*G30+AD30,0))</f>
        <v>3.62542159053075</v>
      </c>
      <c r="AJ30" s="36">
        <f>IF(L30="APOYADA",Z30*G30/2+TRANSFER!$K$6,IF(AND(L30="VOLADO",M30="j"),Z30*G30+AD30,0))</f>
        <v>3.64522506304068</v>
      </c>
      <c r="AK30" s="36">
        <f>IF(L30="APOYADA",(AA30+AB30)*G30/2+TRANSFER!$O$6,IF(AND(L30="VOLADO",M30="i"),(AA30+AB30)*G30+TRANSFER!$M$6,0))</f>
        <v>2.73675873285582</v>
      </c>
      <c r="AL30" s="36">
        <f>IF(L30="APOYADA",(AA30+AB30)*G30/2+TRANSFER!$P$6,IF(AND(L30="VOLADO",M30="j"),(AA30+AB30)*G30+TRANSFER!$M$6,0))</f>
        <v>2.7513972314299</v>
      </c>
      <c r="AM30" s="70">
        <f>IF(L30="APOYADA",Z30*G30^2/8+AE30,0)</f>
        <v>1.86522254069248</v>
      </c>
      <c r="AN30" s="70">
        <f>IF(L30="APOYADA",DATOS!$C$64*AM30,IF(L30="VOLADO",Z30*G30^2/2+AE30,0))</f>
        <v>1.24410343464189</v>
      </c>
      <c r="AO30" s="70">
        <f>IF(L30="APOYADA",Z30*G30/2+AF30,IF(L30="VOLADO",Z30*G30+AF30,0))</f>
        <v>3.64522506304068</v>
      </c>
      <c r="AP30" s="36">
        <f>IF(L30="APOYADA",(AA30+AB30)*G30^2/8+AH30,IF(L30="VOLADO",(AA30+AB30)*G30^2/2+AH30,0))</f>
        <v>1.40612877659513</v>
      </c>
      <c r="AQ30" s="43">
        <f>O30-DATOS!$C$22-INDEX(TABLAS!$C$52:$C$58,MATCH(DATOS!$C$113,TABLAS!$B$52:$B$58,0))-INDEX(TABLAS!$C$52:$C$58,MATCH(DATOS!$C$112,TABLAS!$B$52:$B$58,0))/2</f>
        <v>24.415</v>
      </c>
      <c r="AR30" s="43">
        <f>IF(OR(L30="BORDE DE VOLADO",L30="SIN APOYO"),0,IF(IF(AM30&lt;=0,0,IF((1-2*AM30*1E5/(DATOS!$C$58*N30*AQ30^2*DATOS!$C$48))&lt;0,-1,IF((1-SQRT((1-2*AM30*1E5/(DATOS!$C$58*N30*AQ30^2*DATOS!$C$48))))*DATOS!$C$48*N30*AQ30/DATOS!$C$40&gt;DATOS!$C$82*N30*AQ30,-1,(1-SQRT((1-2*AM30*1E5/(DATOS!$C$58*N30*AQ30^2*DATOS!$C$48))))*DATOS!$C$48*N30*AQ30/DATOS!$C$40)))&lt;0,-1,MAX(IF(AM30&lt;=0,0,IF((1-2*AM30*1E5/(DATOS!$C$58*N30*AQ30^2*DATOS!$C$48))&lt;0,-1,IF((1-SQRT((1-2*AM30*1E5/(DATOS!$C$58*N30*AQ30^2*DATOS!$C$48))))*DATOS!$C$48*N30*AQ30/DATOS!$C$40&gt;DATOS!$C$82*N30*AQ30,-1,(1-SQRT((1-2*AM30*1E5/(DATOS!$C$58*N30*AQ30^2*DATOS!$C$48))))*DATOS!$C$48*N30*AQ30/DATOS!$C$40))),MIN(DATOS!$C$83*N30*AQ30,4/3*IF(AM30&lt;=0,0,IF((1-2*AM30*1E5/(DATOS!$C$58*N30*AQ30^2*DATOS!$C$48))&lt;0,-1,IF((1-SQRT((1-2*AM30*1E5/(DATOS!$C$58*N30*AQ30^2*DATOS!$C$48))))*DATOS!$C$48*N30*AQ30/DATOS!$C$40&gt;DATOS!$C$82*N30*AQ30,-1,(1-SQRT((1-2*AM30*1E5/(DATOS!$C$58*N30*AQ30^2*DATOS!$C$48))))*DATOS!$C$48*N30*AQ30/DATOS!$C$40)))))))</f>
        <v>2.11128633585307</v>
      </c>
      <c r="AS30" s="41">
        <f>IF(AR30&lt;0,0,IF(AND(AR30&gt;=0,MAX(DATOS!$C$114,CEILING(AR30/INDEX(TABLAS!$D$52:$D$58,MIN(MATCH(DATOS!$C$112,TABLAS!$B$52:$B$58,0)+0,7)),1))&lt;=MIN(99,INT((CB30+MAX(DATOS!$C$32,INDEX(TABLAS!$C$52:$C$58,MIN(MATCH(DATOS!$C$112,TABLAS!$B$52:$B$58,0)+0,7))))/(INDEX(TABLAS!$C$52:$C$58,MIN(MATCH(DATOS!$C$112,TABLAS!$B$52:$B$58,0)+0,7))+MAX(DATOS!$C$32,INDEX(TABLAS!$C$52:$C$58,MIN(MATCH(DATOS!$C$112,TABLAS!$B$52:$B$58,0)+0,7))))))),INDEX(TABLAS!$B$52:$B$58,MIN(MATCH(DATOS!$C$112,TABLAS!$B$52:$B$58,0)+0,7)),IF(AND(AR30&gt;=0,MAX(DATOS!$C$114,CEILING(AR30/INDEX(TABLAS!$D$52:$D$58,MIN(MATCH(DATOS!$C$112,TABLAS!$B$52:$B$58,0)+1,7)),1))&lt;=MIN(99,INT((CB30+MAX(DATOS!$C$32,INDEX(TABLAS!$C$52:$C$58,MIN(MATCH(DATOS!$C$112,TABLAS!$B$52:$B$58,0)+1,7))))/(INDEX(TABLAS!$C$52:$C$58,MIN(MATCH(DATOS!$C$112,TABLAS!$B$52:$B$58,0)+1,7))+MAX(DATOS!$C$32,INDEX(TABLAS!$C$52:$C$58,MIN(MATCH(DATOS!$C$112,TABLAS!$B$52:$B$58,0)+1,7))))))),INDEX(TABLAS!$B$52:$B$58,MIN(MATCH(DATOS!$C$112,TABLAS!$B$52:$B$58,0)+1,7)),IF(AND(AR30&gt;=0,MAX(DATOS!$C$114,CEILING(AR30/INDEX(TABLAS!$D$52:$D$58,MIN(MATCH(DATOS!$C$112,TABLAS!$B$52:$B$58,0)+2,7)),1))&lt;=MIN(99,INT((CB30+MAX(DATOS!$C$32,INDEX(TABLAS!$C$52:$C$58,MIN(MATCH(DATOS!$C$112,TABLAS!$B$52:$B$58,0)+2,7))))/(INDEX(TABLAS!$C$52:$C$58,MIN(MATCH(DATOS!$C$112,TABLAS!$B$52:$B$58,0)+2,7))+MAX(DATOS!$C$32,INDEX(TABLAS!$C$52:$C$58,MIN(MATCH(DATOS!$C$112,TABLAS!$B$52:$B$58,0)+2,7))))))),INDEX(TABLAS!$B$52:$B$58,MIN(MATCH(DATOS!$C$112,TABLAS!$B$52:$B$58,0)+2,7)),IF(AND(AR30&gt;=0,MAX(DATOS!$C$114,CEILING(AR30/INDEX(TABLAS!$D$52:$D$58,MIN(MATCH(DATOS!$C$112,TABLAS!$B$52:$B$58,0)+3,7)),1))&lt;=MIN(99,INT((CB30+MAX(DATOS!$C$32,INDEX(TABLAS!$C$52:$C$58,MIN(MATCH(DATOS!$C$112,TABLAS!$B$52:$B$58,0)+3,7))))/(INDEX(TABLAS!$C$52:$C$58,MIN(MATCH(DATOS!$C$112,TABLAS!$B$52:$B$58,0)+3,7))+MAX(DATOS!$C$32,INDEX(TABLAS!$C$52:$C$58,MIN(MATCH(DATOS!$C$112,TABLAS!$B$52:$B$58,0)+3,7))))))),INDEX(TABLAS!$B$52:$B$58,MIN(MATCH(DATOS!$C$112,TABLAS!$B$52:$B$58,0)+3,7)),IF(AND(AR30&gt;=0,MAX(DATOS!$C$114,CEILING(AR30/INDEX(TABLAS!$D$52:$D$58,MIN(MATCH(DATOS!$C$112,TABLAS!$B$52:$B$58,0)+4,7)),1))&lt;=MIN(99,INT((CB30+MAX(DATOS!$C$32,INDEX(TABLAS!$C$52:$C$58,MIN(MATCH(DATOS!$C$112,TABLAS!$B$52:$B$58,0)+4,7))))/(INDEX(TABLAS!$C$52:$C$58,MIN(MATCH(DATOS!$C$112,TABLAS!$B$52:$B$58,0)+4,7))+MAX(DATOS!$C$32,INDEX(TABLAS!$C$52:$C$58,MIN(MATCH(DATOS!$C$112,TABLAS!$B$52:$B$58,0)+4,7))))))),INDEX(TABLAS!$B$52:$B$58,MIN(MATCH(DATOS!$C$112,TABLAS!$B$52:$B$58,0)+4,7)),INDEX(TABLAS!$B$52:$B$58,7)))))))</f>
        <v>4</v>
      </c>
      <c r="AT30" s="58" t="n">
        <v>0</v>
      </c>
      <c r="AU30" s="56">
        <f>IF(OR(L30="BORDE DE VOLADO",L30="SIN APOYO"),0,IF(AR30&lt;0,0,MAX(DATOS!$C$114,CEILING(AR30/INDEX(TABLAS!$D$52:$D$58,MATCH(IF(AS30=0,8,AS30),TABLAS!$B$52:$B$58,0)),1))+AT30))</f>
        <v>2</v>
      </c>
      <c r="AV30" s="36">
        <f>IF(AU30=0,0,DATOS!$C$58*AU30*INDEX(TABLAS!$D$52:$D$58,MATCH(AS30,TABLAS!$B$52:$B$58,0))*DATOS!$C$40*((O30-DATOS!$C$22-INDEX(TABLAS!$C$52:$C$58,MATCH(DATOS!$C$113,TABLAS!$B$52:$B$58,0))-INDEX(TABLAS!$C$52:$C$58,MATCH(AS30,TABLAS!$B$52:$B$58,0))/2)-AU30*INDEX(TABLAS!$D$52:$D$58,MATCH(AS30,TABLAS!$B$52:$B$58,0))*DATOS!$C$40/(DATOS!$C$48*N30)/2)/1E5)</f>
        <v>2.22363227223529</v>
      </c>
      <c r="AW30" s="62">
        <f>IF(AR30&lt;0,9.99,IF(AV30&gt;0,AM30/AV30,0))</f>
        <v>0.838817894479233</v>
      </c>
      <c r="AX30" s="63">
        <f>IF(AU30=0,"—",0.003*((O30-DATOS!$C$22-INDEX(TABLAS!$C$52:$C$58,MATCH(DATOS!$C$113,TABLAS!$B$52:$B$58,0))-INDEX(TABLAS!$C$52:$C$58,MATCH(AS30,TABLAS!$B$52:$B$58,0))/2)-(AU30*INDEX(TABLAS!$D$52:$D$58,MATCH(AS30,TABLAS!$B$52:$B$58,0))*DATOS!$C$40/(DATOS!$C$48*N30)/DATOS!$C$49))/(AU30*INDEX(TABLAS!$D$52:$D$58,MATCH(AS30,TABLAS!$B$52:$B$58,0))*DATOS!$C$40/(DATOS!$C$48*N30)/DATOS!$C$49))</f>
        <v>0.0218029211192351</v>
      </c>
      <c r="AY30" s="43">
        <f>IF(OR(L30="BORDE DE VOLADO",L30="SIN APOYO"),0,IF(IF(AN30&lt;=0,0,IF((1-2*AN30*1E5/(DATOS!$C$58*N30*AQ30^2*DATOS!$C$48))&lt;0,-1,IF((1-SQRT((1-2*AN30*1E5/(DATOS!$C$58*N30*AQ30^2*DATOS!$C$48))))*DATOS!$C$48*N30*AQ30/DATOS!$C$40&gt;DATOS!$C$82*N30*AQ30,-1,(1-SQRT((1-2*AN30*1E5/(DATOS!$C$58*N30*AQ30^2*DATOS!$C$48))))*DATOS!$C$48*N30*AQ30/DATOS!$C$40)))&lt;0,-1,MAX(IF(AN30&lt;=0,0,IF((1-2*AN30*1E5/(DATOS!$C$58*N30*AQ30^2*DATOS!$C$48))&lt;0,-1,IF((1-SQRT((1-2*AN30*1E5/(DATOS!$C$58*N30*AQ30^2*DATOS!$C$48))))*DATOS!$C$48*N30*AQ30/DATOS!$C$40&gt;DATOS!$C$82*N30*AQ30,-1,(1-SQRT((1-2*AN30*1E5/(DATOS!$C$58*N30*AQ30^2*DATOS!$C$48))))*DATOS!$C$48*N30*AQ30/DATOS!$C$40))),MIN(DATOS!$C$83*IF(L30="VOLADO",MIN(BI30,2*N30),N30)*AQ30,4/3*IF(AN30&lt;=0,0,IF((1-2*AN30*1E5/(DATOS!$C$58*N30*AQ30^2*DATOS!$C$48))&lt;0,-1,IF((1-SQRT((1-2*AN30*1E5/(DATOS!$C$58*N30*AQ30^2*DATOS!$C$48))))*DATOS!$C$48*N30*AQ30/DATOS!$C$40&gt;DATOS!$C$82*N30*AQ30,-1,(1-SQRT((1-2*AN30*1E5/(DATOS!$C$58*N30*AQ30^2*DATOS!$C$48))))*DATOS!$C$48*N30*AQ30/DATOS!$C$40)))))))</f>
        <v>1.62766666666667</v>
      </c>
      <c r="AZ30" s="41">
        <f>IF(AY30&lt;0,0,IF(AND(AY30&gt;=0,MAX(DATOS!$C$114,CEILING(AY30/INDEX(TABLAS!$D$52:$D$58,MIN(MATCH(DATOS!$C$112,TABLAS!$B$52:$B$58,0)+0,7)),1))&lt;=MIN(99,INT((CB30+MAX(DATOS!$C$32,INDEX(TABLAS!$C$52:$C$58,MIN(MATCH(DATOS!$C$112,TABLAS!$B$52:$B$58,0)+0,7))))/(INDEX(TABLAS!$C$52:$C$58,MIN(MATCH(DATOS!$C$112,TABLAS!$B$52:$B$58,0)+0,7))+MAX(DATOS!$C$32,INDEX(TABLAS!$C$52:$C$58,MIN(MATCH(DATOS!$C$112,TABLAS!$B$52:$B$58,0)+0,7))))))),INDEX(TABLAS!$B$52:$B$58,MIN(MATCH(DATOS!$C$112,TABLAS!$B$52:$B$58,0)+0,7)),IF(AND(AY30&gt;=0,MAX(DATOS!$C$114,CEILING(AY30/INDEX(TABLAS!$D$52:$D$58,MIN(MATCH(DATOS!$C$112,TABLAS!$B$52:$B$58,0)+1,7)),1))&lt;=MIN(99,INT((CB30+MAX(DATOS!$C$32,INDEX(TABLAS!$C$52:$C$58,MIN(MATCH(DATOS!$C$112,TABLAS!$B$52:$B$58,0)+1,7))))/(INDEX(TABLAS!$C$52:$C$58,MIN(MATCH(DATOS!$C$112,TABLAS!$B$52:$B$58,0)+1,7))+MAX(DATOS!$C$32,INDEX(TABLAS!$C$52:$C$58,MIN(MATCH(DATOS!$C$112,TABLAS!$B$52:$B$58,0)+1,7))))))),INDEX(TABLAS!$B$52:$B$58,MIN(MATCH(DATOS!$C$112,TABLAS!$B$52:$B$58,0)+1,7)),IF(AND(AY30&gt;=0,MAX(DATOS!$C$114,CEILING(AY30/INDEX(TABLAS!$D$52:$D$58,MIN(MATCH(DATOS!$C$112,TABLAS!$B$52:$B$58,0)+2,7)),1))&lt;=MIN(99,INT((CB30+MAX(DATOS!$C$32,INDEX(TABLAS!$C$52:$C$58,MIN(MATCH(DATOS!$C$112,TABLAS!$B$52:$B$58,0)+2,7))))/(INDEX(TABLAS!$C$52:$C$58,MIN(MATCH(DATOS!$C$112,TABLAS!$B$52:$B$58,0)+2,7))+MAX(DATOS!$C$32,INDEX(TABLAS!$C$52:$C$58,MIN(MATCH(DATOS!$C$112,TABLAS!$B$52:$B$58,0)+2,7))))))),INDEX(TABLAS!$B$52:$B$58,MIN(MATCH(DATOS!$C$112,TABLAS!$B$52:$B$58,0)+2,7)),IF(AND(AY30&gt;=0,MAX(DATOS!$C$114,CEILING(AY30/INDEX(TABLAS!$D$52:$D$58,MIN(MATCH(DATOS!$C$112,TABLAS!$B$52:$B$58,0)+3,7)),1))&lt;=MIN(99,INT((CB30+MAX(DATOS!$C$32,INDEX(TABLAS!$C$52:$C$58,MIN(MATCH(DATOS!$C$112,TABLAS!$B$52:$B$58,0)+3,7))))/(INDEX(TABLAS!$C$52:$C$58,MIN(MATCH(DATOS!$C$112,TABLAS!$B$52:$B$58,0)+3,7))+MAX(DATOS!$C$32,INDEX(TABLAS!$C$52:$C$58,MIN(MATCH(DATOS!$C$112,TABLAS!$B$52:$B$58,0)+3,7))))))),INDEX(TABLAS!$B$52:$B$58,MIN(MATCH(DATOS!$C$112,TABLAS!$B$52:$B$58,0)+3,7)),IF(AND(AY30&gt;=0,MAX(DATOS!$C$114,CEILING(AY30/INDEX(TABLAS!$D$52:$D$58,MIN(MATCH(DATOS!$C$112,TABLAS!$B$52:$B$58,0)+4,7)),1))&lt;=MIN(99,INT((CB30+MAX(DATOS!$C$32,INDEX(TABLAS!$C$52:$C$58,MIN(MATCH(DATOS!$C$112,TABLAS!$B$52:$B$58,0)+4,7))))/(INDEX(TABLAS!$C$52:$C$58,MIN(MATCH(DATOS!$C$112,TABLAS!$B$52:$B$58,0)+4,7))+MAX(DATOS!$C$32,INDEX(TABLAS!$C$52:$C$58,MIN(MATCH(DATOS!$C$112,TABLAS!$B$52:$B$58,0)+4,7))))))),INDEX(TABLAS!$B$52:$B$58,MIN(MATCH(DATOS!$C$112,TABLAS!$B$52:$B$58,0)+4,7)),INDEX(TABLAS!$B$52:$B$58,7)))))))</f>
        <v>4</v>
      </c>
      <c r="BA30" s="56">
        <f>IF(OR(L30="BORDE DE VOLADO",L30="SIN APOYO"),0,IF(AY30&lt;0,0,MAX(DATOS!$C$114,CEILING(AY30/INDEX(TABLAS!$D$52:$D$58,MATCH(IF(AZ30=0,8,AZ30),TABLAS!$B$52:$B$58,0)),1))))</f>
        <v>2</v>
      </c>
      <c r="BB30" s="36">
        <f>IF(BA30=0,0,DATOS!$C$58*BA30*INDEX(TABLAS!$D$52:$D$58,MATCH(AZ30,TABLAS!$B$52:$B$58,0))*DATOS!$C$40*((O30-DATOS!$C$22-INDEX(TABLAS!$C$52:$C$58,MATCH(DATOS!$C$113,TABLAS!$B$52:$B$58,0))-INDEX(TABLAS!$C$52:$C$58,MATCH(AZ30,TABLAS!$B$52:$B$58,0))/2)-BA30*INDEX(TABLAS!$D$52:$D$58,MATCH(AZ30,TABLAS!$B$52:$B$58,0))*DATOS!$C$40/(DATOS!$C$48*N30)/2)/1E5)</f>
        <v>2.22363227223529</v>
      </c>
      <c r="BC30" s="62">
        <f>IF(AY30&lt;0,9.99,IF(BB30&gt;0,AN30/BB30,0))</f>
        <v>0.559491535617649</v>
      </c>
      <c r="BD30" s="63">
        <f>IF(BA30=0,"—",0.003*((O30-DATOS!$C$22-INDEX(TABLAS!$C$52:$C$58,MATCH(DATOS!$C$113,TABLAS!$B$52:$B$58,0))-INDEX(TABLAS!$C$52:$C$58,MATCH(AZ30,TABLAS!$B$52:$B$58,0))/2)-(BA30*INDEX(TABLAS!$D$52:$D$58,MATCH(AZ30,TABLAS!$B$52:$B$58,0))*DATOS!$C$40/(DATOS!$C$48*N30)/DATOS!$C$49))/(BA30*INDEX(TABLAS!$D$52:$D$58,MATCH(AZ30,TABLAS!$B$52:$B$58,0))*DATOS!$C$40/(DATOS!$C$48*N30)/DATOS!$C$49))</f>
        <v>0.0218029211192351</v>
      </c>
      <c r="BE30" s="36">
        <f>IF(BA30=0,0,DATOS!$C$59*MIN(1.25,MAX(0.5,2*MAX(1E-6,MIN(AU30*INDEX(TABLAS!$D$52:$D$58,MATCH(MAX(AS30,2),TABLAS!$B$52:$B$58,0)),BA30*INDEX(TABLAS!$D$52:$D$58,MATCH(MAX(AZ30,2),TABLAS!$B$52:$B$58,0)))/(N30*AQ30))^(1/3)))*SQRT(DATOS!$C$39)*N30*AQ30/1000)</f>
        <v>2.89526284023791</v>
      </c>
      <c r="BF30" s="57">
        <f>IF(AO30=0,0,FLOOR(MIN(IF(AO30&gt;BE30,DATOS!$C$59*2*INDEX(TABLAS!$D$52:$D$58,MATCH(DATOS!$C$113,TABLAS!$B$52:$B$58,0))*DATOS!$C$42*AQ30/((AO30-BE30)*1000),999),IF(MAX(0,AO30-BE30)/DATOS!$C$59&lt;=1.1*SQRT(DATOS!$C$39)*N30*AQ30/1000,MIN(AQ30/2,60),MIN(AQ30/4,30)),2*INDEX(TABLAS!$D$52:$D$58,MATCH(DATOS!$C$113,TABLAS!$B$52:$B$58,0))*DATOS!$C$42/(MAX(0.2*SQRT(DATOS!$C$39),3.5)*N30),MIN(16*INDEX(TABLAS!$C$52:$C$58,MATCH(MIN(MAX(AS30,2),MAX(AZ30,2)),TABLAS!$B$52:$B$58,0)),48*INDEX(TABLAS!$C$52:$C$58,MATCH(DATOS!$C$113,TABLAS!$B$52:$B$58,0))),DATOS!$C$115),0.5))</f>
        <v>12</v>
      </c>
      <c r="BG30" s="57">
        <f>BF30</f>
        <v>12</v>
      </c>
      <c r="BH30" s="51" t="str">
        <f>IF(AO30=0,"—",IF(AO30&gt;DATOS!$C$59*(BE30/DATOS!$C$59+2.2*SQRT(DATOS!$C$39)*N30*AQ30/1000),"SECCIÓN INSUFICIENTE","E No. "&amp;TEXT(DATOS!$C$113,"0")&amp;IF(BG30&lt;BF30," @ "&amp;TEXT(BG30,"0.0")&amp;" en 2h y"," @")&amp;" "&amp;TEXT(BF30,"0.0")&amp;" cm"))</f>
        <v>E No. 3 @ 12.0 cm</v>
      </c>
      <c r="BI30" s="56">
        <f>N30+2*MIN(8*DATOS!$C$14,DATOS!$C$11/2,G30*100/8)</f>
        <v>68.125</v>
      </c>
      <c r="BJ30" s="71">
        <f>BI30*DATOS!$C$14^3/12+BI30*DATOS!$C$14*(((BI30*DATOS!$C$14^2/2+N30*(O30-DATOS!$C$14)*(DATOS!$C$14+(O30-DATOS!$C$14)/2))/(BI30*DATOS!$C$14+N30*(O30-DATOS!$C$14)))-DATOS!$C$14/2)^2+N30*(O30-DATOS!$C$14)^3/12+N30*(O30-DATOS!$C$14)*(DATOS!$C$14+(O30-DATOS!$C$14)/2-((BI30*DATOS!$C$14^2/2+N30*(O30-DATOS!$C$14)*(DATOS!$C$14+(O30-DATOS!$C$14)/2))/(BI30*DATOS!$C$14+N30*(O30-DATOS!$C$14))))^2</f>
        <v>72336.8039420694</v>
      </c>
      <c r="BK30" s="43">
        <f>O30-DATOS!$C$22-INDEX(TABLAS!$C$52:$C$58,MATCH(DATOS!$C$113,TABLAS!$B$52:$B$58,0))-INDEX(TABLAS!$C$52:$C$58,MATCH(MAX(IF(L30="VOLADO",AZ30,AS30),2),TABLAS!$B$52:$B$58,0))/2</f>
        <v>24.415</v>
      </c>
      <c r="BL30" s="43">
        <f>DATOS!$C$46/DATOS!$C$45*IF(L30="VOLADO",BA30*INDEX(TABLAS!$D$52:$D$58,MATCH(MAX(AZ30,2),TABLAS!$B$52:$B$58,0)),AU30*INDEX(TABLAS!$D$52:$D$58,MATCH(MAX(AS30,2),TABLAS!$B$52:$B$58,0)))</f>
        <v>22.9491007337934</v>
      </c>
      <c r="BM30" s="43">
        <f>IF(BL30&lt;=0,0,(SQRT(2*(BL30/(IF(L30="VOLADO",N30,BI30)*BK30))+(BL30/(IF(L30="VOLADO",N30,BI30)*BK30))^2)-(BL30/(IF(L30="VOLADO",N30,BI30)*BK30)))*BK30)</f>
        <v>3.73286481697419</v>
      </c>
      <c r="BN30" s="71">
        <f>IF(AND(L30&lt;&gt;"VOLADO",BM30&gt;DATOS!$C$14),(BI30*DATOS!$C$14^3/12+BI30*DATOS!$C$14*(((-((BI30-N30)*DATOS!$C$14+BL30)+SQRT(((BI30-N30)*DATOS!$C$14+BL30)^2+2*N30*((BI30-N30)*DATOS!$C$14^2/2+BL30*BK30)))/N30)-DATOS!$C$14/2)^2+N30*(((-((BI30-N30)*DATOS!$C$14+BL30)+SQRT(((BI30-N30)*DATOS!$C$14+BL30)^2+2*N30*((BI30-N30)*DATOS!$C$14^2/2+BL30*BK30)))/N30)-DATOS!$C$14)^3/3+BL30*(BK30-((-((BI30-N30)*DATOS!$C$14+BL30)+SQRT(((BI30-N30)*DATOS!$C$14+BL30)^2+2*N30*((BI30-N30)*DATOS!$C$14^2/2+BL30*BK30)))/N30))^2),(IF(L30="VOLADO",N30,BI30)*BM30^3/3+BL30*(BK30-BM30)^2))</f>
        <v>10997.6632857135</v>
      </c>
      <c r="BO30" s="71">
        <f>IF(AP30&lt;=0,BJ30,IF((AP30*1E5)&lt;=2/3*(DATOS!$C$47*BJ30/IF(L30="VOLADO",((BI30*DATOS!$C$14^2/2+N30*(O30-DATOS!$C$14)*(DATOS!$C$14+(O30-DATOS!$C$14)/2))/(BI30*DATOS!$C$14+N30*(O30-DATOS!$C$14))),O30-((BI30*DATOS!$C$14^2/2+N30*(O30-DATOS!$C$14)*(DATOS!$C$14+(O30-DATOS!$C$14)/2))/(BI30*DATOS!$C$14+N30*(O30-DATOS!$C$14))))),BJ30,IF(BL30&lt;=0,0,BN30/(1-(2/3*(DATOS!$C$47*BJ30/IF(L30="VOLADO",((BI30*DATOS!$C$14^2/2+N30*(O30-DATOS!$C$14)*(DATOS!$C$14+(O30-DATOS!$C$14)/2))/(BI30*DATOS!$C$14+N30*(O30-DATOS!$C$14))),O30-((BI30*DATOS!$C$14^2/2+N30*(O30-DATOS!$C$14)*(DATOS!$C$14+(O30-DATOS!$C$14)/2))/(BI30*DATOS!$C$14+N30*(O30-DATOS!$C$14)))))/(AP30*1E5))^2*(1-BN30/BJ30)))))</f>
        <v>15467.3800588904</v>
      </c>
      <c r="BP30" s="62">
        <f>IF(OR(L30="APOYADA",L30="VOLADO"),(IF(L30="VOLADO",(AP30-AH30)/4+AH30/3,5/48*AP30)*1E5*(G30*100)^2/(DATOS!$C$45*MAX(BO30,1)))*(1+2/(1+50*IF(L30="VOLADO",AU30*INDEX(TABLAS!$D$52:$D$58,MATCH(MAX(AS30,2),TABLAS!$B$52:$B$58,0)),DATOS!$C$114*INDEX(TABLAS!$D$52:$D$58,MATCH(MAX(AZ30,2),TABLAS!$B$52:$B$58,0)))/(N30*BK30))*((AA30+AC30)/MAX(AA30+AB30,1E-6))),0)</f>
        <v>0.389421741876605</v>
      </c>
      <c r="BQ30" s="43">
        <f>IF(S30&gt;0,0.3+G30*100/480,0.5+G30*100/240)</f>
        <v>0.701041666666667</v>
      </c>
      <c r="BR30" s="43">
        <f>IF(S30&gt;0,(T30+U30)*G30+AG30,0)</f>
        <v>5.26443332908163</v>
      </c>
      <c r="BS30" s="43">
        <f>IF(S30&gt;0,(DATOS!$C$51*DATOS!$C$103*100*(G30*100)^3/(DATOS!$C$45*BJ30*((BR30*1000/(DATOS!$C$103*100*S30*100)*DATOS!$C$103*100*(MIN(1,S30/G30)^4-4*MIN(1,S30/G30)^3+8*MIN(1,S30/G30)))/((BR30*1000/(DATOS!$C$103*100*S30*100)*DATOS!$C$103*100*(MIN(1,S30/G30)^4-4*MIN(1,S30/G30)^3+8*MIN(1,S30/G30)))+5*((R30+X30+Y30+IF(L30="APOYADA",8*(TRANSFER!$H$6)/G30^2,0))*10)))))^0.25,0)</f>
        <v>4.45406031173187</v>
      </c>
      <c r="BT30" s="57">
        <f>IF(S30&gt;0,MAX(1,IF(MIN(1,S30/G30)&gt;=1,(1.6*BS30-3.9),IF(MIN(1,S30/G30)&lt;0.9,((3.2*BS30-7.8)*1),((3.2*BS30-7.8)*1)+((1.6*BS30-3.9)-((3.2*BS30-7.8)*1))*(MIN(1,S30/G30)-0.9)/0.1)))*BR30*1000/(DATOS!$C$103*100*S30*100),0)</f>
        <v>5.8824850923966</v>
      </c>
      <c r="BU30" s="65" t="str">
        <f>IF(S30=0,"—",IF(DATOS!$C$105/S30&lt;0.6,"REVISAR: H/L &lt; 0.6, interacción muro-viga",IF(BT30&lt;=DATOS!$C$60*DATOS!$C$50,"CUMPLE","NO CUMPLE f_CM &gt; F_R·f'm")))</f>
        <v>CUMPLE</v>
      </c>
      <c r="BV30" s="57">
        <f>IF(S30&gt;0,MAX(25,IF(BJ30&gt;=(G30*100)^3/1600,0,MIN(G30*100/14,(12*(G30*100)^3/1600/N30)^(1/3)))),IF(L30="APOYADA",MAX(25,G30*100/16),IF(L30="VOLADO",MAX(25,G30*100/8),0)))</f>
        <v>25</v>
      </c>
      <c r="BW30" s="57">
        <f>IF(S30&gt;0,IF(BJ30&gt;=(5/4*(G30*100)^3/DATOS!$C$45*((((S30*DATOS!$C$107+(((SUMIFS(TRIB!$I$6:$I$255,TRIB!$B$6:$B$255,"DM-123")-SUMIFS(TRIB!$L$6:$L$255,TRIB!$B$6:$B$255,"DM-123"))*1.0+(SUMIFS(TRIB!$I$6:$I$255,TRIB!$B$6:$B$255,"DM-124")-SUMIFS(TRIB!$L$6:$L$255,TRIB!$B$6:$B$255,"DM-124"))*1.0)/G30+(SUMIFS(TRIB!$M$6:$M$255,TRIB!$B$6:$B$255,"DM-123")*1.0+SUMIFS(TRIB!$M$6:$M$255,TRIB!$B$6:$B$255,"DM-124")*1.0)/G30)*G30+AG30/DATOS!$C$55)*1000)/(DATOS!$C$103*100*S30*100)*DATOS!$C$103*100*(MIN(1,S30/G30)^4-4*MIN(1,S30/G30)^3+8*MIN(1,S30/G30)))+5*((AA30-S30*DATOS!$C$107/G30-(((SUMIFS(TRIB!$I$6:$I$255,TRIB!$B$6:$B$255,"DM-123")-SUMIFS(TRIB!$L$6:$L$255,TRIB!$B$6:$B$255,"DM-123"))*1.0+(SUMIFS(TRIB!$I$6:$I$255,TRIB!$B$6:$B$255,"DM-124")-SUMIFS(TRIB!$L$6:$L$255,TRIB!$B$6:$B$255,"DM-124"))*1.0)/G30))*10))),0,MIN((G30*100/((1/15*DATOS!$C$45*N30/((((S30*DATOS!$C$107+(((SUMIFS(TRIB!$I$6:$I$255,TRIB!$B$6:$B$255,"DM-123")-SUMIFS(TRIB!$L$6:$L$255,TRIB!$B$6:$B$255,"DM-123"))*1.0+(SUMIFS(TRIB!$I$6:$I$255,TRIB!$B$6:$B$255,"DM-124")-SUMIFS(TRIB!$L$6:$L$255,TRIB!$B$6:$B$255,"DM-124"))*1.0)/G30+(SUMIFS(TRIB!$M$6:$M$255,TRIB!$B$6:$B$255,"DM-123")*1.0+SUMIFS(TRIB!$M$6:$M$255,TRIB!$B$6:$B$255,"DM-124")*1.0)/G30)*G30+AG30/DATOS!$C$55)*1000)/(DATOS!$C$103*100*S30*100)*DATOS!$C$103*100*(MIN(1,S30/G30)^4-4*MIN(1,S30/G30)^3+8*MIN(1,S30/G30)))+5*((AA30-S30*DATOS!$C$107/G30-(((SUMIFS(TRIB!$I$6:$I$255,TRIB!$B$6:$B$255,"DM-123")-SUMIFS(TRIB!$L$6:$L$255,TRIB!$B$6:$B$255,"DM-123"))*1.0+(SUMIFS(TRIB!$I$6:$I$255,TRIB!$B$6:$B$255,"DM-124")-SUMIFS(TRIB!$L$6:$L$255,TRIB!$B$6:$B$255,"DM-124"))*1.0)/G30))*10)))^(1/3))),(12*(5/4*(G30*100)^3/DATOS!$C$45*((((S30*DATOS!$C$107+(((SUMIFS(TRIB!$I$6:$I$255,TRIB!$B$6:$B$255,"DM-123")-SUMIFS(TRIB!$L$6:$L$255,TRIB!$B$6:$B$255,"DM-123"))*1.0+(SUMIFS(TRIB!$I$6:$I$255,TRIB!$B$6:$B$255,"DM-124")-SUMIFS(TRIB!$L$6:$L$255,TRIB!$B$6:$B$255,"DM-124"))*1.0)/G30+(SUMIFS(TRIB!$M$6:$M$255,TRIB!$B$6:$B$255,"DM-123")*1.0+SUMIFS(TRIB!$M$6:$M$255,TRIB!$B$6:$B$255,"DM-124")*1.0)/G30)*G30+AG30/DATOS!$C$55)*1000)/(DATOS!$C$103*100*S30*100)*DATOS!$C$103*100*(MIN(1,S30/G30)^4-4*MIN(1,S30/G30)^3+8*MIN(1,S30/G30)))+5*((AA30-S30*DATOS!$C$107/G30-(((SUMIFS(TRIB!$I$6:$I$255,TRIB!$B$6:$B$255,"DM-123")-SUMIFS(TRIB!$L$6:$L$255,TRIB!$B$6:$B$255,"DM-123"))*1.0+(SUMIFS(TRIB!$I$6:$I$255,TRIB!$B$6:$B$255,"DM-124")-SUMIFS(TRIB!$L$6:$L$255,TRIB!$B$6:$B$255,"DM-124"))*1.0)/G30))*10)))/N30)^(1/3))),0)</f>
        <v>0</v>
      </c>
      <c r="BX30" s="57">
        <f>SQRT(MAX(AM30,AN30)*1E5/(DATOS!$C$58*N30*DATOS!$C$48*(DATOS!$C$82*DATOS!$C$40/DATOS!$C$48)*(1-(DATOS!$C$82*DATOS!$C$40/DATOS!$C$48)/2)))+(O30-AQ30)</f>
        <v>19.0753544390069</v>
      </c>
      <c r="BY30" s="59">
        <f>IF(OR(L30="BORDE DE VOLADO",L30="SIN APOYO"),0,CEILING(MAX(BV30,BW30,BX30,DATOS!$C$15),5))</f>
        <v>25</v>
      </c>
      <c r="BZ30" s="72" t="str">
        <f>IF(L30="BORDE DE VOLADO","BORDE DE VOLADO — armado de orilla",IF(L30="SIN APOYO","SIN APOYO — REVISAR",IF(AND(AW30&lt;=1,BC30&lt;=1,IF(AU30=0,TRUE,AU30&lt;=INT((CB30+DATOS!$C$32)/(INDEX(TABLAS!$C$52:$C$58,MATCH(MAX(AS30,2),TABLAS!$B$52:$B$58,0))+DATOS!$C$32))),IF(BA30=0,TRUE,BA30&lt;=INT((CB30+DATOS!$C$32)/(INDEX(TABLAS!$C$52:$C$58,MATCH(MAX(AZ30,2),TABLAS!$B$52:$B$58,0))+DATOS!$C$32))),AND(OR(NOT(ISNUMBER(AX30)),AX30&gt;=0.005),OR(NOT(ISNUMBER(BD30)),BD30&gt;=0.005)),BH30&lt;&gt;"SECCIÓN INSUFICIENTE",AND(O30&gt;=BV30,O30&gt;=BW30,O30/N30&lt;=6),BP30&lt;=BQ30,OR(S30=0,LEFT(BU30,6)&lt;&gt;"NO CUM")),IF(LEFT(BU30,7)="REVISAR","PENDIENTE: H/L &lt; 0.6, falta el análisis de interacción muro-viga (NTC-M 4.1.18.2.1, p. 44)","CUMPLE")&amp;IF(L30="VOLADO"," (en VOLADO)",""),"NO CUMPLE: "&amp;IF(OR(AR30&lt;0,AY30&lt;0),"sección insuficiente en flexión ",IF(OR(AW30&gt;1,BC30&gt;1),"flexión ",""))&amp;IF(NOT(AND(IF(AU30=0,TRUE,AU30&lt;=INT((CB30+DATOS!$C$32)/(INDEX(TABLAS!$C$52:$C$58,MATCH(MAX(AS30,2),TABLAS!$B$52:$B$58,0))+DATOS!$C$32))),IF(BA30=0,TRUE,BA30&lt;=INT((CB30+DATOS!$C$32)/(INDEX(TABLAS!$C$52:$C$58,MATCH(MAX(AZ30,2),TABLAS!$B$52:$B$58,0))+DATOS!$C$32))))),"no caben ","")&amp;IF(NOT(AND(OR(NOT(ISNUMBER(AX30)),AX30&gt;=0.005),OR(NOT(ISNUMBER(BD30)),BD30&gt;=0.005))),"ε_t ","")&amp;IF(BH30="SECCIÓN INSUFICIENTE","cortante ","")&amp;IF(NOT(AND(O30&gt;=BV30,O30&gt;=BW30,O30/N30&lt;=6)),"peralte ","")&amp;IF(NOT(BP30&lt;=BQ30),"flecha ","")&amp;IF(NOT(OR(S30=0,LEFT(BU30,6)&lt;&gt;"NO CUM")),"muro sobre viga ","")&amp;"→ h ≥ "&amp;TEXT(MAX(BY30,IF(BP30&gt;BQ30,MAX(O30+5,CEILING(O30*(BP30/BQ30)^(1/3),5)),0)),"0")&amp;" cm"&amp;IF(NOT(AND(IF(AU30=0,TRUE,AU30&lt;=INT((CB30+DATOS!$C$32)/(INDEX(TABLAS!$C$52:$C$58,MATCH(MAX(AS30,2),TABLAS!$B$52:$B$58,0))+DATOS!$C$32))),IF(BA30=0,TRUE,BA30&lt;=INT((CB30+DATOS!$C$32)/(INDEX(TABLAS!$C$52:$C$58,MATCH(MAX(AZ30,2),TABLAS!$B$52:$B$58,0))+DATOS!$C$32)))))," y b ≥ "&amp;TEXT(N30+5,"0")&amp;" cm","")&amp;" (verificar)")))</f>
        <v>CUMPLE</v>
      </c>
      <c r="CA30" s="65" t="inlineStr">
        <is>
          <t>Extremo j en castillo propuesto C4. Recibe a NP-04. Muro de planta alta encima (1.93 m) con la azotea de DM-123, DM-124: viga que soporta muro estructural (NTC-Mampostería 4.1.18): la flecha se calcula y el límite es 0.3 cm + L/480.</t>
        </is>
      </c>
      <c r="CB30" s="43">
        <f>N30-2*DATOS!$C$22-2*INDEX(TABLAS!$C$52:$C$58,MATCH(DATOS!$C$113,TABLAS!$B$52:$B$58,0))</f>
        <v>10.1</v>
      </c>
    </row>
    <row r="31" ht="30" customHeight="1">
      <c r="B31" s="60" t="inlineStr">
        <is>
          <t>NP-23</t>
        </is>
      </c>
      <c r="C31" s="52" t="inlineStr">
        <is>
          <t>N+3.00</t>
        </is>
      </c>
      <c r="D31" s="51" t="inlineStr">
        <is>
          <t>x = 4.327</t>
        </is>
      </c>
      <c r="E31" s="52" t="inlineStr">
        <is>
          <t>(4.327, 7.871)</t>
        </is>
      </c>
      <c r="F31" s="52" t="inlineStr">
        <is>
          <t>(4.327, 14.021)</t>
        </is>
      </c>
      <c r="G31" s="55" t="n">
        <v>6.15</v>
      </c>
      <c r="H31" s="52" t="str">
        <f>IF(APOYOS!$C$20="SÍ","FIRME","LIBRE")</f>
        <v>FIRME</v>
      </c>
      <c r="I31" s="52" t="str">
        <f>IF(APOYOS!$C$21="SÍ","FIRME","LIBRE")</f>
        <v>FIRME</v>
      </c>
      <c r="J31" s="52" t="inlineStr">
        <is>
          <t>C4</t>
        </is>
      </c>
      <c r="K31" s="52" t="inlineStr">
        <is>
          <t>C5</t>
        </is>
      </c>
      <c r="L31" s="60" t="str">
        <f>IF(AND(OR(H31="FIRME",H31="NERVADURA",H31="PUNTA"),OR(I31="FIRME",I31="NERVADURA",I31="PUNTA")),"APOYADA",IF(OR(OR(H31="FIRME",H31="NERVADURA",H31="PUNTA"),OR(I31="FIRME",I31="NERVADURA",I31="PUNTA")),"VOLADO","SIN APOYO"))</f>
        <v>APOYADA</v>
      </c>
      <c r="M31" s="52" t="str">
        <f>IF(L31="VOLADO",IF(OR(H31="FIRME",H31="NERVADURA",H31="PUNTA"),"i","j"),"—")</f>
        <v>—</v>
      </c>
      <c r="N31" s="58" t="n">
        <v>20</v>
      </c>
      <c r="O31" s="58" t="n">
        <v>45</v>
      </c>
      <c r="P31" s="65" t="str">
        <f>IF(L31="BORDE DE VOLADO","—",IF(OR(N31&lt;&gt;DATOS!$C$17,O31&lt;&gt;DATOS!$C$15),"PERALTAR: trabe "&amp;TEXT(N31,"0")&amp;"×"&amp;TEXT(O31,"0")&amp;IF(O31&gt;DATOS!$C$15," (descuelga "&amp;TEXT(O31-DATOS!$C$15,"0")&amp;" cm)",""),"Queda en la losa (15×25)"))</f>
        <v>PERALTAR: trabe 20×45 (descuelga 20 cm)</v>
      </c>
      <c r="Q31" s="43">
        <f>SUMIFS(TRIB!$E$6:$E$255,TRIB!$B$6:$B$255,"NP-23")</f>
        <v>3.9563</v>
      </c>
      <c r="R31" s="36">
        <f>SUMIFS(TRIB!$G$6:$G$255,TRIB!$B$6:$B$255,"NP-23")/G31</f>
        <v>0.562743796913888</v>
      </c>
      <c r="S31" s="69" t="n">
        <v>0</v>
      </c>
      <c r="T31" s="36">
        <f>DATOS!$C$55*S31*DATOS!$C$107/G31</f>
        <v>0</v>
      </c>
      <c r="U31" s="36">
        <f>0</f>
        <v>0</v>
      </c>
      <c r="V31" s="61" t="n">
        <v>50</v>
      </c>
      <c r="W31" s="61" t="n">
        <v>0</v>
      </c>
      <c r="X31" s="36">
        <f>(DATOS!$C$55*V31+DATOS!$C$56*W31)/1000</f>
        <v>0.065</v>
      </c>
      <c r="Y31" s="36">
        <f>DATOS!$C$55*(N31/100*O31/100*DATOS!$C$43-N31/100*DATOS!$C$70/1000)</f>
        <v>0.219524897959184</v>
      </c>
      <c r="Z31" s="70">
        <f>R31+T31+U31+X31+Y31</f>
        <v>0.847268694873071</v>
      </c>
      <c r="AA31" s="36">
        <f>(SUMIFS(TRIB!$I$6:$I$255,TRIB!$B$6:$B$255,"NP-23")-SUMIFS(TRIB!$L$6:$L$255,TRIB!$B$6:$B$255,"NP-23"))/G31+S31*DATOS!$C$107/G31+0+V31/1000+Y31/DATOS!$C$55</f>
        <v>0.510713817819811</v>
      </c>
      <c r="AB31" s="36">
        <f>SUMIFS(TRIB!$L$6:$L$255,TRIB!$B$6:$B$255,"NP-23")/G31+0+W31/1000</f>
        <v>0.122227154471545</v>
      </c>
      <c r="AC31" s="36">
        <f>SUMIFS(TRIB!$M$6:$M$255,TRIB!$B$6:$B$255,"NP-23")/G31+0+W31/1000*DATOS!$C$91/DATOS!$C$89</f>
        <v>0.0514640650406504</v>
      </c>
      <c r="AD31" s="36">
        <f>0</f>
        <v>0</v>
      </c>
      <c r="AE31" s="36">
        <f>0</f>
        <v>0</v>
      </c>
      <c r="AF31" s="36">
        <f>0</f>
        <v>0</v>
      </c>
      <c r="AG31" s="36">
        <f>0</f>
        <v>0</v>
      </c>
      <c r="AH31" s="36">
        <f>0</f>
        <v>0</v>
      </c>
      <c r="AI31" s="36">
        <f>IF(L31="APOYADA",Z31*G31/2+0,IF(AND(L31="VOLADO",M31="i"),Z31*G31+AD31,0))</f>
        <v>2.60535123673469</v>
      </c>
      <c r="AJ31" s="36">
        <f>IF(L31="APOYADA",Z31*G31/2+0,IF(AND(L31="VOLADO",M31="j"),Z31*G31+AD31,0))</f>
        <v>2.60535123673469</v>
      </c>
      <c r="AK31" s="36">
        <f>IF(L31="APOYADA",(AA31+AB31)*G31/2+0,IF(AND(L31="VOLADO",M31="i"),(AA31+AB31)*G31+0,0))</f>
        <v>1.94629348979592</v>
      </c>
      <c r="AL31" s="36">
        <f>IF(L31="APOYADA",(AA31+AB31)*G31/2+0,IF(AND(L31="VOLADO",M31="j"),(AA31+AB31)*G31+0,0))</f>
        <v>1.94629348979592</v>
      </c>
      <c r="AM31" s="70">
        <f>IF(L31="APOYADA",Z31*G31^2/8+AE31,0)</f>
        <v>4.00572752647959</v>
      </c>
      <c r="AN31" s="70">
        <f>IF(L31="APOYADA",DATOS!$C$64*AM31,IF(L31="VOLADO",Z31*G31^2/2+AE31,0))</f>
        <v>2.67182026016189</v>
      </c>
      <c r="AO31" s="70">
        <f>IF(L31="APOYADA",Z31*G31/2+AF31,IF(L31="VOLADO",Z31*G31+AF31,0))</f>
        <v>2.60535123673469</v>
      </c>
      <c r="AP31" s="36">
        <f>IF(L31="APOYADA",(AA31+AB31)*G31^2/8+AH31,IF(L31="VOLADO",(AA31+AB31)*G31^2/2+AH31,0))</f>
        <v>2.99242624056122</v>
      </c>
      <c r="AQ31" s="43">
        <f>O31-DATOS!$C$22-INDEX(TABLAS!$C$52:$C$58,MATCH(DATOS!$C$113,TABLAS!$B$52:$B$58,0))-INDEX(TABLAS!$C$52:$C$58,MATCH(DATOS!$C$112,TABLAS!$B$52:$B$58,0))/2</f>
        <v>39.415</v>
      </c>
      <c r="AR31" s="43">
        <f>IF(OR(L31="BORDE DE VOLADO",L31="SIN APOYO"),0,IF(IF(AM31&lt;=0,0,IF((1-2*AM31*1E5/(DATOS!$C$58*N31*AQ31^2*DATOS!$C$48))&lt;0,-1,IF((1-SQRT((1-2*AM31*1E5/(DATOS!$C$58*N31*AQ31^2*DATOS!$C$48))))*DATOS!$C$48*N31*AQ31/DATOS!$C$40&gt;DATOS!$C$82*N31*AQ31,-1,(1-SQRT((1-2*AM31*1E5/(DATOS!$C$58*N31*AQ31^2*DATOS!$C$48))))*DATOS!$C$48*N31*AQ31/DATOS!$C$40)))&lt;0,-1,MAX(IF(AM31&lt;=0,0,IF((1-2*AM31*1E5/(DATOS!$C$58*N31*AQ31^2*DATOS!$C$48))&lt;0,-1,IF((1-SQRT((1-2*AM31*1E5/(DATOS!$C$58*N31*AQ31^2*DATOS!$C$48))))*DATOS!$C$48*N31*AQ31/DATOS!$C$40&gt;DATOS!$C$82*N31*AQ31,-1,(1-SQRT((1-2*AM31*1E5/(DATOS!$C$58*N31*AQ31^2*DATOS!$C$48))))*DATOS!$C$48*N31*AQ31/DATOS!$C$40))),MIN(DATOS!$C$83*N31*AQ31,4/3*IF(AM31&lt;=0,0,IF((1-2*AM31*1E5/(DATOS!$C$58*N31*AQ31^2*DATOS!$C$48))&lt;0,-1,IF((1-SQRT((1-2*AM31*1E5/(DATOS!$C$58*N31*AQ31^2*DATOS!$C$48))))*DATOS!$C$48*N31*AQ31/DATOS!$C$40&gt;DATOS!$C$82*N31*AQ31,-1,(1-SQRT((1-2*AM31*1E5/(DATOS!$C$58*N31*AQ31^2*DATOS!$C$48))))*DATOS!$C$48*N31*AQ31/DATOS!$C$40)))))))</f>
        <v>2.78590938969283</v>
      </c>
      <c r="AS31" s="41">
        <f>IF(AR31&lt;0,0,IF(AND(AR31&gt;=0,MAX(DATOS!$C$114,CEILING(AR31/INDEX(TABLAS!$D$52:$D$58,MIN(MATCH(DATOS!$C$112,TABLAS!$B$52:$B$58,0)+0,7)),1))&lt;=MIN(99,INT((CB31+MAX(DATOS!$C$32,INDEX(TABLAS!$C$52:$C$58,MIN(MATCH(DATOS!$C$112,TABLAS!$B$52:$B$58,0)+0,7))))/(INDEX(TABLAS!$C$52:$C$58,MIN(MATCH(DATOS!$C$112,TABLAS!$B$52:$B$58,0)+0,7))+MAX(DATOS!$C$32,INDEX(TABLAS!$C$52:$C$58,MIN(MATCH(DATOS!$C$112,TABLAS!$B$52:$B$58,0)+0,7))))))),INDEX(TABLAS!$B$52:$B$58,MIN(MATCH(DATOS!$C$112,TABLAS!$B$52:$B$58,0)+0,7)),IF(AND(AR31&gt;=0,MAX(DATOS!$C$114,CEILING(AR31/INDEX(TABLAS!$D$52:$D$58,MIN(MATCH(DATOS!$C$112,TABLAS!$B$52:$B$58,0)+1,7)),1))&lt;=MIN(99,INT((CB31+MAX(DATOS!$C$32,INDEX(TABLAS!$C$52:$C$58,MIN(MATCH(DATOS!$C$112,TABLAS!$B$52:$B$58,0)+1,7))))/(INDEX(TABLAS!$C$52:$C$58,MIN(MATCH(DATOS!$C$112,TABLAS!$B$52:$B$58,0)+1,7))+MAX(DATOS!$C$32,INDEX(TABLAS!$C$52:$C$58,MIN(MATCH(DATOS!$C$112,TABLAS!$B$52:$B$58,0)+1,7))))))),INDEX(TABLAS!$B$52:$B$58,MIN(MATCH(DATOS!$C$112,TABLAS!$B$52:$B$58,0)+1,7)),IF(AND(AR31&gt;=0,MAX(DATOS!$C$114,CEILING(AR31/INDEX(TABLAS!$D$52:$D$58,MIN(MATCH(DATOS!$C$112,TABLAS!$B$52:$B$58,0)+2,7)),1))&lt;=MIN(99,INT((CB31+MAX(DATOS!$C$32,INDEX(TABLAS!$C$52:$C$58,MIN(MATCH(DATOS!$C$112,TABLAS!$B$52:$B$58,0)+2,7))))/(INDEX(TABLAS!$C$52:$C$58,MIN(MATCH(DATOS!$C$112,TABLAS!$B$52:$B$58,0)+2,7))+MAX(DATOS!$C$32,INDEX(TABLAS!$C$52:$C$58,MIN(MATCH(DATOS!$C$112,TABLAS!$B$52:$B$58,0)+2,7))))))),INDEX(TABLAS!$B$52:$B$58,MIN(MATCH(DATOS!$C$112,TABLAS!$B$52:$B$58,0)+2,7)),IF(AND(AR31&gt;=0,MAX(DATOS!$C$114,CEILING(AR31/INDEX(TABLAS!$D$52:$D$58,MIN(MATCH(DATOS!$C$112,TABLAS!$B$52:$B$58,0)+3,7)),1))&lt;=MIN(99,INT((CB31+MAX(DATOS!$C$32,INDEX(TABLAS!$C$52:$C$58,MIN(MATCH(DATOS!$C$112,TABLAS!$B$52:$B$58,0)+3,7))))/(INDEX(TABLAS!$C$52:$C$58,MIN(MATCH(DATOS!$C$112,TABLAS!$B$52:$B$58,0)+3,7))+MAX(DATOS!$C$32,INDEX(TABLAS!$C$52:$C$58,MIN(MATCH(DATOS!$C$112,TABLAS!$B$52:$B$58,0)+3,7))))))),INDEX(TABLAS!$B$52:$B$58,MIN(MATCH(DATOS!$C$112,TABLAS!$B$52:$B$58,0)+3,7)),IF(AND(AR31&gt;=0,MAX(DATOS!$C$114,CEILING(AR31/INDEX(TABLAS!$D$52:$D$58,MIN(MATCH(DATOS!$C$112,TABLAS!$B$52:$B$58,0)+4,7)),1))&lt;=MIN(99,INT((CB31+MAX(DATOS!$C$32,INDEX(TABLAS!$C$52:$C$58,MIN(MATCH(DATOS!$C$112,TABLAS!$B$52:$B$58,0)+4,7))))/(INDEX(TABLAS!$C$52:$C$58,MIN(MATCH(DATOS!$C$112,TABLAS!$B$52:$B$58,0)+4,7))+MAX(DATOS!$C$32,INDEX(TABLAS!$C$52:$C$58,MIN(MATCH(DATOS!$C$112,TABLAS!$B$52:$B$58,0)+4,7))))))),INDEX(TABLAS!$B$52:$B$58,MIN(MATCH(DATOS!$C$112,TABLAS!$B$52:$B$58,0)+4,7)),INDEX(TABLAS!$B$52:$B$58,7)))))))</f>
        <v>4</v>
      </c>
      <c r="AT31" s="58" t="n">
        <v>0</v>
      </c>
      <c r="AU31" s="56">
        <f>IF(OR(L31="BORDE DE VOLADO",L31="SIN APOYO"),0,IF(AR31&lt;0,0,MAX(DATOS!$C$114,CEILING(AR31/INDEX(TABLAS!$D$52:$D$58,MATCH(IF(AS31=0,8,AS31),TABLAS!$B$52:$B$58,0)),1))+AT31))</f>
        <v>3</v>
      </c>
      <c r="AV31" s="36">
        <f>IF(AU31=0,0,DATOS!$C$58*AU31*INDEX(TABLAS!$D$52:$D$58,MATCH(AS31,TABLAS!$B$52:$B$58,0))*DATOS!$C$40*((O31-DATOS!$C$22-INDEX(TABLAS!$C$52:$C$58,MATCH(DATOS!$C$113,TABLAS!$B$52:$B$58,0))-INDEX(TABLAS!$C$52:$C$58,MATCH(AS31,TABLAS!$B$52:$B$58,0))/2)-AU31*INDEX(TABLAS!$D$52:$D$58,MATCH(AS31,TABLAS!$B$52:$B$58,0))*DATOS!$C$40/(DATOS!$C$48*N31)/2)/1E5)</f>
        <v>5.40534287752941</v>
      </c>
      <c r="AW31" s="62">
        <f>IF(AR31&lt;0,9.99,IF(AV31&gt;0,AM31/AV31,0))</f>
        <v>0.741068164821112</v>
      </c>
      <c r="AX31" s="63">
        <f>IF(AU31=0,"—",0.003*((O31-DATOS!$C$22-INDEX(TABLAS!$C$52:$C$58,MATCH(DATOS!$C$113,TABLAS!$B$52:$B$58,0))-INDEX(TABLAS!$C$52:$C$58,MATCH(AS31,TABLAS!$B$52:$B$58,0))/2)-(AU31*INDEX(TABLAS!$D$52:$D$58,MATCH(AS31,TABLAS!$B$52:$B$58,0))*DATOS!$C$40/(DATOS!$C$48*N31)/DATOS!$C$49))/(AU31*INDEX(TABLAS!$D$52:$D$58,MATCH(AS31,TABLAS!$B$52:$B$58,0))*DATOS!$C$40/(DATOS!$C$48*N31)/DATOS!$C$49))</f>
        <v>0.0236941671353581</v>
      </c>
      <c r="AY31" s="43">
        <f>IF(OR(L31="BORDE DE VOLADO",L31="SIN APOYO"),0,IF(IF(AN31&lt;=0,0,IF((1-2*AN31*1E5/(DATOS!$C$58*N31*AQ31^2*DATOS!$C$48))&lt;0,-1,IF((1-SQRT((1-2*AN31*1E5/(DATOS!$C$58*N31*AQ31^2*DATOS!$C$48))))*DATOS!$C$48*N31*AQ31/DATOS!$C$40&gt;DATOS!$C$82*N31*AQ31,-1,(1-SQRT((1-2*AN31*1E5/(DATOS!$C$58*N31*AQ31^2*DATOS!$C$48))))*DATOS!$C$48*N31*AQ31/DATOS!$C$40)))&lt;0,-1,MAX(IF(AN31&lt;=0,0,IF((1-2*AN31*1E5/(DATOS!$C$58*N31*AQ31^2*DATOS!$C$48))&lt;0,-1,IF((1-SQRT((1-2*AN31*1E5/(DATOS!$C$58*N31*AQ31^2*DATOS!$C$48))))*DATOS!$C$48*N31*AQ31/DATOS!$C$40&gt;DATOS!$C$82*N31*AQ31,-1,(1-SQRT((1-2*AN31*1E5/(DATOS!$C$58*N31*AQ31^2*DATOS!$C$48))))*DATOS!$C$48*N31*AQ31/DATOS!$C$40))),MIN(DATOS!$C$83*IF(L31="VOLADO",MIN(BI31,2*N31),N31)*AQ31,4/3*IF(AN31&lt;=0,0,IF((1-2*AN31*1E5/(DATOS!$C$58*N31*AQ31^2*DATOS!$C$48))&lt;0,-1,IF((1-SQRT((1-2*AN31*1E5/(DATOS!$C$58*N31*AQ31^2*DATOS!$C$48))))*DATOS!$C$48*N31*AQ31/DATOS!$C$40&gt;DATOS!$C$82*N31*AQ31,-1,(1-SQRT((1-2*AN31*1E5/(DATOS!$C$58*N31*AQ31^2*DATOS!$C$48))))*DATOS!$C$48*N31*AQ31/DATOS!$C$40)))))))</f>
        <v>2.44738848385735</v>
      </c>
      <c r="AZ31" s="41">
        <f>IF(AY31&lt;0,0,IF(AND(AY31&gt;=0,MAX(DATOS!$C$114,CEILING(AY31/INDEX(TABLAS!$D$52:$D$58,MIN(MATCH(DATOS!$C$112,TABLAS!$B$52:$B$58,0)+0,7)),1))&lt;=MIN(99,INT((CB31+MAX(DATOS!$C$32,INDEX(TABLAS!$C$52:$C$58,MIN(MATCH(DATOS!$C$112,TABLAS!$B$52:$B$58,0)+0,7))))/(INDEX(TABLAS!$C$52:$C$58,MIN(MATCH(DATOS!$C$112,TABLAS!$B$52:$B$58,0)+0,7))+MAX(DATOS!$C$32,INDEX(TABLAS!$C$52:$C$58,MIN(MATCH(DATOS!$C$112,TABLAS!$B$52:$B$58,0)+0,7))))))),INDEX(TABLAS!$B$52:$B$58,MIN(MATCH(DATOS!$C$112,TABLAS!$B$52:$B$58,0)+0,7)),IF(AND(AY31&gt;=0,MAX(DATOS!$C$114,CEILING(AY31/INDEX(TABLAS!$D$52:$D$58,MIN(MATCH(DATOS!$C$112,TABLAS!$B$52:$B$58,0)+1,7)),1))&lt;=MIN(99,INT((CB31+MAX(DATOS!$C$32,INDEX(TABLAS!$C$52:$C$58,MIN(MATCH(DATOS!$C$112,TABLAS!$B$52:$B$58,0)+1,7))))/(INDEX(TABLAS!$C$52:$C$58,MIN(MATCH(DATOS!$C$112,TABLAS!$B$52:$B$58,0)+1,7))+MAX(DATOS!$C$32,INDEX(TABLAS!$C$52:$C$58,MIN(MATCH(DATOS!$C$112,TABLAS!$B$52:$B$58,0)+1,7))))))),INDEX(TABLAS!$B$52:$B$58,MIN(MATCH(DATOS!$C$112,TABLAS!$B$52:$B$58,0)+1,7)),IF(AND(AY31&gt;=0,MAX(DATOS!$C$114,CEILING(AY31/INDEX(TABLAS!$D$52:$D$58,MIN(MATCH(DATOS!$C$112,TABLAS!$B$52:$B$58,0)+2,7)),1))&lt;=MIN(99,INT((CB31+MAX(DATOS!$C$32,INDEX(TABLAS!$C$52:$C$58,MIN(MATCH(DATOS!$C$112,TABLAS!$B$52:$B$58,0)+2,7))))/(INDEX(TABLAS!$C$52:$C$58,MIN(MATCH(DATOS!$C$112,TABLAS!$B$52:$B$58,0)+2,7))+MAX(DATOS!$C$32,INDEX(TABLAS!$C$52:$C$58,MIN(MATCH(DATOS!$C$112,TABLAS!$B$52:$B$58,0)+2,7))))))),INDEX(TABLAS!$B$52:$B$58,MIN(MATCH(DATOS!$C$112,TABLAS!$B$52:$B$58,0)+2,7)),IF(AND(AY31&gt;=0,MAX(DATOS!$C$114,CEILING(AY31/INDEX(TABLAS!$D$52:$D$58,MIN(MATCH(DATOS!$C$112,TABLAS!$B$52:$B$58,0)+3,7)),1))&lt;=MIN(99,INT((CB31+MAX(DATOS!$C$32,INDEX(TABLAS!$C$52:$C$58,MIN(MATCH(DATOS!$C$112,TABLAS!$B$52:$B$58,0)+3,7))))/(INDEX(TABLAS!$C$52:$C$58,MIN(MATCH(DATOS!$C$112,TABLAS!$B$52:$B$58,0)+3,7))+MAX(DATOS!$C$32,INDEX(TABLAS!$C$52:$C$58,MIN(MATCH(DATOS!$C$112,TABLAS!$B$52:$B$58,0)+3,7))))))),INDEX(TABLAS!$B$52:$B$58,MIN(MATCH(DATOS!$C$112,TABLAS!$B$52:$B$58,0)+3,7)),IF(AND(AY31&gt;=0,MAX(DATOS!$C$114,CEILING(AY31/INDEX(TABLAS!$D$52:$D$58,MIN(MATCH(DATOS!$C$112,TABLAS!$B$52:$B$58,0)+4,7)),1))&lt;=MIN(99,INT((CB31+MAX(DATOS!$C$32,INDEX(TABLAS!$C$52:$C$58,MIN(MATCH(DATOS!$C$112,TABLAS!$B$52:$B$58,0)+4,7))))/(INDEX(TABLAS!$C$52:$C$58,MIN(MATCH(DATOS!$C$112,TABLAS!$B$52:$B$58,0)+4,7))+MAX(DATOS!$C$32,INDEX(TABLAS!$C$52:$C$58,MIN(MATCH(DATOS!$C$112,TABLAS!$B$52:$B$58,0)+4,7))))))),INDEX(TABLAS!$B$52:$B$58,MIN(MATCH(DATOS!$C$112,TABLAS!$B$52:$B$58,0)+4,7)),INDEX(TABLAS!$B$52:$B$58,7)))))))</f>
        <v>4</v>
      </c>
      <c r="BA31" s="56">
        <f>IF(OR(L31="BORDE DE VOLADO",L31="SIN APOYO"),0,IF(AY31&lt;0,0,MAX(DATOS!$C$114,CEILING(AY31/INDEX(TABLAS!$D$52:$D$58,MATCH(IF(AZ31=0,8,AZ31),TABLAS!$B$52:$B$58,0)),1))))</f>
        <v>2</v>
      </c>
      <c r="BB31" s="36">
        <f>IF(BA31=0,0,DATOS!$C$58*BA31*INDEX(TABLAS!$D$52:$D$58,MATCH(AZ31,TABLAS!$B$52:$B$58,0))*DATOS!$C$40*((O31-DATOS!$C$22-INDEX(TABLAS!$C$52:$C$58,MATCH(DATOS!$C$113,TABLAS!$B$52:$B$58,0))-INDEX(TABLAS!$C$52:$C$58,MATCH(AZ31,TABLAS!$B$52:$B$58,0))/2)-BA31*INDEX(TABLAS!$D$52:$D$58,MATCH(AZ31,TABLAS!$B$52:$B$58,0))*DATOS!$C$40/(DATOS!$C$48*N31)/2)/1E5)</f>
        <v>3.66381227223529</v>
      </c>
      <c r="BC31" s="62">
        <f>IF(AY31&lt;0,9.99,IF(BB31&gt;0,AN31/BB31,0))</f>
        <v>0.729245949747258</v>
      </c>
      <c r="BD31" s="63">
        <f>IF(BA31=0,"—",0.003*((O31-DATOS!$C$22-INDEX(TABLAS!$C$52:$C$58,MATCH(DATOS!$C$113,TABLAS!$B$52:$B$58,0))-INDEX(TABLAS!$C$52:$C$58,MATCH(AZ31,TABLAS!$B$52:$B$58,0))/2)-(BA31*INDEX(TABLAS!$D$52:$D$58,MATCH(AZ31,TABLAS!$B$52:$B$58,0))*DATOS!$C$40/(DATOS!$C$48*N31)/DATOS!$C$49))/(BA31*INDEX(TABLAS!$D$52:$D$58,MATCH(AZ31,TABLAS!$B$52:$B$58,0))*DATOS!$C$40/(DATOS!$C$48*N31)/DATOS!$C$49))</f>
        <v>0.0370412507030371</v>
      </c>
      <c r="BE31" s="36">
        <f>IF(BA31=0,0,DATOS!$C$59*MIN(1.25,MAX(0.5,2*MAX(1E-6,MIN(AU31*INDEX(TABLAS!$D$52:$D$58,MATCH(MAX(AS31,2),TABLAS!$B$52:$B$58,0)),BA31*INDEX(TABLAS!$D$52:$D$58,MATCH(MAX(AZ31,2),TABLAS!$B$52:$B$58,0)))/(N31*AQ31))^(1/3)))*SQRT(DATOS!$C$39)*N31*AQ31/1000)</f>
        <v>4.67404402408263</v>
      </c>
      <c r="BF31" s="57">
        <f>IF(AO31=0,0,FLOOR(MIN(IF(AO31&gt;BE31,DATOS!$C$59*2*INDEX(TABLAS!$D$52:$D$58,MATCH(DATOS!$C$113,TABLAS!$B$52:$B$58,0))*DATOS!$C$42*AQ31/((AO31-BE31)*1000),999),IF(MAX(0,AO31-BE31)/DATOS!$C$59&lt;=1.1*SQRT(DATOS!$C$39)*N31*AQ31/1000,MIN(AQ31/2,60),MIN(AQ31/4,30)),2*INDEX(TABLAS!$D$52:$D$58,MATCH(DATOS!$C$113,TABLAS!$B$52:$B$58,0))*DATOS!$C$42/(MAX(0.2*SQRT(DATOS!$C$39),3.5)*N31),MIN(16*INDEX(TABLAS!$C$52:$C$58,MATCH(MIN(MAX(AS31,2),MAX(AZ31,2)),TABLAS!$B$52:$B$58,0)),48*INDEX(TABLAS!$C$52:$C$58,MATCH(DATOS!$C$113,TABLAS!$B$52:$B$58,0))),DATOS!$C$115),0.5))</f>
        <v>19.5</v>
      </c>
      <c r="BG31" s="57">
        <f>BF31</f>
        <v>19.5</v>
      </c>
      <c r="BH31" s="51" t="str">
        <f>IF(AO31=0,"—",IF(AO31&gt;DATOS!$C$59*(BE31/DATOS!$C$59+2.2*SQRT(DATOS!$C$39)*N31*AQ31/1000),"SECCIÓN INSUFICIENTE","E No. "&amp;TEXT(DATOS!$C$113,"0")&amp;IF(BG31&lt;BF31," @ "&amp;TEXT(BG31,"0.0")&amp;" en 2h y"," @")&amp;" "&amp;TEXT(BF31,"0.0")&amp;" cm"))</f>
        <v>E No. 3 @ 19.5 cm</v>
      </c>
      <c r="BI31" s="56">
        <f>N31+MIN(6*DATOS!$C$14,DATOS!$C$11/2,G31*100/12)</f>
        <v>50</v>
      </c>
      <c r="BJ31" s="71">
        <f>BI31*DATOS!$C$14^3/12+BI31*DATOS!$C$14*(((BI31*DATOS!$C$14^2/2+N31*(O31-DATOS!$C$14)*(DATOS!$C$14+(O31-DATOS!$C$14)/2))/(BI31*DATOS!$C$14+N31*(O31-DATOS!$C$14)))-DATOS!$C$14/2)^2+N31*(O31-DATOS!$C$14)^3/12+N31*(O31-DATOS!$C$14)*(DATOS!$C$14+(O31-DATOS!$C$14)/2-((BI31*DATOS!$C$14^2/2+N31*(O31-DATOS!$C$14)*(DATOS!$C$14+(O31-DATOS!$C$14)/2))/(BI31*DATOS!$C$14+N31*(O31-DATOS!$C$14))))^2</f>
        <v>203616.071428571</v>
      </c>
      <c r="BK31" s="43">
        <f>O31-DATOS!$C$22-INDEX(TABLAS!$C$52:$C$58,MATCH(DATOS!$C$113,TABLAS!$B$52:$B$58,0))-INDEX(TABLAS!$C$52:$C$58,MATCH(MAX(IF(L31="VOLADO",AZ31,AS31),2),TABLAS!$B$52:$B$58,0))/2</f>
        <v>39.415</v>
      </c>
      <c r="BL31" s="43">
        <f>DATOS!$C$46/DATOS!$C$45*IF(L31="VOLADO",BA31*INDEX(TABLAS!$D$52:$D$58,MATCH(MAX(AZ31,2),TABLAS!$B$52:$B$58,0)),AU31*INDEX(TABLAS!$D$52:$D$58,MATCH(MAX(AS31,2),TABLAS!$B$52:$B$58,0)))</f>
        <v>34.4236511006901</v>
      </c>
      <c r="BM31" s="43">
        <f>IF(BL31&lt;=0,0,(SQRT(2*(BL31/(IF(L31="VOLADO",N31,BI31)*BK31))+(BL31/(IF(L31="VOLADO",N31,BI31)*BK31))^2)-(BL31/(IF(L31="VOLADO",N31,BI31)*BK31)))*BK31)</f>
        <v>6.71060282753584</v>
      </c>
      <c r="BN31" s="71">
        <f>IF(AND(L31&lt;&gt;"VOLADO",BM31&gt;DATOS!$C$14),(BI31*DATOS!$C$14^3/12+BI31*DATOS!$C$14*(((-((BI31-N31)*DATOS!$C$14+BL31)+SQRT(((BI31-N31)*DATOS!$C$14+BL31)^2+2*N31*((BI31-N31)*DATOS!$C$14^2/2+BL31*BK31)))/N31)-DATOS!$C$14/2)^2+N31*(((-((BI31-N31)*DATOS!$C$14+BL31)+SQRT(((BI31-N31)*DATOS!$C$14+BL31)^2+2*N31*((BI31-N31)*DATOS!$C$14^2/2+BL31*BK31)))/N31)-DATOS!$C$14)^3/3+BL31*(BK31-((-((BI31-N31)*DATOS!$C$14+BL31)+SQRT(((BI31-N31)*DATOS!$C$14+BL31)^2+2*N31*((BI31-N31)*DATOS!$C$14^2/2+BL31*BK31)))/N31))^2),(IF(L31="VOLADO",N31,BI31)*BM31^3/3+BL31*(BK31-BM31)^2))</f>
        <v>41799.2344000607</v>
      </c>
      <c r="BO31" s="71">
        <f>IF(AP31&lt;=0,BJ31,IF((AP31*1E5)&lt;=2/3*(DATOS!$C$47*BJ31/IF(L31="VOLADO",((BI31*DATOS!$C$14^2/2+N31*(O31-DATOS!$C$14)*(DATOS!$C$14+(O31-DATOS!$C$14)/2))/(BI31*DATOS!$C$14+N31*(O31-DATOS!$C$14))),O31-((BI31*DATOS!$C$14^2/2+N31*(O31-DATOS!$C$14)*(DATOS!$C$14+(O31-DATOS!$C$14)/2))/(BI31*DATOS!$C$14+N31*(O31-DATOS!$C$14))))),BJ31,IF(BL31&lt;=0,0,BN31/(1-(2/3*(DATOS!$C$47*BJ31/IF(L31="VOLADO",((BI31*DATOS!$C$14^2/2+N31*(O31-DATOS!$C$14)*(DATOS!$C$14+(O31-DATOS!$C$14)/2))/(BI31*DATOS!$C$14+N31*(O31-DATOS!$C$14))),O31-((BI31*DATOS!$C$14^2/2+N31*(O31-DATOS!$C$14)*(DATOS!$C$14+(O31-DATOS!$C$14)/2))/(BI31*DATOS!$C$14+N31*(O31-DATOS!$C$14)))))/(AP31*1E5))^2*(1-BN31/BJ31)))))</f>
        <v>56056.2991629679</v>
      </c>
      <c r="BP31" s="62">
        <f>IF(OR(L31="APOYADA",L31="VOLADO"),(IF(L31="VOLADO",(AP31-AH31)/4+AH31/3,5/48*AP31)*1E5*(G31*100)^2/(DATOS!$C$45*MAX(BO31,1)))*(1+2/(1+50*IF(L31="VOLADO",AU31*INDEX(TABLAS!$D$52:$D$58,MATCH(MAX(AS31,2),TABLAS!$B$52:$B$58,0)),DATOS!$C$114*INDEX(TABLAS!$D$52:$D$58,MATCH(MAX(AZ31,2),TABLAS!$B$52:$B$58,0)))/(N31*BK31))*((AA31+AC31)/MAX(AA31+AB31,1E-6))),0)</f>
        <v>2.40373567241757</v>
      </c>
      <c r="BQ31" s="43">
        <f>IF(S31&gt;0,0.3+G31*100/480,0.5+G31*100/240)</f>
        <v>3.0625</v>
      </c>
      <c r="BR31" s="43">
        <f>IF(S31&gt;0,(T31+U31)*G31+AG31,0)</f>
        <v>0</v>
      </c>
      <c r="BS31" s="43">
        <f>IF(S31&gt;0,(DATOS!$C$51*DATOS!$C$103*100*(G31*100)^3/(DATOS!$C$45*BJ31*((BR31*1000/(DATOS!$C$103*100*S31*100)*DATOS!$C$103*100*(MIN(1,S31/G31)^4-4*MIN(1,S31/G31)^3+8*MIN(1,S31/G31)))/((BR31*1000/(DATOS!$C$103*100*S31*100)*DATOS!$C$103*100*(MIN(1,S31/G31)^4-4*MIN(1,S31/G31)^3+8*MIN(1,S31/G31)))+5*((R31+X31+Y31+IF(L31="APOYADA",8*(0)/G31^2,0))*10)))))^0.25,0)</f>
        <v>0</v>
      </c>
      <c r="BT31" s="57">
        <f>IF(S31&gt;0,MAX(1,IF(MIN(1,S31/G31)&gt;=1,(1.6*BS31-3.9),IF(MIN(1,S31/G31)&lt;0.9,((3.2*BS31-7.8)*1),((3.2*BS31-7.8)*1)+((1.6*BS31-3.9)-((3.2*BS31-7.8)*1))*(MIN(1,S31/G31)-0.9)/0.1)))*BR31*1000/(DATOS!$C$103*100*S31*100),0)</f>
        <v>0</v>
      </c>
      <c r="BU31" s="65" t="str">
        <f>IF(S31=0,"—",IF(DATOS!$C$105/S31&lt;0.6,"REVISAR: H/L &lt; 0.6, interacción muro-viga",IF(BT31&lt;=DATOS!$C$60*DATOS!$C$50,"CUMPLE","NO CUMPLE f_CM &gt; F_R·f'm")))</f>
        <v>—</v>
      </c>
      <c r="BV31" s="57">
        <f>IF(S31&gt;0,MAX(25,IF(BJ31&gt;=(G31*100)^3/1600,0,MIN(G31*100/14,(12*(G31*100)^3/1600/N31)^(1/3)))),IF(L31="APOYADA",MAX(25,G31*100/16),IF(L31="VOLADO",MAX(25,G31*100/8),0)))</f>
        <v>38.4375</v>
      </c>
      <c r="BW31" s="57">
        <f>IF(S31&gt;0,IF(BJ31&gt;=(5/4*(G31*100)^3/DATOS!$C$45*((((S31*DATOS!$C$107+(0+0)*G31+AG31/DATOS!$C$55)*1000)/(DATOS!$C$103*100*S31*100)*DATOS!$C$103*100*(MIN(1,S31/G31)^4-4*MIN(1,S31/G31)^3+8*MIN(1,S31/G31)))+5*((AA31-S31*DATOS!$C$107/G31-(0))*10))),0,MIN((G31*100/((1/15*DATOS!$C$45*N31/((((S31*DATOS!$C$107+(0+0)*G31+AG31/DATOS!$C$55)*1000)/(DATOS!$C$103*100*S31*100)*DATOS!$C$103*100*(MIN(1,S31/G31)^4-4*MIN(1,S31/G31)^3+8*MIN(1,S31/G31)))+5*((AA31-S31*DATOS!$C$107/G31-(0))*10)))^(1/3))),(12*(5/4*(G31*100)^3/DATOS!$C$45*((((S31*DATOS!$C$107+(0+0)*G31+AG31/DATOS!$C$55)*1000)/(DATOS!$C$103*100*S31*100)*DATOS!$C$103*100*(MIN(1,S31/G31)^4-4*MIN(1,S31/G31)^3+8*MIN(1,S31/G31)))+5*((AA31-S31*DATOS!$C$107/G31-(0))*10)))/N31)^(1/3))),0)</f>
        <v>0</v>
      </c>
      <c r="BX31" s="57">
        <f>SQRT(MAX(AM31,AN31)*1E5/(DATOS!$C$58*N31*DATOS!$C$48*(DATOS!$C$82*DATOS!$C$40/DATOS!$C$48)*(1-(DATOS!$C$82*DATOS!$C$40/DATOS!$C$48)/2)))+(O31-AQ31)</f>
        <v>25.354638821421</v>
      </c>
      <c r="BY31" s="59">
        <f>IF(OR(L31="BORDE DE VOLADO",L31="SIN APOYO"),0,CEILING(MAX(BV31,BW31,BX31,DATOS!$C$15),5))</f>
        <v>40</v>
      </c>
      <c r="BZ31" s="72" t="str">
        <f>IF(L31="BORDE DE VOLADO","BORDE DE VOLADO — armado de orilla",IF(L31="SIN APOYO","SIN APOYO — REVISAR",IF(AND(AW31&lt;=1,BC31&lt;=1,IF(AU31=0,TRUE,AU31&lt;=INT((CB31+DATOS!$C$32)/(INDEX(TABLAS!$C$52:$C$58,MATCH(MAX(AS31,2),TABLAS!$B$52:$B$58,0))+DATOS!$C$32))),IF(BA31=0,TRUE,BA31&lt;=INT((CB31+DATOS!$C$32)/(INDEX(TABLAS!$C$52:$C$58,MATCH(MAX(AZ31,2),TABLAS!$B$52:$B$58,0))+DATOS!$C$32))),AND(OR(NOT(ISNUMBER(AX31)),AX31&gt;=0.005),OR(NOT(ISNUMBER(BD31)),BD31&gt;=0.005)),BH31&lt;&gt;"SECCIÓN INSUFICIENTE",AND(O31&gt;=BV31,O31&gt;=BW31,O31/N31&lt;=6),BP31&lt;=BQ31,OR(S31=0,LEFT(BU31,6)&lt;&gt;"NO CUM")),IF(LEFT(BU31,7)="REVISAR","PENDIENTE: H/L &lt; 0.6, falta el análisis de interacción muro-viga (NTC-M 4.1.18.2.1, p. 44)","CUMPLE")&amp;IF(L31="VOLADO"," (en VOLADO)",""),"NO CUMPLE: "&amp;IF(OR(AR31&lt;0,AY31&lt;0),"sección insuficiente en flexión ",IF(OR(AW31&gt;1,BC31&gt;1),"flexión ",""))&amp;IF(NOT(AND(IF(AU31=0,TRUE,AU31&lt;=INT((CB31+DATOS!$C$32)/(INDEX(TABLAS!$C$52:$C$58,MATCH(MAX(AS31,2),TABLAS!$B$52:$B$58,0))+DATOS!$C$32))),IF(BA31=0,TRUE,BA31&lt;=INT((CB31+DATOS!$C$32)/(INDEX(TABLAS!$C$52:$C$58,MATCH(MAX(AZ31,2),TABLAS!$B$52:$B$58,0))+DATOS!$C$32))))),"no caben ","")&amp;IF(NOT(AND(OR(NOT(ISNUMBER(AX31)),AX31&gt;=0.005),OR(NOT(ISNUMBER(BD31)),BD31&gt;=0.005))),"ε_t ","")&amp;IF(BH31="SECCIÓN INSUFICIENTE","cortante ","")&amp;IF(NOT(AND(O31&gt;=BV31,O31&gt;=BW31,O31/N31&lt;=6)),"peralte ","")&amp;IF(NOT(BP31&lt;=BQ31),"flecha ","")&amp;IF(NOT(OR(S31=0,LEFT(BU31,6)&lt;&gt;"NO CUM")),"muro sobre viga ","")&amp;"→ h ≥ "&amp;TEXT(MAX(BY31,IF(BP31&gt;BQ31,MAX(O31+5,CEILING(O31*(BP31/BQ31)^(1/3),5)),0)),"0")&amp;" cm"&amp;IF(NOT(AND(IF(AU31=0,TRUE,AU31&lt;=INT((CB31+DATOS!$C$32)/(INDEX(TABLAS!$C$52:$C$58,MATCH(MAX(AS31,2),TABLAS!$B$52:$B$58,0))+DATOS!$C$32))),IF(BA31=0,TRUE,BA31&lt;=INT((CB31+DATOS!$C$32)/(INDEX(TABLAS!$C$52:$C$58,MATCH(MAX(AZ31,2),TABLAS!$B$52:$B$58,0))+DATOS!$C$32)))))," y b ≥ "&amp;TEXT(N31+5,"0")&amp;" cm","")&amp;" (verificar)")))</f>
        <v>CUMPLE</v>
      </c>
      <c r="CA31" s="65" t="inlineStr">
        <is>
          <t>Extremo i en castillo propuesto C4. Extremo j en castillo propuesto C5.</t>
        </is>
      </c>
      <c r="CB31" s="43">
        <f>N31-2*DATOS!$C$22-2*INDEX(TABLAS!$C$52:$C$58,MATCH(DATOS!$C$113,TABLAS!$B$52:$B$58,0))</f>
        <v>10.1</v>
      </c>
    </row>
    <row r="32" ht="30" customHeight="1">
      <c r="B32" s="60" t="inlineStr">
        <is>
          <t>NP-24</t>
        </is>
      </c>
      <c r="C32" s="52" t="inlineStr">
        <is>
          <t>N+3.00</t>
        </is>
      </c>
      <c r="D32" s="51" t="inlineStr">
        <is>
          <t>Eje D (x = 4.426)</t>
        </is>
      </c>
      <c r="E32" s="52" t="inlineStr">
        <is>
          <t>(4.426, 17.446)</t>
        </is>
      </c>
      <c r="F32" s="52" t="inlineStr">
        <is>
          <t>(4.426, 21.446)</t>
        </is>
      </c>
      <c r="G32" s="55" t="n">
        <v>4</v>
      </c>
      <c r="H32" s="52" t="inlineStr">
        <is>
          <t>NERVADURA</t>
        </is>
      </c>
      <c r="I32" s="52" t="inlineStr">
        <is>
          <t>FIRME</t>
        </is>
      </c>
      <c r="J32" s="52" t="inlineStr">
        <is>
          <t>—</t>
        </is>
      </c>
      <c r="K32" s="52" t="inlineStr">
        <is>
          <t>—</t>
        </is>
      </c>
      <c r="L32" s="60" t="str">
        <f>IF(AND(OR(H32="FIRME",H32="NERVADURA",H32="PUNTA"),OR(I32="FIRME",I32="NERVADURA",I32="PUNTA")),"APOYADA",IF(OR(OR(H32="FIRME",H32="NERVADURA",H32="PUNTA"),OR(I32="FIRME",I32="NERVADURA",I32="PUNTA")),"VOLADO","SIN APOYO"))</f>
        <v>APOYADA</v>
      </c>
      <c r="M32" s="52" t="str">
        <f>IF(L32="VOLADO",IF(OR(H32="FIRME",H32="NERVADURA",H32="PUNTA"),"i","j"),"—")</f>
        <v>—</v>
      </c>
      <c r="N32" s="58" t="n">
        <v>20</v>
      </c>
      <c r="O32" s="58" t="n">
        <v>55</v>
      </c>
      <c r="P32" s="65" t="str">
        <f>IF(L32="BORDE DE VOLADO","—",IF(OR(N32&lt;&gt;DATOS!$C$17,O32&lt;&gt;DATOS!$C$15),"PERALTAR: trabe "&amp;TEXT(N32,"0")&amp;"×"&amp;TEXT(O32,"0")&amp;IF(O32&gt;DATOS!$C$15," (descuelga "&amp;TEXT(O32-DATOS!$C$15,"0")&amp;" cm)",""),"Queda en la losa (15×25)"))</f>
        <v>PERALTAR: trabe 20×55 (descuelga 30 cm)</v>
      </c>
      <c r="Q32" s="43">
        <f>SUMIFS(TRIB!$E$6:$E$255,TRIB!$B$6:$B$255,"NP-24")</f>
        <v>4.9357</v>
      </c>
      <c r="R32" s="36">
        <f>SUMIFS(TRIB!$G$6:$G$255,TRIB!$B$6:$B$255,"NP-24")/G32</f>
        <v>1.07940737142857</v>
      </c>
      <c r="S32" s="69" t="n">
        <v>4</v>
      </c>
      <c r="T32" s="36">
        <f>DATOS!$C$55*S32*DATOS!$C$107/G32</f>
        <v>1.233375</v>
      </c>
      <c r="U32" s="36">
        <f>(SUMIFS(TRIB!$G$6:$G$255,TRIB!$B$6:$B$255,"DM-125")*1.0+SUMIFS(TRIB!$G$6:$G$255,TRIB!$B$6:$B$255,"DM-126")*1.0)/G32</f>
        <v>1.86955102040816</v>
      </c>
      <c r="V32" s="61" t="n">
        <v>0</v>
      </c>
      <c r="W32" s="61" t="n">
        <v>0</v>
      </c>
      <c r="X32" s="36">
        <f>(DATOS!$C$55*V32+DATOS!$C$56*W32)/1000</f>
        <v>0</v>
      </c>
      <c r="Y32" s="36">
        <f>DATOS!$C$55*(N32/100*O32/100*DATOS!$C$43-N32/100*DATOS!$C$70/1000)</f>
        <v>0.282964897959184</v>
      </c>
      <c r="Z32" s="70">
        <f>R32+T32+U32+X32+Y32</f>
        <v>4.46529828979592</v>
      </c>
      <c r="AA32" s="36">
        <f>(SUMIFS(TRIB!$I$6:$I$255,TRIB!$B$6:$B$255,"NP-24")-SUMIFS(TRIB!$L$6:$L$255,TRIB!$B$6:$B$255,"NP-24"))/G32+S32*DATOS!$C$107/G32+((SUMIFS(TRIB!$I$6:$I$255,TRIB!$B$6:$B$255,"DM-125")-SUMIFS(TRIB!$L$6:$L$255,TRIB!$B$6:$B$255,"DM-125"))*1.0+(SUMIFS(TRIB!$I$6:$I$255,TRIB!$B$6:$B$255,"DM-126")-SUMIFS(TRIB!$L$6:$L$255,TRIB!$B$6:$B$255,"DM-126"))*1.0)/G32+V32/1000+Y32/DATOS!$C$55</f>
        <v>2.93356128061224</v>
      </c>
      <c r="AB32" s="36">
        <f>SUMIFS(TRIB!$L$6:$L$255,TRIB!$B$6:$B$255,"NP-24")/G32+(SUMIFS(TRIB!$L$6:$L$255,TRIB!$B$6:$B$255,"DM-125")*1.0+SUMIFS(TRIB!$L$6:$L$255,TRIB!$B$6:$B$255,"DM-126")*1.0)/G32+W32/1000</f>
        <v>0.43444575</v>
      </c>
      <c r="AC32" s="36">
        <f>SUMIFS(TRIB!$M$6:$M$255,TRIB!$B$6:$B$255,"NP-24")/G32+(SUMIFS(TRIB!$M$6:$M$255,TRIB!$B$6:$B$255,"DM-125")*1.0+SUMIFS(TRIB!$M$6:$M$255,TRIB!$B$6:$B$255,"DM-126")*1.0)/G32+W32/1000*DATOS!$C$91/DATOS!$C$89</f>
        <v>0.128714</v>
      </c>
      <c r="AD32" s="36">
        <f>0</f>
        <v>0</v>
      </c>
      <c r="AE32" s="36">
        <f>0</f>
        <v>0</v>
      </c>
      <c r="AF32" s="36">
        <f>0</f>
        <v>0</v>
      </c>
      <c r="AG32" s="36">
        <f>0</f>
        <v>0</v>
      </c>
      <c r="AH32" s="36">
        <f>0</f>
        <v>0</v>
      </c>
      <c r="AI32" s="36">
        <f>IF(L32="APOYADA",Z32*G32/2+0,IF(AND(L32="VOLADO",M32="i"),Z32*G32+AD32,0))</f>
        <v>8.93059657959184</v>
      </c>
      <c r="AJ32" s="36">
        <f>IF(L32="APOYADA",Z32*G32/2+0,IF(AND(L32="VOLADO",M32="j"),Z32*G32+AD32,0))</f>
        <v>8.93059657959184</v>
      </c>
      <c r="AK32" s="36">
        <f>IF(L32="APOYADA",(AA32+AB32)*G32/2+0,IF(AND(L32="VOLADO",M32="i"),(AA32+AB32)*G32+0,0))</f>
        <v>6.73601406122449</v>
      </c>
      <c r="AL32" s="36">
        <f>IF(L32="APOYADA",(AA32+AB32)*G32/2+0,IF(AND(L32="VOLADO",M32="j"),(AA32+AB32)*G32+0,0))</f>
        <v>6.73601406122449</v>
      </c>
      <c r="AM32" s="70">
        <f>IF(L32="APOYADA",Z32*G32^2/8+AE32,0)</f>
        <v>8.93059657959184</v>
      </c>
      <c r="AN32" s="70">
        <f>IF(L32="APOYADA",DATOS!$C$64*AM32,IF(L32="VOLADO",Z32*G32^2/2+AE32,0))</f>
        <v>5.95670791858776</v>
      </c>
      <c r="AO32" s="70">
        <f>IF(L32="APOYADA",Z32*G32/2+AF32,IF(L32="VOLADO",Z32*G32+AF32,0))</f>
        <v>8.93059657959184</v>
      </c>
      <c r="AP32" s="36">
        <f>IF(L32="APOYADA",(AA32+AB32)*G32^2/8+AH32,IF(L32="VOLADO",(AA32+AB32)*G32^2/2+AH32,0))</f>
        <v>6.73601406122449</v>
      </c>
      <c r="AQ32" s="43">
        <f>O32-DATOS!$C$22-INDEX(TABLAS!$C$52:$C$58,MATCH(DATOS!$C$113,TABLAS!$B$52:$B$58,0))-INDEX(TABLAS!$C$52:$C$58,MATCH(DATOS!$C$112,TABLAS!$B$52:$B$58,0))/2</f>
        <v>49.415</v>
      </c>
      <c r="AR32" s="43">
        <f>IF(OR(L32="BORDE DE VOLADO",L32="SIN APOYO"),0,IF(IF(AM32&lt;=0,0,IF((1-2*AM32*1E5/(DATOS!$C$58*N32*AQ32^2*DATOS!$C$48))&lt;0,-1,IF((1-SQRT((1-2*AM32*1E5/(DATOS!$C$58*N32*AQ32^2*DATOS!$C$48))))*DATOS!$C$48*N32*AQ32/DATOS!$C$40&gt;DATOS!$C$82*N32*AQ32,-1,(1-SQRT((1-2*AM32*1E5/(DATOS!$C$58*N32*AQ32^2*DATOS!$C$48))))*DATOS!$C$48*N32*AQ32/DATOS!$C$40)))&lt;0,-1,MAX(IF(AM32&lt;=0,0,IF((1-2*AM32*1E5/(DATOS!$C$58*N32*AQ32^2*DATOS!$C$48))&lt;0,-1,IF((1-SQRT((1-2*AM32*1E5/(DATOS!$C$58*N32*AQ32^2*DATOS!$C$48))))*DATOS!$C$48*N32*AQ32/DATOS!$C$40&gt;DATOS!$C$82*N32*AQ32,-1,(1-SQRT((1-2*AM32*1E5/(DATOS!$C$58*N32*AQ32^2*DATOS!$C$48))))*DATOS!$C$48*N32*AQ32/DATOS!$C$40))),MIN(DATOS!$C$83*N32*AQ32,4/3*IF(AM32&lt;=0,0,IF((1-2*AM32*1E5/(DATOS!$C$58*N32*AQ32^2*DATOS!$C$48))&lt;0,-1,IF((1-SQRT((1-2*AM32*1E5/(DATOS!$C$58*N32*AQ32^2*DATOS!$C$48))))*DATOS!$C$48*N32*AQ32/DATOS!$C$40&gt;DATOS!$C$82*N32*AQ32,-1,(1-SQRT((1-2*AM32*1E5/(DATOS!$C$58*N32*AQ32^2*DATOS!$C$48))))*DATOS!$C$48*N32*AQ32/DATOS!$C$40)))))))</f>
        <v>5.03457540917464</v>
      </c>
      <c r="AS32" s="41">
        <f>IF(AR32&lt;0,0,IF(AND(AR32&gt;=0,MAX(DATOS!$C$114,CEILING(AR32/INDEX(TABLAS!$D$52:$D$58,MIN(MATCH(DATOS!$C$112,TABLAS!$B$52:$B$58,0)+0,7)),1))&lt;=MIN(99,INT((CB32+MAX(DATOS!$C$32,INDEX(TABLAS!$C$52:$C$58,MIN(MATCH(DATOS!$C$112,TABLAS!$B$52:$B$58,0)+0,7))))/(INDEX(TABLAS!$C$52:$C$58,MIN(MATCH(DATOS!$C$112,TABLAS!$B$52:$B$58,0)+0,7))+MAX(DATOS!$C$32,INDEX(TABLAS!$C$52:$C$58,MIN(MATCH(DATOS!$C$112,TABLAS!$B$52:$B$58,0)+0,7))))))),INDEX(TABLAS!$B$52:$B$58,MIN(MATCH(DATOS!$C$112,TABLAS!$B$52:$B$58,0)+0,7)),IF(AND(AR32&gt;=0,MAX(DATOS!$C$114,CEILING(AR32/INDEX(TABLAS!$D$52:$D$58,MIN(MATCH(DATOS!$C$112,TABLAS!$B$52:$B$58,0)+1,7)),1))&lt;=MIN(99,INT((CB32+MAX(DATOS!$C$32,INDEX(TABLAS!$C$52:$C$58,MIN(MATCH(DATOS!$C$112,TABLAS!$B$52:$B$58,0)+1,7))))/(INDEX(TABLAS!$C$52:$C$58,MIN(MATCH(DATOS!$C$112,TABLAS!$B$52:$B$58,0)+1,7))+MAX(DATOS!$C$32,INDEX(TABLAS!$C$52:$C$58,MIN(MATCH(DATOS!$C$112,TABLAS!$B$52:$B$58,0)+1,7))))))),INDEX(TABLAS!$B$52:$B$58,MIN(MATCH(DATOS!$C$112,TABLAS!$B$52:$B$58,0)+1,7)),IF(AND(AR32&gt;=0,MAX(DATOS!$C$114,CEILING(AR32/INDEX(TABLAS!$D$52:$D$58,MIN(MATCH(DATOS!$C$112,TABLAS!$B$52:$B$58,0)+2,7)),1))&lt;=MIN(99,INT((CB32+MAX(DATOS!$C$32,INDEX(TABLAS!$C$52:$C$58,MIN(MATCH(DATOS!$C$112,TABLAS!$B$52:$B$58,0)+2,7))))/(INDEX(TABLAS!$C$52:$C$58,MIN(MATCH(DATOS!$C$112,TABLAS!$B$52:$B$58,0)+2,7))+MAX(DATOS!$C$32,INDEX(TABLAS!$C$52:$C$58,MIN(MATCH(DATOS!$C$112,TABLAS!$B$52:$B$58,0)+2,7))))))),INDEX(TABLAS!$B$52:$B$58,MIN(MATCH(DATOS!$C$112,TABLAS!$B$52:$B$58,0)+2,7)),IF(AND(AR32&gt;=0,MAX(DATOS!$C$114,CEILING(AR32/INDEX(TABLAS!$D$52:$D$58,MIN(MATCH(DATOS!$C$112,TABLAS!$B$52:$B$58,0)+3,7)),1))&lt;=MIN(99,INT((CB32+MAX(DATOS!$C$32,INDEX(TABLAS!$C$52:$C$58,MIN(MATCH(DATOS!$C$112,TABLAS!$B$52:$B$58,0)+3,7))))/(INDEX(TABLAS!$C$52:$C$58,MIN(MATCH(DATOS!$C$112,TABLAS!$B$52:$B$58,0)+3,7))+MAX(DATOS!$C$32,INDEX(TABLAS!$C$52:$C$58,MIN(MATCH(DATOS!$C$112,TABLAS!$B$52:$B$58,0)+3,7))))))),INDEX(TABLAS!$B$52:$B$58,MIN(MATCH(DATOS!$C$112,TABLAS!$B$52:$B$58,0)+3,7)),IF(AND(AR32&gt;=0,MAX(DATOS!$C$114,CEILING(AR32/INDEX(TABLAS!$D$52:$D$58,MIN(MATCH(DATOS!$C$112,TABLAS!$B$52:$B$58,0)+4,7)),1))&lt;=MIN(99,INT((CB32+MAX(DATOS!$C$32,INDEX(TABLAS!$C$52:$C$58,MIN(MATCH(DATOS!$C$112,TABLAS!$B$52:$B$58,0)+4,7))))/(INDEX(TABLAS!$C$52:$C$58,MIN(MATCH(DATOS!$C$112,TABLAS!$B$52:$B$58,0)+4,7))+MAX(DATOS!$C$32,INDEX(TABLAS!$C$52:$C$58,MIN(MATCH(DATOS!$C$112,TABLAS!$B$52:$B$58,0)+4,7))))))),INDEX(TABLAS!$B$52:$B$58,MIN(MATCH(DATOS!$C$112,TABLAS!$B$52:$B$58,0)+4,7)),INDEX(TABLAS!$B$52:$B$58,7)))))))</f>
        <v>5</v>
      </c>
      <c r="AT32" s="58" t="n">
        <v>0</v>
      </c>
      <c r="AU32" s="56">
        <f>IF(OR(L32="BORDE DE VOLADO",L32="SIN APOYO"),0,IF(AR32&lt;0,0,MAX(DATOS!$C$114,CEILING(AR32/INDEX(TABLAS!$D$52:$D$58,MATCH(IF(AS32=0,8,AS32),TABLAS!$B$52:$B$58,0)),1))+AT32))</f>
        <v>3</v>
      </c>
      <c r="AV32" s="36">
        <f>IF(AU32=0,0,DATOS!$C$58*AU32*INDEX(TABLAS!$D$52:$D$58,MATCH(AS32,TABLAS!$B$52:$B$58,0))*DATOS!$C$40*((O32-DATOS!$C$22-INDEX(TABLAS!$C$52:$C$58,MATCH(DATOS!$C$113,TABLAS!$B$52:$B$58,0))-INDEX(TABLAS!$C$52:$C$58,MATCH(AS32,TABLAS!$B$52:$B$58,0))/2)-AU32*INDEX(TABLAS!$D$52:$D$58,MATCH(AS32,TABLAS!$B$52:$B$58,0))*DATOS!$C$40/(DATOS!$C$48*N32)/2)/1E5)</f>
        <v>10.4003090322353</v>
      </c>
      <c r="AW32" s="62">
        <f>IF(AR32&lt;0,9.99,IF(AV32&gt;0,AM32/AV32,0))</f>
        <v>0.858685694041576</v>
      </c>
      <c r="AX32" s="63">
        <f>IF(AU32=0,"—",0.003*((O32-DATOS!$C$22-INDEX(TABLAS!$C$52:$C$58,MATCH(DATOS!$C$113,TABLAS!$B$52:$B$58,0))-INDEX(TABLAS!$C$52:$C$58,MATCH(AS32,TABLAS!$B$52:$B$58,0))/2)-(AU32*INDEX(TABLAS!$D$52:$D$58,MATCH(AS32,TABLAS!$B$52:$B$58,0))*DATOS!$C$40/(DATOS!$C$48*N32)/DATOS!$C$49))/(AU32*INDEX(TABLAS!$D$52:$D$58,MATCH(AS32,TABLAS!$B$52:$B$58,0))*DATOS!$C$40/(DATOS!$C$48*N32)/DATOS!$C$49))</f>
        <v>0.0183965473184223</v>
      </c>
      <c r="AY32" s="43">
        <f>IF(OR(L32="BORDE DE VOLADO",L32="SIN APOYO"),0,IF(IF(AN32&lt;=0,0,IF((1-2*AN32*1E5/(DATOS!$C$58*N32*AQ32^2*DATOS!$C$48))&lt;0,-1,IF((1-SQRT((1-2*AN32*1E5/(DATOS!$C$58*N32*AQ32^2*DATOS!$C$48))))*DATOS!$C$48*N32*AQ32/DATOS!$C$40&gt;DATOS!$C$82*N32*AQ32,-1,(1-SQRT((1-2*AN32*1E5/(DATOS!$C$58*N32*AQ32^2*DATOS!$C$48))))*DATOS!$C$48*N32*AQ32/DATOS!$C$40)))&lt;0,-1,MAX(IF(AN32&lt;=0,0,IF((1-2*AN32*1E5/(DATOS!$C$58*N32*AQ32^2*DATOS!$C$48))&lt;0,-1,IF((1-SQRT((1-2*AN32*1E5/(DATOS!$C$58*N32*AQ32^2*DATOS!$C$48))))*DATOS!$C$48*N32*AQ32/DATOS!$C$40&gt;DATOS!$C$82*N32*AQ32,-1,(1-SQRT((1-2*AN32*1E5/(DATOS!$C$58*N32*AQ32^2*DATOS!$C$48))))*DATOS!$C$48*N32*AQ32/DATOS!$C$40))),MIN(DATOS!$C$83*IF(L32="VOLADO",MIN(BI32,2*N32),N32)*AQ32,4/3*IF(AN32&lt;=0,0,IF((1-2*AN32*1E5/(DATOS!$C$58*N32*AQ32^2*DATOS!$C$48))&lt;0,-1,IF((1-SQRT((1-2*AN32*1E5/(DATOS!$C$58*N32*AQ32^2*DATOS!$C$48))))*DATOS!$C$48*N32*AQ32/DATOS!$C$40&gt;DATOS!$C$82*N32*AQ32,-1,(1-SQRT((1-2*AN32*1E5/(DATOS!$C$58*N32*AQ32^2*DATOS!$C$48))))*DATOS!$C$48*N32*AQ32/DATOS!$C$40)))))))</f>
        <v>3.29775336579934</v>
      </c>
      <c r="AZ32" s="41">
        <f>IF(AY32&lt;0,0,IF(AND(AY32&gt;=0,MAX(DATOS!$C$114,CEILING(AY32/INDEX(TABLAS!$D$52:$D$58,MIN(MATCH(DATOS!$C$112,TABLAS!$B$52:$B$58,0)+0,7)),1))&lt;=MIN(99,INT((CB32+MAX(DATOS!$C$32,INDEX(TABLAS!$C$52:$C$58,MIN(MATCH(DATOS!$C$112,TABLAS!$B$52:$B$58,0)+0,7))))/(INDEX(TABLAS!$C$52:$C$58,MIN(MATCH(DATOS!$C$112,TABLAS!$B$52:$B$58,0)+0,7))+MAX(DATOS!$C$32,INDEX(TABLAS!$C$52:$C$58,MIN(MATCH(DATOS!$C$112,TABLAS!$B$52:$B$58,0)+0,7))))))),INDEX(TABLAS!$B$52:$B$58,MIN(MATCH(DATOS!$C$112,TABLAS!$B$52:$B$58,0)+0,7)),IF(AND(AY32&gt;=0,MAX(DATOS!$C$114,CEILING(AY32/INDEX(TABLAS!$D$52:$D$58,MIN(MATCH(DATOS!$C$112,TABLAS!$B$52:$B$58,0)+1,7)),1))&lt;=MIN(99,INT((CB32+MAX(DATOS!$C$32,INDEX(TABLAS!$C$52:$C$58,MIN(MATCH(DATOS!$C$112,TABLAS!$B$52:$B$58,0)+1,7))))/(INDEX(TABLAS!$C$52:$C$58,MIN(MATCH(DATOS!$C$112,TABLAS!$B$52:$B$58,0)+1,7))+MAX(DATOS!$C$32,INDEX(TABLAS!$C$52:$C$58,MIN(MATCH(DATOS!$C$112,TABLAS!$B$52:$B$58,0)+1,7))))))),INDEX(TABLAS!$B$52:$B$58,MIN(MATCH(DATOS!$C$112,TABLAS!$B$52:$B$58,0)+1,7)),IF(AND(AY32&gt;=0,MAX(DATOS!$C$114,CEILING(AY32/INDEX(TABLAS!$D$52:$D$58,MIN(MATCH(DATOS!$C$112,TABLAS!$B$52:$B$58,0)+2,7)),1))&lt;=MIN(99,INT((CB32+MAX(DATOS!$C$32,INDEX(TABLAS!$C$52:$C$58,MIN(MATCH(DATOS!$C$112,TABLAS!$B$52:$B$58,0)+2,7))))/(INDEX(TABLAS!$C$52:$C$58,MIN(MATCH(DATOS!$C$112,TABLAS!$B$52:$B$58,0)+2,7))+MAX(DATOS!$C$32,INDEX(TABLAS!$C$52:$C$58,MIN(MATCH(DATOS!$C$112,TABLAS!$B$52:$B$58,0)+2,7))))))),INDEX(TABLAS!$B$52:$B$58,MIN(MATCH(DATOS!$C$112,TABLAS!$B$52:$B$58,0)+2,7)),IF(AND(AY32&gt;=0,MAX(DATOS!$C$114,CEILING(AY32/INDEX(TABLAS!$D$52:$D$58,MIN(MATCH(DATOS!$C$112,TABLAS!$B$52:$B$58,0)+3,7)),1))&lt;=MIN(99,INT((CB32+MAX(DATOS!$C$32,INDEX(TABLAS!$C$52:$C$58,MIN(MATCH(DATOS!$C$112,TABLAS!$B$52:$B$58,0)+3,7))))/(INDEX(TABLAS!$C$52:$C$58,MIN(MATCH(DATOS!$C$112,TABLAS!$B$52:$B$58,0)+3,7))+MAX(DATOS!$C$32,INDEX(TABLAS!$C$52:$C$58,MIN(MATCH(DATOS!$C$112,TABLAS!$B$52:$B$58,0)+3,7))))))),INDEX(TABLAS!$B$52:$B$58,MIN(MATCH(DATOS!$C$112,TABLAS!$B$52:$B$58,0)+3,7)),IF(AND(AY32&gt;=0,MAX(DATOS!$C$114,CEILING(AY32/INDEX(TABLAS!$D$52:$D$58,MIN(MATCH(DATOS!$C$112,TABLAS!$B$52:$B$58,0)+4,7)),1))&lt;=MIN(99,INT((CB32+MAX(DATOS!$C$32,INDEX(TABLAS!$C$52:$C$58,MIN(MATCH(DATOS!$C$112,TABLAS!$B$52:$B$58,0)+4,7))))/(INDEX(TABLAS!$C$52:$C$58,MIN(MATCH(DATOS!$C$112,TABLAS!$B$52:$B$58,0)+4,7))+MAX(DATOS!$C$32,INDEX(TABLAS!$C$52:$C$58,MIN(MATCH(DATOS!$C$112,TABLAS!$B$52:$B$58,0)+4,7))))))),INDEX(TABLAS!$B$52:$B$58,MIN(MATCH(DATOS!$C$112,TABLAS!$B$52:$B$58,0)+4,7)),INDEX(TABLAS!$B$52:$B$58,7)))))))</f>
        <v>4</v>
      </c>
      <c r="BA32" s="56">
        <f>IF(OR(L32="BORDE DE VOLADO",L32="SIN APOYO"),0,IF(AY32&lt;0,0,MAX(DATOS!$C$114,CEILING(AY32/INDEX(TABLAS!$D$52:$D$58,MATCH(IF(AZ32=0,8,AZ32),TABLAS!$B$52:$B$58,0)),1))))</f>
        <v>3</v>
      </c>
      <c r="BB32" s="36">
        <f>IF(BA32=0,0,DATOS!$C$58*BA32*INDEX(TABLAS!$D$52:$D$58,MATCH(AZ32,TABLAS!$B$52:$B$58,0))*DATOS!$C$40*((O32-DATOS!$C$22-INDEX(TABLAS!$C$52:$C$58,MATCH(DATOS!$C$113,TABLAS!$B$52:$B$58,0))-INDEX(TABLAS!$C$52:$C$58,MATCH(AZ32,TABLAS!$B$52:$B$58,0))/2)-BA32*INDEX(TABLAS!$D$52:$D$58,MATCH(AZ32,TABLAS!$B$52:$B$58,0))*DATOS!$C$40/(DATOS!$C$48*N32)/2)/1E5)</f>
        <v>6.84552287752941</v>
      </c>
      <c r="BC32" s="62">
        <f>IF(AY32&lt;0,9.99,IF(BB32&gt;0,AN32/BB32,0))</f>
        <v>0.870161129420922</v>
      </c>
      <c r="BD32" s="63">
        <f>IF(BA32=0,"—",0.003*((O32-DATOS!$C$22-INDEX(TABLAS!$C$52:$C$58,MATCH(DATOS!$C$113,TABLAS!$B$52:$B$58,0))-INDEX(TABLAS!$C$52:$C$58,MATCH(AZ32,TABLAS!$B$52:$B$58,0))/2)-(BA32*INDEX(TABLAS!$D$52:$D$58,MATCH(AZ32,TABLAS!$B$52:$B$58,0))*DATOS!$C$40/(DATOS!$C$48*N32)/DATOS!$C$49))/(BA32*INDEX(TABLAS!$D$52:$D$58,MATCH(AZ32,TABLAS!$B$52:$B$58,0))*DATOS!$C$40/(DATOS!$C$48*N32)/DATOS!$C$49))</f>
        <v>0.0304667580614923</v>
      </c>
      <c r="BE32" s="36">
        <f>IF(BA32=0,0,DATOS!$C$59*MIN(1.25,MAX(0.5,2*MAX(1E-6,MIN(AU32*INDEX(TABLAS!$D$52:$D$58,MATCH(MAX(AS32,2),TABLAS!$B$52:$B$58,0)),BA32*INDEX(TABLAS!$D$52:$D$58,MATCH(MAX(AZ32,2),TABLAS!$B$52:$B$58,0)))/(N32*AQ32))^(1/3)))*SQRT(DATOS!$C$39)*N32*AQ32/1000)</f>
        <v>5.85989814664577</v>
      </c>
      <c r="BF32" s="57">
        <f>IF(AO32=0,0,FLOOR(MIN(IF(AO32&gt;BE32,DATOS!$C$59*2*INDEX(TABLAS!$D$52:$D$58,MATCH(DATOS!$C$113,TABLAS!$B$52:$B$58,0))*DATOS!$C$42*AQ32/((AO32-BE32)*1000),999),IF(MAX(0,AO32-BE32)/DATOS!$C$59&lt;=1.1*SQRT(DATOS!$C$39)*N32*AQ32/1000,MIN(AQ32/2,60),MIN(AQ32/4,30)),2*INDEX(TABLAS!$D$52:$D$58,MATCH(DATOS!$C$113,TABLAS!$B$52:$B$58,0))*DATOS!$C$42/(MAX(0.2*SQRT(DATOS!$C$39),3.5)*N32),MIN(16*INDEX(TABLAS!$C$52:$C$58,MATCH(MIN(MAX(AS32,2),MAX(AZ32,2)),TABLAS!$B$52:$B$58,0)),48*INDEX(TABLAS!$C$52:$C$58,MATCH(DATOS!$C$113,TABLAS!$B$52:$B$58,0))),DATOS!$C$115),0.5))</f>
        <v>20</v>
      </c>
      <c r="BG32" s="57">
        <f>BF32</f>
        <v>20</v>
      </c>
      <c r="BH32" s="51" t="str">
        <f>IF(AO32=0,"—",IF(AO32&gt;DATOS!$C$59*(BE32/DATOS!$C$59+2.2*SQRT(DATOS!$C$39)*N32*AQ32/1000),"SECCIÓN INSUFICIENTE","E No. "&amp;TEXT(DATOS!$C$113,"0")&amp;IF(BG32&lt;BF32," @ "&amp;TEXT(BG32,"0.0")&amp;" en 2h y"," @")&amp;" "&amp;TEXT(BF32,"0.0")&amp;" cm"))</f>
        <v>E No. 3 @ 20.0 cm</v>
      </c>
      <c r="BI32" s="56">
        <f>N32+2*MIN(8*DATOS!$C$14,DATOS!$C$11/2,G32*100/8)</f>
        <v>80</v>
      </c>
      <c r="BJ32" s="71">
        <f>BI32*DATOS!$C$14^3/12+BI32*DATOS!$C$14*(((BI32*DATOS!$C$14^2/2+N32*(O32-DATOS!$C$14)*(DATOS!$C$14+(O32-DATOS!$C$14)/2))/(BI32*DATOS!$C$14+N32*(O32-DATOS!$C$14)))-DATOS!$C$14/2)^2+N32*(O32-DATOS!$C$14)^3/12+N32*(O32-DATOS!$C$14)*(DATOS!$C$14+(O32-DATOS!$C$14)/2-((BI32*DATOS!$C$14^2/2+N32*(O32-DATOS!$C$14)*(DATOS!$C$14+(O32-DATOS!$C$14)/2))/(BI32*DATOS!$C$14+N32*(O32-DATOS!$C$14))))^2</f>
        <v>425238.095238095</v>
      </c>
      <c r="BK32" s="43">
        <f>O32-DATOS!$C$22-INDEX(TABLAS!$C$52:$C$58,MATCH(DATOS!$C$113,TABLAS!$B$52:$B$58,0))-INDEX(TABLAS!$C$52:$C$58,MATCH(MAX(IF(L32="VOLADO",AZ32,AS32),2),TABLAS!$B$52:$B$58,0))/2</f>
        <v>49.255</v>
      </c>
      <c r="BL32" s="43">
        <f>DATOS!$C$46/DATOS!$C$45*IF(L32="VOLADO",BA32*INDEX(TABLAS!$D$52:$D$58,MATCH(MAX(AZ32,2),TABLAS!$B$52:$B$58,0)),AU32*INDEX(TABLAS!$D$52:$D$58,MATCH(MAX(AS32,2),TABLAS!$B$52:$B$58,0)))</f>
        <v>53.6683694325719</v>
      </c>
      <c r="BM32" s="43">
        <f>IF(BL32&lt;=0,0,(SQRT(2*(BL32/(IF(L32="VOLADO",N32,BI32)*BK32))+(BL32/(IF(L32="VOLADO",N32,BI32)*BK32))^2)-(BL32/(IF(L32="VOLADO",N32,BI32)*BK32)))*BK32)</f>
        <v>7.48610157471768</v>
      </c>
      <c r="BN32" s="71">
        <f>IF(AND(L32&lt;&gt;"VOLADO",BM32&gt;DATOS!$C$14),(BI32*DATOS!$C$14^3/12+BI32*DATOS!$C$14*(((-((BI32-N32)*DATOS!$C$14+BL32)+SQRT(((BI32-N32)*DATOS!$C$14+BL32)^2+2*N32*((BI32-N32)*DATOS!$C$14^2/2+BL32*BK32)))/N32)-DATOS!$C$14/2)^2+N32*(((-((BI32-N32)*DATOS!$C$14+BL32)+SQRT(((BI32-N32)*DATOS!$C$14+BL32)^2+2*N32*((BI32-N32)*DATOS!$C$14^2/2+BL32*BK32)))/N32)-DATOS!$C$14)^3/3+BL32*(BK32-((-((BI32-N32)*DATOS!$C$14+BL32)+SQRT(((BI32-N32)*DATOS!$C$14+BL32)^2+2*N32*((BI32-N32)*DATOS!$C$14^2/2+BL32*BK32)))/N32))^2),(IF(L32="VOLADO",N32,BI32)*BM32^3/3+BL32*(BK32-BM32)^2))</f>
        <v>104444.317717375</v>
      </c>
      <c r="BO32" s="71">
        <f>IF(AP32&lt;=0,BJ32,IF((AP32*1E5)&lt;=2/3*(DATOS!$C$47*BJ32/IF(L32="VOLADO",((BI32*DATOS!$C$14^2/2+N32*(O32-DATOS!$C$14)*(DATOS!$C$14+(O32-DATOS!$C$14)/2))/(BI32*DATOS!$C$14+N32*(O32-DATOS!$C$14))),O32-((BI32*DATOS!$C$14^2/2+N32*(O32-DATOS!$C$14)*(DATOS!$C$14+(O32-DATOS!$C$14)/2))/(BI32*DATOS!$C$14+N32*(O32-DATOS!$C$14))))),BJ32,IF(BL32&lt;=0,0,BN32/(1-(2/3*(DATOS!$C$47*BJ32/IF(L32="VOLADO",((BI32*DATOS!$C$14^2/2+N32*(O32-DATOS!$C$14)*(DATOS!$C$14+(O32-DATOS!$C$14)/2))/(BI32*DATOS!$C$14+N32*(O32-DATOS!$C$14))),O32-((BI32*DATOS!$C$14^2/2+N32*(O32-DATOS!$C$14)*(DATOS!$C$14+(O32-DATOS!$C$14)/2))/(BI32*DATOS!$C$14+N32*(O32-DATOS!$C$14)))))/(AP32*1E5))^2*(1-BN32/BJ32)))))</f>
        <v>119197.16883793</v>
      </c>
      <c r="BP32" s="62">
        <f>IF(OR(L32="APOYADA",L32="VOLADO"),(IF(L32="VOLADO",(AP32-AH32)/4+AH32/3,5/48*AP32)*1E5*(G32*100)^2/(DATOS!$C$45*MAX(BO32,1)))*(1+2/(1+50*IF(L32="VOLADO",AU32*INDEX(TABLAS!$D$52:$D$58,MATCH(MAX(AS32,2),TABLAS!$B$52:$B$58,0)),DATOS!$C$114*INDEX(TABLAS!$D$52:$D$58,MATCH(MAX(AZ32,2),TABLAS!$B$52:$B$58,0)))/(N32*BK32))*((AA32+AC32)/MAX(AA32+AB32,1E-6))),0)</f>
        <v>1.11085902450319</v>
      </c>
      <c r="BQ32" s="43">
        <f>IF(S32&gt;0,0.3+G32*100/480,0.5+G32*100/240)</f>
        <v>1.13333333333333</v>
      </c>
      <c r="BR32" s="43">
        <f>IF(S32&gt;0,(T32+U32)*G32+AG32,0)</f>
        <v>12.4117040816327</v>
      </c>
      <c r="BS32" s="43">
        <f>IF(S32&gt;0,(DATOS!$C$51*DATOS!$C$103*100*(G32*100)^3/(DATOS!$C$45*BJ32*((BR32*1000/(DATOS!$C$103*100*S32*100)*DATOS!$C$103*100*(MIN(1,S32/G32)^4-4*MIN(1,S32/G32)^3+8*MIN(1,S32/G32)))/((BR32*1000/(DATOS!$C$103*100*S32*100)*DATOS!$C$103*100*(MIN(1,S32/G32)^4-4*MIN(1,S32/G32)^3+8*MIN(1,S32/G32)))+5*((R32+X32+Y32+IF(L32="APOYADA",8*(0)/G32^2,0))*10)))))^0.25,0)</f>
        <v>4.92232198247387</v>
      </c>
      <c r="BT32" s="57">
        <f>IF(S32&gt;0,MAX(1,IF(MIN(1,S32/G32)&gt;=1,(1.6*BS32-3.9),IF(MIN(1,S32/G32)&lt;0.9,((3.2*BS32-7.8)*1),((3.2*BS32-7.8)*1)+((1.6*BS32-3.9)-((3.2*BS32-7.8)*1))*(MIN(1,S32/G32)-0.9)/0.1)))*BR32*1000/(DATOS!$C$103*100*S32*100),0)</f>
        <v>8.2242333712004</v>
      </c>
      <c r="BU32" s="65" t="str">
        <f>IF(S32=0,"—",IF(DATOS!$C$105/S32&lt;0.6,"REVISAR: H/L &lt; 0.6, interacción muro-viga",IF(BT32&lt;=DATOS!$C$60*DATOS!$C$50,"CUMPLE","NO CUMPLE f_CM &gt; F_R·f'm")))</f>
        <v>CUMPLE</v>
      </c>
      <c r="BV32" s="57">
        <f>IF(S32&gt;0,MAX(25,IF(BJ32&gt;=(G32*100)^3/1600,0,MIN(G32*100/14,(12*(G32*100)^3/1600/N32)^(1/3)))),IF(L32="APOYADA",MAX(25,G32*100/16),IF(L32="VOLADO",MAX(25,G32*100/8),0)))</f>
        <v>25</v>
      </c>
      <c r="BW32" s="57">
        <f>IF(S32&gt;0,IF(BJ32&gt;=(5/4*(G32*100)^3/DATOS!$C$45*((((S32*DATOS!$C$107+(((SUMIFS(TRIB!$I$6:$I$255,TRIB!$B$6:$B$255,"DM-125")-SUMIFS(TRIB!$L$6:$L$255,TRIB!$B$6:$B$255,"DM-125"))*1.0+(SUMIFS(TRIB!$I$6:$I$255,TRIB!$B$6:$B$255,"DM-126")-SUMIFS(TRIB!$L$6:$L$255,TRIB!$B$6:$B$255,"DM-126"))*1.0)/G32+(SUMIFS(TRIB!$M$6:$M$255,TRIB!$B$6:$B$255,"DM-125")*1.0+SUMIFS(TRIB!$M$6:$M$255,TRIB!$B$6:$B$255,"DM-126")*1.0)/G32)*G32+AG32/DATOS!$C$55)*1000)/(DATOS!$C$103*100*S32*100)*DATOS!$C$103*100*(MIN(1,S32/G32)^4-4*MIN(1,S32/G32)^3+8*MIN(1,S32/G32)))+5*((AA32-S32*DATOS!$C$107/G32-(((SUMIFS(TRIB!$I$6:$I$255,TRIB!$B$6:$B$255,"DM-125")-SUMIFS(TRIB!$L$6:$L$255,TRIB!$B$6:$B$255,"DM-125"))*1.0+(SUMIFS(TRIB!$I$6:$I$255,TRIB!$B$6:$B$255,"DM-126")-SUMIFS(TRIB!$L$6:$L$255,TRIB!$B$6:$B$255,"DM-126"))*1.0)/G32))*10))),0,MIN((G32*100/((1/15*DATOS!$C$45*N32/((((S32*DATOS!$C$107+(((SUMIFS(TRIB!$I$6:$I$255,TRIB!$B$6:$B$255,"DM-125")-SUMIFS(TRIB!$L$6:$L$255,TRIB!$B$6:$B$255,"DM-125"))*1.0+(SUMIFS(TRIB!$I$6:$I$255,TRIB!$B$6:$B$255,"DM-126")-SUMIFS(TRIB!$L$6:$L$255,TRIB!$B$6:$B$255,"DM-126"))*1.0)/G32+(SUMIFS(TRIB!$M$6:$M$255,TRIB!$B$6:$B$255,"DM-125")*1.0+SUMIFS(TRIB!$M$6:$M$255,TRIB!$B$6:$B$255,"DM-126")*1.0)/G32)*G32+AG32/DATOS!$C$55)*1000)/(DATOS!$C$103*100*S32*100)*DATOS!$C$103*100*(MIN(1,S32/G32)^4-4*MIN(1,S32/G32)^3+8*MIN(1,S32/G32)))+5*((AA32-S32*DATOS!$C$107/G32-(((SUMIFS(TRIB!$I$6:$I$255,TRIB!$B$6:$B$255,"DM-125")-SUMIFS(TRIB!$L$6:$L$255,TRIB!$B$6:$B$255,"DM-125"))*1.0+(SUMIFS(TRIB!$I$6:$I$255,TRIB!$B$6:$B$255,"DM-126")-SUMIFS(TRIB!$L$6:$L$255,TRIB!$B$6:$B$255,"DM-126"))*1.0)/G32))*10)))^(1/3))),(12*(5/4*(G32*100)^3/DATOS!$C$45*((((S32*DATOS!$C$107+(((SUMIFS(TRIB!$I$6:$I$255,TRIB!$B$6:$B$255,"DM-125")-SUMIFS(TRIB!$L$6:$L$255,TRIB!$B$6:$B$255,"DM-125"))*1.0+(SUMIFS(TRIB!$I$6:$I$255,TRIB!$B$6:$B$255,"DM-126")-SUMIFS(TRIB!$L$6:$L$255,TRIB!$B$6:$B$255,"DM-126"))*1.0)/G32+(SUMIFS(TRIB!$M$6:$M$255,TRIB!$B$6:$B$255,"DM-125")*1.0+SUMIFS(TRIB!$M$6:$M$255,TRIB!$B$6:$B$255,"DM-126")*1.0)/G32)*G32+AG32/DATOS!$C$55)*1000)/(DATOS!$C$103*100*S32*100)*DATOS!$C$103*100*(MIN(1,S32/G32)^4-4*MIN(1,S32/G32)^3+8*MIN(1,S32/G32)))+5*((AA32-S32*DATOS!$C$107/G32-(((SUMIFS(TRIB!$I$6:$I$255,TRIB!$B$6:$B$255,"DM-125")-SUMIFS(TRIB!$L$6:$L$255,TRIB!$B$6:$B$255,"DM-125"))*1.0+(SUMIFS(TRIB!$I$6:$I$255,TRIB!$B$6:$B$255,"DM-126")-SUMIFS(TRIB!$L$6:$L$255,TRIB!$B$6:$B$255,"DM-126"))*1.0)/G32))*10)))/N32)^(1/3))),0)</f>
        <v>0</v>
      </c>
      <c r="BX32" s="57">
        <f>SQRT(MAX(AM32,AN32)*1E5/(DATOS!$C$58*N32*DATOS!$C$48*(DATOS!$C$82*DATOS!$C$40/DATOS!$C$48)*(1-(DATOS!$C$82*DATOS!$C$40/DATOS!$C$48)/2)))+(O32-AQ32)</f>
        <v>35.1037707659861</v>
      </c>
      <c r="BY32" s="59">
        <f>IF(OR(L32="BORDE DE VOLADO",L32="SIN APOYO"),0,CEILING(MAX(BV32,BW32,BX32,DATOS!$C$15),5))</f>
        <v>40</v>
      </c>
      <c r="BZ32" s="72" t="str">
        <f>IF(L32="BORDE DE VOLADO","BORDE DE VOLADO — armado de orilla",IF(L32="SIN APOYO","SIN APOYO — REVISAR",IF(AND(AW32&lt;=1,BC32&lt;=1,IF(AU32=0,TRUE,AU32&lt;=INT((CB32+DATOS!$C$32)/(INDEX(TABLAS!$C$52:$C$58,MATCH(MAX(AS32,2),TABLAS!$B$52:$B$58,0))+DATOS!$C$32))),IF(BA32=0,TRUE,BA32&lt;=INT((CB32+DATOS!$C$32)/(INDEX(TABLAS!$C$52:$C$58,MATCH(MAX(AZ32,2),TABLAS!$B$52:$B$58,0))+DATOS!$C$32))),AND(OR(NOT(ISNUMBER(AX32)),AX32&gt;=0.005),OR(NOT(ISNUMBER(BD32)),BD32&gt;=0.005)),BH32&lt;&gt;"SECCIÓN INSUFICIENTE",AND(O32&gt;=BV32,O32&gt;=BW32,O32/N32&lt;=6),BP32&lt;=BQ32,OR(S32=0,LEFT(BU32,6)&lt;&gt;"NO CUM")),IF(LEFT(BU32,7)="REVISAR","PENDIENTE: H/L &lt; 0.6, falta el análisis de interacción muro-viga (NTC-M 4.1.18.2.1, p. 44)","CUMPLE")&amp;IF(L32="VOLADO"," (en VOLADO)",""),"NO CUMPLE: "&amp;IF(OR(AR32&lt;0,AY32&lt;0),"sección insuficiente en flexión ",IF(OR(AW32&gt;1,BC32&gt;1),"flexión ",""))&amp;IF(NOT(AND(IF(AU32=0,TRUE,AU32&lt;=INT((CB32+DATOS!$C$32)/(INDEX(TABLAS!$C$52:$C$58,MATCH(MAX(AS32,2),TABLAS!$B$52:$B$58,0))+DATOS!$C$32))),IF(BA32=0,TRUE,BA32&lt;=INT((CB32+DATOS!$C$32)/(INDEX(TABLAS!$C$52:$C$58,MATCH(MAX(AZ32,2),TABLAS!$B$52:$B$58,0))+DATOS!$C$32))))),"no caben ","")&amp;IF(NOT(AND(OR(NOT(ISNUMBER(AX32)),AX32&gt;=0.005),OR(NOT(ISNUMBER(BD32)),BD32&gt;=0.005))),"ε_t ","")&amp;IF(BH32="SECCIÓN INSUFICIENTE","cortante ","")&amp;IF(NOT(AND(O32&gt;=BV32,O32&gt;=BW32,O32/N32&lt;=6)),"peralte ","")&amp;IF(NOT(BP32&lt;=BQ32),"flecha ","")&amp;IF(NOT(OR(S32=0,LEFT(BU32,6)&lt;&gt;"NO CUM")),"muro sobre viga ","")&amp;"→ h ≥ "&amp;TEXT(MAX(BY32,IF(BP32&gt;BQ32,MAX(O32+5,CEILING(O32*(BP32/BQ32)^(1/3),5)),0)),"0")&amp;" cm"&amp;IF(NOT(AND(IF(AU32=0,TRUE,AU32&lt;=INT((CB32+DATOS!$C$32)/(INDEX(TABLAS!$C$52:$C$58,MATCH(MAX(AS32,2),TABLAS!$B$52:$B$58,0))+DATOS!$C$32))),IF(BA32=0,TRUE,BA32&lt;=INT((CB32+DATOS!$C$32)/(INDEX(TABLAS!$C$52:$C$58,MATCH(MAX(AZ32,2),TABLAS!$B$52:$B$58,0))+DATOS!$C$32)))))," y b ≥ "&amp;TEXT(N32+5,"0")&amp;" cm","")&amp;" (verificar)")))</f>
        <v>CUMPLE</v>
      </c>
      <c r="CA32" s="65" t="inlineStr">
        <is>
          <t>Extremo i se apoya en NP-15. Muro de planta alta encima (4.00 m) con la azotea de DM-125, DM-126: viga que soporta muro estructural (NTC-Mampostería 4.1.18): la flecha se calcula y el límite es 0.3 cm + L/480.</t>
        </is>
      </c>
      <c r="CB32" s="43">
        <f>N32-2*DATOS!$C$22-2*INDEX(TABLAS!$C$52:$C$58,MATCH(DATOS!$C$113,TABLAS!$B$52:$B$58,0))</f>
        <v>10.1</v>
      </c>
    </row>
    <row r="33" ht="30" customHeight="1">
      <c r="B33" s="60" t="inlineStr">
        <is>
          <t>NP-25</t>
        </is>
      </c>
      <c r="C33" s="52" t="inlineStr">
        <is>
          <t>N+3.00</t>
        </is>
      </c>
      <c r="D33" s="51" t="inlineStr">
        <is>
          <t>Eje F (x = 5.441)</t>
        </is>
      </c>
      <c r="E33" s="52" t="inlineStr">
        <is>
          <t>(5.441, 6.948)</t>
        </is>
      </c>
      <c r="F33" s="52" t="inlineStr">
        <is>
          <t>(5.441, 8.910)</t>
        </is>
      </c>
      <c r="G33" s="55" t="n">
        <v>1.962</v>
      </c>
      <c r="H33" s="52" t="inlineStr">
        <is>
          <t>PUNTA</t>
        </is>
      </c>
      <c r="I33" s="52" t="str">
        <f>IF(APOYOS!$C$23="SÍ","FIRME","LIBRE")</f>
        <v>FIRME</v>
      </c>
      <c r="J33" s="52" t="inlineStr">
        <is>
          <t>—</t>
        </is>
      </c>
      <c r="K33" s="52" t="inlineStr">
        <is>
          <t>C7</t>
        </is>
      </c>
      <c r="L33" s="60" t="str">
        <f>IF(AND(OR(H33="FIRME",H33="NERVADURA",H33="PUNTA"),OR(I33="FIRME",I33="NERVADURA",I33="PUNTA")),"APOYADA",IF(OR(OR(H33="FIRME",H33="NERVADURA",H33="PUNTA"),OR(I33="FIRME",I33="NERVADURA",I33="PUNTA")),"VOLADO","SIN APOYO"))</f>
        <v>APOYADA</v>
      </c>
      <c r="M33" s="52" t="str">
        <f>IF(L33="VOLADO",IF(OR(H33="FIRME",H33="NERVADURA",H33="PUNTA"),"i","j"),"—")</f>
        <v>—</v>
      </c>
      <c r="N33" s="58">
        <f>DATOS!$C$17</f>
        <v>15</v>
      </c>
      <c r="O33" s="58">
        <f>DATOS!$C$15</f>
        <v>25</v>
      </c>
      <c r="P33" s="65" t="str">
        <f>IF(L33="BORDE DE VOLADO","—",IF(OR(N33&lt;&gt;DATOS!$C$17,O33&lt;&gt;DATOS!$C$15),"PERALTAR: trabe "&amp;TEXT(N33,"0")&amp;"×"&amp;TEXT(O33,"0")&amp;IF(O33&gt;DATOS!$C$15," (descuelga "&amp;TEXT(O33-DATOS!$C$15,"0")&amp;" cm)",""),"Queda en la losa (15×25)"))</f>
        <v>Queda en la losa (15×25)</v>
      </c>
      <c r="Q33" s="43">
        <f>SUMIFS(TRIB!$E$6:$E$255,TRIB!$B$6:$B$255,"NP-25")</f>
        <v>1.1115</v>
      </c>
      <c r="R33" s="36">
        <f>SUMIFS(TRIB!$G$6:$G$255,TRIB!$B$6:$B$255,"NP-25")/G33</f>
        <v>0.495572364725707</v>
      </c>
      <c r="S33" s="69" t="n">
        <v>0</v>
      </c>
      <c r="T33" s="36">
        <f>DATOS!$C$55*S33*DATOS!$C$107/G33</f>
        <v>0</v>
      </c>
      <c r="U33" s="36">
        <f>0</f>
        <v>0</v>
      </c>
      <c r="V33" s="61" t="n">
        <v>50</v>
      </c>
      <c r="W33" s="61" t="n">
        <v>0</v>
      </c>
      <c r="X33" s="36">
        <f>(DATOS!$C$55*V33+DATOS!$C$56*W33)/1000</f>
        <v>0.065</v>
      </c>
      <c r="Y33" s="36">
        <f>DATOS!$C$55*(N33/100*O33/100*DATOS!$C$43-N33/100*DATOS!$C$70/1000)</f>
        <v>0.0694836734693878</v>
      </c>
      <c r="Z33" s="70">
        <f>R33+T33+U33+X33+Y33</f>
        <v>0.630056038195095</v>
      </c>
      <c r="AA33" s="36">
        <f>(SUMIFS(TRIB!$I$6:$I$255,TRIB!$B$6:$B$255,"NP-25")-SUMIFS(TRIB!$L$6:$L$255,TRIB!$B$6:$B$255,"NP-25"))/G33+S33*DATOS!$C$107/G33+0+V33/1000+Y33/DATOS!$C$55</f>
        <v>0.360461243212882</v>
      </c>
      <c r="AB33" s="36">
        <f>SUMIFS(TRIB!$L$6:$L$255,TRIB!$B$6:$B$255,"NP-25")/G33+0+W33/1000</f>
        <v>0.107637614678899</v>
      </c>
      <c r="AC33" s="36">
        <f>SUMIFS(TRIB!$M$6:$M$255,TRIB!$B$6:$B$255,"NP-25")/G33+0+W33/1000*DATOS!$C$91/DATOS!$C$89</f>
        <v>0.0453211009174312</v>
      </c>
      <c r="AD33" s="36">
        <f>0</f>
        <v>0</v>
      </c>
      <c r="AE33" s="36">
        <f>0</f>
        <v>0</v>
      </c>
      <c r="AF33" s="36">
        <f>0</f>
        <v>0</v>
      </c>
      <c r="AG33" s="36">
        <f>0</f>
        <v>0</v>
      </c>
      <c r="AH33" s="36">
        <f>0</f>
        <v>0</v>
      </c>
      <c r="AI33" s="36">
        <f>IF(L33="APOYADA",Z33*G33/2+0,IF(AND(L33="VOLADO",M33="i"),Z33*G33+AD33,0))</f>
        <v>0.618084973469388</v>
      </c>
      <c r="AJ33" s="36">
        <f>IF(L33="APOYADA",Z33*G33/2+0,IF(AND(L33="VOLADO",M33="j"),Z33*G33+AD33,0))</f>
        <v>0.618084973469388</v>
      </c>
      <c r="AK33" s="36">
        <f>IF(L33="APOYADA",(AA33+AB33)*G33/2+0,IF(AND(L33="VOLADO",M33="i"),(AA33+AB33)*G33+0,0))</f>
        <v>0.459204979591837</v>
      </c>
      <c r="AL33" s="36">
        <f>IF(L33="APOYADA",(AA33+AB33)*G33/2+0,IF(AND(L33="VOLADO",M33="j"),(AA33+AB33)*G33+0,0))</f>
        <v>0.459204979591837</v>
      </c>
      <c r="AM33" s="70">
        <f>IF(L33="APOYADA",Z33*G33^2/8+AE33,0)</f>
        <v>0.303170679486735</v>
      </c>
      <c r="AN33" s="70">
        <f>IF(L33="APOYADA",DATOS!$C$64*AM33,IF(L33="VOLADO",Z33*G33^2/2+AE33,0))</f>
        <v>0.202214843217652</v>
      </c>
      <c r="AO33" s="70">
        <f>IF(L33="APOYADA",Z33*G33/2+AF33,IF(L33="VOLADO",Z33*G33+AF33,0))</f>
        <v>0.618084973469388</v>
      </c>
      <c r="AP33" s="36">
        <f>IF(L33="APOYADA",(AA33+AB33)*G33^2/8+AH33,IF(L33="VOLADO",(AA33+AB33)*G33^2/2+AH33,0))</f>
        <v>0.225240042489796</v>
      </c>
      <c r="AQ33" s="43">
        <f>O33-DATOS!$C$22-INDEX(TABLAS!$C$52:$C$58,MATCH(DATOS!$C$113,TABLAS!$B$52:$B$58,0))-INDEX(TABLAS!$C$52:$C$58,MATCH(DATOS!$C$112,TABLAS!$B$52:$B$58,0))/2</f>
        <v>19.415</v>
      </c>
      <c r="AR33" s="43">
        <f>IF(OR(L33="BORDE DE VOLADO",L33="SIN APOYO"),0,IF(IF(AM33&lt;=0,0,IF((1-2*AM33*1E5/(DATOS!$C$58*N33*AQ33^2*DATOS!$C$48))&lt;0,-1,IF((1-SQRT((1-2*AM33*1E5/(DATOS!$C$58*N33*AQ33^2*DATOS!$C$48))))*DATOS!$C$48*N33*AQ33/DATOS!$C$40&gt;DATOS!$C$82*N33*AQ33,-1,(1-SQRT((1-2*AM33*1E5/(DATOS!$C$58*N33*AQ33^2*DATOS!$C$48))))*DATOS!$C$48*N33*AQ33/DATOS!$C$40)))&lt;0,-1,MAX(IF(AM33&lt;=0,0,IF((1-2*AM33*1E5/(DATOS!$C$58*N33*AQ33^2*DATOS!$C$48))&lt;0,-1,IF((1-SQRT((1-2*AM33*1E5/(DATOS!$C$58*N33*AQ33^2*DATOS!$C$48))))*DATOS!$C$48*N33*AQ33/DATOS!$C$40&gt;DATOS!$C$82*N33*AQ33,-1,(1-SQRT((1-2*AM33*1E5/(DATOS!$C$58*N33*AQ33^2*DATOS!$C$48))))*DATOS!$C$48*N33*AQ33/DATOS!$C$40))),MIN(DATOS!$C$83*N33*AQ33,4/3*IF(AM33&lt;=0,0,IF((1-2*AM33*1E5/(DATOS!$C$58*N33*AQ33^2*DATOS!$C$48))&lt;0,-1,IF((1-SQRT((1-2*AM33*1E5/(DATOS!$C$58*N33*AQ33^2*DATOS!$C$48))))*DATOS!$C$48*N33*AQ33/DATOS!$C$40&gt;DATOS!$C$82*N33*AQ33,-1,(1-SQRT((1-2*AM33*1E5/(DATOS!$C$58*N33*AQ33^2*DATOS!$C$48))))*DATOS!$C$48*N33*AQ33/DATOS!$C$40)))))))</f>
        <v>0.558749161300049</v>
      </c>
      <c r="AS33" s="41">
        <f>IF(AR33&lt;0,0,IF(AND(AR33&gt;=0,MAX(DATOS!$C$114,CEILING(AR33/INDEX(TABLAS!$D$52:$D$58,MIN(MATCH(DATOS!$C$112,TABLAS!$B$52:$B$58,0)+0,7)),1))&lt;=MIN(99,INT((CB33+MAX(DATOS!$C$32,INDEX(TABLAS!$C$52:$C$58,MIN(MATCH(DATOS!$C$112,TABLAS!$B$52:$B$58,0)+0,7))))/(INDEX(TABLAS!$C$52:$C$58,MIN(MATCH(DATOS!$C$112,TABLAS!$B$52:$B$58,0)+0,7))+MAX(DATOS!$C$32,INDEX(TABLAS!$C$52:$C$58,MIN(MATCH(DATOS!$C$112,TABLAS!$B$52:$B$58,0)+0,7))))))),INDEX(TABLAS!$B$52:$B$58,MIN(MATCH(DATOS!$C$112,TABLAS!$B$52:$B$58,0)+0,7)),IF(AND(AR33&gt;=0,MAX(DATOS!$C$114,CEILING(AR33/INDEX(TABLAS!$D$52:$D$58,MIN(MATCH(DATOS!$C$112,TABLAS!$B$52:$B$58,0)+1,7)),1))&lt;=MIN(99,INT((CB33+MAX(DATOS!$C$32,INDEX(TABLAS!$C$52:$C$58,MIN(MATCH(DATOS!$C$112,TABLAS!$B$52:$B$58,0)+1,7))))/(INDEX(TABLAS!$C$52:$C$58,MIN(MATCH(DATOS!$C$112,TABLAS!$B$52:$B$58,0)+1,7))+MAX(DATOS!$C$32,INDEX(TABLAS!$C$52:$C$58,MIN(MATCH(DATOS!$C$112,TABLAS!$B$52:$B$58,0)+1,7))))))),INDEX(TABLAS!$B$52:$B$58,MIN(MATCH(DATOS!$C$112,TABLAS!$B$52:$B$58,0)+1,7)),IF(AND(AR33&gt;=0,MAX(DATOS!$C$114,CEILING(AR33/INDEX(TABLAS!$D$52:$D$58,MIN(MATCH(DATOS!$C$112,TABLAS!$B$52:$B$58,0)+2,7)),1))&lt;=MIN(99,INT((CB33+MAX(DATOS!$C$32,INDEX(TABLAS!$C$52:$C$58,MIN(MATCH(DATOS!$C$112,TABLAS!$B$52:$B$58,0)+2,7))))/(INDEX(TABLAS!$C$52:$C$58,MIN(MATCH(DATOS!$C$112,TABLAS!$B$52:$B$58,0)+2,7))+MAX(DATOS!$C$32,INDEX(TABLAS!$C$52:$C$58,MIN(MATCH(DATOS!$C$112,TABLAS!$B$52:$B$58,0)+2,7))))))),INDEX(TABLAS!$B$52:$B$58,MIN(MATCH(DATOS!$C$112,TABLAS!$B$52:$B$58,0)+2,7)),IF(AND(AR33&gt;=0,MAX(DATOS!$C$114,CEILING(AR33/INDEX(TABLAS!$D$52:$D$58,MIN(MATCH(DATOS!$C$112,TABLAS!$B$52:$B$58,0)+3,7)),1))&lt;=MIN(99,INT((CB33+MAX(DATOS!$C$32,INDEX(TABLAS!$C$52:$C$58,MIN(MATCH(DATOS!$C$112,TABLAS!$B$52:$B$58,0)+3,7))))/(INDEX(TABLAS!$C$52:$C$58,MIN(MATCH(DATOS!$C$112,TABLAS!$B$52:$B$58,0)+3,7))+MAX(DATOS!$C$32,INDEX(TABLAS!$C$52:$C$58,MIN(MATCH(DATOS!$C$112,TABLAS!$B$52:$B$58,0)+3,7))))))),INDEX(TABLAS!$B$52:$B$58,MIN(MATCH(DATOS!$C$112,TABLAS!$B$52:$B$58,0)+3,7)),IF(AND(AR33&gt;=0,MAX(DATOS!$C$114,CEILING(AR33/INDEX(TABLAS!$D$52:$D$58,MIN(MATCH(DATOS!$C$112,TABLAS!$B$52:$B$58,0)+4,7)),1))&lt;=MIN(99,INT((CB33+MAX(DATOS!$C$32,INDEX(TABLAS!$C$52:$C$58,MIN(MATCH(DATOS!$C$112,TABLAS!$B$52:$B$58,0)+4,7))))/(INDEX(TABLAS!$C$52:$C$58,MIN(MATCH(DATOS!$C$112,TABLAS!$B$52:$B$58,0)+4,7))+MAX(DATOS!$C$32,INDEX(TABLAS!$C$52:$C$58,MIN(MATCH(DATOS!$C$112,TABLAS!$B$52:$B$58,0)+4,7))))))),INDEX(TABLAS!$B$52:$B$58,MIN(MATCH(DATOS!$C$112,TABLAS!$B$52:$B$58,0)+4,7)),INDEX(TABLAS!$B$52:$B$58,7)))))))</f>
        <v>4</v>
      </c>
      <c r="AT33" s="58" t="n">
        <v>0</v>
      </c>
      <c r="AU33" s="56">
        <f>IF(OR(L33="BORDE DE VOLADO",L33="SIN APOYO"),0,IF(AR33&lt;0,0,MAX(DATOS!$C$114,CEILING(AR33/INDEX(TABLAS!$D$52:$D$58,MATCH(IF(AS33=0,8,AS33),TABLAS!$B$52:$B$58,0)),1))+AT33))</f>
        <v>2</v>
      </c>
      <c r="AV33" s="36">
        <f>IF(AU33=0,0,DATOS!$C$58*AU33*INDEX(TABLAS!$D$52:$D$58,MATCH(AS33,TABLAS!$B$52:$B$58,0))*DATOS!$C$40*((O33-DATOS!$C$22-INDEX(TABLAS!$C$52:$C$58,MATCH(DATOS!$C$113,TABLAS!$B$52:$B$58,0))-INDEX(TABLAS!$C$52:$C$58,MATCH(AS33,TABLAS!$B$52:$B$58,0))/2)-AU33*INDEX(TABLAS!$D$52:$D$58,MATCH(AS33,TABLAS!$B$52:$B$58,0))*DATOS!$C$40/(DATOS!$C$48*N33)/2)/1E5)</f>
        <v>1.70340536964706</v>
      </c>
      <c r="AW33" s="62">
        <f>IF(AR33&lt;0,9.99,IF(AV33&gt;0,AM33/AV33,0))</f>
        <v>0.177979173301274</v>
      </c>
      <c r="AX33" s="63">
        <f>IF(AU33=0,"—",0.003*((O33-DATOS!$C$22-INDEX(TABLAS!$C$52:$C$58,MATCH(DATOS!$C$113,TABLAS!$B$52:$B$58,0))-INDEX(TABLAS!$C$52:$C$58,MATCH(AS33,TABLAS!$B$52:$B$58,0))/2)-(AU33*INDEX(TABLAS!$D$52:$D$58,MATCH(AS33,TABLAS!$B$52:$B$58,0))*DATOS!$C$40/(DATOS!$C$48*N33)/DATOS!$C$49))/(AU33*INDEX(TABLAS!$D$52:$D$58,MATCH(AS33,TABLAS!$B$52:$B$58,0))*DATOS!$C$40/(DATOS!$C$48*N33)/DATOS!$C$49))</f>
        <v>0.0117926084434758</v>
      </c>
      <c r="AY33" s="43">
        <f>IF(OR(L33="BORDE DE VOLADO",L33="SIN APOYO"),0,IF(IF(AN33&lt;=0,0,IF((1-2*AN33*1E5/(DATOS!$C$58*N33*AQ33^2*DATOS!$C$48))&lt;0,-1,IF((1-SQRT((1-2*AN33*1E5/(DATOS!$C$58*N33*AQ33^2*DATOS!$C$48))))*DATOS!$C$48*N33*AQ33/DATOS!$C$40&gt;DATOS!$C$82*N33*AQ33,-1,(1-SQRT((1-2*AN33*1E5/(DATOS!$C$58*N33*AQ33^2*DATOS!$C$48))))*DATOS!$C$48*N33*AQ33/DATOS!$C$40)))&lt;0,-1,MAX(IF(AN33&lt;=0,0,IF((1-2*AN33*1E5/(DATOS!$C$58*N33*AQ33^2*DATOS!$C$48))&lt;0,-1,IF((1-SQRT((1-2*AN33*1E5/(DATOS!$C$58*N33*AQ33^2*DATOS!$C$48))))*DATOS!$C$48*N33*AQ33/DATOS!$C$40&gt;DATOS!$C$82*N33*AQ33,-1,(1-SQRT((1-2*AN33*1E5/(DATOS!$C$58*N33*AQ33^2*DATOS!$C$48))))*DATOS!$C$48*N33*AQ33/DATOS!$C$40))),MIN(DATOS!$C$83*IF(L33="VOLADO",MIN(BI33,2*N33),N33)*AQ33,4/3*IF(AN33&lt;=0,0,IF((1-2*AN33*1E5/(DATOS!$C$58*N33*AQ33^2*DATOS!$C$48))&lt;0,-1,IF((1-SQRT((1-2*AN33*1E5/(DATOS!$C$58*N33*AQ33^2*DATOS!$C$48))))*DATOS!$C$48*N33*AQ33/DATOS!$C$40&gt;DATOS!$C$82*N33*AQ33,-1,(1-SQRT((1-2*AN33*1E5/(DATOS!$C$58*N33*AQ33^2*DATOS!$C$48))))*DATOS!$C$48*N33*AQ33/DATOS!$C$40)))))))</f>
        <v>0.370886843617029</v>
      </c>
      <c r="AZ33" s="41">
        <f>IF(AY33&lt;0,0,IF(AND(AY33&gt;=0,MAX(DATOS!$C$114,CEILING(AY33/INDEX(TABLAS!$D$52:$D$58,MIN(MATCH(DATOS!$C$112,TABLAS!$B$52:$B$58,0)+0,7)),1))&lt;=MIN(99,INT((CB33+MAX(DATOS!$C$32,INDEX(TABLAS!$C$52:$C$58,MIN(MATCH(DATOS!$C$112,TABLAS!$B$52:$B$58,0)+0,7))))/(INDEX(TABLAS!$C$52:$C$58,MIN(MATCH(DATOS!$C$112,TABLAS!$B$52:$B$58,0)+0,7))+MAX(DATOS!$C$32,INDEX(TABLAS!$C$52:$C$58,MIN(MATCH(DATOS!$C$112,TABLAS!$B$52:$B$58,0)+0,7))))))),INDEX(TABLAS!$B$52:$B$58,MIN(MATCH(DATOS!$C$112,TABLAS!$B$52:$B$58,0)+0,7)),IF(AND(AY33&gt;=0,MAX(DATOS!$C$114,CEILING(AY33/INDEX(TABLAS!$D$52:$D$58,MIN(MATCH(DATOS!$C$112,TABLAS!$B$52:$B$58,0)+1,7)),1))&lt;=MIN(99,INT((CB33+MAX(DATOS!$C$32,INDEX(TABLAS!$C$52:$C$58,MIN(MATCH(DATOS!$C$112,TABLAS!$B$52:$B$58,0)+1,7))))/(INDEX(TABLAS!$C$52:$C$58,MIN(MATCH(DATOS!$C$112,TABLAS!$B$52:$B$58,0)+1,7))+MAX(DATOS!$C$32,INDEX(TABLAS!$C$52:$C$58,MIN(MATCH(DATOS!$C$112,TABLAS!$B$52:$B$58,0)+1,7))))))),INDEX(TABLAS!$B$52:$B$58,MIN(MATCH(DATOS!$C$112,TABLAS!$B$52:$B$58,0)+1,7)),IF(AND(AY33&gt;=0,MAX(DATOS!$C$114,CEILING(AY33/INDEX(TABLAS!$D$52:$D$58,MIN(MATCH(DATOS!$C$112,TABLAS!$B$52:$B$58,0)+2,7)),1))&lt;=MIN(99,INT((CB33+MAX(DATOS!$C$32,INDEX(TABLAS!$C$52:$C$58,MIN(MATCH(DATOS!$C$112,TABLAS!$B$52:$B$58,0)+2,7))))/(INDEX(TABLAS!$C$52:$C$58,MIN(MATCH(DATOS!$C$112,TABLAS!$B$52:$B$58,0)+2,7))+MAX(DATOS!$C$32,INDEX(TABLAS!$C$52:$C$58,MIN(MATCH(DATOS!$C$112,TABLAS!$B$52:$B$58,0)+2,7))))))),INDEX(TABLAS!$B$52:$B$58,MIN(MATCH(DATOS!$C$112,TABLAS!$B$52:$B$58,0)+2,7)),IF(AND(AY33&gt;=0,MAX(DATOS!$C$114,CEILING(AY33/INDEX(TABLAS!$D$52:$D$58,MIN(MATCH(DATOS!$C$112,TABLAS!$B$52:$B$58,0)+3,7)),1))&lt;=MIN(99,INT((CB33+MAX(DATOS!$C$32,INDEX(TABLAS!$C$52:$C$58,MIN(MATCH(DATOS!$C$112,TABLAS!$B$52:$B$58,0)+3,7))))/(INDEX(TABLAS!$C$52:$C$58,MIN(MATCH(DATOS!$C$112,TABLAS!$B$52:$B$58,0)+3,7))+MAX(DATOS!$C$32,INDEX(TABLAS!$C$52:$C$58,MIN(MATCH(DATOS!$C$112,TABLAS!$B$52:$B$58,0)+3,7))))))),INDEX(TABLAS!$B$52:$B$58,MIN(MATCH(DATOS!$C$112,TABLAS!$B$52:$B$58,0)+3,7)),IF(AND(AY33&gt;=0,MAX(DATOS!$C$114,CEILING(AY33/INDEX(TABLAS!$D$52:$D$58,MIN(MATCH(DATOS!$C$112,TABLAS!$B$52:$B$58,0)+4,7)),1))&lt;=MIN(99,INT((CB33+MAX(DATOS!$C$32,INDEX(TABLAS!$C$52:$C$58,MIN(MATCH(DATOS!$C$112,TABLAS!$B$52:$B$58,0)+4,7))))/(INDEX(TABLAS!$C$52:$C$58,MIN(MATCH(DATOS!$C$112,TABLAS!$B$52:$B$58,0)+4,7))+MAX(DATOS!$C$32,INDEX(TABLAS!$C$52:$C$58,MIN(MATCH(DATOS!$C$112,TABLAS!$B$52:$B$58,0)+4,7))))))),INDEX(TABLAS!$B$52:$B$58,MIN(MATCH(DATOS!$C$112,TABLAS!$B$52:$B$58,0)+4,7)),INDEX(TABLAS!$B$52:$B$58,7)))))))</f>
        <v>4</v>
      </c>
      <c r="BA33" s="56">
        <f>IF(OR(L33="BORDE DE VOLADO",L33="SIN APOYO"),0,IF(AY33&lt;0,0,MAX(DATOS!$C$114,CEILING(AY33/INDEX(TABLAS!$D$52:$D$58,MATCH(IF(AZ33=0,8,AZ33),TABLAS!$B$52:$B$58,0)),1))))</f>
        <v>2</v>
      </c>
      <c r="BB33" s="36">
        <f>IF(BA33=0,0,DATOS!$C$58*BA33*INDEX(TABLAS!$D$52:$D$58,MATCH(AZ33,TABLAS!$B$52:$B$58,0))*DATOS!$C$40*((O33-DATOS!$C$22-INDEX(TABLAS!$C$52:$C$58,MATCH(DATOS!$C$113,TABLAS!$B$52:$B$58,0))-INDEX(TABLAS!$C$52:$C$58,MATCH(AZ33,TABLAS!$B$52:$B$58,0))/2)-BA33*INDEX(TABLAS!$D$52:$D$58,MATCH(AZ33,TABLAS!$B$52:$B$58,0))*DATOS!$C$40/(DATOS!$C$48*N33)/2)/1E5)</f>
        <v>1.70340536964706</v>
      </c>
      <c r="BC33" s="62">
        <f>IF(AY33&lt;0,9.99,IF(BB33&gt;0,AN33/BB33,0))</f>
        <v>0.11871210859195</v>
      </c>
      <c r="BD33" s="63">
        <f>IF(BA33=0,"—",0.003*((O33-DATOS!$C$22-INDEX(TABLAS!$C$52:$C$58,MATCH(DATOS!$C$113,TABLAS!$B$52:$B$58,0))-INDEX(TABLAS!$C$52:$C$58,MATCH(AZ33,TABLAS!$B$52:$B$58,0))/2)-(BA33*INDEX(TABLAS!$D$52:$D$58,MATCH(AZ33,TABLAS!$B$52:$B$58,0))*DATOS!$C$40/(DATOS!$C$48*N33)/DATOS!$C$49))/(BA33*INDEX(TABLAS!$D$52:$D$58,MATCH(AZ33,TABLAS!$B$52:$B$58,0))*DATOS!$C$40/(DATOS!$C$48*N33)/DATOS!$C$49))</f>
        <v>0.0117926084434758</v>
      </c>
      <c r="BE33" s="36">
        <f>IF(BA33=0,0,DATOS!$C$59*MIN(1.25,MAX(0.5,2*MAX(1E-6,MIN(AU33*INDEX(TABLAS!$D$52:$D$58,MATCH(MAX(AS33,2),TABLAS!$B$52:$B$58,0)),BA33*INDEX(TABLAS!$D$52:$D$58,MATCH(MAX(AZ33,2),TABLAS!$B$52:$B$58,0)))/(N33*AQ33))^(1/3)))*SQRT(DATOS!$C$39)*N33*AQ33/1000)</f>
        <v>1.72675183421726</v>
      </c>
      <c r="BF33" s="57">
        <f>IF(AO33=0,0,FLOOR(MIN(IF(AO33&gt;BE33,DATOS!$C$59*2*INDEX(TABLAS!$D$52:$D$58,MATCH(DATOS!$C$113,TABLAS!$B$52:$B$58,0))*DATOS!$C$42*AQ33/((AO33-BE33)*1000),999),IF(MAX(0,AO33-BE33)/DATOS!$C$59&lt;=1.1*SQRT(DATOS!$C$39)*N33*AQ33/1000,MIN(AQ33/2,60),MIN(AQ33/4,30)),2*INDEX(TABLAS!$D$52:$D$58,MATCH(DATOS!$C$113,TABLAS!$B$52:$B$58,0))*DATOS!$C$42/(MAX(0.2*SQRT(DATOS!$C$39),3.5)*N33),MIN(16*INDEX(TABLAS!$C$52:$C$58,MATCH(MIN(MAX(AS33,2),MAX(AZ33,2)),TABLAS!$B$52:$B$58,0)),48*INDEX(TABLAS!$C$52:$C$58,MATCH(DATOS!$C$113,TABLAS!$B$52:$B$58,0))),DATOS!$C$115),0.5))</f>
        <v>9.5</v>
      </c>
      <c r="BG33" s="57">
        <f>BF33</f>
        <v>9.5</v>
      </c>
      <c r="BH33" s="51" t="str">
        <f>IF(AO33=0,"—",IF(AO33&gt;DATOS!$C$59*(BE33/DATOS!$C$59+2.2*SQRT(DATOS!$C$39)*N33*AQ33/1000),"SECCIÓN INSUFICIENTE","E No. "&amp;TEXT(DATOS!$C$113,"0")&amp;IF(BG33&lt;BF33," @ "&amp;TEXT(BG33,"0.0")&amp;" en 2h y"," @")&amp;" "&amp;TEXT(BF33,"0.0")&amp;" cm"))</f>
        <v>E No. 3 @ 9.5 cm</v>
      </c>
      <c r="BI33" s="56">
        <f>N33+MIN(6*DATOS!$C$14,DATOS!$C$11/2,G33*100/12)</f>
        <v>31.35</v>
      </c>
      <c r="BJ33" s="71">
        <f>BI33*DATOS!$C$14^3/12+BI33*DATOS!$C$14*(((BI33*DATOS!$C$14^2/2+N33*(O33-DATOS!$C$14)*(DATOS!$C$14+(O33-DATOS!$C$14)/2))/(BI33*DATOS!$C$14+N33*(O33-DATOS!$C$14)))-DATOS!$C$14/2)^2+N33*(O33-DATOS!$C$14)^3/12+N33*(O33-DATOS!$C$14)*(DATOS!$C$14+(O33-DATOS!$C$14)/2-((BI33*DATOS!$C$14^2/2+N33*(O33-DATOS!$C$14)*(DATOS!$C$14+(O33-DATOS!$C$14)/2))/(BI33*DATOS!$C$14+N33*(O33-DATOS!$C$14))))^2</f>
        <v>26413.3851600985</v>
      </c>
      <c r="BK33" s="43">
        <f>O33-DATOS!$C$22-INDEX(TABLAS!$C$52:$C$58,MATCH(DATOS!$C$113,TABLAS!$B$52:$B$58,0))-INDEX(TABLAS!$C$52:$C$58,MATCH(MAX(IF(L33="VOLADO",AZ33,AS33),2),TABLAS!$B$52:$B$58,0))/2</f>
        <v>19.415</v>
      </c>
      <c r="BL33" s="43">
        <f>DATOS!$C$46/DATOS!$C$45*IF(L33="VOLADO",BA33*INDEX(TABLAS!$D$52:$D$58,MATCH(MAX(AZ33,2),TABLAS!$B$52:$B$58,0)),AU33*INDEX(TABLAS!$D$52:$D$58,MATCH(MAX(AS33,2),TABLAS!$B$52:$B$58,0)))</f>
        <v>22.9491007337934</v>
      </c>
      <c r="BM33" s="43">
        <f>IF(BL33&lt;=0,0,(SQRT(2*(BL33/(IF(L33="VOLADO",N33,BI33)*BK33))+(BL33/(IF(L33="VOLADO",N33,BI33)*BK33))^2)-(BL33/(IF(L33="VOLADO",N33,BI33)*BK33)))*BK33)</f>
        <v>4.64947121824276</v>
      </c>
      <c r="BN33" s="71">
        <f>IF(AND(L33&lt;&gt;"VOLADO",BM33&gt;DATOS!$C$14),(BI33*DATOS!$C$14^3/12+BI33*DATOS!$C$14*(((-((BI33-N33)*DATOS!$C$14+BL33)+SQRT(((BI33-N33)*DATOS!$C$14+BL33)^2+2*N33*((BI33-N33)*DATOS!$C$14^2/2+BL33*BK33)))/N33)-DATOS!$C$14/2)^2+N33*(((-((BI33-N33)*DATOS!$C$14+BL33)+SQRT(((BI33-N33)*DATOS!$C$14+BL33)^2+2*N33*((BI33-N33)*DATOS!$C$14^2/2+BL33*BK33)))/N33)-DATOS!$C$14)^3/3+BL33*(BK33-((-((BI33-N33)*DATOS!$C$14+BL33)+SQRT(((BI33-N33)*DATOS!$C$14+BL33)^2+2*N33*((BI33-N33)*DATOS!$C$14^2/2+BL33*BK33)))/N33))^2),(IF(L33="VOLADO",N33,BI33)*BM33^3/3+BL33*(BK33-BM33)^2))</f>
        <v>6053.71515309371</v>
      </c>
      <c r="BO33" s="71">
        <f>IF(AP33&lt;=0,BJ33,IF((AP33*1E5)&lt;=2/3*(DATOS!$C$47*BJ33/IF(L33="VOLADO",((BI33*DATOS!$C$14^2/2+N33*(O33-DATOS!$C$14)*(DATOS!$C$14+(O33-DATOS!$C$14)/2))/(BI33*DATOS!$C$14+N33*(O33-DATOS!$C$14))),O33-((BI33*DATOS!$C$14^2/2+N33*(O33-DATOS!$C$14)*(DATOS!$C$14+(O33-DATOS!$C$14)/2))/(BI33*DATOS!$C$14+N33*(O33-DATOS!$C$14))))),BJ33,IF(BL33&lt;=0,0,BN33/(1-(2/3*(DATOS!$C$47*BJ33/IF(L33="VOLADO",((BI33*DATOS!$C$14^2/2+N33*(O33-DATOS!$C$14)*(DATOS!$C$14+(O33-DATOS!$C$14)/2))/(BI33*DATOS!$C$14+N33*(O33-DATOS!$C$14))),O33-((BI33*DATOS!$C$14^2/2+N33*(O33-DATOS!$C$14)*(DATOS!$C$14+(O33-DATOS!$C$14)/2))/(BI33*DATOS!$C$14+N33*(O33-DATOS!$C$14)))))/(AP33*1E5))^2*(1-BN33/BJ33)))))</f>
        <v>26413.3851600985</v>
      </c>
      <c r="BP33" s="62">
        <f>IF(OR(L33="APOYADA",L33="VOLADO"),(IF(L33="VOLADO",(AP33-AH33)/4+AH33/3,5/48*AP33)*1E5*(G33*100)^2/(DATOS!$C$45*MAX(BO33,1)))*(1+2/(1+50*IF(L33="VOLADO",AU33*INDEX(TABLAS!$D$52:$D$58,MATCH(MAX(AS33,2),TABLAS!$B$52:$B$58,0)),DATOS!$C$114*INDEX(TABLAS!$D$52:$D$58,MATCH(MAX(AZ33,2),TABLAS!$B$52:$B$58,0)))/(N33*BK33))*((AA33+AC33)/MAX(AA33+AB33,1E-6))),0)</f>
        <v>0.0340961724876064</v>
      </c>
      <c r="BQ33" s="43">
        <f>IF(S33&gt;0,0.3+G33*100/480,0.5+G33*100/240)</f>
        <v>1.3175</v>
      </c>
      <c r="BR33" s="43">
        <f>IF(S33&gt;0,(T33+U33)*G33+AG33,0)</f>
        <v>0</v>
      </c>
      <c r="BS33" s="43">
        <f>IF(S33&gt;0,(DATOS!$C$51*DATOS!$C$103*100*(G33*100)^3/(DATOS!$C$45*BJ33*((BR33*1000/(DATOS!$C$103*100*S33*100)*DATOS!$C$103*100*(MIN(1,S33/G33)^4-4*MIN(1,S33/G33)^3+8*MIN(1,S33/G33)))/((BR33*1000/(DATOS!$C$103*100*S33*100)*DATOS!$C$103*100*(MIN(1,S33/G33)^4-4*MIN(1,S33/G33)^3+8*MIN(1,S33/G33)))+5*((R33+X33+Y33+IF(L33="APOYADA",8*(0)/G33^2,0))*10)))))^0.25,0)</f>
        <v>0</v>
      </c>
      <c r="BT33" s="57">
        <f>IF(S33&gt;0,MAX(1,IF(MIN(1,S33/G33)&gt;=1,(1.6*BS33-3.9),IF(MIN(1,S33/G33)&lt;0.9,((3.2*BS33-7.8)*1),((3.2*BS33-7.8)*1)+((1.6*BS33-3.9)-((3.2*BS33-7.8)*1))*(MIN(1,S33/G33)-0.9)/0.1)))*BR33*1000/(DATOS!$C$103*100*S33*100),0)</f>
        <v>0</v>
      </c>
      <c r="BU33" s="65" t="str">
        <f>IF(S33=0,"—",IF(DATOS!$C$105/S33&lt;0.6,"REVISAR: H/L &lt; 0.6, interacción muro-viga",IF(BT33&lt;=DATOS!$C$60*DATOS!$C$50,"CUMPLE","NO CUMPLE f_CM &gt; F_R·f'm")))</f>
        <v>—</v>
      </c>
      <c r="BV33" s="57">
        <f>IF(S33&gt;0,MAX(25,IF(BJ33&gt;=(G33*100)^3/1600,0,MIN(G33*100/14,(12*(G33*100)^3/1600/N33)^(1/3)))),IF(L33="APOYADA",MAX(25,G33*100/16),IF(L33="VOLADO",MAX(25,G33*100/8),0)))</f>
        <v>25</v>
      </c>
      <c r="BW33" s="57">
        <f>IF(S33&gt;0,IF(BJ33&gt;=(5/4*(G33*100)^3/DATOS!$C$45*((((S33*DATOS!$C$107+(0+0)*G33+AG33/DATOS!$C$55)*1000)/(DATOS!$C$103*100*S33*100)*DATOS!$C$103*100*(MIN(1,S33/G33)^4-4*MIN(1,S33/G33)^3+8*MIN(1,S33/G33)))+5*((AA33-S33*DATOS!$C$107/G33-(0))*10))),0,MIN((G33*100/((1/15*DATOS!$C$45*N33/((((S33*DATOS!$C$107+(0+0)*G33+AG33/DATOS!$C$55)*1000)/(DATOS!$C$103*100*S33*100)*DATOS!$C$103*100*(MIN(1,S33/G33)^4-4*MIN(1,S33/G33)^3+8*MIN(1,S33/G33)))+5*((AA33-S33*DATOS!$C$107/G33-(0))*10)))^(1/3))),(12*(5/4*(G33*100)^3/DATOS!$C$45*((((S33*DATOS!$C$107+(0+0)*G33+AG33/DATOS!$C$55)*1000)/(DATOS!$C$103*100*S33*100)*DATOS!$C$103*100*(MIN(1,S33/G33)^4-4*MIN(1,S33/G33)^3+8*MIN(1,S33/G33)))+5*((AA33-S33*DATOS!$C$107/G33-(0))*10)))/N33)^(1/3))),0)</f>
        <v>0</v>
      </c>
      <c r="BX33" s="57">
        <f>SQRT(MAX(AM33,AN33)*1E5/(DATOS!$C$58*N33*DATOS!$C$48*(DATOS!$C$82*DATOS!$C$40/DATOS!$C$48)*(1-(DATOS!$C$82*DATOS!$C$40/DATOS!$C$48)/2)))+(O33-AQ33)</f>
        <v>11.8651642099314</v>
      </c>
      <c r="BY33" s="59">
        <f>IF(OR(L33="BORDE DE VOLADO",L33="SIN APOYO"),0,CEILING(MAX(BV33,BW33,BX33,DATOS!$C$15),5))</f>
        <v>25</v>
      </c>
      <c r="BZ33" s="72" t="str">
        <f>IF(L33="BORDE DE VOLADO","BORDE DE VOLADO — armado de orilla",IF(L33="SIN APOYO","SIN APOYO — REVISAR",IF(AND(AW33&lt;=1,BC33&lt;=1,IF(AU33=0,TRUE,AU33&lt;=INT((CB33+DATOS!$C$32)/(INDEX(TABLAS!$C$52:$C$58,MATCH(MAX(AS33,2),TABLAS!$B$52:$B$58,0))+DATOS!$C$32))),IF(BA33=0,TRUE,BA33&lt;=INT((CB33+DATOS!$C$32)/(INDEX(TABLAS!$C$52:$C$58,MATCH(MAX(AZ33,2),TABLAS!$B$52:$B$58,0))+DATOS!$C$32))),AND(OR(NOT(ISNUMBER(AX33)),AX33&gt;=0.005),OR(NOT(ISNUMBER(BD33)),BD33&gt;=0.005)),BH33&lt;&gt;"SECCIÓN INSUFICIENTE",AND(O33&gt;=BV33,O33&gt;=BW33,O33/N33&lt;=6),BP33&lt;=BQ33,OR(S33=0,LEFT(BU33,6)&lt;&gt;"NO CUM")),IF(LEFT(BU33,7)="REVISAR","PENDIENTE: H/L &lt; 0.6, falta el análisis de interacción muro-viga (NTC-M 4.1.18.2.1, p. 44)","CUMPLE")&amp;IF(L33="VOLADO"," (en VOLADO)",""),"NO CUMPLE: "&amp;IF(OR(AR33&lt;0,AY33&lt;0),"sección insuficiente en flexión ",IF(OR(AW33&gt;1,BC33&gt;1),"flexión ",""))&amp;IF(NOT(AND(IF(AU33=0,TRUE,AU33&lt;=INT((CB33+DATOS!$C$32)/(INDEX(TABLAS!$C$52:$C$58,MATCH(MAX(AS33,2),TABLAS!$B$52:$B$58,0))+DATOS!$C$32))),IF(BA33=0,TRUE,BA33&lt;=INT((CB33+DATOS!$C$32)/(INDEX(TABLAS!$C$52:$C$58,MATCH(MAX(AZ33,2),TABLAS!$B$52:$B$58,0))+DATOS!$C$32))))),"no caben ","")&amp;IF(NOT(AND(OR(NOT(ISNUMBER(AX33)),AX33&gt;=0.005),OR(NOT(ISNUMBER(BD33)),BD33&gt;=0.005))),"ε_t ","")&amp;IF(BH33="SECCIÓN INSUFICIENTE","cortante ","")&amp;IF(NOT(AND(O33&gt;=BV33,O33&gt;=BW33,O33/N33&lt;=6)),"peralte ","")&amp;IF(NOT(BP33&lt;=BQ33),"flecha ","")&amp;IF(NOT(OR(S33=0,LEFT(BU33,6)&lt;&gt;"NO CUM")),"muro sobre viga ","")&amp;"→ h ≥ "&amp;TEXT(MAX(BY33,IF(BP33&gt;BQ33,MAX(O33+5,CEILING(O33*(BP33/BQ33)^(1/3),5)),0)),"0")&amp;" cm"&amp;IF(NOT(AND(IF(AU33=0,TRUE,AU33&lt;=INT((CB33+DATOS!$C$32)/(INDEX(TABLAS!$C$52:$C$58,MATCH(MAX(AS33,2),TABLAS!$B$52:$B$58,0))+DATOS!$C$32))),IF(BA33=0,TRUE,BA33&lt;=INT((CB33+DATOS!$C$32)/(INDEX(TABLAS!$C$52:$C$58,MATCH(MAX(AZ33,2),TABLAS!$B$52:$B$58,0))+DATOS!$C$32)))))," y b ≥ "&amp;TEXT(N33+5,"0")&amp;" cm","")&amp;" (verificar)")))</f>
        <v>CUMPLE</v>
      </c>
      <c r="CA33" s="65" t="inlineStr">
        <is>
          <t>Extremo i se apoya en la punta del volado corto NP-05. Extremo j en castillo propuesto C7.</t>
        </is>
      </c>
      <c r="CB33" s="43">
        <f>N33-2*DATOS!$C$22-2*INDEX(TABLAS!$C$52:$C$58,MATCH(DATOS!$C$113,TABLAS!$B$52:$B$58,0))</f>
        <v>5.1</v>
      </c>
    </row>
    <row r="34" ht="30" customHeight="1">
      <c r="B34" s="60" t="inlineStr">
        <is>
          <t>NP-26</t>
        </is>
      </c>
      <c r="C34" s="52" t="inlineStr">
        <is>
          <t>N+3.00</t>
        </is>
      </c>
      <c r="D34" s="51" t="inlineStr">
        <is>
          <t>Eje F (x = 5.441)</t>
        </is>
      </c>
      <c r="E34" s="52" t="inlineStr">
        <is>
          <t>(5.441, 9.950)</t>
        </is>
      </c>
      <c r="F34" s="52" t="inlineStr">
        <is>
          <t>(5.441, 15.447)</t>
        </is>
      </c>
      <c r="G34" s="55" t="n">
        <v>5.497</v>
      </c>
      <c r="H34" s="52" t="str">
        <f>IF(APOYOS!$C$22="SÍ","FIRME","LIBRE")</f>
        <v>FIRME</v>
      </c>
      <c r="I34" s="52" t="inlineStr">
        <is>
          <t>FIRME</t>
        </is>
      </c>
      <c r="J34" s="52" t="inlineStr">
        <is>
          <t>C6</t>
        </is>
      </c>
      <c r="K34" s="52" t="inlineStr">
        <is>
          <t>—</t>
        </is>
      </c>
      <c r="L34" s="60" t="str">
        <f>IF(AND(OR(H34="FIRME",H34="NERVADURA",H34="PUNTA"),OR(I34="FIRME",I34="NERVADURA",I34="PUNTA")),"APOYADA",IF(OR(OR(H34="FIRME",H34="NERVADURA",H34="PUNTA"),OR(I34="FIRME",I34="NERVADURA",I34="PUNTA")),"VOLADO","SIN APOYO"))</f>
        <v>APOYADA</v>
      </c>
      <c r="M34" s="52" t="str">
        <f>IF(L34="VOLADO",IF(OR(H34="FIRME",H34="NERVADURA",H34="PUNTA"),"i","j"),"—")</f>
        <v>—</v>
      </c>
      <c r="N34" s="58" t="n">
        <v>20</v>
      </c>
      <c r="O34" s="58" t="n">
        <v>80</v>
      </c>
      <c r="P34" s="65" t="str">
        <f>IF(L34="BORDE DE VOLADO","—",IF(OR(N34&lt;&gt;DATOS!$C$17,O34&lt;&gt;DATOS!$C$15),"PERALTAR: trabe "&amp;TEXT(N34,"0")&amp;"×"&amp;TEXT(O34,"0")&amp;IF(O34&gt;DATOS!$C$15," (descuelga "&amp;TEXT(O34-DATOS!$C$15,"0")&amp;" cm)",""),"Queda en la losa (15×25)"))</f>
        <v>PERALTAR: trabe 20×80 (descuelga 55 cm)</v>
      </c>
      <c r="Q34" s="43">
        <f>SUMIFS(TRIB!$E$6:$E$255,TRIB!$B$6:$B$255,"NP-26")</f>
        <v>10.0119</v>
      </c>
      <c r="R34" s="36">
        <f>SUMIFS(TRIB!$G$6:$G$255,TRIB!$B$6:$B$255,"NP-26")/G34</f>
        <v>1.61626430427729</v>
      </c>
      <c r="S34" s="69" t="n">
        <v>5.497</v>
      </c>
      <c r="T34" s="36">
        <f>DATOS!$C$55*S34*DATOS!$C$107/G34</f>
        <v>1.233375</v>
      </c>
      <c r="U34" s="36">
        <f>(SUMIFS(TRIB!$G$6:$G$255,TRIB!$B$6:$B$255,"DM-127")*1.0+SUMIFS(TRIB!$G$6:$G$255,TRIB!$B$6:$B$255,"DM-128")*1.0+SUMIFS(TRIB!$G$6:$G$255,TRIB!$B$6:$B$255,"DM-129")*0.5903)/G34</f>
        <v>1.79461292975289</v>
      </c>
      <c r="V34" s="61" t="n">
        <v>0</v>
      </c>
      <c r="W34" s="61" t="n">
        <v>0</v>
      </c>
      <c r="X34" s="36">
        <f>(DATOS!$C$55*V34+DATOS!$C$56*W34)/1000</f>
        <v>0</v>
      </c>
      <c r="Y34" s="36">
        <f>DATOS!$C$55*(N34/100*O34/100*DATOS!$C$43-N34/100*DATOS!$C$70/1000)</f>
        <v>0.441564897959184</v>
      </c>
      <c r="Z34" s="70">
        <f>R34+T34+U34+X34+Y34</f>
        <v>5.08581713198936</v>
      </c>
      <c r="AA34" s="36">
        <f>(SUMIFS(TRIB!$I$6:$I$255,TRIB!$B$6:$B$255,"NP-26")-SUMIFS(TRIB!$L$6:$L$255,TRIB!$B$6:$B$255,"NP-26"))/G34+S34*DATOS!$C$107/G34+((SUMIFS(TRIB!$I$6:$I$255,TRIB!$B$6:$B$255,"DM-127")-SUMIFS(TRIB!$L$6:$L$255,TRIB!$B$6:$B$255,"DM-127"))*1.0+(SUMIFS(TRIB!$I$6:$I$255,TRIB!$B$6:$B$255,"DM-128")-SUMIFS(TRIB!$L$6:$L$255,TRIB!$B$6:$B$255,"DM-128"))*1.0+(SUMIFS(TRIB!$I$6:$I$255,TRIB!$B$6:$B$255,"DM-129")-SUMIFS(TRIB!$L$6:$L$255,TRIB!$B$6:$B$255,"DM-129"))*0.5903)/G34+V34/1000+Y34/DATOS!$C$55</f>
        <v>3.28985153566918</v>
      </c>
      <c r="AB34" s="36">
        <f>SUMIFS(TRIB!$L$6:$L$255,TRIB!$B$6:$B$255,"NP-26")/G34+(SUMIFS(TRIB!$L$6:$L$255,TRIB!$B$6:$B$255,"DM-127")*1.0+SUMIFS(TRIB!$L$6:$L$255,TRIB!$B$6:$B$255,"DM-128")*1.0+SUMIFS(TRIB!$L$6:$L$255,TRIB!$B$6:$B$255,"DM-129")*0.5903)/G34+W34/1000</f>
        <v>0.539340090412953</v>
      </c>
      <c r="AC34" s="36">
        <f>SUMIFS(TRIB!$M$6:$M$255,TRIB!$B$6:$B$255,"NP-26")/G34+(SUMIFS(TRIB!$M$6:$M$255,TRIB!$B$6:$B$255,"DM-127")*1.0+SUMIFS(TRIB!$M$6:$M$255,TRIB!$B$6:$B$255,"DM-128")*1.0+SUMIFS(TRIB!$M$6:$M$255,TRIB!$B$6:$B$255,"DM-129")*0.5903)/G34+W34/1000*DATOS!$C$91/DATOS!$C$89</f>
        <v>0.174699967536838</v>
      </c>
      <c r="AD34" s="36">
        <f>TRANSFER!$F$7</f>
        <v>1.80477259392857</v>
      </c>
      <c r="AE34" s="36">
        <f>TRANSFER!$H$7</f>
        <v>1.69294695348977</v>
      </c>
      <c r="AF34" s="36">
        <f>TRANSFER!$I$7</f>
        <v>1.41078912790814</v>
      </c>
      <c r="AG34" s="36">
        <f>0</f>
        <v>0</v>
      </c>
      <c r="AH34" s="36">
        <f>TRANSFER!$N$7</f>
        <v>1.30226688729983</v>
      </c>
      <c r="AI34" s="36">
        <f>IF(L34="APOYADA",Z34*G34/2+TRANSFER!$J$7,IF(AND(L34="VOLADO",M34="i"),Z34*G34+AD34,0))</f>
        <v>14.3723518532932</v>
      </c>
      <c r="AJ34" s="36">
        <f>IF(L34="APOYADA",Z34*G34/2+TRANSFER!$K$7,IF(AND(L34="VOLADO",M34="j"),Z34*G34+AD34,0))</f>
        <v>15.3891575151809</v>
      </c>
      <c r="AK34" s="36">
        <f>IF(L34="APOYADA",(AA34+AB34)*G34/2+TRANSFER!$O$7,IF(AND(L34="VOLADO",M34="i"),(AA34+AB34)*G34+TRANSFER!$M$7,0))</f>
        <v>10.8275973889178</v>
      </c>
      <c r="AL34" s="36">
        <f>IF(L34="APOYADA",(AA34+AB34)*G34/2+TRANSFER!$P$7,IF(AND(L34="VOLADO",M34="j"),(AA34+AB34)*G34+TRANSFER!$M$7,0))</f>
        <v>11.6097555903699</v>
      </c>
      <c r="AM34" s="70">
        <f>IF(L34="APOYADA",Z34*G34^2/8+AE34,0)</f>
        <v>20.9027197096994</v>
      </c>
      <c r="AN34" s="70">
        <f>IF(L34="APOYADA",DATOS!$C$64*AM34,IF(L34="VOLADO",Z34*G34^2/2+AE34,0))</f>
        <v>13.9421140463695</v>
      </c>
      <c r="AO34" s="70">
        <f>IF(L34="APOYADA",Z34*G34/2+AF34,IF(L34="VOLADO",Z34*G34+AF34,0))</f>
        <v>15.3891575151809</v>
      </c>
      <c r="AP34" s="36">
        <f>IF(L34="APOYADA",(AA34+AB34)*G34^2/8+AH34,IF(L34="VOLADO",(AA34+AB34)*G34^2/2+AH34,0))</f>
        <v>15.7656066158059</v>
      </c>
      <c r="AQ34" s="43">
        <f>O34-DATOS!$C$22-INDEX(TABLAS!$C$52:$C$58,MATCH(DATOS!$C$113,TABLAS!$B$52:$B$58,0))-INDEX(TABLAS!$C$52:$C$58,MATCH(DATOS!$C$112,TABLAS!$B$52:$B$58,0))/2</f>
        <v>74.415</v>
      </c>
      <c r="AR34" s="43">
        <f>IF(OR(L34="BORDE DE VOLADO",L34="SIN APOYO"),0,IF(IF(AM34&lt;=0,0,IF((1-2*AM34*1E5/(DATOS!$C$58*N34*AQ34^2*DATOS!$C$48))&lt;0,-1,IF((1-SQRT((1-2*AM34*1E5/(DATOS!$C$58*N34*AQ34^2*DATOS!$C$48))))*DATOS!$C$48*N34*AQ34/DATOS!$C$40&gt;DATOS!$C$82*N34*AQ34,-1,(1-SQRT((1-2*AM34*1E5/(DATOS!$C$58*N34*AQ34^2*DATOS!$C$48))))*DATOS!$C$48*N34*AQ34/DATOS!$C$40)))&lt;0,-1,MAX(IF(AM34&lt;=0,0,IF((1-2*AM34*1E5/(DATOS!$C$58*N34*AQ34^2*DATOS!$C$48))&lt;0,-1,IF((1-SQRT((1-2*AM34*1E5/(DATOS!$C$58*N34*AQ34^2*DATOS!$C$48))))*DATOS!$C$48*N34*AQ34/DATOS!$C$40&gt;DATOS!$C$82*N34*AQ34,-1,(1-SQRT((1-2*AM34*1E5/(DATOS!$C$58*N34*AQ34^2*DATOS!$C$48))))*DATOS!$C$48*N34*AQ34/DATOS!$C$40))),MIN(DATOS!$C$83*N34*AQ34,4/3*IF(AM34&lt;=0,0,IF((1-2*AM34*1E5/(DATOS!$C$58*N34*AQ34^2*DATOS!$C$48))&lt;0,-1,IF((1-SQRT((1-2*AM34*1E5/(DATOS!$C$58*N34*AQ34^2*DATOS!$C$48))))*DATOS!$C$48*N34*AQ34/DATOS!$C$40&gt;DATOS!$C$82*N34*AQ34,-1,(1-SQRT((1-2*AM34*1E5/(DATOS!$C$58*N34*AQ34^2*DATOS!$C$48))))*DATOS!$C$48*N34*AQ34/DATOS!$C$40)))))))</f>
        <v>7.83909462203521</v>
      </c>
      <c r="AS34" s="41">
        <f>IF(AR34&lt;0,0,IF(AND(AR34&gt;=0,MAX(DATOS!$C$114,CEILING(AR34/INDEX(TABLAS!$D$52:$D$58,MIN(MATCH(DATOS!$C$112,TABLAS!$B$52:$B$58,0)+0,7)),1))&lt;=MIN(99,INT((CB34+MAX(DATOS!$C$32,INDEX(TABLAS!$C$52:$C$58,MIN(MATCH(DATOS!$C$112,TABLAS!$B$52:$B$58,0)+0,7))))/(INDEX(TABLAS!$C$52:$C$58,MIN(MATCH(DATOS!$C$112,TABLAS!$B$52:$B$58,0)+0,7))+MAX(DATOS!$C$32,INDEX(TABLAS!$C$52:$C$58,MIN(MATCH(DATOS!$C$112,TABLAS!$B$52:$B$58,0)+0,7))))))),INDEX(TABLAS!$B$52:$B$58,MIN(MATCH(DATOS!$C$112,TABLAS!$B$52:$B$58,0)+0,7)),IF(AND(AR34&gt;=0,MAX(DATOS!$C$114,CEILING(AR34/INDEX(TABLAS!$D$52:$D$58,MIN(MATCH(DATOS!$C$112,TABLAS!$B$52:$B$58,0)+1,7)),1))&lt;=MIN(99,INT((CB34+MAX(DATOS!$C$32,INDEX(TABLAS!$C$52:$C$58,MIN(MATCH(DATOS!$C$112,TABLAS!$B$52:$B$58,0)+1,7))))/(INDEX(TABLAS!$C$52:$C$58,MIN(MATCH(DATOS!$C$112,TABLAS!$B$52:$B$58,0)+1,7))+MAX(DATOS!$C$32,INDEX(TABLAS!$C$52:$C$58,MIN(MATCH(DATOS!$C$112,TABLAS!$B$52:$B$58,0)+1,7))))))),INDEX(TABLAS!$B$52:$B$58,MIN(MATCH(DATOS!$C$112,TABLAS!$B$52:$B$58,0)+1,7)),IF(AND(AR34&gt;=0,MAX(DATOS!$C$114,CEILING(AR34/INDEX(TABLAS!$D$52:$D$58,MIN(MATCH(DATOS!$C$112,TABLAS!$B$52:$B$58,0)+2,7)),1))&lt;=MIN(99,INT((CB34+MAX(DATOS!$C$32,INDEX(TABLAS!$C$52:$C$58,MIN(MATCH(DATOS!$C$112,TABLAS!$B$52:$B$58,0)+2,7))))/(INDEX(TABLAS!$C$52:$C$58,MIN(MATCH(DATOS!$C$112,TABLAS!$B$52:$B$58,0)+2,7))+MAX(DATOS!$C$32,INDEX(TABLAS!$C$52:$C$58,MIN(MATCH(DATOS!$C$112,TABLAS!$B$52:$B$58,0)+2,7))))))),INDEX(TABLAS!$B$52:$B$58,MIN(MATCH(DATOS!$C$112,TABLAS!$B$52:$B$58,0)+2,7)),IF(AND(AR34&gt;=0,MAX(DATOS!$C$114,CEILING(AR34/INDEX(TABLAS!$D$52:$D$58,MIN(MATCH(DATOS!$C$112,TABLAS!$B$52:$B$58,0)+3,7)),1))&lt;=MIN(99,INT((CB34+MAX(DATOS!$C$32,INDEX(TABLAS!$C$52:$C$58,MIN(MATCH(DATOS!$C$112,TABLAS!$B$52:$B$58,0)+3,7))))/(INDEX(TABLAS!$C$52:$C$58,MIN(MATCH(DATOS!$C$112,TABLAS!$B$52:$B$58,0)+3,7))+MAX(DATOS!$C$32,INDEX(TABLAS!$C$52:$C$58,MIN(MATCH(DATOS!$C$112,TABLAS!$B$52:$B$58,0)+3,7))))))),INDEX(TABLAS!$B$52:$B$58,MIN(MATCH(DATOS!$C$112,TABLAS!$B$52:$B$58,0)+3,7)),IF(AND(AR34&gt;=0,MAX(DATOS!$C$114,CEILING(AR34/INDEX(TABLAS!$D$52:$D$58,MIN(MATCH(DATOS!$C$112,TABLAS!$B$52:$B$58,0)+4,7)),1))&lt;=MIN(99,INT((CB34+MAX(DATOS!$C$32,INDEX(TABLAS!$C$52:$C$58,MIN(MATCH(DATOS!$C$112,TABLAS!$B$52:$B$58,0)+4,7))))/(INDEX(TABLAS!$C$52:$C$58,MIN(MATCH(DATOS!$C$112,TABLAS!$B$52:$B$58,0)+4,7))+MAX(DATOS!$C$32,INDEX(TABLAS!$C$52:$C$58,MIN(MATCH(DATOS!$C$112,TABLAS!$B$52:$B$58,0)+4,7))))))),INDEX(TABLAS!$B$52:$B$58,MIN(MATCH(DATOS!$C$112,TABLAS!$B$52:$B$58,0)+4,7)),INDEX(TABLAS!$B$52:$B$58,7)))))))</f>
        <v>8</v>
      </c>
      <c r="AT34" s="58" t="n">
        <v>0</v>
      </c>
      <c r="AU34" s="56">
        <f>IF(OR(L34="BORDE DE VOLADO",L34="SIN APOYO"),0,IF(AR34&lt;0,0,MAX(DATOS!$C$114,CEILING(AR34/INDEX(TABLAS!$D$52:$D$58,MATCH(IF(AS34=0,8,AS34),TABLAS!$B$52:$B$58,0)),1))+AT34))</f>
        <v>2</v>
      </c>
      <c r="AV34" s="36">
        <f>IF(AU34=0,0,DATOS!$C$58*AU34*INDEX(TABLAS!$D$52:$D$58,MATCH(AS34,TABLAS!$B$52:$B$58,0))*DATOS!$C$40*((O34-DATOS!$C$22-INDEX(TABLAS!$C$52:$C$58,MATCH(DATOS!$C$113,TABLAS!$B$52:$B$58,0))-INDEX(TABLAS!$C$52:$C$58,MATCH(AS34,TABLAS!$B$52:$B$58,0))/2)-AU34*INDEX(TABLAS!$D$52:$D$58,MATCH(AS34,TABLAS!$B$52:$B$58,0))*DATOS!$C$40/(DATOS!$C$48*N34)/2)/1E5)</f>
        <v>26.3588555604706</v>
      </c>
      <c r="AW34" s="62">
        <f>IF(AR34&lt;0,9.99,IF(AV34&gt;0,AM34/AV34,0))</f>
        <v>0.793005586367202</v>
      </c>
      <c r="AX34" s="63">
        <f>IF(AU34=0,"—",0.003*((O34-DATOS!$C$22-INDEX(TABLAS!$C$52:$C$58,MATCH(DATOS!$C$113,TABLAS!$B$52:$B$58,0))-INDEX(TABLAS!$C$52:$C$58,MATCH(AS34,TABLAS!$B$52:$B$58,0))/2)-(AU34*INDEX(TABLAS!$D$52:$D$58,MATCH(AS34,TABLAS!$B$52:$B$58,0))*DATOS!$C$40/(DATOS!$C$48*N34)/DATOS!$C$49))/(AU34*INDEX(TABLAS!$D$52:$D$58,MATCH(AS34,TABLAS!$B$52:$B$58,0))*DATOS!$C$40/(DATOS!$C$48*N34)/DATOS!$C$49))</f>
        <v>0.0157750246548324</v>
      </c>
      <c r="AY34" s="43">
        <f>IF(OR(L34="BORDE DE VOLADO",L34="SIN APOYO"),0,IF(IF(AN34&lt;=0,0,IF((1-2*AN34*1E5/(DATOS!$C$58*N34*AQ34^2*DATOS!$C$48))&lt;0,-1,IF((1-SQRT((1-2*AN34*1E5/(DATOS!$C$58*N34*AQ34^2*DATOS!$C$48))))*DATOS!$C$48*N34*AQ34/DATOS!$C$40&gt;DATOS!$C$82*N34*AQ34,-1,(1-SQRT((1-2*AN34*1E5/(DATOS!$C$58*N34*AQ34^2*DATOS!$C$48))))*DATOS!$C$48*N34*AQ34/DATOS!$C$40)))&lt;0,-1,MAX(IF(AN34&lt;=0,0,IF((1-2*AN34*1E5/(DATOS!$C$58*N34*AQ34^2*DATOS!$C$48))&lt;0,-1,IF((1-SQRT((1-2*AN34*1E5/(DATOS!$C$58*N34*AQ34^2*DATOS!$C$48))))*DATOS!$C$48*N34*AQ34/DATOS!$C$40&gt;DATOS!$C$82*N34*AQ34,-1,(1-SQRT((1-2*AN34*1E5/(DATOS!$C$58*N34*AQ34^2*DATOS!$C$48))))*DATOS!$C$48*N34*AQ34/DATOS!$C$40))),MIN(DATOS!$C$83*IF(L34="VOLADO",MIN(BI34,2*N34),N34)*AQ34,4/3*IF(AN34&lt;=0,0,IF((1-2*AN34*1E5/(DATOS!$C$58*N34*AQ34^2*DATOS!$C$48))&lt;0,-1,IF((1-SQRT((1-2*AN34*1E5/(DATOS!$C$58*N34*AQ34^2*DATOS!$C$48))))*DATOS!$C$48*N34*AQ34/DATOS!$C$40&gt;DATOS!$C$82*N34*AQ34,-1,(1-SQRT((1-2*AN34*1E5/(DATOS!$C$58*N34*AQ34^2*DATOS!$C$48))))*DATOS!$C$48*N34*AQ34/DATOS!$C$40)))))))</f>
        <v>5.13135108611591</v>
      </c>
      <c r="AZ34" s="41">
        <f>IF(AY34&lt;0,0,IF(AND(AY34&gt;=0,MAX(DATOS!$C$114,CEILING(AY34/INDEX(TABLAS!$D$52:$D$58,MIN(MATCH(DATOS!$C$112,TABLAS!$B$52:$B$58,0)+0,7)),1))&lt;=MIN(99,INT((CB34+MAX(DATOS!$C$32,INDEX(TABLAS!$C$52:$C$58,MIN(MATCH(DATOS!$C$112,TABLAS!$B$52:$B$58,0)+0,7))))/(INDEX(TABLAS!$C$52:$C$58,MIN(MATCH(DATOS!$C$112,TABLAS!$B$52:$B$58,0)+0,7))+MAX(DATOS!$C$32,INDEX(TABLAS!$C$52:$C$58,MIN(MATCH(DATOS!$C$112,TABLAS!$B$52:$B$58,0)+0,7))))))),INDEX(TABLAS!$B$52:$B$58,MIN(MATCH(DATOS!$C$112,TABLAS!$B$52:$B$58,0)+0,7)),IF(AND(AY34&gt;=0,MAX(DATOS!$C$114,CEILING(AY34/INDEX(TABLAS!$D$52:$D$58,MIN(MATCH(DATOS!$C$112,TABLAS!$B$52:$B$58,0)+1,7)),1))&lt;=MIN(99,INT((CB34+MAX(DATOS!$C$32,INDEX(TABLAS!$C$52:$C$58,MIN(MATCH(DATOS!$C$112,TABLAS!$B$52:$B$58,0)+1,7))))/(INDEX(TABLAS!$C$52:$C$58,MIN(MATCH(DATOS!$C$112,TABLAS!$B$52:$B$58,0)+1,7))+MAX(DATOS!$C$32,INDEX(TABLAS!$C$52:$C$58,MIN(MATCH(DATOS!$C$112,TABLAS!$B$52:$B$58,0)+1,7))))))),INDEX(TABLAS!$B$52:$B$58,MIN(MATCH(DATOS!$C$112,TABLAS!$B$52:$B$58,0)+1,7)),IF(AND(AY34&gt;=0,MAX(DATOS!$C$114,CEILING(AY34/INDEX(TABLAS!$D$52:$D$58,MIN(MATCH(DATOS!$C$112,TABLAS!$B$52:$B$58,0)+2,7)),1))&lt;=MIN(99,INT((CB34+MAX(DATOS!$C$32,INDEX(TABLAS!$C$52:$C$58,MIN(MATCH(DATOS!$C$112,TABLAS!$B$52:$B$58,0)+2,7))))/(INDEX(TABLAS!$C$52:$C$58,MIN(MATCH(DATOS!$C$112,TABLAS!$B$52:$B$58,0)+2,7))+MAX(DATOS!$C$32,INDEX(TABLAS!$C$52:$C$58,MIN(MATCH(DATOS!$C$112,TABLAS!$B$52:$B$58,0)+2,7))))))),INDEX(TABLAS!$B$52:$B$58,MIN(MATCH(DATOS!$C$112,TABLAS!$B$52:$B$58,0)+2,7)),IF(AND(AY34&gt;=0,MAX(DATOS!$C$114,CEILING(AY34/INDEX(TABLAS!$D$52:$D$58,MIN(MATCH(DATOS!$C$112,TABLAS!$B$52:$B$58,0)+3,7)),1))&lt;=MIN(99,INT((CB34+MAX(DATOS!$C$32,INDEX(TABLAS!$C$52:$C$58,MIN(MATCH(DATOS!$C$112,TABLAS!$B$52:$B$58,0)+3,7))))/(INDEX(TABLAS!$C$52:$C$58,MIN(MATCH(DATOS!$C$112,TABLAS!$B$52:$B$58,0)+3,7))+MAX(DATOS!$C$32,INDEX(TABLAS!$C$52:$C$58,MIN(MATCH(DATOS!$C$112,TABLAS!$B$52:$B$58,0)+3,7))))))),INDEX(TABLAS!$B$52:$B$58,MIN(MATCH(DATOS!$C$112,TABLAS!$B$52:$B$58,0)+3,7)),IF(AND(AY34&gt;=0,MAX(DATOS!$C$114,CEILING(AY34/INDEX(TABLAS!$D$52:$D$58,MIN(MATCH(DATOS!$C$112,TABLAS!$B$52:$B$58,0)+4,7)),1))&lt;=MIN(99,INT((CB34+MAX(DATOS!$C$32,INDEX(TABLAS!$C$52:$C$58,MIN(MATCH(DATOS!$C$112,TABLAS!$B$52:$B$58,0)+4,7))))/(INDEX(TABLAS!$C$52:$C$58,MIN(MATCH(DATOS!$C$112,TABLAS!$B$52:$B$58,0)+4,7))+MAX(DATOS!$C$32,INDEX(TABLAS!$C$52:$C$58,MIN(MATCH(DATOS!$C$112,TABLAS!$B$52:$B$58,0)+4,7))))))),INDEX(TABLAS!$B$52:$B$58,MIN(MATCH(DATOS!$C$112,TABLAS!$B$52:$B$58,0)+4,7)),INDEX(TABLAS!$B$52:$B$58,7)))))))</f>
        <v>5</v>
      </c>
      <c r="BA34" s="56">
        <f>IF(OR(L34="BORDE DE VOLADO",L34="SIN APOYO"),0,IF(AY34&lt;0,0,MAX(DATOS!$C$114,CEILING(AY34/INDEX(TABLAS!$D$52:$D$58,MATCH(IF(AZ34=0,8,AZ34),TABLAS!$B$52:$B$58,0)),1))))</f>
        <v>3</v>
      </c>
      <c r="BB34" s="36">
        <f>IF(BA34=0,0,DATOS!$C$58*BA34*INDEX(TABLAS!$D$52:$D$58,MATCH(AZ34,TABLAS!$B$52:$B$58,0))*DATOS!$C$40*((O34-DATOS!$C$22-INDEX(TABLAS!$C$52:$C$58,MATCH(DATOS!$C$113,TABLAS!$B$52:$B$58,0))-INDEX(TABLAS!$C$52:$C$58,MATCH(AZ34,TABLAS!$B$52:$B$58,0))/2)-BA34*INDEX(TABLAS!$D$52:$D$58,MATCH(AZ34,TABLAS!$B$52:$B$58,0))*DATOS!$C$40/(DATOS!$C$48*N34)/2)/1E5)</f>
        <v>16.0136090322353</v>
      </c>
      <c r="BC34" s="62">
        <f>IF(AY34&lt;0,9.99,IF(BB34&gt;0,AN34/BB34,0))</f>
        <v>0.870641591055713</v>
      </c>
      <c r="BD34" s="63">
        <f>IF(BA34=0,"—",0.003*((O34-DATOS!$C$22-INDEX(TABLAS!$C$52:$C$58,MATCH(DATOS!$C$113,TABLAS!$B$52:$B$58,0))-INDEX(TABLAS!$C$52:$C$58,MATCH(AZ34,TABLAS!$B$52:$B$58,0))/2)-(BA34*INDEX(TABLAS!$D$52:$D$58,MATCH(AZ34,TABLAS!$B$52:$B$58,0))*DATOS!$C$40/(DATOS!$C$48*N34)/DATOS!$C$49))/(BA34*INDEX(TABLAS!$D$52:$D$58,MATCH(AZ34,TABLAS!$B$52:$B$58,0))*DATOS!$C$40/(DATOS!$C$48*N34)/DATOS!$C$49))</f>
        <v>0.0292566363035113</v>
      </c>
      <c r="BE34" s="36">
        <f>IF(BA34=0,0,DATOS!$C$59*MIN(1.25,MAX(0.5,2*MAX(1E-6,MIN(AU34*INDEX(TABLAS!$D$52:$D$58,MATCH(MAX(AS34,2),TABLAS!$B$52:$B$58,0)),BA34*INDEX(TABLAS!$D$52:$D$58,MATCH(MAX(AZ34,2),TABLAS!$B$52:$B$58,0)))/(N34*AQ34))^(1/3)))*SQRT(DATOS!$C$39)*N34*AQ34/1000)</f>
        <v>8.82453345305362</v>
      </c>
      <c r="BF34" s="57">
        <f>IF(AO34=0,0,FLOOR(MIN(IF(AO34&gt;BE34,DATOS!$C$59*2*INDEX(TABLAS!$D$52:$D$58,MATCH(DATOS!$C$113,TABLAS!$B$52:$B$58,0))*DATOS!$C$42*AQ34/((AO34-BE34)*1000),999),IF(MAX(0,AO34-BE34)/DATOS!$C$59&lt;=1.1*SQRT(DATOS!$C$39)*N34*AQ34/1000,MIN(AQ34/2,60),MIN(AQ34/4,30)),2*INDEX(TABLAS!$D$52:$D$58,MATCH(DATOS!$C$113,TABLAS!$B$52:$B$58,0))*DATOS!$C$42/(MAX(0.2*SQRT(DATOS!$C$39),3.5)*N34),MIN(16*INDEX(TABLAS!$C$52:$C$58,MATCH(MIN(MAX(AS34,2),MAX(AZ34,2)),TABLAS!$B$52:$B$58,0)),48*INDEX(TABLAS!$C$52:$C$58,MATCH(DATOS!$C$113,TABLAS!$B$52:$B$58,0))),DATOS!$C$115),0.5))</f>
        <v>20</v>
      </c>
      <c r="BG34" s="57">
        <f>BF34</f>
        <v>20</v>
      </c>
      <c r="BH34" s="51" t="str">
        <f>IF(AO34=0,"—",IF(AO34&gt;DATOS!$C$59*(BE34/DATOS!$C$59+2.2*SQRT(DATOS!$C$39)*N34*AQ34/1000),"SECCIÓN INSUFICIENTE","E No. "&amp;TEXT(DATOS!$C$113,"0")&amp;IF(BG34&lt;BF34," @ "&amp;TEXT(BG34,"0.0")&amp;" en 2h y"," @")&amp;" "&amp;TEXT(BF34,"0.0")&amp;" cm"))</f>
        <v>E No. 3 @ 20.0 cm</v>
      </c>
      <c r="BI34" s="56">
        <f>N34+2*MIN(8*DATOS!$C$14,DATOS!$C$11/2,G34*100/8)</f>
        <v>80</v>
      </c>
      <c r="BJ34" s="71">
        <f>BI34*DATOS!$C$14^3/12+BI34*DATOS!$C$14*(((BI34*DATOS!$C$14^2/2+N34*(O34-DATOS!$C$14)*(DATOS!$C$14+(O34-DATOS!$C$14)/2))/(BI34*DATOS!$C$14+N34*(O34-DATOS!$C$14)))-DATOS!$C$14/2)^2+N34*(O34-DATOS!$C$14)^3/12+N34*(O34-DATOS!$C$14)*(DATOS!$C$14+(O34-DATOS!$C$14)/2-((BI34*DATOS!$C$14^2/2+N34*(O34-DATOS!$C$14)*(DATOS!$C$14+(O34-DATOS!$C$14)/2))/(BI34*DATOS!$C$14+N34*(O34-DATOS!$C$14))))^2</f>
        <v>1209221.49122807</v>
      </c>
      <c r="BK34" s="43">
        <f>O34-DATOS!$C$22-INDEX(TABLAS!$C$52:$C$58,MATCH(DATOS!$C$113,TABLAS!$B$52:$B$58,0))-INDEX(TABLAS!$C$52:$C$58,MATCH(MAX(IF(L34="VOLADO",AZ34,AS34),2),TABLAS!$B$52:$B$58,0))/2</f>
        <v>73.78</v>
      </c>
      <c r="BL34" s="43">
        <f>DATOS!$C$46/DATOS!$C$45*IF(L34="VOLADO",BA34*INDEX(TABLAS!$D$52:$D$58,MATCH(MAX(AZ34,2),TABLAS!$B$52:$B$58,0)),AU34*INDEX(TABLAS!$D$52:$D$58,MATCH(MAX(AS34,2),TABLAS!$B$52:$B$58,0)))</f>
        <v>91.6157013545925</v>
      </c>
      <c r="BM34" s="43">
        <f>IF(BL34&lt;=0,0,(SQRT(2*(BL34/(IF(L34="VOLADO",N34,BI34)*BK34))+(BL34/(IF(L34="VOLADO",N34,BI34)*BK34))^2)-(BL34/(IF(L34="VOLADO",N34,BI34)*BK34)))*BK34)</f>
        <v>11.9045790429471</v>
      </c>
      <c r="BN34" s="71">
        <f>IF(AND(L34&lt;&gt;"VOLADO",BM34&gt;DATOS!$C$14),(BI34*DATOS!$C$14^3/12+BI34*DATOS!$C$14*(((-((BI34-N34)*DATOS!$C$14+BL34)+SQRT(((BI34-N34)*DATOS!$C$14+BL34)^2+2*N34*((BI34-N34)*DATOS!$C$14^2/2+BL34*BK34)))/N34)-DATOS!$C$14/2)^2+N34*(((-((BI34-N34)*DATOS!$C$14+BL34)+SQRT(((BI34-N34)*DATOS!$C$14+BL34)^2+2*N34*((BI34-N34)*DATOS!$C$14^2/2+BL34*BK34)))/N34)-DATOS!$C$14)^3/3+BL34*(BK34-((-((BI34-N34)*DATOS!$C$14+BL34)+SQRT(((BI34-N34)*DATOS!$C$14+BL34)^2+2*N34*((BI34-N34)*DATOS!$C$14^2/2+BL34*BK34)))/N34))^2),(IF(L34="VOLADO",N34,BI34)*BM34^3/3+BL34*(BK34-BM34)^2))</f>
        <v>385989.003057467</v>
      </c>
      <c r="BO34" s="71">
        <f>IF(AP34&lt;=0,BJ34,IF((AP34*1E5)&lt;=2/3*(DATOS!$C$47*BJ34/IF(L34="VOLADO",((BI34*DATOS!$C$14^2/2+N34*(O34-DATOS!$C$14)*(DATOS!$C$14+(O34-DATOS!$C$14)/2))/(BI34*DATOS!$C$14+N34*(O34-DATOS!$C$14))),O34-((BI34*DATOS!$C$14^2/2+N34*(O34-DATOS!$C$14)*(DATOS!$C$14+(O34-DATOS!$C$14)/2))/(BI34*DATOS!$C$14+N34*(O34-DATOS!$C$14))))),BJ34,IF(BL34&lt;=0,0,BN34/(1-(2/3*(DATOS!$C$47*BJ34/IF(L34="VOLADO",((BI34*DATOS!$C$14^2/2+N34*(O34-DATOS!$C$14)*(DATOS!$C$14+(O34-DATOS!$C$14)/2))/(BI34*DATOS!$C$14+N34*(O34-DATOS!$C$14))),O34-((BI34*DATOS!$C$14^2/2+N34*(O34-DATOS!$C$14)*(DATOS!$C$14+(O34-DATOS!$C$14)/2))/(BI34*DATOS!$C$14+N34*(O34-DATOS!$C$14)))))/(AP34*1E5))^2*(1-BN34/BJ34)))))</f>
        <v>421574.687739661</v>
      </c>
      <c r="BP34" s="62">
        <f>IF(OR(L34="APOYADA",L34="VOLADO"),(IF(L34="VOLADO",(AP34-AH34)/4+AH34/3,5/48*AP34)*1E5*(G34*100)^2/(DATOS!$C$45*MAX(BO34,1)))*(1+2/(1+50*IF(L34="VOLADO",AU34*INDEX(TABLAS!$D$52:$D$58,MATCH(MAX(AS34,2),TABLAS!$B$52:$B$58,0)),DATOS!$C$114*INDEX(TABLAS!$D$52:$D$58,MATCH(MAX(AZ34,2),TABLAS!$B$52:$B$58,0)))/(N34*BK34))*((AA34+AC34)/MAX(AA34+AB34,1E-6))),0)</f>
        <v>1.38017227735455</v>
      </c>
      <c r="BQ34" s="43">
        <f>IF(S34&gt;0,0.3+G34*100/480,0.5+G34*100/240)</f>
        <v>1.44520833333333</v>
      </c>
      <c r="BR34" s="43">
        <f>IF(S34&gt;0,(T34+U34)*G34+AG34,0)</f>
        <v>16.6448496498516</v>
      </c>
      <c r="BS34" s="43">
        <f>IF(S34&gt;0,(DATOS!$C$51*DATOS!$C$103*100*(G34*100)^3/(DATOS!$C$45*BJ34*((BR34*1000/(DATOS!$C$103*100*S34*100)*DATOS!$C$103*100*(MIN(1,S34/G34)^4-4*MIN(1,S34/G34)^3+8*MIN(1,S34/G34)))/((BR34*1000/(DATOS!$C$103*100*S34*100)*DATOS!$C$103*100*(MIN(1,S34/G34)^4-4*MIN(1,S34/G34)^3+8*MIN(1,S34/G34)))+5*((R34+X34+Y34+IF(L34="APOYADA",8*(TRANSFER!$H$7)/G34^2,0))*10)))))^0.25,0)</f>
        <v>5.10743600384366</v>
      </c>
      <c r="BT34" s="57">
        <f>IF(S34&gt;0,MAX(1,IF(MIN(1,S34/G34)&gt;=1,(1.6*BS34-3.9),IF(MIN(1,S34/G34)&lt;0.9,((3.2*BS34-7.8)*1),((3.2*BS34-7.8)*1)+((1.6*BS34-3.9)-((3.2*BS34-7.8)*1))*(MIN(1,S34/G34)-0.9)/0.1)))*BR34*1000/(DATOS!$C$103*100*S34*100),0)</f>
        <v>8.62350292570803</v>
      </c>
      <c r="BU34" s="65" t="str">
        <f>IF(S34=0,"—",IF(DATOS!$C$105/S34&lt;0.6,"REVISAR: H/L &lt; 0.6, interacción muro-viga",IF(BT34&lt;=DATOS!$C$60*DATOS!$C$50,"CUMPLE","NO CUMPLE f_CM &gt; F_R·f'm")))</f>
        <v>REVISAR: H/L &lt; 0.6, interacción muro-viga</v>
      </c>
      <c r="BV34" s="57">
        <f>IF(S34&gt;0,MAX(25,IF(BJ34&gt;=(G34*100)^3/1600,0,MIN(G34*100/14,(12*(G34*100)^3/1600/N34)^(1/3)))),IF(L34="APOYADA",MAX(25,G34*100/16),IF(L34="VOLADO",MAX(25,G34*100/8),0)))</f>
        <v>25</v>
      </c>
      <c r="BW34" s="57">
        <f>IF(S34&gt;0,IF(BJ34&gt;=(5/4*(G34*100)^3/DATOS!$C$45*((((S34*DATOS!$C$107+(((SUMIFS(TRIB!$I$6:$I$255,TRIB!$B$6:$B$255,"DM-127")-SUMIFS(TRIB!$L$6:$L$255,TRIB!$B$6:$B$255,"DM-127"))*1.0+(SUMIFS(TRIB!$I$6:$I$255,TRIB!$B$6:$B$255,"DM-128")-SUMIFS(TRIB!$L$6:$L$255,TRIB!$B$6:$B$255,"DM-128"))*1.0+(SUMIFS(TRIB!$I$6:$I$255,TRIB!$B$6:$B$255,"DM-129")-SUMIFS(TRIB!$L$6:$L$255,TRIB!$B$6:$B$255,"DM-129"))*0.5903)/G34+(SUMIFS(TRIB!$M$6:$M$255,TRIB!$B$6:$B$255,"DM-127")*1.0+SUMIFS(TRIB!$M$6:$M$255,TRIB!$B$6:$B$255,"DM-128")*1.0+SUMIFS(TRIB!$M$6:$M$255,TRIB!$B$6:$B$255,"DM-129")*0.5903)/G34)*G34+AG34/DATOS!$C$55)*1000)/(DATOS!$C$103*100*S34*100)*DATOS!$C$103*100*(MIN(1,S34/G34)^4-4*MIN(1,S34/G34)^3+8*MIN(1,S34/G34)))+5*((AA34-S34*DATOS!$C$107/G34-(((SUMIFS(TRIB!$I$6:$I$255,TRIB!$B$6:$B$255,"DM-127")-SUMIFS(TRIB!$L$6:$L$255,TRIB!$B$6:$B$255,"DM-127"))*1.0+(SUMIFS(TRIB!$I$6:$I$255,TRIB!$B$6:$B$255,"DM-128")-SUMIFS(TRIB!$L$6:$L$255,TRIB!$B$6:$B$255,"DM-128"))*1.0+(SUMIFS(TRIB!$I$6:$I$255,TRIB!$B$6:$B$255,"DM-129")-SUMIFS(TRIB!$L$6:$L$255,TRIB!$B$6:$B$255,"DM-129"))*0.5903)/G34))*10))),0,MIN((G34*100/((1/15*DATOS!$C$45*N34/((((S34*DATOS!$C$107+(((SUMIFS(TRIB!$I$6:$I$255,TRIB!$B$6:$B$255,"DM-127")-SUMIFS(TRIB!$L$6:$L$255,TRIB!$B$6:$B$255,"DM-127"))*1.0+(SUMIFS(TRIB!$I$6:$I$255,TRIB!$B$6:$B$255,"DM-128")-SUMIFS(TRIB!$L$6:$L$255,TRIB!$B$6:$B$255,"DM-128"))*1.0+(SUMIFS(TRIB!$I$6:$I$255,TRIB!$B$6:$B$255,"DM-129")-SUMIFS(TRIB!$L$6:$L$255,TRIB!$B$6:$B$255,"DM-129"))*0.5903)/G34+(SUMIFS(TRIB!$M$6:$M$255,TRIB!$B$6:$B$255,"DM-127")*1.0+SUMIFS(TRIB!$M$6:$M$255,TRIB!$B$6:$B$255,"DM-128")*1.0+SUMIFS(TRIB!$M$6:$M$255,TRIB!$B$6:$B$255,"DM-129")*0.5903)/G34)*G34+AG34/DATOS!$C$55)*1000)/(DATOS!$C$103*100*S34*100)*DATOS!$C$103*100*(MIN(1,S34/G34)^4-4*MIN(1,S34/G34)^3+8*MIN(1,S34/G34)))+5*((AA34-S34*DATOS!$C$107/G34-(((SUMIFS(TRIB!$I$6:$I$255,TRIB!$B$6:$B$255,"DM-127")-SUMIFS(TRIB!$L$6:$L$255,TRIB!$B$6:$B$255,"DM-127"))*1.0+(SUMIFS(TRIB!$I$6:$I$255,TRIB!$B$6:$B$255,"DM-128")-SUMIFS(TRIB!$L$6:$L$255,TRIB!$B$6:$B$255,"DM-128"))*1.0+(SUMIFS(TRIB!$I$6:$I$255,TRIB!$B$6:$B$255,"DM-129")-SUMIFS(TRIB!$L$6:$L$255,TRIB!$B$6:$B$255,"DM-129"))*0.5903)/G34))*10)))^(1/3))),(12*(5/4*(G34*100)^3/DATOS!$C$45*((((S34*DATOS!$C$107+(((SUMIFS(TRIB!$I$6:$I$255,TRIB!$B$6:$B$255,"DM-127")-SUMIFS(TRIB!$L$6:$L$255,TRIB!$B$6:$B$255,"DM-127"))*1.0+(SUMIFS(TRIB!$I$6:$I$255,TRIB!$B$6:$B$255,"DM-128")-SUMIFS(TRIB!$L$6:$L$255,TRIB!$B$6:$B$255,"DM-128"))*1.0+(SUMIFS(TRIB!$I$6:$I$255,TRIB!$B$6:$B$255,"DM-129")-SUMIFS(TRIB!$L$6:$L$255,TRIB!$B$6:$B$255,"DM-129"))*0.5903)/G34+(SUMIFS(TRIB!$M$6:$M$255,TRIB!$B$6:$B$255,"DM-127")*1.0+SUMIFS(TRIB!$M$6:$M$255,TRIB!$B$6:$B$255,"DM-128")*1.0+SUMIFS(TRIB!$M$6:$M$255,TRIB!$B$6:$B$255,"DM-129")*0.5903)/G34)*G34+AG34/DATOS!$C$55)*1000)/(DATOS!$C$103*100*S34*100)*DATOS!$C$103*100*(MIN(1,S34/G34)^4-4*MIN(1,S34/G34)^3+8*MIN(1,S34/G34)))+5*((AA34-S34*DATOS!$C$107/G34-(((SUMIFS(TRIB!$I$6:$I$255,TRIB!$B$6:$B$255,"DM-127")-SUMIFS(TRIB!$L$6:$L$255,TRIB!$B$6:$B$255,"DM-127"))*1.0+(SUMIFS(TRIB!$I$6:$I$255,TRIB!$B$6:$B$255,"DM-128")-SUMIFS(TRIB!$L$6:$L$255,TRIB!$B$6:$B$255,"DM-128"))*1.0+(SUMIFS(TRIB!$I$6:$I$255,TRIB!$B$6:$B$255,"DM-129")-SUMIFS(TRIB!$L$6:$L$255,TRIB!$B$6:$B$255,"DM-129"))*0.5903)/G34))*10)))/N34)^(1/3))),0)</f>
        <v>0</v>
      </c>
      <c r="BX34" s="57">
        <f>SQRT(MAX(AM34,AN34)*1E5/(DATOS!$C$58*N34*DATOS!$C$48*(DATOS!$C$82*DATOS!$C$40/DATOS!$C$48)*(1-(DATOS!$C$82*DATOS!$C$40/DATOS!$C$48)/2)))+(O34-AQ34)</f>
        <v>50.7455717067162</v>
      </c>
      <c r="BY34" s="59">
        <f>IF(OR(L34="BORDE DE VOLADO",L34="SIN APOYO"),0,CEILING(MAX(BV34,BW34,BX34,DATOS!$C$15),5))</f>
        <v>55</v>
      </c>
      <c r="BZ34" s="72" t="str">
        <f>IF(L34="BORDE DE VOLADO","BORDE DE VOLADO — armado de orilla",IF(L34="SIN APOYO","SIN APOYO — REVISAR",IF(AND(AW34&lt;=1,BC34&lt;=1,IF(AU34=0,TRUE,AU34&lt;=INT((CB34+DATOS!$C$32)/(INDEX(TABLAS!$C$52:$C$58,MATCH(MAX(AS34,2),TABLAS!$B$52:$B$58,0))+DATOS!$C$32))),IF(BA34=0,TRUE,BA34&lt;=INT((CB34+DATOS!$C$32)/(INDEX(TABLAS!$C$52:$C$58,MATCH(MAX(AZ34,2),TABLAS!$B$52:$B$58,0))+DATOS!$C$32))),AND(OR(NOT(ISNUMBER(AX34)),AX34&gt;=0.005),OR(NOT(ISNUMBER(BD34)),BD34&gt;=0.005)),BH34&lt;&gt;"SECCIÓN INSUFICIENTE",AND(O34&gt;=BV34,O34&gt;=BW34,O34/N34&lt;=6),BP34&lt;=BQ34,OR(S34=0,LEFT(BU34,6)&lt;&gt;"NO CUM")),IF(LEFT(BU34,7)="REVISAR","PENDIENTE: H/L &lt; 0.6, falta el análisis de interacción muro-viga (NTC-M 4.1.18.2.1, p. 44)","CUMPLE")&amp;IF(L34="VOLADO"," (en VOLADO)",""),"NO CUMPLE: "&amp;IF(OR(AR34&lt;0,AY34&lt;0),"sección insuficiente en flexión ",IF(OR(AW34&gt;1,BC34&gt;1),"flexión ",""))&amp;IF(NOT(AND(IF(AU34=0,TRUE,AU34&lt;=INT((CB34+DATOS!$C$32)/(INDEX(TABLAS!$C$52:$C$58,MATCH(MAX(AS34,2),TABLAS!$B$52:$B$58,0))+DATOS!$C$32))),IF(BA34=0,TRUE,BA34&lt;=INT((CB34+DATOS!$C$32)/(INDEX(TABLAS!$C$52:$C$58,MATCH(MAX(AZ34,2),TABLAS!$B$52:$B$58,0))+DATOS!$C$32))))),"no caben ","")&amp;IF(NOT(AND(OR(NOT(ISNUMBER(AX34)),AX34&gt;=0.005),OR(NOT(ISNUMBER(BD34)),BD34&gt;=0.005))),"ε_t ","")&amp;IF(BH34="SECCIÓN INSUFICIENTE","cortante ","")&amp;IF(NOT(AND(O34&gt;=BV34,O34&gt;=BW34,O34/N34&lt;=6)),"peralte ","")&amp;IF(NOT(BP34&lt;=BQ34),"flecha ","")&amp;IF(NOT(OR(S34=0,LEFT(BU34,6)&lt;&gt;"NO CUM")),"muro sobre viga ","")&amp;"→ h ≥ "&amp;TEXT(MAX(BY34,IF(BP34&gt;BQ34,MAX(O34+5,CEILING(O34*(BP34/BQ34)^(1/3),5)),0)),"0")&amp;" cm"&amp;IF(NOT(AND(IF(AU34=0,TRUE,AU34&lt;=INT((CB34+DATOS!$C$32)/(INDEX(TABLAS!$C$52:$C$58,MATCH(MAX(AS34,2),TABLAS!$B$52:$B$58,0))+DATOS!$C$32))),IF(BA34=0,TRUE,BA34&lt;=INT((CB34+DATOS!$C$32)/(INDEX(TABLAS!$C$52:$C$58,MATCH(MAX(AZ34,2),TABLAS!$B$52:$B$58,0))+DATOS!$C$32)))))," y b ≥ "&amp;TEXT(N34+5,"0")&amp;" cm","")&amp;" (verificar)")))</f>
        <v>PENDIENTE: H/L &lt; 0.6, falta el análisis de interacción muro-viga (NTC-M 4.1.18.2.1, p. 44)</v>
      </c>
      <c r="CA34" s="65" t="inlineStr">
        <is>
          <t>Extremo i en castillo propuesto C6. Recibe a NP-11. Muro de planta alta encima (5.50 m) con la azotea de DM-127, DM-128, DM-129: viga que soporta muro estructural (NTC-Mampostería 4.1.18): la flecha se calcula y el límite es 0.3 cm + L/480.</t>
        </is>
      </c>
      <c r="CB34" s="43">
        <f>N34-2*DATOS!$C$22-2*INDEX(TABLAS!$C$52:$C$58,MATCH(DATOS!$C$113,TABLAS!$B$52:$B$58,0))</f>
        <v>10.1</v>
      </c>
    </row>
    <row r="35" ht="30" customHeight="1">
      <c r="B35" s="60" t="inlineStr">
        <is>
          <t>NP-27</t>
        </is>
      </c>
      <c r="C35" s="52" t="inlineStr">
        <is>
          <t>N+3.00</t>
        </is>
      </c>
      <c r="D35" s="51" t="inlineStr">
        <is>
          <t>Eje F (x = 5.441)</t>
        </is>
      </c>
      <c r="E35" s="52" t="inlineStr">
        <is>
          <t>(5.441, 15.447)</t>
        </is>
      </c>
      <c r="F35" s="52" t="inlineStr">
        <is>
          <t>(5.441, 15.846)</t>
        </is>
      </c>
      <c r="G35" s="55" t="n">
        <v>0.399</v>
      </c>
      <c r="H35" s="52" t="inlineStr">
        <is>
          <t>FIRME</t>
        </is>
      </c>
      <c r="I35" s="52" t="inlineStr">
        <is>
          <t>LIBRE</t>
        </is>
      </c>
      <c r="J35" s="52" t="inlineStr">
        <is>
          <t>—</t>
        </is>
      </c>
      <c r="K35" s="52" t="inlineStr">
        <is>
          <t>—</t>
        </is>
      </c>
      <c r="L35" s="60" t="str">
        <f>IF(AND(OR(H35="FIRME",H35="NERVADURA",H35="PUNTA"),OR(I35="FIRME",I35="NERVADURA",I35="PUNTA")),"APOYADA",IF(OR(OR(H35="FIRME",H35="NERVADURA",H35="PUNTA"),OR(I35="FIRME",I35="NERVADURA",I35="PUNTA")),"VOLADO","SIN APOYO"))</f>
        <v>VOLADO</v>
      </c>
      <c r="M35" s="52" t="str">
        <f>IF(L35="VOLADO",IF(OR(H35="FIRME",H35="NERVADURA",H35="PUNTA"),"i","j"),"—")</f>
        <v>i</v>
      </c>
      <c r="N35" s="58" t="n">
        <v>20</v>
      </c>
      <c r="O35" s="58" t="n">
        <v>45</v>
      </c>
      <c r="P35" s="65" t="str">
        <f>IF(L35="BORDE DE VOLADO","—",IF(OR(N35&lt;&gt;DATOS!$C$17,O35&lt;&gt;DATOS!$C$15),"PERALTAR: trabe "&amp;TEXT(N35,"0")&amp;"×"&amp;TEXT(O35,"0")&amp;IF(O35&gt;DATOS!$C$15," (descuelga "&amp;TEXT(O35-DATOS!$C$15,"0")&amp;" cm)",""),"Queda en la losa (15×25)"))</f>
        <v>PERALTAR: trabe 20×45 (descuelga 20 cm)</v>
      </c>
      <c r="Q35" s="43">
        <f>SUMIFS(TRIB!$E$6:$E$255,TRIB!$B$6:$B$255,"NP-27")</f>
        <v>0.1081</v>
      </c>
      <c r="R35" s="36">
        <f>SUMIFS(TRIB!$G$6:$G$255,TRIB!$B$6:$B$255,"NP-27")/G35</f>
        <v>0.246077776072835</v>
      </c>
      <c r="S35" s="69" t="n">
        <v>0.399</v>
      </c>
      <c r="T35" s="36">
        <f>DATOS!$C$55*S35*DATOS!$C$107/G35</f>
        <v>1.233375</v>
      </c>
      <c r="U35" s="36">
        <f>(SUMIFS(TRIB!$G$6:$G$255,TRIB!$B$6:$B$255,"DM-129")*0.4097)/G35</f>
        <v>1.38799111719452</v>
      </c>
      <c r="V35" s="61" t="n">
        <v>0</v>
      </c>
      <c r="W35" s="61" t="n">
        <v>0</v>
      </c>
      <c r="X35" s="36">
        <f>(DATOS!$C$55*V35+DATOS!$C$56*W35)/1000</f>
        <v>0</v>
      </c>
      <c r="Y35" s="36">
        <f>DATOS!$C$55*(N35/100*O35/100*DATOS!$C$43-N35/100*DATOS!$C$70/1000)</f>
        <v>0.219524897959184</v>
      </c>
      <c r="Z35" s="70">
        <f>R35+T35+U35+X35+Y35</f>
        <v>3.08696879122654</v>
      </c>
      <c r="AA35" s="36">
        <f>(SUMIFS(TRIB!$I$6:$I$255,TRIB!$B$6:$B$255,"NP-27")-SUMIFS(TRIB!$L$6:$L$255,TRIB!$B$6:$B$255,"NP-27"))/G35+S35*DATOS!$C$107/G35+((SUMIFS(TRIB!$I$6:$I$255,TRIB!$B$6:$B$255,"DM-129")-SUMIFS(TRIB!$L$6:$L$255,TRIB!$B$6:$B$255,"DM-129"))*0.4097)/G35+V35/1000+Y35/DATOS!$C$55</f>
        <v>2.14388714709734</v>
      </c>
      <c r="AB35" s="36">
        <f>SUMIFS(TRIB!$L$6:$L$255,TRIB!$B$6:$B$255,"NP-27")/G35+(SUMIFS(TRIB!$L$6:$L$255,TRIB!$B$6:$B$255,"DM-129")*0.4097)/G35+W35/1000</f>
        <v>0.199943666666667</v>
      </c>
      <c r="AC35" s="36">
        <f>SUMIFS(TRIB!$M$6:$M$255,TRIB!$B$6:$B$255,"NP-27")/G35+(SUMIFS(TRIB!$M$6:$M$255,TRIB!$B$6:$B$255,"DM-129")*0.4097)/G35+W35/1000*DATOS!$C$91/DATOS!$C$89</f>
        <v>0.0439443068922306</v>
      </c>
      <c r="AD35" s="36">
        <f>TRANSFER!$F$8</f>
        <v>7.896316080731</v>
      </c>
      <c r="AE35" s="36">
        <f>TRANSFER!$H$8</f>
        <v>3.15063011621167</v>
      </c>
      <c r="AF35" s="36">
        <f>TRANSFER!$I$8</f>
        <v>7.896316080731</v>
      </c>
      <c r="AG35" s="36">
        <f>0</f>
        <v>0</v>
      </c>
      <c r="AH35" s="36">
        <f>TRANSFER!$N$8</f>
        <v>2.38457203367331</v>
      </c>
      <c r="AI35" s="36">
        <f>IF(L35="APOYADA",Z35*G35/2+TRANSFER!$J$8,IF(AND(L35="VOLADO",M35="i"),Z35*G35+AD35,0))</f>
        <v>9.12801662843039</v>
      </c>
      <c r="AJ35" s="36">
        <f>IF(L35="APOYADA",Z35*G35/2+TRANSFER!$K$8,IF(AND(L35="VOLADO",M35="j"),Z35*G35+AD35,0))</f>
        <v>0</v>
      </c>
      <c r="AK35" s="36">
        <f>IF(L35="APOYADA",(AA35+AB35)*G35/2+TRANSFER!$O$8,IF(AND(L35="VOLADO",M35="i"),(AA35+AB35)*G35+TRANSFER!$M$8,0))</f>
        <v>6.9115595064044</v>
      </c>
      <c r="AL35" s="36">
        <f>IF(L35="APOYADA",(AA35+AB35)*G35/2+TRANSFER!$P$8,IF(AND(L35="VOLADO",M35="j"),(AA35+AB35)*G35+TRANSFER!$M$8,0))</f>
        <v>0</v>
      </c>
      <c r="AM35" s="70">
        <f>IF(L35="APOYADA",Z35*G35^2/8+AE35,0)</f>
        <v>0</v>
      </c>
      <c r="AN35" s="70">
        <f>IF(L35="APOYADA",DATOS!$C$64*AM35,IF(L35="VOLADO",Z35*G35^2/2+AE35,0))</f>
        <v>3.3963543754777</v>
      </c>
      <c r="AO35" s="70">
        <f>IF(L35="APOYADA",Z35*G35/2+AF35,IF(L35="VOLADO",Z35*G35+AF35,0))</f>
        <v>9.12801662843039</v>
      </c>
      <c r="AP35" s="36">
        <f>IF(L35="APOYADA",(AA35+AB35)*G35^2/8+AH35,IF(L35="VOLADO",(AA35+AB35)*G35^2/2+AH35,0))</f>
        <v>2.57114213836433</v>
      </c>
      <c r="AQ35" s="43">
        <f>O35-DATOS!$C$22-INDEX(TABLAS!$C$52:$C$58,MATCH(DATOS!$C$113,TABLAS!$B$52:$B$58,0))-INDEX(TABLAS!$C$52:$C$58,MATCH(DATOS!$C$112,TABLAS!$B$52:$B$58,0))/2</f>
        <v>39.415</v>
      </c>
      <c r="AR35" s="43">
        <f>IF(OR(L35="BORDE DE VOLADO",L35="SIN APOYO"),0,IF(IF(AM35&lt;=0,0,IF((1-2*AM35*1E5/(DATOS!$C$58*N35*AQ35^2*DATOS!$C$48))&lt;0,-1,IF((1-SQRT((1-2*AM35*1E5/(DATOS!$C$58*N35*AQ35^2*DATOS!$C$48))))*DATOS!$C$48*N35*AQ35/DATOS!$C$40&gt;DATOS!$C$82*N35*AQ35,-1,(1-SQRT((1-2*AM35*1E5/(DATOS!$C$58*N35*AQ35^2*DATOS!$C$48))))*DATOS!$C$48*N35*AQ35/DATOS!$C$40)))&lt;0,-1,MAX(IF(AM35&lt;=0,0,IF((1-2*AM35*1E5/(DATOS!$C$58*N35*AQ35^2*DATOS!$C$48))&lt;0,-1,IF((1-SQRT((1-2*AM35*1E5/(DATOS!$C$58*N35*AQ35^2*DATOS!$C$48))))*DATOS!$C$48*N35*AQ35/DATOS!$C$40&gt;DATOS!$C$82*N35*AQ35,-1,(1-SQRT((1-2*AM35*1E5/(DATOS!$C$58*N35*AQ35^2*DATOS!$C$48))))*DATOS!$C$48*N35*AQ35/DATOS!$C$40))),MIN(DATOS!$C$83*N35*AQ35,4/3*IF(AM35&lt;=0,0,IF((1-2*AM35*1E5/(DATOS!$C$58*N35*AQ35^2*DATOS!$C$48))&lt;0,-1,IF((1-SQRT((1-2*AM35*1E5/(DATOS!$C$58*N35*AQ35^2*DATOS!$C$48))))*DATOS!$C$48*N35*AQ35/DATOS!$C$40&gt;DATOS!$C$82*N35*AQ35,-1,(1-SQRT((1-2*AM35*1E5/(DATOS!$C$58*N35*AQ35^2*DATOS!$C$48))))*DATOS!$C$48*N35*AQ35/DATOS!$C$40)))))))</f>
        <v>0</v>
      </c>
      <c r="AS35" s="41">
        <f>IF(AR35&lt;0,0,IF(AND(AR35&gt;=0,MAX(DATOS!$C$114,CEILING(AR35/INDEX(TABLAS!$D$52:$D$58,MIN(MATCH(DATOS!$C$112,TABLAS!$B$52:$B$58,0)+0,7)),1))&lt;=MIN(99,INT((CB35+MAX(DATOS!$C$32,INDEX(TABLAS!$C$52:$C$58,MIN(MATCH(DATOS!$C$112,TABLAS!$B$52:$B$58,0)+0,7))))/(INDEX(TABLAS!$C$52:$C$58,MIN(MATCH(DATOS!$C$112,TABLAS!$B$52:$B$58,0)+0,7))+MAX(DATOS!$C$32,INDEX(TABLAS!$C$52:$C$58,MIN(MATCH(DATOS!$C$112,TABLAS!$B$52:$B$58,0)+0,7))))))),INDEX(TABLAS!$B$52:$B$58,MIN(MATCH(DATOS!$C$112,TABLAS!$B$52:$B$58,0)+0,7)),IF(AND(AR35&gt;=0,MAX(DATOS!$C$114,CEILING(AR35/INDEX(TABLAS!$D$52:$D$58,MIN(MATCH(DATOS!$C$112,TABLAS!$B$52:$B$58,0)+1,7)),1))&lt;=MIN(99,INT((CB35+MAX(DATOS!$C$32,INDEX(TABLAS!$C$52:$C$58,MIN(MATCH(DATOS!$C$112,TABLAS!$B$52:$B$58,0)+1,7))))/(INDEX(TABLAS!$C$52:$C$58,MIN(MATCH(DATOS!$C$112,TABLAS!$B$52:$B$58,0)+1,7))+MAX(DATOS!$C$32,INDEX(TABLAS!$C$52:$C$58,MIN(MATCH(DATOS!$C$112,TABLAS!$B$52:$B$58,0)+1,7))))))),INDEX(TABLAS!$B$52:$B$58,MIN(MATCH(DATOS!$C$112,TABLAS!$B$52:$B$58,0)+1,7)),IF(AND(AR35&gt;=0,MAX(DATOS!$C$114,CEILING(AR35/INDEX(TABLAS!$D$52:$D$58,MIN(MATCH(DATOS!$C$112,TABLAS!$B$52:$B$58,0)+2,7)),1))&lt;=MIN(99,INT((CB35+MAX(DATOS!$C$32,INDEX(TABLAS!$C$52:$C$58,MIN(MATCH(DATOS!$C$112,TABLAS!$B$52:$B$58,0)+2,7))))/(INDEX(TABLAS!$C$52:$C$58,MIN(MATCH(DATOS!$C$112,TABLAS!$B$52:$B$58,0)+2,7))+MAX(DATOS!$C$32,INDEX(TABLAS!$C$52:$C$58,MIN(MATCH(DATOS!$C$112,TABLAS!$B$52:$B$58,0)+2,7))))))),INDEX(TABLAS!$B$52:$B$58,MIN(MATCH(DATOS!$C$112,TABLAS!$B$52:$B$58,0)+2,7)),IF(AND(AR35&gt;=0,MAX(DATOS!$C$114,CEILING(AR35/INDEX(TABLAS!$D$52:$D$58,MIN(MATCH(DATOS!$C$112,TABLAS!$B$52:$B$58,0)+3,7)),1))&lt;=MIN(99,INT((CB35+MAX(DATOS!$C$32,INDEX(TABLAS!$C$52:$C$58,MIN(MATCH(DATOS!$C$112,TABLAS!$B$52:$B$58,0)+3,7))))/(INDEX(TABLAS!$C$52:$C$58,MIN(MATCH(DATOS!$C$112,TABLAS!$B$52:$B$58,0)+3,7))+MAX(DATOS!$C$32,INDEX(TABLAS!$C$52:$C$58,MIN(MATCH(DATOS!$C$112,TABLAS!$B$52:$B$58,0)+3,7))))))),INDEX(TABLAS!$B$52:$B$58,MIN(MATCH(DATOS!$C$112,TABLAS!$B$52:$B$58,0)+3,7)),IF(AND(AR35&gt;=0,MAX(DATOS!$C$114,CEILING(AR35/INDEX(TABLAS!$D$52:$D$58,MIN(MATCH(DATOS!$C$112,TABLAS!$B$52:$B$58,0)+4,7)),1))&lt;=MIN(99,INT((CB35+MAX(DATOS!$C$32,INDEX(TABLAS!$C$52:$C$58,MIN(MATCH(DATOS!$C$112,TABLAS!$B$52:$B$58,0)+4,7))))/(INDEX(TABLAS!$C$52:$C$58,MIN(MATCH(DATOS!$C$112,TABLAS!$B$52:$B$58,0)+4,7))+MAX(DATOS!$C$32,INDEX(TABLAS!$C$52:$C$58,MIN(MATCH(DATOS!$C$112,TABLAS!$B$52:$B$58,0)+4,7))))))),INDEX(TABLAS!$B$52:$B$58,MIN(MATCH(DATOS!$C$112,TABLAS!$B$52:$B$58,0)+4,7)),INDEX(TABLAS!$B$52:$B$58,7)))))))</f>
        <v>4</v>
      </c>
      <c r="AT35" s="58" t="n">
        <v>0</v>
      </c>
      <c r="AU35" s="56">
        <f>IF(OR(L35="BORDE DE VOLADO",L35="SIN APOYO"),0,IF(AR35&lt;0,0,MAX(DATOS!$C$114,CEILING(AR35/INDEX(TABLAS!$D$52:$D$58,MATCH(IF(AS35=0,8,AS35),TABLAS!$B$52:$B$58,0)),1))+AT35))</f>
        <v>2</v>
      </c>
      <c r="AV35" s="36">
        <f>IF(AU35=0,0,DATOS!$C$58*AU35*INDEX(TABLAS!$D$52:$D$58,MATCH(AS35,TABLAS!$B$52:$B$58,0))*DATOS!$C$40*((O35-DATOS!$C$22-INDEX(TABLAS!$C$52:$C$58,MATCH(DATOS!$C$113,TABLAS!$B$52:$B$58,0))-INDEX(TABLAS!$C$52:$C$58,MATCH(AS35,TABLAS!$B$52:$B$58,0))/2)-AU35*INDEX(TABLAS!$D$52:$D$58,MATCH(AS35,TABLAS!$B$52:$B$58,0))*DATOS!$C$40/(DATOS!$C$48*N35)/2)/1E5)</f>
        <v>3.66381227223529</v>
      </c>
      <c r="AW35" s="62">
        <f>IF(AR35&lt;0,9.99,IF(AV35&gt;0,AM35/AV35,0))</f>
        <v>0</v>
      </c>
      <c r="AX35" s="63">
        <f>IF(AU35=0,"—",0.003*((O35-DATOS!$C$22-INDEX(TABLAS!$C$52:$C$58,MATCH(DATOS!$C$113,TABLAS!$B$52:$B$58,0))-INDEX(TABLAS!$C$52:$C$58,MATCH(AS35,TABLAS!$B$52:$B$58,0))/2)-(AU35*INDEX(TABLAS!$D$52:$D$58,MATCH(AS35,TABLAS!$B$52:$B$58,0))*DATOS!$C$40/(DATOS!$C$48*N35)/DATOS!$C$49))/(AU35*INDEX(TABLAS!$D$52:$D$58,MATCH(AS35,TABLAS!$B$52:$B$58,0))*DATOS!$C$40/(DATOS!$C$48*N35)/DATOS!$C$49))</f>
        <v>0.0370412507030371</v>
      </c>
      <c r="AY35" s="43">
        <f>IF(OR(L35="BORDE DE VOLADO",L35="SIN APOYO"),0,IF(IF(AN35&lt;=0,0,IF((1-2*AN35*1E5/(DATOS!$C$58*N35*AQ35^2*DATOS!$C$48))&lt;0,-1,IF((1-SQRT((1-2*AN35*1E5/(DATOS!$C$58*N35*AQ35^2*DATOS!$C$48))))*DATOS!$C$48*N35*AQ35/DATOS!$C$40&gt;DATOS!$C$82*N35*AQ35,-1,(1-SQRT((1-2*AN35*1E5/(DATOS!$C$58*N35*AQ35^2*DATOS!$C$48))))*DATOS!$C$48*N35*AQ35/DATOS!$C$40)))&lt;0,-1,MAX(IF(AN35&lt;=0,0,IF((1-2*AN35*1E5/(DATOS!$C$58*N35*AQ35^2*DATOS!$C$48))&lt;0,-1,IF((1-SQRT((1-2*AN35*1E5/(DATOS!$C$58*N35*AQ35^2*DATOS!$C$48))))*DATOS!$C$48*N35*AQ35/DATOS!$C$40&gt;DATOS!$C$82*N35*AQ35,-1,(1-SQRT((1-2*AN35*1E5/(DATOS!$C$58*N35*AQ35^2*DATOS!$C$48))))*DATOS!$C$48*N35*AQ35/DATOS!$C$40))),MIN(DATOS!$C$83*IF(L35="VOLADO",MIN(BI35,2*N35),N35)*AQ35,4/3*IF(AN35&lt;=0,0,IF((1-2*AN35*1E5/(DATOS!$C$58*N35*AQ35^2*DATOS!$C$48))&lt;0,-1,IF((1-SQRT((1-2*AN35*1E5/(DATOS!$C$58*N35*AQ35^2*DATOS!$C$48))))*DATOS!$C$48*N35*AQ35/DATOS!$C$40&gt;DATOS!$C$82*N35*AQ35,-1,(1-SQRT((1-2*AN35*1E5/(DATOS!$C$58*N35*AQ35^2*DATOS!$C$48))))*DATOS!$C$48*N35*AQ35/DATOS!$C$40)))))))</f>
        <v>3.06451625</v>
      </c>
      <c r="AZ35" s="41">
        <f>IF(AY35&lt;0,0,IF(AND(AY35&gt;=0,MAX(DATOS!$C$114,CEILING(AY35/INDEX(TABLAS!$D$52:$D$58,MIN(MATCH(DATOS!$C$112,TABLAS!$B$52:$B$58,0)+0,7)),1))&lt;=MIN(99,INT((CB35+MAX(DATOS!$C$32,INDEX(TABLAS!$C$52:$C$58,MIN(MATCH(DATOS!$C$112,TABLAS!$B$52:$B$58,0)+0,7))))/(INDEX(TABLAS!$C$52:$C$58,MIN(MATCH(DATOS!$C$112,TABLAS!$B$52:$B$58,0)+0,7))+MAX(DATOS!$C$32,INDEX(TABLAS!$C$52:$C$58,MIN(MATCH(DATOS!$C$112,TABLAS!$B$52:$B$58,0)+0,7))))))),INDEX(TABLAS!$B$52:$B$58,MIN(MATCH(DATOS!$C$112,TABLAS!$B$52:$B$58,0)+0,7)),IF(AND(AY35&gt;=0,MAX(DATOS!$C$114,CEILING(AY35/INDEX(TABLAS!$D$52:$D$58,MIN(MATCH(DATOS!$C$112,TABLAS!$B$52:$B$58,0)+1,7)),1))&lt;=MIN(99,INT((CB35+MAX(DATOS!$C$32,INDEX(TABLAS!$C$52:$C$58,MIN(MATCH(DATOS!$C$112,TABLAS!$B$52:$B$58,0)+1,7))))/(INDEX(TABLAS!$C$52:$C$58,MIN(MATCH(DATOS!$C$112,TABLAS!$B$52:$B$58,0)+1,7))+MAX(DATOS!$C$32,INDEX(TABLAS!$C$52:$C$58,MIN(MATCH(DATOS!$C$112,TABLAS!$B$52:$B$58,0)+1,7))))))),INDEX(TABLAS!$B$52:$B$58,MIN(MATCH(DATOS!$C$112,TABLAS!$B$52:$B$58,0)+1,7)),IF(AND(AY35&gt;=0,MAX(DATOS!$C$114,CEILING(AY35/INDEX(TABLAS!$D$52:$D$58,MIN(MATCH(DATOS!$C$112,TABLAS!$B$52:$B$58,0)+2,7)),1))&lt;=MIN(99,INT((CB35+MAX(DATOS!$C$32,INDEX(TABLAS!$C$52:$C$58,MIN(MATCH(DATOS!$C$112,TABLAS!$B$52:$B$58,0)+2,7))))/(INDEX(TABLAS!$C$52:$C$58,MIN(MATCH(DATOS!$C$112,TABLAS!$B$52:$B$58,0)+2,7))+MAX(DATOS!$C$32,INDEX(TABLAS!$C$52:$C$58,MIN(MATCH(DATOS!$C$112,TABLAS!$B$52:$B$58,0)+2,7))))))),INDEX(TABLAS!$B$52:$B$58,MIN(MATCH(DATOS!$C$112,TABLAS!$B$52:$B$58,0)+2,7)),IF(AND(AY35&gt;=0,MAX(DATOS!$C$114,CEILING(AY35/INDEX(TABLAS!$D$52:$D$58,MIN(MATCH(DATOS!$C$112,TABLAS!$B$52:$B$58,0)+3,7)),1))&lt;=MIN(99,INT((CB35+MAX(DATOS!$C$32,INDEX(TABLAS!$C$52:$C$58,MIN(MATCH(DATOS!$C$112,TABLAS!$B$52:$B$58,0)+3,7))))/(INDEX(TABLAS!$C$52:$C$58,MIN(MATCH(DATOS!$C$112,TABLAS!$B$52:$B$58,0)+3,7))+MAX(DATOS!$C$32,INDEX(TABLAS!$C$52:$C$58,MIN(MATCH(DATOS!$C$112,TABLAS!$B$52:$B$58,0)+3,7))))))),INDEX(TABLAS!$B$52:$B$58,MIN(MATCH(DATOS!$C$112,TABLAS!$B$52:$B$58,0)+3,7)),IF(AND(AY35&gt;=0,MAX(DATOS!$C$114,CEILING(AY35/INDEX(TABLAS!$D$52:$D$58,MIN(MATCH(DATOS!$C$112,TABLAS!$B$52:$B$58,0)+4,7)),1))&lt;=MIN(99,INT((CB35+MAX(DATOS!$C$32,INDEX(TABLAS!$C$52:$C$58,MIN(MATCH(DATOS!$C$112,TABLAS!$B$52:$B$58,0)+4,7))))/(INDEX(TABLAS!$C$52:$C$58,MIN(MATCH(DATOS!$C$112,TABLAS!$B$52:$B$58,0)+4,7))+MAX(DATOS!$C$32,INDEX(TABLAS!$C$52:$C$58,MIN(MATCH(DATOS!$C$112,TABLAS!$B$52:$B$58,0)+4,7))))))),INDEX(TABLAS!$B$52:$B$58,MIN(MATCH(DATOS!$C$112,TABLAS!$B$52:$B$58,0)+4,7)),INDEX(TABLAS!$B$52:$B$58,7)))))))</f>
        <v>4</v>
      </c>
      <c r="BA35" s="56">
        <f>IF(OR(L35="BORDE DE VOLADO",L35="SIN APOYO"),0,IF(AY35&lt;0,0,MAX(DATOS!$C$114,CEILING(AY35/INDEX(TABLAS!$D$52:$D$58,MATCH(IF(AZ35=0,8,AZ35),TABLAS!$B$52:$B$58,0)),1))))</f>
        <v>3</v>
      </c>
      <c r="BB35" s="36">
        <f>IF(BA35=0,0,DATOS!$C$58*BA35*INDEX(TABLAS!$D$52:$D$58,MATCH(AZ35,TABLAS!$B$52:$B$58,0))*DATOS!$C$40*((O35-DATOS!$C$22-INDEX(TABLAS!$C$52:$C$58,MATCH(DATOS!$C$113,TABLAS!$B$52:$B$58,0))-INDEX(TABLAS!$C$52:$C$58,MATCH(AZ35,TABLAS!$B$52:$B$58,0))/2)-BA35*INDEX(TABLAS!$D$52:$D$58,MATCH(AZ35,TABLAS!$B$52:$B$58,0))*DATOS!$C$40/(DATOS!$C$48*N35)/2)/1E5)</f>
        <v>5.40534287752941</v>
      </c>
      <c r="BC35" s="62">
        <f>IF(AY35&lt;0,9.99,IF(BB35&gt;0,AN35/BB35,0))</f>
        <v>0.628332827802045</v>
      </c>
      <c r="BD35" s="63">
        <f>IF(BA35=0,"—",0.003*((O35-DATOS!$C$22-INDEX(TABLAS!$C$52:$C$58,MATCH(DATOS!$C$113,TABLAS!$B$52:$B$58,0))-INDEX(TABLAS!$C$52:$C$58,MATCH(AZ35,TABLAS!$B$52:$B$58,0))/2)-(BA35*INDEX(TABLAS!$D$52:$D$58,MATCH(AZ35,TABLAS!$B$52:$B$58,0))*DATOS!$C$40/(DATOS!$C$48*N35)/DATOS!$C$49))/(BA35*INDEX(TABLAS!$D$52:$D$58,MATCH(AZ35,TABLAS!$B$52:$B$58,0))*DATOS!$C$40/(DATOS!$C$48*N35)/DATOS!$C$49))</f>
        <v>0.0236941671353581</v>
      </c>
      <c r="BE35" s="36">
        <f>IF(BA35=0,0,DATOS!$C$59*MIN(1.25,MAX(0.5,2*MAX(1E-6,MIN(AU35*INDEX(TABLAS!$D$52:$D$58,MATCH(MAX(AS35,2),TABLAS!$B$52:$B$58,0)),BA35*INDEX(TABLAS!$D$52:$D$58,MATCH(MAX(AZ35,2),TABLAS!$B$52:$B$58,0)))/(N35*AQ35))^(1/3)))*SQRT(DATOS!$C$39)*N35*AQ35/1000)</f>
        <v>4.67404402408263</v>
      </c>
      <c r="BF35" s="57">
        <f>IF(AO35=0,0,FLOOR(MIN(IF(AO35&gt;BE35,DATOS!$C$59*2*INDEX(TABLAS!$D$52:$D$58,MATCH(DATOS!$C$113,TABLAS!$B$52:$B$58,0))*DATOS!$C$42*AQ35/((AO35-BE35)*1000),999),IF(MAX(0,AO35-BE35)/DATOS!$C$59&lt;=1.1*SQRT(DATOS!$C$39)*N35*AQ35/1000,MIN(AQ35/2,60),MIN(AQ35/4,30)),2*INDEX(TABLAS!$D$52:$D$58,MATCH(DATOS!$C$113,TABLAS!$B$52:$B$58,0))*DATOS!$C$42/(MAX(0.2*SQRT(DATOS!$C$39),3.5)*N35),MIN(16*INDEX(TABLAS!$C$52:$C$58,MATCH(MIN(MAX(AS35,2),MAX(AZ35,2)),TABLAS!$B$52:$B$58,0)),48*INDEX(TABLAS!$C$52:$C$58,MATCH(DATOS!$C$113,TABLAS!$B$52:$B$58,0))),DATOS!$C$115),0.5))</f>
        <v>19.5</v>
      </c>
      <c r="BG35" s="57">
        <f>BF35</f>
        <v>19.5</v>
      </c>
      <c r="BH35" s="51" t="str">
        <f>IF(AO35=0,"—",IF(AO35&gt;DATOS!$C$59*(BE35/DATOS!$C$59+2.2*SQRT(DATOS!$C$39)*N35*AQ35/1000),"SECCIÓN INSUFICIENTE","E No. "&amp;TEXT(DATOS!$C$113,"0")&amp;IF(BG35&lt;BF35," @ "&amp;TEXT(BG35,"0.0")&amp;" en 2h y"," @")&amp;" "&amp;TEXT(BF35,"0.0")&amp;" cm"))</f>
        <v>E No. 3 @ 19.5 cm</v>
      </c>
      <c r="BI35" s="56">
        <f>N35+MIN(6*DATOS!$C$14,DATOS!$C$11/2,G35*100/12)</f>
        <v>23.325</v>
      </c>
      <c r="BJ35" s="71">
        <f>BI35*DATOS!$C$14^3/12+BI35*DATOS!$C$14*(((BI35*DATOS!$C$14^2/2+N35*(O35-DATOS!$C$14)*(DATOS!$C$14+(O35-DATOS!$C$14)/2))/(BI35*DATOS!$C$14+N35*(O35-DATOS!$C$14)))-DATOS!$C$14/2)^2+N35*(O35-DATOS!$C$14)^3/12+N35*(O35-DATOS!$C$14)*(DATOS!$C$14+(O35-DATOS!$C$14)/2-((BI35*DATOS!$C$14^2/2+N35*(O35-DATOS!$C$14)*(DATOS!$C$14+(O35-DATOS!$C$14)/2))/(BI35*DATOS!$C$14+N35*(O35-DATOS!$C$14))))^2</f>
        <v>158439.023116108</v>
      </c>
      <c r="BK35" s="43">
        <f>O35-DATOS!$C$22-INDEX(TABLAS!$C$52:$C$58,MATCH(DATOS!$C$113,TABLAS!$B$52:$B$58,0))-INDEX(TABLAS!$C$52:$C$58,MATCH(MAX(IF(L35="VOLADO",AZ35,AS35),2),TABLAS!$B$52:$B$58,0))/2</f>
        <v>39.415</v>
      </c>
      <c r="BL35" s="43">
        <f>DATOS!$C$46/DATOS!$C$45*IF(L35="VOLADO",BA35*INDEX(TABLAS!$D$52:$D$58,MATCH(MAX(AZ35,2),TABLAS!$B$52:$B$58,0)),AU35*INDEX(TABLAS!$D$52:$D$58,MATCH(MAX(AS35,2),TABLAS!$B$52:$B$58,0)))</f>
        <v>34.4236511006901</v>
      </c>
      <c r="BM35" s="43">
        <f>IF(BL35&lt;=0,0,(SQRT(2*(BL35/(IF(L35="VOLADO",N35,BI35)*BK35))+(BL35/(IF(L35="VOLADO",N35,BI35)*BK35))^2)-(BL35/(IF(L35="VOLADO",N35,BI35)*BK35)))*BK35)</f>
        <v>10.0535059844185</v>
      </c>
      <c r="BN35" s="71">
        <f>IF(AND(L35&lt;&gt;"VOLADO",BM35&gt;DATOS!$C$14),(BI35*DATOS!$C$14^3/12+BI35*DATOS!$C$14*(((-((BI35-N35)*DATOS!$C$14+BL35)+SQRT(((BI35-N35)*DATOS!$C$14+BL35)^2+2*N35*((BI35-N35)*DATOS!$C$14^2/2+BL35*BK35)))/N35)-DATOS!$C$14/2)^2+N35*(((-((BI35-N35)*DATOS!$C$14+BL35)+SQRT(((BI35-N35)*DATOS!$C$14+BL35)^2+2*N35*((BI35-N35)*DATOS!$C$14^2/2+BL35*BK35)))/N35)-DATOS!$C$14)^3/3+BL35*(BK35-((-((BI35-N35)*DATOS!$C$14+BL35)+SQRT(((BI35-N35)*DATOS!$C$14+BL35)^2+2*N35*((BI35-N35)*DATOS!$C$14^2/2+BL35*BK35)))/N35))^2),(IF(L35="VOLADO",N35,BI35)*BM35^3/3+BL35*(BK35-BM35)^2))</f>
        <v>36450.789966015</v>
      </c>
      <c r="BO35" s="71">
        <f>IF(AP35&lt;=0,BJ35,IF((AP35*1E5)&lt;=2/3*(DATOS!$C$47*BJ35/IF(L35="VOLADO",((BI35*DATOS!$C$14^2/2+N35*(O35-DATOS!$C$14)*(DATOS!$C$14+(O35-DATOS!$C$14)/2))/(BI35*DATOS!$C$14+N35*(O35-DATOS!$C$14))),O35-((BI35*DATOS!$C$14^2/2+N35*(O35-DATOS!$C$14)*(DATOS!$C$14+(O35-DATOS!$C$14)/2))/(BI35*DATOS!$C$14+N35*(O35-DATOS!$C$14))))),BJ35,IF(BL35&lt;=0,0,BN35/(1-(2/3*(DATOS!$C$47*BJ35/IF(L35="VOLADO",((BI35*DATOS!$C$14^2/2+N35*(O35-DATOS!$C$14)*(DATOS!$C$14+(O35-DATOS!$C$14)/2))/(BI35*DATOS!$C$14+N35*(O35-DATOS!$C$14))),O35-((BI35*DATOS!$C$14^2/2+N35*(O35-DATOS!$C$14)*(DATOS!$C$14+(O35-DATOS!$C$14)/2))/(BI35*DATOS!$C$14+N35*(O35-DATOS!$C$14)))))/(AP35*1E5))^2*(1-BN35/BJ35)))))</f>
        <v>49603.2897441845</v>
      </c>
      <c r="BP35" s="62">
        <f>IF(OR(L35="APOYADA",L35="VOLADO"),(IF(L35="VOLADO",(AP35-AH35)/4+AH35/3,5/48*AP35)*1E5*(G35*100)^2/(DATOS!$C$45*MAX(BO35,1)))*(1+2/(1+50*IF(L35="VOLADO",AU35*INDEX(TABLAS!$D$52:$D$58,MATCH(MAX(AS35,2),TABLAS!$B$52:$B$58,0)),DATOS!$C$114*INDEX(TABLAS!$D$52:$D$58,MATCH(MAX(AZ35,2),TABLAS!$B$52:$B$58,0)))/(N35*BK35))*((AA35+AC35)/MAX(AA35+AB35,1E-6))),0)</f>
        <v>0.0318180832539555</v>
      </c>
      <c r="BQ35" s="43">
        <f>IF(S35&gt;0,0.3+G35*100/480,0.5+G35*100/240)</f>
        <v>0.383125</v>
      </c>
      <c r="BR35" s="43">
        <f>IF(S35&gt;0,(T35+U35)*G35+AG35,0)</f>
        <v>1.04592508076061</v>
      </c>
      <c r="BS35" s="43">
        <f>IF(S35&gt;0,(DATOS!$C$51*DATOS!$C$103*100*(G35*100)^3/(DATOS!$C$45*BJ35*((BR35*1000/(DATOS!$C$103*100*S35*100)*DATOS!$C$103*100*(MIN(1,S35/G35)^4-4*MIN(1,S35/G35)^3+8*MIN(1,S35/G35)))/((BR35*1000/(DATOS!$C$103*100*S35*100)*DATOS!$C$103*100*(MIN(1,S35/G35)^4-4*MIN(1,S35/G35)^3+8*MIN(1,S35/G35)))+5*((R35+X35+Y35+IF(L35="APOYADA",8*(TRANSFER!$H$8)/G35^2,0))*10)))))^0.25,0)</f>
        <v>1.06360060247685</v>
      </c>
      <c r="BT35" s="57">
        <f>IF(S35&gt;0,MAX(1,IF(MIN(1,S35/G35)&gt;=1,(1.6*BS35-3.9),IF(MIN(1,S35/G35)&lt;0.9,((3.2*BS35-7.8)*1),((3.2*BS35-7.8)*1)+((1.6*BS35-3.9)-((3.2*BS35-7.8)*1))*(MIN(1,S35/G35)-0.9)/0.1)))*BR35*1000/(DATOS!$C$103*100*S35*100),0)</f>
        <v>1.74757741146301</v>
      </c>
      <c r="BU35" s="65" t="str">
        <f>IF(S35=0,"—",IF(DATOS!$C$105/S35&lt;0.6,"REVISAR: H/L &lt; 0.6, interacción muro-viga",IF(BT35&lt;=DATOS!$C$60*DATOS!$C$50,"CUMPLE","NO CUMPLE f_CM &gt; F_R·f'm")))</f>
        <v>CUMPLE</v>
      </c>
      <c r="BV35" s="57">
        <f>IF(S35&gt;0,MAX(25,IF(BJ35&gt;=(G35*100)^3/1600,0,MIN(G35*100/14,(12*(G35*100)^3/1600/N35)^(1/3)))),IF(L35="APOYADA",MAX(25,G35*100/16),IF(L35="VOLADO",MAX(25,G35*100/8),0)))</f>
        <v>25</v>
      </c>
      <c r="BW35" s="57">
        <f>IF(S35&gt;0,IF(BJ35&gt;=(5/4*(G35*100)^3/DATOS!$C$45*((((S35*DATOS!$C$107+(((SUMIFS(TRIB!$I$6:$I$255,TRIB!$B$6:$B$255,"DM-129")-SUMIFS(TRIB!$L$6:$L$255,TRIB!$B$6:$B$255,"DM-129"))*0.4097)/G35+(SUMIFS(TRIB!$M$6:$M$255,TRIB!$B$6:$B$255,"DM-129")*0.4097)/G35)*G35+AG35/DATOS!$C$55)*1000)/(DATOS!$C$103*100*S35*100)*DATOS!$C$103*100*(MIN(1,S35/G35)^4-4*MIN(1,S35/G35)^3+8*MIN(1,S35/G35)))+5*((AA35-S35*DATOS!$C$107/G35-(((SUMIFS(TRIB!$I$6:$I$255,TRIB!$B$6:$B$255,"DM-129")-SUMIFS(TRIB!$L$6:$L$255,TRIB!$B$6:$B$255,"DM-129"))*0.4097)/G35))*10))),0,MIN((G35*100/((1/15*DATOS!$C$45*N35/((((S35*DATOS!$C$107+(((SUMIFS(TRIB!$I$6:$I$255,TRIB!$B$6:$B$255,"DM-129")-SUMIFS(TRIB!$L$6:$L$255,TRIB!$B$6:$B$255,"DM-129"))*0.4097)/G35+(SUMIFS(TRIB!$M$6:$M$255,TRIB!$B$6:$B$255,"DM-129")*0.4097)/G35)*G35+AG35/DATOS!$C$55)*1000)/(DATOS!$C$103*100*S35*100)*DATOS!$C$103*100*(MIN(1,S35/G35)^4-4*MIN(1,S35/G35)^3+8*MIN(1,S35/G35)))+5*((AA35-S35*DATOS!$C$107/G35-(((SUMIFS(TRIB!$I$6:$I$255,TRIB!$B$6:$B$255,"DM-129")-SUMIFS(TRIB!$L$6:$L$255,TRIB!$B$6:$B$255,"DM-129"))*0.4097)/G35))*10)))^(1/3))),(12*(5/4*(G35*100)^3/DATOS!$C$45*((((S35*DATOS!$C$107+(((SUMIFS(TRIB!$I$6:$I$255,TRIB!$B$6:$B$255,"DM-129")-SUMIFS(TRIB!$L$6:$L$255,TRIB!$B$6:$B$255,"DM-129"))*0.4097)/G35+(SUMIFS(TRIB!$M$6:$M$255,TRIB!$B$6:$B$255,"DM-129")*0.4097)/G35)*G35+AG35/DATOS!$C$55)*1000)/(DATOS!$C$103*100*S35*100)*DATOS!$C$103*100*(MIN(1,S35/G35)^4-4*MIN(1,S35/G35)^3+8*MIN(1,S35/G35)))+5*((AA35-S35*DATOS!$C$107/G35-(((SUMIFS(TRIB!$I$6:$I$255,TRIB!$B$6:$B$255,"DM-129")-SUMIFS(TRIB!$L$6:$L$255,TRIB!$B$6:$B$255,"DM-129"))*0.4097)/G35))*10)))/N35)^(1/3))),0)</f>
        <v>0</v>
      </c>
      <c r="BX35" s="57">
        <f>SQRT(MAX(AM35,AN35)*1E5/(DATOS!$C$58*N35*DATOS!$C$48*(DATOS!$C$82*DATOS!$C$40/DATOS!$C$48)*(1-(DATOS!$C$82*DATOS!$C$40/DATOS!$C$48)/2)))+(O35-AQ35)</f>
        <v>23.7889038008024</v>
      </c>
      <c r="BY35" s="59">
        <f>IF(OR(L35="BORDE DE VOLADO",L35="SIN APOYO"),0,CEILING(MAX(BV35,BW35,BX35,DATOS!$C$15),5))</f>
        <v>25</v>
      </c>
      <c r="BZ35" s="72" t="str">
        <f>IF(L35="BORDE DE VOLADO","BORDE DE VOLADO — armado de orilla",IF(L35="SIN APOYO","SIN APOYO — REVISAR",IF(AND(AW35&lt;=1,BC35&lt;=1,IF(AU35=0,TRUE,AU35&lt;=INT((CB35+DATOS!$C$32)/(INDEX(TABLAS!$C$52:$C$58,MATCH(MAX(AS35,2),TABLAS!$B$52:$B$58,0))+DATOS!$C$32))),IF(BA35=0,TRUE,BA35&lt;=INT((CB35+DATOS!$C$32)/(INDEX(TABLAS!$C$52:$C$58,MATCH(MAX(AZ35,2),TABLAS!$B$52:$B$58,0))+DATOS!$C$32))),AND(OR(NOT(ISNUMBER(AX35)),AX35&gt;=0.005),OR(NOT(ISNUMBER(BD35)),BD35&gt;=0.005)),BH35&lt;&gt;"SECCIÓN INSUFICIENTE",AND(O35&gt;=BV35,O35&gt;=BW35,O35/N35&lt;=6),BP35&lt;=BQ35,OR(S35=0,LEFT(BU35,6)&lt;&gt;"NO CUM")),IF(LEFT(BU35,7)="REVISAR","PENDIENTE: H/L &lt; 0.6, falta el análisis de interacción muro-viga (NTC-M 4.1.18.2.1, p. 44)","CUMPLE")&amp;IF(L35="VOLADO"," (en VOLADO)",""),"NO CUMPLE: "&amp;IF(OR(AR35&lt;0,AY35&lt;0),"sección insuficiente en flexión ",IF(OR(AW35&gt;1,BC35&gt;1),"flexión ",""))&amp;IF(NOT(AND(IF(AU35=0,TRUE,AU35&lt;=INT((CB35+DATOS!$C$32)/(INDEX(TABLAS!$C$52:$C$58,MATCH(MAX(AS35,2),TABLAS!$B$52:$B$58,0))+DATOS!$C$32))),IF(BA35=0,TRUE,BA35&lt;=INT((CB35+DATOS!$C$32)/(INDEX(TABLAS!$C$52:$C$58,MATCH(MAX(AZ35,2),TABLAS!$B$52:$B$58,0))+DATOS!$C$32))))),"no caben ","")&amp;IF(NOT(AND(OR(NOT(ISNUMBER(AX35)),AX35&gt;=0.005),OR(NOT(ISNUMBER(BD35)),BD35&gt;=0.005))),"ε_t ","")&amp;IF(BH35="SECCIÓN INSUFICIENTE","cortante ","")&amp;IF(NOT(AND(O35&gt;=BV35,O35&gt;=BW35,O35/N35&lt;=6)),"peralte ","")&amp;IF(NOT(BP35&lt;=BQ35),"flecha ","")&amp;IF(NOT(OR(S35=0,LEFT(BU35,6)&lt;&gt;"NO CUM")),"muro sobre viga ","")&amp;"→ h ≥ "&amp;TEXT(MAX(BY35,IF(BP35&gt;BQ35,MAX(O35+5,CEILING(O35*(BP35/BQ35)^(1/3),5)),0)),"0")&amp;" cm"&amp;IF(NOT(AND(IF(AU35=0,TRUE,AU35&lt;=INT((CB35+DATOS!$C$32)/(INDEX(TABLAS!$C$52:$C$58,MATCH(MAX(AS35,2),TABLAS!$B$52:$B$58,0))+DATOS!$C$32))),IF(BA35=0,TRUE,BA35&lt;=INT((CB35+DATOS!$C$32)/(INDEX(TABLAS!$C$52:$C$58,MATCH(MAX(AZ35,2),TABLAS!$B$52:$B$58,0))+DATOS!$C$32)))))," y b ≥ "&amp;TEXT(N35+5,"0")&amp;" cm","")&amp;" (verificar)")))</f>
        <v>CUMPLE (en VOLADO)</v>
      </c>
      <c r="CA35" s="65" t="inlineStr">
        <is>
          <t>Recibe a NP-13. Muro de planta alta encima (0.40 m) con la azotea de DM-129: viga que soporta muro estructural (NTC-Mampostería 4.1.18): la flecha se calcula y el límite es 0.3 cm + L/480.</t>
        </is>
      </c>
      <c r="CB35" s="43">
        <f>N35-2*DATOS!$C$22-2*INDEX(TABLAS!$C$52:$C$58,MATCH(DATOS!$C$113,TABLAS!$B$52:$B$58,0))</f>
        <v>10.1</v>
      </c>
    </row>
    <row r="36" ht="30" customHeight="1">
      <c r="B36" s="60" t="inlineStr">
        <is>
          <t>NP-28</t>
        </is>
      </c>
      <c r="C36" s="52" t="inlineStr">
        <is>
          <t>N+3.00</t>
        </is>
      </c>
      <c r="D36" s="51" t="inlineStr">
        <is>
          <t>x = 5.822</t>
        </is>
      </c>
      <c r="E36" s="52" t="inlineStr">
        <is>
          <t>(5.822, 15.846)</t>
        </is>
      </c>
      <c r="F36" s="52" t="inlineStr">
        <is>
          <t>(5.822, 17.446)</t>
        </is>
      </c>
      <c r="G36" s="55" t="n">
        <v>1.6</v>
      </c>
      <c r="H36" s="52" t="inlineStr">
        <is>
          <t>NERVADURA</t>
        </is>
      </c>
      <c r="I36" s="52" t="inlineStr">
        <is>
          <t>FIRME</t>
        </is>
      </c>
      <c r="J36" s="52" t="inlineStr">
        <is>
          <t>—</t>
        </is>
      </c>
      <c r="K36" s="52" t="inlineStr">
        <is>
          <t>—</t>
        </is>
      </c>
      <c r="L36" s="60" t="str">
        <f>IF(AND(OR(H36="FIRME",H36="NERVADURA",H36="PUNTA"),OR(I36="FIRME",I36="NERVADURA",I36="PUNTA")),"APOYADA",IF(OR(OR(H36="FIRME",H36="NERVADURA",H36="PUNTA"),OR(I36="FIRME",I36="NERVADURA",I36="PUNTA")),"VOLADO","SIN APOYO"))</f>
        <v>APOYADA</v>
      </c>
      <c r="M36" s="52" t="str">
        <f>IF(L36="VOLADO",IF(OR(H36="FIRME",H36="NERVADURA",H36="PUNTA"),"i","j"),"—")</f>
        <v>—</v>
      </c>
      <c r="N36" s="58">
        <f>DATOS!$C$17</f>
        <v>15</v>
      </c>
      <c r="O36" s="58">
        <f>DATOS!$C$15</f>
        <v>25</v>
      </c>
      <c r="P36" s="65" t="str">
        <f>IF(L36="BORDE DE VOLADO","—",IF(OR(N36&lt;&gt;DATOS!$C$17,O36&lt;&gt;DATOS!$C$15),"PERALTAR: trabe "&amp;TEXT(N36,"0")&amp;"×"&amp;TEXT(O36,"0")&amp;IF(O36&gt;DATOS!$C$15," (descuelga "&amp;TEXT(O36-DATOS!$C$15,"0")&amp;" cm)",""),"Queda en la losa (15×25)"))</f>
        <v>Queda en la losa (15×25)</v>
      </c>
      <c r="Q36" s="43">
        <f>SUMIFS(TRIB!$E$6:$E$255,TRIB!$B$6:$B$255,"NP-28")</f>
        <v>1.1758</v>
      </c>
      <c r="R36" s="36">
        <f>SUMIFS(TRIB!$G$6:$G$255,TRIB!$B$6:$B$255,"NP-28")/G36</f>
        <v>0.679250653061225</v>
      </c>
      <c r="S36" s="69" t="n">
        <v>1.6</v>
      </c>
      <c r="T36" s="36">
        <f>DATOS!$C$55*S36*DATOS!$C$107/G36</f>
        <v>1.233375</v>
      </c>
      <c r="U36" s="36">
        <f>(SUMIFS(TRIB!$G$6:$G$255,TRIB!$B$6:$B$255,"DM-130")*1.0)/G36</f>
        <v>0.855153394132653</v>
      </c>
      <c r="V36" s="61" t="n">
        <v>0</v>
      </c>
      <c r="W36" s="61" t="n">
        <v>0</v>
      </c>
      <c r="X36" s="36">
        <f>(DATOS!$C$55*V36+DATOS!$C$56*W36)/1000</f>
        <v>0</v>
      </c>
      <c r="Y36" s="36">
        <f>DATOS!$C$55*(N36/100*O36/100*DATOS!$C$43-N36/100*DATOS!$C$70/1000)</f>
        <v>0.0694836734693878</v>
      </c>
      <c r="Z36" s="70">
        <f>R36+T36+U36+X36+Y36</f>
        <v>2.83726272066327</v>
      </c>
      <c r="AA36" s="36">
        <f>(SUMIFS(TRIB!$I$6:$I$255,TRIB!$B$6:$B$255,"NP-28")-SUMIFS(TRIB!$L$6:$L$255,TRIB!$B$6:$B$255,"NP-28"))/G36+S36*DATOS!$C$107/G36+((SUMIFS(TRIB!$I$6:$I$255,TRIB!$B$6:$B$255,"DM-130")-SUMIFS(TRIB!$L$6:$L$255,TRIB!$B$6:$B$255,"DM-130"))*1.0)/G36+V36/1000+Y36/DATOS!$C$55</f>
        <v>1.9160131505102</v>
      </c>
      <c r="AB36" s="36">
        <f>SUMIFS(TRIB!$L$6:$L$255,TRIB!$B$6:$B$255,"NP-28")/G36+(SUMIFS(TRIB!$L$6:$L$255,TRIB!$B$6:$B$255,"DM-130")*1.0)/G36+W36/1000</f>
        <v>0.23096375</v>
      </c>
      <c r="AC36" s="36">
        <f>SUMIFS(TRIB!$M$6:$M$255,TRIB!$B$6:$B$255,"NP-28")/G36+(SUMIFS(TRIB!$M$6:$M$255,TRIB!$B$6:$B$255,"DM-130")*1.0)/G36+W36/1000*DATOS!$C$91/DATOS!$C$89</f>
        <v>0.072490625</v>
      </c>
      <c r="AD36" s="36">
        <f>TRANSFER!$F$16</f>
        <v>0.715687046938776</v>
      </c>
      <c r="AE36" s="36">
        <f>TRANSFER!$H$16</f>
        <v>0.28511138001983</v>
      </c>
      <c r="AF36" s="36">
        <f>TRANSFER!$I$16</f>
        <v>0.380656048090561</v>
      </c>
      <c r="AG36" s="36">
        <f>TRANSFER!$F$16</f>
        <v>0.715687046938776</v>
      </c>
      <c r="AH36" s="36">
        <f>TRANSFER!$N$16</f>
        <v>0.215228512197946</v>
      </c>
      <c r="AI36" s="36">
        <f>IF(L36="APOYADA",Z36*G36/2+TRANSFER!$J$16,IF(AND(L36="VOLADO",M36="i"),Z36*G36+AD36,0))</f>
        <v>2.60484117537883</v>
      </c>
      <c r="AJ36" s="36">
        <f>IF(L36="APOYADA",Z36*G36/2+TRANSFER!$K$16,IF(AND(L36="VOLADO",M36="j"),Z36*G36+AD36,0))</f>
        <v>2.65046622462117</v>
      </c>
      <c r="AK36" s="36">
        <f>IF(L36="APOYADA",(AA36+AB36)*G36/2+TRANSFER!$O$16,IF(AND(L36="VOLADO",M36="i"),(AA36+AB36)*G36+TRANSFER!$M$16,0))</f>
        <v>1.97049399067602</v>
      </c>
      <c r="AL36" s="36">
        <f>IF(L36="APOYADA",(AA36+AB36)*G36/2+TRANSFER!$P$16,IF(AND(L36="VOLADO",M36="j"),(AA36+AB36)*G36+TRANSFER!$M$16,0))</f>
        <v>2.00493600932398</v>
      </c>
      <c r="AM36" s="70">
        <f>IF(L36="APOYADA",Z36*G36^2/8+AE36,0)</f>
        <v>1.19303545063208</v>
      </c>
      <c r="AN36" s="70">
        <f>IF(L36="APOYADA",DATOS!$C$64*AM36,IF(L36="VOLADO",Z36*G36^2/2+AE36,0))</f>
        <v>0.795754645571594</v>
      </c>
      <c r="AO36" s="70">
        <f>IF(L36="APOYADA",Z36*G36/2+AF36,IF(L36="VOLADO",Z36*G36+AF36,0))</f>
        <v>2.65046622462117</v>
      </c>
      <c r="AP36" s="36">
        <f>IF(L36="APOYADA",(AA36+AB36)*G36^2/8+AH36,IF(L36="VOLADO",(AA36+AB36)*G36^2/2+AH36,0))</f>
        <v>0.902261120361212</v>
      </c>
      <c r="AQ36" s="43">
        <f>O36-DATOS!$C$22-INDEX(TABLAS!$C$52:$C$58,MATCH(DATOS!$C$113,TABLAS!$B$52:$B$58,0))-INDEX(TABLAS!$C$52:$C$58,MATCH(DATOS!$C$112,TABLAS!$B$52:$B$58,0))/2</f>
        <v>19.415</v>
      </c>
      <c r="AR36" s="43">
        <f>IF(OR(L36="BORDE DE VOLADO",L36="SIN APOYO"),0,IF(IF(AM36&lt;=0,0,IF((1-2*AM36*1E5/(DATOS!$C$58*N36*AQ36^2*DATOS!$C$48))&lt;0,-1,IF((1-SQRT((1-2*AM36*1E5/(DATOS!$C$58*N36*AQ36^2*DATOS!$C$48))))*DATOS!$C$48*N36*AQ36/DATOS!$C$40&gt;DATOS!$C$82*N36*AQ36,-1,(1-SQRT((1-2*AM36*1E5/(DATOS!$C$58*N36*AQ36^2*DATOS!$C$48))))*DATOS!$C$48*N36*AQ36/DATOS!$C$40)))&lt;0,-1,MAX(IF(AM36&lt;=0,0,IF((1-2*AM36*1E5/(DATOS!$C$58*N36*AQ36^2*DATOS!$C$48))&lt;0,-1,IF((1-SQRT((1-2*AM36*1E5/(DATOS!$C$58*N36*AQ36^2*DATOS!$C$48))))*DATOS!$C$48*N36*AQ36/DATOS!$C$40&gt;DATOS!$C$82*N36*AQ36,-1,(1-SQRT((1-2*AM36*1E5/(DATOS!$C$58*N36*AQ36^2*DATOS!$C$48))))*DATOS!$C$48*N36*AQ36/DATOS!$C$40))),MIN(DATOS!$C$83*N36*AQ36,4/3*IF(AM36&lt;=0,0,IF((1-2*AM36*1E5/(DATOS!$C$58*N36*AQ36^2*DATOS!$C$48))&lt;0,-1,IF((1-SQRT((1-2*AM36*1E5/(DATOS!$C$58*N36*AQ36^2*DATOS!$C$48))))*DATOS!$C$48*N36*AQ36/DATOS!$C$40&gt;DATOS!$C$82*N36*AQ36,-1,(1-SQRT((1-2*AM36*1E5/(DATOS!$C$58*N36*AQ36^2*DATOS!$C$48))))*DATOS!$C$48*N36*AQ36/DATOS!$C$40)))))))</f>
        <v>1.72682728183755</v>
      </c>
      <c r="AS36" s="41">
        <f>IF(AR36&lt;0,0,IF(AND(AR36&gt;=0,MAX(DATOS!$C$114,CEILING(AR36/INDEX(TABLAS!$D$52:$D$58,MIN(MATCH(DATOS!$C$112,TABLAS!$B$52:$B$58,0)+0,7)),1))&lt;=MIN(99,INT((CB36+MAX(DATOS!$C$32,INDEX(TABLAS!$C$52:$C$58,MIN(MATCH(DATOS!$C$112,TABLAS!$B$52:$B$58,0)+0,7))))/(INDEX(TABLAS!$C$52:$C$58,MIN(MATCH(DATOS!$C$112,TABLAS!$B$52:$B$58,0)+0,7))+MAX(DATOS!$C$32,INDEX(TABLAS!$C$52:$C$58,MIN(MATCH(DATOS!$C$112,TABLAS!$B$52:$B$58,0)+0,7))))))),INDEX(TABLAS!$B$52:$B$58,MIN(MATCH(DATOS!$C$112,TABLAS!$B$52:$B$58,0)+0,7)),IF(AND(AR36&gt;=0,MAX(DATOS!$C$114,CEILING(AR36/INDEX(TABLAS!$D$52:$D$58,MIN(MATCH(DATOS!$C$112,TABLAS!$B$52:$B$58,0)+1,7)),1))&lt;=MIN(99,INT((CB36+MAX(DATOS!$C$32,INDEX(TABLAS!$C$52:$C$58,MIN(MATCH(DATOS!$C$112,TABLAS!$B$52:$B$58,0)+1,7))))/(INDEX(TABLAS!$C$52:$C$58,MIN(MATCH(DATOS!$C$112,TABLAS!$B$52:$B$58,0)+1,7))+MAX(DATOS!$C$32,INDEX(TABLAS!$C$52:$C$58,MIN(MATCH(DATOS!$C$112,TABLAS!$B$52:$B$58,0)+1,7))))))),INDEX(TABLAS!$B$52:$B$58,MIN(MATCH(DATOS!$C$112,TABLAS!$B$52:$B$58,0)+1,7)),IF(AND(AR36&gt;=0,MAX(DATOS!$C$114,CEILING(AR36/INDEX(TABLAS!$D$52:$D$58,MIN(MATCH(DATOS!$C$112,TABLAS!$B$52:$B$58,0)+2,7)),1))&lt;=MIN(99,INT((CB36+MAX(DATOS!$C$32,INDEX(TABLAS!$C$52:$C$58,MIN(MATCH(DATOS!$C$112,TABLAS!$B$52:$B$58,0)+2,7))))/(INDEX(TABLAS!$C$52:$C$58,MIN(MATCH(DATOS!$C$112,TABLAS!$B$52:$B$58,0)+2,7))+MAX(DATOS!$C$32,INDEX(TABLAS!$C$52:$C$58,MIN(MATCH(DATOS!$C$112,TABLAS!$B$52:$B$58,0)+2,7))))))),INDEX(TABLAS!$B$52:$B$58,MIN(MATCH(DATOS!$C$112,TABLAS!$B$52:$B$58,0)+2,7)),IF(AND(AR36&gt;=0,MAX(DATOS!$C$114,CEILING(AR36/INDEX(TABLAS!$D$52:$D$58,MIN(MATCH(DATOS!$C$112,TABLAS!$B$52:$B$58,0)+3,7)),1))&lt;=MIN(99,INT((CB36+MAX(DATOS!$C$32,INDEX(TABLAS!$C$52:$C$58,MIN(MATCH(DATOS!$C$112,TABLAS!$B$52:$B$58,0)+3,7))))/(INDEX(TABLAS!$C$52:$C$58,MIN(MATCH(DATOS!$C$112,TABLAS!$B$52:$B$58,0)+3,7))+MAX(DATOS!$C$32,INDEX(TABLAS!$C$52:$C$58,MIN(MATCH(DATOS!$C$112,TABLAS!$B$52:$B$58,0)+3,7))))))),INDEX(TABLAS!$B$52:$B$58,MIN(MATCH(DATOS!$C$112,TABLAS!$B$52:$B$58,0)+3,7)),IF(AND(AR36&gt;=0,MAX(DATOS!$C$114,CEILING(AR36/INDEX(TABLAS!$D$52:$D$58,MIN(MATCH(DATOS!$C$112,TABLAS!$B$52:$B$58,0)+4,7)),1))&lt;=MIN(99,INT((CB36+MAX(DATOS!$C$32,INDEX(TABLAS!$C$52:$C$58,MIN(MATCH(DATOS!$C$112,TABLAS!$B$52:$B$58,0)+4,7))))/(INDEX(TABLAS!$C$52:$C$58,MIN(MATCH(DATOS!$C$112,TABLAS!$B$52:$B$58,0)+4,7))+MAX(DATOS!$C$32,INDEX(TABLAS!$C$52:$C$58,MIN(MATCH(DATOS!$C$112,TABLAS!$B$52:$B$58,0)+4,7))))))),INDEX(TABLAS!$B$52:$B$58,MIN(MATCH(DATOS!$C$112,TABLAS!$B$52:$B$58,0)+4,7)),INDEX(TABLAS!$B$52:$B$58,7)))))))</f>
        <v>4</v>
      </c>
      <c r="AT36" s="58" t="n">
        <v>0</v>
      </c>
      <c r="AU36" s="56">
        <f>IF(OR(L36="BORDE DE VOLADO",L36="SIN APOYO"),0,IF(AR36&lt;0,0,MAX(DATOS!$C$114,CEILING(AR36/INDEX(TABLAS!$D$52:$D$58,MATCH(IF(AS36=0,8,AS36),TABLAS!$B$52:$B$58,0)),1))+AT36))</f>
        <v>2</v>
      </c>
      <c r="AV36" s="36">
        <f>IF(AU36=0,0,DATOS!$C$58*AU36*INDEX(TABLAS!$D$52:$D$58,MATCH(AS36,TABLAS!$B$52:$B$58,0))*DATOS!$C$40*((O36-DATOS!$C$22-INDEX(TABLAS!$C$52:$C$58,MATCH(DATOS!$C$113,TABLAS!$B$52:$B$58,0))-INDEX(TABLAS!$C$52:$C$58,MATCH(AS36,TABLAS!$B$52:$B$58,0))/2)-AU36*INDEX(TABLAS!$D$52:$D$58,MATCH(AS36,TABLAS!$B$52:$B$58,0))*DATOS!$C$40/(DATOS!$C$48*N36)/2)/1E5)</f>
        <v>1.70340536964706</v>
      </c>
      <c r="AW36" s="62">
        <f>IF(AR36&lt;0,9.99,IF(AV36&gt;0,AM36/AV36,0))</f>
        <v>0.700382581792183</v>
      </c>
      <c r="AX36" s="63">
        <f>IF(AU36=0,"—",0.003*((O36-DATOS!$C$22-INDEX(TABLAS!$C$52:$C$58,MATCH(DATOS!$C$113,TABLAS!$B$52:$B$58,0))-INDEX(TABLAS!$C$52:$C$58,MATCH(AS36,TABLAS!$B$52:$B$58,0))/2)-(AU36*INDEX(TABLAS!$D$52:$D$58,MATCH(AS36,TABLAS!$B$52:$B$58,0))*DATOS!$C$40/(DATOS!$C$48*N36)/DATOS!$C$49))/(AU36*INDEX(TABLAS!$D$52:$D$58,MATCH(AS36,TABLAS!$B$52:$B$58,0))*DATOS!$C$40/(DATOS!$C$48*N36)/DATOS!$C$49))</f>
        <v>0.0117926084434758</v>
      </c>
      <c r="AY36" s="43">
        <f>IF(OR(L36="BORDE DE VOLADO",L36="SIN APOYO"),0,IF(IF(AN36&lt;=0,0,IF((1-2*AN36*1E5/(DATOS!$C$58*N36*AQ36^2*DATOS!$C$48))&lt;0,-1,IF((1-SQRT((1-2*AN36*1E5/(DATOS!$C$58*N36*AQ36^2*DATOS!$C$48))))*DATOS!$C$48*N36*AQ36/DATOS!$C$40&gt;DATOS!$C$82*N36*AQ36,-1,(1-SQRT((1-2*AN36*1E5/(DATOS!$C$58*N36*AQ36^2*DATOS!$C$48))))*DATOS!$C$48*N36*AQ36/DATOS!$C$40)))&lt;0,-1,MAX(IF(AN36&lt;=0,0,IF((1-2*AN36*1E5/(DATOS!$C$58*N36*AQ36^2*DATOS!$C$48))&lt;0,-1,IF((1-SQRT((1-2*AN36*1E5/(DATOS!$C$58*N36*AQ36^2*DATOS!$C$48))))*DATOS!$C$48*N36*AQ36/DATOS!$C$40&gt;DATOS!$C$82*N36*AQ36,-1,(1-SQRT((1-2*AN36*1E5/(DATOS!$C$58*N36*AQ36^2*DATOS!$C$48))))*DATOS!$C$48*N36*AQ36/DATOS!$C$40))),MIN(DATOS!$C$83*IF(L36="VOLADO",MIN(BI36,2*N36),N36)*AQ36,4/3*IF(AN36&lt;=0,0,IF((1-2*AN36*1E5/(DATOS!$C$58*N36*AQ36^2*DATOS!$C$48))&lt;0,-1,IF((1-SQRT((1-2*AN36*1E5/(DATOS!$C$58*N36*AQ36^2*DATOS!$C$48))))*DATOS!$C$48*N36*AQ36/DATOS!$C$40&gt;DATOS!$C$82*N36*AQ36,-1,(1-SQRT((1-2*AN36*1E5/(DATOS!$C$58*N36*AQ36^2*DATOS!$C$48))))*DATOS!$C$48*N36*AQ36/DATOS!$C$40)))))))</f>
        <v>1.12743481262343</v>
      </c>
      <c r="AZ36" s="41">
        <f>IF(AY36&lt;0,0,IF(AND(AY36&gt;=0,MAX(DATOS!$C$114,CEILING(AY36/INDEX(TABLAS!$D$52:$D$58,MIN(MATCH(DATOS!$C$112,TABLAS!$B$52:$B$58,0)+0,7)),1))&lt;=MIN(99,INT((CB36+MAX(DATOS!$C$32,INDEX(TABLAS!$C$52:$C$58,MIN(MATCH(DATOS!$C$112,TABLAS!$B$52:$B$58,0)+0,7))))/(INDEX(TABLAS!$C$52:$C$58,MIN(MATCH(DATOS!$C$112,TABLAS!$B$52:$B$58,0)+0,7))+MAX(DATOS!$C$32,INDEX(TABLAS!$C$52:$C$58,MIN(MATCH(DATOS!$C$112,TABLAS!$B$52:$B$58,0)+0,7))))))),INDEX(TABLAS!$B$52:$B$58,MIN(MATCH(DATOS!$C$112,TABLAS!$B$52:$B$58,0)+0,7)),IF(AND(AY36&gt;=0,MAX(DATOS!$C$114,CEILING(AY36/INDEX(TABLAS!$D$52:$D$58,MIN(MATCH(DATOS!$C$112,TABLAS!$B$52:$B$58,0)+1,7)),1))&lt;=MIN(99,INT((CB36+MAX(DATOS!$C$32,INDEX(TABLAS!$C$52:$C$58,MIN(MATCH(DATOS!$C$112,TABLAS!$B$52:$B$58,0)+1,7))))/(INDEX(TABLAS!$C$52:$C$58,MIN(MATCH(DATOS!$C$112,TABLAS!$B$52:$B$58,0)+1,7))+MAX(DATOS!$C$32,INDEX(TABLAS!$C$52:$C$58,MIN(MATCH(DATOS!$C$112,TABLAS!$B$52:$B$58,0)+1,7))))))),INDEX(TABLAS!$B$52:$B$58,MIN(MATCH(DATOS!$C$112,TABLAS!$B$52:$B$58,0)+1,7)),IF(AND(AY36&gt;=0,MAX(DATOS!$C$114,CEILING(AY36/INDEX(TABLAS!$D$52:$D$58,MIN(MATCH(DATOS!$C$112,TABLAS!$B$52:$B$58,0)+2,7)),1))&lt;=MIN(99,INT((CB36+MAX(DATOS!$C$32,INDEX(TABLAS!$C$52:$C$58,MIN(MATCH(DATOS!$C$112,TABLAS!$B$52:$B$58,0)+2,7))))/(INDEX(TABLAS!$C$52:$C$58,MIN(MATCH(DATOS!$C$112,TABLAS!$B$52:$B$58,0)+2,7))+MAX(DATOS!$C$32,INDEX(TABLAS!$C$52:$C$58,MIN(MATCH(DATOS!$C$112,TABLAS!$B$52:$B$58,0)+2,7))))))),INDEX(TABLAS!$B$52:$B$58,MIN(MATCH(DATOS!$C$112,TABLAS!$B$52:$B$58,0)+2,7)),IF(AND(AY36&gt;=0,MAX(DATOS!$C$114,CEILING(AY36/INDEX(TABLAS!$D$52:$D$58,MIN(MATCH(DATOS!$C$112,TABLAS!$B$52:$B$58,0)+3,7)),1))&lt;=MIN(99,INT((CB36+MAX(DATOS!$C$32,INDEX(TABLAS!$C$52:$C$58,MIN(MATCH(DATOS!$C$112,TABLAS!$B$52:$B$58,0)+3,7))))/(INDEX(TABLAS!$C$52:$C$58,MIN(MATCH(DATOS!$C$112,TABLAS!$B$52:$B$58,0)+3,7))+MAX(DATOS!$C$32,INDEX(TABLAS!$C$52:$C$58,MIN(MATCH(DATOS!$C$112,TABLAS!$B$52:$B$58,0)+3,7))))))),INDEX(TABLAS!$B$52:$B$58,MIN(MATCH(DATOS!$C$112,TABLAS!$B$52:$B$58,0)+3,7)),IF(AND(AY36&gt;=0,MAX(DATOS!$C$114,CEILING(AY36/INDEX(TABLAS!$D$52:$D$58,MIN(MATCH(DATOS!$C$112,TABLAS!$B$52:$B$58,0)+4,7)),1))&lt;=MIN(99,INT((CB36+MAX(DATOS!$C$32,INDEX(TABLAS!$C$52:$C$58,MIN(MATCH(DATOS!$C$112,TABLAS!$B$52:$B$58,0)+4,7))))/(INDEX(TABLAS!$C$52:$C$58,MIN(MATCH(DATOS!$C$112,TABLAS!$B$52:$B$58,0)+4,7))+MAX(DATOS!$C$32,INDEX(TABLAS!$C$52:$C$58,MIN(MATCH(DATOS!$C$112,TABLAS!$B$52:$B$58,0)+4,7))))))),INDEX(TABLAS!$B$52:$B$58,MIN(MATCH(DATOS!$C$112,TABLAS!$B$52:$B$58,0)+4,7)),INDEX(TABLAS!$B$52:$B$58,7)))))))</f>
        <v>4</v>
      </c>
      <c r="BA36" s="56">
        <f>IF(OR(L36="BORDE DE VOLADO",L36="SIN APOYO"),0,IF(AY36&lt;0,0,MAX(DATOS!$C$114,CEILING(AY36/INDEX(TABLAS!$D$52:$D$58,MATCH(IF(AZ36=0,8,AZ36),TABLAS!$B$52:$B$58,0)),1))))</f>
        <v>2</v>
      </c>
      <c r="BB36" s="36">
        <f>IF(BA36=0,0,DATOS!$C$58*BA36*INDEX(TABLAS!$D$52:$D$58,MATCH(AZ36,TABLAS!$B$52:$B$58,0))*DATOS!$C$40*((O36-DATOS!$C$22-INDEX(TABLAS!$C$52:$C$58,MATCH(DATOS!$C$113,TABLAS!$B$52:$B$58,0))-INDEX(TABLAS!$C$52:$C$58,MATCH(AZ36,TABLAS!$B$52:$B$58,0))/2)-BA36*INDEX(TABLAS!$D$52:$D$58,MATCH(AZ36,TABLAS!$B$52:$B$58,0))*DATOS!$C$40/(DATOS!$C$48*N36)/2)/1E5)</f>
        <v>1.70340536964706</v>
      </c>
      <c r="BC36" s="62">
        <f>IF(AY36&lt;0,9.99,IF(BB36&gt;0,AN36/BB36,0))</f>
        <v>0.467155182055386</v>
      </c>
      <c r="BD36" s="63">
        <f>IF(BA36=0,"—",0.003*((O36-DATOS!$C$22-INDEX(TABLAS!$C$52:$C$58,MATCH(DATOS!$C$113,TABLAS!$B$52:$B$58,0))-INDEX(TABLAS!$C$52:$C$58,MATCH(AZ36,TABLAS!$B$52:$B$58,0))/2)-(BA36*INDEX(TABLAS!$D$52:$D$58,MATCH(AZ36,TABLAS!$B$52:$B$58,0))*DATOS!$C$40/(DATOS!$C$48*N36)/DATOS!$C$49))/(BA36*INDEX(TABLAS!$D$52:$D$58,MATCH(AZ36,TABLAS!$B$52:$B$58,0))*DATOS!$C$40/(DATOS!$C$48*N36)/DATOS!$C$49))</f>
        <v>0.0117926084434758</v>
      </c>
      <c r="BE36" s="36">
        <f>IF(BA36=0,0,DATOS!$C$59*MIN(1.25,MAX(0.5,2*MAX(1E-6,MIN(AU36*INDEX(TABLAS!$D$52:$D$58,MATCH(MAX(AS36,2),TABLAS!$B$52:$B$58,0)),BA36*INDEX(TABLAS!$D$52:$D$58,MATCH(MAX(AZ36,2),TABLAS!$B$52:$B$58,0)))/(N36*AQ36))^(1/3)))*SQRT(DATOS!$C$39)*N36*AQ36/1000)</f>
        <v>1.72675183421726</v>
      </c>
      <c r="BF36" s="57">
        <f>IF(AO36=0,0,FLOOR(MIN(IF(AO36&gt;BE36,DATOS!$C$59*2*INDEX(TABLAS!$D$52:$D$58,MATCH(DATOS!$C$113,TABLAS!$B$52:$B$58,0))*DATOS!$C$42*AQ36/((AO36-BE36)*1000),999),IF(MAX(0,AO36-BE36)/DATOS!$C$59&lt;=1.1*SQRT(DATOS!$C$39)*N36*AQ36/1000,MIN(AQ36/2,60),MIN(AQ36/4,30)),2*INDEX(TABLAS!$D$52:$D$58,MATCH(DATOS!$C$113,TABLAS!$B$52:$B$58,0))*DATOS!$C$42/(MAX(0.2*SQRT(DATOS!$C$39),3.5)*N36),MIN(16*INDEX(TABLAS!$C$52:$C$58,MATCH(MIN(MAX(AS36,2),MAX(AZ36,2)),TABLAS!$B$52:$B$58,0)),48*INDEX(TABLAS!$C$52:$C$58,MATCH(DATOS!$C$113,TABLAS!$B$52:$B$58,0))),DATOS!$C$115),0.5))</f>
        <v>9.5</v>
      </c>
      <c r="BG36" s="57">
        <f>BF36</f>
        <v>9.5</v>
      </c>
      <c r="BH36" s="51" t="str">
        <f>IF(AO36=0,"—",IF(AO36&gt;DATOS!$C$59*(BE36/DATOS!$C$59+2.2*SQRT(DATOS!$C$39)*N36*AQ36/1000),"SECCIÓN INSUFICIENTE","E No. "&amp;TEXT(DATOS!$C$113,"0")&amp;IF(BG36&lt;BF36," @ "&amp;TEXT(BG36,"0.0")&amp;" en 2h y"," @")&amp;" "&amp;TEXT(BF36,"0.0")&amp;" cm"))</f>
        <v>E No. 3 @ 9.5 cm</v>
      </c>
      <c r="BI36" s="56">
        <f>N36+2*MIN(8*DATOS!$C$14,DATOS!$C$11/2,G36*100/8)</f>
        <v>55</v>
      </c>
      <c r="BJ36" s="71">
        <f>BI36*DATOS!$C$14^3/12+BI36*DATOS!$C$14*(((BI36*DATOS!$C$14^2/2+N36*(O36-DATOS!$C$14)*(DATOS!$C$14+(O36-DATOS!$C$14)/2))/(BI36*DATOS!$C$14+N36*(O36-DATOS!$C$14)))-DATOS!$C$14/2)^2+N36*(O36-DATOS!$C$14)^3/12+N36*(O36-DATOS!$C$14)*(DATOS!$C$14+(O36-DATOS!$C$14)/2-((BI36*DATOS!$C$14^2/2+N36*(O36-DATOS!$C$14)*(DATOS!$C$14+(O36-DATOS!$C$14)/2))/(BI36*DATOS!$C$14+N36*(O36-DATOS!$C$14))))^2</f>
        <v>32991.3949275362</v>
      </c>
      <c r="BK36" s="43">
        <f>O36-DATOS!$C$22-INDEX(TABLAS!$C$52:$C$58,MATCH(DATOS!$C$113,TABLAS!$B$52:$B$58,0))-INDEX(TABLAS!$C$52:$C$58,MATCH(MAX(IF(L36="VOLADO",AZ36,AS36),2),TABLAS!$B$52:$B$58,0))/2</f>
        <v>19.415</v>
      </c>
      <c r="BL36" s="43">
        <f>DATOS!$C$46/DATOS!$C$45*IF(L36="VOLADO",BA36*INDEX(TABLAS!$D$52:$D$58,MATCH(MAX(AZ36,2),TABLAS!$B$52:$B$58,0)),AU36*INDEX(TABLAS!$D$52:$D$58,MATCH(MAX(AS36,2),TABLAS!$B$52:$B$58,0)))</f>
        <v>22.9491007337934</v>
      </c>
      <c r="BM36" s="43">
        <f>IF(BL36&lt;=0,0,(SQRT(2*(BL36/(IF(L36="VOLADO",N36,BI36)*BK36))+(BL36/(IF(L36="VOLADO",N36,BI36)*BK36))^2)-(BL36/(IF(L36="VOLADO",N36,BI36)*BK36)))*BK36)</f>
        <v>3.62949145334038</v>
      </c>
      <c r="BN36" s="71">
        <f>IF(AND(L36&lt;&gt;"VOLADO",BM36&gt;DATOS!$C$14),(BI36*DATOS!$C$14^3/12+BI36*DATOS!$C$14*(((-((BI36-N36)*DATOS!$C$14+BL36)+SQRT(((BI36-N36)*DATOS!$C$14+BL36)^2+2*N36*((BI36-N36)*DATOS!$C$14^2/2+BL36*BK36)))/N36)-DATOS!$C$14/2)^2+N36*(((-((BI36-N36)*DATOS!$C$14+BL36)+SQRT(((BI36-N36)*DATOS!$C$14+BL36)^2+2*N36*((BI36-N36)*DATOS!$C$14^2/2+BL36*BK36)))/N36)-DATOS!$C$14)^3/3+BL36*(BK36-((-((BI36-N36)*DATOS!$C$14+BL36)+SQRT(((BI36-N36)*DATOS!$C$14+BL36)^2+2*N36*((BI36-N36)*DATOS!$C$14^2/2+BL36*BK36)))/N36))^2),(IF(L36="VOLADO",N36,BI36)*BM36^3/3+BL36*(BK36-BM36)^2))</f>
        <v>6595.06343442034</v>
      </c>
      <c r="BO36" s="71">
        <f>IF(AP36&lt;=0,BJ36,IF((AP36*1E5)&lt;=2/3*(DATOS!$C$47*BJ36/IF(L36="VOLADO",((BI36*DATOS!$C$14^2/2+N36*(O36-DATOS!$C$14)*(DATOS!$C$14+(O36-DATOS!$C$14)/2))/(BI36*DATOS!$C$14+N36*(O36-DATOS!$C$14))),O36-((BI36*DATOS!$C$14^2/2+N36*(O36-DATOS!$C$14)*(DATOS!$C$14+(O36-DATOS!$C$14)/2))/(BI36*DATOS!$C$14+N36*(O36-DATOS!$C$14))))),BJ36,IF(BL36&lt;=0,0,BN36/(1-(2/3*(DATOS!$C$47*BJ36/IF(L36="VOLADO",((BI36*DATOS!$C$14^2/2+N36*(O36-DATOS!$C$14)*(DATOS!$C$14+(O36-DATOS!$C$14)/2))/(BI36*DATOS!$C$14+N36*(O36-DATOS!$C$14))),O36-((BI36*DATOS!$C$14^2/2+N36*(O36-DATOS!$C$14)*(DATOS!$C$14+(O36-DATOS!$C$14)/2))/(BI36*DATOS!$C$14+N36*(O36-DATOS!$C$14)))))/(AP36*1E5))^2*(1-BN36/BJ36)))))</f>
        <v>8104.28472449488</v>
      </c>
      <c r="BP36" s="62">
        <f>IF(OR(L36="APOYADA",L36="VOLADO"),(IF(L36="VOLADO",(AP36-AH36)/4+AH36/3,5/48*AP36)*1E5*(G36*100)^2/(DATOS!$C$45*MAX(BO36,1)))*(1+2/(1+50*IF(L36="VOLADO",AU36*INDEX(TABLAS!$D$52:$D$58,MATCH(MAX(AS36,2),TABLAS!$B$52:$B$58,0)),DATOS!$C$114*INDEX(TABLAS!$D$52:$D$58,MATCH(MAX(AZ36,2),TABLAS!$B$52:$B$58,0)))/(N36*BK36))*((AA36+AC36)/MAX(AA36+AB36,1E-6))),0)</f>
        <v>0.307114320157908</v>
      </c>
      <c r="BQ36" s="43">
        <f>IF(S36&gt;0,0.3+G36*100/480,0.5+G36*100/240)</f>
        <v>0.633333333333333</v>
      </c>
      <c r="BR36" s="43">
        <f>IF(S36&gt;0,(T36+U36)*G36+AG36,0)</f>
        <v>4.05733247755102</v>
      </c>
      <c r="BS36" s="43">
        <f>IF(S36&gt;0,(DATOS!$C$51*DATOS!$C$103*100*(G36*100)^3/(DATOS!$C$45*BJ36*((BR36*1000/(DATOS!$C$103*100*S36*100)*DATOS!$C$103*100*(MIN(1,S36/G36)^4-4*MIN(1,S36/G36)^3+8*MIN(1,S36/G36)))/((BR36*1000/(DATOS!$C$103*100*S36*100)*DATOS!$C$103*100*(MIN(1,S36/G36)^4-4*MIN(1,S36/G36)^3+8*MIN(1,S36/G36)))+5*((R36+X36+Y36+IF(L36="APOYADA",8*(0)/G36^2,0))*10)))))^0.25,0)</f>
        <v>4.56922455155531</v>
      </c>
      <c r="BT36" s="57">
        <f>IF(S36&gt;0,MAX(1,IF(MIN(1,S36/G36)&gt;=1,(1.6*BS36-3.9),IF(MIN(1,S36/G36)&lt;0.9,((3.2*BS36-7.8)*1),((3.2*BS36-7.8)*1)+((1.6*BS36-3.9)-((3.2*BS36-7.8)*1))*(MIN(1,S36/G36)-0.9)/0.1)))*BR36*1000/(DATOS!$C$103*100*S36*100),0)</f>
        <v>5.76607683747883</v>
      </c>
      <c r="BU36" s="65" t="str">
        <f>IF(S36=0,"—",IF(DATOS!$C$105/S36&lt;0.6,"REVISAR: H/L &lt; 0.6, interacción muro-viga",IF(BT36&lt;=DATOS!$C$60*DATOS!$C$50,"CUMPLE","NO CUMPLE f_CM &gt; F_R·f'm")))</f>
        <v>CUMPLE</v>
      </c>
      <c r="BV36" s="57">
        <f>IF(S36&gt;0,MAX(25,IF(BJ36&gt;=(G36*100)^3/1600,0,MIN(G36*100/14,(12*(G36*100)^3/1600/N36)^(1/3)))),IF(L36="APOYADA",MAX(25,G36*100/16),IF(L36="VOLADO",MAX(25,G36*100/8),0)))</f>
        <v>25</v>
      </c>
      <c r="BW36" s="57">
        <f>IF(S36&gt;0,IF(BJ36&gt;=(5/4*(G36*100)^3/DATOS!$C$45*((((S36*DATOS!$C$107+(((SUMIFS(TRIB!$I$6:$I$255,TRIB!$B$6:$B$255,"DM-130")-SUMIFS(TRIB!$L$6:$L$255,TRIB!$B$6:$B$255,"DM-130"))*1.0)/G36+(SUMIFS(TRIB!$M$6:$M$255,TRIB!$B$6:$B$255,"DM-130")*1.0)/G36)*G36+AG36/DATOS!$C$55)*1000)/(DATOS!$C$103*100*S36*100)*DATOS!$C$103*100*(MIN(1,S36/G36)^4-4*MIN(1,S36/G36)^3+8*MIN(1,S36/G36)))+5*((AA36-S36*DATOS!$C$107/G36-(((SUMIFS(TRIB!$I$6:$I$255,TRIB!$B$6:$B$255,"DM-130")-SUMIFS(TRIB!$L$6:$L$255,TRIB!$B$6:$B$255,"DM-130"))*1.0)/G36))*10))),0,MIN((G36*100/((1/15*DATOS!$C$45*N36/((((S36*DATOS!$C$107+(((SUMIFS(TRIB!$I$6:$I$255,TRIB!$B$6:$B$255,"DM-130")-SUMIFS(TRIB!$L$6:$L$255,TRIB!$B$6:$B$255,"DM-130"))*1.0)/G36+(SUMIFS(TRIB!$M$6:$M$255,TRIB!$B$6:$B$255,"DM-130")*1.0)/G36)*G36+AG36/DATOS!$C$55)*1000)/(DATOS!$C$103*100*S36*100)*DATOS!$C$103*100*(MIN(1,S36/G36)^4-4*MIN(1,S36/G36)^3+8*MIN(1,S36/G36)))+5*((AA36-S36*DATOS!$C$107/G36-(((SUMIFS(TRIB!$I$6:$I$255,TRIB!$B$6:$B$255,"DM-130")-SUMIFS(TRIB!$L$6:$L$255,TRIB!$B$6:$B$255,"DM-130"))*1.0)/G36))*10)))^(1/3))),(12*(5/4*(G36*100)^3/DATOS!$C$45*((((S36*DATOS!$C$107+(((SUMIFS(TRIB!$I$6:$I$255,TRIB!$B$6:$B$255,"DM-130")-SUMIFS(TRIB!$L$6:$L$255,TRIB!$B$6:$B$255,"DM-130"))*1.0)/G36+(SUMIFS(TRIB!$M$6:$M$255,TRIB!$B$6:$B$255,"DM-130")*1.0)/G36)*G36+AG36/DATOS!$C$55)*1000)/(DATOS!$C$103*100*S36*100)*DATOS!$C$103*100*(MIN(1,S36/G36)^4-4*MIN(1,S36/G36)^3+8*MIN(1,S36/G36)))+5*((AA36-S36*DATOS!$C$107/G36-(((SUMIFS(TRIB!$I$6:$I$255,TRIB!$B$6:$B$255,"DM-130")-SUMIFS(TRIB!$L$6:$L$255,TRIB!$B$6:$B$255,"DM-130"))*1.0)/G36))*10)))/N36)^(1/3))),0)</f>
        <v>0</v>
      </c>
      <c r="BX36" s="57">
        <f>SQRT(MAX(AM36,AN36)*1E5/(DATOS!$C$58*N36*DATOS!$C$48*(DATOS!$C$82*DATOS!$C$40/DATOS!$C$48)*(1-(DATOS!$C$82*DATOS!$C$40/DATOS!$C$48)/2)))+(O36-AQ36)</f>
        <v>18.0431649101739</v>
      </c>
      <c r="BY36" s="59">
        <f>IF(OR(L36="BORDE DE VOLADO",L36="SIN APOYO"),0,CEILING(MAX(BV36,BW36,BX36,DATOS!$C$15),5))</f>
        <v>25</v>
      </c>
      <c r="BZ36" s="72" t="str">
        <f>IF(L36="BORDE DE VOLADO","BORDE DE VOLADO — armado de orilla",IF(L36="SIN APOYO","SIN APOYO — REVISAR",IF(AND(AW36&lt;=1,BC36&lt;=1,IF(AU36=0,TRUE,AU36&lt;=INT((CB36+DATOS!$C$32)/(INDEX(TABLAS!$C$52:$C$58,MATCH(MAX(AS36,2),TABLAS!$B$52:$B$58,0))+DATOS!$C$32))),IF(BA36=0,TRUE,BA36&lt;=INT((CB36+DATOS!$C$32)/(INDEX(TABLAS!$C$52:$C$58,MATCH(MAX(AZ36,2),TABLAS!$B$52:$B$58,0))+DATOS!$C$32))),AND(OR(NOT(ISNUMBER(AX36)),AX36&gt;=0.005),OR(NOT(ISNUMBER(BD36)),BD36&gt;=0.005)),BH36&lt;&gt;"SECCIÓN INSUFICIENTE",AND(O36&gt;=BV36,O36&gt;=BW36,O36/N36&lt;=6),BP36&lt;=BQ36,OR(S36=0,LEFT(BU36,6)&lt;&gt;"NO CUM")),IF(LEFT(BU36,7)="REVISAR","PENDIENTE: H/L &lt; 0.6, falta el análisis de interacción muro-viga (NTC-M 4.1.18.2.1, p. 44)","CUMPLE")&amp;IF(L36="VOLADO"," (en VOLADO)",""),"NO CUMPLE: "&amp;IF(OR(AR36&lt;0,AY36&lt;0),"sección insuficiente en flexión ",IF(OR(AW36&gt;1,BC36&gt;1),"flexión ",""))&amp;IF(NOT(AND(IF(AU36=0,TRUE,AU36&lt;=INT((CB36+DATOS!$C$32)/(INDEX(TABLAS!$C$52:$C$58,MATCH(MAX(AS36,2),TABLAS!$B$52:$B$58,0))+DATOS!$C$32))),IF(BA36=0,TRUE,BA36&lt;=INT((CB36+DATOS!$C$32)/(INDEX(TABLAS!$C$52:$C$58,MATCH(MAX(AZ36,2),TABLAS!$B$52:$B$58,0))+DATOS!$C$32))))),"no caben ","")&amp;IF(NOT(AND(OR(NOT(ISNUMBER(AX36)),AX36&gt;=0.005),OR(NOT(ISNUMBER(BD36)),BD36&gt;=0.005))),"ε_t ","")&amp;IF(BH36="SECCIÓN INSUFICIENTE","cortante ","")&amp;IF(NOT(AND(O36&gt;=BV36,O36&gt;=BW36,O36/N36&lt;=6)),"peralte ","")&amp;IF(NOT(BP36&lt;=BQ36),"flecha ","")&amp;IF(NOT(OR(S36=0,LEFT(BU36,6)&lt;&gt;"NO CUM")),"muro sobre viga ","")&amp;"→ h ≥ "&amp;TEXT(MAX(BY36,IF(BP36&gt;BQ36,MAX(O36+5,CEILING(O36*(BP36/BQ36)^(1/3),5)),0)),"0")&amp;" cm"&amp;IF(NOT(AND(IF(AU36=0,TRUE,AU36&lt;=INT((CB36+DATOS!$C$32)/(INDEX(TABLAS!$C$52:$C$58,MATCH(MAX(AS36,2),TABLAS!$B$52:$B$58,0))+DATOS!$C$32))),IF(BA36=0,TRUE,BA36&lt;=INT((CB36+DATOS!$C$32)/(INDEX(TABLAS!$C$52:$C$58,MATCH(MAX(AZ36,2),TABLAS!$B$52:$B$58,0))+DATOS!$C$32)))))," y b ≥ "&amp;TEXT(N36+5,"0")&amp;" cm","")&amp;" (verificar)")))</f>
        <v>CUMPLE</v>
      </c>
      <c r="CA36" s="65" t="inlineStr">
        <is>
          <t>Extremo i se apoya en NP-13. Recibe a NP-31 (por el muro de arriba). Muro de planta alta encima (1.60 m) con la azotea de DM-130: viga que soporta muro estructural (NTC-Mampostería 4.1.18): la flecha se calcula y el límite es 0.3 cm + L/480.</t>
        </is>
      </c>
      <c r="CB36" s="43">
        <f>N36-2*DATOS!$C$22-2*INDEX(TABLAS!$C$52:$C$58,MATCH(DATOS!$C$113,TABLAS!$B$52:$B$58,0))</f>
        <v>5.1</v>
      </c>
    </row>
    <row r="37" ht="30" customHeight="1">
      <c r="B37" s="60" t="inlineStr">
        <is>
          <t>NP-29</t>
        </is>
      </c>
      <c r="C37" s="52" t="inlineStr">
        <is>
          <t>N+3.00</t>
        </is>
      </c>
      <c r="D37" s="51" t="inlineStr">
        <is>
          <t>Eje G (x = 5.923)</t>
        </is>
      </c>
      <c r="E37" s="52" t="inlineStr">
        <is>
          <t>(5.923, 2.921)</t>
        </is>
      </c>
      <c r="F37" s="52" t="inlineStr">
        <is>
          <t>(5.923, 5.946)</t>
        </is>
      </c>
      <c r="G37" s="55" t="n">
        <v>3.025</v>
      </c>
      <c r="H37" s="52" t="str">
        <f>IF(APOYOS!$C$19="SÍ","FIRME","LIBRE")</f>
        <v>FIRME</v>
      </c>
      <c r="I37" s="52" t="inlineStr">
        <is>
          <t>FIRME</t>
        </is>
      </c>
      <c r="J37" s="52" t="inlineStr">
        <is>
          <t>C3</t>
        </is>
      </c>
      <c r="K37" s="52" t="inlineStr">
        <is>
          <t>—</t>
        </is>
      </c>
      <c r="L37" s="60" t="str">
        <f>IF(AND(OR(H37="FIRME",H37="NERVADURA",H37="PUNTA"),OR(I37="FIRME",I37="NERVADURA",I37="PUNTA")),"APOYADA",IF(OR(OR(H37="FIRME",H37="NERVADURA",H37="PUNTA"),OR(I37="FIRME",I37="NERVADURA",I37="PUNTA")),"VOLADO","SIN APOYO"))</f>
        <v>APOYADA</v>
      </c>
      <c r="M37" s="52" t="str">
        <f>IF(L37="VOLADO",IF(OR(H37="FIRME",H37="NERVADURA",H37="PUNTA"),"i","j"),"—")</f>
        <v>—</v>
      </c>
      <c r="N37" s="58" t="n">
        <v>20</v>
      </c>
      <c r="O37" s="58" t="n">
        <v>35</v>
      </c>
      <c r="P37" s="65" t="str">
        <f>IF(L37="BORDE DE VOLADO","—",IF(OR(N37&lt;&gt;DATOS!$C$17,O37&lt;&gt;DATOS!$C$15),"PERALTAR: trabe "&amp;TEXT(N37,"0")&amp;"×"&amp;TEXT(O37,"0")&amp;IF(O37&gt;DATOS!$C$15," (descuelga "&amp;TEXT(O37-DATOS!$C$15,"0")&amp;" cm)",""),"Queda en la losa (15×25)"))</f>
        <v>PERALTAR: trabe 20×35 (descuelga 10 cm)</v>
      </c>
      <c r="Q37" s="43">
        <f>SUMIFS(TRIB!$E$6:$E$255,TRIB!$B$6:$B$255,"NP-29")</f>
        <v>1.7771</v>
      </c>
      <c r="R37" s="36">
        <f>SUMIFS(TRIB!$G$6:$G$255,TRIB!$B$6:$B$255,"NP-29")/G37</f>
        <v>0.567365176589644</v>
      </c>
      <c r="S37" s="69" t="n">
        <v>3.025</v>
      </c>
      <c r="T37" s="36">
        <f>DATOS!$C$55*S37*DATOS!$C$107/G37</f>
        <v>1.233375</v>
      </c>
      <c r="U37" s="36">
        <f>(SUMIFS(TRIB!$G$6:$G$255,TRIB!$B$6:$B$255,"DM-131")*1.0+SUMIFS(TRIB!$G$6:$G$255,TRIB!$B$6:$B$255,"DM-132")*1.0)/G37</f>
        <v>0.518634260077585</v>
      </c>
      <c r="V37" s="61" t="n">
        <v>0</v>
      </c>
      <c r="W37" s="61" t="n">
        <v>0</v>
      </c>
      <c r="X37" s="36">
        <f>(DATOS!$C$55*V37+DATOS!$C$56*W37)/1000</f>
        <v>0</v>
      </c>
      <c r="Y37" s="36">
        <f>DATOS!$C$55*(N37/100*O37/100*DATOS!$C$43-N37/100*DATOS!$C$70/1000)</f>
        <v>0.156084897959184</v>
      </c>
      <c r="Z37" s="70">
        <f>R37+T37+U37+X37+Y37</f>
        <v>2.47545933462641</v>
      </c>
      <c r="AA37" s="36">
        <f>(SUMIFS(TRIB!$I$6:$I$255,TRIB!$B$6:$B$255,"NP-29")-SUMIFS(TRIB!$L$6:$L$255,TRIB!$B$6:$B$255,"NP-29"))/G37+S37*DATOS!$C$107/G37+((SUMIFS(TRIB!$I$6:$I$255,TRIB!$B$6:$B$255,"DM-131")-SUMIFS(TRIB!$L$6:$L$255,TRIB!$B$6:$B$255,"DM-131"))*1.0+(SUMIFS(TRIB!$I$6:$I$255,TRIB!$B$6:$B$255,"DM-132")-SUMIFS(TRIB!$L$6:$L$255,TRIB!$B$6:$B$255,"DM-132"))*1.0)/G37+V37/1000+Y37/DATOS!$C$55</f>
        <v>1.70761881430258</v>
      </c>
      <c r="AB37" s="36">
        <f>SUMIFS(TRIB!$L$6:$L$255,TRIB!$B$6:$B$255,"NP-29")/G37+(SUMIFS(TRIB!$L$6:$L$255,TRIB!$B$6:$B$255,"DM-131")*1.0+SUMIFS(TRIB!$L$6:$L$255,TRIB!$B$6:$B$255,"DM-132")*1.0)/G37+W37/1000</f>
        <v>0.170369917355372</v>
      </c>
      <c r="AC37" s="36">
        <f>SUMIFS(TRIB!$M$6:$M$255,TRIB!$B$6:$B$255,"NP-29")/G37+(SUMIFS(TRIB!$M$6:$M$255,TRIB!$B$6:$B$255,"DM-131")*1.0+SUMIFS(TRIB!$M$6:$M$255,TRIB!$B$6:$B$255,"DM-132")*1.0)/G37+W37/1000*DATOS!$C$91/DATOS!$C$89</f>
        <v>0.0558102479338843</v>
      </c>
      <c r="AD37" s="36">
        <f>0</f>
        <v>0</v>
      </c>
      <c r="AE37" s="36">
        <f>0</f>
        <v>0</v>
      </c>
      <c r="AF37" s="36">
        <f>0</f>
        <v>0</v>
      </c>
      <c r="AG37" s="36">
        <f>0</f>
        <v>0</v>
      </c>
      <c r="AH37" s="36">
        <f>0</f>
        <v>0</v>
      </c>
      <c r="AI37" s="36">
        <f>IF(L37="APOYADA",Z37*G37/2+0,IF(AND(L37="VOLADO",M37="i"),Z37*G37+AD37,0))</f>
        <v>3.74413224362245</v>
      </c>
      <c r="AJ37" s="36">
        <f>IF(L37="APOYADA",Z37*G37/2+0,IF(AND(L37="VOLADO",M37="j"),Z37*G37+AD37,0))</f>
        <v>3.74413224362245</v>
      </c>
      <c r="AK37" s="36">
        <f>IF(L37="APOYADA",(AA37+AB37)*G37/2+0,IF(AND(L37="VOLADO",M37="i"),(AA37+AB37)*G37+0,0))</f>
        <v>2.84045795663265</v>
      </c>
      <c r="AL37" s="36">
        <f>IF(L37="APOYADA",(AA37+AB37)*G37/2+0,IF(AND(L37="VOLADO",M37="j"),(AA37+AB37)*G37+0,0))</f>
        <v>2.84045795663265</v>
      </c>
      <c r="AM37" s="70">
        <f>IF(L37="APOYADA",Z37*G37^2/8+AE37,0)</f>
        <v>2.83150000923948</v>
      </c>
      <c r="AN37" s="70">
        <f>IF(L37="APOYADA",DATOS!$C$64*AM37,IF(L37="VOLADO",Z37*G37^2/2+AE37,0))</f>
        <v>1.88861050616273</v>
      </c>
      <c r="AO37" s="70">
        <f>IF(L37="APOYADA",Z37*G37/2+AF37,IF(L37="VOLADO",Z37*G37+AF37,0))</f>
        <v>3.74413224362245</v>
      </c>
      <c r="AP37" s="36">
        <f>IF(L37="APOYADA",(AA37+AB37)*G37^2/8+AH37,IF(L37="VOLADO",(AA37+AB37)*G37^2/2+AH37,0))</f>
        <v>2.14809632970344</v>
      </c>
      <c r="AQ37" s="43">
        <f>O37-DATOS!$C$22-INDEX(TABLAS!$C$52:$C$58,MATCH(DATOS!$C$113,TABLAS!$B$52:$B$58,0))-INDEX(TABLAS!$C$52:$C$58,MATCH(DATOS!$C$112,TABLAS!$B$52:$B$58,0))/2</f>
        <v>29.415</v>
      </c>
      <c r="AR37" s="43">
        <f>IF(OR(L37="BORDE DE VOLADO",L37="SIN APOYO"),0,IF(IF(AM37&lt;=0,0,IF((1-2*AM37*1E5/(DATOS!$C$58*N37*AQ37^2*DATOS!$C$48))&lt;0,-1,IF((1-SQRT((1-2*AM37*1E5/(DATOS!$C$58*N37*AQ37^2*DATOS!$C$48))))*DATOS!$C$48*N37*AQ37/DATOS!$C$40&gt;DATOS!$C$82*N37*AQ37,-1,(1-SQRT((1-2*AM37*1E5/(DATOS!$C$58*N37*AQ37^2*DATOS!$C$48))))*DATOS!$C$48*N37*AQ37/DATOS!$C$40)))&lt;0,-1,MAX(IF(AM37&lt;=0,0,IF((1-2*AM37*1E5/(DATOS!$C$58*N37*AQ37^2*DATOS!$C$48))&lt;0,-1,IF((1-SQRT((1-2*AM37*1E5/(DATOS!$C$58*N37*AQ37^2*DATOS!$C$48))))*DATOS!$C$48*N37*AQ37/DATOS!$C$40&gt;DATOS!$C$82*N37*AQ37,-1,(1-SQRT((1-2*AM37*1E5/(DATOS!$C$58*N37*AQ37^2*DATOS!$C$48))))*DATOS!$C$48*N37*AQ37/DATOS!$C$40))),MIN(DATOS!$C$83*N37*AQ37,4/3*IF(AM37&lt;=0,0,IF((1-2*AM37*1E5/(DATOS!$C$58*N37*AQ37^2*DATOS!$C$48))&lt;0,-1,IF((1-SQRT((1-2*AM37*1E5/(DATOS!$C$58*N37*AQ37^2*DATOS!$C$48))))*DATOS!$C$48*N37*AQ37/DATOS!$C$40&gt;DATOS!$C$82*N37*AQ37,-1,(1-SQRT((1-2*AM37*1E5/(DATOS!$C$58*N37*AQ37^2*DATOS!$C$48))))*DATOS!$C$48*N37*AQ37/DATOS!$C$40)))))))</f>
        <v>2.66596215509361</v>
      </c>
      <c r="AS37" s="41">
        <f>IF(AR37&lt;0,0,IF(AND(AR37&gt;=0,MAX(DATOS!$C$114,CEILING(AR37/INDEX(TABLAS!$D$52:$D$58,MIN(MATCH(DATOS!$C$112,TABLAS!$B$52:$B$58,0)+0,7)),1))&lt;=MIN(99,INT((CB37+MAX(DATOS!$C$32,INDEX(TABLAS!$C$52:$C$58,MIN(MATCH(DATOS!$C$112,TABLAS!$B$52:$B$58,0)+0,7))))/(INDEX(TABLAS!$C$52:$C$58,MIN(MATCH(DATOS!$C$112,TABLAS!$B$52:$B$58,0)+0,7))+MAX(DATOS!$C$32,INDEX(TABLAS!$C$52:$C$58,MIN(MATCH(DATOS!$C$112,TABLAS!$B$52:$B$58,0)+0,7))))))),INDEX(TABLAS!$B$52:$B$58,MIN(MATCH(DATOS!$C$112,TABLAS!$B$52:$B$58,0)+0,7)),IF(AND(AR37&gt;=0,MAX(DATOS!$C$114,CEILING(AR37/INDEX(TABLAS!$D$52:$D$58,MIN(MATCH(DATOS!$C$112,TABLAS!$B$52:$B$58,0)+1,7)),1))&lt;=MIN(99,INT((CB37+MAX(DATOS!$C$32,INDEX(TABLAS!$C$52:$C$58,MIN(MATCH(DATOS!$C$112,TABLAS!$B$52:$B$58,0)+1,7))))/(INDEX(TABLAS!$C$52:$C$58,MIN(MATCH(DATOS!$C$112,TABLAS!$B$52:$B$58,0)+1,7))+MAX(DATOS!$C$32,INDEX(TABLAS!$C$52:$C$58,MIN(MATCH(DATOS!$C$112,TABLAS!$B$52:$B$58,0)+1,7))))))),INDEX(TABLAS!$B$52:$B$58,MIN(MATCH(DATOS!$C$112,TABLAS!$B$52:$B$58,0)+1,7)),IF(AND(AR37&gt;=0,MAX(DATOS!$C$114,CEILING(AR37/INDEX(TABLAS!$D$52:$D$58,MIN(MATCH(DATOS!$C$112,TABLAS!$B$52:$B$58,0)+2,7)),1))&lt;=MIN(99,INT((CB37+MAX(DATOS!$C$32,INDEX(TABLAS!$C$52:$C$58,MIN(MATCH(DATOS!$C$112,TABLAS!$B$52:$B$58,0)+2,7))))/(INDEX(TABLAS!$C$52:$C$58,MIN(MATCH(DATOS!$C$112,TABLAS!$B$52:$B$58,0)+2,7))+MAX(DATOS!$C$32,INDEX(TABLAS!$C$52:$C$58,MIN(MATCH(DATOS!$C$112,TABLAS!$B$52:$B$58,0)+2,7))))))),INDEX(TABLAS!$B$52:$B$58,MIN(MATCH(DATOS!$C$112,TABLAS!$B$52:$B$58,0)+2,7)),IF(AND(AR37&gt;=0,MAX(DATOS!$C$114,CEILING(AR37/INDEX(TABLAS!$D$52:$D$58,MIN(MATCH(DATOS!$C$112,TABLAS!$B$52:$B$58,0)+3,7)),1))&lt;=MIN(99,INT((CB37+MAX(DATOS!$C$32,INDEX(TABLAS!$C$52:$C$58,MIN(MATCH(DATOS!$C$112,TABLAS!$B$52:$B$58,0)+3,7))))/(INDEX(TABLAS!$C$52:$C$58,MIN(MATCH(DATOS!$C$112,TABLAS!$B$52:$B$58,0)+3,7))+MAX(DATOS!$C$32,INDEX(TABLAS!$C$52:$C$58,MIN(MATCH(DATOS!$C$112,TABLAS!$B$52:$B$58,0)+3,7))))))),INDEX(TABLAS!$B$52:$B$58,MIN(MATCH(DATOS!$C$112,TABLAS!$B$52:$B$58,0)+3,7)),IF(AND(AR37&gt;=0,MAX(DATOS!$C$114,CEILING(AR37/INDEX(TABLAS!$D$52:$D$58,MIN(MATCH(DATOS!$C$112,TABLAS!$B$52:$B$58,0)+4,7)),1))&lt;=MIN(99,INT((CB37+MAX(DATOS!$C$32,INDEX(TABLAS!$C$52:$C$58,MIN(MATCH(DATOS!$C$112,TABLAS!$B$52:$B$58,0)+4,7))))/(INDEX(TABLAS!$C$52:$C$58,MIN(MATCH(DATOS!$C$112,TABLAS!$B$52:$B$58,0)+4,7))+MAX(DATOS!$C$32,INDEX(TABLAS!$C$52:$C$58,MIN(MATCH(DATOS!$C$112,TABLAS!$B$52:$B$58,0)+4,7))))))),INDEX(TABLAS!$B$52:$B$58,MIN(MATCH(DATOS!$C$112,TABLAS!$B$52:$B$58,0)+4,7)),INDEX(TABLAS!$B$52:$B$58,7)))))))</f>
        <v>4</v>
      </c>
      <c r="AT37" s="58" t="n">
        <v>0</v>
      </c>
      <c r="AU37" s="56">
        <f>IF(OR(L37="BORDE DE VOLADO",L37="SIN APOYO"),0,IF(AR37&lt;0,0,MAX(DATOS!$C$114,CEILING(AR37/INDEX(TABLAS!$D$52:$D$58,MATCH(IF(AS37=0,8,AS37),TABLAS!$B$52:$B$58,0)),1))+AT37))</f>
        <v>3</v>
      </c>
      <c r="AV37" s="36">
        <f>IF(AU37=0,0,DATOS!$C$58*AU37*INDEX(TABLAS!$D$52:$D$58,MATCH(AS37,TABLAS!$B$52:$B$58,0))*DATOS!$C$40*((O37-DATOS!$C$22-INDEX(TABLAS!$C$52:$C$58,MATCH(DATOS!$C$113,TABLAS!$B$52:$B$58,0))-INDEX(TABLAS!$C$52:$C$58,MATCH(AS37,TABLAS!$B$52:$B$58,0))/2)-AU37*INDEX(TABLAS!$D$52:$D$58,MATCH(AS37,TABLAS!$B$52:$B$58,0))*DATOS!$C$40/(DATOS!$C$48*N37)/2)/1E5)</f>
        <v>3.96516287752941</v>
      </c>
      <c r="AW37" s="62">
        <f>IF(AR37&lt;0,9.99,IF(AV37&gt;0,AM37/AV37,0))</f>
        <v>0.714094249516355</v>
      </c>
      <c r="AX37" s="63">
        <f>IF(AU37=0,"—",0.003*((O37-DATOS!$C$22-INDEX(TABLAS!$C$52:$C$58,MATCH(DATOS!$C$113,TABLAS!$B$52:$B$58,0))-INDEX(TABLAS!$C$52:$C$58,MATCH(AS37,TABLAS!$B$52:$B$58,0))/2)-(AU37*INDEX(TABLAS!$D$52:$D$58,MATCH(AS37,TABLAS!$B$52:$B$58,0))*DATOS!$C$40/(DATOS!$C$48*N37)/DATOS!$C$49))/(AU37*INDEX(TABLAS!$D$52:$D$58,MATCH(AS37,TABLAS!$B$52:$B$58,0))*DATOS!$C$40/(DATOS!$C$48*N37)/DATOS!$C$49))</f>
        <v>0.0169215762092238</v>
      </c>
      <c r="AY37" s="43">
        <f>IF(OR(L37="BORDE DE VOLADO",L37="SIN APOYO"),0,IF(IF(AN37&lt;=0,0,IF((1-2*AN37*1E5/(DATOS!$C$58*N37*AQ37^2*DATOS!$C$48))&lt;0,-1,IF((1-SQRT((1-2*AN37*1E5/(DATOS!$C$58*N37*AQ37^2*DATOS!$C$48))))*DATOS!$C$48*N37*AQ37/DATOS!$C$40&gt;DATOS!$C$82*N37*AQ37,-1,(1-SQRT((1-2*AN37*1E5/(DATOS!$C$58*N37*AQ37^2*DATOS!$C$48))))*DATOS!$C$48*N37*AQ37/DATOS!$C$40)))&lt;0,-1,MAX(IF(AN37&lt;=0,0,IF((1-2*AN37*1E5/(DATOS!$C$58*N37*AQ37^2*DATOS!$C$48))&lt;0,-1,IF((1-SQRT((1-2*AN37*1E5/(DATOS!$C$58*N37*AQ37^2*DATOS!$C$48))))*DATOS!$C$48*N37*AQ37/DATOS!$C$40&gt;DATOS!$C$82*N37*AQ37,-1,(1-SQRT((1-2*AN37*1E5/(DATOS!$C$58*N37*AQ37^2*DATOS!$C$48))))*DATOS!$C$48*N37*AQ37/DATOS!$C$40))),MIN(DATOS!$C$83*IF(L37="VOLADO",MIN(BI37,2*N37),N37)*AQ37,4/3*IF(AN37&lt;=0,0,IF((1-2*AN37*1E5/(DATOS!$C$58*N37*AQ37^2*DATOS!$C$48))&lt;0,-1,IF((1-SQRT((1-2*AN37*1E5/(DATOS!$C$58*N37*AQ37^2*DATOS!$C$48))))*DATOS!$C$48*N37*AQ37/DATOS!$C$40&gt;DATOS!$C$82*N37*AQ37,-1,(1-SQRT((1-2*AN37*1E5/(DATOS!$C$58*N37*AQ37^2*DATOS!$C$48))))*DATOS!$C$48*N37*AQ37/DATOS!$C$40)))))))</f>
        <v>1.961</v>
      </c>
      <c r="AZ37" s="41">
        <f>IF(AY37&lt;0,0,IF(AND(AY37&gt;=0,MAX(DATOS!$C$114,CEILING(AY37/INDEX(TABLAS!$D$52:$D$58,MIN(MATCH(DATOS!$C$112,TABLAS!$B$52:$B$58,0)+0,7)),1))&lt;=MIN(99,INT((CB37+MAX(DATOS!$C$32,INDEX(TABLAS!$C$52:$C$58,MIN(MATCH(DATOS!$C$112,TABLAS!$B$52:$B$58,0)+0,7))))/(INDEX(TABLAS!$C$52:$C$58,MIN(MATCH(DATOS!$C$112,TABLAS!$B$52:$B$58,0)+0,7))+MAX(DATOS!$C$32,INDEX(TABLAS!$C$52:$C$58,MIN(MATCH(DATOS!$C$112,TABLAS!$B$52:$B$58,0)+0,7))))))),INDEX(TABLAS!$B$52:$B$58,MIN(MATCH(DATOS!$C$112,TABLAS!$B$52:$B$58,0)+0,7)),IF(AND(AY37&gt;=0,MAX(DATOS!$C$114,CEILING(AY37/INDEX(TABLAS!$D$52:$D$58,MIN(MATCH(DATOS!$C$112,TABLAS!$B$52:$B$58,0)+1,7)),1))&lt;=MIN(99,INT((CB37+MAX(DATOS!$C$32,INDEX(TABLAS!$C$52:$C$58,MIN(MATCH(DATOS!$C$112,TABLAS!$B$52:$B$58,0)+1,7))))/(INDEX(TABLAS!$C$52:$C$58,MIN(MATCH(DATOS!$C$112,TABLAS!$B$52:$B$58,0)+1,7))+MAX(DATOS!$C$32,INDEX(TABLAS!$C$52:$C$58,MIN(MATCH(DATOS!$C$112,TABLAS!$B$52:$B$58,0)+1,7))))))),INDEX(TABLAS!$B$52:$B$58,MIN(MATCH(DATOS!$C$112,TABLAS!$B$52:$B$58,0)+1,7)),IF(AND(AY37&gt;=0,MAX(DATOS!$C$114,CEILING(AY37/INDEX(TABLAS!$D$52:$D$58,MIN(MATCH(DATOS!$C$112,TABLAS!$B$52:$B$58,0)+2,7)),1))&lt;=MIN(99,INT((CB37+MAX(DATOS!$C$32,INDEX(TABLAS!$C$52:$C$58,MIN(MATCH(DATOS!$C$112,TABLAS!$B$52:$B$58,0)+2,7))))/(INDEX(TABLAS!$C$52:$C$58,MIN(MATCH(DATOS!$C$112,TABLAS!$B$52:$B$58,0)+2,7))+MAX(DATOS!$C$32,INDEX(TABLAS!$C$52:$C$58,MIN(MATCH(DATOS!$C$112,TABLAS!$B$52:$B$58,0)+2,7))))))),INDEX(TABLAS!$B$52:$B$58,MIN(MATCH(DATOS!$C$112,TABLAS!$B$52:$B$58,0)+2,7)),IF(AND(AY37&gt;=0,MAX(DATOS!$C$114,CEILING(AY37/INDEX(TABLAS!$D$52:$D$58,MIN(MATCH(DATOS!$C$112,TABLAS!$B$52:$B$58,0)+3,7)),1))&lt;=MIN(99,INT((CB37+MAX(DATOS!$C$32,INDEX(TABLAS!$C$52:$C$58,MIN(MATCH(DATOS!$C$112,TABLAS!$B$52:$B$58,0)+3,7))))/(INDEX(TABLAS!$C$52:$C$58,MIN(MATCH(DATOS!$C$112,TABLAS!$B$52:$B$58,0)+3,7))+MAX(DATOS!$C$32,INDEX(TABLAS!$C$52:$C$58,MIN(MATCH(DATOS!$C$112,TABLAS!$B$52:$B$58,0)+3,7))))))),INDEX(TABLAS!$B$52:$B$58,MIN(MATCH(DATOS!$C$112,TABLAS!$B$52:$B$58,0)+3,7)),IF(AND(AY37&gt;=0,MAX(DATOS!$C$114,CEILING(AY37/INDEX(TABLAS!$D$52:$D$58,MIN(MATCH(DATOS!$C$112,TABLAS!$B$52:$B$58,0)+4,7)),1))&lt;=MIN(99,INT((CB37+MAX(DATOS!$C$32,INDEX(TABLAS!$C$52:$C$58,MIN(MATCH(DATOS!$C$112,TABLAS!$B$52:$B$58,0)+4,7))))/(INDEX(TABLAS!$C$52:$C$58,MIN(MATCH(DATOS!$C$112,TABLAS!$B$52:$B$58,0)+4,7))+MAX(DATOS!$C$32,INDEX(TABLAS!$C$52:$C$58,MIN(MATCH(DATOS!$C$112,TABLAS!$B$52:$B$58,0)+4,7))))))),INDEX(TABLAS!$B$52:$B$58,MIN(MATCH(DATOS!$C$112,TABLAS!$B$52:$B$58,0)+4,7)),INDEX(TABLAS!$B$52:$B$58,7)))))))</f>
        <v>4</v>
      </c>
      <c r="BA37" s="56">
        <f>IF(OR(L37="BORDE DE VOLADO",L37="SIN APOYO"),0,IF(AY37&lt;0,0,MAX(DATOS!$C$114,CEILING(AY37/INDEX(TABLAS!$D$52:$D$58,MATCH(IF(AZ37=0,8,AZ37),TABLAS!$B$52:$B$58,0)),1))))</f>
        <v>2</v>
      </c>
      <c r="BB37" s="36">
        <f>IF(BA37=0,0,DATOS!$C$58*BA37*INDEX(TABLAS!$D$52:$D$58,MATCH(AZ37,TABLAS!$B$52:$B$58,0))*DATOS!$C$40*((O37-DATOS!$C$22-INDEX(TABLAS!$C$52:$C$58,MATCH(DATOS!$C$113,TABLAS!$B$52:$B$58,0))-INDEX(TABLAS!$C$52:$C$58,MATCH(AZ37,TABLAS!$B$52:$B$58,0))/2)-BA37*INDEX(TABLAS!$D$52:$D$58,MATCH(AZ37,TABLAS!$B$52:$B$58,0))*DATOS!$C$40/(DATOS!$C$48*N37)/2)/1E5)</f>
        <v>2.70369227223529</v>
      </c>
      <c r="BC37" s="62">
        <f>IF(AY37&lt;0,9.99,IF(BB37&gt;0,AN37/BB37,0))</f>
        <v>0.698530126951656</v>
      </c>
      <c r="BD37" s="63">
        <f>IF(BA37=0,"—",0.003*((O37-DATOS!$C$22-INDEX(TABLAS!$C$52:$C$58,MATCH(DATOS!$C$113,TABLAS!$B$52:$B$58,0))-INDEX(TABLAS!$C$52:$C$58,MATCH(AZ37,TABLAS!$B$52:$B$58,0))/2)-(BA37*INDEX(TABLAS!$D$52:$D$58,MATCH(AZ37,TABLAS!$B$52:$B$58,0))*DATOS!$C$40/(DATOS!$C$48*N37)/DATOS!$C$49))/(BA37*INDEX(TABLAS!$D$52:$D$58,MATCH(AZ37,TABLAS!$B$52:$B$58,0))*DATOS!$C$40/(DATOS!$C$48*N37)/DATOS!$C$49))</f>
        <v>0.0268823643138358</v>
      </c>
      <c r="BE37" s="36">
        <f>IF(BA37=0,0,DATOS!$C$59*MIN(1.25,MAX(0.5,2*MAX(1E-6,MIN(AU37*INDEX(TABLAS!$D$52:$D$58,MATCH(MAX(AS37,2),TABLAS!$B$52:$B$58,0)),BA37*INDEX(TABLAS!$D$52:$D$58,MATCH(MAX(AZ37,2),TABLAS!$B$52:$B$58,0)))/(N37*AQ37))^(1/3)))*SQRT(DATOS!$C$39)*N37*AQ37/1000)</f>
        <v>3.48818990151948</v>
      </c>
      <c r="BF37" s="57">
        <f>IF(AO37=0,0,FLOOR(MIN(IF(AO37&gt;BE37,DATOS!$C$59*2*INDEX(TABLAS!$D$52:$D$58,MATCH(DATOS!$C$113,TABLAS!$B$52:$B$58,0))*DATOS!$C$42*AQ37/((AO37-BE37)*1000),999),IF(MAX(0,AO37-BE37)/DATOS!$C$59&lt;=1.1*SQRT(DATOS!$C$39)*N37*AQ37/1000,MIN(AQ37/2,60),MIN(AQ37/4,30)),2*INDEX(TABLAS!$D$52:$D$58,MATCH(DATOS!$C$113,TABLAS!$B$52:$B$58,0))*DATOS!$C$42/(MAX(0.2*SQRT(DATOS!$C$39),3.5)*N37),MIN(16*INDEX(TABLAS!$C$52:$C$58,MATCH(MIN(MAX(AS37,2),MAX(AZ37,2)),TABLAS!$B$52:$B$58,0)),48*INDEX(TABLAS!$C$52:$C$58,MATCH(DATOS!$C$113,TABLAS!$B$52:$B$58,0))),DATOS!$C$115),0.5))</f>
        <v>14.5</v>
      </c>
      <c r="BG37" s="57">
        <f>BF37</f>
        <v>14.5</v>
      </c>
      <c r="BH37" s="51" t="str">
        <f>IF(AO37=0,"—",IF(AO37&gt;DATOS!$C$59*(BE37/DATOS!$C$59+2.2*SQRT(DATOS!$C$39)*N37*AQ37/1000),"SECCIÓN INSUFICIENTE","E No. "&amp;TEXT(DATOS!$C$113,"0")&amp;IF(BG37&lt;BF37," @ "&amp;TEXT(BG37,"0.0")&amp;" en 2h y"," @")&amp;" "&amp;TEXT(BF37,"0.0")&amp;" cm"))</f>
        <v>E No. 3 @ 14.5 cm</v>
      </c>
      <c r="BI37" s="56">
        <f>N37+MIN(6*DATOS!$C$14,DATOS!$C$11/2,G37*100/12)</f>
        <v>45.2083333333333</v>
      </c>
      <c r="BJ37" s="71">
        <f>BI37*DATOS!$C$14^3/12+BI37*DATOS!$C$14*(((BI37*DATOS!$C$14^2/2+N37*(O37-DATOS!$C$14)*(DATOS!$C$14+(O37-DATOS!$C$14)/2))/(BI37*DATOS!$C$14+N37*(O37-DATOS!$C$14)))-DATOS!$C$14/2)^2+N37*(O37-DATOS!$C$14)^3/12+N37*(O37-DATOS!$C$14)*(DATOS!$C$14+(O37-DATOS!$C$14)/2-((BI37*DATOS!$C$14^2/2+N37*(O37-DATOS!$C$14)*(DATOS!$C$14+(O37-DATOS!$C$14)/2))/(BI37*DATOS!$C$14+N37*(O37-DATOS!$C$14))))^2</f>
        <v>95753.0765071108</v>
      </c>
      <c r="BK37" s="43">
        <f>O37-DATOS!$C$22-INDEX(TABLAS!$C$52:$C$58,MATCH(DATOS!$C$113,TABLAS!$B$52:$B$58,0))-INDEX(TABLAS!$C$52:$C$58,MATCH(MAX(IF(L37="VOLADO",AZ37,AS37),2),TABLAS!$B$52:$B$58,0))/2</f>
        <v>29.415</v>
      </c>
      <c r="BL37" s="43">
        <f>DATOS!$C$46/DATOS!$C$45*IF(L37="VOLADO",BA37*INDEX(TABLAS!$D$52:$D$58,MATCH(MAX(AZ37,2),TABLAS!$B$52:$B$58,0)),AU37*INDEX(TABLAS!$D$52:$D$58,MATCH(MAX(AS37,2),TABLAS!$B$52:$B$58,0)))</f>
        <v>34.4236511006901</v>
      </c>
      <c r="BM37" s="43">
        <f>IF(BL37&lt;=0,0,(SQRT(2*(BL37/(IF(L37="VOLADO",N37,BI37)*BK37))+(BL37/(IF(L37="VOLADO",N37,BI37)*BK37))^2)-(BL37/(IF(L37="VOLADO",N37,BI37)*BK37)))*BK37)</f>
        <v>5.97469627358127</v>
      </c>
      <c r="BN37" s="71">
        <f>IF(AND(L37&lt;&gt;"VOLADO",BM37&gt;DATOS!$C$14),(BI37*DATOS!$C$14^3/12+BI37*DATOS!$C$14*(((-((BI37-N37)*DATOS!$C$14+BL37)+SQRT(((BI37-N37)*DATOS!$C$14+BL37)^2+2*N37*((BI37-N37)*DATOS!$C$14^2/2+BL37*BK37)))/N37)-DATOS!$C$14/2)^2+N37*(((-((BI37-N37)*DATOS!$C$14+BL37)+SQRT(((BI37-N37)*DATOS!$C$14+BL37)^2+2*N37*((BI37-N37)*DATOS!$C$14^2/2+BL37*BK37)))/N37)-DATOS!$C$14)^3/3+BL37*(BK37-((-((BI37-N37)*DATOS!$C$14+BL37)+SQRT(((BI37-N37)*DATOS!$C$14+BL37)^2+2*N37*((BI37-N37)*DATOS!$C$14^2/2+BL37*BK37)))/N37))^2),(IF(L37="VOLADO",N37,BI37)*BM37^3/3+BL37*(BK37-BM37)^2))</f>
        <v>22119.6997543974</v>
      </c>
      <c r="BO37" s="71">
        <f>IF(AP37&lt;=0,BJ37,IF((AP37*1E5)&lt;=2/3*(DATOS!$C$47*BJ37/IF(L37="VOLADO",((BI37*DATOS!$C$14^2/2+N37*(O37-DATOS!$C$14)*(DATOS!$C$14+(O37-DATOS!$C$14)/2))/(BI37*DATOS!$C$14+N37*(O37-DATOS!$C$14))),O37-((BI37*DATOS!$C$14^2/2+N37*(O37-DATOS!$C$14)*(DATOS!$C$14+(O37-DATOS!$C$14)/2))/(BI37*DATOS!$C$14+N37*(O37-DATOS!$C$14))))),BJ37,IF(BL37&lt;=0,0,BN37/(1-(2/3*(DATOS!$C$47*BJ37/IF(L37="VOLADO",((BI37*DATOS!$C$14^2/2+N37*(O37-DATOS!$C$14)*(DATOS!$C$14+(O37-DATOS!$C$14)/2))/(BI37*DATOS!$C$14+N37*(O37-DATOS!$C$14))),O37-((BI37*DATOS!$C$14^2/2+N37*(O37-DATOS!$C$14)*(DATOS!$C$14+(O37-DATOS!$C$14)/2))/(BI37*DATOS!$C$14+N37*(O37-DATOS!$C$14)))))/(AP37*1E5))^2*(1-BN37/BJ37)))))</f>
        <v>26760.5113475375</v>
      </c>
      <c r="BP37" s="62">
        <f>IF(OR(L37="APOYADA",L37="VOLADO"),(IF(L37="VOLADO",(AP37-AH37)/4+AH37/3,5/48*AP37)*1E5*(G37*100)^2/(DATOS!$C$45*MAX(BO37,1)))*(1+2/(1+50*IF(L37="VOLADO",AU37*INDEX(TABLAS!$D$52:$D$58,MATCH(MAX(AS37,2),TABLAS!$B$52:$B$58,0)),DATOS!$C$114*INDEX(TABLAS!$D$52:$D$58,MATCH(MAX(AZ37,2),TABLAS!$B$52:$B$58,0)))/(N37*BK37))*((AA37+AC37)/MAX(AA37+AB37,1E-6))),0)</f>
        <v>0.879536851056557</v>
      </c>
      <c r="BQ37" s="43">
        <f>IF(S37&gt;0,0.3+G37*100/480,0.5+G37*100/240)</f>
        <v>0.930208333333333</v>
      </c>
      <c r="BR37" s="43">
        <f>IF(S37&gt;0,(T37+U37)*G37+AG37,0)</f>
        <v>5.29982801173469</v>
      </c>
      <c r="BS37" s="43">
        <f>IF(S37&gt;0,(DATOS!$C$51*DATOS!$C$103*100*(G37*100)^3/(DATOS!$C$45*BJ37*((BR37*1000/(DATOS!$C$103*100*S37*100)*DATOS!$C$103*100*(MIN(1,S37/G37)^4-4*MIN(1,S37/G37)^3+8*MIN(1,S37/G37)))/((BR37*1000/(DATOS!$C$103*100*S37*100)*DATOS!$C$103*100*(MIN(1,S37/G37)^4-4*MIN(1,S37/G37)^3+8*MIN(1,S37/G37)))+5*((R37+X37+Y37+IF(L37="APOYADA",8*(0)/G37^2,0))*10)))))^0.25,0)</f>
        <v>5.76831544990219</v>
      </c>
      <c r="BT37" s="57">
        <f>IF(S37&gt;0,MAX(1,IF(MIN(1,S37/G37)&gt;=1,(1.6*BS37-3.9),IF(MIN(1,S37/G37)&lt;0.9,((3.2*BS37-7.8)*1),((3.2*BS37-7.8)*1)+((1.6*BS37-3.9)-((3.2*BS37-7.8)*1))*(MIN(1,S37/G37)-0.9)/0.1)))*BR37*1000/(DATOS!$C$103*100*S37*100),0)</f>
        <v>6.22466081262733</v>
      </c>
      <c r="BU37" s="65" t="str">
        <f>IF(S37=0,"—",IF(DATOS!$C$105/S37&lt;0.6,"REVISAR: H/L &lt; 0.6, interacción muro-viga",IF(BT37&lt;=DATOS!$C$60*DATOS!$C$50,"CUMPLE","NO CUMPLE f_CM &gt; F_R·f'm")))</f>
        <v>CUMPLE</v>
      </c>
      <c r="BV37" s="57">
        <f>IF(S37&gt;0,MAX(25,IF(BJ37&gt;=(G37*100)^3/1600,0,MIN(G37*100/14,(12*(G37*100)^3/1600/N37)^(1/3)))),IF(L37="APOYADA",MAX(25,G37*100/16),IF(L37="VOLADO",MAX(25,G37*100/8),0)))</f>
        <v>25</v>
      </c>
      <c r="BW37" s="57">
        <f>IF(S37&gt;0,IF(BJ37&gt;=(5/4*(G37*100)^3/DATOS!$C$45*((((S37*DATOS!$C$107+(((SUMIFS(TRIB!$I$6:$I$255,TRIB!$B$6:$B$255,"DM-131")-SUMIFS(TRIB!$L$6:$L$255,TRIB!$B$6:$B$255,"DM-131"))*1.0+(SUMIFS(TRIB!$I$6:$I$255,TRIB!$B$6:$B$255,"DM-132")-SUMIFS(TRIB!$L$6:$L$255,TRIB!$B$6:$B$255,"DM-132"))*1.0)/G37+(SUMIFS(TRIB!$M$6:$M$255,TRIB!$B$6:$B$255,"DM-131")*1.0+SUMIFS(TRIB!$M$6:$M$255,TRIB!$B$6:$B$255,"DM-132")*1.0)/G37)*G37+AG37/DATOS!$C$55)*1000)/(DATOS!$C$103*100*S37*100)*DATOS!$C$103*100*(MIN(1,S37/G37)^4-4*MIN(1,S37/G37)^3+8*MIN(1,S37/G37)))+5*((AA37-S37*DATOS!$C$107/G37-(((SUMIFS(TRIB!$I$6:$I$255,TRIB!$B$6:$B$255,"DM-131")-SUMIFS(TRIB!$L$6:$L$255,TRIB!$B$6:$B$255,"DM-131"))*1.0+(SUMIFS(TRIB!$I$6:$I$255,TRIB!$B$6:$B$255,"DM-132")-SUMIFS(TRIB!$L$6:$L$255,TRIB!$B$6:$B$255,"DM-132"))*1.0)/G37))*10))),0,MIN((G37*100/((1/15*DATOS!$C$45*N37/((((S37*DATOS!$C$107+(((SUMIFS(TRIB!$I$6:$I$255,TRIB!$B$6:$B$255,"DM-131")-SUMIFS(TRIB!$L$6:$L$255,TRIB!$B$6:$B$255,"DM-131"))*1.0+(SUMIFS(TRIB!$I$6:$I$255,TRIB!$B$6:$B$255,"DM-132")-SUMIFS(TRIB!$L$6:$L$255,TRIB!$B$6:$B$255,"DM-132"))*1.0)/G37+(SUMIFS(TRIB!$M$6:$M$255,TRIB!$B$6:$B$255,"DM-131")*1.0+SUMIFS(TRIB!$M$6:$M$255,TRIB!$B$6:$B$255,"DM-132")*1.0)/G37)*G37+AG37/DATOS!$C$55)*1000)/(DATOS!$C$103*100*S37*100)*DATOS!$C$103*100*(MIN(1,S37/G37)^4-4*MIN(1,S37/G37)^3+8*MIN(1,S37/G37)))+5*((AA37-S37*DATOS!$C$107/G37-(((SUMIFS(TRIB!$I$6:$I$255,TRIB!$B$6:$B$255,"DM-131")-SUMIFS(TRIB!$L$6:$L$255,TRIB!$B$6:$B$255,"DM-131"))*1.0+(SUMIFS(TRIB!$I$6:$I$255,TRIB!$B$6:$B$255,"DM-132")-SUMIFS(TRIB!$L$6:$L$255,TRIB!$B$6:$B$255,"DM-132"))*1.0)/G37))*10)))^(1/3))),(12*(5/4*(G37*100)^3/DATOS!$C$45*((((S37*DATOS!$C$107+(((SUMIFS(TRIB!$I$6:$I$255,TRIB!$B$6:$B$255,"DM-131")-SUMIFS(TRIB!$L$6:$L$255,TRIB!$B$6:$B$255,"DM-131"))*1.0+(SUMIFS(TRIB!$I$6:$I$255,TRIB!$B$6:$B$255,"DM-132")-SUMIFS(TRIB!$L$6:$L$255,TRIB!$B$6:$B$255,"DM-132"))*1.0)/G37+(SUMIFS(TRIB!$M$6:$M$255,TRIB!$B$6:$B$255,"DM-131")*1.0+SUMIFS(TRIB!$M$6:$M$255,TRIB!$B$6:$B$255,"DM-132")*1.0)/G37)*G37+AG37/DATOS!$C$55)*1000)/(DATOS!$C$103*100*S37*100)*DATOS!$C$103*100*(MIN(1,S37/G37)^4-4*MIN(1,S37/G37)^3+8*MIN(1,S37/G37)))+5*((AA37-S37*DATOS!$C$107/G37-(((SUMIFS(TRIB!$I$6:$I$255,TRIB!$B$6:$B$255,"DM-131")-SUMIFS(TRIB!$L$6:$L$255,TRIB!$B$6:$B$255,"DM-131"))*1.0+(SUMIFS(TRIB!$I$6:$I$255,TRIB!$B$6:$B$255,"DM-132")-SUMIFS(TRIB!$L$6:$L$255,TRIB!$B$6:$B$255,"DM-132"))*1.0)/G37))*10)))/N37)^(1/3))),0)</f>
        <v>0</v>
      </c>
      <c r="BX37" s="57">
        <f>SQRT(MAX(AM37,AN37)*1E5/(DATOS!$C$58*N37*DATOS!$C$48*(DATOS!$C$82*DATOS!$C$40/DATOS!$C$48)*(1-(DATOS!$C$82*DATOS!$C$40/DATOS!$C$48)/2)))+(O37-AQ37)</f>
        <v>22.2063508320244</v>
      </c>
      <c r="BY37" s="59">
        <f>IF(OR(L37="BORDE DE VOLADO",L37="SIN APOYO"),0,CEILING(MAX(BV37,BW37,BX37,DATOS!$C$15),5))</f>
        <v>25</v>
      </c>
      <c r="BZ37" s="72" t="str">
        <f>IF(L37="BORDE DE VOLADO","BORDE DE VOLADO — armado de orilla",IF(L37="SIN APOYO","SIN APOYO — REVISAR",IF(AND(AW37&lt;=1,BC37&lt;=1,IF(AU37=0,TRUE,AU37&lt;=INT((CB37+DATOS!$C$32)/(INDEX(TABLAS!$C$52:$C$58,MATCH(MAX(AS37,2),TABLAS!$B$52:$B$58,0))+DATOS!$C$32))),IF(BA37=0,TRUE,BA37&lt;=INT((CB37+DATOS!$C$32)/(INDEX(TABLAS!$C$52:$C$58,MATCH(MAX(AZ37,2),TABLAS!$B$52:$B$58,0))+DATOS!$C$32))),AND(OR(NOT(ISNUMBER(AX37)),AX37&gt;=0.005),OR(NOT(ISNUMBER(BD37)),BD37&gt;=0.005)),BH37&lt;&gt;"SECCIÓN INSUFICIENTE",AND(O37&gt;=BV37,O37&gt;=BW37,O37/N37&lt;=6),BP37&lt;=BQ37,OR(S37=0,LEFT(BU37,6)&lt;&gt;"NO CUM")),IF(LEFT(BU37,7)="REVISAR","PENDIENTE: H/L &lt; 0.6, falta el análisis de interacción muro-viga (NTC-M 4.1.18.2.1, p. 44)","CUMPLE")&amp;IF(L37="VOLADO"," (en VOLADO)",""),"NO CUMPLE: "&amp;IF(OR(AR37&lt;0,AY37&lt;0),"sección insuficiente en flexión ",IF(OR(AW37&gt;1,BC37&gt;1),"flexión ",""))&amp;IF(NOT(AND(IF(AU37=0,TRUE,AU37&lt;=INT((CB37+DATOS!$C$32)/(INDEX(TABLAS!$C$52:$C$58,MATCH(MAX(AS37,2),TABLAS!$B$52:$B$58,0))+DATOS!$C$32))),IF(BA37=0,TRUE,BA37&lt;=INT((CB37+DATOS!$C$32)/(INDEX(TABLAS!$C$52:$C$58,MATCH(MAX(AZ37,2),TABLAS!$B$52:$B$58,0))+DATOS!$C$32))))),"no caben ","")&amp;IF(NOT(AND(OR(NOT(ISNUMBER(AX37)),AX37&gt;=0.005),OR(NOT(ISNUMBER(BD37)),BD37&gt;=0.005))),"ε_t ","")&amp;IF(BH37="SECCIÓN INSUFICIENTE","cortante ","")&amp;IF(NOT(AND(O37&gt;=BV37,O37&gt;=BW37,O37/N37&lt;=6)),"peralte ","")&amp;IF(NOT(BP37&lt;=BQ37),"flecha ","")&amp;IF(NOT(OR(S37=0,LEFT(BU37,6)&lt;&gt;"NO CUM")),"muro sobre viga ","")&amp;"→ h ≥ "&amp;TEXT(MAX(BY37,IF(BP37&gt;BQ37,MAX(O37+5,CEILING(O37*(BP37/BQ37)^(1/3),5)),0)),"0")&amp;" cm"&amp;IF(NOT(AND(IF(AU37=0,TRUE,AU37&lt;=INT((CB37+DATOS!$C$32)/(INDEX(TABLAS!$C$52:$C$58,MATCH(MAX(AS37,2),TABLAS!$B$52:$B$58,0))+DATOS!$C$32))),IF(BA37=0,TRUE,BA37&lt;=INT((CB37+DATOS!$C$32)/(INDEX(TABLAS!$C$52:$C$58,MATCH(MAX(AZ37,2),TABLAS!$B$52:$B$58,0))+DATOS!$C$32)))))," y b ≥ "&amp;TEXT(N37+5,"0")&amp;" cm","")&amp;" (verificar)")))</f>
        <v>CUMPLE</v>
      </c>
      <c r="CA37" s="65" t="inlineStr">
        <is>
          <t>Extremo i en castillo propuesto C3. Muro de planta alta encima (3.02 m) con la azotea de DM-131, DM-132: viga que soporta muro estructural (NTC-Mampostería 4.1.18): la flecha se calcula y el límite es 0.3 cm + L/480.</t>
        </is>
      </c>
      <c r="CB37" s="43">
        <f>N37-2*DATOS!$C$22-2*INDEX(TABLAS!$C$52:$C$58,MATCH(DATOS!$C$113,TABLAS!$B$52:$B$58,0))</f>
        <v>10.1</v>
      </c>
    </row>
    <row r="38" ht="30" customHeight="1">
      <c r="B38" s="60" t="inlineStr">
        <is>
          <t>NP-30</t>
        </is>
      </c>
      <c r="C38" s="52" t="inlineStr">
        <is>
          <t>N+3.00</t>
        </is>
      </c>
      <c r="D38" s="51" t="inlineStr">
        <is>
          <t>x = 7.350</t>
        </is>
      </c>
      <c r="E38" s="52" t="inlineStr">
        <is>
          <t>(7.350, 8.910)</t>
        </is>
      </c>
      <c r="F38" s="52" t="inlineStr">
        <is>
          <t>(7.350, 9.950)</t>
        </is>
      </c>
      <c r="G38" s="55" t="n">
        <v>1.04</v>
      </c>
      <c r="H38" s="52" t="inlineStr">
        <is>
          <t>LIBRE</t>
        </is>
      </c>
      <c r="I38" s="52" t="inlineStr">
        <is>
          <t>NERVADURA</t>
        </is>
      </c>
      <c r="J38" s="52" t="inlineStr">
        <is>
          <t>—</t>
        </is>
      </c>
      <c r="K38" s="52" t="inlineStr">
        <is>
          <t>—</t>
        </is>
      </c>
      <c r="L38" s="60" t="str">
        <f>IF(AND(OR(H38="FIRME",H38="NERVADURA",H38="PUNTA"),OR(I38="FIRME",I38="NERVADURA",I38="PUNTA")),"APOYADA",IF(OR(OR(H38="FIRME",H38="NERVADURA",H38="PUNTA"),OR(I38="FIRME",I38="NERVADURA",I38="PUNTA")),"VOLADO","SIN APOYO"))</f>
        <v>VOLADO</v>
      </c>
      <c r="M38" s="52" t="str">
        <f>IF(L38="VOLADO",IF(OR(H38="FIRME",H38="NERVADURA",H38="PUNTA"),"i","j"),"—")</f>
        <v>j</v>
      </c>
      <c r="N38" s="58" t="n">
        <v>20</v>
      </c>
      <c r="O38" s="58" t="n">
        <v>30</v>
      </c>
      <c r="P38" s="65" t="str">
        <f>IF(L38="BORDE DE VOLADO","—",IF(OR(N38&lt;&gt;DATOS!$C$17,O38&lt;&gt;DATOS!$C$15),"PERALTAR: trabe "&amp;TEXT(N38,"0")&amp;"×"&amp;TEXT(O38,"0")&amp;IF(O38&gt;DATOS!$C$15," (descuelga "&amp;TEXT(O38-DATOS!$C$15,"0")&amp;" cm)",""),"Queda en la losa (15×25)"))</f>
        <v>PERALTAR: trabe 20×30 (descuelga 5 cm)</v>
      </c>
      <c r="Q38" s="43">
        <f>SUMIFS(TRIB!$E$6:$E$255,TRIB!$B$6:$B$255,"NP-30")</f>
        <v>0.2704</v>
      </c>
      <c r="R38" s="36">
        <f>SUMIFS(TRIB!$G$6:$G$255,TRIB!$B$6:$B$255,"NP-30")/G38</f>
        <v>0.227441632653061</v>
      </c>
      <c r="S38" s="69" t="n">
        <v>0</v>
      </c>
      <c r="T38" s="36">
        <f>DATOS!$C$55*S38*DATOS!$C$107/G38</f>
        <v>0</v>
      </c>
      <c r="U38" s="36">
        <f>0</f>
        <v>0</v>
      </c>
      <c r="V38" s="61" t="n">
        <v>2290</v>
      </c>
      <c r="W38" s="61" t="n">
        <v>420</v>
      </c>
      <c r="X38" s="36">
        <f>(DATOS!$C$55*V38+DATOS!$C$56*W38)/1000</f>
        <v>3.607</v>
      </c>
      <c r="Y38" s="36">
        <f>DATOS!$C$55*(N38/100*O38/100*DATOS!$C$43-N38/100*DATOS!$C$70/1000)</f>
        <v>0.124364897959184</v>
      </c>
      <c r="Z38" s="70">
        <f>R38+T38+U38+X38+Y38</f>
        <v>3.95880653061225</v>
      </c>
      <c r="AA38" s="36">
        <f>(SUMIFS(TRIB!$I$6:$I$255,TRIB!$B$6:$B$255,"NP-30")-SUMIFS(TRIB!$L$6:$L$255,TRIB!$B$6:$B$255,"NP-30"))/G38+S38*DATOS!$C$107/G38+0+V38/1000+Y38/DATOS!$C$55</f>
        <v>2.50362040816327</v>
      </c>
      <c r="AB38" s="36">
        <f>SUMIFS(TRIB!$L$6:$L$255,TRIB!$B$6:$B$255,"NP-30")/G38+0+W38/1000</f>
        <v>0.4694</v>
      </c>
      <c r="AC38" s="36">
        <f>SUMIFS(TRIB!$M$6:$M$255,TRIB!$B$6:$B$255,"NP-30")/G38+0+W38/1000*DATOS!$C$91/DATOS!$C$89</f>
        <v>0.197642105263158</v>
      </c>
      <c r="AD38" s="36">
        <f>0</f>
        <v>0</v>
      </c>
      <c r="AE38" s="36">
        <f>0</f>
        <v>0</v>
      </c>
      <c r="AF38" s="36">
        <f>0</f>
        <v>0</v>
      </c>
      <c r="AG38" s="36">
        <f>0</f>
        <v>0</v>
      </c>
      <c r="AH38" s="36">
        <f>0</f>
        <v>0</v>
      </c>
      <c r="AI38" s="36">
        <f>IF(L38="APOYADA",Z38*G38/2+0,IF(AND(L38="VOLADO",M38="i"),Z38*G38+AD38,0))</f>
        <v>0</v>
      </c>
      <c r="AJ38" s="36">
        <f>IF(L38="APOYADA",Z38*G38/2+0,IF(AND(L38="VOLADO",M38="j"),Z38*G38+AD38,0))</f>
        <v>4.11715879183674</v>
      </c>
      <c r="AK38" s="36">
        <f>IF(L38="APOYADA",(AA38+AB38)*G38/2+0,IF(AND(L38="VOLADO",M38="i"),(AA38+AB38)*G38+0,0))</f>
        <v>0</v>
      </c>
      <c r="AL38" s="36">
        <f>IF(L38="APOYADA",(AA38+AB38)*G38/2+0,IF(AND(L38="VOLADO",M38="j"),(AA38+AB38)*G38+0,0))</f>
        <v>3.0919412244898</v>
      </c>
      <c r="AM38" s="70">
        <f>IF(L38="APOYADA",Z38*G38^2/8+AE38,0)</f>
        <v>0</v>
      </c>
      <c r="AN38" s="70">
        <f>IF(L38="APOYADA",DATOS!$C$64*AM38,IF(L38="VOLADO",Z38*G38^2/2+AE38,0))</f>
        <v>2.1409225717551</v>
      </c>
      <c r="AO38" s="70">
        <f>IF(L38="APOYADA",Z38*G38/2+AF38,IF(L38="VOLADO",Z38*G38+AF38,0))</f>
        <v>4.11715879183674</v>
      </c>
      <c r="AP38" s="36">
        <f>IF(L38="APOYADA",(AA38+AB38)*G38^2/8+AH38,IF(L38="VOLADO",(AA38+AB38)*G38^2/2+AH38,0))</f>
        <v>1.60780943673469</v>
      </c>
      <c r="AQ38" s="43">
        <f>O38-DATOS!$C$22-INDEX(TABLAS!$C$52:$C$58,MATCH(DATOS!$C$113,TABLAS!$B$52:$B$58,0))-INDEX(TABLAS!$C$52:$C$58,MATCH(DATOS!$C$112,TABLAS!$B$52:$B$58,0))/2</f>
        <v>24.415</v>
      </c>
      <c r="AR38" s="43">
        <f>IF(OR(L38="BORDE DE VOLADO",L38="SIN APOYO"),0,IF(IF(AM38&lt;=0,0,IF((1-2*AM38*1E5/(DATOS!$C$58*N38*AQ38^2*DATOS!$C$48))&lt;0,-1,IF((1-SQRT((1-2*AM38*1E5/(DATOS!$C$58*N38*AQ38^2*DATOS!$C$48))))*DATOS!$C$48*N38*AQ38/DATOS!$C$40&gt;DATOS!$C$82*N38*AQ38,-1,(1-SQRT((1-2*AM38*1E5/(DATOS!$C$58*N38*AQ38^2*DATOS!$C$48))))*DATOS!$C$48*N38*AQ38/DATOS!$C$40)))&lt;0,-1,MAX(IF(AM38&lt;=0,0,IF((1-2*AM38*1E5/(DATOS!$C$58*N38*AQ38^2*DATOS!$C$48))&lt;0,-1,IF((1-SQRT((1-2*AM38*1E5/(DATOS!$C$58*N38*AQ38^2*DATOS!$C$48))))*DATOS!$C$48*N38*AQ38/DATOS!$C$40&gt;DATOS!$C$82*N38*AQ38,-1,(1-SQRT((1-2*AM38*1E5/(DATOS!$C$58*N38*AQ38^2*DATOS!$C$48))))*DATOS!$C$48*N38*AQ38/DATOS!$C$40))),MIN(DATOS!$C$83*N38*AQ38,4/3*IF(AM38&lt;=0,0,IF((1-2*AM38*1E5/(DATOS!$C$58*N38*AQ38^2*DATOS!$C$48))&lt;0,-1,IF((1-SQRT((1-2*AM38*1E5/(DATOS!$C$58*N38*AQ38^2*DATOS!$C$48))))*DATOS!$C$48*N38*AQ38/DATOS!$C$40&gt;DATOS!$C$82*N38*AQ38,-1,(1-SQRT((1-2*AM38*1E5/(DATOS!$C$58*N38*AQ38^2*DATOS!$C$48))))*DATOS!$C$48*N38*AQ38/DATOS!$C$40)))))))</f>
        <v>0</v>
      </c>
      <c r="AS38" s="41">
        <f>IF(AR38&lt;0,0,IF(AND(AR38&gt;=0,MAX(DATOS!$C$114,CEILING(AR38/INDEX(TABLAS!$D$52:$D$58,MIN(MATCH(DATOS!$C$112,TABLAS!$B$52:$B$58,0)+0,7)),1))&lt;=MIN(99,INT((CB38+MAX(DATOS!$C$32,INDEX(TABLAS!$C$52:$C$58,MIN(MATCH(DATOS!$C$112,TABLAS!$B$52:$B$58,0)+0,7))))/(INDEX(TABLAS!$C$52:$C$58,MIN(MATCH(DATOS!$C$112,TABLAS!$B$52:$B$58,0)+0,7))+MAX(DATOS!$C$32,INDEX(TABLAS!$C$52:$C$58,MIN(MATCH(DATOS!$C$112,TABLAS!$B$52:$B$58,0)+0,7))))))),INDEX(TABLAS!$B$52:$B$58,MIN(MATCH(DATOS!$C$112,TABLAS!$B$52:$B$58,0)+0,7)),IF(AND(AR38&gt;=0,MAX(DATOS!$C$114,CEILING(AR38/INDEX(TABLAS!$D$52:$D$58,MIN(MATCH(DATOS!$C$112,TABLAS!$B$52:$B$58,0)+1,7)),1))&lt;=MIN(99,INT((CB38+MAX(DATOS!$C$32,INDEX(TABLAS!$C$52:$C$58,MIN(MATCH(DATOS!$C$112,TABLAS!$B$52:$B$58,0)+1,7))))/(INDEX(TABLAS!$C$52:$C$58,MIN(MATCH(DATOS!$C$112,TABLAS!$B$52:$B$58,0)+1,7))+MAX(DATOS!$C$32,INDEX(TABLAS!$C$52:$C$58,MIN(MATCH(DATOS!$C$112,TABLAS!$B$52:$B$58,0)+1,7))))))),INDEX(TABLAS!$B$52:$B$58,MIN(MATCH(DATOS!$C$112,TABLAS!$B$52:$B$58,0)+1,7)),IF(AND(AR38&gt;=0,MAX(DATOS!$C$114,CEILING(AR38/INDEX(TABLAS!$D$52:$D$58,MIN(MATCH(DATOS!$C$112,TABLAS!$B$52:$B$58,0)+2,7)),1))&lt;=MIN(99,INT((CB38+MAX(DATOS!$C$32,INDEX(TABLAS!$C$52:$C$58,MIN(MATCH(DATOS!$C$112,TABLAS!$B$52:$B$58,0)+2,7))))/(INDEX(TABLAS!$C$52:$C$58,MIN(MATCH(DATOS!$C$112,TABLAS!$B$52:$B$58,0)+2,7))+MAX(DATOS!$C$32,INDEX(TABLAS!$C$52:$C$58,MIN(MATCH(DATOS!$C$112,TABLAS!$B$52:$B$58,0)+2,7))))))),INDEX(TABLAS!$B$52:$B$58,MIN(MATCH(DATOS!$C$112,TABLAS!$B$52:$B$58,0)+2,7)),IF(AND(AR38&gt;=0,MAX(DATOS!$C$114,CEILING(AR38/INDEX(TABLAS!$D$52:$D$58,MIN(MATCH(DATOS!$C$112,TABLAS!$B$52:$B$58,0)+3,7)),1))&lt;=MIN(99,INT((CB38+MAX(DATOS!$C$32,INDEX(TABLAS!$C$52:$C$58,MIN(MATCH(DATOS!$C$112,TABLAS!$B$52:$B$58,0)+3,7))))/(INDEX(TABLAS!$C$52:$C$58,MIN(MATCH(DATOS!$C$112,TABLAS!$B$52:$B$58,0)+3,7))+MAX(DATOS!$C$32,INDEX(TABLAS!$C$52:$C$58,MIN(MATCH(DATOS!$C$112,TABLAS!$B$52:$B$58,0)+3,7))))))),INDEX(TABLAS!$B$52:$B$58,MIN(MATCH(DATOS!$C$112,TABLAS!$B$52:$B$58,0)+3,7)),IF(AND(AR38&gt;=0,MAX(DATOS!$C$114,CEILING(AR38/INDEX(TABLAS!$D$52:$D$58,MIN(MATCH(DATOS!$C$112,TABLAS!$B$52:$B$58,0)+4,7)),1))&lt;=MIN(99,INT((CB38+MAX(DATOS!$C$32,INDEX(TABLAS!$C$52:$C$58,MIN(MATCH(DATOS!$C$112,TABLAS!$B$52:$B$58,0)+4,7))))/(INDEX(TABLAS!$C$52:$C$58,MIN(MATCH(DATOS!$C$112,TABLAS!$B$52:$B$58,0)+4,7))+MAX(DATOS!$C$32,INDEX(TABLAS!$C$52:$C$58,MIN(MATCH(DATOS!$C$112,TABLAS!$B$52:$B$58,0)+4,7))))))),INDEX(TABLAS!$B$52:$B$58,MIN(MATCH(DATOS!$C$112,TABLAS!$B$52:$B$58,0)+4,7)),INDEX(TABLAS!$B$52:$B$58,7)))))))</f>
        <v>4</v>
      </c>
      <c r="AT38" s="58" t="n">
        <v>0</v>
      </c>
      <c r="AU38" s="56">
        <f>IF(OR(L38="BORDE DE VOLADO",L38="SIN APOYO"),0,IF(AR38&lt;0,0,MAX(DATOS!$C$114,CEILING(AR38/INDEX(TABLAS!$D$52:$D$58,MATCH(IF(AS38=0,8,AS38),TABLAS!$B$52:$B$58,0)),1))+AT38))</f>
        <v>2</v>
      </c>
      <c r="AV38" s="36">
        <f>IF(AU38=0,0,DATOS!$C$58*AU38*INDEX(TABLAS!$D$52:$D$58,MATCH(AS38,TABLAS!$B$52:$B$58,0))*DATOS!$C$40*((O38-DATOS!$C$22-INDEX(TABLAS!$C$52:$C$58,MATCH(DATOS!$C$113,TABLAS!$B$52:$B$58,0))-INDEX(TABLAS!$C$52:$C$58,MATCH(AS38,TABLAS!$B$52:$B$58,0))/2)-AU38*INDEX(TABLAS!$D$52:$D$58,MATCH(AS38,TABLAS!$B$52:$B$58,0))*DATOS!$C$40/(DATOS!$C$48*N38)/2)/1E5)</f>
        <v>2.22363227223529</v>
      </c>
      <c r="AW38" s="62">
        <f>IF(AR38&lt;0,9.99,IF(AV38&gt;0,AM38/AV38,0))</f>
        <v>0</v>
      </c>
      <c r="AX38" s="63">
        <f>IF(AU38=0,"—",0.003*((O38-DATOS!$C$22-INDEX(TABLAS!$C$52:$C$58,MATCH(DATOS!$C$113,TABLAS!$B$52:$B$58,0))-INDEX(TABLAS!$C$52:$C$58,MATCH(AS38,TABLAS!$B$52:$B$58,0))/2)-(AU38*INDEX(TABLAS!$D$52:$D$58,MATCH(AS38,TABLAS!$B$52:$B$58,0))*DATOS!$C$40/(DATOS!$C$48*N38)/DATOS!$C$49))/(AU38*INDEX(TABLAS!$D$52:$D$58,MATCH(AS38,TABLAS!$B$52:$B$58,0))*DATOS!$C$40/(DATOS!$C$48*N38)/DATOS!$C$49))</f>
        <v>0.0218029211192351</v>
      </c>
      <c r="AY38" s="43">
        <f>IF(OR(L38="BORDE DE VOLADO",L38="SIN APOYO"),0,IF(IF(AN38&lt;=0,0,IF((1-2*AN38*1E5/(DATOS!$C$58*N38*AQ38^2*DATOS!$C$48))&lt;0,-1,IF((1-SQRT((1-2*AN38*1E5/(DATOS!$C$58*N38*AQ38^2*DATOS!$C$48))))*DATOS!$C$48*N38*AQ38/DATOS!$C$40&gt;DATOS!$C$82*N38*AQ38,-1,(1-SQRT((1-2*AN38*1E5/(DATOS!$C$58*N38*AQ38^2*DATOS!$C$48))))*DATOS!$C$48*N38*AQ38/DATOS!$C$40)))&lt;0,-1,MAX(IF(AN38&lt;=0,0,IF((1-2*AN38*1E5/(DATOS!$C$58*N38*AQ38^2*DATOS!$C$48))&lt;0,-1,IF((1-SQRT((1-2*AN38*1E5/(DATOS!$C$58*N38*AQ38^2*DATOS!$C$48))))*DATOS!$C$48*N38*AQ38/DATOS!$C$40&gt;DATOS!$C$82*N38*AQ38,-1,(1-SQRT((1-2*AN38*1E5/(DATOS!$C$58*N38*AQ38^2*DATOS!$C$48))))*DATOS!$C$48*N38*AQ38/DATOS!$C$40))),MIN(DATOS!$C$83*IF(L38="VOLADO",MIN(BI38,2*N38),N38)*AQ38,4/3*IF(AN38&lt;=0,0,IF((1-2*AN38*1E5/(DATOS!$C$58*N38*AQ38^2*DATOS!$C$48))&lt;0,-1,IF((1-SQRT((1-2*AN38*1E5/(DATOS!$C$58*N38*AQ38^2*DATOS!$C$48))))*DATOS!$C$48*N38*AQ38/DATOS!$C$40&gt;DATOS!$C$82*N38*AQ38,-1,(1-SQRT((1-2*AN38*1E5/(DATOS!$C$58*N38*AQ38^2*DATOS!$C$48))))*DATOS!$C$48*N38*AQ38/DATOS!$C$40)))))))</f>
        <v>2.44033367799628</v>
      </c>
      <c r="AZ38" s="41">
        <f>IF(AY38&lt;0,0,IF(AND(AY38&gt;=0,MAX(DATOS!$C$114,CEILING(AY38/INDEX(TABLAS!$D$52:$D$58,MIN(MATCH(DATOS!$C$112,TABLAS!$B$52:$B$58,0)+0,7)),1))&lt;=MIN(99,INT((CB38+MAX(DATOS!$C$32,INDEX(TABLAS!$C$52:$C$58,MIN(MATCH(DATOS!$C$112,TABLAS!$B$52:$B$58,0)+0,7))))/(INDEX(TABLAS!$C$52:$C$58,MIN(MATCH(DATOS!$C$112,TABLAS!$B$52:$B$58,0)+0,7))+MAX(DATOS!$C$32,INDEX(TABLAS!$C$52:$C$58,MIN(MATCH(DATOS!$C$112,TABLAS!$B$52:$B$58,0)+0,7))))))),INDEX(TABLAS!$B$52:$B$58,MIN(MATCH(DATOS!$C$112,TABLAS!$B$52:$B$58,0)+0,7)),IF(AND(AY38&gt;=0,MAX(DATOS!$C$114,CEILING(AY38/INDEX(TABLAS!$D$52:$D$58,MIN(MATCH(DATOS!$C$112,TABLAS!$B$52:$B$58,0)+1,7)),1))&lt;=MIN(99,INT((CB38+MAX(DATOS!$C$32,INDEX(TABLAS!$C$52:$C$58,MIN(MATCH(DATOS!$C$112,TABLAS!$B$52:$B$58,0)+1,7))))/(INDEX(TABLAS!$C$52:$C$58,MIN(MATCH(DATOS!$C$112,TABLAS!$B$52:$B$58,0)+1,7))+MAX(DATOS!$C$32,INDEX(TABLAS!$C$52:$C$58,MIN(MATCH(DATOS!$C$112,TABLAS!$B$52:$B$58,0)+1,7))))))),INDEX(TABLAS!$B$52:$B$58,MIN(MATCH(DATOS!$C$112,TABLAS!$B$52:$B$58,0)+1,7)),IF(AND(AY38&gt;=0,MAX(DATOS!$C$114,CEILING(AY38/INDEX(TABLAS!$D$52:$D$58,MIN(MATCH(DATOS!$C$112,TABLAS!$B$52:$B$58,0)+2,7)),1))&lt;=MIN(99,INT((CB38+MAX(DATOS!$C$32,INDEX(TABLAS!$C$52:$C$58,MIN(MATCH(DATOS!$C$112,TABLAS!$B$52:$B$58,0)+2,7))))/(INDEX(TABLAS!$C$52:$C$58,MIN(MATCH(DATOS!$C$112,TABLAS!$B$52:$B$58,0)+2,7))+MAX(DATOS!$C$32,INDEX(TABLAS!$C$52:$C$58,MIN(MATCH(DATOS!$C$112,TABLAS!$B$52:$B$58,0)+2,7))))))),INDEX(TABLAS!$B$52:$B$58,MIN(MATCH(DATOS!$C$112,TABLAS!$B$52:$B$58,0)+2,7)),IF(AND(AY38&gt;=0,MAX(DATOS!$C$114,CEILING(AY38/INDEX(TABLAS!$D$52:$D$58,MIN(MATCH(DATOS!$C$112,TABLAS!$B$52:$B$58,0)+3,7)),1))&lt;=MIN(99,INT((CB38+MAX(DATOS!$C$32,INDEX(TABLAS!$C$52:$C$58,MIN(MATCH(DATOS!$C$112,TABLAS!$B$52:$B$58,0)+3,7))))/(INDEX(TABLAS!$C$52:$C$58,MIN(MATCH(DATOS!$C$112,TABLAS!$B$52:$B$58,0)+3,7))+MAX(DATOS!$C$32,INDEX(TABLAS!$C$52:$C$58,MIN(MATCH(DATOS!$C$112,TABLAS!$B$52:$B$58,0)+3,7))))))),INDEX(TABLAS!$B$52:$B$58,MIN(MATCH(DATOS!$C$112,TABLAS!$B$52:$B$58,0)+3,7)),IF(AND(AY38&gt;=0,MAX(DATOS!$C$114,CEILING(AY38/INDEX(TABLAS!$D$52:$D$58,MIN(MATCH(DATOS!$C$112,TABLAS!$B$52:$B$58,0)+4,7)),1))&lt;=MIN(99,INT((CB38+MAX(DATOS!$C$32,INDEX(TABLAS!$C$52:$C$58,MIN(MATCH(DATOS!$C$112,TABLAS!$B$52:$B$58,0)+4,7))))/(INDEX(TABLAS!$C$52:$C$58,MIN(MATCH(DATOS!$C$112,TABLAS!$B$52:$B$58,0)+4,7))+MAX(DATOS!$C$32,INDEX(TABLAS!$C$52:$C$58,MIN(MATCH(DATOS!$C$112,TABLAS!$B$52:$B$58,0)+4,7))))))),INDEX(TABLAS!$B$52:$B$58,MIN(MATCH(DATOS!$C$112,TABLAS!$B$52:$B$58,0)+4,7)),INDEX(TABLAS!$B$52:$B$58,7)))))))</f>
        <v>4</v>
      </c>
      <c r="BA38" s="56">
        <f>IF(OR(L38="BORDE DE VOLADO",L38="SIN APOYO"),0,IF(AY38&lt;0,0,MAX(DATOS!$C$114,CEILING(AY38/INDEX(TABLAS!$D$52:$D$58,MATCH(IF(AZ38=0,8,AZ38),TABLAS!$B$52:$B$58,0)),1))))</f>
        <v>2</v>
      </c>
      <c r="BB38" s="36">
        <f>IF(BA38=0,0,DATOS!$C$58*BA38*INDEX(TABLAS!$D$52:$D$58,MATCH(AZ38,TABLAS!$B$52:$B$58,0))*DATOS!$C$40*((O38-DATOS!$C$22-INDEX(TABLAS!$C$52:$C$58,MATCH(DATOS!$C$113,TABLAS!$B$52:$B$58,0))-INDEX(TABLAS!$C$52:$C$58,MATCH(AZ38,TABLAS!$B$52:$B$58,0))/2)-BA38*INDEX(TABLAS!$D$52:$D$58,MATCH(AZ38,TABLAS!$B$52:$B$58,0))*DATOS!$C$40/(DATOS!$C$48*N38)/2)/1E5)</f>
        <v>2.22363227223529</v>
      </c>
      <c r="BC38" s="62">
        <f>IF(AY38&lt;0,9.99,IF(BB38&gt;0,AN38/BB38,0))</f>
        <v>0.962804236333084</v>
      </c>
      <c r="BD38" s="63">
        <f>IF(BA38=0,"—",0.003*((O38-DATOS!$C$22-INDEX(TABLAS!$C$52:$C$58,MATCH(DATOS!$C$113,TABLAS!$B$52:$B$58,0))-INDEX(TABLAS!$C$52:$C$58,MATCH(AZ38,TABLAS!$B$52:$B$58,0))/2)-(BA38*INDEX(TABLAS!$D$52:$D$58,MATCH(AZ38,TABLAS!$B$52:$B$58,0))*DATOS!$C$40/(DATOS!$C$48*N38)/DATOS!$C$49))/(BA38*INDEX(TABLAS!$D$52:$D$58,MATCH(AZ38,TABLAS!$B$52:$B$58,0))*DATOS!$C$40/(DATOS!$C$48*N38)/DATOS!$C$49))</f>
        <v>0.0218029211192351</v>
      </c>
      <c r="BE38" s="36">
        <f>IF(BA38=0,0,DATOS!$C$59*MIN(1.25,MAX(0.5,2*MAX(1E-6,MIN(AU38*INDEX(TABLAS!$D$52:$D$58,MATCH(MAX(AS38,2),TABLAS!$B$52:$B$58,0)),BA38*INDEX(TABLAS!$D$52:$D$58,MATCH(MAX(AZ38,2),TABLAS!$B$52:$B$58,0)))/(N38*AQ38))^(1/3)))*SQRT(DATOS!$C$39)*N38*AQ38/1000)</f>
        <v>2.89526284023791</v>
      </c>
      <c r="BF38" s="57">
        <f>IF(AO38=0,0,FLOOR(MIN(IF(AO38&gt;BE38,DATOS!$C$59*2*INDEX(TABLAS!$D$52:$D$58,MATCH(DATOS!$C$113,TABLAS!$B$52:$B$58,0))*DATOS!$C$42*AQ38/((AO38-BE38)*1000),999),IF(MAX(0,AO38-BE38)/DATOS!$C$59&lt;=1.1*SQRT(DATOS!$C$39)*N38*AQ38/1000,MIN(AQ38/2,60),MIN(AQ38/4,30)),2*INDEX(TABLAS!$D$52:$D$58,MATCH(DATOS!$C$113,TABLAS!$B$52:$B$58,0))*DATOS!$C$42/(MAX(0.2*SQRT(DATOS!$C$39),3.5)*N38),MIN(16*INDEX(TABLAS!$C$52:$C$58,MATCH(MIN(MAX(AS38,2),MAX(AZ38,2)),TABLAS!$B$52:$B$58,0)),48*INDEX(TABLAS!$C$52:$C$58,MATCH(DATOS!$C$113,TABLAS!$B$52:$B$58,0))),DATOS!$C$115),0.5))</f>
        <v>12</v>
      </c>
      <c r="BG38" s="57">
        <f>BF38</f>
        <v>12</v>
      </c>
      <c r="BH38" s="51" t="str">
        <f>IF(AO38=0,"—",IF(AO38&gt;DATOS!$C$59*(BE38/DATOS!$C$59+2.2*SQRT(DATOS!$C$39)*N38*AQ38/1000),"SECCIÓN INSUFICIENTE","E No. "&amp;TEXT(DATOS!$C$113,"0")&amp;IF(BG38&lt;BF38," @ "&amp;TEXT(BG38,"0.0")&amp;" en 2h y"," @")&amp;" "&amp;TEXT(BF38,"0.0")&amp;" cm"))</f>
        <v>E No. 3 @ 12.0 cm</v>
      </c>
      <c r="BI38" s="56">
        <f>N38+MIN(6*DATOS!$C$14,DATOS!$C$11/2,G38*100/12)</f>
        <v>28.6666666666667</v>
      </c>
      <c r="BJ38" s="71">
        <f>BI38*DATOS!$C$14^3/12+BI38*DATOS!$C$14*(((BI38*DATOS!$C$14^2/2+N38*(O38-DATOS!$C$14)*(DATOS!$C$14+(O38-DATOS!$C$14)/2))/(BI38*DATOS!$C$14+N38*(O38-DATOS!$C$14)))-DATOS!$C$14/2)^2+N38*(O38-DATOS!$C$14)^3/12+N38*(O38-DATOS!$C$14)*(DATOS!$C$14+(O38-DATOS!$C$14)/2-((BI38*DATOS!$C$14^2/2+N38*(O38-DATOS!$C$14)*(DATOS!$C$14+(O38-DATOS!$C$14)/2))/(BI38*DATOS!$C$14+N38*(O38-DATOS!$C$14))))^2</f>
        <v>51405.044617156</v>
      </c>
      <c r="BK38" s="43">
        <f>O38-DATOS!$C$22-INDEX(TABLAS!$C$52:$C$58,MATCH(DATOS!$C$113,TABLAS!$B$52:$B$58,0))-INDEX(TABLAS!$C$52:$C$58,MATCH(MAX(IF(L38="VOLADO",AZ38,AS38),2),TABLAS!$B$52:$B$58,0))/2</f>
        <v>24.415</v>
      </c>
      <c r="BL38" s="43">
        <f>DATOS!$C$46/DATOS!$C$45*IF(L38="VOLADO",BA38*INDEX(TABLAS!$D$52:$D$58,MATCH(MAX(AZ38,2),TABLAS!$B$52:$B$58,0)),AU38*INDEX(TABLAS!$D$52:$D$58,MATCH(MAX(AS38,2),TABLAS!$B$52:$B$58,0)))</f>
        <v>22.9491007337934</v>
      </c>
      <c r="BM38" s="43">
        <f>IF(BL38&lt;=0,0,(SQRT(2*(BL38/(IF(L38="VOLADO",N38,BI38)*BK38))+(BL38/(IF(L38="VOLADO",N38,BI38)*BK38))^2)-(BL38/(IF(L38="VOLADO",N38,BI38)*BK38)))*BK38)</f>
        <v>6.42531740824627</v>
      </c>
      <c r="BN38" s="71">
        <f>IF(AND(L38&lt;&gt;"VOLADO",BM38&gt;DATOS!$C$14),(BI38*DATOS!$C$14^3/12+BI38*DATOS!$C$14*(((-((BI38-N38)*DATOS!$C$14+BL38)+SQRT(((BI38-N38)*DATOS!$C$14+BL38)^2+2*N38*((BI38-N38)*DATOS!$C$14^2/2+BL38*BK38)))/N38)-DATOS!$C$14/2)^2+N38*(((-((BI38-N38)*DATOS!$C$14+BL38)+SQRT(((BI38-N38)*DATOS!$C$14+BL38)^2+2*N38*((BI38-N38)*DATOS!$C$14^2/2+BL38*BK38)))/N38)-DATOS!$C$14)^3/3+BL38*(BK38-((-((BI38-N38)*DATOS!$C$14+BL38)+SQRT(((BI38-N38)*DATOS!$C$14+BL38)^2+2*N38*((BI38-N38)*DATOS!$C$14^2/2+BL38*BK38)))/N38))^2),(IF(L38="VOLADO",N38,BI38)*BM38^3/3+BL38*(BK38-BM38)^2))</f>
        <v>9195.43601196968</v>
      </c>
      <c r="BO38" s="71">
        <f>IF(AP38&lt;=0,BJ38,IF((AP38*1E5)&lt;=2/3*(DATOS!$C$47*BJ38/IF(L38="VOLADO",((BI38*DATOS!$C$14^2/2+N38*(O38-DATOS!$C$14)*(DATOS!$C$14+(O38-DATOS!$C$14)/2))/(BI38*DATOS!$C$14+N38*(O38-DATOS!$C$14))),O38-((BI38*DATOS!$C$14^2/2+N38*(O38-DATOS!$C$14)*(DATOS!$C$14+(O38-DATOS!$C$14)/2))/(BI38*DATOS!$C$14+N38*(O38-DATOS!$C$14))))),BJ38,IF(BL38&lt;=0,0,BN38/(1-(2/3*(DATOS!$C$47*BJ38/IF(L38="VOLADO",((BI38*DATOS!$C$14^2/2+N38*(O38-DATOS!$C$14)*(DATOS!$C$14+(O38-DATOS!$C$14)/2))/(BI38*DATOS!$C$14+N38*(O38-DATOS!$C$14))),O38-((BI38*DATOS!$C$14^2/2+N38*(O38-DATOS!$C$14)*(DATOS!$C$14+(O38-DATOS!$C$14)/2))/(BI38*DATOS!$C$14+N38*(O38-DATOS!$C$14)))))/(AP38*1E5))^2*(1-BN38/BJ38)))))</f>
        <v>11298.0715372249</v>
      </c>
      <c r="BP38" s="62">
        <f>IF(OR(L38="APOYADA",L38="VOLADO"),(IF(L38="VOLADO",(AP38-AH38)/4+AH38/3,5/48*AP38)*1E5*(G38*100)^2/(DATOS!$C$45*MAX(BO38,1)))*(1+2/(1+50*IF(L38="VOLADO",AU38*INDEX(TABLAS!$D$52:$D$58,MATCH(MAX(AS38,2),TABLAS!$B$52:$B$58,0)),DATOS!$C$114*INDEX(TABLAS!$D$52:$D$58,MATCH(MAX(AZ38,2),TABLAS!$B$52:$B$58,0)))/(N38*BK38))*((AA38+AC38)/MAX(AA38+AB38,1E-6))),0)</f>
        <v>0.42452601594442</v>
      </c>
      <c r="BQ38" s="43">
        <f>IF(S38&gt;0,0.3+G38*100/480,0.5+G38*100/240)</f>
        <v>0.933333333333333</v>
      </c>
      <c r="BR38" s="43">
        <f>IF(S38&gt;0,(T38+U38)*G38+AG38,0)</f>
        <v>0</v>
      </c>
      <c r="BS38" s="43">
        <f>IF(S38&gt;0,(DATOS!$C$51*DATOS!$C$103*100*(G38*100)^3/(DATOS!$C$45*BJ38*((BR38*1000/(DATOS!$C$103*100*S38*100)*DATOS!$C$103*100*(MIN(1,S38/G38)^4-4*MIN(1,S38/G38)^3+8*MIN(1,S38/G38)))/((BR38*1000/(DATOS!$C$103*100*S38*100)*DATOS!$C$103*100*(MIN(1,S38/G38)^4-4*MIN(1,S38/G38)^3+8*MIN(1,S38/G38)))+5*((R38+X38+Y38+IF(L38="APOYADA",8*(0)/G38^2,0))*10)))))^0.25,0)</f>
        <v>0</v>
      </c>
      <c r="BT38" s="57">
        <f>IF(S38&gt;0,MAX(1,IF(MIN(1,S38/G38)&gt;=1,(1.6*BS38-3.9),IF(MIN(1,S38/G38)&lt;0.9,((3.2*BS38-7.8)*1),((3.2*BS38-7.8)*1)+((1.6*BS38-3.9)-((3.2*BS38-7.8)*1))*(MIN(1,S38/G38)-0.9)/0.1)))*BR38*1000/(DATOS!$C$103*100*S38*100),0)</f>
        <v>0</v>
      </c>
      <c r="BU38" s="65" t="str">
        <f>IF(S38=0,"—",IF(DATOS!$C$105/S38&lt;0.6,"REVISAR: H/L &lt; 0.6, interacción muro-viga",IF(BT38&lt;=DATOS!$C$60*DATOS!$C$50,"CUMPLE","NO CUMPLE f_CM &gt; F_R·f'm")))</f>
        <v>—</v>
      </c>
      <c r="BV38" s="57">
        <f>IF(S38&gt;0,MAX(25,IF(BJ38&gt;=(G38*100)^3/1600,0,MIN(G38*100/14,(12*(G38*100)^3/1600/N38)^(1/3)))),IF(L38="APOYADA",MAX(25,G38*100/16),IF(L38="VOLADO",MAX(25,G38*100/8),0)))</f>
        <v>25</v>
      </c>
      <c r="BW38" s="57">
        <f>IF(S38&gt;0,IF(BJ38&gt;=(5/4*(G38*100)^3/DATOS!$C$45*((((S38*DATOS!$C$107+(0+0)*G38+AG38/DATOS!$C$55)*1000)/(DATOS!$C$103*100*S38*100)*DATOS!$C$103*100*(MIN(1,S38/G38)^4-4*MIN(1,S38/G38)^3+8*MIN(1,S38/G38)))+5*((AA38-S38*DATOS!$C$107/G38-(0))*10))),0,MIN((G38*100/((1/15*DATOS!$C$45*N38/((((S38*DATOS!$C$107+(0+0)*G38+AG38/DATOS!$C$55)*1000)/(DATOS!$C$103*100*S38*100)*DATOS!$C$103*100*(MIN(1,S38/G38)^4-4*MIN(1,S38/G38)^3+8*MIN(1,S38/G38)))+5*((AA38-S38*DATOS!$C$107/G38-(0))*10)))^(1/3))),(12*(5/4*(G38*100)^3/DATOS!$C$45*((((S38*DATOS!$C$107+(0+0)*G38+AG38/DATOS!$C$55)*1000)/(DATOS!$C$103*100*S38*100)*DATOS!$C$103*100*(MIN(1,S38/G38)^4-4*MIN(1,S38/G38)^3+8*MIN(1,S38/G38)))+5*((AA38-S38*DATOS!$C$107/G38-(0))*10)))/N38)^(1/3))),0)</f>
        <v>0</v>
      </c>
      <c r="BX38" s="57">
        <f>SQRT(MAX(AM38,AN38)*1E5/(DATOS!$C$58*N38*DATOS!$C$48*(DATOS!$C$82*DATOS!$C$40/DATOS!$C$48)*(1-(DATOS!$C$82*DATOS!$C$40/DATOS!$C$48)/2)))+(O38-AQ38)</f>
        <v>20.0380169888443</v>
      </c>
      <c r="BY38" s="59">
        <f>IF(OR(L38="BORDE DE VOLADO",L38="SIN APOYO"),0,CEILING(MAX(BV38,BW38,BX38,DATOS!$C$15),5))</f>
        <v>25</v>
      </c>
      <c r="BZ38" s="72" t="str">
        <f>IF(L38="BORDE DE VOLADO","BORDE DE VOLADO — armado de orilla",IF(L38="SIN APOYO","SIN APOYO — REVISAR",IF(AND(AW38&lt;=1,BC38&lt;=1,IF(AU38=0,TRUE,AU38&lt;=INT((CB38+DATOS!$C$32)/(INDEX(TABLAS!$C$52:$C$58,MATCH(MAX(AS38,2),TABLAS!$B$52:$B$58,0))+DATOS!$C$32))),IF(BA38=0,TRUE,BA38&lt;=INT((CB38+DATOS!$C$32)/(INDEX(TABLAS!$C$52:$C$58,MATCH(MAX(AZ38,2),TABLAS!$B$52:$B$58,0))+DATOS!$C$32))),AND(OR(NOT(ISNUMBER(AX38)),AX38&gt;=0.005),OR(NOT(ISNUMBER(BD38)),BD38&gt;=0.005)),BH38&lt;&gt;"SECCIÓN INSUFICIENTE",AND(O38&gt;=BV38,O38&gt;=BW38,O38/N38&lt;=6),BP38&lt;=BQ38,OR(S38=0,LEFT(BU38,6)&lt;&gt;"NO CUM")),IF(LEFT(BU38,7)="REVISAR","PENDIENTE: H/L &lt; 0.6, falta el análisis de interacción muro-viga (NTC-M 4.1.18.2.1, p. 44)","CUMPLE")&amp;IF(L38="VOLADO"," (en VOLADO)",""),"NO CUMPLE: "&amp;IF(OR(AR38&lt;0,AY38&lt;0),"sección insuficiente en flexión ",IF(OR(AW38&gt;1,BC38&gt;1),"flexión ",""))&amp;IF(NOT(AND(IF(AU38=0,TRUE,AU38&lt;=INT((CB38+DATOS!$C$32)/(INDEX(TABLAS!$C$52:$C$58,MATCH(MAX(AS38,2),TABLAS!$B$52:$B$58,0))+DATOS!$C$32))),IF(BA38=0,TRUE,BA38&lt;=INT((CB38+DATOS!$C$32)/(INDEX(TABLAS!$C$52:$C$58,MATCH(MAX(AZ38,2),TABLAS!$B$52:$B$58,0))+DATOS!$C$32))))),"no caben ","")&amp;IF(NOT(AND(OR(NOT(ISNUMBER(AX38)),AX38&gt;=0.005),OR(NOT(ISNUMBER(BD38)),BD38&gt;=0.005))),"ε_t ","")&amp;IF(BH38="SECCIÓN INSUFICIENTE","cortante ","")&amp;IF(NOT(AND(O38&gt;=BV38,O38&gt;=BW38,O38/N38&lt;=6)),"peralte ","")&amp;IF(NOT(BP38&lt;=BQ38),"flecha ","")&amp;IF(NOT(OR(S38=0,LEFT(BU38,6)&lt;&gt;"NO CUM")),"muro sobre viga ","")&amp;"→ h ≥ "&amp;TEXT(MAX(BY38,IF(BP38&gt;BQ38,MAX(O38+5,CEILING(O38*(BP38/BQ38)^(1/3),5)),0)),"0")&amp;" cm"&amp;IF(NOT(AND(IF(AU38=0,TRUE,AU38&lt;=INT((CB38+DATOS!$C$32)/(INDEX(TABLAS!$C$52:$C$58,MATCH(MAX(AS38,2),TABLAS!$B$52:$B$58,0))+DATOS!$C$32))),IF(BA38=0,TRUE,BA38&lt;=INT((CB38+DATOS!$C$32)/(INDEX(TABLAS!$C$52:$C$58,MATCH(MAX(AZ38,2),TABLAS!$B$52:$B$58,0))+DATOS!$C$32)))))," y b ≥ "&amp;TEXT(N38+5,"0")&amp;" cm","")&amp;" (verificar)")))</f>
        <v>CUMPLE (en VOLADO)</v>
      </c>
      <c r="CA38" s="65" t="inlineStr">
        <is>
          <t>Extremo j se apoya en NP-08. Llegada de la escalera: revisar junto con el diseño de la escalera.</t>
        </is>
      </c>
      <c r="CB38" s="43">
        <f>N38-2*DATOS!$C$22-2*INDEX(TABLAS!$C$52:$C$58,MATCH(DATOS!$C$113,TABLAS!$B$52:$B$58,0))</f>
        <v>10.1</v>
      </c>
    </row>
    <row r="39" ht="30" customHeight="1">
      <c r="B39" s="60" t="inlineStr">
        <is>
          <t>NP-31</t>
        </is>
      </c>
      <c r="C39" s="52" t="inlineStr">
        <is>
          <t>N+6.00</t>
        </is>
      </c>
      <c r="D39" s="51" t="inlineStr">
        <is>
          <t>y = 16.697</t>
        </is>
      </c>
      <c r="E39" s="52" t="inlineStr">
        <is>
          <t>(5.822, 16.697)</t>
        </is>
      </c>
      <c r="F39" s="52" t="inlineStr">
        <is>
          <t>(8.850, 16.697)</t>
        </is>
      </c>
      <c r="G39" s="55" t="n">
        <v>3.028</v>
      </c>
      <c r="H39" s="52" t="inlineStr">
        <is>
          <t>FIRME</t>
        </is>
      </c>
      <c r="I39" s="52" t="inlineStr">
        <is>
          <t>FIRME</t>
        </is>
      </c>
      <c r="J39" s="52" t="inlineStr">
        <is>
          <t>—</t>
        </is>
      </c>
      <c r="K39" s="52" t="inlineStr">
        <is>
          <t>—</t>
        </is>
      </c>
      <c r="L39" s="60" t="str">
        <f>IF(AND(OR(H39="FIRME",H39="NERVADURA",H39="PUNTA"),OR(I39="FIRME",I39="NERVADURA",I39="PUNTA")),"APOYADA",IF(OR(OR(H39="FIRME",H39="NERVADURA",H39="PUNTA"),OR(I39="FIRME",I39="NERVADURA",I39="PUNTA")),"VOLADO","SIN APOYO"))</f>
        <v>APOYADA</v>
      </c>
      <c r="M39" s="52" t="str">
        <f>IF(L39="VOLADO",IF(OR(H39="FIRME",H39="NERVADURA",H39="PUNTA"),"i","j"),"—")</f>
        <v>—</v>
      </c>
      <c r="N39" s="58">
        <f>DATOS!$C$17</f>
        <v>15</v>
      </c>
      <c r="O39" s="58">
        <f>DATOS!$C$15</f>
        <v>25</v>
      </c>
      <c r="P39" s="65" t="str">
        <f>IF(L39="BORDE DE VOLADO","—",IF(OR(N39&lt;&gt;DATOS!$C$17,O39&lt;&gt;DATOS!$C$15),"PERALTAR: trabe "&amp;TEXT(N39,"0")&amp;"×"&amp;TEXT(O39,"0")&amp;IF(O39&gt;DATOS!$C$15," (descuelga "&amp;TEXT(O39-DATOS!$C$15,"0")&amp;" cm)",""),"Queda en la losa (15×25)"))</f>
        <v>Queda en la losa (15×25)</v>
      </c>
      <c r="Q39" s="43">
        <f>SUMIFS(TRIB!$E$6:$E$255,TRIB!$B$6:$B$255,"NP-31")</f>
        <v>1.334</v>
      </c>
      <c r="R39" s="36">
        <f>SUMIFS(TRIB!$G$6:$G$255,TRIB!$B$6:$B$255,"NP-31")/G39</f>
        <v>0.403229039171811</v>
      </c>
      <c r="S39" s="69" t="n">
        <v>0</v>
      </c>
      <c r="T39" s="36">
        <f>DATOS!$C$55*S39*DATOS!$C$107/G39</f>
        <v>0</v>
      </c>
      <c r="U39" s="36">
        <f>0</f>
        <v>0</v>
      </c>
      <c r="V39" s="61" t="n">
        <v>0</v>
      </c>
      <c r="W39" s="61" t="n">
        <v>0</v>
      </c>
      <c r="X39" s="36">
        <f>(DATOS!$C$55*V39+DATOS!$C$56*W39)/1000</f>
        <v>0</v>
      </c>
      <c r="Y39" s="36">
        <f>DATOS!$C$55*(N39/100*O39/100*DATOS!$C$43-N39/100*DATOS!$C$70/1000)</f>
        <v>0.0694836734693878</v>
      </c>
      <c r="Z39" s="70">
        <f>R39+T39+U39+X39+Y39</f>
        <v>0.472712712641199</v>
      </c>
      <c r="AA39" s="36">
        <f>(SUMIFS(TRIB!$I$6:$I$255,TRIB!$B$6:$B$255,"NP-31")-SUMIFS(TRIB!$L$6:$L$255,TRIB!$B$6:$B$255,"NP-31"))/G39+S39*DATOS!$C$107/G39+0+V39/1000+Y39/DATOS!$C$55</f>
        <v>0.312791914916561</v>
      </c>
      <c r="AB39" s="36">
        <f>SUMIFS(TRIB!$L$6:$L$255,TRIB!$B$6:$B$255,"NP-31")/G39+0+W39/1000</f>
        <v>0.0440554821664465</v>
      </c>
      <c r="AC39" s="36">
        <f>SUMIFS(TRIB!$M$6:$M$255,TRIB!$B$6:$B$255,"NP-31")/G39+0+W39/1000*DATOS!$C$91/DATOS!$C$89</f>
        <v>0.00660832232496698</v>
      </c>
      <c r="AD39" s="36">
        <f>0</f>
        <v>0</v>
      </c>
      <c r="AE39" s="36">
        <f>0</f>
        <v>0</v>
      </c>
      <c r="AF39" s="36">
        <f>0</f>
        <v>0</v>
      </c>
      <c r="AG39" s="36">
        <f>0</f>
        <v>0</v>
      </c>
      <c r="AH39" s="36">
        <f>0</f>
        <v>0</v>
      </c>
      <c r="AI39" s="36">
        <f>IF(L39="APOYADA",Z39*G39/2+0,IF(AND(L39="VOLADO",M39="i"),Z39*G39+AD39,0))</f>
        <v>0.715687046938776</v>
      </c>
      <c r="AJ39" s="36">
        <f>IF(L39="APOYADA",Z39*G39/2+0,IF(AND(L39="VOLADO",M39="j"),Z39*G39+AD39,0))</f>
        <v>0.715687046938776</v>
      </c>
      <c r="AK39" s="36">
        <f>IF(L39="APOYADA",(AA39+AB39)*G39/2+0,IF(AND(L39="VOLADO",M39="i"),(AA39+AB39)*G39+0,0))</f>
        <v>0.540266959183673</v>
      </c>
      <c r="AL39" s="36">
        <f>IF(L39="APOYADA",(AA39+AB39)*G39/2+0,IF(AND(L39="VOLADO",M39="j"),(AA39+AB39)*G39+0,0))</f>
        <v>0.540266959183673</v>
      </c>
      <c r="AM39" s="70">
        <f>IF(L39="APOYADA",Z39*G39^2/8+AE39,0)</f>
        <v>0.541775094532653</v>
      </c>
      <c r="AN39" s="70">
        <f>IF(L39="APOYADA",DATOS!$C$64*AM39,IF(L39="VOLADO",Z39*G39^2/2+AE39,0))</f>
        <v>0.36136398805328</v>
      </c>
      <c r="AO39" s="70">
        <f>IF(L39="APOYADA",Z39*G39/2+AF39,IF(L39="VOLADO",Z39*G39+AF39,0))</f>
        <v>0.715687046938776</v>
      </c>
      <c r="AP39" s="36">
        <f>IF(L39="APOYADA",(AA39+AB39)*G39^2/8+AH39,IF(L39="VOLADO",(AA39+AB39)*G39^2/2+AH39,0))</f>
        <v>0.408982088102041</v>
      </c>
      <c r="AQ39" s="43">
        <f>O39-DATOS!$C$22-INDEX(TABLAS!$C$52:$C$58,MATCH(DATOS!$C$113,TABLAS!$B$52:$B$58,0))-INDEX(TABLAS!$C$52:$C$58,MATCH(DATOS!$C$112,TABLAS!$B$52:$B$58,0))/2</f>
        <v>19.415</v>
      </c>
      <c r="AR39" s="43">
        <f>IF(OR(L39="BORDE DE VOLADO",L39="SIN APOYO"),0,IF(IF(AM39&lt;=0,0,IF((1-2*AM39*1E5/(DATOS!$C$58*N39*AQ39^2*DATOS!$C$48))&lt;0,-1,IF((1-SQRT((1-2*AM39*1E5/(DATOS!$C$58*N39*AQ39^2*DATOS!$C$48))))*DATOS!$C$48*N39*AQ39/DATOS!$C$40&gt;DATOS!$C$82*N39*AQ39,-1,(1-SQRT((1-2*AM39*1E5/(DATOS!$C$58*N39*AQ39^2*DATOS!$C$48))))*DATOS!$C$48*N39*AQ39/DATOS!$C$40)))&lt;0,-1,MAX(IF(AM39&lt;=0,0,IF((1-2*AM39*1E5/(DATOS!$C$58*N39*AQ39^2*DATOS!$C$48))&lt;0,-1,IF((1-SQRT((1-2*AM39*1E5/(DATOS!$C$58*N39*AQ39^2*DATOS!$C$48))))*DATOS!$C$48*N39*AQ39/DATOS!$C$40&gt;DATOS!$C$82*N39*AQ39,-1,(1-SQRT((1-2*AM39*1E5/(DATOS!$C$58*N39*AQ39^2*DATOS!$C$48))))*DATOS!$C$48*N39*AQ39/DATOS!$C$40))),MIN(DATOS!$C$83*N39*AQ39,4/3*IF(AM39&lt;=0,0,IF((1-2*AM39*1E5/(DATOS!$C$58*N39*AQ39^2*DATOS!$C$48))&lt;0,-1,IF((1-SQRT((1-2*AM39*1E5/(DATOS!$C$58*N39*AQ39^2*DATOS!$C$48))))*DATOS!$C$48*N39*AQ39/DATOS!$C$40&gt;DATOS!$C$82*N39*AQ39,-1,(1-SQRT((1-2*AM39*1E5/(DATOS!$C$58*N39*AQ39^2*DATOS!$C$48))))*DATOS!$C$48*N39*AQ39/DATOS!$C$40)))))))</f>
        <v>0.97075</v>
      </c>
      <c r="AS39" s="41">
        <f>IF(AR39&lt;0,0,IF(AND(AR39&gt;=0,MAX(DATOS!$C$114,CEILING(AR39/INDEX(TABLAS!$D$52:$D$58,MIN(MATCH(DATOS!$C$112,TABLAS!$B$52:$B$58,0)+0,7)),1))&lt;=MIN(99,INT((CB39+MAX(DATOS!$C$32,INDEX(TABLAS!$C$52:$C$58,MIN(MATCH(DATOS!$C$112,TABLAS!$B$52:$B$58,0)+0,7))))/(INDEX(TABLAS!$C$52:$C$58,MIN(MATCH(DATOS!$C$112,TABLAS!$B$52:$B$58,0)+0,7))+MAX(DATOS!$C$32,INDEX(TABLAS!$C$52:$C$58,MIN(MATCH(DATOS!$C$112,TABLAS!$B$52:$B$58,0)+0,7))))))),INDEX(TABLAS!$B$52:$B$58,MIN(MATCH(DATOS!$C$112,TABLAS!$B$52:$B$58,0)+0,7)),IF(AND(AR39&gt;=0,MAX(DATOS!$C$114,CEILING(AR39/INDEX(TABLAS!$D$52:$D$58,MIN(MATCH(DATOS!$C$112,TABLAS!$B$52:$B$58,0)+1,7)),1))&lt;=MIN(99,INT((CB39+MAX(DATOS!$C$32,INDEX(TABLAS!$C$52:$C$58,MIN(MATCH(DATOS!$C$112,TABLAS!$B$52:$B$58,0)+1,7))))/(INDEX(TABLAS!$C$52:$C$58,MIN(MATCH(DATOS!$C$112,TABLAS!$B$52:$B$58,0)+1,7))+MAX(DATOS!$C$32,INDEX(TABLAS!$C$52:$C$58,MIN(MATCH(DATOS!$C$112,TABLAS!$B$52:$B$58,0)+1,7))))))),INDEX(TABLAS!$B$52:$B$58,MIN(MATCH(DATOS!$C$112,TABLAS!$B$52:$B$58,0)+1,7)),IF(AND(AR39&gt;=0,MAX(DATOS!$C$114,CEILING(AR39/INDEX(TABLAS!$D$52:$D$58,MIN(MATCH(DATOS!$C$112,TABLAS!$B$52:$B$58,0)+2,7)),1))&lt;=MIN(99,INT((CB39+MAX(DATOS!$C$32,INDEX(TABLAS!$C$52:$C$58,MIN(MATCH(DATOS!$C$112,TABLAS!$B$52:$B$58,0)+2,7))))/(INDEX(TABLAS!$C$52:$C$58,MIN(MATCH(DATOS!$C$112,TABLAS!$B$52:$B$58,0)+2,7))+MAX(DATOS!$C$32,INDEX(TABLAS!$C$52:$C$58,MIN(MATCH(DATOS!$C$112,TABLAS!$B$52:$B$58,0)+2,7))))))),INDEX(TABLAS!$B$52:$B$58,MIN(MATCH(DATOS!$C$112,TABLAS!$B$52:$B$58,0)+2,7)),IF(AND(AR39&gt;=0,MAX(DATOS!$C$114,CEILING(AR39/INDEX(TABLAS!$D$52:$D$58,MIN(MATCH(DATOS!$C$112,TABLAS!$B$52:$B$58,0)+3,7)),1))&lt;=MIN(99,INT((CB39+MAX(DATOS!$C$32,INDEX(TABLAS!$C$52:$C$58,MIN(MATCH(DATOS!$C$112,TABLAS!$B$52:$B$58,0)+3,7))))/(INDEX(TABLAS!$C$52:$C$58,MIN(MATCH(DATOS!$C$112,TABLAS!$B$52:$B$58,0)+3,7))+MAX(DATOS!$C$32,INDEX(TABLAS!$C$52:$C$58,MIN(MATCH(DATOS!$C$112,TABLAS!$B$52:$B$58,0)+3,7))))))),INDEX(TABLAS!$B$52:$B$58,MIN(MATCH(DATOS!$C$112,TABLAS!$B$52:$B$58,0)+3,7)),IF(AND(AR39&gt;=0,MAX(DATOS!$C$114,CEILING(AR39/INDEX(TABLAS!$D$52:$D$58,MIN(MATCH(DATOS!$C$112,TABLAS!$B$52:$B$58,0)+4,7)),1))&lt;=MIN(99,INT((CB39+MAX(DATOS!$C$32,INDEX(TABLAS!$C$52:$C$58,MIN(MATCH(DATOS!$C$112,TABLAS!$B$52:$B$58,0)+4,7))))/(INDEX(TABLAS!$C$52:$C$58,MIN(MATCH(DATOS!$C$112,TABLAS!$B$52:$B$58,0)+4,7))+MAX(DATOS!$C$32,INDEX(TABLAS!$C$52:$C$58,MIN(MATCH(DATOS!$C$112,TABLAS!$B$52:$B$58,0)+4,7))))))),INDEX(TABLAS!$B$52:$B$58,MIN(MATCH(DATOS!$C$112,TABLAS!$B$52:$B$58,0)+4,7)),INDEX(TABLAS!$B$52:$B$58,7)))))))</f>
        <v>4</v>
      </c>
      <c r="AT39" s="58" t="n">
        <v>0</v>
      </c>
      <c r="AU39" s="56">
        <f>IF(OR(L39="BORDE DE VOLADO",L39="SIN APOYO"),0,IF(AR39&lt;0,0,MAX(DATOS!$C$114,CEILING(AR39/INDEX(TABLAS!$D$52:$D$58,MATCH(IF(AS39=0,8,AS39),TABLAS!$B$52:$B$58,0)),1))+AT39))</f>
        <v>2</v>
      </c>
      <c r="AV39" s="36">
        <f>IF(AU39=0,0,DATOS!$C$58*AU39*INDEX(TABLAS!$D$52:$D$58,MATCH(AS39,TABLAS!$B$52:$B$58,0))*DATOS!$C$40*((O39-DATOS!$C$22-INDEX(TABLAS!$C$52:$C$58,MATCH(DATOS!$C$113,TABLAS!$B$52:$B$58,0))-INDEX(TABLAS!$C$52:$C$58,MATCH(AS39,TABLAS!$B$52:$B$58,0))/2)-AU39*INDEX(TABLAS!$D$52:$D$58,MATCH(AS39,TABLAS!$B$52:$B$58,0))*DATOS!$C$40/(DATOS!$C$48*N39)/2)/1E5)</f>
        <v>1.70340536964706</v>
      </c>
      <c r="AW39" s="62">
        <f>IF(AR39&lt;0,9.99,IF(AV39&gt;0,AM39/AV39,0))</f>
        <v>0.31805411922877</v>
      </c>
      <c r="AX39" s="63">
        <f>IF(AU39=0,"—",0.003*((O39-DATOS!$C$22-INDEX(TABLAS!$C$52:$C$58,MATCH(DATOS!$C$113,TABLAS!$B$52:$B$58,0))-INDEX(TABLAS!$C$52:$C$58,MATCH(AS39,TABLAS!$B$52:$B$58,0))/2)-(AU39*INDEX(TABLAS!$D$52:$D$58,MATCH(AS39,TABLAS!$B$52:$B$58,0))*DATOS!$C$40/(DATOS!$C$48*N39)/DATOS!$C$49))/(AU39*INDEX(TABLAS!$D$52:$D$58,MATCH(AS39,TABLAS!$B$52:$B$58,0))*DATOS!$C$40/(DATOS!$C$48*N39)/DATOS!$C$49))</f>
        <v>0.0117926084434758</v>
      </c>
      <c r="AY39" s="43">
        <f>IF(OR(L39="BORDE DE VOLADO",L39="SIN APOYO"),0,IF(IF(AN39&lt;=0,0,IF((1-2*AN39*1E5/(DATOS!$C$58*N39*AQ39^2*DATOS!$C$48))&lt;0,-1,IF((1-SQRT((1-2*AN39*1E5/(DATOS!$C$58*N39*AQ39^2*DATOS!$C$48))))*DATOS!$C$48*N39*AQ39/DATOS!$C$40&gt;DATOS!$C$82*N39*AQ39,-1,(1-SQRT((1-2*AN39*1E5/(DATOS!$C$58*N39*AQ39^2*DATOS!$C$48))))*DATOS!$C$48*N39*AQ39/DATOS!$C$40)))&lt;0,-1,MAX(IF(AN39&lt;=0,0,IF((1-2*AN39*1E5/(DATOS!$C$58*N39*AQ39^2*DATOS!$C$48))&lt;0,-1,IF((1-SQRT((1-2*AN39*1E5/(DATOS!$C$58*N39*AQ39^2*DATOS!$C$48))))*DATOS!$C$48*N39*AQ39/DATOS!$C$40&gt;DATOS!$C$82*N39*AQ39,-1,(1-SQRT((1-2*AN39*1E5/(DATOS!$C$58*N39*AQ39^2*DATOS!$C$48))))*DATOS!$C$48*N39*AQ39/DATOS!$C$40))),MIN(DATOS!$C$83*IF(L39="VOLADO",MIN(BI39,2*N39),N39)*AQ39,4/3*IF(AN39&lt;=0,0,IF((1-2*AN39*1E5/(DATOS!$C$58*N39*AQ39^2*DATOS!$C$48))&lt;0,-1,IF((1-SQRT((1-2*AN39*1E5/(DATOS!$C$58*N39*AQ39^2*DATOS!$C$48))))*DATOS!$C$48*N39*AQ39/DATOS!$C$40&gt;DATOS!$C$82*N39*AQ39,-1,(1-SQRT((1-2*AN39*1E5/(DATOS!$C$58*N39*AQ39^2*DATOS!$C$48))))*DATOS!$C$48*N39*AQ39/DATOS!$C$40)))))))</f>
        <v>0.667882287121338</v>
      </c>
      <c r="AZ39" s="41">
        <f>IF(AY39&lt;0,0,IF(AND(AY39&gt;=0,MAX(DATOS!$C$114,CEILING(AY39/INDEX(TABLAS!$D$52:$D$58,MIN(MATCH(DATOS!$C$112,TABLAS!$B$52:$B$58,0)+0,7)),1))&lt;=MIN(99,INT((CB39+MAX(DATOS!$C$32,INDEX(TABLAS!$C$52:$C$58,MIN(MATCH(DATOS!$C$112,TABLAS!$B$52:$B$58,0)+0,7))))/(INDEX(TABLAS!$C$52:$C$58,MIN(MATCH(DATOS!$C$112,TABLAS!$B$52:$B$58,0)+0,7))+MAX(DATOS!$C$32,INDEX(TABLAS!$C$52:$C$58,MIN(MATCH(DATOS!$C$112,TABLAS!$B$52:$B$58,0)+0,7))))))),INDEX(TABLAS!$B$52:$B$58,MIN(MATCH(DATOS!$C$112,TABLAS!$B$52:$B$58,0)+0,7)),IF(AND(AY39&gt;=0,MAX(DATOS!$C$114,CEILING(AY39/INDEX(TABLAS!$D$52:$D$58,MIN(MATCH(DATOS!$C$112,TABLAS!$B$52:$B$58,0)+1,7)),1))&lt;=MIN(99,INT((CB39+MAX(DATOS!$C$32,INDEX(TABLAS!$C$52:$C$58,MIN(MATCH(DATOS!$C$112,TABLAS!$B$52:$B$58,0)+1,7))))/(INDEX(TABLAS!$C$52:$C$58,MIN(MATCH(DATOS!$C$112,TABLAS!$B$52:$B$58,0)+1,7))+MAX(DATOS!$C$32,INDEX(TABLAS!$C$52:$C$58,MIN(MATCH(DATOS!$C$112,TABLAS!$B$52:$B$58,0)+1,7))))))),INDEX(TABLAS!$B$52:$B$58,MIN(MATCH(DATOS!$C$112,TABLAS!$B$52:$B$58,0)+1,7)),IF(AND(AY39&gt;=0,MAX(DATOS!$C$114,CEILING(AY39/INDEX(TABLAS!$D$52:$D$58,MIN(MATCH(DATOS!$C$112,TABLAS!$B$52:$B$58,0)+2,7)),1))&lt;=MIN(99,INT((CB39+MAX(DATOS!$C$32,INDEX(TABLAS!$C$52:$C$58,MIN(MATCH(DATOS!$C$112,TABLAS!$B$52:$B$58,0)+2,7))))/(INDEX(TABLAS!$C$52:$C$58,MIN(MATCH(DATOS!$C$112,TABLAS!$B$52:$B$58,0)+2,7))+MAX(DATOS!$C$32,INDEX(TABLAS!$C$52:$C$58,MIN(MATCH(DATOS!$C$112,TABLAS!$B$52:$B$58,0)+2,7))))))),INDEX(TABLAS!$B$52:$B$58,MIN(MATCH(DATOS!$C$112,TABLAS!$B$52:$B$58,0)+2,7)),IF(AND(AY39&gt;=0,MAX(DATOS!$C$114,CEILING(AY39/INDEX(TABLAS!$D$52:$D$58,MIN(MATCH(DATOS!$C$112,TABLAS!$B$52:$B$58,0)+3,7)),1))&lt;=MIN(99,INT((CB39+MAX(DATOS!$C$32,INDEX(TABLAS!$C$52:$C$58,MIN(MATCH(DATOS!$C$112,TABLAS!$B$52:$B$58,0)+3,7))))/(INDEX(TABLAS!$C$52:$C$58,MIN(MATCH(DATOS!$C$112,TABLAS!$B$52:$B$58,0)+3,7))+MAX(DATOS!$C$32,INDEX(TABLAS!$C$52:$C$58,MIN(MATCH(DATOS!$C$112,TABLAS!$B$52:$B$58,0)+3,7))))))),INDEX(TABLAS!$B$52:$B$58,MIN(MATCH(DATOS!$C$112,TABLAS!$B$52:$B$58,0)+3,7)),IF(AND(AY39&gt;=0,MAX(DATOS!$C$114,CEILING(AY39/INDEX(TABLAS!$D$52:$D$58,MIN(MATCH(DATOS!$C$112,TABLAS!$B$52:$B$58,0)+4,7)),1))&lt;=MIN(99,INT((CB39+MAX(DATOS!$C$32,INDEX(TABLAS!$C$52:$C$58,MIN(MATCH(DATOS!$C$112,TABLAS!$B$52:$B$58,0)+4,7))))/(INDEX(TABLAS!$C$52:$C$58,MIN(MATCH(DATOS!$C$112,TABLAS!$B$52:$B$58,0)+4,7))+MAX(DATOS!$C$32,INDEX(TABLAS!$C$52:$C$58,MIN(MATCH(DATOS!$C$112,TABLAS!$B$52:$B$58,0)+4,7))))))),INDEX(TABLAS!$B$52:$B$58,MIN(MATCH(DATOS!$C$112,TABLAS!$B$52:$B$58,0)+4,7)),INDEX(TABLAS!$B$52:$B$58,7)))))))</f>
        <v>4</v>
      </c>
      <c r="BA39" s="56">
        <f>IF(OR(L39="BORDE DE VOLADO",L39="SIN APOYO"),0,IF(AY39&lt;0,0,MAX(DATOS!$C$114,CEILING(AY39/INDEX(TABLAS!$D$52:$D$58,MATCH(IF(AZ39=0,8,AZ39),TABLAS!$B$52:$B$58,0)),1))))</f>
        <v>2</v>
      </c>
      <c r="BB39" s="36">
        <f>IF(BA39=0,0,DATOS!$C$58*BA39*INDEX(TABLAS!$D$52:$D$58,MATCH(AZ39,TABLAS!$B$52:$B$58,0))*DATOS!$C$40*((O39-DATOS!$C$22-INDEX(TABLAS!$C$52:$C$58,MATCH(DATOS!$C$113,TABLAS!$B$52:$B$58,0))-INDEX(TABLAS!$C$52:$C$58,MATCH(AZ39,TABLAS!$B$52:$B$58,0))/2)-BA39*INDEX(TABLAS!$D$52:$D$58,MATCH(AZ39,TABLAS!$B$52:$B$58,0))*DATOS!$C$40/(DATOS!$C$48*N39)/2)/1E5)</f>
        <v>1.70340536964706</v>
      </c>
      <c r="BC39" s="62">
        <f>IF(AY39&lt;0,9.99,IF(BB39&gt;0,AN39/BB39,0))</f>
        <v>0.21214209752559</v>
      </c>
      <c r="BD39" s="63">
        <f>IF(BA39=0,"—",0.003*((O39-DATOS!$C$22-INDEX(TABLAS!$C$52:$C$58,MATCH(DATOS!$C$113,TABLAS!$B$52:$B$58,0))-INDEX(TABLAS!$C$52:$C$58,MATCH(AZ39,TABLAS!$B$52:$B$58,0))/2)-(BA39*INDEX(TABLAS!$D$52:$D$58,MATCH(AZ39,TABLAS!$B$52:$B$58,0))*DATOS!$C$40/(DATOS!$C$48*N39)/DATOS!$C$49))/(BA39*INDEX(TABLAS!$D$52:$D$58,MATCH(AZ39,TABLAS!$B$52:$B$58,0))*DATOS!$C$40/(DATOS!$C$48*N39)/DATOS!$C$49))</f>
        <v>0.0117926084434758</v>
      </c>
      <c r="BE39" s="36">
        <f>IF(BA39=0,0,DATOS!$C$59*MIN(1.25,MAX(0.5,2*MAX(1E-6,MIN(AU39*INDEX(TABLAS!$D$52:$D$58,MATCH(MAX(AS39,2),TABLAS!$B$52:$B$58,0)),BA39*INDEX(TABLAS!$D$52:$D$58,MATCH(MAX(AZ39,2),TABLAS!$B$52:$B$58,0)))/(N39*AQ39))^(1/3)))*SQRT(DATOS!$C$39)*N39*AQ39/1000)</f>
        <v>1.72675183421726</v>
      </c>
      <c r="BF39" s="57">
        <f>IF(AO39=0,0,FLOOR(MIN(IF(AO39&gt;BE39,DATOS!$C$59*2*INDEX(TABLAS!$D$52:$D$58,MATCH(DATOS!$C$113,TABLAS!$B$52:$B$58,0))*DATOS!$C$42*AQ39/((AO39-BE39)*1000),999),IF(MAX(0,AO39-BE39)/DATOS!$C$59&lt;=1.1*SQRT(DATOS!$C$39)*N39*AQ39/1000,MIN(AQ39/2,60),MIN(AQ39/4,30)),2*INDEX(TABLAS!$D$52:$D$58,MATCH(DATOS!$C$113,TABLAS!$B$52:$B$58,0))*DATOS!$C$42/(MAX(0.2*SQRT(DATOS!$C$39),3.5)*N39),MIN(16*INDEX(TABLAS!$C$52:$C$58,MATCH(MIN(MAX(AS39,2),MAX(AZ39,2)),TABLAS!$B$52:$B$58,0)),48*INDEX(TABLAS!$C$52:$C$58,MATCH(DATOS!$C$113,TABLAS!$B$52:$B$58,0))),DATOS!$C$115),0.5))</f>
        <v>9.5</v>
      </c>
      <c r="BG39" s="57">
        <f>BF39</f>
        <v>9.5</v>
      </c>
      <c r="BH39" s="51" t="str">
        <f>IF(AO39=0,"—",IF(AO39&gt;DATOS!$C$59*(BE39/DATOS!$C$59+2.2*SQRT(DATOS!$C$39)*N39*AQ39/1000),"SECCIÓN INSUFICIENTE","E No. "&amp;TEXT(DATOS!$C$113,"0")&amp;IF(BG39&lt;BF39," @ "&amp;TEXT(BG39,"0.0")&amp;" en 2h y"," @")&amp;" "&amp;TEXT(BF39,"0.0")&amp;" cm"))</f>
        <v>E No. 3 @ 9.5 cm</v>
      </c>
      <c r="BI39" s="56">
        <f>N39+2*MIN(8*DATOS!$C$14,DATOS!$C$11/2,G39*100/8)</f>
        <v>75</v>
      </c>
      <c r="BJ39" s="71">
        <f>BI39*DATOS!$C$14^3/12+BI39*DATOS!$C$14*(((BI39*DATOS!$C$14^2/2+N39*(O39-DATOS!$C$14)*(DATOS!$C$14+(O39-DATOS!$C$14)/2))/(BI39*DATOS!$C$14+N39*(O39-DATOS!$C$14)))-DATOS!$C$14/2)^2+N39*(O39-DATOS!$C$14)^3/12+N39*(O39-DATOS!$C$14)*(DATOS!$C$14+(O39-DATOS!$C$14)/2-((BI39*DATOS!$C$14^2/2+N39*(O39-DATOS!$C$14)*(DATOS!$C$14+(O39-DATOS!$C$14)/2))/(BI39*DATOS!$C$14+N39*(O39-DATOS!$C$14))))^2</f>
        <v>36822.9166666667</v>
      </c>
      <c r="BK39" s="43">
        <f>O39-DATOS!$C$22-INDEX(TABLAS!$C$52:$C$58,MATCH(DATOS!$C$113,TABLAS!$B$52:$B$58,0))-INDEX(TABLAS!$C$52:$C$58,MATCH(MAX(IF(L39="VOLADO",AZ39,AS39),2),TABLAS!$B$52:$B$58,0))/2</f>
        <v>19.415</v>
      </c>
      <c r="BL39" s="43">
        <f>DATOS!$C$46/DATOS!$C$45*IF(L39="VOLADO",BA39*INDEX(TABLAS!$D$52:$D$58,MATCH(MAX(AZ39,2),TABLAS!$B$52:$B$58,0)),AU39*INDEX(TABLAS!$D$52:$D$58,MATCH(MAX(AS39,2),TABLAS!$B$52:$B$58,0)))</f>
        <v>22.9491007337934</v>
      </c>
      <c r="BM39" s="43">
        <f>IF(BL39&lt;=0,0,(SQRT(2*(BL39/(IF(L39="VOLADO",N39,BI39)*BK39))+(BL39/(IF(L39="VOLADO",N39,BI39)*BK39))^2)-(BL39/(IF(L39="VOLADO",N39,BI39)*BK39)))*BK39)</f>
        <v>3.15452395841397</v>
      </c>
      <c r="BN39" s="71">
        <f>IF(AND(L39&lt;&gt;"VOLADO",BM39&gt;DATOS!$C$14),(BI39*DATOS!$C$14^3/12+BI39*DATOS!$C$14*(((-((BI39-N39)*DATOS!$C$14+BL39)+SQRT(((BI39-N39)*DATOS!$C$14+BL39)^2+2*N39*((BI39-N39)*DATOS!$C$14^2/2+BL39*BK39)))/N39)-DATOS!$C$14/2)^2+N39*(((-((BI39-N39)*DATOS!$C$14+BL39)+SQRT(((BI39-N39)*DATOS!$C$14+BL39)^2+2*N39*((BI39-N39)*DATOS!$C$14^2/2+BL39*BK39)))/N39)-DATOS!$C$14)^3/3+BL39*(BK39-((-((BI39-N39)*DATOS!$C$14+BL39)+SQRT(((BI39-N39)*DATOS!$C$14+BL39)^2+2*N39*((BI39-N39)*DATOS!$C$14^2/2+BL39*BK39)))/N39))^2),(IF(L39="VOLADO",N39,BI39)*BM39^3/3+BL39*(BK39-BM39)^2))</f>
        <v>6852.58132822273</v>
      </c>
      <c r="BO39" s="71">
        <f>IF(AP39&lt;=0,BJ39,IF((AP39*1E5)&lt;=2/3*(DATOS!$C$47*BJ39/IF(L39="VOLADO",((BI39*DATOS!$C$14^2/2+N39*(O39-DATOS!$C$14)*(DATOS!$C$14+(O39-DATOS!$C$14)/2))/(BI39*DATOS!$C$14+N39*(O39-DATOS!$C$14))),O39-((BI39*DATOS!$C$14^2/2+N39*(O39-DATOS!$C$14)*(DATOS!$C$14+(O39-DATOS!$C$14)/2))/(BI39*DATOS!$C$14+N39*(O39-DATOS!$C$14))))),BJ39,IF(BL39&lt;=0,0,BN39/(1-(2/3*(DATOS!$C$47*BJ39/IF(L39="VOLADO",((BI39*DATOS!$C$14^2/2+N39*(O39-DATOS!$C$14)*(DATOS!$C$14+(O39-DATOS!$C$14)/2))/(BI39*DATOS!$C$14+N39*(O39-DATOS!$C$14))),O39-((BI39*DATOS!$C$14^2/2+N39*(O39-DATOS!$C$14)*(DATOS!$C$14+(O39-DATOS!$C$14)/2))/(BI39*DATOS!$C$14+N39*(O39-DATOS!$C$14)))))/(AP39*1E5))^2*(1-BN39/BJ39)))))</f>
        <v>36822.9166666667</v>
      </c>
      <c r="BP39" s="62">
        <f>IF(OR(L39="APOYADA",L39="VOLADO"),(IF(L39="VOLADO",(AP39-AH39)/4+AH39/3,5/48*AP39)*1E5*(G39*100)^2/(DATOS!$C$45*MAX(BO39,1)))*(1+2/(1+50*IF(L39="VOLADO",AU39*INDEX(TABLAS!$D$52:$D$58,MATCH(MAX(AS39,2),TABLAS!$B$52:$B$58,0)),DATOS!$C$114*INDEX(TABLAS!$D$52:$D$58,MATCH(MAX(AZ39,2),TABLAS!$B$52:$B$58,0)))/(N39*BK39))*((AA39+AC39)/MAX(AA39+AB39,1E-6))),0)</f>
        <v>0.107656444231053</v>
      </c>
      <c r="BQ39" s="43">
        <f>IF(S39&gt;0,0.3+G39*100/480,0.5+G39*100/240)</f>
        <v>1.76166666666667</v>
      </c>
      <c r="BR39" s="43">
        <f>IF(S39&gt;0,(T39+U39)*G39+AG39,0)</f>
        <v>0</v>
      </c>
      <c r="BS39" s="43">
        <f>IF(S39&gt;0,(DATOS!$C$51*DATOS!$C$103*100*(G39*100)^3/(DATOS!$C$45*BJ39*((BR39*1000/(DATOS!$C$103*100*S39*100)*DATOS!$C$103*100*(MIN(1,S39/G39)^4-4*MIN(1,S39/G39)^3+8*MIN(1,S39/G39)))/((BR39*1000/(DATOS!$C$103*100*S39*100)*DATOS!$C$103*100*(MIN(1,S39/G39)^4-4*MIN(1,S39/G39)^3+8*MIN(1,S39/G39)))+5*((R39+X39+Y39+IF(L39="APOYADA",8*(0)/G39^2,0))*10)))))^0.25,0)</f>
        <v>0</v>
      </c>
      <c r="BT39" s="57">
        <f>IF(S39&gt;0,MAX(1,IF(MIN(1,S39/G39)&gt;=1,(1.6*BS39-3.9),IF(MIN(1,S39/G39)&lt;0.9,((3.2*BS39-7.8)*1),((3.2*BS39-7.8)*1)+((1.6*BS39-3.9)-((3.2*BS39-7.8)*1))*(MIN(1,S39/G39)-0.9)/0.1)))*BR39*1000/(DATOS!$C$103*100*S39*100),0)</f>
        <v>0</v>
      </c>
      <c r="BU39" s="65" t="str">
        <f>IF(S39=0,"—",IF(DATOS!$C$105/S39&lt;0.6,"REVISAR: H/L &lt; 0.6, interacción muro-viga",IF(BT39&lt;=DATOS!$C$60*DATOS!$C$50,"CUMPLE","NO CUMPLE f_CM &gt; F_R·f'm")))</f>
        <v>—</v>
      </c>
      <c r="BV39" s="57">
        <f>IF(S39&gt;0,MAX(25,IF(BJ39&gt;=(G39*100)^3/1600,0,MIN(G39*100/14,(12*(G39*100)^3/1600/N39)^(1/3)))),IF(L39="APOYADA",MAX(25,G39*100/16),IF(L39="VOLADO",MAX(25,G39*100/8),0)))</f>
        <v>25</v>
      </c>
      <c r="BW39" s="57">
        <f>IF(S39&gt;0,IF(BJ39&gt;=(5/4*(G39*100)^3/DATOS!$C$45*((((S39*DATOS!$C$107+(0+0)*G39+AG39/DATOS!$C$55)*1000)/(DATOS!$C$103*100*S39*100)*DATOS!$C$103*100*(MIN(1,S39/G39)^4-4*MIN(1,S39/G39)^3+8*MIN(1,S39/G39)))+5*((AA39-S39*DATOS!$C$107/G39-(0))*10))),0,MIN((G39*100/((1/15*DATOS!$C$45*N39/((((S39*DATOS!$C$107+(0+0)*G39+AG39/DATOS!$C$55)*1000)/(DATOS!$C$103*100*S39*100)*DATOS!$C$103*100*(MIN(1,S39/G39)^4-4*MIN(1,S39/G39)^3+8*MIN(1,S39/G39)))+5*((AA39-S39*DATOS!$C$107/G39-(0))*10)))^(1/3))),(12*(5/4*(G39*100)^3/DATOS!$C$45*((((S39*DATOS!$C$107+(0+0)*G39+AG39/DATOS!$C$55)*1000)/(DATOS!$C$103*100*S39*100)*DATOS!$C$103*100*(MIN(1,S39/G39)^4-4*MIN(1,S39/G39)^3+8*MIN(1,S39/G39)))+5*((AA39-S39*DATOS!$C$107/G39-(0))*10)))/N39)^(1/3))),0)</f>
        <v>0</v>
      </c>
      <c r="BX39" s="57">
        <f>SQRT(MAX(AM39,AN39)*1E5/(DATOS!$C$58*N39*DATOS!$C$48*(DATOS!$C$82*DATOS!$C$40/DATOS!$C$48)*(1-(DATOS!$C$82*DATOS!$C$40/DATOS!$C$48)/2)))+(O39-AQ39)</f>
        <v>13.9803135188374</v>
      </c>
      <c r="BY39" s="59">
        <f>IF(OR(L39="BORDE DE VOLADO",L39="SIN APOYO"),0,CEILING(MAX(BV39,BW39,BX39,DATOS!$C$15),5))</f>
        <v>25</v>
      </c>
      <c r="BZ39" s="72" t="str">
        <f>IF(L39="BORDE DE VOLADO","BORDE DE VOLADO — armado de orilla",IF(L39="SIN APOYO","SIN APOYO — REVISAR",IF(AND(AW39&lt;=1,BC39&lt;=1,IF(AU39=0,TRUE,AU39&lt;=INT((CB39+DATOS!$C$32)/(INDEX(TABLAS!$C$52:$C$58,MATCH(MAX(AS39,2),TABLAS!$B$52:$B$58,0))+DATOS!$C$32))),IF(BA39=0,TRUE,BA39&lt;=INT((CB39+DATOS!$C$32)/(INDEX(TABLAS!$C$52:$C$58,MATCH(MAX(AZ39,2),TABLAS!$B$52:$B$58,0))+DATOS!$C$32))),AND(OR(NOT(ISNUMBER(AX39)),AX39&gt;=0.005),OR(NOT(ISNUMBER(BD39)),BD39&gt;=0.005)),BH39&lt;&gt;"SECCIÓN INSUFICIENTE",AND(O39&gt;=BV39,O39&gt;=BW39,O39/N39&lt;=6),BP39&lt;=BQ39,OR(S39=0,LEFT(BU39,6)&lt;&gt;"NO CUM")),IF(LEFT(BU39,7)="REVISAR","PENDIENTE: H/L &lt; 0.6, falta el análisis de interacción muro-viga (NTC-M 4.1.18.2.1, p. 44)","CUMPLE")&amp;IF(L39="VOLADO"," (en VOLADO)",""),"NO CUMPLE: "&amp;IF(OR(AR39&lt;0,AY39&lt;0),"sección insuficiente en flexión ",IF(OR(AW39&gt;1,BC39&gt;1),"flexión ",""))&amp;IF(NOT(AND(IF(AU39=0,TRUE,AU39&lt;=INT((CB39+DATOS!$C$32)/(INDEX(TABLAS!$C$52:$C$58,MATCH(MAX(AS39,2),TABLAS!$B$52:$B$58,0))+DATOS!$C$32))),IF(BA39=0,TRUE,BA39&lt;=INT((CB39+DATOS!$C$32)/(INDEX(TABLAS!$C$52:$C$58,MATCH(MAX(AZ39,2),TABLAS!$B$52:$B$58,0))+DATOS!$C$32))))),"no caben ","")&amp;IF(NOT(AND(OR(NOT(ISNUMBER(AX39)),AX39&gt;=0.005),OR(NOT(ISNUMBER(BD39)),BD39&gt;=0.005))),"ε_t ","")&amp;IF(BH39="SECCIÓN INSUFICIENTE","cortante ","")&amp;IF(NOT(AND(O39&gt;=BV39,O39&gt;=BW39,O39/N39&lt;=6)),"peralte ","")&amp;IF(NOT(BP39&lt;=BQ39),"flecha ","")&amp;IF(NOT(OR(S39=0,LEFT(BU39,6)&lt;&gt;"NO CUM")),"muro sobre viga ","")&amp;"→ h ≥ "&amp;TEXT(MAX(BY39,IF(BP39&gt;BQ39,MAX(O39+5,CEILING(O39*(BP39/BQ39)^(1/3),5)),0)),"0")&amp;" cm"&amp;IF(NOT(AND(IF(AU39=0,TRUE,AU39&lt;=INT((CB39+DATOS!$C$32)/(INDEX(TABLAS!$C$52:$C$58,MATCH(MAX(AS39,2),TABLAS!$B$52:$B$58,0))+DATOS!$C$32))),IF(BA39=0,TRUE,BA39&lt;=INT((CB39+DATOS!$C$32)/(INDEX(TABLAS!$C$52:$C$58,MATCH(MAX(AZ39,2),TABLAS!$B$52:$B$58,0))+DATOS!$C$32)))))," y b ≥ "&amp;TEXT(N39+5,"0")&amp;" cm","")&amp;" (verificar)")))</f>
        <v>CUMPLE</v>
      </c>
      <c r="CA39" s="65" t="inlineStr">
        <is>
          <t>—</t>
        </is>
      </c>
      <c r="CB39" s="43">
        <f>N39-2*DATOS!$C$22-2*INDEX(TABLAS!$C$52:$C$58,MATCH(DATOS!$C$113,TABLAS!$B$52:$B$58,0))</f>
        <v>5.1</v>
      </c>
    </row>
    <row r="40" ht="30" customHeight="1">
      <c r="B40" s="60" t="inlineStr">
        <is>
          <t>NP-32</t>
        </is>
      </c>
      <c r="C40" s="52" t="inlineStr">
        <is>
          <t>N+6.00</t>
        </is>
      </c>
      <c r="D40" s="51" t="inlineStr">
        <is>
          <t>y = 16.997</t>
        </is>
      </c>
      <c r="E40" s="52" t="inlineStr">
        <is>
          <t>(0.000, 16.997)</t>
        </is>
      </c>
      <c r="F40" s="52" t="inlineStr">
        <is>
          <t>(3.029, 16.997)</t>
        </is>
      </c>
      <c r="G40" s="55" t="n">
        <v>3.029</v>
      </c>
      <c r="H40" s="52" t="inlineStr">
        <is>
          <t>FIRME</t>
        </is>
      </c>
      <c r="I40" s="52" t="inlineStr">
        <is>
          <t>FIRME</t>
        </is>
      </c>
      <c r="J40" s="52" t="inlineStr">
        <is>
          <t>—</t>
        </is>
      </c>
      <c r="K40" s="52" t="inlineStr">
        <is>
          <t>—</t>
        </is>
      </c>
      <c r="L40" s="60" t="str">
        <f>IF(AND(OR(H40="FIRME",H40="NERVADURA",H40="PUNTA"),OR(I40="FIRME",I40="NERVADURA",I40="PUNTA")),"APOYADA",IF(OR(OR(H40="FIRME",H40="NERVADURA",H40="PUNTA"),OR(I40="FIRME",I40="NERVADURA",I40="PUNTA")),"VOLADO","SIN APOYO"))</f>
        <v>APOYADA</v>
      </c>
      <c r="M40" s="52" t="str">
        <f>IF(L40="VOLADO",IF(OR(H40="FIRME",H40="NERVADURA",H40="PUNTA"),"i","j"),"—")</f>
        <v>—</v>
      </c>
      <c r="N40" s="58">
        <f>DATOS!$C$17</f>
        <v>15</v>
      </c>
      <c r="O40" s="58">
        <f>DATOS!$C$15</f>
        <v>25</v>
      </c>
      <c r="P40" s="65" t="str">
        <f>IF(L40="BORDE DE VOLADO","—",IF(OR(N40&lt;&gt;DATOS!$C$17,O40&lt;&gt;DATOS!$C$15),"PERALTAR: trabe "&amp;TEXT(N40,"0")&amp;"×"&amp;TEXT(O40,"0")&amp;IF(O40&gt;DATOS!$C$15," (descuelga "&amp;TEXT(O40-DATOS!$C$15,"0")&amp;" cm)",""),"Queda en la losa (15×25)"))</f>
        <v>Queda en la losa (15×25)</v>
      </c>
      <c r="Q40" s="43">
        <f>SUMIFS(TRIB!$E$6:$E$255,TRIB!$B$6:$B$255,"NP-32")</f>
        <v>1.6389</v>
      </c>
      <c r="R40" s="36">
        <f>SUMIFS(TRIB!$G$6:$G$255,TRIB!$B$6:$B$255,"NP-32")/G40</f>
        <v>0.495227809070145</v>
      </c>
      <c r="S40" s="69" t="n">
        <v>0</v>
      </c>
      <c r="T40" s="36">
        <f>DATOS!$C$55*S40*DATOS!$C$107/G40</f>
        <v>0</v>
      </c>
      <c r="U40" s="36">
        <f>0</f>
        <v>0</v>
      </c>
      <c r="V40" s="61" t="n">
        <v>0</v>
      </c>
      <c r="W40" s="61" t="n">
        <v>0</v>
      </c>
      <c r="X40" s="36">
        <f>(DATOS!$C$55*V40+DATOS!$C$56*W40)/1000</f>
        <v>0</v>
      </c>
      <c r="Y40" s="36">
        <f>DATOS!$C$55*(N40/100*O40/100*DATOS!$C$43-N40/100*DATOS!$C$70/1000)</f>
        <v>0.0694836734693878</v>
      </c>
      <c r="Z40" s="70">
        <f>R40+T40+U40+X40+Y40</f>
        <v>0.564711482539533</v>
      </c>
      <c r="AA40" s="36">
        <f>(SUMIFS(TRIB!$I$6:$I$255,TRIB!$B$6:$B$255,"NP-32")-SUMIFS(TRIB!$L$6:$L$255,TRIB!$B$6:$B$255,"NP-32"))/G40+S40*DATOS!$C$107/G40+0+V40/1000+Y40/DATOS!$C$55</f>
        <v>0.371962333497281</v>
      </c>
      <c r="AB40" s="36">
        <f>SUMIFS(TRIB!$L$6:$L$255,TRIB!$B$6:$B$255,"NP-32")/G40+0+W40/1000</f>
        <v>0.054106965995378</v>
      </c>
      <c r="AC40" s="36">
        <f>SUMIFS(TRIB!$M$6:$M$255,TRIB!$B$6:$B$255,"NP-32")/G40+0+W40/1000*DATOS!$C$91/DATOS!$C$89</f>
        <v>0.0081160448993067</v>
      </c>
      <c r="AD40" s="36">
        <f>0</f>
        <v>0</v>
      </c>
      <c r="AE40" s="36">
        <f>0</f>
        <v>0</v>
      </c>
      <c r="AF40" s="36">
        <f>0</f>
        <v>0</v>
      </c>
      <c r="AG40" s="36">
        <f>0</f>
        <v>0</v>
      </c>
      <c r="AH40" s="36">
        <f>0</f>
        <v>0</v>
      </c>
      <c r="AI40" s="36">
        <f>IF(L40="APOYADA",Z40*G40/2+0,IF(AND(L40="VOLADO",M40="i"),Z40*G40+AD40,0))</f>
        <v>0.855255540306122</v>
      </c>
      <c r="AJ40" s="36">
        <f>IF(L40="APOYADA",Z40*G40/2+0,IF(AND(L40="VOLADO",M40="j"),Z40*G40+AD40,0))</f>
        <v>0.855255540306122</v>
      </c>
      <c r="AK40" s="36">
        <f>IF(L40="APOYADA",(AA40+AB40)*G40/2+0,IF(AND(L40="VOLADO",M40="i"),(AA40+AB40)*G40+0,0))</f>
        <v>0.645281954081633</v>
      </c>
      <c r="AL40" s="36">
        <f>IF(L40="APOYADA",(AA40+AB40)*G40/2+0,IF(AND(L40="VOLADO",M40="j"),(AA40+AB40)*G40+0,0))</f>
        <v>0.645281954081633</v>
      </c>
      <c r="AM40" s="70">
        <f>IF(L40="APOYADA",Z40*G40^2/8+AE40,0)</f>
        <v>0.647642257896811</v>
      </c>
      <c r="AN40" s="70">
        <f>IF(L40="APOYADA",DATOS!$C$64*AM40,IF(L40="VOLADO",Z40*G40^2/2+AE40,0))</f>
        <v>0.431977386017173</v>
      </c>
      <c r="AO40" s="70">
        <f>IF(L40="APOYADA",Z40*G40/2+AF40,IF(L40="VOLADO",Z40*G40+AF40,0))</f>
        <v>0.855255540306122</v>
      </c>
      <c r="AP40" s="36">
        <f>IF(L40="APOYADA",(AA40+AB40)*G40^2/8+AH40,IF(L40="VOLADO",(AA40+AB40)*G40^2/2+AH40,0))</f>
        <v>0.488639759728316</v>
      </c>
      <c r="AQ40" s="43">
        <f>O40-DATOS!$C$22-INDEX(TABLAS!$C$52:$C$58,MATCH(DATOS!$C$113,TABLAS!$B$52:$B$58,0))-INDEX(TABLAS!$C$52:$C$58,MATCH(DATOS!$C$112,TABLAS!$B$52:$B$58,0))/2</f>
        <v>19.415</v>
      </c>
      <c r="AR40" s="43">
        <f>IF(OR(L40="BORDE DE VOLADO",L40="SIN APOYO"),0,IF(IF(AM40&lt;=0,0,IF((1-2*AM40*1E5/(DATOS!$C$58*N40*AQ40^2*DATOS!$C$48))&lt;0,-1,IF((1-SQRT((1-2*AM40*1E5/(DATOS!$C$58*N40*AQ40^2*DATOS!$C$48))))*DATOS!$C$48*N40*AQ40/DATOS!$C$40&gt;DATOS!$C$82*N40*AQ40,-1,(1-SQRT((1-2*AM40*1E5/(DATOS!$C$58*N40*AQ40^2*DATOS!$C$48))))*DATOS!$C$48*N40*AQ40/DATOS!$C$40)))&lt;0,-1,MAX(IF(AM40&lt;=0,0,IF((1-2*AM40*1E5/(DATOS!$C$58*N40*AQ40^2*DATOS!$C$48))&lt;0,-1,IF((1-SQRT((1-2*AM40*1E5/(DATOS!$C$58*N40*AQ40^2*DATOS!$C$48))))*DATOS!$C$48*N40*AQ40/DATOS!$C$40&gt;DATOS!$C$82*N40*AQ40,-1,(1-SQRT((1-2*AM40*1E5/(DATOS!$C$58*N40*AQ40^2*DATOS!$C$48))))*DATOS!$C$48*N40*AQ40/DATOS!$C$40))),MIN(DATOS!$C$83*N40*AQ40,4/3*IF(AM40&lt;=0,0,IF((1-2*AM40*1E5/(DATOS!$C$58*N40*AQ40^2*DATOS!$C$48))&lt;0,-1,IF((1-SQRT((1-2*AM40*1E5/(DATOS!$C$58*N40*AQ40^2*DATOS!$C$48))))*DATOS!$C$48*N40*AQ40/DATOS!$C$40&gt;DATOS!$C$82*N40*AQ40,-1,(1-SQRT((1-2*AM40*1E5/(DATOS!$C$58*N40*AQ40^2*DATOS!$C$48))))*DATOS!$C$48*N40*AQ40/DATOS!$C$40)))))))</f>
        <v>0.97075</v>
      </c>
      <c r="AS40" s="41">
        <f>IF(AR40&lt;0,0,IF(AND(AR40&gt;=0,MAX(DATOS!$C$114,CEILING(AR40/INDEX(TABLAS!$D$52:$D$58,MIN(MATCH(DATOS!$C$112,TABLAS!$B$52:$B$58,0)+0,7)),1))&lt;=MIN(99,INT((CB40+MAX(DATOS!$C$32,INDEX(TABLAS!$C$52:$C$58,MIN(MATCH(DATOS!$C$112,TABLAS!$B$52:$B$58,0)+0,7))))/(INDEX(TABLAS!$C$52:$C$58,MIN(MATCH(DATOS!$C$112,TABLAS!$B$52:$B$58,0)+0,7))+MAX(DATOS!$C$32,INDEX(TABLAS!$C$52:$C$58,MIN(MATCH(DATOS!$C$112,TABLAS!$B$52:$B$58,0)+0,7))))))),INDEX(TABLAS!$B$52:$B$58,MIN(MATCH(DATOS!$C$112,TABLAS!$B$52:$B$58,0)+0,7)),IF(AND(AR40&gt;=0,MAX(DATOS!$C$114,CEILING(AR40/INDEX(TABLAS!$D$52:$D$58,MIN(MATCH(DATOS!$C$112,TABLAS!$B$52:$B$58,0)+1,7)),1))&lt;=MIN(99,INT((CB40+MAX(DATOS!$C$32,INDEX(TABLAS!$C$52:$C$58,MIN(MATCH(DATOS!$C$112,TABLAS!$B$52:$B$58,0)+1,7))))/(INDEX(TABLAS!$C$52:$C$58,MIN(MATCH(DATOS!$C$112,TABLAS!$B$52:$B$58,0)+1,7))+MAX(DATOS!$C$32,INDEX(TABLAS!$C$52:$C$58,MIN(MATCH(DATOS!$C$112,TABLAS!$B$52:$B$58,0)+1,7))))))),INDEX(TABLAS!$B$52:$B$58,MIN(MATCH(DATOS!$C$112,TABLAS!$B$52:$B$58,0)+1,7)),IF(AND(AR40&gt;=0,MAX(DATOS!$C$114,CEILING(AR40/INDEX(TABLAS!$D$52:$D$58,MIN(MATCH(DATOS!$C$112,TABLAS!$B$52:$B$58,0)+2,7)),1))&lt;=MIN(99,INT((CB40+MAX(DATOS!$C$32,INDEX(TABLAS!$C$52:$C$58,MIN(MATCH(DATOS!$C$112,TABLAS!$B$52:$B$58,0)+2,7))))/(INDEX(TABLAS!$C$52:$C$58,MIN(MATCH(DATOS!$C$112,TABLAS!$B$52:$B$58,0)+2,7))+MAX(DATOS!$C$32,INDEX(TABLAS!$C$52:$C$58,MIN(MATCH(DATOS!$C$112,TABLAS!$B$52:$B$58,0)+2,7))))))),INDEX(TABLAS!$B$52:$B$58,MIN(MATCH(DATOS!$C$112,TABLAS!$B$52:$B$58,0)+2,7)),IF(AND(AR40&gt;=0,MAX(DATOS!$C$114,CEILING(AR40/INDEX(TABLAS!$D$52:$D$58,MIN(MATCH(DATOS!$C$112,TABLAS!$B$52:$B$58,0)+3,7)),1))&lt;=MIN(99,INT((CB40+MAX(DATOS!$C$32,INDEX(TABLAS!$C$52:$C$58,MIN(MATCH(DATOS!$C$112,TABLAS!$B$52:$B$58,0)+3,7))))/(INDEX(TABLAS!$C$52:$C$58,MIN(MATCH(DATOS!$C$112,TABLAS!$B$52:$B$58,0)+3,7))+MAX(DATOS!$C$32,INDEX(TABLAS!$C$52:$C$58,MIN(MATCH(DATOS!$C$112,TABLAS!$B$52:$B$58,0)+3,7))))))),INDEX(TABLAS!$B$52:$B$58,MIN(MATCH(DATOS!$C$112,TABLAS!$B$52:$B$58,0)+3,7)),IF(AND(AR40&gt;=0,MAX(DATOS!$C$114,CEILING(AR40/INDEX(TABLAS!$D$52:$D$58,MIN(MATCH(DATOS!$C$112,TABLAS!$B$52:$B$58,0)+4,7)),1))&lt;=MIN(99,INT((CB40+MAX(DATOS!$C$32,INDEX(TABLAS!$C$52:$C$58,MIN(MATCH(DATOS!$C$112,TABLAS!$B$52:$B$58,0)+4,7))))/(INDEX(TABLAS!$C$52:$C$58,MIN(MATCH(DATOS!$C$112,TABLAS!$B$52:$B$58,0)+4,7))+MAX(DATOS!$C$32,INDEX(TABLAS!$C$52:$C$58,MIN(MATCH(DATOS!$C$112,TABLAS!$B$52:$B$58,0)+4,7))))))),INDEX(TABLAS!$B$52:$B$58,MIN(MATCH(DATOS!$C$112,TABLAS!$B$52:$B$58,0)+4,7)),INDEX(TABLAS!$B$52:$B$58,7)))))))</f>
        <v>4</v>
      </c>
      <c r="AT40" s="58" t="n">
        <v>0</v>
      </c>
      <c r="AU40" s="56">
        <f>IF(OR(L40="BORDE DE VOLADO",L40="SIN APOYO"),0,IF(AR40&lt;0,0,MAX(DATOS!$C$114,CEILING(AR40/INDEX(TABLAS!$D$52:$D$58,MATCH(IF(AS40=0,8,AS40),TABLAS!$B$52:$B$58,0)),1))+AT40))</f>
        <v>2</v>
      </c>
      <c r="AV40" s="36">
        <f>IF(AU40=0,0,DATOS!$C$58*AU40*INDEX(TABLAS!$D$52:$D$58,MATCH(AS40,TABLAS!$B$52:$B$58,0))*DATOS!$C$40*((O40-DATOS!$C$22-INDEX(TABLAS!$C$52:$C$58,MATCH(DATOS!$C$113,TABLAS!$B$52:$B$58,0))-INDEX(TABLAS!$C$52:$C$58,MATCH(AS40,TABLAS!$B$52:$B$58,0))/2)-AU40*INDEX(TABLAS!$D$52:$D$58,MATCH(AS40,TABLAS!$B$52:$B$58,0))*DATOS!$C$40/(DATOS!$C$48*N40)/2)/1E5)</f>
        <v>1.70340536964706</v>
      </c>
      <c r="AW40" s="62">
        <f>IF(AR40&lt;0,9.99,IF(AV40&gt;0,AM40/AV40,0))</f>
        <v>0.380204424288624</v>
      </c>
      <c r="AX40" s="63">
        <f>IF(AU40=0,"—",0.003*((O40-DATOS!$C$22-INDEX(TABLAS!$C$52:$C$58,MATCH(DATOS!$C$113,TABLAS!$B$52:$B$58,0))-INDEX(TABLAS!$C$52:$C$58,MATCH(AS40,TABLAS!$B$52:$B$58,0))/2)-(AU40*INDEX(TABLAS!$D$52:$D$58,MATCH(AS40,TABLAS!$B$52:$B$58,0))*DATOS!$C$40/(DATOS!$C$48*N40)/DATOS!$C$49))/(AU40*INDEX(TABLAS!$D$52:$D$58,MATCH(AS40,TABLAS!$B$52:$B$58,0))*DATOS!$C$40/(DATOS!$C$48*N40)/DATOS!$C$49))</f>
        <v>0.0117926084434758</v>
      </c>
      <c r="AY40" s="43">
        <f>IF(OR(L40="BORDE DE VOLADO",L40="SIN APOYO"),0,IF(IF(AN40&lt;=0,0,IF((1-2*AN40*1E5/(DATOS!$C$58*N40*AQ40^2*DATOS!$C$48))&lt;0,-1,IF((1-SQRT((1-2*AN40*1E5/(DATOS!$C$58*N40*AQ40^2*DATOS!$C$48))))*DATOS!$C$48*N40*AQ40/DATOS!$C$40&gt;DATOS!$C$82*N40*AQ40,-1,(1-SQRT((1-2*AN40*1E5/(DATOS!$C$58*N40*AQ40^2*DATOS!$C$48))))*DATOS!$C$48*N40*AQ40/DATOS!$C$40)))&lt;0,-1,MAX(IF(AN40&lt;=0,0,IF((1-2*AN40*1E5/(DATOS!$C$58*N40*AQ40^2*DATOS!$C$48))&lt;0,-1,IF((1-SQRT((1-2*AN40*1E5/(DATOS!$C$58*N40*AQ40^2*DATOS!$C$48))))*DATOS!$C$48*N40*AQ40/DATOS!$C$40&gt;DATOS!$C$82*N40*AQ40,-1,(1-SQRT((1-2*AN40*1E5/(DATOS!$C$58*N40*AQ40^2*DATOS!$C$48))))*DATOS!$C$48*N40*AQ40/DATOS!$C$40))),MIN(DATOS!$C$83*IF(L40="VOLADO",MIN(BI40,2*N40),N40)*AQ40,4/3*IF(AN40&lt;=0,0,IF((1-2*AN40*1E5/(DATOS!$C$58*N40*AQ40^2*DATOS!$C$48))&lt;0,-1,IF((1-SQRT((1-2*AN40*1E5/(DATOS!$C$58*N40*AQ40^2*DATOS!$C$48))))*DATOS!$C$48*N40*AQ40/DATOS!$C$40&gt;DATOS!$C$82*N40*AQ40,-1,(1-SQRT((1-2*AN40*1E5/(DATOS!$C$58*N40*AQ40^2*DATOS!$C$48))))*DATOS!$C$48*N40*AQ40/DATOS!$C$40)))))))</f>
        <v>0.801156198738906</v>
      </c>
      <c r="AZ40" s="41">
        <f>IF(AY40&lt;0,0,IF(AND(AY40&gt;=0,MAX(DATOS!$C$114,CEILING(AY40/INDEX(TABLAS!$D$52:$D$58,MIN(MATCH(DATOS!$C$112,TABLAS!$B$52:$B$58,0)+0,7)),1))&lt;=MIN(99,INT((CB40+MAX(DATOS!$C$32,INDEX(TABLAS!$C$52:$C$58,MIN(MATCH(DATOS!$C$112,TABLAS!$B$52:$B$58,0)+0,7))))/(INDEX(TABLAS!$C$52:$C$58,MIN(MATCH(DATOS!$C$112,TABLAS!$B$52:$B$58,0)+0,7))+MAX(DATOS!$C$32,INDEX(TABLAS!$C$52:$C$58,MIN(MATCH(DATOS!$C$112,TABLAS!$B$52:$B$58,0)+0,7))))))),INDEX(TABLAS!$B$52:$B$58,MIN(MATCH(DATOS!$C$112,TABLAS!$B$52:$B$58,0)+0,7)),IF(AND(AY40&gt;=0,MAX(DATOS!$C$114,CEILING(AY40/INDEX(TABLAS!$D$52:$D$58,MIN(MATCH(DATOS!$C$112,TABLAS!$B$52:$B$58,0)+1,7)),1))&lt;=MIN(99,INT((CB40+MAX(DATOS!$C$32,INDEX(TABLAS!$C$52:$C$58,MIN(MATCH(DATOS!$C$112,TABLAS!$B$52:$B$58,0)+1,7))))/(INDEX(TABLAS!$C$52:$C$58,MIN(MATCH(DATOS!$C$112,TABLAS!$B$52:$B$58,0)+1,7))+MAX(DATOS!$C$32,INDEX(TABLAS!$C$52:$C$58,MIN(MATCH(DATOS!$C$112,TABLAS!$B$52:$B$58,0)+1,7))))))),INDEX(TABLAS!$B$52:$B$58,MIN(MATCH(DATOS!$C$112,TABLAS!$B$52:$B$58,0)+1,7)),IF(AND(AY40&gt;=0,MAX(DATOS!$C$114,CEILING(AY40/INDEX(TABLAS!$D$52:$D$58,MIN(MATCH(DATOS!$C$112,TABLAS!$B$52:$B$58,0)+2,7)),1))&lt;=MIN(99,INT((CB40+MAX(DATOS!$C$32,INDEX(TABLAS!$C$52:$C$58,MIN(MATCH(DATOS!$C$112,TABLAS!$B$52:$B$58,0)+2,7))))/(INDEX(TABLAS!$C$52:$C$58,MIN(MATCH(DATOS!$C$112,TABLAS!$B$52:$B$58,0)+2,7))+MAX(DATOS!$C$32,INDEX(TABLAS!$C$52:$C$58,MIN(MATCH(DATOS!$C$112,TABLAS!$B$52:$B$58,0)+2,7))))))),INDEX(TABLAS!$B$52:$B$58,MIN(MATCH(DATOS!$C$112,TABLAS!$B$52:$B$58,0)+2,7)),IF(AND(AY40&gt;=0,MAX(DATOS!$C$114,CEILING(AY40/INDEX(TABLAS!$D$52:$D$58,MIN(MATCH(DATOS!$C$112,TABLAS!$B$52:$B$58,0)+3,7)),1))&lt;=MIN(99,INT((CB40+MAX(DATOS!$C$32,INDEX(TABLAS!$C$52:$C$58,MIN(MATCH(DATOS!$C$112,TABLAS!$B$52:$B$58,0)+3,7))))/(INDEX(TABLAS!$C$52:$C$58,MIN(MATCH(DATOS!$C$112,TABLAS!$B$52:$B$58,0)+3,7))+MAX(DATOS!$C$32,INDEX(TABLAS!$C$52:$C$58,MIN(MATCH(DATOS!$C$112,TABLAS!$B$52:$B$58,0)+3,7))))))),INDEX(TABLAS!$B$52:$B$58,MIN(MATCH(DATOS!$C$112,TABLAS!$B$52:$B$58,0)+3,7)),IF(AND(AY40&gt;=0,MAX(DATOS!$C$114,CEILING(AY40/INDEX(TABLAS!$D$52:$D$58,MIN(MATCH(DATOS!$C$112,TABLAS!$B$52:$B$58,0)+4,7)),1))&lt;=MIN(99,INT((CB40+MAX(DATOS!$C$32,INDEX(TABLAS!$C$52:$C$58,MIN(MATCH(DATOS!$C$112,TABLAS!$B$52:$B$58,0)+4,7))))/(INDEX(TABLAS!$C$52:$C$58,MIN(MATCH(DATOS!$C$112,TABLAS!$B$52:$B$58,0)+4,7))+MAX(DATOS!$C$32,INDEX(TABLAS!$C$52:$C$58,MIN(MATCH(DATOS!$C$112,TABLAS!$B$52:$B$58,0)+4,7))))))),INDEX(TABLAS!$B$52:$B$58,MIN(MATCH(DATOS!$C$112,TABLAS!$B$52:$B$58,0)+4,7)),INDEX(TABLAS!$B$52:$B$58,7)))))))</f>
        <v>4</v>
      </c>
      <c r="BA40" s="56">
        <f>IF(OR(L40="BORDE DE VOLADO",L40="SIN APOYO"),0,IF(AY40&lt;0,0,MAX(DATOS!$C$114,CEILING(AY40/INDEX(TABLAS!$D$52:$D$58,MATCH(IF(AZ40=0,8,AZ40),TABLAS!$B$52:$B$58,0)),1))))</f>
        <v>2</v>
      </c>
      <c r="BB40" s="36">
        <f>IF(BA40=0,0,DATOS!$C$58*BA40*INDEX(TABLAS!$D$52:$D$58,MATCH(AZ40,TABLAS!$B$52:$B$58,0))*DATOS!$C$40*((O40-DATOS!$C$22-INDEX(TABLAS!$C$52:$C$58,MATCH(DATOS!$C$113,TABLAS!$B$52:$B$58,0))-INDEX(TABLAS!$C$52:$C$58,MATCH(AZ40,TABLAS!$B$52:$B$58,0))/2)-BA40*INDEX(TABLAS!$D$52:$D$58,MATCH(AZ40,TABLAS!$B$52:$B$58,0))*DATOS!$C$40/(DATOS!$C$48*N40)/2)/1E5)</f>
        <v>1.70340536964706</v>
      </c>
      <c r="BC40" s="62">
        <f>IF(AY40&lt;0,9.99,IF(BB40&gt;0,AN40/BB40,0))</f>
        <v>0.253596351000512</v>
      </c>
      <c r="BD40" s="63">
        <f>IF(BA40=0,"—",0.003*((O40-DATOS!$C$22-INDEX(TABLAS!$C$52:$C$58,MATCH(DATOS!$C$113,TABLAS!$B$52:$B$58,0))-INDEX(TABLAS!$C$52:$C$58,MATCH(AZ40,TABLAS!$B$52:$B$58,0))/2)-(BA40*INDEX(TABLAS!$D$52:$D$58,MATCH(AZ40,TABLAS!$B$52:$B$58,0))*DATOS!$C$40/(DATOS!$C$48*N40)/DATOS!$C$49))/(BA40*INDEX(TABLAS!$D$52:$D$58,MATCH(AZ40,TABLAS!$B$52:$B$58,0))*DATOS!$C$40/(DATOS!$C$48*N40)/DATOS!$C$49))</f>
        <v>0.0117926084434758</v>
      </c>
      <c r="BE40" s="36">
        <f>IF(BA40=0,0,DATOS!$C$59*MIN(1.25,MAX(0.5,2*MAX(1E-6,MIN(AU40*INDEX(TABLAS!$D$52:$D$58,MATCH(MAX(AS40,2),TABLAS!$B$52:$B$58,0)),BA40*INDEX(TABLAS!$D$52:$D$58,MATCH(MAX(AZ40,2),TABLAS!$B$52:$B$58,0)))/(N40*AQ40))^(1/3)))*SQRT(DATOS!$C$39)*N40*AQ40/1000)</f>
        <v>1.72675183421726</v>
      </c>
      <c r="BF40" s="57">
        <f>IF(AO40=0,0,FLOOR(MIN(IF(AO40&gt;BE40,DATOS!$C$59*2*INDEX(TABLAS!$D$52:$D$58,MATCH(DATOS!$C$113,TABLAS!$B$52:$B$58,0))*DATOS!$C$42*AQ40/((AO40-BE40)*1000),999),IF(MAX(0,AO40-BE40)/DATOS!$C$59&lt;=1.1*SQRT(DATOS!$C$39)*N40*AQ40/1000,MIN(AQ40/2,60),MIN(AQ40/4,30)),2*INDEX(TABLAS!$D$52:$D$58,MATCH(DATOS!$C$113,TABLAS!$B$52:$B$58,0))*DATOS!$C$42/(MAX(0.2*SQRT(DATOS!$C$39),3.5)*N40),MIN(16*INDEX(TABLAS!$C$52:$C$58,MATCH(MIN(MAX(AS40,2),MAX(AZ40,2)),TABLAS!$B$52:$B$58,0)),48*INDEX(TABLAS!$C$52:$C$58,MATCH(DATOS!$C$113,TABLAS!$B$52:$B$58,0))),DATOS!$C$115),0.5))</f>
        <v>9.5</v>
      </c>
      <c r="BG40" s="57">
        <f>BF40</f>
        <v>9.5</v>
      </c>
      <c r="BH40" s="51" t="str">
        <f>IF(AO40=0,"—",IF(AO40&gt;DATOS!$C$59*(BE40/DATOS!$C$59+2.2*SQRT(DATOS!$C$39)*N40*AQ40/1000),"SECCIÓN INSUFICIENTE","E No. "&amp;TEXT(DATOS!$C$113,"0")&amp;IF(BG40&lt;BF40," @ "&amp;TEXT(BG40,"0.0")&amp;" en 2h y"," @")&amp;" "&amp;TEXT(BF40,"0.0")&amp;" cm"))</f>
        <v>E No. 3 @ 9.5 cm</v>
      </c>
      <c r="BI40" s="56">
        <f>N40+2*MIN(8*DATOS!$C$14,DATOS!$C$11/2,G40*100/8)</f>
        <v>75</v>
      </c>
      <c r="BJ40" s="71">
        <f>BI40*DATOS!$C$14^3/12+BI40*DATOS!$C$14*(((BI40*DATOS!$C$14^2/2+N40*(O40-DATOS!$C$14)*(DATOS!$C$14+(O40-DATOS!$C$14)/2))/(BI40*DATOS!$C$14+N40*(O40-DATOS!$C$14)))-DATOS!$C$14/2)^2+N40*(O40-DATOS!$C$14)^3/12+N40*(O40-DATOS!$C$14)*(DATOS!$C$14+(O40-DATOS!$C$14)/2-((BI40*DATOS!$C$14^2/2+N40*(O40-DATOS!$C$14)*(DATOS!$C$14+(O40-DATOS!$C$14)/2))/(BI40*DATOS!$C$14+N40*(O40-DATOS!$C$14))))^2</f>
        <v>36822.9166666667</v>
      </c>
      <c r="BK40" s="43">
        <f>O40-DATOS!$C$22-INDEX(TABLAS!$C$52:$C$58,MATCH(DATOS!$C$113,TABLAS!$B$52:$B$58,0))-INDEX(TABLAS!$C$52:$C$58,MATCH(MAX(IF(L40="VOLADO",AZ40,AS40),2),TABLAS!$B$52:$B$58,0))/2</f>
        <v>19.415</v>
      </c>
      <c r="BL40" s="43">
        <f>DATOS!$C$46/DATOS!$C$45*IF(L40="VOLADO",BA40*INDEX(TABLAS!$D$52:$D$58,MATCH(MAX(AZ40,2),TABLAS!$B$52:$B$58,0)),AU40*INDEX(TABLAS!$D$52:$D$58,MATCH(MAX(AS40,2),TABLAS!$B$52:$B$58,0)))</f>
        <v>22.9491007337934</v>
      </c>
      <c r="BM40" s="43">
        <f>IF(BL40&lt;=0,0,(SQRT(2*(BL40/(IF(L40="VOLADO",N40,BI40)*BK40))+(BL40/(IF(L40="VOLADO",N40,BI40)*BK40))^2)-(BL40/(IF(L40="VOLADO",N40,BI40)*BK40)))*BK40)</f>
        <v>3.15452395841397</v>
      </c>
      <c r="BN40" s="71">
        <f>IF(AND(L40&lt;&gt;"VOLADO",BM40&gt;DATOS!$C$14),(BI40*DATOS!$C$14^3/12+BI40*DATOS!$C$14*(((-((BI40-N40)*DATOS!$C$14+BL40)+SQRT(((BI40-N40)*DATOS!$C$14+BL40)^2+2*N40*((BI40-N40)*DATOS!$C$14^2/2+BL40*BK40)))/N40)-DATOS!$C$14/2)^2+N40*(((-((BI40-N40)*DATOS!$C$14+BL40)+SQRT(((BI40-N40)*DATOS!$C$14+BL40)^2+2*N40*((BI40-N40)*DATOS!$C$14^2/2+BL40*BK40)))/N40)-DATOS!$C$14)^3/3+BL40*(BK40-((-((BI40-N40)*DATOS!$C$14+BL40)+SQRT(((BI40-N40)*DATOS!$C$14+BL40)^2+2*N40*((BI40-N40)*DATOS!$C$14^2/2+BL40*BK40)))/N40))^2),(IF(L40="VOLADO",N40,BI40)*BM40^3/3+BL40*(BK40-BM40)^2))</f>
        <v>6852.58132822273</v>
      </c>
      <c r="BO40" s="71">
        <f>IF(AP40&lt;=0,BJ40,IF((AP40*1E5)&lt;=2/3*(DATOS!$C$47*BJ40/IF(L40="VOLADO",((BI40*DATOS!$C$14^2/2+N40*(O40-DATOS!$C$14)*(DATOS!$C$14+(O40-DATOS!$C$14)/2))/(BI40*DATOS!$C$14+N40*(O40-DATOS!$C$14))),O40-((BI40*DATOS!$C$14^2/2+N40*(O40-DATOS!$C$14)*(DATOS!$C$14+(O40-DATOS!$C$14)/2))/(BI40*DATOS!$C$14+N40*(O40-DATOS!$C$14))))),BJ40,IF(BL40&lt;=0,0,BN40/(1-(2/3*(DATOS!$C$47*BJ40/IF(L40="VOLADO",((BI40*DATOS!$C$14^2/2+N40*(O40-DATOS!$C$14)*(DATOS!$C$14+(O40-DATOS!$C$14)/2))/(BI40*DATOS!$C$14+N40*(O40-DATOS!$C$14))),O40-((BI40*DATOS!$C$14^2/2+N40*(O40-DATOS!$C$14)*(DATOS!$C$14+(O40-DATOS!$C$14)/2))/(BI40*DATOS!$C$14+N40*(O40-DATOS!$C$14)))))/(AP40*1E5))^2*(1-BN40/BJ40)))))</f>
        <v>24084.3599293573</v>
      </c>
      <c r="BP40" s="62">
        <f>IF(OR(L40="APOYADA",L40="VOLADO"),(IF(L40="VOLADO",(AP40-AH40)/4+AH40/3,5/48*AP40)*1E5*(G40*100)^2/(DATOS!$C$45*MAX(BO40,1)))*(1+2/(1+50*IF(L40="VOLADO",AU40*INDEX(TABLAS!$D$52:$D$58,MATCH(MAX(AS40,2),TABLAS!$B$52:$B$58,0)),DATOS!$C$114*INDEX(TABLAS!$D$52:$D$58,MATCH(MAX(AZ40,2),TABLAS!$B$52:$B$58,0)))/(N40*BK40))*((AA40+AC40)/MAX(AA40+AB40,1E-6))),0)</f>
        <v>0.196419701921774</v>
      </c>
      <c r="BQ40" s="43">
        <f>IF(S40&gt;0,0.3+G40*100/480,0.5+G40*100/240)</f>
        <v>1.76208333333333</v>
      </c>
      <c r="BR40" s="43">
        <f>IF(S40&gt;0,(T40+U40)*G40+AG40,0)</f>
        <v>0</v>
      </c>
      <c r="BS40" s="43">
        <f>IF(S40&gt;0,(DATOS!$C$51*DATOS!$C$103*100*(G40*100)^3/(DATOS!$C$45*BJ40*((BR40*1000/(DATOS!$C$103*100*S40*100)*DATOS!$C$103*100*(MIN(1,S40/G40)^4-4*MIN(1,S40/G40)^3+8*MIN(1,S40/G40)))/((BR40*1000/(DATOS!$C$103*100*S40*100)*DATOS!$C$103*100*(MIN(1,S40/G40)^4-4*MIN(1,S40/G40)^3+8*MIN(1,S40/G40)))+5*((R40+X40+Y40+IF(L40="APOYADA",8*(0)/G40^2,0))*10)))))^0.25,0)</f>
        <v>0</v>
      </c>
      <c r="BT40" s="57">
        <f>IF(S40&gt;0,MAX(1,IF(MIN(1,S40/G40)&gt;=1,(1.6*BS40-3.9),IF(MIN(1,S40/G40)&lt;0.9,((3.2*BS40-7.8)*1),((3.2*BS40-7.8)*1)+((1.6*BS40-3.9)-((3.2*BS40-7.8)*1))*(MIN(1,S40/G40)-0.9)/0.1)))*BR40*1000/(DATOS!$C$103*100*S40*100),0)</f>
        <v>0</v>
      </c>
      <c r="BU40" s="65" t="str">
        <f>IF(S40=0,"—",IF(DATOS!$C$105/S40&lt;0.6,"REVISAR: H/L &lt; 0.6, interacción muro-viga",IF(BT40&lt;=DATOS!$C$60*DATOS!$C$50,"CUMPLE","NO CUMPLE f_CM &gt; F_R·f'm")))</f>
        <v>—</v>
      </c>
      <c r="BV40" s="57">
        <f>IF(S40&gt;0,MAX(25,IF(BJ40&gt;=(G40*100)^3/1600,0,MIN(G40*100/14,(12*(G40*100)^3/1600/N40)^(1/3)))),IF(L40="APOYADA",MAX(25,G40*100/16),IF(L40="VOLADO",MAX(25,G40*100/8),0)))</f>
        <v>25</v>
      </c>
      <c r="BW40" s="57">
        <f>IF(S40&gt;0,IF(BJ40&gt;=(5/4*(G40*100)^3/DATOS!$C$45*((((S40*DATOS!$C$107+(0+0)*G40+AG40/DATOS!$C$55)*1000)/(DATOS!$C$103*100*S40*100)*DATOS!$C$103*100*(MIN(1,S40/G40)^4-4*MIN(1,S40/G40)^3+8*MIN(1,S40/G40)))+5*((AA40-S40*DATOS!$C$107/G40-(0))*10))),0,MIN((G40*100/((1/15*DATOS!$C$45*N40/((((S40*DATOS!$C$107+(0+0)*G40+AG40/DATOS!$C$55)*1000)/(DATOS!$C$103*100*S40*100)*DATOS!$C$103*100*(MIN(1,S40/G40)^4-4*MIN(1,S40/G40)^3+8*MIN(1,S40/G40)))+5*((AA40-S40*DATOS!$C$107/G40-(0))*10)))^(1/3))),(12*(5/4*(G40*100)^3/DATOS!$C$45*((((S40*DATOS!$C$107+(0+0)*G40+AG40/DATOS!$C$55)*1000)/(DATOS!$C$103*100*S40*100)*DATOS!$C$103*100*(MIN(1,S40/G40)^4-4*MIN(1,S40/G40)^3+8*MIN(1,S40/G40)))+5*((AA40-S40*DATOS!$C$107/G40-(0))*10)))/N40)^(1/3))),0)</f>
        <v>0</v>
      </c>
      <c r="BX40" s="57">
        <f>SQRT(MAX(AM40,AN40)*1E5/(DATOS!$C$58*N40*DATOS!$C$48*(DATOS!$C$82*DATOS!$C$40/DATOS!$C$48)*(1-(DATOS!$C$82*DATOS!$C$40/DATOS!$C$48)/2)))+(O40-AQ40)</f>
        <v>14.7639919737242</v>
      </c>
      <c r="BY40" s="59">
        <f>IF(OR(L40="BORDE DE VOLADO",L40="SIN APOYO"),0,CEILING(MAX(BV40,BW40,BX40,DATOS!$C$15),5))</f>
        <v>25</v>
      </c>
      <c r="BZ40" s="72" t="str">
        <f>IF(L40="BORDE DE VOLADO","BORDE DE VOLADO — armado de orilla",IF(L40="SIN APOYO","SIN APOYO — REVISAR",IF(AND(AW40&lt;=1,BC40&lt;=1,IF(AU40=0,TRUE,AU40&lt;=INT((CB40+DATOS!$C$32)/(INDEX(TABLAS!$C$52:$C$58,MATCH(MAX(AS40,2),TABLAS!$B$52:$B$58,0))+DATOS!$C$32))),IF(BA40=0,TRUE,BA40&lt;=INT((CB40+DATOS!$C$32)/(INDEX(TABLAS!$C$52:$C$58,MATCH(MAX(AZ40,2),TABLAS!$B$52:$B$58,0))+DATOS!$C$32))),AND(OR(NOT(ISNUMBER(AX40)),AX40&gt;=0.005),OR(NOT(ISNUMBER(BD40)),BD40&gt;=0.005)),BH40&lt;&gt;"SECCIÓN INSUFICIENTE",AND(O40&gt;=BV40,O40&gt;=BW40,O40/N40&lt;=6),BP40&lt;=BQ40,OR(S40=0,LEFT(BU40,6)&lt;&gt;"NO CUM")),IF(LEFT(BU40,7)="REVISAR","PENDIENTE: H/L &lt; 0.6, falta el análisis de interacción muro-viga (NTC-M 4.1.18.2.1, p. 44)","CUMPLE")&amp;IF(L40="VOLADO"," (en VOLADO)",""),"NO CUMPLE: "&amp;IF(OR(AR40&lt;0,AY40&lt;0),"sección insuficiente en flexión ",IF(OR(AW40&gt;1,BC40&gt;1),"flexión ",""))&amp;IF(NOT(AND(IF(AU40=0,TRUE,AU40&lt;=INT((CB40+DATOS!$C$32)/(INDEX(TABLAS!$C$52:$C$58,MATCH(MAX(AS40,2),TABLAS!$B$52:$B$58,0))+DATOS!$C$32))),IF(BA40=0,TRUE,BA40&lt;=INT((CB40+DATOS!$C$32)/(INDEX(TABLAS!$C$52:$C$58,MATCH(MAX(AZ40,2),TABLAS!$B$52:$B$58,0))+DATOS!$C$32))))),"no caben ","")&amp;IF(NOT(AND(OR(NOT(ISNUMBER(AX40)),AX40&gt;=0.005),OR(NOT(ISNUMBER(BD40)),BD40&gt;=0.005))),"ε_t ","")&amp;IF(BH40="SECCIÓN INSUFICIENTE","cortante ","")&amp;IF(NOT(AND(O40&gt;=BV40,O40&gt;=BW40,O40/N40&lt;=6)),"peralte ","")&amp;IF(NOT(BP40&lt;=BQ40),"flecha ","")&amp;IF(NOT(OR(S40=0,LEFT(BU40,6)&lt;&gt;"NO CUM")),"muro sobre viga ","")&amp;"→ h ≥ "&amp;TEXT(MAX(BY40,IF(BP40&gt;BQ40,MAX(O40+5,CEILING(O40*(BP40/BQ40)^(1/3),5)),0)),"0")&amp;" cm"&amp;IF(NOT(AND(IF(AU40=0,TRUE,AU40&lt;=INT((CB40+DATOS!$C$32)/(INDEX(TABLAS!$C$52:$C$58,MATCH(MAX(AS40,2),TABLAS!$B$52:$B$58,0))+DATOS!$C$32))),IF(BA40=0,TRUE,BA40&lt;=INT((CB40+DATOS!$C$32)/(INDEX(TABLAS!$C$52:$C$58,MATCH(MAX(AZ40,2),TABLAS!$B$52:$B$58,0))+DATOS!$C$32)))))," y b ≥ "&amp;TEXT(N40+5,"0")&amp;" cm","")&amp;" (verificar)")))</f>
        <v>CUMPLE</v>
      </c>
      <c r="CA40" s="65" t="inlineStr">
        <is>
          <t>—</t>
        </is>
      </c>
      <c r="CB40" s="43">
        <f>N40-2*DATOS!$C$22-2*INDEX(TABLAS!$C$52:$C$58,MATCH(DATOS!$C$113,TABLAS!$B$52:$B$58,0))</f>
        <v>5.1</v>
      </c>
    </row>
    <row r="41" ht="30" customHeight="1">
      <c r="B41" s="60" t="inlineStr">
        <is>
          <t>NP-33</t>
        </is>
      </c>
      <c r="C41" s="52" t="inlineStr">
        <is>
          <t>N+6.00</t>
        </is>
      </c>
      <c r="D41" s="51" t="inlineStr">
        <is>
          <t>Eje A (x = 0.000)</t>
        </is>
      </c>
      <c r="E41" s="52" t="inlineStr">
        <is>
          <t>(0.000, 14.021)</t>
        </is>
      </c>
      <c r="F41" s="52" t="inlineStr">
        <is>
          <t>(0.000, 15.846)</t>
        </is>
      </c>
      <c r="G41" s="55" t="n">
        <v>1.825</v>
      </c>
      <c r="H41" s="52" t="inlineStr">
        <is>
          <t>FIRME</t>
        </is>
      </c>
      <c r="I41" s="52" t="inlineStr">
        <is>
          <t>FIRME</t>
        </is>
      </c>
      <c r="J41" s="52" t="inlineStr">
        <is>
          <t>—</t>
        </is>
      </c>
      <c r="K41" s="52" t="inlineStr">
        <is>
          <t>—</t>
        </is>
      </c>
      <c r="L41" s="60" t="str">
        <f>IF(AND(OR(H41="FIRME",H41="NERVADURA",H41="PUNTA"),OR(I41="FIRME",I41="NERVADURA",I41="PUNTA")),"APOYADA",IF(OR(OR(H41="FIRME",H41="NERVADURA",H41="PUNTA"),OR(I41="FIRME",I41="NERVADURA",I41="PUNTA")),"VOLADO","SIN APOYO"))</f>
        <v>APOYADA</v>
      </c>
      <c r="M41" s="52" t="str">
        <f>IF(L41="VOLADO",IF(OR(H41="FIRME",H41="NERVADURA",H41="PUNTA"),"i","j"),"—")</f>
        <v>—</v>
      </c>
      <c r="N41" s="58">
        <f>DATOS!$C$17</f>
        <v>15</v>
      </c>
      <c r="O41" s="58">
        <f>DATOS!$C$15</f>
        <v>25</v>
      </c>
      <c r="P41" s="65" t="str">
        <f>IF(L41="BORDE DE VOLADO","—",IF(OR(N41&lt;&gt;DATOS!$C$17,O41&lt;&gt;DATOS!$C$15),"PERALTAR: trabe "&amp;TEXT(N41,"0")&amp;"×"&amp;TEXT(O41,"0")&amp;IF(O41&gt;DATOS!$C$15," (descuelga "&amp;TEXT(O41-DATOS!$C$15,"0")&amp;" cm)",""),"Queda en la losa (15×25)"))</f>
        <v>Queda en la losa (15×25)</v>
      </c>
      <c r="Q41" s="43">
        <f>SUMIFS(TRIB!$E$6:$E$255,TRIB!$B$6:$B$255,"NP-33")</f>
        <v>0.8327</v>
      </c>
      <c r="R41" s="36">
        <f>SUMIFS(TRIB!$G$6:$G$255,TRIB!$B$6:$B$255,"NP-33")/G41</f>
        <v>0.420582173888734</v>
      </c>
      <c r="S41" s="69" t="n">
        <v>0</v>
      </c>
      <c r="T41" s="36">
        <f>DATOS!$C$55*S41*DATOS!$C$107/G41</f>
        <v>0</v>
      </c>
      <c r="U41" s="36">
        <f>0</f>
        <v>0</v>
      </c>
      <c r="V41" s="61" t="n">
        <v>101</v>
      </c>
      <c r="W41" s="61" t="n">
        <v>0</v>
      </c>
      <c r="X41" s="36">
        <f>(DATOS!$C$55*V41+DATOS!$C$56*W41)/1000</f>
        <v>0.1313</v>
      </c>
      <c r="Y41" s="36">
        <f>DATOS!$C$55*(N41/100*O41/100*DATOS!$C$43-N41/100*DATOS!$C$70/1000)</f>
        <v>0.0694836734693878</v>
      </c>
      <c r="Z41" s="70">
        <f>R41+T41+U41+X41+Y41</f>
        <v>0.621365847358121</v>
      </c>
      <c r="AA41" s="36">
        <f>(SUMIFS(TRIB!$I$6:$I$255,TRIB!$B$6:$B$255,"NP-33")-SUMIFS(TRIB!$L$6:$L$255,TRIB!$B$6:$B$255,"NP-33"))/G41+S41*DATOS!$C$107/G41+0+V41/1000+Y41/DATOS!$C$55</f>
        <v>0.425326731898239</v>
      </c>
      <c r="AB41" s="36">
        <f>SUMIFS(TRIB!$L$6:$L$255,TRIB!$B$6:$B$255,"NP-33")/G41+0+W41/1000</f>
        <v>0.045627397260274</v>
      </c>
      <c r="AC41" s="36">
        <f>SUMIFS(TRIB!$M$6:$M$255,TRIB!$B$6:$B$255,"NP-33")/G41+0+W41/1000*DATOS!$C$91/DATOS!$C$89</f>
        <v>0.0068441095890411</v>
      </c>
      <c r="AD41" s="36">
        <f>0</f>
        <v>0</v>
      </c>
      <c r="AE41" s="36">
        <f>0</f>
        <v>0</v>
      </c>
      <c r="AF41" s="36">
        <f>0</f>
        <v>0</v>
      </c>
      <c r="AG41" s="36">
        <f>0</f>
        <v>0</v>
      </c>
      <c r="AH41" s="36">
        <f>0</f>
        <v>0</v>
      </c>
      <c r="AI41" s="36">
        <f>IF(L41="APOYADA",Z41*G41/2+0,IF(AND(L41="VOLADO",M41="i"),Z41*G41+AD41,0))</f>
        <v>0.566996335714286</v>
      </c>
      <c r="AJ41" s="36">
        <f>IF(L41="APOYADA",Z41*G41/2+0,IF(AND(L41="VOLADO",M41="j"),Z41*G41+AD41,0))</f>
        <v>0.566996335714286</v>
      </c>
      <c r="AK41" s="36">
        <f>IF(L41="APOYADA",(AA41+AB41)*G41/2+0,IF(AND(L41="VOLADO",M41="i"),(AA41+AB41)*G41+0,0))</f>
        <v>0.429745642857143</v>
      </c>
      <c r="AL41" s="36">
        <f>IF(L41="APOYADA",(AA41+AB41)*G41/2+0,IF(AND(L41="VOLADO",M41="j"),(AA41+AB41)*G41+0,0))</f>
        <v>0.429745642857143</v>
      </c>
      <c r="AM41" s="70">
        <f>IF(L41="APOYADA",Z41*G41^2/8+AE41,0)</f>
        <v>0.258692078169643</v>
      </c>
      <c r="AN41" s="70">
        <f>IF(L41="APOYADA",DATOS!$C$64*AM41,IF(L41="VOLADO",Z41*G41^2/2+AE41,0))</f>
        <v>0.172547616139152</v>
      </c>
      <c r="AO41" s="70">
        <f>IF(L41="APOYADA",Z41*G41/2+AF41,IF(L41="VOLADO",Z41*G41+AF41,0))</f>
        <v>0.566996335714286</v>
      </c>
      <c r="AP41" s="36">
        <f>IF(L41="APOYADA",(AA41+AB41)*G41^2/8+AH41,IF(L41="VOLADO",(AA41+AB41)*G41^2/2+AH41,0))</f>
        <v>0.196071449553571</v>
      </c>
      <c r="AQ41" s="43">
        <f>O41-DATOS!$C$22-INDEX(TABLAS!$C$52:$C$58,MATCH(DATOS!$C$113,TABLAS!$B$52:$B$58,0))-INDEX(TABLAS!$C$52:$C$58,MATCH(DATOS!$C$112,TABLAS!$B$52:$B$58,0))/2</f>
        <v>19.415</v>
      </c>
      <c r="AR41" s="43">
        <f>IF(OR(L41="BORDE DE VOLADO",L41="SIN APOYO"),0,IF(IF(AM41&lt;=0,0,IF((1-2*AM41*1E5/(DATOS!$C$58*N41*AQ41^2*DATOS!$C$48))&lt;0,-1,IF((1-SQRT((1-2*AM41*1E5/(DATOS!$C$58*N41*AQ41^2*DATOS!$C$48))))*DATOS!$C$48*N41*AQ41/DATOS!$C$40&gt;DATOS!$C$82*N41*AQ41,-1,(1-SQRT((1-2*AM41*1E5/(DATOS!$C$58*N41*AQ41^2*DATOS!$C$48))))*DATOS!$C$48*N41*AQ41/DATOS!$C$40)))&lt;0,-1,MAX(IF(AM41&lt;=0,0,IF((1-2*AM41*1E5/(DATOS!$C$58*N41*AQ41^2*DATOS!$C$48))&lt;0,-1,IF((1-SQRT((1-2*AM41*1E5/(DATOS!$C$58*N41*AQ41^2*DATOS!$C$48))))*DATOS!$C$48*N41*AQ41/DATOS!$C$40&gt;DATOS!$C$82*N41*AQ41,-1,(1-SQRT((1-2*AM41*1E5/(DATOS!$C$58*N41*AQ41^2*DATOS!$C$48))))*DATOS!$C$48*N41*AQ41/DATOS!$C$40))),MIN(DATOS!$C$83*N41*AQ41,4/3*IF(AM41&lt;=0,0,IF((1-2*AM41*1E5/(DATOS!$C$58*N41*AQ41^2*DATOS!$C$48))&lt;0,-1,IF((1-SQRT((1-2*AM41*1E5/(DATOS!$C$58*N41*AQ41^2*DATOS!$C$48))))*DATOS!$C$48*N41*AQ41/DATOS!$C$40&gt;DATOS!$C$82*N41*AQ41,-1,(1-SQRT((1-2*AM41*1E5/(DATOS!$C$58*N41*AQ41^2*DATOS!$C$48))))*DATOS!$C$48*N41*AQ41/DATOS!$C$40)))))))</f>
        <v>0.475754877833292</v>
      </c>
      <c r="AS41" s="41">
        <f>IF(AR41&lt;0,0,IF(AND(AR41&gt;=0,MAX(DATOS!$C$114,CEILING(AR41/INDEX(TABLAS!$D$52:$D$58,MIN(MATCH(DATOS!$C$112,TABLAS!$B$52:$B$58,0)+0,7)),1))&lt;=MIN(99,INT((CB41+MAX(DATOS!$C$32,INDEX(TABLAS!$C$52:$C$58,MIN(MATCH(DATOS!$C$112,TABLAS!$B$52:$B$58,0)+0,7))))/(INDEX(TABLAS!$C$52:$C$58,MIN(MATCH(DATOS!$C$112,TABLAS!$B$52:$B$58,0)+0,7))+MAX(DATOS!$C$32,INDEX(TABLAS!$C$52:$C$58,MIN(MATCH(DATOS!$C$112,TABLAS!$B$52:$B$58,0)+0,7))))))),INDEX(TABLAS!$B$52:$B$58,MIN(MATCH(DATOS!$C$112,TABLAS!$B$52:$B$58,0)+0,7)),IF(AND(AR41&gt;=0,MAX(DATOS!$C$114,CEILING(AR41/INDEX(TABLAS!$D$52:$D$58,MIN(MATCH(DATOS!$C$112,TABLAS!$B$52:$B$58,0)+1,7)),1))&lt;=MIN(99,INT((CB41+MAX(DATOS!$C$32,INDEX(TABLAS!$C$52:$C$58,MIN(MATCH(DATOS!$C$112,TABLAS!$B$52:$B$58,0)+1,7))))/(INDEX(TABLAS!$C$52:$C$58,MIN(MATCH(DATOS!$C$112,TABLAS!$B$52:$B$58,0)+1,7))+MAX(DATOS!$C$32,INDEX(TABLAS!$C$52:$C$58,MIN(MATCH(DATOS!$C$112,TABLAS!$B$52:$B$58,0)+1,7))))))),INDEX(TABLAS!$B$52:$B$58,MIN(MATCH(DATOS!$C$112,TABLAS!$B$52:$B$58,0)+1,7)),IF(AND(AR41&gt;=0,MAX(DATOS!$C$114,CEILING(AR41/INDEX(TABLAS!$D$52:$D$58,MIN(MATCH(DATOS!$C$112,TABLAS!$B$52:$B$58,0)+2,7)),1))&lt;=MIN(99,INT((CB41+MAX(DATOS!$C$32,INDEX(TABLAS!$C$52:$C$58,MIN(MATCH(DATOS!$C$112,TABLAS!$B$52:$B$58,0)+2,7))))/(INDEX(TABLAS!$C$52:$C$58,MIN(MATCH(DATOS!$C$112,TABLAS!$B$52:$B$58,0)+2,7))+MAX(DATOS!$C$32,INDEX(TABLAS!$C$52:$C$58,MIN(MATCH(DATOS!$C$112,TABLAS!$B$52:$B$58,0)+2,7))))))),INDEX(TABLAS!$B$52:$B$58,MIN(MATCH(DATOS!$C$112,TABLAS!$B$52:$B$58,0)+2,7)),IF(AND(AR41&gt;=0,MAX(DATOS!$C$114,CEILING(AR41/INDEX(TABLAS!$D$52:$D$58,MIN(MATCH(DATOS!$C$112,TABLAS!$B$52:$B$58,0)+3,7)),1))&lt;=MIN(99,INT((CB41+MAX(DATOS!$C$32,INDEX(TABLAS!$C$52:$C$58,MIN(MATCH(DATOS!$C$112,TABLAS!$B$52:$B$58,0)+3,7))))/(INDEX(TABLAS!$C$52:$C$58,MIN(MATCH(DATOS!$C$112,TABLAS!$B$52:$B$58,0)+3,7))+MAX(DATOS!$C$32,INDEX(TABLAS!$C$52:$C$58,MIN(MATCH(DATOS!$C$112,TABLAS!$B$52:$B$58,0)+3,7))))))),INDEX(TABLAS!$B$52:$B$58,MIN(MATCH(DATOS!$C$112,TABLAS!$B$52:$B$58,0)+3,7)),IF(AND(AR41&gt;=0,MAX(DATOS!$C$114,CEILING(AR41/INDEX(TABLAS!$D$52:$D$58,MIN(MATCH(DATOS!$C$112,TABLAS!$B$52:$B$58,0)+4,7)),1))&lt;=MIN(99,INT((CB41+MAX(DATOS!$C$32,INDEX(TABLAS!$C$52:$C$58,MIN(MATCH(DATOS!$C$112,TABLAS!$B$52:$B$58,0)+4,7))))/(INDEX(TABLAS!$C$52:$C$58,MIN(MATCH(DATOS!$C$112,TABLAS!$B$52:$B$58,0)+4,7))+MAX(DATOS!$C$32,INDEX(TABLAS!$C$52:$C$58,MIN(MATCH(DATOS!$C$112,TABLAS!$B$52:$B$58,0)+4,7))))))),INDEX(TABLAS!$B$52:$B$58,MIN(MATCH(DATOS!$C$112,TABLAS!$B$52:$B$58,0)+4,7)),INDEX(TABLAS!$B$52:$B$58,7)))))))</f>
        <v>4</v>
      </c>
      <c r="AT41" s="58" t="n">
        <v>0</v>
      </c>
      <c r="AU41" s="56">
        <f>IF(OR(L41="BORDE DE VOLADO",L41="SIN APOYO"),0,IF(AR41&lt;0,0,MAX(DATOS!$C$114,CEILING(AR41/INDEX(TABLAS!$D$52:$D$58,MATCH(IF(AS41=0,8,AS41),TABLAS!$B$52:$B$58,0)),1))+AT41))</f>
        <v>2</v>
      </c>
      <c r="AV41" s="36">
        <f>IF(AU41=0,0,DATOS!$C$58*AU41*INDEX(TABLAS!$D$52:$D$58,MATCH(AS41,TABLAS!$B$52:$B$58,0))*DATOS!$C$40*((O41-DATOS!$C$22-INDEX(TABLAS!$C$52:$C$58,MATCH(DATOS!$C$113,TABLAS!$B$52:$B$58,0))-INDEX(TABLAS!$C$52:$C$58,MATCH(AS41,TABLAS!$B$52:$B$58,0))/2)-AU41*INDEX(TABLAS!$D$52:$D$58,MATCH(AS41,TABLAS!$B$52:$B$58,0))*DATOS!$C$40/(DATOS!$C$48*N41)/2)/1E5)</f>
        <v>1.70340536964706</v>
      </c>
      <c r="AW41" s="62">
        <f>IF(AR41&lt;0,9.99,IF(AV41&gt;0,AM41/AV41,0))</f>
        <v>0.15186759580501</v>
      </c>
      <c r="AX41" s="63">
        <f>IF(AU41=0,"—",0.003*((O41-DATOS!$C$22-INDEX(TABLAS!$C$52:$C$58,MATCH(DATOS!$C$113,TABLAS!$B$52:$B$58,0))-INDEX(TABLAS!$C$52:$C$58,MATCH(AS41,TABLAS!$B$52:$B$58,0))/2)-(AU41*INDEX(TABLAS!$D$52:$D$58,MATCH(AS41,TABLAS!$B$52:$B$58,0))*DATOS!$C$40/(DATOS!$C$48*N41)/DATOS!$C$49))/(AU41*INDEX(TABLAS!$D$52:$D$58,MATCH(AS41,TABLAS!$B$52:$B$58,0))*DATOS!$C$40/(DATOS!$C$48*N41)/DATOS!$C$49))</f>
        <v>0.0117926084434758</v>
      </c>
      <c r="AY41" s="43">
        <f>IF(OR(L41="BORDE DE VOLADO",L41="SIN APOYO"),0,IF(IF(AN41&lt;=0,0,IF((1-2*AN41*1E5/(DATOS!$C$58*N41*AQ41^2*DATOS!$C$48))&lt;0,-1,IF((1-SQRT((1-2*AN41*1E5/(DATOS!$C$58*N41*AQ41^2*DATOS!$C$48))))*DATOS!$C$48*N41*AQ41/DATOS!$C$40&gt;DATOS!$C$82*N41*AQ41,-1,(1-SQRT((1-2*AN41*1E5/(DATOS!$C$58*N41*AQ41^2*DATOS!$C$48))))*DATOS!$C$48*N41*AQ41/DATOS!$C$40)))&lt;0,-1,MAX(IF(AN41&lt;=0,0,IF((1-2*AN41*1E5/(DATOS!$C$58*N41*AQ41^2*DATOS!$C$48))&lt;0,-1,IF((1-SQRT((1-2*AN41*1E5/(DATOS!$C$58*N41*AQ41^2*DATOS!$C$48))))*DATOS!$C$48*N41*AQ41/DATOS!$C$40&gt;DATOS!$C$82*N41*AQ41,-1,(1-SQRT((1-2*AN41*1E5/(DATOS!$C$58*N41*AQ41^2*DATOS!$C$48))))*DATOS!$C$48*N41*AQ41/DATOS!$C$40))),MIN(DATOS!$C$83*IF(L41="VOLADO",MIN(BI41,2*N41),N41)*AQ41,4/3*IF(AN41&lt;=0,0,IF((1-2*AN41*1E5/(DATOS!$C$58*N41*AQ41^2*DATOS!$C$48))&lt;0,-1,IF((1-SQRT((1-2*AN41*1E5/(DATOS!$C$58*N41*AQ41^2*DATOS!$C$48))))*DATOS!$C$48*N41*AQ41/DATOS!$C$40&gt;DATOS!$C$82*N41*AQ41,-1,(1-SQRT((1-2*AN41*1E5/(DATOS!$C$58*N41*AQ41^2*DATOS!$C$48))))*DATOS!$C$48*N41*AQ41/DATOS!$C$40)))))))</f>
        <v>0.316028073410707</v>
      </c>
      <c r="AZ41" s="41">
        <f>IF(AY41&lt;0,0,IF(AND(AY41&gt;=0,MAX(DATOS!$C$114,CEILING(AY41/INDEX(TABLAS!$D$52:$D$58,MIN(MATCH(DATOS!$C$112,TABLAS!$B$52:$B$58,0)+0,7)),1))&lt;=MIN(99,INT((CB41+MAX(DATOS!$C$32,INDEX(TABLAS!$C$52:$C$58,MIN(MATCH(DATOS!$C$112,TABLAS!$B$52:$B$58,0)+0,7))))/(INDEX(TABLAS!$C$52:$C$58,MIN(MATCH(DATOS!$C$112,TABLAS!$B$52:$B$58,0)+0,7))+MAX(DATOS!$C$32,INDEX(TABLAS!$C$52:$C$58,MIN(MATCH(DATOS!$C$112,TABLAS!$B$52:$B$58,0)+0,7))))))),INDEX(TABLAS!$B$52:$B$58,MIN(MATCH(DATOS!$C$112,TABLAS!$B$52:$B$58,0)+0,7)),IF(AND(AY41&gt;=0,MAX(DATOS!$C$114,CEILING(AY41/INDEX(TABLAS!$D$52:$D$58,MIN(MATCH(DATOS!$C$112,TABLAS!$B$52:$B$58,0)+1,7)),1))&lt;=MIN(99,INT((CB41+MAX(DATOS!$C$32,INDEX(TABLAS!$C$52:$C$58,MIN(MATCH(DATOS!$C$112,TABLAS!$B$52:$B$58,0)+1,7))))/(INDEX(TABLAS!$C$52:$C$58,MIN(MATCH(DATOS!$C$112,TABLAS!$B$52:$B$58,0)+1,7))+MAX(DATOS!$C$32,INDEX(TABLAS!$C$52:$C$58,MIN(MATCH(DATOS!$C$112,TABLAS!$B$52:$B$58,0)+1,7))))))),INDEX(TABLAS!$B$52:$B$58,MIN(MATCH(DATOS!$C$112,TABLAS!$B$52:$B$58,0)+1,7)),IF(AND(AY41&gt;=0,MAX(DATOS!$C$114,CEILING(AY41/INDEX(TABLAS!$D$52:$D$58,MIN(MATCH(DATOS!$C$112,TABLAS!$B$52:$B$58,0)+2,7)),1))&lt;=MIN(99,INT((CB41+MAX(DATOS!$C$32,INDEX(TABLAS!$C$52:$C$58,MIN(MATCH(DATOS!$C$112,TABLAS!$B$52:$B$58,0)+2,7))))/(INDEX(TABLAS!$C$52:$C$58,MIN(MATCH(DATOS!$C$112,TABLAS!$B$52:$B$58,0)+2,7))+MAX(DATOS!$C$32,INDEX(TABLAS!$C$52:$C$58,MIN(MATCH(DATOS!$C$112,TABLAS!$B$52:$B$58,0)+2,7))))))),INDEX(TABLAS!$B$52:$B$58,MIN(MATCH(DATOS!$C$112,TABLAS!$B$52:$B$58,0)+2,7)),IF(AND(AY41&gt;=0,MAX(DATOS!$C$114,CEILING(AY41/INDEX(TABLAS!$D$52:$D$58,MIN(MATCH(DATOS!$C$112,TABLAS!$B$52:$B$58,0)+3,7)),1))&lt;=MIN(99,INT((CB41+MAX(DATOS!$C$32,INDEX(TABLAS!$C$52:$C$58,MIN(MATCH(DATOS!$C$112,TABLAS!$B$52:$B$58,0)+3,7))))/(INDEX(TABLAS!$C$52:$C$58,MIN(MATCH(DATOS!$C$112,TABLAS!$B$52:$B$58,0)+3,7))+MAX(DATOS!$C$32,INDEX(TABLAS!$C$52:$C$58,MIN(MATCH(DATOS!$C$112,TABLAS!$B$52:$B$58,0)+3,7))))))),INDEX(TABLAS!$B$52:$B$58,MIN(MATCH(DATOS!$C$112,TABLAS!$B$52:$B$58,0)+3,7)),IF(AND(AY41&gt;=0,MAX(DATOS!$C$114,CEILING(AY41/INDEX(TABLAS!$D$52:$D$58,MIN(MATCH(DATOS!$C$112,TABLAS!$B$52:$B$58,0)+4,7)),1))&lt;=MIN(99,INT((CB41+MAX(DATOS!$C$32,INDEX(TABLAS!$C$52:$C$58,MIN(MATCH(DATOS!$C$112,TABLAS!$B$52:$B$58,0)+4,7))))/(INDEX(TABLAS!$C$52:$C$58,MIN(MATCH(DATOS!$C$112,TABLAS!$B$52:$B$58,0)+4,7))+MAX(DATOS!$C$32,INDEX(TABLAS!$C$52:$C$58,MIN(MATCH(DATOS!$C$112,TABLAS!$B$52:$B$58,0)+4,7))))))),INDEX(TABLAS!$B$52:$B$58,MIN(MATCH(DATOS!$C$112,TABLAS!$B$52:$B$58,0)+4,7)),INDEX(TABLAS!$B$52:$B$58,7)))))))</f>
        <v>4</v>
      </c>
      <c r="BA41" s="56">
        <f>IF(OR(L41="BORDE DE VOLADO",L41="SIN APOYO"),0,IF(AY41&lt;0,0,MAX(DATOS!$C$114,CEILING(AY41/INDEX(TABLAS!$D$52:$D$58,MATCH(IF(AZ41=0,8,AZ41),TABLAS!$B$52:$B$58,0)),1))))</f>
        <v>2</v>
      </c>
      <c r="BB41" s="36">
        <f>IF(BA41=0,0,DATOS!$C$58*BA41*INDEX(TABLAS!$D$52:$D$58,MATCH(AZ41,TABLAS!$B$52:$B$58,0))*DATOS!$C$40*((O41-DATOS!$C$22-INDEX(TABLAS!$C$52:$C$58,MATCH(DATOS!$C$113,TABLAS!$B$52:$B$58,0))-INDEX(TABLAS!$C$52:$C$58,MATCH(AZ41,TABLAS!$B$52:$B$58,0))/2)-BA41*INDEX(TABLAS!$D$52:$D$58,MATCH(AZ41,TABLAS!$B$52:$B$58,0))*DATOS!$C$40/(DATOS!$C$48*N41)/2)/1E5)</f>
        <v>1.70340536964706</v>
      </c>
      <c r="BC41" s="62">
        <f>IF(AY41&lt;0,9.99,IF(BB41&gt;0,AN41/BB41,0))</f>
        <v>0.101295686401942</v>
      </c>
      <c r="BD41" s="63">
        <f>IF(BA41=0,"—",0.003*((O41-DATOS!$C$22-INDEX(TABLAS!$C$52:$C$58,MATCH(DATOS!$C$113,TABLAS!$B$52:$B$58,0))-INDEX(TABLAS!$C$52:$C$58,MATCH(AZ41,TABLAS!$B$52:$B$58,0))/2)-(BA41*INDEX(TABLAS!$D$52:$D$58,MATCH(AZ41,TABLAS!$B$52:$B$58,0))*DATOS!$C$40/(DATOS!$C$48*N41)/DATOS!$C$49))/(BA41*INDEX(TABLAS!$D$52:$D$58,MATCH(AZ41,TABLAS!$B$52:$B$58,0))*DATOS!$C$40/(DATOS!$C$48*N41)/DATOS!$C$49))</f>
        <v>0.0117926084434758</v>
      </c>
      <c r="BE41" s="36">
        <f>IF(BA41=0,0,DATOS!$C$59*MIN(1.25,MAX(0.5,2*MAX(1E-6,MIN(AU41*INDEX(TABLAS!$D$52:$D$58,MATCH(MAX(AS41,2),TABLAS!$B$52:$B$58,0)),BA41*INDEX(TABLAS!$D$52:$D$58,MATCH(MAX(AZ41,2),TABLAS!$B$52:$B$58,0)))/(N41*AQ41))^(1/3)))*SQRT(DATOS!$C$39)*N41*AQ41/1000)</f>
        <v>1.72675183421726</v>
      </c>
      <c r="BF41" s="57">
        <f>IF(AO41=0,0,FLOOR(MIN(IF(AO41&gt;BE41,DATOS!$C$59*2*INDEX(TABLAS!$D$52:$D$58,MATCH(DATOS!$C$113,TABLAS!$B$52:$B$58,0))*DATOS!$C$42*AQ41/((AO41-BE41)*1000),999),IF(MAX(0,AO41-BE41)/DATOS!$C$59&lt;=1.1*SQRT(DATOS!$C$39)*N41*AQ41/1000,MIN(AQ41/2,60),MIN(AQ41/4,30)),2*INDEX(TABLAS!$D$52:$D$58,MATCH(DATOS!$C$113,TABLAS!$B$52:$B$58,0))*DATOS!$C$42/(MAX(0.2*SQRT(DATOS!$C$39),3.5)*N41),MIN(16*INDEX(TABLAS!$C$52:$C$58,MATCH(MIN(MAX(AS41,2),MAX(AZ41,2)),TABLAS!$B$52:$B$58,0)),48*INDEX(TABLAS!$C$52:$C$58,MATCH(DATOS!$C$113,TABLAS!$B$52:$B$58,0))),DATOS!$C$115),0.5))</f>
        <v>9.5</v>
      </c>
      <c r="BG41" s="57">
        <f>IF(AO41=0,0,FLOOR(MIN(BF41,AQ41/4,8*INDEX(TABLAS!$C$52:$C$58,MATCH(MIN(MAX(AS41,2),MAX(AZ41,2)),TABLAS!$B$52:$B$58,0)),24*INDEX(TABLAS!$C$52:$C$58,MATCH(DATOS!$C$113,TABLAS!$B$52:$B$58,0)),30),0.5))</f>
        <v>4.5</v>
      </c>
      <c r="BH41" s="51" t="str">
        <f>IF(AO41=0,"—",IF(AO41&gt;DATOS!$C$59*(BE41/DATOS!$C$59+2.2*SQRT(DATOS!$C$39)*N41*AQ41/1000),"SECCIÓN INSUFICIENTE","E No. "&amp;TEXT(DATOS!$C$113,"0")&amp;IF(BG41&lt;BF41," @ "&amp;TEXT(BG41,"0.0")&amp;" en 2h y"," @")&amp;" "&amp;TEXT(BF41,"0.0")&amp;" cm"))</f>
        <v>E No. 3 @ 4.5 en 2h y 9.5 cm</v>
      </c>
      <c r="BI41" s="56">
        <f>N41+MIN(6*DATOS!$C$14,DATOS!$C$11/2,G41*100/12)</f>
        <v>30.2083333333333</v>
      </c>
      <c r="BJ41" s="71">
        <f>BI41*DATOS!$C$14^3/12+BI41*DATOS!$C$14*(((BI41*DATOS!$C$14^2/2+N41*(O41-DATOS!$C$14)*(DATOS!$C$14+(O41-DATOS!$C$14)/2))/(BI41*DATOS!$C$14+N41*(O41-DATOS!$C$14)))-DATOS!$C$14/2)^2+N41*(O41-DATOS!$C$14)^3/12+N41*(O41-DATOS!$C$14)*(DATOS!$C$14+(O41-DATOS!$C$14)/2-((BI41*DATOS!$C$14^2/2+N41*(O41-DATOS!$C$14)*(DATOS!$C$14+(O41-DATOS!$C$14)/2))/(BI41*DATOS!$C$14+N41*(O41-DATOS!$C$14))))^2</f>
        <v>26011.8410395817</v>
      </c>
      <c r="BK41" s="43">
        <f>O41-DATOS!$C$22-INDEX(TABLAS!$C$52:$C$58,MATCH(DATOS!$C$113,TABLAS!$B$52:$B$58,0))-INDEX(TABLAS!$C$52:$C$58,MATCH(MAX(IF(L41="VOLADO",AZ41,AS41),2),TABLAS!$B$52:$B$58,0))/2</f>
        <v>19.415</v>
      </c>
      <c r="BL41" s="43">
        <f>DATOS!$C$46/DATOS!$C$45*IF(L41="VOLADO",BA41*INDEX(TABLAS!$D$52:$D$58,MATCH(MAX(AZ41,2),TABLAS!$B$52:$B$58,0)),AU41*INDEX(TABLAS!$D$52:$D$58,MATCH(MAX(AS41,2),TABLAS!$B$52:$B$58,0)))</f>
        <v>22.9491007337934</v>
      </c>
      <c r="BM41" s="43">
        <f>IF(BL41&lt;=0,0,(SQRT(2*(BL41/(IF(L41="VOLADO",N41,BI41)*BK41))+(BL41/(IF(L41="VOLADO",N41,BI41)*BK41))^2)-(BL41/(IF(L41="VOLADO",N41,BI41)*BK41)))*BK41)</f>
        <v>4.7244708259998</v>
      </c>
      <c r="BN41" s="71">
        <f>IF(AND(L41&lt;&gt;"VOLADO",BM41&gt;DATOS!$C$14),(BI41*DATOS!$C$14^3/12+BI41*DATOS!$C$14*(((-((BI41-N41)*DATOS!$C$14+BL41)+SQRT(((BI41-N41)*DATOS!$C$14+BL41)^2+2*N41*((BI41-N41)*DATOS!$C$14^2/2+BL41*BK41)))/N41)-DATOS!$C$14/2)^2+N41*(((-((BI41-N41)*DATOS!$C$14+BL41)+SQRT(((BI41-N41)*DATOS!$C$14+BL41)^2+2*N41*((BI41-N41)*DATOS!$C$14^2/2+BL41*BK41)))/N41)-DATOS!$C$14)^3/3+BL41*(BK41-((-((BI41-N41)*DATOS!$C$14+BL41)+SQRT(((BI41-N41)*DATOS!$C$14+BL41)^2+2*N41*((BI41-N41)*DATOS!$C$14^2/2+BL41*BK41)))/N41))^2),(IF(L41="VOLADO",N41,BI41)*BM41^3/3+BL41*(BK41-BM41)^2))</f>
        <v>6014.53776742032</v>
      </c>
      <c r="BO41" s="71">
        <f>IF(AP41&lt;=0,BJ41,IF((AP41*1E5)&lt;=2/3*(DATOS!$C$47*BJ41/IF(L41="VOLADO",((BI41*DATOS!$C$14^2/2+N41*(O41-DATOS!$C$14)*(DATOS!$C$14+(O41-DATOS!$C$14)/2))/(BI41*DATOS!$C$14+N41*(O41-DATOS!$C$14))),O41-((BI41*DATOS!$C$14^2/2+N41*(O41-DATOS!$C$14)*(DATOS!$C$14+(O41-DATOS!$C$14)/2))/(BI41*DATOS!$C$14+N41*(O41-DATOS!$C$14))))),BJ41,IF(BL41&lt;=0,0,BN41/(1-(2/3*(DATOS!$C$47*BJ41/IF(L41="VOLADO",((BI41*DATOS!$C$14^2/2+N41*(O41-DATOS!$C$14)*(DATOS!$C$14+(O41-DATOS!$C$14)/2))/(BI41*DATOS!$C$14+N41*(O41-DATOS!$C$14))),O41-((BI41*DATOS!$C$14^2/2+N41*(O41-DATOS!$C$14)*(DATOS!$C$14+(O41-DATOS!$C$14)/2))/(BI41*DATOS!$C$14+N41*(O41-DATOS!$C$14)))))/(AP41*1E5))^2*(1-BN41/BJ41)))))</f>
        <v>26011.8410395817</v>
      </c>
      <c r="BP41" s="62">
        <f>IF(OR(L41="APOYADA",L41="VOLADO"),(IF(L41="VOLADO",(AP41-AH41)/4+AH41/3,5/48*AP41)*1E5*(G41*100)^2/(DATOS!$C$45*MAX(BO41,1)))*(1+2/(1+50*IF(L41="VOLADO",AU41*INDEX(TABLAS!$D$52:$D$58,MATCH(MAX(AS41,2),TABLAS!$B$52:$B$58,0)),DATOS!$C$114*INDEX(TABLAS!$D$52:$D$58,MATCH(MAX(AZ41,2),TABLAS!$B$52:$B$58,0)))/(N41*BK41))*((AA41+AC41)/MAX(AA41+AB41,1E-6))),0)</f>
        <v>0.0269122777284842</v>
      </c>
      <c r="BQ41" s="43">
        <f>IF(S41&gt;0,0.3+G41*100/480,0.5+G41*100/240)</f>
        <v>1.26041666666667</v>
      </c>
      <c r="BR41" s="43">
        <f>IF(S41&gt;0,(T41+U41)*G41+AG41,0)</f>
        <v>0</v>
      </c>
      <c r="BS41" s="43">
        <f>IF(S41&gt;0,(DATOS!$C$51*DATOS!$C$103*100*(G41*100)^3/(DATOS!$C$45*BJ41*((BR41*1000/(DATOS!$C$103*100*S41*100)*DATOS!$C$103*100*(MIN(1,S41/G41)^4-4*MIN(1,S41/G41)^3+8*MIN(1,S41/G41)))/((BR41*1000/(DATOS!$C$103*100*S41*100)*DATOS!$C$103*100*(MIN(1,S41/G41)^4-4*MIN(1,S41/G41)^3+8*MIN(1,S41/G41)))+5*((R41+X41+Y41+IF(L41="APOYADA",8*(0)/G41^2,0))*10)))))^0.25,0)</f>
        <v>0</v>
      </c>
      <c r="BT41" s="57">
        <f>IF(S41&gt;0,MAX(1,IF(MIN(1,S41/G41)&gt;=1,(1.6*BS41-3.9),IF(MIN(1,S41/G41)&lt;0.9,((3.2*BS41-7.8)*1),((3.2*BS41-7.8)*1)+((1.6*BS41-3.9)-((3.2*BS41-7.8)*1))*(MIN(1,S41/G41)-0.9)/0.1)))*BR41*1000/(DATOS!$C$103*100*S41*100),0)</f>
        <v>0</v>
      </c>
      <c r="BU41" s="65" t="str">
        <f>IF(S41=0,"—",IF(DATOS!$C$105/S41&lt;0.6,"REVISAR: H/L &lt; 0.6, interacción muro-viga",IF(BT41&lt;=DATOS!$C$60*DATOS!$C$50,"CUMPLE","NO CUMPLE f_CM &gt; F_R·f'm")))</f>
        <v>—</v>
      </c>
      <c r="BV41" s="57">
        <f>IF(S41&gt;0,MAX(25,IF(BJ41&gt;=(G41*100)^3/1600,0,MIN(G41*100/14,(12*(G41*100)^3/1600/N41)^(1/3)))),IF(L41="APOYADA",MAX(25,G41*100/16),IF(L41="VOLADO",MAX(25,G41*100/8),0)))</f>
        <v>25</v>
      </c>
      <c r="BW41" s="57">
        <f>IF(S41&gt;0,IF(BJ41&gt;=(5/4*(G41*100)^3/DATOS!$C$45*((((S41*DATOS!$C$107+(0+0)*G41+AG41/DATOS!$C$55)*1000)/(DATOS!$C$103*100*S41*100)*DATOS!$C$103*100*(MIN(1,S41/G41)^4-4*MIN(1,S41/G41)^3+8*MIN(1,S41/G41)))+5*((AA41-S41*DATOS!$C$107/G41-(0))*10))),0,MIN((G41*100/((1/15*DATOS!$C$45*N41/((((S41*DATOS!$C$107+(0+0)*G41+AG41/DATOS!$C$55)*1000)/(DATOS!$C$103*100*S41*100)*DATOS!$C$103*100*(MIN(1,S41/G41)^4-4*MIN(1,S41/G41)^3+8*MIN(1,S41/G41)))+5*((AA41-S41*DATOS!$C$107/G41-(0))*10)))^(1/3))),(12*(5/4*(G41*100)^3/DATOS!$C$45*((((S41*DATOS!$C$107+(0+0)*G41+AG41/DATOS!$C$55)*1000)/(DATOS!$C$103*100*S41*100)*DATOS!$C$103*100*(MIN(1,S41/G41)^4-4*MIN(1,S41/G41)^3+8*MIN(1,S41/G41)))+5*((AA41-S41*DATOS!$C$107/G41-(0))*10)))/N41)^(1/3))),0)</f>
        <v>0</v>
      </c>
      <c r="BX41" s="57">
        <f>SQRT(MAX(AM41,AN41)*1E5/(DATOS!$C$58*N41*DATOS!$C$48*(DATOS!$C$82*DATOS!$C$40/DATOS!$C$48)*(1-(DATOS!$C$82*DATOS!$C$40/DATOS!$C$48)/2)))+(O41-AQ41)</f>
        <v>11.3862150614116</v>
      </c>
      <c r="BY41" s="59">
        <f>IF(OR(L41="BORDE DE VOLADO",L41="SIN APOYO"),0,CEILING(MAX(BV41,BW41,BX41,DATOS!$C$15),5))</f>
        <v>25</v>
      </c>
      <c r="BZ41" s="72" t="str">
        <f>IF(L41="BORDE DE VOLADO","BORDE DE VOLADO — armado de orilla",IF(L41="SIN APOYO","SIN APOYO — REVISAR",IF(AND(AW41&lt;=1,BC41&lt;=1,IF(AU41=0,TRUE,AU41&lt;=INT((CB41+DATOS!$C$32)/(INDEX(TABLAS!$C$52:$C$58,MATCH(MAX(AS41,2),TABLAS!$B$52:$B$58,0))+DATOS!$C$32))),IF(BA41=0,TRUE,BA41&lt;=INT((CB41+DATOS!$C$32)/(INDEX(TABLAS!$C$52:$C$58,MATCH(MAX(AZ41,2),TABLAS!$B$52:$B$58,0))+DATOS!$C$32))),AND(OR(NOT(ISNUMBER(AX41)),AX41&gt;=0.005),OR(NOT(ISNUMBER(BD41)),BD41&gt;=0.005)),BH41&lt;&gt;"SECCIÓN INSUFICIENTE",AND(O41&gt;=BV41,O41&gt;=BW41,O41/N41&lt;=6),BP41&lt;=BQ41,OR(S41=0,LEFT(BU41,6)&lt;&gt;"NO CUM")),IF(LEFT(BU41,7)="REVISAR","PENDIENTE: H/L &lt; 0.6, falta el análisis de interacción muro-viga (NTC-M 4.1.18.2.1, p. 44)","CUMPLE")&amp;IF(L41="VOLADO"," (en VOLADO)",""),"NO CUMPLE: "&amp;IF(OR(AR41&lt;0,AY41&lt;0),"sección insuficiente en flexión ",IF(OR(AW41&gt;1,BC41&gt;1),"flexión ",""))&amp;IF(NOT(AND(IF(AU41=0,TRUE,AU41&lt;=INT((CB41+DATOS!$C$32)/(INDEX(TABLAS!$C$52:$C$58,MATCH(MAX(AS41,2),TABLAS!$B$52:$B$58,0))+DATOS!$C$32))),IF(BA41=0,TRUE,BA41&lt;=INT((CB41+DATOS!$C$32)/(INDEX(TABLAS!$C$52:$C$58,MATCH(MAX(AZ41,2),TABLAS!$B$52:$B$58,0))+DATOS!$C$32))))),"no caben ","")&amp;IF(NOT(AND(OR(NOT(ISNUMBER(AX41)),AX41&gt;=0.005),OR(NOT(ISNUMBER(BD41)),BD41&gt;=0.005))),"ε_t ","")&amp;IF(BH41="SECCIÓN INSUFICIENTE","cortante ","")&amp;IF(NOT(AND(O41&gt;=BV41,O41&gt;=BW41,O41/N41&lt;=6)),"peralte ","")&amp;IF(NOT(BP41&lt;=BQ41),"flecha ","")&amp;IF(NOT(OR(S41=0,LEFT(BU41,6)&lt;&gt;"NO CUM")),"muro sobre viga ","")&amp;"→ h ≥ "&amp;TEXT(MAX(BY41,IF(BP41&gt;BQ41,MAX(O41+5,CEILING(O41*(BP41/BQ41)^(1/3),5)),0)),"0")&amp;" cm"&amp;IF(NOT(AND(IF(AU41=0,TRUE,AU41&lt;=INT((CB41+DATOS!$C$32)/(INDEX(TABLAS!$C$52:$C$58,MATCH(MAX(AS41,2),TABLAS!$B$52:$B$58,0))+DATOS!$C$32))),IF(BA41=0,TRUE,BA41&lt;=INT((CB41+DATOS!$C$32)/(INDEX(TABLAS!$C$52:$C$58,MATCH(MAX(AZ41,2),TABLAS!$B$52:$B$58,0))+DATOS!$C$32)))))," y b ≥ "&amp;TEXT(N41+5,"0")&amp;" cm","")&amp;" (verificar)")))</f>
        <v>CUMPLE</v>
      </c>
      <c r="CA41" s="65" t="inlineStr">
        <is>
          <t>Viga perimetral: refuerzo de integridad continuo arriba y abajo (≥ 2 barras) y estribos cerrados en todo el claro, más cerrados en 2h junto a cada apoyo (NTC-Concreto 6.3.7.7.1, 6.3.7.7.7 y 6.3.7.7.8, p. 134).</t>
        </is>
      </c>
      <c r="CB41" s="43">
        <f>N41-2*DATOS!$C$22-2*INDEX(TABLAS!$C$52:$C$58,MATCH(DATOS!$C$113,TABLAS!$B$52:$B$58,0))</f>
        <v>5.1</v>
      </c>
    </row>
    <row r="42" ht="30" customHeight="1">
      <c r="B42" s="60" t="inlineStr">
        <is>
          <t>NP-34</t>
        </is>
      </c>
      <c r="C42" s="52" t="inlineStr">
        <is>
          <t>N+6.00</t>
        </is>
      </c>
      <c r="D42" s="51" t="inlineStr">
        <is>
          <t>Eje G (x = 5.923)</t>
        </is>
      </c>
      <c r="E42" s="52" t="inlineStr">
        <is>
          <t>(5.923, 6.948)</t>
        </is>
      </c>
      <c r="F42" s="52" t="inlineStr">
        <is>
          <t>(5.923, 9.950)</t>
        </is>
      </c>
      <c r="G42" s="55" t="n">
        <v>3.002</v>
      </c>
      <c r="H42" s="52" t="inlineStr">
        <is>
          <t>FIRME</t>
        </is>
      </c>
      <c r="I42" s="52" t="inlineStr">
        <is>
          <t>FIRME</t>
        </is>
      </c>
      <c r="J42" s="52" t="inlineStr">
        <is>
          <t>—</t>
        </is>
      </c>
      <c r="K42" s="52" t="inlineStr">
        <is>
          <t>—</t>
        </is>
      </c>
      <c r="L42" s="60" t="str">
        <f>IF(AND(OR(H42="FIRME",H42="NERVADURA",H42="PUNTA"),OR(I42="FIRME",I42="NERVADURA",I42="PUNTA")),"APOYADA",IF(OR(OR(H42="FIRME",H42="NERVADURA",H42="PUNTA"),OR(I42="FIRME",I42="NERVADURA",I42="PUNTA")),"VOLADO","SIN APOYO"))</f>
        <v>APOYADA</v>
      </c>
      <c r="M42" s="52" t="str">
        <f>IF(L42="VOLADO",IF(OR(H42="FIRME",H42="NERVADURA",H42="PUNTA"),"i","j"),"—")</f>
        <v>—</v>
      </c>
      <c r="N42" s="58">
        <f>DATOS!$C$17</f>
        <v>15</v>
      </c>
      <c r="O42" s="58">
        <f>DATOS!$C$15</f>
        <v>25</v>
      </c>
      <c r="P42" s="65" t="str">
        <f>IF(L42="BORDE DE VOLADO","—",IF(OR(N42&lt;&gt;DATOS!$C$17,O42&lt;&gt;DATOS!$C$15),"PERALTAR: trabe "&amp;TEXT(N42,"0")&amp;"×"&amp;TEXT(O42,"0")&amp;IF(O42&gt;DATOS!$C$15," (descuelga "&amp;TEXT(O42-DATOS!$C$15,"0")&amp;" cm)",""),"Queda en la losa (15×25)"))</f>
        <v>Queda en la losa (15×25)</v>
      </c>
      <c r="Q42" s="43">
        <f>SUMIFS(TRIB!$E$6:$E$255,TRIB!$B$6:$B$255,"NP-34")</f>
        <v>2.2701</v>
      </c>
      <c r="R42" s="36">
        <f>SUMIFS(TRIB!$G$6:$G$255,TRIB!$B$6:$B$255,"NP-34")/G42</f>
        <v>0.711788652802893</v>
      </c>
      <c r="S42" s="69" t="n">
        <v>0</v>
      </c>
      <c r="T42" s="36">
        <f>DATOS!$C$55*S42*DATOS!$C$107/G42</f>
        <v>0</v>
      </c>
      <c r="U42" s="36">
        <f>0</f>
        <v>0</v>
      </c>
      <c r="V42" s="61" t="n">
        <v>101</v>
      </c>
      <c r="W42" s="61" t="n">
        <v>0</v>
      </c>
      <c r="X42" s="36">
        <f>(DATOS!$C$55*V42+DATOS!$C$56*W42)/1000</f>
        <v>0.1313</v>
      </c>
      <c r="Y42" s="36">
        <f>DATOS!$C$55*(N42/100*O42/100*DATOS!$C$43-N42/100*DATOS!$C$70/1000)</f>
        <v>0.0694836734693878</v>
      </c>
      <c r="Z42" s="70">
        <f>R42+T42+U42+X42+Y42</f>
        <v>0.912572326272281</v>
      </c>
      <c r="AA42" s="36">
        <f>(SUMIFS(TRIB!$I$6:$I$255,TRIB!$B$6:$B$255,"NP-34")-SUMIFS(TRIB!$L$6:$L$255,TRIB!$B$6:$B$255,"NP-34"))/G42+S42*DATOS!$C$107/G42+0+V42/1000+Y42/DATOS!$C$55</f>
        <v>0.614725342968633</v>
      </c>
      <c r="AB42" s="36">
        <f>SUMIFS(TRIB!$L$6:$L$255,TRIB!$B$6:$B$255,"NP-34")/G42+0+W42/1000</f>
        <v>0.0756195869420386</v>
      </c>
      <c r="AC42" s="36">
        <f>SUMIFS(TRIB!$M$6:$M$255,TRIB!$B$6:$B$255,"NP-34")/G42+0+W42/1000*DATOS!$C$91/DATOS!$C$89</f>
        <v>0.0113429380413058</v>
      </c>
      <c r="AD42" s="36">
        <f>0</f>
        <v>0</v>
      </c>
      <c r="AE42" s="36">
        <f>0</f>
        <v>0</v>
      </c>
      <c r="AF42" s="36">
        <f>0</f>
        <v>0</v>
      </c>
      <c r="AG42" s="36">
        <f>0</f>
        <v>0</v>
      </c>
      <c r="AH42" s="36">
        <f>0</f>
        <v>0</v>
      </c>
      <c r="AI42" s="36">
        <f>IF(L42="APOYADA",Z42*G42/2+0,IF(AND(L42="VOLADO",M42="i"),Z42*G42+AD42,0))</f>
        <v>1.36977106173469</v>
      </c>
      <c r="AJ42" s="36">
        <f>IF(L42="APOYADA",Z42*G42/2+0,IF(AND(L42="VOLADO",M42="j"),Z42*G42+AD42,0))</f>
        <v>1.36977106173469</v>
      </c>
      <c r="AK42" s="36">
        <f>IF(L42="APOYADA",(AA42+AB42)*G42/2+0,IF(AND(L42="VOLADO",M42="i"),(AA42+AB42)*G42+0,0))</f>
        <v>1.03620773979592</v>
      </c>
      <c r="AL42" s="36">
        <f>IF(L42="APOYADA",(AA42+AB42)*G42/2+0,IF(AND(L42="VOLADO",M42="j"),(AA42+AB42)*G42+0,0))</f>
        <v>1.03620773979592</v>
      </c>
      <c r="AM42" s="70">
        <f>IF(L42="APOYADA",Z42*G42^2/8+AE42,0)</f>
        <v>1.02801318183189</v>
      </c>
      <c r="AN42" s="70">
        <f>IF(L42="APOYADA",DATOS!$C$64*AM42,IF(L42="VOLADO",Z42*G42^2/2+AE42,0))</f>
        <v>0.685684792281869</v>
      </c>
      <c r="AO42" s="70">
        <f>IF(L42="APOYADA",Z42*G42/2+AF42,IF(L42="VOLADO",Z42*G42+AF42,0))</f>
        <v>1.36977106173469</v>
      </c>
      <c r="AP42" s="36">
        <f>IF(L42="APOYADA",(AA42+AB42)*G42^2/8+AH42,IF(L42="VOLADO",(AA42+AB42)*G42^2/2+AH42,0))</f>
        <v>0.777673908716837</v>
      </c>
      <c r="AQ42" s="43">
        <f>O42-DATOS!$C$22-INDEX(TABLAS!$C$52:$C$58,MATCH(DATOS!$C$113,TABLAS!$B$52:$B$58,0))-INDEX(TABLAS!$C$52:$C$58,MATCH(DATOS!$C$112,TABLAS!$B$52:$B$58,0))/2</f>
        <v>19.415</v>
      </c>
      <c r="AR42" s="43">
        <f>IF(OR(L42="BORDE DE VOLADO",L42="SIN APOYO"),0,IF(IF(AM42&lt;=0,0,IF((1-2*AM42*1E5/(DATOS!$C$58*N42*AQ42^2*DATOS!$C$48))&lt;0,-1,IF((1-SQRT((1-2*AM42*1E5/(DATOS!$C$58*N42*AQ42^2*DATOS!$C$48))))*DATOS!$C$48*N42*AQ42/DATOS!$C$40&gt;DATOS!$C$82*N42*AQ42,-1,(1-SQRT((1-2*AM42*1E5/(DATOS!$C$58*N42*AQ42^2*DATOS!$C$48))))*DATOS!$C$48*N42*AQ42/DATOS!$C$40)))&lt;0,-1,MAX(IF(AM42&lt;=0,0,IF((1-2*AM42*1E5/(DATOS!$C$58*N42*AQ42^2*DATOS!$C$48))&lt;0,-1,IF((1-SQRT((1-2*AM42*1E5/(DATOS!$C$58*N42*AQ42^2*DATOS!$C$48))))*DATOS!$C$48*N42*AQ42/DATOS!$C$40&gt;DATOS!$C$82*N42*AQ42,-1,(1-SQRT((1-2*AM42*1E5/(DATOS!$C$58*N42*AQ42^2*DATOS!$C$48))))*DATOS!$C$48*N42*AQ42/DATOS!$C$40))),MIN(DATOS!$C$83*N42*AQ42,4/3*IF(AM42&lt;=0,0,IF((1-2*AM42*1E5/(DATOS!$C$58*N42*AQ42^2*DATOS!$C$48))&lt;0,-1,IF((1-SQRT((1-2*AM42*1E5/(DATOS!$C$58*N42*AQ42^2*DATOS!$C$48))))*DATOS!$C$48*N42*AQ42/DATOS!$C$40&gt;DATOS!$C$82*N42*AQ42,-1,(1-SQRT((1-2*AM42*1E5/(DATOS!$C$58*N42*AQ42^2*DATOS!$C$48))))*DATOS!$C$48*N42*AQ42/DATOS!$C$40)))))))</f>
        <v>1.47456179928878</v>
      </c>
      <c r="AS42" s="41">
        <f>IF(AR42&lt;0,0,IF(AND(AR42&gt;=0,MAX(DATOS!$C$114,CEILING(AR42/INDEX(TABLAS!$D$52:$D$58,MIN(MATCH(DATOS!$C$112,TABLAS!$B$52:$B$58,0)+0,7)),1))&lt;=MIN(99,INT((CB42+MAX(DATOS!$C$32,INDEX(TABLAS!$C$52:$C$58,MIN(MATCH(DATOS!$C$112,TABLAS!$B$52:$B$58,0)+0,7))))/(INDEX(TABLAS!$C$52:$C$58,MIN(MATCH(DATOS!$C$112,TABLAS!$B$52:$B$58,0)+0,7))+MAX(DATOS!$C$32,INDEX(TABLAS!$C$52:$C$58,MIN(MATCH(DATOS!$C$112,TABLAS!$B$52:$B$58,0)+0,7))))))),INDEX(TABLAS!$B$52:$B$58,MIN(MATCH(DATOS!$C$112,TABLAS!$B$52:$B$58,0)+0,7)),IF(AND(AR42&gt;=0,MAX(DATOS!$C$114,CEILING(AR42/INDEX(TABLAS!$D$52:$D$58,MIN(MATCH(DATOS!$C$112,TABLAS!$B$52:$B$58,0)+1,7)),1))&lt;=MIN(99,INT((CB42+MAX(DATOS!$C$32,INDEX(TABLAS!$C$52:$C$58,MIN(MATCH(DATOS!$C$112,TABLAS!$B$52:$B$58,0)+1,7))))/(INDEX(TABLAS!$C$52:$C$58,MIN(MATCH(DATOS!$C$112,TABLAS!$B$52:$B$58,0)+1,7))+MAX(DATOS!$C$32,INDEX(TABLAS!$C$52:$C$58,MIN(MATCH(DATOS!$C$112,TABLAS!$B$52:$B$58,0)+1,7))))))),INDEX(TABLAS!$B$52:$B$58,MIN(MATCH(DATOS!$C$112,TABLAS!$B$52:$B$58,0)+1,7)),IF(AND(AR42&gt;=0,MAX(DATOS!$C$114,CEILING(AR42/INDEX(TABLAS!$D$52:$D$58,MIN(MATCH(DATOS!$C$112,TABLAS!$B$52:$B$58,0)+2,7)),1))&lt;=MIN(99,INT((CB42+MAX(DATOS!$C$32,INDEX(TABLAS!$C$52:$C$58,MIN(MATCH(DATOS!$C$112,TABLAS!$B$52:$B$58,0)+2,7))))/(INDEX(TABLAS!$C$52:$C$58,MIN(MATCH(DATOS!$C$112,TABLAS!$B$52:$B$58,0)+2,7))+MAX(DATOS!$C$32,INDEX(TABLAS!$C$52:$C$58,MIN(MATCH(DATOS!$C$112,TABLAS!$B$52:$B$58,0)+2,7))))))),INDEX(TABLAS!$B$52:$B$58,MIN(MATCH(DATOS!$C$112,TABLAS!$B$52:$B$58,0)+2,7)),IF(AND(AR42&gt;=0,MAX(DATOS!$C$114,CEILING(AR42/INDEX(TABLAS!$D$52:$D$58,MIN(MATCH(DATOS!$C$112,TABLAS!$B$52:$B$58,0)+3,7)),1))&lt;=MIN(99,INT((CB42+MAX(DATOS!$C$32,INDEX(TABLAS!$C$52:$C$58,MIN(MATCH(DATOS!$C$112,TABLAS!$B$52:$B$58,0)+3,7))))/(INDEX(TABLAS!$C$52:$C$58,MIN(MATCH(DATOS!$C$112,TABLAS!$B$52:$B$58,0)+3,7))+MAX(DATOS!$C$32,INDEX(TABLAS!$C$52:$C$58,MIN(MATCH(DATOS!$C$112,TABLAS!$B$52:$B$58,0)+3,7))))))),INDEX(TABLAS!$B$52:$B$58,MIN(MATCH(DATOS!$C$112,TABLAS!$B$52:$B$58,0)+3,7)),IF(AND(AR42&gt;=0,MAX(DATOS!$C$114,CEILING(AR42/INDEX(TABLAS!$D$52:$D$58,MIN(MATCH(DATOS!$C$112,TABLAS!$B$52:$B$58,0)+4,7)),1))&lt;=MIN(99,INT((CB42+MAX(DATOS!$C$32,INDEX(TABLAS!$C$52:$C$58,MIN(MATCH(DATOS!$C$112,TABLAS!$B$52:$B$58,0)+4,7))))/(INDEX(TABLAS!$C$52:$C$58,MIN(MATCH(DATOS!$C$112,TABLAS!$B$52:$B$58,0)+4,7))+MAX(DATOS!$C$32,INDEX(TABLAS!$C$52:$C$58,MIN(MATCH(DATOS!$C$112,TABLAS!$B$52:$B$58,0)+4,7))))))),INDEX(TABLAS!$B$52:$B$58,MIN(MATCH(DATOS!$C$112,TABLAS!$B$52:$B$58,0)+4,7)),INDEX(TABLAS!$B$52:$B$58,7)))))))</f>
        <v>4</v>
      </c>
      <c r="AT42" s="58" t="n">
        <v>0</v>
      </c>
      <c r="AU42" s="56">
        <f>IF(OR(L42="BORDE DE VOLADO",L42="SIN APOYO"),0,IF(AR42&lt;0,0,MAX(DATOS!$C$114,CEILING(AR42/INDEX(TABLAS!$D$52:$D$58,MATCH(IF(AS42=0,8,AS42),TABLAS!$B$52:$B$58,0)),1))+AT42))</f>
        <v>2</v>
      </c>
      <c r="AV42" s="36">
        <f>IF(AU42=0,0,DATOS!$C$58*AU42*INDEX(TABLAS!$D$52:$D$58,MATCH(AS42,TABLAS!$B$52:$B$58,0))*DATOS!$C$40*((O42-DATOS!$C$22-INDEX(TABLAS!$C$52:$C$58,MATCH(DATOS!$C$113,TABLAS!$B$52:$B$58,0))-INDEX(TABLAS!$C$52:$C$58,MATCH(AS42,TABLAS!$B$52:$B$58,0))/2)-AU42*INDEX(TABLAS!$D$52:$D$58,MATCH(AS42,TABLAS!$B$52:$B$58,0))*DATOS!$C$40/(DATOS!$C$48*N42)/2)/1E5)</f>
        <v>1.70340536964706</v>
      </c>
      <c r="AW42" s="62">
        <f>IF(AR42&lt;0,9.99,IF(AV42&gt;0,AM42/AV42,0))</f>
        <v>0.6035047206907</v>
      </c>
      <c r="AX42" s="63">
        <f>IF(AU42=0,"—",0.003*((O42-DATOS!$C$22-INDEX(TABLAS!$C$52:$C$58,MATCH(DATOS!$C$113,TABLAS!$B$52:$B$58,0))-INDEX(TABLAS!$C$52:$C$58,MATCH(AS42,TABLAS!$B$52:$B$58,0))/2)-(AU42*INDEX(TABLAS!$D$52:$D$58,MATCH(AS42,TABLAS!$B$52:$B$58,0))*DATOS!$C$40/(DATOS!$C$48*N42)/DATOS!$C$49))/(AU42*INDEX(TABLAS!$D$52:$D$58,MATCH(AS42,TABLAS!$B$52:$B$58,0))*DATOS!$C$40/(DATOS!$C$48*N42)/DATOS!$C$49))</f>
        <v>0.0117926084434758</v>
      </c>
      <c r="AY42" s="43">
        <f>IF(OR(L42="BORDE DE VOLADO",L42="SIN APOYO"),0,IF(IF(AN42&lt;=0,0,IF((1-2*AN42*1E5/(DATOS!$C$58*N42*AQ42^2*DATOS!$C$48))&lt;0,-1,IF((1-SQRT((1-2*AN42*1E5/(DATOS!$C$58*N42*AQ42^2*DATOS!$C$48))))*DATOS!$C$48*N42*AQ42/DATOS!$C$40&gt;DATOS!$C$82*N42*AQ42,-1,(1-SQRT((1-2*AN42*1E5/(DATOS!$C$58*N42*AQ42^2*DATOS!$C$48))))*DATOS!$C$48*N42*AQ42/DATOS!$C$40)))&lt;0,-1,MAX(IF(AN42&lt;=0,0,IF((1-2*AN42*1E5/(DATOS!$C$58*N42*AQ42^2*DATOS!$C$48))&lt;0,-1,IF((1-SQRT((1-2*AN42*1E5/(DATOS!$C$58*N42*AQ42^2*DATOS!$C$48))))*DATOS!$C$48*N42*AQ42/DATOS!$C$40&gt;DATOS!$C$82*N42*AQ42,-1,(1-SQRT((1-2*AN42*1E5/(DATOS!$C$58*N42*AQ42^2*DATOS!$C$48))))*DATOS!$C$48*N42*AQ42/DATOS!$C$40))),MIN(DATOS!$C$83*IF(L42="VOLADO",MIN(BI42,2*N42),N42)*AQ42,4/3*IF(AN42&lt;=0,0,IF((1-2*AN42*1E5/(DATOS!$C$58*N42*AQ42^2*DATOS!$C$48))&lt;0,-1,IF((1-SQRT((1-2*AN42*1E5/(DATOS!$C$58*N42*AQ42^2*DATOS!$C$48))))*DATOS!$C$48*N42*AQ42/DATOS!$C$40&gt;DATOS!$C$82*N42*AQ42,-1,(1-SQRT((1-2*AN42*1E5/(DATOS!$C$58*N42*AQ42^2*DATOS!$C$48))))*DATOS!$C$48*N42*AQ42/DATOS!$C$40)))))))</f>
        <v>0.97075</v>
      </c>
      <c r="AZ42" s="41">
        <f>IF(AY42&lt;0,0,IF(AND(AY42&gt;=0,MAX(DATOS!$C$114,CEILING(AY42/INDEX(TABLAS!$D$52:$D$58,MIN(MATCH(DATOS!$C$112,TABLAS!$B$52:$B$58,0)+0,7)),1))&lt;=MIN(99,INT((CB42+MAX(DATOS!$C$32,INDEX(TABLAS!$C$52:$C$58,MIN(MATCH(DATOS!$C$112,TABLAS!$B$52:$B$58,0)+0,7))))/(INDEX(TABLAS!$C$52:$C$58,MIN(MATCH(DATOS!$C$112,TABLAS!$B$52:$B$58,0)+0,7))+MAX(DATOS!$C$32,INDEX(TABLAS!$C$52:$C$58,MIN(MATCH(DATOS!$C$112,TABLAS!$B$52:$B$58,0)+0,7))))))),INDEX(TABLAS!$B$52:$B$58,MIN(MATCH(DATOS!$C$112,TABLAS!$B$52:$B$58,0)+0,7)),IF(AND(AY42&gt;=0,MAX(DATOS!$C$114,CEILING(AY42/INDEX(TABLAS!$D$52:$D$58,MIN(MATCH(DATOS!$C$112,TABLAS!$B$52:$B$58,0)+1,7)),1))&lt;=MIN(99,INT((CB42+MAX(DATOS!$C$32,INDEX(TABLAS!$C$52:$C$58,MIN(MATCH(DATOS!$C$112,TABLAS!$B$52:$B$58,0)+1,7))))/(INDEX(TABLAS!$C$52:$C$58,MIN(MATCH(DATOS!$C$112,TABLAS!$B$52:$B$58,0)+1,7))+MAX(DATOS!$C$32,INDEX(TABLAS!$C$52:$C$58,MIN(MATCH(DATOS!$C$112,TABLAS!$B$52:$B$58,0)+1,7))))))),INDEX(TABLAS!$B$52:$B$58,MIN(MATCH(DATOS!$C$112,TABLAS!$B$52:$B$58,0)+1,7)),IF(AND(AY42&gt;=0,MAX(DATOS!$C$114,CEILING(AY42/INDEX(TABLAS!$D$52:$D$58,MIN(MATCH(DATOS!$C$112,TABLAS!$B$52:$B$58,0)+2,7)),1))&lt;=MIN(99,INT((CB42+MAX(DATOS!$C$32,INDEX(TABLAS!$C$52:$C$58,MIN(MATCH(DATOS!$C$112,TABLAS!$B$52:$B$58,0)+2,7))))/(INDEX(TABLAS!$C$52:$C$58,MIN(MATCH(DATOS!$C$112,TABLAS!$B$52:$B$58,0)+2,7))+MAX(DATOS!$C$32,INDEX(TABLAS!$C$52:$C$58,MIN(MATCH(DATOS!$C$112,TABLAS!$B$52:$B$58,0)+2,7))))))),INDEX(TABLAS!$B$52:$B$58,MIN(MATCH(DATOS!$C$112,TABLAS!$B$52:$B$58,0)+2,7)),IF(AND(AY42&gt;=0,MAX(DATOS!$C$114,CEILING(AY42/INDEX(TABLAS!$D$52:$D$58,MIN(MATCH(DATOS!$C$112,TABLAS!$B$52:$B$58,0)+3,7)),1))&lt;=MIN(99,INT((CB42+MAX(DATOS!$C$32,INDEX(TABLAS!$C$52:$C$58,MIN(MATCH(DATOS!$C$112,TABLAS!$B$52:$B$58,0)+3,7))))/(INDEX(TABLAS!$C$52:$C$58,MIN(MATCH(DATOS!$C$112,TABLAS!$B$52:$B$58,0)+3,7))+MAX(DATOS!$C$32,INDEX(TABLAS!$C$52:$C$58,MIN(MATCH(DATOS!$C$112,TABLAS!$B$52:$B$58,0)+3,7))))))),INDEX(TABLAS!$B$52:$B$58,MIN(MATCH(DATOS!$C$112,TABLAS!$B$52:$B$58,0)+3,7)),IF(AND(AY42&gt;=0,MAX(DATOS!$C$114,CEILING(AY42/INDEX(TABLAS!$D$52:$D$58,MIN(MATCH(DATOS!$C$112,TABLAS!$B$52:$B$58,0)+4,7)),1))&lt;=MIN(99,INT((CB42+MAX(DATOS!$C$32,INDEX(TABLAS!$C$52:$C$58,MIN(MATCH(DATOS!$C$112,TABLAS!$B$52:$B$58,0)+4,7))))/(INDEX(TABLAS!$C$52:$C$58,MIN(MATCH(DATOS!$C$112,TABLAS!$B$52:$B$58,0)+4,7))+MAX(DATOS!$C$32,INDEX(TABLAS!$C$52:$C$58,MIN(MATCH(DATOS!$C$112,TABLAS!$B$52:$B$58,0)+4,7))))))),INDEX(TABLAS!$B$52:$B$58,MIN(MATCH(DATOS!$C$112,TABLAS!$B$52:$B$58,0)+4,7)),INDEX(TABLAS!$B$52:$B$58,7)))))))</f>
        <v>4</v>
      </c>
      <c r="BA42" s="56">
        <f>IF(OR(L42="BORDE DE VOLADO",L42="SIN APOYO"),0,IF(AY42&lt;0,0,MAX(DATOS!$C$114,CEILING(AY42/INDEX(TABLAS!$D$52:$D$58,MATCH(IF(AZ42=0,8,AZ42),TABLAS!$B$52:$B$58,0)),1))))</f>
        <v>2</v>
      </c>
      <c r="BB42" s="36">
        <f>IF(BA42=0,0,DATOS!$C$58*BA42*INDEX(TABLAS!$D$52:$D$58,MATCH(AZ42,TABLAS!$B$52:$B$58,0))*DATOS!$C$40*((O42-DATOS!$C$22-INDEX(TABLAS!$C$52:$C$58,MATCH(DATOS!$C$113,TABLAS!$B$52:$B$58,0))-INDEX(TABLAS!$C$52:$C$58,MATCH(AZ42,TABLAS!$B$52:$B$58,0))/2)-BA42*INDEX(TABLAS!$D$52:$D$58,MATCH(AZ42,TABLAS!$B$52:$B$58,0))*DATOS!$C$40/(DATOS!$C$48*N42)/2)/1E5)</f>
        <v>1.70340536964706</v>
      </c>
      <c r="BC42" s="62">
        <f>IF(AY42&lt;0,9.99,IF(BB42&gt;0,AN42/BB42,0))</f>
        <v>0.402537648700697</v>
      </c>
      <c r="BD42" s="63">
        <f>IF(BA42=0,"—",0.003*((O42-DATOS!$C$22-INDEX(TABLAS!$C$52:$C$58,MATCH(DATOS!$C$113,TABLAS!$B$52:$B$58,0))-INDEX(TABLAS!$C$52:$C$58,MATCH(AZ42,TABLAS!$B$52:$B$58,0))/2)-(BA42*INDEX(TABLAS!$D$52:$D$58,MATCH(AZ42,TABLAS!$B$52:$B$58,0))*DATOS!$C$40/(DATOS!$C$48*N42)/DATOS!$C$49))/(BA42*INDEX(TABLAS!$D$52:$D$58,MATCH(AZ42,TABLAS!$B$52:$B$58,0))*DATOS!$C$40/(DATOS!$C$48*N42)/DATOS!$C$49))</f>
        <v>0.0117926084434758</v>
      </c>
      <c r="BE42" s="36">
        <f>IF(BA42=0,0,DATOS!$C$59*MIN(1.25,MAX(0.5,2*MAX(1E-6,MIN(AU42*INDEX(TABLAS!$D$52:$D$58,MATCH(MAX(AS42,2),TABLAS!$B$52:$B$58,0)),BA42*INDEX(TABLAS!$D$52:$D$58,MATCH(MAX(AZ42,2),TABLAS!$B$52:$B$58,0)))/(N42*AQ42))^(1/3)))*SQRT(DATOS!$C$39)*N42*AQ42/1000)</f>
        <v>1.72675183421726</v>
      </c>
      <c r="BF42" s="57">
        <f>IF(AO42=0,0,FLOOR(MIN(IF(AO42&gt;BE42,DATOS!$C$59*2*INDEX(TABLAS!$D$52:$D$58,MATCH(DATOS!$C$113,TABLAS!$B$52:$B$58,0))*DATOS!$C$42*AQ42/((AO42-BE42)*1000),999),IF(MAX(0,AO42-BE42)/DATOS!$C$59&lt;=1.1*SQRT(DATOS!$C$39)*N42*AQ42/1000,MIN(AQ42/2,60),MIN(AQ42/4,30)),2*INDEX(TABLAS!$D$52:$D$58,MATCH(DATOS!$C$113,TABLAS!$B$52:$B$58,0))*DATOS!$C$42/(MAX(0.2*SQRT(DATOS!$C$39),3.5)*N42),MIN(16*INDEX(TABLAS!$C$52:$C$58,MATCH(MIN(MAX(AS42,2),MAX(AZ42,2)),TABLAS!$B$52:$B$58,0)),48*INDEX(TABLAS!$C$52:$C$58,MATCH(DATOS!$C$113,TABLAS!$B$52:$B$58,0))),DATOS!$C$115),0.5))</f>
        <v>9.5</v>
      </c>
      <c r="BG42" s="57">
        <f>BF42</f>
        <v>9.5</v>
      </c>
      <c r="BH42" s="51" t="str">
        <f>IF(AO42=0,"—",IF(AO42&gt;DATOS!$C$59*(BE42/DATOS!$C$59+2.2*SQRT(DATOS!$C$39)*N42*AQ42/1000),"SECCIÓN INSUFICIENTE","E No. "&amp;TEXT(DATOS!$C$113,"0")&amp;IF(BG42&lt;BF42," @ "&amp;TEXT(BG42,"0.0")&amp;" en 2h y"," @")&amp;" "&amp;TEXT(BF42,"0.0")&amp;" cm"))</f>
        <v>E No. 3 @ 9.5 cm</v>
      </c>
      <c r="BI42" s="56">
        <f>N42+MIN(6*DATOS!$C$14,DATOS!$C$11/2,G42*100/12)</f>
        <v>40.0166666666667</v>
      </c>
      <c r="BJ42" s="71">
        <f>BI42*DATOS!$C$14^3/12+BI42*DATOS!$C$14*(((BI42*DATOS!$C$14^2/2+N42*(O42-DATOS!$C$14)*(DATOS!$C$14+(O42-DATOS!$C$14)/2))/(BI42*DATOS!$C$14+N42*(O42-DATOS!$C$14)))-DATOS!$C$14/2)^2+N42*(O42-DATOS!$C$14)^3/12+N42*(O42-DATOS!$C$14)*(DATOS!$C$14+(O42-DATOS!$C$14)/2-((BI42*DATOS!$C$14^2/2+N42*(O42-DATOS!$C$14)*(DATOS!$C$14+(O42-DATOS!$C$14)/2))/(BI42*DATOS!$C$14+N42*(O42-DATOS!$C$14))))^2</f>
        <v>29171.526996658</v>
      </c>
      <c r="BK42" s="43">
        <f>O42-DATOS!$C$22-INDEX(TABLAS!$C$52:$C$58,MATCH(DATOS!$C$113,TABLAS!$B$52:$B$58,0))-INDEX(TABLAS!$C$52:$C$58,MATCH(MAX(IF(L42="VOLADO",AZ42,AS42),2),TABLAS!$B$52:$B$58,0))/2</f>
        <v>19.415</v>
      </c>
      <c r="BL42" s="43">
        <f>DATOS!$C$46/DATOS!$C$45*IF(L42="VOLADO",BA42*INDEX(TABLAS!$D$52:$D$58,MATCH(MAX(AZ42,2),TABLAS!$B$52:$B$58,0)),AU42*INDEX(TABLAS!$D$52:$D$58,MATCH(MAX(AS42,2),TABLAS!$B$52:$B$58,0)))</f>
        <v>22.9491007337934</v>
      </c>
      <c r="BM42" s="43">
        <f>IF(BL42&lt;=0,0,(SQRT(2*(BL42/(IF(L42="VOLADO",N42,BI42)*BK42))+(BL42/(IF(L42="VOLADO",N42,BI42)*BK42))^2)-(BL42/(IF(L42="VOLADO",N42,BI42)*BK42)))*BK42)</f>
        <v>4.18018896995291</v>
      </c>
      <c r="BN42" s="71">
        <f>IF(AND(L42&lt;&gt;"VOLADO",BM42&gt;DATOS!$C$14),(BI42*DATOS!$C$14^3/12+BI42*DATOS!$C$14*(((-((BI42-N42)*DATOS!$C$14+BL42)+SQRT(((BI42-N42)*DATOS!$C$14+BL42)^2+2*N42*((BI42-N42)*DATOS!$C$14^2/2+BL42*BK42)))/N42)-DATOS!$C$14/2)^2+N42*(((-((BI42-N42)*DATOS!$C$14+BL42)+SQRT(((BI42-N42)*DATOS!$C$14+BL42)^2+2*N42*((BI42-N42)*DATOS!$C$14^2/2+BL42*BK42)))/N42)-DATOS!$C$14)^3/3+BL42*(BK42-((-((BI42-N42)*DATOS!$C$14+BL42)+SQRT(((BI42-N42)*DATOS!$C$14+BL42)^2+2*N42*((BI42-N42)*DATOS!$C$14^2/2+BL42*BK42)))/N42))^2),(IF(L42="VOLADO",N42,BI42)*BM42^3/3+BL42*(BK42-BM42)^2))</f>
        <v>6300.80702386084</v>
      </c>
      <c r="BO42" s="71">
        <f>IF(AP42&lt;=0,BJ42,IF((AP42*1E5)&lt;=2/3*(DATOS!$C$47*BJ42/IF(L42="VOLADO",((BI42*DATOS!$C$14^2/2+N42*(O42-DATOS!$C$14)*(DATOS!$C$14+(O42-DATOS!$C$14)/2))/(BI42*DATOS!$C$14+N42*(O42-DATOS!$C$14))),O42-((BI42*DATOS!$C$14^2/2+N42*(O42-DATOS!$C$14)*(DATOS!$C$14+(O42-DATOS!$C$14)/2))/(BI42*DATOS!$C$14+N42*(O42-DATOS!$C$14))))),BJ42,IF(BL42&lt;=0,0,BN42/(1-(2/3*(DATOS!$C$47*BJ42/IF(L42="VOLADO",((BI42*DATOS!$C$14^2/2+N42*(O42-DATOS!$C$14)*(DATOS!$C$14+(O42-DATOS!$C$14)/2))/(BI42*DATOS!$C$14+N42*(O42-DATOS!$C$14))),O42-((BI42*DATOS!$C$14^2/2+N42*(O42-DATOS!$C$14)*(DATOS!$C$14+(O42-DATOS!$C$14)/2))/(BI42*DATOS!$C$14+N42*(O42-DATOS!$C$14)))))/(AP42*1E5))^2*(1-BN42/BJ42)))))</f>
        <v>8056.00580977569</v>
      </c>
      <c r="BP42" s="62">
        <f>IF(OR(L42="APOYADA",L42="VOLADO"),(IF(L42="VOLADO",(AP42-AH42)/4+AH42/3,5/48*AP42)*1E5*(G42*100)^2/(DATOS!$C$45*MAX(BO42,1)))*(1+2/(1+50*IF(L42="VOLADO",AU42*INDEX(TABLAS!$D$52:$D$58,MATCH(MAX(AS42,2),TABLAS!$B$52:$B$58,0)),DATOS!$C$114*INDEX(TABLAS!$D$52:$D$58,MATCH(MAX(AZ42,2),TABLAS!$B$52:$B$58,0)))/(N42*BK42))*((AA42+AC42)/MAX(AA42+AB42,1E-6))),0)</f>
        <v>0.92643488583142</v>
      </c>
      <c r="BQ42" s="43">
        <f>IF(S42&gt;0,0.3+G42*100/480,0.5+G42*100/240)</f>
        <v>1.75083333333333</v>
      </c>
      <c r="BR42" s="43">
        <f>IF(S42&gt;0,(T42+U42)*G42+AG42,0)</f>
        <v>0</v>
      </c>
      <c r="BS42" s="43">
        <f>IF(S42&gt;0,(DATOS!$C$51*DATOS!$C$103*100*(G42*100)^3/(DATOS!$C$45*BJ42*((BR42*1000/(DATOS!$C$103*100*S42*100)*DATOS!$C$103*100*(MIN(1,S42/G42)^4-4*MIN(1,S42/G42)^3+8*MIN(1,S42/G42)))/((BR42*1000/(DATOS!$C$103*100*S42*100)*DATOS!$C$103*100*(MIN(1,S42/G42)^4-4*MIN(1,S42/G42)^3+8*MIN(1,S42/G42)))+5*((R42+X42+Y42+IF(L42="APOYADA",8*(0)/G42^2,0))*10)))))^0.25,0)</f>
        <v>0</v>
      </c>
      <c r="BT42" s="57">
        <f>IF(S42&gt;0,MAX(1,IF(MIN(1,S42/G42)&gt;=1,(1.6*BS42-3.9),IF(MIN(1,S42/G42)&lt;0.9,((3.2*BS42-7.8)*1),((3.2*BS42-7.8)*1)+((1.6*BS42-3.9)-((3.2*BS42-7.8)*1))*(MIN(1,S42/G42)-0.9)/0.1)))*BR42*1000/(DATOS!$C$103*100*S42*100),0)</f>
        <v>0</v>
      </c>
      <c r="BU42" s="65" t="str">
        <f>IF(S42=0,"—",IF(DATOS!$C$105/S42&lt;0.6,"REVISAR: H/L &lt; 0.6, interacción muro-viga",IF(BT42&lt;=DATOS!$C$60*DATOS!$C$50,"CUMPLE","NO CUMPLE f_CM &gt; F_R·f'm")))</f>
        <v>—</v>
      </c>
      <c r="BV42" s="57">
        <f>IF(S42&gt;0,MAX(25,IF(BJ42&gt;=(G42*100)^3/1600,0,MIN(G42*100/14,(12*(G42*100)^3/1600/N42)^(1/3)))),IF(L42="APOYADA",MAX(25,G42*100/16),IF(L42="VOLADO",MAX(25,G42*100/8),0)))</f>
        <v>25</v>
      </c>
      <c r="BW42" s="57">
        <f>IF(S42&gt;0,IF(BJ42&gt;=(5/4*(G42*100)^3/DATOS!$C$45*((((S42*DATOS!$C$107+(0+0)*G42+AG42/DATOS!$C$55)*1000)/(DATOS!$C$103*100*S42*100)*DATOS!$C$103*100*(MIN(1,S42/G42)^4-4*MIN(1,S42/G42)^3+8*MIN(1,S42/G42)))+5*((AA42-S42*DATOS!$C$107/G42-(0))*10))),0,MIN((G42*100/((1/15*DATOS!$C$45*N42/((((S42*DATOS!$C$107+(0+0)*G42+AG42/DATOS!$C$55)*1000)/(DATOS!$C$103*100*S42*100)*DATOS!$C$103*100*(MIN(1,S42/G42)^4-4*MIN(1,S42/G42)^3+8*MIN(1,S42/G42)))+5*((AA42-S42*DATOS!$C$107/G42-(0))*10)))^(1/3))),(12*(5/4*(G42*100)^3/DATOS!$C$45*((((S42*DATOS!$C$107+(0+0)*G42+AG42/DATOS!$C$55)*1000)/(DATOS!$C$103*100*S42*100)*DATOS!$C$103*100*(MIN(1,S42/G42)^4-4*MIN(1,S42/G42)^3+8*MIN(1,S42/G42)))+5*((AA42-S42*DATOS!$C$107/G42-(0))*10)))/N42)^(1/3))),0)</f>
        <v>0</v>
      </c>
      <c r="BX42" s="57">
        <f>SQRT(MAX(AM42,AN42)*1E5/(DATOS!$C$58*N42*DATOS!$C$48*(DATOS!$C$82*DATOS!$C$40/DATOS!$C$48)*(1-(DATOS!$C$82*DATOS!$C$40/DATOS!$C$48)/2)))+(O42-AQ42)</f>
        <v>17.149496865445</v>
      </c>
      <c r="BY42" s="59">
        <f>IF(OR(L42="BORDE DE VOLADO",L42="SIN APOYO"),0,CEILING(MAX(BV42,BW42,BX42,DATOS!$C$15),5))</f>
        <v>25</v>
      </c>
      <c r="BZ42" s="72" t="str">
        <f>IF(L42="BORDE DE VOLADO","BORDE DE VOLADO — armado de orilla",IF(L42="SIN APOYO","SIN APOYO — REVISAR",IF(AND(AW42&lt;=1,BC42&lt;=1,IF(AU42=0,TRUE,AU42&lt;=INT((CB42+DATOS!$C$32)/(INDEX(TABLAS!$C$52:$C$58,MATCH(MAX(AS42,2),TABLAS!$B$52:$B$58,0))+DATOS!$C$32))),IF(BA42=0,TRUE,BA42&lt;=INT((CB42+DATOS!$C$32)/(INDEX(TABLAS!$C$52:$C$58,MATCH(MAX(AZ42,2),TABLAS!$B$52:$B$58,0))+DATOS!$C$32))),AND(OR(NOT(ISNUMBER(AX42)),AX42&gt;=0.005),OR(NOT(ISNUMBER(BD42)),BD42&gt;=0.005)),BH42&lt;&gt;"SECCIÓN INSUFICIENTE",AND(O42&gt;=BV42,O42&gt;=BW42,O42/N42&lt;=6),BP42&lt;=BQ42,OR(S42=0,LEFT(BU42,6)&lt;&gt;"NO CUM")),IF(LEFT(BU42,7)="REVISAR","PENDIENTE: H/L &lt; 0.6, falta el análisis de interacción muro-viga (NTC-M 4.1.18.2.1, p. 44)","CUMPLE")&amp;IF(L42="VOLADO"," (en VOLADO)",""),"NO CUMPLE: "&amp;IF(OR(AR42&lt;0,AY42&lt;0),"sección insuficiente en flexión ",IF(OR(AW42&gt;1,BC42&gt;1),"flexión ",""))&amp;IF(NOT(AND(IF(AU42=0,TRUE,AU42&lt;=INT((CB42+DATOS!$C$32)/(INDEX(TABLAS!$C$52:$C$58,MATCH(MAX(AS42,2),TABLAS!$B$52:$B$58,0))+DATOS!$C$32))),IF(BA42=0,TRUE,BA42&lt;=INT((CB42+DATOS!$C$32)/(INDEX(TABLAS!$C$52:$C$58,MATCH(MAX(AZ42,2),TABLAS!$B$52:$B$58,0))+DATOS!$C$32))))),"no caben ","")&amp;IF(NOT(AND(OR(NOT(ISNUMBER(AX42)),AX42&gt;=0.005),OR(NOT(ISNUMBER(BD42)),BD42&gt;=0.005))),"ε_t ","")&amp;IF(BH42="SECCIÓN INSUFICIENTE","cortante ","")&amp;IF(NOT(AND(O42&gt;=BV42,O42&gt;=BW42,O42/N42&lt;=6)),"peralte ","")&amp;IF(NOT(BP42&lt;=BQ42),"flecha ","")&amp;IF(NOT(OR(S42=0,LEFT(BU42,6)&lt;&gt;"NO CUM")),"muro sobre viga ","")&amp;"→ h ≥ "&amp;TEXT(MAX(BY42,IF(BP42&gt;BQ42,MAX(O42+5,CEILING(O42*(BP42/BQ42)^(1/3),5)),0)),"0")&amp;" cm"&amp;IF(NOT(AND(IF(AU42=0,TRUE,AU42&lt;=INT((CB42+DATOS!$C$32)/(INDEX(TABLAS!$C$52:$C$58,MATCH(MAX(AS42,2),TABLAS!$B$52:$B$58,0))+DATOS!$C$32))),IF(BA42=0,TRUE,BA42&lt;=INT((CB42+DATOS!$C$32)/(INDEX(TABLAS!$C$52:$C$58,MATCH(MAX(AZ42,2),TABLAS!$B$52:$B$58,0))+DATOS!$C$32)))))," y b ≥ "&amp;TEXT(N42+5,"0")&amp;" cm","")&amp;" (verificar)")))</f>
        <v>CUMPLE</v>
      </c>
      <c r="CA42" s="65" t="inlineStr">
        <is>
          <t>—</t>
        </is>
      </c>
      <c r="CB42" s="43">
        <f>N42-2*DATOS!$C$22-2*INDEX(TABLAS!$C$52:$C$58,MATCH(DATOS!$C$113,TABLAS!$B$52:$B$58,0))</f>
        <v>5.1</v>
      </c>
    </row>
  </sheetData>
  <mergeCells count="13">
    <mergeCell ref="B6:M6"/>
    <mergeCell ref="BI6:BQ6"/>
    <mergeCell ref="B2:CB2"/>
    <mergeCell ref="AD6:AL6"/>
    <mergeCell ref="Q6:AC6"/>
    <mergeCell ref="B3:CB3"/>
    <mergeCell ref="AQ6:BD6"/>
    <mergeCell ref="B1:CB1"/>
    <mergeCell ref="BE6:BH6"/>
    <mergeCell ref="AM6:AP6"/>
    <mergeCell ref="BV6:CB6"/>
    <mergeCell ref="N6:P6"/>
    <mergeCell ref="BR6:BU6"/>
  </mergeCells>
  <conditionalFormatting sqref="B9:BZ42">
    <cfRule type="expression" priority="1" dxfId="0" stopIfTrue="1">
      <formula>OR(ISNUMBER(FIND("NO CUMPLE",B9)),ISNUMBER(FIND("REVISAR",B9)),ISNUMBER(FIND("NO CABE",B9)),ISNUMBER(FIND("FUERA",B9)),ISNUMBER(FIND("SIN APOYO",B9)),ISNUMBER(FIND("INSUFICIENTE",B9)),ISNUMBER(FIND("PENDIENTE",B9)))</formula>
    </cfRule>
    <cfRule type="expression" priority="2" dxfId="1" stopIfTrue="1">
      <formula>OR(ISNUMBER(FIND("CUMPLE",B9)),ISNUMBER(FIND("SÍ aplica",B9)),ISNUMBER(FIND("MANDA",B9)))</formula>
    </cfRule>
    <cfRule type="expression" priority="3" dxfId="2" stopIfTrue="1">
      <formula>OR(ISNUMBER(FIND("MACIZAR",B9)),ISNUMBER(FIND("VOLADO",B9)),ISNUMBER(FIND("PROPUESTO",B9)),ISNUMBER(FIND("VER ",B9)))</formula>
    </cfRule>
  </conditionalFormatting>
  <conditionalFormatting sqref="P9:P42">
    <cfRule type="expression" priority="4" dxfId="0" stopIfTrue="1">
      <formula>OR(ISNUMBER(FIND("NO CUMPLE",P9)),ISNUMBER(FIND("REVISAR",P9)),ISNUMBER(FIND("NO CABE",P9)),ISNUMBER(FIND("FUERA",P9)),ISNUMBER(FIND("SIN APOYO",P9)),ISNUMBER(FIND("INSUFICIENTE",P9)),ISNUMBER(FIND("PENDIENTE",P9)))</formula>
    </cfRule>
    <cfRule type="expression" priority="5" dxfId="1" stopIfTrue="1">
      <formula>OR(ISNUMBER(FIND("CUMPLE",P9)),ISNUMBER(FIND("SÍ aplica",P9)),ISNUMBER(FIND("MANDA",P9)))</formula>
    </cfRule>
    <cfRule type="expression" priority="6" dxfId="2" stopIfTrue="1">
      <formula>OR(ISNUMBER(FIND("MACIZAR",P9)),ISNUMBER(FIND("VOLADO",P9)),ISNUMBER(FIND("PROPUESTO",P9)),ISNUMBER(FIND("VER ",P9)))</formula>
    </cfRule>
  </conditionalFormatting>
  <conditionalFormatting sqref="BU9:BU42">
    <cfRule type="expression" priority="7" dxfId="0" stopIfTrue="1">
      <formula>OR(ISNUMBER(FIND("NO CUMPLE",BU9)),ISNUMBER(FIND("REVISAR",BU9)),ISNUMBER(FIND("NO CABE",BU9)),ISNUMBER(FIND("FUERA",BU9)),ISNUMBER(FIND("SIN APOYO",BU9)),ISNUMBER(FIND("INSUFICIENTE",BU9)),ISNUMBER(FIND("PENDIENTE",BU9)))</formula>
    </cfRule>
    <cfRule type="expression" priority="8" dxfId="1" stopIfTrue="1">
      <formula>OR(ISNUMBER(FIND("CUMPLE",BU9)),ISNUMBER(FIND("SÍ aplica",BU9)),ISNUMBER(FIND("MANDA",BU9)))</formula>
    </cfRule>
    <cfRule type="expression" priority="9" dxfId="2" stopIfTrue="1">
      <formula>OR(ISNUMBER(FIND("MACIZAR",BU9)),ISNUMBER(FIND("VOLADO",BU9)),ISNUMBER(FIND("PROPUESTO",BU9)),ISNUMBER(FIND("VER ",BU9)))</formula>
    </cfRule>
  </conditionalFormatting>
  <conditionalFormatting sqref="BH9:BH42">
    <cfRule type="expression" priority="10" dxfId="0" stopIfTrue="1">
      <formula>OR(ISNUMBER(FIND("NO CUMPLE",BH9)),ISNUMBER(FIND("REVISAR",BH9)),ISNUMBER(FIND("NO CABE",BH9)),ISNUMBER(FIND("FUERA",BH9)),ISNUMBER(FIND("SIN APOYO",BH9)),ISNUMBER(FIND("INSUFICIENTE",BH9)),ISNUMBER(FIND("PENDIENTE",BH9)))</formula>
    </cfRule>
    <cfRule type="expression" priority="11" dxfId="1" stopIfTrue="1">
      <formula>OR(ISNUMBER(FIND("CUMPLE",BH9)),ISNUMBER(FIND("SÍ aplica",BH9)),ISNUMBER(FIND("MANDA",BH9)))</formula>
    </cfRule>
    <cfRule type="expression" priority="12" dxfId="2" stopIfTrue="1">
      <formula>OR(ISNUMBER(FIND("MACIZAR",BH9)),ISNUMBER(FIND("VOLADO",BH9)),ISNUMBER(FIND("PROPUESTO",BH9)),ISNUMBER(FIND("VER ",BH9)))</formula>
    </cfRule>
  </conditionalFormatting>
  <pageMargins left="0.75" right="0.75" top="1" bottom="1" header="0.5" footer="0.5"/>
  <pageSetup orientation="landscape" paperSize="1" fitToHeight="0" fitToWidth="1"/>
</worksheet>
</file>

<file path=xl/worksheets/sheet7.xml><?xml version="1.0" encoding="utf-8"?>
<worksheet xmlns="http://schemas.openxmlformats.org/spreadsheetml/2006/main">
  <sheetPr>
    <outlinePr summaryBelow="1" summaryRight="1"/>
    <pageSetUpPr fitToPage="1"/>
  </sheetPr>
  <dimension ref="B1:I205"/>
  <sheetViews>
    <sheetView showGridLines="0" workbookViewId="0">
      <selection activeCell="A1" sqref="A1"/>
    </sheetView>
  </sheetViews>
  <sheetFormatPr baseColWidth="8" defaultRowHeight="15"/>
  <cols>
    <col width="1.78" customWidth="1" min="1" max="1"/>
    <col width="22" customWidth="1" min="2" max="2"/>
    <col width="9" customWidth="1" min="3" max="3"/>
    <col width="22" customWidth="1" min="4" max="4"/>
    <col width="9" customWidth="1" min="5" max="5"/>
    <col width="10" customWidth="1" min="6" max="6"/>
    <col width="11" customWidth="1" min="7" max="7"/>
    <col width="11" customWidth="1" min="8" max="8"/>
    <col width="40" customWidth="1" min="9" max="9"/>
  </cols>
  <sheetData>
    <row r="1" ht="26" customHeight="1">
      <c r="B1" s="1" t="inlineStr">
        <is>
          <t>MUROS — LO QUE LA LOSA LE ENTREGA A LOS MUROS Y A LOS CASTILLOS</t>
        </is>
      </c>
    </row>
    <row r="2" ht="30" customHeight="1">
      <c r="B2" s="2" t="inlineStr">
        <is>
          <t>Para la revisión de muros con la NTC-Mampostería 2023: carga lineal de la losa sobre cada tramo de dala que sí tiene muro abajo, y reacciones concentradas de las nervaduras principales en sus apoyos.</t>
        </is>
      </c>
    </row>
    <row r="3" ht="6" customHeight="1"/>
    <row r="4" ht="21" customHeight="1">
      <c r="B4" s="5" t="inlineStr">
        <is>
          <t>A. CARGA LINEAL DE LOSA SOBRE MUROS (por tramo de dala sobre muro)</t>
        </is>
      </c>
    </row>
    <row r="5" ht="30" customHeight="1">
      <c r="B5" s="6" t="inlineStr">
        <is>
          <t>Sólo la losa (áreas tributarias del DXF). No incluye el peso del propio muro, ni el muro de arriba, ni las cargas lineales del E2K: eso se suma en la revisión del muro.</t>
        </is>
      </c>
      <c r="C5" s="7" t="n"/>
      <c r="D5" s="7" t="n"/>
      <c r="E5" s="7" t="n"/>
      <c r="F5" s="7" t="n"/>
      <c r="G5" s="7" t="n"/>
      <c r="H5" s="7" t="n"/>
      <c r="I5" s="7" t="n"/>
    </row>
    <row r="6">
      <c r="B6" s="8" t="inlineStr">
        <is>
          <t>Tramo · eje</t>
        </is>
      </c>
      <c r="C6" s="8" t="inlineStr">
        <is>
          <t>Nivel</t>
        </is>
      </c>
      <c r="D6" s="8" t="inlineStr">
        <is>
          <t>De – a</t>
        </is>
      </c>
      <c r="E6" s="8" t="inlineStr">
        <is>
          <t>L (m)</t>
        </is>
      </c>
      <c r="F6" s="8" t="inlineStr">
        <is>
          <t>Área trib. (m²)</t>
        </is>
      </c>
      <c r="G6" s="8" t="inlineStr">
        <is>
          <t>w servicio (t/m)</t>
        </is>
      </c>
      <c r="H6" s="8" t="inlineStr">
        <is>
          <t>w última (t/m)</t>
        </is>
      </c>
      <c r="I6" s="8" t="inlineStr">
        <is>
          <t>Nota</t>
        </is>
      </c>
    </row>
    <row r="7">
      <c r="B7" s="37" t="inlineStr">
        <is>
          <t>DM-01 · Eje 4 (y = 5.346)</t>
        </is>
      </c>
      <c r="C7" s="41" t="inlineStr">
        <is>
          <t>N+3.00</t>
        </is>
      </c>
      <c r="D7" s="44" t="inlineStr">
        <is>
          <t>(0.00, 5.35) – (1.07, 5.35)</t>
        </is>
      </c>
      <c r="E7" s="36" t="n">
        <v>1.075</v>
      </c>
      <c r="F7" s="43">
        <f>SUMIFS(TRIB!$E$6:$E$255,TRIB!$B$6:$B$255,"DM-01")</f>
        <v>1.1181</v>
      </c>
      <c r="G7" s="36">
        <f>SUMIFS(TRIB!$I$6:$I$255,TRIB!$B$6:$B$255,"DM-01")/E7</f>
        <v>0.669480284765069</v>
      </c>
      <c r="H7" s="70">
        <f>SUMIFS(TRIB!$G$6:$G$255,TRIB!$B$6:$B$255,"DM-01")/E7</f>
        <v>0.90984790507831</v>
      </c>
      <c r="I7" s="44" t="inlineStr">
        <is>
          <t>Muro del entrepiso de abajo (planta baja)</t>
        </is>
      </c>
    </row>
    <row r="8">
      <c r="B8" s="37" t="inlineStr">
        <is>
          <t>DM-02 · Eje 4 (y = 5.346)</t>
        </is>
      </c>
      <c r="C8" s="41" t="inlineStr">
        <is>
          <t>N+3.00</t>
        </is>
      </c>
      <c r="D8" s="44" t="inlineStr">
        <is>
          <t>(1.07, 5.35) – (2.92, 5.35)</t>
        </is>
      </c>
      <c r="E8" s="36" t="n">
        <v>1.85</v>
      </c>
      <c r="F8" s="43">
        <f>SUMIFS(TRIB!$E$6:$E$255,TRIB!$B$6:$B$255,"DM-02")</f>
        <v>3.3947</v>
      </c>
      <c r="G8" s="36">
        <f>SUMIFS(TRIB!$I$6:$I$255,TRIB!$B$6:$B$255,"DM-02")/E8</f>
        <v>1.18112341974628</v>
      </c>
      <c r="H8" s="70">
        <f>SUMIFS(TRIB!$G$6:$G$255,TRIB!$B$6:$B$255,"DM-02")/E8</f>
        <v>1.60518941864313</v>
      </c>
      <c r="I8" s="44" t="inlineStr">
        <is>
          <t>Muro del entrepiso de abajo (planta baja)</t>
        </is>
      </c>
    </row>
    <row r="9">
      <c r="B9" s="37" t="inlineStr">
        <is>
          <t>DM-03 · Eje 5 (y = 5.946)</t>
        </is>
      </c>
      <c r="C9" s="41" t="inlineStr">
        <is>
          <t>N+3.00</t>
        </is>
      </c>
      <c r="D9" s="44" t="inlineStr">
        <is>
          <t>(2.92, 5.95) – (3.65, 5.95)</t>
        </is>
      </c>
      <c r="E9" s="36" t="n">
        <v>0.723</v>
      </c>
      <c r="F9" s="43">
        <f>SUMIFS(TRIB!$E$6:$E$255,TRIB!$B$6:$B$255,"DM-03")</f>
        <v>0.809</v>
      </c>
      <c r="G9" s="36">
        <f>SUMIFS(TRIB!$I$6:$I$255,TRIB!$B$6:$B$255,"DM-03")/E9</f>
        <v>0.720237671832218</v>
      </c>
      <c r="H9" s="70">
        <f>SUMIFS(TRIB!$G$6:$G$255,TRIB!$B$6:$B$255,"DM-03")/E9</f>
        <v>0.978829028706918</v>
      </c>
      <c r="I9" s="44" t="inlineStr">
        <is>
          <t>Muro del entrepiso de abajo (planta baja)</t>
        </is>
      </c>
    </row>
    <row r="10">
      <c r="B10" s="37" t="inlineStr">
        <is>
          <t>DM-04 · Eje 5 (y = 5.946)</t>
        </is>
      </c>
      <c r="C10" s="41" t="inlineStr">
        <is>
          <t>N+3.00</t>
        </is>
      </c>
      <c r="D10" s="44" t="inlineStr">
        <is>
          <t>(3.65, 5.95) – (5.30, 5.95)</t>
        </is>
      </c>
      <c r="E10" s="36" t="n">
        <v>1.65</v>
      </c>
      <c r="F10" s="43">
        <f>SUMIFS(TRIB!$E$6:$E$255,TRIB!$B$6:$B$255,"DM-04")</f>
        <v>1.3282</v>
      </c>
      <c r="G10" s="36">
        <f>SUMIFS(TRIB!$I$6:$I$255,TRIB!$B$6:$B$255,"DM-04")/E10</f>
        <v>0.536867940630798</v>
      </c>
      <c r="H10" s="70">
        <f>SUMIFS(TRIB!$G$6:$G$255,TRIB!$B$6:$B$255,"DM-04")/E10</f>
        <v>0.728517171304886</v>
      </c>
      <c r="I10" s="44" t="inlineStr">
        <is>
          <t>Muro del entrepiso de abajo (planta baja)</t>
        </is>
      </c>
    </row>
    <row r="11">
      <c r="B11" s="37" t="inlineStr">
        <is>
          <t>DM-05 · Eje 5 (y = 5.946)</t>
        </is>
      </c>
      <c r="C11" s="41" t="inlineStr">
        <is>
          <t>N+3.00</t>
        </is>
      </c>
      <c r="D11" s="44" t="inlineStr">
        <is>
          <t>(5.30, 5.95) – (5.92, 5.95)</t>
        </is>
      </c>
      <c r="E11" s="36" t="n">
        <v>0.625</v>
      </c>
      <c r="F11" s="43">
        <f>SUMIFS(TRIB!$E$6:$E$255,TRIB!$B$6:$B$255,"DM-05")</f>
        <v>0.3906</v>
      </c>
      <c r="G11" s="36">
        <f>SUMIFS(TRIB!$I$6:$I$255,TRIB!$B$6:$B$255,"DM-05")/E11</f>
        <v>0.424143771428571</v>
      </c>
      <c r="H11" s="70">
        <f>SUMIFS(TRIB!$G$6:$G$255,TRIB!$B$6:$B$255,"DM-05")/E11</f>
        <v>0.575135382857143</v>
      </c>
      <c r="I11" s="44" t="inlineStr">
        <is>
          <t>Muro del entrepiso de abajo (planta baja)</t>
        </is>
      </c>
    </row>
    <row r="12">
      <c r="B12" s="37" t="inlineStr">
        <is>
          <t>DM-06 · Eje 6 (y = 6.948)</t>
        </is>
      </c>
      <c r="C12" s="41" t="inlineStr">
        <is>
          <t>N+3.00</t>
        </is>
      </c>
      <c r="D12" s="44" t="inlineStr">
        <is>
          <t>(0.00, 6.95) – (2.92, 6.95)</t>
        </is>
      </c>
      <c r="E12" s="36" t="n">
        <v>2.925</v>
      </c>
      <c r="F12" s="43">
        <f>SUMIFS(TRIB!$E$6:$E$255,TRIB!$B$6:$B$255,"DM-06")</f>
        <v>2.9447</v>
      </c>
      <c r="G12" s="36">
        <f>SUMIFS(TRIB!$I$6:$I$255,TRIB!$B$6:$B$255,"DM-06")/E12</f>
        <v>0.648008637711495</v>
      </c>
      <c r="H12" s="70">
        <f>SUMIFS(TRIB!$G$6:$G$255,TRIB!$B$6:$B$255,"DM-06")/E12</f>
        <v>0.880667160648875</v>
      </c>
      <c r="I12" s="44" t="inlineStr">
        <is>
          <t>Muro del entrepiso de abajo (planta baja)</t>
        </is>
      </c>
    </row>
    <row r="13">
      <c r="B13" s="37" t="inlineStr">
        <is>
          <t>DM-07 · Eje 6 (y = 6.948)</t>
        </is>
      </c>
      <c r="C13" s="41" t="inlineStr">
        <is>
          <t>N+3.00</t>
        </is>
      </c>
      <c r="D13" s="44" t="inlineStr">
        <is>
          <t>(5.92, 6.95) – (6.27, 6.95)</t>
        </is>
      </c>
      <c r="E13" s="36" t="n">
        <v>0.349</v>
      </c>
      <c r="F13" s="43">
        <f>SUMIFS(TRIB!$E$6:$E$255,TRIB!$B$6:$B$255,"DM-07")</f>
        <v>0</v>
      </c>
      <c r="G13" s="36">
        <f>SUMIFS(TRIB!$I$6:$I$255,TRIB!$B$6:$B$255,"DM-07")/E13</f>
        <v>0</v>
      </c>
      <c r="H13" s="70">
        <f>SUMIFS(TRIB!$G$6:$G$255,TRIB!$B$6:$B$255,"DM-07")/E13</f>
        <v>0</v>
      </c>
      <c r="I13" s="44" t="inlineStr">
        <is>
          <t>Muro del entrepiso de abajo (planta baja)</t>
        </is>
      </c>
    </row>
    <row r="14">
      <c r="B14" s="37" t="inlineStr">
        <is>
          <t>DM-08 · Eje 6 (y = 6.948)</t>
        </is>
      </c>
      <c r="C14" s="41" t="inlineStr">
        <is>
          <t>N+3.00</t>
        </is>
      </c>
      <c r="D14" s="44" t="inlineStr">
        <is>
          <t>(6.27, 6.95) – (8.50, 6.95)</t>
        </is>
      </c>
      <c r="E14" s="36" t="n">
        <v>2.228</v>
      </c>
      <c r="F14" s="43">
        <f>SUMIFS(TRIB!$E$6:$E$255,TRIB!$B$6:$B$255,"DM-08")</f>
        <v>0</v>
      </c>
      <c r="G14" s="36">
        <f>SUMIFS(TRIB!$I$6:$I$255,TRIB!$B$6:$B$255,"DM-08")/E14</f>
        <v>0</v>
      </c>
      <c r="H14" s="70">
        <f>SUMIFS(TRIB!$G$6:$G$255,TRIB!$B$6:$B$255,"DM-08")/E14</f>
        <v>0</v>
      </c>
      <c r="I14" s="44" t="inlineStr">
        <is>
          <t>Muro del entrepiso de abajo (planta baja)</t>
        </is>
      </c>
    </row>
    <row r="15">
      <c r="B15" s="37" t="inlineStr">
        <is>
          <t>DM-09 · Eje 6 (y = 6.948)</t>
        </is>
      </c>
      <c r="C15" s="41" t="inlineStr">
        <is>
          <t>N+3.00</t>
        </is>
      </c>
      <c r="D15" s="44" t="inlineStr">
        <is>
          <t>(8.50, 6.95) – (8.85, 6.95)</t>
        </is>
      </c>
      <c r="E15" s="36" t="n">
        <v>0.35</v>
      </c>
      <c r="F15" s="43">
        <f>SUMIFS(TRIB!$E$6:$E$255,TRIB!$B$6:$B$255,"DM-09")</f>
        <v>0</v>
      </c>
      <c r="G15" s="36">
        <f>SUMIFS(TRIB!$I$6:$I$255,TRIB!$B$6:$B$255,"DM-09")/E15</f>
        <v>0</v>
      </c>
      <c r="H15" s="70">
        <f>SUMIFS(TRIB!$G$6:$G$255,TRIB!$B$6:$B$255,"DM-09")/E15</f>
        <v>0</v>
      </c>
      <c r="I15" s="44" t="inlineStr">
        <is>
          <t>Muro del entrepiso de abajo (planta baja)</t>
        </is>
      </c>
    </row>
    <row r="16">
      <c r="B16" s="37" t="inlineStr">
        <is>
          <t>DM-10 · Eje 8 (y = 9.950)</t>
        </is>
      </c>
      <c r="C16" s="41" t="inlineStr">
        <is>
          <t>N+3.00</t>
        </is>
      </c>
      <c r="D16" s="44" t="inlineStr">
        <is>
          <t>(8.14, 9.95) – (8.85, 9.95)</t>
        </is>
      </c>
      <c r="E16" s="36" t="n">
        <v>0.706</v>
      </c>
      <c r="F16" s="43">
        <f>SUMIFS(TRIB!$E$6:$E$255,TRIB!$B$6:$B$255,"DM-10")</f>
        <v>0.2492</v>
      </c>
      <c r="G16" s="36">
        <f>SUMIFS(TRIB!$I$6:$I$255,TRIB!$B$6:$B$255,"DM-10")/E16</f>
        <v>0.232494941319304</v>
      </c>
      <c r="H16" s="70">
        <f>SUMIFS(TRIB!$G$6:$G$255,TRIB!$B$6:$B$255,"DM-10")/E16</f>
        <v>0.315656454876568</v>
      </c>
      <c r="I16" s="44" t="inlineStr">
        <is>
          <t>Muro del entrepiso de abajo (planta baja)</t>
        </is>
      </c>
    </row>
    <row r="17">
      <c r="B17" s="37" t="inlineStr">
        <is>
          <t>DM-11 · Eje 11 (y = 15.447)</t>
        </is>
      </c>
      <c r="C17" s="41" t="inlineStr">
        <is>
          <t>N+3.00</t>
        </is>
      </c>
      <c r="D17" s="44" t="inlineStr">
        <is>
          <t>(4.92, 15.45) – (6.89, 15.45)</t>
        </is>
      </c>
      <c r="E17" s="36" t="n">
        <v>1.962</v>
      </c>
      <c r="F17" s="43">
        <f>SUMIFS(TRIB!$E$6:$E$255,TRIB!$B$6:$B$255,"DM-11")</f>
        <v>1.5308</v>
      </c>
      <c r="G17" s="36">
        <f>SUMIFS(TRIB!$I$6:$I$255,TRIB!$B$6:$B$255,"DM-11")/E17</f>
        <v>0.520132439826083</v>
      </c>
      <c r="H17" s="70">
        <f>SUMIFS(TRIB!$G$6:$G$255,TRIB!$B$6:$B$255,"DM-11")/E17</f>
        <v>0.70582069369032</v>
      </c>
      <c r="I17" s="44" t="inlineStr">
        <is>
          <t>Muro del entrepiso de abajo (planta baja)</t>
        </is>
      </c>
    </row>
    <row r="18">
      <c r="B18" s="37" t="inlineStr">
        <is>
          <t>DM-12 · Eje 11 (y = 15.447)</t>
        </is>
      </c>
      <c r="C18" s="41" t="inlineStr">
        <is>
          <t>N+3.00</t>
        </is>
      </c>
      <c r="D18" s="44" t="inlineStr">
        <is>
          <t>(6.89, 15.45) – (8.85, 15.45)</t>
        </is>
      </c>
      <c r="E18" s="36" t="n">
        <v>1.963</v>
      </c>
      <c r="F18" s="43">
        <f>SUMIFS(TRIB!$E$6:$E$255,TRIB!$B$6:$B$255,"DM-12")</f>
        <v>2.2364</v>
      </c>
      <c r="G18" s="36">
        <f>SUMIFS(TRIB!$I$6:$I$255,TRIB!$B$6:$B$255,"DM-12")/E18</f>
        <v>0.76082569889902</v>
      </c>
      <c r="H18" s="70">
        <f>SUMIFS(TRIB!$G$6:$G$255,TRIB!$B$6:$B$255,"DM-12")/E18</f>
        <v>1.03236592003077</v>
      </c>
      <c r="I18" s="44" t="inlineStr">
        <is>
          <t>Muro del entrepiso de abajo (planta baja)</t>
        </is>
      </c>
    </row>
    <row r="19">
      <c r="B19" s="37" t="inlineStr">
        <is>
          <t>DM-13 · Eje 12 (y = 17.446)</t>
        </is>
      </c>
      <c r="C19" s="41" t="inlineStr">
        <is>
          <t>N+3.00</t>
        </is>
      </c>
      <c r="D19" s="44" t="inlineStr">
        <is>
          <t>(4.92, 17.45) – (6.89, 17.45)</t>
        </is>
      </c>
      <c r="E19" s="36" t="n">
        <v>1.962</v>
      </c>
      <c r="F19" s="43">
        <f>SUMIFS(TRIB!$E$6:$E$255,TRIB!$B$6:$B$255,"DM-13")</f>
        <v>2.6579</v>
      </c>
      <c r="G19" s="36">
        <f>SUMIFS(TRIB!$I$6:$I$255,TRIB!$B$6:$B$255,"DM-13")/E19</f>
        <v>0.890958060288336</v>
      </c>
      <c r="H19" s="70">
        <f>SUMIFS(TRIB!$G$6:$G$255,TRIB!$B$6:$B$255,"DM-13")/E19</f>
        <v>1.20972366389981</v>
      </c>
      <c r="I19" s="44" t="inlineStr">
        <is>
          <t>Muro del entrepiso de abajo (planta baja)</t>
        </is>
      </c>
    </row>
    <row r="20">
      <c r="B20" s="37" t="inlineStr">
        <is>
          <t>DM-14 · Eje 12 (y = 17.446)</t>
        </is>
      </c>
      <c r="C20" s="41" t="inlineStr">
        <is>
          <t>N+3.00</t>
        </is>
      </c>
      <c r="D20" s="44" t="inlineStr">
        <is>
          <t>(6.89, 17.45) – (8.85, 17.45)</t>
        </is>
      </c>
      <c r="E20" s="36" t="n">
        <v>1.963</v>
      </c>
      <c r="F20" s="43">
        <f>SUMIFS(TRIB!$E$6:$E$255,TRIB!$B$6:$B$255,"DM-14")</f>
        <v>3.1771</v>
      </c>
      <c r="G20" s="36">
        <f>SUMIFS(TRIB!$I$6:$I$255,TRIB!$B$6:$B$255,"DM-14")/E20</f>
        <v>1.08636932225769</v>
      </c>
      <c r="H20" s="70">
        <f>SUMIFS(TRIB!$G$6:$G$255,TRIB!$B$6:$B$255,"DM-14")/E20</f>
        <v>1.47378281888405</v>
      </c>
      <c r="I20" s="44" t="inlineStr">
        <is>
          <t>Muro del entrepiso de abajo (planta baja)</t>
        </is>
      </c>
    </row>
    <row r="21">
      <c r="B21" s="37" t="inlineStr">
        <is>
          <t>DM-15 · Eje 14 (y = 21.446)</t>
        </is>
      </c>
      <c r="C21" s="41" t="inlineStr">
        <is>
          <t>N+3.00</t>
        </is>
      </c>
      <c r="D21" s="44" t="inlineStr">
        <is>
          <t>(-1.60, 21.45) – (0.00, 21.45)</t>
        </is>
      </c>
      <c r="E21" s="36" t="n">
        <v>1.6</v>
      </c>
      <c r="F21" s="43">
        <f>SUMIFS(TRIB!$E$6:$E$255,TRIB!$B$6:$B$255,"DM-15")</f>
        <v>0.64</v>
      </c>
      <c r="G21" s="36">
        <f>SUMIFS(TRIB!$I$6:$I$255,TRIB!$B$6:$B$255,"DM-15")/E21</f>
        <v>0.265469387755102</v>
      </c>
      <c r="H21" s="70">
        <f>SUMIFS(TRIB!$G$6:$G$255,TRIB!$B$6:$B$255,"DM-15")/E21</f>
        <v>0.353110204081633</v>
      </c>
      <c r="I21" s="44" t="inlineStr">
        <is>
          <t>Muro del entrepiso de abajo (planta baja)</t>
        </is>
      </c>
    </row>
    <row r="22">
      <c r="B22" s="37" t="inlineStr">
        <is>
          <t>DM-16 · Eje 14 (y = 21.446)</t>
        </is>
      </c>
      <c r="C22" s="41" t="inlineStr">
        <is>
          <t>N+3.00</t>
        </is>
      </c>
      <c r="D22" s="44" t="inlineStr">
        <is>
          <t>(0.00, 21.45) – (0.35, 21.45)</t>
        </is>
      </c>
      <c r="E22" s="36" t="n">
        <v>0.35</v>
      </c>
      <c r="F22" s="43">
        <f>SUMIFS(TRIB!$E$6:$E$255,TRIB!$B$6:$B$255,"DM-16")</f>
        <v>0.1225</v>
      </c>
      <c r="G22" s="36">
        <f>SUMIFS(TRIB!$I$6:$I$255,TRIB!$B$6:$B$255,"DM-16")/E22</f>
        <v>0.234042857142857</v>
      </c>
      <c r="H22" s="70">
        <f>SUMIFS(TRIB!$G$6:$G$255,TRIB!$B$6:$B$255,"DM-16")/E22</f>
        <v>0.317555714285714</v>
      </c>
      <c r="I22" s="44" t="inlineStr">
        <is>
          <t>Muro del entrepiso de abajo (planta baja)</t>
        </is>
      </c>
    </row>
    <row r="23">
      <c r="B23" s="37" t="inlineStr">
        <is>
          <t>DM-17 · Eje 14 (y = 21.446)</t>
        </is>
      </c>
      <c r="C23" s="41" t="inlineStr">
        <is>
          <t>N+3.00</t>
        </is>
      </c>
      <c r="D23" s="44" t="inlineStr">
        <is>
          <t>(0.35, 21.45) – (4.58, 21.45)</t>
        </is>
      </c>
      <c r="E23" s="36" t="n">
        <v>4.225</v>
      </c>
      <c r="F23" s="43">
        <f>SUMIFS(TRIB!$E$6:$E$255,TRIB!$B$6:$B$255,"DM-17")</f>
        <v>8.8157</v>
      </c>
      <c r="G23" s="36">
        <f>SUMIFS(TRIB!$I$6:$I$255,TRIB!$B$6:$B$255,"DM-17")/E23</f>
        <v>1.39056146842169</v>
      </c>
      <c r="H23" s="70">
        <f>SUMIFS(TRIB!$G$6:$G$255,TRIB!$B$6:$B$255,"DM-17")/E23</f>
        <v>1.88701904504287</v>
      </c>
      <c r="I23" s="44" t="inlineStr">
        <is>
          <t>Muro del entrepiso de abajo (planta baja)</t>
        </is>
      </c>
    </row>
    <row r="24">
      <c r="B24" s="37" t="inlineStr">
        <is>
          <t>DM-18 · Eje 14 (y = 21.446)</t>
        </is>
      </c>
      <c r="C24" s="41" t="inlineStr">
        <is>
          <t>N+3.00</t>
        </is>
      </c>
      <c r="D24" s="44" t="inlineStr">
        <is>
          <t>(4.58, 21.45) – (4.92, 21.45)</t>
        </is>
      </c>
      <c r="E24" s="36" t="n">
        <v>0.35</v>
      </c>
      <c r="F24" s="43">
        <f>SUMIFS(TRIB!$E$6:$E$255,TRIB!$B$6:$B$255,"DM-18")</f>
        <v>0.4011</v>
      </c>
      <c r="G24" s="36">
        <f>SUMIFS(TRIB!$I$6:$I$255,TRIB!$B$6:$B$255,"DM-18")/E24</f>
        <v>0.787649795918367</v>
      </c>
      <c r="H24" s="70">
        <f>SUMIFS(TRIB!$G$6:$G$255,TRIB!$B$6:$B$255,"DM-18")/E24</f>
        <v>1.06749273469388</v>
      </c>
      <c r="I24" s="44" t="inlineStr">
        <is>
          <t>Muro del entrepiso de abajo (planta baja)</t>
        </is>
      </c>
    </row>
    <row r="25">
      <c r="B25" s="37" t="inlineStr">
        <is>
          <t>DM-19 · Eje 14 (y = 21.446)</t>
        </is>
      </c>
      <c r="C25" s="41" t="inlineStr">
        <is>
          <t>N+3.00</t>
        </is>
      </c>
      <c r="D25" s="44" t="inlineStr">
        <is>
          <t>(4.92, 21.45) – (5.28, 21.45)</t>
        </is>
      </c>
      <c r="E25" s="36" t="n">
        <v>0.35</v>
      </c>
      <c r="F25" s="43">
        <f>SUMIFS(TRIB!$E$6:$E$255,TRIB!$B$6:$B$255,"DM-19")</f>
        <v>0.4113</v>
      </c>
      <c r="G25" s="36">
        <f>SUMIFS(TRIB!$I$6:$I$255,TRIB!$B$6:$B$255,"DM-19")/E25</f>
        <v>0.806408279883382</v>
      </c>
      <c r="H25" s="70">
        <f>SUMIFS(TRIB!$G$6:$G$255,TRIB!$B$6:$B$255,"DM-19")/E25</f>
        <v>1.09298619241983</v>
      </c>
      <c r="I25" s="44" t="inlineStr">
        <is>
          <t>Muro del entrepiso de abajo (planta baja)</t>
        </is>
      </c>
    </row>
    <row r="26">
      <c r="B26" s="37" t="inlineStr">
        <is>
          <t>DM-20 · Eje 14 (y = 21.446)</t>
        </is>
      </c>
      <c r="C26" s="41" t="inlineStr">
        <is>
          <t>N+3.00</t>
        </is>
      </c>
      <c r="D26" s="44" t="inlineStr">
        <is>
          <t>(5.28, 21.45) – (7.25, 21.45)</t>
        </is>
      </c>
      <c r="E26" s="36" t="n">
        <v>1.975</v>
      </c>
      <c r="F26" s="43">
        <f>SUMIFS(TRIB!$E$6:$E$255,TRIB!$B$6:$B$255,"DM-20")</f>
        <v>3.9852</v>
      </c>
      <c r="G26" s="36">
        <f>SUMIFS(TRIB!$I$6:$I$255,TRIB!$B$6:$B$255,"DM-20")/E26</f>
        <v>1.33616076466029</v>
      </c>
      <c r="H26" s="70">
        <f>SUMIFS(TRIB!$G$6:$G$255,TRIB!$B$6:$B$255,"DM-20")/E26</f>
        <v>1.81368625988117</v>
      </c>
      <c r="I26" s="44" t="inlineStr">
        <is>
          <t>Muro del entrepiso de abajo (planta baja)</t>
        </is>
      </c>
    </row>
    <row r="27">
      <c r="B27" s="37" t="inlineStr">
        <is>
          <t>DM-21 · Eje 14 (y = 21.446)</t>
        </is>
      </c>
      <c r="C27" s="41" t="inlineStr">
        <is>
          <t>N+3.00</t>
        </is>
      </c>
      <c r="D27" s="44" t="inlineStr">
        <is>
          <t>(7.25, 21.45) – (8.15, 21.45)</t>
        </is>
      </c>
      <c r="E27" s="36" t="n">
        <v>0.896</v>
      </c>
      <c r="F27" s="43">
        <f>SUMIFS(TRIB!$E$6:$E$255,TRIB!$B$6:$B$255,"DM-21")</f>
        <v>1.4244</v>
      </c>
      <c r="G27" s="36">
        <f>SUMIFS(TRIB!$I$6:$I$255,TRIB!$B$6:$B$255,"DM-21")/E27</f>
        <v>1.05172041271866</v>
      </c>
      <c r="H27" s="70">
        <f>SUMIFS(TRIB!$G$6:$G$255,TRIB!$B$6:$B$255,"DM-21")/E27</f>
        <v>1.42764635796283</v>
      </c>
      <c r="I27" s="44" t="inlineStr">
        <is>
          <t>Muro del entrepiso de abajo (planta baja)</t>
        </is>
      </c>
    </row>
    <row r="28">
      <c r="B28" s="37" t="inlineStr">
        <is>
          <t>DM-22 · Eje 14 (y = 21.446)</t>
        </is>
      </c>
      <c r="C28" s="41" t="inlineStr">
        <is>
          <t>N+3.00</t>
        </is>
      </c>
      <c r="D28" s="44" t="inlineStr">
        <is>
          <t>(8.15, 21.45) – (8.85, 21.45)</t>
        </is>
      </c>
      <c r="E28" s="36" t="n">
        <v>0.704</v>
      </c>
      <c r="F28" s="43">
        <f>SUMIFS(TRIB!$E$6:$E$255,TRIB!$B$6:$B$255,"DM-22")</f>
        <v>0.4956</v>
      </c>
      <c r="G28" s="36">
        <f>SUMIFS(TRIB!$I$6:$I$255,TRIB!$B$6:$B$255,"DM-22")/E28</f>
        <v>0.47601075487013</v>
      </c>
      <c r="H28" s="70">
        <f>SUMIFS(TRIB!$G$6:$G$255,TRIB!$B$6:$B$255,"DM-22")/E28</f>
        <v>0.645565117694805</v>
      </c>
      <c r="I28" s="44" t="inlineStr">
        <is>
          <t>Muro del entrepiso de abajo (planta baja)</t>
        </is>
      </c>
    </row>
    <row r="29">
      <c r="B29" s="37" t="inlineStr">
        <is>
          <t>DM-23 · Eje 15 (y = 24.371)</t>
        </is>
      </c>
      <c r="C29" s="41" t="inlineStr">
        <is>
          <t>N+3.00</t>
        </is>
      </c>
      <c r="D29" s="44" t="inlineStr">
        <is>
          <t>(-1.60, 24.37) – (-0.70, 24.37)</t>
        </is>
      </c>
      <c r="E29" s="36" t="n">
        <v>0.898</v>
      </c>
      <c r="F29" s="43">
        <f>SUMIFS(TRIB!$E$6:$E$255,TRIB!$B$6:$B$255,"DM-23")</f>
        <v>0.3936</v>
      </c>
      <c r="G29" s="36">
        <f>SUMIFS(TRIB!$I$6:$I$255,TRIB!$B$6:$B$255,"DM-23")/E29</f>
        <v>0.290892959410936</v>
      </c>
      <c r="H29" s="70">
        <f>SUMIFS(TRIB!$G$6:$G$255,TRIB!$B$6:$B$255,"DM-23")/E29</f>
        <v>0.386926994227535</v>
      </c>
      <c r="I29" s="44" t="inlineStr">
        <is>
          <t>Muro del entrepiso de abajo (planta baja)</t>
        </is>
      </c>
    </row>
    <row r="30">
      <c r="B30" s="37" t="inlineStr">
        <is>
          <t>DM-24 · Eje 15 (y = 24.371)</t>
        </is>
      </c>
      <c r="C30" s="41" t="inlineStr">
        <is>
          <t>N+3.00</t>
        </is>
      </c>
      <c r="D30" s="44" t="inlineStr">
        <is>
          <t>(-0.70, 24.37) – (0.00, 24.37)</t>
        </is>
      </c>
      <c r="E30" s="36" t="n">
        <v>0.702</v>
      </c>
      <c r="F30" s="43">
        <f>SUMIFS(TRIB!$E$6:$E$255,TRIB!$B$6:$B$255,"DM-24")</f>
        <v>0.2464</v>
      </c>
      <c r="G30" s="36">
        <f>SUMIFS(TRIB!$I$6:$I$255,TRIB!$B$6:$B$255,"DM-24")/E30</f>
        <v>0.232947496947497</v>
      </c>
      <c r="H30" s="70">
        <f>SUMIFS(TRIB!$G$6:$G$255,TRIB!$B$6:$B$255,"DM-24")/E30</f>
        <v>0.309851689051689</v>
      </c>
      <c r="I30" s="44" t="inlineStr">
        <is>
          <t>Muro del entrepiso de abajo (planta baja)</t>
        </is>
      </c>
    </row>
    <row r="31">
      <c r="B31" s="37" t="inlineStr">
        <is>
          <t>DM-25 · Eje 15 (y = 24.371)</t>
        </is>
      </c>
      <c r="C31" s="41" t="inlineStr">
        <is>
          <t>N+3.00</t>
        </is>
      </c>
      <c r="D31" s="44" t="inlineStr">
        <is>
          <t>(7.25, 24.37) – (7.48, 24.37)</t>
        </is>
      </c>
      <c r="E31" s="36" t="n">
        <v>0.229</v>
      </c>
      <c r="F31" s="43">
        <f>SUMIFS(TRIB!$E$6:$E$255,TRIB!$B$6:$B$255,"DM-25")</f>
        <v>0.0262</v>
      </c>
      <c r="G31" s="36">
        <f>SUMIFS(TRIB!$I$6:$I$255,TRIB!$B$6:$B$255,"DM-25")/E31</f>
        <v>0.0810796720434899</v>
      </c>
      <c r="H31" s="70">
        <f>SUMIFS(TRIB!$G$6:$G$255,TRIB!$B$6:$B$255,"DM-25")/E31</f>
        <v>0.109751171909812</v>
      </c>
      <c r="I31" s="44" t="inlineStr">
        <is>
          <t>Muro del entrepiso de abajo (planta baja)</t>
        </is>
      </c>
    </row>
    <row r="32">
      <c r="B32" s="37" t="inlineStr">
        <is>
          <t>DM-26 · Eje 15 (y = 24.371)</t>
        </is>
      </c>
      <c r="C32" s="41" t="inlineStr">
        <is>
          <t>N+3.00</t>
        </is>
      </c>
      <c r="D32" s="44" t="inlineStr">
        <is>
          <t>(7.48, 24.37) – (8.70, 24.37)</t>
        </is>
      </c>
      <c r="E32" s="36" t="n">
        <v>1.222</v>
      </c>
      <c r="F32" s="43">
        <f>SUMIFS(TRIB!$E$6:$E$255,TRIB!$B$6:$B$255,"DM-26")</f>
        <v>0.6027</v>
      </c>
      <c r="G32" s="36">
        <f>SUMIFS(TRIB!$I$6:$I$255,TRIB!$B$6:$B$255,"DM-26")/E32</f>
        <v>0.349523322422259</v>
      </c>
      <c r="H32" s="70">
        <f>SUMIFS(TRIB!$G$6:$G$255,TRIB!$B$6:$B$255,"DM-26")/E32</f>
        <v>0.473122217675941</v>
      </c>
      <c r="I32" s="44" t="inlineStr">
        <is>
          <t>Muro del entrepiso de abajo (planta baja)</t>
        </is>
      </c>
    </row>
    <row r="33">
      <c r="B33" s="37" t="inlineStr">
        <is>
          <t>DM-27 · Eje 15 (y = 24.371)</t>
        </is>
      </c>
      <c r="C33" s="41" t="inlineStr">
        <is>
          <t>N+3.00</t>
        </is>
      </c>
      <c r="D33" s="44" t="inlineStr">
        <is>
          <t>(8.70, 24.37) – (8.85, 24.37)</t>
        </is>
      </c>
      <c r="E33" s="36" t="n">
        <v>0.149</v>
      </c>
      <c r="F33" s="43">
        <f>SUMIFS(TRIB!$E$6:$E$255,TRIB!$B$6:$B$255,"DM-27")</f>
        <v>0.0111</v>
      </c>
      <c r="G33" s="36">
        <f>SUMIFS(TRIB!$I$6:$I$255,TRIB!$B$6:$B$255,"DM-27")/E33</f>
        <v>0.0527937953704972</v>
      </c>
      <c r="H33" s="70">
        <f>SUMIFS(TRIB!$G$6:$G$255,TRIB!$B$6:$B$255,"DM-27")/E33</f>
        <v>0.0714628064648678</v>
      </c>
      <c r="I33" s="44" t="inlineStr">
        <is>
          <t>Muro del entrepiso de abajo (planta baja)</t>
        </is>
      </c>
    </row>
    <row r="34">
      <c r="B34" s="37" t="inlineStr">
        <is>
          <t>DM-28 · x = -1.600</t>
        </is>
      </c>
      <c r="C34" s="41" t="inlineStr">
        <is>
          <t>N+3.00</t>
        </is>
      </c>
      <c r="D34" s="44" t="inlineStr">
        <is>
          <t>(-1.60, 21.45) – (-1.60, 22.67)</t>
        </is>
      </c>
      <c r="E34" s="36" t="n">
        <v>1.225</v>
      </c>
      <c r="F34" s="43">
        <f>SUMIFS(TRIB!$E$6:$E$255,TRIB!$B$6:$B$255,"DM-28")</f>
        <v>0.66</v>
      </c>
      <c r="G34" s="36">
        <f>SUMIFS(TRIB!$I$6:$I$255,TRIB!$B$6:$B$255,"DM-28")/E34</f>
        <v>0.357571012078301</v>
      </c>
      <c r="H34" s="70">
        <f>SUMIFS(TRIB!$G$6:$G$255,TRIB!$B$6:$B$255,"DM-28")/E34</f>
        <v>0.475617825905873</v>
      </c>
      <c r="I34" s="44" t="inlineStr">
        <is>
          <t>Muro del entrepiso de abajo (planta baja)</t>
        </is>
      </c>
    </row>
    <row r="35">
      <c r="B35" s="37" t="inlineStr">
        <is>
          <t>DM-29 · x = -1.600</t>
        </is>
      </c>
      <c r="C35" s="41" t="inlineStr">
        <is>
          <t>N+3.00</t>
        </is>
      </c>
      <c r="D35" s="44" t="inlineStr">
        <is>
          <t>(-1.60, 22.67) – (-1.60, 23.67)</t>
        </is>
      </c>
      <c r="E35" s="36" t="n">
        <v>1</v>
      </c>
      <c r="F35" s="43">
        <f>SUMIFS(TRIB!$E$6:$E$255,TRIB!$B$6:$B$255,"DM-29")</f>
        <v>0.795</v>
      </c>
      <c r="G35" s="36">
        <f>SUMIFS(TRIB!$I$6:$I$255,TRIB!$B$6:$B$255,"DM-29")/E35</f>
        <v>0.527620408163265</v>
      </c>
      <c r="H35" s="70">
        <f>SUMIFS(TRIB!$G$6:$G$255,TRIB!$B$6:$B$255,"DM-29")/E35</f>
        <v>0.701806530612245</v>
      </c>
      <c r="I35" s="44" t="inlineStr">
        <is>
          <t>Muro del entrepiso de abajo (planta baja)</t>
        </is>
      </c>
    </row>
    <row r="36">
      <c r="B36" s="37" t="inlineStr">
        <is>
          <t>DM-30 · x = -1.600</t>
        </is>
      </c>
      <c r="C36" s="41" t="inlineStr">
        <is>
          <t>N+3.00</t>
        </is>
      </c>
      <c r="D36" s="44" t="inlineStr">
        <is>
          <t>(-1.60, 23.67) – (-1.60, 24.37)</t>
        </is>
      </c>
      <c r="E36" s="36" t="n">
        <v>0.7</v>
      </c>
      <c r="F36" s="43">
        <f>SUMIFS(TRIB!$E$6:$E$255,TRIB!$B$6:$B$255,"DM-30")</f>
        <v>0.245</v>
      </c>
      <c r="G36" s="36">
        <f>SUMIFS(TRIB!$I$6:$I$255,TRIB!$B$6:$B$255,"DM-30")/E36</f>
        <v>0.232285714285714</v>
      </c>
      <c r="H36" s="70">
        <f>SUMIFS(TRIB!$G$6:$G$255,TRIB!$B$6:$B$255,"DM-30")/E36</f>
        <v>0.308971428571429</v>
      </c>
      <c r="I36" s="44" t="inlineStr">
        <is>
          <t>Muro del entrepiso de abajo (planta baja)</t>
        </is>
      </c>
    </row>
    <row r="37">
      <c r="B37" s="37" t="inlineStr">
        <is>
          <t>DM-31 · Eje A (x = 0.000)</t>
        </is>
      </c>
      <c r="C37" s="41" t="inlineStr">
        <is>
          <t>N+3.00</t>
        </is>
      </c>
      <c r="D37" s="44" t="inlineStr">
        <is>
          <t>(0.00, 0.00) – (0.00, 1.92)</t>
        </is>
      </c>
      <c r="E37" s="36" t="n">
        <v>1.919</v>
      </c>
      <c r="F37" s="43">
        <f>SUMIFS(TRIB!$E$6:$E$255,TRIB!$B$6:$B$255,"DM-31")</f>
        <v>0</v>
      </c>
      <c r="G37" s="36">
        <f>SUMIFS(TRIB!$I$6:$I$255,TRIB!$B$6:$B$255,"DM-31")/E37</f>
        <v>0</v>
      </c>
      <c r="H37" s="70">
        <f>SUMIFS(TRIB!$G$6:$G$255,TRIB!$B$6:$B$255,"DM-31")/E37</f>
        <v>0</v>
      </c>
      <c r="I37" s="44" t="inlineStr">
        <is>
          <t>Muro del entrepiso de abajo (planta baja)</t>
        </is>
      </c>
    </row>
    <row r="38">
      <c r="B38" s="37" t="inlineStr">
        <is>
          <t>DM-32 · Eje A (x = 0.000)</t>
        </is>
      </c>
      <c r="C38" s="41" t="inlineStr">
        <is>
          <t>N+3.00</t>
        </is>
      </c>
      <c r="D38" s="44" t="inlineStr">
        <is>
          <t>(0.00, 1.92) – (0.00, 2.92)</t>
        </is>
      </c>
      <c r="E38" s="36" t="n">
        <v>1.002</v>
      </c>
      <c r="F38" s="43">
        <f>SUMIFS(TRIB!$E$6:$E$255,TRIB!$B$6:$B$255,"DM-32")</f>
        <v>0.251</v>
      </c>
      <c r="G38" s="36">
        <f>SUMIFS(TRIB!$I$6:$I$255,TRIB!$B$6:$B$255,"DM-32")/E38</f>
        <v>0.167502036742841</v>
      </c>
      <c r="H38" s="70">
        <f>SUMIFS(TRIB!$G$6:$G$255,TRIB!$B$6:$B$255,"DM-32")/E38</f>
        <v>0.227271609841541</v>
      </c>
      <c r="I38" s="44" t="inlineStr">
        <is>
          <t>Muro del entrepiso de abajo (planta baja)</t>
        </is>
      </c>
    </row>
    <row r="39">
      <c r="B39" s="37" t="inlineStr">
        <is>
          <t>DM-33 · Eje A (x = 0.000)</t>
        </is>
      </c>
      <c r="C39" s="41" t="inlineStr">
        <is>
          <t>N+3.00</t>
        </is>
      </c>
      <c r="D39" s="44" t="inlineStr">
        <is>
          <t>(0.00, 2.92) – (0.00, 5.35)</t>
        </is>
      </c>
      <c r="E39" s="36" t="n">
        <v>2.425</v>
      </c>
      <c r="F39" s="43">
        <f>SUMIFS(TRIB!$E$6:$E$255,TRIB!$B$6:$B$255,"DM-33")</f>
        <v>1.4702</v>
      </c>
      <c r="G39" s="36">
        <f>SUMIFS(TRIB!$I$6:$I$255,TRIB!$B$6:$B$255,"DM-33")/E39</f>
        <v>0.390238653482011</v>
      </c>
      <c r="H39" s="70">
        <f>SUMIFS(TRIB!$G$6:$G$255,TRIB!$B$6:$B$255,"DM-33")/E39</f>
        <v>0.530348435093625</v>
      </c>
      <c r="I39" s="44" t="inlineStr">
        <is>
          <t>Muro del entrepiso de abajo (planta baja)</t>
        </is>
      </c>
    </row>
    <row r="40">
      <c r="B40" s="37" t="inlineStr">
        <is>
          <t>DM-34 · Eje A (x = 0.000)</t>
        </is>
      </c>
      <c r="C40" s="41" t="inlineStr">
        <is>
          <t>N+3.00</t>
        </is>
      </c>
      <c r="D40" s="44" t="inlineStr">
        <is>
          <t>(0.00, 5.35) – (0.00, 6.95)</t>
        </is>
      </c>
      <c r="E40" s="36" t="n">
        <v>1.602</v>
      </c>
      <c r="F40" s="43">
        <f>SUMIFS(TRIB!$E$6:$E$255,TRIB!$B$6:$B$255,"DM-34")</f>
        <v>0.6416</v>
      </c>
      <c r="G40" s="36">
        <f>SUMIFS(TRIB!$I$6:$I$255,TRIB!$B$6:$B$255,"DM-34")/E40</f>
        <v>0.25779082269612</v>
      </c>
      <c r="H40" s="70">
        <f>SUMIFS(TRIB!$G$6:$G$255,TRIB!$B$6:$B$255,"DM-34")/E40</f>
        <v>0.350347045784606</v>
      </c>
      <c r="I40" s="44" t="inlineStr">
        <is>
          <t>Muro del entrepiso de abajo (planta baja)</t>
        </is>
      </c>
    </row>
    <row r="41">
      <c r="B41" s="37" t="inlineStr">
        <is>
          <t>DM-35 · Eje A (x = 0.000)</t>
        </is>
      </c>
      <c r="C41" s="41" t="inlineStr">
        <is>
          <t>N+3.00</t>
        </is>
      </c>
      <c r="D41" s="44" t="inlineStr">
        <is>
          <t>(0.00, 6.95) – (0.00, 7.87)</t>
        </is>
      </c>
      <c r="E41" s="36" t="n">
        <v>0.923</v>
      </c>
      <c r="F41" s="43">
        <f>SUMIFS(TRIB!$E$6:$E$255,TRIB!$B$6:$B$255,"DM-35")</f>
        <v>0.213</v>
      </c>
      <c r="G41" s="36">
        <f>SUMIFS(TRIB!$I$6:$I$255,TRIB!$B$6:$B$255,"DM-35")/E41</f>
        <v>0.148540031397174</v>
      </c>
      <c r="H41" s="70">
        <f>SUMIFS(TRIB!$G$6:$G$255,TRIB!$B$6:$B$255,"DM-35")/E41</f>
        <v>0.201871271585557</v>
      </c>
      <c r="I41" s="44" t="inlineStr">
        <is>
          <t>Muro del entrepiso de abajo (planta baja)</t>
        </is>
      </c>
    </row>
    <row r="42">
      <c r="B42" s="37" t="inlineStr">
        <is>
          <t>DM-36 · Eje A (x = 0.000)</t>
        </is>
      </c>
      <c r="C42" s="41" t="inlineStr">
        <is>
          <t>N+3.00</t>
        </is>
      </c>
      <c r="D42" s="44" t="inlineStr">
        <is>
          <t>(0.00, 7.87) – (0.00, 9.95)</t>
        </is>
      </c>
      <c r="E42" s="36" t="n">
        <v>2.079</v>
      </c>
      <c r="F42" s="43">
        <f>SUMIFS(TRIB!$E$6:$E$255,TRIB!$B$6:$B$255,"DM-36")</f>
        <v>0</v>
      </c>
      <c r="G42" s="36">
        <f>SUMIFS(TRIB!$I$6:$I$255,TRIB!$B$6:$B$255,"DM-36")/E42</f>
        <v>0</v>
      </c>
      <c r="H42" s="70">
        <f>SUMIFS(TRIB!$G$6:$G$255,TRIB!$B$6:$B$255,"DM-36")/E42</f>
        <v>0</v>
      </c>
      <c r="I42" s="44" t="inlineStr">
        <is>
          <t>Muro del entrepiso de abajo (planta baja)</t>
        </is>
      </c>
    </row>
    <row r="43">
      <c r="B43" s="37" t="inlineStr">
        <is>
          <t>DM-37 · Eje A (x = 0.000)</t>
        </is>
      </c>
      <c r="C43" s="41" t="inlineStr">
        <is>
          <t>N+3.00</t>
        </is>
      </c>
      <c r="D43" s="44" t="inlineStr">
        <is>
          <t>(0.00, 9.95) – (0.00, 11.99)</t>
        </is>
      </c>
      <c r="E43" s="36" t="n">
        <v>2.036</v>
      </c>
      <c r="F43" s="43">
        <f>SUMIFS(TRIB!$E$6:$E$255,TRIB!$B$6:$B$255,"DM-37")</f>
        <v>0</v>
      </c>
      <c r="G43" s="36">
        <f>SUMIFS(TRIB!$I$6:$I$255,TRIB!$B$6:$B$255,"DM-37")/E43</f>
        <v>0</v>
      </c>
      <c r="H43" s="70">
        <f>SUMIFS(TRIB!$G$6:$G$255,TRIB!$B$6:$B$255,"DM-37")/E43</f>
        <v>0</v>
      </c>
      <c r="I43" s="44" t="inlineStr">
        <is>
          <t>Muro del entrepiso de abajo (planta baja)</t>
        </is>
      </c>
    </row>
    <row r="44">
      <c r="B44" s="37" t="inlineStr">
        <is>
          <t>DM-38 · Eje A (x = 0.000)</t>
        </is>
      </c>
      <c r="C44" s="41" t="inlineStr">
        <is>
          <t>N+3.00</t>
        </is>
      </c>
      <c r="D44" s="44" t="inlineStr">
        <is>
          <t>(0.00, 11.99) – (0.00, 14.02)</t>
        </is>
      </c>
      <c r="E44" s="36" t="n">
        <v>2.035</v>
      </c>
      <c r="F44" s="43">
        <f>SUMIFS(TRIB!$E$6:$E$255,TRIB!$B$6:$B$255,"DM-38")</f>
        <v>0</v>
      </c>
      <c r="G44" s="36">
        <f>SUMIFS(TRIB!$I$6:$I$255,TRIB!$B$6:$B$255,"DM-38")/E44</f>
        <v>0</v>
      </c>
      <c r="H44" s="70">
        <f>SUMIFS(TRIB!$G$6:$G$255,TRIB!$B$6:$B$255,"DM-38")/E44</f>
        <v>0</v>
      </c>
      <c r="I44" s="44" t="inlineStr">
        <is>
          <t>Muro del entrepiso de abajo (planta baja)</t>
        </is>
      </c>
    </row>
    <row r="45">
      <c r="B45" s="37" t="inlineStr">
        <is>
          <t>DM-39 · Eje A (x = 0.000)</t>
        </is>
      </c>
      <c r="C45" s="41" t="inlineStr">
        <is>
          <t>N+3.00</t>
        </is>
      </c>
      <c r="D45" s="44" t="inlineStr">
        <is>
          <t>(0.00, 14.02) – (0.00, 15.85)</t>
        </is>
      </c>
      <c r="E45" s="36" t="n">
        <v>1.825</v>
      </c>
      <c r="F45" s="43">
        <f>SUMIFS(TRIB!$E$6:$E$255,TRIB!$B$6:$B$255,"DM-39")</f>
        <v>4.4827</v>
      </c>
      <c r="G45" s="36">
        <f>SUMIFS(TRIB!$I$6:$I$255,TRIB!$B$6:$B$255,"DM-39")/E45</f>
        <v>1.71754030752027</v>
      </c>
      <c r="H45" s="70">
        <f>SUMIFS(TRIB!$G$6:$G$255,TRIB!$B$6:$B$255,"DM-39")/E45</f>
        <v>2.32614081073525</v>
      </c>
      <c r="I45" s="44" t="inlineStr">
        <is>
          <t>Muro del entrepiso de abajo (planta baja)</t>
        </is>
      </c>
    </row>
    <row r="46">
      <c r="B46" s="37" t="inlineStr">
        <is>
          <t>DM-40 · Eje A (x = 0.000)</t>
        </is>
      </c>
      <c r="C46" s="41" t="inlineStr">
        <is>
          <t>N+3.00</t>
        </is>
      </c>
      <c r="D46" s="44" t="inlineStr">
        <is>
          <t>(0.00, 15.85) – (0.00, 17.45)</t>
        </is>
      </c>
      <c r="E46" s="36" t="n">
        <v>1.6</v>
      </c>
      <c r="F46" s="43">
        <f>SUMIFS(TRIB!$E$6:$E$255,TRIB!$B$6:$B$255,"DM-40")</f>
        <v>3.84</v>
      </c>
      <c r="G46" s="36">
        <f>SUMIFS(TRIB!$I$6:$I$255,TRIB!$B$6:$B$255,"DM-40")/E46</f>
        <v>1.67281632653061</v>
      </c>
      <c r="H46" s="70">
        <f>SUMIFS(TRIB!$G$6:$G$255,TRIB!$B$6:$B$255,"DM-40")/E46</f>
        <v>2.2658612244898</v>
      </c>
      <c r="I46" s="44" t="inlineStr">
        <is>
          <t>Muro del entrepiso de abajo (planta baja)</t>
        </is>
      </c>
    </row>
    <row r="47">
      <c r="B47" s="37" t="inlineStr">
        <is>
          <t>DM-41 · Eje A (x = 0.000)</t>
        </is>
      </c>
      <c r="C47" s="41" t="inlineStr">
        <is>
          <t>N+3.00</t>
        </is>
      </c>
      <c r="D47" s="44" t="inlineStr">
        <is>
          <t>(0.00, 17.45) – (0.00, 19.45)</t>
        </is>
      </c>
      <c r="E47" s="36" t="n">
        <v>2.001</v>
      </c>
      <c r="F47" s="43">
        <f>SUMIFS(TRIB!$E$6:$E$255,TRIB!$B$6:$B$255,"DM-41")</f>
        <v>2.002</v>
      </c>
      <c r="G47" s="36">
        <f>SUMIFS(TRIB!$I$6:$I$255,TRIB!$B$6:$B$255,"DM-41")/E47</f>
        <v>0.643995145284501</v>
      </c>
      <c r="H47" s="70">
        <f>SUMIFS(TRIB!$G$6:$G$255,TRIB!$B$6:$B$255,"DM-41")/E47</f>
        <v>0.875212679374598</v>
      </c>
      <c r="I47" s="44" t="inlineStr">
        <is>
          <t>Muro del entrepiso de abajo (planta baja)</t>
        </is>
      </c>
    </row>
    <row r="48">
      <c r="B48" s="37" t="inlineStr">
        <is>
          <t>DM-42 · Eje A (x = 0.000)</t>
        </is>
      </c>
      <c r="C48" s="41" t="inlineStr">
        <is>
          <t>N+3.00</t>
        </is>
      </c>
      <c r="D48" s="44" t="inlineStr">
        <is>
          <t>(0.00, 19.45) – (0.00, 21.45)</t>
        </is>
      </c>
      <c r="E48" s="36" t="n">
        <v>1.999</v>
      </c>
      <c r="F48" s="43">
        <f>SUMIFS(TRIB!$E$6:$E$255,TRIB!$B$6:$B$255,"DM-42")</f>
        <v>1.998</v>
      </c>
      <c r="G48" s="36">
        <f>SUMIFS(TRIB!$I$6:$I$255,TRIB!$B$6:$B$255,"DM-42")/E48</f>
        <v>0.643351471654194</v>
      </c>
      <c r="H48" s="70">
        <f>SUMIFS(TRIB!$G$6:$G$255,TRIB!$B$6:$B$255,"DM-42")/E48</f>
        <v>0.8743379036457</v>
      </c>
      <c r="I48" s="44" t="inlineStr">
        <is>
          <t>Muro del entrepiso de abajo (planta baja)</t>
        </is>
      </c>
    </row>
    <row r="49">
      <c r="B49" s="37" t="inlineStr">
        <is>
          <t>DM-43 · Eje A (x = 0.000)</t>
        </is>
      </c>
      <c r="C49" s="41" t="inlineStr">
        <is>
          <t>N+3.00</t>
        </is>
      </c>
      <c r="D49" s="44" t="inlineStr">
        <is>
          <t>(0.00, 21.45) – (0.00, 24.37)</t>
        </is>
      </c>
      <c r="E49" s="36" t="n">
        <v>2.925</v>
      </c>
      <c r="F49" s="43">
        <f>SUMIFS(TRIB!$E$6:$E$255,TRIB!$B$6:$B$255,"DM-43")</f>
        <v>2.7</v>
      </c>
      <c r="G49" s="36">
        <f>SUMIFS(TRIB!$I$6:$I$255,TRIB!$B$6:$B$255,"DM-43")/E49</f>
        <v>0.622878074306646</v>
      </c>
      <c r="H49" s="70">
        <f>SUMIFS(TRIB!$G$6:$G$255,TRIB!$B$6:$B$255,"DM-43")/E49</f>
        <v>0.834356881214024</v>
      </c>
      <c r="I49" s="44" t="inlineStr">
        <is>
          <t>Muro del entrepiso de abajo (planta baja)</t>
        </is>
      </c>
    </row>
    <row r="50">
      <c r="B50" s="37" t="inlineStr">
        <is>
          <t>DM-44 · Eje B (x = 2.925)</t>
        </is>
      </c>
      <c r="C50" s="41" t="inlineStr">
        <is>
          <t>N+3.00</t>
        </is>
      </c>
      <c r="D50" s="44" t="inlineStr">
        <is>
          <t>(2.92, 5.35) – (2.92, 5.95)</t>
        </is>
      </c>
      <c r="E50" s="36" t="n">
        <v>0.6</v>
      </c>
      <c r="F50" s="43">
        <f>SUMIFS(TRIB!$E$6:$E$255,TRIB!$B$6:$B$255,"DM-44")</f>
        <v>0.36</v>
      </c>
      <c r="G50" s="36">
        <f>SUMIFS(TRIB!$I$6:$I$255,TRIB!$B$6:$B$255,"DM-44")/E50</f>
        <v>0.386204081632653</v>
      </c>
      <c r="H50" s="70">
        <f>SUMIFS(TRIB!$G$6:$G$255,TRIB!$B$6:$B$255,"DM-44")/E50</f>
        <v>0.524865306122449</v>
      </c>
      <c r="I50" s="44" t="inlineStr">
        <is>
          <t>Muro del entrepiso de abajo (planta baja)</t>
        </is>
      </c>
    </row>
    <row r="51">
      <c r="B51" s="37" t="inlineStr">
        <is>
          <t>DM-45 · Eje B (x = 2.925)</t>
        </is>
      </c>
      <c r="C51" s="41" t="inlineStr">
        <is>
          <t>N+3.00</t>
        </is>
      </c>
      <c r="D51" s="44" t="inlineStr">
        <is>
          <t>(2.92, 5.95) – (2.92, 6.05)</t>
        </is>
      </c>
      <c r="E51" s="36" t="n">
        <v>0.1</v>
      </c>
      <c r="F51" s="43">
        <f>SUMIFS(TRIB!$E$6:$E$255,TRIB!$B$6:$B$255,"DM-45")</f>
        <v>0.07</v>
      </c>
      <c r="G51" s="36">
        <f>SUMIFS(TRIB!$I$6:$I$255,TRIB!$B$6:$B$255,"DM-45")/E51</f>
        <v>0.450571428571429</v>
      </c>
      <c r="H51" s="70">
        <f>SUMIFS(TRIB!$G$6:$G$255,TRIB!$B$6:$B$255,"DM-45")/E51</f>
        <v>0.612342857142857</v>
      </c>
      <c r="I51" s="44" t="inlineStr">
        <is>
          <t>Muro del entrepiso de abajo (planta baja)</t>
        </is>
      </c>
    </row>
    <row r="52">
      <c r="B52" s="37" t="inlineStr">
        <is>
          <t>DM-46 · Eje B (x = 2.925)</t>
        </is>
      </c>
      <c r="C52" s="41" t="inlineStr">
        <is>
          <t>N+3.00</t>
        </is>
      </c>
      <c r="D52" s="44" t="inlineStr">
        <is>
          <t>(2.92, 6.05) – (2.92, 6.95)</t>
        </is>
      </c>
      <c r="E52" s="36" t="n">
        <v>0.902</v>
      </c>
      <c r="F52" s="43">
        <f>SUMIFS(TRIB!$E$6:$E$255,TRIB!$B$6:$B$255,"DM-46")</f>
        <v>0.6426</v>
      </c>
      <c r="G52" s="36">
        <f>SUMIFS(TRIB!$I$6:$I$255,TRIB!$B$6:$B$255,"DM-46")/E52</f>
        <v>0.458563826417485</v>
      </c>
      <c r="H52" s="70">
        <f>SUMIFS(TRIB!$G$6:$G$255,TRIB!$B$6:$B$255,"DM-46")/E52</f>
        <v>0.623204814697498</v>
      </c>
      <c r="I52" s="44" t="inlineStr">
        <is>
          <t>Muro del entrepiso de abajo (planta baja)</t>
        </is>
      </c>
    </row>
    <row r="53">
      <c r="B53" s="37" t="inlineStr">
        <is>
          <t>DM-47 · Eje E (x = 4.925)</t>
        </is>
      </c>
      <c r="C53" s="41" t="inlineStr">
        <is>
          <t>N+3.00</t>
        </is>
      </c>
      <c r="D53" s="44" t="inlineStr">
        <is>
          <t>(4.92, 15.45) – (4.92, 16.40)</t>
        </is>
      </c>
      <c r="E53" s="36" t="n">
        <v>0.949</v>
      </c>
      <c r="F53" s="43">
        <f>SUMIFS(TRIB!$E$6:$E$255,TRIB!$B$6:$B$255,"DM-47")</f>
        <v>1.134</v>
      </c>
      <c r="G53" s="36">
        <f>SUMIFS(TRIB!$I$6:$I$255,TRIB!$B$6:$B$255,"DM-47")/E53</f>
        <v>0.769152491344272</v>
      </c>
      <c r="H53" s="70">
        <f>SUMIFS(TRIB!$G$6:$G$255,TRIB!$B$6:$B$255,"DM-47")/E53</f>
        <v>1.04530603642932</v>
      </c>
      <c r="I53" s="44" t="inlineStr">
        <is>
          <t>Muro del entrepiso de abajo (planta baja)</t>
        </is>
      </c>
    </row>
    <row r="54">
      <c r="B54" s="37" t="inlineStr">
        <is>
          <t>DM-48 · Eje E (x = 4.925)</t>
        </is>
      </c>
      <c r="C54" s="41" t="inlineStr">
        <is>
          <t>N+3.00</t>
        </is>
      </c>
      <c r="D54" s="44" t="inlineStr">
        <is>
          <t>(4.92, 16.40) – (4.92, 17.45)</t>
        </is>
      </c>
      <c r="E54" s="36" t="n">
        <v>1.05</v>
      </c>
      <c r="F54" s="43">
        <f>SUMIFS(TRIB!$E$6:$E$255,TRIB!$B$6:$B$255,"DM-48")</f>
        <v>0.9163</v>
      </c>
      <c r="G54" s="36">
        <f>SUMIFS(TRIB!$I$6:$I$255,TRIB!$B$6:$B$255,"DM-48")/E54</f>
        <v>0.561712380952381</v>
      </c>
      <c r="H54" s="70">
        <f>SUMIFS(TRIB!$G$6:$G$255,TRIB!$B$6:$B$255,"DM-48")/E54</f>
        <v>0.763387428571429</v>
      </c>
      <c r="I54" s="44" t="inlineStr">
        <is>
          <t>Muro del entrepiso de abajo (planta baja)</t>
        </is>
      </c>
    </row>
    <row r="55">
      <c r="B55" s="37" t="inlineStr">
        <is>
          <t>DM-49 · Eje E (x = 4.925)</t>
        </is>
      </c>
      <c r="C55" s="41" t="inlineStr">
        <is>
          <t>N+3.00</t>
        </is>
      </c>
      <c r="D55" s="44" t="inlineStr">
        <is>
          <t>(4.92, 17.45) – (4.92, 18.15)</t>
        </is>
      </c>
      <c r="E55" s="36" t="n">
        <v>0.7</v>
      </c>
      <c r="F55" s="43">
        <f>SUMIFS(TRIB!$E$6:$E$255,TRIB!$B$6:$B$255,"DM-49")</f>
        <v>0.3885</v>
      </c>
      <c r="G55" s="36">
        <f>SUMIFS(TRIB!$I$6:$I$255,TRIB!$B$6:$B$255,"DM-49")/E55</f>
        <v>0.357238775510204</v>
      </c>
      <c r="H55" s="70">
        <f>SUMIFS(TRIB!$G$6:$G$255,TRIB!$B$6:$B$255,"DM-49")/E55</f>
        <v>0.485500408163265</v>
      </c>
      <c r="I55" s="44" t="inlineStr">
        <is>
          <t>Muro del entrepiso de abajo (planta baja)</t>
        </is>
      </c>
    </row>
    <row r="56">
      <c r="B56" s="37" t="inlineStr">
        <is>
          <t>DM-50 · Eje E (x = 4.925)</t>
        </is>
      </c>
      <c r="C56" s="41" t="inlineStr">
        <is>
          <t>N+3.00</t>
        </is>
      </c>
      <c r="D56" s="44" t="inlineStr">
        <is>
          <t>(4.92, 18.15) – (4.92, 19.20)</t>
        </is>
      </c>
      <c r="E56" s="36" t="n">
        <v>1.054</v>
      </c>
      <c r="F56" s="43">
        <f>SUMIFS(TRIB!$E$6:$E$255,TRIB!$B$6:$B$255,"DM-50")</f>
        <v>1.5563</v>
      </c>
      <c r="G56" s="36">
        <f>SUMIFS(TRIB!$I$6:$I$255,TRIB!$B$6:$B$255,"DM-50")/E56</f>
        <v>0.950426015567517</v>
      </c>
      <c r="H56" s="70">
        <f>SUMIFS(TRIB!$G$6:$G$255,TRIB!$B$6:$B$255,"DM-50")/E56</f>
        <v>1.29166330790381</v>
      </c>
      <c r="I56" s="44" t="inlineStr">
        <is>
          <t>Muro del entrepiso de abajo (planta baja)</t>
        </is>
      </c>
    </row>
    <row r="57">
      <c r="B57" s="37" t="inlineStr">
        <is>
          <t>DM-51 · Eje E (x = 4.925)</t>
        </is>
      </c>
      <c r="C57" s="41" t="inlineStr">
        <is>
          <t>N+3.00</t>
        </is>
      </c>
      <c r="D57" s="44" t="inlineStr">
        <is>
          <t>(4.92, 19.20) – (4.92, 21.45)</t>
        </is>
      </c>
      <c r="E57" s="36" t="n">
        <v>2.246</v>
      </c>
      <c r="F57" s="43">
        <f>SUMIFS(TRIB!$E$6:$E$255,TRIB!$B$6:$B$255,"DM-51")</f>
        <v>2.9896</v>
      </c>
      <c r="G57" s="36">
        <f>SUMIFS(TRIB!$I$6:$I$255,TRIB!$B$6:$B$255,"DM-51")/E57</f>
        <v>0.856779253820852</v>
      </c>
      <c r="H57" s="70">
        <f>SUMIFS(TRIB!$G$6:$G$255,TRIB!$B$6:$B$255,"DM-51")/E57</f>
        <v>1.16439397386737</v>
      </c>
      <c r="I57" s="44" t="inlineStr">
        <is>
          <t>Muro del entrepiso de abajo (planta baja)</t>
        </is>
      </c>
    </row>
    <row r="58">
      <c r="B58" s="37" t="inlineStr">
        <is>
          <t>DM-52 · Eje G (x = 5.923)</t>
        </is>
      </c>
      <c r="C58" s="41" t="inlineStr">
        <is>
          <t>N+3.00</t>
        </is>
      </c>
      <c r="D58" s="44" t="inlineStr">
        <is>
          <t>(5.92, 5.95) – (5.92, 6.95)</t>
        </is>
      </c>
      <c r="E58" s="36" t="n">
        <v>1.002</v>
      </c>
      <c r="F58" s="43">
        <f>SUMIFS(TRIB!$E$6:$E$255,TRIB!$B$6:$B$255,"DM-52")</f>
        <v>0.374</v>
      </c>
      <c r="G58" s="36">
        <f>SUMIFS(TRIB!$I$6:$I$255,TRIB!$B$6:$B$255,"DM-52")/E58</f>
        <v>0.240253370809402</v>
      </c>
      <c r="H58" s="70">
        <f>SUMIFS(TRIB!$G$6:$G$255,TRIB!$B$6:$B$255,"DM-52")/E58</f>
        <v>0.326513014786753</v>
      </c>
      <c r="I58" s="44" t="inlineStr">
        <is>
          <t>Muro del entrepiso de abajo (planta baja)</t>
        </is>
      </c>
    </row>
    <row r="59">
      <c r="B59" s="37" t="inlineStr">
        <is>
          <t>DM-53 · Eje H (x = 7.250)</t>
        </is>
      </c>
      <c r="C59" s="41" t="inlineStr">
        <is>
          <t>N+3.00</t>
        </is>
      </c>
      <c r="D59" s="44" t="inlineStr">
        <is>
          <t>(7.25, 21.45) – (7.25, 24.37)</t>
        </is>
      </c>
      <c r="E59" s="36" t="n">
        <v>2.925</v>
      </c>
      <c r="F59" s="43">
        <f>SUMIFS(TRIB!$E$6:$E$255,TRIB!$B$6:$B$255,"DM-53")</f>
        <v>2.7</v>
      </c>
      <c r="G59" s="36">
        <f>SUMIFS(TRIB!$I$6:$I$255,TRIB!$B$6:$B$255,"DM-53")/E59</f>
        <v>0.649031920460492</v>
      </c>
      <c r="H59" s="70">
        <f>SUMIFS(TRIB!$G$6:$G$255,TRIB!$B$6:$B$255,"DM-53")/E59</f>
        <v>0.878818419675563</v>
      </c>
      <c r="I59" s="44" t="inlineStr">
        <is>
          <t>Muro del entrepiso de abajo (planta baja)</t>
        </is>
      </c>
    </row>
    <row r="60">
      <c r="B60" s="37" t="inlineStr">
        <is>
          <t>DM-54 · Eje J (x = 8.850)</t>
        </is>
      </c>
      <c r="C60" s="41" t="inlineStr">
        <is>
          <t>N+3.00</t>
        </is>
      </c>
      <c r="D60" s="44" t="inlineStr">
        <is>
          <t>(8.85, 0.00) – (8.85, 2.32)</t>
        </is>
      </c>
      <c r="E60" s="36" t="n">
        <v>2.316</v>
      </c>
      <c r="F60" s="43">
        <f>SUMIFS(TRIB!$E$6:$E$255,TRIB!$B$6:$B$255,"DM-54")</f>
        <v>0</v>
      </c>
      <c r="G60" s="36">
        <f>SUMIFS(TRIB!$I$6:$I$255,TRIB!$B$6:$B$255,"DM-54")/E60</f>
        <v>0</v>
      </c>
      <c r="H60" s="70">
        <f>SUMIFS(TRIB!$G$6:$G$255,TRIB!$B$6:$B$255,"DM-54")/E60</f>
        <v>0</v>
      </c>
      <c r="I60" s="44" t="inlineStr">
        <is>
          <t>Muro del entrepiso de abajo (planta baja)</t>
        </is>
      </c>
    </row>
    <row r="61">
      <c r="B61" s="37" t="inlineStr">
        <is>
          <t>DM-55 · Eje J (x = 8.850)</t>
        </is>
      </c>
      <c r="C61" s="41" t="inlineStr">
        <is>
          <t>N+3.00</t>
        </is>
      </c>
      <c r="D61" s="44" t="inlineStr">
        <is>
          <t>(8.85, 2.32) – (8.85, 4.63)</t>
        </is>
      </c>
      <c r="E61" s="36" t="n">
        <v>2.316</v>
      </c>
      <c r="F61" s="43">
        <f>SUMIFS(TRIB!$E$6:$E$255,TRIB!$B$6:$B$255,"DM-55")</f>
        <v>0</v>
      </c>
      <c r="G61" s="36">
        <f>SUMIFS(TRIB!$I$6:$I$255,TRIB!$B$6:$B$255,"DM-55")/E61</f>
        <v>0</v>
      </c>
      <c r="H61" s="70">
        <f>SUMIFS(TRIB!$G$6:$G$255,TRIB!$B$6:$B$255,"DM-55")/E61</f>
        <v>0</v>
      </c>
      <c r="I61" s="44" t="inlineStr">
        <is>
          <t>Muro del entrepiso de abajo (planta baja)</t>
        </is>
      </c>
    </row>
    <row r="62">
      <c r="B62" s="37" t="inlineStr">
        <is>
          <t>DM-56 · Eje J (x = 8.850)</t>
        </is>
      </c>
      <c r="C62" s="41" t="inlineStr">
        <is>
          <t>N+3.00</t>
        </is>
      </c>
      <c r="D62" s="44" t="inlineStr">
        <is>
          <t>(8.85, 4.63) – (8.85, 6.95)</t>
        </is>
      </c>
      <c r="E62" s="36" t="n">
        <v>2.316</v>
      </c>
      <c r="F62" s="43">
        <f>SUMIFS(TRIB!$E$6:$E$255,TRIB!$B$6:$B$255,"DM-56")</f>
        <v>0</v>
      </c>
      <c r="G62" s="36">
        <f>SUMIFS(TRIB!$I$6:$I$255,TRIB!$B$6:$B$255,"DM-56")/E62</f>
        <v>0</v>
      </c>
      <c r="H62" s="70">
        <f>SUMIFS(TRIB!$G$6:$G$255,TRIB!$B$6:$B$255,"DM-56")/E62</f>
        <v>0</v>
      </c>
      <c r="I62" s="44" t="inlineStr">
        <is>
          <t>Muro del entrepiso de abajo (planta baja)</t>
        </is>
      </c>
    </row>
    <row r="63">
      <c r="B63" s="37" t="inlineStr">
        <is>
          <t>DM-57 · Eje J (x = 8.850)</t>
        </is>
      </c>
      <c r="C63" s="41" t="inlineStr">
        <is>
          <t>N+3.00</t>
        </is>
      </c>
      <c r="D63" s="44" t="inlineStr">
        <is>
          <t>(8.85, 6.95) – (8.85, 8.45)</t>
        </is>
      </c>
      <c r="E63" s="36" t="n">
        <v>1.501</v>
      </c>
      <c r="F63" s="43">
        <f>SUMIFS(TRIB!$E$6:$E$255,TRIB!$B$6:$B$255,"DM-57")</f>
        <v>0</v>
      </c>
      <c r="G63" s="36">
        <f>SUMIFS(TRIB!$I$6:$I$255,TRIB!$B$6:$B$255,"DM-57")/E63</f>
        <v>0</v>
      </c>
      <c r="H63" s="70">
        <f>SUMIFS(TRIB!$G$6:$G$255,TRIB!$B$6:$B$255,"DM-57")/E63</f>
        <v>0</v>
      </c>
      <c r="I63" s="44" t="inlineStr">
        <is>
          <t>Muro del entrepiso de abajo (planta baja)</t>
        </is>
      </c>
    </row>
    <row r="64">
      <c r="B64" s="37" t="inlineStr">
        <is>
          <t>DM-58 · Eje J (x = 8.850)</t>
        </is>
      </c>
      <c r="C64" s="41" t="inlineStr">
        <is>
          <t>N+3.00</t>
        </is>
      </c>
      <c r="D64" s="44" t="inlineStr">
        <is>
          <t>(8.85, 8.45) – (8.85, 9.95)</t>
        </is>
      </c>
      <c r="E64" s="36" t="n">
        <v>1.501</v>
      </c>
      <c r="F64" s="43">
        <f>SUMIFS(TRIB!$E$6:$E$255,TRIB!$B$6:$B$255,"DM-58")</f>
        <v>0</v>
      </c>
      <c r="G64" s="36">
        <f>SUMIFS(TRIB!$I$6:$I$255,TRIB!$B$6:$B$255,"DM-58")/E64</f>
        <v>0</v>
      </c>
      <c r="H64" s="70">
        <f>SUMIFS(TRIB!$G$6:$G$255,TRIB!$B$6:$B$255,"DM-58")/E64</f>
        <v>0</v>
      </c>
      <c r="I64" s="44" t="inlineStr">
        <is>
          <t>Muro del entrepiso de abajo (planta baja)</t>
        </is>
      </c>
    </row>
    <row r="65">
      <c r="B65" s="37" t="inlineStr">
        <is>
          <t>DM-59 · Eje J (x = 8.850)</t>
        </is>
      </c>
      <c r="C65" s="41" t="inlineStr">
        <is>
          <t>N+3.00</t>
        </is>
      </c>
      <c r="D65" s="44" t="inlineStr">
        <is>
          <t>(8.85, 9.95) – (8.85, 12.10)</t>
        </is>
      </c>
      <c r="E65" s="36" t="n">
        <v>2.15</v>
      </c>
      <c r="F65" s="43">
        <f>SUMIFS(TRIB!$E$6:$E$255,TRIB!$B$6:$B$255,"DM-59")</f>
        <v>2.2162</v>
      </c>
      <c r="G65" s="36">
        <f>SUMIFS(TRIB!$I$6:$I$255,TRIB!$B$6:$B$255,"DM-59")/E65</f>
        <v>0.678954485049834</v>
      </c>
      <c r="H65" s="70">
        <f>SUMIFS(TRIB!$G$6:$G$255,TRIB!$B$6:$B$255,"DM-59")/E65</f>
        <v>0.921810877076412</v>
      </c>
      <c r="I65" s="44" t="inlineStr">
        <is>
          <t>Muro del entrepiso de abajo (planta baja)</t>
        </is>
      </c>
    </row>
    <row r="66">
      <c r="B66" s="37" t="inlineStr">
        <is>
          <t>DM-60 · Eje J (x = 8.850)</t>
        </is>
      </c>
      <c r="C66" s="41" t="inlineStr">
        <is>
          <t>N+3.00</t>
        </is>
      </c>
      <c r="D66" s="44" t="inlineStr">
        <is>
          <t>(8.85, 12.10) – (8.85, 14.25)</t>
        </is>
      </c>
      <c r="E66" s="36" t="n">
        <v>2.147</v>
      </c>
      <c r="F66" s="43">
        <f>SUMIFS(TRIB!$E$6:$E$255,TRIB!$B$6:$B$255,"DM-60")</f>
        <v>3.5479</v>
      </c>
      <c r="G66" s="36">
        <f>SUMIFS(TRIB!$I$6:$I$255,TRIB!$B$6:$B$255,"DM-60")/E66</f>
        <v>1.08845253937625</v>
      </c>
      <c r="H66" s="70">
        <f>SUMIFS(TRIB!$G$6:$G$255,TRIB!$B$6:$B$255,"DM-60")/E66</f>
        <v>1.47778299145462</v>
      </c>
      <c r="I66" s="44" t="inlineStr">
        <is>
          <t>Muro del entrepiso de abajo (planta baja)</t>
        </is>
      </c>
    </row>
    <row r="67">
      <c r="B67" s="37" t="inlineStr">
        <is>
          <t>DM-61 · Eje J (x = 8.850)</t>
        </is>
      </c>
      <c r="C67" s="41" t="inlineStr">
        <is>
          <t>N+3.00</t>
        </is>
      </c>
      <c r="D67" s="44" t="inlineStr">
        <is>
          <t>(8.85, 14.25) – (8.85, 15.45)</t>
        </is>
      </c>
      <c r="E67" s="36" t="n">
        <v>1.2</v>
      </c>
      <c r="F67" s="43">
        <f>SUMIFS(TRIB!$E$6:$E$255,TRIB!$B$6:$B$255,"DM-61")</f>
        <v>0.72</v>
      </c>
      <c r="G67" s="36">
        <f>SUMIFS(TRIB!$I$6:$I$255,TRIB!$B$6:$B$255,"DM-61")/E67</f>
        <v>0.395204081632653</v>
      </c>
      <c r="H67" s="70">
        <f>SUMIFS(TRIB!$G$6:$G$255,TRIB!$B$6:$B$255,"DM-61")/E67</f>
        <v>0.536565306122449</v>
      </c>
      <c r="I67" s="44" t="inlineStr">
        <is>
          <t>Muro del entrepiso de abajo (planta baja)</t>
        </is>
      </c>
    </row>
    <row r="68">
      <c r="B68" s="37" t="inlineStr">
        <is>
          <t>DM-62 · Eje J (x = 8.850)</t>
        </is>
      </c>
      <c r="C68" s="41" t="inlineStr">
        <is>
          <t>N+3.00</t>
        </is>
      </c>
      <c r="D68" s="44" t="inlineStr">
        <is>
          <t>(8.85, 15.45) – (8.85, 17.45)</t>
        </is>
      </c>
      <c r="E68" s="36" t="n">
        <v>1.999</v>
      </c>
      <c r="F68" s="43">
        <f>SUMIFS(TRIB!$E$6:$E$255,TRIB!$B$6:$B$255,"DM-62")</f>
        <v>0.6798</v>
      </c>
      <c r="G68" s="36">
        <f>SUMIFS(TRIB!$I$6:$I$255,TRIB!$B$6:$B$255,"DM-62")/E68</f>
        <v>0.242698961725761</v>
      </c>
      <c r="H68" s="70">
        <f>SUMIFS(TRIB!$G$6:$G$255,TRIB!$B$6:$B$255,"DM-62")/E68</f>
        <v>0.328431311574154</v>
      </c>
      <c r="I68" s="44" t="inlineStr">
        <is>
          <t>Muro del entrepiso de abajo (planta baja)</t>
        </is>
      </c>
    </row>
    <row r="69">
      <c r="B69" s="37" t="inlineStr">
        <is>
          <t>DM-63 · Eje J (x = 8.850)</t>
        </is>
      </c>
      <c r="C69" s="41" t="inlineStr">
        <is>
          <t>N+3.00</t>
        </is>
      </c>
      <c r="D69" s="44" t="inlineStr">
        <is>
          <t>(8.85, 17.45) – (8.85, 19.45)</t>
        </is>
      </c>
      <c r="E69" s="36" t="n">
        <v>2</v>
      </c>
      <c r="F69" s="43">
        <f>SUMIFS(TRIB!$E$6:$E$255,TRIB!$B$6:$B$255,"DM-63")</f>
        <v>1.9993</v>
      </c>
      <c r="G69" s="36">
        <f>SUMIFS(TRIB!$I$6:$I$255,TRIB!$B$6:$B$255,"DM-63")/E69</f>
        <v>0.64344818367347</v>
      </c>
      <c r="H69" s="70">
        <f>SUMIFS(TRIB!$G$6:$G$255,TRIB!$B$6:$B$255,"DM-63")/E69</f>
        <v>0.87446933877551</v>
      </c>
      <c r="I69" s="44" t="inlineStr">
        <is>
          <t>Muro del entrepiso de abajo (planta baja)</t>
        </is>
      </c>
    </row>
    <row r="70">
      <c r="B70" s="37" t="inlineStr">
        <is>
          <t>DM-64 · Eje J (x = 8.850)</t>
        </is>
      </c>
      <c r="C70" s="41" t="inlineStr">
        <is>
          <t>N+3.00</t>
        </is>
      </c>
      <c r="D70" s="44" t="inlineStr">
        <is>
          <t>(8.85, 19.45) – (8.85, 21.45)</t>
        </is>
      </c>
      <c r="E70" s="36" t="n">
        <v>2</v>
      </c>
      <c r="F70" s="43">
        <f>SUMIFS(TRIB!$E$6:$E$255,TRIB!$B$6:$B$255,"DM-64")</f>
        <v>1.9993</v>
      </c>
      <c r="G70" s="36">
        <f>SUMIFS(TRIB!$I$6:$I$255,TRIB!$B$6:$B$255,"DM-64")/E70</f>
        <v>0.64344818367347</v>
      </c>
      <c r="H70" s="70">
        <f>SUMIFS(TRIB!$G$6:$G$255,TRIB!$B$6:$B$255,"DM-64")/E70</f>
        <v>0.87446933877551</v>
      </c>
      <c r="I70" s="44" t="inlineStr">
        <is>
          <t>Muro del entrepiso de abajo (planta baja)</t>
        </is>
      </c>
    </row>
    <row r="71">
      <c r="B71" s="37" t="inlineStr">
        <is>
          <t>DM-65 · Eje J (x = 8.850)</t>
        </is>
      </c>
      <c r="C71" s="41" t="inlineStr">
        <is>
          <t>N+3.00</t>
        </is>
      </c>
      <c r="D71" s="44" t="inlineStr">
        <is>
          <t>(8.85, 21.45) – (8.85, 24.37)</t>
        </is>
      </c>
      <c r="E71" s="36" t="n">
        <v>2.925</v>
      </c>
      <c r="F71" s="43">
        <f>SUMIFS(TRIB!$E$6:$E$255,TRIB!$B$6:$B$255,"DM-65")</f>
        <v>1.7</v>
      </c>
      <c r="G71" s="36">
        <f>SUMIFS(TRIB!$I$6:$I$255,TRIB!$B$6:$B$255,"DM-65")/E71</f>
        <v>0.411878597592883</v>
      </c>
      <c r="H71" s="70">
        <f>SUMIFS(TRIB!$G$6:$G$255,TRIB!$B$6:$B$255,"DM-65")/E71</f>
        <v>0.557527646956218</v>
      </c>
      <c r="I71" s="44" t="inlineStr">
        <is>
          <t>Muro del entrepiso de abajo (planta baja)</t>
        </is>
      </c>
    </row>
    <row r="72">
      <c r="B72" s="37" t="inlineStr">
        <is>
          <t>DM-66 · Eje 2 (y = 1.919)</t>
        </is>
      </c>
      <c r="C72" s="41" t="inlineStr">
        <is>
          <t>N+6.00</t>
        </is>
      </c>
      <c r="D72" s="44" t="inlineStr">
        <is>
          <t>(0.00, 1.92) – (4.33, 1.92)</t>
        </is>
      </c>
      <c r="E72" s="36" t="n">
        <v>4.327</v>
      </c>
      <c r="F72" s="43">
        <f>SUMIFS(TRIB!$E$6:$E$255,TRIB!$B$6:$B$255,"DM-66")</f>
        <v>1.9168</v>
      </c>
      <c r="G72" s="36">
        <f>SUMIFS(TRIB!$I$6:$I$255,TRIB!$B$6:$B$255,"DM-66")/E72</f>
        <v>0.293997990784019</v>
      </c>
      <c r="H72" s="70">
        <f>SUMIFS(TRIB!$G$6:$G$255,TRIB!$B$6:$B$255,"DM-66")/E72</f>
        <v>0.391057106068681</v>
      </c>
      <c r="I72" s="44" t="inlineStr">
        <is>
          <t>Muro del primer nivel</t>
        </is>
      </c>
    </row>
    <row r="73">
      <c r="B73" s="37" t="inlineStr">
        <is>
          <t>DM-67 · Eje 3 (y = 2.921)</t>
        </is>
      </c>
      <c r="C73" s="41" t="inlineStr">
        <is>
          <t>N+6.00</t>
        </is>
      </c>
      <c r="D73" s="44" t="inlineStr">
        <is>
          <t>(0.00, 2.92) – (0.93, 2.92)</t>
        </is>
      </c>
      <c r="E73" s="36" t="n">
        <v>0.925</v>
      </c>
      <c r="F73" s="43">
        <f>SUMIFS(TRIB!$E$6:$E$255,TRIB!$B$6:$B$255,"DM-67")</f>
        <v>0.7657</v>
      </c>
      <c r="G73" s="36">
        <f>SUMIFS(TRIB!$I$6:$I$255,TRIB!$B$6:$B$255,"DM-67")/E73</f>
        <v>0.570190027578599</v>
      </c>
      <c r="H73" s="70">
        <f>SUMIFS(TRIB!$G$6:$G$255,TRIB!$B$6:$B$255,"DM-67")/E73</f>
        <v>0.757802711527854</v>
      </c>
      <c r="I73" s="44" t="inlineStr">
        <is>
          <t>Muro del primer nivel</t>
        </is>
      </c>
    </row>
    <row r="74">
      <c r="B74" s="37" t="inlineStr">
        <is>
          <t>DM-68 · Eje 3 (y = 2.921)</t>
        </is>
      </c>
      <c r="C74" s="41" t="inlineStr">
        <is>
          <t>N+6.00</t>
        </is>
      </c>
      <c r="D74" s="44" t="inlineStr">
        <is>
          <t>(0.93, 2.92) – (3.58, 2.92)</t>
        </is>
      </c>
      <c r="E74" s="36" t="n">
        <v>2.65</v>
      </c>
      <c r="F74" s="43">
        <f>SUMIFS(TRIB!$E$6:$E$255,TRIB!$B$6:$B$255,"DM-68")</f>
        <v>5.2979</v>
      </c>
      <c r="G74" s="36">
        <f>SUMIFS(TRIB!$I$6:$I$255,TRIB!$B$6:$B$255,"DM-68")/E74</f>
        <v>1.39423949942241</v>
      </c>
      <c r="H74" s="70">
        <f>SUMIFS(TRIB!$G$6:$G$255,TRIB!$B$6:$B$255,"DM-68")/E74</f>
        <v>1.85249550019253</v>
      </c>
      <c r="I74" s="44" t="inlineStr">
        <is>
          <t>Muro del primer nivel</t>
        </is>
      </c>
    </row>
    <row r="75">
      <c r="B75" s="37" t="inlineStr">
        <is>
          <t>DM-69 · Eje 3 (y = 2.921)</t>
        </is>
      </c>
      <c r="C75" s="41" t="inlineStr">
        <is>
          <t>N+6.00</t>
        </is>
      </c>
      <c r="D75" s="44" t="inlineStr">
        <is>
          <t>(3.58, 2.92) – (4.33, 2.92)</t>
        </is>
      </c>
      <c r="E75" s="36" t="n">
        <v>0.752</v>
      </c>
      <c r="F75" s="43">
        <f>SUMIFS(TRIB!$E$6:$E$255,TRIB!$B$6:$B$255,"DM-69")</f>
        <v>0.5341</v>
      </c>
      <c r="G75" s="36">
        <f>SUMIFS(TRIB!$I$6:$I$255,TRIB!$B$6:$B$255,"DM-69")/E75</f>
        <v>0.488289893617021</v>
      </c>
      <c r="H75" s="70">
        <f>SUMIFS(TRIB!$G$6:$G$255,TRIB!$B$6:$B$255,"DM-69")/E75</f>
        <v>0.64898164893617</v>
      </c>
      <c r="I75" s="44" t="inlineStr">
        <is>
          <t>Muro del primer nivel</t>
        </is>
      </c>
    </row>
    <row r="76">
      <c r="B76" s="37" t="inlineStr">
        <is>
          <t>DM-70 · Eje 3 (y = 2.921)</t>
        </is>
      </c>
      <c r="C76" s="41" t="inlineStr">
        <is>
          <t>N+6.00</t>
        </is>
      </c>
      <c r="D76" s="44" t="inlineStr">
        <is>
          <t>(4.33, 2.92) – (5.92, 2.92)</t>
        </is>
      </c>
      <c r="E76" s="36" t="n">
        <v>1.596</v>
      </c>
      <c r="F76" s="43">
        <f>SUMIFS(TRIB!$E$6:$E$255,TRIB!$B$6:$B$255,"DM-70")</f>
        <v>0.6368</v>
      </c>
      <c r="G76" s="36">
        <f>SUMIFS(TRIB!$I$6:$I$255,TRIB!$B$6:$B$255,"DM-70")/E76</f>
        <v>0.264804050943686</v>
      </c>
      <c r="H76" s="70">
        <f>SUMIFS(TRIB!$G$6:$G$255,TRIB!$B$6:$B$255,"DM-70")/E76</f>
        <v>0.352225216101478</v>
      </c>
      <c r="I76" s="44" t="inlineStr">
        <is>
          <t>Muro del primer nivel</t>
        </is>
      </c>
    </row>
    <row r="77">
      <c r="B77" s="37" t="inlineStr">
        <is>
          <t>DM-71 · Eje 5 (y = 5.946)</t>
        </is>
      </c>
      <c r="C77" s="41" t="inlineStr">
        <is>
          <t>N+6.00</t>
        </is>
      </c>
      <c r="D77" s="44" t="inlineStr">
        <is>
          <t>(4.33, 5.95) – (5.30, 5.95)</t>
        </is>
      </c>
      <c r="E77" s="36" t="n">
        <v>0.971</v>
      </c>
      <c r="F77" s="43">
        <f>SUMIFS(TRIB!$E$6:$E$255,TRIB!$B$6:$B$255,"DM-71")</f>
        <v>0.883</v>
      </c>
      <c r="G77" s="36">
        <f>SUMIFS(TRIB!$I$6:$I$255,TRIB!$B$6:$B$255,"DM-71")/E77</f>
        <v>0.623986790390719</v>
      </c>
      <c r="H77" s="70">
        <f>SUMIFS(TRIB!$G$6:$G$255,TRIB!$B$6:$B$255,"DM-71")/E77</f>
        <v>0.829370263141302</v>
      </c>
      <c r="I77" s="44" t="inlineStr">
        <is>
          <t>Muro del primer nivel</t>
        </is>
      </c>
    </row>
    <row r="78">
      <c r="B78" s="37" t="inlineStr">
        <is>
          <t>DM-72 · Eje 5 (y = 5.946)</t>
        </is>
      </c>
      <c r="C78" s="41" t="inlineStr">
        <is>
          <t>N+6.00</t>
        </is>
      </c>
      <c r="D78" s="44" t="inlineStr">
        <is>
          <t>(5.30, 5.95) – (5.92, 5.95)</t>
        </is>
      </c>
      <c r="E78" s="36" t="n">
        <v>0.625</v>
      </c>
      <c r="F78" s="43">
        <f>SUMIFS(TRIB!$E$6:$E$255,TRIB!$B$6:$B$255,"DM-72")</f>
        <v>0.3906</v>
      </c>
      <c r="G78" s="36">
        <f>SUMIFS(TRIB!$I$6:$I$255,TRIB!$B$6:$B$255,"DM-72")/E78</f>
        <v>0.428830971428571</v>
      </c>
      <c r="H78" s="70">
        <f>SUMIFS(TRIB!$G$6:$G$255,TRIB!$B$6:$B$255,"DM-72")/E78</f>
        <v>0.569979462857143</v>
      </c>
      <c r="I78" s="44" t="inlineStr">
        <is>
          <t>Muro del primer nivel</t>
        </is>
      </c>
    </row>
    <row r="79">
      <c r="B79" s="37" t="inlineStr">
        <is>
          <t>DM-73 · Eje 6 (y = 6.948)</t>
        </is>
      </c>
      <c r="C79" s="41" t="inlineStr">
        <is>
          <t>N+6.00</t>
        </is>
      </c>
      <c r="D79" s="44" t="inlineStr">
        <is>
          <t>(5.92, 6.95) – (6.27, 6.95)</t>
        </is>
      </c>
      <c r="E79" s="36" t="n">
        <v>0.349</v>
      </c>
      <c r="F79" s="43">
        <f>SUMIFS(TRIB!$E$6:$E$255,TRIB!$B$6:$B$255,"DM-73")</f>
        <v>0</v>
      </c>
      <c r="G79" s="36">
        <f>SUMIFS(TRIB!$I$6:$I$255,TRIB!$B$6:$B$255,"DM-73")/E79</f>
        <v>0</v>
      </c>
      <c r="H79" s="70">
        <f>SUMIFS(TRIB!$G$6:$G$255,TRIB!$B$6:$B$255,"DM-73")/E79</f>
        <v>0</v>
      </c>
      <c r="I79" s="44" t="inlineStr">
        <is>
          <t>Muro del primer nivel</t>
        </is>
      </c>
    </row>
    <row r="80">
      <c r="B80" s="37" t="inlineStr">
        <is>
          <t>DM-74 · Eje 6 (y = 6.948)</t>
        </is>
      </c>
      <c r="C80" s="41" t="inlineStr">
        <is>
          <t>N+6.00</t>
        </is>
      </c>
      <c r="D80" s="44" t="inlineStr">
        <is>
          <t>(6.27, 6.95) – (8.50, 6.95)</t>
        </is>
      </c>
      <c r="E80" s="36" t="n">
        <v>2.228</v>
      </c>
      <c r="F80" s="43">
        <f>SUMIFS(TRIB!$E$6:$E$255,TRIB!$B$6:$B$255,"DM-74")</f>
        <v>0</v>
      </c>
      <c r="G80" s="36">
        <f>SUMIFS(TRIB!$I$6:$I$255,TRIB!$B$6:$B$255,"DM-74")/E80</f>
        <v>0</v>
      </c>
      <c r="H80" s="70">
        <f>SUMIFS(TRIB!$G$6:$G$255,TRIB!$B$6:$B$255,"DM-74")/E80</f>
        <v>0</v>
      </c>
      <c r="I80" s="44" t="inlineStr">
        <is>
          <t>Muro del primer nivel</t>
        </is>
      </c>
    </row>
    <row r="81">
      <c r="B81" s="37" t="inlineStr">
        <is>
          <t>DM-75 · Eje 6 (y = 6.948)</t>
        </is>
      </c>
      <c r="C81" s="41" t="inlineStr">
        <is>
          <t>N+6.00</t>
        </is>
      </c>
      <c r="D81" s="44" t="inlineStr">
        <is>
          <t>(8.50, 6.95) – (8.85, 6.95)</t>
        </is>
      </c>
      <c r="E81" s="36" t="n">
        <v>0.35</v>
      </c>
      <c r="F81" s="43">
        <f>SUMIFS(TRIB!$E$6:$E$255,TRIB!$B$6:$B$255,"DM-75")</f>
        <v>0</v>
      </c>
      <c r="G81" s="36">
        <f>SUMIFS(TRIB!$I$6:$I$255,TRIB!$B$6:$B$255,"DM-75")/E81</f>
        <v>0</v>
      </c>
      <c r="H81" s="70">
        <f>SUMIFS(TRIB!$G$6:$G$255,TRIB!$B$6:$B$255,"DM-75")/E81</f>
        <v>0</v>
      </c>
      <c r="I81" s="44" t="inlineStr">
        <is>
          <t>Muro del primer nivel</t>
        </is>
      </c>
    </row>
    <row r="82">
      <c r="B82" s="37" t="inlineStr">
        <is>
          <t>DM-76 · Eje 7 (y = 7.871)</t>
        </is>
      </c>
      <c r="C82" s="41" t="inlineStr">
        <is>
          <t>N+6.00</t>
        </is>
      </c>
      <c r="D82" s="44" t="inlineStr">
        <is>
          <t>(0.00, 7.87) – (2.16, 7.87)</t>
        </is>
      </c>
      <c r="E82" s="36" t="n">
        <v>2.163</v>
      </c>
      <c r="F82" s="43">
        <f>SUMIFS(TRIB!$E$6:$E$255,TRIB!$B$6:$B$255,"DM-76")</f>
        <v>2.3393</v>
      </c>
      <c r="G82" s="36">
        <f>SUMIFS(TRIB!$I$6:$I$255,TRIB!$B$6:$B$255,"DM-76")/E82</f>
        <v>0.766435435477936</v>
      </c>
      <c r="H82" s="70">
        <f>SUMIFS(TRIB!$G$6:$G$255,TRIB!$B$6:$B$255,"DM-76")/E82</f>
        <v>1.01799620944078</v>
      </c>
      <c r="I82" s="44" t="inlineStr">
        <is>
          <t>Muro del primer nivel</t>
        </is>
      </c>
    </row>
    <row r="83">
      <c r="B83" s="37" t="inlineStr">
        <is>
          <t>DM-77 · Eje 7 (y = 7.871)</t>
        </is>
      </c>
      <c r="C83" s="41" t="inlineStr">
        <is>
          <t>N+6.00</t>
        </is>
      </c>
      <c r="D83" s="44" t="inlineStr">
        <is>
          <t>(2.16, 7.87) – (4.33, 7.87)</t>
        </is>
      </c>
      <c r="E83" s="36" t="n">
        <v>2.164</v>
      </c>
      <c r="F83" s="43">
        <f>SUMIFS(TRIB!$E$6:$E$255,TRIB!$B$6:$B$255,"DM-77")</f>
        <v>2.3414</v>
      </c>
      <c r="G83" s="36">
        <f>SUMIFS(TRIB!$I$6:$I$255,TRIB!$B$6:$B$255,"DM-77")/E83</f>
        <v>0.766768974687842</v>
      </c>
      <c r="H83" s="70">
        <f>SUMIFS(TRIB!$G$6:$G$255,TRIB!$B$6:$B$255,"DM-77")/E83</f>
        <v>1.01843922347127</v>
      </c>
      <c r="I83" s="44" t="inlineStr">
        <is>
          <t>Muro del primer nivel</t>
        </is>
      </c>
    </row>
    <row r="84">
      <c r="B84" s="37" t="inlineStr">
        <is>
          <t>DM-78 · Eje 8 (y = 9.950)</t>
        </is>
      </c>
      <c r="C84" s="41" t="inlineStr">
        <is>
          <t>N+6.00</t>
        </is>
      </c>
      <c r="D84" s="44" t="inlineStr">
        <is>
          <t>(5.42, 9.95) – (6.28, 9.95)</t>
        </is>
      </c>
      <c r="E84" s="36" t="n">
        <v>0.858</v>
      </c>
      <c r="F84" s="43">
        <f>SUMIFS(TRIB!$E$6:$E$255,TRIB!$B$6:$B$255,"DM-78")</f>
        <v>0.4936</v>
      </c>
      <c r="G84" s="36">
        <f>SUMIFS(TRIB!$I$6:$I$255,TRIB!$B$6:$B$255,"DM-78")/E84</f>
        <v>0.401258420151277</v>
      </c>
      <c r="H84" s="70">
        <f>SUMIFS(TRIB!$G$6:$G$255,TRIB!$B$6:$B$255,"DM-78")/E84</f>
        <v>0.533141773702488</v>
      </c>
      <c r="I84" s="44" t="inlineStr">
        <is>
          <t>Muro del primer nivel</t>
        </is>
      </c>
    </row>
    <row r="85">
      <c r="B85" s="37" t="inlineStr">
        <is>
          <t>DM-79 · Eje 8 (y = 9.950)</t>
        </is>
      </c>
      <c r="C85" s="41" t="inlineStr">
        <is>
          <t>N+6.00</t>
        </is>
      </c>
      <c r="D85" s="44" t="inlineStr">
        <is>
          <t>(6.28, 9.95) – (7.85, 9.95)</t>
        </is>
      </c>
      <c r="E85" s="36" t="n">
        <v>1.57</v>
      </c>
      <c r="F85" s="43">
        <f>SUMIFS(TRIB!$E$6:$E$255,TRIB!$B$6:$B$255,"DM-79")</f>
        <v>2.0697</v>
      </c>
      <c r="G85" s="36">
        <f>SUMIFS(TRIB!$I$6:$I$255,TRIB!$B$6:$B$255,"DM-79")/E85</f>
        <v>0.914456037956584</v>
      </c>
      <c r="H85" s="70">
        <f>SUMIFS(TRIB!$G$6:$G$255,TRIB!$B$6:$B$255,"DM-79")/E85</f>
        <v>1.2151584544391</v>
      </c>
      <c r="I85" s="44" t="inlineStr">
        <is>
          <t>Muro del primer nivel</t>
        </is>
      </c>
    </row>
    <row r="86">
      <c r="B86" s="37" t="inlineStr">
        <is>
          <t>DM-80 · Eje 8 (y = 9.950)</t>
        </is>
      </c>
      <c r="C86" s="41" t="inlineStr">
        <is>
          <t>N+6.00</t>
        </is>
      </c>
      <c r="D86" s="44" t="inlineStr">
        <is>
          <t>(7.85, 9.95) – (8.14, 9.95)</t>
        </is>
      </c>
      <c r="E86" s="36" t="n">
        <v>0.294</v>
      </c>
      <c r="F86" s="43">
        <f>SUMIFS(TRIB!$E$6:$E$255,TRIB!$B$6:$B$255,"DM-80")</f>
        <v>0.2508</v>
      </c>
      <c r="G86" s="36">
        <f>SUMIFS(TRIB!$I$6:$I$255,TRIB!$B$6:$B$255,"DM-80")/E86</f>
        <v>0.591745939192003</v>
      </c>
      <c r="H86" s="70">
        <f>SUMIFS(TRIB!$G$6:$G$255,TRIB!$B$6:$B$255,"DM-80")/E86</f>
        <v>0.7863309454394</v>
      </c>
      <c r="I86" s="44" t="inlineStr">
        <is>
          <t>Muro del primer nivel</t>
        </is>
      </c>
    </row>
    <row r="87">
      <c r="B87" s="37" t="inlineStr">
        <is>
          <t>DM-81 · Eje 8 (y = 9.950)</t>
        </is>
      </c>
      <c r="C87" s="41" t="inlineStr">
        <is>
          <t>N+6.00</t>
        </is>
      </c>
      <c r="D87" s="44" t="inlineStr">
        <is>
          <t>(8.14, 9.95) – (8.85, 9.95)</t>
        </is>
      </c>
      <c r="E87" s="36" t="n">
        <v>0.706</v>
      </c>
      <c r="F87" s="43">
        <f>SUMIFS(TRIB!$E$6:$E$255,TRIB!$B$6:$B$255,"DM-81")</f>
        <v>0.2492</v>
      </c>
      <c r="G87" s="36">
        <f>SUMIFS(TRIB!$I$6:$I$255,TRIB!$B$6:$B$255,"DM-81")/E87</f>
        <v>0.244849048968029</v>
      </c>
      <c r="H87" s="70">
        <f>SUMIFS(TRIB!$G$6:$G$255,TRIB!$B$6:$B$255,"DM-81")/E87</f>
        <v>0.325363253743424</v>
      </c>
      <c r="I87" s="44" t="inlineStr">
        <is>
          <t>Muro del primer nivel</t>
        </is>
      </c>
    </row>
    <row r="88">
      <c r="B88" s="37" t="inlineStr">
        <is>
          <t>DM-82 · y = 14.021</t>
        </is>
      </c>
      <c r="C88" s="41" t="inlineStr">
        <is>
          <t>N+6.00</t>
        </is>
      </c>
      <c r="D88" s="44" t="inlineStr">
        <is>
          <t>(0.00, 14.02) – (1.71, 14.02)</t>
        </is>
      </c>
      <c r="E88" s="36" t="n">
        <v>1.714</v>
      </c>
      <c r="F88" s="43">
        <f>SUMIFS(TRIB!$E$6:$E$255,TRIB!$B$6:$B$255,"DM-82")</f>
        <v>1.1477</v>
      </c>
      <c r="G88" s="36">
        <f>SUMIFS(TRIB!$I$6:$I$255,TRIB!$B$6:$B$255,"DM-82")/E88</f>
        <v>0.46448602147977</v>
      </c>
      <c r="H88" s="70">
        <f>SUMIFS(TRIB!$G$6:$G$255,TRIB!$B$6:$B$255,"DM-82")/E88</f>
        <v>0.617223893267926</v>
      </c>
      <c r="I88" s="44" t="inlineStr">
        <is>
          <t>Muro del primer nivel</t>
        </is>
      </c>
    </row>
    <row r="89">
      <c r="B89" s="37" t="inlineStr">
        <is>
          <t>DM-83 · y = 14.021</t>
        </is>
      </c>
      <c r="C89" s="41" t="inlineStr">
        <is>
          <t>N+6.00</t>
        </is>
      </c>
      <c r="D89" s="44" t="inlineStr">
        <is>
          <t>(1.71, 14.02) – (3.43, 14.02)</t>
        </is>
      </c>
      <c r="E89" s="36" t="n">
        <v>1.713</v>
      </c>
      <c r="F89" s="43">
        <f>SUMIFS(TRIB!$E$6:$E$255,TRIB!$B$6:$B$255,"DM-83")</f>
        <v>1.1468</v>
      </c>
      <c r="G89" s="36">
        <f>SUMIFS(TRIB!$I$6:$I$255,TRIB!$B$6:$B$255,"DM-83")/E89</f>
        <v>0.464392723113764</v>
      </c>
      <c r="H89" s="70">
        <f>SUMIFS(TRIB!$G$6:$G$255,TRIB!$B$6:$B$255,"DM-83")/E89</f>
        <v>0.61709991541275</v>
      </c>
      <c r="I89" s="44" t="inlineStr">
        <is>
          <t>Muro del primer nivel</t>
        </is>
      </c>
    </row>
    <row r="90">
      <c r="B90" s="37" t="inlineStr">
        <is>
          <t>DM-84 · y = 14.021</t>
        </is>
      </c>
      <c r="C90" s="41" t="inlineStr">
        <is>
          <t>N+6.00</t>
        </is>
      </c>
      <c r="D90" s="44" t="inlineStr">
        <is>
          <t>(3.43, 14.02) – (4.25, 14.02)</t>
        </is>
      </c>
      <c r="E90" s="36" t="n">
        <v>0.82</v>
      </c>
      <c r="F90" s="43">
        <f>SUMIFS(TRIB!$E$6:$E$255,TRIB!$B$6:$B$255,"DM-84")</f>
        <v>0.3362</v>
      </c>
      <c r="G90" s="36">
        <f>SUMIFS(TRIB!$I$6:$I$255,TRIB!$B$6:$B$255,"DM-84")/E90</f>
        <v>0.29055612244898</v>
      </c>
      <c r="H90" s="70">
        <f>SUMIFS(TRIB!$G$6:$G$255,TRIB!$B$6:$B$255,"DM-84")/E90</f>
        <v>0.385922959183673</v>
      </c>
      <c r="I90" s="44" t="inlineStr">
        <is>
          <t>Muro del primer nivel</t>
        </is>
      </c>
    </row>
    <row r="91">
      <c r="B91" s="37" t="inlineStr">
        <is>
          <t>DM-85 · y = 14.247</t>
        </is>
      </c>
      <c r="C91" s="41" t="inlineStr">
        <is>
          <t>N+6.00</t>
        </is>
      </c>
      <c r="D91" s="44" t="inlineStr">
        <is>
          <t>(6.25, 14.25) – (8.85, 14.25)</t>
        </is>
      </c>
      <c r="E91" s="36" t="n">
        <v>2.603</v>
      </c>
      <c r="F91" s="43">
        <f>SUMIFS(TRIB!$E$6:$E$255,TRIB!$B$6:$B$255,"DM-85")</f>
        <v>0</v>
      </c>
      <c r="G91" s="36">
        <f>SUMIFS(TRIB!$I$6:$I$255,TRIB!$B$6:$B$255,"DM-85")/E91</f>
        <v>0</v>
      </c>
      <c r="H91" s="70">
        <f>SUMIFS(TRIB!$G$6:$G$255,TRIB!$B$6:$B$255,"DM-85")/E91</f>
        <v>0</v>
      </c>
      <c r="I91" s="44" t="inlineStr">
        <is>
          <t>Muro del primer nivel</t>
        </is>
      </c>
    </row>
    <row r="92">
      <c r="B92" s="37" t="inlineStr">
        <is>
          <t>DM-86 · y = 15.846</t>
        </is>
      </c>
      <c r="C92" s="41" t="inlineStr">
        <is>
          <t>N+6.00</t>
        </is>
      </c>
      <c r="D92" s="44" t="inlineStr">
        <is>
          <t>(0.00, 15.85) – (1.51, 15.85)</t>
        </is>
      </c>
      <c r="E92" s="36" t="n">
        <v>1.514</v>
      </c>
      <c r="F92" s="43">
        <f>SUMIFS(TRIB!$E$6:$E$255,TRIB!$B$6:$B$255,"DM-86")</f>
        <v>1.6709</v>
      </c>
      <c r="G92" s="36">
        <f>SUMIFS(TRIB!$I$6:$I$255,TRIB!$B$6:$B$255,"DM-86")/E92</f>
        <v>0.763230184940555</v>
      </c>
      <c r="H92" s="70">
        <f>SUMIFS(TRIB!$G$6:$G$255,TRIB!$B$6:$B$255,"DM-86")/E92</f>
        <v>1.01427189564069</v>
      </c>
      <c r="I92" s="44" t="inlineStr">
        <is>
          <t>Muro del primer nivel</t>
        </is>
      </c>
    </row>
    <row r="93">
      <c r="B93" s="37" t="inlineStr">
        <is>
          <t>DM-87 · y = 15.846</t>
        </is>
      </c>
      <c r="C93" s="41" t="inlineStr">
        <is>
          <t>N+6.00</t>
        </is>
      </c>
      <c r="D93" s="44" t="inlineStr">
        <is>
          <t>(1.51, 15.85) – (3.03, 15.85)</t>
        </is>
      </c>
      <c r="E93" s="36" t="n">
        <v>1.515</v>
      </c>
      <c r="F93" s="43">
        <f>SUMIFS(TRIB!$E$6:$E$255,TRIB!$B$6:$B$255,"DM-87")</f>
        <v>1.9564</v>
      </c>
      <c r="G93" s="36">
        <f>SUMIFS(TRIB!$I$6:$I$255,TRIB!$B$6:$B$255,"DM-87")/E93</f>
        <v>0.893446386475382</v>
      </c>
      <c r="H93" s="70">
        <f>SUMIFS(TRIB!$G$6:$G$255,TRIB!$B$6:$B$255,"DM-87")/E93</f>
        <v>1.18730736512427</v>
      </c>
      <c r="I93" s="44" t="inlineStr">
        <is>
          <t>Muro del primer nivel</t>
        </is>
      </c>
    </row>
    <row r="94">
      <c r="B94" s="37" t="inlineStr">
        <is>
          <t>DM-88 · y = 15.846</t>
        </is>
      </c>
      <c r="C94" s="41" t="inlineStr">
        <is>
          <t>N+6.00</t>
        </is>
      </c>
      <c r="D94" s="44" t="inlineStr">
        <is>
          <t>(3.03, 15.85) – (3.43, 15.85)</t>
        </is>
      </c>
      <c r="E94" s="36" t="n">
        <v>0.398</v>
      </c>
      <c r="F94" s="43">
        <f>SUMIFS(TRIB!$E$6:$E$255,TRIB!$B$6:$B$255,"DM-88")</f>
        <v>0.1584</v>
      </c>
      <c r="G94" s="36">
        <f>SUMIFS(TRIB!$I$6:$I$255,TRIB!$B$6:$B$255,"DM-88")/E94</f>
        <v>0.279059993846785</v>
      </c>
      <c r="H94" s="70">
        <f>SUMIFS(TRIB!$G$6:$G$255,TRIB!$B$6:$B$255,"DM-88")/E94</f>
        <v>0.370737790995795</v>
      </c>
      <c r="I94" s="44" t="inlineStr">
        <is>
          <t>Muro del primer nivel</t>
        </is>
      </c>
    </row>
    <row r="95">
      <c r="B95" s="37" t="inlineStr">
        <is>
          <t>DM-89 · y = 15.846</t>
        </is>
      </c>
      <c r="C95" s="41" t="inlineStr">
        <is>
          <t>N+6.00</t>
        </is>
      </c>
      <c r="D95" s="44" t="inlineStr">
        <is>
          <t>(5.42, 15.85) – (5.82, 15.85)</t>
        </is>
      </c>
      <c r="E95" s="36" t="n">
        <v>0.4</v>
      </c>
      <c r="F95" s="43">
        <f>SUMIFS(TRIB!$E$6:$E$255,TRIB!$B$6:$B$255,"DM-89")</f>
        <v>0.16</v>
      </c>
      <c r="G95" s="36">
        <f>SUMIFS(TRIB!$I$6:$I$255,TRIB!$B$6:$B$255,"DM-89")/E95</f>
        <v>0.280469387755102</v>
      </c>
      <c r="H95" s="70">
        <f>SUMIFS(TRIB!$G$6:$G$255,TRIB!$B$6:$B$255,"DM-89")/E95</f>
        <v>0.372610204081633</v>
      </c>
      <c r="I95" s="44" t="inlineStr">
        <is>
          <t>Muro del primer nivel</t>
        </is>
      </c>
    </row>
    <row r="96">
      <c r="B96" s="37" t="inlineStr">
        <is>
          <t>DM-90 · y = 15.846</t>
        </is>
      </c>
      <c r="C96" s="41" t="inlineStr">
        <is>
          <t>N+6.00</t>
        </is>
      </c>
      <c r="D96" s="44" t="inlineStr">
        <is>
          <t>(5.82, 15.85) – (7.34, 15.85)</t>
        </is>
      </c>
      <c r="E96" s="36" t="n">
        <v>1.514</v>
      </c>
      <c r="F96" s="43">
        <f>SUMIFS(TRIB!$E$6:$E$255,TRIB!$B$6:$B$255,"DM-90")</f>
        <v>2.2654</v>
      </c>
      <c r="G96" s="36">
        <f>SUMIFS(TRIB!$I$6:$I$255,TRIB!$B$6:$B$255,"DM-90")/E96</f>
        <v>1.03611583721996</v>
      </c>
      <c r="H96" s="70">
        <f>SUMIFS(TRIB!$G$6:$G$255,TRIB!$B$6:$B$255,"DM-90")/E96</f>
        <v>1.37687661216402</v>
      </c>
      <c r="I96" s="44" t="inlineStr">
        <is>
          <t>Muro del primer nivel</t>
        </is>
      </c>
    </row>
    <row r="97">
      <c r="B97" s="37" t="inlineStr">
        <is>
          <t>DM-91 · y = 15.846</t>
        </is>
      </c>
      <c r="C97" s="41" t="inlineStr">
        <is>
          <t>N+6.00</t>
        </is>
      </c>
      <c r="D97" s="44" t="inlineStr">
        <is>
          <t>(7.34, 15.85) – (8.85, 15.85)</t>
        </is>
      </c>
      <c r="E97" s="36" t="n">
        <v>1.514</v>
      </c>
      <c r="F97" s="43">
        <f>SUMIFS(TRIB!$E$6:$E$255,TRIB!$B$6:$B$255,"DM-91")</f>
        <v>1.6998</v>
      </c>
      <c r="G97" s="36">
        <f>SUMIFS(TRIB!$I$6:$I$255,TRIB!$B$6:$B$255,"DM-91")/E97</f>
        <v>0.776973357506807</v>
      </c>
      <c r="H97" s="70">
        <f>SUMIFS(TRIB!$G$6:$G$255,TRIB!$B$6:$B$255,"DM-91")/E97</f>
        <v>1.03251979012213</v>
      </c>
      <c r="I97" s="44" t="inlineStr">
        <is>
          <t>Muro del primer nivel</t>
        </is>
      </c>
    </row>
    <row r="98">
      <c r="B98" s="37" t="inlineStr">
        <is>
          <t>DM-92 · Eje 12 (y = 17.446)</t>
        </is>
      </c>
      <c r="C98" s="41" t="inlineStr">
        <is>
          <t>N+6.00</t>
        </is>
      </c>
      <c r="D98" s="44" t="inlineStr">
        <is>
          <t>(0.00, 17.45) – (2.13, 17.45)</t>
        </is>
      </c>
      <c r="E98" s="36" t="n">
        <v>2.129</v>
      </c>
      <c r="F98" s="43">
        <f>SUMIFS(TRIB!$E$6:$E$255,TRIB!$B$6:$B$255,"DM-92")</f>
        <v>2.4128</v>
      </c>
      <c r="G98" s="36">
        <f>SUMIFS(TRIB!$I$6:$I$255,TRIB!$B$6:$B$255,"DM-92")/E98</f>
        <v>0.79638391119717</v>
      </c>
      <c r="H98" s="70">
        <f>SUMIFS(TRIB!$G$6:$G$255,TRIB!$B$6:$B$255,"DM-92")/E98</f>
        <v>1.05796512495087</v>
      </c>
      <c r="I98" s="44" t="inlineStr">
        <is>
          <t>Muro del primer nivel</t>
        </is>
      </c>
    </row>
    <row r="99">
      <c r="B99" s="37" t="inlineStr">
        <is>
          <t>DM-93 · Eje 12 (y = 17.446)</t>
        </is>
      </c>
      <c r="C99" s="41" t="inlineStr">
        <is>
          <t>N+6.00</t>
        </is>
      </c>
      <c r="D99" s="44" t="inlineStr">
        <is>
          <t>(2.13, 17.45) – (3.03, 17.45)</t>
        </is>
      </c>
      <c r="E99" s="36" t="n">
        <v>0.9</v>
      </c>
      <c r="F99" s="43">
        <f>SUMIFS(TRIB!$E$6:$E$255,TRIB!$B$6:$B$255,"DM-93")</f>
        <v>1.6875</v>
      </c>
      <c r="G99" s="36">
        <f>SUMIFS(TRIB!$I$6:$I$255,TRIB!$B$6:$B$255,"DM-93")/E99</f>
        <v>1.31823275510204</v>
      </c>
      <c r="H99" s="70">
        <f>SUMIFS(TRIB!$G$6:$G$255,TRIB!$B$6:$B$255,"DM-93")/E99</f>
        <v>1.75120258163265</v>
      </c>
      <c r="I99" s="44" t="inlineStr">
        <is>
          <t>Muro del primer nivel</t>
        </is>
      </c>
    </row>
    <row r="100">
      <c r="B100" s="37" t="inlineStr">
        <is>
          <t>DM-94 · Eje 12 (y = 17.446)</t>
        </is>
      </c>
      <c r="C100" s="41" t="inlineStr">
        <is>
          <t>N+6.00</t>
        </is>
      </c>
      <c r="D100" s="44" t="inlineStr">
        <is>
          <t>(3.03, 17.45) – (3.43, 17.45)</t>
        </is>
      </c>
      <c r="E100" s="36" t="n">
        <v>0.4</v>
      </c>
      <c r="F100" s="43">
        <f>SUMIFS(TRIB!$E$6:$E$255,TRIB!$B$6:$B$255,"DM-94")</f>
        <v>0.5588</v>
      </c>
      <c r="G100" s="36">
        <f>SUMIFS(TRIB!$I$6:$I$255,TRIB!$B$6:$B$255,"DM-94")/E100</f>
        <v>0.984031836734694</v>
      </c>
      <c r="H100" s="70">
        <f>SUMIFS(TRIB!$G$6:$G$255,TRIB!$B$6:$B$255,"DM-94")/E100</f>
        <v>1.3071813877551</v>
      </c>
      <c r="I100" s="44" t="inlineStr">
        <is>
          <t>Muro del primer nivel</t>
        </is>
      </c>
    </row>
    <row r="101">
      <c r="B101" s="37" t="inlineStr">
        <is>
          <t>DM-95 · Eje 12 (y = 17.446)</t>
        </is>
      </c>
      <c r="C101" s="41" t="inlineStr">
        <is>
          <t>N+6.00</t>
        </is>
      </c>
      <c r="D101" s="44" t="inlineStr">
        <is>
          <t>(3.43, 17.45) – (4.43, 17.45)</t>
        </is>
      </c>
      <c r="E101" s="36" t="n">
        <v>0.997</v>
      </c>
      <c r="F101" s="43">
        <f>SUMIFS(TRIB!$E$6:$E$255,TRIB!$B$6:$B$255,"DM-95")</f>
        <v>1.3928</v>
      </c>
      <c r="G101" s="36">
        <f>SUMIFS(TRIB!$I$6:$I$255,TRIB!$B$6:$B$255,"DM-95")/E101</f>
        <v>0.987517962049413</v>
      </c>
      <c r="H101" s="70">
        <f>SUMIFS(TRIB!$G$6:$G$255,TRIB!$B$6:$B$255,"DM-95")/E101</f>
        <v>1.31171317012261</v>
      </c>
      <c r="I101" s="44" t="inlineStr">
        <is>
          <t>Muro del primer nivel</t>
        </is>
      </c>
    </row>
    <row r="102">
      <c r="B102" s="37" t="inlineStr">
        <is>
          <t>DM-96 · Eje 12 (y = 17.446)</t>
        </is>
      </c>
      <c r="C102" s="41" t="inlineStr">
        <is>
          <t>N+6.00</t>
        </is>
      </c>
      <c r="D102" s="44" t="inlineStr">
        <is>
          <t>(4.43, 17.45) – (5.42, 17.45)</t>
        </is>
      </c>
      <c r="E102" s="36" t="n">
        <v>0.996</v>
      </c>
      <c r="F102" s="43">
        <f>SUMIFS(TRIB!$E$6:$E$255,TRIB!$B$6:$B$255,"DM-96")</f>
        <v>1.3904</v>
      </c>
      <c r="G102" s="36">
        <f>SUMIFS(TRIB!$I$6:$I$255,TRIB!$B$6:$B$255,"DM-96")/E102</f>
        <v>0.986806819113188</v>
      </c>
      <c r="H102" s="70">
        <f>SUMIFS(TRIB!$G$6:$G$255,TRIB!$B$6:$B$255,"DM-96")/E102</f>
        <v>1.310768543562</v>
      </c>
      <c r="I102" s="44" t="inlineStr">
        <is>
          <t>Muro del primer nivel</t>
        </is>
      </c>
    </row>
    <row r="103">
      <c r="B103" s="37" t="inlineStr">
        <is>
          <t>DM-97 · Eje 12 (y = 17.446)</t>
        </is>
      </c>
      <c r="C103" s="41" t="inlineStr">
        <is>
          <t>N+6.00</t>
        </is>
      </c>
      <c r="D103" s="44" t="inlineStr">
        <is>
          <t>(5.42, 17.45) – (5.82, 17.45)</t>
        </is>
      </c>
      <c r="E103" s="36" t="n">
        <v>0.4</v>
      </c>
      <c r="F103" s="43">
        <f>SUMIFS(TRIB!$E$6:$E$255,TRIB!$B$6:$B$255,"DM-97")</f>
        <v>0.5584</v>
      </c>
      <c r="G103" s="36">
        <f>SUMIFS(TRIB!$I$6:$I$255,TRIB!$B$6:$B$255,"DM-97")/E103</f>
        <v>0.983328163265306</v>
      </c>
      <c r="H103" s="70">
        <f>SUMIFS(TRIB!$G$6:$G$255,TRIB!$B$6:$B$255,"DM-97")/E103</f>
        <v>1.3062466122449</v>
      </c>
      <c r="I103" s="44" t="inlineStr">
        <is>
          <t>Muro del primer nivel</t>
        </is>
      </c>
    </row>
    <row r="104">
      <c r="B104" s="37" t="inlineStr">
        <is>
          <t>DM-98 · Eje 12 (y = 17.446)</t>
        </is>
      </c>
      <c r="C104" s="41" t="inlineStr">
        <is>
          <t>N+6.00</t>
        </is>
      </c>
      <c r="D104" s="44" t="inlineStr">
        <is>
          <t>(5.82, 17.45) – (6.72, 17.45)</t>
        </is>
      </c>
      <c r="E104" s="36" t="n">
        <v>0.9</v>
      </c>
      <c r="F104" s="43">
        <f>SUMIFS(TRIB!$E$6:$E$255,TRIB!$B$6:$B$255,"DM-98")</f>
        <v>1.6867</v>
      </c>
      <c r="G104" s="36">
        <f>SUMIFS(TRIB!$I$6:$I$255,TRIB!$B$6:$B$255,"DM-98")/E104</f>
        <v>1.31761060090703</v>
      </c>
      <c r="H104" s="70">
        <f>SUMIFS(TRIB!$G$6:$G$255,TRIB!$B$6:$B$255,"DM-98")/E104</f>
        <v>1.75037600340136</v>
      </c>
      <c r="I104" s="44" t="inlineStr">
        <is>
          <t>Muro del primer nivel</t>
        </is>
      </c>
    </row>
    <row r="105">
      <c r="B105" s="37" t="inlineStr">
        <is>
          <t>DM-99 · Eje 12 (y = 17.446)</t>
        </is>
      </c>
      <c r="C105" s="41" t="inlineStr">
        <is>
          <t>N+6.00</t>
        </is>
      </c>
      <c r="D105" s="44" t="inlineStr">
        <is>
          <t>(6.72, 17.45) – (6.89, 17.45)</t>
        </is>
      </c>
      <c r="E105" s="36" t="n">
        <v>0.165</v>
      </c>
      <c r="F105" s="43">
        <f>SUMIFS(TRIB!$E$6:$E$255,TRIB!$B$6:$B$255,"DM-99")</f>
        <v>0.3415</v>
      </c>
      <c r="G105" s="36">
        <f>SUMIFS(TRIB!$I$6:$I$255,TRIB!$B$6:$B$255,"DM-99")/E105</f>
        <v>1.4552817563389</v>
      </c>
      <c r="H105" s="70">
        <f>SUMIFS(TRIB!$G$6:$G$255,TRIB!$B$6:$B$255,"DM-99")/E105</f>
        <v>1.93326022263451</v>
      </c>
      <c r="I105" s="44" t="inlineStr">
        <is>
          <t>Muro del primer nivel</t>
        </is>
      </c>
    </row>
    <row r="106">
      <c r="B106" s="37" t="inlineStr">
        <is>
          <t>DM-100 · Eje 12 (y = 17.446)</t>
        </is>
      </c>
      <c r="C106" s="41" t="inlineStr">
        <is>
          <t>N+6.00</t>
        </is>
      </c>
      <c r="D106" s="44" t="inlineStr">
        <is>
          <t>(6.89, 17.45) – (8.85, 17.45)</t>
        </is>
      </c>
      <c r="E106" s="36" t="n">
        <v>1.963</v>
      </c>
      <c r="F106" s="43">
        <f>SUMIFS(TRIB!$E$6:$E$255,TRIB!$B$6:$B$255,"DM-100")</f>
        <v>2.0692</v>
      </c>
      <c r="G106" s="36">
        <f>SUMIFS(TRIB!$I$6:$I$255,TRIB!$B$6:$B$255,"DM-100")/E106</f>
        <v>0.740653918928753</v>
      </c>
      <c r="H106" s="70">
        <f>SUMIFS(TRIB!$G$6:$G$255,TRIB!$B$6:$B$255,"DM-100")/E106</f>
        <v>0.983932111927807</v>
      </c>
      <c r="I106" s="44" t="inlineStr">
        <is>
          <t>Muro del primer nivel</t>
        </is>
      </c>
    </row>
    <row r="107">
      <c r="B107" s="37" t="inlineStr">
        <is>
          <t>DM-101 · Eje 14 (y = 21.446)</t>
        </is>
      </c>
      <c r="C107" s="41" t="inlineStr">
        <is>
          <t>N+6.00</t>
        </is>
      </c>
      <c r="D107" s="44" t="inlineStr">
        <is>
          <t>(0.00, 21.45) – (0.93, 21.45)</t>
        </is>
      </c>
      <c r="E107" s="36" t="n">
        <v>0.925</v>
      </c>
      <c r="F107" s="43">
        <f>SUMIFS(TRIB!$E$6:$E$255,TRIB!$B$6:$B$255,"DM-101")</f>
        <v>0.4278</v>
      </c>
      <c r="G107" s="36">
        <f>SUMIFS(TRIB!$I$6:$I$255,TRIB!$B$6:$B$255,"DM-101")/E107</f>
        <v>0.325439470490899</v>
      </c>
      <c r="H107" s="70">
        <f>SUMIFS(TRIB!$G$6:$G$255,TRIB!$B$6:$B$255,"DM-101")/E107</f>
        <v>0.432321041367898</v>
      </c>
      <c r="I107" s="44" t="inlineStr">
        <is>
          <t>Muro del primer nivel</t>
        </is>
      </c>
    </row>
    <row r="108">
      <c r="B108" s="37" t="inlineStr">
        <is>
          <t>DM-102 · Eje 14 (y = 21.446)</t>
        </is>
      </c>
      <c r="C108" s="41" t="inlineStr">
        <is>
          <t>N+6.00</t>
        </is>
      </c>
      <c r="D108" s="44" t="inlineStr">
        <is>
          <t>(0.93, 21.45) – (2.93, 21.45)</t>
        </is>
      </c>
      <c r="E108" s="36" t="n">
        <v>2.002</v>
      </c>
      <c r="F108" s="43">
        <f>SUMIFS(TRIB!$E$6:$E$255,TRIB!$B$6:$B$255,"DM-102")</f>
        <v>3.3007</v>
      </c>
      <c r="G108" s="36">
        <f>SUMIFS(TRIB!$I$6:$I$255,TRIB!$B$6:$B$255,"DM-102")/E108</f>
        <v>1.16014736284124</v>
      </c>
      <c r="H108" s="70">
        <f>SUMIFS(TRIB!$G$6:$G$255,TRIB!$B$6:$B$255,"DM-102")/E108</f>
        <v>1.54116559766764</v>
      </c>
      <c r="I108" s="44" t="inlineStr">
        <is>
          <t>Muro del primer nivel</t>
        </is>
      </c>
    </row>
    <row r="109">
      <c r="B109" s="37" t="inlineStr">
        <is>
          <t>DM-103 · Eje 14 (y = 21.446)</t>
        </is>
      </c>
      <c r="C109" s="41" t="inlineStr">
        <is>
          <t>N+6.00</t>
        </is>
      </c>
      <c r="D109" s="44" t="inlineStr">
        <is>
          <t>(2.93, 21.45) – (4.43, 21.45)</t>
        </is>
      </c>
      <c r="E109" s="36" t="n">
        <v>1.499</v>
      </c>
      <c r="F109" s="43">
        <f>SUMIFS(TRIB!$E$6:$E$255,TRIB!$B$6:$B$255,"DM-103")</f>
        <v>1.1235</v>
      </c>
      <c r="G109" s="36">
        <f>SUMIFS(TRIB!$I$6:$I$255,TRIB!$B$6:$B$255,"DM-103")/E109</f>
        <v>0.527403030591823</v>
      </c>
      <c r="H109" s="70">
        <f>SUMIFS(TRIB!$G$6:$G$255,TRIB!$B$6:$B$255,"DM-103")/E109</f>
        <v>0.700613933098256</v>
      </c>
      <c r="I109" s="44" t="inlineStr">
        <is>
          <t>Muro del primer nivel</t>
        </is>
      </c>
    </row>
    <row r="110">
      <c r="B110" s="37" t="inlineStr">
        <is>
          <t>DM-104 · Eje 14 (y = 21.446)</t>
        </is>
      </c>
      <c r="C110" s="41" t="inlineStr">
        <is>
          <t>N+6.00</t>
        </is>
      </c>
      <c r="D110" s="44" t="inlineStr">
        <is>
          <t>(4.43, 21.45) – (5.92, 21.45)</t>
        </is>
      </c>
      <c r="E110" s="36" t="n">
        <v>1.499</v>
      </c>
      <c r="F110" s="43">
        <f>SUMIFS(TRIB!$E$6:$E$255,TRIB!$B$6:$B$255,"DM-104")</f>
        <v>1.1235</v>
      </c>
      <c r="G110" s="36">
        <f>SUMIFS(TRIB!$I$6:$I$255,TRIB!$B$6:$B$255,"DM-104")/E110</f>
        <v>0.527403030591823</v>
      </c>
      <c r="H110" s="70">
        <f>SUMIFS(TRIB!$G$6:$G$255,TRIB!$B$6:$B$255,"DM-104")/E110</f>
        <v>0.700613933098256</v>
      </c>
      <c r="I110" s="44" t="inlineStr">
        <is>
          <t>Muro del primer nivel</t>
        </is>
      </c>
    </row>
    <row r="111">
      <c r="B111" s="37" t="inlineStr">
        <is>
          <t>DM-105 · Eje 14 (y = 21.446)</t>
        </is>
      </c>
      <c r="C111" s="41" t="inlineStr">
        <is>
          <t>N+6.00</t>
        </is>
      </c>
      <c r="D111" s="44" t="inlineStr">
        <is>
          <t>(5.92, 21.45) – (7.92, 21.45)</t>
        </is>
      </c>
      <c r="E111" s="36" t="n">
        <v>2</v>
      </c>
      <c r="F111" s="43">
        <f>SUMIFS(TRIB!$E$6:$E$255,TRIB!$B$6:$B$255,"DM-105")</f>
        <v>3.2967</v>
      </c>
      <c r="G111" s="36">
        <f>SUMIFS(TRIB!$I$6:$I$255,TRIB!$B$6:$B$255,"DM-105")/E111</f>
        <v>1.15990016326531</v>
      </c>
      <c r="H111" s="70">
        <f>SUMIFS(TRIB!$G$6:$G$255,TRIB!$B$6:$B$255,"DM-105")/E111</f>
        <v>1.5408372122449</v>
      </c>
      <c r="I111" s="44" t="inlineStr">
        <is>
          <t>Muro del primer nivel</t>
        </is>
      </c>
    </row>
    <row r="112">
      <c r="B112" s="37" t="inlineStr">
        <is>
          <t>DM-106 · Eje 14 (y = 21.446)</t>
        </is>
      </c>
      <c r="C112" s="41" t="inlineStr">
        <is>
          <t>N+6.00</t>
        </is>
      </c>
      <c r="D112" s="44" t="inlineStr">
        <is>
          <t>(7.92, 21.45) – (8.85, 21.45)</t>
        </is>
      </c>
      <c r="E112" s="36" t="n">
        <v>0.925</v>
      </c>
      <c r="F112" s="43">
        <f>SUMIFS(TRIB!$E$6:$E$255,TRIB!$B$6:$B$255,"DM-106")</f>
        <v>0.4278</v>
      </c>
      <c r="G112" s="36">
        <f>SUMIFS(TRIB!$I$6:$I$255,TRIB!$B$6:$B$255,"DM-106")/E112</f>
        <v>0.325439470490899</v>
      </c>
      <c r="H112" s="70">
        <f>SUMIFS(TRIB!$G$6:$G$255,TRIB!$B$6:$B$255,"DM-106")/E112</f>
        <v>0.432321041367898</v>
      </c>
      <c r="I112" s="44" t="inlineStr">
        <is>
          <t>Muro del primer nivel</t>
        </is>
      </c>
    </row>
    <row r="113">
      <c r="B113" s="37" t="inlineStr">
        <is>
          <t>DM-107 · Eje A (x = 0.000)</t>
        </is>
      </c>
      <c r="C113" s="41" t="inlineStr">
        <is>
          <t>N+6.00</t>
        </is>
      </c>
      <c r="D113" s="44" t="inlineStr">
        <is>
          <t>(0.00, 1.92) – (0.00, 2.92)</t>
        </is>
      </c>
      <c r="E113" s="36" t="n">
        <v>1.002</v>
      </c>
      <c r="F113" s="43">
        <f>SUMIFS(TRIB!$E$6:$E$255,TRIB!$B$6:$B$255,"DM-107")</f>
        <v>0.251</v>
      </c>
      <c r="G113" s="36">
        <f>SUMIFS(TRIB!$I$6:$I$255,TRIB!$B$6:$B$255,"DM-107")/E113</f>
        <v>0.166249541732861</v>
      </c>
      <c r="H113" s="70">
        <f>SUMIFS(TRIB!$G$6:$G$255,TRIB!$B$6:$B$255,"DM-107")/E113</f>
        <v>0.221134384292639</v>
      </c>
      <c r="I113" s="44" t="inlineStr">
        <is>
          <t>Muro del primer nivel</t>
        </is>
      </c>
    </row>
    <row r="114">
      <c r="B114" s="37" t="inlineStr">
        <is>
          <t>DM-108 · Eje A (x = 0.000)</t>
        </is>
      </c>
      <c r="C114" s="41" t="inlineStr">
        <is>
          <t>N+6.00</t>
        </is>
      </c>
      <c r="D114" s="44" t="inlineStr">
        <is>
          <t>(0.00, 2.92) – (0.00, 5.35)</t>
        </is>
      </c>
      <c r="E114" s="36" t="n">
        <v>2.425</v>
      </c>
      <c r="F114" s="43">
        <f>SUMIFS(TRIB!$E$6:$E$255,TRIB!$B$6:$B$255,"DM-108")</f>
        <v>2.9061</v>
      </c>
      <c r="G114" s="36">
        <f>SUMIFS(TRIB!$I$6:$I$255,TRIB!$B$6:$B$255,"DM-108")/E114</f>
        <v>0.849268440984641</v>
      </c>
      <c r="H114" s="70">
        <f>SUMIFS(TRIB!$G$6:$G$255,TRIB!$B$6:$B$255,"DM-108")/E114</f>
        <v>1.12801680833158</v>
      </c>
      <c r="I114" s="44" t="inlineStr">
        <is>
          <t>Muro del primer nivel</t>
        </is>
      </c>
    </row>
    <row r="115">
      <c r="B115" s="37" t="inlineStr">
        <is>
          <t>DM-109 · Eje A (x = 0.000)</t>
        </is>
      </c>
      <c r="C115" s="41" t="inlineStr">
        <is>
          <t>N+6.00</t>
        </is>
      </c>
      <c r="D115" s="44" t="inlineStr">
        <is>
          <t>(0.00, 5.35) – (0.00, 6.95)</t>
        </is>
      </c>
      <c r="E115" s="36" t="n">
        <v>1.602</v>
      </c>
      <c r="F115" s="43">
        <f>SUMIFS(TRIB!$E$6:$E$255,TRIB!$B$6:$B$255,"DM-109")</f>
        <v>2.6965</v>
      </c>
      <c r="G115" s="36">
        <f>SUMIFS(TRIB!$I$6:$I$255,TRIB!$B$6:$B$255,"DM-109")/E115</f>
        <v>1.1928451998777</v>
      </c>
      <c r="H115" s="70">
        <f>SUMIFS(TRIB!$G$6:$G$255,TRIB!$B$6:$B$255,"DM-109")/E115</f>
        <v>1.58436292962878</v>
      </c>
      <c r="I115" s="44" t="inlineStr">
        <is>
          <t>Muro del primer nivel</t>
        </is>
      </c>
    </row>
    <row r="116">
      <c r="B116" s="37" t="inlineStr">
        <is>
          <t>DM-110 · Eje A (x = 0.000)</t>
        </is>
      </c>
      <c r="C116" s="41" t="inlineStr">
        <is>
          <t>N+6.00</t>
        </is>
      </c>
      <c r="D116" s="44" t="inlineStr">
        <is>
          <t>(0.00, 6.95) – (0.00, 7.87)</t>
        </is>
      </c>
      <c r="E116" s="36" t="n">
        <v>0.923</v>
      </c>
      <c r="F116" s="43">
        <f>SUMIFS(TRIB!$E$6:$E$255,TRIB!$B$6:$B$255,"DM-110")</f>
        <v>0.426</v>
      </c>
      <c r="G116" s="36">
        <f>SUMIFS(TRIB!$I$6:$I$255,TRIB!$B$6:$B$255,"DM-110")/E116</f>
        <v>0.327080062794349</v>
      </c>
      <c r="H116" s="70">
        <f>SUMIFS(TRIB!$G$6:$G$255,TRIB!$B$6:$B$255,"DM-110")/E116</f>
        <v>0.434434850863422</v>
      </c>
      <c r="I116" s="44" t="inlineStr">
        <is>
          <t>Muro del primer nivel</t>
        </is>
      </c>
    </row>
    <row r="117">
      <c r="B117" s="37" t="inlineStr">
        <is>
          <t>DM-111 · Eje A (x = 0.000)</t>
        </is>
      </c>
      <c r="C117" s="41" t="inlineStr">
        <is>
          <t>N+6.00</t>
        </is>
      </c>
      <c r="D117" s="44" t="inlineStr">
        <is>
          <t>(0.00, 7.87) – (0.00, 9.95)</t>
        </is>
      </c>
      <c r="E117" s="36" t="n">
        <v>2.079</v>
      </c>
      <c r="F117" s="43">
        <f>SUMIFS(TRIB!$E$6:$E$255,TRIB!$B$6:$B$255,"DM-111")</f>
        <v>0</v>
      </c>
      <c r="G117" s="36">
        <f>SUMIFS(TRIB!$I$6:$I$255,TRIB!$B$6:$B$255,"DM-111")/E117</f>
        <v>0</v>
      </c>
      <c r="H117" s="70">
        <f>SUMIFS(TRIB!$G$6:$G$255,TRIB!$B$6:$B$255,"DM-111")/E117</f>
        <v>0</v>
      </c>
      <c r="I117" s="44" t="inlineStr">
        <is>
          <t>Muro del primer nivel</t>
        </is>
      </c>
    </row>
    <row r="118">
      <c r="B118" s="37" t="inlineStr">
        <is>
          <t>DM-112 · Eje A (x = 0.000)</t>
        </is>
      </c>
      <c r="C118" s="41" t="inlineStr">
        <is>
          <t>N+6.00</t>
        </is>
      </c>
      <c r="D118" s="44" t="inlineStr">
        <is>
          <t>(0.00, 9.95) – (0.00, 11.99)</t>
        </is>
      </c>
      <c r="E118" s="36" t="n">
        <v>2.036</v>
      </c>
      <c r="F118" s="43">
        <f>SUMIFS(TRIB!$E$6:$E$255,TRIB!$B$6:$B$255,"DM-112")</f>
        <v>0</v>
      </c>
      <c r="G118" s="36">
        <f>SUMIFS(TRIB!$I$6:$I$255,TRIB!$B$6:$B$255,"DM-112")/E118</f>
        <v>0</v>
      </c>
      <c r="H118" s="70">
        <f>SUMIFS(TRIB!$G$6:$G$255,TRIB!$B$6:$B$255,"DM-112")/E118</f>
        <v>0</v>
      </c>
      <c r="I118" s="44" t="inlineStr">
        <is>
          <t>Muro del primer nivel</t>
        </is>
      </c>
    </row>
    <row r="119">
      <c r="B119" s="37" t="inlineStr">
        <is>
          <t>DM-113 · Eje A (x = 0.000)</t>
        </is>
      </c>
      <c r="C119" s="41" t="inlineStr">
        <is>
          <t>N+6.00</t>
        </is>
      </c>
      <c r="D119" s="44" t="inlineStr">
        <is>
          <t>(0.00, 11.99) – (0.00, 14.02)</t>
        </is>
      </c>
      <c r="E119" s="36" t="n">
        <v>2.035</v>
      </c>
      <c r="F119" s="43">
        <f>SUMIFS(TRIB!$E$6:$E$255,TRIB!$B$6:$B$255,"DM-113")</f>
        <v>0</v>
      </c>
      <c r="G119" s="36">
        <f>SUMIFS(TRIB!$I$6:$I$255,TRIB!$B$6:$B$255,"DM-113")/E119</f>
        <v>0</v>
      </c>
      <c r="H119" s="70">
        <f>SUMIFS(TRIB!$G$6:$G$255,TRIB!$B$6:$B$255,"DM-113")/E119</f>
        <v>0</v>
      </c>
      <c r="I119" s="44" t="inlineStr">
        <is>
          <t>Muro del primer nivel</t>
        </is>
      </c>
    </row>
    <row r="120">
      <c r="B120" s="37" t="inlineStr">
        <is>
          <t>DM-114 · Eje A (x = 0.000)</t>
        </is>
      </c>
      <c r="C120" s="41" t="inlineStr">
        <is>
          <t>N+6.00</t>
        </is>
      </c>
      <c r="D120" s="44" t="inlineStr">
        <is>
          <t>(0.00, 15.85) – (0.00, 17.45)</t>
        </is>
      </c>
      <c r="E120" s="36" t="n">
        <v>1.6</v>
      </c>
      <c r="F120" s="43">
        <f>SUMIFS(TRIB!$E$6:$E$255,TRIB!$B$6:$B$255,"DM-114")</f>
        <v>0.3594</v>
      </c>
      <c r="G120" s="36">
        <f>SUMIFS(TRIB!$I$6:$I$255,TRIB!$B$6:$B$255,"DM-114")/E120</f>
        <v>0.154693278061224</v>
      </c>
      <c r="H120" s="70">
        <f>SUMIFS(TRIB!$G$6:$G$255,TRIB!$B$6:$B$255,"DM-114")/E120</f>
        <v>0.205593761479592</v>
      </c>
      <c r="I120" s="44" t="inlineStr">
        <is>
          <t>Muro del primer nivel</t>
        </is>
      </c>
    </row>
    <row r="121">
      <c r="B121" s="37" t="inlineStr">
        <is>
          <t>DM-115 · Eje A (x = 0.000)</t>
        </is>
      </c>
      <c r="C121" s="41" t="inlineStr">
        <is>
          <t>N+6.00</t>
        </is>
      </c>
      <c r="D121" s="44" t="inlineStr">
        <is>
          <t>(0.00, 17.45) – (0.00, 19.45)</t>
        </is>
      </c>
      <c r="E121" s="36" t="n">
        <v>2.001</v>
      </c>
      <c r="F121" s="43">
        <f>SUMIFS(TRIB!$E$6:$E$255,TRIB!$B$6:$B$255,"DM-115")</f>
        <v>2.002</v>
      </c>
      <c r="G121" s="36">
        <f>SUMIFS(TRIB!$I$6:$I$255,TRIB!$B$6:$B$255,"DM-115")/E121</f>
        <v>0.704025130291997</v>
      </c>
      <c r="H121" s="70">
        <f>SUMIFS(TRIB!$G$6:$G$255,TRIB!$B$6:$B$255,"DM-115")/E121</f>
        <v>0.935242664382095</v>
      </c>
      <c r="I121" s="44" t="inlineStr">
        <is>
          <t>Muro del primer nivel</t>
        </is>
      </c>
    </row>
    <row r="122">
      <c r="B122" s="37" t="inlineStr">
        <is>
          <t>DM-116 · Eje A (x = 0.000)</t>
        </is>
      </c>
      <c r="C122" s="41" t="inlineStr">
        <is>
          <t>N+6.00</t>
        </is>
      </c>
      <c r="D122" s="44" t="inlineStr">
        <is>
          <t>(0.00, 19.45) – (0.00, 21.45)</t>
        </is>
      </c>
      <c r="E122" s="36" t="n">
        <v>1.999</v>
      </c>
      <c r="F122" s="43">
        <f>SUMIFS(TRIB!$E$6:$E$255,TRIB!$B$6:$B$255,"DM-116")</f>
        <v>1.998</v>
      </c>
      <c r="G122" s="36">
        <f>SUMIFS(TRIB!$I$6:$I$255,TRIB!$B$6:$B$255,"DM-116")/E122</f>
        <v>0.703321456646691</v>
      </c>
      <c r="H122" s="70">
        <f>SUMIFS(TRIB!$G$6:$G$255,TRIB!$B$6:$B$255,"DM-116")/E122</f>
        <v>0.934307888638197</v>
      </c>
      <c r="I122" s="44" t="inlineStr">
        <is>
          <t>Muro del primer nivel</t>
        </is>
      </c>
    </row>
    <row r="123">
      <c r="B123" s="37" t="inlineStr">
        <is>
          <t>DM-117 · x = 3.029</t>
        </is>
      </c>
      <c r="C123" s="41" t="inlineStr">
        <is>
          <t>N+6.00</t>
        </is>
      </c>
      <c r="D123" s="44" t="inlineStr">
        <is>
          <t>(3.03, 15.85) – (3.03, 17.45)</t>
        </is>
      </c>
      <c r="E123" s="36" t="n">
        <v>1.6</v>
      </c>
      <c r="F123" s="43">
        <f>SUMIFS(TRIB!$E$6:$E$255,TRIB!$B$6:$B$255,"DM-117")</f>
        <v>1.5596</v>
      </c>
      <c r="G123" s="36">
        <f>SUMIFS(TRIB!$I$6:$I$255,TRIB!$B$6:$B$255,"DM-117")/E123</f>
        <v>0.686035714285714</v>
      </c>
      <c r="H123" s="70">
        <f>SUMIFS(TRIB!$G$6:$G$255,TRIB!$B$6:$B$255,"DM-117")/E123</f>
        <v>0.911341428571428</v>
      </c>
      <c r="I123" s="44" t="inlineStr">
        <is>
          <t>Muro del primer nivel</t>
        </is>
      </c>
    </row>
    <row r="124">
      <c r="B124" s="37" t="inlineStr">
        <is>
          <t>DM-118 · Eje C (x = 3.427)</t>
        </is>
      </c>
      <c r="C124" s="41" t="inlineStr">
        <is>
          <t>N+6.00</t>
        </is>
      </c>
      <c r="D124" s="44" t="inlineStr">
        <is>
          <t>(3.43, 14.02) – (3.43, 14.80)</t>
        </is>
      </c>
      <c r="E124" s="36" t="n">
        <v>0.775</v>
      </c>
      <c r="F124" s="43">
        <f>SUMIFS(TRIB!$E$6:$E$255,TRIB!$B$6:$B$255,"DM-118")</f>
        <v>0.6762</v>
      </c>
      <c r="G124" s="36">
        <f>SUMIFS(TRIB!$I$6:$I$255,TRIB!$B$6:$B$255,"DM-118")/E124</f>
        <v>0.612516774193548</v>
      </c>
      <c r="H124" s="70">
        <f>SUMIFS(TRIB!$G$6:$G$255,TRIB!$B$6:$B$255,"DM-118")/E124</f>
        <v>0.813722129032258</v>
      </c>
      <c r="I124" s="44" t="inlineStr">
        <is>
          <t>Muro del primer nivel</t>
        </is>
      </c>
    </row>
    <row r="125">
      <c r="B125" s="37" t="inlineStr">
        <is>
          <t>DM-119 · Eje C (x = 3.427)</t>
        </is>
      </c>
      <c r="C125" s="41" t="inlineStr">
        <is>
          <t>N+6.00</t>
        </is>
      </c>
      <c r="D125" s="44" t="inlineStr">
        <is>
          <t>(3.43, 14.80) – (3.43, 15.85)</t>
        </is>
      </c>
      <c r="E125" s="36" t="n">
        <v>1.05</v>
      </c>
      <c r="F125" s="43">
        <f>SUMIFS(TRIB!$E$6:$E$255,TRIB!$B$6:$B$255,"DM-119")</f>
        <v>1.5719</v>
      </c>
      <c r="G125" s="36">
        <f>SUMIFS(TRIB!$I$6:$I$255,TRIB!$B$6:$B$255,"DM-119")/E125</f>
        <v>1.05331364431487</v>
      </c>
      <c r="H125" s="70">
        <f>SUMIFS(TRIB!$G$6:$G$255,TRIB!$B$6:$B$255,"DM-119")/E125</f>
        <v>1.39924868999028</v>
      </c>
      <c r="I125" s="44" t="inlineStr">
        <is>
          <t>Muro del primer nivel</t>
        </is>
      </c>
    </row>
    <row r="126">
      <c r="B126" s="37" t="inlineStr">
        <is>
          <t>DM-120 · x = 4.327</t>
        </is>
      </c>
      <c r="C126" s="41" t="inlineStr">
        <is>
          <t>N+6.00</t>
        </is>
      </c>
      <c r="D126" s="44" t="inlineStr">
        <is>
          <t>(4.33, 1.92) – (4.33, 2.92)</t>
        </is>
      </c>
      <c r="E126" s="36" t="n">
        <v>1.002</v>
      </c>
      <c r="F126" s="43">
        <f>SUMIFS(TRIB!$E$6:$E$255,TRIB!$B$6:$B$255,"DM-120")</f>
        <v>0.251</v>
      </c>
      <c r="G126" s="36">
        <f>SUMIFS(TRIB!$I$6:$I$255,TRIB!$B$6:$B$255,"DM-120")/E126</f>
        <v>0.166249541732861</v>
      </c>
      <c r="H126" s="70">
        <f>SUMIFS(TRIB!$G$6:$G$255,TRIB!$B$6:$B$255,"DM-120")/E126</f>
        <v>0.221134384292639</v>
      </c>
      <c r="I126" s="44" t="inlineStr">
        <is>
          <t>Muro del primer nivel</t>
        </is>
      </c>
    </row>
    <row r="127">
      <c r="B127" s="37" t="inlineStr">
        <is>
          <t>DM-121 · x = 4.327</t>
        </is>
      </c>
      <c r="C127" s="41" t="inlineStr">
        <is>
          <t>N+6.00</t>
        </is>
      </c>
      <c r="D127" s="44" t="inlineStr">
        <is>
          <t>(4.33, 2.92) – (4.33, 5.05)</t>
        </is>
      </c>
      <c r="E127" s="36" t="n">
        <v>2.125</v>
      </c>
      <c r="F127" s="43">
        <f>SUMIFS(TRIB!$E$6:$E$255,TRIB!$B$6:$B$255,"DM-121")</f>
        <v>3.6351</v>
      </c>
      <c r="G127" s="36">
        <f>SUMIFS(TRIB!$I$6:$I$255,TRIB!$B$6:$B$255,"DM-121")/E127</f>
        <v>1.18311549579832</v>
      </c>
      <c r="H127" s="70">
        <f>SUMIFS(TRIB!$G$6:$G$255,TRIB!$B$6:$B$255,"DM-121")/E127</f>
        <v>1.57226285042017</v>
      </c>
      <c r="I127" s="44" t="inlineStr">
        <is>
          <t>Muro del primer nivel</t>
        </is>
      </c>
    </row>
    <row r="128">
      <c r="B128" s="37" t="inlineStr">
        <is>
          <t>DM-122 · x = 4.327</t>
        </is>
      </c>
      <c r="C128" s="41" t="inlineStr">
        <is>
          <t>N+6.00</t>
        </is>
      </c>
      <c r="D128" s="44" t="inlineStr">
        <is>
          <t>(4.33, 5.05) – (4.33, 5.95)</t>
        </is>
      </c>
      <c r="E128" s="36" t="n">
        <v>0.9</v>
      </c>
      <c r="F128" s="43">
        <f>SUMIFS(TRIB!$E$6:$E$255,TRIB!$B$6:$B$255,"DM-122")</f>
        <v>2.3178</v>
      </c>
      <c r="G128" s="36">
        <f>SUMIFS(TRIB!$I$6:$I$255,TRIB!$B$6:$B$255,"DM-122")/E128</f>
        <v>1.80508040816327</v>
      </c>
      <c r="H128" s="70">
        <f>SUMIFS(TRIB!$G$6:$G$255,TRIB!$B$6:$B$255,"DM-122")/E128</f>
        <v>2.39811119727891</v>
      </c>
      <c r="I128" s="44" t="inlineStr">
        <is>
          <t>Muro del primer nivel</t>
        </is>
      </c>
    </row>
    <row r="129">
      <c r="B129" s="37" t="inlineStr">
        <is>
          <t>DM-123 · x = 4.327</t>
        </is>
      </c>
      <c r="C129" s="41" t="inlineStr">
        <is>
          <t>N+6.00</t>
        </is>
      </c>
      <c r="D129" s="44" t="inlineStr">
        <is>
          <t>(4.33, 5.95) – (4.33, 7.00)</t>
        </is>
      </c>
      <c r="E129" s="36" t="n">
        <v>1.05</v>
      </c>
      <c r="F129" s="43">
        <f>SUMIFS(TRIB!$E$6:$E$255,TRIB!$B$6:$B$255,"DM-123")</f>
        <v>1.9895</v>
      </c>
      <c r="G129" s="36">
        <f>SUMIFS(TRIB!$I$6:$I$255,TRIB!$B$6:$B$255,"DM-123")/E129</f>
        <v>1.34276749271137</v>
      </c>
      <c r="H129" s="70">
        <f>SUMIFS(TRIB!$G$6:$G$255,TRIB!$B$6:$B$255,"DM-123")/E129</f>
        <v>1.78349297862002</v>
      </c>
      <c r="I129" s="44" t="inlineStr">
        <is>
          <t>Muro del primer nivel</t>
        </is>
      </c>
    </row>
    <row r="130">
      <c r="B130" s="37" t="inlineStr">
        <is>
          <t>DM-124 · x = 4.327</t>
        </is>
      </c>
      <c r="C130" s="41" t="inlineStr">
        <is>
          <t>N+6.00</t>
        </is>
      </c>
      <c r="D130" s="44" t="inlineStr">
        <is>
          <t>(4.33, 7.00) – (4.33, 7.87)</t>
        </is>
      </c>
      <c r="E130" s="36" t="n">
        <v>0.875</v>
      </c>
      <c r="F130" s="43">
        <f>SUMIFS(TRIB!$E$6:$E$255,TRIB!$B$6:$B$255,"DM-124")</f>
        <v>1.081</v>
      </c>
      <c r="G130" s="36">
        <f>SUMIFS(TRIB!$I$6:$I$255,TRIB!$B$6:$B$255,"DM-124")/E130</f>
        <v>0.875515451895044</v>
      </c>
      <c r="H130" s="70">
        <f>SUMIFS(TRIB!$G$6:$G$255,TRIB!$B$6:$B$255,"DM-124")/E130</f>
        <v>1.16287865889213</v>
      </c>
      <c r="I130" s="44" t="inlineStr">
        <is>
          <t>Muro del primer nivel</t>
        </is>
      </c>
    </row>
    <row r="131">
      <c r="B131" s="37" t="inlineStr">
        <is>
          <t>DM-125 · Eje D (x = 4.426)</t>
        </is>
      </c>
      <c r="C131" s="41" t="inlineStr">
        <is>
          <t>N+6.00</t>
        </is>
      </c>
      <c r="D131" s="44" t="inlineStr">
        <is>
          <t>(4.43, 17.45) – (4.43, 19.45)</t>
        </is>
      </c>
      <c r="E131" s="36" t="n">
        <v>2.001</v>
      </c>
      <c r="F131" s="43">
        <f>SUMIFS(TRIB!$E$6:$E$255,TRIB!$B$6:$B$255,"DM-125")</f>
        <v>4.004</v>
      </c>
      <c r="G131" s="36">
        <f>SUMIFS(TRIB!$I$6:$I$255,TRIB!$B$6:$B$255,"DM-125")/E131</f>
        <v>1.40805026058399</v>
      </c>
      <c r="H131" s="70">
        <f>SUMIFS(TRIB!$G$6:$G$255,TRIB!$B$6:$B$255,"DM-125")/E131</f>
        <v>1.87048532876419</v>
      </c>
      <c r="I131" s="44" t="inlineStr">
        <is>
          <t>Muro del primer nivel</t>
        </is>
      </c>
    </row>
    <row r="132">
      <c r="B132" s="37" t="inlineStr">
        <is>
          <t>DM-126 · Eje D (x = 4.426)</t>
        </is>
      </c>
      <c r="C132" s="41" t="inlineStr">
        <is>
          <t>N+6.00</t>
        </is>
      </c>
      <c r="D132" s="44" t="inlineStr">
        <is>
          <t>(4.43, 19.45) – (4.43, 21.45)</t>
        </is>
      </c>
      <c r="E132" s="36" t="n">
        <v>1.999</v>
      </c>
      <c r="F132" s="43">
        <f>SUMIFS(TRIB!$E$6:$E$255,TRIB!$B$6:$B$255,"DM-126")</f>
        <v>3.996</v>
      </c>
      <c r="G132" s="36">
        <f>SUMIFS(TRIB!$I$6:$I$255,TRIB!$B$6:$B$255,"DM-126")/E132</f>
        <v>1.40664291329338</v>
      </c>
      <c r="H132" s="70">
        <f>SUMIFS(TRIB!$G$6:$G$255,TRIB!$B$6:$B$255,"DM-126")/E132</f>
        <v>1.86861577727639</v>
      </c>
      <c r="I132" s="44" t="inlineStr">
        <is>
          <t>Muro del primer nivel</t>
        </is>
      </c>
    </row>
    <row r="133">
      <c r="B133" s="37" t="inlineStr">
        <is>
          <t>DM-127 · Eje F (x = 5.422)</t>
        </is>
      </c>
      <c r="C133" s="41" t="inlineStr">
        <is>
          <t>N+6.00</t>
        </is>
      </c>
      <c r="D133" s="44" t="inlineStr">
        <is>
          <t>(5.42, 9.95) – (5.42, 11.00)</t>
        </is>
      </c>
      <c r="E133" s="36" t="n">
        <v>1.05</v>
      </c>
      <c r="F133" s="43">
        <f>SUMIFS(TRIB!$E$6:$E$255,TRIB!$B$6:$B$255,"DM-127")</f>
        <v>1.1261</v>
      </c>
      <c r="G133" s="36">
        <f>SUMIFS(TRIB!$I$6:$I$255,TRIB!$B$6:$B$255,"DM-127")/E133</f>
        <v>0.752161137026239</v>
      </c>
      <c r="H133" s="70">
        <f>SUMIFS(TRIB!$G$6:$G$255,TRIB!$B$6:$B$255,"DM-127")/E133</f>
        <v>0.999259001943634</v>
      </c>
      <c r="I133" s="44" t="inlineStr">
        <is>
          <t>Muro del primer nivel</t>
        </is>
      </c>
    </row>
    <row r="134">
      <c r="B134" s="37" t="inlineStr">
        <is>
          <t>DM-128 · Eje F (x = 5.422)</t>
        </is>
      </c>
      <c r="C134" s="41" t="inlineStr">
        <is>
          <t>N+6.00</t>
        </is>
      </c>
      <c r="D134" s="44" t="inlineStr">
        <is>
          <t>(5.42, 11.00) – (5.42, 14.87)</t>
        </is>
      </c>
      <c r="E134" s="36" t="n">
        <v>3.872</v>
      </c>
      <c r="F134" s="43">
        <f>SUMIFS(TRIB!$E$6:$E$255,TRIB!$B$6:$B$255,"DM-128")</f>
        <v>8.6453</v>
      </c>
      <c r="G134" s="36">
        <f>SUMIFS(TRIB!$I$6:$I$255,TRIB!$B$6:$B$255,"DM-128")/E134</f>
        <v>1.55851207254596</v>
      </c>
      <c r="H134" s="70">
        <f>SUMIFS(TRIB!$G$6:$G$255,TRIB!$B$6:$B$255,"DM-128")/E134</f>
        <v>2.07072116951636</v>
      </c>
      <c r="I134" s="44" t="inlineStr">
        <is>
          <t>Muro del primer nivel</t>
        </is>
      </c>
    </row>
    <row r="135">
      <c r="B135" s="37" t="inlineStr">
        <is>
          <t>DM-129 · Eje F (x = 5.422)</t>
        </is>
      </c>
      <c r="C135" s="41" t="inlineStr">
        <is>
          <t>N+6.00</t>
        </is>
      </c>
      <c r="D135" s="44" t="inlineStr">
        <is>
          <t>(5.42, 14.87) – (5.42, 15.85)</t>
        </is>
      </c>
      <c r="E135" s="36" t="n">
        <v>0.974</v>
      </c>
      <c r="F135" s="43">
        <f>SUMIFS(TRIB!$E$6:$E$255,TRIB!$B$6:$B$255,"DM-129")</f>
        <v>1.4459</v>
      </c>
      <c r="G135" s="36">
        <f>SUMIFS(TRIB!$I$6:$I$255,TRIB!$B$6:$B$255,"DM-129")/E135</f>
        <v>1.04471916774924</v>
      </c>
      <c r="H135" s="70">
        <f>SUMIFS(TRIB!$G$6:$G$255,TRIB!$B$6:$B$255,"DM-129")/E135</f>
        <v>1.38782485647236</v>
      </c>
      <c r="I135" s="44" t="inlineStr">
        <is>
          <t>Muro del primer nivel</t>
        </is>
      </c>
    </row>
    <row r="136">
      <c r="B136" s="37" t="inlineStr">
        <is>
          <t>DM-130 · x = 5.822</t>
        </is>
      </c>
      <c r="C136" s="41" t="inlineStr">
        <is>
          <t>N+6.00</t>
        </is>
      </c>
      <c r="D136" s="44" t="inlineStr">
        <is>
          <t>(5.82, 15.85) – (5.82, 17.45)</t>
        </is>
      </c>
      <c r="E136" s="36" t="n">
        <v>1.6</v>
      </c>
      <c r="F136" s="43">
        <f>SUMIFS(TRIB!$E$6:$E$255,TRIB!$B$6:$B$255,"DM-130")</f>
        <v>1.4614</v>
      </c>
      <c r="G136" s="36">
        <f>SUMIFS(TRIB!$I$6:$I$255,TRIB!$B$6:$B$255,"DM-130")/E136</f>
        <v>0.643758380102041</v>
      </c>
      <c r="H136" s="70">
        <f>SUMIFS(TRIB!$G$6:$G$255,TRIB!$B$6:$B$255,"DM-130")/E136</f>
        <v>0.855153394132653</v>
      </c>
      <c r="I136" s="44" t="inlineStr">
        <is>
          <t>Muro del primer nivel</t>
        </is>
      </c>
    </row>
    <row r="137">
      <c r="B137" s="37" t="inlineStr">
        <is>
          <t>DM-131 · Eje G (x = 5.923)</t>
        </is>
      </c>
      <c r="C137" s="41" t="inlineStr">
        <is>
          <t>N+6.00</t>
        </is>
      </c>
      <c r="D137" s="44" t="inlineStr">
        <is>
          <t>(5.92, 2.92) – (5.92, 4.43)</t>
        </is>
      </c>
      <c r="E137" s="36" t="n">
        <v>1.512</v>
      </c>
      <c r="F137" s="43">
        <f>SUMIFS(TRIB!$E$6:$E$255,TRIB!$B$6:$B$255,"DM-131")</f>
        <v>0.8882</v>
      </c>
      <c r="G137" s="36">
        <f>SUMIFS(TRIB!$I$6:$I$255,TRIB!$B$6:$B$255,"DM-131")/E137</f>
        <v>0.389864269517331</v>
      </c>
      <c r="H137" s="70">
        <f>SUMIFS(TRIB!$G$6:$G$255,TRIB!$B$6:$B$255,"DM-131")/E137</f>
        <v>0.518572227621207</v>
      </c>
      <c r="I137" s="44" t="inlineStr">
        <is>
          <t>Muro del primer nivel</t>
        </is>
      </c>
    </row>
    <row r="138">
      <c r="B138" s="37" t="inlineStr">
        <is>
          <t>DM-132 · Eje G (x = 5.923)</t>
        </is>
      </c>
      <c r="C138" s="41" t="inlineStr">
        <is>
          <t>N+6.00</t>
        </is>
      </c>
      <c r="D138" s="44" t="inlineStr">
        <is>
          <t>(5.92, 4.43) – (5.92, 5.95)</t>
        </is>
      </c>
      <c r="E138" s="36" t="n">
        <v>1.513</v>
      </c>
      <c r="F138" s="43">
        <f>SUMIFS(TRIB!$E$6:$E$255,TRIB!$B$6:$B$255,"DM-132")</f>
        <v>0.889</v>
      </c>
      <c r="G138" s="36">
        <f>SUMIFS(TRIB!$I$6:$I$255,TRIB!$B$6:$B$255,"DM-132")/E138</f>
        <v>0.389957511094325</v>
      </c>
      <c r="H138" s="70">
        <f>SUMIFS(TRIB!$G$6:$G$255,TRIB!$B$6:$B$255,"DM-132")/E138</f>
        <v>0.518696251534322</v>
      </c>
      <c r="I138" s="44" t="inlineStr">
        <is>
          <t>Muro del primer nivel</t>
        </is>
      </c>
    </row>
    <row r="139">
      <c r="B139" s="37" t="inlineStr">
        <is>
          <t>DM-133 · Eje G (x = 5.923)</t>
        </is>
      </c>
      <c r="C139" s="41" t="inlineStr">
        <is>
          <t>N+6.00</t>
        </is>
      </c>
      <c r="D139" s="44" t="inlineStr">
        <is>
          <t>(5.92, 5.95) – (5.92, 6.95)</t>
        </is>
      </c>
      <c r="E139" s="36" t="n">
        <v>1.002</v>
      </c>
      <c r="F139" s="43">
        <f>SUMIFS(TRIB!$E$6:$E$255,TRIB!$B$6:$B$255,"DM-133")</f>
        <v>0.4812</v>
      </c>
      <c r="G139" s="36">
        <f>SUMIFS(TRIB!$I$6:$I$255,TRIB!$B$6:$B$255,"DM-133")/E139</f>
        <v>0.340333007454479</v>
      </c>
      <c r="H139" s="70">
        <f>SUMIFS(TRIB!$G$6:$G$255,TRIB!$B$6:$B$255,"DM-133")/E139</f>
        <v>0.452037700109984</v>
      </c>
      <c r="I139" s="44" t="inlineStr">
        <is>
          <t>Muro del primer nivel</t>
        </is>
      </c>
    </row>
    <row r="140">
      <c r="B140" s="37" t="inlineStr">
        <is>
          <t>DM-134 · Eje J (x = 8.850)</t>
        </is>
      </c>
      <c r="C140" s="41" t="inlineStr">
        <is>
          <t>N+6.00</t>
        </is>
      </c>
      <c r="D140" s="44" t="inlineStr">
        <is>
          <t>(8.85, 6.95) – (8.85, 8.45)</t>
        </is>
      </c>
      <c r="E140" s="36" t="n">
        <v>1.501</v>
      </c>
      <c r="F140" s="43">
        <f>SUMIFS(TRIB!$E$6:$E$255,TRIB!$B$6:$B$255,"DM-134")</f>
        <v>0</v>
      </c>
      <c r="G140" s="36">
        <f>SUMIFS(TRIB!$I$6:$I$255,TRIB!$B$6:$B$255,"DM-134")/E140</f>
        <v>0</v>
      </c>
      <c r="H140" s="70">
        <f>SUMIFS(TRIB!$G$6:$G$255,TRIB!$B$6:$B$255,"DM-134")/E140</f>
        <v>0</v>
      </c>
      <c r="I140" s="44" t="inlineStr">
        <is>
          <t>Muro del primer nivel</t>
        </is>
      </c>
    </row>
    <row r="141">
      <c r="B141" s="37" t="inlineStr">
        <is>
          <t>DM-135 · Eje J (x = 8.850)</t>
        </is>
      </c>
      <c r="C141" s="41" t="inlineStr">
        <is>
          <t>N+6.00</t>
        </is>
      </c>
      <c r="D141" s="44" t="inlineStr">
        <is>
          <t>(8.85, 8.45) – (8.85, 9.95)</t>
        </is>
      </c>
      <c r="E141" s="36" t="n">
        <v>1.501</v>
      </c>
      <c r="F141" s="43">
        <f>SUMIFS(TRIB!$E$6:$E$255,TRIB!$B$6:$B$255,"DM-135")</f>
        <v>0</v>
      </c>
      <c r="G141" s="36">
        <f>SUMIFS(TRIB!$I$6:$I$255,TRIB!$B$6:$B$255,"DM-135")/E141</f>
        <v>0</v>
      </c>
      <c r="H141" s="70">
        <f>SUMIFS(TRIB!$G$6:$G$255,TRIB!$B$6:$B$255,"DM-135")/E141</f>
        <v>0</v>
      </c>
      <c r="I141" s="44" t="inlineStr">
        <is>
          <t>Muro del primer nivel</t>
        </is>
      </c>
    </row>
    <row r="142">
      <c r="B142" s="37" t="inlineStr">
        <is>
          <t>DM-136 · Eje J (x = 8.850)</t>
        </is>
      </c>
      <c r="C142" s="41" t="inlineStr">
        <is>
          <t>N+6.00</t>
        </is>
      </c>
      <c r="D142" s="44" t="inlineStr">
        <is>
          <t>(8.85, 9.95) – (8.85, 12.10)</t>
        </is>
      </c>
      <c r="E142" s="36" t="n">
        <v>2.15</v>
      </c>
      <c r="F142" s="43">
        <f>SUMIFS(TRIB!$E$6:$E$255,TRIB!$B$6:$B$255,"DM-136")</f>
        <v>2.2162</v>
      </c>
      <c r="G142" s="36">
        <f>SUMIFS(TRIB!$I$6:$I$255,TRIB!$B$6:$B$255,"DM-136")/E142</f>
        <v>0.715032159468439</v>
      </c>
      <c r="H142" s="70">
        <f>SUMIFS(TRIB!$G$6:$G$255,TRIB!$B$6:$B$255,"DM-136")/E142</f>
        <v>0.950157621262459</v>
      </c>
      <c r="I142" s="44" t="inlineStr">
        <is>
          <t>Muro del primer nivel</t>
        </is>
      </c>
    </row>
    <row r="143">
      <c r="B143" s="37" t="inlineStr">
        <is>
          <t>DM-137 · Eje J (x = 8.850)</t>
        </is>
      </c>
      <c r="C143" s="41" t="inlineStr">
        <is>
          <t>N+6.00</t>
        </is>
      </c>
      <c r="D143" s="44" t="inlineStr">
        <is>
          <t>(8.85, 12.10) – (8.85, 13.78)</t>
        </is>
      </c>
      <c r="E143" s="36" t="n">
        <v>1.679</v>
      </c>
      <c r="F143" s="43">
        <f>SUMIFS(TRIB!$E$6:$E$255,TRIB!$B$6:$B$255,"DM-137")</f>
        <v>2.8778</v>
      </c>
      <c r="G143" s="36">
        <f>SUMIFS(TRIB!$I$6:$I$255,TRIB!$B$6:$B$255,"DM-137")/E143</f>
        <v>1.18895384764984</v>
      </c>
      <c r="H143" s="70">
        <f>SUMIFS(TRIB!$G$6:$G$255,TRIB!$B$6:$B$255,"DM-137")/E143</f>
        <v>1.57991993047368</v>
      </c>
      <c r="I143" s="44" t="inlineStr">
        <is>
          <t>Muro del primer nivel</t>
        </is>
      </c>
    </row>
    <row r="144">
      <c r="B144" s="37" t="inlineStr">
        <is>
          <t>DM-138 · Eje J (x = 8.850)</t>
        </is>
      </c>
      <c r="C144" s="41" t="inlineStr">
        <is>
          <t>N+6.00</t>
        </is>
      </c>
      <c r="D144" s="44" t="inlineStr">
        <is>
          <t>(8.85, 13.78) – (8.85, 14.25)</t>
        </is>
      </c>
      <c r="E144" s="36" t="n">
        <v>0.468</v>
      </c>
      <c r="F144" s="43">
        <f>SUMIFS(TRIB!$E$6:$E$255,TRIB!$B$6:$B$255,"DM-138")</f>
        <v>0.7955</v>
      </c>
      <c r="G144" s="36">
        <f>SUMIFS(TRIB!$I$6:$I$255,TRIB!$B$6:$B$255,"DM-138")/E144</f>
        <v>1.17909667713239</v>
      </c>
      <c r="H144" s="70">
        <f>SUMIFS(TRIB!$G$6:$G$255,TRIB!$B$6:$B$255,"DM-138")/E144</f>
        <v>1.56682140676784</v>
      </c>
      <c r="I144" s="44" t="inlineStr">
        <is>
          <t>Muro del primer nivel</t>
        </is>
      </c>
    </row>
    <row r="145">
      <c r="B145" s="37" t="inlineStr">
        <is>
          <t>DM-139 · Eje J (x = 8.850)</t>
        </is>
      </c>
      <c r="C145" s="41" t="inlineStr">
        <is>
          <t>N+6.00</t>
        </is>
      </c>
      <c r="D145" s="44" t="inlineStr">
        <is>
          <t>(8.85, 14.25) – (8.85, 15.45)</t>
        </is>
      </c>
      <c r="E145" s="36" t="n">
        <v>1.2</v>
      </c>
      <c r="F145" s="43">
        <f>SUMIFS(TRIB!$E$6:$E$255,TRIB!$B$6:$B$255,"DM-139")</f>
        <v>1.1988</v>
      </c>
      <c r="G145" s="36">
        <f>SUMIFS(TRIB!$I$6:$I$255,TRIB!$B$6:$B$255,"DM-139")/E145</f>
        <v>0.692979795918367</v>
      </c>
      <c r="H145" s="70">
        <f>SUMIFS(TRIB!$G$6:$G$255,TRIB!$B$6:$B$255,"DM-139")/E145</f>
        <v>0.920853734693878</v>
      </c>
      <c r="I145" s="44" t="inlineStr">
        <is>
          <t>Muro del primer nivel</t>
        </is>
      </c>
    </row>
    <row r="146">
      <c r="B146" s="37" t="inlineStr">
        <is>
          <t>DM-140 · Eje J (x = 8.850)</t>
        </is>
      </c>
      <c r="C146" s="41" t="inlineStr">
        <is>
          <t>N+6.00</t>
        </is>
      </c>
      <c r="D146" s="44" t="inlineStr">
        <is>
          <t>(8.85, 15.45) – (8.85, 15.85)</t>
        </is>
      </c>
      <c r="E146" s="36" t="n">
        <v>0.399</v>
      </c>
      <c r="F146" s="43">
        <f>SUMIFS(TRIB!$E$6:$E$255,TRIB!$B$6:$B$255,"DM-140")</f>
        <v>0.0796</v>
      </c>
      <c r="G146" s="36">
        <f>SUMIFS(TRIB!$I$6:$I$255,TRIB!$B$6:$B$255,"DM-140")/E146</f>
        <v>0.138386987877858</v>
      </c>
      <c r="H146" s="70">
        <f>SUMIFS(TRIB!$G$6:$G$255,TRIB!$B$6:$B$255,"DM-140")/E146</f>
        <v>0.183893059178559</v>
      </c>
      <c r="I146" s="44" t="inlineStr">
        <is>
          <t>Muro del primer nivel</t>
        </is>
      </c>
    </row>
    <row r="147">
      <c r="B147" s="37" t="inlineStr">
        <is>
          <t>DM-141 · Eje J (x = 8.850)</t>
        </is>
      </c>
      <c r="C147" s="41" t="inlineStr">
        <is>
          <t>N+6.00</t>
        </is>
      </c>
      <c r="D147" s="44" t="inlineStr">
        <is>
          <t>(8.85, 15.85) – (8.85, 17.45)</t>
        </is>
      </c>
      <c r="E147" s="36" t="n">
        <v>1.6</v>
      </c>
      <c r="F147" s="43">
        <f>SUMIFS(TRIB!$E$6:$E$255,TRIB!$B$6:$B$255,"DM-141")</f>
        <v>0.2314</v>
      </c>
      <c r="G147" s="36">
        <f>SUMIFS(TRIB!$I$6:$I$255,TRIB!$B$6:$B$255,"DM-141")/E147</f>
        <v>0.0995994005102041</v>
      </c>
      <c r="H147" s="70">
        <f>SUMIFS(TRIB!$G$6:$G$255,TRIB!$B$6:$B$255,"DM-141")/E147</f>
        <v>0.132371720663265</v>
      </c>
      <c r="I147" s="44" t="inlineStr">
        <is>
          <t>Muro del primer nivel</t>
        </is>
      </c>
    </row>
    <row r="148">
      <c r="B148" s="37" t="inlineStr">
        <is>
          <t>DM-142 · Eje J (x = 8.850)</t>
        </is>
      </c>
      <c r="C148" s="41" t="inlineStr">
        <is>
          <t>N+6.00</t>
        </is>
      </c>
      <c r="D148" s="44" t="inlineStr">
        <is>
          <t>(8.85, 17.45) – (8.85, 19.45)</t>
        </is>
      </c>
      <c r="E148" s="36" t="n">
        <v>2</v>
      </c>
      <c r="F148" s="43">
        <f>SUMIFS(TRIB!$E$6:$E$255,TRIB!$B$6:$B$255,"DM-142")</f>
        <v>2</v>
      </c>
      <c r="G148" s="36">
        <f>SUMIFS(TRIB!$I$6:$I$255,TRIB!$B$6:$B$255,"DM-142")/E148</f>
        <v>0.703673469387755</v>
      </c>
      <c r="H148" s="70">
        <f>SUMIFS(TRIB!$G$6:$G$255,TRIB!$B$6:$B$255,"DM-142")/E148</f>
        <v>0.934775510204082</v>
      </c>
      <c r="I148" s="44" t="inlineStr">
        <is>
          <t>Muro del primer nivel</t>
        </is>
      </c>
    </row>
    <row r="149">
      <c r="B149" s="37" t="inlineStr">
        <is>
          <t>DM-143 · Eje J (x = 8.850)</t>
        </is>
      </c>
      <c r="C149" s="41" t="inlineStr">
        <is>
          <t>N+6.00</t>
        </is>
      </c>
      <c r="D149" s="44" t="inlineStr">
        <is>
          <t>(8.85, 19.45) – (8.85, 21.45)</t>
        </is>
      </c>
      <c r="E149" s="36" t="n">
        <v>2</v>
      </c>
      <c r="F149" s="43">
        <f>SUMIFS(TRIB!$E$6:$E$255,TRIB!$B$6:$B$255,"DM-143")</f>
        <v>2</v>
      </c>
      <c r="G149" s="36">
        <f>SUMIFS(TRIB!$I$6:$I$255,TRIB!$B$6:$B$255,"DM-143")/E149</f>
        <v>0.703673469387755</v>
      </c>
      <c r="H149" s="70">
        <f>SUMIFS(TRIB!$G$6:$G$255,TRIB!$B$6:$B$255,"DM-143")/E149</f>
        <v>0.934775510204082</v>
      </c>
      <c r="I149" s="44" t="inlineStr">
        <is>
          <t>Muro del primer nivel</t>
        </is>
      </c>
    </row>
    <row r="150" ht="6" customHeight="1"/>
    <row r="151" ht="21" customHeight="1">
      <c r="B151" s="5" t="inlineStr">
        <is>
          <t>B. REACCIONES DE LAS NERVADURAS PRINCIPALES EN SUS APOYOS FIRMES</t>
        </is>
      </c>
    </row>
    <row r="152" ht="30" customHeight="1">
      <c r="B152" s="6" t="inlineStr">
        <is>
          <t>Carga concentrada que baja por el castillo o el muro del extremo. Las que caen en un castillo propuesto (C1…C8) son las que ese castillo tiene que llevar a la cimentación.</t>
        </is>
      </c>
      <c r="C152" s="7" t="n"/>
      <c r="D152" s="7" t="n"/>
      <c r="E152" s="7" t="n"/>
      <c r="F152" s="7" t="n"/>
      <c r="G152" s="7" t="n"/>
      <c r="H152" s="7" t="n"/>
      <c r="I152" s="7" t="n"/>
    </row>
    <row r="153">
      <c r="B153" s="8" t="inlineStr">
        <is>
          <t>Tramo · extremo</t>
        </is>
      </c>
      <c r="C153" s="8" t="inlineStr">
        <is>
          <t>Nivel</t>
        </is>
      </c>
      <c r="D153" s="8" t="inlineStr">
        <is>
          <t>Apoyo (x, y)</t>
        </is>
      </c>
      <c r="E153" s="8" t="inlineStr">
        <is>
          <t>Castillo</t>
        </is>
      </c>
      <c r="F153" s="8" t="inlineStr">
        <is>
          <t>Tipo</t>
        </is>
      </c>
      <c r="G153" s="8" t="inlineStr">
        <is>
          <t>R última (t)</t>
        </is>
      </c>
      <c r="H153" s="8" t="inlineStr">
        <is>
          <t>R servicio aprox. (t)</t>
        </is>
      </c>
      <c r="I153" s="8" t="inlineStr">
        <is>
          <t>Nota</t>
        </is>
      </c>
    </row>
    <row r="154">
      <c r="B154" s="37" t="inlineStr">
        <is>
          <t>NP-01 · i</t>
        </is>
      </c>
      <c r="C154" s="41" t="inlineStr">
        <is>
          <t>N+3.00</t>
        </is>
      </c>
      <c r="D154" s="73" t="inlineStr">
        <is>
          <t>(0.000, 1.919)</t>
        </is>
      </c>
      <c r="E154" s="41" t="inlineStr">
        <is>
          <t>—</t>
        </is>
      </c>
      <c r="F154" s="41" t="str">
        <f>PRINCIPALES!$H$9</f>
        <v>FIRME</v>
      </c>
      <c r="G154" s="70">
        <f>PRINCIPALES!$AI$9</f>
        <v>4.99618626719388</v>
      </c>
      <c r="H154" s="36">
        <f>PRINCIPALES!$AK$9</f>
        <v>3.80046082091837</v>
      </c>
      <c r="I154" s="44" t="inlineStr">
        <is>
          <t>Servicio = cargas sin factorizar (D + W_m).</t>
        </is>
      </c>
    </row>
    <row r="155">
      <c r="B155" s="37" t="inlineStr">
        <is>
          <t>NP-01 · j</t>
        </is>
      </c>
      <c r="C155" s="41" t="inlineStr">
        <is>
          <t>N+3.00</t>
        </is>
      </c>
      <c r="D155" s="73" t="inlineStr">
        <is>
          <t>(4.327, 1.919)</t>
        </is>
      </c>
      <c r="E155" s="41" t="inlineStr">
        <is>
          <t>C1</t>
        </is>
      </c>
      <c r="F155" s="41" t="str">
        <f>PRINCIPALES!$I$9</f>
        <v>FIRME</v>
      </c>
      <c r="G155" s="70">
        <f>PRINCIPALES!$AJ$9</f>
        <v>4.99618626719388</v>
      </c>
      <c r="H155" s="36">
        <f>PRINCIPALES!$AL$9</f>
        <v>3.80046082091837</v>
      </c>
      <c r="I155" s="44" t="inlineStr">
        <is>
          <t>Servicio = cargas sin factorizar (D + W_m).</t>
        </is>
      </c>
    </row>
    <row r="156">
      <c r="B156" s="37" t="inlineStr">
        <is>
          <t>NP-02 · i</t>
        </is>
      </c>
      <c r="C156" s="41" t="inlineStr">
        <is>
          <t>N+3.00</t>
        </is>
      </c>
      <c r="D156" s="73" t="inlineStr">
        <is>
          <t>(0.000, 2.921)</t>
        </is>
      </c>
      <c r="E156" s="41" t="inlineStr">
        <is>
          <t>—</t>
        </is>
      </c>
      <c r="F156" s="41" t="str">
        <f>PRINCIPALES!$H$10</f>
        <v>FIRME</v>
      </c>
      <c r="G156" s="70">
        <f>PRINCIPALES!$AI$10</f>
        <v>8.92739818923469</v>
      </c>
      <c r="H156" s="36">
        <f>PRINCIPALES!$AK$10</f>
        <v>6.73300791479592</v>
      </c>
      <c r="I156" s="44" t="inlineStr">
        <is>
          <t>Servicio = cargas sin factorizar (D + W_m).</t>
        </is>
      </c>
    </row>
    <row r="157">
      <c r="B157" s="37" t="inlineStr">
        <is>
          <t>NP-02 · j</t>
        </is>
      </c>
      <c r="C157" s="41" t="inlineStr">
        <is>
          <t>N+3.00</t>
        </is>
      </c>
      <c r="D157" s="73" t="inlineStr">
        <is>
          <t>(4.327, 2.921)</t>
        </is>
      </c>
      <c r="E157" s="41" t="inlineStr">
        <is>
          <t>C2</t>
        </is>
      </c>
      <c r="F157" s="41" t="str">
        <f>PRINCIPALES!$I$10</f>
        <v>FIRME</v>
      </c>
      <c r="G157" s="70">
        <f>PRINCIPALES!$AJ$10</f>
        <v>8.92739818923469</v>
      </c>
      <c r="H157" s="36">
        <f>PRINCIPALES!$AL$10</f>
        <v>6.73300791479592</v>
      </c>
      <c r="I157" s="44" t="inlineStr">
        <is>
          <t>Servicio = cargas sin factorizar (D + W_m).</t>
        </is>
      </c>
    </row>
    <row r="158">
      <c r="B158" s="37" t="inlineStr">
        <is>
          <t>NP-03 · i</t>
        </is>
      </c>
      <c r="C158" s="41" t="inlineStr">
        <is>
          <t>N+3.00</t>
        </is>
      </c>
      <c r="D158" s="73" t="inlineStr">
        <is>
          <t>(4.327, 2.921)</t>
        </is>
      </c>
      <c r="E158" s="41" t="inlineStr">
        <is>
          <t>C2</t>
        </is>
      </c>
      <c r="F158" s="41" t="str">
        <f>PRINCIPALES!$H$11</f>
        <v>FIRME</v>
      </c>
      <c r="G158" s="70">
        <f>PRINCIPALES!$AI$11</f>
        <v>1.62825986632653</v>
      </c>
      <c r="H158" s="36">
        <f>PRINCIPALES!$AK$11</f>
        <v>1.23830205102041</v>
      </c>
      <c r="I158" s="44" t="inlineStr">
        <is>
          <t>Servicio = cargas sin factorizar (D + W_m).</t>
        </is>
      </c>
    </row>
    <row r="159">
      <c r="B159" s="37" t="inlineStr">
        <is>
          <t>NP-03 · j</t>
        </is>
      </c>
      <c r="C159" s="41" t="inlineStr">
        <is>
          <t>N+3.00</t>
        </is>
      </c>
      <c r="D159" s="73" t="inlineStr">
        <is>
          <t>(5.923, 2.921)</t>
        </is>
      </c>
      <c r="E159" s="41" t="inlineStr">
        <is>
          <t>C3</t>
        </is>
      </c>
      <c r="F159" s="41" t="str">
        <f>PRINCIPALES!$I$11</f>
        <v>FIRME</v>
      </c>
      <c r="G159" s="70">
        <f>PRINCIPALES!$AJ$11</f>
        <v>1.62825986632653</v>
      </c>
      <c r="H159" s="36">
        <f>PRINCIPALES!$AL$11</f>
        <v>1.23830205102041</v>
      </c>
      <c r="I159" s="44" t="inlineStr">
        <is>
          <t>Servicio = cargas sin factorizar (D + W_m).</t>
        </is>
      </c>
    </row>
    <row r="160">
      <c r="B160" s="37" t="inlineStr">
        <is>
          <t>NP-04 · i</t>
        </is>
      </c>
      <c r="C160" s="41" t="inlineStr">
        <is>
          <t>N+3.00</t>
        </is>
      </c>
      <c r="D160" s="73" t="inlineStr">
        <is>
          <t>(2.925, 6.948)</t>
        </is>
      </c>
      <c r="E160" s="41" t="inlineStr">
        <is>
          <t>—</t>
        </is>
      </c>
      <c r="F160" s="41" t="str">
        <f>PRINCIPALES!$H$12</f>
        <v>FIRME</v>
      </c>
      <c r="G160" s="70">
        <f>PRINCIPALES!$AI$12</f>
        <v>0.482552969387755</v>
      </c>
      <c r="H160" s="36">
        <f>PRINCIPALES!$AK$12</f>
        <v>0.356697591836735</v>
      </c>
      <c r="I160" s="44" t="inlineStr">
        <is>
          <t>Servicio = cargas sin factorizar (D + W_m).</t>
        </is>
      </c>
    </row>
    <row r="161">
      <c r="B161" s="37" t="inlineStr">
        <is>
          <t>NP-05 · j</t>
        </is>
      </c>
      <c r="C161" s="41" t="inlineStr">
        <is>
          <t>N+3.00</t>
        </is>
      </c>
      <c r="D161" s="73" t="inlineStr">
        <is>
          <t>(5.923, 6.948)</t>
        </is>
      </c>
      <c r="E161" s="41" t="inlineStr">
        <is>
          <t>—</t>
        </is>
      </c>
      <c r="F161" s="41" t="str">
        <f>PRINCIPALES!$I$13</f>
        <v>FIRME</v>
      </c>
      <c r="G161" s="70">
        <f>PRINCIPALES!$AJ$13</f>
        <v>0.774126848979592</v>
      </c>
      <c r="H161" s="36">
        <f>PRINCIPALES!$AL$13</f>
        <v>0.576103653061225</v>
      </c>
      <c r="I161" s="44" t="inlineStr">
        <is>
          <t>Servicio = cargas sin factorizar (D + W_m).</t>
        </is>
      </c>
    </row>
    <row r="162">
      <c r="B162" s="37" t="inlineStr">
        <is>
          <t>NP-06 · i</t>
        </is>
      </c>
      <c r="C162" s="41" t="inlineStr">
        <is>
          <t>N+3.00</t>
        </is>
      </c>
      <c r="D162" s="73" t="inlineStr">
        <is>
          <t>(0.000, 7.871)</t>
        </is>
      </c>
      <c r="E162" s="41" t="inlineStr">
        <is>
          <t>—</t>
        </is>
      </c>
      <c r="F162" s="41" t="str">
        <f>PRINCIPALES!$H$14</f>
        <v>FIRME</v>
      </c>
      <c r="G162" s="70">
        <f>PRINCIPALES!$AI$14</f>
        <v>6.33239774586735</v>
      </c>
      <c r="H162" s="36">
        <f>PRINCIPALES!$AK$14</f>
        <v>4.80899741989796</v>
      </c>
      <c r="I162" s="44" t="inlineStr">
        <is>
          <t>Servicio = cargas sin factorizar (D + W_m).</t>
        </is>
      </c>
    </row>
    <row r="163">
      <c r="B163" s="37" t="inlineStr">
        <is>
          <t>NP-06 · j</t>
        </is>
      </c>
      <c r="C163" s="41" t="inlineStr">
        <is>
          <t>N+3.00</t>
        </is>
      </c>
      <c r="D163" s="73" t="inlineStr">
        <is>
          <t>(4.327, 7.871)</t>
        </is>
      </c>
      <c r="E163" s="41" t="inlineStr">
        <is>
          <t>C4</t>
        </is>
      </c>
      <c r="F163" s="41" t="str">
        <f>PRINCIPALES!$I$14</f>
        <v>FIRME</v>
      </c>
      <c r="G163" s="70">
        <f>PRINCIPALES!$AJ$14</f>
        <v>6.33239774586735</v>
      </c>
      <c r="H163" s="36">
        <f>PRINCIPALES!$AL$14</f>
        <v>4.80899741989796</v>
      </c>
      <c r="I163" s="44" t="inlineStr">
        <is>
          <t>Servicio = cargas sin factorizar (D + W_m).</t>
        </is>
      </c>
    </row>
    <row r="164">
      <c r="B164" s="37" t="inlineStr">
        <is>
          <t>NP-07 · i</t>
        </is>
      </c>
      <c r="C164" s="41" t="inlineStr">
        <is>
          <t>N+3.00</t>
        </is>
      </c>
      <c r="D164" s="73" t="inlineStr">
        <is>
          <t>(5.441, 8.910)</t>
        </is>
      </c>
      <c r="E164" s="41" t="inlineStr">
        <is>
          <t>C7</t>
        </is>
      </c>
      <c r="F164" s="41" t="str">
        <f>PRINCIPALES!$H$15</f>
        <v>FIRME</v>
      </c>
      <c r="G164" s="70">
        <f>PRINCIPALES!$AI$15</f>
        <v>1.48719849510204</v>
      </c>
      <c r="H164" s="36">
        <f>PRINCIPALES!$AK$15</f>
        <v>1.10920793469388</v>
      </c>
      <c r="I164" s="44" t="inlineStr">
        <is>
          <t>Servicio = cargas sin factorizar (D + W_m).</t>
        </is>
      </c>
    </row>
    <row r="165">
      <c r="B165" s="37" t="inlineStr">
        <is>
          <t>NP-08 · i</t>
        </is>
      </c>
      <c r="C165" s="41" t="inlineStr">
        <is>
          <t>N+3.00</t>
        </is>
      </c>
      <c r="D165" s="73" t="inlineStr">
        <is>
          <t>(5.422, 9.950)</t>
        </is>
      </c>
      <c r="E165" s="41" t="inlineStr">
        <is>
          <t>C6</t>
        </is>
      </c>
      <c r="F165" s="41" t="str">
        <f>PRINCIPALES!$H$16</f>
        <v>FIRME</v>
      </c>
      <c r="G165" s="70">
        <f>PRINCIPALES!$AI$16</f>
        <v>7.1412356669766</v>
      </c>
      <c r="H165" s="36">
        <f>PRINCIPALES!$AK$16</f>
        <v>5.38319515093831</v>
      </c>
      <c r="I165" s="44" t="inlineStr">
        <is>
          <t>Servicio = cargas sin factorizar (D + W_m).</t>
        </is>
      </c>
    </row>
    <row r="166">
      <c r="B166" s="37" t="inlineStr">
        <is>
          <t>NP-08 · j</t>
        </is>
      </c>
      <c r="C166" s="41" t="inlineStr">
        <is>
          <t>N+3.00</t>
        </is>
      </c>
      <c r="D166" s="73" t="inlineStr">
        <is>
          <t>(8.144, 9.950)</t>
        </is>
      </c>
      <c r="E166" s="41" t="inlineStr">
        <is>
          <t>—</t>
        </is>
      </c>
      <c r="F166" s="41" t="str">
        <f>PRINCIPALES!$I$16</f>
        <v>FIRME</v>
      </c>
      <c r="G166" s="70">
        <f>PRINCIPALES!$AJ$16</f>
        <v>7.99092407394177</v>
      </c>
      <c r="H166" s="36">
        <f>PRINCIPALES!$AL$16</f>
        <v>6.01654711130659</v>
      </c>
      <c r="I166" s="44" t="inlineStr">
        <is>
          <t>Servicio = cargas sin factorizar (D + W_m).</t>
        </is>
      </c>
    </row>
    <row r="167">
      <c r="B167" s="37" t="inlineStr">
        <is>
          <t>NP-09 · j</t>
        </is>
      </c>
      <c r="C167" s="41" t="inlineStr">
        <is>
          <t>N+3.00</t>
        </is>
      </c>
      <c r="D167" s="73" t="inlineStr">
        <is>
          <t>(0.000, 14.021)</t>
        </is>
      </c>
      <c r="E167" s="41" t="inlineStr">
        <is>
          <t>—</t>
        </is>
      </c>
      <c r="F167" s="41" t="str">
        <f>PRINCIPALES!$I$17</f>
        <v>FIRME</v>
      </c>
      <c r="G167" s="70">
        <f>PRINCIPALES!$AJ$17</f>
        <v>0</v>
      </c>
      <c r="H167" s="36">
        <f>PRINCIPALES!$AL$17</f>
        <v>0</v>
      </c>
      <c r="I167" s="44" t="inlineStr">
        <is>
          <t>Servicio = cargas sin factorizar (D + W_m).</t>
        </is>
      </c>
    </row>
    <row r="168">
      <c r="B168" s="37" t="inlineStr">
        <is>
          <t>NP-10 · i</t>
        </is>
      </c>
      <c r="C168" s="41" t="inlineStr">
        <is>
          <t>N+3.00</t>
        </is>
      </c>
      <c r="D168" s="73" t="inlineStr">
        <is>
          <t>(0.000, 14.021)</t>
        </is>
      </c>
      <c r="E168" s="41" t="inlineStr">
        <is>
          <t>—</t>
        </is>
      </c>
      <c r="F168" s="41" t="str">
        <f>PRINCIPALES!$H$18</f>
        <v>FIRME</v>
      </c>
      <c r="G168" s="70">
        <f>PRINCIPALES!$AI$18</f>
        <v>7.05283647046173</v>
      </c>
      <c r="H168" s="36">
        <f>PRINCIPALES!$AK$18</f>
        <v>5.3490333142856</v>
      </c>
      <c r="I168" s="44" t="inlineStr">
        <is>
          <t>Servicio = cargas sin factorizar (D + W_m).</t>
        </is>
      </c>
    </row>
    <row r="169">
      <c r="B169" s="37" t="inlineStr">
        <is>
          <t>NP-10 · j</t>
        </is>
      </c>
      <c r="C169" s="41" t="inlineStr">
        <is>
          <t>N+3.00</t>
        </is>
      </c>
      <c r="D169" s="73" t="inlineStr">
        <is>
          <t>(4.327, 14.021)</t>
        </is>
      </c>
      <c r="E169" s="41" t="inlineStr">
        <is>
          <t>C5</t>
        </is>
      </c>
      <c r="F169" s="41" t="str">
        <f>PRINCIPALES!$I$18</f>
        <v>FIRME</v>
      </c>
      <c r="G169" s="70">
        <f>PRINCIPALES!$AJ$18</f>
        <v>8.36752838071174</v>
      </c>
      <c r="H169" s="36">
        <f>PRINCIPALES!$AL$18</f>
        <v>6.338298109694</v>
      </c>
      <c r="I169" s="44" t="inlineStr">
        <is>
          <t>Servicio = cargas sin factorizar (D + W_m).</t>
        </is>
      </c>
    </row>
    <row r="170">
      <c r="B170" s="37" t="inlineStr">
        <is>
          <t>NP-11 · j</t>
        </is>
      </c>
      <c r="C170" s="41" t="inlineStr">
        <is>
          <t>N+3.00</t>
        </is>
      </c>
      <c r="D170" s="73" t="inlineStr">
        <is>
          <t>(8.850, 14.247)</t>
        </is>
      </c>
      <c r="E170" s="41" t="inlineStr">
        <is>
          <t>—</t>
        </is>
      </c>
      <c r="F170" s="41" t="str">
        <f>PRINCIPALES!$I$19</f>
        <v>FIRME</v>
      </c>
      <c r="G170" s="70">
        <f>PRINCIPALES!$AJ$19</f>
        <v>1.80477259392857</v>
      </c>
      <c r="H170" s="36">
        <f>PRINCIPALES!$AL$19</f>
        <v>1.38828661071429</v>
      </c>
      <c r="I170" s="44" t="inlineStr">
        <is>
          <t>Servicio = cargas sin factorizar (D + W_m).</t>
        </is>
      </c>
    </row>
    <row r="171">
      <c r="B171" s="37" t="inlineStr">
        <is>
          <t>NP-12 · i</t>
        </is>
      </c>
      <c r="C171" s="41" t="inlineStr">
        <is>
          <t>N+3.00</t>
        </is>
      </c>
      <c r="D171" s="73" t="inlineStr">
        <is>
          <t>(0.000, 15.846)</t>
        </is>
      </c>
      <c r="E171" s="41" t="inlineStr">
        <is>
          <t>—</t>
        </is>
      </c>
      <c r="F171" s="41" t="str">
        <f>PRINCIPALES!$H$20</f>
        <v>FIRME</v>
      </c>
      <c r="G171" s="70">
        <f>PRINCIPALES!$AI$20</f>
        <v>7.13581529793279</v>
      </c>
      <c r="H171" s="36">
        <f>PRINCIPALES!$AK$20</f>
        <v>5.3882400181796</v>
      </c>
      <c r="I171" s="44" t="inlineStr">
        <is>
          <t>Servicio = cargas sin factorizar (D + W_m).</t>
        </is>
      </c>
    </row>
    <row r="172">
      <c r="B172" s="37" t="inlineStr">
        <is>
          <t>NP-12 · j</t>
        </is>
      </c>
      <c r="C172" s="41" t="inlineStr">
        <is>
          <t>N+3.00</t>
        </is>
      </c>
      <c r="D172" s="73" t="inlineStr">
        <is>
          <t>(3.427, 15.846)</t>
        </is>
      </c>
      <c r="E172" s="41" t="inlineStr">
        <is>
          <t>C8</t>
        </is>
      </c>
      <c r="F172" s="41" t="str">
        <f>PRINCIPALES!$I$20</f>
        <v>FIRME</v>
      </c>
      <c r="G172" s="70">
        <f>PRINCIPALES!$AJ$20</f>
        <v>8.68209536592275</v>
      </c>
      <c r="H172" s="36">
        <f>PRINCIPALES!$AL$20</f>
        <v>6.55389575161313</v>
      </c>
      <c r="I172" s="44" t="inlineStr">
        <is>
          <t>Servicio = cargas sin factorizar (D + W_m).</t>
        </is>
      </c>
    </row>
    <row r="173">
      <c r="B173" s="37" t="inlineStr">
        <is>
          <t>NP-13 · j</t>
        </is>
      </c>
      <c r="C173" s="41" t="inlineStr">
        <is>
          <t>N+3.00</t>
        </is>
      </c>
      <c r="D173" s="73" t="inlineStr">
        <is>
          <t>(8.850, 15.846)</t>
        </is>
      </c>
      <c r="E173" s="41" t="inlineStr">
        <is>
          <t>—</t>
        </is>
      </c>
      <c r="F173" s="41" t="str">
        <f>PRINCIPALES!$I$21</f>
        <v>FIRME</v>
      </c>
      <c r="G173" s="70">
        <f>PRINCIPALES!$AJ$21</f>
        <v>5.89937249587232</v>
      </c>
      <c r="H173" s="36">
        <f>PRINCIPALES!$AL$21</f>
        <v>4.46573559528999</v>
      </c>
      <c r="I173" s="44" t="inlineStr">
        <is>
          <t>Servicio = cargas sin factorizar (D + W_m).</t>
        </is>
      </c>
    </row>
    <row r="174">
      <c r="B174" s="37" t="inlineStr">
        <is>
          <t>NP-14 · j</t>
        </is>
      </c>
      <c r="C174" s="41" t="inlineStr">
        <is>
          <t>N+3.00</t>
        </is>
      </c>
      <c r="D174" s="73" t="inlineStr">
        <is>
          <t>(0.000, 17.446)</t>
        </is>
      </c>
      <c r="E174" s="41" t="inlineStr">
        <is>
          <t>—</t>
        </is>
      </c>
      <c r="F174" s="41" t="str">
        <f>PRINCIPALES!$I$22</f>
        <v>FIRME</v>
      </c>
      <c r="G174" s="70">
        <f>PRINCIPALES!$AJ$22</f>
        <v>0</v>
      </c>
      <c r="H174" s="36">
        <f>PRINCIPALES!$AL$22</f>
        <v>0</v>
      </c>
      <c r="I174" s="44" t="inlineStr">
        <is>
          <t>Servicio = cargas sin factorizar (D + W_m).</t>
        </is>
      </c>
    </row>
    <row r="175">
      <c r="B175" s="37" t="inlineStr">
        <is>
          <t>NP-15 · i</t>
        </is>
      </c>
      <c r="C175" s="41" t="inlineStr">
        <is>
          <t>N+3.00</t>
        </is>
      </c>
      <c r="D175" s="73" t="inlineStr">
        <is>
          <t>(0.000, 17.446)</t>
        </is>
      </c>
      <c r="E175" s="41" t="inlineStr">
        <is>
          <t>—</t>
        </is>
      </c>
      <c r="F175" s="41" t="str">
        <f>PRINCIPALES!$H$23</f>
        <v>FIRME</v>
      </c>
      <c r="G175" s="70">
        <f>PRINCIPALES!$AI$23</f>
        <v>12.7156562157506</v>
      </c>
      <c r="H175" s="36">
        <f>PRINCIPALES!$AK$23</f>
        <v>9.58752613825174</v>
      </c>
      <c r="I175" s="44" t="inlineStr">
        <is>
          <t>Servicio = cargas sin factorizar (D + W_m).</t>
        </is>
      </c>
    </row>
    <row r="176">
      <c r="B176" s="37" t="inlineStr">
        <is>
          <t>NP-15 · j</t>
        </is>
      </c>
      <c r="C176" s="41" t="inlineStr">
        <is>
          <t>N+3.00</t>
        </is>
      </c>
      <c r="D176" s="73" t="inlineStr">
        <is>
          <t>(4.925, 17.446)</t>
        </is>
      </c>
      <c r="E176" s="41" t="inlineStr">
        <is>
          <t>—</t>
        </is>
      </c>
      <c r="F176" s="41" t="str">
        <f>PRINCIPALES!$I$23</f>
        <v>FIRME</v>
      </c>
      <c r="G176" s="70">
        <f>PRINCIPALES!$AJ$23</f>
        <v>20.5561324910673</v>
      </c>
      <c r="H176" s="36">
        <f>PRINCIPALES!$AL$23</f>
        <v>15.5017533709351</v>
      </c>
      <c r="I176" s="44" t="inlineStr">
        <is>
          <t>Servicio = cargas sin factorizar (D + W_m).</t>
        </is>
      </c>
    </row>
    <row r="177">
      <c r="B177" s="37" t="inlineStr">
        <is>
          <t>NP-16 · i</t>
        </is>
      </c>
      <c r="C177" s="41" t="inlineStr">
        <is>
          <t>N+3.00</t>
        </is>
      </c>
      <c r="D177" s="73" t="inlineStr">
        <is>
          <t>(0.000, 23.446)</t>
        </is>
      </c>
      <c r="E177" s="41" t="inlineStr">
        <is>
          <t>—</t>
        </is>
      </c>
      <c r="F177" s="41" t="str">
        <f>PRINCIPALES!$H$24</f>
        <v>FIRME</v>
      </c>
      <c r="G177" s="70">
        <f>PRINCIPALES!$AI$24</f>
        <v>0</v>
      </c>
      <c r="H177" s="36">
        <f>PRINCIPALES!$AK$24</f>
        <v>0</v>
      </c>
      <c r="I177" s="44" t="inlineStr">
        <is>
          <t>Servicio = cargas sin factorizar (D + W_m).</t>
        </is>
      </c>
    </row>
    <row r="178">
      <c r="B178" s="37" t="inlineStr">
        <is>
          <t>NP-16 · j</t>
        </is>
      </c>
      <c r="C178" s="41" t="inlineStr">
        <is>
          <t>N+3.00</t>
        </is>
      </c>
      <c r="D178" s="73" t="inlineStr">
        <is>
          <t>(7.250, 23.446)</t>
        </is>
      </c>
      <c r="E178" s="41" t="inlineStr">
        <is>
          <t>—</t>
        </is>
      </c>
      <c r="F178" s="41" t="str">
        <f>PRINCIPALES!$I$24</f>
        <v>FIRME</v>
      </c>
      <c r="G178" s="70">
        <f>PRINCIPALES!$AJ$24</f>
        <v>0</v>
      </c>
      <c r="H178" s="36">
        <f>PRINCIPALES!$AL$24</f>
        <v>0</v>
      </c>
      <c r="I178" s="44" t="inlineStr">
        <is>
          <t>Servicio = cargas sin factorizar (D + W_m).</t>
        </is>
      </c>
    </row>
    <row r="179">
      <c r="B179" s="37" t="inlineStr">
        <is>
          <t>NP-19 · j</t>
        </is>
      </c>
      <c r="C179" s="41" t="inlineStr">
        <is>
          <t>N+3.00</t>
        </is>
      </c>
      <c r="D179" s="73" t="inlineStr">
        <is>
          <t>(3.427, 15.846)</t>
        </is>
      </c>
      <c r="E179" s="41" t="inlineStr">
        <is>
          <t>C8</t>
        </is>
      </c>
      <c r="F179" s="41" t="str">
        <f>PRINCIPALES!$I$27</f>
        <v>FIRME</v>
      </c>
      <c r="G179" s="70">
        <f>PRINCIPALES!$AJ$27</f>
        <v>3.2220281125</v>
      </c>
      <c r="H179" s="36">
        <f>PRINCIPALES!$AL$27</f>
        <v>2.429781625</v>
      </c>
      <c r="I179" s="44" t="inlineStr">
        <is>
          <t>Servicio = cargas sin factorizar (D + W_m).</t>
        </is>
      </c>
    </row>
    <row r="180">
      <c r="B180" s="37" t="inlineStr">
        <is>
          <t>NP-20 · i</t>
        </is>
      </c>
      <c r="C180" s="41" t="inlineStr">
        <is>
          <t>N+3.00</t>
        </is>
      </c>
      <c r="D180" s="73" t="inlineStr">
        <is>
          <t>(4.327, 1.919)</t>
        </is>
      </c>
      <c r="E180" s="41" t="inlineStr">
        <is>
          <t>C1</t>
        </is>
      </c>
      <c r="F180" s="41" t="str">
        <f>PRINCIPALES!$H$28</f>
        <v>FIRME</v>
      </c>
      <c r="G180" s="70">
        <f>PRINCIPALES!$AI$28</f>
        <v>1.06886579846939</v>
      </c>
      <c r="H180" s="36">
        <f>PRINCIPALES!$AK$28</f>
        <v>0.816605229591837</v>
      </c>
      <c r="I180" s="44" t="inlineStr">
        <is>
          <t>Servicio = cargas sin factorizar (D + W_m).</t>
        </is>
      </c>
    </row>
    <row r="181">
      <c r="B181" s="37" t="inlineStr">
        <is>
          <t>NP-20 · j</t>
        </is>
      </c>
      <c r="C181" s="41" t="inlineStr">
        <is>
          <t>N+3.00</t>
        </is>
      </c>
      <c r="D181" s="73" t="inlineStr">
        <is>
          <t>(4.327, 2.921)</t>
        </is>
      </c>
      <c r="E181" s="41" t="inlineStr">
        <is>
          <t>C2</t>
        </is>
      </c>
      <c r="F181" s="41" t="str">
        <f>PRINCIPALES!$I$28</f>
        <v>FIRME</v>
      </c>
      <c r="G181" s="70">
        <f>PRINCIPALES!$AJ$28</f>
        <v>1.06886579846939</v>
      </c>
      <c r="H181" s="36">
        <f>PRINCIPALES!$AL$28</f>
        <v>0.816605229591837</v>
      </c>
      <c r="I181" s="44" t="inlineStr">
        <is>
          <t>Servicio = cargas sin factorizar (D + W_m).</t>
        </is>
      </c>
    </row>
    <row r="182">
      <c r="B182" s="37" t="inlineStr">
        <is>
          <t>NP-21 · i</t>
        </is>
      </c>
      <c r="C182" s="41" t="inlineStr">
        <is>
          <t>N+3.00</t>
        </is>
      </c>
      <c r="D182" s="73" t="inlineStr">
        <is>
          <t>(4.327, 2.921)</t>
        </is>
      </c>
      <c r="E182" s="41" t="inlineStr">
        <is>
          <t>C2</t>
        </is>
      </c>
      <c r="F182" s="41" t="str">
        <f>PRINCIPALES!$H$29</f>
        <v>FIRME</v>
      </c>
      <c r="G182" s="70">
        <f>PRINCIPALES!$AI$29</f>
        <v>6.75258584056122</v>
      </c>
      <c r="H182" s="36">
        <f>PRINCIPALES!$AK$29</f>
        <v>5.08927641581633</v>
      </c>
      <c r="I182" s="44" t="inlineStr">
        <is>
          <t>Servicio = cargas sin factorizar (D + W_m).</t>
        </is>
      </c>
    </row>
    <row r="183">
      <c r="B183" s="37" t="inlineStr">
        <is>
          <t>NP-21 · j</t>
        </is>
      </c>
      <c r="C183" s="41" t="inlineStr">
        <is>
          <t>N+3.00</t>
        </is>
      </c>
      <c r="D183" s="73" t="inlineStr">
        <is>
          <t>(4.327, 5.946)</t>
        </is>
      </c>
      <c r="E183" s="41" t="inlineStr">
        <is>
          <t>—</t>
        </is>
      </c>
      <c r="F183" s="41" t="str">
        <f>PRINCIPALES!$I$29</f>
        <v>FIRME</v>
      </c>
      <c r="G183" s="70">
        <f>PRINCIPALES!$AJ$29</f>
        <v>6.75258584056122</v>
      </c>
      <c r="H183" s="36">
        <f>PRINCIPALES!$AL$29</f>
        <v>5.08927641581633</v>
      </c>
      <c r="I183" s="44" t="inlineStr">
        <is>
          <t>Servicio = cargas sin factorizar (D + W_m).</t>
        </is>
      </c>
    </row>
    <row r="184">
      <c r="B184" s="37" t="inlineStr">
        <is>
          <t>NP-22 · i</t>
        </is>
      </c>
      <c r="C184" s="41" t="inlineStr">
        <is>
          <t>N+3.00</t>
        </is>
      </c>
      <c r="D184" s="73" t="inlineStr">
        <is>
          <t>(4.327, 5.946)</t>
        </is>
      </c>
      <c r="E184" s="41" t="inlineStr">
        <is>
          <t>—</t>
        </is>
      </c>
      <c r="F184" s="41" t="str">
        <f>PRINCIPALES!$H$30</f>
        <v>FIRME</v>
      </c>
      <c r="G184" s="70">
        <f>PRINCIPALES!$AI$30</f>
        <v>3.62542159053075</v>
      </c>
      <c r="H184" s="36">
        <f>PRINCIPALES!$AK$30</f>
        <v>2.73675873285582</v>
      </c>
      <c r="I184" s="44" t="inlineStr">
        <is>
          <t>Servicio = cargas sin factorizar (D + W_m).</t>
        </is>
      </c>
    </row>
    <row r="185">
      <c r="B185" s="37" t="inlineStr">
        <is>
          <t>NP-22 · j</t>
        </is>
      </c>
      <c r="C185" s="41" t="inlineStr">
        <is>
          <t>N+3.00</t>
        </is>
      </c>
      <c r="D185" s="73" t="inlineStr">
        <is>
          <t>(4.327, 7.871)</t>
        </is>
      </c>
      <c r="E185" s="41" t="inlineStr">
        <is>
          <t>C4</t>
        </is>
      </c>
      <c r="F185" s="41" t="str">
        <f>PRINCIPALES!$I$30</f>
        <v>FIRME</v>
      </c>
      <c r="G185" s="70">
        <f>PRINCIPALES!$AJ$30</f>
        <v>3.64522506304068</v>
      </c>
      <c r="H185" s="36">
        <f>PRINCIPALES!$AL$30</f>
        <v>2.7513972314299</v>
      </c>
      <c r="I185" s="44" t="inlineStr">
        <is>
          <t>Servicio = cargas sin factorizar (D + W_m).</t>
        </is>
      </c>
    </row>
    <row r="186">
      <c r="B186" s="37" t="inlineStr">
        <is>
          <t>NP-23 · i</t>
        </is>
      </c>
      <c r="C186" s="41" t="inlineStr">
        <is>
          <t>N+3.00</t>
        </is>
      </c>
      <c r="D186" s="73" t="inlineStr">
        <is>
          <t>(4.327, 7.871)</t>
        </is>
      </c>
      <c r="E186" s="41" t="inlineStr">
        <is>
          <t>C4</t>
        </is>
      </c>
      <c r="F186" s="41" t="str">
        <f>PRINCIPALES!$H$31</f>
        <v>FIRME</v>
      </c>
      <c r="G186" s="70">
        <f>PRINCIPALES!$AI$31</f>
        <v>2.60535123673469</v>
      </c>
      <c r="H186" s="36">
        <f>PRINCIPALES!$AK$31</f>
        <v>1.94629348979592</v>
      </c>
      <c r="I186" s="44" t="inlineStr">
        <is>
          <t>Servicio = cargas sin factorizar (D + W_m).</t>
        </is>
      </c>
    </row>
    <row r="187">
      <c r="B187" s="37" t="inlineStr">
        <is>
          <t>NP-23 · j</t>
        </is>
      </c>
      <c r="C187" s="41" t="inlineStr">
        <is>
          <t>N+3.00</t>
        </is>
      </c>
      <c r="D187" s="73" t="inlineStr">
        <is>
          <t>(4.327, 14.021)</t>
        </is>
      </c>
      <c r="E187" s="41" t="inlineStr">
        <is>
          <t>C5</t>
        </is>
      </c>
      <c r="F187" s="41" t="str">
        <f>PRINCIPALES!$I$31</f>
        <v>FIRME</v>
      </c>
      <c r="G187" s="70">
        <f>PRINCIPALES!$AJ$31</f>
        <v>2.60535123673469</v>
      </c>
      <c r="H187" s="36">
        <f>PRINCIPALES!$AL$31</f>
        <v>1.94629348979592</v>
      </c>
      <c r="I187" s="44" t="inlineStr">
        <is>
          <t>Servicio = cargas sin factorizar (D + W_m).</t>
        </is>
      </c>
    </row>
    <row r="188">
      <c r="B188" s="37" t="inlineStr">
        <is>
          <t>NP-24 · j</t>
        </is>
      </c>
      <c r="C188" s="41" t="inlineStr">
        <is>
          <t>N+3.00</t>
        </is>
      </c>
      <c r="D188" s="73" t="inlineStr">
        <is>
          <t>(4.426, 21.446)</t>
        </is>
      </c>
      <c r="E188" s="41" t="inlineStr">
        <is>
          <t>—</t>
        </is>
      </c>
      <c r="F188" s="41" t="str">
        <f>PRINCIPALES!$I$32</f>
        <v>FIRME</v>
      </c>
      <c r="G188" s="70">
        <f>PRINCIPALES!$AJ$32</f>
        <v>8.93059657959184</v>
      </c>
      <c r="H188" s="36">
        <f>PRINCIPALES!$AL$32</f>
        <v>6.73601406122449</v>
      </c>
      <c r="I188" s="44" t="inlineStr">
        <is>
          <t>Servicio = cargas sin factorizar (D + W_m).</t>
        </is>
      </c>
    </row>
    <row r="189">
      <c r="B189" s="37" t="inlineStr">
        <is>
          <t>NP-25 · j</t>
        </is>
      </c>
      <c r="C189" s="41" t="inlineStr">
        <is>
          <t>N+3.00</t>
        </is>
      </c>
      <c r="D189" s="73" t="inlineStr">
        <is>
          <t>(5.441, 8.910)</t>
        </is>
      </c>
      <c r="E189" s="41" t="inlineStr">
        <is>
          <t>C7</t>
        </is>
      </c>
      <c r="F189" s="41" t="str">
        <f>PRINCIPALES!$I$33</f>
        <v>FIRME</v>
      </c>
      <c r="G189" s="70">
        <f>PRINCIPALES!$AJ$33</f>
        <v>0.618084973469388</v>
      </c>
      <c r="H189" s="36">
        <f>PRINCIPALES!$AL$33</f>
        <v>0.459204979591837</v>
      </c>
      <c r="I189" s="44" t="inlineStr">
        <is>
          <t>Servicio = cargas sin factorizar (D + W_m).</t>
        </is>
      </c>
    </row>
    <row r="190">
      <c r="B190" s="37" t="inlineStr">
        <is>
          <t>NP-26 · i</t>
        </is>
      </c>
      <c r="C190" s="41" t="inlineStr">
        <is>
          <t>N+3.00</t>
        </is>
      </c>
      <c r="D190" s="73" t="inlineStr">
        <is>
          <t>(5.441, 9.950)</t>
        </is>
      </c>
      <c r="E190" s="41" t="inlineStr">
        <is>
          <t>C6</t>
        </is>
      </c>
      <c r="F190" s="41" t="str">
        <f>PRINCIPALES!$H$34</f>
        <v>FIRME</v>
      </c>
      <c r="G190" s="70">
        <f>PRINCIPALES!$AI$34</f>
        <v>14.3723518532932</v>
      </c>
      <c r="H190" s="36">
        <f>PRINCIPALES!$AK$34</f>
        <v>10.8275973889178</v>
      </c>
      <c r="I190" s="44" t="inlineStr">
        <is>
          <t>Servicio = cargas sin factorizar (D + W_m).</t>
        </is>
      </c>
    </row>
    <row r="191">
      <c r="B191" s="37" t="inlineStr">
        <is>
          <t>NP-26 · j</t>
        </is>
      </c>
      <c r="C191" s="41" t="inlineStr">
        <is>
          <t>N+3.00</t>
        </is>
      </c>
      <c r="D191" s="73" t="inlineStr">
        <is>
          <t>(5.441, 15.447)</t>
        </is>
      </c>
      <c r="E191" s="41" t="inlineStr">
        <is>
          <t>—</t>
        </is>
      </c>
      <c r="F191" s="41" t="str">
        <f>PRINCIPALES!$I$34</f>
        <v>FIRME</v>
      </c>
      <c r="G191" s="70">
        <f>PRINCIPALES!$AJ$34</f>
        <v>15.3891575151809</v>
      </c>
      <c r="H191" s="36">
        <f>PRINCIPALES!$AL$34</f>
        <v>11.6097555903699</v>
      </c>
      <c r="I191" s="44" t="inlineStr">
        <is>
          <t>Servicio = cargas sin factorizar (D + W_m).</t>
        </is>
      </c>
    </row>
    <row r="192">
      <c r="B192" s="37" t="inlineStr">
        <is>
          <t>NP-27 · i</t>
        </is>
      </c>
      <c r="C192" s="41" t="inlineStr">
        <is>
          <t>N+3.00</t>
        </is>
      </c>
      <c r="D192" s="73" t="inlineStr">
        <is>
          <t>(5.441, 15.447)</t>
        </is>
      </c>
      <c r="E192" s="41" t="inlineStr">
        <is>
          <t>—</t>
        </is>
      </c>
      <c r="F192" s="41" t="str">
        <f>PRINCIPALES!$H$35</f>
        <v>FIRME</v>
      </c>
      <c r="G192" s="70">
        <f>PRINCIPALES!$AI$35</f>
        <v>9.12801662843039</v>
      </c>
      <c r="H192" s="36">
        <f>PRINCIPALES!$AK$35</f>
        <v>6.9115595064044</v>
      </c>
      <c r="I192" s="44" t="inlineStr">
        <is>
          <t>Servicio = cargas sin factorizar (D + W_m).</t>
        </is>
      </c>
    </row>
    <row r="193">
      <c r="B193" s="37" t="inlineStr">
        <is>
          <t>NP-28 · j</t>
        </is>
      </c>
      <c r="C193" s="41" t="inlineStr">
        <is>
          <t>N+3.00</t>
        </is>
      </c>
      <c r="D193" s="73" t="inlineStr">
        <is>
          <t>(5.822, 17.446)</t>
        </is>
      </c>
      <c r="E193" s="41" t="inlineStr">
        <is>
          <t>—</t>
        </is>
      </c>
      <c r="F193" s="41" t="str">
        <f>PRINCIPALES!$I$36</f>
        <v>FIRME</v>
      </c>
      <c r="G193" s="70">
        <f>PRINCIPALES!$AJ$36</f>
        <v>2.65046622462117</v>
      </c>
      <c r="H193" s="36">
        <f>PRINCIPALES!$AL$36</f>
        <v>2.00493600932398</v>
      </c>
      <c r="I193" s="44" t="inlineStr">
        <is>
          <t>Servicio = cargas sin factorizar (D + W_m).</t>
        </is>
      </c>
    </row>
    <row r="194">
      <c r="B194" s="37" t="inlineStr">
        <is>
          <t>NP-29 · i</t>
        </is>
      </c>
      <c r="C194" s="41" t="inlineStr">
        <is>
          <t>N+3.00</t>
        </is>
      </c>
      <c r="D194" s="73" t="inlineStr">
        <is>
          <t>(5.923, 2.921)</t>
        </is>
      </c>
      <c r="E194" s="41" t="inlineStr">
        <is>
          <t>C3</t>
        </is>
      </c>
      <c r="F194" s="41" t="str">
        <f>PRINCIPALES!$H$37</f>
        <v>FIRME</v>
      </c>
      <c r="G194" s="70">
        <f>PRINCIPALES!$AI$37</f>
        <v>3.74413224362245</v>
      </c>
      <c r="H194" s="36">
        <f>PRINCIPALES!$AK$37</f>
        <v>2.84045795663265</v>
      </c>
      <c r="I194" s="44" t="inlineStr">
        <is>
          <t>Servicio = cargas sin factorizar (D + W_m).</t>
        </is>
      </c>
    </row>
    <row r="195">
      <c r="B195" s="37" t="inlineStr">
        <is>
          <t>NP-29 · j</t>
        </is>
      </c>
      <c r="C195" s="41" t="inlineStr">
        <is>
          <t>N+3.00</t>
        </is>
      </c>
      <c r="D195" s="73" t="inlineStr">
        <is>
          <t>(5.923, 5.946)</t>
        </is>
      </c>
      <c r="E195" s="41" t="inlineStr">
        <is>
          <t>—</t>
        </is>
      </c>
      <c r="F195" s="41" t="str">
        <f>PRINCIPALES!$I$37</f>
        <v>FIRME</v>
      </c>
      <c r="G195" s="70">
        <f>PRINCIPALES!$AJ$37</f>
        <v>3.74413224362245</v>
      </c>
      <c r="H195" s="36">
        <f>PRINCIPALES!$AL$37</f>
        <v>2.84045795663265</v>
      </c>
      <c r="I195" s="44" t="inlineStr">
        <is>
          <t>Servicio = cargas sin factorizar (D + W_m).</t>
        </is>
      </c>
    </row>
    <row r="196">
      <c r="B196" s="37" t="inlineStr">
        <is>
          <t>NP-31 · i</t>
        </is>
      </c>
      <c r="C196" s="41" t="inlineStr">
        <is>
          <t>N+6.00</t>
        </is>
      </c>
      <c r="D196" s="73" t="inlineStr">
        <is>
          <t>(5.822, 16.697)</t>
        </is>
      </c>
      <c r="E196" s="41" t="inlineStr">
        <is>
          <t>—</t>
        </is>
      </c>
      <c r="F196" s="41" t="str">
        <f>PRINCIPALES!$H$39</f>
        <v>FIRME</v>
      </c>
      <c r="G196" s="70">
        <f>PRINCIPALES!$AI$39</f>
        <v>0.715687046938776</v>
      </c>
      <c r="H196" s="36">
        <f>PRINCIPALES!$AK$39</f>
        <v>0.540266959183673</v>
      </c>
      <c r="I196" s="44" t="inlineStr">
        <is>
          <t>Servicio = cargas sin factorizar (D + W_m).</t>
        </is>
      </c>
    </row>
    <row r="197">
      <c r="B197" s="37" t="inlineStr">
        <is>
          <t>NP-31 · j</t>
        </is>
      </c>
      <c r="C197" s="41" t="inlineStr">
        <is>
          <t>N+6.00</t>
        </is>
      </c>
      <c r="D197" s="73" t="inlineStr">
        <is>
          <t>(8.850, 16.697)</t>
        </is>
      </c>
      <c r="E197" s="41" t="inlineStr">
        <is>
          <t>—</t>
        </is>
      </c>
      <c r="F197" s="41" t="str">
        <f>PRINCIPALES!$I$39</f>
        <v>FIRME</v>
      </c>
      <c r="G197" s="70">
        <f>PRINCIPALES!$AJ$39</f>
        <v>0.715687046938776</v>
      </c>
      <c r="H197" s="36">
        <f>PRINCIPALES!$AL$39</f>
        <v>0.540266959183673</v>
      </c>
      <c r="I197" s="44" t="inlineStr">
        <is>
          <t>Servicio = cargas sin factorizar (D + W_m).</t>
        </is>
      </c>
    </row>
    <row r="198">
      <c r="B198" s="37" t="inlineStr">
        <is>
          <t>NP-32 · i</t>
        </is>
      </c>
      <c r="C198" s="41" t="inlineStr">
        <is>
          <t>N+6.00</t>
        </is>
      </c>
      <c r="D198" s="73" t="inlineStr">
        <is>
          <t>(0.000, 16.997)</t>
        </is>
      </c>
      <c r="E198" s="41" t="inlineStr">
        <is>
          <t>—</t>
        </is>
      </c>
      <c r="F198" s="41" t="str">
        <f>PRINCIPALES!$H$40</f>
        <v>FIRME</v>
      </c>
      <c r="G198" s="70">
        <f>PRINCIPALES!$AI$40</f>
        <v>0.855255540306122</v>
      </c>
      <c r="H198" s="36">
        <f>PRINCIPALES!$AK$40</f>
        <v>0.645281954081633</v>
      </c>
      <c r="I198" s="44" t="inlineStr">
        <is>
          <t>Servicio = cargas sin factorizar (D + W_m).</t>
        </is>
      </c>
    </row>
    <row r="199">
      <c r="B199" s="37" t="inlineStr">
        <is>
          <t>NP-32 · j</t>
        </is>
      </c>
      <c r="C199" s="41" t="inlineStr">
        <is>
          <t>N+6.00</t>
        </is>
      </c>
      <c r="D199" s="73" t="inlineStr">
        <is>
          <t>(3.029, 16.997)</t>
        </is>
      </c>
      <c r="E199" s="41" t="inlineStr">
        <is>
          <t>—</t>
        </is>
      </c>
      <c r="F199" s="41" t="str">
        <f>PRINCIPALES!$I$40</f>
        <v>FIRME</v>
      </c>
      <c r="G199" s="70">
        <f>PRINCIPALES!$AJ$40</f>
        <v>0.855255540306122</v>
      </c>
      <c r="H199" s="36">
        <f>PRINCIPALES!$AL$40</f>
        <v>0.645281954081633</v>
      </c>
      <c r="I199" s="44" t="inlineStr">
        <is>
          <t>Servicio = cargas sin factorizar (D + W_m).</t>
        </is>
      </c>
    </row>
    <row r="200">
      <c r="B200" s="37" t="inlineStr">
        <is>
          <t>NP-33 · i</t>
        </is>
      </c>
      <c r="C200" s="41" t="inlineStr">
        <is>
          <t>N+6.00</t>
        </is>
      </c>
      <c r="D200" s="73" t="inlineStr">
        <is>
          <t>(0.000, 14.021)</t>
        </is>
      </c>
      <c r="E200" s="41" t="inlineStr">
        <is>
          <t>—</t>
        </is>
      </c>
      <c r="F200" s="41" t="str">
        <f>PRINCIPALES!$H$41</f>
        <v>FIRME</v>
      </c>
      <c r="G200" s="70">
        <f>PRINCIPALES!$AI$41</f>
        <v>0.566996335714286</v>
      </c>
      <c r="H200" s="36">
        <f>PRINCIPALES!$AK$41</f>
        <v>0.429745642857143</v>
      </c>
      <c r="I200" s="44" t="inlineStr">
        <is>
          <t>Servicio = cargas sin factorizar (D + W_m).</t>
        </is>
      </c>
    </row>
    <row r="201">
      <c r="B201" s="37" t="inlineStr">
        <is>
          <t>NP-33 · j</t>
        </is>
      </c>
      <c r="C201" s="41" t="inlineStr">
        <is>
          <t>N+6.00</t>
        </is>
      </c>
      <c r="D201" s="73" t="inlineStr">
        <is>
          <t>(0.000, 15.846)</t>
        </is>
      </c>
      <c r="E201" s="41" t="inlineStr">
        <is>
          <t>—</t>
        </is>
      </c>
      <c r="F201" s="41" t="str">
        <f>PRINCIPALES!$I$41</f>
        <v>FIRME</v>
      </c>
      <c r="G201" s="70">
        <f>PRINCIPALES!$AJ$41</f>
        <v>0.566996335714286</v>
      </c>
      <c r="H201" s="36">
        <f>PRINCIPALES!$AL$41</f>
        <v>0.429745642857143</v>
      </c>
      <c r="I201" s="44" t="inlineStr">
        <is>
          <t>Servicio = cargas sin factorizar (D + W_m).</t>
        </is>
      </c>
    </row>
    <row r="202">
      <c r="B202" s="37" t="inlineStr">
        <is>
          <t>NP-34 · i</t>
        </is>
      </c>
      <c r="C202" s="41" t="inlineStr">
        <is>
          <t>N+6.00</t>
        </is>
      </c>
      <c r="D202" s="73" t="inlineStr">
        <is>
          <t>(5.923, 6.948)</t>
        </is>
      </c>
      <c r="E202" s="41" t="inlineStr">
        <is>
          <t>—</t>
        </is>
      </c>
      <c r="F202" s="41" t="str">
        <f>PRINCIPALES!$H$42</f>
        <v>FIRME</v>
      </c>
      <c r="G202" s="70">
        <f>PRINCIPALES!$AI$42</f>
        <v>1.36977106173469</v>
      </c>
      <c r="H202" s="36">
        <f>PRINCIPALES!$AK$42</f>
        <v>1.03620773979592</v>
      </c>
      <c r="I202" s="44" t="inlineStr">
        <is>
          <t>Servicio = cargas sin factorizar (D + W_m).</t>
        </is>
      </c>
    </row>
    <row r="203">
      <c r="B203" s="37" t="inlineStr">
        <is>
          <t>NP-34 · j</t>
        </is>
      </c>
      <c r="C203" s="41" t="inlineStr">
        <is>
          <t>N+6.00</t>
        </is>
      </c>
      <c r="D203" s="73" t="inlineStr">
        <is>
          <t>(5.923, 9.950)</t>
        </is>
      </c>
      <c r="E203" s="41" t="inlineStr">
        <is>
          <t>—</t>
        </is>
      </c>
      <c r="F203" s="41" t="str">
        <f>PRINCIPALES!$I$42</f>
        <v>FIRME</v>
      </c>
      <c r="G203" s="70">
        <f>PRINCIPALES!$AJ$42</f>
        <v>1.36977106173469</v>
      </c>
      <c r="H203" s="36">
        <f>PRINCIPALES!$AL$42</f>
        <v>1.03620773979592</v>
      </c>
      <c r="I203" s="44" t="inlineStr">
        <is>
          <t>Servicio = cargas sin factorizar (D + W_m).</t>
        </is>
      </c>
    </row>
    <row r="204" ht="6" customHeight="1"/>
    <row r="205" ht="30" customHeight="1">
      <c r="B205" s="3" t="inlineStr">
        <is>
          <t>Para el muro: P_u total = (w_losa + peso propio del muro + muro de arriba)·L + reacciones concentradas, y se compara con la resistencia a compresión del muro confinado de la NTC-Mampostería 2023. Eso no está en este libro.</t>
        </is>
      </c>
      <c r="C205" s="4" t="n"/>
      <c r="D205" s="4" t="n"/>
      <c r="E205" s="4" t="n"/>
      <c r="F205" s="4" t="n"/>
      <c r="G205" s="4" t="n"/>
      <c r="H205" s="4" t="n"/>
      <c r="I205" s="4" t="n"/>
    </row>
  </sheetData>
  <mergeCells count="7">
    <mergeCell ref="B152:I152"/>
    <mergeCell ref="B2:I2"/>
    <mergeCell ref="B205:I205"/>
    <mergeCell ref="B151:I151"/>
    <mergeCell ref="B5:I5"/>
    <mergeCell ref="B1:I1"/>
    <mergeCell ref="B4:I4"/>
  </mergeCells>
  <conditionalFormatting sqref="B1:I206">
    <cfRule type="expression" priority="1" dxfId="0" stopIfTrue="1">
      <formula>OR(ISNUMBER(FIND("NO CUMPLE",B1)),ISNUMBER(FIND("REVISAR",B1)),ISNUMBER(FIND("NO CABE",B1)),ISNUMBER(FIND("FUERA",B1)),ISNUMBER(FIND("SIN APOYO",B1)),ISNUMBER(FIND("INSUFICIENTE",B1)),ISNUMBER(FIND("PENDIENTE",B1)))</formula>
    </cfRule>
    <cfRule type="expression" priority="2" dxfId="1" stopIfTrue="1">
      <formula>OR(ISNUMBER(FIND("CUMPLE",B1)),ISNUMBER(FIND("SÍ aplica",B1)),ISNUMBER(FIND("MANDA",B1)))</formula>
    </cfRule>
    <cfRule type="expression" priority="3" dxfId="2" stopIfTrue="1">
      <formula>OR(ISNUMBER(FIND("MACIZAR",B1)),ISNUMBER(FIND("VOLADO",B1)),ISNUMBER(FIND("PROPUESTO",B1)),ISNUMBER(FIND("VER ",B1)))</formula>
    </cfRule>
  </conditionalFormatting>
  <pageMargins left="0.75" right="0.75" top="1" bottom="1" header="0.5" footer="0.5"/>
  <pageSetup orientation="landscape" paperSize="1" fitToHeight="0" fitToWidth="1"/>
</worksheet>
</file>

<file path=xl/worksheets/sheet8.xml><?xml version="1.0" encoding="utf-8"?>
<worksheet xmlns="http://schemas.openxmlformats.org/spreadsheetml/2006/main">
  <sheetPr>
    <outlinePr summaryBelow="1" summaryRight="1"/>
    <pageSetUpPr fitToPage="1"/>
  </sheetPr>
  <dimension ref="B1:F42"/>
  <sheetViews>
    <sheetView showGridLines="0" zoomScale="70" workbookViewId="0">
      <selection activeCell="A1" sqref="A1"/>
    </sheetView>
  </sheetViews>
  <sheetFormatPr baseColWidth="8" defaultRowHeight="15"/>
  <cols>
    <col width="1.78" customWidth="1" min="1" max="1"/>
    <col width="46" customWidth="1" min="2" max="2"/>
    <col width="17" customWidth="1" min="3" max="3"/>
    <col width="9" customWidth="1" min="4" max="4"/>
    <col width="54" customWidth="1" min="5" max="5"/>
    <col width="44" customWidth="1" min="6" max="6"/>
  </cols>
  <sheetData>
    <row r="1" ht="26" customHeight="1">
      <c r="B1" s="1" t="inlineStr">
        <is>
          <t>CROQUIS DE LAS NERVADURAS — PLANTAS, TABLERO, CORTES Y ALZADO</t>
        </is>
      </c>
    </row>
    <row r="2" ht="42" customHeight="1">
      <c r="B2" s="2" t="inlineStr">
        <is>
          <t>Seis dibujos: las dos plantas con apoyos, nervaduras principales y vacíos; la planta del tablero escogido con sus casetones y nervaduras; el corte y el alzado de la nervadura secundaria; y el corte de la nervadura principal escogida. Todo sale de las tablas de abajo, que están enlazadas a NERVADURA y PRINCIPALES: se redibuja solo.</t>
        </is>
      </c>
    </row>
    <row r="3" ht="30" customHeight="1">
      <c r="B3" s="3" t="inlineStr">
        <is>
          <t>Para cambiar de tablero usa el selector de la hoja NERVADURA (celda amarilla de arriba). Para cambiar de nervadura principal usa el selector de esta hoja (sección 2). Las coordenadas viven en CROQUIS_DATOS, al final del libro: se generan solas, no se tocan.</t>
        </is>
      </c>
      <c r="C3" s="4" t="n"/>
      <c r="D3" s="4" t="n"/>
      <c r="E3" s="4" t="n"/>
      <c r="F3" s="4" t="n"/>
    </row>
    <row r="4" ht="6" customHeight="1"/>
    <row r="5" ht="21" customHeight="1">
      <c r="B5" s="5" t="inlineStr">
        <is>
          <t>1. TABLERO QUE SE DIBUJA — TODO ENLAZADO</t>
        </is>
      </c>
    </row>
    <row r="6" ht="30" customHeight="1">
      <c r="B6" s="8" t="inlineStr">
        <is>
          <t>Concepto</t>
        </is>
      </c>
      <c r="C6" s="8" t="inlineStr">
        <is>
          <t>Valor</t>
        </is>
      </c>
      <c r="D6" s="8" t="inlineStr">
        <is>
          <t>Unidad</t>
        </is>
      </c>
      <c r="E6" s="8" t="inlineStr">
        <is>
          <t>Cómo se calcula / de dónde sale</t>
        </is>
      </c>
      <c r="F6" s="8" t="inlineStr">
        <is>
          <t>Referencia</t>
        </is>
      </c>
    </row>
    <row r="7" ht="30" customHeight="1">
      <c r="B7" s="9" t="inlineStr">
        <is>
          <t>Tablero</t>
        </is>
      </c>
      <c r="C7" s="66" t="str">
        <f>NERVADURA!$C$6</f>
        <v>F80016 N+3.00</v>
      </c>
      <c r="D7" s="11" t="inlineStr">
        <is>
          <t>—</t>
        </is>
      </c>
      <c r="E7" s="12" t="inlineStr">
        <is>
          <t>Enlazado a NERVADURA.</t>
        </is>
      </c>
      <c r="F7" s="13" t="inlineStr">
        <is>
          <t>NERVADURA</t>
        </is>
      </c>
    </row>
    <row r="8" ht="19.5" customHeight="1">
      <c r="B8" s="9" t="inlineStr">
        <is>
          <t>Nivel</t>
        </is>
      </c>
      <c r="C8" s="20" t="str">
        <f>NERVADURA!$C$12</f>
        <v>N+3.00</v>
      </c>
      <c r="D8" s="11" t="inlineStr">
        <is>
          <t>—</t>
        </is>
      </c>
      <c r="E8" s="12" t="inlineStr">
        <is>
          <t>—</t>
        </is>
      </c>
      <c r="F8" s="13" t="inlineStr">
        <is>
          <t>NERVADURA</t>
        </is>
      </c>
    </row>
    <row r="9" ht="19.5" customHeight="1">
      <c r="B9" s="9" t="inlineStr">
        <is>
          <t>Modo</t>
        </is>
      </c>
      <c r="C9" s="20" t="str">
        <f>NERVADURA!$C$11</f>
        <v>PERIMETRAL</v>
      </c>
      <c r="D9" s="11" t="inlineStr">
        <is>
          <t>—</t>
        </is>
      </c>
      <c r="E9" s="12" t="inlineStr">
        <is>
          <t>—</t>
        </is>
      </c>
      <c r="F9" s="13" t="inlineStr">
        <is>
          <t>NERVADURA</t>
        </is>
      </c>
    </row>
    <row r="10" ht="19.5" customHeight="1">
      <c r="B10" s="9" t="inlineStr">
        <is>
          <t>a_x</t>
        </is>
      </c>
      <c r="C10" s="45">
        <f>NERVADURA!$C$13*100</f>
        <v>442.6</v>
      </c>
      <c r="D10" s="11" t="inlineStr">
        <is>
          <t>cm</t>
        </is>
      </c>
      <c r="E10" s="12" t="inlineStr">
        <is>
          <t>NERVADURA × 100.</t>
        </is>
      </c>
      <c r="F10" s="13" t="inlineStr">
        <is>
          <t>NERVADURA</t>
        </is>
      </c>
    </row>
    <row r="11" ht="19.5" customHeight="1">
      <c r="B11" s="9" t="inlineStr">
        <is>
          <t>a_y</t>
        </is>
      </c>
      <c r="C11" s="45">
        <f>NERVADURA!$C$14*100</f>
        <v>400</v>
      </c>
      <c r="D11" s="11" t="inlineStr">
        <is>
          <t>cm</t>
        </is>
      </c>
      <c r="E11" s="12" t="inlineStr">
        <is>
          <t>NERVADURA × 100.</t>
        </is>
      </c>
      <c r="F11" s="13" t="inlineStr">
        <is>
          <t>NERVADURA</t>
        </is>
      </c>
    </row>
    <row r="12" ht="19.5" customHeight="1">
      <c r="B12" s="9" t="inlineStr">
        <is>
          <t>Claro corto paralelo a</t>
        </is>
      </c>
      <c r="C12" s="20" t="str">
        <f>IF(CROQUIS!$C$10&lt;=CROQUIS!$C$11,"X","Y")</f>
        <v>Y</v>
      </c>
      <c r="D12" s="11" t="inlineStr">
        <is>
          <t>—</t>
        </is>
      </c>
      <c r="E12" s="12" t="inlineStr">
        <is>
          <t>—</t>
        </is>
      </c>
      <c r="F12" s="13" t="inlineStr">
        <is>
          <t>NERVADURA</t>
        </is>
      </c>
    </row>
    <row r="13" ht="19.5" customHeight="1">
      <c r="B13" s="9" t="inlineStr">
        <is>
          <t>Casetones en X / en Y</t>
        </is>
      </c>
      <c r="C13" s="20" t="str">
        <f>NERVADURA!$C$131&amp;" × "&amp;NERVADURA!$C$133</f>
        <v>6 × 5</v>
      </c>
      <c r="D13" s="11" t="inlineStr">
        <is>
          <t>pzas</t>
        </is>
      </c>
      <c r="E13" s="12" t="inlineStr">
        <is>
          <t>—</t>
        </is>
      </c>
      <c r="F13" s="13" t="inlineStr">
        <is>
          <t>NERVADURA sección 10</t>
        </is>
      </c>
    </row>
    <row r="14" ht="19.5" customHeight="1">
      <c r="B14" s="9" t="inlineStr">
        <is>
          <t>Escala del dibujo de planta</t>
        </is>
      </c>
      <c r="C14" s="27">
        <f>82/MAX(CROQUIS!$C$10,CROQUIS!$C$11)</f>
        <v>0.185268865793041</v>
      </c>
      <c r="D14" s="11" t="inlineStr">
        <is>
          <t>u/cm</t>
        </is>
      </c>
      <c r="E14" s="12" t="inlineStr">
        <is>
          <t>El tablero se ajusta a un cuadro de 82 unidades.</t>
        </is>
      </c>
      <c r="F14" s="13" t="inlineStr">
        <is>
          <t>Sólo dibujo</t>
        </is>
      </c>
    </row>
    <row r="15" ht="19.5" customHeight="1">
      <c r="B15" s="9" t="inlineStr">
        <is>
          <t>Origen X del dibujo</t>
        </is>
      </c>
      <c r="C15" s="21">
        <f>12+(82-CROQUIS!$C$10*CROQUIS!$C$14)/2</f>
        <v>12</v>
      </c>
      <c r="D15" s="11" t="inlineStr">
        <is>
          <t>u</t>
        </is>
      </c>
      <c r="E15" s="12" t="inlineStr">
        <is>
          <t>Centra el tablero.</t>
        </is>
      </c>
      <c r="F15" s="13" t="inlineStr">
        <is>
          <t>Sólo dibujo</t>
        </is>
      </c>
    </row>
    <row r="16" ht="19.5" customHeight="1">
      <c r="B16" s="9" t="inlineStr">
        <is>
          <t>Origen Y del dibujo</t>
        </is>
      </c>
      <c r="C16" s="21">
        <f>12+(82-CROQUIS!$C$11*CROQUIS!$C$14)/2</f>
        <v>15.9462268413918</v>
      </c>
      <c r="D16" s="11" t="inlineStr">
        <is>
          <t>u</t>
        </is>
      </c>
      <c r="E16" s="12" t="inlineStr">
        <is>
          <t>Centra el tablero.</t>
        </is>
      </c>
      <c r="F16" s="13" t="inlineStr">
        <is>
          <t>Sólo dibujo</t>
        </is>
      </c>
    </row>
    <row r="17" ht="19.5" customHeight="1">
      <c r="B17" s="9" t="inlineStr">
        <is>
          <t>Inferior ‖ claro corto</t>
        </is>
      </c>
      <c r="C17" s="20" t="str">
        <f>NERVADURA!$C$58&amp;" No. "&amp;TEXT(NERVADURA!$C$57,"0.#")&amp;" corrida(s)"</f>
        <v>1 No. 4 corrida(s)</v>
      </c>
      <c r="D17" s="11" t="inlineStr">
        <is>
          <t>—</t>
        </is>
      </c>
      <c r="E17" s="12" t="inlineStr">
        <is>
          <t>Enlazado a NERVADURA sección 4.</t>
        </is>
      </c>
      <c r="F17" s="13" t="inlineStr">
        <is>
          <t>NERVADURA</t>
        </is>
      </c>
    </row>
    <row r="18" ht="30" customHeight="1">
      <c r="B18" s="9" t="inlineStr">
        <is>
          <t>Superior ‖ claro corto</t>
        </is>
      </c>
      <c r="C18" s="20" t="str">
        <f>"1 No. "&amp;TEXT(NERVADURA!$C$72,"0.#")&amp;" corrida"&amp;IF(NERVADURA!$C$73&gt;1," + "&amp;(NERVADURA!$C$73-1)&amp;" bastón(es) No. "&amp;TEXT(NERVADURA!$C$72,"0.#")&amp;", L = "&amp;TEXT(NERVADURA!$C$137/100,"0.00")&amp;" m desde el paño"," (no requiere bastones)")</f>
        <v>1 No. 4 corrida (no requiere bastones)</v>
      </c>
      <c r="D18" s="11" t="inlineStr">
        <is>
          <t>—</t>
        </is>
      </c>
      <c r="E18" s="12" t="inlineStr">
        <is>
          <t>Largo desde el paño: punto de inflexión + máx(d, 12d_b, L_n/16), y ≥ L_d (NERVADURA sección 10).</t>
        </is>
      </c>
      <c r="F18" s="13" t="inlineStr">
        <is>
          <t>NERVADURA secciones 5 y 10</t>
        </is>
      </c>
    </row>
    <row r="19" ht="19.5" customHeight="1">
      <c r="B19" s="9" t="inlineStr">
        <is>
          <t>Inferior ‖ claro largo</t>
        </is>
      </c>
      <c r="C19" s="20" t="str">
        <f>NERVADURA!$C$88&amp;" No. "&amp;TEXT(NERVADURA!$C$87,"0.#")&amp;" corrida(s)"</f>
        <v>1 No. 4 corrida(s)</v>
      </c>
      <c r="D19" s="11" t="inlineStr">
        <is>
          <t>—</t>
        </is>
      </c>
      <c r="E19" s="12" t="inlineStr">
        <is>
          <t>—</t>
        </is>
      </c>
      <c r="F19" s="13" t="inlineStr">
        <is>
          <t>NERVADURA sección 6</t>
        </is>
      </c>
    </row>
    <row r="20" ht="19.5" customHeight="1">
      <c r="B20" s="9" t="inlineStr">
        <is>
          <t>Superior ‖ claro largo</t>
        </is>
      </c>
      <c r="C20" s="20" t="str">
        <f>"1 No. "&amp;TEXT(NERVADURA!$C$102,"0.#")&amp;" corrida"&amp;IF(NERVADURA!$C$103&gt;1," + "&amp;(NERVADURA!$C$103-1)&amp;" bastón(es) No. "&amp;TEXT(NERVADURA!$C$102,"0.#")&amp;", L = "&amp;TEXT(NERVADURA!$C$138/100,"0.00")&amp;" m desde el paño"," (no requiere bastones)")</f>
        <v>1 No. 4 corrida (no requiere bastones)</v>
      </c>
      <c r="D20" s="11" t="inlineStr">
        <is>
          <t>—</t>
        </is>
      </c>
      <c r="E20" s="12" t="inlineStr">
        <is>
          <t>—</t>
        </is>
      </c>
      <c r="F20" s="13" t="inlineStr">
        <is>
          <t>NERVADURA secciones 7 y 10</t>
        </is>
      </c>
    </row>
    <row r="21" ht="6" customHeight="1"/>
    <row r="22" ht="21" customHeight="1">
      <c r="B22" s="5" t="inlineStr">
        <is>
          <t>2. NERVADURA PRINCIPAL QUE SE DIBUJA</t>
        </is>
      </c>
    </row>
    <row r="23" ht="30" customHeight="1">
      <c r="B23" s="8" t="inlineStr">
        <is>
          <t>Concepto</t>
        </is>
      </c>
      <c r="C23" s="8" t="inlineStr">
        <is>
          <t>Valor</t>
        </is>
      </c>
      <c r="D23" s="8" t="inlineStr">
        <is>
          <t>Unidad</t>
        </is>
      </c>
      <c r="E23" s="8" t="inlineStr">
        <is>
          <t>Cómo se calcula / de dónde sale</t>
        </is>
      </c>
      <c r="F23" s="8" t="inlineStr">
        <is>
          <t>Referencia</t>
        </is>
      </c>
    </row>
    <row r="24" ht="19.5" customHeight="1">
      <c r="B24" s="9" t="inlineStr">
        <is>
          <t>Tramo de nervadura principal</t>
        </is>
      </c>
      <c r="C24" s="15" t="inlineStr">
        <is>
          <t>NP-23</t>
        </is>
      </c>
      <c r="D24" s="11" t="inlineStr">
        <is>
          <t>—</t>
        </is>
      </c>
      <c r="E24" s="12" t="inlineStr">
        <is>
          <t>SELECTOR. Lista de PRINCIPALES.</t>
        </is>
      </c>
      <c r="F24" s="13" t="inlineStr">
        <is>
          <t>PRINCIPALES</t>
        </is>
      </c>
    </row>
    <row r="25" ht="19.5" customHeight="1">
      <c r="B25" s="9" t="inlineStr">
        <is>
          <t>Renglón en PRINCIPALES</t>
        </is>
      </c>
      <c r="C25" s="45">
        <f>MATCH(CROQUIS!$C$24,PRINCIPALES!$B$9:$B$42,0)</f>
        <v>23</v>
      </c>
      <c r="D25" s="11" t="inlineStr">
        <is>
          <t>—</t>
        </is>
      </c>
      <c r="E25" s="12" t="inlineStr">
        <is>
          <t>Auxiliar.</t>
        </is>
      </c>
      <c r="F25" s="13" t="inlineStr">
        <is>
          <t>—</t>
        </is>
      </c>
    </row>
    <row r="26" ht="19.5" customHeight="1">
      <c r="B26" s="9" t="inlineStr">
        <is>
          <t>Nivel</t>
        </is>
      </c>
      <c r="C26" s="20" t="str">
        <f>INDEX(PRINCIPALES!$C$9:$C$42,CROQUIS!$C$25)</f>
        <v>N+3.00</v>
      </c>
      <c r="D26" s="11" t="inlineStr">
        <is>
          <t>—</t>
        </is>
      </c>
      <c r="E26" s="12" t="inlineStr">
        <is>
          <t>—</t>
        </is>
      </c>
      <c r="F26" s="13" t="inlineStr">
        <is>
          <t>PRINCIPALES</t>
        </is>
      </c>
    </row>
    <row r="27" ht="19.5" customHeight="1">
      <c r="B27" s="9" t="inlineStr">
        <is>
          <t>Eje</t>
        </is>
      </c>
      <c r="C27" s="20" t="str">
        <f>INDEX(PRINCIPALES!$D$9:$D$42,CROQUIS!$C$25)</f>
        <v>x = 4.327</v>
      </c>
      <c r="D27" s="11" t="inlineStr">
        <is>
          <t>—</t>
        </is>
      </c>
      <c r="E27" s="12" t="inlineStr">
        <is>
          <t>—</t>
        </is>
      </c>
      <c r="F27" s="13" t="inlineStr">
        <is>
          <t>PRINCIPALES</t>
        </is>
      </c>
    </row>
    <row r="28" ht="30" customHeight="1">
      <c r="B28" s="9" t="inlineStr">
        <is>
          <t>Condición</t>
        </is>
      </c>
      <c r="C28" s="66" t="str">
        <f>INDEX(PRINCIPALES!$L$9:$L$42,CROQUIS!$C$25)</f>
        <v>APOYADA</v>
      </c>
      <c r="D28" s="11" t="inlineStr">
        <is>
          <t>—</t>
        </is>
      </c>
      <c r="E28" s="12" t="inlineStr">
        <is>
          <t>—</t>
        </is>
      </c>
      <c r="F28" s="13" t="inlineStr">
        <is>
          <t>PRINCIPALES</t>
        </is>
      </c>
    </row>
    <row r="29" ht="19.5" customHeight="1">
      <c r="B29" s="9" t="inlineStr">
        <is>
          <t>L</t>
        </is>
      </c>
      <c r="C29" s="21">
        <f>INDEX(PRINCIPALES!$G$9:$G$42,CROQUIS!$C$25)</f>
        <v>6.15</v>
      </c>
      <c r="D29" s="11" t="inlineStr">
        <is>
          <t>m</t>
        </is>
      </c>
      <c r="E29" s="12" t="inlineStr">
        <is>
          <t>—</t>
        </is>
      </c>
      <c r="F29" s="13" t="inlineStr">
        <is>
          <t>PRINCIPALES</t>
        </is>
      </c>
    </row>
    <row r="30" ht="19.5" customHeight="1">
      <c r="B30" s="9" t="inlineStr">
        <is>
          <t>b</t>
        </is>
      </c>
      <c r="C30" s="45">
        <f>INDEX(PRINCIPALES!$N$9:$N$42,CROQUIS!$C$25)</f>
        <v>20</v>
      </c>
      <c r="D30" s="11" t="inlineStr">
        <is>
          <t>cm</t>
        </is>
      </c>
      <c r="E30" s="12" t="inlineStr">
        <is>
          <t>—</t>
        </is>
      </c>
      <c r="F30" s="13" t="inlineStr">
        <is>
          <t>PRINCIPALES</t>
        </is>
      </c>
    </row>
    <row r="31" ht="19.5" customHeight="1">
      <c r="B31" s="9" t="inlineStr">
        <is>
          <t>h</t>
        </is>
      </c>
      <c r="C31" s="45">
        <f>INDEX(PRINCIPALES!$O$9:$O$42,CROQUIS!$C$25)</f>
        <v>45</v>
      </c>
      <c r="D31" s="11" t="inlineStr">
        <is>
          <t>cm</t>
        </is>
      </c>
      <c r="E31" s="12" t="inlineStr">
        <is>
          <t>—</t>
        </is>
      </c>
      <c r="F31" s="13" t="inlineStr">
        <is>
          <t>PRINCIPALES</t>
        </is>
      </c>
    </row>
    <row r="32" ht="19.5" customHeight="1">
      <c r="B32" s="9" t="inlineStr">
        <is>
          <t>Varillas inferiores</t>
        </is>
      </c>
      <c r="C32" s="45">
        <f>INDEX(PRINCIPALES!$AU$9:$AU$42,CROQUIS!$C$25)</f>
        <v>3</v>
      </c>
      <c r="D32" s="11" t="inlineStr">
        <is>
          <t>pzas</t>
        </is>
      </c>
      <c r="E32" s="12" t="inlineStr">
        <is>
          <t>—</t>
        </is>
      </c>
      <c r="F32" s="13" t="inlineStr">
        <is>
          <t>PRINCIPALES</t>
        </is>
      </c>
    </row>
    <row r="33" ht="19.5" customHeight="1">
      <c r="B33" s="9" t="inlineStr">
        <is>
          <t>No. inferior</t>
        </is>
      </c>
      <c r="C33" s="67">
        <f>INDEX(PRINCIPALES!$AS$9:$AS$42,CROQUIS!$C$25)</f>
        <v>4</v>
      </c>
      <c r="D33" s="11" t="inlineStr">
        <is>
          <t>—</t>
        </is>
      </c>
      <c r="E33" s="12" t="inlineStr">
        <is>
          <t>—</t>
        </is>
      </c>
      <c r="F33" s="13" t="inlineStr">
        <is>
          <t>PRINCIPALES</t>
        </is>
      </c>
    </row>
    <row r="34" ht="19.5" customHeight="1">
      <c r="B34" s="9" t="inlineStr">
        <is>
          <t>Varillas superiores</t>
        </is>
      </c>
      <c r="C34" s="45">
        <f>INDEX(PRINCIPALES!$BA$9:$BA$42,CROQUIS!$C$25)</f>
        <v>2</v>
      </c>
      <c r="D34" s="11" t="inlineStr">
        <is>
          <t>pzas</t>
        </is>
      </c>
      <c r="E34" s="12" t="inlineStr">
        <is>
          <t>—</t>
        </is>
      </c>
      <c r="F34" s="13" t="inlineStr">
        <is>
          <t>PRINCIPALES</t>
        </is>
      </c>
    </row>
    <row r="35" ht="19.5" customHeight="1">
      <c r="B35" s="9" t="inlineStr">
        <is>
          <t>No. superior</t>
        </is>
      </c>
      <c r="C35" s="67">
        <f>INDEX(PRINCIPALES!$AZ$9:$AZ$42,CROQUIS!$C$25)</f>
        <v>4</v>
      </c>
      <c r="D35" s="11" t="inlineStr">
        <is>
          <t>—</t>
        </is>
      </c>
      <c r="E35" s="12" t="inlineStr">
        <is>
          <t>—</t>
        </is>
      </c>
      <c r="F35" s="13" t="inlineStr">
        <is>
          <t>PRINCIPALES</t>
        </is>
      </c>
    </row>
    <row r="36" ht="19.5" customHeight="1">
      <c r="B36" s="9" t="inlineStr">
        <is>
          <t>Separación de estribos (resto del claro)</t>
        </is>
      </c>
      <c r="C36" s="26">
        <f>INDEX(PRINCIPALES!$BF$9:$BF$42,CROQUIS!$C$25)</f>
        <v>19.5</v>
      </c>
      <c r="D36" s="11" t="inlineStr">
        <is>
          <t>cm</t>
        </is>
      </c>
      <c r="E36" s="12" t="inlineStr">
        <is>
          <t>—</t>
        </is>
      </c>
      <c r="F36" s="13" t="inlineStr">
        <is>
          <t>PRINCIPALES</t>
        </is>
      </c>
    </row>
    <row r="37" ht="30" customHeight="1">
      <c r="B37" s="9" t="inlineStr">
        <is>
          <t>Separación de estribos en 2h junto a cada apoyo</t>
        </is>
      </c>
      <c r="C37" s="26">
        <f>INDEX(PRINCIPALES!$BG$9:$BG$42,CROQUIS!$C$25)</f>
        <v>19.5</v>
      </c>
      <c r="D37" s="11" t="inlineStr">
        <is>
          <t>cm</t>
        </is>
      </c>
      <c r="E37" s="12" t="inlineStr">
        <is>
          <t>—</t>
        </is>
      </c>
      <c r="F37" s="13" t="inlineStr">
        <is>
          <t>PRINCIPALES · NTC-Concreto 6.3.7.7.7, p. 134</t>
        </is>
      </c>
    </row>
    <row r="38" ht="30" customHeight="1">
      <c r="B38" s="9" t="inlineStr">
        <is>
          <t>Estado</t>
        </is>
      </c>
      <c r="C38" s="66" t="str">
        <f>INDEX(PRINCIPALES!$BZ$9:$BZ$42,CROQUIS!$C$25)</f>
        <v>CUMPLE</v>
      </c>
      <c r="D38" s="11" t="inlineStr">
        <is>
          <t>—</t>
        </is>
      </c>
      <c r="E38" s="12" t="inlineStr">
        <is>
          <t>—</t>
        </is>
      </c>
      <c r="F38" s="13" t="inlineStr">
        <is>
          <t>PRINCIPALES</t>
        </is>
      </c>
    </row>
    <row r="39" ht="19.5" customHeight="1">
      <c r="B39" s="9" t="inlineStr">
        <is>
          <t>Paso del achurado de los apoyos</t>
        </is>
      </c>
      <c r="C39" s="10" t="n">
        <v>4</v>
      </c>
      <c r="D39" s="11" t="inlineStr">
        <is>
          <t>u</t>
        </is>
      </c>
      <c r="E39" s="12" t="inlineStr">
        <is>
          <t>CAPTURA. Sólo dibujo.</t>
        </is>
      </c>
      <c r="F39" s="13" t="inlineStr">
        <is>
          <t>Sólo dibujo</t>
        </is>
      </c>
    </row>
    <row r="40" ht="6" customHeight="1"/>
    <row r="41" ht="21" customHeight="1">
      <c r="B41" s="5" t="inlineStr">
        <is>
          <t>3. DIBUJOS</t>
        </is>
      </c>
    </row>
    <row r="42" ht="42" customHeight="1">
      <c r="B42" s="6" t="inlineStr">
        <is>
          <t>Arriba: plantas N+3.00 y N+6.00 (azul = tablero escogido, naranja = nervadura principal escogida, rojo = principales sin muro, gris grueso = muros que cargan, morado = vacíos, rombos rojos = castillos propuestos). Abajo: planta del tablero, corte y alzado de la nervadura secundaria, corte de la principal.</t>
        </is>
      </c>
      <c r="C42" s="7" t="n"/>
      <c r="D42" s="7" t="n"/>
      <c r="E42" s="7" t="n"/>
      <c r="F42" s="7" t="n"/>
    </row>
  </sheetData>
  <mergeCells count="7">
    <mergeCell ref="B2:F2"/>
    <mergeCell ref="B42:F42"/>
    <mergeCell ref="B3:F3"/>
    <mergeCell ref="B5:F5"/>
    <mergeCell ref="B22:F22"/>
    <mergeCell ref="B1:F1"/>
    <mergeCell ref="B41:F41"/>
  </mergeCells>
  <conditionalFormatting sqref="C1:F43">
    <cfRule type="expression" priority="1" dxfId="0" stopIfTrue="1">
      <formula>OR(ISNUMBER(FIND("NO CUMPLE",C1)),ISNUMBER(FIND("REVISAR",C1)),ISNUMBER(FIND("NO CABE",C1)),ISNUMBER(FIND("FUERA",C1)),ISNUMBER(FIND("SIN APOYO",C1)),ISNUMBER(FIND("INSUFICIENTE",C1)),ISNUMBER(FIND("PENDIENTE",C1)))</formula>
    </cfRule>
    <cfRule type="expression" priority="2" dxfId="1" stopIfTrue="1">
      <formula>OR(ISNUMBER(FIND("CUMPLE",C1)),ISNUMBER(FIND("SÍ aplica",C1)),ISNUMBER(FIND("MANDA",C1)))</formula>
    </cfRule>
    <cfRule type="expression" priority="3" dxfId="2" stopIfTrue="1">
      <formula>OR(ISNUMBER(FIND("MACIZAR",C1)),ISNUMBER(FIND("VOLADO",C1)),ISNUMBER(FIND("PROPUESTO",C1)),ISNUMBER(FIND("VER ",C1)))</formula>
    </cfRule>
  </conditionalFormatting>
  <dataValidations count="1">
    <dataValidation sqref="C24" showDropDown="0" showInputMessage="0" showErrorMessage="0" allowBlank="0" errorTitle="Valor no válido" error="Escoge un valor de la lista" type="list">
      <formula1>=PRINCIPALES!$B$9:$B$42</formula1>
    </dataValidation>
  </dataValidations>
  <pageMargins left="0.75" right="0.75" top="1" bottom="1" header="0.5" footer="0.5"/>
  <pageSetup orientation="portrait" paperSize="1" fitToHeight="1"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B1:J90"/>
  <sheetViews>
    <sheetView showGridLines="0" workbookViewId="0">
      <selection activeCell="A1" sqref="A1"/>
    </sheetView>
  </sheetViews>
  <sheetFormatPr baseColWidth="8" defaultRowHeight="15"/>
  <cols>
    <col width="1.78" customWidth="1" min="1" max="1"/>
    <col width="18" customWidth="1" min="2" max="2"/>
    <col width="9" customWidth="1" min="3" max="3"/>
    <col width="10" customWidth="1" min="4" max="4"/>
    <col width="11" customWidth="1" min="5" max="5"/>
    <col width="11" customWidth="1" min="6" max="6"/>
    <col width="12" customWidth="1" min="7" max="7"/>
    <col width="12" customWidth="1" min="8" max="8"/>
    <col width="12" customWidth="1" min="9" max="9"/>
    <col width="40" customWidth="1" min="10" max="10"/>
  </cols>
  <sheetData>
    <row r="1" ht="26" customHeight="1">
      <c r="B1" s="1" t="inlineStr">
        <is>
          <t>CUANTIFICACIÓN — CONCRETO, CASETONES, MALLA Y ACERO DE NERVADURAS</t>
        </is>
      </c>
    </row>
    <row r="2" ht="30" customHeight="1">
      <c r="B2" s="2" t="inlineStr">
        <is>
          <t>Cantidades aproximadas para presupuesto. Los casetones se cuentan con el rectángulo envolvente y se escalan por el área real del tablero; el acero de nervaduras secundarias supone una nervadura por cada hilera de casetones más las de orilla, con el armado de TABLEROS.</t>
        </is>
      </c>
    </row>
    <row r="3" ht="6" customHeight="1"/>
    <row r="4" ht="21" customHeight="1">
      <c r="B4" s="5" t="inlineStr">
        <is>
          <t>1. DATOS DE CUANTIFICACIÓN</t>
        </is>
      </c>
    </row>
    <row r="5" ht="30" customHeight="1">
      <c r="B5" s="8" t="inlineStr">
        <is>
          <t>Concepto</t>
        </is>
      </c>
      <c r="C5" s="8" t="inlineStr">
        <is>
          <t>Valor</t>
        </is>
      </c>
      <c r="D5" s="8" t="inlineStr">
        <is>
          <t>Unidad</t>
        </is>
      </c>
      <c r="E5" s="8" t="inlineStr">
        <is>
          <t>Cómo se usa</t>
        </is>
      </c>
      <c r="F5" s="8" t="inlineStr">
        <is>
          <t>Referencia</t>
        </is>
      </c>
    </row>
    <row r="6">
      <c r="B6" s="37" t="inlineStr">
        <is>
          <t>Desperdicio de concreto</t>
        </is>
      </c>
      <c r="C6" s="69" t="n">
        <v>1.05</v>
      </c>
      <c r="D6" s="41" t="inlineStr">
        <is>
          <t>—</t>
        </is>
      </c>
      <c r="E6" s="37" t="inlineStr">
        <is>
          <t>Multiplica el volumen.</t>
        </is>
      </c>
      <c r="J6" s="74" t="inlineStr">
        <is>
          <t>Práctica de obra</t>
        </is>
      </c>
    </row>
    <row r="7">
      <c r="B7" s="37" t="inlineStr">
        <is>
          <t>Desperdicio de acero</t>
        </is>
      </c>
      <c r="C7" s="69" t="n">
        <v>1.07</v>
      </c>
      <c r="D7" s="41" t="inlineStr">
        <is>
          <t>—</t>
        </is>
      </c>
      <c r="E7" s="37" t="inlineStr">
        <is>
          <t>Multiplica el peso.</t>
        </is>
      </c>
      <c r="J7" s="74" t="inlineStr">
        <is>
          <t>Práctica de obra</t>
        </is>
      </c>
    </row>
    <row r="8">
      <c r="B8" s="37" t="inlineStr">
        <is>
          <t>Traslape / anclaje por extremo de varilla</t>
        </is>
      </c>
      <c r="C8" s="69" t="n">
        <v>0.3</v>
      </c>
      <c r="D8" s="41" t="inlineStr">
        <is>
          <t>m</t>
        </is>
      </c>
      <c r="E8" s="37" t="inlineStr">
        <is>
          <t>Se suma a cada varilla.</t>
        </is>
      </c>
      <c r="J8" s="74" t="inlineStr">
        <is>
          <t>Práctica de obra</t>
        </is>
      </c>
    </row>
    <row r="9" ht="6" customHeight="1"/>
    <row r="10" ht="21" customHeight="1">
      <c r="B10" s="5" t="inlineStr">
        <is>
          <t>2. POR TABLERO</t>
        </is>
      </c>
    </row>
    <row r="11">
      <c r="B11" s="8" t="inlineStr">
        <is>
          <t>Tablero</t>
        </is>
      </c>
      <c r="C11" s="8" t="inlineStr">
        <is>
          <t>Área (m²)</t>
        </is>
      </c>
      <c r="D11" s="8" t="inlineStr">
        <is>
          <t>Casetones (pzas)</t>
        </is>
      </c>
      <c r="E11" s="8" t="inlineStr">
        <is>
          <t>Concreto (m³)</t>
        </is>
      </c>
      <c r="F11" s="8" t="inlineStr">
        <is>
          <t>Malla (m²)</t>
        </is>
      </c>
      <c r="G11" s="8" t="inlineStr">
        <is>
          <t>Acero ‖ corto (kg)</t>
        </is>
      </c>
      <c r="H11" s="8" t="inlineStr">
        <is>
          <t>Acero ‖ largo (kg)</t>
        </is>
      </c>
      <c r="I11" s="8" t="inlineStr">
        <is>
          <t>Acero total (kg)</t>
        </is>
      </c>
      <c r="J11" s="8" t="inlineStr">
        <is>
          <t>Nota</t>
        </is>
      </c>
    </row>
    <row r="12">
      <c r="B12" s="37" t="inlineStr">
        <is>
          <t>F80001 N+3.00</t>
        </is>
      </c>
      <c r="C12" s="75" t="n">
        <v>4.34</v>
      </c>
      <c r="D12" s="56">
        <f>IF(TABLEROS!$D$9="HUECO",0,ROUND(TABLEROS!$CW$9*TABLEROS!$CX$9*C12/(TABLEROS!$F$9*TABLEROS!$G$9),0))</f>
        <v>6</v>
      </c>
      <c r="E12" s="36">
        <f>IF(TABLEROS!$D$9="HUECO",0,C12*DATOS!$C$15/100-D12*(DATOS!$C$11/100)^2*(DATOS!$C$12/100))</f>
        <v>0.653</v>
      </c>
      <c r="F12" s="43">
        <f>IF(TABLEROS!$D$9="HUECO",0,C12)</f>
        <v>4.34</v>
      </c>
      <c r="G12" s="57">
        <f>IF(TABLEROS!$D$9="HUECO",0,(IF(TABLEROS!$M$9="X",TABLEROS!$CX$9,TABLEROS!$CW$9)+1)*(TABLEROS!$BI$9*(TABLEROS!$J$9+2*CUANTIFICACION!$C$8)*INDEX(TABLAS!$E$52:$E$58,MATCH(TABLEROS!$BH$9,TABLAS!$B$52:$B$58,0))+IF(TABLEROS!$D$9="VOLADO",TABLEROS!$BQ$9*(TABLEROS!$J$9+TABLEROS!$CU$9/100+CUANTIFICACION!$C$8)*INDEX(TABLAS!$E$52:$E$58,MATCH(TABLEROS!$BP$9,TABLAS!$B$52:$B$58,0)),(TABLEROS!$J$9+2*CUANTIFICACION!$C$8)*INDEX(TABLAS!$E$52:$E$58,MATCH(TABLEROS!$BP$9,TABLAS!$B$52:$B$58,0))+MAX(TABLEROS!$BQ$9-1,0)*2*(TABLEROS!$CU$9/100+DATOS!$C$17/200+CUANTIFICACION!$C$8)*INDEX(TABLAS!$E$52:$E$58,MATCH(TABLEROS!$BP$9,TABLAS!$B$52:$B$58,0)))))</f>
        <v>22.293432</v>
      </c>
      <c r="H12" s="57">
        <f>IF(TABLEROS!$D$9="HUECO",0,(IF(TABLEROS!$M$9="X",TABLEROS!$CW$9,TABLEROS!$CX$9)+1)*(TABLEROS!$BY$9*(TABLEROS!$K$9+2*CUANTIFICACION!$C$8)*INDEX(TABLAS!$E$52:$E$58,MATCH(TABLEROS!$BX$9,TABLAS!$B$52:$B$58,0))+((TABLEROS!$K$9+2*CUANTIFICACION!$C$8)*INDEX(TABLAS!$E$52:$E$58,MATCH(TABLEROS!$CF$9,TABLAS!$B$52:$B$58,0))+MAX(TABLEROS!$CG$9-1,0)*2*(TABLEROS!$CV$9/100+DATOS!$C$17/200+CUANTIFICACION!$C$8)*INDEX(TABLAS!$E$52:$E$58,MATCH(TABLEROS!$CF$9,TABLAS!$B$52:$B$58,0)))))</f>
        <v>19.589752</v>
      </c>
      <c r="I12" s="76">
        <f>G12+H12</f>
        <v>41.883184</v>
      </c>
      <c r="J12" s="44" t="inlineStr">
        <is>
          <t>—</t>
        </is>
      </c>
    </row>
    <row r="13">
      <c r="B13" s="37" t="inlineStr">
        <is>
          <t>F80003 N+3.00</t>
        </is>
      </c>
      <c r="C13" s="75" t="n">
        <v>11.33</v>
      </c>
      <c r="D13" s="56">
        <f>IF(TABLEROS!$D$10="HUECO",0,ROUND(TABLEROS!$CW$10*TABLEROS!$CX$10*C13/(TABLEROS!$F$10*TABLEROS!$G$10),0))</f>
        <v>21</v>
      </c>
      <c r="E13" s="36">
        <f>IF(TABLEROS!$D$10="HUECO",0,C13*DATOS!$C$15/100-D13*(DATOS!$C$11/100)^2*(DATOS!$C$12/100))</f>
        <v>1.3205</v>
      </c>
      <c r="F13" s="43">
        <f>IF(TABLEROS!$D$10="HUECO",0,C13)</f>
        <v>11.33</v>
      </c>
      <c r="G13" s="57">
        <f>IF(TABLEROS!$D$10="HUECO",0,(IF(TABLEROS!$M$10="X",TABLEROS!$CX$10,TABLEROS!$CW$10)+1)*(TABLEROS!$BI$10*(TABLEROS!$J$10+2*CUANTIFICACION!$C$8)*INDEX(TABLAS!$E$52:$E$58,MATCH(TABLEROS!$BH$10,TABLAS!$B$52:$B$58,0))+IF(TABLEROS!$D$10="VOLADO",TABLEROS!$BQ$10*(TABLEROS!$J$10+TABLEROS!$CU$10/100+CUANTIFICACION!$C$8)*INDEX(TABLAS!$E$52:$E$58,MATCH(TABLEROS!$BP$10,TABLAS!$B$52:$B$58,0)),(TABLEROS!$J$10+2*CUANTIFICACION!$C$8)*INDEX(TABLAS!$E$52:$E$58,MATCH(TABLEROS!$BP$10,TABLAS!$B$52:$B$58,0))+MAX(TABLEROS!$BQ$10-1,0)*2*(TABLEROS!$CU$10/100+DATOS!$C$17/200+CUANTIFICACION!$C$8)*INDEX(TABLAS!$E$52:$E$58,MATCH(TABLEROS!$BP$10,TABLAS!$B$52:$B$58,0)))))</f>
        <v>50.4455</v>
      </c>
      <c r="H13" s="57">
        <f>IF(TABLEROS!$D$10="HUECO",0,(IF(TABLEROS!$M$10="X",TABLEROS!$CW$10,TABLEROS!$CX$10)+1)*(TABLEROS!$BY$10*(TABLEROS!$K$10+2*CUANTIFICACION!$C$8)*INDEX(TABLAS!$E$52:$E$58,MATCH(TABLEROS!$BX$10,TABLAS!$B$52:$B$58,0))+((TABLEROS!$K$10+2*CUANTIFICACION!$C$8)*INDEX(TABLAS!$E$52:$E$58,MATCH(TABLEROS!$CF$10,TABLAS!$B$52:$B$58,0))+MAX(TABLEROS!$CG$10-1,0)*2*(TABLEROS!$CV$10/100+DATOS!$C$17/200+CUANTIFICACION!$C$8)*INDEX(TABLAS!$E$52:$E$58,MATCH(TABLEROS!$CF$10,TABLAS!$B$52:$B$58,0)))))</f>
        <v>48.97438</v>
      </c>
      <c r="I13" s="76">
        <f>G13+H13</f>
        <v>99.41988</v>
      </c>
      <c r="J13" s="44" t="inlineStr">
        <is>
          <t>Rectángulo representativo</t>
        </is>
      </c>
    </row>
    <row r="14">
      <c r="B14" s="37" t="inlineStr">
        <is>
          <t>F80004 N+3.00</t>
        </is>
      </c>
      <c r="C14" s="75" t="n">
        <v>4.83</v>
      </c>
      <c r="D14" s="56">
        <f>IF(TABLEROS!$D$11="HUECO",0,ROUND(TABLEROS!$CW$11*TABLEROS!$CX$11*C14/(TABLEROS!$F$11*TABLEROS!$G$11),0))</f>
        <v>8</v>
      </c>
      <c r="E14" s="36">
        <f>IF(TABLEROS!$D$11="HUECO",0,C14*DATOS!$C$15/100-D14*(DATOS!$C$11/100)^2*(DATOS!$C$12/100))</f>
        <v>0.6315</v>
      </c>
      <c r="F14" s="43">
        <f>IF(TABLEROS!$D$11="HUECO",0,C14)</f>
        <v>4.83</v>
      </c>
      <c r="G14" s="57">
        <f>IF(TABLEROS!$D$11="HUECO",0,(IF(TABLEROS!$M$11="X",TABLEROS!$CX$11,TABLEROS!$CW$11)+1)*(TABLEROS!$BI$11*(TABLEROS!$J$11+2*CUANTIFICACION!$C$8)*INDEX(TABLAS!$E$52:$E$58,MATCH(TABLEROS!$BH$11,TABLAS!$B$52:$B$58,0))+IF(TABLEROS!$D$11="VOLADO",TABLEROS!$BQ$11*(TABLEROS!$J$11+TABLEROS!$CU$11/100+CUANTIFICACION!$C$8)*INDEX(TABLAS!$E$52:$E$58,MATCH(TABLEROS!$BP$11,TABLAS!$B$52:$B$58,0)),(TABLEROS!$J$11+2*CUANTIFICACION!$C$8)*INDEX(TABLAS!$E$52:$E$58,MATCH(TABLEROS!$BP$11,TABLAS!$B$52:$B$58,0))+MAX(TABLEROS!$BQ$11-1,0)*2*(TABLEROS!$CU$11/100+DATOS!$C$17/200+CUANTIFICACION!$C$8)*INDEX(TABLAS!$E$52:$E$58,MATCH(TABLEROS!$BP$11,TABLAS!$B$52:$B$58,0)))))</f>
        <v>21.82824</v>
      </c>
      <c r="H14" s="57">
        <f>IF(TABLEROS!$D$11="HUECO",0,(IF(TABLEROS!$M$11="X",TABLEROS!$CW$11,TABLEROS!$CX$11)+1)*(TABLEROS!$BY$11*(TABLEROS!$K$11+2*CUANTIFICACION!$C$8)*INDEX(TABLAS!$E$52:$E$58,MATCH(TABLEROS!$BX$11,TABLAS!$B$52:$B$58,0))+((TABLEROS!$K$11+2*CUANTIFICACION!$C$8)*INDEX(TABLAS!$E$52:$E$58,MATCH(TABLEROS!$CF$11,TABLAS!$B$52:$B$58,0))+MAX(TABLEROS!$CG$11-1,0)*2*(TABLEROS!$CV$11/100+DATOS!$C$17/200+CUANTIFICACION!$C$8)*INDEX(TABLAS!$E$52:$E$58,MATCH(TABLEROS!$CF$11,TABLAS!$B$52:$B$58,0)))))</f>
        <v>21.6195</v>
      </c>
      <c r="I14" s="76">
        <f>G14+H14</f>
        <v>43.44774</v>
      </c>
      <c r="J14" s="44" t="inlineStr">
        <is>
          <t>—</t>
        </is>
      </c>
    </row>
    <row r="15">
      <c r="B15" s="37" t="inlineStr">
        <is>
          <t>F80005 N+3.00</t>
        </is>
      </c>
      <c r="C15" s="75" t="n">
        <v>4.69</v>
      </c>
      <c r="D15" s="56">
        <f>IF(TABLEROS!$D$12="HUECO",0,ROUND(TABLEROS!$CW$12*TABLEROS!$CX$12*C15/(TABLEROS!$F$12*TABLEROS!$G$12),0))</f>
        <v>8</v>
      </c>
      <c r="E15" s="36">
        <f>IF(TABLEROS!$D$12="HUECO",0,C15*DATOS!$C$15/100-D15*(DATOS!$C$11/100)^2*(DATOS!$C$12/100))</f>
        <v>0.5965</v>
      </c>
      <c r="F15" s="43">
        <f>IF(TABLEROS!$D$12="HUECO",0,C15)</f>
        <v>4.69</v>
      </c>
      <c r="G15" s="57">
        <f>IF(TABLEROS!$D$12="HUECO",0,(IF(TABLEROS!$M$12="X",TABLEROS!$CX$12,TABLEROS!$CW$12)+1)*(TABLEROS!$BI$12*(TABLEROS!$J$12+2*CUANTIFICACION!$C$8)*INDEX(TABLAS!$E$52:$E$58,MATCH(TABLEROS!$BH$12,TABLAS!$B$52:$B$58,0))+IF(TABLEROS!$D$12="VOLADO",TABLEROS!$BQ$12*(TABLEROS!$J$12+TABLEROS!$CU$12/100+CUANTIFICACION!$C$8)*INDEX(TABLAS!$E$52:$E$58,MATCH(TABLEROS!$BP$12,TABLAS!$B$52:$B$58,0)),(TABLEROS!$J$12+2*CUANTIFICACION!$C$8)*INDEX(TABLAS!$E$52:$E$58,MATCH(TABLEROS!$BP$12,TABLAS!$B$52:$B$58,0))+MAX(TABLEROS!$BQ$12-1,0)*2*(TABLEROS!$CU$12/100+DATOS!$C$17/200+CUANTIFICACION!$C$8)*INDEX(TABLAS!$E$52:$E$58,MATCH(TABLEROS!$BP$12,TABLAS!$B$52:$B$58,0)))))</f>
        <v>21.88788</v>
      </c>
      <c r="H15" s="57">
        <f>IF(TABLEROS!$D$12="HUECO",0,(IF(TABLEROS!$M$12="X",TABLEROS!$CW$12,TABLEROS!$CX$12)+1)*(TABLEROS!$BY$12*(TABLEROS!$K$12+2*CUANTIFICACION!$C$8)*INDEX(TABLAS!$E$52:$E$58,MATCH(TABLEROS!$BX$12,TABLAS!$B$52:$B$58,0))+((TABLEROS!$K$12+2*CUANTIFICACION!$C$8)*INDEX(TABLAS!$E$52:$E$58,MATCH(TABLEROS!$CF$12,TABLAS!$B$52:$B$58,0))+MAX(TABLEROS!$CG$12-1,0)*2*(TABLEROS!$CV$12/100+DATOS!$C$17/200+CUANTIFICACION!$C$8)*INDEX(TABLAS!$E$52:$E$58,MATCH(TABLEROS!$CF$12,TABLAS!$B$52:$B$58,0)))))</f>
        <v>21.0231</v>
      </c>
      <c r="I15" s="76">
        <f>G15+H15</f>
        <v>42.91098</v>
      </c>
      <c r="J15" s="44" t="inlineStr">
        <is>
          <t>—</t>
        </is>
      </c>
    </row>
    <row r="16">
      <c r="B16" s="37" t="inlineStr">
        <is>
          <t>F80006 N+3.00</t>
        </is>
      </c>
      <c r="C16" s="75" t="n">
        <v>1.4</v>
      </c>
      <c r="D16" s="56">
        <f>IF(TABLEROS!$D$13="HUECO",0,ROUND(TABLEROS!$CW$13*TABLEROS!$CX$13*C16/(TABLEROS!$F$13*TABLEROS!$G$13),0))</f>
        <v>1</v>
      </c>
      <c r="E16" s="36">
        <f>IF(TABLEROS!$D$13="HUECO",0,C16*DATOS!$C$15/100-D16*(DATOS!$C$11/100)^2*(DATOS!$C$12/100))</f>
        <v>0.278</v>
      </c>
      <c r="F16" s="43">
        <f>IF(TABLEROS!$D$13="HUECO",0,C16)</f>
        <v>1.4</v>
      </c>
      <c r="G16" s="57">
        <f>IF(TABLEROS!$D$13="HUECO",0,(IF(TABLEROS!$M$13="X",TABLEROS!$CX$13,TABLEROS!$CW$13)+1)*(TABLEROS!$BI$13*(TABLEROS!$J$13+2*CUANTIFICACION!$C$8)*INDEX(TABLAS!$E$52:$E$58,MATCH(TABLEROS!$BH$13,TABLAS!$B$52:$B$58,0))+IF(TABLEROS!$D$13="VOLADO",TABLEROS!$BQ$13*(TABLEROS!$J$13+TABLEROS!$CU$13/100+CUANTIFICACION!$C$8)*INDEX(TABLAS!$E$52:$E$58,MATCH(TABLEROS!$BP$13,TABLAS!$B$52:$B$58,0)),(TABLEROS!$J$13+2*CUANTIFICACION!$C$8)*INDEX(TABLAS!$E$52:$E$58,MATCH(TABLEROS!$BP$13,TABLAS!$B$52:$B$58,0))+MAX(TABLEROS!$BQ$13-1,0)*2*(TABLEROS!$CU$13/100+DATOS!$C$17/200+CUANTIFICACION!$C$8)*INDEX(TABLAS!$E$52:$E$58,MATCH(TABLEROS!$BP$13,TABLAS!$B$52:$B$58,0)))))</f>
        <v>6.369552</v>
      </c>
      <c r="H16" s="57">
        <f>IF(TABLEROS!$D$13="HUECO",0,(IF(TABLEROS!$M$13="X",TABLEROS!$CW$13,TABLEROS!$CX$13)+1)*(TABLEROS!$BY$13*(TABLEROS!$K$13+2*CUANTIFICACION!$C$8)*INDEX(TABLAS!$E$52:$E$58,MATCH(TABLEROS!$BX$13,TABLAS!$B$52:$B$58,0))+((TABLEROS!$K$13+2*CUANTIFICACION!$C$8)*INDEX(TABLAS!$E$52:$E$58,MATCH(TABLEROS!$CF$13,TABLAS!$B$52:$B$58,0))+MAX(TABLEROS!$CG$13-1,0)*2*(TABLEROS!$CV$13/100+DATOS!$C$17/200+CUANTIFICACION!$C$8)*INDEX(TABLAS!$E$52:$E$58,MATCH(TABLEROS!$CF$13,TABLAS!$B$52:$B$58,0)))))</f>
        <v>7.959952</v>
      </c>
      <c r="I16" s="76">
        <f>G16+H16</f>
        <v>14.329504</v>
      </c>
      <c r="J16" s="44" t="inlineStr">
        <is>
          <t>—</t>
        </is>
      </c>
    </row>
    <row r="17">
      <c r="B17" s="37" t="inlineStr">
        <is>
          <t>F80007 N+3.00</t>
        </is>
      </c>
      <c r="C17" s="75" t="n">
        <v>3.99</v>
      </c>
      <c r="D17" s="56">
        <f>IF(TABLEROS!$D$14="HUECO",0,ROUND(TABLEROS!$CW$14*TABLEROS!$CX$14*C17/(TABLEROS!$F$14*TABLEROS!$G$14),0))</f>
        <v>6</v>
      </c>
      <c r="E17" s="36">
        <f>IF(TABLEROS!$D$14="HUECO",0,C17*DATOS!$C$15/100-D17*(DATOS!$C$11/100)^2*(DATOS!$C$12/100))</f>
        <v>0.5655</v>
      </c>
      <c r="F17" s="43">
        <f>IF(TABLEROS!$D$14="HUECO",0,C17)</f>
        <v>3.99</v>
      </c>
      <c r="G17" s="57">
        <f>IF(TABLEROS!$D$14="HUECO",0,(IF(TABLEROS!$M$14="X",TABLEROS!$CX$14,TABLEROS!$CW$14)+1)*(TABLEROS!$BI$14*(TABLEROS!$J$14+2*CUANTIFICACION!$C$8)*INDEX(TABLAS!$E$52:$E$58,MATCH(TABLEROS!$BH$14,TABLAS!$B$52:$B$58,0))+IF(TABLEROS!$D$14="VOLADO",TABLEROS!$BQ$14*(TABLEROS!$J$14+TABLEROS!$CU$14/100+CUANTIFICACION!$C$8)*INDEX(TABLAS!$E$52:$E$58,MATCH(TABLEROS!$BP$14,TABLAS!$B$52:$B$58,0)),(TABLEROS!$J$14+2*CUANTIFICACION!$C$8)*INDEX(TABLAS!$E$52:$E$58,MATCH(TABLEROS!$BP$14,TABLAS!$B$52:$B$58,0))+MAX(TABLEROS!$BQ$14-1,0)*2*(TABLEROS!$CU$14/100+DATOS!$C$17/200+CUANTIFICACION!$C$8)*INDEX(TABLAS!$E$52:$E$58,MATCH(TABLEROS!$BP$14,TABLAS!$B$52:$B$58,0)))))</f>
        <v>21.194068</v>
      </c>
      <c r="H17" s="57">
        <f>IF(TABLEROS!$D$14="HUECO",0,(IF(TABLEROS!$M$14="X",TABLEROS!$CW$14,TABLEROS!$CX$14)+1)*(TABLEROS!$BY$14*(TABLEROS!$K$14+2*CUANTIFICACION!$C$8)*INDEX(TABLAS!$E$52:$E$58,MATCH(TABLEROS!$BX$14,TABLAS!$B$52:$B$58,0))+((TABLEROS!$K$14+2*CUANTIFICACION!$C$8)*INDEX(TABLAS!$E$52:$E$58,MATCH(TABLEROS!$CF$14,TABLAS!$B$52:$B$58,0))+MAX(TABLEROS!$CG$14-1,0)*2*(TABLEROS!$CV$14/100+DATOS!$C$17/200+CUANTIFICACION!$C$8)*INDEX(TABLAS!$E$52:$E$58,MATCH(TABLEROS!$CF$14,TABLAS!$B$52:$B$58,0)))))</f>
        <v>19.589752</v>
      </c>
      <c r="I17" s="76">
        <f>G17+H17</f>
        <v>40.78382</v>
      </c>
      <c r="J17" s="44" t="inlineStr">
        <is>
          <t>—</t>
        </is>
      </c>
    </row>
    <row r="18">
      <c r="B18" s="37" t="inlineStr">
        <is>
          <t>F80008 N+3.00</t>
        </is>
      </c>
      <c r="C18" s="75" t="n">
        <v>17.9</v>
      </c>
      <c r="D18" s="56">
        <f>IF(TABLEROS!$D$15="HUECO",0,ROUND(TABLEROS!$CW$15*TABLEROS!$CX$15*C18/(TABLEROS!$F$15*TABLEROS!$G$15),0))</f>
        <v>35</v>
      </c>
      <c r="E18" s="36">
        <f>IF(TABLEROS!$D$15="HUECO",0,C18*DATOS!$C$15/100-D18*(DATOS!$C$11/100)^2*(DATOS!$C$12/100))</f>
        <v>1.955</v>
      </c>
      <c r="F18" s="43">
        <f>IF(TABLEROS!$D$15="HUECO",0,C18)</f>
        <v>17.9</v>
      </c>
      <c r="G18" s="57">
        <f>IF(TABLEROS!$D$15="HUECO",0,(IF(TABLEROS!$M$15="X",TABLEROS!$CX$15,TABLEROS!$CW$15)+1)*(TABLEROS!$BI$15*(TABLEROS!$J$15+2*CUANTIFICACION!$C$8)*INDEX(TABLAS!$E$52:$E$58,MATCH(TABLEROS!$BH$15,TABLAS!$B$52:$B$58,0))+IF(TABLEROS!$D$15="VOLADO",TABLEROS!$BQ$15*(TABLEROS!$J$15+TABLEROS!$CU$15/100+CUANTIFICACION!$C$8)*INDEX(TABLAS!$E$52:$E$58,MATCH(TABLEROS!$BP$15,TABLAS!$B$52:$B$58,0)),(TABLEROS!$J$15+2*CUANTIFICACION!$C$8)*INDEX(TABLAS!$E$52:$E$58,MATCH(TABLEROS!$BP$15,TABLAS!$B$52:$B$58,0))+MAX(TABLEROS!$BQ$15-1,0)*2*(TABLEROS!$CU$15/100+DATOS!$C$17/200+CUANTIFICACION!$C$8)*INDEX(TABLAS!$E$52:$E$58,MATCH(TABLEROS!$BP$15,TABLAS!$B$52:$B$58,0)))))</f>
        <v>87.70062</v>
      </c>
      <c r="H18" s="57">
        <f>IF(TABLEROS!$D$15="HUECO",0,(IF(TABLEROS!$M$15="X",TABLEROS!$CW$15,TABLEROS!$CX$15)+1)*(TABLEROS!$BY$15*(TABLEROS!$K$15+2*CUANTIFICACION!$C$8)*INDEX(TABLAS!$E$52:$E$58,MATCH(TABLEROS!$BX$15,TABLAS!$B$52:$B$58,0))+((TABLEROS!$K$15+2*CUANTIFICACION!$C$8)*INDEX(TABLAS!$E$52:$E$58,MATCH(TABLEROS!$CF$15,TABLAS!$B$52:$B$58,0))+MAX(TABLEROS!$CG$15-1,0)*2*(TABLEROS!$CV$15/100+DATOS!$C$17/200+CUANTIFICACION!$C$8)*INDEX(TABLAS!$E$52:$E$58,MATCH(TABLEROS!$CF$15,TABLAS!$B$52:$B$58,0)))))</f>
        <v>56.0119</v>
      </c>
      <c r="I18" s="76">
        <f>G18+H18</f>
        <v>143.71252</v>
      </c>
      <c r="J18" s="44" t="inlineStr">
        <is>
          <t>Rectángulo representativo</t>
        </is>
      </c>
    </row>
    <row r="19">
      <c r="B19" s="37" t="inlineStr">
        <is>
          <t>F80009 N+3.00</t>
        </is>
      </c>
      <c r="C19" s="75" t="n">
        <v>18.84</v>
      </c>
      <c r="D19" s="56">
        <f>IF(TABLEROS!$D$16="HUECO",0,ROUND(TABLEROS!$CW$16*TABLEROS!$CX$16*C19/(TABLEROS!$F$16*TABLEROS!$G$16),0))</f>
        <v>28</v>
      </c>
      <c r="E19" s="36">
        <f>IF(TABLEROS!$D$16="HUECO",0,C19*DATOS!$C$15/100-D19*(DATOS!$C$11/100)^2*(DATOS!$C$12/100))</f>
        <v>2.694</v>
      </c>
      <c r="F19" s="43">
        <f>IF(TABLEROS!$D$16="HUECO",0,C19)</f>
        <v>18.84</v>
      </c>
      <c r="G19" s="57">
        <f>IF(TABLEROS!$D$16="HUECO",0,(IF(TABLEROS!$M$16="X",TABLEROS!$CX$16,TABLEROS!$CW$16)+1)*(TABLEROS!$BI$16*(TABLEROS!$J$16+2*CUANTIFICACION!$C$8)*INDEX(TABLAS!$E$52:$E$58,MATCH(TABLEROS!$BH$16,TABLAS!$B$52:$B$58,0))+IF(TABLEROS!$D$16="VOLADO",TABLEROS!$BQ$16*(TABLEROS!$J$16+TABLEROS!$CU$16/100+CUANTIFICACION!$C$8)*INDEX(TABLAS!$E$52:$E$58,MATCH(TABLEROS!$BP$16,TABLAS!$B$52:$B$58,0)),(TABLEROS!$J$16+2*CUANTIFICACION!$C$8)*INDEX(TABLAS!$E$52:$E$58,MATCH(TABLEROS!$BP$16,TABLAS!$B$52:$B$58,0))+MAX(TABLEROS!$BQ$16-1,0)*2*(TABLEROS!$CU$16/100+DATOS!$C$17/200+CUANTIFICACION!$C$8)*INDEX(TABLAS!$E$52:$E$58,MATCH(TABLEROS!$BP$16,TABLAS!$B$52:$B$58,0)))))</f>
        <v>82.042304</v>
      </c>
      <c r="H19" s="57">
        <f>IF(TABLEROS!$D$16="HUECO",0,(IF(TABLEROS!$M$16="X",TABLEROS!$CW$16,TABLEROS!$CX$16)+1)*(TABLEROS!$BY$16*(TABLEROS!$K$16+2*CUANTIFICACION!$C$8)*INDEX(TABLAS!$E$52:$E$58,MATCH(TABLEROS!$BX$16,TABLAS!$B$52:$B$58,0))+((TABLEROS!$K$16+2*CUANTIFICACION!$C$8)*INDEX(TABLAS!$E$52:$E$58,MATCH(TABLEROS!$CF$16,TABLAS!$B$52:$B$58,0))+MAX(TABLEROS!$CG$16-1,0)*2*(TABLEROS!$CV$16/100+DATOS!$C$17/200+CUANTIFICACION!$C$8)*INDEX(TABLAS!$E$52:$E$58,MATCH(TABLEROS!$CF$16,TABLAS!$B$52:$B$58,0)))))</f>
        <v>60.60418</v>
      </c>
      <c r="I19" s="76">
        <f>G19+H19</f>
        <v>142.646484</v>
      </c>
      <c r="J19" s="44" t="inlineStr">
        <is>
          <t>—</t>
        </is>
      </c>
    </row>
    <row r="20">
      <c r="B20" s="37" t="inlineStr">
        <is>
          <t>F80010 N+3.00</t>
        </is>
      </c>
      <c r="C20" s="75" t="n">
        <v>6.25</v>
      </c>
      <c r="D20" s="56">
        <f>IF(TABLEROS!$D$17="HUECO",0,ROUND(TABLEROS!$CW$17*TABLEROS!$CX$17*C20/(TABLEROS!$F$17*TABLEROS!$G$17),0))</f>
        <v>8</v>
      </c>
      <c r="E20" s="36">
        <f>IF(TABLEROS!$D$17="HUECO",0,C20*DATOS!$C$15/100-D20*(DATOS!$C$11/100)^2*(DATOS!$C$12/100))</f>
        <v>0.9865</v>
      </c>
      <c r="F20" s="43">
        <f>IF(TABLEROS!$D$17="HUECO",0,C20)</f>
        <v>6.25</v>
      </c>
      <c r="G20" s="57">
        <f>IF(TABLEROS!$D$17="HUECO",0,(IF(TABLEROS!$M$17="X",TABLEROS!$CX$17,TABLEROS!$CW$17)+1)*(TABLEROS!$BI$17*(TABLEROS!$J$17+2*CUANTIFICACION!$C$8)*INDEX(TABLAS!$E$52:$E$58,MATCH(TABLEROS!$BH$17,TABLAS!$B$52:$B$58,0))+IF(TABLEROS!$D$17="VOLADO",TABLEROS!$BQ$17*(TABLEROS!$J$17+TABLEROS!$CU$17/100+CUANTIFICACION!$C$8)*INDEX(TABLAS!$E$52:$E$58,MATCH(TABLEROS!$BP$17,TABLAS!$B$52:$B$58,0)),(TABLEROS!$J$17+2*CUANTIFICACION!$C$8)*INDEX(TABLAS!$E$52:$E$58,MATCH(TABLEROS!$BP$17,TABLAS!$B$52:$B$58,0))+MAX(TABLEROS!$BQ$17-1,0)*2*(TABLEROS!$CU$17/100+DATOS!$C$17/200+CUANTIFICACION!$C$8)*INDEX(TABLAS!$E$52:$E$58,MATCH(TABLEROS!$BP$17,TABLAS!$B$52:$B$58,0)))))</f>
        <v>24.1045</v>
      </c>
      <c r="H20" s="57">
        <f>IF(TABLEROS!$D$17="HUECO",0,(IF(TABLEROS!$M$17="X",TABLEROS!$CW$17,TABLEROS!$CX$17)+1)*(TABLEROS!$BY$17*(TABLEROS!$K$17+2*CUANTIFICACION!$C$8)*INDEX(TABLAS!$E$52:$E$58,MATCH(TABLEROS!$BX$17,TABLAS!$B$52:$B$58,0))+((TABLEROS!$K$17+2*CUANTIFICACION!$C$8)*INDEX(TABLAS!$E$52:$E$58,MATCH(TABLEROS!$CF$17,TABLAS!$B$52:$B$58,0))+MAX(TABLEROS!$CG$17-1,0)*2*(TABLEROS!$CV$17/100+DATOS!$C$17/200+CUANTIFICACION!$C$8)*INDEX(TABLAS!$E$52:$E$58,MATCH(TABLEROS!$CF$17,TABLAS!$B$52:$B$58,0)))))</f>
        <v>24.017028</v>
      </c>
      <c r="I20" s="76">
        <f>G20+H20</f>
        <v>48.121528</v>
      </c>
      <c r="J20" s="44" t="inlineStr">
        <is>
          <t>—</t>
        </is>
      </c>
    </row>
    <row r="21">
      <c r="B21" s="37" t="inlineStr">
        <is>
          <t>F80011 N+3.00</t>
        </is>
      </c>
      <c r="C21" s="75" t="n">
        <v>1.37</v>
      </c>
      <c r="D21" s="56">
        <f>IF(TABLEROS!$D$18="HUECO",0,ROUND(TABLEROS!$CW$18*TABLEROS!$CX$18*C21/(TABLEROS!$F$18*TABLEROS!$G$18),0))</f>
        <v>0</v>
      </c>
      <c r="E21" s="36">
        <f>IF(TABLEROS!$D$18="HUECO",0,C21*DATOS!$C$15/100-D21*(DATOS!$C$11/100)^2*(DATOS!$C$12/100))</f>
        <v>0.3425</v>
      </c>
      <c r="F21" s="43">
        <f>IF(TABLEROS!$D$18="HUECO",0,C21)</f>
        <v>1.37</v>
      </c>
      <c r="G21" s="57">
        <f>IF(TABLEROS!$D$18="HUECO",0,(IF(TABLEROS!$M$18="X",TABLEROS!$CX$18,TABLEROS!$CW$18)+1)*(TABLEROS!$BI$18*(TABLEROS!$J$18+2*CUANTIFICACION!$C$8)*INDEX(TABLAS!$E$52:$E$58,MATCH(TABLEROS!$BH$18,TABLAS!$B$52:$B$58,0))+IF(TABLEROS!$D$18="VOLADO",TABLEROS!$BQ$18*(TABLEROS!$J$18+TABLEROS!$CU$18/100+CUANTIFICACION!$C$8)*INDEX(TABLAS!$E$52:$E$58,MATCH(TABLEROS!$BP$18,TABLAS!$B$52:$B$58,0)),(TABLEROS!$J$18+2*CUANTIFICACION!$C$8)*INDEX(TABLAS!$E$52:$E$58,MATCH(TABLEROS!$BP$18,TABLAS!$B$52:$B$58,0))+MAX(TABLEROS!$BQ$18-1,0)*2*(TABLEROS!$CU$18/100+DATOS!$C$17/200+CUANTIFICACION!$C$8)*INDEX(TABLAS!$E$52:$E$58,MATCH(TABLEROS!$BP$18,TABLAS!$B$52:$B$58,0)))))</f>
        <v>9.93006</v>
      </c>
      <c r="H21" s="57">
        <f>IF(TABLEROS!$D$18="HUECO",0,(IF(TABLEROS!$M$18="X",TABLEROS!$CW$18,TABLEROS!$CX$18)+1)*(TABLEROS!$BY$18*(TABLEROS!$K$18+2*CUANTIFICACION!$C$8)*INDEX(TABLAS!$E$52:$E$58,MATCH(TABLEROS!$BX$18,TABLAS!$B$52:$B$58,0))+((TABLEROS!$K$18+2*CUANTIFICACION!$C$8)*INDEX(TABLAS!$E$52:$E$58,MATCH(TABLEROS!$CF$18,TABLAS!$B$52:$B$58,0))+MAX(TABLEROS!$CG$18-1,0)*2*(TABLEROS!$CV$18/100+DATOS!$C$17/200+CUANTIFICACION!$C$8)*INDEX(TABLAS!$E$52:$E$58,MATCH(TABLEROS!$CF$18,TABLAS!$B$52:$B$58,0)))))</f>
        <v>8.007664</v>
      </c>
      <c r="I21" s="76">
        <f>G21+H21</f>
        <v>17.937724</v>
      </c>
      <c r="J21" s="44" t="inlineStr">
        <is>
          <t>—</t>
        </is>
      </c>
    </row>
    <row r="22">
      <c r="B22" s="37" t="inlineStr">
        <is>
          <t>F80012 N+3.00</t>
        </is>
      </c>
      <c r="C22" s="75" t="n">
        <v>6.85</v>
      </c>
      <c r="D22" s="56">
        <f>IF(TABLEROS!$D$19="HUECO",0,ROUND(TABLEROS!$CW$19*TABLEROS!$CX$19*C22/(TABLEROS!$F$19*TABLEROS!$G$19),0))</f>
        <v>8</v>
      </c>
      <c r="E22" s="36">
        <f>IF(TABLEROS!$D$19="HUECO",0,C22*DATOS!$C$15/100-D22*(DATOS!$C$11/100)^2*(DATOS!$C$12/100))</f>
        <v>1.1365</v>
      </c>
      <c r="F22" s="43">
        <f>IF(TABLEROS!$D$19="HUECO",0,C22)</f>
        <v>6.85</v>
      </c>
      <c r="G22" s="57">
        <f>IF(TABLEROS!$D$19="HUECO",0,(IF(TABLEROS!$M$19="X",TABLEROS!$CX$19,TABLEROS!$CW$19)+1)*(TABLEROS!$BI$19*(TABLEROS!$J$19+2*CUANTIFICACION!$C$8)*INDEX(TABLAS!$E$52:$E$58,MATCH(TABLEROS!$BH$19,TABLAS!$B$52:$B$58,0))+IF(TABLEROS!$D$19="VOLADO",TABLEROS!$BQ$19*(TABLEROS!$J$19+TABLEROS!$CU$19/100+CUANTIFICACION!$C$8)*INDEX(TABLAS!$E$52:$E$58,MATCH(TABLEROS!$BP$19,TABLAS!$B$52:$B$58,0)),(TABLEROS!$J$19+2*CUANTIFICACION!$C$8)*INDEX(TABLAS!$E$52:$E$58,MATCH(TABLEROS!$BP$19,TABLAS!$B$52:$B$58,0))+MAX(TABLEROS!$BQ$19-1,0)*2*(TABLEROS!$CU$19/100+DATOS!$C$17/200+CUANTIFICACION!$C$8)*INDEX(TABLAS!$E$52:$E$58,MATCH(TABLEROS!$BP$19,TABLAS!$B$52:$B$58,0)))))</f>
        <v>125.15925</v>
      </c>
      <c r="H22" s="57">
        <f>IF(TABLEROS!$D$19="HUECO",0,(IF(TABLEROS!$M$19="X",TABLEROS!$CW$19,TABLEROS!$CX$19)+1)*(TABLEROS!$BY$19*(TABLEROS!$K$19+2*CUANTIFICACION!$C$8)*INDEX(TABLAS!$E$52:$E$58,MATCH(TABLEROS!$BX$19,TABLAS!$B$52:$B$58,0))+((TABLEROS!$K$19+2*CUANTIFICACION!$C$8)*INDEX(TABLAS!$E$52:$E$58,MATCH(TABLEROS!$CF$19,TABLAS!$B$52:$B$58,0))+MAX(TABLEROS!$CG$19-1,0)*2*(TABLEROS!$CV$19/100+DATOS!$C$17/200+CUANTIFICACION!$C$8)*INDEX(TABLAS!$E$52:$E$58,MATCH(TABLEROS!$CF$19,TABLAS!$B$52:$B$58,0)))))</f>
        <v>24.0051</v>
      </c>
      <c r="I22" s="76">
        <f>G22+H22</f>
        <v>149.16435</v>
      </c>
      <c r="J22" s="44" t="inlineStr">
        <is>
          <t>—</t>
        </is>
      </c>
    </row>
    <row r="23">
      <c r="B23" s="37" t="inlineStr">
        <is>
          <t>F80013 N+3.00</t>
        </is>
      </c>
      <c r="C23" s="75" t="n">
        <v>1.63</v>
      </c>
      <c r="D23" s="56">
        <f>IF(TABLEROS!$D$20="HUECO",0,ROUND(TABLEROS!$CW$20*TABLEROS!$CX$20*C23/(TABLEROS!$F$20*TABLEROS!$G$20),0))</f>
        <v>2</v>
      </c>
      <c r="E23" s="36">
        <f>IF(TABLEROS!$D$20="HUECO",0,C23*DATOS!$C$15/100-D23*(DATOS!$C$11/100)^2*(DATOS!$C$12/100))</f>
        <v>0.2635</v>
      </c>
      <c r="F23" s="43">
        <f>IF(TABLEROS!$D$20="HUECO",0,C23)</f>
        <v>1.63</v>
      </c>
      <c r="G23" s="57">
        <f>IF(TABLEROS!$D$20="HUECO",0,(IF(TABLEROS!$M$20="X",TABLEROS!$CX$20,TABLEROS!$CW$20)+1)*(TABLEROS!$BI$20*(TABLEROS!$J$20+2*CUANTIFICACION!$C$8)*INDEX(TABLAS!$E$52:$E$58,MATCH(TABLEROS!$BH$20,TABLAS!$B$52:$B$58,0))+IF(TABLEROS!$D$20="VOLADO",TABLEROS!$BQ$20*(TABLEROS!$J$20+TABLEROS!$CU$20/100+CUANTIFICACION!$C$8)*INDEX(TABLAS!$E$52:$E$58,MATCH(TABLEROS!$BP$20,TABLAS!$B$52:$B$58,0)),(TABLEROS!$J$20+2*CUANTIFICACION!$C$8)*INDEX(TABLAS!$E$52:$E$58,MATCH(TABLEROS!$BP$20,TABLAS!$B$52:$B$58,0))+MAX(TABLEROS!$BQ$20-1,0)*2*(TABLEROS!$CU$20/100+DATOS!$C$17/200+CUANTIFICACION!$C$8)*INDEX(TABLAS!$E$52:$E$58,MATCH(TABLEROS!$BP$20,TABLAS!$B$52:$B$58,0)))))</f>
        <v>8.928108</v>
      </c>
      <c r="H23" s="57">
        <f>IF(TABLEROS!$D$20="HUECO",0,(IF(TABLEROS!$M$20="X",TABLEROS!$CW$20,TABLEROS!$CX$20)+1)*(TABLEROS!$BY$20*(TABLEROS!$K$20+2*CUANTIFICACION!$C$8)*INDEX(TABLAS!$E$52:$E$58,MATCH(TABLEROS!$BX$20,TABLAS!$B$52:$B$58,0))+((TABLEROS!$K$20+2*CUANTIFICACION!$C$8)*INDEX(TABLAS!$E$52:$E$58,MATCH(TABLEROS!$CF$20,TABLAS!$B$52:$B$58,0))+MAX(TABLEROS!$CG$20-1,0)*2*(TABLEROS!$CV$20/100+DATOS!$C$17/200+CUANTIFICACION!$C$8)*INDEX(TABLAS!$E$52:$E$58,MATCH(TABLEROS!$CF$20,TABLAS!$B$52:$B$58,0)))))</f>
        <v>10.333624</v>
      </c>
      <c r="I23" s="76">
        <f>G23+H23</f>
        <v>19.261732</v>
      </c>
      <c r="J23" s="44" t="inlineStr">
        <is>
          <t>Rectángulo representativo</t>
        </is>
      </c>
    </row>
    <row r="24">
      <c r="B24" s="37" t="inlineStr">
        <is>
          <t>F80014 N+3.00</t>
        </is>
      </c>
      <c r="C24" s="75" t="n">
        <v>4.85</v>
      </c>
      <c r="D24" s="56">
        <f>IF(TABLEROS!$D$21="HUECO",0,ROUND(TABLEROS!$CW$21*TABLEROS!$CX$21*C24/(TABLEROS!$F$21*TABLEROS!$G$21),0))</f>
        <v>8</v>
      </c>
      <c r="E24" s="36">
        <f>IF(TABLEROS!$D$21="HUECO",0,C24*DATOS!$C$15/100-D24*(DATOS!$C$11/100)^2*(DATOS!$C$12/100))</f>
        <v>0.6365</v>
      </c>
      <c r="F24" s="43">
        <f>IF(TABLEROS!$D$21="HUECO",0,C24)</f>
        <v>4.85</v>
      </c>
      <c r="G24" s="57">
        <f>IF(TABLEROS!$D$21="HUECO",0,(IF(TABLEROS!$M$21="X",TABLEROS!$CX$21,TABLEROS!$CW$21)+1)*(TABLEROS!$BI$21*(TABLEROS!$J$21+2*CUANTIFICACION!$C$8)*INDEX(TABLAS!$E$52:$E$58,MATCH(TABLEROS!$BH$21,TABLAS!$B$52:$B$58,0))+IF(TABLEROS!$D$21="VOLADO",TABLEROS!$BQ$21*(TABLEROS!$J$21+TABLEROS!$CU$21/100+CUANTIFICACION!$C$8)*INDEX(TABLAS!$E$52:$E$58,MATCH(TABLEROS!$BP$21,TABLAS!$B$52:$B$58,0)),(TABLEROS!$J$21+2*CUANTIFICACION!$C$8)*INDEX(TABLAS!$E$52:$E$58,MATCH(TABLEROS!$BP$21,TABLAS!$B$52:$B$58,0))+MAX(TABLEROS!$BQ$21-1,0)*2*(TABLEROS!$CU$21/100+DATOS!$C$17/200+CUANTIFICACION!$C$8)*INDEX(TABLAS!$E$52:$E$58,MATCH(TABLEROS!$BP$21,TABLAS!$B$52:$B$58,0)))))</f>
        <v>21.868</v>
      </c>
      <c r="H24" s="57">
        <f>IF(TABLEROS!$D$21="HUECO",0,(IF(TABLEROS!$M$21="X",TABLEROS!$CW$21,TABLEROS!$CX$21)+1)*(TABLEROS!$BY$21*(TABLEROS!$K$21+2*CUANTIFICACION!$C$8)*INDEX(TABLAS!$E$52:$E$58,MATCH(TABLEROS!$BX$21,TABLAS!$B$52:$B$58,0))+((TABLEROS!$K$21+2*CUANTIFICACION!$C$8)*INDEX(TABLAS!$E$52:$E$58,MATCH(TABLEROS!$CF$21,TABLAS!$B$52:$B$58,0))+MAX(TABLEROS!$CG$21-1,0)*2*(TABLEROS!$CV$21/100+DATOS!$C$17/200+CUANTIFICACION!$C$8)*INDEX(TABLAS!$E$52:$E$58,MATCH(TABLEROS!$CF$21,TABLAS!$B$52:$B$58,0)))))</f>
        <v>21.643356</v>
      </c>
      <c r="I24" s="76">
        <f>G24+H24</f>
        <v>43.511356</v>
      </c>
      <c r="J24" s="44" t="inlineStr">
        <is>
          <t>—</t>
        </is>
      </c>
    </row>
    <row r="25">
      <c r="B25" s="37" t="inlineStr">
        <is>
          <t>F80015 N+3.00</t>
        </is>
      </c>
      <c r="C25" s="75" t="n">
        <v>4.84</v>
      </c>
      <c r="D25" s="56">
        <f>IF(TABLEROS!$D$22="HUECO",0,ROUND(TABLEROS!$CW$22*TABLEROS!$CX$22*C25/(TABLEROS!$F$22*TABLEROS!$G$22),0))</f>
        <v>8</v>
      </c>
      <c r="E25" s="36">
        <f>IF(TABLEROS!$D$22="HUECO",0,C25*DATOS!$C$15/100-D25*(DATOS!$C$11/100)^2*(DATOS!$C$12/100))</f>
        <v>0.634</v>
      </c>
      <c r="F25" s="43">
        <f>IF(TABLEROS!$D$22="HUECO",0,C25)</f>
        <v>4.84</v>
      </c>
      <c r="G25" s="57">
        <f>IF(TABLEROS!$D$22="HUECO",0,(IF(TABLEROS!$M$22="X",TABLEROS!$CX$22,TABLEROS!$CW$22)+1)*(TABLEROS!$BI$22*(TABLEROS!$J$22+2*CUANTIFICACION!$C$8)*INDEX(TABLAS!$E$52:$E$58,MATCH(TABLEROS!$BH$22,TABLAS!$B$52:$B$58,0))+IF(TABLEROS!$D$22="VOLADO",TABLEROS!$BQ$22*(TABLEROS!$J$22+TABLEROS!$CU$22/100+CUANTIFICACION!$C$8)*INDEX(TABLAS!$E$52:$E$58,MATCH(TABLEROS!$BP$22,TABLAS!$B$52:$B$58,0)),(TABLEROS!$J$22+2*CUANTIFICACION!$C$8)*INDEX(TABLAS!$E$52:$E$58,MATCH(TABLEROS!$BP$22,TABLAS!$B$52:$B$58,0))+MAX(TABLEROS!$BQ$22-1,0)*2*(TABLEROS!$CU$22/100+DATOS!$C$17/200+CUANTIFICACION!$C$8)*INDEX(TABLAS!$E$52:$E$58,MATCH(TABLEROS!$BP$22,TABLAS!$B$52:$B$58,0)))))</f>
        <v>21.868</v>
      </c>
      <c r="H25" s="57">
        <f>IF(TABLEROS!$D$22="HUECO",0,(IF(TABLEROS!$M$22="X",TABLEROS!$CW$22,TABLEROS!$CX$22)+1)*(TABLEROS!$BY$22*(TABLEROS!$K$22+2*CUANTIFICACION!$C$8)*INDEX(TABLAS!$E$52:$E$58,MATCH(TABLEROS!$BX$22,TABLAS!$B$52:$B$58,0))+((TABLEROS!$K$22+2*CUANTIFICACION!$C$8)*INDEX(TABLAS!$E$52:$E$58,MATCH(TABLEROS!$CF$22,TABLAS!$B$52:$B$58,0))+MAX(TABLEROS!$CG$22-1,0)*2*(TABLEROS!$CV$22/100+DATOS!$C$17/200+CUANTIFICACION!$C$8)*INDEX(TABLAS!$E$52:$E$58,MATCH(TABLEROS!$CF$22,TABLAS!$B$52:$B$58,0)))))</f>
        <v>21.637392</v>
      </c>
      <c r="I25" s="76">
        <f>G25+H25</f>
        <v>43.505392</v>
      </c>
      <c r="J25" s="44" t="inlineStr">
        <is>
          <t>—</t>
        </is>
      </c>
    </row>
    <row r="26">
      <c r="B26" s="37" t="inlineStr">
        <is>
          <t>F80016 N+3.00</t>
        </is>
      </c>
      <c r="C26" s="75" t="n">
        <v>17.7</v>
      </c>
      <c r="D26" s="56">
        <f>IF(TABLEROS!$D$23="HUECO",0,ROUND(TABLEROS!$CW$23*TABLEROS!$CX$23*C26/(TABLEROS!$F$23*TABLEROS!$G$23),0))</f>
        <v>30</v>
      </c>
      <c r="E26" s="36">
        <f>IF(TABLEROS!$D$23="HUECO",0,C26*DATOS!$C$15/100-D26*(DATOS!$C$11/100)^2*(DATOS!$C$12/100))</f>
        <v>2.265</v>
      </c>
      <c r="F26" s="43">
        <f>IF(TABLEROS!$D$23="HUECO",0,C26)</f>
        <v>17.7</v>
      </c>
      <c r="G26" s="57">
        <f>IF(TABLEROS!$D$23="HUECO",0,(IF(TABLEROS!$M$23="X",TABLEROS!$CX$23,TABLEROS!$CW$23)+1)*(TABLEROS!$BI$23*(TABLEROS!$J$23+2*CUANTIFICACION!$C$8)*INDEX(TABLAS!$E$52:$E$58,MATCH(TABLEROS!$BH$23,TABLAS!$B$52:$B$58,0))+IF(TABLEROS!$D$23="VOLADO",TABLEROS!$BQ$23*(TABLEROS!$J$23+TABLEROS!$CU$23/100+CUANTIFICACION!$C$8)*INDEX(TABLAS!$E$52:$E$58,MATCH(TABLEROS!$BP$23,TABLAS!$B$52:$B$58,0)),(TABLEROS!$J$23+2*CUANTIFICACION!$C$8)*INDEX(TABLAS!$E$52:$E$58,MATCH(TABLEROS!$BP$23,TABLAS!$B$52:$B$58,0))+MAX(TABLEROS!$BQ$23-1,0)*2*(TABLEROS!$CU$23/100+DATOS!$C$17/200+CUANTIFICACION!$C$8)*INDEX(TABLAS!$E$52:$E$58,MATCH(TABLEROS!$BP$23,TABLAS!$B$52:$B$58,0)))))</f>
        <v>64.0136</v>
      </c>
      <c r="H26" s="57">
        <f>IF(TABLEROS!$D$23="HUECO",0,(IF(TABLEROS!$M$23="X",TABLEROS!$CW$23,TABLEROS!$CX$23)+1)*(TABLEROS!$BY$23*(TABLEROS!$K$23+2*CUANTIFICACION!$C$8)*INDEX(TABLAS!$E$52:$E$58,MATCH(TABLEROS!$BX$23,TABLAS!$B$52:$B$58,0))+((TABLEROS!$K$23+2*CUANTIFICACION!$C$8)*INDEX(TABLAS!$E$52:$E$58,MATCH(TABLEROS!$CF$23,TABLAS!$B$52:$B$58,0))+MAX(TABLEROS!$CG$23-1,0)*2*(TABLEROS!$CV$23/100+DATOS!$C$17/200+CUANTIFICACION!$C$8)*INDEX(TABLAS!$E$52:$E$58,MATCH(TABLEROS!$CF$23,TABLAS!$B$52:$B$58,0)))))</f>
        <v>59.950128</v>
      </c>
      <c r="I26" s="76">
        <f>G26+H26</f>
        <v>123.963728</v>
      </c>
      <c r="J26" s="44" t="inlineStr">
        <is>
          <t>—</t>
        </is>
      </c>
    </row>
    <row r="27">
      <c r="B27" s="37" t="inlineStr">
        <is>
          <t>F80017 N+3.00</t>
        </is>
      </c>
      <c r="C27" s="75" t="n">
        <v>2</v>
      </c>
      <c r="D27" s="56">
        <f>IF(TABLEROS!$D$24="HUECO",0,ROUND(TABLEROS!$CW$24*TABLEROS!$CX$24*C27/(TABLEROS!$F$24*TABLEROS!$G$24),0))</f>
        <v>0</v>
      </c>
      <c r="E27" s="36">
        <f>IF(TABLEROS!$D$24="HUECO",0,C27*DATOS!$C$15/100-D27*(DATOS!$C$11/100)^2*(DATOS!$C$12/100))</f>
        <v>0.5</v>
      </c>
      <c r="F27" s="43">
        <f>IF(TABLEROS!$D$24="HUECO",0,C27)</f>
        <v>2</v>
      </c>
      <c r="G27" s="57">
        <f>IF(TABLEROS!$D$24="HUECO",0,(IF(TABLEROS!$M$24="X",TABLEROS!$CX$24,TABLEROS!$CW$24)+1)*(TABLEROS!$BI$24*(TABLEROS!$J$24+2*CUANTIFICACION!$C$8)*INDEX(TABLAS!$E$52:$E$58,MATCH(TABLEROS!$BH$24,TABLAS!$B$52:$B$58,0))+IF(TABLEROS!$D$24="VOLADO",TABLEROS!$BQ$24*(TABLEROS!$J$24+TABLEROS!$CU$24/100+CUANTIFICACION!$C$8)*INDEX(TABLAS!$E$52:$E$58,MATCH(TABLEROS!$BP$24,TABLAS!$B$52:$B$58,0)),(TABLEROS!$J$24+2*CUANTIFICACION!$C$8)*INDEX(TABLAS!$E$52:$E$58,MATCH(TABLEROS!$BP$24,TABLAS!$B$52:$B$58,0))+MAX(TABLEROS!$BQ$24-1,0)*2*(TABLEROS!$CU$24/100+DATOS!$C$17/200+CUANTIFICACION!$C$8)*INDEX(TABLAS!$E$52:$E$58,MATCH(TABLEROS!$BP$24,TABLAS!$B$52:$B$58,0)))))</f>
        <v>13.108872</v>
      </c>
      <c r="H27" s="57">
        <f>IF(TABLEROS!$D$24="HUECO",0,(IF(TABLEROS!$M$24="X",TABLEROS!$CW$24,TABLEROS!$CX$24)+1)*(TABLEROS!$BY$24*(TABLEROS!$K$24+2*CUANTIFICACION!$C$8)*INDEX(TABLAS!$E$52:$E$58,MATCH(TABLEROS!$BX$24,TABLAS!$B$52:$B$58,0))+((TABLEROS!$K$24+2*CUANTIFICACION!$C$8)*INDEX(TABLAS!$E$52:$E$58,MATCH(TABLEROS!$CF$24,TABLAS!$B$52:$B$58,0))+MAX(TABLEROS!$CG$24-1,0)*2*(TABLEROS!$CV$24/100+DATOS!$C$17/200+CUANTIFICACION!$C$8)*INDEX(TABLAS!$E$52:$E$58,MATCH(TABLEROS!$CF$24,TABLAS!$B$52:$B$58,0)))))</f>
        <v>9.1448</v>
      </c>
      <c r="I27" s="76">
        <f>G27+H27</f>
        <v>22.253672</v>
      </c>
      <c r="J27" s="44" t="inlineStr">
        <is>
          <t>—</t>
        </is>
      </c>
    </row>
    <row r="28">
      <c r="B28" s="37" t="inlineStr">
        <is>
          <t>F80018 N+3.00</t>
        </is>
      </c>
      <c r="C28" s="75" t="n">
        <v>15.7</v>
      </c>
      <c r="D28" s="56">
        <f>IF(TABLEROS!$D$25="HUECO",0,ROUND(TABLEROS!$CW$25*TABLEROS!$CX$25*C28/(TABLEROS!$F$25*TABLEROS!$G$25),0))</f>
        <v>25</v>
      </c>
      <c r="E28" s="36">
        <f>IF(TABLEROS!$D$25="HUECO",0,C28*DATOS!$C$15/100-D28*(DATOS!$C$11/100)^2*(DATOS!$C$12/100))</f>
        <v>2.125</v>
      </c>
      <c r="F28" s="43">
        <f>IF(TABLEROS!$D$25="HUECO",0,C28)</f>
        <v>15.7</v>
      </c>
      <c r="G28" s="57">
        <f>IF(TABLEROS!$D$25="HUECO",0,(IF(TABLEROS!$M$25="X",TABLEROS!$CX$25,TABLEROS!$CW$25)+1)*(TABLEROS!$BI$25*(TABLEROS!$J$25+2*CUANTIFICACION!$C$8)*INDEX(TABLAS!$E$52:$E$58,MATCH(TABLEROS!$BH$25,TABLAS!$B$52:$B$58,0))+IF(TABLEROS!$D$25="VOLADO",TABLEROS!$BQ$25*(TABLEROS!$J$25+TABLEROS!$CU$25/100+CUANTIFICACION!$C$8)*INDEX(TABLAS!$E$52:$E$58,MATCH(TABLEROS!$BP$25,TABLAS!$B$52:$B$58,0)),(TABLEROS!$J$25+2*CUANTIFICACION!$C$8)*INDEX(TABLAS!$E$52:$E$58,MATCH(TABLEROS!$BP$25,TABLAS!$B$52:$B$58,0))+MAX(TABLEROS!$BQ$25-1,0)*2*(TABLEROS!$CU$25/100+DATOS!$C$17/200+CUANTIFICACION!$C$8)*INDEX(TABLAS!$E$52:$E$58,MATCH(TABLEROS!$BP$25,TABLAS!$B$52:$B$58,0)))))</f>
        <v>53.9742</v>
      </c>
      <c r="H28" s="57">
        <f>IF(TABLEROS!$D$25="HUECO",0,(IF(TABLEROS!$M$25="X",TABLEROS!$CW$25,TABLEROS!$CX$25)+1)*(TABLEROS!$BY$25*(TABLEROS!$K$25+2*CUANTIFICACION!$C$8)*INDEX(TABLAS!$E$52:$E$58,MATCH(TABLEROS!$BX$25,TABLAS!$B$52:$B$58,0))+((TABLEROS!$K$25+2*CUANTIFICACION!$C$8)*INDEX(TABLAS!$E$52:$E$58,MATCH(TABLEROS!$CF$25,TABLAS!$B$52:$B$58,0))+MAX(TABLEROS!$CG$25-1,0)*2*(TABLEROS!$CV$25/100+DATOS!$C$17/200+CUANTIFICACION!$C$8)*INDEX(TABLAS!$E$52:$E$58,MATCH(TABLEROS!$CF$25,TABLAS!$B$52:$B$58,0)))))</f>
        <v>54.8688</v>
      </c>
      <c r="I28" s="76">
        <f>G28+H28</f>
        <v>108.843</v>
      </c>
      <c r="J28" s="44" t="inlineStr">
        <is>
          <t>—</t>
        </is>
      </c>
    </row>
    <row r="29">
      <c r="B29" s="37" t="inlineStr">
        <is>
          <t>F80019 N+3.00</t>
        </is>
      </c>
      <c r="C29" s="75" t="n">
        <v>14.5</v>
      </c>
      <c r="D29" s="56">
        <f>IF(TABLEROS!$D$26="HUECO",0,ROUND(TABLEROS!$CW$26*TABLEROS!$CX$26*C29/(TABLEROS!$F$26*TABLEROS!$G$26),0))</f>
        <v>20</v>
      </c>
      <c r="E29" s="36">
        <f>IF(TABLEROS!$D$26="HUECO",0,C29*DATOS!$C$15/100-D29*(DATOS!$C$11/100)^2*(DATOS!$C$12/100))</f>
        <v>2.185</v>
      </c>
      <c r="F29" s="43">
        <f>IF(TABLEROS!$D$26="HUECO",0,C29)</f>
        <v>14.5</v>
      </c>
      <c r="G29" s="57">
        <f>IF(TABLEROS!$D$26="HUECO",0,(IF(TABLEROS!$M$26="X",TABLEROS!$CX$26,TABLEROS!$CW$26)+1)*(TABLEROS!$BI$26*(TABLEROS!$J$26+2*CUANTIFICACION!$C$8)*INDEX(TABLAS!$E$52:$E$58,MATCH(TABLEROS!$BH$26,TABLAS!$B$52:$B$58,0))+IF(TABLEROS!$D$26="VOLADO",TABLEROS!$BQ$26*(TABLEROS!$J$26+TABLEROS!$CU$26/100+CUANTIFICACION!$C$8)*INDEX(TABLAS!$E$52:$E$58,MATCH(TABLEROS!$BP$26,TABLAS!$B$52:$B$58,0)),(TABLEROS!$J$26+2*CUANTIFICACION!$C$8)*INDEX(TABLAS!$E$52:$E$58,MATCH(TABLEROS!$BP$26,TABLAS!$B$52:$B$58,0))+MAX(TABLEROS!$BQ$26-1,0)*2*(TABLEROS!$CU$26/100+DATOS!$C$17/200+CUANTIFICACION!$C$8)*INDEX(TABLAS!$E$52:$E$58,MATCH(TABLEROS!$BP$26,TABLAS!$B$52:$B$58,0)))))</f>
        <v>319.05335</v>
      </c>
      <c r="H29" s="57">
        <f>IF(TABLEROS!$D$26="HUECO",0,(IF(TABLEROS!$M$26="X",TABLEROS!$CW$26,TABLEROS!$CX$26)+1)*(TABLEROS!$BY$26*(TABLEROS!$K$26+2*CUANTIFICACION!$C$8)*INDEX(TABLAS!$E$52:$E$58,MATCH(TABLEROS!$BX$26,TABLAS!$B$52:$B$58,0))+((TABLEROS!$K$26+2*CUANTIFICACION!$C$8)*INDEX(TABLAS!$E$52:$E$58,MATCH(TABLEROS!$CF$26,TABLAS!$B$52:$B$58,0))+MAX(TABLEROS!$CG$26-1,0)*2*(TABLEROS!$CV$26/100+DATOS!$C$17/200+CUANTIFICACION!$C$8)*INDEX(TABLAS!$E$52:$E$58,MATCH(TABLEROS!$CF$26,TABLAS!$B$52:$B$58,0)))))</f>
        <v>46.8174</v>
      </c>
      <c r="I29" s="76">
        <f>G29+H29</f>
        <v>365.87075</v>
      </c>
      <c r="J29" s="44" t="inlineStr">
        <is>
          <t>—</t>
        </is>
      </c>
    </row>
    <row r="30">
      <c r="B30" s="37" t="inlineStr">
        <is>
          <t>F80020 N+3.00</t>
        </is>
      </c>
      <c r="C30" s="75" t="n">
        <v>4.68</v>
      </c>
      <c r="D30" s="56">
        <f>IF(TABLEROS!$D$27="HUECO",0,ROUND(TABLEROS!$CW$27*TABLEROS!$CX$27*C30/(TABLEROS!$F$27*TABLEROS!$G$27),0))</f>
        <v>8</v>
      </c>
      <c r="E30" s="36">
        <f>IF(TABLEROS!$D$27="HUECO",0,C30*DATOS!$C$15/100-D30*(DATOS!$C$11/100)^2*(DATOS!$C$12/100))</f>
        <v>0.594</v>
      </c>
      <c r="F30" s="43">
        <f>IF(TABLEROS!$D$27="HUECO",0,C30)</f>
        <v>4.68</v>
      </c>
      <c r="G30" s="57">
        <f>IF(TABLEROS!$D$27="HUECO",0,(IF(TABLEROS!$M$27="X",TABLEROS!$CX$27,TABLEROS!$CW$27)+1)*(TABLEROS!$BI$27*(TABLEROS!$J$27+2*CUANTIFICACION!$C$8)*INDEX(TABLAS!$E$52:$E$58,MATCH(TABLEROS!$BH$27,TABLAS!$B$52:$B$58,0))+IF(TABLEROS!$D$27="VOLADO",TABLEROS!$BQ$27*(TABLEROS!$J$27+TABLEROS!$CU$27/100+CUANTIFICACION!$C$8)*INDEX(TABLAS!$E$52:$E$58,MATCH(TABLEROS!$BP$27,TABLAS!$B$52:$B$58,0)),(TABLEROS!$J$27+2*CUANTIFICACION!$C$8)*INDEX(TABLAS!$E$52:$E$58,MATCH(TABLEROS!$BP$27,TABLAS!$B$52:$B$58,0))+MAX(TABLEROS!$BQ$27-1,0)*2*(TABLEROS!$CU$27/100+DATOS!$C$17/200+CUANTIFICACION!$C$8)*INDEX(TABLAS!$E$52:$E$58,MATCH(TABLEROS!$BP$27,TABLAS!$B$52:$B$58,0)))))</f>
        <v>21.868</v>
      </c>
      <c r="H30" s="57">
        <f>IF(TABLEROS!$D$27="HUECO",0,(IF(TABLEROS!$M$27="X",TABLEROS!$CW$27,TABLEROS!$CX$27)+1)*(TABLEROS!$BY$27*(TABLEROS!$K$27+2*CUANTIFICACION!$C$8)*INDEX(TABLAS!$E$52:$E$58,MATCH(TABLEROS!$BX$27,TABLAS!$B$52:$B$58,0))+((TABLEROS!$K$27+2*CUANTIFICACION!$C$8)*INDEX(TABLAS!$E$52:$E$58,MATCH(TABLEROS!$CF$27,TABLAS!$B$52:$B$58,0))+MAX(TABLEROS!$CG$27-1,0)*2*(TABLEROS!$CV$27/100+DATOS!$C$17/200+CUANTIFICACION!$C$8)*INDEX(TABLAS!$E$52:$E$58,MATCH(TABLEROS!$CF$27,TABLAS!$B$52:$B$58,0)))))</f>
        <v>21.0231</v>
      </c>
      <c r="I30" s="76">
        <f>G30+H30</f>
        <v>42.8911</v>
      </c>
      <c r="J30" s="44" t="inlineStr">
        <is>
          <t>—</t>
        </is>
      </c>
    </row>
    <row r="31">
      <c r="B31" s="37" t="inlineStr">
        <is>
          <t>F80021 N+3.00</t>
        </is>
      </c>
      <c r="C31" s="75" t="n">
        <v>4.68</v>
      </c>
      <c r="D31" s="56">
        <f>IF(TABLEROS!$D$28="HUECO",0,ROUND(TABLEROS!$CW$28*TABLEROS!$CX$28*C31/(TABLEROS!$F$28*TABLEROS!$G$28),0))</f>
        <v>8</v>
      </c>
      <c r="E31" s="36">
        <f>IF(TABLEROS!$D$28="HUECO",0,C31*DATOS!$C$15/100-D31*(DATOS!$C$11/100)^2*(DATOS!$C$12/100))</f>
        <v>0.594</v>
      </c>
      <c r="F31" s="43">
        <f>IF(TABLEROS!$D$28="HUECO",0,C31)</f>
        <v>4.68</v>
      </c>
      <c r="G31" s="57">
        <f>IF(TABLEROS!$D$28="HUECO",0,(IF(TABLEROS!$M$28="X",TABLEROS!$CX$28,TABLEROS!$CW$28)+1)*(TABLEROS!$BI$28*(TABLEROS!$J$28+2*CUANTIFICACION!$C$8)*INDEX(TABLAS!$E$52:$E$58,MATCH(TABLEROS!$BH$28,TABLAS!$B$52:$B$58,0))+IF(TABLEROS!$D$28="VOLADO",TABLEROS!$BQ$28*(TABLEROS!$J$28+TABLEROS!$CU$28/100+CUANTIFICACION!$C$8)*INDEX(TABLAS!$E$52:$E$58,MATCH(TABLEROS!$BP$28,TABLAS!$B$52:$B$58,0)),(TABLEROS!$J$28+2*CUANTIFICACION!$C$8)*INDEX(TABLAS!$E$52:$E$58,MATCH(TABLEROS!$BP$28,TABLAS!$B$52:$B$58,0))+MAX(TABLEROS!$BQ$28-1,0)*2*(TABLEROS!$CU$28/100+DATOS!$C$17/200+CUANTIFICACION!$C$8)*INDEX(TABLAS!$E$52:$E$58,MATCH(TABLEROS!$BP$28,TABLAS!$B$52:$B$58,0)))))</f>
        <v>21.868</v>
      </c>
      <c r="H31" s="57">
        <f>IF(TABLEROS!$D$28="HUECO",0,(IF(TABLEROS!$M$28="X",TABLEROS!$CW$28,TABLEROS!$CX$28)+1)*(TABLEROS!$BY$28*(TABLEROS!$K$28+2*CUANTIFICACION!$C$8)*INDEX(TABLAS!$E$52:$E$58,MATCH(TABLEROS!$BX$28,TABLAS!$B$52:$B$58,0))+((TABLEROS!$K$28+2*CUANTIFICACION!$C$8)*INDEX(TABLAS!$E$52:$E$58,MATCH(TABLEROS!$CF$28,TABLAS!$B$52:$B$58,0))+MAX(TABLEROS!$CG$28-1,0)*2*(TABLEROS!$CV$28/100+DATOS!$C$17/200+CUANTIFICACION!$C$8)*INDEX(TABLAS!$E$52:$E$58,MATCH(TABLEROS!$CF$28,TABLAS!$B$52:$B$58,0)))))</f>
        <v>21.0231</v>
      </c>
      <c r="I31" s="76">
        <f>G31+H31</f>
        <v>42.8911</v>
      </c>
      <c r="J31" s="44" t="inlineStr">
        <is>
          <t>—</t>
        </is>
      </c>
    </row>
    <row r="32">
      <c r="B32" s="37" t="inlineStr">
        <is>
          <t>F2 N+6.00</t>
        </is>
      </c>
      <c r="C32" s="75" t="n">
        <v>4.34</v>
      </c>
      <c r="D32" s="56">
        <f>IF(TABLEROS!$D$29="HUECO",0,ROUND(TABLEROS!$CW$29*TABLEROS!$CX$29*C32/(TABLEROS!$F$29*TABLEROS!$G$29),0))</f>
        <v>6</v>
      </c>
      <c r="E32" s="36">
        <f>IF(TABLEROS!$D$29="HUECO",0,C32*DATOS!$C$15/100-D32*(DATOS!$C$11/100)^2*(DATOS!$C$12/100))</f>
        <v>0.653</v>
      </c>
      <c r="F32" s="43">
        <f>IF(TABLEROS!$D$29="HUECO",0,C32)</f>
        <v>4.34</v>
      </c>
      <c r="G32" s="57">
        <f>IF(TABLEROS!$D$29="HUECO",0,(IF(TABLEROS!$M$29="X",TABLEROS!$CX$29,TABLEROS!$CW$29)+1)*(TABLEROS!$BI$29*(TABLEROS!$J$29+2*CUANTIFICACION!$C$8)*INDEX(TABLAS!$E$52:$E$58,MATCH(TABLEROS!$BH$29,TABLAS!$B$52:$B$58,0))+IF(TABLEROS!$D$29="VOLADO",TABLEROS!$BQ$29*(TABLEROS!$J$29+TABLEROS!$CU$29/100+CUANTIFICACION!$C$8)*INDEX(TABLAS!$E$52:$E$58,MATCH(TABLEROS!$BP$29,TABLAS!$B$52:$B$58,0)),(TABLEROS!$J$29+2*CUANTIFICACION!$C$8)*INDEX(TABLAS!$E$52:$E$58,MATCH(TABLEROS!$BP$29,TABLAS!$B$52:$B$58,0))+MAX(TABLEROS!$BQ$29-1,0)*2*(TABLEROS!$CU$29/100+DATOS!$C$17/200+CUANTIFICACION!$C$8)*INDEX(TABLAS!$E$52:$E$58,MATCH(TABLEROS!$BP$29,TABLAS!$B$52:$B$58,0)))))</f>
        <v>22.293432</v>
      </c>
      <c r="H32" s="57">
        <f>IF(TABLEROS!$D$29="HUECO",0,(IF(TABLEROS!$M$29="X",TABLEROS!$CW$29,TABLEROS!$CX$29)+1)*(TABLEROS!$BY$29*(TABLEROS!$K$29+2*CUANTIFICACION!$C$8)*INDEX(TABLAS!$E$52:$E$58,MATCH(TABLEROS!$BX$29,TABLAS!$B$52:$B$58,0))+((TABLEROS!$K$29+2*CUANTIFICACION!$C$8)*INDEX(TABLAS!$E$52:$E$58,MATCH(TABLEROS!$CF$29,TABLAS!$B$52:$B$58,0))+MAX(TABLEROS!$CG$29-1,0)*2*(TABLEROS!$CV$29/100+DATOS!$C$17/200+CUANTIFICACION!$C$8)*INDEX(TABLAS!$E$52:$E$58,MATCH(TABLEROS!$CF$29,TABLAS!$B$52:$B$58,0)))))</f>
        <v>19.589752</v>
      </c>
      <c r="I32" s="76">
        <f>G32+H32</f>
        <v>41.883184</v>
      </c>
      <c r="J32" s="44" t="inlineStr">
        <is>
          <t>—</t>
        </is>
      </c>
    </row>
    <row r="33">
      <c r="B33" s="37" t="inlineStr">
        <is>
          <t>F80010 N+6.00</t>
        </is>
      </c>
      <c r="C33" s="75" t="n">
        <v>6.25</v>
      </c>
      <c r="D33" s="56">
        <f>IF(TABLEROS!$D$30="HUECO",0,ROUND(TABLEROS!$CW$30*TABLEROS!$CX$30*C33/(TABLEROS!$F$30*TABLEROS!$G$30),0))</f>
        <v>8</v>
      </c>
      <c r="E33" s="36">
        <f>IF(TABLEROS!$D$30="HUECO",0,C33*DATOS!$C$15/100-D33*(DATOS!$C$11/100)^2*(DATOS!$C$12/100))</f>
        <v>0.9865</v>
      </c>
      <c r="F33" s="43">
        <f>IF(TABLEROS!$D$30="HUECO",0,C33)</f>
        <v>6.25</v>
      </c>
      <c r="G33" s="57">
        <f>IF(TABLEROS!$D$30="HUECO",0,(IF(TABLEROS!$M$30="X",TABLEROS!$CX$30,TABLEROS!$CW$30)+1)*(TABLEROS!$BI$30*(TABLEROS!$J$30+2*CUANTIFICACION!$C$8)*INDEX(TABLAS!$E$52:$E$58,MATCH(TABLEROS!$BH$30,TABLAS!$B$52:$B$58,0))+IF(TABLEROS!$D$30="VOLADO",TABLEROS!$BQ$30*(TABLEROS!$J$30+TABLEROS!$CU$30/100+CUANTIFICACION!$C$8)*INDEX(TABLAS!$E$52:$E$58,MATCH(TABLEROS!$BP$30,TABLAS!$B$52:$B$58,0)),(TABLEROS!$J$30+2*CUANTIFICACION!$C$8)*INDEX(TABLAS!$E$52:$E$58,MATCH(TABLEROS!$BP$30,TABLAS!$B$52:$B$58,0))+MAX(TABLEROS!$BQ$30-1,0)*2*(TABLEROS!$CU$30/100+DATOS!$C$17/200+CUANTIFICACION!$C$8)*INDEX(TABLAS!$E$52:$E$58,MATCH(TABLEROS!$BP$30,TABLAS!$B$52:$B$58,0)))))</f>
        <v>24.1045</v>
      </c>
      <c r="H33" s="57">
        <f>IF(TABLEROS!$D$30="HUECO",0,(IF(TABLEROS!$M$30="X",TABLEROS!$CW$30,TABLEROS!$CX$30)+1)*(TABLEROS!$BY$30*(TABLEROS!$K$30+2*CUANTIFICACION!$C$8)*INDEX(TABLAS!$E$52:$E$58,MATCH(TABLEROS!$BX$30,TABLAS!$B$52:$B$58,0))+((TABLEROS!$K$30+2*CUANTIFICACION!$C$8)*INDEX(TABLAS!$E$52:$E$58,MATCH(TABLEROS!$CF$30,TABLAS!$B$52:$B$58,0))+MAX(TABLEROS!$CG$30-1,0)*2*(TABLEROS!$CV$30/100+DATOS!$C$17/200+CUANTIFICACION!$C$8)*INDEX(TABLAS!$E$52:$E$58,MATCH(TABLEROS!$CF$30,TABLAS!$B$52:$B$58,0)))))</f>
        <v>24.017028</v>
      </c>
      <c r="I33" s="76">
        <f>G33+H33</f>
        <v>48.121528</v>
      </c>
      <c r="J33" s="44" t="inlineStr">
        <is>
          <t>—</t>
        </is>
      </c>
    </row>
    <row r="34">
      <c r="B34" s="37" t="inlineStr">
        <is>
          <t>F80023 N+6.00</t>
        </is>
      </c>
      <c r="C34" s="75" t="n">
        <v>4.83</v>
      </c>
      <c r="D34" s="56">
        <f>IF(TABLEROS!$D$31="HUECO",0,ROUND(TABLEROS!$CW$31*TABLEROS!$CX$31*C34/(TABLEROS!$F$31*TABLEROS!$G$31),0))</f>
        <v>8</v>
      </c>
      <c r="E34" s="36">
        <f>IF(TABLEROS!$D$31="HUECO",0,C34*DATOS!$C$15/100-D34*(DATOS!$C$11/100)^2*(DATOS!$C$12/100))</f>
        <v>0.6315</v>
      </c>
      <c r="F34" s="43">
        <f>IF(TABLEROS!$D$31="HUECO",0,C34)</f>
        <v>4.83</v>
      </c>
      <c r="G34" s="57">
        <f>IF(TABLEROS!$D$31="HUECO",0,(IF(TABLEROS!$M$31="X",TABLEROS!$CX$31,TABLEROS!$CW$31)+1)*(TABLEROS!$BI$31*(TABLEROS!$J$31+2*CUANTIFICACION!$C$8)*INDEX(TABLAS!$E$52:$E$58,MATCH(TABLEROS!$BH$31,TABLAS!$B$52:$B$58,0))+IF(TABLEROS!$D$31="VOLADO",TABLEROS!$BQ$31*(TABLEROS!$J$31+TABLEROS!$CU$31/100+CUANTIFICACION!$C$8)*INDEX(TABLAS!$E$52:$E$58,MATCH(TABLEROS!$BP$31,TABLAS!$B$52:$B$58,0)),(TABLEROS!$J$31+2*CUANTIFICACION!$C$8)*INDEX(TABLAS!$E$52:$E$58,MATCH(TABLEROS!$BP$31,TABLAS!$B$52:$B$58,0))+MAX(TABLEROS!$BQ$31-1,0)*2*(TABLEROS!$CU$31/100+DATOS!$C$17/200+CUANTIFICACION!$C$8)*INDEX(TABLAS!$E$52:$E$58,MATCH(TABLEROS!$BP$31,TABLAS!$B$52:$B$58,0)))))</f>
        <v>21.82824</v>
      </c>
      <c r="H34" s="57">
        <f>IF(TABLEROS!$D$31="HUECO",0,(IF(TABLEROS!$M$31="X",TABLEROS!$CW$31,TABLEROS!$CX$31)+1)*(TABLEROS!$BY$31*(TABLEROS!$K$31+2*CUANTIFICACION!$C$8)*INDEX(TABLAS!$E$52:$E$58,MATCH(TABLEROS!$BX$31,TABLAS!$B$52:$B$58,0))+((TABLEROS!$K$31+2*CUANTIFICACION!$C$8)*INDEX(TABLAS!$E$52:$E$58,MATCH(TABLEROS!$CF$31,TABLAS!$B$52:$B$58,0))+MAX(TABLEROS!$CG$31-1,0)*2*(TABLEROS!$CV$31/100+DATOS!$C$17/200+CUANTIFICACION!$C$8)*INDEX(TABLAS!$E$52:$E$58,MATCH(TABLEROS!$CF$31,TABLAS!$B$52:$B$58,0)))))</f>
        <v>21.6195</v>
      </c>
      <c r="I34" s="76">
        <f>G34+H34</f>
        <v>43.44774</v>
      </c>
      <c r="J34" s="44" t="inlineStr">
        <is>
          <t>—</t>
        </is>
      </c>
    </row>
    <row r="35">
      <c r="B35" s="37" t="inlineStr">
        <is>
          <t>F80024 N+6.00</t>
        </is>
      </c>
      <c r="C35" s="75" t="n">
        <v>21.42</v>
      </c>
      <c r="D35" s="56">
        <f>IF(TABLEROS!$D$32="HUECO",0,ROUND(TABLEROS!$CW$32*TABLEROS!$CX$32*C35/(TABLEROS!$F$32*TABLEROS!$G$32),0))</f>
        <v>42</v>
      </c>
      <c r="E35" s="36">
        <f>IF(TABLEROS!$D$32="HUECO",0,C35*DATOS!$C$15/100-D35*(DATOS!$C$11/100)^2*(DATOS!$C$12/100))</f>
        <v>2.331</v>
      </c>
      <c r="F35" s="43">
        <f>IF(TABLEROS!$D$32="HUECO",0,C35)</f>
        <v>21.42</v>
      </c>
      <c r="G35" s="57">
        <f>IF(TABLEROS!$D$32="HUECO",0,(IF(TABLEROS!$M$32="X",TABLEROS!$CX$32,TABLEROS!$CW$32)+1)*(TABLEROS!$BI$32*(TABLEROS!$J$32+2*CUANTIFICACION!$C$8)*INDEX(TABLAS!$E$52:$E$58,MATCH(TABLEROS!$BH$32,TABLAS!$B$52:$B$58,0))+IF(TABLEROS!$D$32="VOLADO",TABLEROS!$BQ$32*(TABLEROS!$J$32+TABLEROS!$CU$32/100+CUANTIFICACION!$C$8)*INDEX(TABLAS!$E$52:$E$58,MATCH(TABLEROS!$BP$32,TABLAS!$B$52:$B$58,0)),(TABLEROS!$J$32+2*CUANTIFICACION!$C$8)*INDEX(TABLAS!$E$52:$E$58,MATCH(TABLEROS!$BP$32,TABLAS!$B$52:$B$58,0))+MAX(TABLEROS!$BQ$32-1,0)*2*(TABLEROS!$CU$32/100+DATOS!$C$17/200+CUANTIFICACION!$C$8)*INDEX(TABLAS!$E$52:$E$58,MATCH(TABLEROS!$BP$32,TABLAS!$B$52:$B$58,0)))))</f>
        <v>78.359008</v>
      </c>
      <c r="H35" s="57">
        <f>IF(TABLEROS!$D$32="HUECO",0,(IF(TABLEROS!$M$32="X",TABLEROS!$CW$32,TABLEROS!$CX$32)+1)*(TABLEROS!$BY$32*(TABLEROS!$K$32+2*CUANTIFICACION!$C$8)*INDEX(TABLAS!$E$52:$E$58,MATCH(TABLEROS!$BX$32,TABLAS!$B$52:$B$58,0))+((TABLEROS!$K$32+2*CUANTIFICACION!$C$8)*INDEX(TABLAS!$E$52:$E$58,MATCH(TABLEROS!$CF$32,TABLAS!$B$52:$B$58,0))+MAX(TABLEROS!$CG$32-1,0)*2*(TABLEROS!$CV$32/100+DATOS!$C$17/200+CUANTIFICACION!$C$8)*INDEX(TABLAS!$E$52:$E$58,MATCH(TABLEROS!$CF$32,TABLAS!$B$52:$B$58,0)))))</f>
        <v>77.2338</v>
      </c>
      <c r="I35" s="76">
        <f>G35+H35</f>
        <v>155.592808</v>
      </c>
      <c r="J35" s="44" t="inlineStr">
        <is>
          <t>—</t>
        </is>
      </c>
    </row>
    <row r="36">
      <c r="B36" s="37" t="inlineStr">
        <is>
          <t>F80025 N+6.00</t>
        </is>
      </c>
      <c r="C36" s="75" t="n">
        <v>20.21</v>
      </c>
      <c r="D36" s="56">
        <f>IF(TABLEROS!$D$33="HUECO",0,ROUND(TABLEROS!$CW$33*TABLEROS!$CX$33*C36/(TABLEROS!$F$33*TABLEROS!$G$33),0))</f>
        <v>32</v>
      </c>
      <c r="E36" s="36">
        <f>IF(TABLEROS!$D$33="HUECO",0,C36*DATOS!$C$15/100-D36*(DATOS!$C$11/100)^2*(DATOS!$C$12/100))</f>
        <v>2.7485</v>
      </c>
      <c r="F36" s="43">
        <f>IF(TABLEROS!$D$33="HUECO",0,C36)</f>
        <v>20.21</v>
      </c>
      <c r="G36" s="57">
        <f>IF(TABLEROS!$D$33="HUECO",0,(IF(TABLEROS!$M$33="X",TABLEROS!$CX$33,TABLEROS!$CW$33)+1)*(TABLEROS!$BI$33*(TABLEROS!$J$33+2*CUANTIFICACION!$C$8)*INDEX(TABLAS!$E$52:$E$58,MATCH(TABLEROS!$BH$33,TABLAS!$B$52:$B$58,0))+IF(TABLEROS!$D$33="VOLADO",TABLEROS!$BQ$33*(TABLEROS!$J$33+TABLEROS!$CU$33/100+CUANTIFICACION!$C$8)*INDEX(TABLAS!$E$52:$E$58,MATCH(TABLEROS!$BP$33,TABLAS!$B$52:$B$58,0)),(TABLEROS!$J$33+2*CUANTIFICACION!$C$8)*INDEX(TABLAS!$E$52:$E$58,MATCH(TABLEROS!$BP$33,TABLAS!$B$52:$B$58,0))+MAX(TABLEROS!$BQ$33-1,0)*2*(TABLEROS!$CU$33/100+DATOS!$C$17/200+CUANTIFICACION!$C$8)*INDEX(TABLAS!$E$52:$E$58,MATCH(TABLEROS!$BP$33,TABLAS!$B$52:$B$58,0)))))</f>
        <v>92.297592</v>
      </c>
      <c r="H36" s="57">
        <f>IF(TABLEROS!$D$33="HUECO",0,(IF(TABLEROS!$M$33="X",TABLEROS!$CW$33,TABLEROS!$CX$33)+1)*(TABLEROS!$BY$33*(TABLEROS!$K$33+2*CUANTIFICACION!$C$8)*INDEX(TABLAS!$E$52:$E$58,MATCH(TABLEROS!$BX$33,TABLAS!$B$52:$B$58,0))+((TABLEROS!$K$33+2*CUANTIFICACION!$C$8)*INDEX(TABLAS!$E$52:$E$58,MATCH(TABLEROS!$CF$33,TABLAS!$B$52:$B$58,0))+MAX(TABLEROS!$CG$33-1,0)*2*(TABLEROS!$CV$33/100+DATOS!$C$17/200+CUANTIFICACION!$C$8)*INDEX(TABLAS!$E$52:$E$58,MATCH(TABLEROS!$CF$33,TABLAS!$B$52:$B$58,0)))))</f>
        <v>64.57024</v>
      </c>
      <c r="I36" s="76">
        <f>G36+H36</f>
        <v>156.867832</v>
      </c>
      <c r="J36" s="44" t="inlineStr">
        <is>
          <t>—</t>
        </is>
      </c>
    </row>
    <row r="37">
      <c r="B37" s="37" t="inlineStr">
        <is>
          <t>F80026 N+6.00</t>
        </is>
      </c>
      <c r="C37" s="75" t="n">
        <v>2.58</v>
      </c>
      <c r="D37" s="56">
        <f>IF(TABLEROS!$D$34="HUECO",0,ROUND(TABLEROS!$CW$34*TABLEROS!$CX$34*C37/(TABLEROS!$F$34*TABLEROS!$G$34),0))</f>
        <v>4</v>
      </c>
      <c r="E37" s="36">
        <f>IF(TABLEROS!$D$34="HUECO",0,C37*DATOS!$C$15/100-D37*(DATOS!$C$11/100)^2*(DATOS!$C$12/100))</f>
        <v>0.357</v>
      </c>
      <c r="F37" s="43">
        <f>IF(TABLEROS!$D$34="HUECO",0,C37)</f>
        <v>2.58</v>
      </c>
      <c r="G37" s="57">
        <f>IF(TABLEROS!$D$34="HUECO",0,(IF(TABLEROS!$M$34="X",TABLEROS!$CX$34,TABLEROS!$CW$34)+1)*(TABLEROS!$BI$34*(TABLEROS!$J$34+2*CUANTIFICACION!$C$8)*INDEX(TABLAS!$E$52:$E$58,MATCH(TABLEROS!$BH$34,TABLAS!$B$52:$B$58,0))+IF(TABLEROS!$D$34="VOLADO",TABLEROS!$BQ$34*(TABLEROS!$J$34+TABLEROS!$CU$34/100+CUANTIFICACION!$C$8)*INDEX(TABLAS!$E$52:$E$58,MATCH(TABLEROS!$BP$34,TABLAS!$B$52:$B$58,0)),(TABLEROS!$J$34+2*CUANTIFICACION!$C$8)*INDEX(TABLAS!$E$52:$E$58,MATCH(TABLEROS!$BP$34,TABLAS!$B$52:$B$58,0))+MAX(TABLEROS!$BQ$34-1,0)*2*(TABLEROS!$CU$34/100+DATOS!$C$17/200+CUANTIFICACION!$C$8)*INDEX(TABLAS!$E$52:$E$58,MATCH(TABLEROS!$BP$34,TABLAS!$B$52:$B$58,0)))))</f>
        <v>14.42294</v>
      </c>
      <c r="H37" s="57">
        <f>IF(TABLEROS!$D$34="HUECO",0,(IF(TABLEROS!$M$34="X",TABLEROS!$CW$34,TABLEROS!$CX$34)+1)*(TABLEROS!$BY$34*(TABLEROS!$K$34+2*CUANTIFICACION!$C$8)*INDEX(TABLAS!$E$52:$E$58,MATCH(TABLEROS!$BX$34,TABLAS!$B$52:$B$58,0))+((TABLEROS!$K$34+2*CUANTIFICACION!$C$8)*INDEX(TABLAS!$E$52:$E$58,MATCH(TABLEROS!$CF$34,TABLAS!$B$52:$B$58,0))+MAX(TABLEROS!$CG$34-1,0)*2*(TABLEROS!$CV$34/100+DATOS!$C$17/200+CUANTIFICACION!$C$8)*INDEX(TABLAS!$E$52:$E$58,MATCH(TABLEROS!$CF$34,TABLAS!$B$52:$B$58,0)))))</f>
        <v>14.424928</v>
      </c>
      <c r="I37" s="76">
        <f>G37+H37</f>
        <v>28.847868</v>
      </c>
      <c r="J37" s="44" t="inlineStr">
        <is>
          <t>—</t>
        </is>
      </c>
    </row>
    <row r="38">
      <c r="B38" s="37" t="inlineStr">
        <is>
          <t>F80027 N+6.00</t>
        </is>
      </c>
      <c r="C38" s="75" t="n">
        <v>3.49</v>
      </c>
      <c r="D38" s="56">
        <f>IF(TABLEROS!$D$35="HUECO",0,ROUND(TABLEROS!$CW$35*TABLEROS!$CX$35*C38/(TABLEROS!$F$35*TABLEROS!$G$35),0))</f>
        <v>4</v>
      </c>
      <c r="E38" s="36">
        <f>IF(TABLEROS!$D$35="HUECO",0,C38*DATOS!$C$15/100-D38*(DATOS!$C$11/100)^2*(DATOS!$C$12/100))</f>
        <v>0.5845</v>
      </c>
      <c r="F38" s="43">
        <f>IF(TABLEROS!$D$35="HUECO",0,C38)</f>
        <v>3.49</v>
      </c>
      <c r="G38" s="57">
        <f>IF(TABLEROS!$D$35="HUECO",0,(IF(TABLEROS!$M$35="X",TABLEROS!$CX$35,TABLEROS!$CW$35)+1)*(TABLEROS!$BI$35*(TABLEROS!$J$35+2*CUANTIFICACION!$C$8)*INDEX(TABLAS!$E$52:$E$58,MATCH(TABLEROS!$BH$35,TABLAS!$B$52:$B$58,0))+IF(TABLEROS!$D$35="VOLADO",TABLEROS!$BQ$35*(TABLEROS!$J$35+TABLEROS!$CU$35/100+CUANTIFICACION!$C$8)*INDEX(TABLAS!$E$52:$E$58,MATCH(TABLEROS!$BP$35,TABLAS!$B$52:$B$58,0)),(TABLEROS!$J$35+2*CUANTIFICACION!$C$8)*INDEX(TABLAS!$E$52:$E$58,MATCH(TABLEROS!$BP$35,TABLAS!$B$52:$B$58,0))+MAX(TABLEROS!$BQ$35-1,0)*2*(TABLEROS!$CU$35/100+DATOS!$C$17/200+CUANTIFICACION!$C$8)*INDEX(TABLAS!$E$52:$E$58,MATCH(TABLEROS!$BP$35,TABLAS!$B$52:$B$58,0)))))</f>
        <v>17.40494</v>
      </c>
      <c r="H38" s="57">
        <f>IF(TABLEROS!$D$35="HUECO",0,(IF(TABLEROS!$M$35="X",TABLEROS!$CW$35,TABLEROS!$CX$35)+1)*(TABLEROS!$BY$35*(TABLEROS!$K$35+2*CUANTIFICACION!$C$8)*INDEX(TABLAS!$E$52:$E$58,MATCH(TABLEROS!$BX$35,TABLAS!$B$52:$B$58,0))+((TABLEROS!$K$35+2*CUANTIFICACION!$C$8)*INDEX(TABLAS!$E$52:$E$58,MATCH(TABLEROS!$CF$35,TABLAS!$B$52:$B$58,0))+MAX(TABLEROS!$CG$35-1,0)*2*(TABLEROS!$CV$35/100+DATOS!$C$17/200+CUANTIFICACION!$C$8)*INDEX(TABLAS!$E$52:$E$58,MATCH(TABLEROS!$CF$35,TABLAS!$B$52:$B$58,0)))))</f>
        <v>14.428904</v>
      </c>
      <c r="I38" s="76">
        <f>G38+H38</f>
        <v>31.833844</v>
      </c>
      <c r="J38" s="44" t="inlineStr">
        <is>
          <t>—</t>
        </is>
      </c>
    </row>
    <row r="39">
      <c r="B39" s="37" t="inlineStr">
        <is>
          <t>F80028 N+6.00</t>
        </is>
      </c>
      <c r="C39" s="75" t="n">
        <v>0.6</v>
      </c>
      <c r="D39" s="56">
        <f>IF(TABLEROS!$D$36="HUECO",0,ROUND(TABLEROS!$CW$36*TABLEROS!$CX$36*C39/(TABLEROS!$F$36*TABLEROS!$G$36),0))</f>
        <v>0</v>
      </c>
      <c r="E39" s="36">
        <f>IF(TABLEROS!$D$36="HUECO",0,C39*DATOS!$C$15/100-D39*(DATOS!$C$11/100)^2*(DATOS!$C$12/100))</f>
        <v>0</v>
      </c>
      <c r="F39" s="43">
        <f>IF(TABLEROS!$D$36="HUECO",0,C39)</f>
        <v>0</v>
      </c>
      <c r="G39" s="57">
        <f>IF(TABLEROS!$D$36="HUECO",0,(IF(TABLEROS!$M$36="X",TABLEROS!$CX$36,TABLEROS!$CW$36)+1)*(TABLEROS!$BI$36*(TABLEROS!$J$36+2*CUANTIFICACION!$C$8)*INDEX(TABLAS!$E$52:$E$58,MATCH(TABLEROS!$BH$36,TABLAS!$B$52:$B$58,0))+IF(TABLEROS!$D$36="VOLADO",TABLEROS!$BQ$36*(TABLEROS!$J$36+TABLEROS!$CU$36/100+CUANTIFICACION!$C$8)*INDEX(TABLAS!$E$52:$E$58,MATCH(TABLEROS!$BP$36,TABLAS!$B$52:$B$58,0)),(TABLEROS!$J$36+2*CUANTIFICACION!$C$8)*INDEX(TABLAS!$E$52:$E$58,MATCH(TABLEROS!$BP$36,TABLAS!$B$52:$B$58,0))+MAX(TABLEROS!$BQ$36-1,0)*2*(TABLEROS!$CU$36/100+DATOS!$C$17/200+CUANTIFICACION!$C$8)*INDEX(TABLAS!$E$52:$E$58,MATCH(TABLEROS!$BP$36,TABLAS!$B$52:$B$58,0)))))</f>
        <v>0</v>
      </c>
      <c r="H39" s="57">
        <f>IF(TABLEROS!$D$36="HUECO",0,(IF(TABLEROS!$M$36="X",TABLEROS!$CW$36,TABLEROS!$CX$36)+1)*(TABLEROS!$BY$36*(TABLEROS!$K$36+2*CUANTIFICACION!$C$8)*INDEX(TABLAS!$E$52:$E$58,MATCH(TABLEROS!$BX$36,TABLAS!$B$52:$B$58,0))+((TABLEROS!$K$36+2*CUANTIFICACION!$C$8)*INDEX(TABLAS!$E$52:$E$58,MATCH(TABLEROS!$CF$36,TABLAS!$B$52:$B$58,0))+MAX(TABLEROS!$CG$36-1,0)*2*(TABLEROS!$CV$36/100+DATOS!$C$17/200+CUANTIFICACION!$C$8)*INDEX(TABLAS!$E$52:$E$58,MATCH(TABLEROS!$CF$36,TABLAS!$B$52:$B$58,0)))))</f>
        <v>0</v>
      </c>
      <c r="I39" s="76">
        <f>G39+H39</f>
        <v>0</v>
      </c>
      <c r="J39" s="44" t="inlineStr">
        <is>
          <t>—</t>
        </is>
      </c>
    </row>
    <row r="40">
      <c r="B40" s="37" t="inlineStr">
        <is>
          <t>F80029 N+6.00</t>
        </is>
      </c>
      <c r="C40" s="75" t="n">
        <v>0.53</v>
      </c>
      <c r="D40" s="56">
        <f>IF(TABLEROS!$D$37="HUECO",0,ROUND(TABLEROS!$CW$37*TABLEROS!$CX$37*C40/(TABLEROS!$F$37*TABLEROS!$G$37),0))</f>
        <v>0</v>
      </c>
      <c r="E40" s="36">
        <f>IF(TABLEROS!$D$37="HUECO",0,C40*DATOS!$C$15/100-D40*(DATOS!$C$11/100)^2*(DATOS!$C$12/100))</f>
        <v>0</v>
      </c>
      <c r="F40" s="43">
        <f>IF(TABLEROS!$D$37="HUECO",0,C40)</f>
        <v>0</v>
      </c>
      <c r="G40" s="57">
        <f>IF(TABLEROS!$D$37="HUECO",0,(IF(TABLEROS!$M$37="X",TABLEROS!$CX$37,TABLEROS!$CW$37)+1)*(TABLEROS!$BI$37*(TABLEROS!$J$37+2*CUANTIFICACION!$C$8)*INDEX(TABLAS!$E$52:$E$58,MATCH(TABLEROS!$BH$37,TABLAS!$B$52:$B$58,0))+IF(TABLEROS!$D$37="VOLADO",TABLEROS!$BQ$37*(TABLEROS!$J$37+TABLEROS!$CU$37/100+CUANTIFICACION!$C$8)*INDEX(TABLAS!$E$52:$E$58,MATCH(TABLEROS!$BP$37,TABLAS!$B$52:$B$58,0)),(TABLEROS!$J$37+2*CUANTIFICACION!$C$8)*INDEX(TABLAS!$E$52:$E$58,MATCH(TABLEROS!$BP$37,TABLAS!$B$52:$B$58,0))+MAX(TABLEROS!$BQ$37-1,0)*2*(TABLEROS!$CU$37/100+DATOS!$C$17/200+CUANTIFICACION!$C$8)*INDEX(TABLAS!$E$52:$E$58,MATCH(TABLEROS!$BP$37,TABLAS!$B$52:$B$58,0)))))</f>
        <v>0</v>
      </c>
      <c r="H40" s="57">
        <f>IF(TABLEROS!$D$37="HUECO",0,(IF(TABLEROS!$M$37="X",TABLEROS!$CW$37,TABLEROS!$CX$37)+1)*(TABLEROS!$BY$37*(TABLEROS!$K$37+2*CUANTIFICACION!$C$8)*INDEX(TABLAS!$E$52:$E$58,MATCH(TABLEROS!$BX$37,TABLAS!$B$52:$B$58,0))+((TABLEROS!$K$37+2*CUANTIFICACION!$C$8)*INDEX(TABLAS!$E$52:$E$58,MATCH(TABLEROS!$CF$37,TABLAS!$B$52:$B$58,0))+MAX(TABLEROS!$CG$37-1,0)*2*(TABLEROS!$CV$37/100+DATOS!$C$17/200+CUANTIFICACION!$C$8)*INDEX(TABLAS!$E$52:$E$58,MATCH(TABLEROS!$CF$37,TABLAS!$B$52:$B$58,0)))))</f>
        <v>0</v>
      </c>
      <c r="I40" s="76">
        <f>G40+H40</f>
        <v>0</v>
      </c>
      <c r="J40" s="44" t="inlineStr">
        <is>
          <t>—</t>
        </is>
      </c>
    </row>
    <row r="41">
      <c r="B41" s="37" t="inlineStr">
        <is>
          <t>F80030 N+6.00</t>
        </is>
      </c>
      <c r="C41" s="75" t="n">
        <v>17.7</v>
      </c>
      <c r="D41" s="56">
        <f>IF(TABLEROS!$D$38="HUECO",0,ROUND(TABLEROS!$CW$38*TABLEROS!$CX$38*C41/(TABLEROS!$F$38*TABLEROS!$G$38),0))</f>
        <v>30</v>
      </c>
      <c r="E41" s="36">
        <f>IF(TABLEROS!$D$38="HUECO",0,C41*DATOS!$C$15/100-D41*(DATOS!$C$11/100)^2*(DATOS!$C$12/100))</f>
        <v>2.265</v>
      </c>
      <c r="F41" s="43">
        <f>IF(TABLEROS!$D$38="HUECO",0,C41)</f>
        <v>17.7</v>
      </c>
      <c r="G41" s="57">
        <f>IF(TABLEROS!$D$38="HUECO",0,(IF(TABLEROS!$M$38="X",TABLEROS!$CX$38,TABLEROS!$CW$38)+1)*(TABLEROS!$BI$38*(TABLEROS!$J$38+2*CUANTIFICACION!$C$8)*INDEX(TABLAS!$E$52:$E$58,MATCH(TABLEROS!$BH$38,TABLAS!$B$52:$B$58,0))+IF(TABLEROS!$D$38="VOLADO",TABLEROS!$BQ$38*(TABLEROS!$J$38+TABLEROS!$CU$38/100+CUANTIFICACION!$C$8)*INDEX(TABLAS!$E$52:$E$58,MATCH(TABLEROS!$BP$38,TABLAS!$B$52:$B$58,0)),(TABLEROS!$J$38+2*CUANTIFICACION!$C$8)*INDEX(TABLAS!$E$52:$E$58,MATCH(TABLEROS!$BP$38,TABLAS!$B$52:$B$58,0))+MAX(TABLEROS!$BQ$38-1,0)*2*(TABLEROS!$CU$38/100+DATOS!$C$17/200+CUANTIFICACION!$C$8)*INDEX(TABLAS!$E$52:$E$58,MATCH(TABLEROS!$BP$38,TABLAS!$B$52:$B$58,0)))))</f>
        <v>64.0136</v>
      </c>
      <c r="H41" s="57">
        <f>IF(TABLEROS!$D$38="HUECO",0,(IF(TABLEROS!$M$38="X",TABLEROS!$CW$38,TABLEROS!$CX$38)+1)*(TABLEROS!$BY$38*(TABLEROS!$K$38+2*CUANTIFICACION!$C$8)*INDEX(TABLAS!$E$52:$E$58,MATCH(TABLEROS!$BX$38,TABLAS!$B$52:$B$58,0))+((TABLEROS!$K$38+2*CUANTIFICACION!$C$8)*INDEX(TABLAS!$E$52:$E$58,MATCH(TABLEROS!$CF$38,TABLAS!$B$52:$B$58,0))+MAX(TABLEROS!$CG$38-1,0)*2*(TABLEROS!$CV$38/100+DATOS!$C$17/200+CUANTIFICACION!$C$8)*INDEX(TABLAS!$E$52:$E$58,MATCH(TABLEROS!$CF$38,TABLAS!$B$52:$B$58,0)))))</f>
        <v>59.950128</v>
      </c>
      <c r="I41" s="76">
        <f>G41+H41</f>
        <v>123.963728</v>
      </c>
      <c r="J41" s="44" t="inlineStr">
        <is>
          <t>—</t>
        </is>
      </c>
    </row>
    <row r="42">
      <c r="B42" s="37" t="inlineStr">
        <is>
          <t>F80031 N+6.00</t>
        </is>
      </c>
      <c r="C42" s="75" t="n">
        <v>17.7</v>
      </c>
      <c r="D42" s="56">
        <f>IF(TABLEROS!$D$39="HUECO",0,ROUND(TABLEROS!$CW$39*TABLEROS!$CX$39*C42/(TABLEROS!$F$39*TABLEROS!$G$39),0))</f>
        <v>30</v>
      </c>
      <c r="E42" s="36">
        <f>IF(TABLEROS!$D$39="HUECO",0,C42*DATOS!$C$15/100-D42*(DATOS!$C$11/100)^2*(DATOS!$C$12/100))</f>
        <v>2.265</v>
      </c>
      <c r="F42" s="43">
        <f>IF(TABLEROS!$D$39="HUECO",0,C42)</f>
        <v>17.7</v>
      </c>
      <c r="G42" s="57">
        <f>IF(TABLEROS!$D$39="HUECO",0,(IF(TABLEROS!$M$39="X",TABLEROS!$CX$39,TABLEROS!$CW$39)+1)*(TABLEROS!$BI$39*(TABLEROS!$J$39+2*CUANTIFICACION!$C$8)*INDEX(TABLAS!$E$52:$E$58,MATCH(TABLEROS!$BH$39,TABLAS!$B$52:$B$58,0))+IF(TABLEROS!$D$39="VOLADO",TABLEROS!$BQ$39*(TABLEROS!$J$39+TABLEROS!$CU$39/100+CUANTIFICACION!$C$8)*INDEX(TABLAS!$E$52:$E$58,MATCH(TABLEROS!$BP$39,TABLAS!$B$52:$B$58,0)),(TABLEROS!$J$39+2*CUANTIFICACION!$C$8)*INDEX(TABLAS!$E$52:$E$58,MATCH(TABLEROS!$BP$39,TABLAS!$B$52:$B$58,0))+MAX(TABLEROS!$BQ$39-1,0)*2*(TABLEROS!$CU$39/100+DATOS!$C$17/200+CUANTIFICACION!$C$8)*INDEX(TABLAS!$E$52:$E$58,MATCH(TABLEROS!$BP$39,TABLAS!$B$52:$B$58,0)))))</f>
        <v>64.0136</v>
      </c>
      <c r="H42" s="57">
        <f>IF(TABLEROS!$D$39="HUECO",0,(IF(TABLEROS!$M$39="X",TABLEROS!$CW$39,TABLEROS!$CX$39)+1)*(TABLEROS!$BY$39*(TABLEROS!$K$39+2*CUANTIFICACION!$C$8)*INDEX(TABLAS!$E$52:$E$58,MATCH(TABLEROS!$BX$39,TABLAS!$B$52:$B$58,0))+((TABLEROS!$K$39+2*CUANTIFICACION!$C$8)*INDEX(TABLAS!$E$52:$E$58,MATCH(TABLEROS!$CF$39,TABLAS!$B$52:$B$58,0))+MAX(TABLEROS!$CG$39-1,0)*2*(TABLEROS!$CV$39/100+DATOS!$C$17/200+CUANTIFICACION!$C$8)*INDEX(TABLAS!$E$52:$E$58,MATCH(TABLEROS!$CF$39,TABLAS!$B$52:$B$58,0)))))</f>
        <v>59.926272</v>
      </c>
      <c r="I42" s="76">
        <f>G42+H42</f>
        <v>123.939872</v>
      </c>
      <c r="J42" s="44" t="inlineStr">
        <is>
          <t>—</t>
        </is>
      </c>
    </row>
    <row r="43">
      <c r="B43" s="37" t="inlineStr">
        <is>
          <t>F80032 N+6.00</t>
        </is>
      </c>
      <c r="C43" s="75" t="n">
        <v>18.96</v>
      </c>
      <c r="D43" s="56">
        <f>IF(TABLEROS!$D$40="HUECO",0,ROUND(TABLEROS!$CW$40*TABLEROS!$CX$40*C43/(TABLEROS!$F$40*TABLEROS!$G$40),0))</f>
        <v>36</v>
      </c>
      <c r="E43" s="36">
        <f>IF(TABLEROS!$D$40="HUECO",0,C43*DATOS!$C$15/100-D43*(DATOS!$C$11/100)^2*(DATOS!$C$12/100))</f>
        <v>2.148</v>
      </c>
      <c r="F43" s="43">
        <f>IF(TABLEROS!$D$40="HUECO",0,C43)</f>
        <v>18.96</v>
      </c>
      <c r="G43" s="57">
        <f>IF(TABLEROS!$D$40="HUECO",0,(IF(TABLEROS!$M$40="X",TABLEROS!$CX$40,TABLEROS!$CW$40)+1)*(TABLEROS!$BI$40*(TABLEROS!$J$40+2*CUANTIFICACION!$C$8)*INDEX(TABLAS!$E$52:$E$58,MATCH(TABLEROS!$BH$40,TABLAS!$B$52:$B$58,0))+IF(TABLEROS!$D$40="VOLADO",TABLEROS!$BQ$40*(TABLEROS!$J$40+TABLEROS!$CU$40/100+CUANTIFICACION!$C$8)*INDEX(TABLAS!$E$52:$E$58,MATCH(TABLEROS!$BP$40,TABLAS!$B$52:$B$58,0)),(TABLEROS!$J$40+2*CUANTIFICACION!$C$8)*INDEX(TABLAS!$E$52:$E$58,MATCH(TABLEROS!$BP$40,TABLAS!$B$52:$B$58,0))+MAX(TABLEROS!$BQ$40-1,0)*2*(TABLEROS!$CU$40/100+DATOS!$C$17/200+CUANTIFICACION!$C$8)*INDEX(TABLAS!$E$52:$E$58,MATCH(TABLEROS!$BP$40,TABLAS!$B$52:$B$58,0)))))</f>
        <v>87.70062</v>
      </c>
      <c r="H43" s="57">
        <f>IF(TABLEROS!$D$40="HUECO",0,(IF(TABLEROS!$M$40="X",TABLEROS!$CW$40,TABLEROS!$CX$40)+1)*(TABLEROS!$BY$40*(TABLEROS!$K$40+2*CUANTIFICACION!$C$8)*INDEX(TABLAS!$E$52:$E$58,MATCH(TABLEROS!$BX$40,TABLAS!$B$52:$B$58,0))+((TABLEROS!$K$40+2*CUANTIFICACION!$C$8)*INDEX(TABLAS!$E$52:$E$58,MATCH(TABLEROS!$CF$40,TABLAS!$B$52:$B$58,0))+MAX(TABLEROS!$CG$40-1,0)*2*(TABLEROS!$CV$40/100+DATOS!$C$17/200+CUANTIFICACION!$C$8)*INDEX(TABLAS!$E$52:$E$58,MATCH(TABLEROS!$CF$40,TABLAS!$B$52:$B$58,0)))))</f>
        <v>40.0085</v>
      </c>
      <c r="I43" s="76">
        <f>G43+H43</f>
        <v>127.70912</v>
      </c>
      <c r="J43" s="44" t="inlineStr">
        <is>
          <t>Rectángulo representativo</t>
        </is>
      </c>
    </row>
    <row r="44">
      <c r="B44" s="34" t="inlineStr">
        <is>
          <t>TOTAL</t>
        </is>
      </c>
      <c r="C44" s="62">
        <f>SUM(C12:C43)</f>
        <v>270.98</v>
      </c>
      <c r="D44" s="59">
        <f>SUM(D12:D43)</f>
        <v>438</v>
      </c>
      <c r="E44" s="62">
        <f>SUM(E12:E43)</f>
        <v>35.9265</v>
      </c>
      <c r="F44" s="76">
        <f>SUM(F12:F43)</f>
        <v>269.85</v>
      </c>
      <c r="G44" s="59">
        <f>SUM(G12:G43)</f>
        <v>1505.944008</v>
      </c>
      <c r="H44" s="59">
        <f>SUM(H12:H43)</f>
        <v>973.61306</v>
      </c>
      <c r="I44" s="59">
        <f>SUM(I12:I43)</f>
        <v>2479.557068</v>
      </c>
    </row>
    <row r="46" ht="21" customHeight="1">
      <c r="B46" s="5" t="inlineStr">
        <is>
          <t>3. NERVADURAS PRINCIPALES</t>
        </is>
      </c>
    </row>
    <row r="47">
      <c r="B47" s="8" t="inlineStr">
        <is>
          <t>Tramo</t>
        </is>
      </c>
      <c r="C47" s="8" t="inlineStr">
        <is>
          <t>L (m)</t>
        </is>
      </c>
      <c r="D47" s="8" t="inlineStr">
        <is>
          <t>b × h (cm)</t>
        </is>
      </c>
      <c r="E47" s="8" t="inlineStr">
        <is>
          <t>Concreto extra (m³)</t>
        </is>
      </c>
      <c r="F47" s="8" t="inlineStr">
        <is>
          <t>Long. (kg)</t>
        </is>
      </c>
      <c r="G47" s="8" t="inlineStr">
        <is>
          <t>Estribos (kg)</t>
        </is>
      </c>
      <c r="H47" s="8" t="inlineStr">
        <is>
          <t>Total (kg)</t>
        </is>
      </c>
      <c r="I47" s="8" t="inlineStr"/>
      <c r="J47" s="8" t="inlineStr">
        <is>
          <t>Nota</t>
        </is>
      </c>
    </row>
    <row r="48">
      <c r="B48" s="41" t="inlineStr">
        <is>
          <t>NP-01</t>
        </is>
      </c>
      <c r="C48" s="43">
        <f>PRINCIPALES!$G$9</f>
        <v>4.327</v>
      </c>
      <c r="D48" s="41" t="str">
        <f>PRINCIPALES!$N$9&amp;" × "&amp;PRINCIPALES!$O$9</f>
        <v>20 × 55</v>
      </c>
      <c r="E48" s="36">
        <f>PRINCIPALES!$G$9*(PRINCIPALES!$N$9/100*PRINCIPALES!$O$9/100-PRINCIPALES!$N$9/100*DATOS!$C$69)</f>
        <v>0.386780816326531</v>
      </c>
      <c r="F48" s="57">
        <f>(PRINCIPALES!$AU$9*INDEX(TABLAS!$E$52:$E$58,MATCH(MAX(PRINCIPALES!$AS$9,2),TABLAS!$B$52:$B$58,0))+PRINCIPALES!$BA$9*INDEX(TABLAS!$E$52:$E$58,MATCH(MAX(PRINCIPALES!$AZ$9,2),TABLAS!$B$52:$B$58,0)))*(PRINCIPALES!$G$9+2*CUANTIFICACION!$C$8)</f>
        <v>29.384628</v>
      </c>
      <c r="G48" s="57">
        <f>IF(AND(PRINCIPALES!$BF$9&gt;0,PRINCIPALES!$BG$9&gt;0),(2*ROUNDUP(2*PRINCIPALES!$O$9/PRINCIPALES!$BG$9,0)+ROUNDUP(MAX(0,PRINCIPALES!$G$9*100-4*PRINCIPALES!$O$9)/PRINCIPALES!$BF$9,0)+1)*(2*((PRINCIPALES!$N$9-2*DATOS!$C$22)+(PRINCIPALES!$O$9-2*DATOS!$C$22))+16)/100*INDEX(TABLAS!$E$52:$E$58,MATCH(DATOS!$C$113,TABLAS!$B$52:$B$58,0)),0)</f>
        <v>25.46804</v>
      </c>
      <c r="H48" s="76">
        <f>F48+G48</f>
        <v>54.852668</v>
      </c>
      <c r="I48" s="44" t="str">
        <f>PRINCIPALES!$BZ$9</f>
        <v>CUMPLE</v>
      </c>
    </row>
    <row r="49">
      <c r="B49" s="41" t="inlineStr">
        <is>
          <t>NP-02</t>
        </is>
      </c>
      <c r="C49" s="43">
        <f>PRINCIPALES!$G$10</f>
        <v>4.327</v>
      </c>
      <c r="D49" s="41" t="str">
        <f>PRINCIPALES!$N$10&amp;" × "&amp;PRINCIPALES!$O$10</f>
        <v>20 × 60</v>
      </c>
      <c r="E49" s="36">
        <f>PRINCIPALES!$G$10*(PRINCIPALES!$N$10/100*PRINCIPALES!$O$10/100-PRINCIPALES!$N$10/100*DATOS!$C$69)</f>
        <v>0.430050816326531</v>
      </c>
      <c r="F49" s="57">
        <f>(PRINCIPALES!$AU$10*INDEX(TABLAS!$E$52:$E$58,MATCH(MAX(PRINCIPALES!$AS$10,2),TABLAS!$B$52:$B$58,0))+PRINCIPALES!$BA$10*INDEX(TABLAS!$E$52:$E$58,MATCH(MAX(PRINCIPALES!$AZ$10,2),TABLAS!$B$52:$B$58,0)))*(PRINCIPALES!$G$10+2*CUANTIFICACION!$C$8)</f>
        <v>37.632426</v>
      </c>
      <c r="G49" s="57">
        <f>IF(AND(PRINCIPALES!$BF$10&gt;0,PRINCIPALES!$BG$10&gt;0),(2*ROUNDUP(2*PRINCIPALES!$O$10/PRINCIPALES!$BG$10,0)+ROUNDUP(MAX(0,PRINCIPALES!$G$10*100-4*PRINCIPALES!$O$10)/PRINCIPALES!$BF$10,0)+1)*(2*((PRINCIPALES!$N$10-2*DATOS!$C$22)+(PRINCIPALES!$O$10-2*DATOS!$C$22))+16)/100*INDEX(TABLAS!$E$52:$E$58,MATCH(DATOS!$C$113,TABLAS!$B$52:$B$58,0)),0)</f>
        <v>18.51408</v>
      </c>
      <c r="H49" s="76">
        <f>F49+G49</f>
        <v>56.146506</v>
      </c>
      <c r="I49" s="44" t="str">
        <f>PRINCIPALES!$BZ$10</f>
        <v>CUMPLE</v>
      </c>
    </row>
    <row r="50">
      <c r="B50" s="41" t="inlineStr">
        <is>
          <t>NP-03</t>
        </is>
      </c>
      <c r="C50" s="43">
        <f>PRINCIPALES!$G$11</f>
        <v>1.596</v>
      </c>
      <c r="D50" s="41" t="str">
        <f>PRINCIPALES!$N$11&amp;" × "&amp;PRINCIPALES!$O$11</f>
        <v>15 × 25</v>
      </c>
      <c r="E50" s="36">
        <f>PRINCIPALES!$G$11*(PRINCIPALES!$N$11/100*PRINCIPALES!$O$11/100-PRINCIPALES!$N$11/100*DATOS!$C$69)</f>
        <v>0.0351771428571429</v>
      </c>
      <c r="F50" s="57">
        <f>(PRINCIPALES!$AU$11*INDEX(TABLAS!$E$52:$E$58,MATCH(MAX(PRINCIPALES!$AS$11,2),TABLAS!$B$52:$B$58,0))+PRINCIPALES!$BA$11*INDEX(TABLAS!$E$52:$E$58,MATCH(MAX(PRINCIPALES!$AZ$11,2),TABLAS!$B$52:$B$58,0)))*(PRINCIPALES!$G$11+2*CUANTIFICACION!$C$8)</f>
        <v>8.731296</v>
      </c>
      <c r="G50" s="57">
        <f>IF(AND(PRINCIPALES!$BF$11&gt;0,PRINCIPALES!$BG$11&gt;0),(2*ROUNDUP(2*PRINCIPALES!$O$11/PRINCIPALES!$BG$11,0)+ROUNDUP(MAX(0,PRINCIPALES!$G$11*100-4*PRINCIPALES!$O$11)/PRINCIPALES!$BF$11,0)+1)*(2*((PRINCIPALES!$N$11-2*DATOS!$C$22)+(PRINCIPALES!$O$11-2*DATOS!$C$22))+16)/100*INDEX(TABLAS!$E$52:$E$58,MATCH(DATOS!$C$113,TABLAS!$B$52:$B$58,0)),0)</f>
        <v>7.1552</v>
      </c>
      <c r="H50" s="76">
        <f>F50+G50</f>
        <v>15.886496</v>
      </c>
      <c r="I50" s="44" t="str">
        <f>PRINCIPALES!$BZ$11</f>
        <v>CUMPLE</v>
      </c>
    </row>
    <row r="51">
      <c r="B51" s="41" t="inlineStr">
        <is>
          <t>NP-04</t>
        </is>
      </c>
      <c r="C51" s="43">
        <f>PRINCIPALES!$G$12</f>
        <v>1.402</v>
      </c>
      <c r="D51" s="41" t="str">
        <f>PRINCIPALES!$N$12&amp;" × "&amp;PRINCIPALES!$O$12</f>
        <v>15 × 25</v>
      </c>
      <c r="E51" s="36">
        <f>PRINCIPALES!$G$12*(PRINCIPALES!$N$12/100*PRINCIPALES!$O$12/100-PRINCIPALES!$N$12/100*DATOS!$C$69)</f>
        <v>0.0309012244897959</v>
      </c>
      <c r="F51" s="57">
        <f>(PRINCIPALES!$AU$12*INDEX(TABLAS!$E$52:$E$58,MATCH(MAX(PRINCIPALES!$AS$12,2),TABLAS!$B$52:$B$58,0))+PRINCIPALES!$BA$12*INDEX(TABLAS!$E$52:$E$58,MATCH(MAX(PRINCIPALES!$AZ$12,2),TABLAS!$B$52:$B$58,0)))*(PRINCIPALES!$G$12+2*CUANTIFICACION!$C$8)</f>
        <v>7.959952</v>
      </c>
      <c r="G51" s="57">
        <f>IF(AND(PRINCIPALES!$BF$12&gt;0,PRINCIPALES!$BG$12&gt;0),(2*ROUNDUP(2*PRINCIPALES!$O$12/PRINCIPALES!$BG$12,0)+ROUNDUP(MAX(0,PRINCIPALES!$G$12*100-4*PRINCIPALES!$O$12)/PRINCIPALES!$BF$12,0)+1)*(2*((PRINCIPALES!$N$12-2*DATOS!$C$22)+(PRINCIPALES!$O$12-2*DATOS!$C$22))+16)/100*INDEX(TABLAS!$E$52:$E$58,MATCH(DATOS!$C$113,TABLAS!$B$52:$B$58,0)),0)</f>
        <v>6.43968</v>
      </c>
      <c r="H51" s="76">
        <f>F51+G51</f>
        <v>14.399632</v>
      </c>
      <c r="I51" s="44" t="str">
        <f>PRINCIPALES!$BZ$12</f>
        <v>CUMPLE</v>
      </c>
    </row>
    <row r="52">
      <c r="B52" s="41" t="inlineStr">
        <is>
          <t>NP-05</t>
        </is>
      </c>
      <c r="C52" s="43">
        <f>PRINCIPALES!$G$13</f>
        <v>0.463</v>
      </c>
      <c r="D52" s="41" t="str">
        <f>PRINCIPALES!$N$13&amp;" × "&amp;PRINCIPALES!$O$13</f>
        <v>15 × 25</v>
      </c>
      <c r="E52" s="36">
        <f>PRINCIPALES!$G$13*(PRINCIPALES!$N$13/100*PRINCIPALES!$O$13/100-PRINCIPALES!$N$13/100*DATOS!$C$69)</f>
        <v>0.0102048979591837</v>
      </c>
      <c r="F52" s="57">
        <f>(PRINCIPALES!$AU$13*INDEX(TABLAS!$E$52:$E$58,MATCH(MAX(PRINCIPALES!$AS$13,2),TABLAS!$B$52:$B$58,0))+PRINCIPALES!$BA$13*INDEX(TABLAS!$E$52:$E$58,MATCH(MAX(PRINCIPALES!$AZ$13,2),TABLAS!$B$52:$B$58,0)))*(PRINCIPALES!$G$13+2*CUANTIFICACION!$C$8)</f>
        <v>4.226488</v>
      </c>
      <c r="G52" s="57">
        <f>IF(AND(PRINCIPALES!$BF$13&gt;0,PRINCIPALES!$BG$13&gt;0),(2*ROUNDUP(2*PRINCIPALES!$O$13/PRINCIPALES!$BG$13,0)+ROUNDUP(MAX(0,PRINCIPALES!$G$13*100-4*PRINCIPALES!$O$13)/PRINCIPALES!$BF$13,0)+1)*(2*((PRINCIPALES!$N$13-2*DATOS!$C$22)+(PRINCIPALES!$O$13-2*DATOS!$C$22))+16)/100*INDEX(TABLAS!$E$52:$E$58,MATCH(DATOS!$C$113,TABLAS!$B$52:$B$58,0)),0)</f>
        <v>4.65088</v>
      </c>
      <c r="H52" s="76">
        <f>F52+G52</f>
        <v>8.877368</v>
      </c>
      <c r="I52" s="44" t="str">
        <f>PRINCIPALES!$BZ$13</f>
        <v>CUMPLE (en VOLADO)</v>
      </c>
    </row>
    <row r="53">
      <c r="B53" s="41" t="inlineStr">
        <is>
          <t>NP-06</t>
        </is>
      </c>
      <c r="C53" s="43">
        <f>PRINCIPALES!$G$14</f>
        <v>4.327</v>
      </c>
      <c r="D53" s="41" t="str">
        <f>PRINCIPALES!$N$14&amp;" × "&amp;PRINCIPALES!$O$14</f>
        <v>20 × 60</v>
      </c>
      <c r="E53" s="36">
        <f>PRINCIPALES!$G$14*(PRINCIPALES!$N$14/100*PRINCIPALES!$O$14/100-PRINCIPALES!$N$14/100*DATOS!$C$69)</f>
        <v>0.430050816326531</v>
      </c>
      <c r="F53" s="57">
        <f>(PRINCIPALES!$AU$14*INDEX(TABLAS!$E$52:$E$58,MATCH(MAX(PRINCIPALES!$AS$14,2),TABLAS!$B$52:$B$58,0))+PRINCIPALES!$BA$14*INDEX(TABLAS!$E$52:$E$58,MATCH(MAX(PRINCIPALES!$AZ$14,2),TABLAS!$B$52:$B$58,0)))*(PRINCIPALES!$G$14+2*CUANTIFICACION!$C$8)</f>
        <v>29.384628</v>
      </c>
      <c r="G53" s="57">
        <f>IF(AND(PRINCIPALES!$BF$14&gt;0,PRINCIPALES!$BG$14&gt;0),(2*ROUNDUP(2*PRINCIPALES!$O$14/PRINCIPALES!$BG$14,0)+ROUNDUP(MAX(0,PRINCIPALES!$G$14*100-4*PRINCIPALES!$O$14)/PRINCIPALES!$BF$14,0)+1)*(2*((PRINCIPALES!$N$14-2*DATOS!$C$22)+(PRINCIPALES!$O$14-2*DATOS!$C$22))+16)/100*INDEX(TABLAS!$E$52:$E$58,MATCH(DATOS!$C$113,TABLAS!$B$52:$B$58,0)),0)</f>
        <v>18.51408</v>
      </c>
      <c r="H53" s="76">
        <f>F53+G53</f>
        <v>47.898708</v>
      </c>
      <c r="I53" s="44" t="str">
        <f>PRINCIPALES!$BZ$14</f>
        <v>CUMPLE</v>
      </c>
    </row>
    <row r="54">
      <c r="B54" s="41" t="inlineStr">
        <is>
          <t>NP-07</t>
        </is>
      </c>
      <c r="C54" s="43">
        <f>PRINCIPALES!$G$15</f>
        <v>1.909</v>
      </c>
      <c r="D54" s="41" t="str">
        <f>PRINCIPALES!$N$15&amp;" × "&amp;PRINCIPALES!$O$15</f>
        <v>15 × 30</v>
      </c>
      <c r="E54" s="36">
        <f>PRINCIPALES!$G$15*(PRINCIPALES!$N$15/100*PRINCIPALES!$O$15/100-PRINCIPALES!$N$15/100*DATOS!$C$69)</f>
        <v>0.0563934183673469</v>
      </c>
      <c r="F54" s="57">
        <f>(PRINCIPALES!$AU$15*INDEX(TABLAS!$E$52:$E$58,MATCH(MAX(PRINCIPALES!$AS$15,2),TABLAS!$B$52:$B$58,0))+PRINCIPALES!$BA$15*INDEX(TABLAS!$E$52:$E$58,MATCH(MAX(PRINCIPALES!$AZ$15,2),TABLAS!$B$52:$B$58,0)))*(PRINCIPALES!$G$15+2*CUANTIFICACION!$C$8)</f>
        <v>9.975784</v>
      </c>
      <c r="G54" s="57">
        <f>IF(AND(PRINCIPALES!$BF$15&gt;0,PRINCIPALES!$BG$15&gt;0),(2*ROUNDUP(2*PRINCIPALES!$O$15/PRINCIPALES!$BG$15,0)+ROUNDUP(MAX(0,PRINCIPALES!$G$15*100-4*PRINCIPALES!$O$15)/PRINCIPALES!$BF$15,0)+1)*(2*((PRINCIPALES!$N$15-2*DATOS!$C$22)+(PRINCIPALES!$O$15-2*DATOS!$C$22))+16)/100*INDEX(TABLAS!$E$52:$E$58,MATCH(DATOS!$C$113,TABLAS!$B$52:$B$58,0)),0)</f>
        <v>7.03222</v>
      </c>
      <c r="H54" s="76">
        <f>F54+G54</f>
        <v>17.008004</v>
      </c>
      <c r="I54" s="44" t="str">
        <f>PRINCIPALES!$BZ$15</f>
        <v>CUMPLE (en VOLADO)</v>
      </c>
    </row>
    <row r="55">
      <c r="B55" s="41" t="inlineStr">
        <is>
          <t>NP-08</t>
        </is>
      </c>
      <c r="C55" s="43">
        <f>PRINCIPALES!$G$16</f>
        <v>2.722</v>
      </c>
      <c r="D55" s="41" t="str">
        <f>PRINCIPALES!$N$16&amp;" × "&amp;PRINCIPALES!$O$16</f>
        <v>20 × 40</v>
      </c>
      <c r="E55" s="36">
        <f>PRINCIPALES!$G$16*(PRINCIPALES!$N$16/100*PRINCIPALES!$O$16/100-PRINCIPALES!$N$16/100*DATOS!$C$69)</f>
        <v>0.161653469387755</v>
      </c>
      <c r="F55" s="57">
        <f>(PRINCIPALES!$AU$16*INDEX(TABLAS!$E$52:$E$58,MATCH(MAX(PRINCIPALES!$AS$16,2),TABLAS!$B$52:$B$58,0))+PRINCIPALES!$BA$16*INDEX(TABLAS!$E$52:$E$58,MATCH(MAX(PRINCIPALES!$AZ$16,2),TABLAS!$B$52:$B$58,0)))*(PRINCIPALES!$G$16+2*CUANTIFICACION!$C$8)</f>
        <v>25.373436</v>
      </c>
      <c r="G55" s="57">
        <f>IF(AND(PRINCIPALES!$BF$16&gt;0,PRINCIPALES!$BG$16&gt;0),(2*ROUNDUP(2*PRINCIPALES!$O$16/PRINCIPALES!$BG$16,0)+ROUNDUP(MAX(0,PRINCIPALES!$G$16*100-4*PRINCIPALES!$O$16)/PRINCIPALES!$BF$16,0)+1)*(2*((PRINCIPALES!$N$16-2*DATOS!$C$22)+(PRINCIPALES!$O$16-2*DATOS!$C$22))+16)/100*INDEX(TABLAS!$E$52:$E$58,MATCH(DATOS!$C$113,TABLAS!$B$52:$B$58,0)),0)</f>
        <v>10.46448</v>
      </c>
      <c r="H55" s="76">
        <f>F55+G55</f>
        <v>35.837916</v>
      </c>
      <c r="I55" s="44" t="str">
        <f>PRINCIPALES!$BZ$16</f>
        <v>CUMPLE</v>
      </c>
    </row>
    <row r="56">
      <c r="B56" s="41" t="inlineStr">
        <is>
          <t>NP-09</t>
        </is>
      </c>
      <c r="C56" s="43">
        <f>PRINCIPALES!$G$17</f>
        <v>2</v>
      </c>
      <c r="D56" s="41" t="str">
        <f>PRINCIPALES!$N$17&amp;" × "&amp;PRINCIPALES!$O$17</f>
        <v>15 × 25</v>
      </c>
      <c r="E56" s="36">
        <f>PRINCIPALES!$G$17*(PRINCIPALES!$N$17/100*PRINCIPALES!$O$17/100-PRINCIPALES!$N$17/100*DATOS!$C$69)</f>
        <v>0.0440816326530612</v>
      </c>
      <c r="F56" s="57">
        <f>(PRINCIPALES!$AU$17*INDEX(TABLAS!$E$52:$E$58,MATCH(MAX(PRINCIPALES!$AS$17,2),TABLAS!$B$52:$B$58,0))+PRINCIPALES!$BA$17*INDEX(TABLAS!$E$52:$E$58,MATCH(MAX(PRINCIPALES!$AZ$17,2),TABLAS!$B$52:$B$58,0)))*(PRINCIPALES!$G$17+2*CUANTIFICACION!$C$8)</f>
        <v>0</v>
      </c>
      <c r="G56" s="57">
        <f>IF(AND(PRINCIPALES!$BF$17&gt;0,PRINCIPALES!$BG$17&gt;0),(2*ROUNDUP(2*PRINCIPALES!$O$17/PRINCIPALES!$BG$17,0)+ROUNDUP(MAX(0,PRINCIPALES!$G$17*100-4*PRINCIPALES!$O$17)/PRINCIPALES!$BF$17,0)+1)*(2*((PRINCIPALES!$N$17-2*DATOS!$C$22)+(PRINCIPALES!$O$17-2*DATOS!$C$22))+16)/100*INDEX(TABLAS!$E$52:$E$58,MATCH(DATOS!$C$113,TABLAS!$B$52:$B$58,0)),0)</f>
        <v>0</v>
      </c>
      <c r="H56" s="76">
        <f>F56+G56</f>
        <v>0</v>
      </c>
      <c r="I56" s="44" t="str">
        <f>PRINCIPALES!$BZ$17</f>
        <v>BORDE DE VOLADO — armado de orilla</v>
      </c>
    </row>
    <row r="57">
      <c r="B57" s="41" t="inlineStr">
        <is>
          <t>NP-10</t>
        </is>
      </c>
      <c r="C57" s="43">
        <f>PRINCIPALES!$G$18</f>
        <v>4.327</v>
      </c>
      <c r="D57" s="41" t="str">
        <f>PRINCIPALES!$N$18&amp;" × "&amp;PRINCIPALES!$O$18</f>
        <v>20 × 60</v>
      </c>
      <c r="E57" s="36">
        <f>PRINCIPALES!$G$18*(PRINCIPALES!$N$18/100*PRINCIPALES!$O$18/100-PRINCIPALES!$N$18/100*DATOS!$C$69)</f>
        <v>0.430050816326531</v>
      </c>
      <c r="F57" s="57">
        <f>(PRINCIPALES!$AU$18*INDEX(TABLAS!$E$52:$E$58,MATCH(MAX(PRINCIPALES!$AS$18,2),TABLAS!$B$52:$B$58,0))+PRINCIPALES!$BA$18*INDEX(TABLAS!$E$52:$E$58,MATCH(MAX(PRINCIPALES!$AZ$18,2),TABLAS!$B$52:$B$58,0)))*(PRINCIPALES!$G$18+2*CUANTIFICACION!$C$8)</f>
        <v>37.632426</v>
      </c>
      <c r="G57" s="57">
        <f>IF(AND(PRINCIPALES!$BF$18&gt;0,PRINCIPALES!$BG$18&gt;0),(2*ROUNDUP(2*PRINCIPALES!$O$18/PRINCIPALES!$BG$18,0)+ROUNDUP(MAX(0,PRINCIPALES!$G$18*100-4*PRINCIPALES!$O$18)/PRINCIPALES!$BF$18,0)+1)*(2*((PRINCIPALES!$N$18-2*DATOS!$C$22)+(PRINCIPALES!$O$18-2*DATOS!$C$22))+16)/100*INDEX(TABLAS!$E$52:$E$58,MATCH(DATOS!$C$113,TABLAS!$B$52:$B$58,0)),0)</f>
        <v>18.51408</v>
      </c>
      <c r="H57" s="76">
        <f>F57+G57</f>
        <v>56.146506</v>
      </c>
      <c r="I57" s="44" t="str">
        <f>PRINCIPALES!$BZ$18</f>
        <v>CUMPLE</v>
      </c>
    </row>
    <row r="58">
      <c r="B58" s="41" t="inlineStr">
        <is>
          <t>NP-11</t>
        </is>
      </c>
      <c r="C58" s="43">
        <f>PRINCIPALES!$G$19</f>
        <v>3.409</v>
      </c>
      <c r="D58" s="41" t="str">
        <f>PRINCIPALES!$N$19&amp;" × "&amp;PRINCIPALES!$O$19</f>
        <v>15 × 35</v>
      </c>
      <c r="E58" s="36">
        <f>PRINCIPALES!$G$19*(PRINCIPALES!$N$19/100*PRINCIPALES!$O$19/100-PRINCIPALES!$N$19/100*DATOS!$C$69)</f>
        <v>0.126272142857143</v>
      </c>
      <c r="F58" s="57">
        <f>(PRINCIPALES!$AU$19*INDEX(TABLAS!$E$52:$E$58,MATCH(MAX(PRINCIPALES!$AS$19,2),TABLAS!$B$52:$B$58,0))+PRINCIPALES!$BA$19*INDEX(TABLAS!$E$52:$E$58,MATCH(MAX(PRINCIPALES!$AZ$19,2),TABLAS!$B$52:$B$58,0)))*(PRINCIPALES!$G$19+2*CUANTIFICACION!$C$8)</f>
        <v>15.939784</v>
      </c>
      <c r="G58" s="57">
        <f>IF(AND(PRINCIPALES!$BF$19&gt;0,PRINCIPALES!$BG$19&gt;0),(2*ROUNDUP(2*PRINCIPALES!$O$19/PRINCIPALES!$BG$19,0)+ROUNDUP(MAX(0,PRINCIPALES!$G$19*100-4*PRINCIPALES!$O$19)/PRINCIPALES!$BF$19,0)+1)*(2*((PRINCIPALES!$N$19-2*DATOS!$C$22)+(PRINCIPALES!$O$19-2*DATOS!$C$22))+16)/100*INDEX(TABLAS!$E$52:$E$58,MATCH(DATOS!$C$113,TABLAS!$B$52:$B$58,0)),0)</f>
        <v>11.739</v>
      </c>
      <c r="H58" s="76">
        <f>F58+G58</f>
        <v>27.678784</v>
      </c>
      <c r="I58" s="44" t="str">
        <f>PRINCIPALES!$BZ$19</f>
        <v>CUMPLE</v>
      </c>
    </row>
    <row r="59">
      <c r="B59" s="41" t="inlineStr">
        <is>
          <t>NP-12</t>
        </is>
      </c>
      <c r="C59" s="43">
        <f>PRINCIPALES!$G$20</f>
        <v>3.427</v>
      </c>
      <c r="D59" s="41" t="str">
        <f>PRINCIPALES!$N$20&amp;" × "&amp;PRINCIPALES!$O$20</f>
        <v>20 × 45</v>
      </c>
      <c r="E59" s="36">
        <f>PRINCIPALES!$G$20*(PRINCIPALES!$N$20/100*PRINCIPALES!$O$20/100-PRINCIPALES!$N$20/100*DATOS!$C$69)</f>
        <v>0.237791836734694</v>
      </c>
      <c r="F59" s="57">
        <f>(PRINCIPALES!$AU$20*INDEX(TABLAS!$E$52:$E$58,MATCH(MAX(PRINCIPALES!$AS$20,2),TABLAS!$B$52:$B$58,0))+PRINCIPALES!$BA$20*INDEX(TABLAS!$E$52:$E$58,MATCH(MAX(PRINCIPALES!$AZ$20,2),TABLAS!$B$52:$B$58,0)))*(PRINCIPALES!$G$20+2*CUANTIFICACION!$C$8)</f>
        <v>30.758226</v>
      </c>
      <c r="G59" s="57">
        <f>IF(AND(PRINCIPALES!$BF$20&gt;0,PRINCIPALES!$BG$20&gt;0),(2*ROUNDUP(2*PRINCIPALES!$O$20/PRINCIPALES!$BG$20,0)+ROUNDUP(MAX(0,PRINCIPALES!$G$20*100-4*PRINCIPALES!$O$20)/PRINCIPALES!$BF$20,0)+1)*(2*((PRINCIPALES!$N$20-2*DATOS!$C$22)+(PRINCIPALES!$O$20-2*DATOS!$C$22))+16)/100*INDEX(TABLAS!$E$52:$E$58,MATCH(DATOS!$C$113,TABLAS!$B$52:$B$58,0)),0)</f>
        <v>12.7452</v>
      </c>
      <c r="H59" s="76">
        <f>F59+G59</f>
        <v>43.503426</v>
      </c>
      <c r="I59" s="44" t="str">
        <f>PRINCIPALES!$BZ$20</f>
        <v>CUMPLE</v>
      </c>
    </row>
    <row r="60">
      <c r="B60" s="41" t="inlineStr">
        <is>
          <t>NP-13</t>
        </is>
      </c>
      <c r="C60" s="43">
        <f>PRINCIPALES!$G$21</f>
        <v>3.428</v>
      </c>
      <c r="D60" s="41" t="str">
        <f>PRINCIPALES!$N$21&amp;" × "&amp;PRINCIPALES!$O$21</f>
        <v>20 × 45</v>
      </c>
      <c r="E60" s="36">
        <f>PRINCIPALES!$G$21*(PRINCIPALES!$N$21/100*PRINCIPALES!$O$21/100-PRINCIPALES!$N$21/100*DATOS!$C$69)</f>
        <v>0.237861224489796</v>
      </c>
      <c r="F60" s="57">
        <f>(PRINCIPALES!$AU$21*INDEX(TABLAS!$E$52:$E$58,MATCH(MAX(PRINCIPALES!$AS$21,2),TABLAS!$B$52:$B$58,0))+PRINCIPALES!$BA$21*INDEX(TABLAS!$E$52:$E$58,MATCH(MAX(PRINCIPALES!$AZ$21,2),TABLAS!$B$52:$B$58,0)))*(PRINCIPALES!$G$21+2*CUANTIFICACION!$C$8)</f>
        <v>30.765864</v>
      </c>
      <c r="G60" s="57">
        <f>IF(AND(PRINCIPALES!$BF$21&gt;0,PRINCIPALES!$BG$21&gt;0),(2*ROUNDUP(2*PRINCIPALES!$O$21/PRINCIPALES!$BG$21,0)+ROUNDUP(MAX(0,PRINCIPALES!$G$21*100-4*PRINCIPALES!$O$21)/PRINCIPALES!$BF$21,0)+1)*(2*((PRINCIPALES!$N$21-2*DATOS!$C$22)+(PRINCIPALES!$O$21-2*DATOS!$C$22))+16)/100*INDEX(TABLAS!$E$52:$E$58,MATCH(DATOS!$C$113,TABLAS!$B$52:$B$58,0)),0)</f>
        <v>12.7452</v>
      </c>
      <c r="H60" s="76">
        <f>F60+G60</f>
        <v>43.511064</v>
      </c>
      <c r="I60" s="44" t="str">
        <f>PRINCIPALES!$BZ$21</f>
        <v>CUMPLE</v>
      </c>
    </row>
    <row r="61">
      <c r="B61" s="41" t="inlineStr">
        <is>
          <t>NP-14</t>
        </is>
      </c>
      <c r="C61" s="43">
        <f>PRINCIPALES!$G$22</f>
        <v>2</v>
      </c>
      <c r="D61" s="41" t="str">
        <f>PRINCIPALES!$N$22&amp;" × "&amp;PRINCIPALES!$O$22</f>
        <v>15 × 25</v>
      </c>
      <c r="E61" s="36">
        <f>PRINCIPALES!$G$22*(PRINCIPALES!$N$22/100*PRINCIPALES!$O$22/100-PRINCIPALES!$N$22/100*DATOS!$C$69)</f>
        <v>0.0440816326530612</v>
      </c>
      <c r="F61" s="57">
        <f>(PRINCIPALES!$AU$22*INDEX(TABLAS!$E$52:$E$58,MATCH(MAX(PRINCIPALES!$AS$22,2),TABLAS!$B$52:$B$58,0))+PRINCIPALES!$BA$22*INDEX(TABLAS!$E$52:$E$58,MATCH(MAX(PRINCIPALES!$AZ$22,2),TABLAS!$B$52:$B$58,0)))*(PRINCIPALES!$G$22+2*CUANTIFICACION!$C$8)</f>
        <v>0</v>
      </c>
      <c r="G61" s="57">
        <f>IF(AND(PRINCIPALES!$BF$22&gt;0,PRINCIPALES!$BG$22&gt;0),(2*ROUNDUP(2*PRINCIPALES!$O$22/PRINCIPALES!$BG$22,0)+ROUNDUP(MAX(0,PRINCIPALES!$G$22*100-4*PRINCIPALES!$O$22)/PRINCIPALES!$BF$22,0)+1)*(2*((PRINCIPALES!$N$22-2*DATOS!$C$22)+(PRINCIPALES!$O$22-2*DATOS!$C$22))+16)/100*INDEX(TABLAS!$E$52:$E$58,MATCH(DATOS!$C$113,TABLAS!$B$52:$B$58,0)),0)</f>
        <v>0</v>
      </c>
      <c r="H61" s="76">
        <f>F61+G61</f>
        <v>0</v>
      </c>
      <c r="I61" s="44" t="str">
        <f>PRINCIPALES!$BZ$22</f>
        <v>BORDE DE VOLADO — armado de orilla</v>
      </c>
    </row>
    <row r="62">
      <c r="B62" s="41" t="inlineStr">
        <is>
          <t>NP-15</t>
        </is>
      </c>
      <c r="C62" s="43">
        <f>PRINCIPALES!$G$23</f>
        <v>4.925</v>
      </c>
      <c r="D62" s="41" t="str">
        <f>PRINCIPALES!$N$23&amp;" × "&amp;PRINCIPALES!$O$23</f>
        <v>20 × 75</v>
      </c>
      <c r="E62" s="36">
        <f>PRINCIPALES!$G$23*(PRINCIPALES!$N$23/100*PRINCIPALES!$O$23/100-PRINCIPALES!$N$23/100*DATOS!$C$69)</f>
        <v>0.637234693877551</v>
      </c>
      <c r="F62" s="57">
        <f>(PRINCIPALES!$AU$23*INDEX(TABLAS!$E$52:$E$58,MATCH(MAX(PRINCIPALES!$AS$23,2),TABLAS!$B$52:$B$58,0))+PRINCIPALES!$BA$23*INDEX(TABLAS!$E$52:$E$58,MATCH(MAX(PRINCIPALES!$AZ$23,2),TABLAS!$B$52:$B$58,0)))*(PRINCIPALES!$G$23+2*CUANTIFICACION!$C$8)</f>
        <v>69.62605</v>
      </c>
      <c r="G62" s="57">
        <f>IF(AND(PRINCIPALES!$BF$23&gt;0,PRINCIPALES!$BG$23&gt;0),(2*ROUNDUP(2*PRINCIPALES!$O$23/PRINCIPALES!$BG$23,0)+ROUNDUP(MAX(0,PRINCIPALES!$G$23*100-4*PRINCIPALES!$O$23)/PRINCIPALES!$BF$23,0)+1)*(2*((PRINCIPALES!$N$23-2*DATOS!$C$22)+(PRINCIPALES!$O$23-2*DATOS!$C$22))+16)/100*INDEX(TABLAS!$E$52:$E$58,MATCH(DATOS!$C$113,TABLAS!$B$52:$B$58,0)),0)</f>
        <v>26.26182</v>
      </c>
      <c r="H62" s="76">
        <f>F62+G62</f>
        <v>95.88787</v>
      </c>
      <c r="I62" s="44" t="str">
        <f>PRINCIPALES!$BZ$23</f>
        <v>PENDIENTE: H/L &lt; 0.6, falta el análisis de interacción muro-viga (NTC-M 4.1.18.2.1, p. 44)</v>
      </c>
    </row>
    <row r="63">
      <c r="B63" s="41" t="inlineStr">
        <is>
          <t>NP-16</t>
        </is>
      </c>
      <c r="C63" s="43">
        <f>PRINCIPALES!$G$24</f>
        <v>7.25</v>
      </c>
      <c r="D63" s="41" t="str">
        <f>PRINCIPALES!$N$24&amp;" × "&amp;PRINCIPALES!$O$24</f>
        <v>15 × 25</v>
      </c>
      <c r="E63" s="36">
        <f>PRINCIPALES!$G$24*(PRINCIPALES!$N$24/100*PRINCIPALES!$O$24/100-PRINCIPALES!$N$24/100*DATOS!$C$69)</f>
        <v>0.159795918367347</v>
      </c>
      <c r="F63" s="57">
        <f>(PRINCIPALES!$AU$24*INDEX(TABLAS!$E$52:$E$58,MATCH(MAX(PRINCIPALES!$AS$24,2),TABLAS!$B$52:$B$58,0))+PRINCIPALES!$BA$24*INDEX(TABLAS!$E$52:$E$58,MATCH(MAX(PRINCIPALES!$AZ$24,2),TABLAS!$B$52:$B$58,0)))*(PRINCIPALES!$G$24+2*CUANTIFICACION!$C$8)</f>
        <v>0</v>
      </c>
      <c r="G63" s="57">
        <f>IF(AND(PRINCIPALES!$BF$24&gt;0,PRINCIPALES!$BG$24&gt;0),(2*ROUNDUP(2*PRINCIPALES!$O$24/PRINCIPALES!$BG$24,0)+ROUNDUP(MAX(0,PRINCIPALES!$G$24*100-4*PRINCIPALES!$O$24)/PRINCIPALES!$BF$24,0)+1)*(2*((PRINCIPALES!$N$24-2*DATOS!$C$22)+(PRINCIPALES!$O$24-2*DATOS!$C$22))+16)/100*INDEX(TABLAS!$E$52:$E$58,MATCH(DATOS!$C$113,TABLAS!$B$52:$B$58,0)),0)</f>
        <v>0</v>
      </c>
      <c r="H63" s="76">
        <f>F63+G63</f>
        <v>0</v>
      </c>
      <c r="I63" s="44" t="str">
        <f>PRINCIPALES!$BZ$24</f>
        <v>BORDE DE VOLADO — armado de orilla</v>
      </c>
    </row>
    <row r="64">
      <c r="B64" s="41" t="inlineStr">
        <is>
          <t>NP-17</t>
        </is>
      </c>
      <c r="C64" s="43">
        <f>PRINCIPALES!$G$25</f>
        <v>3.425</v>
      </c>
      <c r="D64" s="41" t="str">
        <f>PRINCIPALES!$N$25&amp;" × "&amp;PRINCIPALES!$O$25</f>
        <v>15 × 25</v>
      </c>
      <c r="E64" s="36">
        <f>PRINCIPALES!$G$25*(PRINCIPALES!$N$25/100*PRINCIPALES!$O$25/100-PRINCIPALES!$N$25/100*DATOS!$C$69)</f>
        <v>0.0754897959183673</v>
      </c>
      <c r="F64" s="57">
        <f>(PRINCIPALES!$AU$25*INDEX(TABLAS!$E$52:$E$58,MATCH(MAX(PRINCIPALES!$AS$25,2),TABLAS!$B$52:$B$58,0))+PRINCIPALES!$BA$25*INDEX(TABLAS!$E$52:$E$58,MATCH(MAX(PRINCIPALES!$AZ$25,2),TABLAS!$B$52:$B$58,0)))*(PRINCIPALES!$G$25+2*CUANTIFICACION!$C$8)</f>
        <v>0</v>
      </c>
      <c r="G64" s="57">
        <f>IF(AND(PRINCIPALES!$BF$25&gt;0,PRINCIPALES!$BG$25&gt;0),(2*ROUNDUP(2*PRINCIPALES!$O$25/PRINCIPALES!$BG$25,0)+ROUNDUP(MAX(0,PRINCIPALES!$G$25*100-4*PRINCIPALES!$O$25)/PRINCIPALES!$BF$25,0)+1)*(2*((PRINCIPALES!$N$25-2*DATOS!$C$22)+(PRINCIPALES!$O$25-2*DATOS!$C$22))+16)/100*INDEX(TABLAS!$E$52:$E$58,MATCH(DATOS!$C$113,TABLAS!$B$52:$B$58,0)),0)</f>
        <v>0</v>
      </c>
      <c r="H64" s="76">
        <f>F64+G64</f>
        <v>0</v>
      </c>
      <c r="I64" s="44" t="str">
        <f>PRINCIPALES!$BZ$25</f>
        <v>BORDE DE VOLADO — armado de orilla</v>
      </c>
    </row>
    <row r="65">
      <c r="B65" s="41" t="inlineStr">
        <is>
          <t>NP-18</t>
        </is>
      </c>
      <c r="C65" s="43">
        <f>PRINCIPALES!$G$26</f>
        <v>1.6</v>
      </c>
      <c r="D65" s="41" t="str">
        <f>PRINCIPALES!$N$26&amp;" × "&amp;PRINCIPALES!$O$26</f>
        <v>15 × 25</v>
      </c>
      <c r="E65" s="36">
        <f>PRINCIPALES!$G$26*(PRINCIPALES!$N$26/100*PRINCIPALES!$O$26/100-PRINCIPALES!$N$26/100*DATOS!$C$69)</f>
        <v>0.035265306122449</v>
      </c>
      <c r="F65" s="57">
        <f>(PRINCIPALES!$AU$26*INDEX(TABLAS!$E$52:$E$58,MATCH(MAX(PRINCIPALES!$AS$26,2),TABLAS!$B$52:$B$58,0))+PRINCIPALES!$BA$26*INDEX(TABLAS!$E$52:$E$58,MATCH(MAX(PRINCIPALES!$AZ$26,2),TABLAS!$B$52:$B$58,0)))*(PRINCIPALES!$G$26+2*CUANTIFICACION!$C$8)</f>
        <v>8.7472</v>
      </c>
      <c r="G65" s="57">
        <f>IF(AND(PRINCIPALES!$BF$26&gt;0,PRINCIPALES!$BG$26&gt;0),(2*ROUNDUP(2*PRINCIPALES!$O$26/PRINCIPALES!$BG$26,0)+ROUNDUP(MAX(0,PRINCIPALES!$G$26*100-4*PRINCIPALES!$O$26)/PRINCIPALES!$BF$26,0)+1)*(2*((PRINCIPALES!$N$26-2*DATOS!$C$22)+(PRINCIPALES!$O$26-2*DATOS!$C$22))+16)/100*INDEX(TABLAS!$E$52:$E$58,MATCH(DATOS!$C$113,TABLAS!$B$52:$B$58,0)),0)</f>
        <v>7.1552</v>
      </c>
      <c r="H65" s="76">
        <f>F65+G65</f>
        <v>15.9024</v>
      </c>
      <c r="I65" s="44" t="str">
        <f>PRINCIPALES!$BZ$26</f>
        <v>CUMPLE</v>
      </c>
    </row>
    <row r="66">
      <c r="B66" s="41" t="inlineStr">
        <is>
          <t>NP-19</t>
        </is>
      </c>
      <c r="C66" s="43">
        <f>PRINCIPALES!$G$27</f>
        <v>1.825</v>
      </c>
      <c r="D66" s="41" t="str">
        <f>PRINCIPALES!$N$27&amp;" × "&amp;PRINCIPALES!$O$27</f>
        <v>15 × 25</v>
      </c>
      <c r="E66" s="36">
        <f>PRINCIPALES!$G$27*(PRINCIPALES!$N$27/100*PRINCIPALES!$O$27/100-PRINCIPALES!$N$27/100*DATOS!$C$69)</f>
        <v>0.0402244897959184</v>
      </c>
      <c r="F66" s="57">
        <f>(PRINCIPALES!$AU$27*INDEX(TABLAS!$E$52:$E$58,MATCH(MAX(PRINCIPALES!$AS$27,2),TABLAS!$B$52:$B$58,0))+PRINCIPALES!$BA$27*INDEX(TABLAS!$E$52:$E$58,MATCH(MAX(PRINCIPALES!$AZ$27,2),TABLAS!$B$52:$B$58,0)))*(PRINCIPALES!$G$27+2*CUANTIFICACION!$C$8)</f>
        <v>9.6418</v>
      </c>
      <c r="G66" s="57">
        <f>IF(AND(PRINCIPALES!$BF$27&gt;0,PRINCIPALES!$BG$27&gt;0),(2*ROUNDUP(2*PRINCIPALES!$O$27/PRINCIPALES!$BG$27,0)+ROUNDUP(MAX(0,PRINCIPALES!$G$27*100-4*PRINCIPALES!$O$27)/PRINCIPALES!$BF$27,0)+1)*(2*((PRINCIPALES!$N$27-2*DATOS!$C$22)+(PRINCIPALES!$O$27-2*DATOS!$C$22))+16)/100*INDEX(TABLAS!$E$52:$E$58,MATCH(DATOS!$C$113,TABLAS!$B$52:$B$58,0)),0)</f>
        <v>7.87072</v>
      </c>
      <c r="H66" s="76">
        <f>F66+G66</f>
        <v>17.51252</v>
      </c>
      <c r="I66" s="44" t="str">
        <f>PRINCIPALES!$BZ$27</f>
        <v>CUMPLE</v>
      </c>
    </row>
    <row r="67">
      <c r="B67" s="41" t="inlineStr">
        <is>
          <t>NP-20</t>
        </is>
      </c>
      <c r="C67" s="43">
        <f>PRINCIPALES!$G$28</f>
        <v>1.002</v>
      </c>
      <c r="D67" s="41" t="str">
        <f>PRINCIPALES!$N$28&amp;" × "&amp;PRINCIPALES!$O$28</f>
        <v>15 × 25</v>
      </c>
      <c r="E67" s="36">
        <f>PRINCIPALES!$G$28*(PRINCIPALES!$N$28/100*PRINCIPALES!$O$28/100-PRINCIPALES!$N$28/100*DATOS!$C$69)</f>
        <v>0.0220848979591837</v>
      </c>
      <c r="F67" s="57">
        <f>(PRINCIPALES!$AU$28*INDEX(TABLAS!$E$52:$E$58,MATCH(MAX(PRINCIPALES!$AS$28,2),TABLAS!$B$52:$B$58,0))+PRINCIPALES!$BA$28*INDEX(TABLAS!$E$52:$E$58,MATCH(MAX(PRINCIPALES!$AZ$28,2),TABLAS!$B$52:$B$58,0)))*(PRINCIPALES!$G$28+2*CUANTIFICACION!$C$8)</f>
        <v>6.369552</v>
      </c>
      <c r="G67" s="57">
        <f>IF(AND(PRINCIPALES!$BF$28&gt;0,PRINCIPALES!$BG$28&gt;0),(2*ROUNDUP(2*PRINCIPALES!$O$28/PRINCIPALES!$BG$28,0)+ROUNDUP(MAX(0,PRINCIPALES!$G$28*100-4*PRINCIPALES!$O$28)/PRINCIPALES!$BF$28,0)+1)*(2*((PRINCIPALES!$N$28-2*DATOS!$C$22)+(PRINCIPALES!$O$28-2*DATOS!$C$22))+16)/100*INDEX(TABLAS!$E$52:$E$58,MATCH(DATOS!$C$113,TABLAS!$B$52:$B$58,0)),0)</f>
        <v>5.00864</v>
      </c>
      <c r="H67" s="76">
        <f>F67+G67</f>
        <v>11.378192</v>
      </c>
      <c r="I67" s="44" t="str">
        <f>PRINCIPALES!$BZ$28</f>
        <v>CUMPLE</v>
      </c>
    </row>
    <row r="68">
      <c r="B68" s="41" t="inlineStr">
        <is>
          <t>NP-21</t>
        </is>
      </c>
      <c r="C68" s="43">
        <f>PRINCIPALES!$G$29</f>
        <v>3.025</v>
      </c>
      <c r="D68" s="41" t="str">
        <f>PRINCIPALES!$N$29&amp;" × "&amp;PRINCIPALES!$O$29</f>
        <v>20 × 40</v>
      </c>
      <c r="E68" s="36">
        <f>PRINCIPALES!$G$29*(PRINCIPALES!$N$29/100*PRINCIPALES!$O$29/100-PRINCIPALES!$N$29/100*DATOS!$C$69)</f>
        <v>0.179647959183674</v>
      </c>
      <c r="F68" s="57">
        <f>(PRINCIPALES!$AU$29*INDEX(TABLAS!$E$52:$E$58,MATCH(MAX(PRINCIPALES!$AS$29,2),TABLAS!$B$52:$B$58,0))+PRINCIPALES!$BA$29*INDEX(TABLAS!$E$52:$E$58,MATCH(MAX(PRINCIPALES!$AZ$29,2),TABLAS!$B$52:$B$58,0)))*(PRINCIPALES!$G$29+2*CUANTIFICACION!$C$8)</f>
        <v>27.68775</v>
      </c>
      <c r="G68" s="57">
        <f>IF(AND(PRINCIPALES!$BF$29&gt;0,PRINCIPALES!$BG$29&gt;0),(2*ROUNDUP(2*PRINCIPALES!$O$29/PRINCIPALES!$BG$29,0)+ROUNDUP(MAX(0,PRINCIPALES!$G$29*100-4*PRINCIPALES!$O$29)/PRINCIPALES!$BF$29,0)+1)*(2*((PRINCIPALES!$N$29-2*DATOS!$C$22)+(PRINCIPALES!$O$29-2*DATOS!$C$22))+16)/100*INDEX(TABLAS!$E$52:$E$58,MATCH(DATOS!$C$113,TABLAS!$B$52:$B$58,0)),0)</f>
        <v>11.6272</v>
      </c>
      <c r="H68" s="76">
        <f>F68+G68</f>
        <v>39.31495</v>
      </c>
      <c r="I68" s="44" t="str">
        <f>PRINCIPALES!$BZ$29</f>
        <v>CUMPLE</v>
      </c>
    </row>
    <row r="69">
      <c r="B69" s="41" t="inlineStr">
        <is>
          <t>NP-22</t>
        </is>
      </c>
      <c r="C69" s="43">
        <f>PRINCIPALES!$G$30</f>
        <v>1.925</v>
      </c>
      <c r="D69" s="41" t="str">
        <f>PRINCIPALES!$N$30&amp;" × "&amp;PRINCIPALES!$O$30</f>
        <v>20 × 30</v>
      </c>
      <c r="E69" s="36">
        <f>PRINCIPALES!$G$30*(PRINCIPALES!$N$30/100*PRINCIPALES!$O$30/100-PRINCIPALES!$N$30/100*DATOS!$C$69)</f>
        <v>0.0758214285714286</v>
      </c>
      <c r="F69" s="57">
        <f>(PRINCIPALES!$AU$30*INDEX(TABLAS!$E$52:$E$58,MATCH(MAX(PRINCIPALES!$AS$30,2),TABLAS!$B$52:$B$58,0))+PRINCIPALES!$BA$30*INDEX(TABLAS!$E$52:$E$58,MATCH(MAX(PRINCIPALES!$AZ$30,2),TABLAS!$B$52:$B$58,0)))*(PRINCIPALES!$G$30+2*CUANTIFICACION!$C$8)</f>
        <v>10.0394</v>
      </c>
      <c r="G69" s="57">
        <f>IF(AND(PRINCIPALES!$BF$30&gt;0,PRINCIPALES!$BG$30&gt;0),(2*ROUNDUP(2*PRINCIPALES!$O$30/PRINCIPALES!$BG$30,0)+ROUNDUP(MAX(0,PRINCIPALES!$G$30*100-4*PRINCIPALES!$O$30)/PRINCIPALES!$BF$30,0)+1)*(2*((PRINCIPALES!$N$30-2*DATOS!$C$22)+(PRINCIPALES!$O$30-2*DATOS!$C$22))+16)/100*INDEX(TABLAS!$E$52:$E$58,MATCH(DATOS!$C$113,TABLAS!$B$52:$B$58,0)),0)</f>
        <v>8.45208</v>
      </c>
      <c r="H69" s="76">
        <f>F69+G69</f>
        <v>18.49148</v>
      </c>
      <c r="I69" s="44" t="str">
        <f>PRINCIPALES!$BZ$30</f>
        <v>CUMPLE</v>
      </c>
    </row>
    <row r="70">
      <c r="B70" s="41" t="inlineStr">
        <is>
          <t>NP-23</t>
        </is>
      </c>
      <c r="C70" s="43">
        <f>PRINCIPALES!$G$31</f>
        <v>6.15</v>
      </c>
      <c r="D70" s="41" t="str">
        <f>PRINCIPALES!$N$31&amp;" × "&amp;PRINCIPALES!$O$31</f>
        <v>20 × 45</v>
      </c>
      <c r="E70" s="36">
        <f>PRINCIPALES!$G$31*(PRINCIPALES!$N$31/100*PRINCIPALES!$O$31/100-PRINCIPALES!$N$31/100*DATOS!$C$69)</f>
        <v>0.426734693877551</v>
      </c>
      <c r="F70" s="57">
        <f>(PRINCIPALES!$AU$31*INDEX(TABLAS!$E$52:$E$58,MATCH(MAX(PRINCIPALES!$AS$31,2),TABLAS!$B$52:$B$58,0))+PRINCIPALES!$BA$31*INDEX(TABLAS!$E$52:$E$58,MATCH(MAX(PRINCIPALES!$AZ$31,2),TABLAS!$B$52:$B$58,0)))*(PRINCIPALES!$G$31+2*CUANTIFICACION!$C$8)</f>
        <v>33.5475</v>
      </c>
      <c r="G70" s="57">
        <f>IF(AND(PRINCIPALES!$BF$31&gt;0,PRINCIPALES!$BG$31&gt;0),(2*ROUNDUP(2*PRINCIPALES!$O$31/PRINCIPALES!$BG$31,0)+ROUNDUP(MAX(0,PRINCIPALES!$G$31*100-4*PRINCIPALES!$O$31)/PRINCIPALES!$BF$31,0)+1)*(2*((PRINCIPALES!$N$31-2*DATOS!$C$22)+(PRINCIPALES!$O$31-2*DATOS!$C$22))+16)/100*INDEX(TABLAS!$E$52:$E$58,MATCH(DATOS!$C$113,TABLAS!$B$52:$B$58,0)),0)</f>
        <v>21.66684</v>
      </c>
      <c r="H70" s="76">
        <f>F70+G70</f>
        <v>55.21434</v>
      </c>
      <c r="I70" s="44" t="str">
        <f>PRINCIPALES!$BZ$31</f>
        <v>CUMPLE</v>
      </c>
    </row>
    <row r="71">
      <c r="B71" s="41" t="inlineStr">
        <is>
          <t>NP-24</t>
        </is>
      </c>
      <c r="C71" s="43">
        <f>PRINCIPALES!$G$32</f>
        <v>4</v>
      </c>
      <c r="D71" s="41" t="str">
        <f>PRINCIPALES!$N$32&amp;" × "&amp;PRINCIPALES!$O$32</f>
        <v>20 × 55</v>
      </c>
      <c r="E71" s="36">
        <f>PRINCIPALES!$G$32*(PRINCIPALES!$N$32/100*PRINCIPALES!$O$32/100-PRINCIPALES!$N$32/100*DATOS!$C$69)</f>
        <v>0.357551020408163</v>
      </c>
      <c r="F71" s="57">
        <f>(PRINCIPALES!$AU$32*INDEX(TABLAS!$E$52:$E$58,MATCH(MAX(PRINCIPALES!$AS$32,2),TABLAS!$B$52:$B$58,0))+PRINCIPALES!$BA$32*INDEX(TABLAS!$E$52:$E$58,MATCH(MAX(PRINCIPALES!$AZ$32,2),TABLAS!$B$52:$B$58,0)))*(PRINCIPALES!$G$32+2*CUANTIFICACION!$C$8)</f>
        <v>35.1348</v>
      </c>
      <c r="G71" s="57">
        <f>IF(AND(PRINCIPALES!$BF$32&gt;0,PRINCIPALES!$BG$32&gt;0),(2*ROUNDUP(2*PRINCIPALES!$O$32/PRINCIPALES!$BG$32,0)+ROUNDUP(MAX(0,PRINCIPALES!$G$32*100-4*PRINCIPALES!$O$32)/PRINCIPALES!$BF$32,0)+1)*(2*((PRINCIPALES!$N$32-2*DATOS!$C$22)+(PRINCIPALES!$O$32-2*DATOS!$C$22))+16)/100*INDEX(TABLAS!$E$52:$E$58,MATCH(DATOS!$C$113,TABLAS!$B$52:$B$58,0)),0)</f>
        <v>16.47932</v>
      </c>
      <c r="H71" s="76">
        <f>F71+G71</f>
        <v>51.61412</v>
      </c>
      <c r="I71" s="44" t="str">
        <f>PRINCIPALES!$BZ$32</f>
        <v>CUMPLE</v>
      </c>
    </row>
    <row r="72">
      <c r="B72" s="41" t="inlineStr">
        <is>
          <t>NP-25</t>
        </is>
      </c>
      <c r="C72" s="43">
        <f>PRINCIPALES!$G$33</f>
        <v>1.962</v>
      </c>
      <c r="D72" s="41" t="str">
        <f>PRINCIPALES!$N$33&amp;" × "&amp;PRINCIPALES!$O$33</f>
        <v>15 × 25</v>
      </c>
      <c r="E72" s="36">
        <f>PRINCIPALES!$G$33*(PRINCIPALES!$N$33/100*PRINCIPALES!$O$33/100-PRINCIPALES!$N$33/100*DATOS!$C$69)</f>
        <v>0.0432440816326531</v>
      </c>
      <c r="F72" s="57">
        <f>(PRINCIPALES!$AU$33*INDEX(TABLAS!$E$52:$E$58,MATCH(MAX(PRINCIPALES!$AS$33,2),TABLAS!$B$52:$B$58,0))+PRINCIPALES!$BA$33*INDEX(TABLAS!$E$52:$E$58,MATCH(MAX(PRINCIPALES!$AZ$33,2),TABLAS!$B$52:$B$58,0)))*(PRINCIPALES!$G$33+2*CUANTIFICACION!$C$8)</f>
        <v>10.186512</v>
      </c>
      <c r="G72" s="57">
        <f>IF(AND(PRINCIPALES!$BF$33&gt;0,PRINCIPALES!$BG$33&gt;0),(2*ROUNDUP(2*PRINCIPALES!$O$33/PRINCIPALES!$BG$33,0)+ROUNDUP(MAX(0,PRINCIPALES!$G$33*100-4*PRINCIPALES!$O$33)/PRINCIPALES!$BF$33,0)+1)*(2*((PRINCIPALES!$N$33-2*DATOS!$C$22)+(PRINCIPALES!$O$33-2*DATOS!$C$22))+16)/100*INDEX(TABLAS!$E$52:$E$58,MATCH(DATOS!$C$113,TABLAS!$B$52:$B$58,0)),0)</f>
        <v>8.58624</v>
      </c>
      <c r="H72" s="76">
        <f>F72+G72</f>
        <v>18.772752</v>
      </c>
      <c r="I72" s="44" t="str">
        <f>PRINCIPALES!$BZ$33</f>
        <v>CUMPLE</v>
      </c>
    </row>
    <row r="73">
      <c r="B73" s="41" t="inlineStr">
        <is>
          <t>NP-26</t>
        </is>
      </c>
      <c r="C73" s="43">
        <f>PRINCIPALES!$G$34</f>
        <v>5.497</v>
      </c>
      <c r="D73" s="41" t="str">
        <f>PRINCIPALES!$N$34&amp;" × "&amp;PRINCIPALES!$O$34</f>
        <v>20 × 80</v>
      </c>
      <c r="E73" s="36">
        <f>PRINCIPALES!$G$34*(PRINCIPALES!$N$34/100*PRINCIPALES!$O$34/100-PRINCIPALES!$N$34/100*DATOS!$C$69)</f>
        <v>0.766214489795918</v>
      </c>
      <c r="F73" s="57">
        <f>(PRINCIPALES!$AU$34*INDEX(TABLAS!$E$52:$E$58,MATCH(MAX(PRINCIPALES!$AS$34,2),TABLAS!$B$52:$B$58,0))+PRINCIPALES!$BA$34*INDEX(TABLAS!$E$52:$E$58,MATCH(MAX(PRINCIPALES!$AZ$34,2),TABLAS!$B$52:$B$58,0)))*(PRINCIPALES!$G$34+2*CUANTIFICACION!$C$8)</f>
        <v>76.834394</v>
      </c>
      <c r="G73" s="57">
        <f>IF(AND(PRINCIPALES!$BF$34&gt;0,PRINCIPALES!$BG$34&gt;0),(2*ROUNDUP(2*PRINCIPALES!$O$34/PRINCIPALES!$BG$34,0)+ROUNDUP(MAX(0,PRINCIPALES!$G$34*100-4*PRINCIPALES!$O$34)/PRINCIPALES!$BF$34,0)+1)*(2*((PRINCIPALES!$N$34-2*DATOS!$C$22)+(PRINCIPALES!$O$34-2*DATOS!$C$22))+16)/100*INDEX(TABLAS!$E$52:$E$58,MATCH(DATOS!$C$113,TABLAS!$B$52:$B$58,0)),0)</f>
        <v>29.82824</v>
      </c>
      <c r="H73" s="76">
        <f>F73+G73</f>
        <v>106.662634</v>
      </c>
      <c r="I73" s="44" t="str">
        <f>PRINCIPALES!$BZ$34</f>
        <v>PENDIENTE: H/L &lt; 0.6, falta el análisis de interacción muro-viga (NTC-M 4.1.18.2.1, p. 44)</v>
      </c>
    </row>
    <row r="74">
      <c r="B74" s="41" t="inlineStr">
        <is>
          <t>NP-27</t>
        </is>
      </c>
      <c r="C74" s="43">
        <f>PRINCIPALES!$G$35</f>
        <v>0.399</v>
      </c>
      <c r="D74" s="41" t="str">
        <f>PRINCIPALES!$N$35&amp;" × "&amp;PRINCIPALES!$O$35</f>
        <v>20 × 45</v>
      </c>
      <c r="E74" s="36">
        <f>PRINCIPALES!$G$35*(PRINCIPALES!$N$35/100*PRINCIPALES!$O$35/100-PRINCIPALES!$N$35/100*DATOS!$C$69)</f>
        <v>0.0276857142857143</v>
      </c>
      <c r="F74" s="57">
        <f>(PRINCIPALES!$AU$35*INDEX(TABLAS!$E$52:$E$58,MATCH(MAX(PRINCIPALES!$AS$35,2),TABLAS!$B$52:$B$58,0))+PRINCIPALES!$BA$35*INDEX(TABLAS!$E$52:$E$58,MATCH(MAX(PRINCIPALES!$AZ$35,2),TABLAS!$B$52:$B$58,0)))*(PRINCIPALES!$G$35+2*CUANTIFICACION!$C$8)</f>
        <v>4.96503</v>
      </c>
      <c r="G74" s="57">
        <f>IF(AND(PRINCIPALES!$BF$35&gt;0,PRINCIPALES!$BG$35&gt;0),(2*ROUNDUP(2*PRINCIPALES!$O$35/PRINCIPALES!$BG$35,0)+ROUNDUP(MAX(0,PRINCIPALES!$G$35*100-4*PRINCIPALES!$O$35)/PRINCIPALES!$BF$35,0)+1)*(2*((PRINCIPALES!$N$35-2*DATOS!$C$22)+(PRINCIPALES!$O$35-2*DATOS!$C$22))+16)/100*INDEX(TABLAS!$E$52:$E$58,MATCH(DATOS!$C$113,TABLAS!$B$52:$B$58,0)),0)</f>
        <v>7.00986</v>
      </c>
      <c r="H74" s="76">
        <f>F74+G74</f>
        <v>11.97489</v>
      </c>
      <c r="I74" s="44" t="str">
        <f>PRINCIPALES!$BZ$35</f>
        <v>CUMPLE (en VOLADO)</v>
      </c>
    </row>
    <row r="75">
      <c r="B75" s="41" t="inlineStr">
        <is>
          <t>NP-28</t>
        </is>
      </c>
      <c r="C75" s="43">
        <f>PRINCIPALES!$G$36</f>
        <v>1.6</v>
      </c>
      <c r="D75" s="41" t="str">
        <f>PRINCIPALES!$N$36&amp;" × "&amp;PRINCIPALES!$O$36</f>
        <v>15 × 25</v>
      </c>
      <c r="E75" s="36">
        <f>PRINCIPALES!$G$36*(PRINCIPALES!$N$36/100*PRINCIPALES!$O$36/100-PRINCIPALES!$N$36/100*DATOS!$C$69)</f>
        <v>0.035265306122449</v>
      </c>
      <c r="F75" s="57">
        <f>(PRINCIPALES!$AU$36*INDEX(TABLAS!$E$52:$E$58,MATCH(MAX(PRINCIPALES!$AS$36,2),TABLAS!$B$52:$B$58,0))+PRINCIPALES!$BA$36*INDEX(TABLAS!$E$52:$E$58,MATCH(MAX(PRINCIPALES!$AZ$36,2),TABLAS!$B$52:$B$58,0)))*(PRINCIPALES!$G$36+2*CUANTIFICACION!$C$8)</f>
        <v>8.7472</v>
      </c>
      <c r="G75" s="57">
        <f>IF(AND(PRINCIPALES!$BF$36&gt;0,PRINCIPALES!$BG$36&gt;0),(2*ROUNDUP(2*PRINCIPALES!$O$36/PRINCIPALES!$BG$36,0)+ROUNDUP(MAX(0,PRINCIPALES!$G$36*100-4*PRINCIPALES!$O$36)/PRINCIPALES!$BF$36,0)+1)*(2*((PRINCIPALES!$N$36-2*DATOS!$C$22)+(PRINCIPALES!$O$36-2*DATOS!$C$22))+16)/100*INDEX(TABLAS!$E$52:$E$58,MATCH(DATOS!$C$113,TABLAS!$B$52:$B$58,0)),0)</f>
        <v>7.1552</v>
      </c>
      <c r="H75" s="76">
        <f>F75+G75</f>
        <v>15.9024</v>
      </c>
      <c r="I75" s="44" t="str">
        <f>PRINCIPALES!$BZ$36</f>
        <v>CUMPLE</v>
      </c>
    </row>
    <row r="76">
      <c r="B76" s="41" t="inlineStr">
        <is>
          <t>NP-29</t>
        </is>
      </c>
      <c r="C76" s="43">
        <f>PRINCIPALES!$G$37</f>
        <v>3.025</v>
      </c>
      <c r="D76" s="41" t="str">
        <f>PRINCIPALES!$N$37&amp;" × "&amp;PRINCIPALES!$O$37</f>
        <v>20 × 35</v>
      </c>
      <c r="E76" s="36">
        <f>PRINCIPALES!$G$37*(PRINCIPALES!$N$37/100*PRINCIPALES!$O$37/100-PRINCIPALES!$N$37/100*DATOS!$C$69)</f>
        <v>0.149397959183674</v>
      </c>
      <c r="F76" s="57">
        <f>(PRINCIPALES!$AU$37*INDEX(TABLAS!$E$52:$E$58,MATCH(MAX(PRINCIPALES!$AS$37,2),TABLAS!$B$52:$B$58,0))+PRINCIPALES!$BA$37*INDEX(TABLAS!$E$52:$E$58,MATCH(MAX(PRINCIPALES!$AZ$37,2),TABLAS!$B$52:$B$58,0)))*(PRINCIPALES!$G$37+2*CUANTIFICACION!$C$8)</f>
        <v>18.01625</v>
      </c>
      <c r="G76" s="57">
        <f>IF(AND(PRINCIPALES!$BF$37&gt;0,PRINCIPALES!$BG$37&gt;0),(2*ROUNDUP(2*PRINCIPALES!$O$37/PRINCIPALES!$BG$37,0)+ROUNDUP(MAX(0,PRINCIPALES!$G$37*100-4*PRINCIPALES!$O$37)/PRINCIPALES!$BF$37,0)+1)*(2*((PRINCIPALES!$N$37-2*DATOS!$C$22)+(PRINCIPALES!$O$37-2*DATOS!$C$22))+16)/100*INDEX(TABLAS!$E$52:$E$58,MATCH(DATOS!$C$113,TABLAS!$B$52:$B$58,0)),0)</f>
        <v>12.08558</v>
      </c>
      <c r="H76" s="76">
        <f>F76+G76</f>
        <v>30.10183</v>
      </c>
      <c r="I76" s="44" t="str">
        <f>PRINCIPALES!$BZ$37</f>
        <v>CUMPLE</v>
      </c>
    </row>
    <row r="77">
      <c r="B77" s="41" t="inlineStr">
        <is>
          <t>NP-30</t>
        </is>
      </c>
      <c r="C77" s="43">
        <f>PRINCIPALES!$G$38</f>
        <v>1.04</v>
      </c>
      <c r="D77" s="41" t="str">
        <f>PRINCIPALES!$N$38&amp;" × "&amp;PRINCIPALES!$O$38</f>
        <v>20 × 30</v>
      </c>
      <c r="E77" s="36">
        <f>PRINCIPALES!$G$38*(PRINCIPALES!$N$38/100*PRINCIPALES!$O$38/100-PRINCIPALES!$N$38/100*DATOS!$C$69)</f>
        <v>0.0409632653061225</v>
      </c>
      <c r="F77" s="57">
        <f>(PRINCIPALES!$AU$38*INDEX(TABLAS!$E$52:$E$58,MATCH(MAX(PRINCIPALES!$AS$38,2),TABLAS!$B$52:$B$58,0))+PRINCIPALES!$BA$38*INDEX(TABLAS!$E$52:$E$58,MATCH(MAX(PRINCIPALES!$AZ$38,2),TABLAS!$B$52:$B$58,0)))*(PRINCIPALES!$G$38+2*CUANTIFICACION!$C$8)</f>
        <v>6.52064</v>
      </c>
      <c r="G77" s="57">
        <f>IF(AND(PRINCIPALES!$BF$38&gt;0,PRINCIPALES!$BG$38&gt;0),(2*ROUNDUP(2*PRINCIPALES!$O$38/PRINCIPALES!$BG$38,0)+ROUNDUP(MAX(0,PRINCIPALES!$G$38*100-4*PRINCIPALES!$O$38)/PRINCIPALES!$BF$38,0)+1)*(2*((PRINCIPALES!$N$38-2*DATOS!$C$22)+(PRINCIPALES!$O$38-2*DATOS!$C$22))+16)/100*INDEX(TABLAS!$E$52:$E$58,MATCH(DATOS!$C$113,TABLAS!$B$52:$B$58,0)),0)</f>
        <v>5.16516</v>
      </c>
      <c r="H77" s="76">
        <f>F77+G77</f>
        <v>11.6858</v>
      </c>
      <c r="I77" s="44" t="str">
        <f>PRINCIPALES!$BZ$38</f>
        <v>CUMPLE (en VOLADO)</v>
      </c>
    </row>
    <row r="78">
      <c r="B78" s="41" t="inlineStr">
        <is>
          <t>NP-31</t>
        </is>
      </c>
      <c r="C78" s="43">
        <f>PRINCIPALES!$G$39</f>
        <v>3.028</v>
      </c>
      <c r="D78" s="41" t="str">
        <f>PRINCIPALES!$N$39&amp;" × "&amp;PRINCIPALES!$O$39</f>
        <v>15 × 25</v>
      </c>
      <c r="E78" s="36">
        <f>PRINCIPALES!$G$39*(PRINCIPALES!$N$39/100*PRINCIPALES!$O$39/100-PRINCIPALES!$N$39/100*DATOS!$C$69)</f>
        <v>0.0667395918367347</v>
      </c>
      <c r="F78" s="57">
        <f>(PRINCIPALES!$AU$39*INDEX(TABLAS!$E$52:$E$58,MATCH(MAX(PRINCIPALES!$AS$39,2),TABLAS!$B$52:$B$58,0))+PRINCIPALES!$BA$39*INDEX(TABLAS!$E$52:$E$58,MATCH(MAX(PRINCIPALES!$AZ$39,2),TABLAS!$B$52:$B$58,0)))*(PRINCIPALES!$G$39+2*CUANTIFICACION!$C$8)</f>
        <v>14.424928</v>
      </c>
      <c r="G78" s="57">
        <f>IF(AND(PRINCIPALES!$BF$39&gt;0,PRINCIPALES!$BG$39&gt;0),(2*ROUNDUP(2*PRINCIPALES!$O$39/PRINCIPALES!$BG$39,0)+ROUNDUP(MAX(0,PRINCIPALES!$G$39*100-4*PRINCIPALES!$O$39)/PRINCIPALES!$BF$39,0)+1)*(2*((PRINCIPALES!$N$39-2*DATOS!$C$22)+(PRINCIPALES!$O$39-2*DATOS!$C$22))+16)/100*INDEX(TABLAS!$E$52:$E$58,MATCH(DATOS!$C$113,TABLAS!$B$52:$B$58,0)),0)</f>
        <v>12.5216</v>
      </c>
      <c r="H78" s="76">
        <f>F78+G78</f>
        <v>26.946528</v>
      </c>
      <c r="I78" s="44" t="str">
        <f>PRINCIPALES!$BZ$39</f>
        <v>CUMPLE</v>
      </c>
    </row>
    <row r="79">
      <c r="B79" s="41" t="inlineStr">
        <is>
          <t>NP-32</t>
        </is>
      </c>
      <c r="C79" s="43">
        <f>PRINCIPALES!$G$40</f>
        <v>3.029</v>
      </c>
      <c r="D79" s="41" t="str">
        <f>PRINCIPALES!$N$40&amp;" × "&amp;PRINCIPALES!$O$40</f>
        <v>15 × 25</v>
      </c>
      <c r="E79" s="36">
        <f>PRINCIPALES!$G$40*(PRINCIPALES!$N$40/100*PRINCIPALES!$O$40/100-PRINCIPALES!$N$40/100*DATOS!$C$69)</f>
        <v>0.0667616326530612</v>
      </c>
      <c r="F79" s="57">
        <f>(PRINCIPALES!$AU$40*INDEX(TABLAS!$E$52:$E$58,MATCH(MAX(PRINCIPALES!$AS$40,2),TABLAS!$B$52:$B$58,0))+PRINCIPALES!$BA$40*INDEX(TABLAS!$E$52:$E$58,MATCH(MAX(PRINCIPALES!$AZ$40,2),TABLAS!$B$52:$B$58,0)))*(PRINCIPALES!$G$40+2*CUANTIFICACION!$C$8)</f>
        <v>14.428904</v>
      </c>
      <c r="G79" s="57">
        <f>IF(AND(PRINCIPALES!$BF$40&gt;0,PRINCIPALES!$BG$40&gt;0),(2*ROUNDUP(2*PRINCIPALES!$O$40/PRINCIPALES!$BG$40,0)+ROUNDUP(MAX(0,PRINCIPALES!$G$40*100-4*PRINCIPALES!$O$40)/PRINCIPALES!$BF$40,0)+1)*(2*((PRINCIPALES!$N$40-2*DATOS!$C$22)+(PRINCIPALES!$O$40-2*DATOS!$C$22))+16)/100*INDEX(TABLAS!$E$52:$E$58,MATCH(DATOS!$C$113,TABLAS!$B$52:$B$58,0)),0)</f>
        <v>12.5216</v>
      </c>
      <c r="H79" s="76">
        <f>F79+G79</f>
        <v>26.950504</v>
      </c>
      <c r="I79" s="44" t="str">
        <f>PRINCIPALES!$BZ$40</f>
        <v>CUMPLE</v>
      </c>
    </row>
    <row r="80">
      <c r="B80" s="41" t="inlineStr">
        <is>
          <t>NP-33</t>
        </is>
      </c>
      <c r="C80" s="43">
        <f>PRINCIPALES!$G$41</f>
        <v>1.825</v>
      </c>
      <c r="D80" s="41" t="str">
        <f>PRINCIPALES!$N$41&amp;" × "&amp;PRINCIPALES!$O$41</f>
        <v>15 × 25</v>
      </c>
      <c r="E80" s="36">
        <f>PRINCIPALES!$G$41*(PRINCIPALES!$N$41/100*PRINCIPALES!$O$41/100-PRINCIPALES!$N$41/100*DATOS!$C$69)</f>
        <v>0.0402244897959184</v>
      </c>
      <c r="F80" s="57">
        <f>(PRINCIPALES!$AU$41*INDEX(TABLAS!$E$52:$E$58,MATCH(MAX(PRINCIPALES!$AS$41,2),TABLAS!$B$52:$B$58,0))+PRINCIPALES!$BA$41*INDEX(TABLAS!$E$52:$E$58,MATCH(MAX(PRINCIPALES!$AZ$41,2),TABLAS!$B$52:$B$58,0)))*(PRINCIPALES!$G$41+2*CUANTIFICACION!$C$8)</f>
        <v>9.6418</v>
      </c>
      <c r="G80" s="57">
        <f>IF(AND(PRINCIPALES!$BF$41&gt;0,PRINCIPALES!$BG$41&gt;0),(2*ROUNDUP(2*PRINCIPALES!$O$41/PRINCIPALES!$BG$41,0)+ROUNDUP(MAX(0,PRINCIPALES!$G$41*100-4*PRINCIPALES!$O$41)/PRINCIPALES!$BF$41,0)+1)*(2*((PRINCIPALES!$N$41-2*DATOS!$C$22)+(PRINCIPALES!$O$41-2*DATOS!$C$22))+16)/100*INDEX(TABLAS!$E$52:$E$58,MATCH(DATOS!$C$113,TABLAS!$B$52:$B$58,0)),0)</f>
        <v>12.16384</v>
      </c>
      <c r="H80" s="76">
        <f>F80+G80</f>
        <v>21.80564</v>
      </c>
      <c r="I80" s="44" t="str">
        <f>PRINCIPALES!$BZ$41</f>
        <v>CUMPLE</v>
      </c>
    </row>
    <row r="81">
      <c r="B81" s="41" t="inlineStr">
        <is>
          <t>NP-34</t>
        </is>
      </c>
      <c r="C81" s="43">
        <f>PRINCIPALES!$G$42</f>
        <v>3.002</v>
      </c>
      <c r="D81" s="41" t="str">
        <f>PRINCIPALES!$N$42&amp;" × "&amp;PRINCIPALES!$O$42</f>
        <v>15 × 25</v>
      </c>
      <c r="E81" s="36">
        <f>PRINCIPALES!$G$42*(PRINCIPALES!$N$42/100*PRINCIPALES!$O$42/100-PRINCIPALES!$N$42/100*DATOS!$C$69)</f>
        <v>0.0661665306122449</v>
      </c>
      <c r="F81" s="57">
        <f>(PRINCIPALES!$AU$42*INDEX(TABLAS!$E$52:$E$58,MATCH(MAX(PRINCIPALES!$AS$42,2),TABLAS!$B$52:$B$58,0))+PRINCIPALES!$BA$42*INDEX(TABLAS!$E$52:$E$58,MATCH(MAX(PRINCIPALES!$AZ$42,2),TABLAS!$B$52:$B$58,0)))*(PRINCIPALES!$G$42+2*CUANTIFICACION!$C$8)</f>
        <v>14.321552</v>
      </c>
      <c r="G81" s="57">
        <f>IF(AND(PRINCIPALES!$BF$42&gt;0,PRINCIPALES!$BG$42&gt;0),(2*ROUNDUP(2*PRINCIPALES!$O$42/PRINCIPALES!$BG$42,0)+ROUNDUP(MAX(0,PRINCIPALES!$G$42*100-4*PRINCIPALES!$O$42)/PRINCIPALES!$BF$42,0)+1)*(2*((PRINCIPALES!$N$42-2*DATOS!$C$22)+(PRINCIPALES!$O$42-2*DATOS!$C$22))+16)/100*INDEX(TABLAS!$E$52:$E$58,MATCH(DATOS!$C$113,TABLAS!$B$52:$B$58,0)),0)</f>
        <v>12.5216</v>
      </c>
      <c r="H81" s="76">
        <f>F81+G81</f>
        <v>26.843152</v>
      </c>
      <c r="I81" s="44" t="str">
        <f>PRINCIPALES!$BZ$42</f>
        <v>CUMPLE</v>
      </c>
    </row>
    <row r="82">
      <c r="B82" s="34" t="inlineStr">
        <is>
          <t>TOTAL</t>
        </is>
      </c>
      <c r="E82" s="62">
        <f>SUM(E48:E81)</f>
        <v>5.97386515306122</v>
      </c>
      <c r="H82" s="59">
        <f>SUM(H48:H81)</f>
        <v>1024.70908</v>
      </c>
    </row>
    <row r="84" ht="21" customHeight="1">
      <c r="B84" s="5" t="inlineStr">
        <is>
          <t>4. TOTALES A PEDIR</t>
        </is>
      </c>
    </row>
    <row r="85" ht="30" customHeight="1">
      <c r="B85" s="8" t="inlineStr">
        <is>
          <t>Concepto</t>
        </is>
      </c>
      <c r="C85" s="8" t="inlineStr">
        <is>
          <t>Cantidad</t>
        </is>
      </c>
      <c r="D85" s="8" t="inlineStr">
        <is>
          <t>Unidad</t>
        </is>
      </c>
      <c r="E85" s="8" t="inlineStr">
        <is>
          <t>Cómo se calcula</t>
        </is>
      </c>
      <c r="F85" s="8" t="inlineStr">
        <is>
          <t>Referencia</t>
        </is>
      </c>
    </row>
    <row r="86">
      <c r="B86" s="77" t="inlineStr">
        <is>
          <t>Concreto de losas (con desperdicio)</t>
        </is>
      </c>
      <c r="C86" s="78">
        <f>(CUANTIFICACION!$E$44+CUANTIFICACION!$E$82)*CUANTIFICACION!$C$6</f>
        <v>43.9953834107143</v>
      </c>
      <c r="D86" s="41" t="inlineStr">
        <is>
          <t>m³</t>
        </is>
      </c>
      <c r="E86" s="37" t="inlineStr">
        <is>
          <t>Tableros + exceso de principales, × desperdicio.</t>
        </is>
      </c>
      <c r="J86" s="79" t="inlineStr">
        <is>
          <t>—</t>
        </is>
      </c>
    </row>
    <row r="87">
      <c r="B87" s="77" t="inlineStr">
        <is>
          <t>Casetones de poliestireno 60×60×20</t>
        </is>
      </c>
      <c r="C87" s="78">
        <f>CUANTIFICACION!$D$44</f>
        <v>438</v>
      </c>
      <c r="D87" s="41" t="inlineStr">
        <is>
          <t>pzas</t>
        </is>
      </c>
      <c r="E87" s="37" t="inlineStr">
        <is>
          <t>Suma por tablero.</t>
        </is>
      </c>
      <c r="J87" s="79" t="inlineStr">
        <is>
          <t>—</t>
        </is>
      </c>
    </row>
    <row r="88">
      <c r="B88" s="77" t="inlineStr">
        <is>
          <t>Malla electrosoldada</t>
        </is>
      </c>
      <c r="C88" s="78">
        <f>CUANTIFICACION!$F$44*1.10</f>
        <v>296.835</v>
      </c>
      <c r="D88" s="41" t="inlineStr">
        <is>
          <t>m²</t>
        </is>
      </c>
      <c r="E88" s="37" t="inlineStr">
        <is>
          <t>Área de losa + 10% de traslapes.</t>
        </is>
      </c>
      <c r="J88" s="79" t="inlineStr">
        <is>
          <t>—</t>
        </is>
      </c>
    </row>
    <row r="89">
      <c r="B89" s="77" t="inlineStr">
        <is>
          <t>Acero de nervaduras secundarias (con desperdicio)</t>
        </is>
      </c>
      <c r="C89" s="78">
        <f>CUANTIFICACION!$I$44*CUANTIFICACION!$C$7</f>
        <v>2653.12606276</v>
      </c>
      <c r="D89" s="41" t="inlineStr">
        <is>
          <t>kg</t>
        </is>
      </c>
      <c r="E89" s="37" t="inlineStr">
        <is>
          <t>—</t>
        </is>
      </c>
      <c r="J89" s="79" t="inlineStr">
        <is>
          <t>—</t>
        </is>
      </c>
    </row>
    <row r="90">
      <c r="B90" s="77" t="inlineStr">
        <is>
          <t>Acero de nervaduras principales (con desperdicio)</t>
        </is>
      </c>
      <c r="C90" s="78">
        <f>CUANTIFICACION!$H$82*CUANTIFICACION!$C$7</f>
        <v>1096.4387156</v>
      </c>
      <c r="D90" s="41" t="inlineStr">
        <is>
          <t>kg</t>
        </is>
      </c>
      <c r="E90" s="37" t="inlineStr">
        <is>
          <t>—</t>
        </is>
      </c>
      <c r="J90" s="79" t="inlineStr">
        <is>
          <t>—</t>
        </is>
      </c>
    </row>
  </sheetData>
  <mergeCells count="48">
    <mergeCell ref="I65:J65"/>
    <mergeCell ref="I81:J81"/>
    <mergeCell ref="I77:J77"/>
    <mergeCell ref="I80:J80"/>
    <mergeCell ref="I49:J49"/>
    <mergeCell ref="B1:J1"/>
    <mergeCell ref="I61:J61"/>
    <mergeCell ref="E8:I8"/>
    <mergeCell ref="I70:J70"/>
    <mergeCell ref="E88:I88"/>
    <mergeCell ref="I57:J57"/>
    <mergeCell ref="B10:J10"/>
    <mergeCell ref="I54:J54"/>
    <mergeCell ref="I76:J76"/>
    <mergeCell ref="E87:I87"/>
    <mergeCell ref="I72:J72"/>
    <mergeCell ref="B84:J84"/>
    <mergeCell ref="I75:J75"/>
    <mergeCell ref="I53:J53"/>
    <mergeCell ref="I66:J66"/>
    <mergeCell ref="I71:J71"/>
    <mergeCell ref="I58:J58"/>
    <mergeCell ref="I56:J56"/>
    <mergeCell ref="I68:J68"/>
    <mergeCell ref="E90:I90"/>
    <mergeCell ref="E6:I6"/>
    <mergeCell ref="I55:J55"/>
    <mergeCell ref="I62:J62"/>
    <mergeCell ref="E86:I86"/>
    <mergeCell ref="E89:I89"/>
    <mergeCell ref="I67:J67"/>
    <mergeCell ref="B4:J4"/>
    <mergeCell ref="I52:J52"/>
    <mergeCell ref="I48:J48"/>
    <mergeCell ref="I64:J64"/>
    <mergeCell ref="I79:J79"/>
    <mergeCell ref="I73:J73"/>
    <mergeCell ref="I51:J51"/>
    <mergeCell ref="E7:I7"/>
    <mergeCell ref="I78:J78"/>
    <mergeCell ref="B46:J46"/>
    <mergeCell ref="I63:J63"/>
    <mergeCell ref="I59:J59"/>
    <mergeCell ref="I50:J50"/>
    <mergeCell ref="I69:J69"/>
    <mergeCell ref="I60:J60"/>
    <mergeCell ref="I74:J74"/>
    <mergeCell ref="B2:J2"/>
  </mergeCells>
  <conditionalFormatting sqref="I1:J91">
    <cfRule type="expression" priority="1" dxfId="0" stopIfTrue="1">
      <formula>OR(ISNUMBER(FIND("NO CUMPLE",I1)),ISNUMBER(FIND("REVISAR",I1)),ISNUMBER(FIND("NO CABE",I1)),ISNUMBER(FIND("FUERA",I1)),ISNUMBER(FIND("SIN APOYO",I1)),ISNUMBER(FIND("INSUFICIENTE",I1)),ISNUMBER(FIND("PENDIENTE",I1)))</formula>
    </cfRule>
    <cfRule type="expression" priority="2" dxfId="1" stopIfTrue="1">
      <formula>OR(ISNUMBER(FIND("CUMPLE",I1)),ISNUMBER(FIND("SÍ aplica",I1)),ISNUMBER(FIND("MANDA",I1)))</formula>
    </cfRule>
    <cfRule type="expression" priority="3" dxfId="2" stopIfTrue="1">
      <formula>OR(ISNUMBER(FIND("MACIZAR",I1)),ISNUMBER(FIND("VOLADO",I1)),ISNUMBER(FIND("PROPUESTO",I1)),ISNUMBER(FIND("VER ",I1)))</formula>
    </cfRule>
  </conditionalFormatting>
  <pageMargins left="0.75" right="0.75" top="1" bottom="1" header="0.5" footer="0.5"/>
  <pageSetup orientation="landscape" paperSize="1" fitToHeight="0" fitToWidth="1"/>
</worksheet>
</file>

<file path=xl/worksheets/sheet10.xml><?xml version="1.0" encoding="utf-8"?>
<worksheet xmlns="http://schemas.openxmlformats.org/spreadsheetml/2006/main">
  <sheetPr>
    <outlinePr summaryBelow="1" summaryRight="1"/>
    <pageSetUpPr fitToPage="1"/>
  </sheetPr>
  <dimension ref="B1:N216"/>
  <sheetViews>
    <sheetView showGridLines="0" zoomScale="85" workbookViewId="0">
      <selection activeCell="A1" sqref="A1"/>
    </sheetView>
  </sheetViews>
  <sheetFormatPr baseColWidth="8" defaultRowHeight="15"/>
  <cols>
    <col width="1.78" customWidth="1" min="1" max="1"/>
    <col width="16" customWidth="1" min="2" max="2"/>
    <col width="12" customWidth="1" min="3" max="3"/>
    <col width="10" customWidth="1" min="4" max="4"/>
    <col width="9" customWidth="1" min="5" max="5"/>
    <col width="7" customWidth="1" min="6" max="6"/>
    <col width="7" customWidth="1" min="7" max="7"/>
    <col width="8" customWidth="1" min="8" max="8"/>
    <col width="8" customWidth="1" min="9" max="9"/>
    <col width="9" customWidth="1" min="10" max="10"/>
    <col width="8" customWidth="1" min="11" max="11"/>
    <col width="9" customWidth="1" min="12" max="12"/>
    <col width="9" customWidth="1" min="13" max="13"/>
    <col width="30" customWidth="1" min="14" max="14"/>
  </cols>
  <sheetData>
    <row r="1" ht="26" customHeight="1">
      <c r="B1" s="1" t="inlineStr">
        <is>
          <t>RESUMEN DE LAS LOSAS NERVADAS — CASA ROCHA</t>
        </is>
      </c>
    </row>
    <row r="2" ht="30" customHeight="1">
      <c r="B2" s="2" t="inlineStr">
        <is>
          <t>Losa reticular LR-25 (casetón 60×60×20, nervadura de 10 cm, capa de 5 cm) en entrepiso N+3.00 y azotea N+6.00, apoyada en muros de block confinados y en nervaduras principales.</t>
        </is>
      </c>
    </row>
    <row r="3" ht="6" customHeight="1"/>
    <row r="4" ht="21" customHeight="1">
      <c r="B4" s="5" t="inlineStr">
        <is>
          <t>1. REVISIONES — TODO EN UN SOLO LUGAR</t>
        </is>
      </c>
    </row>
    <row r="5">
      <c r="B5" s="8" t="inlineStr">
        <is>
          <t>Revisión</t>
        </is>
      </c>
      <c r="C5" s="80" t="n"/>
      <c r="D5" s="33" t="n"/>
      <c r="E5" s="8" t="inlineStr">
        <is>
          <t>Cuántos</t>
        </is>
      </c>
      <c r="F5" s="8" t="inlineStr">
        <is>
          <t>de</t>
        </is>
      </c>
      <c r="G5" s="8" t="inlineStr"/>
      <c r="H5" s="80" t="n"/>
      <c r="I5" s="80" t="n"/>
      <c r="J5" s="80" t="n"/>
      <c r="K5" s="80" t="n"/>
      <c r="L5" s="80" t="n"/>
      <c r="M5" s="33" t="n"/>
      <c r="N5" s="8" t="inlineStr">
        <is>
          <t>Estado</t>
        </is>
      </c>
    </row>
    <row r="6">
      <c r="B6" s="77" t="inlineStr">
        <is>
          <t>Tableros que CUMPLEN (nervaduras secundarias)</t>
        </is>
      </c>
      <c r="E6" s="59">
        <f>COUNTIF(TABLEROS!$CZ$9:$CZ$40,"CUMPLE*")</f>
        <v>28</v>
      </c>
      <c r="F6" s="56">
        <f>COUNTA(TABLEROS!$CZ$9:$CZ$40)-COUNTIF(TABLEROS!$CZ$9:$CZ$40,"HUECO*")</f>
        <v>30</v>
      </c>
      <c r="G6" s="41" t="inlineStr"/>
      <c r="N6" s="64" t="str">
        <f>IF(E6=F6,"CUMPLE — todos","REVISAR — "&amp;(F6-E6)&amp;" pendiente(s)")</f>
        <v>REVISAR — 2 pendiente(s)</v>
      </c>
    </row>
    <row r="7">
      <c r="B7" s="77" t="inlineStr">
        <is>
          <t>Tableros que piden MACIZAR casetones junto al apoyo</t>
        </is>
      </c>
      <c r="E7" s="59">
        <f>COUNTIF(TABLEROS!$CZ$9:$CZ$40,"*MACIZAR*")</f>
        <v>2</v>
      </c>
      <c r="F7" s="56">
        <f>COUNTA(TABLEROS!$CZ$9:$CZ$40)</f>
        <v>32</v>
      </c>
      <c r="G7" s="41" t="inlineStr"/>
      <c r="N7" s="64" t="str">
        <f>"informativo"</f>
        <v>informativo</v>
      </c>
    </row>
    <row r="8">
      <c r="B8" s="77" t="inlineStr">
        <is>
          <t>Tableros que esperan a una nervadura principal</t>
        </is>
      </c>
      <c r="E8" s="59">
        <f>COUNTIF(TABLEROS!$CZ$9:$CZ$40,"VER PRINCIPALES*")</f>
        <v>0</v>
      </c>
      <c r="F8" s="56">
        <f>COUNTA(TABLEROS!$CZ$9:$CZ$40)</f>
        <v>32</v>
      </c>
      <c r="G8" s="41" t="inlineStr"/>
      <c r="N8" s="64" t="str">
        <f>IF(E8=0,"CUMPLE — ninguno","REVISAR — ver lista")</f>
        <v>CUMPLE — ninguno</v>
      </c>
    </row>
    <row r="9">
      <c r="B9" s="77" t="inlineStr">
        <is>
          <t>Tableros que NO CUMPLEN</t>
        </is>
      </c>
      <c r="E9" s="59">
        <f>COUNTIF(TABLEROS!$CZ$9:$CZ$40,"NO CUMPLE*")</f>
        <v>2</v>
      </c>
      <c r="F9" s="56">
        <f>COUNTA(TABLEROS!$CZ$9:$CZ$40)</f>
        <v>32</v>
      </c>
      <c r="G9" s="41" t="inlineStr"/>
      <c r="N9" s="64" t="str">
        <f>IF(E9=0,"CUMPLE — ninguno","REVISAR — ver lista")</f>
        <v>REVISAR — ver lista</v>
      </c>
    </row>
    <row r="10">
      <c r="B10" s="77" t="inlineStr">
        <is>
          <t>Tableros donde h_eq &lt; espesor mínimo (calcular flecha)</t>
        </is>
      </c>
      <c r="E10" s="59">
        <f>COUNTIF(TABLEROS!$CZ$9:$CZ$40,"REVISAR: calcular flecha*")</f>
        <v>0</v>
      </c>
      <c r="F10" s="56">
        <f>COUNTA(TABLEROS!$CZ$9:$CZ$40)</f>
        <v>32</v>
      </c>
      <c r="G10" s="41" t="inlineStr"/>
      <c r="N10" s="64" t="str">
        <f>IF(E10=0,"CUMPLE — ninguno","REVISAR — ver lista")</f>
        <v>CUMPLE — ninguno</v>
      </c>
    </row>
    <row r="11">
      <c r="B11" s="77" t="inlineStr">
        <is>
          <t>Tableros que no cumplen 6.7.8.1.4 (se diseñan como losa sobre vigas: recubrimiento de viga, sin ×1.1)</t>
        </is>
      </c>
      <c r="E11" s="59">
        <f>COUNTIFS(TABLEROS!$CL$9:$CL$40,"NO",TABLEROS!$D$9:$D$40,"PERIMETRAL")</f>
        <v>23</v>
      </c>
      <c r="F11" s="56">
        <f>COUNTIF(TABLEROS!$D$9:$D$40,"PERIMETRAL")</f>
        <v>28</v>
      </c>
      <c r="G11" s="41" t="inlineStr"/>
      <c r="N11" s="64" t="str">
        <f>"informativo"</f>
        <v>informativo</v>
      </c>
    </row>
    <row r="12">
      <c r="B12" s="77" t="inlineStr">
        <is>
          <t>Tableros fuera de 3.4.2.1 c) (M⁻ del borde común con un vecino difieren &gt; 50 %): confirmar con el modelo</t>
        </is>
      </c>
      <c r="E12" s="59">
        <f>COUNTIF(TABLEROS!$AZ$9:$AZ$40,"FUERA*")</f>
        <v>27</v>
      </c>
      <c r="F12" s="56">
        <f>COUNTIF(TABLEROS!$D$9:$D$40,"PERIMETRAL")</f>
        <v>28</v>
      </c>
      <c r="G12" s="41" t="inlineStr"/>
      <c r="N12" s="64" t="str">
        <f>"informativo"</f>
        <v>informativo</v>
      </c>
    </row>
    <row r="13">
      <c r="B13" s="77" t="inlineStr">
        <is>
          <t>Nervaduras principales que CUMPLEN con la sección propuesta</t>
        </is>
      </c>
      <c r="E13" s="59">
        <f>COUNTIF(PRINCIPALES!$BZ$9:$BZ$42,"CUMPLE*")</f>
        <v>28</v>
      </c>
      <c r="F13" s="56">
        <f>COUNTA(PRINCIPALES!$BZ$9:$BZ$42)-COUNTIF(PRINCIPALES!$BZ$9:$BZ$42,"BORDE*")</f>
        <v>30</v>
      </c>
      <c r="G13" s="41" t="inlineStr"/>
      <c r="N13" s="64" t="str">
        <f>IF(E13=F13,"CUMPLE — todos","REVISAR — "&amp;(F13-E13)&amp;" pendiente(s)")</f>
        <v>REVISAR — 2 pendiente(s)</v>
      </c>
    </row>
    <row r="14">
      <c r="B14" s="77" t="inlineStr">
        <is>
          <t>Nervaduras principales que hay que PERALTAR respecto a la dala 15×25 del modelo (incluye las PENDIENTES)</t>
        </is>
      </c>
      <c r="E14" s="59">
        <f>COUNTIF(PRINCIPALES!$P$9:$P$42,"PERALTAR*")</f>
        <v>18</v>
      </c>
      <c r="F14" s="56">
        <f>COUNTA(PRINCIPALES!$BZ$9:$BZ$42)-COUNTIF(PRINCIPALES!$BZ$9:$BZ$42,"BORDE*")</f>
        <v>30</v>
      </c>
      <c r="G14" s="41" t="inlineStr"/>
      <c r="N14" s="64" t="str">
        <f>"informativo"</f>
        <v>informativo</v>
      </c>
    </row>
    <row r="15">
      <c r="B15" s="77" t="inlineStr">
        <is>
          <t>Nervaduras principales PENDIENTES del análisis de interacción muro-viga (NTC-M 4.1.18.2.1)</t>
        </is>
      </c>
      <c r="E15" s="59">
        <f>COUNTIF(PRINCIPALES!$BZ$9:$BZ$42,"PENDIENTE*")</f>
        <v>2</v>
      </c>
      <c r="F15" s="56">
        <f>COUNTA(PRINCIPALES!$BZ$9:$BZ$42)-COUNTIF(PRINCIPALES!$BZ$9:$BZ$42,"BORDE*")</f>
        <v>30</v>
      </c>
      <c r="G15" s="41" t="inlineStr"/>
      <c r="N15" s="64" t="str">
        <f>IF(E15=0,"CUMPLE — ninguno","REVISAR — ver lista")</f>
        <v>REVISAR — ver lista</v>
      </c>
    </row>
    <row r="16">
      <c r="B16" s="77" t="inlineStr">
        <is>
          <t>Nervaduras principales que NO CUMPLEN</t>
        </is>
      </c>
      <c r="E16" s="59">
        <f>COUNTIF(PRINCIPALES!$BZ$9:$BZ$42,"NO CUMPLE*")</f>
        <v>0</v>
      </c>
      <c r="F16" s="56">
        <f>COUNTA(PRINCIPALES!$BZ$9:$BZ$42)-COUNTIF(PRINCIPALES!$BZ$9:$BZ$42,"BORDE*")</f>
        <v>30</v>
      </c>
      <c r="G16" s="41" t="inlineStr"/>
      <c r="N16" s="64" t="str">
        <f>IF(E16=0,"CUMPLE — ninguno","REVISAR — ver lista")</f>
        <v>CUMPLE — ninguno</v>
      </c>
    </row>
    <row r="17">
      <c r="B17" s="77" t="inlineStr">
        <is>
          <t>Capa de compresión: temperatura, diafragma, recubrimiento, separación de la malla, punzonamiento, acero mínimo junto a la carga (6.7.6.1.2) y flexión con 1 000 kg</t>
        </is>
      </c>
      <c r="E17" s="59">
        <f>COUNTIF(NERVADURA!$C$146:$C$168,"NO CUMPLE*")</f>
        <v>4</v>
      </c>
      <c r="F17" s="56" t="n">
        <v>7</v>
      </c>
      <c r="G17" s="41" t="inlineStr"/>
      <c r="N17" s="64" t="str">
        <f>IF(E17=0,"CUMPLE — ninguno","REVISAR — ver lista")</f>
        <v>REVISAR — ver lista</v>
      </c>
    </row>
    <row r="18">
      <c r="B18" s="77" t="inlineStr">
        <is>
          <t>Anclaje de las nervaduras en bordes discontinuos (barra inferior a 1.25 fy y bastón superior en la dala de 15 cm)</t>
        </is>
      </c>
      <c r="E18" s="59">
        <f>COUNTIF(NERVADURA!$C$140,"NO CUMPLE*")+COUNTIF(NERVADURA!$C$141,"NO CUMPLE*")</f>
        <v>2</v>
      </c>
      <c r="F18" s="56" t="n">
        <v>2</v>
      </c>
      <c r="G18" s="41" t="inlineStr"/>
      <c r="N18" s="64" t="str">
        <f>IF(E18=0,"CUMPLE — ninguno","REVISAR — ver lista")</f>
        <v>REVISAR — ver lista</v>
      </c>
    </row>
    <row r="19">
      <c r="B19" s="77" t="inlineStr">
        <is>
          <t>Nervaduras principales sin apoyo</t>
        </is>
      </c>
      <c r="E19" s="59">
        <f>COUNTIF(PRINCIPALES!$BZ$9:$BZ$42,"SIN APOYO*")</f>
        <v>0</v>
      </c>
      <c r="F19" s="56">
        <f>COUNTA(PRINCIPALES!$BZ$9:$BZ$42)</f>
        <v>34</v>
      </c>
      <c r="G19" s="41" t="inlineStr"/>
      <c r="N19" s="64" t="str">
        <f>IF(E19=0,"CUMPLE — ninguno","REVISAR — ver lista")</f>
        <v>CUMPLE — ninguno</v>
      </c>
    </row>
    <row r="20">
      <c r="B20" s="77" t="inlineStr">
        <is>
          <t>Castillos propuestos aceptados</t>
        </is>
      </c>
      <c r="E20" s="59">
        <f>COUNTIF(APOYOS!$C$1:$C$400,"SÍ")</f>
        <v>8</v>
      </c>
      <c r="F20" s="56" t="n">
        <v>8</v>
      </c>
      <c r="G20" s="41" t="inlineStr"/>
      <c r="N20" s="64" t="str">
        <f>"informativo"</f>
        <v>informativo</v>
      </c>
    </row>
    <row r="21" ht="6" customHeight="1"/>
    <row r="22" ht="21" customHeight="1">
      <c r="B22" s="5" t="inlineStr">
        <is>
          <t>2. DECISIONES QUE TE TOCAN</t>
        </is>
      </c>
    </row>
    <row r="23" ht="41" customHeight="1">
      <c r="B23" s="32" t="inlineStr">
        <is>
          <t>1) CASTILLOS: la hoja propone bajar a cimentación los castillos C1…C8 (APOYOS sección B). Sin ellos, las nervaduras principales de la cochera, del vacío de doble altura y de la escalera quedan en volado de 4 a 8 m. Si una bajada queda aislada (sin muro en planta baja) es columna: mínimo 25×25 (NTC-Concreto 6.4.2.1.1, p. 138).</t>
        </is>
      </c>
    </row>
    <row r="24" ht="67" customHeight="1">
      <c r="B24" s="32" t="inlineStr">
        <is>
          <t>2) PRINCIPALES CON MURO ENCIMA: la casa es estructura Tipo I de mampostería (muros desplantados sobre vigas, NTC-M 1.6.1 c, p. 15). Esas vigas deben cumplir 4.1.18.4 (L/h ≤ 14 si son rectangulares o I ≥ L³/1600 para la sección T, p. 46), la flecha de 4.1.18.3 con límite 0.3 cm + L/480 y f_CM ≤ F_R·f'm (4.1.18.2). Con eso la dala de 15×25 sólo queda en los tramos cortos; la tabla 4 da la sección propuesta (trabe descolgada) y en PRINCIPALES puedes cambiar b y h y ver el resultado al momento. Donde H/L &lt; 0.6 (NP-15, NP-26) el procedimiento de 4.1.18.2 no aplica: queda PENDIENTE el análisis de interacción muro-viga (4.1.18.2.1, p. 44).</t>
        </is>
      </c>
    </row>
    <row r="25" ht="54" customHeight="1">
      <c r="B25" s="32" t="inlineStr">
        <is>
          <t>3) CAPA DE COMPRESIÓN DE 5 cm: con la malla 6x6-6/6 cumple temperatura (0.0018), recubrimiento interior y flexión con 1 000 kg, pero queda 2% abajo de la cuantía de diafragma (0.0025, 6.8.6.4), 1% abajo en punzonamiento con la carga directo sobre la capa y al 61% del acero mínimo alrededor de la carga concentrada (6.7.6.1.2). Lo resuelve una capa de 6 cm (casetón de 19 cm para seguir en h = 25) con malla 6x6-4/4, que cumple las tres. Contar el reparto del piso (NERVADURA sección 11) sólo resuelve el punzonamiento.</t>
        </is>
      </c>
    </row>
    <row r="26" ht="28" customHeight="1">
      <c r="B26" s="32" t="inlineStr">
        <is>
          <t>4) SOBRECARGA: la hoja suma 20 + 20 kg/m² (NTC-Criterios 5.1.2.1). Si la sobrecarga del modelo ya trae la «carga adicional 0.04 t/m²» de Naim, ponlos en cero en DATOS sección 5.</t>
        </is>
      </c>
    </row>
    <row r="27" ht="28" customHeight="1">
      <c r="B27" s="32" t="inlineStr">
        <is>
          <t>5) MODELO: corregir en ETABS F80032 y F80010 de azotea a LR-25, ponerle cargas a F2 y meter las secciones propuestas de las principales; luego volver a correr y comparar reacciones contra la hoja MUROS.</t>
        </is>
      </c>
    </row>
    <row r="28" ht="41" customHeight="1">
      <c r="B28" s="32" t="inlineStr">
        <is>
          <t>6) PLANOS: concreto Clase 1A f'c = 250 con agregado calizo de 1/2" (TMA ≤ 2/3 del recubrimiento), nota de las precauciones de 3.9.2 (casetón de medida fija para b_w y silletas para el peralte del lecho superior), malla especificada y apuntalamiento del entrepiso al colar la azotea (NTC-Criterios 6.1.3.1).</t>
        </is>
      </c>
    </row>
    <row r="29" ht="54" customHeight="1">
      <c r="B29" s="32" t="inlineStr">
        <is>
          <t>7) TABLEROS CHICOS (6.7.8.1.4, p. 187): con casetón de 60 cm la losa sólo cuenta como encasetonada donde la separación libre (60 cm) no pasa de 1/6 del claro, o sea con claro corto ≥ 3.60 m. En los demás la norma pide diseñarla como losa apoyada en vigas (6.7.8.1.9, p. 188): la hoja ya les pone a sus nervaduras recubrimiento de viga (4 cm, Tabla 4.14.16.a) y quita el ×1.1 de V_cR, y donde no alcanza sale NO CUMPLE. Opciones: casetón más chico en esos tableros (la nota de cada uno dice el tamaño máximo), colarlos macizos, o aceptar el criterio con justificación del Responsable.</t>
        </is>
      </c>
    </row>
    <row r="30" ht="41" customHeight="1">
      <c r="B30" s="32" t="inlineStr">
        <is>
          <t>8) MÉTODO DE COEFICIENTES (3.4.2.1 c, p. 64): donde un tablero chico colinda con uno grande, los M⁻ del borde común difieren más de 50 % y los coeficientes quedan fuera de su campo. La hoja distribuye 2/3 del desequilibrio con rigideces d³/a1 (3.4.3.1) y revisa con esos momentos; conviene confirmar los momentos de esos tableros con el modelo de ETABS (método reconocido, 3.4.1.1). La lista está en TABLEROS, columna «3.4.2.1 c)».</t>
        </is>
      </c>
    </row>
    <row r="31" ht="41" customHeight="1">
      <c r="B31" s="32" t="inlineStr">
        <is>
          <t>9) ANCLAJE EN BORDES DISCONTINUOS: la barra inferior de cada nervadura debe desarrollar 1.25 fy en el paño (6.7.8.1.7) con ≥ 15 cm dentro del muro, y el bastón superior fy (6.7.7.4.1.1 b); con No. 4, L_dh = 25 cm (32 cm a 1.25 fy) y en la dala de 15 cm sólo hay 11 cm. Opciones: dala o cadena de borde de ≥ 30–36 cm de ancho en esos bordes, barras con cabeza (14.4.4) o justificación del Responsable en planos (NERVADURA sección 10).</t>
        </is>
      </c>
    </row>
    <row r="32" ht="80" customHeight="1">
      <c r="B32" s="32" t="inlineStr">
        <is>
          <t>10) VOLADOS F80012 Y F80019 (NO CUMPLEN): sus nervaduras no son «viguetas» (6.7.8.1.4) y van como vigas con 4 cm de recubrimiento en las dos caras; además su cara superior queda sin techo (exposición A2, Tabla 4.3.1 c). En 10 cm de ancho cabe una sola varilla y el M⁻ del empotramiento (≈ 1.8 t·m por nervadura) pide una No. 8 que no cabe. Opciones: nervaduras más anchas en los volados (casetón más chico o nervadura de 15–20 cm), volado macizo con su propio diseño, o volado más corto. La malla de la capa en esas zonas pide protección (piso o impermeabilizante; selector en DATOS) o capa más gruesa. Mientras sigan, el desequilibrio de su momento sube el cortante de los tableros de respaldo (F80016, F80018, F80020, F80021): F80020 y F80021 piden macizar (TABLEROS, columna «ΔV por volado vecino»).</t>
        </is>
      </c>
    </row>
    <row r="33" ht="6" customHeight="1"/>
    <row r="34" ht="21" customHeight="1">
      <c r="B34" s="5" t="inlineStr">
        <is>
          <t>3. TABLA DE NERVADURAS SECUNDARIAS (COMO LA DE NAIM)</t>
        </is>
      </c>
    </row>
    <row r="35" ht="30" customHeight="1">
      <c r="B35" s="8" t="inlineStr">
        <is>
          <t>Tablero</t>
        </is>
      </c>
      <c r="C35" s="8" t="inlineStr">
        <is>
          <t>Nervadura</t>
        </is>
      </c>
      <c r="D35" s="8" t="inlineStr">
        <is>
          <t>Lecho</t>
        </is>
      </c>
      <c r="E35" s="8" t="inlineStr">
        <is>
          <t>Mu (t·m)</t>
        </is>
      </c>
      <c r="F35" s="8" t="inlineStr">
        <is>
          <t>b (cm)</t>
        </is>
      </c>
      <c r="G35" s="8" t="inlineStr">
        <is>
          <t>h (cm)</t>
        </is>
      </c>
      <c r="H35" s="8" t="inlineStr">
        <is>
          <t>Cant. var.</t>
        </is>
      </c>
      <c r="I35" s="8" t="inlineStr">
        <is>
          <t>Var. No.</t>
        </is>
      </c>
      <c r="J35" s="8" t="inlineStr">
        <is>
          <t>M_R (t·m)</t>
        </is>
      </c>
      <c r="K35" s="8" t="inlineStr">
        <is>
          <t>Mu/M_R</t>
        </is>
      </c>
      <c r="L35" s="8" t="inlineStr">
        <is>
          <t>Vu (t)</t>
        </is>
      </c>
      <c r="M35" s="8" t="inlineStr">
        <is>
          <t>V_cR (t)</t>
        </is>
      </c>
      <c r="N35" s="8" t="inlineStr">
        <is>
          <t>Estado del tablero</t>
        </is>
      </c>
    </row>
    <row r="36">
      <c r="B36" s="34" t="inlineStr">
        <is>
          <t>F80001 N+3.00</t>
        </is>
      </c>
      <c r="C36" s="41" t="inlineStr">
        <is>
          <t>‖ claro corto</t>
        </is>
      </c>
      <c r="D36" s="41" t="inlineStr">
        <is>
          <t>Inferior</t>
        </is>
      </c>
      <c r="E36" s="36">
        <f>TABLEROS!$BB$9</f>
        <v>0.0472662876226908</v>
      </c>
      <c r="F36" s="56">
        <f>TABLEROS!$P$9</f>
        <v>31.3</v>
      </c>
      <c r="G36" s="56">
        <f>DATOS!$C$15</f>
        <v>25</v>
      </c>
      <c r="H36" s="59">
        <f>TABLEROS!$BI$9</f>
        <v>1</v>
      </c>
      <c r="I36" s="81">
        <f>TABLEROS!$BH$9</f>
        <v>4</v>
      </c>
      <c r="J36" s="36">
        <f>TABLEROS!$BK$9</f>
        <v>0.95839287566059</v>
      </c>
      <c r="K36" s="43">
        <f>TABLEROS!$BL$9</f>
        <v>0.0493182794061482</v>
      </c>
      <c r="L36" s="36" t="inlineStr"/>
      <c r="M36" s="36" t="inlineStr"/>
      <c r="N36" s="44" t="str">
        <f>TABLEROS!$CZ$9</f>
        <v>CUMPLE · fuera de 3.4.2.1 c)</v>
      </c>
    </row>
    <row r="37">
      <c r="B37" s="34" t="inlineStr"/>
      <c r="C37" s="41" t="inlineStr">
        <is>
          <t>‖ claro corto</t>
        </is>
      </c>
      <c r="D37" s="41" t="inlineStr">
        <is>
          <t>Superior</t>
        </is>
      </c>
      <c r="E37" s="36">
        <f>TABLEROS!$BC$9</f>
        <v>0.260517395265689</v>
      </c>
      <c r="F37" s="56">
        <f>DATOS!$C$19</f>
        <v>10</v>
      </c>
      <c r="G37" s="56">
        <f>DATOS!$C$15</f>
        <v>25</v>
      </c>
      <c r="H37" s="59">
        <f>TABLEROS!$BQ$9</f>
        <v>1</v>
      </c>
      <c r="I37" s="81">
        <f>TABLEROS!$BP$9</f>
        <v>4</v>
      </c>
      <c r="J37" s="36">
        <f>TABLEROS!$BS$9</f>
        <v>0.870537980117647</v>
      </c>
      <c r="K37" s="43">
        <f>TABLEROS!$BT$9</f>
        <v>0.29926022897988</v>
      </c>
      <c r="L37" s="36">
        <f>TABLEROS!$CM$9</f>
        <v>0.14141879056189</v>
      </c>
      <c r="M37" s="36">
        <f>TABLEROS!$CN$9</f>
        <v>0.860398102904257</v>
      </c>
      <c r="N37" s="44" t="inlineStr"/>
    </row>
    <row r="38">
      <c r="B38" s="34" t="inlineStr"/>
      <c r="C38" s="41" t="inlineStr">
        <is>
          <t>‖ claro largo</t>
        </is>
      </c>
      <c r="D38" s="41" t="inlineStr">
        <is>
          <t>Inferior</t>
        </is>
      </c>
      <c r="E38" s="36">
        <f>TABLEROS!$BD$9</f>
        <v>0.0190314456828166</v>
      </c>
      <c r="F38" s="56">
        <f>TABLEROS!$Q$9</f>
        <v>70</v>
      </c>
      <c r="G38" s="56">
        <f>DATOS!$C$15</f>
        <v>25</v>
      </c>
      <c r="H38" s="59">
        <f>TABLEROS!$BY$9</f>
        <v>1</v>
      </c>
      <c r="I38" s="81">
        <f>TABLEROS!$BX$9</f>
        <v>4</v>
      </c>
      <c r="J38" s="36">
        <f>TABLEROS!$CA$9</f>
        <v>0.908067376588235</v>
      </c>
      <c r="K38" s="43">
        <f>TABLEROS!$CB$9</f>
        <v>0.0209581867749958</v>
      </c>
      <c r="L38" s="36" t="inlineStr"/>
      <c r="M38" s="36" t="inlineStr"/>
      <c r="N38" s="44" t="inlineStr"/>
    </row>
    <row r="39">
      <c r="B39" s="34" t="inlineStr"/>
      <c r="C39" s="41" t="inlineStr">
        <is>
          <t>‖ claro largo</t>
        </is>
      </c>
      <c r="D39" s="41" t="inlineStr">
        <is>
          <t>Superior</t>
        </is>
      </c>
      <c r="E39" s="36">
        <f>TABLEROS!$BE$9</f>
        <v>0.0181919091126192</v>
      </c>
      <c r="F39" s="56">
        <f>DATOS!$C$19</f>
        <v>10</v>
      </c>
      <c r="G39" s="56">
        <f>DATOS!$C$15</f>
        <v>25</v>
      </c>
      <c r="H39" s="59">
        <f>TABLEROS!$CG$9</f>
        <v>1</v>
      </c>
      <c r="I39" s="81">
        <f>TABLEROS!$CF$9</f>
        <v>4</v>
      </c>
      <c r="J39" s="36">
        <f>TABLEROS!$CI$9</f>
        <v>0.809570360117647</v>
      </c>
      <c r="K39" s="43">
        <f>TABLEROS!$CJ$9</f>
        <v>0.0224710661467096</v>
      </c>
      <c r="L39" s="36" t="inlineStr"/>
      <c r="M39" s="36" t="inlineStr"/>
      <c r="N39" s="44" t="inlineStr"/>
    </row>
    <row r="40">
      <c r="B40" s="34" t="inlineStr">
        <is>
          <t>F80003 N+3.00</t>
        </is>
      </c>
      <c r="C40" s="41" t="inlineStr">
        <is>
          <t>‖ claro corto</t>
        </is>
      </c>
      <c r="D40" s="41" t="inlineStr">
        <is>
          <t>Inferior</t>
        </is>
      </c>
      <c r="E40" s="36">
        <f>TABLEROS!$BB$10</f>
        <v>0.248121530790141</v>
      </c>
      <c r="F40" s="56">
        <f>TABLEROS!$P$10</f>
        <v>70</v>
      </c>
      <c r="G40" s="56">
        <f>DATOS!$C$15</f>
        <v>25</v>
      </c>
      <c r="H40" s="59">
        <f>TABLEROS!$BI$10</f>
        <v>1</v>
      </c>
      <c r="I40" s="81">
        <f>TABLEROS!$BH$10</f>
        <v>4</v>
      </c>
      <c r="J40" s="36">
        <f>TABLEROS!$BK$10</f>
        <v>0.969034996588235</v>
      </c>
      <c r="K40" s="43">
        <f>TABLEROS!$BL$10</f>
        <v>0.256050123745503</v>
      </c>
      <c r="L40" s="36" t="inlineStr"/>
      <c r="M40" s="36" t="inlineStr"/>
      <c r="N40" s="44" t="str">
        <f>TABLEROS!$CZ$10</f>
        <v>CUMPLE · fuera de 3.4.2.1 c)</v>
      </c>
    </row>
    <row r="41">
      <c r="B41" s="34" t="inlineStr"/>
      <c r="C41" s="41" t="inlineStr">
        <is>
          <t>‖ claro corto</t>
        </is>
      </c>
      <c r="D41" s="41" t="inlineStr">
        <is>
          <t>Superior</t>
        </is>
      </c>
      <c r="E41" s="36">
        <f>TABLEROS!$BC$10</f>
        <v>0.440769675238156</v>
      </c>
      <c r="F41" s="56">
        <f>DATOS!$C$19</f>
        <v>10</v>
      </c>
      <c r="G41" s="56">
        <f>DATOS!$C$15</f>
        <v>25</v>
      </c>
      <c r="H41" s="59">
        <f>TABLEROS!$BQ$10</f>
        <v>1</v>
      </c>
      <c r="I41" s="81">
        <f>TABLEROS!$BP$10</f>
        <v>4</v>
      </c>
      <c r="J41" s="36">
        <f>TABLEROS!$BS$10</f>
        <v>0.870537980117647</v>
      </c>
      <c r="K41" s="43">
        <f>TABLEROS!$BT$10</f>
        <v>0.506318719349372</v>
      </c>
      <c r="L41" s="36">
        <f>TABLEROS!$CM$10</f>
        <v>0.525840494581836</v>
      </c>
      <c r="M41" s="36">
        <f>TABLEROS!$CN$10</f>
        <v>0.860398102904257</v>
      </c>
      <c r="N41" s="44" t="inlineStr"/>
    </row>
    <row r="42">
      <c r="B42" s="34" t="inlineStr"/>
      <c r="C42" s="41" t="inlineStr">
        <is>
          <t>‖ claro largo</t>
        </is>
      </c>
      <c r="D42" s="41" t="inlineStr">
        <is>
          <t>Inferior</t>
        </is>
      </c>
      <c r="E42" s="36">
        <f>TABLEROS!$BD$10</f>
        <v>0.160173873685762</v>
      </c>
      <c r="F42" s="56">
        <f>TABLEROS!$Q$10</f>
        <v>70</v>
      </c>
      <c r="G42" s="56">
        <f>DATOS!$C$15</f>
        <v>25</v>
      </c>
      <c r="H42" s="59">
        <f>TABLEROS!$BY$10</f>
        <v>1</v>
      </c>
      <c r="I42" s="81">
        <f>TABLEROS!$BX$10</f>
        <v>4</v>
      </c>
      <c r="J42" s="36">
        <f>TABLEROS!$CA$10</f>
        <v>0.908067376588235</v>
      </c>
      <c r="K42" s="43">
        <f>TABLEROS!$CB$10</f>
        <v>0.176389855880037</v>
      </c>
      <c r="L42" s="36" t="inlineStr"/>
      <c r="M42" s="36" t="inlineStr"/>
      <c r="N42" s="44" t="inlineStr"/>
    </row>
    <row r="43">
      <c r="B43" s="34" t="inlineStr"/>
      <c r="C43" s="41" t="inlineStr">
        <is>
          <t>‖ claro largo</t>
        </is>
      </c>
      <c r="D43" s="41" t="inlineStr">
        <is>
          <t>Superior</t>
        </is>
      </c>
      <c r="E43" s="36">
        <f>TABLEROS!$BE$10</f>
        <v>0.27918168885358</v>
      </c>
      <c r="F43" s="56">
        <f>DATOS!$C$19</f>
        <v>10</v>
      </c>
      <c r="G43" s="56">
        <f>DATOS!$C$15</f>
        <v>25</v>
      </c>
      <c r="H43" s="59">
        <f>TABLEROS!$CG$10</f>
        <v>1</v>
      </c>
      <c r="I43" s="81">
        <f>TABLEROS!$CF$10</f>
        <v>4</v>
      </c>
      <c r="J43" s="36">
        <f>TABLEROS!$CI$10</f>
        <v>0.809570360117647</v>
      </c>
      <c r="K43" s="43">
        <f>TABLEROS!$CJ$10</f>
        <v>0.344851667757463</v>
      </c>
      <c r="L43" s="36" t="inlineStr"/>
      <c r="M43" s="36" t="inlineStr"/>
      <c r="N43" s="44" t="inlineStr"/>
    </row>
    <row r="44">
      <c r="B44" s="34" t="inlineStr">
        <is>
          <t>F80004 N+3.00</t>
        </is>
      </c>
      <c r="C44" s="41" t="inlineStr">
        <is>
          <t>‖ claro corto</t>
        </is>
      </c>
      <c r="D44" s="41" t="inlineStr">
        <is>
          <t>Inferior</t>
        </is>
      </c>
      <c r="E44" s="36">
        <f>TABLEROS!$BB$11</f>
        <v>0.0771226240011888</v>
      </c>
      <c r="F44" s="56">
        <f>TABLEROS!$P$11</f>
        <v>46.15</v>
      </c>
      <c r="G44" s="56">
        <f>DATOS!$C$15</f>
        <v>25</v>
      </c>
      <c r="H44" s="59">
        <f>TABLEROS!$BI$11</f>
        <v>1</v>
      </c>
      <c r="I44" s="81">
        <f>TABLEROS!$BH$11</f>
        <v>4</v>
      </c>
      <c r="J44" s="36">
        <f>TABLEROS!$BK$11</f>
        <v>0.96458685871455</v>
      </c>
      <c r="K44" s="43">
        <f>TABLEROS!$BL$11</f>
        <v>0.0799540479993328</v>
      </c>
      <c r="L44" s="36" t="inlineStr"/>
      <c r="M44" s="36" t="inlineStr"/>
      <c r="N44" s="44" t="str">
        <f>TABLEROS!$CZ$11</f>
        <v>CUMPLE · fuera de 3.4.2.1 c)</v>
      </c>
    </row>
    <row r="45">
      <c r="B45" s="34" t="inlineStr"/>
      <c r="C45" s="41" t="inlineStr">
        <is>
          <t>‖ claro corto</t>
        </is>
      </c>
      <c r="D45" s="41" t="inlineStr">
        <is>
          <t>Superior</t>
        </is>
      </c>
      <c r="E45" s="36">
        <f>TABLEROS!$BC$11</f>
        <v>0.248654367967847</v>
      </c>
      <c r="F45" s="56">
        <f>DATOS!$C$19</f>
        <v>10</v>
      </c>
      <c r="G45" s="56">
        <f>DATOS!$C$15</f>
        <v>25</v>
      </c>
      <c r="H45" s="59">
        <f>TABLEROS!$BQ$11</f>
        <v>1</v>
      </c>
      <c r="I45" s="81">
        <f>TABLEROS!$BP$11</f>
        <v>4</v>
      </c>
      <c r="J45" s="36">
        <f>TABLEROS!$BS$11</f>
        <v>0.870537980117647</v>
      </c>
      <c r="K45" s="43">
        <f>TABLEROS!$BT$11</f>
        <v>0.285632992065715</v>
      </c>
      <c r="L45" s="36">
        <f>TABLEROS!$CM$11</f>
        <v>0.282271938723824</v>
      </c>
      <c r="M45" s="36">
        <f>TABLEROS!$CN$11</f>
        <v>0.860398102904257</v>
      </c>
      <c r="N45" s="44" t="inlineStr"/>
    </row>
    <row r="46">
      <c r="B46" s="34" t="inlineStr"/>
      <c r="C46" s="41" t="inlineStr">
        <is>
          <t>‖ claro largo</t>
        </is>
      </c>
      <c r="D46" s="41" t="inlineStr">
        <is>
          <t>Inferior</t>
        </is>
      </c>
      <c r="E46" s="36">
        <f>TABLEROS!$BD$11</f>
        <v>0.0580421802494632</v>
      </c>
      <c r="F46" s="56">
        <f>TABLEROS!$Q$11</f>
        <v>70</v>
      </c>
      <c r="G46" s="56">
        <f>DATOS!$C$15</f>
        <v>25</v>
      </c>
      <c r="H46" s="59">
        <f>TABLEROS!$BY$11</f>
        <v>1</v>
      </c>
      <c r="I46" s="81">
        <f>TABLEROS!$BX$11</f>
        <v>4</v>
      </c>
      <c r="J46" s="36">
        <f>TABLEROS!$CA$11</f>
        <v>0.908067376588235</v>
      </c>
      <c r="K46" s="43">
        <f>TABLEROS!$CB$11</f>
        <v>0.0639183630487173</v>
      </c>
      <c r="L46" s="36" t="inlineStr"/>
      <c r="M46" s="36" t="inlineStr"/>
      <c r="N46" s="44" t="inlineStr"/>
    </row>
    <row r="47">
      <c r="B47" s="34" t="inlineStr"/>
      <c r="C47" s="41" t="inlineStr">
        <is>
          <t>‖ claro largo</t>
        </is>
      </c>
      <c r="D47" s="41" t="inlineStr">
        <is>
          <t>Superior</t>
        </is>
      </c>
      <c r="E47" s="36">
        <f>TABLEROS!$BE$11</f>
        <v>0.0982138990781871</v>
      </c>
      <c r="F47" s="56">
        <f>DATOS!$C$19</f>
        <v>10</v>
      </c>
      <c r="G47" s="56">
        <f>DATOS!$C$15</f>
        <v>25</v>
      </c>
      <c r="H47" s="59">
        <f>TABLEROS!$CG$11</f>
        <v>1</v>
      </c>
      <c r="I47" s="81">
        <f>TABLEROS!$CF$11</f>
        <v>4</v>
      </c>
      <c r="J47" s="36">
        <f>TABLEROS!$CI$11</f>
        <v>0.809570360117647</v>
      </c>
      <c r="K47" s="43">
        <f>TABLEROS!$CJ$11</f>
        <v>0.12131607568231</v>
      </c>
      <c r="L47" s="36" t="inlineStr"/>
      <c r="M47" s="36" t="inlineStr"/>
      <c r="N47" s="44" t="inlineStr"/>
    </row>
    <row r="48">
      <c r="B48" s="34" t="inlineStr">
        <is>
          <t>F80005 N+3.00</t>
        </is>
      </c>
      <c r="C48" s="41" t="inlineStr">
        <is>
          <t>‖ claro corto</t>
        </is>
      </c>
      <c r="D48" s="41" t="inlineStr">
        <is>
          <t>Inferior</t>
        </is>
      </c>
      <c r="E48" s="36">
        <f>TABLEROS!$BB$12</f>
        <v>0.0617804552907866</v>
      </c>
      <c r="F48" s="56">
        <f>TABLEROS!$P$12</f>
        <v>46.3</v>
      </c>
      <c r="G48" s="56">
        <f>DATOS!$C$15</f>
        <v>25</v>
      </c>
      <c r="H48" s="59">
        <f>TABLEROS!$BI$12</f>
        <v>1</v>
      </c>
      <c r="I48" s="81">
        <f>TABLEROS!$BH$12</f>
        <v>4</v>
      </c>
      <c r="J48" s="36">
        <f>TABLEROS!$BK$12</f>
        <v>0.964629154604244</v>
      </c>
      <c r="K48" s="43">
        <f>TABLEROS!$BL$12</f>
        <v>0.0640458097248089</v>
      </c>
      <c r="L48" s="36" t="inlineStr"/>
      <c r="M48" s="36" t="inlineStr"/>
      <c r="N48" s="44" t="str">
        <f>TABLEROS!$CZ$12</f>
        <v>CUMPLE · fuera de 3.4.2.1 c)</v>
      </c>
    </row>
    <row r="49">
      <c r="B49" s="34" t="inlineStr"/>
      <c r="C49" s="41" t="inlineStr">
        <is>
          <t>‖ claro corto</t>
        </is>
      </c>
      <c r="D49" s="41" t="inlineStr">
        <is>
          <t>Superior</t>
        </is>
      </c>
      <c r="E49" s="36">
        <f>TABLEROS!$BC$12</f>
        <v>0.286845210560096</v>
      </c>
      <c r="F49" s="56">
        <f>DATOS!$C$19</f>
        <v>10</v>
      </c>
      <c r="G49" s="56">
        <f>DATOS!$C$15</f>
        <v>25</v>
      </c>
      <c r="H49" s="59">
        <f>TABLEROS!$BQ$12</f>
        <v>1</v>
      </c>
      <c r="I49" s="81">
        <f>TABLEROS!$BP$12</f>
        <v>4</v>
      </c>
      <c r="J49" s="36">
        <f>TABLEROS!$BS$12</f>
        <v>0.870537980117647</v>
      </c>
      <c r="K49" s="43">
        <f>TABLEROS!$BT$12</f>
        <v>0.329503384242156</v>
      </c>
      <c r="L49" s="36">
        <f>TABLEROS!$CM$12</f>
        <v>0.253360810758066</v>
      </c>
      <c r="M49" s="36">
        <f>TABLEROS!$CN$12</f>
        <v>0.860398102904257</v>
      </c>
      <c r="N49" s="44" t="inlineStr"/>
    </row>
    <row r="50">
      <c r="B50" s="34" t="inlineStr"/>
      <c r="C50" s="41" t="inlineStr">
        <is>
          <t>‖ claro largo</t>
        </is>
      </c>
      <c r="D50" s="41" t="inlineStr">
        <is>
          <t>Inferior</t>
        </is>
      </c>
      <c r="E50" s="36">
        <f>TABLEROS!$BD$12</f>
        <v>0.0458950558545736</v>
      </c>
      <c r="F50" s="56">
        <f>TABLEROS!$Q$12</f>
        <v>70</v>
      </c>
      <c r="G50" s="56">
        <f>DATOS!$C$15</f>
        <v>25</v>
      </c>
      <c r="H50" s="59">
        <f>TABLEROS!$BY$12</f>
        <v>1</v>
      </c>
      <c r="I50" s="81">
        <f>TABLEROS!$BX$12</f>
        <v>4</v>
      </c>
      <c r="J50" s="36">
        <f>TABLEROS!$CA$12</f>
        <v>0.908067376588235</v>
      </c>
      <c r="K50" s="43">
        <f>TABLEROS!$CB$12</f>
        <v>0.0505414653558078</v>
      </c>
      <c r="L50" s="36" t="inlineStr"/>
      <c r="M50" s="36" t="inlineStr"/>
      <c r="N50" s="44" t="inlineStr"/>
    </row>
    <row r="51">
      <c r="B51" s="34" t="inlineStr"/>
      <c r="C51" s="41" t="inlineStr">
        <is>
          <t>‖ claro largo</t>
        </is>
      </c>
      <c r="D51" s="41" t="inlineStr">
        <is>
          <t>Superior</t>
        </is>
      </c>
      <c r="E51" s="36">
        <f>TABLEROS!$BE$12</f>
        <v>0.10587692673724</v>
      </c>
      <c r="F51" s="56">
        <f>DATOS!$C$19</f>
        <v>10</v>
      </c>
      <c r="G51" s="56">
        <f>DATOS!$C$15</f>
        <v>25</v>
      </c>
      <c r="H51" s="59">
        <f>TABLEROS!$CG$12</f>
        <v>1</v>
      </c>
      <c r="I51" s="81">
        <f>TABLEROS!$CF$12</f>
        <v>4</v>
      </c>
      <c r="J51" s="36">
        <f>TABLEROS!$CI$12</f>
        <v>0.809570360117647</v>
      </c>
      <c r="K51" s="43">
        <f>TABLEROS!$CJ$12</f>
        <v>0.130781624369072</v>
      </c>
      <c r="L51" s="36" t="inlineStr"/>
      <c r="M51" s="36" t="inlineStr"/>
      <c r="N51" s="44" t="inlineStr"/>
    </row>
    <row r="52">
      <c r="B52" s="34" t="inlineStr">
        <is>
          <t>F80006 N+3.00</t>
        </is>
      </c>
      <c r="C52" s="41" t="inlineStr">
        <is>
          <t>‖ claro corto</t>
        </is>
      </c>
      <c r="D52" s="41" t="inlineStr">
        <is>
          <t>Inferior</t>
        </is>
      </c>
      <c r="E52" s="36">
        <f>TABLEROS!$BB$13</f>
        <v>0.0199991568602028</v>
      </c>
      <c r="F52" s="56">
        <f>TABLEROS!$P$13</f>
        <v>31.3</v>
      </c>
      <c r="G52" s="56">
        <f>DATOS!$C$15</f>
        <v>25</v>
      </c>
      <c r="H52" s="59">
        <f>TABLEROS!$BI$13</f>
        <v>1</v>
      </c>
      <c r="I52" s="81">
        <f>TABLEROS!$BH$13</f>
        <v>4</v>
      </c>
      <c r="J52" s="36">
        <f>TABLEROS!$BK$13</f>
        <v>0.95839287566059</v>
      </c>
      <c r="K52" s="43">
        <f>TABLEROS!$BL$13</f>
        <v>0.0208673889050125</v>
      </c>
      <c r="L52" s="36" t="inlineStr"/>
      <c r="M52" s="36" t="inlineStr"/>
      <c r="N52" s="44" t="str">
        <f>TABLEROS!$CZ$13</f>
        <v>CUMPLE · fuera de 3.4.2.1 c)</v>
      </c>
    </row>
    <row r="53">
      <c r="B53" s="34" t="inlineStr"/>
      <c r="C53" s="41" t="inlineStr">
        <is>
          <t>‖ claro corto</t>
        </is>
      </c>
      <c r="D53" s="41" t="inlineStr">
        <is>
          <t>Superior</t>
        </is>
      </c>
      <c r="E53" s="36">
        <f>TABLEROS!$BC$13</f>
        <v>0.242738567639899</v>
      </c>
      <c r="F53" s="56">
        <f>DATOS!$C$19</f>
        <v>10</v>
      </c>
      <c r="G53" s="56">
        <f>DATOS!$C$15</f>
        <v>25</v>
      </c>
      <c r="H53" s="59">
        <f>TABLEROS!$BQ$13</f>
        <v>1</v>
      </c>
      <c r="I53" s="81">
        <f>TABLEROS!$BP$13</f>
        <v>4</v>
      </c>
      <c r="J53" s="36">
        <f>TABLEROS!$BS$13</f>
        <v>0.870537980117647</v>
      </c>
      <c r="K53" s="43">
        <f>TABLEROS!$BT$13</f>
        <v>0.278837423735486</v>
      </c>
      <c r="L53" s="36">
        <f>TABLEROS!$CM$13</f>
        <v>0.084234354696719</v>
      </c>
      <c r="M53" s="36">
        <f>TABLEROS!$CN$13</f>
        <v>0.860398102904257</v>
      </c>
      <c r="N53" s="44" t="inlineStr"/>
    </row>
    <row r="54">
      <c r="B54" s="34" t="inlineStr"/>
      <c r="C54" s="41" t="inlineStr">
        <is>
          <t>‖ claro largo</t>
        </is>
      </c>
      <c r="D54" s="41" t="inlineStr">
        <is>
          <t>Inferior</t>
        </is>
      </c>
      <c r="E54" s="36">
        <f>TABLEROS!$BD$13</f>
        <v>0.0124133272355712</v>
      </c>
      <c r="F54" s="56">
        <f>TABLEROS!$Q$13</f>
        <v>41.3</v>
      </c>
      <c r="G54" s="56">
        <f>DATOS!$C$15</f>
        <v>25</v>
      </c>
      <c r="H54" s="59">
        <f>TABLEROS!$BY$13</f>
        <v>1</v>
      </c>
      <c r="I54" s="81">
        <f>TABLEROS!$BX$13</f>
        <v>4</v>
      </c>
      <c r="J54" s="36">
        <f>TABLEROS!$CA$13</f>
        <v>0.902086106590229</v>
      </c>
      <c r="K54" s="43">
        <f>TABLEROS!$CB$13</f>
        <v>0.013760689966163</v>
      </c>
      <c r="L54" s="36" t="inlineStr"/>
      <c r="M54" s="36" t="inlineStr"/>
      <c r="N54" s="44" t="inlineStr"/>
    </row>
    <row r="55">
      <c r="B55" s="34" t="inlineStr"/>
      <c r="C55" s="41" t="inlineStr">
        <is>
          <t>‖ claro largo</t>
        </is>
      </c>
      <c r="D55" s="41" t="inlineStr">
        <is>
          <t>Superior</t>
        </is>
      </c>
      <c r="E55" s="36">
        <f>TABLEROS!$BE$13</f>
        <v>0.11817227935875</v>
      </c>
      <c r="F55" s="56">
        <f>DATOS!$C$19</f>
        <v>10</v>
      </c>
      <c r="G55" s="56">
        <f>DATOS!$C$15</f>
        <v>25</v>
      </c>
      <c r="H55" s="59">
        <f>TABLEROS!$CG$13</f>
        <v>1</v>
      </c>
      <c r="I55" s="81">
        <f>TABLEROS!$CF$13</f>
        <v>4</v>
      </c>
      <c r="J55" s="36">
        <f>TABLEROS!$CI$13</f>
        <v>0.809570360117647</v>
      </c>
      <c r="K55" s="43">
        <f>TABLEROS!$CJ$13</f>
        <v>0.145969127799561</v>
      </c>
      <c r="L55" s="36" t="inlineStr"/>
      <c r="M55" s="36" t="inlineStr"/>
      <c r="N55" s="44" t="inlineStr"/>
    </row>
    <row r="56">
      <c r="B56" s="34" t="inlineStr">
        <is>
          <t>F80007 N+3.00</t>
        </is>
      </c>
      <c r="C56" s="41" t="inlineStr">
        <is>
          <t>‖ claro corto</t>
        </is>
      </c>
      <c r="D56" s="41" t="inlineStr">
        <is>
          <t>Inferior</t>
        </is>
      </c>
      <c r="E56" s="36">
        <f>TABLEROS!$BB$14</f>
        <v>0.0357121989077182</v>
      </c>
      <c r="F56" s="56">
        <f>TABLEROS!$P$14</f>
        <v>29.325</v>
      </c>
      <c r="G56" s="56">
        <f>DATOS!$C$15</f>
        <v>25</v>
      </c>
      <c r="H56" s="59">
        <f>TABLEROS!$BI$14</f>
        <v>1</v>
      </c>
      <c r="I56" s="81">
        <f>TABLEROS!$BH$14</f>
        <v>4</v>
      </c>
      <c r="J56" s="36">
        <f>TABLEROS!$BK$14</f>
        <v>0.957096459775839</v>
      </c>
      <c r="K56" s="43">
        <f>TABLEROS!$BL$14</f>
        <v>0.0373130613356174</v>
      </c>
      <c r="L56" s="36" t="inlineStr"/>
      <c r="M56" s="36" t="inlineStr"/>
      <c r="N56" s="44" t="str">
        <f>TABLEROS!$CZ$14</f>
        <v>CUMPLE · fuera de 3.4.2.1 c)</v>
      </c>
    </row>
    <row r="57">
      <c r="B57" s="34" t="inlineStr"/>
      <c r="C57" s="41" t="inlineStr">
        <is>
          <t>‖ claro corto</t>
        </is>
      </c>
      <c r="D57" s="41" t="inlineStr">
        <is>
          <t>Superior</t>
        </is>
      </c>
      <c r="E57" s="36">
        <f>TABLEROS!$BC$14</f>
        <v>0.107071817908748</v>
      </c>
      <c r="F57" s="56">
        <f>DATOS!$C$19</f>
        <v>10</v>
      </c>
      <c r="G57" s="56">
        <f>DATOS!$C$15</f>
        <v>25</v>
      </c>
      <c r="H57" s="59">
        <f>TABLEROS!$BQ$14</f>
        <v>1</v>
      </c>
      <c r="I57" s="81">
        <f>TABLEROS!$BP$14</f>
        <v>4</v>
      </c>
      <c r="J57" s="36">
        <f>TABLEROS!$BS$14</f>
        <v>0.870537980117647</v>
      </c>
      <c r="K57" s="43">
        <f>TABLEROS!$BT$14</f>
        <v>0.122994998902033</v>
      </c>
      <c r="L57" s="36">
        <f>TABLEROS!$CM$14</f>
        <v>0.114386862577663</v>
      </c>
      <c r="M57" s="36">
        <f>TABLEROS!$CN$14</f>
        <v>0.860398102904257</v>
      </c>
      <c r="N57" s="44" t="inlineStr"/>
    </row>
    <row r="58">
      <c r="B58" s="34" t="inlineStr"/>
      <c r="C58" s="41" t="inlineStr">
        <is>
          <t>‖ claro largo</t>
        </is>
      </c>
      <c r="D58" s="41" t="inlineStr">
        <is>
          <t>Inferior</t>
        </is>
      </c>
      <c r="E58" s="36">
        <f>TABLEROS!$BD$14</f>
        <v>0.0123453160648969</v>
      </c>
      <c r="F58" s="56">
        <f>TABLEROS!$Q$14</f>
        <v>70</v>
      </c>
      <c r="G58" s="56">
        <f>DATOS!$C$15</f>
        <v>25</v>
      </c>
      <c r="H58" s="59">
        <f>TABLEROS!$BY$14</f>
        <v>1</v>
      </c>
      <c r="I58" s="81">
        <f>TABLEROS!$BX$14</f>
        <v>4</v>
      </c>
      <c r="J58" s="36">
        <f>TABLEROS!$CA$14</f>
        <v>0.908067376588235</v>
      </c>
      <c r="K58" s="43">
        <f>TABLEROS!$CB$14</f>
        <v>0.0135951542618791</v>
      </c>
      <c r="L58" s="36" t="inlineStr"/>
      <c r="M58" s="36" t="inlineStr"/>
      <c r="N58" s="44" t="inlineStr"/>
    </row>
    <row r="59">
      <c r="B59" s="34" t="inlineStr"/>
      <c r="C59" s="41" t="inlineStr">
        <is>
          <t>‖ claro largo</t>
        </is>
      </c>
      <c r="D59" s="41" t="inlineStr">
        <is>
          <t>Superior</t>
        </is>
      </c>
      <c r="E59" s="36">
        <f>TABLEROS!$BE$14</f>
        <v>0.121386198679732</v>
      </c>
      <c r="F59" s="56">
        <f>DATOS!$C$19</f>
        <v>10</v>
      </c>
      <c r="G59" s="56">
        <f>DATOS!$C$15</f>
        <v>25</v>
      </c>
      <c r="H59" s="59">
        <f>TABLEROS!$CG$14</f>
        <v>1</v>
      </c>
      <c r="I59" s="81">
        <f>TABLEROS!$CF$14</f>
        <v>4</v>
      </c>
      <c r="J59" s="36">
        <f>TABLEROS!$CI$14</f>
        <v>0.809570360117647</v>
      </c>
      <c r="K59" s="43">
        <f>TABLEROS!$CJ$14</f>
        <v>0.149939035147102</v>
      </c>
      <c r="L59" s="36" t="inlineStr"/>
      <c r="M59" s="36" t="inlineStr"/>
      <c r="N59" s="44" t="inlineStr"/>
    </row>
    <row r="60">
      <c r="B60" s="34" t="inlineStr">
        <is>
          <t>F80008 N+3.00</t>
        </is>
      </c>
      <c r="C60" s="41" t="inlineStr">
        <is>
          <t>‖ claro corto</t>
        </is>
      </c>
      <c r="D60" s="41" t="inlineStr">
        <is>
          <t>Inferior</t>
        </is>
      </c>
      <c r="E60" s="36">
        <f>TABLEROS!$BB$15</f>
        <v>0.124376989405031</v>
      </c>
      <c r="F60" s="56">
        <f>TABLEROS!$P$15</f>
        <v>56.125</v>
      </c>
      <c r="G60" s="56">
        <f>DATOS!$C$15</f>
        <v>25</v>
      </c>
      <c r="H60" s="59">
        <f>TABLEROS!$BI$15</f>
        <v>1</v>
      </c>
      <c r="I60" s="81">
        <f>TABLEROS!$BH$15</f>
        <v>4</v>
      </c>
      <c r="J60" s="36">
        <f>TABLEROS!$BK$15</f>
        <v>0.966907160355037</v>
      </c>
      <c r="K60" s="43">
        <f>TABLEROS!$BL$15</f>
        <v>0.128633848734103</v>
      </c>
      <c r="L60" s="36" t="inlineStr"/>
      <c r="M60" s="36" t="inlineStr"/>
      <c r="N60" s="44" t="str">
        <f>TABLEROS!$CZ$15</f>
        <v>CUMPLE · fuera de 3.4.2.1 c)</v>
      </c>
    </row>
    <row r="61">
      <c r="B61" s="34" t="inlineStr"/>
      <c r="C61" s="41" t="inlineStr">
        <is>
          <t>‖ claro corto</t>
        </is>
      </c>
      <c r="D61" s="41" t="inlineStr">
        <is>
          <t>Superior</t>
        </is>
      </c>
      <c r="E61" s="36">
        <f>TABLEROS!$BC$15</f>
        <v>0.430141731103844</v>
      </c>
      <c r="F61" s="56">
        <f>DATOS!$C$19</f>
        <v>10</v>
      </c>
      <c r="G61" s="56">
        <f>DATOS!$C$15</f>
        <v>25</v>
      </c>
      <c r="H61" s="59">
        <f>TABLEROS!$BQ$15</f>
        <v>1</v>
      </c>
      <c r="I61" s="81">
        <f>TABLEROS!$BP$15</f>
        <v>4</v>
      </c>
      <c r="J61" s="36">
        <f>TABLEROS!$BS$15</f>
        <v>0.870537980117647</v>
      </c>
      <c r="K61" s="43">
        <f>TABLEROS!$BT$15</f>
        <v>0.494110240940565</v>
      </c>
      <c r="L61" s="36">
        <f>TABLEROS!$CM$15</f>
        <v>0.337998106685506</v>
      </c>
      <c r="M61" s="36">
        <f>TABLEROS!$CN$15</f>
        <v>0.860398102904257</v>
      </c>
      <c r="N61" s="44" t="inlineStr"/>
    </row>
    <row r="62">
      <c r="B62" s="34" t="inlineStr"/>
      <c r="C62" s="41" t="inlineStr">
        <is>
          <t>‖ claro largo</t>
        </is>
      </c>
      <c r="D62" s="41" t="inlineStr">
        <is>
          <t>Inferior</t>
        </is>
      </c>
      <c r="E62" s="36">
        <f>TABLEROS!$BD$15</f>
        <v>0.0763668992390391</v>
      </c>
      <c r="F62" s="56">
        <f>TABLEROS!$Q$15</f>
        <v>70</v>
      </c>
      <c r="G62" s="56">
        <f>DATOS!$C$15</f>
        <v>25</v>
      </c>
      <c r="H62" s="59">
        <f>TABLEROS!$BY$15</f>
        <v>1</v>
      </c>
      <c r="I62" s="81">
        <f>TABLEROS!$BX$15</f>
        <v>4</v>
      </c>
      <c r="J62" s="36">
        <f>TABLEROS!$CA$15</f>
        <v>0.908067376588235</v>
      </c>
      <c r="K62" s="43">
        <f>TABLEROS!$CB$15</f>
        <v>0.0840982742117249</v>
      </c>
      <c r="L62" s="36" t="inlineStr"/>
      <c r="M62" s="36" t="inlineStr"/>
      <c r="N62" s="44" t="inlineStr"/>
    </row>
    <row r="63">
      <c r="B63" s="34" t="inlineStr"/>
      <c r="C63" s="41" t="inlineStr">
        <is>
          <t>‖ claro largo</t>
        </is>
      </c>
      <c r="D63" s="41" t="inlineStr">
        <is>
          <t>Superior</t>
        </is>
      </c>
      <c r="E63" s="36">
        <f>TABLEROS!$BE$15</f>
        <v>0.276811551045891</v>
      </c>
      <c r="F63" s="56">
        <f>DATOS!$C$19</f>
        <v>10</v>
      </c>
      <c r="G63" s="56">
        <f>DATOS!$C$15</f>
        <v>25</v>
      </c>
      <c r="H63" s="59">
        <f>TABLEROS!$CG$15</f>
        <v>1</v>
      </c>
      <c r="I63" s="81">
        <f>TABLEROS!$CF$15</f>
        <v>4</v>
      </c>
      <c r="J63" s="36">
        <f>TABLEROS!$CI$15</f>
        <v>0.809570360117647</v>
      </c>
      <c r="K63" s="43">
        <f>TABLEROS!$CJ$15</f>
        <v>0.341924018816184</v>
      </c>
      <c r="L63" s="36" t="inlineStr"/>
      <c r="M63" s="36" t="inlineStr"/>
      <c r="N63" s="44" t="inlineStr"/>
    </row>
    <row r="64">
      <c r="B64" s="34" t="inlineStr">
        <is>
          <t>F80009 N+3.00</t>
        </is>
      </c>
      <c r="C64" s="41" t="inlineStr">
        <is>
          <t>‖ claro corto</t>
        </is>
      </c>
      <c r="D64" s="41" t="inlineStr">
        <is>
          <t>Inferior</t>
        </is>
      </c>
      <c r="E64" s="36">
        <f>TABLEROS!$BB$16</f>
        <v>0.364106727520698</v>
      </c>
      <c r="F64" s="56">
        <f>TABLEROS!$P$16</f>
        <v>70</v>
      </c>
      <c r="G64" s="56">
        <f>DATOS!$C$15</f>
        <v>25</v>
      </c>
      <c r="H64" s="59">
        <f>TABLEROS!$BI$16</f>
        <v>1</v>
      </c>
      <c r="I64" s="81">
        <f>TABLEROS!$BH$16</f>
        <v>4</v>
      </c>
      <c r="J64" s="36">
        <f>TABLEROS!$BK$16</f>
        <v>0.969034996588235</v>
      </c>
      <c r="K64" s="43">
        <f>TABLEROS!$BL$16</f>
        <v>0.375741566406414</v>
      </c>
      <c r="L64" s="36" t="inlineStr"/>
      <c r="M64" s="36" t="inlineStr"/>
      <c r="N64" s="44" t="str">
        <f>TABLEROS!$CZ$16</f>
        <v>CUMPLE · fuera de 3.4.2.1 c)</v>
      </c>
    </row>
    <row r="65">
      <c r="B65" s="34" t="inlineStr"/>
      <c r="C65" s="41" t="inlineStr">
        <is>
          <t>‖ claro corto</t>
        </is>
      </c>
      <c r="D65" s="41" t="inlineStr">
        <is>
          <t>Superior</t>
        </is>
      </c>
      <c r="E65" s="36">
        <f>TABLEROS!$BC$16</f>
        <v>0.686204214399062</v>
      </c>
      <c r="F65" s="56">
        <f>DATOS!$C$19</f>
        <v>10</v>
      </c>
      <c r="G65" s="56">
        <f>DATOS!$C$15</f>
        <v>25</v>
      </c>
      <c r="H65" s="59">
        <f>TABLEROS!$BQ$16</f>
        <v>1</v>
      </c>
      <c r="I65" s="81">
        <f>TABLEROS!$BP$16</f>
        <v>5</v>
      </c>
      <c r="J65" s="36">
        <f>TABLEROS!$BS$16</f>
        <v>1.29272758094118</v>
      </c>
      <c r="K65" s="43">
        <f>TABLEROS!$BT$16</f>
        <v>0.530818885986379</v>
      </c>
      <c r="L65" s="36">
        <f>TABLEROS!$CM$16</f>
        <v>0.664662411669416</v>
      </c>
      <c r="M65" s="36">
        <f>TABLEROS!$CN$16</f>
        <v>0.992173126477597</v>
      </c>
      <c r="N65" s="44" t="inlineStr"/>
    </row>
    <row r="66">
      <c r="B66" s="34" t="inlineStr"/>
      <c r="C66" s="41" t="inlineStr">
        <is>
          <t>‖ claro largo</t>
        </is>
      </c>
      <c r="D66" s="41" t="inlineStr">
        <is>
          <t>Inferior</t>
        </is>
      </c>
      <c r="E66" s="36">
        <f>TABLEROS!$BD$16</f>
        <v>0.205539451335651</v>
      </c>
      <c r="F66" s="56">
        <f>TABLEROS!$Q$16</f>
        <v>70</v>
      </c>
      <c r="G66" s="56">
        <f>DATOS!$C$15</f>
        <v>25</v>
      </c>
      <c r="H66" s="59">
        <f>TABLEROS!$BY$16</f>
        <v>1</v>
      </c>
      <c r="I66" s="81">
        <f>TABLEROS!$BX$16</f>
        <v>4</v>
      </c>
      <c r="J66" s="36">
        <f>TABLEROS!$CA$16</f>
        <v>0.908067376588235</v>
      </c>
      <c r="K66" s="43">
        <f>TABLEROS!$CB$16</f>
        <v>0.226348238726402</v>
      </c>
      <c r="L66" s="36" t="inlineStr"/>
      <c r="M66" s="36" t="inlineStr"/>
      <c r="N66" s="44" t="inlineStr"/>
    </row>
    <row r="67">
      <c r="B67" s="34" t="inlineStr"/>
      <c r="C67" s="41" t="inlineStr">
        <is>
          <t>‖ claro largo</t>
        </is>
      </c>
      <c r="D67" s="41" t="inlineStr">
        <is>
          <t>Superior</t>
        </is>
      </c>
      <c r="E67" s="36">
        <f>TABLEROS!$BE$16</f>
        <v>0.392542589810582</v>
      </c>
      <c r="F67" s="56">
        <f>DATOS!$C$19</f>
        <v>10</v>
      </c>
      <c r="G67" s="56">
        <f>DATOS!$C$15</f>
        <v>25</v>
      </c>
      <c r="H67" s="59">
        <f>TABLEROS!$CG$16</f>
        <v>1</v>
      </c>
      <c r="I67" s="81">
        <f>TABLEROS!$CF$16</f>
        <v>4</v>
      </c>
      <c r="J67" s="36">
        <f>TABLEROS!$CI$16</f>
        <v>0.794208440117647</v>
      </c>
      <c r="K67" s="43">
        <f>TABLEROS!$CJ$16</f>
        <v>0.494256381551969</v>
      </c>
      <c r="L67" s="36" t="inlineStr"/>
      <c r="M67" s="36" t="inlineStr"/>
      <c r="N67" s="44" t="inlineStr"/>
    </row>
    <row r="68">
      <c r="B68" s="34" t="inlineStr">
        <is>
          <t>F80010 N+3.00</t>
        </is>
      </c>
      <c r="C68" s="41" t="inlineStr">
        <is>
          <t>‖ claro corto</t>
        </is>
      </c>
      <c r="D68" s="41" t="inlineStr">
        <is>
          <t>Inferior</t>
        </is>
      </c>
      <c r="E68" s="36">
        <f>TABLEROS!$BB$17</f>
        <v>0.115634890995848</v>
      </c>
      <c r="F68" s="56">
        <f>TABLEROS!$P$17</f>
        <v>51.875</v>
      </c>
      <c r="G68" s="56">
        <f>DATOS!$C$15</f>
        <v>25</v>
      </c>
      <c r="H68" s="59">
        <f>TABLEROS!$BI$17</f>
        <v>1</v>
      </c>
      <c r="I68" s="81">
        <f>TABLEROS!$BH$17</f>
        <v>4</v>
      </c>
      <c r="J68" s="36">
        <f>TABLEROS!$BK$17</f>
        <v>0.96602766395039</v>
      </c>
      <c r="K68" s="43">
        <f>TABLEROS!$BL$17</f>
        <v>0.119701428138177</v>
      </c>
      <c r="L68" s="36" t="inlineStr"/>
      <c r="M68" s="36" t="inlineStr"/>
      <c r="N68" s="44" t="str">
        <f>TABLEROS!$CZ$17</f>
        <v>CUMPLE · fuera de 3.4.2.1 c)</v>
      </c>
    </row>
    <row r="69">
      <c r="B69" s="34" t="inlineStr"/>
      <c r="C69" s="41" t="inlineStr">
        <is>
          <t>‖ claro corto</t>
        </is>
      </c>
      <c r="D69" s="41" t="inlineStr">
        <is>
          <t>Superior</t>
        </is>
      </c>
      <c r="E69" s="36">
        <f>TABLEROS!$BC$17</f>
        <v>0.271738230062206</v>
      </c>
      <c r="F69" s="56">
        <f>DATOS!$C$19</f>
        <v>10</v>
      </c>
      <c r="G69" s="56">
        <f>DATOS!$C$15</f>
        <v>25</v>
      </c>
      <c r="H69" s="59">
        <f>TABLEROS!$BQ$17</f>
        <v>1</v>
      </c>
      <c r="I69" s="81">
        <f>TABLEROS!$BP$17</f>
        <v>4</v>
      </c>
      <c r="J69" s="36">
        <f>TABLEROS!$BS$17</f>
        <v>0.870537980117647</v>
      </c>
      <c r="K69" s="43">
        <f>TABLEROS!$BT$17</f>
        <v>0.312149769761317</v>
      </c>
      <c r="L69" s="36">
        <f>TABLEROS!$CM$17</f>
        <v>0.858228507693602</v>
      </c>
      <c r="M69" s="36">
        <f>TABLEROS!$CN$17</f>
        <v>0.860398102904257</v>
      </c>
      <c r="N69" s="44" t="inlineStr"/>
    </row>
    <row r="70">
      <c r="B70" s="34" t="inlineStr"/>
      <c r="C70" s="41" t="inlineStr">
        <is>
          <t>‖ claro largo</t>
        </is>
      </c>
      <c r="D70" s="41" t="inlineStr">
        <is>
          <t>Inferior</t>
        </is>
      </c>
      <c r="E70" s="36">
        <f>TABLEROS!$BD$17</f>
        <v>0.0510033016975385</v>
      </c>
      <c r="F70" s="56">
        <f>TABLEROS!$Q$17</f>
        <v>70</v>
      </c>
      <c r="G70" s="56">
        <f>DATOS!$C$15</f>
        <v>25</v>
      </c>
      <c r="H70" s="59">
        <f>TABLEROS!$BY$17</f>
        <v>1</v>
      </c>
      <c r="I70" s="81">
        <f>TABLEROS!$BX$17</f>
        <v>4</v>
      </c>
      <c r="J70" s="36">
        <f>TABLEROS!$CA$17</f>
        <v>0.908067376588235</v>
      </c>
      <c r="K70" s="43">
        <f>TABLEROS!$CB$17</f>
        <v>0.0561668693452755</v>
      </c>
      <c r="L70" s="36" t="inlineStr"/>
      <c r="M70" s="36" t="inlineStr"/>
      <c r="N70" s="44" t="inlineStr"/>
    </row>
    <row r="71">
      <c r="B71" s="34" t="inlineStr"/>
      <c r="C71" s="41" t="inlineStr">
        <is>
          <t>‖ claro largo</t>
        </is>
      </c>
      <c r="D71" s="41" t="inlineStr">
        <is>
          <t>Superior</t>
        </is>
      </c>
      <c r="E71" s="36">
        <f>TABLEROS!$BE$17</f>
        <v>0.163818634536577</v>
      </c>
      <c r="F71" s="56">
        <f>DATOS!$C$19</f>
        <v>10</v>
      </c>
      <c r="G71" s="56">
        <f>DATOS!$C$15</f>
        <v>25</v>
      </c>
      <c r="H71" s="59">
        <f>TABLEROS!$CG$17</f>
        <v>1</v>
      </c>
      <c r="I71" s="81">
        <f>TABLEROS!$CF$17</f>
        <v>4</v>
      </c>
      <c r="J71" s="36">
        <f>TABLEROS!$CI$17</f>
        <v>0.809570360117647</v>
      </c>
      <c r="K71" s="43">
        <f>TABLEROS!$CJ$17</f>
        <v>0.202352559588238</v>
      </c>
      <c r="L71" s="36" t="inlineStr"/>
      <c r="M71" s="36" t="inlineStr"/>
      <c r="N71" s="44" t="inlineStr"/>
    </row>
    <row r="72">
      <c r="B72" s="34" t="inlineStr">
        <is>
          <t>F80011 N+3.00</t>
        </is>
      </c>
      <c r="C72" s="41" t="inlineStr">
        <is>
          <t>‖ claro corto</t>
        </is>
      </c>
      <c r="D72" s="41" t="inlineStr">
        <is>
          <t>Inferior</t>
        </is>
      </c>
      <c r="E72" s="36">
        <f>TABLEROS!$BB$18</f>
        <v>0.00602634790519293</v>
      </c>
      <c r="F72" s="56">
        <f>TABLEROS!$P$18</f>
        <v>16.225</v>
      </c>
      <c r="G72" s="56">
        <f>DATOS!$C$15</f>
        <v>25</v>
      </c>
      <c r="H72" s="59">
        <f>TABLEROS!$BI$18</f>
        <v>1</v>
      </c>
      <c r="I72" s="81">
        <f>TABLEROS!$BH$18</f>
        <v>4</v>
      </c>
      <c r="J72" s="36">
        <f>TABLEROS!$BK$18</f>
        <v>0.940507919502402</v>
      </c>
      <c r="K72" s="43">
        <f>TABLEROS!$BL$18</f>
        <v>0.00640754615695455</v>
      </c>
      <c r="L72" s="36" t="inlineStr"/>
      <c r="M72" s="36" t="inlineStr"/>
      <c r="N72" s="44" t="str">
        <f>TABLEROS!$CZ$18</f>
        <v>CUMPLE · fuera de 3.4.2.1 c)</v>
      </c>
    </row>
    <row r="73">
      <c r="B73" s="34" t="inlineStr"/>
      <c r="C73" s="41" t="inlineStr">
        <is>
          <t>‖ claro corto</t>
        </is>
      </c>
      <c r="D73" s="41" t="inlineStr">
        <is>
          <t>Superior</t>
        </is>
      </c>
      <c r="E73" s="36">
        <f>TABLEROS!$BC$18</f>
        <v>0.243356820839974</v>
      </c>
      <c r="F73" s="56">
        <f>DATOS!$C$19</f>
        <v>10</v>
      </c>
      <c r="G73" s="56">
        <f>DATOS!$C$15</f>
        <v>25</v>
      </c>
      <c r="H73" s="59">
        <f>TABLEROS!$BQ$18</f>
        <v>1</v>
      </c>
      <c r="I73" s="81">
        <f>TABLEROS!$BP$18</f>
        <v>4</v>
      </c>
      <c r="J73" s="36">
        <f>TABLEROS!$BS$18</f>
        <v>0.870537980117647</v>
      </c>
      <c r="K73" s="43">
        <f>TABLEROS!$BT$18</f>
        <v>0.279547620434764</v>
      </c>
      <c r="L73" s="36">
        <f>TABLEROS!$CM$18</f>
        <v>0</v>
      </c>
      <c r="M73" s="36">
        <f>TABLEROS!$CN$18</f>
        <v>0.860398102904257</v>
      </c>
      <c r="N73" s="44" t="inlineStr"/>
    </row>
    <row r="74">
      <c r="B74" s="34" t="inlineStr"/>
      <c r="C74" s="41" t="inlineStr">
        <is>
          <t>‖ claro largo</t>
        </is>
      </c>
      <c r="D74" s="41" t="inlineStr">
        <is>
          <t>Inferior</t>
        </is>
      </c>
      <c r="E74" s="36">
        <f>TABLEROS!$BD$18</f>
        <v>0.00205930564669497</v>
      </c>
      <c r="F74" s="56">
        <f>TABLEROS!$Q$18</f>
        <v>70</v>
      </c>
      <c r="G74" s="56">
        <f>DATOS!$C$15</f>
        <v>25</v>
      </c>
      <c r="H74" s="59">
        <f>TABLEROS!$BY$18</f>
        <v>1</v>
      </c>
      <c r="I74" s="81">
        <f>TABLEROS!$BX$18</f>
        <v>4</v>
      </c>
      <c r="J74" s="36">
        <f>TABLEROS!$CA$18</f>
        <v>0.908067376588235</v>
      </c>
      <c r="K74" s="43">
        <f>TABLEROS!$CB$18</f>
        <v>0.00226778948323431</v>
      </c>
      <c r="L74" s="36" t="inlineStr"/>
      <c r="M74" s="36" t="inlineStr"/>
      <c r="N74" s="44" t="inlineStr"/>
    </row>
    <row r="75">
      <c r="B75" s="34" t="inlineStr"/>
      <c r="C75" s="41" t="inlineStr">
        <is>
          <t>‖ claro largo</t>
        </is>
      </c>
      <c r="D75" s="41" t="inlineStr">
        <is>
          <t>Superior</t>
        </is>
      </c>
      <c r="E75" s="36">
        <f>TABLEROS!$BE$18</f>
        <v>0.0275286480998399</v>
      </c>
      <c r="F75" s="56">
        <f>DATOS!$C$19</f>
        <v>10</v>
      </c>
      <c r="G75" s="56">
        <f>DATOS!$C$15</f>
        <v>25</v>
      </c>
      <c r="H75" s="59">
        <f>TABLEROS!$CG$18</f>
        <v>1</v>
      </c>
      <c r="I75" s="81">
        <f>TABLEROS!$CF$18</f>
        <v>4</v>
      </c>
      <c r="J75" s="36">
        <f>TABLEROS!$CI$18</f>
        <v>0.809570360117647</v>
      </c>
      <c r="K75" s="43">
        <f>TABLEROS!$CJ$18</f>
        <v>0.0340040217083039</v>
      </c>
      <c r="L75" s="36" t="inlineStr"/>
      <c r="M75" s="36" t="inlineStr"/>
      <c r="N75" s="44" t="inlineStr"/>
    </row>
    <row r="76">
      <c r="B76" s="34" t="inlineStr">
        <is>
          <t>F80012 N+3.00</t>
        </is>
      </c>
      <c r="C76" s="41" t="inlineStr">
        <is>
          <t>‖ claro corto</t>
        </is>
      </c>
      <c r="D76" s="41" t="inlineStr">
        <is>
          <t>Inferior</t>
        </is>
      </c>
      <c r="E76" s="36">
        <f>TABLEROS!$BB$19</f>
        <v>0</v>
      </c>
      <c r="F76" s="56">
        <f>TABLEROS!$P$19</f>
        <v>58.125</v>
      </c>
      <c r="G76" s="56">
        <f>DATOS!$C$15</f>
        <v>25</v>
      </c>
      <c r="H76" s="59">
        <f>TABLEROS!$BI$19</f>
        <v>1</v>
      </c>
      <c r="I76" s="81">
        <f>TABLEROS!$BH$19</f>
        <v>4</v>
      </c>
      <c r="J76" s="36">
        <f>TABLEROS!$BK$19</f>
        <v>0.967276537719165</v>
      </c>
      <c r="K76" s="43">
        <f>TABLEROS!$BL$19</f>
        <v>0</v>
      </c>
      <c r="L76" s="36" t="inlineStr"/>
      <c r="M76" s="36" t="inlineStr"/>
      <c r="N76" s="44" t="str">
        <f>TABLEROS!$CZ$19</f>
        <v>NO CUMPLE: no caben ε_t &lt; 0.005 </v>
      </c>
    </row>
    <row r="77">
      <c r="B77" s="34" t="inlineStr"/>
      <c r="C77" s="41" t="inlineStr">
        <is>
          <t>‖ claro corto</t>
        </is>
      </c>
      <c r="D77" s="41" t="inlineStr">
        <is>
          <t>Superior</t>
        </is>
      </c>
      <c r="E77" s="36">
        <f>TABLEROS!$BC$19</f>
        <v>1.80341844375</v>
      </c>
      <c r="F77" s="56">
        <f>DATOS!$C$19</f>
        <v>10</v>
      </c>
      <c r="G77" s="56">
        <f>DATOS!$C$15</f>
        <v>25</v>
      </c>
      <c r="H77" s="59">
        <f>TABLEROS!$BQ$19</f>
        <v>1</v>
      </c>
      <c r="I77" s="81">
        <f>TABLEROS!$BP$19</f>
        <v>8</v>
      </c>
      <c r="J77" s="36">
        <f>TABLEROS!$BS$19</f>
        <v>2.63391498423529</v>
      </c>
      <c r="K77" s="43">
        <f>TABLEROS!$BT$19</f>
        <v>0.684691212337511</v>
      </c>
      <c r="L77" s="36">
        <f>TABLEROS!$CM$19</f>
        <v>1.44664265057143</v>
      </c>
      <c r="M77" s="36">
        <f>TABLEROS!$CN$19</f>
        <v>1.33493419422131</v>
      </c>
      <c r="N77" s="44" t="inlineStr"/>
    </row>
    <row r="78">
      <c r="B78" s="34" t="inlineStr"/>
      <c r="C78" s="41" t="inlineStr">
        <is>
          <t>‖ claro largo</t>
        </is>
      </c>
      <c r="D78" s="41" t="inlineStr">
        <is>
          <t>Inferior</t>
        </is>
      </c>
      <c r="E78" s="36">
        <f>TABLEROS!$BD$19</f>
        <v>0</v>
      </c>
      <c r="F78" s="56">
        <f>TABLEROS!$Q$19</f>
        <v>70</v>
      </c>
      <c r="G78" s="56">
        <f>DATOS!$C$15</f>
        <v>25</v>
      </c>
      <c r="H78" s="59">
        <f>TABLEROS!$BY$19</f>
        <v>1</v>
      </c>
      <c r="I78" s="81">
        <f>TABLEROS!$BX$19</f>
        <v>4</v>
      </c>
      <c r="J78" s="36">
        <f>TABLEROS!$CA$19</f>
        <v>0.908067376588235</v>
      </c>
      <c r="K78" s="43">
        <f>TABLEROS!$CB$19</f>
        <v>0</v>
      </c>
      <c r="L78" s="36" t="inlineStr"/>
      <c r="M78" s="36" t="inlineStr"/>
      <c r="N78" s="44" t="inlineStr"/>
    </row>
    <row r="79">
      <c r="B79" s="34" t="inlineStr"/>
      <c r="C79" s="41" t="inlineStr">
        <is>
          <t>‖ claro largo</t>
        </is>
      </c>
      <c r="D79" s="41" t="inlineStr">
        <is>
          <t>Superior</t>
        </is>
      </c>
      <c r="E79" s="36">
        <f>TABLEROS!$BE$19</f>
        <v>0</v>
      </c>
      <c r="F79" s="56">
        <f>DATOS!$C$19</f>
        <v>10</v>
      </c>
      <c r="G79" s="56">
        <f>DATOS!$C$15</f>
        <v>25</v>
      </c>
      <c r="H79" s="59">
        <f>TABLEROS!$CG$19</f>
        <v>1</v>
      </c>
      <c r="I79" s="81">
        <f>TABLEROS!$CF$19</f>
        <v>4</v>
      </c>
      <c r="J79" s="36">
        <f>TABLEROS!$CI$19</f>
        <v>0.748602740117647</v>
      </c>
      <c r="K79" s="43">
        <f>TABLEROS!$CJ$19</f>
        <v>0</v>
      </c>
      <c r="L79" s="36" t="inlineStr"/>
      <c r="M79" s="36" t="inlineStr"/>
      <c r="N79" s="44" t="inlineStr"/>
    </row>
    <row r="80">
      <c r="B80" s="34" t="inlineStr">
        <is>
          <t>F80013 N+3.00</t>
        </is>
      </c>
      <c r="C80" s="41" t="inlineStr">
        <is>
          <t>‖ claro corto</t>
        </is>
      </c>
      <c r="D80" s="41" t="inlineStr">
        <is>
          <t>Inferior</t>
        </is>
      </c>
      <c r="E80" s="36">
        <f>TABLEROS!$BB$20</f>
        <v>0.0229370274585372</v>
      </c>
      <c r="F80" s="56">
        <f>TABLEROS!$P$20</f>
        <v>28.675</v>
      </c>
      <c r="G80" s="56">
        <f>DATOS!$C$15</f>
        <v>25</v>
      </c>
      <c r="H80" s="59">
        <f>TABLEROS!$BI$20</f>
        <v>1</v>
      </c>
      <c r="I80" s="81">
        <f>TABLEROS!$BH$20</f>
        <v>4</v>
      </c>
      <c r="J80" s="36">
        <f>TABLEROS!$BK$20</f>
        <v>0.956630732673983</v>
      </c>
      <c r="K80" s="43">
        <f>TABLEROS!$BL$20</f>
        <v>0.0239768875022689</v>
      </c>
      <c r="L80" s="36" t="inlineStr"/>
      <c r="M80" s="36" t="inlineStr"/>
      <c r="N80" s="44" t="str">
        <f>TABLEROS!$CZ$20</f>
        <v>CUMPLE · fuera de 3.4.2.1 c)</v>
      </c>
    </row>
    <row r="81">
      <c r="B81" s="34" t="inlineStr"/>
      <c r="C81" s="41" t="inlineStr">
        <is>
          <t>‖ claro corto</t>
        </is>
      </c>
      <c r="D81" s="41" t="inlineStr">
        <is>
          <t>Superior</t>
        </is>
      </c>
      <c r="E81" s="36">
        <f>TABLEROS!$BC$20</f>
        <v>0.0899763595320191</v>
      </c>
      <c r="F81" s="56">
        <f>DATOS!$C$19</f>
        <v>10</v>
      </c>
      <c r="G81" s="56">
        <f>DATOS!$C$15</f>
        <v>25</v>
      </c>
      <c r="H81" s="59">
        <f>TABLEROS!$BQ$20</f>
        <v>1</v>
      </c>
      <c r="I81" s="81">
        <f>TABLEROS!$BP$20</f>
        <v>4</v>
      </c>
      <c r="J81" s="36">
        <f>TABLEROS!$BS$20</f>
        <v>0.870537980117647</v>
      </c>
      <c r="K81" s="43">
        <f>TABLEROS!$BT$20</f>
        <v>0.103357190136448</v>
      </c>
      <c r="L81" s="36">
        <f>TABLEROS!$CM$20</f>
        <v>0.0798077520879868</v>
      </c>
      <c r="M81" s="36">
        <f>TABLEROS!$CN$20</f>
        <v>0.860398102904257</v>
      </c>
      <c r="N81" s="44" t="inlineStr"/>
    </row>
    <row r="82">
      <c r="B82" s="34" t="inlineStr"/>
      <c r="C82" s="41" t="inlineStr">
        <is>
          <t>‖ claro largo</t>
        </is>
      </c>
      <c r="D82" s="41" t="inlineStr">
        <is>
          <t>Inferior</t>
        </is>
      </c>
      <c r="E82" s="36">
        <f>TABLEROS!$BD$20</f>
        <v>0.00843055647086848</v>
      </c>
      <c r="F82" s="56">
        <f>TABLEROS!$Q$20</f>
        <v>56.225</v>
      </c>
      <c r="G82" s="56">
        <f>DATOS!$C$15</f>
        <v>25</v>
      </c>
      <c r="H82" s="59">
        <f>TABLEROS!$BY$20</f>
        <v>1</v>
      </c>
      <c r="I82" s="81">
        <f>TABLEROS!$BX$20</f>
        <v>4</v>
      </c>
      <c r="J82" s="36">
        <f>TABLEROS!$CA$20</f>
        <v>0.905958633337954</v>
      </c>
      <c r="K82" s="43">
        <f>TABLEROS!$CB$20</f>
        <v>0.00930567485162823</v>
      </c>
      <c r="L82" s="36" t="inlineStr"/>
      <c r="M82" s="36" t="inlineStr"/>
      <c r="N82" s="44" t="inlineStr"/>
    </row>
    <row r="83">
      <c r="B83" s="34" t="inlineStr"/>
      <c r="C83" s="41" t="inlineStr">
        <is>
          <t>‖ claro largo</t>
        </is>
      </c>
      <c r="D83" s="41" t="inlineStr">
        <is>
          <t>Superior</t>
        </is>
      </c>
      <c r="E83" s="36">
        <f>TABLEROS!$BE$20</f>
        <v>0.236060745161643</v>
      </c>
      <c r="F83" s="56">
        <f>DATOS!$C$19</f>
        <v>10</v>
      </c>
      <c r="G83" s="56">
        <f>DATOS!$C$15</f>
        <v>25</v>
      </c>
      <c r="H83" s="59">
        <f>TABLEROS!$CG$20</f>
        <v>1</v>
      </c>
      <c r="I83" s="81">
        <f>TABLEROS!$CF$20</f>
        <v>4</v>
      </c>
      <c r="J83" s="36">
        <f>TABLEROS!$CI$20</f>
        <v>0.809570360117647</v>
      </c>
      <c r="K83" s="43">
        <f>TABLEROS!$CJ$20</f>
        <v>0.291587682542304</v>
      </c>
      <c r="L83" s="36" t="inlineStr"/>
      <c r="M83" s="36" t="inlineStr"/>
      <c r="N83" s="44" t="inlineStr"/>
    </row>
    <row r="84">
      <c r="B84" s="34" t="inlineStr">
        <is>
          <t>F80014 N+3.00</t>
        </is>
      </c>
      <c r="C84" s="41" t="inlineStr">
        <is>
          <t>‖ claro corto</t>
        </is>
      </c>
      <c r="D84" s="41" t="inlineStr">
        <is>
          <t>Inferior</t>
        </is>
      </c>
      <c r="E84" s="36">
        <f>TABLEROS!$BB$21</f>
        <v>0.0549250802791303</v>
      </c>
      <c r="F84" s="56">
        <f>TABLEROS!$P$21</f>
        <v>46.25</v>
      </c>
      <c r="G84" s="56">
        <f>DATOS!$C$15</f>
        <v>25</v>
      </c>
      <c r="H84" s="59">
        <f>TABLEROS!$BI$21</f>
        <v>1</v>
      </c>
      <c r="I84" s="81">
        <f>TABLEROS!$BH$21</f>
        <v>4</v>
      </c>
      <c r="J84" s="36">
        <f>TABLEROS!$BK$21</f>
        <v>0.96461508645787</v>
      </c>
      <c r="K84" s="43">
        <f>TABLEROS!$BL$21</f>
        <v>0.0569398934872757</v>
      </c>
      <c r="L84" s="36" t="inlineStr"/>
      <c r="M84" s="36" t="inlineStr"/>
      <c r="N84" s="44" t="str">
        <f>TABLEROS!$CZ$21</f>
        <v>CUMPLE · fuera de 3.4.2.1 c)</v>
      </c>
    </row>
    <row r="85">
      <c r="B85" s="34" t="inlineStr"/>
      <c r="C85" s="41" t="inlineStr">
        <is>
          <t>‖ claro corto</t>
        </is>
      </c>
      <c r="D85" s="41" t="inlineStr">
        <is>
          <t>Superior</t>
        </is>
      </c>
      <c r="E85" s="36">
        <f>TABLEROS!$BC$21</f>
        <v>0.33734065200949</v>
      </c>
      <c r="F85" s="56">
        <f>DATOS!$C$19</f>
        <v>10</v>
      </c>
      <c r="G85" s="56">
        <f>DATOS!$C$15</f>
        <v>25</v>
      </c>
      <c r="H85" s="59">
        <f>TABLEROS!$BQ$21</f>
        <v>1</v>
      </c>
      <c r="I85" s="81">
        <f>TABLEROS!$BP$21</f>
        <v>4</v>
      </c>
      <c r="J85" s="36">
        <f>TABLEROS!$BS$21</f>
        <v>0.870537980117647</v>
      </c>
      <c r="K85" s="43">
        <f>TABLEROS!$BT$21</f>
        <v>0.387508253188334</v>
      </c>
      <c r="L85" s="36">
        <f>TABLEROS!$CM$21</f>
        <v>0.840171616620907</v>
      </c>
      <c r="M85" s="36">
        <f>TABLEROS!$CN$21</f>
        <v>0.860398102904257</v>
      </c>
      <c r="N85" s="44" t="inlineStr"/>
    </row>
    <row r="86">
      <c r="B86" s="34" t="inlineStr"/>
      <c r="C86" s="41" t="inlineStr">
        <is>
          <t>‖ claro largo</t>
        </is>
      </c>
      <c r="D86" s="41" t="inlineStr">
        <is>
          <t>Inferior</t>
        </is>
      </c>
      <c r="E86" s="36">
        <f>TABLEROS!$BD$21</f>
        <v>0.0257661238585483</v>
      </c>
      <c r="F86" s="56">
        <f>TABLEROS!$Q$21</f>
        <v>70</v>
      </c>
      <c r="G86" s="56">
        <f>DATOS!$C$15</f>
        <v>25</v>
      </c>
      <c r="H86" s="59">
        <f>TABLEROS!$BY$21</f>
        <v>1</v>
      </c>
      <c r="I86" s="81">
        <f>TABLEROS!$BX$21</f>
        <v>4</v>
      </c>
      <c r="J86" s="36">
        <f>TABLEROS!$CA$21</f>
        <v>0.908067376588235</v>
      </c>
      <c r="K86" s="43">
        <f>TABLEROS!$CB$21</f>
        <v>0.0283746828956196</v>
      </c>
      <c r="L86" s="36" t="inlineStr"/>
      <c r="M86" s="36" t="inlineStr"/>
      <c r="N86" s="44" t="inlineStr"/>
    </row>
    <row r="87">
      <c r="B87" s="34" t="inlineStr"/>
      <c r="C87" s="41" t="inlineStr">
        <is>
          <t>‖ claro largo</t>
        </is>
      </c>
      <c r="D87" s="41" t="inlineStr">
        <is>
          <t>Superior</t>
        </is>
      </c>
      <c r="E87" s="36">
        <f>TABLEROS!$BE$21</f>
        <v>0.144030969589326</v>
      </c>
      <c r="F87" s="56">
        <f>DATOS!$C$19</f>
        <v>10</v>
      </c>
      <c r="G87" s="56">
        <f>DATOS!$C$15</f>
        <v>25</v>
      </c>
      <c r="H87" s="59">
        <f>TABLEROS!$CG$21</f>
        <v>1</v>
      </c>
      <c r="I87" s="81">
        <f>TABLEROS!$CF$21</f>
        <v>4</v>
      </c>
      <c r="J87" s="36">
        <f>TABLEROS!$CI$21</f>
        <v>0.809570360117647</v>
      </c>
      <c r="K87" s="43">
        <f>TABLEROS!$CJ$21</f>
        <v>0.177910378992131</v>
      </c>
      <c r="L87" s="36" t="inlineStr"/>
      <c r="M87" s="36" t="inlineStr"/>
      <c r="N87" s="44" t="inlineStr"/>
    </row>
    <row r="88">
      <c r="B88" s="34" t="inlineStr">
        <is>
          <t>F80015 N+3.00</t>
        </is>
      </c>
      <c r="C88" s="41" t="inlineStr">
        <is>
          <t>‖ claro corto</t>
        </is>
      </c>
      <c r="D88" s="41" t="inlineStr">
        <is>
          <t>Inferior</t>
        </is>
      </c>
      <c r="E88" s="36">
        <f>TABLEROS!$BB$22</f>
        <v>0.0671222738233104</v>
      </c>
      <c r="F88" s="56">
        <f>TABLEROS!$P$22</f>
        <v>46.25</v>
      </c>
      <c r="G88" s="56">
        <f>DATOS!$C$15</f>
        <v>25</v>
      </c>
      <c r="H88" s="59">
        <f>TABLEROS!$BI$22</f>
        <v>1</v>
      </c>
      <c r="I88" s="81">
        <f>TABLEROS!$BH$22</f>
        <v>4</v>
      </c>
      <c r="J88" s="36">
        <f>TABLEROS!$BK$22</f>
        <v>0.96461508645787</v>
      </c>
      <c r="K88" s="43">
        <f>TABLEROS!$BL$22</f>
        <v>0.0695845159023873</v>
      </c>
      <c r="L88" s="36" t="inlineStr"/>
      <c r="M88" s="36" t="inlineStr"/>
      <c r="N88" s="44" t="str">
        <f>TABLEROS!$CZ$22</f>
        <v>CUMPLE · fuera de 3.4.2.1 c)</v>
      </c>
    </row>
    <row r="89">
      <c r="B89" s="34" t="inlineStr"/>
      <c r="C89" s="41" t="inlineStr">
        <is>
          <t>‖ claro corto</t>
        </is>
      </c>
      <c r="D89" s="41" t="inlineStr">
        <is>
          <t>Superior</t>
        </is>
      </c>
      <c r="E89" s="36">
        <f>TABLEROS!$BC$22</f>
        <v>0.304789458986205</v>
      </c>
      <c r="F89" s="56">
        <f>DATOS!$C$19</f>
        <v>10</v>
      </c>
      <c r="G89" s="56">
        <f>DATOS!$C$15</f>
        <v>25</v>
      </c>
      <c r="H89" s="59">
        <f>TABLEROS!$BQ$22</f>
        <v>1</v>
      </c>
      <c r="I89" s="81">
        <f>TABLEROS!$BP$22</f>
        <v>4</v>
      </c>
      <c r="J89" s="36">
        <f>TABLEROS!$BS$22</f>
        <v>0.870537980117647</v>
      </c>
      <c r="K89" s="43">
        <f>TABLEROS!$BT$22</f>
        <v>0.35011621083438</v>
      </c>
      <c r="L89" s="36">
        <f>TABLEROS!$CM$22</f>
        <v>0.283174098340761</v>
      </c>
      <c r="M89" s="36">
        <f>TABLEROS!$CN$22</f>
        <v>0.860398102904257</v>
      </c>
      <c r="N89" s="44" t="inlineStr"/>
    </row>
    <row r="90">
      <c r="B90" s="34" t="inlineStr"/>
      <c r="C90" s="41" t="inlineStr">
        <is>
          <t>‖ claro largo</t>
        </is>
      </c>
      <c r="D90" s="41" t="inlineStr">
        <is>
          <t>Inferior</t>
        </is>
      </c>
      <c r="E90" s="36">
        <f>TABLEROS!$BD$22</f>
        <v>0.0457546514646506</v>
      </c>
      <c r="F90" s="56">
        <f>TABLEROS!$Q$22</f>
        <v>70</v>
      </c>
      <c r="G90" s="56">
        <f>DATOS!$C$15</f>
        <v>25</v>
      </c>
      <c r="H90" s="59">
        <f>TABLEROS!$BY$22</f>
        <v>1</v>
      </c>
      <c r="I90" s="81">
        <f>TABLEROS!$BX$22</f>
        <v>4</v>
      </c>
      <c r="J90" s="36">
        <f>TABLEROS!$CA$22</f>
        <v>0.908067376588235</v>
      </c>
      <c r="K90" s="43">
        <f>TABLEROS!$CB$22</f>
        <v>0.0503868464436622</v>
      </c>
      <c r="L90" s="36" t="inlineStr"/>
      <c r="M90" s="36" t="inlineStr"/>
      <c r="N90" s="44" t="inlineStr"/>
    </row>
    <row r="91">
      <c r="B91" s="34" t="inlineStr"/>
      <c r="C91" s="41" t="inlineStr">
        <is>
          <t>‖ claro largo</t>
        </is>
      </c>
      <c r="D91" s="41" t="inlineStr">
        <is>
          <t>Superior</t>
        </is>
      </c>
      <c r="E91" s="36">
        <f>TABLEROS!$BE$22</f>
        <v>0.0953210354907719</v>
      </c>
      <c r="F91" s="56">
        <f>DATOS!$C$19</f>
        <v>10</v>
      </c>
      <c r="G91" s="56">
        <f>DATOS!$C$15</f>
        <v>25</v>
      </c>
      <c r="H91" s="59">
        <f>TABLEROS!$CG$22</f>
        <v>1</v>
      </c>
      <c r="I91" s="81">
        <f>TABLEROS!$CF$22</f>
        <v>4</v>
      </c>
      <c r="J91" s="36">
        <f>TABLEROS!$CI$22</f>
        <v>0.809570360117647</v>
      </c>
      <c r="K91" s="43">
        <f>TABLEROS!$CJ$22</f>
        <v>0.117742743789335</v>
      </c>
      <c r="L91" s="36" t="inlineStr"/>
      <c r="M91" s="36" t="inlineStr"/>
      <c r="N91" s="44" t="inlineStr"/>
    </row>
    <row r="92">
      <c r="B92" s="34" t="inlineStr">
        <is>
          <t>F80016 N+3.00</t>
        </is>
      </c>
      <c r="C92" s="41" t="inlineStr">
        <is>
          <t>‖ claro corto</t>
        </is>
      </c>
      <c r="D92" s="41" t="inlineStr">
        <is>
          <t>Inferior</t>
        </is>
      </c>
      <c r="E92" s="36">
        <f>TABLEROS!$BB$23</f>
        <v>0.3294504703035</v>
      </c>
      <c r="F92" s="56">
        <f>TABLEROS!$P$23</f>
        <v>70</v>
      </c>
      <c r="G92" s="56">
        <f>DATOS!$C$15</f>
        <v>25</v>
      </c>
      <c r="H92" s="59">
        <f>TABLEROS!$BI$23</f>
        <v>1</v>
      </c>
      <c r="I92" s="81">
        <f>TABLEROS!$BH$23</f>
        <v>4</v>
      </c>
      <c r="J92" s="36">
        <f>TABLEROS!$BK$23</f>
        <v>1.06504699658824</v>
      </c>
      <c r="K92" s="43">
        <f>TABLEROS!$BL$23</f>
        <v>0.309329514433503</v>
      </c>
      <c r="L92" s="36" t="inlineStr"/>
      <c r="M92" s="36" t="inlineStr"/>
      <c r="N92" s="44" t="str">
        <f>TABLEROS!$CZ$23</f>
        <v>CUMPLE · fuera de 3.4.2.1 c)</v>
      </c>
    </row>
    <row r="93">
      <c r="B93" s="34" t="inlineStr"/>
      <c r="C93" s="41" t="inlineStr">
        <is>
          <t>‖ claro corto</t>
        </is>
      </c>
      <c r="D93" s="41" t="inlineStr">
        <is>
          <t>Superior</t>
        </is>
      </c>
      <c r="E93" s="36">
        <f>TABLEROS!$BC$23</f>
        <v>0.531782554928668</v>
      </c>
      <c r="F93" s="56">
        <f>DATOS!$C$19</f>
        <v>10</v>
      </c>
      <c r="G93" s="56">
        <f>DATOS!$C$15</f>
        <v>25</v>
      </c>
      <c r="H93" s="59">
        <f>TABLEROS!$BQ$23</f>
        <v>1</v>
      </c>
      <c r="I93" s="81">
        <f>TABLEROS!$BP$23</f>
        <v>4</v>
      </c>
      <c r="J93" s="36">
        <f>TABLEROS!$BS$23</f>
        <v>0.966549980117647</v>
      </c>
      <c r="K93" s="43">
        <f>TABLEROS!$BT$23</f>
        <v>0.550186297519701</v>
      </c>
      <c r="L93" s="36">
        <f>TABLEROS!$CM$23</f>
        <v>0.930512349333298</v>
      </c>
      <c r="M93" s="36">
        <f>TABLEROS!$CN$23</f>
        <v>1.0104515843408</v>
      </c>
      <c r="N93" s="44" t="inlineStr"/>
    </row>
    <row r="94">
      <c r="B94" s="34" t="inlineStr"/>
      <c r="C94" s="41" t="inlineStr">
        <is>
          <t>‖ claro largo</t>
        </is>
      </c>
      <c r="D94" s="41" t="inlineStr">
        <is>
          <t>Inferior</t>
        </is>
      </c>
      <c r="E94" s="36">
        <f>TABLEROS!$BD$23</f>
        <v>0.275423047315945</v>
      </c>
      <c r="F94" s="56">
        <f>TABLEROS!$Q$23</f>
        <v>70</v>
      </c>
      <c r="G94" s="56">
        <f>DATOS!$C$15</f>
        <v>25</v>
      </c>
      <c r="H94" s="59">
        <f>TABLEROS!$BY$23</f>
        <v>1</v>
      </c>
      <c r="I94" s="81">
        <f>TABLEROS!$BX$23</f>
        <v>4</v>
      </c>
      <c r="J94" s="36">
        <f>TABLEROS!$CA$23</f>
        <v>1.00407937658824</v>
      </c>
      <c r="K94" s="43">
        <f>TABLEROS!$CB$23</f>
        <v>0.274304057764642</v>
      </c>
      <c r="L94" s="36" t="inlineStr"/>
      <c r="M94" s="36" t="inlineStr"/>
      <c r="N94" s="44" t="inlineStr"/>
    </row>
    <row r="95">
      <c r="B95" s="34" t="inlineStr"/>
      <c r="C95" s="41" t="inlineStr">
        <is>
          <t>‖ claro largo</t>
        </is>
      </c>
      <c r="D95" s="41" t="inlineStr">
        <is>
          <t>Superior</t>
        </is>
      </c>
      <c r="E95" s="36">
        <f>TABLEROS!$BE$23</f>
        <v>0.43039119542444</v>
      </c>
      <c r="F95" s="56">
        <f>DATOS!$C$19</f>
        <v>10</v>
      </c>
      <c r="G95" s="56">
        <f>DATOS!$C$15</f>
        <v>25</v>
      </c>
      <c r="H95" s="59">
        <f>TABLEROS!$CG$23</f>
        <v>1</v>
      </c>
      <c r="I95" s="81">
        <f>TABLEROS!$CF$23</f>
        <v>4</v>
      </c>
      <c r="J95" s="36">
        <f>TABLEROS!$CI$23</f>
        <v>0.905582360117647</v>
      </c>
      <c r="K95" s="43">
        <f>TABLEROS!$CJ$23</f>
        <v>0.475264552821597</v>
      </c>
      <c r="L95" s="36" t="inlineStr"/>
      <c r="M95" s="36" t="inlineStr"/>
      <c r="N95" s="44" t="inlineStr"/>
    </row>
    <row r="96">
      <c r="B96" s="34" t="inlineStr">
        <is>
          <t>F80017 N+3.00</t>
        </is>
      </c>
      <c r="C96" s="41" t="inlineStr">
        <is>
          <t>‖ claro corto</t>
        </is>
      </c>
      <c r="D96" s="41" t="inlineStr">
        <is>
          <t>Inferior</t>
        </is>
      </c>
      <c r="E96" s="36">
        <f>TABLEROS!$BB$24</f>
        <v>0.00839611714295911</v>
      </c>
      <c r="F96" s="56">
        <f>TABLEROS!$P$24</f>
        <v>18.725</v>
      </c>
      <c r="G96" s="56">
        <f>DATOS!$C$15</f>
        <v>25</v>
      </c>
      <c r="H96" s="59">
        <f>TABLEROS!$BI$24</f>
        <v>1</v>
      </c>
      <c r="I96" s="81">
        <f>TABLEROS!$BH$24</f>
        <v>4</v>
      </c>
      <c r="J96" s="36">
        <f>TABLEROS!$BK$24</f>
        <v>0.945465766030786</v>
      </c>
      <c r="K96" s="43">
        <f>TABLEROS!$BL$24</f>
        <v>0.00888040312470258</v>
      </c>
      <c r="L96" s="36" t="inlineStr"/>
      <c r="M96" s="36" t="inlineStr"/>
      <c r="N96" s="44" t="str">
        <f>TABLEROS!$CZ$24</f>
        <v>CUMPLE · fuera de 3.4.2.1 c)</v>
      </c>
    </row>
    <row r="97">
      <c r="B97" s="34" t="inlineStr"/>
      <c r="C97" s="41" t="inlineStr">
        <is>
          <t>‖ claro corto</t>
        </is>
      </c>
      <c r="D97" s="41" t="inlineStr">
        <is>
          <t>Superior</t>
        </is>
      </c>
      <c r="E97" s="36">
        <f>TABLEROS!$BC$24</f>
        <v>0.258397167799737</v>
      </c>
      <c r="F97" s="56">
        <f>DATOS!$C$19</f>
        <v>10</v>
      </c>
      <c r="G97" s="56">
        <f>DATOS!$C$15</f>
        <v>25</v>
      </c>
      <c r="H97" s="59">
        <f>TABLEROS!$BQ$24</f>
        <v>1</v>
      </c>
      <c r="I97" s="81">
        <f>TABLEROS!$BP$24</f>
        <v>4</v>
      </c>
      <c r="J97" s="36">
        <f>TABLEROS!$BS$24</f>
        <v>0.870537980117647</v>
      </c>
      <c r="K97" s="43">
        <f>TABLEROS!$BT$24</f>
        <v>0.296824691973597</v>
      </c>
      <c r="L97" s="36">
        <f>TABLEROS!$CM$24</f>
        <v>0.46634323181999</v>
      </c>
      <c r="M97" s="36">
        <f>TABLEROS!$CN$24</f>
        <v>0.860398102904257</v>
      </c>
      <c r="N97" s="44" t="inlineStr"/>
    </row>
    <row r="98">
      <c r="B98" s="34" t="inlineStr"/>
      <c r="C98" s="41" t="inlineStr">
        <is>
          <t>‖ claro largo</t>
        </is>
      </c>
      <c r="D98" s="41" t="inlineStr">
        <is>
          <t>Inferior</t>
        </is>
      </c>
      <c r="E98" s="36">
        <f>TABLEROS!$BD$24</f>
        <v>0.0025313425837765</v>
      </c>
      <c r="F98" s="56">
        <f>TABLEROS!$Q$24</f>
        <v>70</v>
      </c>
      <c r="G98" s="56">
        <f>DATOS!$C$15</f>
        <v>25</v>
      </c>
      <c r="H98" s="59">
        <f>TABLEROS!$BY$24</f>
        <v>1</v>
      </c>
      <c r="I98" s="81">
        <f>TABLEROS!$BX$24</f>
        <v>4</v>
      </c>
      <c r="J98" s="36">
        <f>TABLEROS!$CA$24</f>
        <v>0.908067376588235</v>
      </c>
      <c r="K98" s="43">
        <f>TABLEROS!$CB$24</f>
        <v>0.00278761537859359</v>
      </c>
      <c r="L98" s="36" t="inlineStr"/>
      <c r="M98" s="36" t="inlineStr"/>
      <c r="N98" s="44" t="inlineStr"/>
    </row>
    <row r="99">
      <c r="B99" s="34" t="inlineStr"/>
      <c r="C99" s="41" t="inlineStr">
        <is>
          <t>‖ claro largo</t>
        </is>
      </c>
      <c r="D99" s="41" t="inlineStr">
        <is>
          <t>Superior</t>
        </is>
      </c>
      <c r="E99" s="36">
        <f>TABLEROS!$BE$24</f>
        <v>0.0727850883951923</v>
      </c>
      <c r="F99" s="56">
        <f>DATOS!$C$19</f>
        <v>10</v>
      </c>
      <c r="G99" s="56">
        <f>DATOS!$C$15</f>
        <v>25</v>
      </c>
      <c r="H99" s="59">
        <f>TABLEROS!$CG$24</f>
        <v>1</v>
      </c>
      <c r="I99" s="81">
        <f>TABLEROS!$CF$24</f>
        <v>4</v>
      </c>
      <c r="J99" s="36">
        <f>TABLEROS!$CI$24</f>
        <v>0.809570360117647</v>
      </c>
      <c r="K99" s="43">
        <f>TABLEROS!$CJ$24</f>
        <v>0.0899058216318778</v>
      </c>
      <c r="L99" s="36" t="inlineStr"/>
      <c r="M99" s="36" t="inlineStr"/>
      <c r="N99" s="44" t="inlineStr"/>
    </row>
    <row r="100">
      <c r="B100" s="34" t="inlineStr">
        <is>
          <t>F80018 N+3.00</t>
        </is>
      </c>
      <c r="C100" s="41" t="inlineStr">
        <is>
          <t>‖ claro corto</t>
        </is>
      </c>
      <c r="D100" s="41" t="inlineStr">
        <is>
          <t>Inferior</t>
        </is>
      </c>
      <c r="E100" s="36">
        <f>TABLEROS!$BB$25</f>
        <v>0.290350065608699</v>
      </c>
      <c r="F100" s="56">
        <f>TABLEROS!$P$25</f>
        <v>70</v>
      </c>
      <c r="G100" s="56">
        <f>DATOS!$C$15</f>
        <v>25</v>
      </c>
      <c r="H100" s="59">
        <f>TABLEROS!$BI$25</f>
        <v>1</v>
      </c>
      <c r="I100" s="81">
        <f>TABLEROS!$BH$25</f>
        <v>4</v>
      </c>
      <c r="J100" s="36">
        <f>TABLEROS!$BK$25</f>
        <v>1.06504699658824</v>
      </c>
      <c r="K100" s="43">
        <f>TABLEROS!$BL$25</f>
        <v>0.27261713946784</v>
      </c>
      <c r="L100" s="36" t="inlineStr"/>
      <c r="M100" s="36" t="inlineStr"/>
      <c r="N100" s="44" t="str">
        <f>TABLEROS!$CZ$25</f>
        <v>CUMPLE · fuera de 3.4.2.1 c)</v>
      </c>
    </row>
    <row r="101">
      <c r="B101" s="34" t="inlineStr"/>
      <c r="C101" s="41" t="inlineStr">
        <is>
          <t>‖ claro corto</t>
        </is>
      </c>
      <c r="D101" s="41" t="inlineStr">
        <is>
          <t>Superior</t>
        </is>
      </c>
      <c r="E101" s="36">
        <f>TABLEROS!$BC$25</f>
        <v>0.413247329499107</v>
      </c>
      <c r="F101" s="56">
        <f>DATOS!$C$19</f>
        <v>10</v>
      </c>
      <c r="G101" s="56">
        <f>DATOS!$C$15</f>
        <v>25</v>
      </c>
      <c r="H101" s="59">
        <f>TABLEROS!$BQ$25</f>
        <v>1</v>
      </c>
      <c r="I101" s="81">
        <f>TABLEROS!$BP$25</f>
        <v>4</v>
      </c>
      <c r="J101" s="36">
        <f>TABLEROS!$BS$25</f>
        <v>0.966549980117647</v>
      </c>
      <c r="K101" s="43">
        <f>TABLEROS!$BT$25</f>
        <v>0.427548846929579</v>
      </c>
      <c r="L101" s="36">
        <f>TABLEROS!$CM$25</f>
        <v>0.895847217397973</v>
      </c>
      <c r="M101" s="36">
        <f>TABLEROS!$CN$25</f>
        <v>1.0104515843408</v>
      </c>
      <c r="N101" s="44" t="inlineStr"/>
    </row>
    <row r="102">
      <c r="B102" s="34" t="inlineStr"/>
      <c r="C102" s="41" t="inlineStr">
        <is>
          <t>‖ claro largo</t>
        </is>
      </c>
      <c r="D102" s="41" t="inlineStr">
        <is>
          <t>Inferior</t>
        </is>
      </c>
      <c r="E102" s="36">
        <f>TABLEROS!$BD$25</f>
        <v>0.298939918629984</v>
      </c>
      <c r="F102" s="56">
        <f>TABLEROS!$Q$25</f>
        <v>70</v>
      </c>
      <c r="G102" s="56">
        <f>DATOS!$C$15</f>
        <v>25</v>
      </c>
      <c r="H102" s="59">
        <f>TABLEROS!$BY$25</f>
        <v>1</v>
      </c>
      <c r="I102" s="81">
        <f>TABLEROS!$BX$25</f>
        <v>4</v>
      </c>
      <c r="J102" s="36">
        <f>TABLEROS!$CA$25</f>
        <v>1.00407937658824</v>
      </c>
      <c r="K102" s="43">
        <f>TABLEROS!$CB$25</f>
        <v>0.297725384666053</v>
      </c>
      <c r="L102" s="36" t="inlineStr"/>
      <c r="M102" s="36" t="inlineStr"/>
      <c r="N102" s="44" t="inlineStr"/>
    </row>
    <row r="103">
      <c r="B103" s="34" t="inlineStr"/>
      <c r="C103" s="41" t="inlineStr">
        <is>
          <t>‖ claro largo</t>
        </is>
      </c>
      <c r="D103" s="41" t="inlineStr">
        <is>
          <t>Superior</t>
        </is>
      </c>
      <c r="E103" s="36">
        <f>TABLEROS!$BE$25</f>
        <v>0.438776804983928</v>
      </c>
      <c r="F103" s="56">
        <f>DATOS!$C$19</f>
        <v>10</v>
      </c>
      <c r="G103" s="56">
        <f>DATOS!$C$15</f>
        <v>25</v>
      </c>
      <c r="H103" s="59">
        <f>TABLEROS!$CG$25</f>
        <v>1</v>
      </c>
      <c r="I103" s="81">
        <f>TABLEROS!$CF$25</f>
        <v>4</v>
      </c>
      <c r="J103" s="36">
        <f>TABLEROS!$CI$25</f>
        <v>0.905582360117647</v>
      </c>
      <c r="K103" s="43">
        <f>TABLEROS!$CJ$25</f>
        <v>0.484524461062742</v>
      </c>
      <c r="L103" s="36" t="inlineStr"/>
      <c r="M103" s="36" t="inlineStr"/>
      <c r="N103" s="44" t="inlineStr"/>
    </row>
    <row r="104">
      <c r="B104" s="34" t="inlineStr">
        <is>
          <t>F80019 N+3.00</t>
        </is>
      </c>
      <c r="C104" s="41" t="inlineStr">
        <is>
          <t>‖ claro corto</t>
        </is>
      </c>
      <c r="D104" s="41" t="inlineStr">
        <is>
          <t>Inferior</t>
        </is>
      </c>
      <c r="E104" s="36">
        <f>TABLEROS!$BB$26</f>
        <v>0</v>
      </c>
      <c r="F104" s="56">
        <f>TABLEROS!$P$26</f>
        <v>58.125</v>
      </c>
      <c r="G104" s="56">
        <f>DATOS!$C$15</f>
        <v>25</v>
      </c>
      <c r="H104" s="59">
        <f>TABLEROS!$BI$26</f>
        <v>1</v>
      </c>
      <c r="I104" s="81">
        <f>TABLEROS!$BH$26</f>
        <v>4</v>
      </c>
      <c r="J104" s="36">
        <f>TABLEROS!$BK$26</f>
        <v>0.967276537719165</v>
      </c>
      <c r="K104" s="43">
        <f>TABLEROS!$BL$26</f>
        <v>0</v>
      </c>
      <c r="L104" s="36" t="inlineStr"/>
      <c r="M104" s="36" t="inlineStr"/>
      <c r="N104" s="44" t="str">
        <f>TABLEROS!$CZ$26</f>
        <v>NO CUMPLE: no caben ε_t &lt; 0.005 </v>
      </c>
    </row>
    <row r="105">
      <c r="B105" s="34" t="inlineStr"/>
      <c r="C105" s="41" t="inlineStr">
        <is>
          <t>‖ claro corto</t>
        </is>
      </c>
      <c r="D105" s="41" t="inlineStr">
        <is>
          <t>Superior</t>
        </is>
      </c>
      <c r="E105" s="36">
        <f>TABLEROS!$BC$26</f>
        <v>1.80341844375</v>
      </c>
      <c r="F105" s="56">
        <f>DATOS!$C$19</f>
        <v>10</v>
      </c>
      <c r="G105" s="56">
        <f>DATOS!$C$15</f>
        <v>25</v>
      </c>
      <c r="H105" s="59">
        <f>TABLEROS!$BQ$26</f>
        <v>1</v>
      </c>
      <c r="I105" s="81">
        <f>TABLEROS!$BP$26</f>
        <v>8</v>
      </c>
      <c r="J105" s="36">
        <f>TABLEROS!$BS$26</f>
        <v>2.63391498423529</v>
      </c>
      <c r="K105" s="43">
        <f>TABLEROS!$BT$26</f>
        <v>0.684691212337511</v>
      </c>
      <c r="L105" s="36">
        <f>TABLEROS!$CM$26</f>
        <v>1.44664265057143</v>
      </c>
      <c r="M105" s="36">
        <f>TABLEROS!$CN$26</f>
        <v>1.33493419422131</v>
      </c>
      <c r="N105" s="44" t="inlineStr"/>
    </row>
    <row r="106">
      <c r="B106" s="34" t="inlineStr"/>
      <c r="C106" s="41" t="inlineStr">
        <is>
          <t>‖ claro largo</t>
        </is>
      </c>
      <c r="D106" s="41" t="inlineStr">
        <is>
          <t>Inferior</t>
        </is>
      </c>
      <c r="E106" s="36">
        <f>TABLEROS!$BD$26</f>
        <v>0</v>
      </c>
      <c r="F106" s="56">
        <f>TABLEROS!$Q$26</f>
        <v>70</v>
      </c>
      <c r="G106" s="56">
        <f>DATOS!$C$15</f>
        <v>25</v>
      </c>
      <c r="H106" s="59">
        <f>TABLEROS!$BY$26</f>
        <v>1</v>
      </c>
      <c r="I106" s="81">
        <f>TABLEROS!$BX$26</f>
        <v>4</v>
      </c>
      <c r="J106" s="36">
        <f>TABLEROS!$CA$26</f>
        <v>0.908067376588235</v>
      </c>
      <c r="K106" s="43">
        <f>TABLEROS!$CB$26</f>
        <v>0</v>
      </c>
      <c r="L106" s="36" t="inlineStr"/>
      <c r="M106" s="36" t="inlineStr"/>
      <c r="N106" s="44" t="inlineStr"/>
    </row>
    <row r="107">
      <c r="B107" s="34" t="inlineStr"/>
      <c r="C107" s="41" t="inlineStr">
        <is>
          <t>‖ claro largo</t>
        </is>
      </c>
      <c r="D107" s="41" t="inlineStr">
        <is>
          <t>Superior</t>
        </is>
      </c>
      <c r="E107" s="36">
        <f>TABLEROS!$BE$26</f>
        <v>0</v>
      </c>
      <c r="F107" s="56">
        <f>DATOS!$C$19</f>
        <v>10</v>
      </c>
      <c r="G107" s="56">
        <f>DATOS!$C$15</f>
        <v>25</v>
      </c>
      <c r="H107" s="59">
        <f>TABLEROS!$CG$26</f>
        <v>1</v>
      </c>
      <c r="I107" s="81">
        <f>TABLEROS!$CF$26</f>
        <v>4</v>
      </c>
      <c r="J107" s="36">
        <f>TABLEROS!$CI$26</f>
        <v>0.748602740117647</v>
      </c>
      <c r="K107" s="43">
        <f>TABLEROS!$CJ$26</f>
        <v>0</v>
      </c>
      <c r="L107" s="36" t="inlineStr"/>
      <c r="M107" s="36" t="inlineStr"/>
      <c r="N107" s="44" t="inlineStr"/>
    </row>
    <row r="108">
      <c r="B108" s="34" t="inlineStr">
        <is>
          <t>F80020 N+3.00</t>
        </is>
      </c>
      <c r="C108" s="41" t="inlineStr">
        <is>
          <t>‖ claro corto</t>
        </is>
      </c>
      <c r="D108" s="41" t="inlineStr">
        <is>
          <t>Inferior</t>
        </is>
      </c>
      <c r="E108" s="36">
        <f>TABLEROS!$BB$27</f>
        <v>0.0764876507897436</v>
      </c>
      <c r="F108" s="56">
        <f>TABLEROS!$P$27</f>
        <v>46.25</v>
      </c>
      <c r="G108" s="56">
        <f>DATOS!$C$15</f>
        <v>25</v>
      </c>
      <c r="H108" s="59">
        <f>TABLEROS!$BI$27</f>
        <v>1</v>
      </c>
      <c r="I108" s="81">
        <f>TABLEROS!$BH$27</f>
        <v>4</v>
      </c>
      <c r="J108" s="36">
        <f>TABLEROS!$BK$27</f>
        <v>0.96461508645787</v>
      </c>
      <c r="K108" s="43">
        <f>TABLEROS!$BL$27</f>
        <v>0.079293442393288</v>
      </c>
      <c r="L108" s="36" t="inlineStr"/>
      <c r="M108" s="36" t="inlineStr"/>
      <c r="N108" s="44" t="str">
        <f>TABLEROS!$CZ$27</f>
        <v>CUMPLE — MACIZAR 2 hilera(s) · fuera de 3.4.2.1 c)</v>
      </c>
    </row>
    <row r="109">
      <c r="B109" s="34" t="inlineStr"/>
      <c r="C109" s="41" t="inlineStr">
        <is>
          <t>‖ claro corto</t>
        </is>
      </c>
      <c r="D109" s="41" t="inlineStr">
        <is>
          <t>Superior</t>
        </is>
      </c>
      <c r="E109" s="36">
        <f>TABLEROS!$BC$27</f>
        <v>0.210417073324542</v>
      </c>
      <c r="F109" s="56">
        <f>DATOS!$C$19</f>
        <v>10</v>
      </c>
      <c r="G109" s="56">
        <f>DATOS!$C$15</f>
        <v>25</v>
      </c>
      <c r="H109" s="59">
        <f>TABLEROS!$BQ$27</f>
        <v>1</v>
      </c>
      <c r="I109" s="81">
        <f>TABLEROS!$BP$27</f>
        <v>4</v>
      </c>
      <c r="J109" s="36">
        <f>TABLEROS!$BS$27</f>
        <v>0.870537980117647</v>
      </c>
      <c r="K109" s="43">
        <f>TABLEROS!$BT$27</f>
        <v>0.241709239723356</v>
      </c>
      <c r="L109" s="36">
        <f>TABLEROS!$CM$27</f>
        <v>1.37607421867665</v>
      </c>
      <c r="M109" s="36">
        <f>TABLEROS!$CN$27</f>
        <v>0.860398102904257</v>
      </c>
      <c r="N109" s="44" t="inlineStr"/>
    </row>
    <row r="110">
      <c r="B110" s="34" t="inlineStr"/>
      <c r="C110" s="41" t="inlineStr">
        <is>
          <t>‖ claro largo</t>
        </is>
      </c>
      <c r="D110" s="41" t="inlineStr">
        <is>
          <t>Inferior</t>
        </is>
      </c>
      <c r="E110" s="36">
        <f>TABLEROS!$BD$27</f>
        <v>0.0509036122334555</v>
      </c>
      <c r="F110" s="56">
        <f>TABLEROS!$Q$27</f>
        <v>70</v>
      </c>
      <c r="G110" s="56">
        <f>DATOS!$C$15</f>
        <v>25</v>
      </c>
      <c r="H110" s="59">
        <f>TABLEROS!$BY$27</f>
        <v>1</v>
      </c>
      <c r="I110" s="81">
        <f>TABLEROS!$BX$27</f>
        <v>4</v>
      </c>
      <c r="J110" s="36">
        <f>TABLEROS!$CA$27</f>
        <v>0.908067376588235</v>
      </c>
      <c r="K110" s="43">
        <f>TABLEROS!$CB$27</f>
        <v>0.0560570873327804</v>
      </c>
      <c r="L110" s="36" t="inlineStr"/>
      <c r="M110" s="36" t="inlineStr"/>
      <c r="N110" s="44" t="inlineStr"/>
    </row>
    <row r="111">
      <c r="B111" s="34" t="inlineStr"/>
      <c r="C111" s="41" t="inlineStr">
        <is>
          <t>‖ claro largo</t>
        </is>
      </c>
      <c r="D111" s="41" t="inlineStr">
        <is>
          <t>Superior</t>
        </is>
      </c>
      <c r="E111" s="36">
        <f>TABLEROS!$BE$27</f>
        <v>0.243166864649591</v>
      </c>
      <c r="F111" s="56">
        <f>DATOS!$C$19</f>
        <v>10</v>
      </c>
      <c r="G111" s="56">
        <f>DATOS!$C$15</f>
        <v>25</v>
      </c>
      <c r="H111" s="59">
        <f>TABLEROS!$CG$27</f>
        <v>1</v>
      </c>
      <c r="I111" s="81">
        <f>TABLEROS!$CF$27</f>
        <v>4</v>
      </c>
      <c r="J111" s="36">
        <f>TABLEROS!$CI$27</f>
        <v>0.809570360117647</v>
      </c>
      <c r="K111" s="43">
        <f>TABLEROS!$CJ$27</f>
        <v>0.300365325398344</v>
      </c>
      <c r="L111" s="36" t="inlineStr"/>
      <c r="M111" s="36" t="inlineStr"/>
      <c r="N111" s="44" t="inlineStr"/>
    </row>
    <row r="112">
      <c r="B112" s="34" t="inlineStr">
        <is>
          <t>F80021 N+3.00</t>
        </is>
      </c>
      <c r="C112" s="41" t="inlineStr">
        <is>
          <t>‖ claro corto</t>
        </is>
      </c>
      <c r="D112" s="41" t="inlineStr">
        <is>
          <t>Inferior</t>
        </is>
      </c>
      <c r="E112" s="36">
        <f>TABLEROS!$BB$28</f>
        <v>0.111019296820513</v>
      </c>
      <c r="F112" s="56">
        <f>TABLEROS!$P$28</f>
        <v>46.25</v>
      </c>
      <c r="G112" s="56">
        <f>DATOS!$C$15</f>
        <v>25</v>
      </c>
      <c r="H112" s="59">
        <f>TABLEROS!$BI$28</f>
        <v>1</v>
      </c>
      <c r="I112" s="81">
        <f>TABLEROS!$BH$28</f>
        <v>4</v>
      </c>
      <c r="J112" s="36">
        <f>TABLEROS!$BK$28</f>
        <v>0.96461508645787</v>
      </c>
      <c r="K112" s="43">
        <f>TABLEROS!$BL$28</f>
        <v>0.115091810587561</v>
      </c>
      <c r="L112" s="36" t="inlineStr"/>
      <c r="M112" s="36" t="inlineStr"/>
      <c r="N112" s="44" t="str">
        <f>TABLEROS!$CZ$28</f>
        <v>CUMPLE — MACIZAR 2 hilera(s)</v>
      </c>
    </row>
    <row r="113">
      <c r="B113" s="34" t="inlineStr"/>
      <c r="C113" s="41" t="inlineStr">
        <is>
          <t>‖ claro corto</t>
        </is>
      </c>
      <c r="D113" s="41" t="inlineStr">
        <is>
          <t>Superior</t>
        </is>
      </c>
      <c r="E113" s="36">
        <f>TABLEROS!$BC$28</f>
        <v>0.205624341255189</v>
      </c>
      <c r="F113" s="56">
        <f>DATOS!$C$19</f>
        <v>10</v>
      </c>
      <c r="G113" s="56">
        <f>DATOS!$C$15</f>
        <v>25</v>
      </c>
      <c r="H113" s="59">
        <f>TABLEROS!$BQ$28</f>
        <v>1</v>
      </c>
      <c r="I113" s="81">
        <f>TABLEROS!$BP$28</f>
        <v>4</v>
      </c>
      <c r="J113" s="36">
        <f>TABLEROS!$BS$28</f>
        <v>0.870537980117647</v>
      </c>
      <c r="K113" s="43">
        <f>TABLEROS!$BT$28</f>
        <v>0.236203756701575</v>
      </c>
      <c r="L113" s="36">
        <f>TABLEROS!$CM$28</f>
        <v>1.35725335022664</v>
      </c>
      <c r="M113" s="36">
        <f>TABLEROS!$CN$28</f>
        <v>0.860398102904257</v>
      </c>
      <c r="N113" s="44" t="inlineStr"/>
    </row>
    <row r="114">
      <c r="B114" s="34" t="inlineStr"/>
      <c r="C114" s="41" t="inlineStr">
        <is>
          <t>‖ claro largo</t>
        </is>
      </c>
      <c r="D114" s="41" t="inlineStr">
        <is>
          <t>Inferior</t>
        </is>
      </c>
      <c r="E114" s="36">
        <f>TABLEROS!$BD$28</f>
        <v>0.0680231497142857</v>
      </c>
      <c r="F114" s="56">
        <f>TABLEROS!$Q$28</f>
        <v>70</v>
      </c>
      <c r="G114" s="56">
        <f>DATOS!$C$15</f>
        <v>25</v>
      </c>
      <c r="H114" s="59">
        <f>TABLEROS!$BY$28</f>
        <v>1</v>
      </c>
      <c r="I114" s="81">
        <f>TABLEROS!$BX$28</f>
        <v>4</v>
      </c>
      <c r="J114" s="36">
        <f>TABLEROS!$CA$28</f>
        <v>0.908067376588235</v>
      </c>
      <c r="K114" s="43">
        <f>TABLEROS!$CB$28</f>
        <v>0.0749098045674324</v>
      </c>
      <c r="L114" s="36" t="inlineStr"/>
      <c r="M114" s="36" t="inlineStr"/>
      <c r="N114" s="44" t="inlineStr"/>
    </row>
    <row r="115">
      <c r="B115" s="34" t="inlineStr"/>
      <c r="C115" s="41" t="inlineStr">
        <is>
          <t>‖ claro largo</t>
        </is>
      </c>
      <c r="D115" s="41" t="inlineStr">
        <is>
          <t>Superior</t>
        </is>
      </c>
      <c r="E115" s="36">
        <f>TABLEROS!$BE$28</f>
        <v>0.0553230613567766</v>
      </c>
      <c r="F115" s="56">
        <f>DATOS!$C$19</f>
        <v>10</v>
      </c>
      <c r="G115" s="56">
        <f>DATOS!$C$15</f>
        <v>25</v>
      </c>
      <c r="H115" s="59">
        <f>TABLEROS!$CG$28</f>
        <v>1</v>
      </c>
      <c r="I115" s="81">
        <f>TABLEROS!$CF$28</f>
        <v>4</v>
      </c>
      <c r="J115" s="36">
        <f>TABLEROS!$CI$28</f>
        <v>0.809570360117647</v>
      </c>
      <c r="K115" s="43">
        <f>TABLEROS!$CJ$28</f>
        <v>0.0683363226745814</v>
      </c>
      <c r="L115" s="36" t="inlineStr"/>
      <c r="M115" s="36" t="inlineStr"/>
      <c r="N115" s="44" t="inlineStr"/>
    </row>
    <row r="116">
      <c r="B116" s="34" t="inlineStr">
        <is>
          <t>F2 N+6.00</t>
        </is>
      </c>
      <c r="C116" s="41" t="inlineStr">
        <is>
          <t>‖ claro corto</t>
        </is>
      </c>
      <c r="D116" s="41" t="inlineStr">
        <is>
          <t>Inferior</t>
        </is>
      </c>
      <c r="E116" s="36">
        <f>TABLEROS!$BB$29</f>
        <v>0.0459899123279411</v>
      </c>
      <c r="F116" s="56">
        <f>TABLEROS!$P$29</f>
        <v>31.3</v>
      </c>
      <c r="G116" s="56">
        <f>DATOS!$C$15</f>
        <v>25</v>
      </c>
      <c r="H116" s="59">
        <f>TABLEROS!$BI$29</f>
        <v>1</v>
      </c>
      <c r="I116" s="81">
        <f>TABLEROS!$BH$29</f>
        <v>4</v>
      </c>
      <c r="J116" s="36">
        <f>TABLEROS!$BK$29</f>
        <v>0.95839287566059</v>
      </c>
      <c r="K116" s="43">
        <f>TABLEROS!$BL$29</f>
        <v>0.0479864922787971</v>
      </c>
      <c r="L116" s="36" t="inlineStr"/>
      <c r="M116" s="36" t="inlineStr"/>
      <c r="N116" s="44" t="str">
        <f>TABLEROS!$CZ$29</f>
        <v>CUMPLE · fuera de 3.4.2.1 c)</v>
      </c>
    </row>
    <row r="117">
      <c r="B117" s="34" t="inlineStr"/>
      <c r="C117" s="41" t="inlineStr">
        <is>
          <t>‖ claro corto</t>
        </is>
      </c>
      <c r="D117" s="41" t="inlineStr">
        <is>
          <t>Superior</t>
        </is>
      </c>
      <c r="E117" s="36">
        <f>TABLEROS!$BC$29</f>
        <v>0.353680232575303</v>
      </c>
      <c r="F117" s="56">
        <f>DATOS!$C$19</f>
        <v>10</v>
      </c>
      <c r="G117" s="56">
        <f>DATOS!$C$15</f>
        <v>25</v>
      </c>
      <c r="H117" s="59">
        <f>TABLEROS!$BQ$29</f>
        <v>1</v>
      </c>
      <c r="I117" s="81">
        <f>TABLEROS!$BP$29</f>
        <v>4</v>
      </c>
      <c r="J117" s="36">
        <f>TABLEROS!$BS$29</f>
        <v>0.870537980117647</v>
      </c>
      <c r="K117" s="43">
        <f>TABLEROS!$BT$29</f>
        <v>0.406277773805464</v>
      </c>
      <c r="L117" s="36">
        <f>TABLEROS!$CM$29</f>
        <v>0.137599928121762</v>
      </c>
      <c r="M117" s="36">
        <f>TABLEROS!$CN$29</f>
        <v>0.860398102904257</v>
      </c>
      <c r="N117" s="44" t="inlineStr"/>
    </row>
    <row r="118">
      <c r="B118" s="34" t="inlineStr"/>
      <c r="C118" s="41" t="inlineStr">
        <is>
          <t>‖ claro largo</t>
        </is>
      </c>
      <c r="D118" s="41" t="inlineStr">
        <is>
          <t>Inferior</t>
        </is>
      </c>
      <c r="E118" s="36">
        <f>TABLEROS!$BD$29</f>
        <v>0.0185175219474299</v>
      </c>
      <c r="F118" s="56">
        <f>TABLEROS!$Q$29</f>
        <v>70</v>
      </c>
      <c r="G118" s="56">
        <f>DATOS!$C$15</f>
        <v>25</v>
      </c>
      <c r="H118" s="59">
        <f>TABLEROS!$BY$29</f>
        <v>1</v>
      </c>
      <c r="I118" s="81">
        <f>TABLEROS!$BX$29</f>
        <v>4</v>
      </c>
      <c r="J118" s="36">
        <f>TABLEROS!$CA$29</f>
        <v>0.908067376588235</v>
      </c>
      <c r="K118" s="43">
        <f>TABLEROS!$CB$29</f>
        <v>0.0203922334673044</v>
      </c>
      <c r="L118" s="36" t="inlineStr"/>
      <c r="M118" s="36" t="inlineStr"/>
      <c r="N118" s="44" t="inlineStr"/>
    </row>
    <row r="119">
      <c r="B119" s="34" t="inlineStr"/>
      <c r="C119" s="41" t="inlineStr">
        <is>
          <t>‖ claro largo</t>
        </is>
      </c>
      <c r="D119" s="41" t="inlineStr">
        <is>
          <t>Superior</t>
        </is>
      </c>
      <c r="E119" s="36">
        <f>TABLEROS!$BE$29</f>
        <v>0.0177006561599644</v>
      </c>
      <c r="F119" s="56">
        <f>DATOS!$C$19</f>
        <v>10</v>
      </c>
      <c r="G119" s="56">
        <f>DATOS!$C$15</f>
        <v>25</v>
      </c>
      <c r="H119" s="59">
        <f>TABLEROS!$CG$29</f>
        <v>1</v>
      </c>
      <c r="I119" s="81">
        <f>TABLEROS!$CF$29</f>
        <v>4</v>
      </c>
      <c r="J119" s="36">
        <f>TABLEROS!$CI$29</f>
        <v>0.809570360117647</v>
      </c>
      <c r="K119" s="43">
        <f>TABLEROS!$CJ$29</f>
        <v>0.0218642591576501</v>
      </c>
      <c r="L119" s="36" t="inlineStr"/>
      <c r="M119" s="36" t="inlineStr"/>
      <c r="N119" s="44" t="inlineStr"/>
    </row>
    <row r="120">
      <c r="B120" s="34" t="inlineStr">
        <is>
          <t>F80010 N+6.00</t>
        </is>
      </c>
      <c r="C120" s="41" t="inlineStr">
        <is>
          <t>‖ claro corto</t>
        </is>
      </c>
      <c r="D120" s="41" t="inlineStr">
        <is>
          <t>Inferior</t>
        </is>
      </c>
      <c r="E120" s="36">
        <f>TABLEROS!$BB$30</f>
        <v>0.117072326860869</v>
      </c>
      <c r="F120" s="56">
        <f>TABLEROS!$P$30</f>
        <v>51.875</v>
      </c>
      <c r="G120" s="56">
        <f>DATOS!$C$15</f>
        <v>25</v>
      </c>
      <c r="H120" s="59">
        <f>TABLEROS!$BI$30</f>
        <v>1</v>
      </c>
      <c r="I120" s="81">
        <f>TABLEROS!$BH$30</f>
        <v>4</v>
      </c>
      <c r="J120" s="36">
        <f>TABLEROS!$BK$30</f>
        <v>0.96602766395039</v>
      </c>
      <c r="K120" s="43">
        <f>TABLEROS!$BL$30</f>
        <v>0.121189414371555</v>
      </c>
      <c r="L120" s="36" t="inlineStr"/>
      <c r="M120" s="36" t="inlineStr"/>
      <c r="N120" s="44" t="str">
        <f>TABLEROS!$CZ$30</f>
        <v>CUMPLE · fuera de 3.4.2.1 c)</v>
      </c>
    </row>
    <row r="121">
      <c r="B121" s="34" t="inlineStr"/>
      <c r="C121" s="41" t="inlineStr">
        <is>
          <t>‖ claro corto</t>
        </is>
      </c>
      <c r="D121" s="41" t="inlineStr">
        <is>
          <t>Superior</t>
        </is>
      </c>
      <c r="E121" s="36">
        <f>TABLEROS!$BC$30</f>
        <v>0.273506798904181</v>
      </c>
      <c r="F121" s="56">
        <f>DATOS!$C$19</f>
        <v>10</v>
      </c>
      <c r="G121" s="56">
        <f>DATOS!$C$15</f>
        <v>25</v>
      </c>
      <c r="H121" s="59">
        <f>TABLEROS!$BQ$30</f>
        <v>1</v>
      </c>
      <c r="I121" s="81">
        <f>TABLEROS!$BP$30</f>
        <v>4</v>
      </c>
      <c r="J121" s="36">
        <f>TABLEROS!$BS$30</f>
        <v>0.870537980117647</v>
      </c>
      <c r="K121" s="43">
        <f>TABLEROS!$BT$30</f>
        <v>0.314181351245833</v>
      </c>
      <c r="L121" s="36">
        <f>TABLEROS!$CM$30</f>
        <v>0.326535058505947</v>
      </c>
      <c r="M121" s="36">
        <f>TABLEROS!$CN$30</f>
        <v>0.860398102904257</v>
      </c>
      <c r="N121" s="44" t="inlineStr"/>
    </row>
    <row r="122">
      <c r="B122" s="34" t="inlineStr"/>
      <c r="C122" s="41" t="inlineStr">
        <is>
          <t>‖ claro largo</t>
        </is>
      </c>
      <c r="D122" s="41" t="inlineStr">
        <is>
          <t>Inferior</t>
        </is>
      </c>
      <c r="E122" s="36">
        <f>TABLEROS!$BD$30</f>
        <v>0.0637623619974775</v>
      </c>
      <c r="F122" s="56">
        <f>TABLEROS!$Q$30</f>
        <v>70</v>
      </c>
      <c r="G122" s="56">
        <f>DATOS!$C$15</f>
        <v>25</v>
      </c>
      <c r="H122" s="59">
        <f>TABLEROS!$BY$30</f>
        <v>1</v>
      </c>
      <c r="I122" s="81">
        <f>TABLEROS!$BX$30</f>
        <v>4</v>
      </c>
      <c r="J122" s="36">
        <f>TABLEROS!$CA$30</f>
        <v>0.908067376588235</v>
      </c>
      <c r="K122" s="43">
        <f>TABLEROS!$CB$30</f>
        <v>0.0702176552548817</v>
      </c>
      <c r="L122" s="36" t="inlineStr"/>
      <c r="M122" s="36" t="inlineStr"/>
      <c r="N122" s="44" t="inlineStr"/>
    </row>
    <row r="123">
      <c r="B123" s="34" t="inlineStr"/>
      <c r="C123" s="41" t="inlineStr">
        <is>
          <t>‖ claro largo</t>
        </is>
      </c>
      <c r="D123" s="41" t="inlineStr">
        <is>
          <t>Superior</t>
        </is>
      </c>
      <c r="E123" s="36">
        <f>TABLEROS!$BE$30</f>
        <v>0.166191467877275</v>
      </c>
      <c r="F123" s="56">
        <f>DATOS!$C$19</f>
        <v>10</v>
      </c>
      <c r="G123" s="56">
        <f>DATOS!$C$15</f>
        <v>25</v>
      </c>
      <c r="H123" s="59">
        <f>TABLEROS!$CG$30</f>
        <v>1</v>
      </c>
      <c r="I123" s="81">
        <f>TABLEROS!$CF$30</f>
        <v>4</v>
      </c>
      <c r="J123" s="36">
        <f>TABLEROS!$CI$30</f>
        <v>0.809570360117647</v>
      </c>
      <c r="K123" s="43">
        <f>TABLEROS!$CJ$30</f>
        <v>0.205283538114123</v>
      </c>
      <c r="L123" s="36" t="inlineStr"/>
      <c r="M123" s="36" t="inlineStr"/>
      <c r="N123" s="44" t="inlineStr"/>
    </row>
    <row r="124">
      <c r="B124" s="34" t="inlineStr">
        <is>
          <t>F80023 N+6.00</t>
        </is>
      </c>
      <c r="C124" s="41" t="inlineStr">
        <is>
          <t>‖ claro corto</t>
        </is>
      </c>
      <c r="D124" s="41" t="inlineStr">
        <is>
          <t>Inferior</t>
        </is>
      </c>
      <c r="E124" s="36">
        <f>TABLEROS!$BB$31</f>
        <v>0.0704946056631114</v>
      </c>
      <c r="F124" s="56">
        <f>TABLEROS!$P$31</f>
        <v>46.15</v>
      </c>
      <c r="G124" s="56">
        <f>DATOS!$C$15</f>
        <v>25</v>
      </c>
      <c r="H124" s="59">
        <f>TABLEROS!$BI$31</f>
        <v>1</v>
      </c>
      <c r="I124" s="81">
        <f>TABLEROS!$BH$31</f>
        <v>4</v>
      </c>
      <c r="J124" s="36">
        <f>TABLEROS!$BK$31</f>
        <v>0.96458685871455</v>
      </c>
      <c r="K124" s="43">
        <f>TABLEROS!$BL$31</f>
        <v>0.0730826934103742</v>
      </c>
      <c r="L124" s="36" t="inlineStr"/>
      <c r="M124" s="36" t="inlineStr"/>
      <c r="N124" s="44" t="str">
        <f>TABLEROS!$CZ$31</f>
        <v>CUMPLE · fuera de 3.4.2.1 c)</v>
      </c>
    </row>
    <row r="125">
      <c r="B125" s="34" t="inlineStr"/>
      <c r="C125" s="41" t="inlineStr">
        <is>
          <t>‖ claro corto</t>
        </is>
      </c>
      <c r="D125" s="41" t="inlineStr">
        <is>
          <t>Superior</t>
        </is>
      </c>
      <c r="E125" s="36">
        <f>TABLEROS!$BC$31</f>
        <v>0.435614641465121</v>
      </c>
      <c r="F125" s="56">
        <f>DATOS!$C$19</f>
        <v>10</v>
      </c>
      <c r="G125" s="56">
        <f>DATOS!$C$15</f>
        <v>25</v>
      </c>
      <c r="H125" s="59">
        <f>TABLEROS!$BQ$31</f>
        <v>1</v>
      </c>
      <c r="I125" s="81">
        <f>TABLEROS!$BP$31</f>
        <v>4</v>
      </c>
      <c r="J125" s="36">
        <f>TABLEROS!$BS$31</f>
        <v>0.870537980117647</v>
      </c>
      <c r="K125" s="43">
        <f>TABLEROS!$BT$31</f>
        <v>0.500397054940958</v>
      </c>
      <c r="L125" s="36">
        <f>TABLEROS!$CM$31</f>
        <v>0.258013122190853</v>
      </c>
      <c r="M125" s="36">
        <f>TABLEROS!$CN$31</f>
        <v>0.860398102904257</v>
      </c>
      <c r="N125" s="44" t="inlineStr"/>
    </row>
    <row r="126">
      <c r="B126" s="34" t="inlineStr"/>
      <c r="C126" s="41" t="inlineStr">
        <is>
          <t>‖ claro largo</t>
        </is>
      </c>
      <c r="D126" s="41" t="inlineStr">
        <is>
          <t>Inferior</t>
        </is>
      </c>
      <c r="E126" s="36">
        <f>TABLEROS!$BD$31</f>
        <v>0.0512283614485225</v>
      </c>
      <c r="F126" s="56">
        <f>TABLEROS!$Q$31</f>
        <v>70</v>
      </c>
      <c r="G126" s="56">
        <f>DATOS!$C$15</f>
        <v>25</v>
      </c>
      <c r="H126" s="59">
        <f>TABLEROS!$BY$31</f>
        <v>1</v>
      </c>
      <c r="I126" s="81">
        <f>TABLEROS!$BX$31</f>
        <v>4</v>
      </c>
      <c r="J126" s="36">
        <f>TABLEROS!$CA$31</f>
        <v>0.908067376588235</v>
      </c>
      <c r="K126" s="43">
        <f>TABLEROS!$CB$31</f>
        <v>0.0564147141162545</v>
      </c>
      <c r="L126" s="36" t="inlineStr"/>
      <c r="M126" s="36" t="inlineStr"/>
      <c r="N126" s="44" t="inlineStr"/>
    </row>
    <row r="127">
      <c r="B127" s="34" t="inlineStr"/>
      <c r="C127" s="41" t="inlineStr">
        <is>
          <t>‖ claro largo</t>
        </is>
      </c>
      <c r="D127" s="41" t="inlineStr">
        <is>
          <t>Superior</t>
        </is>
      </c>
      <c r="E127" s="36">
        <f>TABLEROS!$BE$31</f>
        <v>0.0897732692036866</v>
      </c>
      <c r="F127" s="56">
        <f>DATOS!$C$19</f>
        <v>10</v>
      </c>
      <c r="G127" s="56">
        <f>DATOS!$C$15</f>
        <v>25</v>
      </c>
      <c r="H127" s="59">
        <f>TABLEROS!$CG$31</f>
        <v>1</v>
      </c>
      <c r="I127" s="81">
        <f>TABLEROS!$CF$31</f>
        <v>4</v>
      </c>
      <c r="J127" s="36">
        <f>TABLEROS!$CI$31</f>
        <v>0.809570360117647</v>
      </c>
      <c r="K127" s="43">
        <f>TABLEROS!$CJ$31</f>
        <v>0.110890014785918</v>
      </c>
      <c r="L127" s="36" t="inlineStr"/>
      <c r="M127" s="36" t="inlineStr"/>
      <c r="N127" s="44" t="inlineStr"/>
    </row>
    <row r="128">
      <c r="B128" s="34" t="inlineStr">
        <is>
          <t>F80024 N+6.00</t>
        </is>
      </c>
      <c r="C128" s="41" t="inlineStr">
        <is>
          <t>‖ claro corto</t>
        </is>
      </c>
      <c r="D128" s="41" t="inlineStr">
        <is>
          <t>Inferior</t>
        </is>
      </c>
      <c r="E128" s="36">
        <f>TABLEROS!$BB$32</f>
        <v>0.446658293202669</v>
      </c>
      <c r="F128" s="56">
        <f>TABLEROS!$P$32</f>
        <v>70</v>
      </c>
      <c r="G128" s="56">
        <f>DATOS!$C$15</f>
        <v>25</v>
      </c>
      <c r="H128" s="59">
        <f>TABLEROS!$BI$32</f>
        <v>1</v>
      </c>
      <c r="I128" s="81">
        <f>TABLEROS!$BH$32</f>
        <v>4</v>
      </c>
      <c r="J128" s="36">
        <f>TABLEROS!$BK$32</f>
        <v>1.06504699658824</v>
      </c>
      <c r="K128" s="43">
        <f>TABLEROS!$BL$32</f>
        <v>0.419378951946244</v>
      </c>
      <c r="L128" s="36" t="inlineStr"/>
      <c r="M128" s="36" t="inlineStr"/>
      <c r="N128" s="44" t="str">
        <f>TABLEROS!$CZ$32</f>
        <v>CUMPLE · fuera de 3.4.2.1 c)</v>
      </c>
    </row>
    <row r="129">
      <c r="B129" s="34" t="inlineStr"/>
      <c r="C129" s="41" t="inlineStr">
        <is>
          <t>‖ claro corto</t>
        </is>
      </c>
      <c r="D129" s="41" t="inlineStr">
        <is>
          <t>Superior</t>
        </is>
      </c>
      <c r="E129" s="36">
        <f>TABLEROS!$BC$32</f>
        <v>0.724779945063579</v>
      </c>
      <c r="F129" s="56">
        <f>DATOS!$C$19</f>
        <v>10</v>
      </c>
      <c r="G129" s="56">
        <f>DATOS!$C$15</f>
        <v>25</v>
      </c>
      <c r="H129" s="59">
        <f>TABLEROS!$BQ$32</f>
        <v>1</v>
      </c>
      <c r="I129" s="81">
        <f>TABLEROS!$BP$32</f>
        <v>4</v>
      </c>
      <c r="J129" s="36">
        <f>TABLEROS!$BS$32</f>
        <v>0.966549980117647</v>
      </c>
      <c r="K129" s="43">
        <f>TABLEROS!$BT$32</f>
        <v>0.749862873077045</v>
      </c>
      <c r="L129" s="36">
        <f>TABLEROS!$CM$32</f>
        <v>0.728586418303149</v>
      </c>
      <c r="M129" s="36">
        <f>TABLEROS!$CN$32</f>
        <v>1.0104515843408</v>
      </c>
      <c r="N129" s="44" t="inlineStr"/>
    </row>
    <row r="130">
      <c r="B130" s="34" t="inlineStr"/>
      <c r="C130" s="41" t="inlineStr">
        <is>
          <t>‖ claro largo</t>
        </is>
      </c>
      <c r="D130" s="41" t="inlineStr">
        <is>
          <t>Inferior</t>
        </is>
      </c>
      <c r="E130" s="36">
        <f>TABLEROS!$BD$32</f>
        <v>0.378204650941267</v>
      </c>
      <c r="F130" s="56">
        <f>TABLEROS!$Q$32</f>
        <v>70</v>
      </c>
      <c r="G130" s="56">
        <f>DATOS!$C$15</f>
        <v>25</v>
      </c>
      <c r="H130" s="59">
        <f>TABLEROS!$BY$32</f>
        <v>1</v>
      </c>
      <c r="I130" s="81">
        <f>TABLEROS!$BX$32</f>
        <v>4</v>
      </c>
      <c r="J130" s="36">
        <f>TABLEROS!$CA$32</f>
        <v>1.00407937658824</v>
      </c>
      <c r="K130" s="43">
        <f>TABLEROS!$CB$32</f>
        <v>0.376668079994203</v>
      </c>
      <c r="L130" s="36" t="inlineStr"/>
      <c r="M130" s="36" t="inlineStr"/>
      <c r="N130" s="44" t="inlineStr"/>
    </row>
    <row r="131">
      <c r="B131" s="34" t="inlineStr"/>
      <c r="C131" s="41" t="inlineStr">
        <is>
          <t>‖ claro largo</t>
        </is>
      </c>
      <c r="D131" s="41" t="inlineStr">
        <is>
          <t>Superior</t>
        </is>
      </c>
      <c r="E131" s="36">
        <f>TABLEROS!$BE$32</f>
        <v>0.598911239355094</v>
      </c>
      <c r="F131" s="56">
        <f>DATOS!$C$19</f>
        <v>10</v>
      </c>
      <c r="G131" s="56">
        <f>DATOS!$C$15</f>
        <v>25</v>
      </c>
      <c r="H131" s="59">
        <f>TABLEROS!$CG$32</f>
        <v>1</v>
      </c>
      <c r="I131" s="81">
        <f>TABLEROS!$CF$32</f>
        <v>4</v>
      </c>
      <c r="J131" s="36">
        <f>TABLEROS!$CI$32</f>
        <v>0.905582360117647</v>
      </c>
      <c r="K131" s="43">
        <f>TABLEROS!$CJ$32</f>
        <v>0.661354798559998</v>
      </c>
      <c r="L131" s="36" t="inlineStr"/>
      <c r="M131" s="36" t="inlineStr"/>
      <c r="N131" s="44" t="inlineStr"/>
    </row>
    <row r="132">
      <c r="B132" s="34" t="inlineStr">
        <is>
          <t>F80025 N+6.00</t>
        </is>
      </c>
      <c r="C132" s="41" t="inlineStr">
        <is>
          <t>‖ claro corto</t>
        </is>
      </c>
      <c r="D132" s="41" t="inlineStr">
        <is>
          <t>Inferior</t>
        </is>
      </c>
      <c r="E132" s="36">
        <f>TABLEROS!$BB$33</f>
        <v>0.404380091731085</v>
      </c>
      <c r="F132" s="56">
        <f>TABLEROS!$P$33</f>
        <v>70</v>
      </c>
      <c r="G132" s="56">
        <f>DATOS!$C$15</f>
        <v>25</v>
      </c>
      <c r="H132" s="59">
        <f>TABLEROS!$BI$33</f>
        <v>1</v>
      </c>
      <c r="I132" s="81">
        <f>TABLEROS!$BH$33</f>
        <v>4</v>
      </c>
      <c r="J132" s="36">
        <f>TABLEROS!$BK$33</f>
        <v>0.969034996588235</v>
      </c>
      <c r="K132" s="43">
        <f>TABLEROS!$BL$33</f>
        <v>0.417301844778383</v>
      </c>
      <c r="L132" s="36" t="inlineStr"/>
      <c r="M132" s="36" t="inlineStr"/>
      <c r="N132" s="44" t="str">
        <f>TABLEROS!$CZ$33</f>
        <v>CUMPLE · fuera de 3.4.2.1 c)</v>
      </c>
    </row>
    <row r="133">
      <c r="B133" s="34" t="inlineStr"/>
      <c r="C133" s="41" t="inlineStr">
        <is>
          <t>‖ claro corto</t>
        </is>
      </c>
      <c r="D133" s="41" t="inlineStr">
        <is>
          <t>Superior</t>
        </is>
      </c>
      <c r="E133" s="36">
        <f>TABLEROS!$BC$33</f>
        <v>0.84047406283339</v>
      </c>
      <c r="F133" s="56">
        <f>DATOS!$C$19</f>
        <v>10</v>
      </c>
      <c r="G133" s="56">
        <f>DATOS!$C$15</f>
        <v>25</v>
      </c>
      <c r="H133" s="59">
        <f>TABLEROS!$BQ$33</f>
        <v>1</v>
      </c>
      <c r="I133" s="81">
        <f>TABLEROS!$BP$33</f>
        <v>5</v>
      </c>
      <c r="J133" s="36">
        <f>TABLEROS!$BS$33</f>
        <v>1.29272758094118</v>
      </c>
      <c r="K133" s="43">
        <f>TABLEROS!$BT$33</f>
        <v>0.650155589796791</v>
      </c>
      <c r="L133" s="36">
        <f>TABLEROS!$CM$33</f>
        <v>0.707753361218404</v>
      </c>
      <c r="M133" s="36">
        <f>TABLEROS!$CN$33</f>
        <v>0.992173126477597</v>
      </c>
      <c r="N133" s="44" t="inlineStr"/>
    </row>
    <row r="134">
      <c r="B134" s="34" t="inlineStr"/>
      <c r="C134" s="41" t="inlineStr">
        <is>
          <t>‖ claro largo</t>
        </is>
      </c>
      <c r="D134" s="41" t="inlineStr">
        <is>
          <t>Inferior</t>
        </is>
      </c>
      <c r="E134" s="36">
        <f>TABLEROS!$BD$33</f>
        <v>0.243734250391427</v>
      </c>
      <c r="F134" s="56">
        <f>TABLEROS!$Q$33</f>
        <v>70</v>
      </c>
      <c r="G134" s="56">
        <f>DATOS!$C$15</f>
        <v>25</v>
      </c>
      <c r="H134" s="59">
        <f>TABLEROS!$BY$33</f>
        <v>1</v>
      </c>
      <c r="I134" s="81">
        <f>TABLEROS!$BX$33</f>
        <v>4</v>
      </c>
      <c r="J134" s="36">
        <f>TABLEROS!$CA$33</f>
        <v>0.908067376588235</v>
      </c>
      <c r="K134" s="43">
        <f>TABLEROS!$CB$33</f>
        <v>0.268409874283975</v>
      </c>
      <c r="L134" s="36" t="inlineStr"/>
      <c r="M134" s="36" t="inlineStr"/>
      <c r="N134" s="44" t="inlineStr"/>
    </row>
    <row r="135">
      <c r="B135" s="34" t="inlineStr"/>
      <c r="C135" s="41" t="inlineStr">
        <is>
          <t>‖ claro largo</t>
        </is>
      </c>
      <c r="D135" s="41" t="inlineStr">
        <is>
          <t>Superior</t>
        </is>
      </c>
      <c r="E135" s="36">
        <f>TABLEROS!$BE$33</f>
        <v>0.418172199442378</v>
      </c>
      <c r="F135" s="56">
        <f>DATOS!$C$19</f>
        <v>10</v>
      </c>
      <c r="G135" s="56">
        <f>DATOS!$C$15</f>
        <v>25</v>
      </c>
      <c r="H135" s="59">
        <f>TABLEROS!$CG$33</f>
        <v>1</v>
      </c>
      <c r="I135" s="81">
        <f>TABLEROS!$CF$33</f>
        <v>4</v>
      </c>
      <c r="J135" s="36">
        <f>TABLEROS!$CI$33</f>
        <v>0.794208440117647</v>
      </c>
      <c r="K135" s="43">
        <f>TABLEROS!$CJ$33</f>
        <v>0.526527015225919</v>
      </c>
      <c r="L135" s="36" t="inlineStr"/>
      <c r="M135" s="36" t="inlineStr"/>
      <c r="N135" s="44" t="inlineStr"/>
    </row>
    <row r="136">
      <c r="B136" s="34" t="inlineStr">
        <is>
          <t>F80026 N+6.00</t>
        </is>
      </c>
      <c r="C136" s="41" t="inlineStr">
        <is>
          <t>‖ claro corto</t>
        </is>
      </c>
      <c r="D136" s="41" t="inlineStr">
        <is>
          <t>Inferior</t>
        </is>
      </c>
      <c r="E136" s="36">
        <f>TABLEROS!$BB$34</f>
        <v>0.0270476680509595</v>
      </c>
      <c r="F136" s="56">
        <f>TABLEROS!$P$34</f>
        <v>27.525</v>
      </c>
      <c r="G136" s="56">
        <f>DATOS!$C$15</f>
        <v>25</v>
      </c>
      <c r="H136" s="59">
        <f>TABLEROS!$BI$34</f>
        <v>1</v>
      </c>
      <c r="I136" s="81">
        <f>TABLEROS!$BH$34</f>
        <v>4</v>
      </c>
      <c r="J136" s="36">
        <f>TABLEROS!$BK$34</f>
        <v>0.955752869788428</v>
      </c>
      <c r="K136" s="43">
        <f>TABLEROS!$BL$34</f>
        <v>0.0282998554395625</v>
      </c>
      <c r="L136" s="36" t="inlineStr"/>
      <c r="M136" s="36" t="inlineStr"/>
      <c r="N136" s="44" t="str">
        <f>TABLEROS!$CZ$34</f>
        <v>CUMPLE · fuera de 3.4.2.1 c)</v>
      </c>
    </row>
    <row r="137">
      <c r="B137" s="34" t="inlineStr"/>
      <c r="C137" s="41" t="inlineStr">
        <is>
          <t>‖ claro corto</t>
        </is>
      </c>
      <c r="D137" s="41" t="inlineStr">
        <is>
          <t>Superior</t>
        </is>
      </c>
      <c r="E137" s="36">
        <f>TABLEROS!$BC$34</f>
        <v>0.257477372141493</v>
      </c>
      <c r="F137" s="56">
        <f>DATOS!$C$19</f>
        <v>10</v>
      </c>
      <c r="G137" s="56">
        <f>DATOS!$C$15</f>
        <v>25</v>
      </c>
      <c r="H137" s="59">
        <f>TABLEROS!$BQ$34</f>
        <v>1</v>
      </c>
      <c r="I137" s="81">
        <f>TABLEROS!$BP$34</f>
        <v>4</v>
      </c>
      <c r="J137" s="36">
        <f>TABLEROS!$BS$34</f>
        <v>0.870537980117647</v>
      </c>
      <c r="K137" s="43">
        <f>TABLEROS!$BT$34</f>
        <v>0.295768108941895</v>
      </c>
      <c r="L137" s="36">
        <f>TABLEROS!$CM$34</f>
        <v>0.0934054831622595</v>
      </c>
      <c r="M137" s="36">
        <f>TABLEROS!$CN$34</f>
        <v>0.860398102904257</v>
      </c>
      <c r="N137" s="44" t="inlineStr"/>
    </row>
    <row r="138">
      <c r="B138" s="34" t="inlineStr"/>
      <c r="C138" s="41" t="inlineStr">
        <is>
          <t>‖ claro largo</t>
        </is>
      </c>
      <c r="D138" s="41" t="inlineStr">
        <is>
          <t>Inferior</t>
        </is>
      </c>
      <c r="E138" s="36">
        <f>TABLEROS!$BD$34</f>
        <v>0.0116528095615444</v>
      </c>
      <c r="F138" s="56">
        <f>TABLEROS!$Q$34</f>
        <v>70</v>
      </c>
      <c r="G138" s="56">
        <f>DATOS!$C$15</f>
        <v>25</v>
      </c>
      <c r="H138" s="59">
        <f>TABLEROS!$BY$34</f>
        <v>1</v>
      </c>
      <c r="I138" s="81">
        <f>TABLEROS!$BX$34</f>
        <v>4</v>
      </c>
      <c r="J138" s="36">
        <f>TABLEROS!$CA$34</f>
        <v>0.908067376588235</v>
      </c>
      <c r="K138" s="43">
        <f>TABLEROS!$CB$34</f>
        <v>0.0128325384899587</v>
      </c>
      <c r="L138" s="36" t="inlineStr"/>
      <c r="M138" s="36" t="inlineStr"/>
      <c r="N138" s="44" t="inlineStr"/>
    </row>
    <row r="139">
      <c r="B139" s="34" t="inlineStr"/>
      <c r="C139" s="41" t="inlineStr">
        <is>
          <t>‖ claro largo</t>
        </is>
      </c>
      <c r="D139" s="41" t="inlineStr">
        <is>
          <t>Superior</t>
        </is>
      </c>
      <c r="E139" s="36">
        <f>TABLEROS!$BE$34</f>
        <v>0.130135751664359</v>
      </c>
      <c r="F139" s="56">
        <f>DATOS!$C$19</f>
        <v>10</v>
      </c>
      <c r="G139" s="56">
        <f>DATOS!$C$15</f>
        <v>25</v>
      </c>
      <c r="H139" s="59">
        <f>TABLEROS!$CG$34</f>
        <v>1</v>
      </c>
      <c r="I139" s="81">
        <f>TABLEROS!$CF$34</f>
        <v>4</v>
      </c>
      <c r="J139" s="36">
        <f>TABLEROS!$CI$34</f>
        <v>0.809570360117647</v>
      </c>
      <c r="K139" s="43">
        <f>TABLEROS!$CJ$34</f>
        <v>0.160746685001472</v>
      </c>
      <c r="L139" s="36" t="inlineStr"/>
      <c r="M139" s="36" t="inlineStr"/>
      <c r="N139" s="44" t="inlineStr"/>
    </row>
    <row r="140">
      <c r="B140" s="34" t="inlineStr">
        <is>
          <t>F80027 N+6.00</t>
        </is>
      </c>
      <c r="C140" s="41" t="inlineStr">
        <is>
          <t>‖ claro corto</t>
        </is>
      </c>
      <c r="D140" s="41" t="inlineStr">
        <is>
          <t>Inferior</t>
        </is>
      </c>
      <c r="E140" s="36">
        <f>TABLEROS!$BB$35</f>
        <v>0.0444565883544451</v>
      </c>
      <c r="F140" s="56">
        <f>TABLEROS!$P$35</f>
        <v>35.025</v>
      </c>
      <c r="G140" s="56">
        <f>DATOS!$C$15</f>
        <v>25</v>
      </c>
      <c r="H140" s="59">
        <f>TABLEROS!$BI$35</f>
        <v>1</v>
      </c>
      <c r="I140" s="81">
        <f>TABLEROS!$BH$35</f>
        <v>4</v>
      </c>
      <c r="J140" s="36">
        <f>TABLEROS!$BK$35</f>
        <v>0.960440090390477</v>
      </c>
      <c r="K140" s="43">
        <f>TABLEROS!$BL$35</f>
        <v>0.0462877266362036</v>
      </c>
      <c r="L140" s="36" t="inlineStr"/>
      <c r="M140" s="36" t="inlineStr"/>
      <c r="N140" s="44" t="str">
        <f>TABLEROS!$CZ$35</f>
        <v>CUMPLE · fuera de 3.4.2.1 c)</v>
      </c>
    </row>
    <row r="141">
      <c r="B141" s="34" t="inlineStr"/>
      <c r="C141" s="41" t="inlineStr">
        <is>
          <t>‖ claro corto</t>
        </is>
      </c>
      <c r="D141" s="41" t="inlineStr">
        <is>
          <t>Superior</t>
        </is>
      </c>
      <c r="E141" s="36">
        <f>TABLEROS!$BC$35</f>
        <v>0.177285122226314</v>
      </c>
      <c r="F141" s="56">
        <f>DATOS!$C$19</f>
        <v>10</v>
      </c>
      <c r="G141" s="56">
        <f>DATOS!$C$15</f>
        <v>25</v>
      </c>
      <c r="H141" s="59">
        <f>TABLEROS!$BQ$35</f>
        <v>1</v>
      </c>
      <c r="I141" s="81">
        <f>TABLEROS!$BP$35</f>
        <v>4</v>
      </c>
      <c r="J141" s="36">
        <f>TABLEROS!$BS$35</f>
        <v>0.870537980117647</v>
      </c>
      <c r="K141" s="43">
        <f>TABLEROS!$BT$35</f>
        <v>0.203650071881247</v>
      </c>
      <c r="L141" s="36">
        <f>TABLEROS!$CM$35</f>
        <v>0.171691785296841</v>
      </c>
      <c r="M141" s="36">
        <f>TABLEROS!$CN$35</f>
        <v>0.860398102904257</v>
      </c>
      <c r="N141" s="44" t="inlineStr"/>
    </row>
    <row r="142">
      <c r="B142" s="34" t="inlineStr"/>
      <c r="C142" s="41" t="inlineStr">
        <is>
          <t>‖ claro largo</t>
        </is>
      </c>
      <c r="D142" s="41" t="inlineStr">
        <is>
          <t>Inferior</t>
        </is>
      </c>
      <c r="E142" s="36">
        <f>TABLEROS!$BD$35</f>
        <v>0.0231141439915947</v>
      </c>
      <c r="F142" s="56">
        <f>TABLEROS!$Q$35</f>
        <v>70</v>
      </c>
      <c r="G142" s="56">
        <f>DATOS!$C$15</f>
        <v>25</v>
      </c>
      <c r="H142" s="59">
        <f>TABLEROS!$BY$35</f>
        <v>1</v>
      </c>
      <c r="I142" s="81">
        <f>TABLEROS!$BX$35</f>
        <v>4</v>
      </c>
      <c r="J142" s="36">
        <f>TABLEROS!$CA$35</f>
        <v>0.908067376588235</v>
      </c>
      <c r="K142" s="43">
        <f>TABLEROS!$CB$35</f>
        <v>0.025454216930949</v>
      </c>
      <c r="L142" s="36" t="inlineStr"/>
      <c r="M142" s="36" t="inlineStr"/>
      <c r="N142" s="44" t="inlineStr"/>
    </row>
    <row r="143">
      <c r="B143" s="34" t="inlineStr"/>
      <c r="C143" s="41" t="inlineStr">
        <is>
          <t>‖ claro largo</t>
        </is>
      </c>
      <c r="D143" s="41" t="inlineStr">
        <is>
          <t>Superior</t>
        </is>
      </c>
      <c r="E143" s="36">
        <f>TABLEROS!$BE$35</f>
        <v>0.132639109683895</v>
      </c>
      <c r="F143" s="56">
        <f>DATOS!$C$19</f>
        <v>10</v>
      </c>
      <c r="G143" s="56">
        <f>DATOS!$C$15</f>
        <v>25</v>
      </c>
      <c r="H143" s="59">
        <f>TABLEROS!$CG$35</f>
        <v>1</v>
      </c>
      <c r="I143" s="81">
        <f>TABLEROS!$CF$35</f>
        <v>4</v>
      </c>
      <c r="J143" s="36">
        <f>TABLEROS!$CI$35</f>
        <v>0.809570360117647</v>
      </c>
      <c r="K143" s="43">
        <f>TABLEROS!$CJ$35</f>
        <v>0.163838890624182</v>
      </c>
      <c r="L143" s="36" t="inlineStr"/>
      <c r="M143" s="36" t="inlineStr"/>
      <c r="N143" s="44" t="inlineStr"/>
    </row>
    <row r="144">
      <c r="B144" s="34" t="inlineStr">
        <is>
          <t>F80028 N+6.00</t>
        </is>
      </c>
      <c r="C144" s="41" t="inlineStr">
        <is>
          <t>‖ claro corto</t>
        </is>
      </c>
      <c r="D144" s="41" t="inlineStr">
        <is>
          <t>Inferior</t>
        </is>
      </c>
      <c r="E144" s="36">
        <f>TABLEROS!$BB$36</f>
        <v>0</v>
      </c>
      <c r="F144" s="56">
        <f>TABLEROS!$P$36</f>
        <v>24.975</v>
      </c>
      <c r="G144" s="56">
        <f>DATOS!$C$15</f>
        <v>25</v>
      </c>
      <c r="H144" s="59">
        <f>TABLEROS!$BI$36</f>
        <v>0</v>
      </c>
      <c r="I144" s="81">
        <f>TABLEROS!$BH$36</f>
        <v>4</v>
      </c>
      <c r="J144" s="36">
        <f>TABLEROS!$BK$36</f>
        <v>0</v>
      </c>
      <c r="K144" s="43">
        <f>TABLEROS!$BL$36</f>
        <v>0</v>
      </c>
      <c r="L144" s="36" t="inlineStr"/>
      <c r="M144" s="36" t="inlineStr"/>
      <c r="N144" s="44" t="str">
        <f>TABLEROS!$CZ$36</f>
        <v>HUECO — marco de nervaduras principales</v>
      </c>
    </row>
    <row r="145">
      <c r="B145" s="34" t="inlineStr"/>
      <c r="C145" s="41" t="inlineStr">
        <is>
          <t>‖ claro corto</t>
        </is>
      </c>
      <c r="D145" s="41" t="inlineStr">
        <is>
          <t>Superior</t>
        </is>
      </c>
      <c r="E145" s="36">
        <f>TABLEROS!$BC$36</f>
        <v>0</v>
      </c>
      <c r="F145" s="56">
        <f>DATOS!$C$19</f>
        <v>10</v>
      </c>
      <c r="G145" s="56">
        <f>DATOS!$C$15</f>
        <v>25</v>
      </c>
      <c r="H145" s="59">
        <f>TABLEROS!$BQ$36</f>
        <v>0</v>
      </c>
      <c r="I145" s="81">
        <f>TABLEROS!$BP$36</f>
        <v>4</v>
      </c>
      <c r="J145" s="36">
        <f>TABLEROS!$BS$36</f>
        <v>0</v>
      </c>
      <c r="K145" s="43">
        <f>TABLEROS!$BT$36</f>
        <v>0</v>
      </c>
      <c r="L145" s="36">
        <f>TABLEROS!$CM$36</f>
        <v>0</v>
      </c>
      <c r="M145" s="36">
        <f>TABLEROS!$CN$36</f>
        <v>0</v>
      </c>
      <c r="N145" s="44" t="inlineStr"/>
    </row>
    <row r="146">
      <c r="B146" s="34" t="inlineStr"/>
      <c r="C146" s="41" t="inlineStr">
        <is>
          <t>‖ claro largo</t>
        </is>
      </c>
      <c r="D146" s="41" t="inlineStr">
        <is>
          <t>Inferior</t>
        </is>
      </c>
      <c r="E146" s="36">
        <f>TABLEROS!$BD$36</f>
        <v>0</v>
      </c>
      <c r="F146" s="56">
        <f>TABLEROS!$Q$36</f>
        <v>70</v>
      </c>
      <c r="G146" s="56">
        <f>DATOS!$C$15</f>
        <v>25</v>
      </c>
      <c r="H146" s="59">
        <f>TABLEROS!$BY$36</f>
        <v>0</v>
      </c>
      <c r="I146" s="81">
        <f>TABLEROS!$BX$36</f>
        <v>4</v>
      </c>
      <c r="J146" s="36">
        <f>TABLEROS!$CA$36</f>
        <v>0</v>
      </c>
      <c r="K146" s="43">
        <f>TABLEROS!$CB$36</f>
        <v>0</v>
      </c>
      <c r="L146" s="36" t="inlineStr"/>
      <c r="M146" s="36" t="inlineStr"/>
      <c r="N146" s="44" t="inlineStr"/>
    </row>
    <row r="147">
      <c r="B147" s="34" t="inlineStr"/>
      <c r="C147" s="41" t="inlineStr">
        <is>
          <t>‖ claro largo</t>
        </is>
      </c>
      <c r="D147" s="41" t="inlineStr">
        <is>
          <t>Superior</t>
        </is>
      </c>
      <c r="E147" s="36">
        <f>TABLEROS!$BE$36</f>
        <v>0</v>
      </c>
      <c r="F147" s="56">
        <f>DATOS!$C$19</f>
        <v>10</v>
      </c>
      <c r="G147" s="56">
        <f>DATOS!$C$15</f>
        <v>25</v>
      </c>
      <c r="H147" s="59">
        <f>TABLEROS!$CG$36</f>
        <v>0</v>
      </c>
      <c r="I147" s="81">
        <f>TABLEROS!$CF$36</f>
        <v>4</v>
      </c>
      <c r="J147" s="36">
        <f>TABLEROS!$CI$36</f>
        <v>0</v>
      </c>
      <c r="K147" s="43">
        <f>TABLEROS!$CJ$36</f>
        <v>0</v>
      </c>
      <c r="L147" s="36" t="inlineStr"/>
      <c r="M147" s="36" t="inlineStr"/>
      <c r="N147" s="44" t="inlineStr"/>
    </row>
    <row r="148">
      <c r="B148" s="34" t="inlineStr">
        <is>
          <t>F80029 N+6.00</t>
        </is>
      </c>
      <c r="C148" s="41" t="inlineStr">
        <is>
          <t>‖ claro corto</t>
        </is>
      </c>
      <c r="D148" s="41" t="inlineStr">
        <is>
          <t>Inferior</t>
        </is>
      </c>
      <c r="E148" s="36">
        <f>TABLEROS!$BB$37</f>
        <v>0</v>
      </c>
      <c r="F148" s="56">
        <f>TABLEROS!$P$37</f>
        <v>17.475</v>
      </c>
      <c r="G148" s="56">
        <f>DATOS!$C$15</f>
        <v>25</v>
      </c>
      <c r="H148" s="59">
        <f>TABLEROS!$BI$37</f>
        <v>0</v>
      </c>
      <c r="I148" s="81">
        <f>TABLEROS!$BH$37</f>
        <v>4</v>
      </c>
      <c r="J148" s="36">
        <f>TABLEROS!$BK$37</f>
        <v>0</v>
      </c>
      <c r="K148" s="43">
        <f>TABLEROS!$BL$37</f>
        <v>0</v>
      </c>
      <c r="L148" s="36" t="inlineStr"/>
      <c r="M148" s="36" t="inlineStr"/>
      <c r="N148" s="44" t="str">
        <f>TABLEROS!$CZ$37</f>
        <v>HUECO — marco de nervaduras principales</v>
      </c>
    </row>
    <row r="149">
      <c r="B149" s="34" t="inlineStr"/>
      <c r="C149" s="41" t="inlineStr">
        <is>
          <t>‖ claro corto</t>
        </is>
      </c>
      <c r="D149" s="41" t="inlineStr">
        <is>
          <t>Superior</t>
        </is>
      </c>
      <c r="E149" s="36">
        <f>TABLEROS!$BC$37</f>
        <v>0</v>
      </c>
      <c r="F149" s="56">
        <f>DATOS!$C$19</f>
        <v>10</v>
      </c>
      <c r="G149" s="56">
        <f>DATOS!$C$15</f>
        <v>25</v>
      </c>
      <c r="H149" s="59">
        <f>TABLEROS!$BQ$37</f>
        <v>0</v>
      </c>
      <c r="I149" s="81">
        <f>TABLEROS!$BP$37</f>
        <v>4</v>
      </c>
      <c r="J149" s="36">
        <f>TABLEROS!$BS$37</f>
        <v>0</v>
      </c>
      <c r="K149" s="43">
        <f>TABLEROS!$BT$37</f>
        <v>0</v>
      </c>
      <c r="L149" s="36">
        <f>TABLEROS!$CM$37</f>
        <v>0</v>
      </c>
      <c r="M149" s="36">
        <f>TABLEROS!$CN$37</f>
        <v>0</v>
      </c>
      <c r="N149" s="44" t="inlineStr"/>
    </row>
    <row r="150">
      <c r="B150" s="34" t="inlineStr"/>
      <c r="C150" s="41" t="inlineStr">
        <is>
          <t>‖ claro largo</t>
        </is>
      </c>
      <c r="D150" s="41" t="inlineStr">
        <is>
          <t>Inferior</t>
        </is>
      </c>
      <c r="E150" s="36">
        <f>TABLEROS!$BD$37</f>
        <v>0</v>
      </c>
      <c r="F150" s="56">
        <f>TABLEROS!$Q$37</f>
        <v>70</v>
      </c>
      <c r="G150" s="56">
        <f>DATOS!$C$15</f>
        <v>25</v>
      </c>
      <c r="H150" s="59">
        <f>TABLEROS!$BY$37</f>
        <v>0</v>
      </c>
      <c r="I150" s="81">
        <f>TABLEROS!$BX$37</f>
        <v>4</v>
      </c>
      <c r="J150" s="36">
        <f>TABLEROS!$CA$37</f>
        <v>0</v>
      </c>
      <c r="K150" s="43">
        <f>TABLEROS!$CB$37</f>
        <v>0</v>
      </c>
      <c r="L150" s="36" t="inlineStr"/>
      <c r="M150" s="36" t="inlineStr"/>
      <c r="N150" s="44" t="inlineStr"/>
    </row>
    <row r="151">
      <c r="B151" s="34" t="inlineStr"/>
      <c r="C151" s="41" t="inlineStr">
        <is>
          <t>‖ claro largo</t>
        </is>
      </c>
      <c r="D151" s="41" t="inlineStr">
        <is>
          <t>Superior</t>
        </is>
      </c>
      <c r="E151" s="36">
        <f>TABLEROS!$BE$37</f>
        <v>0</v>
      </c>
      <c r="F151" s="56">
        <f>DATOS!$C$19</f>
        <v>10</v>
      </c>
      <c r="G151" s="56">
        <f>DATOS!$C$15</f>
        <v>25</v>
      </c>
      <c r="H151" s="59">
        <f>TABLEROS!$CG$37</f>
        <v>0</v>
      </c>
      <c r="I151" s="81">
        <f>TABLEROS!$CF$37</f>
        <v>4</v>
      </c>
      <c r="J151" s="36">
        <f>TABLEROS!$CI$37</f>
        <v>0</v>
      </c>
      <c r="K151" s="43">
        <f>TABLEROS!$CJ$37</f>
        <v>0</v>
      </c>
      <c r="L151" s="36" t="inlineStr"/>
      <c r="M151" s="36" t="inlineStr"/>
      <c r="N151" s="44" t="inlineStr"/>
    </row>
    <row r="152">
      <c r="B152" s="34" t="inlineStr">
        <is>
          <t>F80030 N+6.00</t>
        </is>
      </c>
      <c r="C152" s="41" t="inlineStr">
        <is>
          <t>‖ claro corto</t>
        </is>
      </c>
      <c r="D152" s="41" t="inlineStr">
        <is>
          <t>Inferior</t>
        </is>
      </c>
      <c r="E152" s="36">
        <f>TABLEROS!$BB$38</f>
        <v>0.582272561580227</v>
      </c>
      <c r="F152" s="56">
        <f>TABLEROS!$P$38</f>
        <v>70</v>
      </c>
      <c r="G152" s="56">
        <f>DATOS!$C$15</f>
        <v>25</v>
      </c>
      <c r="H152" s="59">
        <f>TABLEROS!$BI$38</f>
        <v>1</v>
      </c>
      <c r="I152" s="81">
        <f>TABLEROS!$BH$38</f>
        <v>4</v>
      </c>
      <c r="J152" s="36">
        <f>TABLEROS!$BK$38</f>
        <v>1.06504699658824</v>
      </c>
      <c r="K152" s="43">
        <f>TABLEROS!$BL$38</f>
        <v>0.546710674219518</v>
      </c>
      <c r="L152" s="36" t="inlineStr"/>
      <c r="M152" s="36" t="inlineStr"/>
      <c r="N152" s="44" t="str">
        <f>TABLEROS!$CZ$38</f>
        <v>CUMPLE · fuera de 3.4.2.1 c)</v>
      </c>
    </row>
    <row r="153">
      <c r="B153" s="34" t="inlineStr"/>
      <c r="C153" s="41" t="inlineStr">
        <is>
          <t>‖ claro corto</t>
        </is>
      </c>
      <c r="D153" s="41" t="inlineStr">
        <is>
          <t>Superior</t>
        </is>
      </c>
      <c r="E153" s="36">
        <f>TABLEROS!$BC$38</f>
        <v>0.280712790032922</v>
      </c>
      <c r="F153" s="56">
        <f>DATOS!$C$19</f>
        <v>10</v>
      </c>
      <c r="G153" s="56">
        <f>DATOS!$C$15</f>
        <v>25</v>
      </c>
      <c r="H153" s="59">
        <f>TABLEROS!$BQ$38</f>
        <v>1</v>
      </c>
      <c r="I153" s="81">
        <f>TABLEROS!$BP$38</f>
        <v>4</v>
      </c>
      <c r="J153" s="36">
        <f>TABLEROS!$BS$38</f>
        <v>0.966549980117647</v>
      </c>
      <c r="K153" s="43">
        <f>TABLEROS!$BT$38</f>
        <v>0.290427598993644</v>
      </c>
      <c r="L153" s="36">
        <f>TABLEROS!$CM$38</f>
        <v>0.641385634035208</v>
      </c>
      <c r="M153" s="36">
        <f>TABLEROS!$CN$38</f>
        <v>1.0104515843408</v>
      </c>
      <c r="N153" s="44" t="inlineStr"/>
    </row>
    <row r="154">
      <c r="B154" s="34" t="inlineStr"/>
      <c r="C154" s="41" t="inlineStr">
        <is>
          <t>‖ claro largo</t>
        </is>
      </c>
      <c r="D154" s="41" t="inlineStr">
        <is>
          <t>Inferior</t>
        </is>
      </c>
      <c r="E154" s="36">
        <f>TABLEROS!$BD$38</f>
        <v>0.450187885714286</v>
      </c>
      <c r="F154" s="56">
        <f>TABLEROS!$Q$38</f>
        <v>70</v>
      </c>
      <c r="G154" s="56">
        <f>DATOS!$C$15</f>
        <v>25</v>
      </c>
      <c r="H154" s="59">
        <f>TABLEROS!$BY$38</f>
        <v>1</v>
      </c>
      <c r="I154" s="81">
        <f>TABLEROS!$BX$38</f>
        <v>4</v>
      </c>
      <c r="J154" s="36">
        <f>TABLEROS!$CA$38</f>
        <v>1.00407937658824</v>
      </c>
      <c r="K154" s="43">
        <f>TABLEROS!$CB$38</f>
        <v>0.448358861073295</v>
      </c>
      <c r="L154" s="36" t="inlineStr"/>
      <c r="M154" s="36" t="inlineStr"/>
      <c r="N154" s="44" t="inlineStr"/>
    </row>
    <row r="155">
      <c r="B155" s="34" t="inlineStr"/>
      <c r="C155" s="41" t="inlineStr">
        <is>
          <t>‖ claro largo</t>
        </is>
      </c>
      <c r="D155" s="41" t="inlineStr">
        <is>
          <t>Superior</t>
        </is>
      </c>
      <c r="E155" s="36">
        <f>TABLEROS!$BE$38</f>
        <v>0.596760685714286</v>
      </c>
      <c r="F155" s="56">
        <f>DATOS!$C$19</f>
        <v>10</v>
      </c>
      <c r="G155" s="56">
        <f>DATOS!$C$15</f>
        <v>25</v>
      </c>
      <c r="H155" s="59">
        <f>TABLEROS!$CG$38</f>
        <v>1</v>
      </c>
      <c r="I155" s="81">
        <f>TABLEROS!$CF$38</f>
        <v>4</v>
      </c>
      <c r="J155" s="36">
        <f>TABLEROS!$CI$38</f>
        <v>0.905582360117647</v>
      </c>
      <c r="K155" s="43">
        <f>TABLEROS!$CJ$38</f>
        <v>0.658980024342301</v>
      </c>
      <c r="L155" s="36" t="inlineStr"/>
      <c r="M155" s="36" t="inlineStr"/>
      <c r="N155" s="44" t="inlineStr"/>
    </row>
    <row r="156">
      <c r="B156" s="34" t="inlineStr">
        <is>
          <t>F80031 N+6.00</t>
        </is>
      </c>
      <c r="C156" s="41" t="inlineStr">
        <is>
          <t>‖ claro corto</t>
        </is>
      </c>
      <c r="D156" s="41" t="inlineStr">
        <is>
          <t>Inferior</t>
        </is>
      </c>
      <c r="E156" s="36">
        <f>TABLEROS!$BB$39</f>
        <v>0.581769907895234</v>
      </c>
      <c r="F156" s="56">
        <f>TABLEROS!$P$39</f>
        <v>70</v>
      </c>
      <c r="G156" s="56">
        <f>DATOS!$C$15</f>
        <v>25</v>
      </c>
      <c r="H156" s="59">
        <f>TABLEROS!$BI$39</f>
        <v>1</v>
      </c>
      <c r="I156" s="81">
        <f>TABLEROS!$BH$39</f>
        <v>4</v>
      </c>
      <c r="J156" s="36">
        <f>TABLEROS!$BK$39</f>
        <v>1.06504699658824</v>
      </c>
      <c r="K156" s="43">
        <f>TABLEROS!$BL$39</f>
        <v>0.546238719754971</v>
      </c>
      <c r="L156" s="36" t="inlineStr"/>
      <c r="M156" s="36" t="inlineStr"/>
      <c r="N156" s="44" t="str">
        <f>TABLEROS!$CZ$39</f>
        <v>CUMPLE · fuera de 3.4.2.1 c)</v>
      </c>
    </row>
    <row r="157">
      <c r="B157" s="34" t="inlineStr"/>
      <c r="C157" s="41" t="inlineStr">
        <is>
          <t>‖ claro corto</t>
        </is>
      </c>
      <c r="D157" s="41" t="inlineStr">
        <is>
          <t>Superior</t>
        </is>
      </c>
      <c r="E157" s="36">
        <f>TABLEROS!$BC$39</f>
        <v>0.280498915629036</v>
      </c>
      <c r="F157" s="56">
        <f>DATOS!$C$19</f>
        <v>10</v>
      </c>
      <c r="G157" s="56">
        <f>DATOS!$C$15</f>
        <v>25</v>
      </c>
      <c r="H157" s="59">
        <f>TABLEROS!$BQ$39</f>
        <v>1</v>
      </c>
      <c r="I157" s="81">
        <f>TABLEROS!$BP$39</f>
        <v>4</v>
      </c>
      <c r="J157" s="36">
        <f>TABLEROS!$BS$39</f>
        <v>0.966549980117647</v>
      </c>
      <c r="K157" s="43">
        <f>TABLEROS!$BT$39</f>
        <v>0.290206322900027</v>
      </c>
      <c r="L157" s="36">
        <f>TABLEROS!$CM$39</f>
        <v>0.641122598394009</v>
      </c>
      <c r="M157" s="36">
        <f>TABLEROS!$CN$39</f>
        <v>1.0104515843408</v>
      </c>
      <c r="N157" s="44" t="inlineStr"/>
    </row>
    <row r="158">
      <c r="B158" s="34" t="inlineStr"/>
      <c r="C158" s="41" t="inlineStr">
        <is>
          <t>‖ claro largo</t>
        </is>
      </c>
      <c r="D158" s="41" t="inlineStr">
        <is>
          <t>Inferior</t>
        </is>
      </c>
      <c r="E158" s="36">
        <f>TABLEROS!$BD$39</f>
        <v>0.450187885714286</v>
      </c>
      <c r="F158" s="56">
        <f>TABLEROS!$Q$39</f>
        <v>70</v>
      </c>
      <c r="G158" s="56">
        <f>DATOS!$C$15</f>
        <v>25</v>
      </c>
      <c r="H158" s="59">
        <f>TABLEROS!$BY$39</f>
        <v>1</v>
      </c>
      <c r="I158" s="81">
        <f>TABLEROS!$BX$39</f>
        <v>4</v>
      </c>
      <c r="J158" s="36">
        <f>TABLEROS!$CA$39</f>
        <v>1.00407937658824</v>
      </c>
      <c r="K158" s="43">
        <f>TABLEROS!$CB$39</f>
        <v>0.448358861073295</v>
      </c>
      <c r="L158" s="36" t="inlineStr"/>
      <c r="M158" s="36" t="inlineStr"/>
      <c r="N158" s="44" t="inlineStr"/>
    </row>
    <row r="159">
      <c r="B159" s="34" t="inlineStr"/>
      <c r="C159" s="41" t="inlineStr">
        <is>
          <t>‖ claro largo</t>
        </is>
      </c>
      <c r="D159" s="41" t="inlineStr">
        <is>
          <t>Superior</t>
        </is>
      </c>
      <c r="E159" s="36">
        <f>TABLEROS!$BE$39</f>
        <v>0.596760685714286</v>
      </c>
      <c r="F159" s="56">
        <f>DATOS!$C$19</f>
        <v>10</v>
      </c>
      <c r="G159" s="56">
        <f>DATOS!$C$15</f>
        <v>25</v>
      </c>
      <c r="H159" s="59">
        <f>TABLEROS!$CG$39</f>
        <v>1</v>
      </c>
      <c r="I159" s="81">
        <f>TABLEROS!$CF$39</f>
        <v>4</v>
      </c>
      <c r="J159" s="36">
        <f>TABLEROS!$CI$39</f>
        <v>0.905582360117647</v>
      </c>
      <c r="K159" s="43">
        <f>TABLEROS!$CJ$39</f>
        <v>0.658980024342301</v>
      </c>
      <c r="L159" s="36" t="inlineStr"/>
      <c r="M159" s="36" t="inlineStr"/>
      <c r="N159" s="44" t="inlineStr"/>
    </row>
    <row r="160">
      <c r="B160" s="34" t="inlineStr">
        <is>
          <t>F80032 N+6.00</t>
        </is>
      </c>
      <c r="C160" s="41" t="inlineStr">
        <is>
          <t>‖ claro corto</t>
        </is>
      </c>
      <c r="D160" s="41" t="inlineStr">
        <is>
          <t>Inferior</t>
        </is>
      </c>
      <c r="E160" s="36">
        <f>TABLEROS!$BB$40</f>
        <v>0.134485039050938</v>
      </c>
      <c r="F160" s="56">
        <f>TABLEROS!$P$40</f>
        <v>56.125</v>
      </c>
      <c r="G160" s="56">
        <f>DATOS!$C$15</f>
        <v>25</v>
      </c>
      <c r="H160" s="59">
        <f>TABLEROS!$BI$40</f>
        <v>1</v>
      </c>
      <c r="I160" s="81">
        <f>TABLEROS!$BH$40</f>
        <v>4</v>
      </c>
      <c r="J160" s="36">
        <f>TABLEROS!$BK$40</f>
        <v>0.966907160355037</v>
      </c>
      <c r="K160" s="43">
        <f>TABLEROS!$BL$40</f>
        <v>0.139087851000666</v>
      </c>
      <c r="L160" s="36" t="inlineStr"/>
      <c r="M160" s="36" t="inlineStr"/>
      <c r="N160" s="44" t="str">
        <f>TABLEROS!$CZ$40</f>
        <v>CUMPLE · fuera de 3.4.2.1 c)</v>
      </c>
    </row>
    <row r="161">
      <c r="B161" s="34" t="inlineStr"/>
      <c r="C161" s="41" t="inlineStr">
        <is>
          <t>‖ claro corto</t>
        </is>
      </c>
      <c r="D161" s="41" t="inlineStr">
        <is>
          <t>Superior</t>
        </is>
      </c>
      <c r="E161" s="36">
        <f>TABLEROS!$BC$40</f>
        <v>0.505869443252593</v>
      </c>
      <c r="F161" s="56">
        <f>DATOS!$C$19</f>
        <v>10</v>
      </c>
      <c r="G161" s="56">
        <f>DATOS!$C$15</f>
        <v>25</v>
      </c>
      <c r="H161" s="59">
        <f>TABLEROS!$BQ$40</f>
        <v>1</v>
      </c>
      <c r="I161" s="81">
        <f>TABLEROS!$BP$40</f>
        <v>4</v>
      </c>
      <c r="J161" s="36">
        <f>TABLEROS!$BS$40</f>
        <v>0.870537980117647</v>
      </c>
      <c r="K161" s="43">
        <f>TABLEROS!$BT$40</f>
        <v>0.581099796684607</v>
      </c>
      <c r="L161" s="36">
        <f>TABLEROS!$CM$40</f>
        <v>0.363692554955259</v>
      </c>
      <c r="M161" s="36">
        <f>TABLEROS!$CN$40</f>
        <v>0.860398102904257</v>
      </c>
      <c r="N161" s="44" t="inlineStr"/>
    </row>
    <row r="162">
      <c r="B162" s="34" t="inlineStr"/>
      <c r="C162" s="41" t="inlineStr">
        <is>
          <t>‖ claro largo</t>
        </is>
      </c>
      <c r="D162" s="41" t="inlineStr">
        <is>
          <t>Inferior</t>
        </is>
      </c>
      <c r="E162" s="36">
        <f>TABLEROS!$BD$40</f>
        <v>0.0675452432217564</v>
      </c>
      <c r="F162" s="56">
        <f>TABLEROS!$Q$40</f>
        <v>70</v>
      </c>
      <c r="G162" s="56">
        <f>DATOS!$C$15</f>
        <v>25</v>
      </c>
      <c r="H162" s="59">
        <f>TABLEROS!$BY$40</f>
        <v>1</v>
      </c>
      <c r="I162" s="81">
        <f>TABLEROS!$BX$40</f>
        <v>4</v>
      </c>
      <c r="J162" s="36">
        <f>TABLEROS!$CA$40</f>
        <v>0.908067376588235</v>
      </c>
      <c r="K162" s="43">
        <f>TABLEROS!$CB$40</f>
        <v>0.0743835148835932</v>
      </c>
      <c r="L162" s="36" t="inlineStr"/>
      <c r="M162" s="36" t="inlineStr"/>
      <c r="N162" s="44" t="inlineStr"/>
    </row>
    <row r="163">
      <c r="B163" s="34" t="inlineStr"/>
      <c r="C163" s="41" t="inlineStr">
        <is>
          <t>‖ claro largo</t>
        </is>
      </c>
      <c r="D163" s="41" t="inlineStr">
        <is>
          <t>Superior</t>
        </is>
      </c>
      <c r="E163" s="36">
        <f>TABLEROS!$BE$40</f>
        <v>0.334941604762357</v>
      </c>
      <c r="F163" s="56">
        <f>DATOS!$C$19</f>
        <v>10</v>
      </c>
      <c r="G163" s="56">
        <f>DATOS!$C$15</f>
        <v>25</v>
      </c>
      <c r="H163" s="59">
        <f>TABLEROS!$CG$40</f>
        <v>1</v>
      </c>
      <c r="I163" s="81">
        <f>TABLEROS!$CF$40</f>
        <v>4</v>
      </c>
      <c r="J163" s="36">
        <f>TABLEROS!$CI$40</f>
        <v>0.809570360117647</v>
      </c>
      <c r="K163" s="43">
        <f>TABLEROS!$CJ$40</f>
        <v>0.413727603260676</v>
      </c>
      <c r="L163" s="36" t="inlineStr"/>
      <c r="M163" s="36" t="inlineStr"/>
      <c r="N163" s="44" t="inlineStr"/>
    </row>
    <row r="164" ht="6" customHeight="1"/>
    <row r="165" ht="21" customHeight="1">
      <c r="B165" s="5" t="inlineStr">
        <is>
          <t>4. TABLA DE NERVADURAS PRINCIPALES</t>
        </is>
      </c>
    </row>
    <row r="166" ht="30" customHeight="1">
      <c r="B166" s="8" t="inlineStr">
        <is>
          <t>Tramo</t>
        </is>
      </c>
      <c r="C166" s="8" t="inlineStr">
        <is>
          <t>Nivel</t>
        </is>
      </c>
      <c r="D166" s="8" t="inlineStr">
        <is>
          <t>Condición</t>
        </is>
      </c>
      <c r="E166" s="8" t="inlineStr">
        <is>
          <t>L (m)</t>
        </is>
      </c>
      <c r="F166" s="8" t="inlineStr">
        <is>
          <t>b (cm)</t>
        </is>
      </c>
      <c r="G166" s="8" t="inlineStr">
        <is>
          <t>h (cm)</t>
        </is>
      </c>
      <c r="H166" s="8" t="inlineStr">
        <is>
          <t>Inferior</t>
        </is>
      </c>
      <c r="I166" s="33" t="n"/>
      <c r="J166" s="8" t="inlineStr">
        <is>
          <t>Superior</t>
        </is>
      </c>
      <c r="K166" s="33" t="n"/>
      <c r="L166" s="8" t="inlineStr">
        <is>
          <t>Estribos</t>
        </is>
      </c>
      <c r="M166" s="8" t="inlineStr">
        <is>
          <t>h mín. sin flecha (cm)</t>
        </is>
      </c>
      <c r="N166" s="8" t="inlineStr">
        <is>
          <t>Estado</t>
        </is>
      </c>
    </row>
    <row r="167">
      <c r="B167" s="44" t="inlineStr">
        <is>
          <t>NP-01 · Eje 2 (y = 1.919)</t>
        </is>
      </c>
      <c r="C167" s="41" t="inlineStr">
        <is>
          <t>N+3.00</t>
        </is>
      </c>
      <c r="D167" s="73" t="str">
        <f>PRINCIPALES!$L$9</f>
        <v>APOYADA</v>
      </c>
      <c r="E167" s="43">
        <f>PRINCIPALES!$G$9</f>
        <v>4.327</v>
      </c>
      <c r="F167" s="59">
        <f>PRINCIPALES!$N$9</f>
        <v>20</v>
      </c>
      <c r="G167" s="59">
        <f>PRINCIPALES!$O$9</f>
        <v>55</v>
      </c>
      <c r="H167" s="41" t="str">
        <f>IF(PRINCIPALES!$AU$9=0,"—",PRINCIPALES!$AU$9&amp;" No. "&amp;TEXT(PRINCIPALES!$AS$9,"0.#"))</f>
        <v>3 No. 4</v>
      </c>
      <c r="J167" s="41" t="str">
        <f>IF(PRINCIPALES!$BA$9=0,"—",PRINCIPALES!$BA$9&amp;" No. "&amp;TEXT(PRINCIPALES!$AZ$9,"0.#"))</f>
        <v>3 No. 4</v>
      </c>
      <c r="L167" s="73" t="str">
        <f>PRINCIPALES!$BH$9</f>
        <v>E No. 3 @ 10.0 en 2h y 20.0 cm</v>
      </c>
      <c r="M167" s="59">
        <f>PRINCIPALES!$BY$9</f>
        <v>30</v>
      </c>
      <c r="N167" s="44" t="str">
        <f>PRINCIPALES!$BZ$9</f>
        <v>CUMPLE</v>
      </c>
    </row>
    <row r="168">
      <c r="B168" s="44" t="inlineStr">
        <is>
          <t>NP-02 · Eje 3 (y = 2.921)</t>
        </is>
      </c>
      <c r="C168" s="41" t="inlineStr">
        <is>
          <t>N+3.00</t>
        </is>
      </c>
      <c r="D168" s="73" t="str">
        <f>PRINCIPALES!$L$10</f>
        <v>APOYADA</v>
      </c>
      <c r="E168" s="43">
        <f>PRINCIPALES!$G$10</f>
        <v>4.327</v>
      </c>
      <c r="F168" s="59">
        <f>PRINCIPALES!$N$10</f>
        <v>20</v>
      </c>
      <c r="G168" s="59">
        <f>PRINCIPALES!$O$10</f>
        <v>60</v>
      </c>
      <c r="H168" s="41" t="str">
        <f>IF(PRINCIPALES!$AU$10=0,"—",PRINCIPALES!$AU$10&amp;" No. "&amp;TEXT(PRINCIPALES!$AS$10,"0.#"))</f>
        <v>3 No. 5</v>
      </c>
      <c r="J168" s="41" t="str">
        <f>IF(PRINCIPALES!$BA$10=0,"—",PRINCIPALES!$BA$10&amp;" No. "&amp;TEXT(PRINCIPALES!$AZ$10,"0.#"))</f>
        <v>3 No. 4</v>
      </c>
      <c r="L168" s="73" t="str">
        <f>PRINCIPALES!$BH$10</f>
        <v>E No. 3 @ 20.0 cm</v>
      </c>
      <c r="M168" s="59">
        <f>PRINCIPALES!$BY$10</f>
        <v>40</v>
      </c>
      <c r="N168" s="44" t="str">
        <f>PRINCIPALES!$BZ$10</f>
        <v>CUMPLE</v>
      </c>
    </row>
    <row r="169">
      <c r="B169" s="44" t="inlineStr">
        <is>
          <t>NP-03 · Eje 3 (y = 2.921)</t>
        </is>
      </c>
      <c r="C169" s="41" t="inlineStr">
        <is>
          <t>N+3.00</t>
        </is>
      </c>
      <c r="D169" s="73" t="str">
        <f>PRINCIPALES!$L$11</f>
        <v>APOYADA</v>
      </c>
      <c r="E169" s="43">
        <f>PRINCIPALES!$G$11</f>
        <v>1.596</v>
      </c>
      <c r="F169" s="59">
        <f>PRINCIPALES!$N$11</f>
        <v>15</v>
      </c>
      <c r="G169" s="59">
        <f>PRINCIPALES!$O$11</f>
        <v>25</v>
      </c>
      <c r="H169" s="41" t="str">
        <f>IF(PRINCIPALES!$AU$11=0,"—",PRINCIPALES!$AU$11&amp;" No. "&amp;TEXT(PRINCIPALES!$AS$11,"0.#"))</f>
        <v>2 No. 4</v>
      </c>
      <c r="J169" s="41" t="str">
        <f>IF(PRINCIPALES!$BA$11=0,"—",PRINCIPALES!$BA$11&amp;" No. "&amp;TEXT(PRINCIPALES!$AZ$11,"0.#"))</f>
        <v>2 No. 4</v>
      </c>
      <c r="L169" s="73" t="str">
        <f>PRINCIPALES!$BH$11</f>
        <v>E No. 3 @ 9.5 cm</v>
      </c>
      <c r="M169" s="59">
        <f>PRINCIPALES!$BY$11</f>
        <v>25</v>
      </c>
      <c r="N169" s="44" t="str">
        <f>PRINCIPALES!$BZ$11</f>
        <v>CUMPLE</v>
      </c>
    </row>
    <row r="170">
      <c r="B170" s="44" t="inlineStr">
        <is>
          <t>NP-04 · Eje 6 (y = 6.948)</t>
        </is>
      </c>
      <c r="C170" s="41" t="inlineStr">
        <is>
          <t>N+3.00</t>
        </is>
      </c>
      <c r="D170" s="73" t="str">
        <f>PRINCIPALES!$L$12</f>
        <v>APOYADA</v>
      </c>
      <c r="E170" s="43">
        <f>PRINCIPALES!$G$12</f>
        <v>1.402</v>
      </c>
      <c r="F170" s="59">
        <f>PRINCIPALES!$N$12</f>
        <v>15</v>
      </c>
      <c r="G170" s="59">
        <f>PRINCIPALES!$O$12</f>
        <v>25</v>
      </c>
      <c r="H170" s="41" t="str">
        <f>IF(PRINCIPALES!$AU$12=0,"—",PRINCIPALES!$AU$12&amp;" No. "&amp;TEXT(PRINCIPALES!$AS$12,"0.#"))</f>
        <v>2 No. 4</v>
      </c>
      <c r="J170" s="41" t="str">
        <f>IF(PRINCIPALES!$BA$12=0,"—",PRINCIPALES!$BA$12&amp;" No. "&amp;TEXT(PRINCIPALES!$AZ$12,"0.#"))</f>
        <v>2 No. 4</v>
      </c>
      <c r="L170" s="73" t="str">
        <f>PRINCIPALES!$BH$12</f>
        <v>E No. 3 @ 9.5 cm</v>
      </c>
      <c r="M170" s="59">
        <f>PRINCIPALES!$BY$12</f>
        <v>25</v>
      </c>
      <c r="N170" s="44" t="str">
        <f>PRINCIPALES!$BZ$12</f>
        <v>CUMPLE</v>
      </c>
    </row>
    <row r="171">
      <c r="B171" s="44" t="inlineStr">
        <is>
          <t>NP-05 · Eje 6 (y = 6.948)</t>
        </is>
      </c>
      <c r="C171" s="41" t="inlineStr">
        <is>
          <t>N+3.00</t>
        </is>
      </c>
      <c r="D171" s="73" t="str">
        <f>PRINCIPALES!$L$13</f>
        <v>VOLADO</v>
      </c>
      <c r="E171" s="43">
        <f>PRINCIPALES!$G$13</f>
        <v>0.463</v>
      </c>
      <c r="F171" s="59">
        <f>PRINCIPALES!$N$13</f>
        <v>15</v>
      </c>
      <c r="G171" s="59">
        <f>PRINCIPALES!$O$13</f>
        <v>25</v>
      </c>
      <c r="H171" s="41" t="str">
        <f>IF(PRINCIPALES!$AU$13=0,"—",PRINCIPALES!$AU$13&amp;" No. "&amp;TEXT(PRINCIPALES!$AS$13,"0.#"))</f>
        <v>2 No. 4</v>
      </c>
      <c r="J171" s="41" t="str">
        <f>IF(PRINCIPALES!$BA$13=0,"—",PRINCIPALES!$BA$13&amp;" No. "&amp;TEXT(PRINCIPALES!$AZ$13,"0.#"))</f>
        <v>2 No. 4</v>
      </c>
      <c r="L171" s="73" t="str">
        <f>PRINCIPALES!$BH$13</f>
        <v>E No. 3 @ 9.5 cm</v>
      </c>
      <c r="M171" s="59">
        <f>PRINCIPALES!$BY$13</f>
        <v>25</v>
      </c>
      <c r="N171" s="44" t="str">
        <f>PRINCIPALES!$BZ$13</f>
        <v>CUMPLE (en VOLADO)</v>
      </c>
    </row>
    <row r="172">
      <c r="B172" s="44" t="inlineStr">
        <is>
          <t>NP-06 · Eje 7 (y = 7.871)</t>
        </is>
      </c>
      <c r="C172" s="41" t="inlineStr">
        <is>
          <t>N+3.00</t>
        </is>
      </c>
      <c r="D172" s="73" t="str">
        <f>PRINCIPALES!$L$14</f>
        <v>APOYADA</v>
      </c>
      <c r="E172" s="43">
        <f>PRINCIPALES!$G$14</f>
        <v>4.327</v>
      </c>
      <c r="F172" s="59">
        <f>PRINCIPALES!$N$14</f>
        <v>20</v>
      </c>
      <c r="G172" s="59">
        <f>PRINCIPALES!$O$14</f>
        <v>60</v>
      </c>
      <c r="H172" s="41" t="str">
        <f>IF(PRINCIPALES!$AU$14=0,"—",PRINCIPALES!$AU$14&amp;" No. "&amp;TEXT(PRINCIPALES!$AS$14,"0.#"))</f>
        <v>3 No. 4</v>
      </c>
      <c r="J172" s="41" t="str">
        <f>IF(PRINCIPALES!$BA$14=0,"—",PRINCIPALES!$BA$14&amp;" No. "&amp;TEXT(PRINCIPALES!$AZ$14,"0.#"))</f>
        <v>3 No. 4</v>
      </c>
      <c r="L172" s="73" t="str">
        <f>PRINCIPALES!$BH$14</f>
        <v>E No. 3 @ 20.0 cm</v>
      </c>
      <c r="M172" s="59">
        <f>PRINCIPALES!$BY$14</f>
        <v>35</v>
      </c>
      <c r="N172" s="44" t="str">
        <f>PRINCIPALES!$BZ$14</f>
        <v>CUMPLE</v>
      </c>
    </row>
    <row r="173">
      <c r="B173" s="44" t="inlineStr">
        <is>
          <t>NP-07 · y = 8.910</t>
        </is>
      </c>
      <c r="C173" s="41" t="inlineStr">
        <is>
          <t>N+3.00</t>
        </is>
      </c>
      <c r="D173" s="73" t="str">
        <f>PRINCIPALES!$L$15</f>
        <v>VOLADO</v>
      </c>
      <c r="E173" s="43">
        <f>PRINCIPALES!$G$15</f>
        <v>1.909</v>
      </c>
      <c r="F173" s="59">
        <f>PRINCIPALES!$N$15</f>
        <v>15</v>
      </c>
      <c r="G173" s="59">
        <f>PRINCIPALES!$O$15</f>
        <v>30</v>
      </c>
      <c r="H173" s="41" t="str">
        <f>IF(PRINCIPALES!$AU$15=0,"—",PRINCIPALES!$AU$15&amp;" No. "&amp;TEXT(PRINCIPALES!$AS$15,"0.#"))</f>
        <v>2 No. 4</v>
      </c>
      <c r="J173" s="41" t="str">
        <f>IF(PRINCIPALES!$BA$15=0,"—",PRINCIPALES!$BA$15&amp;" No. "&amp;TEXT(PRINCIPALES!$AZ$15,"0.#"))</f>
        <v>2 No. 4</v>
      </c>
      <c r="L173" s="73" t="str">
        <f>PRINCIPALES!$BH$15</f>
        <v>E No. 3 @ 12.0 cm</v>
      </c>
      <c r="M173" s="59">
        <f>PRINCIPALES!$BY$15</f>
        <v>25</v>
      </c>
      <c r="N173" s="44" t="str">
        <f>PRINCIPALES!$BZ$15</f>
        <v>CUMPLE (en VOLADO)</v>
      </c>
    </row>
    <row r="174">
      <c r="B174" s="44" t="inlineStr">
        <is>
          <t>NP-08 · Eje 8 (y = 9.950)</t>
        </is>
      </c>
      <c r="C174" s="41" t="inlineStr">
        <is>
          <t>N+3.00</t>
        </is>
      </c>
      <c r="D174" s="73" t="str">
        <f>PRINCIPALES!$L$16</f>
        <v>APOYADA</v>
      </c>
      <c r="E174" s="43">
        <f>PRINCIPALES!$G$16</f>
        <v>2.722</v>
      </c>
      <c r="F174" s="59">
        <f>PRINCIPALES!$N$16</f>
        <v>20</v>
      </c>
      <c r="G174" s="59">
        <f>PRINCIPALES!$O$16</f>
        <v>40</v>
      </c>
      <c r="H174" s="41" t="str">
        <f>IF(PRINCIPALES!$AU$16=0,"—",PRINCIPALES!$AU$16&amp;" No. "&amp;TEXT(PRINCIPALES!$AS$16,"0.#"))</f>
        <v>3 No. 5</v>
      </c>
      <c r="J174" s="41" t="str">
        <f>IF(PRINCIPALES!$BA$16=0,"—",PRINCIPALES!$BA$16&amp;" No. "&amp;TEXT(PRINCIPALES!$AZ$16,"0.#"))</f>
        <v>3 No. 4</v>
      </c>
      <c r="L174" s="73" t="str">
        <f>PRINCIPALES!$BH$16</f>
        <v>E No. 3 @ 17.0 cm</v>
      </c>
      <c r="M174" s="59">
        <f>PRINCIPALES!$BY$16</f>
        <v>35</v>
      </c>
      <c r="N174" s="44" t="str">
        <f>PRINCIPALES!$BZ$16</f>
        <v>CUMPLE</v>
      </c>
    </row>
    <row r="175">
      <c r="B175" s="44" t="inlineStr">
        <is>
          <t>NP-09 · y = 14.021</t>
        </is>
      </c>
      <c r="C175" s="41" t="inlineStr">
        <is>
          <t>N+3.00</t>
        </is>
      </c>
      <c r="D175" s="73" t="str">
        <f>PRINCIPALES!$L$17</f>
        <v>BORDE DE VOLADO</v>
      </c>
      <c r="E175" s="43">
        <f>PRINCIPALES!$G$17</f>
        <v>2</v>
      </c>
      <c r="F175" s="59">
        <f>PRINCIPALES!$N$17</f>
        <v>15</v>
      </c>
      <c r="G175" s="59">
        <f>PRINCIPALES!$O$17</f>
        <v>25</v>
      </c>
      <c r="H175" s="41" t="str">
        <f>IF(PRINCIPALES!$AU$17=0,"—",PRINCIPALES!$AU$17&amp;" No. "&amp;TEXT(PRINCIPALES!$AS$17,"0.#"))</f>
        <v>—</v>
      </c>
      <c r="J175" s="41" t="str">
        <f>IF(PRINCIPALES!$BA$17=0,"—",PRINCIPALES!$BA$17&amp;" No. "&amp;TEXT(PRINCIPALES!$AZ$17,"0.#"))</f>
        <v>—</v>
      </c>
      <c r="L175" s="73" t="str">
        <f>PRINCIPALES!$BH$17</f>
        <v>—</v>
      </c>
      <c r="M175" s="59">
        <f>PRINCIPALES!$BY$17</f>
        <v>0</v>
      </c>
      <c r="N175" s="44" t="str">
        <f>PRINCIPALES!$BZ$17</f>
        <v>BORDE DE VOLADO — armado de orilla</v>
      </c>
    </row>
    <row r="176">
      <c r="B176" s="44" t="inlineStr">
        <is>
          <t>NP-10 · y = 14.021</t>
        </is>
      </c>
      <c r="C176" s="41" t="inlineStr">
        <is>
          <t>N+3.00</t>
        </is>
      </c>
      <c r="D176" s="73" t="str">
        <f>PRINCIPALES!$L$18</f>
        <v>APOYADA</v>
      </c>
      <c r="E176" s="43">
        <f>PRINCIPALES!$G$18</f>
        <v>4.327</v>
      </c>
      <c r="F176" s="59">
        <f>PRINCIPALES!$N$18</f>
        <v>20</v>
      </c>
      <c r="G176" s="59">
        <f>PRINCIPALES!$O$18</f>
        <v>60</v>
      </c>
      <c r="H176" s="41" t="str">
        <f>IF(PRINCIPALES!$AU$18=0,"—",PRINCIPALES!$AU$18&amp;" No. "&amp;TEXT(PRINCIPALES!$AS$18,"0.#"))</f>
        <v>3 No. 5</v>
      </c>
      <c r="J176" s="41" t="str">
        <f>IF(PRINCIPALES!$BA$18=0,"—",PRINCIPALES!$BA$18&amp;" No. "&amp;TEXT(PRINCIPALES!$AZ$18,"0.#"))</f>
        <v>3 No. 4</v>
      </c>
      <c r="L176" s="73" t="str">
        <f>PRINCIPALES!$BH$18</f>
        <v>E No. 3 @ 20.0 cm</v>
      </c>
      <c r="M176" s="59">
        <f>PRINCIPALES!$BY$18</f>
        <v>35</v>
      </c>
      <c r="N176" s="44" t="str">
        <f>PRINCIPALES!$BZ$18</f>
        <v>CUMPLE</v>
      </c>
    </row>
    <row r="177">
      <c r="B177" s="44" t="inlineStr">
        <is>
          <t>NP-11 · y = 14.247</t>
        </is>
      </c>
      <c r="C177" s="41" t="inlineStr">
        <is>
          <t>N+3.00</t>
        </is>
      </c>
      <c r="D177" s="73" t="str">
        <f>PRINCIPALES!$L$19</f>
        <v>APOYADA</v>
      </c>
      <c r="E177" s="43">
        <f>PRINCIPALES!$G$19</f>
        <v>3.409</v>
      </c>
      <c r="F177" s="59">
        <f>PRINCIPALES!$N$19</f>
        <v>15</v>
      </c>
      <c r="G177" s="59">
        <f>PRINCIPALES!$O$19</f>
        <v>35</v>
      </c>
      <c r="H177" s="41" t="str">
        <f>IF(PRINCIPALES!$AU$19=0,"—",PRINCIPALES!$AU$19&amp;" No. "&amp;TEXT(PRINCIPALES!$AS$19,"0.#"))</f>
        <v>2 No. 4</v>
      </c>
      <c r="J177" s="41" t="str">
        <f>IF(PRINCIPALES!$BA$19=0,"—",PRINCIPALES!$BA$19&amp;" No. "&amp;TEXT(PRINCIPALES!$AZ$19,"0.#"))</f>
        <v>2 No. 4</v>
      </c>
      <c r="L177" s="73" t="str">
        <f>PRINCIPALES!$BH$19</f>
        <v>E No. 3 @ 14.5 cm</v>
      </c>
      <c r="M177" s="59">
        <f>PRINCIPALES!$BY$19</f>
        <v>25</v>
      </c>
      <c r="N177" s="44" t="str">
        <f>PRINCIPALES!$BZ$19</f>
        <v>CUMPLE</v>
      </c>
    </row>
    <row r="178">
      <c r="B178" s="44" t="inlineStr">
        <is>
          <t>NP-12 · y = 15.846</t>
        </is>
      </c>
      <c r="C178" s="41" t="inlineStr">
        <is>
          <t>N+3.00</t>
        </is>
      </c>
      <c r="D178" s="73" t="str">
        <f>PRINCIPALES!$L$20</f>
        <v>APOYADA</v>
      </c>
      <c r="E178" s="43">
        <f>PRINCIPALES!$G$20</f>
        <v>3.427</v>
      </c>
      <c r="F178" s="59">
        <f>PRINCIPALES!$N$20</f>
        <v>20</v>
      </c>
      <c r="G178" s="59">
        <f>PRINCIPALES!$O$20</f>
        <v>45</v>
      </c>
      <c r="H178" s="41" t="str">
        <f>IF(PRINCIPALES!$AU$20=0,"—",PRINCIPALES!$AU$20&amp;" No. "&amp;TEXT(PRINCIPALES!$AS$20,"0.#"))</f>
        <v>3 No. 5</v>
      </c>
      <c r="J178" s="41" t="str">
        <f>IF(PRINCIPALES!$BA$20=0,"—",PRINCIPALES!$BA$20&amp;" No. "&amp;TEXT(PRINCIPALES!$AZ$20,"0.#"))</f>
        <v>3 No. 4</v>
      </c>
      <c r="L178" s="73" t="str">
        <f>PRINCIPALES!$BH$20</f>
        <v>E No. 3 @ 19.5 cm</v>
      </c>
      <c r="M178" s="59">
        <f>PRINCIPALES!$BY$20</f>
        <v>35</v>
      </c>
      <c r="N178" s="44" t="str">
        <f>PRINCIPALES!$BZ$20</f>
        <v>CUMPLE</v>
      </c>
    </row>
    <row r="179">
      <c r="B179" s="44" t="inlineStr">
        <is>
          <t>NP-13 · y = 15.846</t>
        </is>
      </c>
      <c r="C179" s="41" t="inlineStr">
        <is>
          <t>N+3.00</t>
        </is>
      </c>
      <c r="D179" s="73" t="str">
        <f>PRINCIPALES!$L$21</f>
        <v>APOYADA</v>
      </c>
      <c r="E179" s="43">
        <f>PRINCIPALES!$G$21</f>
        <v>3.428</v>
      </c>
      <c r="F179" s="59">
        <f>PRINCIPALES!$N$21</f>
        <v>20</v>
      </c>
      <c r="G179" s="59">
        <f>PRINCIPALES!$O$21</f>
        <v>45</v>
      </c>
      <c r="H179" s="41" t="str">
        <f>IF(PRINCIPALES!$AU$21=0,"—",PRINCIPALES!$AU$21&amp;" No. "&amp;TEXT(PRINCIPALES!$AS$21,"0.#"))</f>
        <v>3 No. 5</v>
      </c>
      <c r="J179" s="41" t="str">
        <f>IF(PRINCIPALES!$BA$21=0,"—",PRINCIPALES!$BA$21&amp;" No. "&amp;TEXT(PRINCIPALES!$AZ$21,"0.#"))</f>
        <v>3 No. 4</v>
      </c>
      <c r="L179" s="73" t="str">
        <f>PRINCIPALES!$BH$21</f>
        <v>E No. 3 @ 19.5 cm</v>
      </c>
      <c r="M179" s="59">
        <f>PRINCIPALES!$BY$21</f>
        <v>30</v>
      </c>
      <c r="N179" s="44" t="str">
        <f>PRINCIPALES!$BZ$21</f>
        <v>CUMPLE</v>
      </c>
    </row>
    <row r="180">
      <c r="B180" s="44" t="inlineStr">
        <is>
          <t>NP-14 · Eje 12 (y = 17.446)</t>
        </is>
      </c>
      <c r="C180" s="41" t="inlineStr">
        <is>
          <t>N+3.00</t>
        </is>
      </c>
      <c r="D180" s="73" t="str">
        <f>PRINCIPALES!$L$22</f>
        <v>BORDE DE VOLADO</v>
      </c>
      <c r="E180" s="43">
        <f>PRINCIPALES!$G$22</f>
        <v>2</v>
      </c>
      <c r="F180" s="59">
        <f>PRINCIPALES!$N$22</f>
        <v>15</v>
      </c>
      <c r="G180" s="59">
        <f>PRINCIPALES!$O$22</f>
        <v>25</v>
      </c>
      <c r="H180" s="41" t="str">
        <f>IF(PRINCIPALES!$AU$22=0,"—",PRINCIPALES!$AU$22&amp;" No. "&amp;TEXT(PRINCIPALES!$AS$22,"0.#"))</f>
        <v>—</v>
      </c>
      <c r="J180" s="41" t="str">
        <f>IF(PRINCIPALES!$BA$22=0,"—",PRINCIPALES!$BA$22&amp;" No. "&amp;TEXT(PRINCIPALES!$AZ$22,"0.#"))</f>
        <v>—</v>
      </c>
      <c r="L180" s="73" t="str">
        <f>PRINCIPALES!$BH$22</f>
        <v>—</v>
      </c>
      <c r="M180" s="59">
        <f>PRINCIPALES!$BY$22</f>
        <v>0</v>
      </c>
      <c r="N180" s="44" t="str">
        <f>PRINCIPALES!$BZ$22</f>
        <v>BORDE DE VOLADO — armado de orilla</v>
      </c>
    </row>
    <row r="181">
      <c r="B181" s="44" t="inlineStr">
        <is>
          <t>NP-15 · Eje 12 (y = 17.446)</t>
        </is>
      </c>
      <c r="C181" s="41" t="inlineStr">
        <is>
          <t>N+3.00</t>
        </is>
      </c>
      <c r="D181" s="73" t="str">
        <f>PRINCIPALES!$L$23</f>
        <v>APOYADA</v>
      </c>
      <c r="E181" s="43">
        <f>PRINCIPALES!$G$23</f>
        <v>4.925</v>
      </c>
      <c r="F181" s="59">
        <f>PRINCIPALES!$N$23</f>
        <v>20</v>
      </c>
      <c r="G181" s="59">
        <f>PRINCIPALES!$O$23</f>
        <v>75</v>
      </c>
      <c r="H181" s="41" t="str">
        <f>IF(PRINCIPALES!$AU$23=0,"—",PRINCIPALES!$AU$23&amp;" No. "&amp;TEXT(PRINCIPALES!$AS$23,"0.#"))</f>
        <v>2 No. 8</v>
      </c>
      <c r="J181" s="41" t="str">
        <f>IF(PRINCIPALES!$BA$23=0,"—",PRINCIPALES!$BA$23&amp;" No. "&amp;TEXT(PRINCIPALES!$AZ$23,"0.#"))</f>
        <v>3 No. 5</v>
      </c>
      <c r="L181" s="73" t="str">
        <f>PRINCIPALES!$BH$23</f>
        <v>E No. 3 @ 20.0 cm</v>
      </c>
      <c r="M181" s="59">
        <f>PRINCIPALES!$BY$23</f>
        <v>55</v>
      </c>
      <c r="N181" s="44" t="str">
        <f>PRINCIPALES!$BZ$23</f>
        <v>PENDIENTE: H/L &lt; 0.6, falta el análisis de interacción muro-viga (NTC-M 4.1.18.2.1, p. 44)</v>
      </c>
    </row>
    <row r="182">
      <c r="B182" s="44" t="inlineStr">
        <is>
          <t>NP-16 · y = 23.446</t>
        </is>
      </c>
      <c r="C182" s="41" t="inlineStr">
        <is>
          <t>N+3.00</t>
        </is>
      </c>
      <c r="D182" s="73" t="str">
        <f>PRINCIPALES!$L$24</f>
        <v>BORDE DE VOLADO</v>
      </c>
      <c r="E182" s="43">
        <f>PRINCIPALES!$G$24</f>
        <v>7.25</v>
      </c>
      <c r="F182" s="59">
        <f>PRINCIPALES!$N$24</f>
        <v>15</v>
      </c>
      <c r="G182" s="59">
        <f>PRINCIPALES!$O$24</f>
        <v>25</v>
      </c>
      <c r="H182" s="41" t="str">
        <f>IF(PRINCIPALES!$AU$24=0,"—",PRINCIPALES!$AU$24&amp;" No. "&amp;TEXT(PRINCIPALES!$AS$24,"0.#"))</f>
        <v>—</v>
      </c>
      <c r="J182" s="41" t="str">
        <f>IF(PRINCIPALES!$BA$24=0,"—",PRINCIPALES!$BA$24&amp;" No. "&amp;TEXT(PRINCIPALES!$AZ$24,"0.#"))</f>
        <v>—</v>
      </c>
      <c r="L182" s="73" t="str">
        <f>PRINCIPALES!$BH$24</f>
        <v>—</v>
      </c>
      <c r="M182" s="59">
        <f>PRINCIPALES!$BY$24</f>
        <v>0</v>
      </c>
      <c r="N182" s="44" t="str">
        <f>PRINCIPALES!$BZ$24</f>
        <v>BORDE DE VOLADO — armado de orilla</v>
      </c>
    </row>
    <row r="183">
      <c r="B183" s="44" t="inlineStr">
        <is>
          <t>NP-17 · x = -2.000</t>
        </is>
      </c>
      <c r="C183" s="41" t="inlineStr">
        <is>
          <t>N+3.00</t>
        </is>
      </c>
      <c r="D183" s="73" t="str">
        <f>PRINCIPALES!$L$25</f>
        <v>BORDE DE VOLADO</v>
      </c>
      <c r="E183" s="43">
        <f>PRINCIPALES!$G$25</f>
        <v>3.425</v>
      </c>
      <c r="F183" s="59">
        <f>PRINCIPALES!$N$25</f>
        <v>15</v>
      </c>
      <c r="G183" s="59">
        <f>PRINCIPALES!$O$25</f>
        <v>25</v>
      </c>
      <c r="H183" s="41" t="str">
        <f>IF(PRINCIPALES!$AU$25=0,"—",PRINCIPALES!$AU$25&amp;" No. "&amp;TEXT(PRINCIPALES!$AS$25,"0.#"))</f>
        <v>—</v>
      </c>
      <c r="J183" s="41" t="str">
        <f>IF(PRINCIPALES!$BA$25=0,"—",PRINCIPALES!$BA$25&amp;" No. "&amp;TEXT(PRINCIPALES!$AZ$25,"0.#"))</f>
        <v>—</v>
      </c>
      <c r="L183" s="73" t="str">
        <f>PRINCIPALES!$BH$25</f>
        <v>—</v>
      </c>
      <c r="M183" s="59">
        <f>PRINCIPALES!$BY$25</f>
        <v>0</v>
      </c>
      <c r="N183" s="44" t="str">
        <f>PRINCIPALES!$BZ$25</f>
        <v>BORDE DE VOLADO — armado de orilla</v>
      </c>
    </row>
    <row r="184">
      <c r="B184" s="44" t="inlineStr">
        <is>
          <t>NP-18 · x = 3.029</t>
        </is>
      </c>
      <c r="C184" s="41" t="inlineStr">
        <is>
          <t>N+3.00</t>
        </is>
      </c>
      <c r="D184" s="73" t="str">
        <f>PRINCIPALES!$L$26</f>
        <v>APOYADA</v>
      </c>
      <c r="E184" s="43">
        <f>PRINCIPALES!$G$26</f>
        <v>1.6</v>
      </c>
      <c r="F184" s="59">
        <f>PRINCIPALES!$N$26</f>
        <v>15</v>
      </c>
      <c r="G184" s="59">
        <f>PRINCIPALES!$O$26</f>
        <v>25</v>
      </c>
      <c r="H184" s="41" t="str">
        <f>IF(PRINCIPALES!$AU$26=0,"—",PRINCIPALES!$AU$26&amp;" No. "&amp;TEXT(PRINCIPALES!$AS$26,"0.#"))</f>
        <v>2 No. 4</v>
      </c>
      <c r="J184" s="41" t="str">
        <f>IF(PRINCIPALES!$BA$26=0,"—",PRINCIPALES!$BA$26&amp;" No. "&amp;TEXT(PRINCIPALES!$AZ$26,"0.#"))</f>
        <v>2 No. 4</v>
      </c>
      <c r="L184" s="73" t="str">
        <f>PRINCIPALES!$BH$26</f>
        <v>E No. 3 @ 9.5 cm</v>
      </c>
      <c r="M184" s="59">
        <f>PRINCIPALES!$BY$26</f>
        <v>25</v>
      </c>
      <c r="N184" s="44" t="str">
        <f>PRINCIPALES!$BZ$26</f>
        <v>CUMPLE</v>
      </c>
    </row>
    <row r="185">
      <c r="B185" s="44" t="inlineStr">
        <is>
          <t>NP-19 · Eje C (x = 3.427)</t>
        </is>
      </c>
      <c r="C185" s="41" t="inlineStr">
        <is>
          <t>N+3.00</t>
        </is>
      </c>
      <c r="D185" s="73" t="str">
        <f>PRINCIPALES!$L$27</f>
        <v>APOYADA</v>
      </c>
      <c r="E185" s="43">
        <f>PRINCIPALES!$G$27</f>
        <v>1.825</v>
      </c>
      <c r="F185" s="59">
        <f>PRINCIPALES!$N$27</f>
        <v>15</v>
      </c>
      <c r="G185" s="59">
        <f>PRINCIPALES!$O$27</f>
        <v>25</v>
      </c>
      <c r="H185" s="41" t="str">
        <f>IF(PRINCIPALES!$AU$27=0,"—",PRINCIPALES!$AU$27&amp;" No. "&amp;TEXT(PRINCIPALES!$AS$27,"0.#"))</f>
        <v>2 No. 4</v>
      </c>
      <c r="J185" s="41" t="str">
        <f>IF(PRINCIPALES!$BA$27=0,"—",PRINCIPALES!$BA$27&amp;" No. "&amp;TEXT(PRINCIPALES!$AZ$27,"0.#"))</f>
        <v>2 No. 4</v>
      </c>
      <c r="L185" s="73" t="str">
        <f>PRINCIPALES!$BH$27</f>
        <v>E No. 3 @ 9.5 cm</v>
      </c>
      <c r="M185" s="59">
        <f>PRINCIPALES!$BY$27</f>
        <v>25</v>
      </c>
      <c r="N185" s="44" t="str">
        <f>PRINCIPALES!$BZ$27</f>
        <v>CUMPLE</v>
      </c>
    </row>
    <row r="186">
      <c r="B186" s="44" t="inlineStr">
        <is>
          <t>NP-20 · x = 4.327</t>
        </is>
      </c>
      <c r="C186" s="41" t="inlineStr">
        <is>
          <t>N+3.00</t>
        </is>
      </c>
      <c r="D186" s="73" t="str">
        <f>PRINCIPALES!$L$28</f>
        <v>APOYADA</v>
      </c>
      <c r="E186" s="43">
        <f>PRINCIPALES!$G$28</f>
        <v>1.002</v>
      </c>
      <c r="F186" s="59">
        <f>PRINCIPALES!$N$28</f>
        <v>15</v>
      </c>
      <c r="G186" s="59">
        <f>PRINCIPALES!$O$28</f>
        <v>25</v>
      </c>
      <c r="H186" s="41" t="str">
        <f>IF(PRINCIPALES!$AU$28=0,"—",PRINCIPALES!$AU$28&amp;" No. "&amp;TEXT(PRINCIPALES!$AS$28,"0.#"))</f>
        <v>2 No. 4</v>
      </c>
      <c r="J186" s="41" t="str">
        <f>IF(PRINCIPALES!$BA$28=0,"—",PRINCIPALES!$BA$28&amp;" No. "&amp;TEXT(PRINCIPALES!$AZ$28,"0.#"))</f>
        <v>2 No. 4</v>
      </c>
      <c r="L186" s="73" t="str">
        <f>PRINCIPALES!$BH$28</f>
        <v>E No. 3 @ 9.5 cm</v>
      </c>
      <c r="M186" s="59">
        <f>PRINCIPALES!$BY$28</f>
        <v>25</v>
      </c>
      <c r="N186" s="44" t="str">
        <f>PRINCIPALES!$BZ$28</f>
        <v>CUMPLE</v>
      </c>
    </row>
    <row r="187">
      <c r="B187" s="44" t="inlineStr">
        <is>
          <t>NP-21 · x = 4.327</t>
        </is>
      </c>
      <c r="C187" s="41" t="inlineStr">
        <is>
          <t>N+3.00</t>
        </is>
      </c>
      <c r="D187" s="73" t="str">
        <f>PRINCIPALES!$L$29</f>
        <v>APOYADA</v>
      </c>
      <c r="E187" s="43">
        <f>PRINCIPALES!$G$29</f>
        <v>3.025</v>
      </c>
      <c r="F187" s="59">
        <f>PRINCIPALES!$N$29</f>
        <v>20</v>
      </c>
      <c r="G187" s="59">
        <f>PRINCIPALES!$O$29</f>
        <v>40</v>
      </c>
      <c r="H187" s="41" t="str">
        <f>IF(PRINCIPALES!$AU$29=0,"—",PRINCIPALES!$AU$29&amp;" No. "&amp;TEXT(PRINCIPALES!$AS$29,"0.#"))</f>
        <v>3 No. 5</v>
      </c>
      <c r="J187" s="41" t="str">
        <f>IF(PRINCIPALES!$BA$29=0,"—",PRINCIPALES!$BA$29&amp;" No. "&amp;TEXT(PRINCIPALES!$AZ$29,"0.#"))</f>
        <v>3 No. 4</v>
      </c>
      <c r="L187" s="73" t="str">
        <f>PRINCIPALES!$BH$29</f>
        <v>E No. 3 @ 17.0 cm</v>
      </c>
      <c r="M187" s="59">
        <f>PRINCIPALES!$BY$29</f>
        <v>30</v>
      </c>
      <c r="N187" s="44" t="str">
        <f>PRINCIPALES!$BZ$29</f>
        <v>CUMPLE</v>
      </c>
    </row>
    <row r="188">
      <c r="B188" s="44" t="inlineStr">
        <is>
          <t>NP-22 · x = 4.327</t>
        </is>
      </c>
      <c r="C188" s="41" t="inlineStr">
        <is>
          <t>N+3.00</t>
        </is>
      </c>
      <c r="D188" s="73" t="str">
        <f>PRINCIPALES!$L$30</f>
        <v>APOYADA</v>
      </c>
      <c r="E188" s="43">
        <f>PRINCIPALES!$G$30</f>
        <v>1.925</v>
      </c>
      <c r="F188" s="59">
        <f>PRINCIPALES!$N$30</f>
        <v>20</v>
      </c>
      <c r="G188" s="59">
        <f>PRINCIPALES!$O$30</f>
        <v>30</v>
      </c>
      <c r="H188" s="41" t="str">
        <f>IF(PRINCIPALES!$AU$30=0,"—",PRINCIPALES!$AU$30&amp;" No. "&amp;TEXT(PRINCIPALES!$AS$30,"0.#"))</f>
        <v>2 No. 4</v>
      </c>
      <c r="J188" s="41" t="str">
        <f>IF(PRINCIPALES!$BA$30=0,"—",PRINCIPALES!$BA$30&amp;" No. "&amp;TEXT(PRINCIPALES!$AZ$30,"0.#"))</f>
        <v>2 No. 4</v>
      </c>
      <c r="L188" s="73" t="str">
        <f>PRINCIPALES!$BH$30</f>
        <v>E No. 3 @ 12.0 cm</v>
      </c>
      <c r="M188" s="59">
        <f>PRINCIPALES!$BY$30</f>
        <v>25</v>
      </c>
      <c r="N188" s="44" t="str">
        <f>PRINCIPALES!$BZ$30</f>
        <v>CUMPLE</v>
      </c>
    </row>
    <row r="189">
      <c r="B189" s="44" t="inlineStr">
        <is>
          <t>NP-23 · x = 4.327</t>
        </is>
      </c>
      <c r="C189" s="41" t="inlineStr">
        <is>
          <t>N+3.00</t>
        </is>
      </c>
      <c r="D189" s="73" t="str">
        <f>PRINCIPALES!$L$31</f>
        <v>APOYADA</v>
      </c>
      <c r="E189" s="43">
        <f>PRINCIPALES!$G$31</f>
        <v>6.15</v>
      </c>
      <c r="F189" s="59">
        <f>PRINCIPALES!$N$31</f>
        <v>20</v>
      </c>
      <c r="G189" s="59">
        <f>PRINCIPALES!$O$31</f>
        <v>45</v>
      </c>
      <c r="H189" s="41" t="str">
        <f>IF(PRINCIPALES!$AU$31=0,"—",PRINCIPALES!$AU$31&amp;" No. "&amp;TEXT(PRINCIPALES!$AS$31,"0.#"))</f>
        <v>3 No. 4</v>
      </c>
      <c r="J189" s="41" t="str">
        <f>IF(PRINCIPALES!$BA$31=0,"—",PRINCIPALES!$BA$31&amp;" No. "&amp;TEXT(PRINCIPALES!$AZ$31,"0.#"))</f>
        <v>2 No. 4</v>
      </c>
      <c r="L189" s="73" t="str">
        <f>PRINCIPALES!$BH$31</f>
        <v>E No. 3 @ 19.5 cm</v>
      </c>
      <c r="M189" s="59">
        <f>PRINCIPALES!$BY$31</f>
        <v>40</v>
      </c>
      <c r="N189" s="44" t="str">
        <f>PRINCIPALES!$BZ$31</f>
        <v>CUMPLE</v>
      </c>
    </row>
    <row r="190">
      <c r="B190" s="44" t="inlineStr">
        <is>
          <t>NP-24 · Eje D (x = 4.426)</t>
        </is>
      </c>
      <c r="C190" s="41" t="inlineStr">
        <is>
          <t>N+3.00</t>
        </is>
      </c>
      <c r="D190" s="73" t="str">
        <f>PRINCIPALES!$L$32</f>
        <v>APOYADA</v>
      </c>
      <c r="E190" s="43">
        <f>PRINCIPALES!$G$32</f>
        <v>4</v>
      </c>
      <c r="F190" s="59">
        <f>PRINCIPALES!$N$32</f>
        <v>20</v>
      </c>
      <c r="G190" s="59">
        <f>PRINCIPALES!$O$32</f>
        <v>55</v>
      </c>
      <c r="H190" s="41" t="str">
        <f>IF(PRINCIPALES!$AU$32=0,"—",PRINCIPALES!$AU$32&amp;" No. "&amp;TEXT(PRINCIPALES!$AS$32,"0.#"))</f>
        <v>3 No. 5</v>
      </c>
      <c r="J190" s="41" t="str">
        <f>IF(PRINCIPALES!$BA$32=0,"—",PRINCIPALES!$BA$32&amp;" No. "&amp;TEXT(PRINCIPALES!$AZ$32,"0.#"))</f>
        <v>3 No. 4</v>
      </c>
      <c r="L190" s="73" t="str">
        <f>PRINCIPALES!$BH$32</f>
        <v>E No. 3 @ 20.0 cm</v>
      </c>
      <c r="M190" s="59">
        <f>PRINCIPALES!$BY$32</f>
        <v>40</v>
      </c>
      <c r="N190" s="44" t="str">
        <f>PRINCIPALES!$BZ$32</f>
        <v>CUMPLE</v>
      </c>
    </row>
    <row r="191">
      <c r="B191" s="44" t="inlineStr">
        <is>
          <t>NP-25 · Eje F (x = 5.441)</t>
        </is>
      </c>
      <c r="C191" s="41" t="inlineStr">
        <is>
          <t>N+3.00</t>
        </is>
      </c>
      <c r="D191" s="73" t="str">
        <f>PRINCIPALES!$L$33</f>
        <v>APOYADA</v>
      </c>
      <c r="E191" s="43">
        <f>PRINCIPALES!$G$33</f>
        <v>1.962</v>
      </c>
      <c r="F191" s="59">
        <f>PRINCIPALES!$N$33</f>
        <v>15</v>
      </c>
      <c r="G191" s="59">
        <f>PRINCIPALES!$O$33</f>
        <v>25</v>
      </c>
      <c r="H191" s="41" t="str">
        <f>IF(PRINCIPALES!$AU$33=0,"—",PRINCIPALES!$AU$33&amp;" No. "&amp;TEXT(PRINCIPALES!$AS$33,"0.#"))</f>
        <v>2 No. 4</v>
      </c>
      <c r="J191" s="41" t="str">
        <f>IF(PRINCIPALES!$BA$33=0,"—",PRINCIPALES!$BA$33&amp;" No. "&amp;TEXT(PRINCIPALES!$AZ$33,"0.#"))</f>
        <v>2 No. 4</v>
      </c>
      <c r="L191" s="73" t="str">
        <f>PRINCIPALES!$BH$33</f>
        <v>E No. 3 @ 9.5 cm</v>
      </c>
      <c r="M191" s="59">
        <f>PRINCIPALES!$BY$33</f>
        <v>25</v>
      </c>
      <c r="N191" s="44" t="str">
        <f>PRINCIPALES!$BZ$33</f>
        <v>CUMPLE</v>
      </c>
    </row>
    <row r="192">
      <c r="B192" s="44" t="inlineStr">
        <is>
          <t>NP-26 · Eje F (x = 5.441)</t>
        </is>
      </c>
      <c r="C192" s="41" t="inlineStr">
        <is>
          <t>N+3.00</t>
        </is>
      </c>
      <c r="D192" s="73" t="str">
        <f>PRINCIPALES!$L$34</f>
        <v>APOYADA</v>
      </c>
      <c r="E192" s="43">
        <f>PRINCIPALES!$G$34</f>
        <v>5.497</v>
      </c>
      <c r="F192" s="59">
        <f>PRINCIPALES!$N$34</f>
        <v>20</v>
      </c>
      <c r="G192" s="59">
        <f>PRINCIPALES!$O$34</f>
        <v>80</v>
      </c>
      <c r="H192" s="41" t="str">
        <f>IF(PRINCIPALES!$AU$34=0,"—",PRINCIPALES!$AU$34&amp;" No. "&amp;TEXT(PRINCIPALES!$AS$34,"0.#"))</f>
        <v>2 No. 8</v>
      </c>
      <c r="J192" s="41" t="str">
        <f>IF(PRINCIPALES!$BA$34=0,"—",PRINCIPALES!$BA$34&amp;" No. "&amp;TEXT(PRINCIPALES!$AZ$34,"0.#"))</f>
        <v>3 No. 5</v>
      </c>
      <c r="L192" s="73" t="str">
        <f>PRINCIPALES!$BH$34</f>
        <v>E No. 3 @ 20.0 cm</v>
      </c>
      <c r="M192" s="59">
        <f>PRINCIPALES!$BY$34</f>
        <v>55</v>
      </c>
      <c r="N192" s="44" t="str">
        <f>PRINCIPALES!$BZ$34</f>
        <v>PENDIENTE: H/L &lt; 0.6, falta el análisis de interacción muro-viga (NTC-M 4.1.18.2.1, p. 44)</v>
      </c>
    </row>
    <row r="193">
      <c r="B193" s="44" t="inlineStr">
        <is>
          <t>NP-27 · Eje F (x = 5.441)</t>
        </is>
      </c>
      <c r="C193" s="41" t="inlineStr">
        <is>
          <t>N+3.00</t>
        </is>
      </c>
      <c r="D193" s="73" t="str">
        <f>PRINCIPALES!$L$35</f>
        <v>VOLADO</v>
      </c>
      <c r="E193" s="43">
        <f>PRINCIPALES!$G$35</f>
        <v>0.399</v>
      </c>
      <c r="F193" s="59">
        <f>PRINCIPALES!$N$35</f>
        <v>20</v>
      </c>
      <c r="G193" s="59">
        <f>PRINCIPALES!$O$35</f>
        <v>45</v>
      </c>
      <c r="H193" s="41" t="str">
        <f>IF(PRINCIPALES!$AU$35=0,"—",PRINCIPALES!$AU$35&amp;" No. "&amp;TEXT(PRINCIPALES!$AS$35,"0.#"))</f>
        <v>2 No. 4</v>
      </c>
      <c r="J193" s="41" t="str">
        <f>IF(PRINCIPALES!$BA$35=0,"—",PRINCIPALES!$BA$35&amp;" No. "&amp;TEXT(PRINCIPALES!$AZ$35,"0.#"))</f>
        <v>3 No. 4</v>
      </c>
      <c r="L193" s="73" t="str">
        <f>PRINCIPALES!$BH$35</f>
        <v>E No. 3 @ 19.5 cm</v>
      </c>
      <c r="M193" s="59">
        <f>PRINCIPALES!$BY$35</f>
        <v>25</v>
      </c>
      <c r="N193" s="44" t="str">
        <f>PRINCIPALES!$BZ$35</f>
        <v>CUMPLE (en VOLADO)</v>
      </c>
    </row>
    <row r="194">
      <c r="B194" s="44" t="inlineStr">
        <is>
          <t>NP-28 · x = 5.822</t>
        </is>
      </c>
      <c r="C194" s="41" t="inlineStr">
        <is>
          <t>N+3.00</t>
        </is>
      </c>
      <c r="D194" s="73" t="str">
        <f>PRINCIPALES!$L$36</f>
        <v>APOYADA</v>
      </c>
      <c r="E194" s="43">
        <f>PRINCIPALES!$G$36</f>
        <v>1.6</v>
      </c>
      <c r="F194" s="59">
        <f>PRINCIPALES!$N$36</f>
        <v>15</v>
      </c>
      <c r="G194" s="59">
        <f>PRINCIPALES!$O$36</f>
        <v>25</v>
      </c>
      <c r="H194" s="41" t="str">
        <f>IF(PRINCIPALES!$AU$36=0,"—",PRINCIPALES!$AU$36&amp;" No. "&amp;TEXT(PRINCIPALES!$AS$36,"0.#"))</f>
        <v>2 No. 4</v>
      </c>
      <c r="J194" s="41" t="str">
        <f>IF(PRINCIPALES!$BA$36=0,"—",PRINCIPALES!$BA$36&amp;" No. "&amp;TEXT(PRINCIPALES!$AZ$36,"0.#"))</f>
        <v>2 No. 4</v>
      </c>
      <c r="L194" s="73" t="str">
        <f>PRINCIPALES!$BH$36</f>
        <v>E No. 3 @ 9.5 cm</v>
      </c>
      <c r="M194" s="59">
        <f>PRINCIPALES!$BY$36</f>
        <v>25</v>
      </c>
      <c r="N194" s="44" t="str">
        <f>PRINCIPALES!$BZ$36</f>
        <v>CUMPLE</v>
      </c>
    </row>
    <row r="195">
      <c r="B195" s="44" t="inlineStr">
        <is>
          <t>NP-29 · Eje G (x = 5.923)</t>
        </is>
      </c>
      <c r="C195" s="41" t="inlineStr">
        <is>
          <t>N+3.00</t>
        </is>
      </c>
      <c r="D195" s="73" t="str">
        <f>PRINCIPALES!$L$37</f>
        <v>APOYADA</v>
      </c>
      <c r="E195" s="43">
        <f>PRINCIPALES!$G$37</f>
        <v>3.025</v>
      </c>
      <c r="F195" s="59">
        <f>PRINCIPALES!$N$37</f>
        <v>20</v>
      </c>
      <c r="G195" s="59">
        <f>PRINCIPALES!$O$37</f>
        <v>35</v>
      </c>
      <c r="H195" s="41" t="str">
        <f>IF(PRINCIPALES!$AU$37=0,"—",PRINCIPALES!$AU$37&amp;" No. "&amp;TEXT(PRINCIPALES!$AS$37,"0.#"))</f>
        <v>3 No. 4</v>
      </c>
      <c r="J195" s="41" t="str">
        <f>IF(PRINCIPALES!$BA$37=0,"—",PRINCIPALES!$BA$37&amp;" No. "&amp;TEXT(PRINCIPALES!$AZ$37,"0.#"))</f>
        <v>2 No. 4</v>
      </c>
      <c r="L195" s="73" t="str">
        <f>PRINCIPALES!$BH$37</f>
        <v>E No. 3 @ 14.5 cm</v>
      </c>
      <c r="M195" s="59">
        <f>PRINCIPALES!$BY$37</f>
        <v>25</v>
      </c>
      <c r="N195" s="44" t="str">
        <f>PRINCIPALES!$BZ$37</f>
        <v>CUMPLE</v>
      </c>
    </row>
    <row r="196">
      <c r="B196" s="44" t="inlineStr">
        <is>
          <t>NP-30 · x = 7.350</t>
        </is>
      </c>
      <c r="C196" s="41" t="inlineStr">
        <is>
          <t>N+3.00</t>
        </is>
      </c>
      <c r="D196" s="73" t="str">
        <f>PRINCIPALES!$L$38</f>
        <v>VOLADO</v>
      </c>
      <c r="E196" s="43">
        <f>PRINCIPALES!$G$38</f>
        <v>1.04</v>
      </c>
      <c r="F196" s="59">
        <f>PRINCIPALES!$N$38</f>
        <v>20</v>
      </c>
      <c r="G196" s="59">
        <f>PRINCIPALES!$O$38</f>
        <v>30</v>
      </c>
      <c r="H196" s="41" t="str">
        <f>IF(PRINCIPALES!$AU$38=0,"—",PRINCIPALES!$AU$38&amp;" No. "&amp;TEXT(PRINCIPALES!$AS$38,"0.#"))</f>
        <v>2 No. 4</v>
      </c>
      <c r="J196" s="41" t="str">
        <f>IF(PRINCIPALES!$BA$38=0,"—",PRINCIPALES!$BA$38&amp;" No. "&amp;TEXT(PRINCIPALES!$AZ$38,"0.#"))</f>
        <v>2 No. 4</v>
      </c>
      <c r="L196" s="73" t="str">
        <f>PRINCIPALES!$BH$38</f>
        <v>E No. 3 @ 12.0 cm</v>
      </c>
      <c r="M196" s="59">
        <f>PRINCIPALES!$BY$38</f>
        <v>25</v>
      </c>
      <c r="N196" s="44" t="str">
        <f>PRINCIPALES!$BZ$38</f>
        <v>CUMPLE (en VOLADO)</v>
      </c>
    </row>
    <row r="197">
      <c r="B197" s="44" t="inlineStr">
        <is>
          <t>NP-31 · y = 16.697</t>
        </is>
      </c>
      <c r="C197" s="41" t="inlineStr">
        <is>
          <t>N+6.00</t>
        </is>
      </c>
      <c r="D197" s="73" t="str">
        <f>PRINCIPALES!$L$39</f>
        <v>APOYADA</v>
      </c>
      <c r="E197" s="43">
        <f>PRINCIPALES!$G$39</f>
        <v>3.028</v>
      </c>
      <c r="F197" s="59">
        <f>PRINCIPALES!$N$39</f>
        <v>15</v>
      </c>
      <c r="G197" s="59">
        <f>PRINCIPALES!$O$39</f>
        <v>25</v>
      </c>
      <c r="H197" s="41" t="str">
        <f>IF(PRINCIPALES!$AU$39=0,"—",PRINCIPALES!$AU$39&amp;" No. "&amp;TEXT(PRINCIPALES!$AS$39,"0.#"))</f>
        <v>2 No. 4</v>
      </c>
      <c r="J197" s="41" t="str">
        <f>IF(PRINCIPALES!$BA$39=0,"—",PRINCIPALES!$BA$39&amp;" No. "&amp;TEXT(PRINCIPALES!$AZ$39,"0.#"))</f>
        <v>2 No. 4</v>
      </c>
      <c r="L197" s="73" t="str">
        <f>PRINCIPALES!$BH$39</f>
        <v>E No. 3 @ 9.5 cm</v>
      </c>
      <c r="M197" s="59">
        <f>PRINCIPALES!$BY$39</f>
        <v>25</v>
      </c>
      <c r="N197" s="44" t="str">
        <f>PRINCIPALES!$BZ$39</f>
        <v>CUMPLE</v>
      </c>
    </row>
    <row r="198">
      <c r="B198" s="44" t="inlineStr">
        <is>
          <t>NP-32 · y = 16.997</t>
        </is>
      </c>
      <c r="C198" s="41" t="inlineStr">
        <is>
          <t>N+6.00</t>
        </is>
      </c>
      <c r="D198" s="73" t="str">
        <f>PRINCIPALES!$L$40</f>
        <v>APOYADA</v>
      </c>
      <c r="E198" s="43">
        <f>PRINCIPALES!$G$40</f>
        <v>3.029</v>
      </c>
      <c r="F198" s="59">
        <f>PRINCIPALES!$N$40</f>
        <v>15</v>
      </c>
      <c r="G198" s="59">
        <f>PRINCIPALES!$O$40</f>
        <v>25</v>
      </c>
      <c r="H198" s="41" t="str">
        <f>IF(PRINCIPALES!$AU$40=0,"—",PRINCIPALES!$AU$40&amp;" No. "&amp;TEXT(PRINCIPALES!$AS$40,"0.#"))</f>
        <v>2 No. 4</v>
      </c>
      <c r="J198" s="41" t="str">
        <f>IF(PRINCIPALES!$BA$40=0,"—",PRINCIPALES!$BA$40&amp;" No. "&amp;TEXT(PRINCIPALES!$AZ$40,"0.#"))</f>
        <v>2 No. 4</v>
      </c>
      <c r="L198" s="73" t="str">
        <f>PRINCIPALES!$BH$40</f>
        <v>E No. 3 @ 9.5 cm</v>
      </c>
      <c r="M198" s="59">
        <f>PRINCIPALES!$BY$40</f>
        <v>25</v>
      </c>
      <c r="N198" s="44" t="str">
        <f>PRINCIPALES!$BZ$40</f>
        <v>CUMPLE</v>
      </c>
    </row>
    <row r="199">
      <c r="B199" s="44" t="inlineStr">
        <is>
          <t>NP-33 · Eje A (x = 0.000)</t>
        </is>
      </c>
      <c r="C199" s="41" t="inlineStr">
        <is>
          <t>N+6.00</t>
        </is>
      </c>
      <c r="D199" s="73" t="str">
        <f>PRINCIPALES!$L$41</f>
        <v>APOYADA</v>
      </c>
      <c r="E199" s="43">
        <f>PRINCIPALES!$G$41</f>
        <v>1.825</v>
      </c>
      <c r="F199" s="59">
        <f>PRINCIPALES!$N$41</f>
        <v>15</v>
      </c>
      <c r="G199" s="59">
        <f>PRINCIPALES!$O$41</f>
        <v>25</v>
      </c>
      <c r="H199" s="41" t="str">
        <f>IF(PRINCIPALES!$AU$41=0,"—",PRINCIPALES!$AU$41&amp;" No. "&amp;TEXT(PRINCIPALES!$AS$41,"0.#"))</f>
        <v>2 No. 4</v>
      </c>
      <c r="J199" s="41" t="str">
        <f>IF(PRINCIPALES!$BA$41=0,"—",PRINCIPALES!$BA$41&amp;" No. "&amp;TEXT(PRINCIPALES!$AZ$41,"0.#"))</f>
        <v>2 No. 4</v>
      </c>
      <c r="L199" s="73" t="str">
        <f>PRINCIPALES!$BH$41</f>
        <v>E No. 3 @ 4.5 en 2h y 9.5 cm</v>
      </c>
      <c r="M199" s="59">
        <f>PRINCIPALES!$BY$41</f>
        <v>25</v>
      </c>
      <c r="N199" s="44" t="str">
        <f>PRINCIPALES!$BZ$41</f>
        <v>CUMPLE</v>
      </c>
    </row>
    <row r="200">
      <c r="B200" s="44" t="inlineStr">
        <is>
          <t>NP-34 · Eje G (x = 5.923)</t>
        </is>
      </c>
      <c r="C200" s="41" t="inlineStr">
        <is>
          <t>N+6.00</t>
        </is>
      </c>
      <c r="D200" s="73" t="str">
        <f>PRINCIPALES!$L$42</f>
        <v>APOYADA</v>
      </c>
      <c r="E200" s="43">
        <f>PRINCIPALES!$G$42</f>
        <v>3.002</v>
      </c>
      <c r="F200" s="59">
        <f>PRINCIPALES!$N$42</f>
        <v>15</v>
      </c>
      <c r="G200" s="59">
        <f>PRINCIPALES!$O$42</f>
        <v>25</v>
      </c>
      <c r="H200" s="41" t="str">
        <f>IF(PRINCIPALES!$AU$42=0,"—",PRINCIPALES!$AU$42&amp;" No. "&amp;TEXT(PRINCIPALES!$AS$42,"0.#"))</f>
        <v>2 No. 4</v>
      </c>
      <c r="J200" s="41" t="str">
        <f>IF(PRINCIPALES!$BA$42=0,"—",PRINCIPALES!$BA$42&amp;" No. "&amp;TEXT(PRINCIPALES!$AZ$42,"0.#"))</f>
        <v>2 No. 4</v>
      </c>
      <c r="L200" s="73" t="str">
        <f>PRINCIPALES!$BH$42</f>
        <v>E No. 3 @ 9.5 cm</v>
      </c>
      <c r="M200" s="59">
        <f>PRINCIPALES!$BY$42</f>
        <v>25</v>
      </c>
      <c r="N200" s="44" t="str">
        <f>PRINCIPALES!$BZ$42</f>
        <v>CUMPLE</v>
      </c>
    </row>
    <row r="201" ht="30" customHeight="1">
      <c r="B201" s="6" t="inlineStr">
        <is>
          <t>«h mín. sin flecha» = el mínimo por flexión, Tabla 6.3.3.1.1 y NTC-M 4.1.18; la h propuesta (columna h) ya incluye la flecha de 13.4 y el acomodo de varillas: no se baja la trabe a ese valor.</t>
        </is>
      </c>
      <c r="C201" s="7" t="n"/>
      <c r="D201" s="7" t="n"/>
      <c r="E201" s="7" t="n"/>
      <c r="F201" s="7" t="n"/>
      <c r="G201" s="7" t="n"/>
      <c r="H201" s="7" t="n"/>
      <c r="I201" s="7" t="n"/>
      <c r="J201" s="7" t="n"/>
      <c r="K201" s="7" t="n"/>
      <c r="L201" s="7" t="n"/>
      <c r="M201" s="7" t="n"/>
      <c r="N201" s="7" t="n"/>
    </row>
    <row r="202" ht="6" customHeight="1"/>
    <row r="203" ht="21" customHeight="1">
      <c r="B203" s="5" t="inlineStr">
        <is>
          <t>5. CANTIDADES</t>
        </is>
      </c>
    </row>
    <row r="204">
      <c r="B204" s="77" t="inlineStr">
        <is>
          <t>Concreto de losas (con desperdicio)</t>
        </is>
      </c>
      <c r="E204" s="82">
        <f>CUANTIFICACION!$C$86</f>
        <v>43.9953834107143</v>
      </c>
      <c r="F204" s="41" t="inlineStr">
        <is>
          <t>m³</t>
        </is>
      </c>
    </row>
    <row r="205">
      <c r="B205" s="77" t="inlineStr">
        <is>
          <t>Casetones 60×60×20</t>
        </is>
      </c>
      <c r="E205" s="82">
        <f>CUANTIFICACION!$C$87</f>
        <v>438</v>
      </c>
      <c r="F205" s="41" t="inlineStr">
        <is>
          <t>pzas</t>
        </is>
      </c>
    </row>
    <row r="206">
      <c r="B206" s="77" t="inlineStr">
        <is>
          <t>Malla electrosoldada</t>
        </is>
      </c>
      <c r="E206" s="82">
        <f>CUANTIFICACION!$C$88</f>
        <v>296.835</v>
      </c>
      <c r="F206" s="41" t="inlineStr">
        <is>
          <t>m²</t>
        </is>
      </c>
    </row>
    <row r="207">
      <c r="B207" s="77" t="inlineStr">
        <is>
          <t>Acero de nervaduras secundarias</t>
        </is>
      </c>
      <c r="E207" s="82">
        <f>CUANTIFICACION!$C$89</f>
        <v>2653.12606276</v>
      </c>
      <c r="F207" s="41" t="inlineStr">
        <is>
          <t>kg</t>
        </is>
      </c>
    </row>
    <row r="208">
      <c r="B208" s="77" t="inlineStr">
        <is>
          <t>Acero de nervaduras principales</t>
        </is>
      </c>
      <c r="E208" s="82">
        <f>CUANTIFICACION!$C$90</f>
        <v>1096.4387156</v>
      </c>
      <c r="F208" s="41" t="inlineStr">
        <is>
          <t>kg</t>
        </is>
      </c>
    </row>
    <row r="209" ht="6" customHeight="1"/>
    <row r="210" ht="21" customHeight="1">
      <c r="B210" s="5" t="inlineStr">
        <is>
          <t>6. CONDICIONES DE OBRA</t>
        </is>
      </c>
    </row>
    <row r="211" ht="41" customHeight="1">
      <c r="B211" s="32" t="inlineStr">
        <is>
          <t>• Castillos que se bajan a cimentación: refuerzo anclado en el cimiento con escuadra a 90° hacia adentro, empotramiento ≥ 40 cm en cimiento de piedra; traslapes sólo en el tercio medio de la planta baja con estribos @ 7.5 cm (NTC-M 4.1.16.3 a 4.1.16.5, p. 43; 4.2.7.5.2, p. 53). Dalas con 4 varillas y As ≥ 0.2(f'c/fy)·b·h: la D-15x20 pide 3.57 cm² (2 No. 4 + 2 No. 3) (NTC-M 6.2.2.2, p. 62).</t>
        </is>
      </c>
    </row>
    <row r="212" ht="41" customHeight="1">
      <c r="B212" s="32" t="inlineStr">
        <is>
          <t>• Nervaduras principales sin muro abajo: se arman como trabe con recubrimiento de 4 cm, 2 No. 4 corridas como mínimo arriba y abajo y estribos cerrados No. 3 a 135° (gancho 8 cm) con la separación de PRINCIPALES (columna «Cortante»). En las vigas perimetrales (NP-01 y NP-33) van más cerrados en 2h junto a cada apoyo (NTC-Concreto 6.3.5.1.1, p. 122; 6.3.7.7.7 y 6.3.7.7.8, p. 134; 14.7.3.3, p. 375). Las que piden más de 25 cm quedan descolgadas.</t>
        </is>
      </c>
    </row>
    <row r="213" ht="41" customHeight="1">
      <c r="B213" s="32" t="inlineStr">
        <is>
          <t>• Toda nervadura secundaria lleva 1 No. 4 corrida abajo y 1 No. 4 corrida arriba; la inferior se ancla para 1.25 fy en el paño (6.7.6.1.3, p. 175; 6.7.8.1.7, p. 188). Bastones con el largo de TABLEROS medido desde el paño. En bordes discontinuos el gancho no cabe en la dala de 15 cm: va la solución que escojas en la decisión 9 (dala o cadena de borde más ancha o barras con cabeza; 6.7.7.4.1.1, p. 179).</t>
        </is>
      </c>
    </row>
    <row r="214" ht="28" customHeight="1">
      <c r="B214" s="32" t="inlineStr">
        <is>
          <t>• Donde la hoja pide MACIZAR, se quita la hilera de casetones junto al apoyo en todo el ancho del tablero. En esquinas exteriores sobre muros se refuerza arriba y abajo en un quinto del claro largo (6.7.7.3.1, p. 178).</t>
        </is>
      </c>
    </row>
    <row r="215" ht="28" customHeight="1">
      <c r="B215" s="32" t="inlineStr">
        <is>
          <t>• En el borde común de dos tableros se arma con el mayor de los dos bastones; los momentos ya incluyen la distribución de 2/3 del desequilibrio (3.4.3.1, p. 64).</t>
        </is>
      </c>
    </row>
    <row r="216" ht="41" customHeight="1">
      <c r="B216" s="32" t="inlineStr">
        <is>
          <t>• Traslapes clase B: secundarias No. 3 ≈ 50 cm y No. 4 ≈ 66 cm; principales, lecho inferior No. 4 ≈ 66, No. 5 ≈ 83 y No. 8 ≈ 166 cm; principales con h ≥ 40 cm, lecho superior No. 4 ≈ 86 y No. 5 ≈ 108 cm (ψp = 1.3, Tabla 14.4.2.6, p. 354). Fuera de las secciones de esfuerzo máximo y alternados; malla traslapada un cuadro + 5 cm (14.5.1.3, Tabla 14.5.2.1, 14.5.4.1).</t>
        </is>
      </c>
    </row>
  </sheetData>
  <mergeCells count="132">
    <mergeCell ref="B11:D11"/>
    <mergeCell ref="H166:I166"/>
    <mergeCell ref="J180:K180"/>
    <mergeCell ref="H181:I181"/>
    <mergeCell ref="G20:M20"/>
    <mergeCell ref="J190:K190"/>
    <mergeCell ref="B201:N201"/>
    <mergeCell ref="H168:I168"/>
    <mergeCell ref="H180:I180"/>
    <mergeCell ref="J166:K166"/>
    <mergeCell ref="B203:N203"/>
    <mergeCell ref="G12:M12"/>
    <mergeCell ref="B6:D6"/>
    <mergeCell ref="B20:D20"/>
    <mergeCell ref="B204:D204"/>
    <mergeCell ref="B22:N22"/>
    <mergeCell ref="J191:K191"/>
    <mergeCell ref="B31:N31"/>
    <mergeCell ref="B215:N215"/>
    <mergeCell ref="H199:I199"/>
    <mergeCell ref="J193:K193"/>
    <mergeCell ref="H186:I186"/>
    <mergeCell ref="H183:I183"/>
    <mergeCell ref="J192:K192"/>
    <mergeCell ref="H170:I170"/>
    <mergeCell ref="B23:N23"/>
    <mergeCell ref="B208:D208"/>
    <mergeCell ref="B1:N1"/>
    <mergeCell ref="H185:I185"/>
    <mergeCell ref="J185:K185"/>
    <mergeCell ref="J194:K194"/>
    <mergeCell ref="H172:I172"/>
    <mergeCell ref="J181:K181"/>
    <mergeCell ref="H184:I184"/>
    <mergeCell ref="H171:I171"/>
    <mergeCell ref="B211:N211"/>
    <mergeCell ref="J171:K171"/>
    <mergeCell ref="B8:D8"/>
    <mergeCell ref="B17:D17"/>
    <mergeCell ref="G16:M16"/>
    <mergeCell ref="B10:D10"/>
    <mergeCell ref="B19:D19"/>
    <mergeCell ref="G9:M9"/>
    <mergeCell ref="B212:N212"/>
    <mergeCell ref="B9:D9"/>
    <mergeCell ref="B25:N25"/>
    <mergeCell ref="G11:M11"/>
    <mergeCell ref="B165:N165"/>
    <mergeCell ref="H182:I182"/>
    <mergeCell ref="B5:D5"/>
    <mergeCell ref="B207:D207"/>
    <mergeCell ref="B27:N27"/>
    <mergeCell ref="J196:K196"/>
    <mergeCell ref="J183:K183"/>
    <mergeCell ref="H190:I190"/>
    <mergeCell ref="H198:I198"/>
    <mergeCell ref="G13:M13"/>
    <mergeCell ref="J177:K177"/>
    <mergeCell ref="J169:K169"/>
    <mergeCell ref="B29:N29"/>
    <mergeCell ref="G15:M15"/>
    <mergeCell ref="H200:I200"/>
    <mergeCell ref="B14:D14"/>
    <mergeCell ref="J200:K200"/>
    <mergeCell ref="B13:D13"/>
    <mergeCell ref="J184:K184"/>
    <mergeCell ref="B24:N24"/>
    <mergeCell ref="H192:I192"/>
    <mergeCell ref="J186:K186"/>
    <mergeCell ref="J195:K195"/>
    <mergeCell ref="B32:N32"/>
    <mergeCell ref="H173:I173"/>
    <mergeCell ref="B26:N26"/>
    <mergeCell ref="H188:I188"/>
    <mergeCell ref="J182:K182"/>
    <mergeCell ref="J179:K179"/>
    <mergeCell ref="J197:K197"/>
    <mergeCell ref="G8:M8"/>
    <mergeCell ref="H187:I187"/>
    <mergeCell ref="J172:K172"/>
    <mergeCell ref="G17:M17"/>
    <mergeCell ref="J187:K187"/>
    <mergeCell ref="B206:D206"/>
    <mergeCell ref="H174:I174"/>
    <mergeCell ref="B214:N214"/>
    <mergeCell ref="J174:K174"/>
    <mergeCell ref="B210:N210"/>
    <mergeCell ref="J168:K168"/>
    <mergeCell ref="G10:M10"/>
    <mergeCell ref="B2:N2"/>
    <mergeCell ref="G19:M19"/>
    <mergeCell ref="G6:M6"/>
    <mergeCell ref="B12:D12"/>
    <mergeCell ref="B34:N34"/>
    <mergeCell ref="H175:I175"/>
    <mergeCell ref="B28:N28"/>
    <mergeCell ref="G5:M5"/>
    <mergeCell ref="G14:M14"/>
    <mergeCell ref="H196:I196"/>
    <mergeCell ref="J199:K199"/>
    <mergeCell ref="B30:N30"/>
    <mergeCell ref="H193:I193"/>
    <mergeCell ref="H167:I167"/>
    <mergeCell ref="J167:K167"/>
    <mergeCell ref="H176:I176"/>
    <mergeCell ref="B216:N216"/>
    <mergeCell ref="B205:D205"/>
    <mergeCell ref="J176:K176"/>
    <mergeCell ref="B213:N213"/>
    <mergeCell ref="J170:K170"/>
    <mergeCell ref="H177:I177"/>
    <mergeCell ref="B4:N4"/>
    <mergeCell ref="H191:I191"/>
    <mergeCell ref="H169:I169"/>
    <mergeCell ref="H178:I178"/>
    <mergeCell ref="J178:K178"/>
    <mergeCell ref="B15:D15"/>
    <mergeCell ref="J175:K175"/>
    <mergeCell ref="H194:I194"/>
    <mergeCell ref="G7:M7"/>
    <mergeCell ref="B7:D7"/>
    <mergeCell ref="J173:K173"/>
    <mergeCell ref="B16:D16"/>
    <mergeCell ref="G18:M18"/>
    <mergeCell ref="H195:I195"/>
    <mergeCell ref="H189:I189"/>
    <mergeCell ref="B18:D18"/>
    <mergeCell ref="J189:K189"/>
    <mergeCell ref="J198:K198"/>
    <mergeCell ref="H179:I179"/>
    <mergeCell ref="J188:K188"/>
    <mergeCell ref="H197:I197"/>
  </mergeCells>
  <conditionalFormatting sqref="C1:N217">
    <cfRule type="expression" priority="1" dxfId="0" stopIfTrue="1">
      <formula>OR(ISNUMBER(FIND("NO CUMPLE",C1)),ISNUMBER(FIND("REVISAR",C1)),ISNUMBER(FIND("NO CABE",C1)),ISNUMBER(FIND("FUERA",C1)),ISNUMBER(FIND("SIN APOYO",C1)),ISNUMBER(FIND("INSUFICIENTE",C1)),ISNUMBER(FIND("PENDIENTE",C1)))</formula>
    </cfRule>
    <cfRule type="expression" priority="2" dxfId="1" stopIfTrue="1">
      <formula>OR(ISNUMBER(FIND("CUMPLE",C1)),ISNUMBER(FIND("SÍ aplica",C1)),ISNUMBER(FIND("MANDA",C1)))</formula>
    </cfRule>
    <cfRule type="expression" priority="3" dxfId="2" stopIfTrue="1">
      <formula>OR(ISNUMBER(FIND("MACIZAR",C1)),ISNUMBER(FIND("VOLADO",C1)),ISNUMBER(FIND("PROPUESTO",C1)),ISNUMBER(FIND("VER ",C1)))</formula>
    </cfRule>
  </conditionalFormatting>
  <pageMargins left="0.75" right="0.75" top="1" bottom="1" header="0.5" footer="0.5"/>
  <pageSetup orientation="landscape" paperSize="1" fitToHeight="0" fitToWidth="1"/>
</worksheet>
</file>

<file path=xl/worksheets/sheet11.xml><?xml version="1.0" encoding="utf-8"?>
<worksheet xmlns="http://schemas.openxmlformats.org/spreadsheetml/2006/main">
  <sheetPr>
    <outlinePr summaryBelow="1" summaryRight="1"/>
    <pageSetUpPr fitToPage="1"/>
  </sheetPr>
  <dimension ref="B1:F92"/>
  <sheetViews>
    <sheetView showGridLines="0" workbookViewId="0">
      <selection activeCell="A1" sqref="A1"/>
    </sheetView>
  </sheetViews>
  <sheetFormatPr baseColWidth="8" defaultRowHeight="15"/>
  <cols>
    <col width="1.78" customWidth="1" min="1" max="1"/>
    <col width="58" customWidth="1" min="2" max="2"/>
    <col width="40" customWidth="1" min="3" max="3"/>
    <col width="46" customWidth="1" min="4" max="4"/>
    <col width="10" customWidth="1" min="5" max="5"/>
    <col width="10" customWidth="1" min="6" max="6"/>
  </cols>
  <sheetData>
    <row r="1" ht="26" customHeight="1">
      <c r="B1" s="1" t="inlineStr">
        <is>
          <t>REFERENCIAS — QUÉ DOCUMENTO Y QUÉ PARTE CHECAR</t>
        </is>
      </c>
    </row>
    <row r="2" ht="30" customHeight="1">
      <c r="B2" s="2" t="inlineStr">
        <is>
          <t>Los archivos del proyecto se citan por su tabla o capa; los documentos de Naim por página impresa; las NTC 2023 por numeral y página impresa de cada norma, cotejados contra el texto oficial del compendio.</t>
        </is>
      </c>
    </row>
    <row r="3" ht="21" customHeight="1">
      <c r="B3" s="5" t="inlineStr">
        <is>
          <t>MODELO ETABS — 001_EST_CROCHA_R3.2.e2k</t>
        </is>
      </c>
    </row>
    <row r="4" ht="30" customHeight="1">
      <c r="B4" s="8" t="inlineStr">
        <is>
          <t>Tema</t>
        </is>
      </c>
      <c r="C4" s="8" t="inlineStr">
        <is>
          <t>Documento</t>
        </is>
      </c>
      <c r="D4" s="8" t="inlineStr">
        <is>
          <t>Tabla / capa / página / sección</t>
        </is>
      </c>
      <c r="E4" s="8" t="inlineStr">
        <is>
          <t>—</t>
        </is>
      </c>
      <c r="F4" s="8" t="inlineStr">
        <is>
          <t>—</t>
        </is>
      </c>
    </row>
    <row r="5" ht="26" customHeight="1">
      <c r="B5" s="38" t="inlineStr">
        <is>
          <t>Geometría de tableros, dalas, castillos y muros por nivel</t>
        </is>
      </c>
      <c r="C5" s="38" t="inlineStr">
        <is>
          <t>001_EST_CROCHA_R3.2.e2k</t>
        </is>
      </c>
      <c r="D5" s="13" t="inlineStr">
        <is>
          <t>POINT COORDINATES / LINE CONNECTIVITIES / AREA CONNECTIVITIES / AREA ASSIGNS</t>
        </is>
      </c>
      <c r="E5" s="41" t="inlineStr"/>
      <c r="F5" s="41" t="inlineStr"/>
    </row>
    <row r="6" ht="26" customHeight="1">
      <c r="B6" s="38" t="inlineStr">
        <is>
          <t>Losa LR-25: espesor 0.25 y modificadores F 0.6688, M 0.29915</t>
        </is>
      </c>
      <c r="C6" s="38" t="inlineStr">
        <is>
          <t>001_EST_CROCHA_R3.2.e2k</t>
        </is>
      </c>
      <c r="D6" s="13" t="inlineStr">
        <is>
          <t>SLAB PROPERTIES — SHELLPROP "LR-25"</t>
        </is>
      </c>
      <c r="E6" s="41" t="inlineStr"/>
      <c r="F6" s="41" t="inlineStr"/>
    </row>
    <row r="7" ht="26" customHeight="1">
      <c r="B7" s="38" t="inlineStr">
        <is>
          <t>Concreto f'c = 250 kg/cm², E = 14,000√f'c, γ = 2440 kg/m³</t>
        </is>
      </c>
      <c r="C7" s="38" t="inlineStr">
        <is>
          <t>001_EST_CROCHA_R3.2.e2k</t>
        </is>
      </c>
      <c r="D7" s="13" t="inlineStr">
        <is>
          <t>MATERIAL PROPERTIES — "Concreto f'c=250kg/cm2. Clase 1A"</t>
        </is>
      </c>
      <c r="E7" s="41" t="inlineStr"/>
      <c r="F7" s="41" t="inlineStr"/>
    </row>
    <row r="8" ht="26" customHeight="1">
      <c r="B8" s="38" t="inlineStr">
        <is>
          <t>Peso equivalente de la LR-25: 1503.75 kg/m³</t>
        </is>
      </c>
      <c r="C8" s="38" t="inlineStr">
        <is>
          <t>001_EST_CROCHA_R3.2.e2k</t>
        </is>
      </c>
      <c r="D8" s="13" t="inlineStr">
        <is>
          <t>MATERIAL "Concreto f'c=250kg/cm2. Clase 1A (LR-25 equiv)"</t>
        </is>
      </c>
      <c r="E8" s="41" t="inlineStr"/>
      <c r="F8" s="41" t="inlineStr"/>
    </row>
    <row r="9" ht="18" customHeight="1">
      <c r="B9" s="38" t="inlineStr">
        <is>
          <t>Varilla fy = 4200 kg/cm²</t>
        </is>
      </c>
      <c r="C9" s="38" t="inlineStr">
        <is>
          <t>001_EST_CROCHA_R3.2.e2k</t>
        </is>
      </c>
      <c r="D9" s="13" t="inlineStr">
        <is>
          <t>MATERIAL "Fy=4200"</t>
        </is>
      </c>
      <c r="E9" s="41" t="inlineStr"/>
      <c r="F9" s="41" t="inlineStr"/>
    </row>
    <row r="10" ht="18" customHeight="1">
      <c r="B10" s="38" t="inlineStr">
        <is>
          <t>Sobrecarga y cargas vivas por tablero</t>
        </is>
      </c>
      <c r="C10" s="38" t="inlineStr">
        <is>
          <t>001_EST_CROCHA_R3.2.e2k</t>
        </is>
      </c>
      <c r="D10" s="13" t="inlineStr">
        <is>
          <t>SHELL OBJECT LOADS — AREALOAD</t>
        </is>
      </c>
      <c r="E10" s="41" t="inlineStr"/>
      <c r="F10" s="41" t="inlineStr"/>
    </row>
    <row r="11" ht="18" customHeight="1">
      <c r="B11" s="38" t="inlineStr">
        <is>
          <t>Barandales, muros bajos, pretiles y reacción de la escalera</t>
        </is>
      </c>
      <c r="C11" s="38" t="inlineStr">
        <is>
          <t>001_EST_CROCHA_R3.2.e2k</t>
        </is>
      </c>
      <c r="D11" s="13" t="inlineStr">
        <is>
          <t>FRAME OBJECT LOADS — LINELOAD</t>
        </is>
      </c>
      <c r="E11" s="41" t="inlineStr"/>
      <c r="F11" s="41" t="inlineStr"/>
    </row>
    <row r="12" ht="26" customHeight="1">
      <c r="B12" s="38" t="inlineStr">
        <is>
          <t>Combinaciones 1.3 CM + 1.5 CV (Comb2.2) y 1.5/1.7 (Comb2.1, grupo A)</t>
        </is>
      </c>
      <c r="C12" s="38" t="inlineStr">
        <is>
          <t>001_EST_CROCHA_R3.2.e2k</t>
        </is>
      </c>
      <c r="D12" s="13" t="inlineStr">
        <is>
          <t>LOAD COMBINATIONS</t>
        </is>
      </c>
      <c r="E12" s="41" t="inlineStr"/>
      <c r="F12" s="41" t="inlineStr"/>
    </row>
    <row r="13" ht="18" customHeight="1">
      <c r="B13" s="38" t="inlineStr">
        <is>
          <t>Dalas D-15x20 y vigas VP-15x40 del pergolado</t>
        </is>
      </c>
      <c r="C13" s="38" t="inlineStr">
        <is>
          <t>001_EST_CROCHA_R3.2.e2k</t>
        </is>
      </c>
      <c r="D13" s="13" t="inlineStr">
        <is>
          <t>FRAME SECTIONS / LINE ASSIGNS</t>
        </is>
      </c>
      <c r="E13" s="41" t="inlineStr"/>
      <c r="F13" s="41" t="inlineStr"/>
    </row>
    <row r="14" ht="21" customHeight="1">
      <c r="B14" s="5" t="inlineStr">
        <is>
          <t>PLANOS DXF</t>
        </is>
      </c>
    </row>
    <row r="15" ht="30" customHeight="1">
      <c r="B15" s="8" t="inlineStr">
        <is>
          <t>Tema</t>
        </is>
      </c>
      <c r="C15" s="8" t="inlineStr">
        <is>
          <t>Documento</t>
        </is>
      </c>
      <c r="D15" s="8" t="inlineStr">
        <is>
          <t>Tabla / capa / página / sección</t>
        </is>
      </c>
      <c r="E15" s="8" t="inlineStr">
        <is>
          <t>—</t>
        </is>
      </c>
      <c r="F15" s="8" t="inlineStr">
        <is>
          <t>—</t>
        </is>
      </c>
    </row>
    <row r="16" ht="18" customHeight="1">
      <c r="B16" s="38" t="inlineStr">
        <is>
          <t>Casetón 60×60×20, nervadura 10 cm, capa 5 cm (h = 0.25)</t>
        </is>
      </c>
      <c r="C16" s="38" t="inlineStr">
        <is>
          <t>001_PLANO_CROCHA_R3.0.dxf</t>
        </is>
      </c>
      <c r="D16" s="13" t="inlineStr">
        <is>
          <t>NOTAS DE CORTES, nota 2 (capa 010_Notas)</t>
        </is>
      </c>
      <c r="E16" s="41" t="inlineStr"/>
      <c r="F16" s="41" t="inlineStr"/>
    </row>
    <row r="17" ht="18" customHeight="1">
      <c r="B17" s="38" t="inlineStr">
        <is>
          <t>Azotea: losa reticular, peralte según cálculo</t>
        </is>
      </c>
      <c r="C17" s="38" t="inlineStr">
        <is>
          <t>001_PLANO_CROCHA_R3.0.dxf</t>
        </is>
      </c>
      <c r="D17" s="13" t="inlineStr">
        <is>
          <t>NOTAS DE CORTES, nota 3</t>
        </is>
      </c>
      <c r="E17" s="41" t="inlineStr"/>
      <c r="F17" s="41" t="inlineStr"/>
    </row>
    <row r="18" ht="26" customHeight="1">
      <c r="B18" s="38" t="inlineStr">
        <is>
          <t>Vacío de doble altura, vacío de escalera, tragaluces</t>
        </is>
      </c>
      <c r="C18" s="38" t="inlineStr">
        <is>
          <t>001_PLANO_CROCHA_R3.0.dxf</t>
        </is>
      </c>
      <c r="D18" s="13" t="inlineStr">
        <is>
          <t>Capa 004_Vacios, plantas PRIMER NIVEL y AZOTEA</t>
        </is>
      </c>
      <c r="E18" s="41" t="inlineStr"/>
      <c r="F18" s="41" t="inlineStr"/>
    </row>
    <row r="19" ht="18" customHeight="1">
      <c r="B19" s="38" t="inlineStr">
        <is>
          <t>Escalera curva (cubo de escalera)</t>
        </is>
      </c>
      <c r="C19" s="38" t="inlineStr">
        <is>
          <t>001_PLANO_CROCHA_R3.0.dxf</t>
        </is>
      </c>
      <c r="D19" s="13" t="inlineStr">
        <is>
          <t>Capa 005_Escalera</t>
        </is>
      </c>
      <c r="E19" s="41" t="inlineStr"/>
      <c r="F19" s="41" t="inlineStr"/>
    </row>
    <row r="20" ht="18" customHeight="1">
      <c r="B20" s="38" t="inlineStr">
        <is>
          <t>Cochera de 8.70 m libres (muros sólo en A y J)</t>
        </is>
      </c>
      <c r="C20" s="38" t="inlineStr">
        <is>
          <t>001_PLANO_CROCHA_R3.0.dxf</t>
        </is>
      </c>
      <c r="D20" s="13" t="inlineStr">
        <is>
          <t>Capa 001_Muros, PLANTA BAJA</t>
        </is>
      </c>
      <c r="E20" s="41" t="inlineStr"/>
      <c r="F20" s="41" t="inlineStr"/>
    </row>
    <row r="21" ht="18" customHeight="1">
      <c r="B21" s="38" t="inlineStr">
        <is>
          <t>Tableros y áreas tributarias a 45°</t>
        </is>
      </c>
      <c r="C21" s="38" t="inlineStr">
        <is>
          <t>AREAS_TRIBUTARIAS_R3.2.dxf</t>
        </is>
      </c>
      <c r="D21" s="13" t="inlineStr">
        <is>
          <t>Capas TRIB_TABLERO, TRIB_AREA, TRIB_HUECO</t>
        </is>
      </c>
      <c r="E21" s="41" t="inlineStr"/>
      <c r="F21" s="41" t="inlineStr"/>
    </row>
    <row r="22" ht="21" customHeight="1">
      <c r="B22" s="5" t="inlineStr">
        <is>
          <t>DOCUMENTOS DE NAIM (página impresa)</t>
        </is>
      </c>
    </row>
    <row r="23" ht="30" customHeight="1">
      <c r="B23" s="8" t="inlineStr">
        <is>
          <t>Tema</t>
        </is>
      </c>
      <c r="C23" s="8" t="inlineStr">
        <is>
          <t>Documento</t>
        </is>
      </c>
      <c r="D23" s="8" t="inlineStr">
        <is>
          <t>Tabla / capa / página / sección</t>
        </is>
      </c>
      <c r="E23" s="8" t="inlineStr">
        <is>
          <t>—</t>
        </is>
      </c>
      <c r="F23" s="8" t="inlineStr">
        <is>
          <t>—</t>
        </is>
      </c>
    </row>
    <row r="24" ht="26" customHeight="1">
      <c r="B24" s="38" t="inlineStr">
        <is>
          <t>Normas usadas: NTC-2023 concreto, mampostería, acero; MOC-CFE sismo 2015</t>
        </is>
      </c>
      <c r="C24" s="38" t="inlineStr">
        <is>
          <t>Naim — CASA HABITACIÓN, MEMORIA DE CÁLCULO (sep-2024)</t>
        </is>
      </c>
      <c r="D24" s="13" t="inlineStr">
        <is>
          <t>pág. 3</t>
        </is>
      </c>
      <c r="E24" s="41" t="inlineStr"/>
      <c r="F24" s="41" t="inlineStr"/>
    </row>
    <row r="25" ht="26" customHeight="1">
      <c r="B25" s="38" t="inlineStr">
        <is>
          <t>Materiales: f'c 250, fy 4200, f'm 15 (valor del Cap. 12, sólo para Tipo II; esta casa es Tipo I)</t>
        </is>
      </c>
      <c r="C25" s="38" t="inlineStr">
        <is>
          <t>Naim — CASA HABITACIÓN, MEMORIA DE CÁLCULO (sep-2024)</t>
        </is>
      </c>
      <c r="D25" s="13" t="inlineStr">
        <is>
          <t>pág. 4</t>
        </is>
      </c>
      <c r="E25" s="41" t="inlineStr"/>
      <c r="F25" s="41" t="inlineStr"/>
    </row>
    <row r="26" ht="26" customHeight="1">
      <c r="B26" s="38" t="inlineStr">
        <is>
          <t>Cargas muertas de entrepiso (0.33 t/m²) y azotea (0.29 t/m²); carga viva de habitación</t>
        </is>
      </c>
      <c r="C26" s="38" t="inlineStr">
        <is>
          <t>Naim — CASA HABITACIÓN, MEMORIA DE CÁLCULO (sep-2024)</t>
        </is>
      </c>
      <c r="D26" s="13" t="inlineStr">
        <is>
          <t>pág. 5</t>
        </is>
      </c>
      <c r="E26" s="41" t="inlineStr"/>
      <c r="F26" s="41" t="inlineStr"/>
    </row>
    <row r="27" ht="18" customHeight="1">
      <c r="B27" s="38" t="inlineStr">
        <is>
          <t>Carga viva de azotea con pendiente ≤ 5%</t>
        </is>
      </c>
      <c r="C27" s="38" t="inlineStr">
        <is>
          <t>Naim — CASA HABITACIÓN, MEMORIA DE CÁLCULO (sep-2024)</t>
        </is>
      </c>
      <c r="D27" s="13" t="inlineStr">
        <is>
          <t>pág. 6</t>
        </is>
      </c>
      <c r="E27" s="41" t="inlineStr"/>
      <c r="F27" s="41" t="inlineStr"/>
    </row>
    <row r="28" ht="26" customHeight="1">
      <c r="B28" s="38" t="inlineStr">
        <is>
          <t>Factores 1.3 permanentes / 1.5 variables, estructura grupo B</t>
        </is>
      </c>
      <c r="C28" s="38" t="inlineStr">
        <is>
          <t>Naim — CASA HABITACIÓN, MEMORIA DE CÁLCULO (sep-2024)</t>
        </is>
      </c>
      <c r="D28" s="13" t="inlineStr">
        <is>
          <t>pág. 8 (lista de combinaciones en pág. 9)</t>
        </is>
      </c>
      <c r="E28" s="41" t="inlineStr"/>
      <c r="F28" s="41" t="inlineStr"/>
    </row>
    <row r="29" ht="26" customHeight="1">
      <c r="B29" s="38" t="inlineStr">
        <is>
          <t>Tabla de nervaduras: recubrimiento 2 cm, MR y VcR de cada nervadura (con eso se verificaron las fórmulas)</t>
        </is>
      </c>
      <c r="C29" s="38" t="inlineStr">
        <is>
          <t>Naim — CASA HABITACIÓN, MEMORIA DE CÁLCULO (sep-2024)</t>
        </is>
      </c>
      <c r="D29" s="13" t="inlineStr">
        <is>
          <t>pág. 13</t>
        </is>
      </c>
      <c r="E29" s="41" t="inlineStr"/>
      <c r="F29" s="41" t="inlineStr"/>
    </row>
    <row r="30" ht="26" customHeight="1">
      <c r="B30" s="38" t="inlineStr">
        <is>
          <t>FR = 0.9 en flexión y As mín = 0.7√f'c/fy·b·d (fórmula anterior; la 2023 pide máx(0.80√f'c, 14)/fy)</t>
        </is>
      </c>
      <c r="C30" s="38" t="inlineStr">
        <is>
          <t>Naim — 21-03 MEMORIA DE CÁLCULO (jul-2021)</t>
        </is>
      </c>
      <c r="D30" s="13" t="inlineStr">
        <is>
          <t>pág. 13</t>
        </is>
      </c>
      <c r="E30" s="41" t="inlineStr"/>
      <c r="F30" s="41" t="inlineStr"/>
    </row>
    <row r="31" ht="26" customHeight="1">
      <c r="B31" s="38" t="inlineStr">
        <is>
          <t>Detalle de nervadura principal/secundaria, malla 6x6-10/10, tabla de nervaduras</t>
        </is>
      </c>
      <c r="C31" s="38" t="inlineStr">
        <is>
          <t>Naim — CASA HABITACIÓN, PLANOS EST-01 a EST-06</t>
        </is>
      </c>
      <c r="D31" s="13" t="inlineStr">
        <is>
          <t>EST-03, EST-04 y EST-05</t>
        </is>
      </c>
      <c r="E31" s="41" t="inlineStr"/>
      <c r="F31" s="41" t="inlineStr"/>
    </row>
    <row r="32" ht="26" customHeight="1">
      <c r="B32" s="38" t="inlineStr">
        <is>
          <t>Mallas con Fy = 5000 kg/cm²; recubrimiento de 2 cm en losas y dalas</t>
        </is>
      </c>
      <c r="C32" s="38" t="inlineStr">
        <is>
          <t>Naim — EST CASA YÉPEZ</t>
        </is>
      </c>
      <c r="D32" s="13" t="inlineStr">
        <is>
          <t>Notas 1.2 y 1.2.2</t>
        </is>
      </c>
      <c r="E32" s="41" t="inlineStr"/>
      <c r="F32" s="41" t="inlineStr"/>
    </row>
    <row r="33" ht="21" customHeight="1">
      <c r="B33" s="5" t="inlineStr">
        <is>
          <t>NTC-Concreto 2023 (CDMX) — NUMERAL Y PÁGINA IMPRESA</t>
        </is>
      </c>
    </row>
    <row r="34" ht="30" customHeight="1">
      <c r="B34" s="8" t="inlineStr">
        <is>
          <t>Tema</t>
        </is>
      </c>
      <c r="C34" s="8" t="inlineStr">
        <is>
          <t>Documento</t>
        </is>
      </c>
      <c r="D34" s="8" t="inlineStr">
        <is>
          <t>Tabla / capa / página / sección</t>
        </is>
      </c>
      <c r="E34" s="8" t="inlineStr">
        <is>
          <t>—</t>
        </is>
      </c>
      <c r="F34" s="8" t="inlineStr">
        <is>
          <t>—</t>
        </is>
      </c>
    </row>
    <row r="35" ht="26" customHeight="1">
      <c r="B35" s="38" t="inlineStr">
        <is>
          <t>Concreto Clase 1A, f'c ≥ 250; Ec = 14 000√f'c (agregado calizo); f̄f = 2√f'c</t>
        </is>
      </c>
      <c r="C35" s="38" t="inlineStr">
        <is>
          <t>NTC-Concreto 2023 (CDMX)</t>
        </is>
      </c>
      <c r="D35" s="13" t="inlineStr">
        <is>
          <t>2.2.2 a), p. 30 · Tabla 2.2.1, p. 31 · Tabla 2.2.6.3, p. 33 · 2.2.8.4, p. 34</t>
        </is>
      </c>
      <c r="E35" s="41" t="inlineStr"/>
      <c r="F35" s="41" t="inlineStr"/>
    </row>
    <row r="36" ht="26" customHeight="1">
      <c r="B36" s="38" t="inlineStr">
        <is>
          <t>Tamaño máximo del agregado ≤ 2/3 del recubrimiento y de la separación libre</t>
        </is>
      </c>
      <c r="C36" s="38" t="inlineStr">
        <is>
          <t>NTC-Concreto 2023 (CDMX)</t>
        </is>
      </c>
      <c r="D36" s="13" t="inlineStr">
        <is>
          <t>2.2.5.2.1, p. 32</t>
        </is>
      </c>
      <c r="E36" s="41" t="inlineStr"/>
      <c r="F36" s="41" t="inlineStr"/>
    </row>
    <row r="37" ht="26" customHeight="1">
      <c r="B37" s="38" t="inlineStr">
        <is>
          <t>Barras Grado 42 y malla NMX-B-290 (fy de diseño ≤ 7 000 en losas; estribos corrugados, fy ≤ 4 200)</t>
        </is>
      </c>
      <c r="C37" s="38" t="inlineStr">
        <is>
          <t>NTC-Concreto 2023 (CDMX)</t>
        </is>
      </c>
      <c r="D37" s="13" t="inlineStr">
        <is>
          <t>2.4.2.1.1, p. 43 · 2.4.2.1.6 y 2.4.2.1.7, p. 44 · Tabla 2.4.2.2.4.a, p. 46</t>
        </is>
      </c>
      <c r="E37" s="41" t="inlineStr"/>
      <c r="F37" s="41" t="inlineStr"/>
    </row>
    <row r="38" ht="26" customHeight="1">
      <c r="B38" s="38" t="inlineStr">
        <is>
          <t>Métodos reconocidos y líneas de fluencia; losa como diafragma</t>
        </is>
      </c>
      <c r="C38" s="38" t="inlineStr">
        <is>
          <t>NTC-Concreto 2023 (CDMX)</t>
        </is>
      </c>
      <c r="D38" s="13" t="inlineStr">
        <is>
          <t>3.4.1.1 y 3.4.1.2, p. 64</t>
        </is>
      </c>
      <c r="E38" s="41" t="inlineStr"/>
      <c r="F38" s="41" t="inlineStr"/>
    </row>
    <row r="39" ht="26" customHeight="1">
      <c r="B39" s="38" t="inlineStr">
        <is>
          <t>Método de coeficientes: condiciones a) a d) y distribución de momentos</t>
        </is>
      </c>
      <c r="C39" s="38" t="inlineStr">
        <is>
          <t>NTC-Concreto 2023 (CDMX)</t>
        </is>
      </c>
      <c r="D39" s="13" t="inlineStr">
        <is>
          <t>3.4.2.1 y 3.4.3.1, p. 64</t>
        </is>
      </c>
      <c r="E39" s="41" t="inlineStr"/>
      <c r="F39" s="41" t="inlineStr"/>
    </row>
    <row r="40" ht="26" customHeight="1">
      <c r="B40" s="38" t="inlineStr">
        <is>
          <t>Coeficientes de momento, franjas centrales, caso I (losa monolítica)</t>
        </is>
      </c>
      <c r="C40" s="38" t="inlineStr">
        <is>
          <t>NTC-Concreto 2023 (CDMX)</t>
        </is>
      </c>
      <c r="D40" s="13" t="inlineStr">
        <is>
          <t>Tabla 3.4.2.1, p. 65 (≈50% de valores cambiaron respecto a 2017, comentario p. 66)</t>
        </is>
      </c>
      <c r="E40" s="41" t="inlineStr"/>
      <c r="F40" s="41" t="inlineStr"/>
    </row>
    <row r="41" ht="18" customHeight="1">
      <c r="B41" s="38" t="inlineStr">
        <is>
          <t>Cargas lineales de muros dentro de un tablero</t>
        </is>
      </c>
      <c r="C41" s="38" t="inlineStr">
        <is>
          <t>NTC-Concreto 2023 (CDMX)</t>
        </is>
      </c>
      <c r="D41" s="13" t="inlineStr">
        <is>
          <t>3.4.4.1 a 3.4.4.3 y Tabla 3.4.4.2, pp. 65–66</t>
        </is>
      </c>
      <c r="E41" s="41" t="inlineStr"/>
      <c r="F41" s="41" t="inlineStr"/>
    </row>
    <row r="42" ht="26" customHeight="1">
      <c r="B42" s="38" t="inlineStr">
        <is>
          <t>Bloque equivalente: f''c = 0.85f'c, β1 = 0.85 hasta f'c = 300, ε_cu = 0.003</t>
        </is>
      </c>
      <c r="C42" s="38" t="inlineStr">
        <is>
          <t>NTC-Concreto 2023 (CDMX)</t>
        </is>
      </c>
      <c r="D42" s="13" t="inlineStr">
        <is>
          <t>3.6.1 d) y e), ec. 3.6.1, p. 68</t>
        </is>
      </c>
      <c r="E42" s="41" t="inlineStr"/>
      <c r="F42" s="41" t="inlineStr"/>
    </row>
    <row r="43" ht="26" customHeight="1">
      <c r="B43" s="38" t="inlineStr">
        <is>
          <t>Factores de resistencia: flexión 0.65–0.90 según ε_t; cortante 0.75</t>
        </is>
      </c>
      <c r="C43" s="38" t="inlineStr">
        <is>
          <t>NTC-Concreto 2023 (CDMX)</t>
        </is>
      </c>
      <c r="D43" s="13" t="inlineStr">
        <is>
          <t>Tablas 3.8.2.1 y 3.8.2.2, p. 70 · 3.8.2.4, p. 71</t>
        </is>
      </c>
      <c r="E43" s="41" t="inlineStr"/>
      <c r="F43" s="41" t="inlineStr"/>
    </row>
    <row r="44" ht="39" customHeight="1">
      <c r="B44" s="38" t="inlineStr">
        <is>
          <t>Reducción de 20 mm en anchos &lt; 200 mm y en el peralte del lecho superior ≤ 200 mm, salvo precauciones anotadas en planos</t>
        </is>
      </c>
      <c r="C44" s="38" t="inlineStr">
        <is>
          <t>NTC-Concreto 2023 (CDMX)</t>
        </is>
      </c>
      <c r="D44" s="13" t="inlineStr">
        <is>
          <t>3.9.1 d) y e) y 3.9.2, p. 74</t>
        </is>
      </c>
      <c r="E44" s="41" t="inlineStr"/>
      <c r="F44" s="41" t="inlineStr"/>
    </row>
    <row r="45" ht="39" customHeight="1">
      <c r="B45" s="38" t="inlineStr">
        <is>
          <t>Clase de exposición (cara superior de volados sin techo: A2) y recubrimientos (losas y viguetas 20 mm; vigas 40 mm; intemperie 40 mm)</t>
        </is>
      </c>
      <c r="C45" s="38" t="inlineStr">
        <is>
          <t>NTC-Concreto 2023 (CDMX)</t>
        </is>
      </c>
      <c r="D45" s="13" t="inlineStr">
        <is>
          <t>Tabla 4.3.1 c) y 4.3.2, p. 76 · 4.13.1.1 y 4.13.2.2, p. 83 · Tabla 4.13.3.1 y 4.13.3.2, p. 84 · Tabla 4.14.16.a, p. 85</t>
        </is>
      </c>
      <c r="E45" s="41" t="inlineStr"/>
      <c r="F45" s="41" t="inlineStr"/>
    </row>
    <row r="46" ht="39" customHeight="1">
      <c r="B46" s="38" t="inlineStr">
        <is>
          <t>Cuantía balanceada; ancho efectivo del patín; MR de sección rectangular y T</t>
        </is>
      </c>
      <c r="C46" s="38" t="inlineStr">
        <is>
          <t>NTC-Concreto 2023 (CDMX)</t>
        </is>
      </c>
      <c r="D46" s="13" t="inlineStr">
        <is>
          <t>ec. 5.2.1.3.1, p. 88 · Tabla 5.2.1.4.2, p. 89 · ecs. 5.2.2.1.1.1.a y b, p. 89 · 5.2.2.1.3.1, p. 90</t>
        </is>
      </c>
      <c r="E46" s="41" t="inlineStr"/>
      <c r="F46" s="41" t="inlineStr"/>
    </row>
    <row r="47" ht="39" customHeight="1">
      <c r="B47" s="38" t="inlineStr">
        <is>
          <t>Cortante: V_cR con A_v,mín (0.5√f'c o 2p^(1/3)√f'c ≤ 1.25√f'c); sin refuerzo en el alma (2λs·p^(1/3)√f'c); límite de la sección; V_sR</t>
        </is>
      </c>
      <c r="C47" s="38" t="inlineStr">
        <is>
          <t>NTC-Concreto 2023 (CDMX)</t>
        </is>
      </c>
      <c r="D47" s="13" t="inlineStr">
        <is>
          <t>5.5.2.1 y 5.5.2.2, p. 94 · 5.5.3.1.1 y 5.5.3.1.2, pp. 94–95 · 5.5.3.2.1, p. 95 · 5.5.3.6.1 y 5.5.3.8.1, p. 97</t>
        </is>
      </c>
      <c r="E47" s="41" t="inlineStr"/>
      <c r="F47" s="41" t="inlineStr"/>
    </row>
    <row r="48" ht="18" customHeight="1">
      <c r="B48" s="38" t="inlineStr">
        <is>
          <t>Punzonamiento de la capa con la carga concentrada</t>
        </is>
      </c>
      <c r="C48" s="38" t="inlineStr">
        <is>
          <t>NTC-Concreto 2023 (CDMX)</t>
        </is>
      </c>
      <c r="D48" s="13" t="inlineStr">
        <is>
          <t>Tabla 5.6.2.1.1, p. 100</t>
        </is>
      </c>
      <c r="E48" s="41" t="inlineStr"/>
      <c r="F48" s="41" t="inlineStr"/>
    </row>
    <row r="49" ht="39" customHeight="1">
      <c r="B49" s="38" t="inlineStr">
        <is>
          <t>Vigas (incluye nervaduras): claro, h/b ≤ 6, peralte mínimo L/16–L/8 y h ≥ 25 cm</t>
        </is>
      </c>
      <c r="C49" s="38" t="inlineStr">
        <is>
          <t>NTC-Concreto 2023 (CDMX)</t>
        </is>
      </c>
      <c r="D49" s="13" t="inlineStr">
        <is>
          <t>6.3.1.2 b), 6.3.2.1 y 6.3.2.2, p. 117 · Tabla 6.3.3.1.1, p. 120 · 6.3.3.2.1 y 6.3.3.3.1, p. 121</t>
        </is>
      </c>
      <c r="E49" s="41" t="inlineStr"/>
      <c r="F49" s="41" t="inlineStr"/>
    </row>
    <row r="50" ht="39" customHeight="1">
      <c r="B50" s="38" t="inlineStr">
        <is>
          <t>Vigas: As mín = máx(0.80√f'c, 14)/fy·b_w·d (con patín a tensión en viga isostática —volados— b_w = el menor de b_f y 2b_w), 2 barras corridas, excepción 4/3; As máx 0.90 As,b</t>
        </is>
      </c>
      <c r="C50" s="38" t="inlineStr">
        <is>
          <t>NTC-Concreto 2023 (CDMX)</t>
        </is>
      </c>
      <c r="D50" s="13" t="inlineStr">
        <is>
          <t>6.3.5.1.1 a 6.3.5.1.3 y 6.3.5.2.1, p. 122</t>
        </is>
      </c>
      <c r="E50" s="41" t="inlineStr"/>
      <c r="F50" s="41" t="inlineStr"/>
    </row>
    <row r="51" ht="26" customHeight="1">
      <c r="B51" s="38" t="inlineStr">
        <is>
          <t>Vigas: A_v,mín (casos exentos) y su valor</t>
        </is>
      </c>
      <c r="C51" s="38" t="inlineStr">
        <is>
          <t>NTC-Concreto 2023 (CDMX)</t>
        </is>
      </c>
      <c r="D51" s="13" t="inlineStr">
        <is>
          <t>6.3.5.4.1 y Tabla 6.3.5.4.1, p. 123 · Tabla 6.3.5.4.4, p. 124</t>
        </is>
      </c>
      <c r="E51" s="41" t="inlineStr"/>
      <c r="F51" s="41" t="inlineStr"/>
    </row>
    <row r="52" ht="26" customHeight="1">
      <c r="B52" s="38" t="inlineStr">
        <is>
          <t>Corte y anclaje del refuerzo de flexión; punto de inflexión</t>
        </is>
      </c>
      <c r="C52" s="38" t="inlineStr">
        <is>
          <t>NTC-Concreto 2023 (CDMX)</t>
        </is>
      </c>
      <c r="D52" s="13" t="inlineStr">
        <is>
          <t>6.3.7.3.4 a 6.3.7.3.6, p. 127 · 6.3.7.3.10, p. 129</t>
        </is>
      </c>
      <c r="E52" s="41" t="inlineStr"/>
      <c r="F52" s="41" t="inlineStr"/>
    </row>
    <row r="53" ht="26" customHeight="1">
      <c r="B53" s="38" t="inlineStr">
        <is>
          <t>Separación máxima de estribos; integridad estructural (2h en extremos)</t>
        </is>
      </c>
      <c r="C53" s="38" t="inlineStr">
        <is>
          <t>NTC-Concreto 2023 (CDMX)</t>
        </is>
      </c>
      <c r="D53" s="13" t="inlineStr">
        <is>
          <t>Tabla 6.3.7.6.2.2, p. 132 · 6.3.7.7, p. 134</t>
        </is>
      </c>
      <c r="E53" s="41" t="inlineStr"/>
      <c r="F53" s="41" t="inlineStr"/>
    </row>
    <row r="54" ht="26" customHeight="1">
      <c r="B54" s="38" t="inlineStr">
        <is>
          <t>Losas en dos direcciones: alcance (nervaduras en dos direcciones)</t>
        </is>
      </c>
      <c r="C54" s="38" t="inlineStr">
        <is>
          <t>NTC-Concreto 2023 (CDMX)</t>
        </is>
      </c>
      <c r="D54" s="13" t="inlineStr">
        <is>
          <t>6.7.1.1 e) y comentario de 6.7.1, p. 165</t>
        </is>
      </c>
      <c r="E54" s="41" t="inlineStr"/>
      <c r="F54" s="41" t="inlineStr"/>
    </row>
    <row r="55" ht="26" customHeight="1">
      <c r="B55" s="38" t="inlineStr">
        <is>
          <t>Espesor mínimo: Tabla 6.7.3.1.1 (sin vigas) y Tabla 6.7.3.1.2 (α_fm), +10% en borde discontinuo; flechas si no cumple</t>
        </is>
      </c>
      <c r="C55" s="38" t="inlineStr">
        <is>
          <t>NTC-Concreto 2023 (CDMX)</t>
        </is>
      </c>
      <c r="D55" s="13" t="inlineStr">
        <is>
          <t>Tabla 6.7.3.1.1, p. 167 · Tabla 6.7.3.1.2, 6.7.3.1.2.1 y 6.7.3.2.1, p. 168</t>
        </is>
      </c>
      <c r="E55" s="41" t="inlineStr"/>
      <c r="F55" s="41" t="inlineStr"/>
    </row>
    <row r="56" ht="18" customHeight="1">
      <c r="B56" s="38" t="inlineStr">
        <is>
          <t>Losas controladas por tensión</t>
        </is>
      </c>
      <c r="C56" s="38" t="inlineStr">
        <is>
          <t>NTC-Concreto 2023 (CDMX)</t>
        </is>
      </c>
      <c r="D56" s="13" t="inlineStr">
        <is>
          <t>6.7.3.3.1, p. 169</t>
        </is>
      </c>
      <c r="E56" s="41" t="inlineStr"/>
      <c r="F56" s="41" t="inlineStr"/>
    </row>
    <row r="57" ht="18" customHeight="1">
      <c r="B57" s="38" t="inlineStr">
        <is>
          <t>Sección crítica de cortante a d del paño</t>
        </is>
      </c>
      <c r="C57" s="38" t="inlineStr">
        <is>
          <t>NTC-Concreto 2023 (CDMX)</t>
        </is>
      </c>
      <c r="D57" s="13" t="inlineStr">
        <is>
          <t>6.7.4.3.2, p. 172</t>
        </is>
      </c>
      <c r="E57" s="41" t="inlineStr"/>
      <c r="F57" s="41" t="inlineStr"/>
    </row>
    <row r="58" ht="39" customHeight="1">
      <c r="B58" s="38" t="inlineStr">
        <is>
          <t>As mín de losa 0.0018·A_g; acero mínimo alrededor de una carga concentrada (ec. 6.7.6.1.2, ancho b_losa); 1 No. 4 abajo y 1 No. 4 arriba corridas en toda nervadura</t>
        </is>
      </c>
      <c r="C58" s="38" t="inlineStr">
        <is>
          <t>NTC-Concreto 2023 (CDMX)</t>
        </is>
      </c>
      <c r="D58" s="13" t="inlineStr">
        <is>
          <t>6.7.6.1.1 a 6.7.6.1.3, p. 175 · Tabla 6.7.4.2.2.3, p. 171</t>
        </is>
      </c>
      <c r="E58" s="41" t="inlineStr"/>
      <c r="F58" s="41" t="inlineStr"/>
    </row>
    <row r="59" ht="18" customHeight="1">
      <c r="B59" s="38" t="inlineStr">
        <is>
          <t>Refuerzo de esquinas exteriores; bordes discontinuos</t>
        </is>
      </c>
      <c r="C59" s="38" t="inlineStr">
        <is>
          <t>NTC-Concreto 2023 (CDMX)</t>
        </is>
      </c>
      <c r="D59" s="13" t="inlineStr">
        <is>
          <t>6.7.7.3.1, p. 178 · 6.7.7.4.1.1, p. 179</t>
        </is>
      </c>
      <c r="E59" s="41" t="inlineStr"/>
      <c r="F59" s="41" t="inlineStr"/>
    </row>
    <row r="60" ht="39" customHeight="1">
      <c r="B60" s="38" t="inlineStr">
        <is>
          <t>Losas encasetonadas: b_w ≥ 10 cm, h ≤ 3.5b_w, separación libre ≤ 80 cm y ≤ claro/6; V_cR × 1.1; carga de 1 000 kg en 10×10 cm</t>
        </is>
      </c>
      <c r="C60" s="38" t="inlineStr">
        <is>
          <t>NTC-Concreto 2023 (CDMX)</t>
        </is>
      </c>
      <c r="D60" s="13" t="inlineStr">
        <is>
          <t>6.7.8.1.2 a 6.7.8.1.6, p. 187</t>
        </is>
      </c>
      <c r="E60" s="41" t="inlineStr"/>
      <c r="F60" s="41" t="inlineStr"/>
    </row>
    <row r="61" ht="39" customHeight="1">
      <c r="B61" s="38" t="inlineStr">
        <is>
          <t>Losas encasetonadas: barra inferior continua para 1.25 fy; refuerzo de la capa; si no cumple, losa sobre vigas; capa ≥ máx(a_c/13, 50 mm)</t>
        </is>
      </c>
      <c r="C61" s="38" t="inlineStr">
        <is>
          <t>NTC-Concreto 2023 (CDMX)</t>
        </is>
      </c>
      <c r="D61" s="13" t="inlineStr">
        <is>
          <t>6.7.8.1.7 a 6.7.8.1.9 y 6.7.8.3.1, p. 188</t>
        </is>
      </c>
      <c r="E61" s="41" t="inlineStr"/>
      <c r="F61" s="41" t="inlineStr"/>
    </row>
    <row r="62" ht="39" customHeight="1">
      <c r="B62" s="38" t="inlineStr">
        <is>
          <t>Diafragma: firme ≥ 50 mm (≥ 60 mm con claros ≥ 6 m); V_R; cuantía mínima 0.0025; separación ≤ 5t y 45 cm</t>
        </is>
      </c>
      <c r="C62" s="38" t="inlineStr">
        <is>
          <t>NTC-Concreto 2023 (CDMX)</t>
        </is>
      </c>
      <c r="D62" s="13" t="inlineStr">
        <is>
          <t>6.8.1.1 a), p. 188 · 6.8.3.1.2, p. 189 · ec. 6.8.5.3.2, p. 192 · 6.8.6.3, 6.8.6.4 y 6.8.7.3, p. 196</t>
        </is>
      </c>
      <c r="E62" s="41" t="inlineStr"/>
      <c r="F62" s="41" t="inlineStr"/>
    </row>
    <row r="63" ht="26" customHeight="1">
      <c r="B63" s="38" t="inlineStr">
        <is>
          <t>Columnas de ductilidad baja (si una bajada queda aislada): dimensión ≥ 25 cm</t>
        </is>
      </c>
      <c r="C63" s="38" t="inlineStr">
        <is>
          <t>NTC-Concreto 2023 (CDMX)</t>
        </is>
      </c>
      <c r="D63" s="13" t="inlineStr">
        <is>
          <t>ec. 6.4.1.1, p. 137 · 6.4.2.1.1, p. 138</t>
        </is>
      </c>
      <c r="E63" s="41" t="inlineStr"/>
      <c r="F63" s="41" t="inlineStr"/>
    </row>
    <row r="64" ht="26" customHeight="1">
      <c r="B64" s="38" t="inlineStr">
        <is>
          <t>Flechas: límites 0.5 cm + L/240 y 0.3 cm + L/480; inercia efectiva (Bischoff); diferida λΔ = ξ/(1 + 50p′)</t>
        </is>
      </c>
      <c r="C64" s="38" t="inlineStr">
        <is>
          <t>NTC-Concreto 2023 (CDMX)</t>
        </is>
      </c>
      <c r="D64" s="13" t="inlineStr">
        <is>
          <t>13.4.1.1, p. 336 · Tabla 13.4.3.2 y ec. 13.4.3.3, p. 338 · ec. 13.4.4.1, p. 339</t>
        </is>
      </c>
      <c r="E64" s="41" t="inlineStr"/>
      <c r="F64" s="41" t="inlineStr"/>
    </row>
    <row r="65" ht="18" customHeight="1">
      <c r="B65" s="38" t="inlineStr">
        <is>
          <t>Vibración de pisos que no cumplen el espesor mínimo</t>
        </is>
      </c>
      <c r="C65" s="38" t="inlineStr">
        <is>
          <t>NTC-Concreto 2023 (CDMX)</t>
        </is>
      </c>
      <c r="D65" s="13" t="inlineStr">
        <is>
          <t>13.7.1.1, p. 343</t>
        </is>
      </c>
      <c r="E65" s="41" t="inlineStr"/>
      <c r="F65" s="41" t="inlineStr"/>
    </row>
    <row r="66" ht="26" customHeight="1">
      <c r="B66" s="38" t="inlineStr">
        <is>
          <t>Contracción y temperatura: cuantía 0.0018 (ya no 660x₁/(fy(x₁+100)))</t>
        </is>
      </c>
      <c r="C66" s="38" t="inlineStr">
        <is>
          <t>NTC-Concreto 2023 (CDMX)</t>
        </is>
      </c>
      <c r="D66" s="13" t="inlineStr">
        <is>
          <t>13.8.2.1.1, p. 345</t>
        </is>
      </c>
      <c r="E66" s="41" t="inlineStr"/>
      <c r="F66" s="41" t="inlineStr"/>
    </row>
    <row r="67" ht="18" customHeight="1">
      <c r="B67" s="38" t="inlineStr">
        <is>
          <t>Separación libre mínima: máx(25 mm, d_b, 1.5·TMA)</t>
        </is>
      </c>
      <c r="C67" s="38" t="inlineStr">
        <is>
          <t>NTC-Concreto 2023 (CDMX)</t>
        </is>
      </c>
      <c r="D67" s="13" t="inlineStr">
        <is>
          <t>14.2.1, p. 347</t>
        </is>
      </c>
      <c r="E67" s="41" t="inlineStr"/>
      <c r="F67" s="41" t="inlineStr"/>
    </row>
    <row r="68" ht="26" customHeight="1">
      <c r="B68" s="38" t="inlineStr">
        <is>
          <t>Ganchos y dobleces (90°: 12d_b; estribos 135°: 6d_b ≥ 80 mm)</t>
        </is>
      </c>
      <c r="C68" s="38" t="inlineStr">
        <is>
          <t>NTC-Concreto 2023 (CDMX)</t>
        </is>
      </c>
      <c r="D68" s="13" t="inlineStr">
        <is>
          <t>Tabla 14.3.1, p. 349 · 14.3.4 y Tabla 14.3.2, p. 350</t>
        </is>
      </c>
      <c r="E68" s="41" t="inlineStr"/>
      <c r="F68" s="41" t="inlineStr"/>
    </row>
    <row r="69" ht="52" customHeight="1">
      <c r="B69" s="38" t="inlineStr">
        <is>
          <t>Longitud de desarrollo L_d (No. 6 y menores / No. 7 a 11; «otros casos»), factor ψp de barra superior, gancho L_dh y traslapes clase B; traslape de malla</t>
        </is>
      </c>
      <c r="C69" s="38" t="inlineStr">
        <is>
          <t>NTC-Concreto 2023 (CDMX)</t>
        </is>
      </c>
      <c r="D69" s="13" t="inlineStr">
        <is>
          <t>14.4.2.1, p. 352 · Tabla 14.4.2.4, p. 353 · Tabla 14.4.2.6, p. 354 · 14.4.3.1 a) a c), p. 355 · 14.4.10.2, p. 366 · Tabla 14.5.2.1, p. 367 · 14.5.4.1, p. 369</t>
        </is>
      </c>
      <c r="E69" s="41" t="inlineStr"/>
      <c r="F69" s="41" t="inlineStr"/>
    </row>
    <row r="70" ht="26" customHeight="1">
      <c r="B70" s="38" t="inlineStr">
        <is>
          <t>Estribo cerrado mínimo No. 3; separación ≤ 16d_b long. y 48d_b del estribo</t>
        </is>
      </c>
      <c r="C70" s="38" t="inlineStr">
        <is>
          <t>NTC-Concreto 2023 (CDMX)</t>
        </is>
      </c>
      <c r="D70" s="13" t="inlineStr">
        <is>
          <t>14.7.3.2 y 14.7.3.3, p. 375</t>
        </is>
      </c>
      <c r="E70" s="41" t="inlineStr"/>
      <c r="F70" s="41" t="inlineStr"/>
    </row>
    <row r="71" ht="21" customHeight="1">
      <c r="B71" s="5" t="inlineStr">
        <is>
          <t>NTC-Criterios y Acciones 2023 (CDMX) — NUMERAL Y PÁGINA IMPRESA</t>
        </is>
      </c>
    </row>
    <row r="72" ht="30" customHeight="1">
      <c r="B72" s="8" t="inlineStr">
        <is>
          <t>Tema</t>
        </is>
      </c>
      <c r="C72" s="8" t="inlineStr">
        <is>
          <t>Documento</t>
        </is>
      </c>
      <c r="D72" s="8" t="inlineStr">
        <is>
          <t>Tabla / capa / página / sección</t>
        </is>
      </c>
      <c r="E72" s="8" t="inlineStr">
        <is>
          <t>—</t>
        </is>
      </c>
      <c r="F72" s="8" t="inlineStr">
        <is>
          <t>—</t>
        </is>
      </c>
    </row>
    <row r="73" ht="26" customHeight="1">
      <c r="B73" s="38" t="inlineStr">
        <is>
          <t>Combinación de cargas permanentes + variables con W_m uniforme</t>
        </is>
      </c>
      <c r="C73" s="38" t="inlineStr">
        <is>
          <t>NTC-Criterios y Acciones 2023 (CDMX)</t>
        </is>
      </c>
      <c r="D73" s="13" t="inlineStr">
        <is>
          <t>2.3.1 a), p. 5</t>
        </is>
      </c>
      <c r="E73" s="41" t="inlineStr"/>
      <c r="F73" s="41" t="inlineStr"/>
    </row>
    <row r="74" ht="26" customHeight="1">
      <c r="B74" s="38" t="inlineStr">
        <is>
          <t>Factores de carga: 1.3 / 1.5 (grupo B), 1.5 / 1.7 (grupo A); 1.1 accidentales; 0.9 favorables; 1.0 servicio</t>
        </is>
      </c>
      <c r="C74" s="38" t="inlineStr">
        <is>
          <t>NTC-Criterios y Acciones 2023 (CDMX)</t>
        </is>
      </c>
      <c r="D74" s="13" t="inlineStr">
        <is>
          <t>3.4.1 a) a d), p. 7</t>
        </is>
      </c>
      <c r="E74" s="41" t="inlineStr"/>
      <c r="F74" s="41" t="inlineStr"/>
    </row>
    <row r="75" ht="18" customHeight="1">
      <c r="B75" s="38" t="inlineStr">
        <is>
          <t>Límites de desplazamiento: remite a la norma del material</t>
        </is>
      </c>
      <c r="C75" s="38" t="inlineStr">
        <is>
          <t>NTC-Criterios y Acciones 2023 (CDMX)</t>
        </is>
      </c>
      <c r="D75" s="13" t="inlineStr">
        <is>
          <t>4.1.1, p. 8</t>
        </is>
      </c>
      <c r="E75" s="41" t="inlineStr"/>
      <c r="F75" s="41" t="inlineStr"/>
    </row>
    <row r="76" ht="26" customHeight="1">
      <c r="B76" s="38" t="inlineStr">
        <is>
          <t>Incremento de 20 kg/m² por losa colada en sitio y 20 kg/m² por capa de mortero</t>
        </is>
      </c>
      <c r="C76" s="38" t="inlineStr">
        <is>
          <t>NTC-Criterios y Acciones 2023 (CDMX)</t>
        </is>
      </c>
      <c r="D76" s="13" t="inlineStr">
        <is>
          <t>5.1.2.1 y 5.1.2.2, p. 9</t>
        </is>
      </c>
      <c r="E76" s="41" t="inlineStr"/>
      <c r="F76" s="41" t="inlineStr"/>
    </row>
    <row r="77" ht="26" customHeight="1">
      <c r="B77" s="38" t="inlineStr">
        <is>
          <t>Uso de W_m, W_a y W; muros divisorios aparte; cargas transitorias de obra</t>
        </is>
      </c>
      <c r="C77" s="38" t="inlineStr">
        <is>
          <t>NTC-Criterios y Acciones 2023 (CDMX)</t>
        </is>
      </c>
      <c r="D77" s="13" t="inlineStr">
        <is>
          <t>6.1.1.2, 6.1.1.3, 6.1.2.1 y 6.1.3.1, p. 10</t>
        </is>
      </c>
      <c r="E77" s="41" t="inlineStr"/>
      <c r="F77" s="41" t="inlineStr"/>
    </row>
    <row r="78" ht="26" customHeight="1">
      <c r="B78" s="38" t="inlineStr">
        <is>
          <t>Cargas vivas unitarias: habitación 190/100/80; azotea ≤ 5%: 100/70/15; cargas concentradas</t>
        </is>
      </c>
      <c r="C78" s="38" t="inlineStr">
        <is>
          <t>NTC-Criterios y Acciones 2023 (CDMX)</t>
        </is>
      </c>
      <c r="D78" s="13" t="inlineStr">
        <is>
          <t>Tabla 6.1.2.2 incisos a) y h), p. 11 · notas [1], [7] y [8], pp. 11–12</t>
        </is>
      </c>
      <c r="E78" s="41" t="inlineStr"/>
      <c r="F78" s="41" t="inlineStr"/>
    </row>
    <row r="79" ht="26" customHeight="1">
      <c r="B79" s="38" t="inlineStr">
        <is>
          <t>Temperatura: se puede omitir en estructuras de menos de 30 m con azotea protegida</t>
        </is>
      </c>
      <c r="C79" s="38" t="inlineStr">
        <is>
          <t>NTC-Criterios y Acciones 2023 (CDMX)</t>
        </is>
      </c>
      <c r="D79" s="13" t="inlineStr">
        <is>
          <t>6.2.3.1, p. 13</t>
        </is>
      </c>
      <c r="E79" s="41" t="inlineStr"/>
      <c r="F79" s="41" t="inlineStr"/>
    </row>
    <row r="80" ht="26" customHeight="1">
      <c r="B80" s="38" t="inlineStr">
        <is>
          <t>Granizo: W_g = 900·H_s·C_s = 112.5 kg/m² (grupo B); flecha ≤ L/240 con pendiente ≤ 2%</t>
        </is>
      </c>
      <c r="C80" s="38" t="inlineStr">
        <is>
          <t>NTC-Criterios y Acciones 2023 (CDMX)</t>
        </is>
      </c>
      <c r="D80" s="13" t="inlineStr">
        <is>
          <t>7.3.1.1 y 7.3.2.1, p. 17 · Tablas 7.3.2.2 y 7.3.2.3, p. 18 · 7.3.4.2, p. 19</t>
        </is>
      </c>
      <c r="E80" s="41" t="inlineStr"/>
      <c r="F80" s="41" t="inlineStr"/>
    </row>
    <row r="81" ht="21" customHeight="1">
      <c r="B81" s="5" t="inlineStr">
        <is>
          <t>NTC-Mampostería 2023 (CDMX) — NUMERAL Y PÁGINA IMPRESA</t>
        </is>
      </c>
    </row>
    <row r="82" ht="30" customHeight="1">
      <c r="B82" s="8" t="inlineStr">
        <is>
          <t>Tema</t>
        </is>
      </c>
      <c r="C82" s="8" t="inlineStr">
        <is>
          <t>Documento</t>
        </is>
      </c>
      <c r="D82" s="8" t="inlineStr">
        <is>
          <t>Tabla / capa / página / sección</t>
        </is>
      </c>
      <c r="E82" s="8" t="inlineStr">
        <is>
          <t>—</t>
        </is>
      </c>
      <c r="F82" s="8" t="inlineStr">
        <is>
          <t>—</t>
        </is>
      </c>
    </row>
    <row r="83" ht="26" customHeight="1">
      <c r="B83" s="38" t="inlineStr">
        <is>
          <t>Estructura Tipo I: tiene muros estructurales desplantados sobre vigas o sobre la losa</t>
        </is>
      </c>
      <c r="C83" s="38" t="inlineStr">
        <is>
          <t>NTC-Mampostería 2023 (CDMX)</t>
        </is>
      </c>
      <c r="D83" s="13" t="inlineStr">
        <is>
          <t>1.6.1 c), p. 15 · 1.6.2, p. 16</t>
        </is>
      </c>
      <c r="E83" s="41" t="inlineStr"/>
      <c r="F83" s="41" t="inlineStr"/>
    </row>
    <row r="84" ht="26" customHeight="1">
      <c r="B84" s="38" t="inlineStr">
        <is>
          <t>f'm de block de concreto f'p = 100 con mortero tipo I = 50 kg/cm²; Em = 800 f'm</t>
        </is>
      </c>
      <c r="C84" s="38" t="inlineStr">
        <is>
          <t>NTC-Mampostería 2023 (CDMX)</t>
        </is>
      </c>
      <c r="D84" s="13" t="inlineStr">
        <is>
          <t>Tabla 2.8.1.4.1, p. 24 · ec. 2.8.5.4.a, p. 27</t>
        </is>
      </c>
      <c r="E84" s="41" t="inlineStr"/>
      <c r="F84" s="41" t="inlineStr"/>
    </row>
    <row r="85" ht="18" customHeight="1">
      <c r="B85" s="38" t="inlineStr">
        <is>
          <t>Bajada de cargas por áreas tributarias</t>
        </is>
      </c>
      <c r="C85" s="38" t="inlineStr">
        <is>
          <t>NTC-Mampostería 2023 (CDMX)</t>
        </is>
      </c>
      <c r="D85" s="13" t="inlineStr">
        <is>
          <t>3.1.2.2.1, p. 31</t>
        </is>
      </c>
      <c r="E85" s="41" t="inlineStr"/>
      <c r="F85" s="41" t="inlineStr"/>
    </row>
    <row r="86" ht="18" customHeight="1">
      <c r="B86" s="38" t="inlineStr">
        <is>
          <t>Factor de resistencia en compresión F_R = 0.6</t>
        </is>
      </c>
      <c r="C86" s="38" t="inlineStr">
        <is>
          <t>NTC-Mampostería 2023 (CDMX)</t>
        </is>
      </c>
      <c r="D86" s="13" t="inlineStr">
        <is>
          <t>4.1.6.2, p. 39</t>
        </is>
      </c>
      <c r="E86" s="41" t="inlineStr"/>
      <c r="F86" s="41" t="inlineStr"/>
    </row>
    <row r="87" ht="26" customHeight="1">
      <c r="B87" s="38" t="inlineStr">
        <is>
          <t>Anclaje de castillos en la cimentación; muros que parten de otro nivel; barras del piso ancladas en los muros</t>
        </is>
      </c>
      <c r="C87" s="38" t="inlineStr">
        <is>
          <t>NTC-Mampostería 2023 (CDMX)</t>
        </is>
      </c>
      <c r="D87" s="13" t="inlineStr">
        <is>
          <t>4.1.16.3 a 4.1.16.5 y comentario, 4.1.17.2, p. 43</t>
        </is>
      </c>
      <c r="E87" s="41" t="inlineStr"/>
      <c r="F87" s="41" t="inlineStr"/>
    </row>
    <row r="88" ht="39" customHeight="1">
      <c r="B88" s="38" t="inlineStr">
        <is>
          <t>Muros sobre vigas: esfuerzo en los extremos (f_CM ≤ F_R f'm, H/L ≥ 0.6), flecha (ec. 4.1.18.3.1.a), L/h ≤ 14 y h ≥ 25 cm</t>
        </is>
      </c>
      <c r="C88" s="38" t="inlineStr">
        <is>
          <t>NTC-Mampostería 2023 (CDMX)</t>
        </is>
      </c>
      <c r="D88" s="13" t="inlineStr">
        <is>
          <t>4.1.18.1 a 4.1.18.2, pp. 44–45 · 4.1.18.3 y 4.1.18.4, p. 46</t>
        </is>
      </c>
      <c r="E88" s="41" t="inlineStr"/>
      <c r="F88" s="41" t="inlineStr"/>
    </row>
    <row r="89" ht="26" customHeight="1">
      <c r="B89" s="38" t="inlineStr">
        <is>
          <t>Traslapes de castillos en el primer nivel (tercio medio, estribos @ h_c/2)</t>
        </is>
      </c>
      <c r="C89" s="38" t="inlineStr">
        <is>
          <t>NTC-Mampostería 2023 (CDMX)</t>
        </is>
      </c>
      <c r="D89" s="13" t="inlineStr">
        <is>
          <t>4.2.7.5.2 y 4.2.7.5.3, p. 53</t>
        </is>
      </c>
      <c r="E89" s="41" t="inlineStr"/>
      <c r="F89" s="41" t="inlineStr"/>
    </row>
    <row r="90" ht="26" customHeight="1">
      <c r="B90" s="38" t="inlineStr">
        <is>
          <t>Castillos y dalas: dimensiones, f'c ≥ 200, 4 barras con As ≥ 0.2(f'c/fy)·b·h, estribos</t>
        </is>
      </c>
      <c r="C90" s="38" t="inlineStr">
        <is>
          <t>NTC-Mampostería 2023 (CDMX)</t>
        </is>
      </c>
      <c r="D90" s="13" t="inlineStr">
        <is>
          <t>6.1.3 y 6.2.1.1 a 6.2.1.3, pp. 60–61 · 6.2.2.2, 6.2.2.3 y 6.2.3.2, p. 62</t>
        </is>
      </c>
      <c r="E90" s="41" t="inlineStr"/>
      <c r="F90" s="41" t="inlineStr"/>
    </row>
    <row r="91" ht="26" customHeight="1">
      <c r="B91" s="38" t="inlineStr">
        <is>
          <t>Resistencia a compresión del muro P_R = F_R·F_E·(f'm·A_T + ΣAs·fy)</t>
        </is>
      </c>
      <c r="C91" s="38" t="inlineStr">
        <is>
          <t>NTC-Mampostería 2023 (CDMX)</t>
        </is>
      </c>
      <c r="D91" s="13" t="inlineStr">
        <is>
          <t>ec. 6.4.1.1, p. 65 · F_E: 3.1.2.3.1, p. 32</t>
        </is>
      </c>
      <c r="E91" s="41" t="inlineStr"/>
      <c r="F91" s="41" t="inlineStr"/>
    </row>
    <row r="92" ht="30" customHeight="1">
      <c r="B92" s="3" t="inlineStr">
        <is>
          <t>ACI 318-19 ya no se usa en esta hoja: todo lo que antes se tomaba de ahí (nervaduras, peraltes de vigas, estribos, separación de barras, bastones) lo resuelve la NTC-Concreto 2023 con los numerales de arriba.</t>
        </is>
      </c>
      <c r="C92" s="4" t="n"/>
      <c r="D92" s="4" t="n"/>
      <c r="E92" s="4" t="n"/>
      <c r="F92" s="4" t="n"/>
    </row>
  </sheetData>
  <mergeCells count="9">
    <mergeCell ref="B2:F2"/>
    <mergeCell ref="B81:F81"/>
    <mergeCell ref="B33:F33"/>
    <mergeCell ref="B3:F3"/>
    <mergeCell ref="B22:F22"/>
    <mergeCell ref="B14:F14"/>
    <mergeCell ref="B1:F1"/>
    <mergeCell ref="B71:F71"/>
    <mergeCell ref="B92:F92"/>
  </mergeCells>
  <pageMargins left="0.75" right="0.75" top="1" bottom="1" header="0.5" footer="0.5"/>
  <pageSetup orientation="landscape" paperSize="1" fitToHeight="0" fitToWidth="1"/>
</worksheet>
</file>

<file path=xl/worksheets/sheet12.xml><?xml version="1.0" encoding="utf-8"?>
<worksheet xmlns="http://schemas.openxmlformats.org/spreadsheetml/2006/main">
  <sheetPr>
    <outlinePr summaryBelow="1" summaryRight="1"/>
    <pageSetUpPr fitToPage="1"/>
  </sheetPr>
  <dimension ref="B1:K79"/>
  <sheetViews>
    <sheetView showGridLines="0" workbookViewId="0">
      <selection activeCell="A1" sqref="A1"/>
    </sheetView>
  </sheetViews>
  <sheetFormatPr baseColWidth="8" defaultRowHeight="15"/>
  <cols>
    <col width="1.78" customWidth="1" min="1" max="1"/>
    <col width="24" customWidth="1" min="2" max="2"/>
    <col width="58" customWidth="1" min="3" max="3"/>
    <col width="12" customWidth="1" min="4" max="4"/>
    <col width="12" customWidth="1" min="5" max="5"/>
    <col width="8" customWidth="1" min="6" max="6"/>
    <col width="8" customWidth="1" min="7" max="7"/>
    <col width="8" customWidth="1" min="8" max="8"/>
    <col width="8" customWidth="1" min="9" max="9"/>
    <col width="8" customWidth="1" min="10" max="10"/>
    <col width="40" customWidth="1" min="11" max="11"/>
  </cols>
  <sheetData>
    <row r="1" ht="26" customHeight="1">
      <c r="B1" s="1" t="inlineStr">
        <is>
          <t>TABLAS — COEFICIENTES, VARILLAS, MALLAS Y LISTAS</t>
        </is>
      </c>
    </row>
    <row r="2" ht="18" customHeight="1">
      <c r="B2" s="2" t="inlineStr">
        <is>
          <t>Tablas auxiliares. Todas las hojas leen de aquí con INDEX/MATCH: si cambias un número aquí, cambia en todo el libro.</t>
        </is>
      </c>
    </row>
    <row r="4" ht="21" customHeight="1">
      <c r="B4" s="5" t="inlineStr">
        <is>
          <t>A. COEFICIENTES DE MOMENTO PARA TABLEROS RECTANGULARES, FRANJAS CENTRALES — CASO I (LOSA COLADA MONOLÍTICAMENTE CON SUS APOYOS) · ×10⁻⁴·w·a1²</t>
        </is>
      </c>
    </row>
    <row r="5">
      <c r="B5" s="8" t="inlineStr">
        <is>
          <t>Clave</t>
        </is>
      </c>
      <c r="C5" s="8" t="inlineStr">
        <is>
          <t>Caso — momento  (m = a1/a2 →)</t>
        </is>
      </c>
      <c r="D5" s="83" t="n">
        <v>0</v>
      </c>
      <c r="E5" s="83" t="n">
        <v>0.5</v>
      </c>
      <c r="F5" s="83" t="n">
        <v>0.6</v>
      </c>
      <c r="G5" s="83" t="n">
        <v>0.7</v>
      </c>
      <c r="H5" s="83" t="n">
        <v>0.8</v>
      </c>
      <c r="I5" s="83" t="n">
        <v>0.9</v>
      </c>
      <c r="J5" s="83" t="n">
        <v>1</v>
      </c>
      <c r="K5" s="8" t="inlineStr">
        <is>
          <t>Referencia</t>
        </is>
      </c>
    </row>
    <row r="6">
      <c r="B6" s="44" t="inlineStr">
        <is>
          <t>INTERIOR|NIC</t>
        </is>
      </c>
      <c r="C6" s="44" t="inlineStr">
        <is>
          <t>Interior — todos los bordes continuos — negativo en bordes continuos, claro corto</t>
        </is>
      </c>
      <c r="D6" s="56" t="n">
        <v>998</v>
      </c>
      <c r="E6" s="56" t="n">
        <v>1160</v>
      </c>
      <c r="F6" s="56" t="n">
        <v>907</v>
      </c>
      <c r="G6" s="56" t="n">
        <v>736</v>
      </c>
      <c r="H6" s="56" t="n">
        <v>607</v>
      </c>
      <c r="I6" s="56" t="n">
        <v>503</v>
      </c>
      <c r="J6" s="56" t="n">
        <v>418</v>
      </c>
      <c r="K6" s="74" t="inlineStr">
        <is>
          <t>NTC-Concreto 2023 (CDMX) · Tabla 3.4.2.1, caso I (§3.4.2, pág. 65)</t>
        </is>
      </c>
    </row>
    <row r="7">
      <c r="B7" s="44" t="inlineStr">
        <is>
          <t>INTERIOR|NIL</t>
        </is>
      </c>
      <c r="C7" s="44" t="inlineStr">
        <is>
          <t>Interior — todos los bordes continuos — negativo en bordes continuos, claro largo</t>
        </is>
      </c>
      <c r="D7" s="56" t="n">
        <v>516</v>
      </c>
      <c r="E7" s="56" t="n">
        <v>550</v>
      </c>
      <c r="F7" s="56" t="n">
        <v>517</v>
      </c>
      <c r="G7" s="56" t="n">
        <v>492</v>
      </c>
      <c r="H7" s="56" t="n">
        <v>466</v>
      </c>
      <c r="I7" s="56" t="n">
        <v>436</v>
      </c>
      <c r="J7" s="56" t="n">
        <v>418</v>
      </c>
      <c r="K7" s="74" t="inlineStr">
        <is>
          <t>NTC-Concreto 2023 (CDMX) · Tabla 3.4.2.1, caso I (§3.4.2, pág. 65)</t>
        </is>
      </c>
    </row>
    <row r="8">
      <c r="B8" s="44" t="inlineStr">
        <is>
          <t>INTERIOR|NDC</t>
        </is>
      </c>
      <c r="C8" s="44" t="inlineStr">
        <is>
          <t>Interior — todos los bordes continuos — negativo en bordes discontinuos, claro corto</t>
        </is>
      </c>
      <c r="D8" s="56" t="n">
        <v>0</v>
      </c>
      <c r="E8" s="56" t="n">
        <v>0</v>
      </c>
      <c r="F8" s="56" t="n">
        <v>0</v>
      </c>
      <c r="G8" s="56" t="n">
        <v>0</v>
      </c>
      <c r="H8" s="56" t="n">
        <v>0</v>
      </c>
      <c r="I8" s="56" t="n">
        <v>0</v>
      </c>
      <c r="J8" s="56" t="n">
        <v>0</v>
      </c>
      <c r="K8" s="74" t="inlineStr">
        <is>
          <t>NTC-Concreto 2023 (CDMX) · Tabla 3.4.2.1, caso I (§3.4.2, pág. 65)</t>
        </is>
      </c>
    </row>
    <row r="9">
      <c r="B9" s="44" t="inlineStr">
        <is>
          <t>INTERIOR|NDL</t>
        </is>
      </c>
      <c r="C9" s="44" t="inlineStr">
        <is>
          <t>Interior — todos los bordes continuos — negativo en bordes discontinuos, claro largo</t>
        </is>
      </c>
      <c r="D9" s="56" t="n">
        <v>0</v>
      </c>
      <c r="E9" s="56" t="n">
        <v>0</v>
      </c>
      <c r="F9" s="56" t="n">
        <v>0</v>
      </c>
      <c r="G9" s="56" t="n">
        <v>0</v>
      </c>
      <c r="H9" s="56" t="n">
        <v>0</v>
      </c>
      <c r="I9" s="56" t="n">
        <v>0</v>
      </c>
      <c r="J9" s="56" t="n">
        <v>0</v>
      </c>
      <c r="K9" s="74" t="inlineStr">
        <is>
          <t>NTC-Concreto 2023 (CDMX) · Tabla 3.4.2.1, caso I (§3.4.2, pág. 65)</t>
        </is>
      </c>
    </row>
    <row r="10">
      <c r="B10" s="44" t="inlineStr">
        <is>
          <t>INTERIOR|PC</t>
        </is>
      </c>
      <c r="C10" s="44" t="inlineStr">
        <is>
          <t>Interior — todos los bordes continuos — positivo, claro corto</t>
        </is>
      </c>
      <c r="D10" s="56" t="n">
        <v>630</v>
      </c>
      <c r="E10" s="56" t="n">
        <v>312</v>
      </c>
      <c r="F10" s="56" t="n">
        <v>331</v>
      </c>
      <c r="G10" s="56" t="n">
        <v>330</v>
      </c>
      <c r="H10" s="56" t="n">
        <v>298</v>
      </c>
      <c r="I10" s="56" t="n">
        <v>256</v>
      </c>
      <c r="J10" s="56" t="n">
        <v>209</v>
      </c>
      <c r="K10" s="74" t="inlineStr">
        <is>
          <t>NTC-Concreto 2023 (CDMX) · Tabla 3.4.2.1, caso I (§3.4.2, pág. 65)</t>
        </is>
      </c>
    </row>
    <row r="11">
      <c r="B11" s="44" t="inlineStr">
        <is>
          <t>INTERIOR|PL</t>
        </is>
      </c>
      <c r="C11" s="44" t="inlineStr">
        <is>
          <t>Interior — todos los bordes continuos — positivo, claro largo</t>
        </is>
      </c>
      <c r="D11" s="56" t="n">
        <v>175</v>
      </c>
      <c r="E11" s="56" t="n">
        <v>139</v>
      </c>
      <c r="F11" s="56" t="n">
        <v>174</v>
      </c>
      <c r="G11" s="56" t="n">
        <v>200</v>
      </c>
      <c r="H11" s="56" t="n">
        <v>213</v>
      </c>
      <c r="I11" s="56" t="n">
        <v>216</v>
      </c>
      <c r="J11" s="56" t="n">
        <v>209</v>
      </c>
      <c r="K11" s="74" t="inlineStr">
        <is>
          <t>NTC-Concreto 2023 (CDMX) · Tabla 3.4.2.1, caso I (§3.4.2, pág. 65)</t>
        </is>
      </c>
    </row>
    <row r="12">
      <c r="B12" s="44" t="inlineStr">
        <is>
          <t>BORDE-CORTO|NIC</t>
        </is>
      </c>
      <c r="C12" s="44" t="inlineStr">
        <is>
          <t>De borde — un lado corto discontinuo — negativo en bordes continuos, claro corto</t>
        </is>
      </c>
      <c r="D12" s="56" t="n">
        <v>998</v>
      </c>
      <c r="E12" s="56" t="n">
        <v>1163</v>
      </c>
      <c r="F12" s="56" t="n">
        <v>965</v>
      </c>
      <c r="G12" s="56" t="n">
        <v>785</v>
      </c>
      <c r="H12" s="56" t="n">
        <v>652</v>
      </c>
      <c r="I12" s="56" t="n">
        <v>546</v>
      </c>
      <c r="J12" s="56" t="n">
        <v>460</v>
      </c>
      <c r="K12" s="74" t="inlineStr">
        <is>
          <t>NTC-Concreto 2023 (CDMX) · Tabla 3.4.2.1, caso I (§3.4.2, pág. 65)</t>
        </is>
      </c>
    </row>
    <row r="13">
      <c r="B13" s="44" t="inlineStr">
        <is>
          <t>BORDE-CORTO|NIL</t>
        </is>
      </c>
      <c r="C13" s="44" t="inlineStr">
        <is>
          <t>De borde — un lado corto discontinuo — negativo en bordes continuos, claro largo</t>
        </is>
      </c>
      <c r="D13" s="56" t="n">
        <v>516</v>
      </c>
      <c r="E13" s="56" t="n">
        <v>561</v>
      </c>
      <c r="F13" s="56" t="n">
        <v>525</v>
      </c>
      <c r="G13" s="56" t="n">
        <v>498</v>
      </c>
      <c r="H13" s="56" t="n">
        <v>470</v>
      </c>
      <c r="I13" s="56" t="n">
        <v>440</v>
      </c>
      <c r="J13" s="56" t="n">
        <v>421</v>
      </c>
      <c r="K13" s="74" t="inlineStr">
        <is>
          <t>NTC-Concreto 2023 (CDMX) · Tabla 3.4.2.1, caso I (§3.4.2, pág. 65)</t>
        </is>
      </c>
    </row>
    <row r="14">
      <c r="B14" s="44" t="inlineStr">
        <is>
          <t>BORDE-CORTO|NDC</t>
        </is>
      </c>
      <c r="C14" s="44" t="inlineStr">
        <is>
          <t>De borde — un lado corto discontinuo — negativo en bordes discontinuos, claro corto</t>
        </is>
      </c>
      <c r="D14" s="56" t="n">
        <v>0</v>
      </c>
      <c r="E14" s="56" t="n">
        <v>0</v>
      </c>
      <c r="F14" s="56" t="n">
        <v>0</v>
      </c>
      <c r="G14" s="56" t="n">
        <v>0</v>
      </c>
      <c r="H14" s="56" t="n">
        <v>0</v>
      </c>
      <c r="I14" s="56" t="n">
        <v>0</v>
      </c>
      <c r="J14" s="56" t="n">
        <v>0</v>
      </c>
      <c r="K14" s="74" t="inlineStr">
        <is>
          <t>NTC-Concreto 2023 (CDMX) · Tabla 3.4.2.1, caso I (§3.4.2, pág. 65)</t>
        </is>
      </c>
    </row>
    <row r="15">
      <c r="B15" s="44" t="inlineStr">
        <is>
          <t>BORDE-CORTO|NDL</t>
        </is>
      </c>
      <c r="C15" s="44" t="inlineStr">
        <is>
          <t>De borde — un lado corto discontinuo — negativo en bordes discontinuos, claro largo</t>
        </is>
      </c>
      <c r="D15" s="56" t="n">
        <v>326</v>
      </c>
      <c r="E15" s="56" t="n">
        <v>258</v>
      </c>
      <c r="F15" s="56" t="n">
        <v>248</v>
      </c>
      <c r="G15" s="56" t="n">
        <v>236</v>
      </c>
      <c r="H15" s="56" t="n">
        <v>222</v>
      </c>
      <c r="I15" s="56" t="n">
        <v>206</v>
      </c>
      <c r="J15" s="56" t="n">
        <v>190</v>
      </c>
      <c r="K15" s="74" t="inlineStr">
        <is>
          <t>NTC-Concreto 2023 (CDMX) · Tabla 3.4.2.1, caso I (§3.4.2, pág. 65)</t>
        </is>
      </c>
    </row>
    <row r="16">
      <c r="B16" s="44" t="inlineStr">
        <is>
          <t>BORDE-CORTO|PC</t>
        </is>
      </c>
      <c r="C16" s="44" t="inlineStr">
        <is>
          <t>De borde — un lado corto discontinuo — positivo, claro corto</t>
        </is>
      </c>
      <c r="D16" s="56" t="n">
        <v>630</v>
      </c>
      <c r="E16" s="56" t="n">
        <v>329</v>
      </c>
      <c r="F16" s="56" t="n">
        <v>292</v>
      </c>
      <c r="G16" s="56" t="n">
        <v>331</v>
      </c>
      <c r="H16" s="56" t="n">
        <v>311</v>
      </c>
      <c r="I16" s="56" t="n">
        <v>276</v>
      </c>
      <c r="J16" s="56" t="n">
        <v>238</v>
      </c>
      <c r="K16" s="74" t="inlineStr">
        <is>
          <t>NTC-Concreto 2023 (CDMX) · Tabla 3.4.2.1, caso I (§3.4.2, pág. 65)</t>
        </is>
      </c>
    </row>
    <row r="17">
      <c r="B17" s="44" t="inlineStr">
        <is>
          <t>BORDE-CORTO|PL</t>
        </is>
      </c>
      <c r="C17" s="44" t="inlineStr">
        <is>
          <t>De borde — un lado corto discontinuo — positivo, claro largo</t>
        </is>
      </c>
      <c r="D17" s="56" t="n">
        <v>179</v>
      </c>
      <c r="E17" s="56" t="n">
        <v>232</v>
      </c>
      <c r="F17" s="56" t="n">
        <v>263</v>
      </c>
      <c r="G17" s="56" t="n">
        <v>266</v>
      </c>
      <c r="H17" s="56" t="n">
        <v>266</v>
      </c>
      <c r="I17" s="56" t="n">
        <v>263</v>
      </c>
      <c r="J17" s="56" t="n">
        <v>286</v>
      </c>
      <c r="K17" s="74" t="inlineStr">
        <is>
          <t>NTC-Concreto 2023 (CDMX) · Tabla 3.4.2.1, caso I (§3.4.2, pág. 65)</t>
        </is>
      </c>
    </row>
    <row r="18">
      <c r="B18" s="44" t="inlineStr">
        <is>
          <t>BORDE-LARGO|NIC</t>
        </is>
      </c>
      <c r="C18" s="44" t="inlineStr">
        <is>
          <t>De borde — un lado largo discontinuo — negativo en bordes continuos, claro corto</t>
        </is>
      </c>
      <c r="D18" s="56" t="n">
        <v>1060</v>
      </c>
      <c r="E18" s="56" t="n">
        <v>1292</v>
      </c>
      <c r="F18" s="56" t="n">
        <v>981</v>
      </c>
      <c r="G18" s="56" t="n">
        <v>777</v>
      </c>
      <c r="H18" s="56" t="n">
        <v>628</v>
      </c>
      <c r="I18" s="56" t="n">
        <v>512</v>
      </c>
      <c r="J18" s="56" t="n">
        <v>421</v>
      </c>
      <c r="K18" s="74" t="inlineStr">
        <is>
          <t>NTC-Concreto 2023 (CDMX) · Tabla 3.4.2.1, caso I (§3.4.2, pág. 65)</t>
        </is>
      </c>
    </row>
    <row r="19">
      <c r="B19" s="44" t="inlineStr">
        <is>
          <t>BORDE-LARGO|NIL</t>
        </is>
      </c>
      <c r="C19" s="44" t="inlineStr">
        <is>
          <t>De borde — un lado largo discontinuo — negativo en bordes continuos, claro largo</t>
        </is>
      </c>
      <c r="D19" s="56" t="n">
        <v>587</v>
      </c>
      <c r="E19" s="56" t="n">
        <v>566</v>
      </c>
      <c r="F19" s="56" t="n">
        <v>540</v>
      </c>
      <c r="G19" s="56" t="n">
        <v>513</v>
      </c>
      <c r="H19" s="56" t="n">
        <v>482</v>
      </c>
      <c r="I19" s="56" t="n">
        <v>483</v>
      </c>
      <c r="J19" s="56" t="n">
        <v>461</v>
      </c>
      <c r="K19" s="74" t="inlineStr">
        <is>
          <t>NTC-Concreto 2023 (CDMX) · Tabla 3.4.2.1, caso I (§3.4.2, pág. 65)</t>
        </is>
      </c>
    </row>
    <row r="20">
      <c r="B20" s="44" t="inlineStr">
        <is>
          <t>BORDE-LARGO|NDC</t>
        </is>
      </c>
      <c r="C20" s="44" t="inlineStr">
        <is>
          <t>De borde — un lado largo discontinuo — negativo en bordes discontinuos, claro corto</t>
        </is>
      </c>
      <c r="D20" s="56" t="n">
        <v>651</v>
      </c>
      <c r="E20" s="56" t="n">
        <v>362</v>
      </c>
      <c r="F20" s="56" t="n">
        <v>321</v>
      </c>
      <c r="G20" s="56" t="n">
        <v>283</v>
      </c>
      <c r="H20" s="56" t="n">
        <v>250</v>
      </c>
      <c r="I20" s="56" t="n">
        <v>219</v>
      </c>
      <c r="J20" s="56" t="n">
        <v>190</v>
      </c>
      <c r="K20" s="74" t="inlineStr">
        <is>
          <t>NTC-Concreto 2023 (CDMX) · Tabla 3.4.2.1, caso I (§3.4.2, pág. 65)</t>
        </is>
      </c>
    </row>
    <row r="21">
      <c r="B21" s="44" t="inlineStr">
        <is>
          <t>BORDE-LARGO|NDL</t>
        </is>
      </c>
      <c r="C21" s="44" t="inlineStr">
        <is>
          <t>De borde — un lado largo discontinuo — negativo en bordes discontinuos, claro largo</t>
        </is>
      </c>
      <c r="D21" s="56" t="n">
        <v>0</v>
      </c>
      <c r="E21" s="56" t="n">
        <v>0</v>
      </c>
      <c r="F21" s="56" t="n">
        <v>0</v>
      </c>
      <c r="G21" s="56" t="n">
        <v>0</v>
      </c>
      <c r="H21" s="56" t="n">
        <v>0</v>
      </c>
      <c r="I21" s="56" t="n">
        <v>0</v>
      </c>
      <c r="J21" s="56" t="n">
        <v>0</v>
      </c>
      <c r="K21" s="74" t="inlineStr">
        <is>
          <t>NTC-Concreto 2023 (CDMX) · Tabla 3.4.2.1, caso I (§3.4.2, pág. 65)</t>
        </is>
      </c>
    </row>
    <row r="22">
      <c r="B22" s="44" t="inlineStr">
        <is>
          <t>BORDE-LARGO|PC</t>
        </is>
      </c>
      <c r="C22" s="44" t="inlineStr">
        <is>
          <t>De borde — un lado largo discontinuo — positivo, claro corto</t>
        </is>
      </c>
      <c r="D22" s="56" t="n">
        <v>751</v>
      </c>
      <c r="E22" s="56" t="n">
        <v>458</v>
      </c>
      <c r="F22" s="56" t="n">
        <v>433</v>
      </c>
      <c r="G22" s="56" t="n">
        <v>383</v>
      </c>
      <c r="H22" s="56" t="n">
        <v>323</v>
      </c>
      <c r="I22" s="56" t="n">
        <v>293</v>
      </c>
      <c r="J22" s="56" t="n">
        <v>286</v>
      </c>
      <c r="K22" s="74" t="inlineStr">
        <is>
          <t>NTC-Concreto 2023 (CDMX) · Tabla 3.4.2.1, caso I (§3.4.2, pág. 65)</t>
        </is>
      </c>
    </row>
    <row r="23">
      <c r="B23" s="44" t="inlineStr">
        <is>
          <t>BORDE-LARGO|PL</t>
        </is>
      </c>
      <c r="C23" s="44" t="inlineStr">
        <is>
          <t>De borde — un lado largo discontinuo — positivo, claro largo</t>
        </is>
      </c>
      <c r="D23" s="56" t="n">
        <v>185</v>
      </c>
      <c r="E23" s="56" t="n">
        <v>217</v>
      </c>
      <c r="F23" s="56" t="n">
        <v>237</v>
      </c>
      <c r="G23" s="56" t="n">
        <v>248</v>
      </c>
      <c r="H23" s="56" t="n">
        <v>250</v>
      </c>
      <c r="I23" s="56" t="n">
        <v>243</v>
      </c>
      <c r="J23" s="56" t="n">
        <v>238</v>
      </c>
      <c r="K23" s="74" t="inlineStr">
        <is>
          <t>NTC-Concreto 2023 (CDMX) · Tabla 3.4.2.1, caso I (§3.4.2, pág. 65)</t>
        </is>
      </c>
    </row>
    <row r="24">
      <c r="B24" s="44" t="inlineStr">
        <is>
          <t>ESQUINA|NIC</t>
        </is>
      </c>
      <c r="C24" s="44" t="inlineStr">
        <is>
          <t>De esquina — dos lados adyacentes discontinuos — negativo en bordes continuos, claro corto</t>
        </is>
      </c>
      <c r="D24" s="56" t="n">
        <v>1060</v>
      </c>
      <c r="E24" s="56" t="n">
        <v>1382</v>
      </c>
      <c r="F24" s="56" t="n">
        <v>1046</v>
      </c>
      <c r="G24" s="56" t="n">
        <v>830</v>
      </c>
      <c r="H24" s="56" t="n">
        <v>675</v>
      </c>
      <c r="I24" s="56" t="n">
        <v>557</v>
      </c>
      <c r="J24" s="56" t="n">
        <v>465</v>
      </c>
      <c r="K24" s="74" t="inlineStr">
        <is>
          <t>NTC-Concreto 2023 (CDMX) · Tabla 3.4.2.1, caso I (§3.4.2, pág. 65)</t>
        </is>
      </c>
    </row>
    <row r="25">
      <c r="B25" s="44" t="inlineStr">
        <is>
          <t>ESQUINA|NIL</t>
        </is>
      </c>
      <c r="C25" s="44" t="inlineStr">
        <is>
          <t>De esquina — dos lados adyacentes discontinuos — negativo en bordes continuos, claro largo</t>
        </is>
      </c>
      <c r="D25" s="56" t="n">
        <v>600</v>
      </c>
      <c r="E25" s="56" t="n">
        <v>580</v>
      </c>
      <c r="F25" s="56" t="n">
        <v>545</v>
      </c>
      <c r="G25" s="56" t="n">
        <v>516</v>
      </c>
      <c r="H25" s="56" t="n">
        <v>484</v>
      </c>
      <c r="I25" s="56" t="n">
        <v>486</v>
      </c>
      <c r="J25" s="56" t="n">
        <v>465</v>
      </c>
      <c r="K25" s="74" t="inlineStr">
        <is>
          <t>NTC-Concreto 2023 (CDMX) · Tabla 3.4.2.1, caso I (§3.4.2, pág. 65)</t>
        </is>
      </c>
    </row>
    <row r="26">
      <c r="B26" s="44" t="inlineStr">
        <is>
          <t>ESQUINA|NDC</t>
        </is>
      </c>
      <c r="C26" s="44" t="inlineStr">
        <is>
          <t>De esquina — dos lados adyacentes discontinuos — negativo en bordes discontinuos, claro corto</t>
        </is>
      </c>
      <c r="D26" s="56" t="n">
        <v>651</v>
      </c>
      <c r="E26" s="56" t="n">
        <v>362</v>
      </c>
      <c r="F26" s="56" t="n">
        <v>321</v>
      </c>
      <c r="G26" s="56" t="n">
        <v>277</v>
      </c>
      <c r="H26" s="56" t="n">
        <v>250</v>
      </c>
      <c r="I26" s="56" t="n">
        <v>219</v>
      </c>
      <c r="J26" s="56" t="n">
        <v>190</v>
      </c>
      <c r="K26" s="74" t="inlineStr">
        <is>
          <t>NTC-Concreto 2023 (CDMX) · Tabla 3.4.2.1, caso I (§3.4.2, pág. 65)</t>
        </is>
      </c>
    </row>
    <row r="27">
      <c r="B27" s="44" t="inlineStr">
        <is>
          <t>ESQUINA|NDL</t>
        </is>
      </c>
      <c r="C27" s="44" t="inlineStr">
        <is>
          <t>De esquina — dos lados adyacentes discontinuos — negativo en bordes discontinuos, claro largo</t>
        </is>
      </c>
      <c r="D27" s="56" t="n">
        <v>326</v>
      </c>
      <c r="E27" s="56" t="n">
        <v>333</v>
      </c>
      <c r="F27" s="56" t="n">
        <v>320</v>
      </c>
      <c r="G27" s="56" t="n">
        <v>298</v>
      </c>
      <c r="H27" s="56" t="n">
        <v>270</v>
      </c>
      <c r="I27" s="56" t="n">
        <v>241</v>
      </c>
      <c r="J27" s="56" t="n">
        <v>190</v>
      </c>
      <c r="K27" s="74" t="inlineStr">
        <is>
          <t>NTC-Concreto 2023 (CDMX) · Tabla 3.4.2.1, caso I (§3.4.2, pág. 65)</t>
        </is>
      </c>
    </row>
    <row r="28">
      <c r="B28" s="44" t="inlineStr">
        <is>
          <t>ESQUINA|PC</t>
        </is>
      </c>
      <c r="C28" s="44" t="inlineStr">
        <is>
          <t>De esquina — dos lados adyacentes discontinuos — positivo, claro corto</t>
        </is>
      </c>
      <c r="D28" s="56" t="n">
        <v>751</v>
      </c>
      <c r="E28" s="56" t="n">
        <v>452</v>
      </c>
      <c r="F28" s="56" t="n">
        <v>437</v>
      </c>
      <c r="G28" s="56" t="n">
        <v>397</v>
      </c>
      <c r="H28" s="56" t="n">
        <v>338</v>
      </c>
      <c r="I28" s="56" t="n">
        <v>306</v>
      </c>
      <c r="J28" s="56" t="n">
        <v>296</v>
      </c>
      <c r="K28" s="74" t="inlineStr">
        <is>
          <t>NTC-Concreto 2023 (CDMX) · Tabla 3.4.2.1, caso I (§3.4.2, pág. 65)</t>
        </is>
      </c>
    </row>
    <row r="29">
      <c r="B29" s="44" t="inlineStr">
        <is>
          <t>ESQUINA|PL</t>
        </is>
      </c>
      <c r="C29" s="44" t="inlineStr">
        <is>
          <t>De esquina — dos lados adyacentes discontinuos — positivo, claro largo</t>
        </is>
      </c>
      <c r="D29" s="56" t="n">
        <v>191</v>
      </c>
      <c r="E29" s="56" t="n">
        <v>298</v>
      </c>
      <c r="F29" s="56" t="n">
        <v>294</v>
      </c>
      <c r="G29" s="56" t="n">
        <v>292</v>
      </c>
      <c r="H29" s="56" t="n">
        <v>288</v>
      </c>
      <c r="I29" s="56" t="n">
        <v>274</v>
      </c>
      <c r="J29" s="56" t="n">
        <v>289</v>
      </c>
      <c r="K29" s="74" t="inlineStr">
        <is>
          <t>NTC-Concreto 2023 (CDMX) · Tabla 3.4.2.1, caso I (§3.4.2, pág. 65)</t>
        </is>
      </c>
    </row>
    <row r="30">
      <c r="B30" s="44" t="inlineStr">
        <is>
          <t>EXTREMO-LARGO|NIC</t>
        </is>
      </c>
      <c r="C30" s="44" t="inlineStr">
        <is>
          <t>Extremo — tres bordes discontinuos, un lado largo continuo — negativo en bordes continuos, claro corto</t>
        </is>
      </c>
      <c r="D30" s="56" t="n">
        <v>1060</v>
      </c>
      <c r="E30" s="56" t="n">
        <v>1470</v>
      </c>
      <c r="F30" s="56" t="n">
        <v>1108</v>
      </c>
      <c r="G30" s="56" t="n">
        <v>882</v>
      </c>
      <c r="H30" s="56" t="n">
        <v>730</v>
      </c>
      <c r="I30" s="56" t="n">
        <v>650</v>
      </c>
      <c r="J30" s="56" t="n">
        <v>570</v>
      </c>
      <c r="K30" s="74" t="inlineStr">
        <is>
          <t>NTC-Concreto 2023 (CDMX) · Tabla 3.4.2.1, caso I (§3.4.2, pág. 65)</t>
        </is>
      </c>
    </row>
    <row r="31">
      <c r="B31" s="44" t="inlineStr">
        <is>
          <t>EXTREMO-LARGO|NIL</t>
        </is>
      </c>
      <c r="C31" s="44" t="inlineStr">
        <is>
          <t>Extremo — tres bordes discontinuos, un lado largo continuo — negativo en bordes continuos, claro largo</t>
        </is>
      </c>
      <c r="D31" s="56" t="n">
        <v>0</v>
      </c>
      <c r="E31" s="56" t="n">
        <v>0</v>
      </c>
      <c r="F31" s="56" t="n">
        <v>0</v>
      </c>
      <c r="G31" s="56" t="n">
        <v>0</v>
      </c>
      <c r="H31" s="56" t="n">
        <v>0</v>
      </c>
      <c r="I31" s="56" t="n">
        <v>0</v>
      </c>
      <c r="J31" s="56" t="n">
        <v>0</v>
      </c>
      <c r="K31" s="74" t="inlineStr">
        <is>
          <t>NTC-Concreto 2023 (CDMX) · Tabla 3.4.2.1, caso I (§3.4.2, pág. 65)</t>
        </is>
      </c>
    </row>
    <row r="32">
      <c r="B32" s="44" t="inlineStr">
        <is>
          <t>EXTREMO-LARGO|NDC</t>
        </is>
      </c>
      <c r="C32" s="44" t="inlineStr">
        <is>
          <t>Extremo — tres bordes discontinuos, un lado largo continuo — negativo en bordes discontinuos, claro corto</t>
        </is>
      </c>
      <c r="D32" s="56" t="n">
        <v>651</v>
      </c>
      <c r="E32" s="56" t="n">
        <v>370</v>
      </c>
      <c r="F32" s="56" t="n">
        <v>340</v>
      </c>
      <c r="G32" s="56" t="n">
        <v>310</v>
      </c>
      <c r="H32" s="56" t="n">
        <v>280</v>
      </c>
      <c r="I32" s="56" t="n">
        <v>250</v>
      </c>
      <c r="J32" s="56" t="n">
        <v>220</v>
      </c>
      <c r="K32" s="74" t="inlineStr">
        <is>
          <t>NTC-Concreto 2023 (CDMX) · Tabla 3.4.2.1, caso I (§3.4.2, pág. 65)</t>
        </is>
      </c>
    </row>
    <row r="33">
      <c r="B33" s="44" t="inlineStr">
        <is>
          <t>EXTREMO-LARGO|NDL</t>
        </is>
      </c>
      <c r="C33" s="44" t="inlineStr">
        <is>
          <t>Extremo — tres bordes discontinuos, un lado largo continuo — negativo en bordes discontinuos, claro largo</t>
        </is>
      </c>
      <c r="D33" s="56" t="n">
        <v>220</v>
      </c>
      <c r="E33" s="56" t="n">
        <v>361</v>
      </c>
      <c r="F33" s="56" t="n">
        <v>337</v>
      </c>
      <c r="G33" s="56" t="n">
        <v>310</v>
      </c>
      <c r="H33" s="56" t="n">
        <v>280</v>
      </c>
      <c r="I33" s="56" t="n">
        <v>220</v>
      </c>
      <c r="J33" s="56" t="n">
        <v>220</v>
      </c>
      <c r="K33" s="74" t="inlineStr">
        <is>
          <t>NTC-Concreto 2023 (CDMX) · Tabla 3.4.2.1, caso I (§3.4.2, pág. 65)</t>
        </is>
      </c>
    </row>
    <row r="34">
      <c r="B34" s="44" t="inlineStr">
        <is>
          <t>EXTREMO-LARGO|PC</t>
        </is>
      </c>
      <c r="C34" s="44" t="inlineStr">
        <is>
          <t>Extremo — tres bordes discontinuos, un lado largo continuo — positivo, claro corto</t>
        </is>
      </c>
      <c r="D34" s="56" t="n">
        <v>751</v>
      </c>
      <c r="E34" s="56" t="n">
        <v>730</v>
      </c>
      <c r="F34" s="56" t="n">
        <v>670</v>
      </c>
      <c r="G34" s="56" t="n">
        <v>610</v>
      </c>
      <c r="H34" s="56" t="n">
        <v>550</v>
      </c>
      <c r="I34" s="56" t="n">
        <v>490</v>
      </c>
      <c r="J34" s="56" t="n">
        <v>430</v>
      </c>
      <c r="K34" s="74" t="inlineStr">
        <is>
          <t>NTC-Concreto 2023 (CDMX) · Tabla 3.4.2.1, caso I (§3.4.2, pág. 65)</t>
        </is>
      </c>
    </row>
    <row r="35">
      <c r="B35" s="44" t="inlineStr">
        <is>
          <t>EXTREMO-LARGO|PL</t>
        </is>
      </c>
      <c r="C35" s="44" t="inlineStr">
        <is>
          <t>Extremo — tres bordes discontinuos, un lado largo continuo — positivo, claro largo</t>
        </is>
      </c>
      <c r="D35" s="56" t="n">
        <v>185</v>
      </c>
      <c r="E35" s="56" t="n">
        <v>430</v>
      </c>
      <c r="F35" s="56" t="n">
        <v>430</v>
      </c>
      <c r="G35" s="56" t="n">
        <v>430</v>
      </c>
      <c r="H35" s="56" t="n">
        <v>430</v>
      </c>
      <c r="I35" s="56" t="n">
        <v>430</v>
      </c>
      <c r="J35" s="56" t="n">
        <v>430</v>
      </c>
      <c r="K35" s="74" t="inlineStr">
        <is>
          <t>NTC-Concreto 2023 (CDMX) · Tabla 3.4.2.1, caso I (§3.4.2, pág. 65)</t>
        </is>
      </c>
    </row>
    <row r="36">
      <c r="B36" s="44" t="inlineStr">
        <is>
          <t>EXTREMO-CORTO|NIC</t>
        </is>
      </c>
      <c r="C36" s="44" t="inlineStr">
        <is>
          <t>Extremo — tres bordes discontinuos, un lado corto continuo — negativo en bordes continuos, claro corto</t>
        </is>
      </c>
      <c r="D36" s="56" t="n">
        <v>0</v>
      </c>
      <c r="E36" s="56" t="n">
        <v>0</v>
      </c>
      <c r="F36" s="56" t="n">
        <v>0</v>
      </c>
      <c r="G36" s="56" t="n">
        <v>0</v>
      </c>
      <c r="H36" s="56" t="n">
        <v>0</v>
      </c>
      <c r="I36" s="56" t="n">
        <v>0</v>
      </c>
      <c r="J36" s="56" t="n">
        <v>0</v>
      </c>
      <c r="K36" s="74" t="inlineStr">
        <is>
          <t>NTC-Concreto 2023 (CDMX) · Tabla 3.4.2.1, caso I (§3.4.2, pág. 65)</t>
        </is>
      </c>
    </row>
    <row r="37">
      <c r="B37" s="44" t="inlineStr">
        <is>
          <t>EXTREMO-CORTO|NIL</t>
        </is>
      </c>
      <c r="C37" s="44" t="inlineStr">
        <is>
          <t>Extremo — tres bordes discontinuos, un lado corto continuo — negativo en bordes continuos, claro largo</t>
        </is>
      </c>
      <c r="D37" s="56" t="n">
        <v>570</v>
      </c>
      <c r="E37" s="56" t="n">
        <v>570</v>
      </c>
      <c r="F37" s="56" t="n">
        <v>570</v>
      </c>
      <c r="G37" s="56" t="n">
        <v>570</v>
      </c>
      <c r="H37" s="56" t="n">
        <v>570</v>
      </c>
      <c r="I37" s="56" t="n">
        <v>570</v>
      </c>
      <c r="J37" s="56" t="n">
        <v>570</v>
      </c>
      <c r="K37" s="74" t="inlineStr">
        <is>
          <t>NTC-Concreto 2023 (CDMX) · Tabla 3.4.2.1, caso I (§3.4.2, pág. 65)</t>
        </is>
      </c>
    </row>
    <row r="38">
      <c r="B38" s="44" t="inlineStr">
        <is>
          <t>EXTREMO-CORTO|NDC</t>
        </is>
      </c>
      <c r="C38" s="44" t="inlineStr">
        <is>
          <t>Extremo — tres bordes discontinuos, un lado corto continuo — negativo en bordes discontinuos, claro corto</t>
        </is>
      </c>
      <c r="D38" s="56" t="n">
        <v>570</v>
      </c>
      <c r="E38" s="56" t="n">
        <v>480</v>
      </c>
      <c r="F38" s="56" t="n">
        <v>420</v>
      </c>
      <c r="G38" s="56" t="n">
        <v>370</v>
      </c>
      <c r="H38" s="56" t="n">
        <v>310</v>
      </c>
      <c r="I38" s="56" t="n">
        <v>270</v>
      </c>
      <c r="J38" s="56" t="n">
        <v>220</v>
      </c>
      <c r="K38" s="74" t="inlineStr">
        <is>
          <t>NTC-Concreto 2023 (CDMX) · Tabla 3.4.2.1, caso I (§3.4.2, pág. 65)</t>
        </is>
      </c>
    </row>
    <row r="39">
      <c r="B39" s="44" t="inlineStr">
        <is>
          <t>EXTREMO-CORTO|NDL</t>
        </is>
      </c>
      <c r="C39" s="44" t="inlineStr">
        <is>
          <t>Extremo — tres bordes discontinuos, un lado corto continuo — negativo en bordes discontinuos, claro largo</t>
        </is>
      </c>
      <c r="D39" s="56" t="n">
        <v>330</v>
      </c>
      <c r="E39" s="56" t="n">
        <v>448</v>
      </c>
      <c r="F39" s="56" t="n">
        <v>402</v>
      </c>
      <c r="G39" s="56" t="n">
        <v>220</v>
      </c>
      <c r="H39" s="56" t="n">
        <v>313</v>
      </c>
      <c r="I39" s="56" t="n">
        <v>220</v>
      </c>
      <c r="J39" s="56" t="n">
        <v>220</v>
      </c>
      <c r="K39" s="74" t="inlineStr">
        <is>
          <t>NTC-Concreto 2023 (CDMX) · Tabla 3.4.2.1, caso I (§3.4.2, pág. 65)</t>
        </is>
      </c>
    </row>
    <row r="40">
      <c r="B40" s="44" t="inlineStr">
        <is>
          <t>EXTREMO-CORTO|PC</t>
        </is>
      </c>
      <c r="C40" s="44" t="inlineStr">
        <is>
          <t>Extremo — tres bordes discontinuos, un lado corto continuo — positivo, claro corto</t>
        </is>
      </c>
      <c r="D40" s="56" t="n">
        <v>1100</v>
      </c>
      <c r="E40" s="56" t="n">
        <v>960</v>
      </c>
      <c r="F40" s="56" t="n">
        <v>840</v>
      </c>
      <c r="G40" s="56" t="n">
        <v>730</v>
      </c>
      <c r="H40" s="56" t="n">
        <v>620</v>
      </c>
      <c r="I40" s="56" t="n">
        <v>540</v>
      </c>
      <c r="J40" s="56" t="n">
        <v>430</v>
      </c>
      <c r="K40" s="74" t="inlineStr">
        <is>
          <t>NTC-Concreto 2023 (CDMX) · Tabla 3.4.2.1, caso I (§3.4.2, pág. 65)</t>
        </is>
      </c>
    </row>
    <row r="41">
      <c r="B41" s="44" t="inlineStr">
        <is>
          <t>EXTREMO-CORTO|PL</t>
        </is>
      </c>
      <c r="C41" s="44" t="inlineStr">
        <is>
          <t>Extremo — tres bordes discontinuos, un lado corto continuo — positivo, claro largo</t>
        </is>
      </c>
      <c r="D41" s="56" t="n">
        <v>200</v>
      </c>
      <c r="E41" s="56" t="n">
        <v>430</v>
      </c>
      <c r="F41" s="56" t="n">
        <v>430</v>
      </c>
      <c r="G41" s="56" t="n">
        <v>430</v>
      </c>
      <c r="H41" s="56" t="n">
        <v>430</v>
      </c>
      <c r="I41" s="56" t="n">
        <v>430</v>
      </c>
      <c r="J41" s="56" t="n">
        <v>430</v>
      </c>
      <c r="K41" s="74" t="inlineStr">
        <is>
          <t>NTC-Concreto 2023 (CDMX) · Tabla 3.4.2.1, caso I (§3.4.2, pág. 65)</t>
        </is>
      </c>
    </row>
    <row r="42">
      <c r="B42" s="44" t="inlineStr">
        <is>
          <t>AISLADO|NIC</t>
        </is>
      </c>
      <c r="C42" s="44" t="inlineStr">
        <is>
          <t>Aislado — cuatro lados discontinuos — negativo en bordes continuos, claro corto</t>
        </is>
      </c>
      <c r="D42" s="56" t="n">
        <v>0</v>
      </c>
      <c r="E42" s="56" t="n">
        <v>0</v>
      </c>
      <c r="F42" s="56" t="n">
        <v>0</v>
      </c>
      <c r="G42" s="56" t="n">
        <v>0</v>
      </c>
      <c r="H42" s="56" t="n">
        <v>0</v>
      </c>
      <c r="I42" s="56" t="n">
        <v>0</v>
      </c>
      <c r="J42" s="56" t="n">
        <v>0</v>
      </c>
      <c r="K42" s="74" t="inlineStr">
        <is>
          <t>NTC-Concreto 2023 (CDMX) · Tabla 3.4.2.1, caso I (§3.4.2, pág. 65)</t>
        </is>
      </c>
    </row>
    <row r="43">
      <c r="B43" s="44" t="inlineStr">
        <is>
          <t>AISLADO|NIL</t>
        </is>
      </c>
      <c r="C43" s="44" t="inlineStr">
        <is>
          <t>Aislado — cuatro lados discontinuos — negativo en bordes continuos, claro largo</t>
        </is>
      </c>
      <c r="D43" s="56" t="n">
        <v>0</v>
      </c>
      <c r="E43" s="56" t="n">
        <v>0</v>
      </c>
      <c r="F43" s="56" t="n">
        <v>0</v>
      </c>
      <c r="G43" s="56" t="n">
        <v>0</v>
      </c>
      <c r="H43" s="56" t="n">
        <v>0</v>
      </c>
      <c r="I43" s="56" t="n">
        <v>0</v>
      </c>
      <c r="J43" s="56" t="n">
        <v>0</v>
      </c>
      <c r="K43" s="74" t="inlineStr">
        <is>
          <t>NTC-Concreto 2023 (CDMX) · Tabla 3.4.2.1, caso I (§3.4.2, pág. 65)</t>
        </is>
      </c>
    </row>
    <row r="44">
      <c r="B44" s="44" t="inlineStr">
        <is>
          <t>AISLADO|NDC</t>
        </is>
      </c>
      <c r="C44" s="44" t="inlineStr">
        <is>
          <t>Aislado — cuatro lados discontinuos — negativo en bordes discontinuos, claro corto</t>
        </is>
      </c>
      <c r="D44" s="56" t="n">
        <v>570</v>
      </c>
      <c r="E44" s="56" t="n">
        <v>550</v>
      </c>
      <c r="F44" s="56" t="n">
        <v>530</v>
      </c>
      <c r="G44" s="56" t="n">
        <v>470</v>
      </c>
      <c r="H44" s="56" t="n">
        <v>430</v>
      </c>
      <c r="I44" s="56" t="n">
        <v>380</v>
      </c>
      <c r="J44" s="56" t="n">
        <v>330</v>
      </c>
      <c r="K44" s="74" t="inlineStr">
        <is>
          <t>NTC-Concreto 2023 (CDMX) · Tabla 3.4.2.1, caso I (§3.4.2, pág. 65)</t>
        </is>
      </c>
    </row>
    <row r="45">
      <c r="B45" s="44" t="inlineStr">
        <is>
          <t>AISLADO|NDL</t>
        </is>
      </c>
      <c r="C45" s="44" t="inlineStr">
        <is>
          <t>Aislado — cuatro lados discontinuos — negativo en bordes discontinuos, claro largo</t>
        </is>
      </c>
      <c r="D45" s="56" t="n">
        <v>330</v>
      </c>
      <c r="E45" s="56" t="n">
        <v>446</v>
      </c>
      <c r="F45" s="56" t="n">
        <v>330</v>
      </c>
      <c r="G45" s="56" t="n">
        <v>330</v>
      </c>
      <c r="H45" s="56" t="n">
        <v>330</v>
      </c>
      <c r="I45" s="56" t="n">
        <v>330</v>
      </c>
      <c r="J45" s="56" t="n">
        <v>330</v>
      </c>
      <c r="K45" s="74" t="inlineStr">
        <is>
          <t>NTC-Concreto 2023 (CDMX) · Tabla 3.4.2.1, caso I (§3.4.2, pág. 65)</t>
        </is>
      </c>
    </row>
    <row r="46">
      <c r="B46" s="44" t="inlineStr">
        <is>
          <t>AISLADO|PC</t>
        </is>
      </c>
      <c r="C46" s="44" t="inlineStr">
        <is>
          <t>Aislado — cuatro lados discontinuos — positivo, claro corto</t>
        </is>
      </c>
      <c r="D46" s="56" t="n">
        <v>1100</v>
      </c>
      <c r="E46" s="56" t="n">
        <v>830</v>
      </c>
      <c r="F46" s="56" t="n">
        <v>800</v>
      </c>
      <c r="G46" s="56" t="n">
        <v>720</v>
      </c>
      <c r="H46" s="56" t="n">
        <v>640</v>
      </c>
      <c r="I46" s="56" t="n">
        <v>570</v>
      </c>
      <c r="J46" s="56" t="n">
        <v>500</v>
      </c>
      <c r="K46" s="74" t="inlineStr">
        <is>
          <t>NTC-Concreto 2023 (CDMX) · Tabla 3.4.2.1, caso I (§3.4.2, pág. 65)</t>
        </is>
      </c>
    </row>
    <row r="47">
      <c r="B47" s="44" t="inlineStr">
        <is>
          <t>AISLADO|PL</t>
        </is>
      </c>
      <c r="C47" s="44" t="inlineStr">
        <is>
          <t>Aislado — cuatro lados discontinuos — positivo, claro largo</t>
        </is>
      </c>
      <c r="D47" s="56" t="n">
        <v>200</v>
      </c>
      <c r="E47" s="56" t="n">
        <v>500</v>
      </c>
      <c r="F47" s="56" t="n">
        <v>500</v>
      </c>
      <c r="G47" s="56" t="n">
        <v>500</v>
      </c>
      <c r="H47" s="56" t="n">
        <v>500</v>
      </c>
      <c r="I47" s="56" t="n">
        <v>500</v>
      </c>
      <c r="J47" s="56" t="n">
        <v>500</v>
      </c>
      <c r="K47" s="74" t="inlineStr">
        <is>
          <t>NTC-Concreto 2023 (CDMX) · Tabla 3.4.2.1, caso I (§3.4.2, pág. 65)</t>
        </is>
      </c>
    </row>
    <row r="48" ht="66" customHeight="1">
      <c r="B48" s="3" t="inlineStr">
        <is>
          <t>FUENTE: NTC-Concreto 2023, Tabla 3.4.2.1 «Coeficientes de momentos flexionantes para tableros rectangulares, franjas centrales», columna I (losa colada monolíticamente con sus apoyos), pág. 65. Transcrita y cotejada celda por celda contra la imagen de la tabla. Ojo: en 2023 cambiaron cerca de la mitad de los coeficientes respecto a 2017 (en promedio suben ~40%). Los renglones en cero son momentos que ese caso no tiene. Para m &lt; 0.5 se interpola entre las columnas 0 y 0.5. Para franjas de columna se multiplican por 0.60 (nota 1 de la tabla); aquí no se usan porque cada nervadura se diseña con la franja central (conservador). Se conservan tal como vienen impresas dos rarezas de renglones NDL que parecen erratas (Extremo corto en m = 0.7: 220 entre 402 y 313; Aislado en m = 0.5: 446). Ningún tablero de esta casa usa esos tramos.</t>
        </is>
      </c>
      <c r="C48" s="4" t="n"/>
      <c r="D48" s="4" t="n"/>
      <c r="E48" s="4" t="n"/>
      <c r="F48" s="4" t="n"/>
      <c r="G48" s="4" t="n"/>
      <c r="H48" s="4" t="n"/>
      <c r="I48" s="4" t="n"/>
      <c r="J48" s="4" t="n"/>
      <c r="K48" s="4" t="n"/>
    </row>
    <row r="50" ht="21" customHeight="1">
      <c r="B50" s="5" t="inlineStr">
        <is>
          <t>B. VARILLA CORRUGADA — ÁREAS, PESOS, DESARROLLO Y TRASLAPES</t>
        </is>
      </c>
    </row>
    <row r="51">
      <c r="B51" s="8" t="inlineStr">
        <is>
          <t>No.</t>
        </is>
      </c>
      <c r="C51" s="8" t="inlineStr">
        <is>
          <t>db (cm)</t>
        </is>
      </c>
      <c r="D51" s="8" t="inlineStr">
        <is>
          <t>As (cm²)</t>
        </is>
      </c>
      <c r="E51" s="8" t="inlineStr">
        <is>
          <t>kg/m</t>
        </is>
      </c>
      <c r="F51" s="8" t="inlineStr">
        <is>
          <t>L_d (cm)</t>
        </is>
      </c>
      <c r="G51" s="8" t="inlineStr">
        <is>
          <t>L_dh gancho (cm)</t>
        </is>
      </c>
      <c r="H51" s="8" t="inlineStr">
        <is>
          <t>Traslape B (cm)</t>
        </is>
      </c>
      <c r="I51" s="8" t="inlineStr">
        <is>
          <t>L_d otros casos (cm)</t>
        </is>
      </c>
      <c r="J51" s="8" t="inlineStr">
        <is>
          <t>Referencia</t>
        </is>
      </c>
      <c r="K51" s="33" t="n"/>
    </row>
    <row r="52">
      <c r="B52" s="41" t="n">
        <v>2</v>
      </c>
      <c r="C52" s="43" t="n">
        <v>0.64</v>
      </c>
      <c r="D52" s="43" t="n">
        <v>0.32</v>
      </c>
      <c r="E52" s="36" t="n">
        <v>0.248</v>
      </c>
      <c r="F52" s="41" t="inlineStr">
        <is>
          <t>no aplica</t>
        </is>
      </c>
      <c r="G52" s="41" t="inlineStr">
        <is>
          <t>no aplica</t>
        </is>
      </c>
      <c r="H52" s="41" t="inlineStr">
        <is>
          <t>no aplica</t>
        </is>
      </c>
      <c r="I52" s="41" t="inlineStr">
        <is>
          <t>no aplica</t>
        </is>
      </c>
      <c r="J52" s="74" t="inlineStr">
        <is>
          <t>Alambrón liso 1/4" (No. 2): la Tabla 14.4.2.4 y 14.4.3.1 son para barras corrugadas; no se usa como refuerzo longitudinal</t>
        </is>
      </c>
    </row>
    <row r="53">
      <c r="B53" s="41" t="n">
        <v>2.5</v>
      </c>
      <c r="C53" s="43" t="n">
        <v>0.79</v>
      </c>
      <c r="D53" s="43" t="n">
        <v>0.49</v>
      </c>
      <c r="E53" s="36" t="n">
        <v>0.384</v>
      </c>
      <c r="F53" s="56">
        <f>MAX(DATOS!$C$40/(IF(B53&lt;=6,6.6,5.3)*SQRT(DATOS!$C$39))*C53,30)</f>
        <v>31.7952644740566</v>
      </c>
      <c r="G53" s="56">
        <f>MAX(0.075*DATOS!$C$40/SQRT(DATOS!$C$39)*C53,8*C53,15)</f>
        <v>15.738655914658</v>
      </c>
      <c r="H53" s="56">
        <f>MAX(1.3*F53,30)</f>
        <v>41.3338438162736</v>
      </c>
      <c r="I53" s="56">
        <f>MAX(DATOS!$C$40/(IF(B53&lt;=6,4.4,3.5)*SQRT(DATOS!$C$39))*C53,30)</f>
        <v>47.6928967110849</v>
      </c>
      <c r="J53" s="74" t="inlineStr">
        <is>
          <t>NMX-B-506 / ASTM A615M · L_d: NTC-Concreto 14.4.2.1 y Tabla 14.4.2.4, pp. 352–353 · L_dh: 14.4.3.1, p. 355 · traslape clase B: Tabla 14.5.2.1, p. 367</t>
        </is>
      </c>
    </row>
    <row r="54">
      <c r="B54" s="41" t="n">
        <v>3</v>
      </c>
      <c r="C54" s="43" t="n">
        <v>0.95</v>
      </c>
      <c r="D54" s="43" t="n">
        <v>0.71</v>
      </c>
      <c r="E54" s="36" t="n">
        <v>0.5590000000000001</v>
      </c>
      <c r="F54" s="56">
        <f>MAX(DATOS!$C$40/(IF(B54&lt;=6,6.6,5.3)*SQRT(DATOS!$C$39))*C54,30)</f>
        <v>38.2348117093086</v>
      </c>
      <c r="G54" s="56">
        <f>MAX(0.075*DATOS!$C$40/SQRT(DATOS!$C$39)*C54,8*C54,15)</f>
        <v>18.9262317961078</v>
      </c>
      <c r="H54" s="56">
        <f>MAX(1.3*F54,30)</f>
        <v>49.7052552221012</v>
      </c>
      <c r="I54" s="56">
        <f>MAX(DATOS!$C$40/(IF(B54&lt;=6,4.4,3.5)*SQRT(DATOS!$C$39))*C54,30)</f>
        <v>57.3522175639629</v>
      </c>
      <c r="J54" s="74" t="inlineStr">
        <is>
          <t>NMX-B-506 / ASTM A615M · L_d: NTC-Concreto 14.4.2.1 y Tabla 14.4.2.4, pp. 352–353 · L_dh: 14.4.3.1, p. 355 · traslape clase B: Tabla 14.5.2.1, p. 367</t>
        </is>
      </c>
    </row>
    <row r="55">
      <c r="B55" s="41" t="n">
        <v>4</v>
      </c>
      <c r="C55" s="43" t="n">
        <v>1.27</v>
      </c>
      <c r="D55" s="43" t="n">
        <v>1.27</v>
      </c>
      <c r="E55" s="36" t="n">
        <v>0.994</v>
      </c>
      <c r="F55" s="56">
        <f>MAX(DATOS!$C$40/(IF(B55&lt;=6,6.6,5.3)*SQRT(DATOS!$C$39))*C55,30)</f>
        <v>51.1139061798125</v>
      </c>
      <c r="G55" s="56">
        <f>MAX(0.075*DATOS!$C$40/SQRT(DATOS!$C$39)*C55,8*C55,15)</f>
        <v>25.3013835590072</v>
      </c>
      <c r="H55" s="56">
        <f>MAX(1.3*F55,30)</f>
        <v>66.4480780337563</v>
      </c>
      <c r="I55" s="56">
        <f>MAX(DATOS!$C$40/(IF(B55&lt;=6,4.4,3.5)*SQRT(DATOS!$C$39))*C55,30)</f>
        <v>76.6708592697188</v>
      </c>
      <c r="J55" s="74" t="inlineStr">
        <is>
          <t>NMX-B-506 / ASTM A615M · L_d: NTC-Concreto 14.4.2.1 y Tabla 14.4.2.4, pp. 352–353 · L_dh: 14.4.3.1, p. 355 · traslape clase B: Tabla 14.5.2.1, p. 367</t>
        </is>
      </c>
    </row>
    <row r="56">
      <c r="B56" s="41" t="n">
        <v>5</v>
      </c>
      <c r="C56" s="43" t="n">
        <v>1.59</v>
      </c>
      <c r="D56" s="43" t="n">
        <v>1.98</v>
      </c>
      <c r="E56" s="36" t="n">
        <v>1.552</v>
      </c>
      <c r="F56" s="56">
        <f>MAX(DATOS!$C$40/(IF(B56&lt;=6,6.6,5.3)*SQRT(DATOS!$C$39))*C56,30)</f>
        <v>63.9930006503165</v>
      </c>
      <c r="G56" s="56">
        <f>MAX(0.075*DATOS!$C$40/SQRT(DATOS!$C$39)*C56,8*C56,15)</f>
        <v>31.6765353219067</v>
      </c>
      <c r="H56" s="56">
        <f>MAX(1.3*F56,30)</f>
        <v>83.1909008454114</v>
      </c>
      <c r="I56" s="56">
        <f>MAX(DATOS!$C$40/(IF(B56&lt;=6,4.4,3.5)*SQRT(DATOS!$C$39))*C56,30)</f>
        <v>95.9895009754747</v>
      </c>
      <c r="J56" s="74" t="inlineStr">
        <is>
          <t>NMX-B-506 / ASTM A615M · L_d: NTC-Concreto 14.4.2.1 y Tabla 14.4.2.4, pp. 352–353 · L_dh: 14.4.3.1, p. 355 · traslape clase B: Tabla 14.5.2.1, p. 367</t>
        </is>
      </c>
    </row>
    <row r="57">
      <c r="B57" s="41" t="n">
        <v>6</v>
      </c>
      <c r="C57" s="43" t="n">
        <v>1.91</v>
      </c>
      <c r="D57" s="43" t="n">
        <v>2.85</v>
      </c>
      <c r="E57" s="36" t="n">
        <v>2.235</v>
      </c>
      <c r="F57" s="56">
        <f>MAX(DATOS!$C$40/(IF(B57&lt;=6,6.6,5.3)*SQRT(DATOS!$C$39))*C57,30)</f>
        <v>76.8720951208204</v>
      </c>
      <c r="G57" s="56">
        <f>MAX(0.075*DATOS!$C$40/SQRT(DATOS!$C$39)*C57,8*C57,15)</f>
        <v>38.0516870848061</v>
      </c>
      <c r="H57" s="56">
        <f>MAX(1.3*F57,30)</f>
        <v>99.9337236570666</v>
      </c>
      <c r="I57" s="56">
        <f>MAX(DATOS!$C$40/(IF(B57&lt;=6,4.4,3.5)*SQRT(DATOS!$C$39))*C57,30)</f>
        <v>115.308142681231</v>
      </c>
      <c r="J57" s="74" t="inlineStr">
        <is>
          <t>NMX-B-506 / ASTM A615M · L_d: NTC-Concreto 14.4.2.1 y Tabla 14.4.2.4, pp. 352–353 · L_dh: 14.4.3.1, p. 355 · traslape clase B: Tabla 14.5.2.1, p. 367</t>
        </is>
      </c>
    </row>
    <row r="58">
      <c r="B58" s="41" t="n">
        <v>8</v>
      </c>
      <c r="C58" s="43" t="n">
        <v>2.54</v>
      </c>
      <c r="D58" s="43" t="n">
        <v>5.07</v>
      </c>
      <c r="E58" s="36" t="n">
        <v>3.973</v>
      </c>
      <c r="F58" s="56">
        <f>MAX(DATOS!$C$40/(IF(B58&lt;=6,6.6,5.3)*SQRT(DATOS!$C$39))*C58,30)</f>
        <v>127.302558787458</v>
      </c>
      <c r="G58" s="56">
        <f>MAX(0.075*DATOS!$C$40/SQRT(DATOS!$C$39)*C58,8*C58,15)</f>
        <v>50.6027671180144</v>
      </c>
      <c r="H58" s="56">
        <f>MAX(1.3*F58,30)</f>
        <v>165.493326423695</v>
      </c>
      <c r="I58" s="56">
        <f>MAX(DATOS!$C$40/(IF(B58&lt;=6,4.4,3.5)*SQRT(DATOS!$C$39))*C58,30)</f>
        <v>192.772446163864</v>
      </c>
      <c r="J58" s="74" t="inlineStr">
        <is>
          <t>NMX-B-506 / ASTM A615M · L_d: NTC-Concreto 14.4.2.1 y Tabla 14.4.2.4, pp. 352–353 · L_dh: 14.4.3.1, p. 355 · traslape clase B: Tabla 14.5.2.1, p. 367</t>
        </is>
      </c>
    </row>
    <row r="59" ht="54" customHeight="1">
      <c r="B59" s="6" t="inlineStr">
        <is>
          <t>L_d (Tabla 14.4.2.4, p. 353) con separación libre ≥ 2d_b y recubrimiento ≥ d_b: fy·d_b/(6.6·√f'c) para No. 6 y menores y fy·d_b/(5.3·√f'c) para No. 7 a No. 11, ≥ 30 cm. «Otros casos» (separación libre &lt; 2d_b o recubrimiento &lt; d_b, sin estribos): fy·d_b/(4.4·√f'c) y fy·d_b/(3.5·√f'c); TABLEROS usa esta columna cuando la nervadura no da la separación. ψp = 1.0 en nervaduras secundarias (h = 25 cm) y en lechos inferiores; en el lecho superior de nervaduras principales con más de 30 cm de concreto debajo (aquí, h ≥ 40 cm) ψp = 1.3 (Tabla 14.4.2.6, p. 354): L_d y traslape × 1.3. Para 1.25 fy (barra inferior de integridad de cada nervadura, 6.7.8.1.7) se multiplica por 1.25. L_dh = el mayor de 0.075·fy·d_b/√f'c, 8d_b y 15 cm; gancho de 90° con extensión de 12d_b (14.4.3.1 a) a c), p. 355; Tabla 14.3.1, p. 349).</t>
        </is>
      </c>
      <c r="C59" s="7" t="n"/>
      <c r="D59" s="7" t="n"/>
      <c r="E59" s="7" t="n"/>
      <c r="F59" s="7" t="n"/>
      <c r="G59" s="7" t="n"/>
      <c r="H59" s="7" t="n"/>
      <c r="I59" s="7" t="n"/>
      <c r="J59" s="7" t="n"/>
      <c r="K59" s="7" t="n"/>
    </row>
    <row r="61" ht="21" customHeight="1">
      <c r="B61" s="5" t="inlineStr">
        <is>
          <t>C. MALLA ELECTROSOLDADA (fy = 5000 kg/cm²; separación 15.24 cm ≤ 5t y ≤ 30 cm entre alambres soldados)</t>
        </is>
      </c>
    </row>
    <row r="62">
      <c r="B62" s="8" t="inlineStr">
        <is>
          <t>Malla</t>
        </is>
      </c>
      <c r="C62" s="8" t="inlineStr">
        <is>
          <t>Ø alambre (mm)</t>
        </is>
      </c>
      <c r="D62" s="8" t="inlineStr">
        <is>
          <t>As (cm²/m)</t>
        </is>
      </c>
      <c r="E62" s="8" t="inlineStr">
        <is>
          <t>kg/m²</t>
        </is>
      </c>
      <c r="F62" s="8" t="inlineStr">
        <is>
          <t>Referencia</t>
        </is>
      </c>
      <c r="G62" s="80" t="n"/>
      <c r="H62" s="80" t="n"/>
      <c r="I62" s="80" t="n"/>
      <c r="J62" s="80" t="n"/>
      <c r="K62" s="33" t="n"/>
    </row>
    <row r="63">
      <c r="B63" s="41" t="inlineStr">
        <is>
          <t>6x6-10/10</t>
        </is>
      </c>
      <c r="C63" s="43" t="n">
        <v>3.43</v>
      </c>
      <c r="D63" s="36">
        <f>PI()*(C63/10)^2/4*100/15.24</f>
        <v>0.606307798724058</v>
      </c>
      <c r="E63" s="43">
        <f>2*PI()*(C63/1000)^2/4*7850/0.1524</f>
        <v>0.951903243996771</v>
      </c>
      <c r="F63" s="74" t="inlineStr">
        <is>
          <t>Calibre de alambre (galga) y separación de 6" = 15.24 cm en las dos direcciones · NMX-B-290 · NTC-Concreto 2.4.2.1.6.3, p. 44 y 6.8.7.3, p. 196 · traslape ≥ un cuadro + 5 cm (14.5.4.1, p. 369)</t>
        </is>
      </c>
    </row>
    <row r="64">
      <c r="B64" s="41" t="inlineStr">
        <is>
          <t>6x6-8/8</t>
        </is>
      </c>
      <c r="C64" s="43" t="n">
        <v>4.11</v>
      </c>
      <c r="D64" s="36">
        <f>PI()*(C64/10)^2/4*100/15.24</f>
        <v>0.870539653275987</v>
      </c>
      <c r="E64" s="43">
        <f>2*PI()*(C64/1000)^2/4*7850/0.1524</f>
        <v>1.3667472556433</v>
      </c>
      <c r="F64" s="74" t="inlineStr">
        <is>
          <t>Calibre de alambre (galga) y separación de 6" = 15.24 cm en las dos direcciones · NMX-B-290 · NTC-Concreto 2.4.2.1.6.3, p. 44 y 6.8.7.3, p. 196 · traslape ≥ un cuadro + 5 cm (14.5.4.1, p. 369)</t>
        </is>
      </c>
    </row>
    <row r="65">
      <c r="B65" s="41" t="inlineStr">
        <is>
          <t>6x6-6/6</t>
        </is>
      </c>
      <c r="C65" s="43" t="n">
        <v>4.88</v>
      </c>
      <c r="D65" s="36">
        <f>PI()*(C65/10)^2/4*100/15.24</f>
        <v>1.22728254740237</v>
      </c>
      <c r="E65" s="43">
        <f>2*PI()*(C65/1000)^2/4*7850/0.1524</f>
        <v>1.92683359942173</v>
      </c>
      <c r="F65" s="74" t="inlineStr">
        <is>
          <t>Calibre de alambre (galga) y separación de 6" = 15.24 cm en las dos direcciones · NMX-B-290 · NTC-Concreto 2.4.2.1.6.3, p. 44 y 6.8.7.3, p. 196 · traslape ≥ un cuadro + 5 cm (14.5.4.1, p. 369)</t>
        </is>
      </c>
    </row>
    <row r="66">
      <c r="B66" s="41" t="inlineStr">
        <is>
          <t>6x6-4/4</t>
        </is>
      </c>
      <c r="C66" s="43" t="n">
        <v>5.72</v>
      </c>
      <c r="D66" s="36">
        <f>PI()*(C66/10)^2/4*100/15.24</f>
        <v>1.68615297042671</v>
      </c>
      <c r="E66" s="43">
        <f>2*PI()*(C66/1000)^2/4*7850/0.1524</f>
        <v>2.64726016356994</v>
      </c>
      <c r="F66" s="74" t="inlineStr">
        <is>
          <t>Calibre de alambre (galga) y separación de 6" = 15.24 cm en las dos direcciones · NMX-B-290 · NTC-Concreto 2.4.2.1.6.3, p. 44 y 6.8.7.3, p. 196 · traslape ≥ un cuadro + 5 cm (14.5.4.1, p. 369)</t>
        </is>
      </c>
    </row>
    <row r="70" ht="21" customHeight="1">
      <c r="B70" s="5" t="inlineStr">
        <is>
          <t>D. LISTAS DE LOS SELECTORES</t>
        </is>
      </c>
    </row>
    <row r="71">
      <c r="B71" s="8" t="inlineStr">
        <is>
          <t>Caso de tablero</t>
        </is>
      </c>
      <c r="C71" s="8" t="inlineStr">
        <is>
          <t>Modo</t>
        </is>
      </c>
      <c r="D71" s="8" t="inlineStr">
        <is>
          <t>Destino</t>
        </is>
      </c>
      <c r="E71" s="8" t="inlineStr">
        <is>
          <t>Extremo de nervadura</t>
        </is>
      </c>
    </row>
    <row r="72">
      <c r="B72" s="37" t="inlineStr">
        <is>
          <t>AUTO</t>
        </is>
      </c>
      <c r="C72" s="37" t="inlineStr">
        <is>
          <t>PERIMETRAL</t>
        </is>
      </c>
      <c r="D72" s="37" t="inlineStr">
        <is>
          <t>HABITACIÓN</t>
        </is>
      </c>
      <c r="E72" s="37" t="inlineStr">
        <is>
          <t>FIRME</t>
        </is>
      </c>
    </row>
    <row r="73">
      <c r="B73" s="37" t="inlineStr">
        <is>
          <t>INTERIOR</t>
        </is>
      </c>
      <c r="C73" s="37" t="inlineStr">
        <is>
          <t>VOLADO</t>
        </is>
      </c>
      <c r="D73" s="37" t="inlineStr">
        <is>
          <t>AZOTEA</t>
        </is>
      </c>
      <c r="E73" s="37" t="inlineStr">
        <is>
          <t>NERVADURA</t>
        </is>
      </c>
    </row>
    <row r="74">
      <c r="B74" s="37" t="inlineStr">
        <is>
          <t>BORDE-CORTO</t>
        </is>
      </c>
      <c r="C74" s="37" t="inlineStr">
        <is>
          <t>HUECO</t>
        </is>
      </c>
      <c r="E74" s="37" t="inlineStr">
        <is>
          <t>PUNTA</t>
        </is>
      </c>
    </row>
    <row r="75">
      <c r="B75" s="37" t="inlineStr">
        <is>
          <t>BORDE-LARGO</t>
        </is>
      </c>
      <c r="E75" s="37" t="inlineStr">
        <is>
          <t>LIBRE</t>
        </is>
      </c>
    </row>
    <row r="76">
      <c r="B76" s="37" t="inlineStr">
        <is>
          <t>ESQUINA</t>
        </is>
      </c>
    </row>
    <row r="77">
      <c r="B77" s="37" t="inlineStr">
        <is>
          <t>EXTREMO-LARGO</t>
        </is>
      </c>
    </row>
    <row r="78">
      <c r="B78" s="37" t="inlineStr">
        <is>
          <t>EXTREMO-CORTO</t>
        </is>
      </c>
    </row>
    <row r="79">
      <c r="B79" s="37" t="inlineStr">
        <is>
          <t>AISLADO</t>
        </is>
      </c>
    </row>
  </sheetData>
  <mergeCells count="21">
    <mergeCell ref="J57:K57"/>
    <mergeCell ref="F66:K66"/>
    <mergeCell ref="F62:K62"/>
    <mergeCell ref="B4:K4"/>
    <mergeCell ref="B50:K50"/>
    <mergeCell ref="J53:K53"/>
    <mergeCell ref="J55:K55"/>
    <mergeCell ref="B59:K59"/>
    <mergeCell ref="J54:K54"/>
    <mergeCell ref="B70:K70"/>
    <mergeCell ref="B2:K2"/>
    <mergeCell ref="B48:K48"/>
    <mergeCell ref="F64:K64"/>
    <mergeCell ref="J56:K56"/>
    <mergeCell ref="B61:K61"/>
    <mergeCell ref="F63:K63"/>
    <mergeCell ref="B1:K1"/>
    <mergeCell ref="F65:K65"/>
    <mergeCell ref="J51:K51"/>
    <mergeCell ref="J58:K58"/>
    <mergeCell ref="J52:K52"/>
  </mergeCells>
  <conditionalFormatting sqref="C1:K81">
    <cfRule type="expression" priority="1" dxfId="0" stopIfTrue="1">
      <formula>OR(ISNUMBER(FIND("NO CUMPLE",C1)),ISNUMBER(FIND("REVISAR",C1)),ISNUMBER(FIND("NO CABE",C1)),ISNUMBER(FIND("FUERA",C1)),ISNUMBER(FIND("SIN APOYO",C1)),ISNUMBER(FIND("INSUFICIENTE",C1)),ISNUMBER(FIND("PENDIENTE",C1)))</formula>
    </cfRule>
    <cfRule type="expression" priority="2" dxfId="1" stopIfTrue="1">
      <formula>OR(ISNUMBER(FIND("CUMPLE",C1)),ISNUMBER(FIND("SÍ aplica",C1)),ISNUMBER(FIND("MANDA",C1)))</formula>
    </cfRule>
    <cfRule type="expression" priority="3" dxfId="2" stopIfTrue="1">
      <formula>OR(ISNUMBER(FIND("MACIZAR",C1)),ISNUMBER(FIND("VOLADO",C1)),ISNUMBER(FIND("PROPUESTO",C1)),ISNUMBER(FIND("VER ",C1)))</formula>
    </cfRule>
  </conditionalFormatting>
  <pageMargins left="0.75" right="0.75" top="1" bottom="1" header="0.5" footer="0.5"/>
  <pageSetup orientation="landscape" paperSize="1" fitToHeight="0" fitToWidth="1"/>
</worksheet>
</file>

<file path=xl/worksheets/sheet13.xml><?xml version="1.0" encoding="utf-8"?>
<worksheet xmlns="http://schemas.openxmlformats.org/spreadsheetml/2006/main">
  <sheetPr>
    <outlinePr summaryBelow="1" summaryRight="1"/>
    <pageSetUpPr fitToPage="1"/>
  </sheetPr>
  <dimension ref="B1:M25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78" customWidth="1" min="1" max="1"/>
    <col width="9" customWidth="1" min="2" max="2"/>
    <col width="15" customWidth="1" min="3" max="3"/>
    <col width="8" customWidth="1" min="4" max="4"/>
    <col width="9" customWidth="1" min="5" max="5"/>
    <col width="10" customWidth="1" min="6" max="6"/>
    <col width="9" customWidth="1" min="7" max="7"/>
    <col width="9" customWidth="1" min="8" max="8"/>
    <col width="9" customWidth="1" min="9" max="9"/>
    <col width="9" customWidth="1" min="10" max="10"/>
    <col width="34" customWidth="1" min="11" max="11"/>
    <col width="9" customWidth="1" min="12" max="12"/>
    <col width="9" customWidth="1" min="13" max="13"/>
  </cols>
  <sheetData>
    <row r="1" ht="26" customHeight="1">
      <c r="B1" s="68" t="inlineStr">
        <is>
          <t>TRIB — ÁREAS TRIBUTARIAS DEL DXF POR TRAMO DE NERVADURA PRINCIPAL O DE MURO</t>
        </is>
      </c>
    </row>
    <row r="2" ht="30" customHeight="1">
      <c r="B2" s="84" t="inlineStr">
        <is>
          <t>Cada polígono de la capa TRIB_AREA de AREAS_TRIBUTARIAS_R3.2.dxf se asignó al tramo sobre el que descansa su base (repartido por proyección cuando cae sobre dos tramos). Las áreas son datos; la carga se recalcula con el w del tablero. Las bajadas por áreas tributarias son admisibles (NTC-Mampostería 3.1.2.2.1, p. 31).</t>
        </is>
      </c>
    </row>
    <row r="5" ht="30" customHeight="1">
      <c r="B5" s="8" t="inlineStr">
        <is>
          <t>Tramo</t>
        </is>
      </c>
      <c r="C5" s="8" t="inlineStr">
        <is>
          <t>Tablero</t>
        </is>
      </c>
      <c r="D5" s="8" t="inlineStr">
        <is>
          <t>Nivel</t>
        </is>
      </c>
      <c r="E5" s="8" t="inlineStr">
        <is>
          <t>Área (m²)</t>
        </is>
      </c>
      <c r="F5" s="8" t="inlineStr">
        <is>
          <t>w_u del tablero (kg/m²)</t>
        </is>
      </c>
      <c r="G5" s="8" t="inlineStr">
        <is>
          <t>Carga última (t)</t>
        </is>
      </c>
      <c r="H5" s="8" t="inlineStr">
        <is>
          <t>w serv. (kg/m²)</t>
        </is>
      </c>
      <c r="I5" s="8" t="inlineStr">
        <is>
          <t>Carga servicio (t)</t>
        </is>
      </c>
      <c r="J5" s="8" t="inlineStr">
        <is>
          <t>Tipo</t>
        </is>
      </c>
      <c r="K5" s="8" t="inlineStr">
        <is>
          <t>Estado del tramo</t>
        </is>
      </c>
      <c r="L5" s="8" t="inlineStr">
        <is>
          <t>Carga viva W_m (t)</t>
        </is>
      </c>
      <c r="M5" s="8" t="inlineStr">
        <is>
          <t>Carga viva media W (t)</t>
        </is>
      </c>
    </row>
    <row r="6">
      <c r="B6" s="41" t="inlineStr">
        <is>
          <t>NP-20</t>
        </is>
      </c>
      <c r="C6" s="41" t="inlineStr">
        <is>
          <t>F80001 N+3.00</t>
        </is>
      </c>
      <c r="D6" s="41" t="inlineStr">
        <is>
          <t>N+3.00</t>
        </is>
      </c>
      <c r="E6" s="54" t="n">
        <v>0.251</v>
      </c>
      <c r="F6" s="56">
        <f>TABLEROS!$Y$9</f>
        <v>907.275510204082</v>
      </c>
      <c r="G6" s="36">
        <f>E6*F6/1000</f>
        <v>0.227726153061224</v>
      </c>
      <c r="H6" s="56">
        <f>TABLEROS!$X$9</f>
        <v>668.673469387755</v>
      </c>
      <c r="I6" s="36">
        <f>E6*H6/1000</f>
        <v>0.167837040816327</v>
      </c>
      <c r="J6" s="41" t="inlineStr">
        <is>
          <t>NP</t>
        </is>
      </c>
      <c r="K6" s="37" t="str">
        <f>PRINCIPALES!$BZ$28</f>
        <v>CUMPLE</v>
      </c>
      <c r="L6" s="36">
        <f>E6*TABLEROS!$U$9/1000</f>
        <v>0.04769</v>
      </c>
      <c r="M6" s="36">
        <f>E6*IF(TABLEROS!$E$9="HABITACIÓN",DATOS!$C$91,DATOS!$C$94)/1000</f>
        <v>0.02008</v>
      </c>
    </row>
    <row r="7">
      <c r="B7" s="41" t="inlineStr">
        <is>
          <t>NP-02</t>
        </is>
      </c>
      <c r="C7" s="41" t="inlineStr">
        <is>
          <t>F80001 N+3.00</t>
        </is>
      </c>
      <c r="D7" s="41" t="inlineStr">
        <is>
          <t>N+3.00</t>
        </is>
      </c>
      <c r="E7" s="54" t="n">
        <v>1.9168</v>
      </c>
      <c r="F7" s="56">
        <f>TABLEROS!$Y$9</f>
        <v>907.275510204082</v>
      </c>
      <c r="G7" s="36">
        <f>E7*F7/1000</f>
        <v>1.73906569795918</v>
      </c>
      <c r="H7" s="56">
        <f>TABLEROS!$X$9</f>
        <v>668.673469387755</v>
      </c>
      <c r="I7" s="36">
        <f>E7*H7/1000</f>
        <v>1.28171330612245</v>
      </c>
      <c r="J7" s="41" t="inlineStr">
        <is>
          <t>NP</t>
        </is>
      </c>
      <c r="K7" s="37" t="str">
        <f>PRINCIPALES!$BZ$10</f>
        <v>CUMPLE</v>
      </c>
      <c r="L7" s="36">
        <f>E7*TABLEROS!$U$9/1000</f>
        <v>0.364192</v>
      </c>
      <c r="M7" s="36">
        <f>E7*IF(TABLEROS!$E$9="HABITACIÓN",DATOS!$C$91,DATOS!$C$94)/1000</f>
        <v>0.153344</v>
      </c>
    </row>
    <row r="8">
      <c r="B8" s="41" t="inlineStr">
        <is>
          <t>DM-32</t>
        </is>
      </c>
      <c r="C8" s="41" t="inlineStr">
        <is>
          <t>F80001 N+3.00</t>
        </is>
      </c>
      <c r="D8" s="41" t="inlineStr">
        <is>
          <t>N+3.00</t>
        </is>
      </c>
      <c r="E8" s="54" t="n">
        <v>0.251</v>
      </c>
      <c r="F8" s="56">
        <f>TABLEROS!$Y$9</f>
        <v>907.275510204082</v>
      </c>
      <c r="G8" s="36">
        <f>E8*F8/1000</f>
        <v>0.227726153061224</v>
      </c>
      <c r="H8" s="56">
        <f>TABLEROS!$X$9</f>
        <v>668.673469387755</v>
      </c>
      <c r="I8" s="36">
        <f>E8*H8/1000</f>
        <v>0.167837040816327</v>
      </c>
      <c r="J8" s="41" t="inlineStr">
        <is>
          <t>DM</t>
        </is>
      </c>
      <c r="K8" s="37" t="inlineStr">
        <is>
          <t>sobre muro</t>
        </is>
      </c>
      <c r="L8" s="36">
        <f>E8*TABLEROS!$U$9/1000</f>
        <v>0.04769</v>
      </c>
      <c r="M8" s="36">
        <f>E8*IF(TABLEROS!$E$9="HABITACIÓN",DATOS!$C$91,DATOS!$C$94)/1000</f>
        <v>0.02008</v>
      </c>
    </row>
    <row r="9">
      <c r="B9" s="41" t="inlineStr">
        <is>
          <t>NP-01</t>
        </is>
      </c>
      <c r="C9" s="41" t="inlineStr">
        <is>
          <t>F80001 N+3.00</t>
        </is>
      </c>
      <c r="D9" s="41" t="inlineStr">
        <is>
          <t>N+3.00</t>
        </is>
      </c>
      <c r="E9" s="54" t="n">
        <v>1.9168</v>
      </c>
      <c r="F9" s="56">
        <f>TABLEROS!$Y$9</f>
        <v>907.275510204082</v>
      </c>
      <c r="G9" s="36">
        <f>E9*F9/1000</f>
        <v>1.73906569795918</v>
      </c>
      <c r="H9" s="56">
        <f>TABLEROS!$X$9</f>
        <v>668.673469387755</v>
      </c>
      <c r="I9" s="36">
        <f>E9*H9/1000</f>
        <v>1.28171330612245</v>
      </c>
      <c r="J9" s="41" t="inlineStr">
        <is>
          <t>NP</t>
        </is>
      </c>
      <c r="K9" s="37" t="str">
        <f>PRINCIPALES!$BZ$9</f>
        <v>CUMPLE</v>
      </c>
      <c r="L9" s="36">
        <f>E9*TABLEROS!$U$9/1000</f>
        <v>0.364192</v>
      </c>
      <c r="M9" s="36">
        <f>E9*IF(TABLEROS!$E$9="HABITACIÓN",DATOS!$C$91,DATOS!$C$94)/1000</f>
        <v>0.153344</v>
      </c>
    </row>
    <row r="10">
      <c r="B10" s="41" t="inlineStr">
        <is>
          <t>NP-02</t>
        </is>
      </c>
      <c r="C10" s="41" t="inlineStr">
        <is>
          <t>F80003 N+3.00</t>
        </is>
      </c>
      <c r="D10" s="41" t="inlineStr">
        <is>
          <t>N+3.00</t>
        </is>
      </c>
      <c r="E10" s="54" t="n">
        <v>3.7943</v>
      </c>
      <c r="F10" s="56">
        <f>TABLEROS!$Y$10</f>
        <v>874.775510204082</v>
      </c>
      <c r="G10" s="36">
        <f>E10*F10/1000</f>
        <v>3.31916071836735</v>
      </c>
      <c r="H10" s="56">
        <f>TABLEROS!$X$10</f>
        <v>643.673469387755</v>
      </c>
      <c r="I10" s="36">
        <f>E10*H10/1000</f>
        <v>2.44229024489796</v>
      </c>
      <c r="J10" s="41" t="inlineStr">
        <is>
          <t>NP</t>
        </is>
      </c>
      <c r="K10" s="37" t="str">
        <f>PRINCIPALES!$BZ$10</f>
        <v>CUMPLE</v>
      </c>
      <c r="L10" s="36">
        <f>E10*TABLEROS!$U$10/1000</f>
        <v>0.720917</v>
      </c>
      <c r="M10" s="36">
        <f>E10*IF(TABLEROS!$E$10="HABITACIÓN",DATOS!$C$91,DATOS!$C$94)/1000</f>
        <v>0.303544</v>
      </c>
    </row>
    <row r="11">
      <c r="B11" s="41" t="inlineStr">
        <is>
          <t>NP-21</t>
        </is>
      </c>
      <c r="C11" s="41" t="inlineStr">
        <is>
          <t>F80003 N+3.00</t>
        </is>
      </c>
      <c r="D11" s="41" t="inlineStr">
        <is>
          <t>N+3.00</t>
        </is>
      </c>
      <c r="E11" s="54" t="n">
        <v>2.2754</v>
      </c>
      <c r="F11" s="56">
        <f>TABLEROS!$Y$10</f>
        <v>874.775510204082</v>
      </c>
      <c r="G11" s="36">
        <f>E11*F11/1000</f>
        <v>1.99046419591837</v>
      </c>
      <c r="H11" s="56">
        <f>TABLEROS!$X$10</f>
        <v>643.673469387755</v>
      </c>
      <c r="I11" s="36">
        <f>E11*H11/1000</f>
        <v>1.4646146122449</v>
      </c>
      <c r="J11" s="41" t="inlineStr">
        <is>
          <t>NP</t>
        </is>
      </c>
      <c r="K11" s="37" t="str">
        <f>PRINCIPALES!$BZ$29</f>
        <v>CUMPLE</v>
      </c>
      <c r="L11" s="36">
        <f>E11*TABLEROS!$U$10/1000</f>
        <v>0.432326</v>
      </c>
      <c r="M11" s="36">
        <f>E11*IF(TABLEROS!$E$10="HABITACIÓN",DATOS!$C$91,DATOS!$C$94)/1000</f>
        <v>0.182032</v>
      </c>
    </row>
    <row r="12">
      <c r="B12" s="41" t="inlineStr">
        <is>
          <t>DM-03</t>
        </is>
      </c>
      <c r="C12" s="41" t="inlineStr">
        <is>
          <t>F80003 N+3.00</t>
        </is>
      </c>
      <c r="D12" s="41" t="inlineStr">
        <is>
          <t>N+3.00</t>
        </is>
      </c>
      <c r="E12" s="54" t="n">
        <v>0.5723</v>
      </c>
      <c r="F12" s="56">
        <f>TABLEROS!$Y$10</f>
        <v>874.775510204082</v>
      </c>
      <c r="G12" s="36">
        <f>E12*F12/1000</f>
        <v>0.500634024489796</v>
      </c>
      <c r="H12" s="56">
        <f>TABLEROS!$X$10</f>
        <v>643.673469387755</v>
      </c>
      <c r="I12" s="36">
        <f>E12*H12/1000</f>
        <v>0.368374326530612</v>
      </c>
      <c r="J12" s="41" t="inlineStr">
        <is>
          <t>DM</t>
        </is>
      </c>
      <c r="K12" s="37" t="inlineStr">
        <is>
          <t>sobre muro</t>
        </is>
      </c>
      <c r="L12" s="36">
        <f>E12*TABLEROS!$U$10/1000</f>
        <v>0.108737</v>
      </c>
      <c r="M12" s="36">
        <f>E12*IF(TABLEROS!$E$10="HABITACIÓN",DATOS!$C$91,DATOS!$C$94)/1000</f>
        <v>0.045784</v>
      </c>
    </row>
    <row r="13">
      <c r="B13" s="41" t="inlineStr">
        <is>
          <t>DM-04</t>
        </is>
      </c>
      <c r="C13" s="41" t="inlineStr">
        <is>
          <t>F80003 N+3.00</t>
        </is>
      </c>
      <c r="D13" s="41" t="inlineStr">
        <is>
          <t>N+3.00</t>
        </is>
      </c>
      <c r="E13" s="54" t="n">
        <v>0.2305</v>
      </c>
      <c r="F13" s="56">
        <f>TABLEROS!$Y$10</f>
        <v>874.775510204082</v>
      </c>
      <c r="G13" s="36">
        <f>E13*F13/1000</f>
        <v>0.201635755102041</v>
      </c>
      <c r="H13" s="56">
        <f>TABLEROS!$X$10</f>
        <v>643.673469387755</v>
      </c>
      <c r="I13" s="36">
        <f>E13*H13/1000</f>
        <v>0.148366734693878</v>
      </c>
      <c r="J13" s="41" t="inlineStr">
        <is>
          <t>DM</t>
        </is>
      </c>
      <c r="K13" s="37" t="inlineStr">
        <is>
          <t>sobre muro</t>
        </is>
      </c>
      <c r="L13" s="36">
        <f>E13*TABLEROS!$U$10/1000</f>
        <v>0.043795</v>
      </c>
      <c r="M13" s="36">
        <f>E13*IF(TABLEROS!$E$10="HABITACIÓN",DATOS!$C$91,DATOS!$C$94)/1000</f>
        <v>0.01844</v>
      </c>
    </row>
    <row r="14">
      <c r="B14" s="41" t="inlineStr">
        <is>
          <t>DM-44</t>
        </is>
      </c>
      <c r="C14" s="41" t="inlineStr">
        <is>
          <t>F80003 N+3.00</t>
        </is>
      </c>
      <c r="D14" s="41" t="inlineStr">
        <is>
          <t>N+3.00</t>
        </is>
      </c>
      <c r="E14" s="54" t="n">
        <v>0.18</v>
      </c>
      <c r="F14" s="56">
        <f>TABLEROS!$Y$10</f>
        <v>874.775510204082</v>
      </c>
      <c r="G14" s="36">
        <f>E14*F14/1000</f>
        <v>0.157459591836735</v>
      </c>
      <c r="H14" s="56">
        <f>TABLEROS!$X$10</f>
        <v>643.673469387755</v>
      </c>
      <c r="I14" s="36">
        <f>E14*H14/1000</f>
        <v>0.115861224489796</v>
      </c>
      <c r="J14" s="41" t="inlineStr">
        <is>
          <t>DM</t>
        </is>
      </c>
      <c r="K14" s="37" t="inlineStr">
        <is>
          <t>sobre muro</t>
        </is>
      </c>
      <c r="L14" s="36">
        <f>E14*TABLEROS!$U$10/1000</f>
        <v>0.0342</v>
      </c>
      <c r="M14" s="36">
        <f>E14*IF(TABLEROS!$E$10="HABITACIÓN",DATOS!$C$91,DATOS!$C$94)/1000</f>
        <v>0.0144</v>
      </c>
    </row>
    <row r="15">
      <c r="B15" s="41" t="inlineStr">
        <is>
          <t>DM-01</t>
        </is>
      </c>
      <c r="C15" s="41" t="inlineStr">
        <is>
          <t>F80003 N+3.00</t>
        </is>
      </c>
      <c r="D15" s="41" t="inlineStr">
        <is>
          <t>N+3.00</t>
        </is>
      </c>
      <c r="E15" s="54" t="n">
        <v>0.5778</v>
      </c>
      <c r="F15" s="56">
        <f>TABLEROS!$Y$10</f>
        <v>874.775510204082</v>
      </c>
      <c r="G15" s="36">
        <f>E15*F15/1000</f>
        <v>0.505445289795918</v>
      </c>
      <c r="H15" s="56">
        <f>TABLEROS!$X$10</f>
        <v>643.673469387755</v>
      </c>
      <c r="I15" s="36">
        <f>E15*H15/1000</f>
        <v>0.371914530612245</v>
      </c>
      <c r="J15" s="41" t="inlineStr">
        <is>
          <t>DM</t>
        </is>
      </c>
      <c r="K15" s="37" t="inlineStr">
        <is>
          <t>sobre muro</t>
        </is>
      </c>
      <c r="L15" s="36">
        <f>E15*TABLEROS!$U$10/1000</f>
        <v>0.109782</v>
      </c>
      <c r="M15" s="36">
        <f>E15*IF(TABLEROS!$E$10="HABITACIÓN",DATOS!$C$91,DATOS!$C$94)/1000</f>
        <v>0.046224</v>
      </c>
    </row>
    <row r="16">
      <c r="B16" s="41" t="inlineStr">
        <is>
          <t>DM-02</t>
        </is>
      </c>
      <c r="C16" s="41" t="inlineStr">
        <is>
          <t>F80003 N+3.00</t>
        </is>
      </c>
      <c r="D16" s="41" t="inlineStr">
        <is>
          <t>N+3.00</t>
        </is>
      </c>
      <c r="E16" s="54" t="n">
        <v>2.2337</v>
      </c>
      <c r="F16" s="56">
        <f>TABLEROS!$Y$10</f>
        <v>874.775510204082</v>
      </c>
      <c r="G16" s="36">
        <f>E16*F16/1000</f>
        <v>1.95398605714286</v>
      </c>
      <c r="H16" s="56">
        <f>TABLEROS!$X$10</f>
        <v>643.673469387755</v>
      </c>
      <c r="I16" s="36">
        <f>E16*H16/1000</f>
        <v>1.43777342857143</v>
      </c>
      <c r="J16" s="41" t="inlineStr">
        <is>
          <t>DM</t>
        </is>
      </c>
      <c r="K16" s="37" t="inlineStr">
        <is>
          <t>sobre muro</t>
        </is>
      </c>
      <c r="L16" s="36">
        <f>E16*TABLEROS!$U$10/1000</f>
        <v>0.424403</v>
      </c>
      <c r="M16" s="36">
        <f>E16*IF(TABLEROS!$E$10="HABITACIÓN",DATOS!$C$91,DATOS!$C$94)/1000</f>
        <v>0.178696</v>
      </c>
    </row>
    <row r="17">
      <c r="B17" s="41" t="inlineStr">
        <is>
          <t>DM-33</t>
        </is>
      </c>
      <c r="C17" s="41" t="inlineStr">
        <is>
          <t>F80003 N+3.00</t>
        </is>
      </c>
      <c r="D17" s="41" t="inlineStr">
        <is>
          <t>N+3.00</t>
        </is>
      </c>
      <c r="E17" s="54" t="n">
        <v>1.4702</v>
      </c>
      <c r="F17" s="56">
        <f>TABLEROS!$Y$10</f>
        <v>874.775510204082</v>
      </c>
      <c r="G17" s="36">
        <f>E17*F17/1000</f>
        <v>1.28609495510204</v>
      </c>
      <c r="H17" s="56">
        <f>TABLEROS!$X$10</f>
        <v>643.673469387755</v>
      </c>
      <c r="I17" s="36">
        <f>E17*H17/1000</f>
        <v>0.946328734693878</v>
      </c>
      <c r="J17" s="41" t="inlineStr">
        <is>
          <t>DM</t>
        </is>
      </c>
      <c r="K17" s="37" t="inlineStr">
        <is>
          <t>sobre muro</t>
        </is>
      </c>
      <c r="L17" s="36">
        <f>E17*TABLEROS!$U$10/1000</f>
        <v>0.279338</v>
      </c>
      <c r="M17" s="36">
        <f>E17*IF(TABLEROS!$E$10="HABITACIÓN",DATOS!$C$91,DATOS!$C$94)/1000</f>
        <v>0.117616</v>
      </c>
    </row>
    <row r="18">
      <c r="B18" s="41" t="inlineStr">
        <is>
          <t>DM-04</t>
        </is>
      </c>
      <c r="C18" s="41" t="inlineStr">
        <is>
          <t>F80004 N+3.00</t>
        </is>
      </c>
      <c r="D18" s="41" t="inlineStr">
        <is>
          <t>N+3.00</t>
        </is>
      </c>
      <c r="E18" s="54" t="n">
        <v>0.4415</v>
      </c>
      <c r="F18" s="56">
        <f>TABLEROS!$Y$11</f>
        <v>965.775510204082</v>
      </c>
      <c r="G18" s="36">
        <f>E18*F18/1000</f>
        <v>0.426389887755102</v>
      </c>
      <c r="H18" s="56">
        <f>TABLEROS!$X$11</f>
        <v>713.673469387755</v>
      </c>
      <c r="I18" s="36">
        <f>E18*H18/1000</f>
        <v>0.315086836734694</v>
      </c>
      <c r="J18" s="41" t="inlineStr">
        <is>
          <t>DM</t>
        </is>
      </c>
      <c r="K18" s="37" t="inlineStr">
        <is>
          <t>sobre muro</t>
        </is>
      </c>
      <c r="L18" s="36">
        <f>E18*TABLEROS!$U$11/1000</f>
        <v>0.083885</v>
      </c>
      <c r="M18" s="36">
        <f>E18*IF(TABLEROS!$E$11="HABITACIÓN",DATOS!$C$91,DATOS!$C$94)/1000</f>
        <v>0.03532</v>
      </c>
    </row>
    <row r="19">
      <c r="B19" s="41" t="inlineStr">
        <is>
          <t>DM-05</t>
        </is>
      </c>
      <c r="C19" s="41" t="inlineStr">
        <is>
          <t>F80004 N+3.00</t>
        </is>
      </c>
      <c r="D19" s="41" t="inlineStr">
        <is>
          <t>N+3.00</t>
        </is>
      </c>
      <c r="E19" s="54" t="n">
        <v>0.1953</v>
      </c>
      <c r="F19" s="56">
        <f>TABLEROS!$Y$11</f>
        <v>965.775510204082</v>
      </c>
      <c r="G19" s="36">
        <f>E19*F19/1000</f>
        <v>0.188615957142857</v>
      </c>
      <c r="H19" s="56">
        <f>TABLEROS!$X$11</f>
        <v>713.673469387755</v>
      </c>
      <c r="I19" s="36">
        <f>E19*H19/1000</f>
        <v>0.139380428571429</v>
      </c>
      <c r="J19" s="41" t="inlineStr">
        <is>
          <t>DM</t>
        </is>
      </c>
      <c r="K19" s="37" t="inlineStr">
        <is>
          <t>sobre muro</t>
        </is>
      </c>
      <c r="L19" s="36">
        <f>E19*TABLEROS!$U$11/1000</f>
        <v>0.037107</v>
      </c>
      <c r="M19" s="36">
        <f>E19*IF(TABLEROS!$E$11="HABITACIÓN",DATOS!$C$91,DATOS!$C$94)/1000</f>
        <v>0.015624</v>
      </c>
    </row>
    <row r="20">
      <c r="B20" s="41" t="inlineStr">
        <is>
          <t>NP-21</t>
        </is>
      </c>
      <c r="C20" s="41" t="inlineStr">
        <is>
          <t>F80004 N+3.00</t>
        </is>
      </c>
      <c r="D20" s="41" t="inlineStr">
        <is>
          <t>N+3.00</t>
        </is>
      </c>
      <c r="E20" s="54" t="n">
        <v>1.7771</v>
      </c>
      <c r="F20" s="56">
        <f>TABLEROS!$Y$11</f>
        <v>965.775510204082</v>
      </c>
      <c r="G20" s="36">
        <f>E20*F20/1000</f>
        <v>1.71627965918367</v>
      </c>
      <c r="H20" s="56">
        <f>TABLEROS!$X$11</f>
        <v>713.673469387755</v>
      </c>
      <c r="I20" s="36">
        <f>E20*H20/1000</f>
        <v>1.26826912244898</v>
      </c>
      <c r="J20" s="41" t="inlineStr">
        <is>
          <t>NP</t>
        </is>
      </c>
      <c r="K20" s="37" t="str">
        <f>PRINCIPALES!$BZ$29</f>
        <v>CUMPLE</v>
      </c>
      <c r="L20" s="36">
        <f>E20*TABLEROS!$U$11/1000</f>
        <v>0.337649</v>
      </c>
      <c r="M20" s="36">
        <f>E20*IF(TABLEROS!$E$11="HABITACIÓN",DATOS!$C$91,DATOS!$C$94)/1000</f>
        <v>0.142168</v>
      </c>
    </row>
    <row r="21">
      <c r="B21" s="41" t="inlineStr">
        <is>
          <t>NP-03</t>
        </is>
      </c>
      <c r="C21" s="41" t="inlineStr">
        <is>
          <t>F80004 N+3.00</t>
        </is>
      </c>
      <c r="D21" s="41" t="inlineStr">
        <is>
          <t>N+3.00</t>
        </is>
      </c>
      <c r="E21" s="54" t="n">
        <v>0.6368</v>
      </c>
      <c r="F21" s="56">
        <f>TABLEROS!$Y$11</f>
        <v>965.775510204082</v>
      </c>
      <c r="G21" s="36">
        <f>E21*F21/1000</f>
        <v>0.615005844897959</v>
      </c>
      <c r="H21" s="56">
        <f>TABLEROS!$X$11</f>
        <v>713.673469387755</v>
      </c>
      <c r="I21" s="36">
        <f>E21*H21/1000</f>
        <v>0.454467265306122</v>
      </c>
      <c r="J21" s="41" t="inlineStr">
        <is>
          <t>NP</t>
        </is>
      </c>
      <c r="K21" s="37" t="str">
        <f>PRINCIPALES!$BZ$11</f>
        <v>CUMPLE</v>
      </c>
      <c r="L21" s="36">
        <f>E21*TABLEROS!$U$11/1000</f>
        <v>0.120992</v>
      </c>
      <c r="M21" s="36">
        <f>E21*IF(TABLEROS!$E$11="HABITACIÓN",DATOS!$C$91,DATOS!$C$94)/1000</f>
        <v>0.050944</v>
      </c>
    </row>
    <row r="22">
      <c r="B22" s="41" t="inlineStr">
        <is>
          <t>NP-29</t>
        </is>
      </c>
      <c r="C22" s="41" t="inlineStr">
        <is>
          <t>F80004 N+3.00</t>
        </is>
      </c>
      <c r="D22" s="41" t="inlineStr">
        <is>
          <t>N+3.00</t>
        </is>
      </c>
      <c r="E22" s="54" t="n">
        <v>1.7771</v>
      </c>
      <c r="F22" s="56">
        <f>TABLEROS!$Y$11</f>
        <v>965.775510204082</v>
      </c>
      <c r="G22" s="36">
        <f>E22*F22/1000</f>
        <v>1.71627965918367</v>
      </c>
      <c r="H22" s="56">
        <f>TABLEROS!$X$11</f>
        <v>713.673469387755</v>
      </c>
      <c r="I22" s="36">
        <f>E22*H22/1000</f>
        <v>1.26826912244898</v>
      </c>
      <c r="J22" s="41" t="inlineStr">
        <is>
          <t>NP</t>
        </is>
      </c>
      <c r="K22" s="37" t="str">
        <f>PRINCIPALES!$BZ$37</f>
        <v>CUMPLE</v>
      </c>
      <c r="L22" s="36">
        <f>E22*TABLEROS!$U$11/1000</f>
        <v>0.337649</v>
      </c>
      <c r="M22" s="36">
        <f>E22*IF(TABLEROS!$E$11="HABITACIÓN",DATOS!$C$91,DATOS!$C$94)/1000</f>
        <v>0.142168</v>
      </c>
    </row>
    <row r="23">
      <c r="B23" s="41" t="inlineStr">
        <is>
          <t>DM-01</t>
        </is>
      </c>
      <c r="C23" s="41" t="inlineStr">
        <is>
          <t>F80005 N+3.00</t>
        </is>
      </c>
      <c r="D23" s="41" t="inlineStr">
        <is>
          <t>N+3.00</t>
        </is>
      </c>
      <c r="E23" s="54" t="n">
        <v>0.5403</v>
      </c>
      <c r="F23" s="56">
        <f>TABLEROS!$Y$12</f>
        <v>874.775510204082</v>
      </c>
      <c r="G23" s="36">
        <f>E23*F23/1000</f>
        <v>0.472641208163265</v>
      </c>
      <c r="H23" s="56">
        <f>TABLEROS!$X$12</f>
        <v>643.673469387755</v>
      </c>
      <c r="I23" s="36">
        <f>E23*H23/1000</f>
        <v>0.347776775510204</v>
      </c>
      <c r="J23" s="41" t="inlineStr">
        <is>
          <t>DM</t>
        </is>
      </c>
      <c r="K23" s="37" t="inlineStr">
        <is>
          <t>sobre muro</t>
        </is>
      </c>
      <c r="L23" s="36">
        <f>E23*TABLEROS!$U$12/1000</f>
        <v>0.102657</v>
      </c>
      <c r="M23" s="36">
        <f>E23*IF(TABLEROS!$E$12="HABITACIÓN",DATOS!$C$91,DATOS!$C$94)/1000</f>
        <v>0.043224</v>
      </c>
    </row>
    <row r="24">
      <c r="B24" s="41" t="inlineStr">
        <is>
          <t>DM-02</t>
        </is>
      </c>
      <c r="C24" s="41" t="inlineStr">
        <is>
          <t>F80005 N+3.00</t>
        </is>
      </c>
      <c r="D24" s="41" t="inlineStr">
        <is>
          <t>N+3.00</t>
        </is>
      </c>
      <c r="E24" s="54" t="n">
        <v>1.161</v>
      </c>
      <c r="F24" s="56">
        <f>TABLEROS!$Y$12</f>
        <v>874.775510204082</v>
      </c>
      <c r="G24" s="36">
        <f>E24*F24/1000</f>
        <v>1.01561436734694</v>
      </c>
      <c r="H24" s="56">
        <f>TABLEROS!$X$12</f>
        <v>643.673469387755</v>
      </c>
      <c r="I24" s="36">
        <f>E24*H24/1000</f>
        <v>0.747304897959184</v>
      </c>
      <c r="J24" s="41" t="inlineStr">
        <is>
          <t>DM</t>
        </is>
      </c>
      <c r="K24" s="37" t="inlineStr">
        <is>
          <t>sobre muro</t>
        </is>
      </c>
      <c r="L24" s="36">
        <f>E24*TABLEROS!$U$12/1000</f>
        <v>0.22059</v>
      </c>
      <c r="M24" s="36">
        <f>E24*IF(TABLEROS!$E$12="HABITACIÓN",DATOS!$C$91,DATOS!$C$94)/1000</f>
        <v>0.09288</v>
      </c>
    </row>
    <row r="25">
      <c r="B25" s="41" t="inlineStr">
        <is>
          <t>DM-44</t>
        </is>
      </c>
      <c r="C25" s="41" t="inlineStr">
        <is>
          <t>F80005 N+3.00</t>
        </is>
      </c>
      <c r="D25" s="41" t="inlineStr">
        <is>
          <t>N+3.00</t>
        </is>
      </c>
      <c r="E25" s="54" t="n">
        <v>0.18</v>
      </c>
      <c r="F25" s="56">
        <f>TABLEROS!$Y$12</f>
        <v>874.775510204082</v>
      </c>
      <c r="G25" s="36">
        <f>E25*F25/1000</f>
        <v>0.157459591836735</v>
      </c>
      <c r="H25" s="56">
        <f>TABLEROS!$X$12</f>
        <v>643.673469387755</v>
      </c>
      <c r="I25" s="36">
        <f>E25*H25/1000</f>
        <v>0.115861224489796</v>
      </c>
      <c r="J25" s="41" t="inlineStr">
        <is>
          <t>DM</t>
        </is>
      </c>
      <c r="K25" s="37" t="inlineStr">
        <is>
          <t>sobre muro</t>
        </is>
      </c>
      <c r="L25" s="36">
        <f>E25*TABLEROS!$U$12/1000</f>
        <v>0.0342</v>
      </c>
      <c r="M25" s="36">
        <f>E25*IF(TABLEROS!$E$12="HABITACIÓN",DATOS!$C$91,DATOS!$C$94)/1000</f>
        <v>0.0144</v>
      </c>
    </row>
    <row r="26">
      <c r="B26" s="41" t="inlineStr">
        <is>
          <t>DM-45</t>
        </is>
      </c>
      <c r="C26" s="41" t="inlineStr">
        <is>
          <t>F80005 N+3.00</t>
        </is>
      </c>
      <c r="D26" s="41" t="inlineStr">
        <is>
          <t>N+3.00</t>
        </is>
      </c>
      <c r="E26" s="54" t="n">
        <v>0.065</v>
      </c>
      <c r="F26" s="56">
        <f>TABLEROS!$Y$12</f>
        <v>874.775510204082</v>
      </c>
      <c r="G26" s="36">
        <f>E26*F26/1000</f>
        <v>0.0568604081632653</v>
      </c>
      <c r="H26" s="56">
        <f>TABLEROS!$X$12</f>
        <v>643.673469387755</v>
      </c>
      <c r="I26" s="36">
        <f>E26*H26/1000</f>
        <v>0.0418387755102041</v>
      </c>
      <c r="J26" s="41" t="inlineStr">
        <is>
          <t>DM</t>
        </is>
      </c>
      <c r="K26" s="37" t="inlineStr">
        <is>
          <t>sobre muro</t>
        </is>
      </c>
      <c r="L26" s="36">
        <f>E26*TABLEROS!$U$12/1000</f>
        <v>0.01235</v>
      </c>
      <c r="M26" s="36">
        <f>E26*IF(TABLEROS!$E$12="HABITACIÓN",DATOS!$C$91,DATOS!$C$94)/1000</f>
        <v>0.0052</v>
      </c>
    </row>
    <row r="27">
      <c r="B27" s="41" t="inlineStr">
        <is>
          <t>DM-46</t>
        </is>
      </c>
      <c r="C27" s="41" t="inlineStr">
        <is>
          <t>F80005 N+3.00</t>
        </is>
      </c>
      <c r="D27" s="41" t="inlineStr">
        <is>
          <t>N+3.00</t>
        </is>
      </c>
      <c r="E27" s="54" t="n">
        <v>0.3966</v>
      </c>
      <c r="F27" s="56">
        <f>TABLEROS!$Y$12</f>
        <v>874.775510204082</v>
      </c>
      <c r="G27" s="36">
        <f>E27*F27/1000</f>
        <v>0.346935967346939</v>
      </c>
      <c r="H27" s="56">
        <f>TABLEROS!$X$12</f>
        <v>643.673469387755</v>
      </c>
      <c r="I27" s="36">
        <f>E27*H27/1000</f>
        <v>0.255280897959184</v>
      </c>
      <c r="J27" s="41" t="inlineStr">
        <is>
          <t>DM</t>
        </is>
      </c>
      <c r="K27" s="37" t="inlineStr">
        <is>
          <t>sobre muro</t>
        </is>
      </c>
      <c r="L27" s="36">
        <f>E27*TABLEROS!$U$12/1000</f>
        <v>0.075354</v>
      </c>
      <c r="M27" s="36">
        <f>E27*IF(TABLEROS!$E$12="HABITACIÓN",DATOS!$C$91,DATOS!$C$94)/1000</f>
        <v>0.031728</v>
      </c>
    </row>
    <row r="28">
      <c r="B28" s="41" t="inlineStr">
        <is>
          <t>DM-06</t>
        </is>
      </c>
      <c r="C28" s="41" t="inlineStr">
        <is>
          <t>F80005 N+3.00</t>
        </is>
      </c>
      <c r="D28" s="41" t="inlineStr">
        <is>
          <t>N+3.00</t>
        </is>
      </c>
      <c r="E28" s="54" t="n">
        <v>1.7013</v>
      </c>
      <c r="F28" s="56">
        <f>TABLEROS!$Y$12</f>
        <v>874.775510204082</v>
      </c>
      <c r="G28" s="36">
        <f>E28*F28/1000</f>
        <v>1.4882555755102</v>
      </c>
      <c r="H28" s="56">
        <f>TABLEROS!$X$12</f>
        <v>643.673469387755</v>
      </c>
      <c r="I28" s="36">
        <f>E28*H28/1000</f>
        <v>1.09508167346939</v>
      </c>
      <c r="J28" s="41" t="inlineStr">
        <is>
          <t>DM</t>
        </is>
      </c>
      <c r="K28" s="37" t="inlineStr">
        <is>
          <t>sobre muro</t>
        </is>
      </c>
      <c r="L28" s="36">
        <f>E28*TABLEROS!$U$12/1000</f>
        <v>0.323247</v>
      </c>
      <c r="M28" s="36">
        <f>E28*IF(TABLEROS!$E$12="HABITACIÓN",DATOS!$C$91,DATOS!$C$94)/1000</f>
        <v>0.136104</v>
      </c>
    </row>
    <row r="29">
      <c r="B29" s="41" t="inlineStr">
        <is>
          <t>DM-34</t>
        </is>
      </c>
      <c r="C29" s="41" t="inlineStr">
        <is>
          <t>F80005 N+3.00</t>
        </is>
      </c>
      <c r="D29" s="41" t="inlineStr">
        <is>
          <t>N+3.00</t>
        </is>
      </c>
      <c r="E29" s="54" t="n">
        <v>0.6415999999999999</v>
      </c>
      <c r="F29" s="56">
        <f>TABLEROS!$Y$12</f>
        <v>874.775510204082</v>
      </c>
      <c r="G29" s="36">
        <f>E29*F29/1000</f>
        <v>0.561255967346939</v>
      </c>
      <c r="H29" s="56">
        <f>TABLEROS!$X$12</f>
        <v>643.673469387755</v>
      </c>
      <c r="I29" s="36">
        <f>E29*H29/1000</f>
        <v>0.412980897959184</v>
      </c>
      <c r="J29" s="41" t="inlineStr">
        <is>
          <t>DM</t>
        </is>
      </c>
      <c r="K29" s="37" t="inlineStr">
        <is>
          <t>sobre muro</t>
        </is>
      </c>
      <c r="L29" s="36">
        <f>E29*TABLEROS!$U$12/1000</f>
        <v>0.121904</v>
      </c>
      <c r="M29" s="36">
        <f>E29*IF(TABLEROS!$E$12="HABITACIÓN",DATOS!$C$91,DATOS!$C$94)/1000</f>
        <v>0.051328</v>
      </c>
    </row>
    <row r="30">
      <c r="B30" s="41" t="inlineStr">
        <is>
          <t>DM-45</t>
        </is>
      </c>
      <c r="C30" s="41" t="inlineStr">
        <is>
          <t>F80006 N+3.00</t>
        </is>
      </c>
      <c r="D30" s="41" t="inlineStr">
        <is>
          <t>N+3.00</t>
        </is>
      </c>
      <c r="E30" s="54" t="n">
        <v>0.005</v>
      </c>
      <c r="F30" s="56">
        <f>TABLEROS!$Y$13</f>
        <v>874.775510204082</v>
      </c>
      <c r="G30" s="36">
        <f>E30*F30/1000</f>
        <v>0.00437387755102041</v>
      </c>
      <c r="H30" s="56">
        <f>TABLEROS!$X$13</f>
        <v>643.673469387755</v>
      </c>
      <c r="I30" s="36">
        <f>E30*H30/1000</f>
        <v>0.00321836734693878</v>
      </c>
      <c r="J30" s="41" t="inlineStr">
        <is>
          <t>DM</t>
        </is>
      </c>
      <c r="K30" s="37" t="inlineStr">
        <is>
          <t>sobre muro</t>
        </is>
      </c>
      <c r="L30" s="36">
        <f>E30*TABLEROS!$U$13/1000</f>
        <v>0.00095</v>
      </c>
      <c r="M30" s="36">
        <f>E30*IF(TABLEROS!$E$13="HABITACIÓN",DATOS!$C$91,DATOS!$C$94)/1000</f>
        <v>0.0004</v>
      </c>
    </row>
    <row r="31">
      <c r="B31" s="41" t="inlineStr">
        <is>
          <t>DM-46</t>
        </is>
      </c>
      <c r="C31" s="41" t="inlineStr">
        <is>
          <t>F80006 N+3.00</t>
        </is>
      </c>
      <c r="D31" s="41" t="inlineStr">
        <is>
          <t>N+3.00</t>
        </is>
      </c>
      <c r="E31" s="54" t="n">
        <v>0.246</v>
      </c>
      <c r="F31" s="56">
        <f>TABLEROS!$Y$13</f>
        <v>874.775510204082</v>
      </c>
      <c r="G31" s="36">
        <f>E31*F31/1000</f>
        <v>0.215194775510204</v>
      </c>
      <c r="H31" s="56">
        <f>TABLEROS!$X$13</f>
        <v>643.673469387755</v>
      </c>
      <c r="I31" s="36">
        <f>E31*H31/1000</f>
        <v>0.158343673469388</v>
      </c>
      <c r="J31" s="41" t="inlineStr">
        <is>
          <t>DM</t>
        </is>
      </c>
      <c r="K31" s="37" t="inlineStr">
        <is>
          <t>sobre muro</t>
        </is>
      </c>
      <c r="L31" s="36">
        <f>E31*TABLEROS!$U$13/1000</f>
        <v>0.04674</v>
      </c>
      <c r="M31" s="36">
        <f>E31*IF(TABLEROS!$E$13="HABITACIÓN",DATOS!$C$91,DATOS!$C$94)/1000</f>
        <v>0.01968</v>
      </c>
    </row>
    <row r="32">
      <c r="B32" s="41" t="inlineStr">
        <is>
          <t>DM-03</t>
        </is>
      </c>
      <c r="C32" s="41" t="inlineStr">
        <is>
          <t>F80006 N+3.00</t>
        </is>
      </c>
      <c r="D32" s="41" t="inlineStr">
        <is>
          <t>N+3.00</t>
        </is>
      </c>
      <c r="E32" s="54" t="n">
        <v>0.2367</v>
      </c>
      <c r="F32" s="56">
        <f>TABLEROS!$Y$13</f>
        <v>874.775510204082</v>
      </c>
      <c r="G32" s="36">
        <f>E32*F32/1000</f>
        <v>0.207059363265306</v>
      </c>
      <c r="H32" s="56">
        <f>TABLEROS!$X$13</f>
        <v>643.673469387755</v>
      </c>
      <c r="I32" s="36">
        <f>E32*H32/1000</f>
        <v>0.152357510204082</v>
      </c>
      <c r="J32" s="41" t="inlineStr">
        <is>
          <t>DM</t>
        </is>
      </c>
      <c r="K32" s="37" t="inlineStr">
        <is>
          <t>sobre muro</t>
        </is>
      </c>
      <c r="L32" s="36">
        <f>E32*TABLEROS!$U$13/1000</f>
        <v>0.044973</v>
      </c>
      <c r="M32" s="36">
        <f>E32*IF(TABLEROS!$E$13="HABITACIÓN",DATOS!$C$91,DATOS!$C$94)/1000</f>
        <v>0.018936</v>
      </c>
    </row>
    <row r="33">
      <c r="B33" s="41" t="inlineStr">
        <is>
          <t>DM-04</t>
        </is>
      </c>
      <c r="C33" s="41" t="inlineStr">
        <is>
          <t>F80006 N+3.00</t>
        </is>
      </c>
      <c r="D33" s="41" t="inlineStr">
        <is>
          <t>N+3.00</t>
        </is>
      </c>
      <c r="E33" s="54" t="n">
        <v>0.2147</v>
      </c>
      <c r="F33" s="56">
        <f>TABLEROS!$Y$13</f>
        <v>874.775510204082</v>
      </c>
      <c r="G33" s="36">
        <f>E33*F33/1000</f>
        <v>0.187814302040816</v>
      </c>
      <c r="H33" s="56">
        <f>TABLEROS!$X$13</f>
        <v>643.673469387755</v>
      </c>
      <c r="I33" s="36">
        <f>E33*H33/1000</f>
        <v>0.138196693877551</v>
      </c>
      <c r="J33" s="41" t="inlineStr">
        <is>
          <t>DM</t>
        </is>
      </c>
      <c r="K33" s="37" t="inlineStr">
        <is>
          <t>sobre muro</t>
        </is>
      </c>
      <c r="L33" s="36">
        <f>E33*TABLEROS!$U$13/1000</f>
        <v>0.040793</v>
      </c>
      <c r="M33" s="36">
        <f>E33*IF(TABLEROS!$E$13="HABITACIÓN",DATOS!$C$91,DATOS!$C$94)/1000</f>
        <v>0.017176</v>
      </c>
    </row>
    <row r="34">
      <c r="B34" s="41" t="inlineStr">
        <is>
          <t>NP-22</t>
        </is>
      </c>
      <c r="C34" s="41" t="inlineStr">
        <is>
          <t>F80006 N+3.00</t>
        </is>
      </c>
      <c r="D34" s="41" t="inlineStr">
        <is>
          <t>N+3.00</t>
        </is>
      </c>
      <c r="E34" s="54" t="n">
        <v>0.251</v>
      </c>
      <c r="F34" s="56">
        <f>TABLEROS!$Y$13</f>
        <v>874.775510204082</v>
      </c>
      <c r="G34" s="36">
        <f>E34*F34/1000</f>
        <v>0.219568653061224</v>
      </c>
      <c r="H34" s="56">
        <f>TABLEROS!$X$13</f>
        <v>643.673469387755</v>
      </c>
      <c r="I34" s="36">
        <f>E34*H34/1000</f>
        <v>0.161562040816327</v>
      </c>
      <c r="J34" s="41" t="inlineStr">
        <is>
          <t>NP</t>
        </is>
      </c>
      <c r="K34" s="37" t="str">
        <f>PRINCIPALES!$BZ$30</f>
        <v>CUMPLE</v>
      </c>
      <c r="L34" s="36">
        <f>E34*TABLEROS!$U$13/1000</f>
        <v>0.04769</v>
      </c>
      <c r="M34" s="36">
        <f>E34*IF(TABLEROS!$E$13="HABITACIÓN",DATOS!$C$91,DATOS!$C$94)/1000</f>
        <v>0.02008</v>
      </c>
    </row>
    <row r="35">
      <c r="B35" s="41" t="inlineStr">
        <is>
          <t>NP-04</t>
        </is>
      </c>
      <c r="C35" s="41" t="inlineStr">
        <is>
          <t>F80006 N+3.00</t>
        </is>
      </c>
      <c r="D35" s="41" t="inlineStr">
        <is>
          <t>N+3.00</t>
        </is>
      </c>
      <c r="E35" s="54" t="n">
        <v>0.4514</v>
      </c>
      <c r="F35" s="56">
        <f>TABLEROS!$Y$13</f>
        <v>874.775510204082</v>
      </c>
      <c r="G35" s="36">
        <f>E35*F35/1000</f>
        <v>0.394873665306122</v>
      </c>
      <c r="H35" s="56">
        <f>TABLEROS!$X$13</f>
        <v>643.673469387755</v>
      </c>
      <c r="I35" s="36">
        <f>E35*H35/1000</f>
        <v>0.290554204081633</v>
      </c>
      <c r="J35" s="41" t="inlineStr">
        <is>
          <t>NP</t>
        </is>
      </c>
      <c r="K35" s="37" t="str">
        <f>PRINCIPALES!$BZ$12</f>
        <v>CUMPLE</v>
      </c>
      <c r="L35" s="36">
        <f>E35*TABLEROS!$U$13/1000</f>
        <v>0.085766</v>
      </c>
      <c r="M35" s="36">
        <f>E35*IF(TABLEROS!$E$13="HABITACIÓN",DATOS!$C$91,DATOS!$C$94)/1000</f>
        <v>0.036112</v>
      </c>
    </row>
    <row r="36">
      <c r="B36" s="41" t="inlineStr">
        <is>
          <t>DM-06</t>
        </is>
      </c>
      <c r="C36" s="41" t="inlineStr">
        <is>
          <t>F80007 N+3.00</t>
        </is>
      </c>
      <c r="D36" s="41" t="inlineStr">
        <is>
          <t>N+3.00</t>
        </is>
      </c>
      <c r="E36" s="54" t="n">
        <v>1.2434</v>
      </c>
      <c r="F36" s="56">
        <f>TABLEROS!$Y$14</f>
        <v>874.775510204082</v>
      </c>
      <c r="G36" s="36">
        <f>E36*F36/1000</f>
        <v>1.08769586938776</v>
      </c>
      <c r="H36" s="56">
        <f>TABLEROS!$X$14</f>
        <v>643.673469387755</v>
      </c>
      <c r="I36" s="36">
        <f>E36*H36/1000</f>
        <v>0.800343591836735</v>
      </c>
      <c r="J36" s="41" t="inlineStr">
        <is>
          <t>DM</t>
        </is>
      </c>
      <c r="K36" s="37" t="inlineStr">
        <is>
          <t>sobre muro</t>
        </is>
      </c>
      <c r="L36" s="36">
        <f>E36*TABLEROS!$U$14/1000</f>
        <v>0.236246</v>
      </c>
      <c r="M36" s="36">
        <f>E36*IF(TABLEROS!$E$14="HABITACIÓN",DATOS!$C$91,DATOS!$C$94)/1000</f>
        <v>0.099472</v>
      </c>
    </row>
    <row r="37">
      <c r="B37" s="41" t="inlineStr">
        <is>
          <t>NP-04</t>
        </is>
      </c>
      <c r="C37" s="41" t="inlineStr">
        <is>
          <t>F80007 N+3.00</t>
        </is>
      </c>
      <c r="D37" s="41" t="inlineStr">
        <is>
          <t>N+3.00</t>
        </is>
      </c>
      <c r="E37" s="54" t="n">
        <v>0.5405</v>
      </c>
      <c r="F37" s="56">
        <f>TABLEROS!$Y$14</f>
        <v>874.775510204082</v>
      </c>
      <c r="G37" s="36">
        <f>E37*F37/1000</f>
        <v>0.472816163265306</v>
      </c>
      <c r="H37" s="56">
        <f>TABLEROS!$X$14</f>
        <v>643.673469387755</v>
      </c>
      <c r="I37" s="36">
        <f>E37*H37/1000</f>
        <v>0.347905510204082</v>
      </c>
      <c r="J37" s="41" t="inlineStr">
        <is>
          <t>NP</t>
        </is>
      </c>
      <c r="K37" s="37" t="str">
        <f>PRINCIPALES!$BZ$12</f>
        <v>CUMPLE</v>
      </c>
      <c r="L37" s="36">
        <f>E37*TABLEROS!$U$14/1000</f>
        <v>0.102695</v>
      </c>
      <c r="M37" s="36">
        <f>E37*IF(TABLEROS!$E$14="HABITACIÓN",DATOS!$C$91,DATOS!$C$94)/1000</f>
        <v>0.04324</v>
      </c>
    </row>
    <row r="38">
      <c r="B38" s="41" t="inlineStr">
        <is>
          <t>NP-22</t>
        </is>
      </c>
      <c r="C38" s="41" t="inlineStr">
        <is>
          <t>F80007 N+3.00</t>
        </is>
      </c>
      <c r="D38" s="41" t="inlineStr">
        <is>
          <t>N+3.00</t>
        </is>
      </c>
      <c r="E38" s="54" t="n">
        <v>0.213</v>
      </c>
      <c r="F38" s="56">
        <f>TABLEROS!$Y$14</f>
        <v>874.775510204082</v>
      </c>
      <c r="G38" s="36">
        <f>E38*F38/1000</f>
        <v>0.186327183673469</v>
      </c>
      <c r="H38" s="56">
        <f>TABLEROS!$X$14</f>
        <v>643.673469387755</v>
      </c>
      <c r="I38" s="36">
        <f>E38*H38/1000</f>
        <v>0.137102448979592</v>
      </c>
      <c r="J38" s="41" t="inlineStr">
        <is>
          <t>NP</t>
        </is>
      </c>
      <c r="K38" s="37" t="str">
        <f>PRINCIPALES!$BZ$30</f>
        <v>CUMPLE</v>
      </c>
      <c r="L38" s="36">
        <f>E38*TABLEROS!$U$14/1000</f>
        <v>0.04047</v>
      </c>
      <c r="M38" s="36">
        <f>E38*IF(TABLEROS!$E$14="HABITACIÓN",DATOS!$C$91,DATOS!$C$94)/1000</f>
        <v>0.01704</v>
      </c>
    </row>
    <row r="39">
      <c r="B39" s="41" t="inlineStr">
        <is>
          <t>NP-06</t>
        </is>
      </c>
      <c r="C39" s="41" t="inlineStr">
        <is>
          <t>F80007 N+3.00</t>
        </is>
      </c>
      <c r="D39" s="41" t="inlineStr">
        <is>
          <t>N+3.00</t>
        </is>
      </c>
      <c r="E39" s="54" t="n">
        <v>1.7839</v>
      </c>
      <c r="F39" s="56">
        <f>TABLEROS!$Y$14</f>
        <v>874.775510204082</v>
      </c>
      <c r="G39" s="36">
        <f>E39*F39/1000</f>
        <v>1.56051203265306</v>
      </c>
      <c r="H39" s="56">
        <f>TABLEROS!$X$14</f>
        <v>643.673469387755</v>
      </c>
      <c r="I39" s="36">
        <f>E39*H39/1000</f>
        <v>1.14824910204082</v>
      </c>
      <c r="J39" s="41" t="inlineStr">
        <is>
          <t>NP</t>
        </is>
      </c>
      <c r="K39" s="37" t="str">
        <f>PRINCIPALES!$BZ$14</f>
        <v>CUMPLE</v>
      </c>
      <c r="L39" s="36">
        <f>E39*TABLEROS!$U$14/1000</f>
        <v>0.338941</v>
      </c>
      <c r="M39" s="36">
        <f>E39*IF(TABLEROS!$E$14="HABITACIÓN",DATOS!$C$91,DATOS!$C$94)/1000</f>
        <v>0.142712</v>
      </c>
    </row>
    <row r="40">
      <c r="B40" s="41" t="inlineStr">
        <is>
          <t>DM-35</t>
        </is>
      </c>
      <c r="C40" s="41" t="inlineStr">
        <is>
          <t>F80007 N+3.00</t>
        </is>
      </c>
      <c r="D40" s="41" t="inlineStr">
        <is>
          <t>N+3.00</t>
        </is>
      </c>
      <c r="E40" s="54" t="n">
        <v>0.213</v>
      </c>
      <c r="F40" s="56">
        <f>TABLEROS!$Y$14</f>
        <v>874.775510204082</v>
      </c>
      <c r="G40" s="36">
        <f>E40*F40/1000</f>
        <v>0.186327183673469</v>
      </c>
      <c r="H40" s="56">
        <f>TABLEROS!$X$14</f>
        <v>643.673469387755</v>
      </c>
      <c r="I40" s="36">
        <f>E40*H40/1000</f>
        <v>0.137102448979592</v>
      </c>
      <c r="J40" s="41" t="inlineStr">
        <is>
          <t>DM</t>
        </is>
      </c>
      <c r="K40" s="37" t="inlineStr">
        <is>
          <t>sobre muro</t>
        </is>
      </c>
      <c r="L40" s="36">
        <f>E40*TABLEROS!$U$14/1000</f>
        <v>0.04047</v>
      </c>
      <c r="M40" s="36">
        <f>E40*IF(TABLEROS!$E$14="HABITACIÓN",DATOS!$C$91,DATOS!$C$94)/1000</f>
        <v>0.01704</v>
      </c>
    </row>
    <row r="41">
      <c r="B41" s="41" t="inlineStr">
        <is>
          <t>NP-22</t>
        </is>
      </c>
      <c r="C41" s="41" t="inlineStr">
        <is>
          <t>F80008 N+3.00</t>
        </is>
      </c>
      <c r="D41" s="41" t="inlineStr">
        <is>
          <t>N+3.00</t>
        </is>
      </c>
      <c r="E41" s="54" t="n">
        <v>1.0041</v>
      </c>
      <c r="F41" s="56">
        <f>TABLEROS!$Y$15</f>
        <v>874.775510204082</v>
      </c>
      <c r="G41" s="36">
        <f>E41*F41/1000</f>
        <v>0.878362089795918</v>
      </c>
      <c r="H41" s="56">
        <f>TABLEROS!$X$15</f>
        <v>643.673469387755</v>
      </c>
      <c r="I41" s="36">
        <f>E41*H41/1000</f>
        <v>0.646312530612245</v>
      </c>
      <c r="J41" s="41" t="inlineStr">
        <is>
          <t>NP</t>
        </is>
      </c>
      <c r="K41" s="37" t="str">
        <f>PRINCIPALES!$BZ$30</f>
        <v>CUMPLE</v>
      </c>
      <c r="L41" s="36">
        <f>E41*TABLEROS!$U$15/1000</f>
        <v>0.190779</v>
      </c>
      <c r="M41" s="36">
        <f>E41*IF(TABLEROS!$E$15="HABITACIÓN",DATOS!$C$91,DATOS!$C$94)/1000</f>
        <v>0.080328</v>
      </c>
    </row>
    <row r="42">
      <c r="B42" s="41" t="inlineStr">
        <is>
          <t>NP-23</t>
        </is>
      </c>
      <c r="C42" s="41" t="inlineStr">
        <is>
          <t>F80008 N+3.00</t>
        </is>
      </c>
      <c r="D42" s="41" t="inlineStr">
        <is>
          <t>N+3.00</t>
        </is>
      </c>
      <c r="E42" s="54" t="n">
        <v>3.9563</v>
      </c>
      <c r="F42" s="56">
        <f>TABLEROS!$Y$15</f>
        <v>874.775510204082</v>
      </c>
      <c r="G42" s="36">
        <f>E42*F42/1000</f>
        <v>3.46087435102041</v>
      </c>
      <c r="H42" s="56">
        <f>TABLEROS!$X$15</f>
        <v>643.673469387755</v>
      </c>
      <c r="I42" s="36">
        <f>E42*H42/1000</f>
        <v>2.54656534693878</v>
      </c>
      <c r="J42" s="41" t="inlineStr">
        <is>
          <t>NP</t>
        </is>
      </c>
      <c r="K42" s="37" t="str">
        <f>PRINCIPALES!$BZ$31</f>
        <v>CUMPLE</v>
      </c>
      <c r="L42" s="36">
        <f>E42*TABLEROS!$U$15/1000</f>
        <v>0.751697</v>
      </c>
      <c r="M42" s="36">
        <f>E42*IF(TABLEROS!$E$15="HABITACIÓN",DATOS!$C$91,DATOS!$C$94)/1000</f>
        <v>0.316504</v>
      </c>
    </row>
    <row r="43">
      <c r="B43" s="41" t="inlineStr">
        <is>
          <t>DM-04</t>
        </is>
      </c>
      <c r="C43" s="41" t="inlineStr">
        <is>
          <t>F80008 N+3.00</t>
        </is>
      </c>
      <c r="D43" s="41" t="inlineStr">
        <is>
          <t>N+3.00</t>
        </is>
      </c>
      <c r="E43" s="54" t="n">
        <v>0.4415</v>
      </c>
      <c r="F43" s="56">
        <f>TABLEROS!$Y$15</f>
        <v>874.775510204082</v>
      </c>
      <c r="G43" s="36">
        <f>E43*F43/1000</f>
        <v>0.386213387755102</v>
      </c>
      <c r="H43" s="56">
        <f>TABLEROS!$X$15</f>
        <v>643.673469387755</v>
      </c>
      <c r="I43" s="36">
        <f>E43*H43/1000</f>
        <v>0.284181836734694</v>
      </c>
      <c r="J43" s="41" t="inlineStr">
        <is>
          <t>DM</t>
        </is>
      </c>
      <c r="K43" s="37" t="inlineStr">
        <is>
          <t>sobre muro</t>
        </is>
      </c>
      <c r="L43" s="36">
        <f>E43*TABLEROS!$U$15/1000</f>
        <v>0.083885</v>
      </c>
      <c r="M43" s="36">
        <f>E43*IF(TABLEROS!$E$15="HABITACIÓN",DATOS!$C$91,DATOS!$C$94)/1000</f>
        <v>0.03532</v>
      </c>
    </row>
    <row r="44">
      <c r="B44" s="41" t="inlineStr">
        <is>
          <t>DM-05</t>
        </is>
      </c>
      <c r="C44" s="41" t="inlineStr">
        <is>
          <t>F80008 N+3.00</t>
        </is>
      </c>
      <c r="D44" s="41" t="inlineStr">
        <is>
          <t>N+3.00</t>
        </is>
      </c>
      <c r="E44" s="54" t="n">
        <v>0.1953</v>
      </c>
      <c r="F44" s="56">
        <f>TABLEROS!$Y$15</f>
        <v>874.775510204082</v>
      </c>
      <c r="G44" s="36">
        <f>E44*F44/1000</f>
        <v>0.170843657142857</v>
      </c>
      <c r="H44" s="56">
        <f>TABLEROS!$X$15</f>
        <v>643.673469387755</v>
      </c>
      <c r="I44" s="36">
        <f>E44*H44/1000</f>
        <v>0.125709428571429</v>
      </c>
      <c r="J44" s="41" t="inlineStr">
        <is>
          <t>DM</t>
        </is>
      </c>
      <c r="K44" s="37" t="inlineStr">
        <is>
          <t>sobre muro</t>
        </is>
      </c>
      <c r="L44" s="36">
        <f>E44*TABLEROS!$U$15/1000</f>
        <v>0.037107</v>
      </c>
      <c r="M44" s="36">
        <f>E44*IF(TABLEROS!$E$15="HABITACIÓN",DATOS!$C$91,DATOS!$C$94)/1000</f>
        <v>0.015624</v>
      </c>
    </row>
    <row r="45">
      <c r="B45" s="41" t="inlineStr">
        <is>
          <t>DM-52</t>
        </is>
      </c>
      <c r="C45" s="41" t="inlineStr">
        <is>
          <t>F80008 N+3.00</t>
        </is>
      </c>
      <c r="D45" s="41" t="inlineStr">
        <is>
          <t>N+3.00</t>
        </is>
      </c>
      <c r="E45" s="54" t="n">
        <v>0.374</v>
      </c>
      <c r="F45" s="56">
        <f>TABLEROS!$Y$15</f>
        <v>874.775510204082</v>
      </c>
      <c r="G45" s="36">
        <f>E45*F45/1000</f>
        <v>0.327166040816327</v>
      </c>
      <c r="H45" s="56">
        <f>TABLEROS!$X$15</f>
        <v>643.673469387755</v>
      </c>
      <c r="I45" s="36">
        <f>E45*H45/1000</f>
        <v>0.24073387755102</v>
      </c>
      <c r="J45" s="41" t="inlineStr">
        <is>
          <t>DM</t>
        </is>
      </c>
      <c r="K45" s="37" t="inlineStr">
        <is>
          <t>sobre muro</t>
        </is>
      </c>
      <c r="L45" s="36">
        <f>E45*TABLEROS!$U$15/1000</f>
        <v>0.07106</v>
      </c>
      <c r="M45" s="36">
        <f>E45*IF(TABLEROS!$E$15="HABITACIÓN",DATOS!$C$91,DATOS!$C$94)/1000</f>
        <v>0.02992</v>
      </c>
    </row>
    <row r="46">
      <c r="B46" s="41" t="inlineStr">
        <is>
          <t>NP-05</t>
        </is>
      </c>
      <c r="C46" s="41" t="inlineStr">
        <is>
          <t>F80008 N+3.00</t>
        </is>
      </c>
      <c r="D46" s="41" t="inlineStr">
        <is>
          <t>N+3.00</t>
        </is>
      </c>
      <c r="E46" s="54" t="n">
        <v>0.1072</v>
      </c>
      <c r="F46" s="56">
        <f>TABLEROS!$Y$15</f>
        <v>874.775510204082</v>
      </c>
      <c r="G46" s="36">
        <f>E46*F46/1000</f>
        <v>0.0937759346938775</v>
      </c>
      <c r="H46" s="56">
        <f>TABLEROS!$X$15</f>
        <v>643.673469387755</v>
      </c>
      <c r="I46" s="36">
        <f>E46*H46/1000</f>
        <v>0.0690017959183674</v>
      </c>
      <c r="J46" s="41" t="inlineStr">
        <is>
          <t>NP</t>
        </is>
      </c>
      <c r="K46" s="37" t="str">
        <f>PRINCIPALES!$BZ$13</f>
        <v>CUMPLE (en VOLADO)</v>
      </c>
      <c r="L46" s="36">
        <f>E46*TABLEROS!$U$15/1000</f>
        <v>0.020368</v>
      </c>
      <c r="M46" s="36">
        <f>E46*IF(TABLEROS!$E$15="HABITACIÓN",DATOS!$C$91,DATOS!$C$94)/1000</f>
        <v>0.008576</v>
      </c>
    </row>
    <row r="47">
      <c r="B47" s="41" t="inlineStr">
        <is>
          <t>NP-25</t>
        </is>
      </c>
      <c r="C47" s="41" t="inlineStr">
        <is>
          <t>F80008 N+3.00</t>
        </is>
      </c>
      <c r="D47" s="41" t="inlineStr">
        <is>
          <t>N+3.00</t>
        </is>
      </c>
      <c r="E47" s="54" t="n">
        <v>1.1115</v>
      </c>
      <c r="F47" s="56">
        <f>TABLEROS!$Y$15</f>
        <v>874.775510204082</v>
      </c>
      <c r="G47" s="36">
        <f>E47*F47/1000</f>
        <v>0.972312979591837</v>
      </c>
      <c r="H47" s="56">
        <f>TABLEROS!$X$15</f>
        <v>643.673469387755</v>
      </c>
      <c r="I47" s="36">
        <f>E47*H47/1000</f>
        <v>0.71544306122449</v>
      </c>
      <c r="J47" s="41" t="inlineStr">
        <is>
          <t>NP</t>
        </is>
      </c>
      <c r="K47" s="37" t="str">
        <f>PRINCIPALES!$BZ$33</f>
        <v>CUMPLE</v>
      </c>
      <c r="L47" s="36">
        <f>E47*TABLEROS!$U$15/1000</f>
        <v>0.211185</v>
      </c>
      <c r="M47" s="36">
        <f>E47*IF(TABLEROS!$E$15="HABITACIÓN",DATOS!$C$91,DATOS!$C$94)/1000</f>
        <v>0.08892</v>
      </c>
    </row>
    <row r="48">
      <c r="B48" s="41" t="inlineStr">
        <is>
          <t>NP-07</t>
        </is>
      </c>
      <c r="C48" s="41" t="inlineStr">
        <is>
          <t>F80008 N+3.00</t>
        </is>
      </c>
      <c r="D48" s="41" t="inlineStr">
        <is>
          <t>N+3.00</t>
        </is>
      </c>
      <c r="E48" s="54" t="n">
        <v>0.8476</v>
      </c>
      <c r="F48" s="56">
        <f>TABLEROS!$Y$15</f>
        <v>874.775510204082</v>
      </c>
      <c r="G48" s="36">
        <f>E48*F48/1000</f>
        <v>0.74145972244898</v>
      </c>
      <c r="H48" s="56">
        <f>TABLEROS!$X$15</f>
        <v>643.673469387755</v>
      </c>
      <c r="I48" s="36">
        <f>E48*H48/1000</f>
        <v>0.545577632653061</v>
      </c>
      <c r="J48" s="41" t="inlineStr">
        <is>
          <t>NP</t>
        </is>
      </c>
      <c r="K48" s="37" t="str">
        <f>PRINCIPALES!$BZ$15</f>
        <v>CUMPLE (en VOLADO)</v>
      </c>
      <c r="L48" s="36">
        <f>E48*TABLEROS!$U$15/1000</f>
        <v>0.161044</v>
      </c>
      <c r="M48" s="36">
        <f>E48*IF(TABLEROS!$E$15="HABITACIÓN",DATOS!$C$91,DATOS!$C$94)/1000</f>
        <v>0.067808</v>
      </c>
    </row>
    <row r="49">
      <c r="B49" s="41" t="inlineStr">
        <is>
          <t>NP-30</t>
        </is>
      </c>
      <c r="C49" s="41" t="inlineStr">
        <is>
          <t>F80008 N+3.00</t>
        </is>
      </c>
      <c r="D49" s="41" t="inlineStr">
        <is>
          <t>N+3.00</t>
        </is>
      </c>
      <c r="E49" s="54" t="n">
        <v>0.2704</v>
      </c>
      <c r="F49" s="56">
        <f>TABLEROS!$Y$15</f>
        <v>874.775510204082</v>
      </c>
      <c r="G49" s="36">
        <f>E49*F49/1000</f>
        <v>0.236539297959184</v>
      </c>
      <c r="H49" s="56">
        <f>TABLEROS!$X$15</f>
        <v>643.673469387755</v>
      </c>
      <c r="I49" s="36">
        <f>E49*H49/1000</f>
        <v>0.174049306122449</v>
      </c>
      <c r="J49" s="41" t="inlineStr">
        <is>
          <t>NP</t>
        </is>
      </c>
      <c r="K49" s="37" t="str">
        <f>PRINCIPALES!$BZ$38</f>
        <v>CUMPLE (en VOLADO)</v>
      </c>
      <c r="L49" s="36">
        <f>E49*TABLEROS!$U$15/1000</f>
        <v>0.051376</v>
      </c>
      <c r="M49" s="36">
        <f>E49*IF(TABLEROS!$E$15="HABITACIÓN",DATOS!$C$91,DATOS!$C$94)/1000</f>
        <v>0.021632</v>
      </c>
    </row>
    <row r="50">
      <c r="B50" s="41" t="inlineStr">
        <is>
          <t>NP-08</t>
        </is>
      </c>
      <c r="C50" s="41" t="inlineStr">
        <is>
          <t>F80008 N+3.00</t>
        </is>
      </c>
      <c r="D50" s="41" t="inlineStr">
        <is>
          <t>N+3.00</t>
        </is>
      </c>
      <c r="E50" s="54" t="n">
        <v>0.8871</v>
      </c>
      <c r="F50" s="56">
        <f>TABLEROS!$Y$15</f>
        <v>874.775510204082</v>
      </c>
      <c r="G50" s="36">
        <f>E50*F50/1000</f>
        <v>0.776013355102041</v>
      </c>
      <c r="H50" s="56">
        <f>TABLEROS!$X$15</f>
        <v>643.673469387755</v>
      </c>
      <c r="I50" s="36">
        <f>E50*H50/1000</f>
        <v>0.571002734693878</v>
      </c>
      <c r="J50" s="41" t="inlineStr">
        <is>
          <t>NP</t>
        </is>
      </c>
      <c r="K50" s="37" t="str">
        <f>PRINCIPALES!$BZ$16</f>
        <v>CUMPLE</v>
      </c>
      <c r="L50" s="36">
        <f>E50*TABLEROS!$U$15/1000</f>
        <v>0.168549</v>
      </c>
      <c r="M50" s="36">
        <f>E50*IF(TABLEROS!$E$15="HABITACIÓN",DATOS!$C$91,DATOS!$C$94)/1000</f>
        <v>0.070968</v>
      </c>
    </row>
    <row r="51">
      <c r="B51" s="41" t="inlineStr">
        <is>
          <t>NP-26</t>
        </is>
      </c>
      <c r="C51" s="41" t="inlineStr">
        <is>
          <t>F80008 N+3.00</t>
        </is>
      </c>
      <c r="D51" s="41" t="inlineStr">
        <is>
          <t>N+3.00</t>
        </is>
      </c>
      <c r="E51" s="54" t="n">
        <v>3.5278</v>
      </c>
      <c r="F51" s="56">
        <f>TABLEROS!$Y$15</f>
        <v>874.775510204082</v>
      </c>
      <c r="G51" s="36">
        <f>E51*F51/1000</f>
        <v>3.08603304489796</v>
      </c>
      <c r="H51" s="56">
        <f>TABLEROS!$X$15</f>
        <v>643.673469387755</v>
      </c>
      <c r="I51" s="36">
        <f>E51*H51/1000</f>
        <v>2.27075126530612</v>
      </c>
      <c r="J51" s="41" t="inlineStr">
        <is>
          <t>NP</t>
        </is>
      </c>
      <c r="K51" s="37" t="str">
        <f>PRINCIPALES!$BZ$34</f>
        <v>PENDIENTE: H/L &lt; 0.6, falta el análisis de interacción muro-viga (NTC-M 4.1.18.2.1, p. 44)</v>
      </c>
      <c r="L51" s="36">
        <f>E51*TABLEROS!$U$15/1000</f>
        <v>0.670282</v>
      </c>
      <c r="M51" s="36">
        <f>E51*IF(TABLEROS!$E$15="HABITACIÓN",DATOS!$C$91,DATOS!$C$94)/1000</f>
        <v>0.282224</v>
      </c>
    </row>
    <row r="52">
      <c r="B52" s="41" t="inlineStr">
        <is>
          <t>DM-11</t>
        </is>
      </c>
      <c r="C52" s="41" t="inlineStr">
        <is>
          <t>F80008 N+3.00</t>
        </is>
      </c>
      <c r="D52" s="41" t="inlineStr">
        <is>
          <t>N+3.00</t>
        </is>
      </c>
      <c r="E52" s="54" t="n">
        <v>0.1235</v>
      </c>
      <c r="F52" s="56">
        <f>TABLEROS!$Y$15</f>
        <v>874.775510204082</v>
      </c>
      <c r="G52" s="36">
        <f>E52*F52/1000</f>
        <v>0.108034775510204</v>
      </c>
      <c r="H52" s="56">
        <f>TABLEROS!$X$15</f>
        <v>643.673469387755</v>
      </c>
      <c r="I52" s="36">
        <f>E52*H52/1000</f>
        <v>0.0794936734693877</v>
      </c>
      <c r="J52" s="41" t="inlineStr">
        <is>
          <t>DM</t>
        </is>
      </c>
      <c r="K52" s="37" t="inlineStr">
        <is>
          <t>sobre muro</t>
        </is>
      </c>
      <c r="L52" s="36">
        <f>E52*TABLEROS!$U$15/1000</f>
        <v>0.023465</v>
      </c>
      <c r="M52" s="36">
        <f>E52*IF(TABLEROS!$E$15="HABITACIÓN",DATOS!$C$91,DATOS!$C$94)/1000</f>
        <v>0.00988</v>
      </c>
    </row>
    <row r="53">
      <c r="B53" s="41" t="inlineStr">
        <is>
          <t>DM-47</t>
        </is>
      </c>
      <c r="C53" s="41" t="inlineStr">
        <is>
          <t>F80008 N+3.00</t>
        </is>
      </c>
      <c r="D53" s="41" t="inlineStr">
        <is>
          <t>N+3.00</t>
        </is>
      </c>
      <c r="E53" s="54" t="n">
        <v>0.8203</v>
      </c>
      <c r="F53" s="56">
        <f>TABLEROS!$Y$15</f>
        <v>874.775510204082</v>
      </c>
      <c r="G53" s="36">
        <f>E53*F53/1000</f>
        <v>0.717578351020408</v>
      </c>
      <c r="H53" s="56">
        <f>TABLEROS!$X$15</f>
        <v>643.673469387755</v>
      </c>
      <c r="I53" s="36">
        <f>E53*H53/1000</f>
        <v>0.528005346938775</v>
      </c>
      <c r="J53" s="41" t="inlineStr">
        <is>
          <t>DM</t>
        </is>
      </c>
      <c r="K53" s="37" t="inlineStr">
        <is>
          <t>sobre muro</t>
        </is>
      </c>
      <c r="L53" s="36">
        <f>E53*TABLEROS!$U$15/1000</f>
        <v>0.155857</v>
      </c>
      <c r="M53" s="36">
        <f>E53*IF(TABLEROS!$E$15="HABITACIÓN",DATOS!$C$91,DATOS!$C$94)/1000</f>
        <v>0.065624</v>
      </c>
    </row>
    <row r="54">
      <c r="B54" s="41" t="inlineStr">
        <is>
          <t>DM-48</t>
        </is>
      </c>
      <c r="C54" s="41" t="inlineStr">
        <is>
          <t>F80008 N+3.00</t>
        </is>
      </c>
      <c r="D54" s="41" t="inlineStr">
        <is>
          <t>N+3.00</t>
        </is>
      </c>
      <c r="E54" s="54" t="n">
        <v>0.546</v>
      </c>
      <c r="F54" s="56">
        <f>TABLEROS!$Y$15</f>
        <v>874.775510204082</v>
      </c>
      <c r="G54" s="36">
        <f>E54*F54/1000</f>
        <v>0.477627428571429</v>
      </c>
      <c r="H54" s="56">
        <f>TABLEROS!$X$15</f>
        <v>643.673469387755</v>
      </c>
      <c r="I54" s="36">
        <f>E54*H54/1000</f>
        <v>0.351445714285714</v>
      </c>
      <c r="J54" s="41" t="inlineStr">
        <is>
          <t>DM</t>
        </is>
      </c>
      <c r="K54" s="37" t="inlineStr">
        <is>
          <t>sobre muro</t>
        </is>
      </c>
      <c r="L54" s="36">
        <f>E54*TABLEROS!$U$15/1000</f>
        <v>0.10374</v>
      </c>
      <c r="M54" s="36">
        <f>E54*IF(TABLEROS!$E$15="HABITACIÓN",DATOS!$C$91,DATOS!$C$94)/1000</f>
        <v>0.04368</v>
      </c>
    </row>
    <row r="55">
      <c r="B55" s="41" t="inlineStr">
        <is>
          <t>NP-15</t>
        </is>
      </c>
      <c r="C55" s="41" t="inlineStr">
        <is>
          <t>F80008 N+3.00</t>
        </is>
      </c>
      <c r="D55" s="41" t="inlineStr">
        <is>
          <t>N+3.00</t>
        </is>
      </c>
      <c r="E55" s="54" t="n">
        <v>0.8987000000000001</v>
      </c>
      <c r="F55" s="56">
        <f>TABLEROS!$Y$15</f>
        <v>874.775510204082</v>
      </c>
      <c r="G55" s="36">
        <f>E55*F55/1000</f>
        <v>0.786160751020408</v>
      </c>
      <c r="H55" s="56">
        <f>TABLEROS!$X$15</f>
        <v>643.673469387755</v>
      </c>
      <c r="I55" s="36">
        <f>E55*H55/1000</f>
        <v>0.578469346938776</v>
      </c>
      <c r="J55" s="41" t="inlineStr">
        <is>
          <t>NP</t>
        </is>
      </c>
      <c r="K55" s="37" t="str">
        <f>PRINCIPALES!$BZ$23</f>
        <v>PENDIENTE: H/L &lt; 0.6, falta el análisis de interacción muro-viga (NTC-M 4.1.18.2.1, p. 44)</v>
      </c>
      <c r="L55" s="36">
        <f>E55*TABLEROS!$U$15/1000</f>
        <v>0.170753</v>
      </c>
      <c r="M55" s="36">
        <f>E55*IF(TABLEROS!$E$15="HABITACIÓN",DATOS!$C$91,DATOS!$C$94)/1000</f>
        <v>0.071896</v>
      </c>
    </row>
    <row r="56">
      <c r="B56" s="41" t="inlineStr">
        <is>
          <t>NP-18</t>
        </is>
      </c>
      <c r="C56" s="41" t="inlineStr">
        <is>
          <t>F80008 N+3.00</t>
        </is>
      </c>
      <c r="D56" s="41" t="inlineStr">
        <is>
          <t>N+3.00</t>
        </is>
      </c>
      <c r="E56" s="54" t="n">
        <v>0.9882</v>
      </c>
      <c r="F56" s="56">
        <f>TABLEROS!$Y$15</f>
        <v>874.775510204082</v>
      </c>
      <c r="G56" s="36">
        <f>E56*F56/1000</f>
        <v>0.864453159183673</v>
      </c>
      <c r="H56" s="56">
        <f>TABLEROS!$X$15</f>
        <v>643.673469387755</v>
      </c>
      <c r="I56" s="36">
        <f>E56*H56/1000</f>
        <v>0.63607812244898</v>
      </c>
      <c r="J56" s="41" t="inlineStr">
        <is>
          <t>NP</t>
        </is>
      </c>
      <c r="K56" s="37" t="str">
        <f>PRINCIPALES!$BZ$26</f>
        <v>CUMPLE</v>
      </c>
      <c r="L56" s="36">
        <f>E56*TABLEROS!$U$15/1000</f>
        <v>0.187758</v>
      </c>
      <c r="M56" s="36">
        <f>E56*IF(TABLEROS!$E$15="HABITACIÓN",DATOS!$C$91,DATOS!$C$94)/1000</f>
        <v>0.079056</v>
      </c>
    </row>
    <row r="57">
      <c r="B57" s="41" t="inlineStr">
        <is>
          <t>NP-12</t>
        </is>
      </c>
      <c r="C57" s="41" t="inlineStr">
        <is>
          <t>F80008 N+3.00</t>
        </is>
      </c>
      <c r="D57" s="41" t="inlineStr">
        <is>
          <t>N+3.00</t>
        </is>
      </c>
      <c r="E57" s="54" t="n">
        <v>0.07920000000000001</v>
      </c>
      <c r="F57" s="56">
        <f>TABLEROS!$Y$15</f>
        <v>874.775510204082</v>
      </c>
      <c r="G57" s="36">
        <f>E57*F57/1000</f>
        <v>0.0692822204081633</v>
      </c>
      <c r="H57" s="56">
        <f>TABLEROS!$X$15</f>
        <v>643.673469387755</v>
      </c>
      <c r="I57" s="36">
        <f>E57*H57/1000</f>
        <v>0.0509789387755102</v>
      </c>
      <c r="J57" s="41" t="inlineStr">
        <is>
          <t>NP</t>
        </is>
      </c>
      <c r="K57" s="37" t="str">
        <f>PRINCIPALES!$BZ$20</f>
        <v>CUMPLE</v>
      </c>
      <c r="L57" s="36">
        <f>E57*TABLEROS!$U$15/1000</f>
        <v>0.015048</v>
      </c>
      <c r="M57" s="36">
        <f>E57*IF(TABLEROS!$E$15="HABITACIÓN",DATOS!$C$91,DATOS!$C$94)/1000</f>
        <v>0.006336</v>
      </c>
    </row>
    <row r="58">
      <c r="B58" s="41" t="inlineStr">
        <is>
          <t>NP-19</t>
        </is>
      </c>
      <c r="C58" s="41" t="inlineStr">
        <is>
          <t>F80008 N+3.00</t>
        </is>
      </c>
      <c r="D58" s="41" t="inlineStr">
        <is>
          <t>N+3.00</t>
        </is>
      </c>
      <c r="E58" s="54" t="n">
        <v>1.3163</v>
      </c>
      <c r="F58" s="56">
        <f>TABLEROS!$Y$15</f>
        <v>874.775510204082</v>
      </c>
      <c r="G58" s="36">
        <f>E58*F58/1000</f>
        <v>1.15146700408163</v>
      </c>
      <c r="H58" s="56">
        <f>TABLEROS!$X$15</f>
        <v>643.673469387755</v>
      </c>
      <c r="I58" s="36">
        <f>E58*H58/1000</f>
        <v>0.847267387755102</v>
      </c>
      <c r="J58" s="41" t="inlineStr">
        <is>
          <t>NP</t>
        </is>
      </c>
      <c r="K58" s="37" t="str">
        <f>PRINCIPALES!$BZ$27</f>
        <v>CUMPLE</v>
      </c>
      <c r="L58" s="36">
        <f>E58*TABLEROS!$U$15/1000</f>
        <v>0.250097</v>
      </c>
      <c r="M58" s="36">
        <f>E58*IF(TABLEROS!$E$15="HABITACIÓN",DATOS!$C$91,DATOS!$C$94)/1000</f>
        <v>0.105304</v>
      </c>
    </row>
    <row r="59">
      <c r="B59" s="41" t="inlineStr">
        <is>
          <t>NP-10</t>
        </is>
      </c>
      <c r="C59" s="41" t="inlineStr">
        <is>
          <t>F80008 N+3.00</t>
        </is>
      </c>
      <c r="D59" s="41" t="inlineStr">
        <is>
          <t>N+3.00</t>
        </is>
      </c>
      <c r="E59" s="54" t="n">
        <v>0.405</v>
      </c>
      <c r="F59" s="56">
        <f>TABLEROS!$Y$15</f>
        <v>874.775510204082</v>
      </c>
      <c r="G59" s="36">
        <f>E59*F59/1000</f>
        <v>0.354284081632653</v>
      </c>
      <c r="H59" s="56">
        <f>TABLEROS!$X$15</f>
        <v>643.673469387755</v>
      </c>
      <c r="I59" s="36">
        <f>E59*H59/1000</f>
        <v>0.260687755102041</v>
      </c>
      <c r="J59" s="41" t="inlineStr">
        <is>
          <t>NP</t>
        </is>
      </c>
      <c r="K59" s="37" t="str">
        <f>PRINCIPALES!$BZ$18</f>
        <v>CUMPLE</v>
      </c>
      <c r="L59" s="36">
        <f>E59*TABLEROS!$U$15/1000</f>
        <v>0.07695</v>
      </c>
      <c r="M59" s="36">
        <f>E59*IF(TABLEROS!$E$15="HABITACIÓN",DATOS!$C$91,DATOS!$C$94)/1000</f>
        <v>0.0324</v>
      </c>
    </row>
    <row r="60">
      <c r="B60" s="41" t="inlineStr">
        <is>
          <t>DM-11</t>
        </is>
      </c>
      <c r="C60" s="41" t="inlineStr">
        <is>
          <t>F80009 N+3.00</t>
        </is>
      </c>
      <c r="D60" s="41" t="inlineStr">
        <is>
          <t>N+3.00</t>
        </is>
      </c>
      <c r="E60" s="54" t="n">
        <v>1.0731</v>
      </c>
      <c r="F60" s="56">
        <f>TABLEROS!$Y$16</f>
        <v>894.275510204082</v>
      </c>
      <c r="G60" s="36">
        <f>E60*F60/1000</f>
        <v>0.95964705</v>
      </c>
      <c r="H60" s="56">
        <f>TABLEROS!$X$16</f>
        <v>658.673469387755</v>
      </c>
      <c r="I60" s="36">
        <f>E60*H60/1000</f>
        <v>0.7068225</v>
      </c>
      <c r="J60" s="41" t="inlineStr">
        <is>
          <t>DM</t>
        </is>
      </c>
      <c r="K60" s="37" t="inlineStr">
        <is>
          <t>sobre muro</t>
        </is>
      </c>
      <c r="L60" s="36">
        <f>E60*TABLEROS!$U$16/1000</f>
        <v>0.203889</v>
      </c>
      <c r="M60" s="36">
        <f>E60*IF(TABLEROS!$E$16="HABITACIÓN",DATOS!$C$91,DATOS!$C$94)/1000</f>
        <v>0.085848</v>
      </c>
    </row>
    <row r="61">
      <c r="B61" s="41" t="inlineStr">
        <is>
          <t>DM-12</t>
        </is>
      </c>
      <c r="C61" s="41" t="inlineStr">
        <is>
          <t>F80009 N+3.00</t>
        </is>
      </c>
      <c r="D61" s="41" t="inlineStr">
        <is>
          <t>N+3.00</t>
        </is>
      </c>
      <c r="E61" s="54" t="n">
        <v>1.8647</v>
      </c>
      <c r="F61" s="56">
        <f>TABLEROS!$Y$16</f>
        <v>894.275510204082</v>
      </c>
      <c r="G61" s="36">
        <f>E61*F61/1000</f>
        <v>1.66755554387755</v>
      </c>
      <c r="H61" s="56">
        <f>TABLEROS!$X$16</f>
        <v>658.673469387755</v>
      </c>
      <c r="I61" s="36">
        <f>E61*H61/1000</f>
        <v>1.22822841836735</v>
      </c>
      <c r="J61" s="41" t="inlineStr">
        <is>
          <t>DM</t>
        </is>
      </c>
      <c r="K61" s="37" t="inlineStr">
        <is>
          <t>sobre muro</t>
        </is>
      </c>
      <c r="L61" s="36">
        <f>E61*TABLEROS!$U$16/1000</f>
        <v>0.354293</v>
      </c>
      <c r="M61" s="36">
        <f>E61*IF(TABLEROS!$E$16="HABITACIÓN",DATOS!$C$91,DATOS!$C$94)/1000</f>
        <v>0.149176</v>
      </c>
    </row>
    <row r="62">
      <c r="B62" s="41" t="inlineStr">
        <is>
          <t>NP-26</t>
        </is>
      </c>
      <c r="C62" s="41" t="inlineStr">
        <is>
          <t>F80009 N+3.00</t>
        </is>
      </c>
      <c r="D62" s="41" t="inlineStr">
        <is>
          <t>N+3.00</t>
        </is>
      </c>
      <c r="E62" s="54" t="n">
        <v>6.4841</v>
      </c>
      <c r="F62" s="56">
        <f>TABLEROS!$Y$16</f>
        <v>894.275510204082</v>
      </c>
      <c r="G62" s="36">
        <f>E62*F62/1000</f>
        <v>5.79857183571429</v>
      </c>
      <c r="H62" s="56">
        <f>TABLEROS!$X$16</f>
        <v>658.673469387755</v>
      </c>
      <c r="I62" s="36">
        <f>E62*H62/1000</f>
        <v>4.27090464285714</v>
      </c>
      <c r="J62" s="41" t="inlineStr">
        <is>
          <t>NP</t>
        </is>
      </c>
      <c r="K62" s="37" t="str">
        <f>PRINCIPALES!$BZ$34</f>
        <v>PENDIENTE: H/L &lt; 0.6, falta el análisis de interacción muro-viga (NTC-M 4.1.18.2.1, p. 44)</v>
      </c>
      <c r="L62" s="36">
        <f>E62*TABLEROS!$U$16/1000</f>
        <v>1.231979</v>
      </c>
      <c r="M62" s="36">
        <f>E62*IF(TABLEROS!$E$16="HABITACIÓN",DATOS!$C$91,DATOS!$C$94)/1000</f>
        <v>0.518728</v>
      </c>
    </row>
    <row r="63">
      <c r="B63" s="41" t="inlineStr">
        <is>
          <t>NP-08</t>
        </is>
      </c>
      <c r="C63" s="41" t="inlineStr">
        <is>
          <t>F80009 N+3.00</t>
        </is>
      </c>
      <c r="D63" s="41" t="inlineStr">
        <is>
          <t>N+3.00</t>
        </is>
      </c>
      <c r="E63" s="54" t="n">
        <v>2.6886</v>
      </c>
      <c r="F63" s="56">
        <f>TABLEROS!$Y$16</f>
        <v>894.275510204082</v>
      </c>
      <c r="G63" s="36">
        <f>E63*F63/1000</f>
        <v>2.40434913673469</v>
      </c>
      <c r="H63" s="56">
        <f>TABLEROS!$X$16</f>
        <v>658.673469387755</v>
      </c>
      <c r="I63" s="36">
        <f>E63*H63/1000</f>
        <v>1.77090948979592</v>
      </c>
      <c r="J63" s="41" t="inlineStr">
        <is>
          <t>NP</t>
        </is>
      </c>
      <c r="K63" s="37" t="str">
        <f>PRINCIPALES!$BZ$16</f>
        <v>CUMPLE</v>
      </c>
      <c r="L63" s="36">
        <f>E63*TABLEROS!$U$16/1000</f>
        <v>0.510834</v>
      </c>
      <c r="M63" s="36">
        <f>E63*IF(TABLEROS!$E$16="HABITACIÓN",DATOS!$C$91,DATOS!$C$94)/1000</f>
        <v>0.215088</v>
      </c>
    </row>
    <row r="64">
      <c r="B64" s="41" t="inlineStr">
        <is>
          <t>DM-10</t>
        </is>
      </c>
      <c r="C64" s="41" t="inlineStr">
        <is>
          <t>F80009 N+3.00</t>
        </is>
      </c>
      <c r="D64" s="41" t="inlineStr">
        <is>
          <t>N+3.00</t>
        </is>
      </c>
      <c r="E64" s="54" t="n">
        <v>0.2492</v>
      </c>
      <c r="F64" s="56">
        <f>TABLEROS!$Y$16</f>
        <v>894.275510204082</v>
      </c>
      <c r="G64" s="36">
        <f>E64*F64/1000</f>
        <v>0.222853457142857</v>
      </c>
      <c r="H64" s="56">
        <f>TABLEROS!$X$16</f>
        <v>658.673469387755</v>
      </c>
      <c r="I64" s="36">
        <f>E64*H64/1000</f>
        <v>0.164141428571429</v>
      </c>
      <c r="J64" s="41" t="inlineStr">
        <is>
          <t>DM</t>
        </is>
      </c>
      <c r="K64" s="37" t="inlineStr">
        <is>
          <t>sobre muro</t>
        </is>
      </c>
      <c r="L64" s="36">
        <f>E64*TABLEROS!$U$16/1000</f>
        <v>0.047348</v>
      </c>
      <c r="M64" s="36">
        <f>E64*IF(TABLEROS!$E$16="HABITACIÓN",DATOS!$C$91,DATOS!$C$94)/1000</f>
        <v>0.019936</v>
      </c>
    </row>
    <row r="65">
      <c r="B65" s="41" t="inlineStr">
        <is>
          <t>DM-59</t>
        </is>
      </c>
      <c r="C65" s="41" t="inlineStr">
        <is>
          <t>F80009 N+3.00</t>
        </is>
      </c>
      <c r="D65" s="41" t="inlineStr">
        <is>
          <t>N+3.00</t>
        </is>
      </c>
      <c r="E65" s="54" t="n">
        <v>2.2162</v>
      </c>
      <c r="F65" s="56">
        <f>TABLEROS!$Y$16</f>
        <v>894.275510204082</v>
      </c>
      <c r="G65" s="36">
        <f>E65*F65/1000</f>
        <v>1.98189338571429</v>
      </c>
      <c r="H65" s="56">
        <f>TABLEROS!$X$16</f>
        <v>658.673469387755</v>
      </c>
      <c r="I65" s="36">
        <f>E65*H65/1000</f>
        <v>1.45975214285714</v>
      </c>
      <c r="J65" s="41" t="inlineStr">
        <is>
          <t>DM</t>
        </is>
      </c>
      <c r="K65" s="37" t="inlineStr">
        <is>
          <t>sobre muro</t>
        </is>
      </c>
      <c r="L65" s="36">
        <f>E65*TABLEROS!$U$16/1000</f>
        <v>0.421078</v>
      </c>
      <c r="M65" s="36">
        <f>E65*IF(TABLEROS!$E$16="HABITACIÓN",DATOS!$C$91,DATOS!$C$94)/1000</f>
        <v>0.177296</v>
      </c>
    </row>
    <row r="66">
      <c r="B66" s="41" t="inlineStr">
        <is>
          <t>DM-60</t>
        </is>
      </c>
      <c r="C66" s="41" t="inlineStr">
        <is>
          <t>F80009 N+3.00</t>
        </is>
      </c>
      <c r="D66" s="41" t="inlineStr">
        <is>
          <t>N+3.00</t>
        </is>
      </c>
      <c r="E66" s="54" t="n">
        <v>3.5479</v>
      </c>
      <c r="F66" s="56">
        <f>TABLEROS!$Y$16</f>
        <v>894.275510204082</v>
      </c>
      <c r="G66" s="36">
        <f>E66*F66/1000</f>
        <v>3.17280008265306</v>
      </c>
      <c r="H66" s="56">
        <f>TABLEROS!$X$16</f>
        <v>658.673469387755</v>
      </c>
      <c r="I66" s="36">
        <f>E66*H66/1000</f>
        <v>2.33690760204082</v>
      </c>
      <c r="J66" s="41" t="inlineStr">
        <is>
          <t>DM</t>
        </is>
      </c>
      <c r="K66" s="37" t="inlineStr">
        <is>
          <t>sobre muro</t>
        </is>
      </c>
      <c r="L66" s="36">
        <f>E66*TABLEROS!$U$16/1000</f>
        <v>0.674101</v>
      </c>
      <c r="M66" s="36">
        <f>E66*IF(TABLEROS!$E$16="HABITACIÓN",DATOS!$C$91,DATOS!$C$94)/1000</f>
        <v>0.283832</v>
      </c>
    </row>
    <row r="67">
      <c r="B67" s="41" t="inlineStr">
        <is>
          <t>DM-61</t>
        </is>
      </c>
      <c r="C67" s="41" t="inlineStr">
        <is>
          <t>F80009 N+3.00</t>
        </is>
      </c>
      <c r="D67" s="41" t="inlineStr">
        <is>
          <t>N+3.00</t>
        </is>
      </c>
      <c r="E67" s="54" t="n">
        <v>0.72</v>
      </c>
      <c r="F67" s="56">
        <f>TABLEROS!$Y$16</f>
        <v>894.275510204082</v>
      </c>
      <c r="G67" s="36">
        <f>E67*F67/1000</f>
        <v>0.643878367346939</v>
      </c>
      <c r="H67" s="56">
        <f>TABLEROS!$X$16</f>
        <v>658.673469387755</v>
      </c>
      <c r="I67" s="36">
        <f>E67*H67/1000</f>
        <v>0.474244897959184</v>
      </c>
      <c r="J67" s="41" t="inlineStr">
        <is>
          <t>DM</t>
        </is>
      </c>
      <c r="K67" s="37" t="inlineStr">
        <is>
          <t>sobre muro</t>
        </is>
      </c>
      <c r="L67" s="36">
        <f>E67*TABLEROS!$U$16/1000</f>
        <v>0.1368</v>
      </c>
      <c r="M67" s="36">
        <f>E67*IF(TABLEROS!$E$16="HABITACIÓN",DATOS!$C$91,DATOS!$C$94)/1000</f>
        <v>0.0576</v>
      </c>
    </row>
    <row r="68">
      <c r="B68" s="41" t="inlineStr">
        <is>
          <t>NP-19</t>
        </is>
      </c>
      <c r="C68" s="41" t="inlineStr">
        <is>
          <t>F80010 N+3.00</t>
        </is>
      </c>
      <c r="D68" s="41" t="inlineStr">
        <is>
          <t>N+3.00</t>
        </is>
      </c>
      <c r="E68" s="54" t="n">
        <v>0.8327</v>
      </c>
      <c r="F68" s="56">
        <f>TABLEROS!$Y$17</f>
        <v>978.775510204082</v>
      </c>
      <c r="G68" s="36">
        <f>E68*F68/1000</f>
        <v>0.815026367346939</v>
      </c>
      <c r="H68" s="56">
        <f>TABLEROS!$X$17</f>
        <v>723.673469387755</v>
      </c>
      <c r="I68" s="36">
        <f>E68*H68/1000</f>
        <v>0.602602897959184</v>
      </c>
      <c r="J68" s="41" t="inlineStr">
        <is>
          <t>NP</t>
        </is>
      </c>
      <c r="K68" s="37" t="str">
        <f>PRINCIPALES!$BZ$27</f>
        <v>CUMPLE</v>
      </c>
      <c r="L68" s="36">
        <f>E68*TABLEROS!$U$17/1000</f>
        <v>0.158213</v>
      </c>
      <c r="M68" s="36">
        <f>E68*IF(TABLEROS!$E$17="HABITACIÓN",DATOS!$C$91,DATOS!$C$94)/1000</f>
        <v>0.066616</v>
      </c>
    </row>
    <row r="69">
      <c r="B69" s="41" t="inlineStr">
        <is>
          <t>NP-12</t>
        </is>
      </c>
      <c r="C69" s="41" t="inlineStr">
        <is>
          <t>F80010 N+3.00</t>
        </is>
      </c>
      <c r="D69" s="41" t="inlineStr">
        <is>
          <t>N+3.00</t>
        </is>
      </c>
      <c r="E69" s="54" t="n">
        <v>2.2945</v>
      </c>
      <c r="F69" s="56">
        <f>TABLEROS!$Y$17</f>
        <v>978.775510204082</v>
      </c>
      <c r="G69" s="36">
        <f>E69*F69/1000</f>
        <v>2.24580040816327</v>
      </c>
      <c r="H69" s="56">
        <f>TABLEROS!$X$17</f>
        <v>723.673469387755</v>
      </c>
      <c r="I69" s="36">
        <f>E69*H69/1000</f>
        <v>1.6604687755102</v>
      </c>
      <c r="J69" s="41" t="inlineStr">
        <is>
          <t>NP</t>
        </is>
      </c>
      <c r="K69" s="37" t="str">
        <f>PRINCIPALES!$BZ$20</f>
        <v>CUMPLE</v>
      </c>
      <c r="L69" s="36">
        <f>E69*TABLEROS!$U$17/1000</f>
        <v>0.435955</v>
      </c>
      <c r="M69" s="36">
        <f>E69*IF(TABLEROS!$E$17="HABITACIÓN",DATOS!$C$91,DATOS!$C$94)/1000</f>
        <v>0.18356</v>
      </c>
    </row>
    <row r="70">
      <c r="B70" s="41" t="inlineStr">
        <is>
          <t>DM-39</t>
        </is>
      </c>
      <c r="C70" s="41" t="inlineStr">
        <is>
          <t>F80010 N+3.00</t>
        </is>
      </c>
      <c r="D70" s="41" t="inlineStr">
        <is>
          <t>N+3.00</t>
        </is>
      </c>
      <c r="E70" s="54" t="n">
        <v>0.8327</v>
      </c>
      <c r="F70" s="56">
        <f>TABLEROS!$Y$17</f>
        <v>978.775510204082</v>
      </c>
      <c r="G70" s="36">
        <f>E70*F70/1000</f>
        <v>0.815026367346939</v>
      </c>
      <c r="H70" s="56">
        <f>TABLEROS!$X$17</f>
        <v>723.673469387755</v>
      </c>
      <c r="I70" s="36">
        <f>E70*H70/1000</f>
        <v>0.602602897959184</v>
      </c>
      <c r="J70" s="41" t="inlineStr">
        <is>
          <t>DM</t>
        </is>
      </c>
      <c r="K70" s="37" t="inlineStr">
        <is>
          <t>sobre muro</t>
        </is>
      </c>
      <c r="L70" s="36">
        <f>E70*TABLEROS!$U$17/1000</f>
        <v>0.158213</v>
      </c>
      <c r="M70" s="36">
        <f>E70*IF(TABLEROS!$E$17="HABITACIÓN",DATOS!$C$91,DATOS!$C$94)/1000</f>
        <v>0.066616</v>
      </c>
    </row>
    <row r="71">
      <c r="B71" s="41" t="inlineStr">
        <is>
          <t>NP-10</t>
        </is>
      </c>
      <c r="C71" s="41" t="inlineStr">
        <is>
          <t>F80010 N+3.00</t>
        </is>
      </c>
      <c r="D71" s="41" t="inlineStr">
        <is>
          <t>N+3.00</t>
        </is>
      </c>
      <c r="E71" s="54" t="n">
        <v>2.2945</v>
      </c>
      <c r="F71" s="56">
        <f>TABLEROS!$Y$17</f>
        <v>978.775510204082</v>
      </c>
      <c r="G71" s="36">
        <f>E71*F71/1000</f>
        <v>2.24580040816327</v>
      </c>
      <c r="H71" s="56">
        <f>TABLEROS!$X$17</f>
        <v>723.673469387755</v>
      </c>
      <c r="I71" s="36">
        <f>E71*H71/1000</f>
        <v>1.6604687755102</v>
      </c>
      <c r="J71" s="41" t="inlineStr">
        <is>
          <t>NP</t>
        </is>
      </c>
      <c r="K71" s="37" t="str">
        <f>PRINCIPALES!$BZ$18</f>
        <v>CUMPLE</v>
      </c>
      <c r="L71" s="36">
        <f>E71*TABLEROS!$U$17/1000</f>
        <v>0.435955</v>
      </c>
      <c r="M71" s="36">
        <f>E71*IF(TABLEROS!$E$17="HABITACIÓN",DATOS!$C$91,DATOS!$C$94)/1000</f>
        <v>0.18356</v>
      </c>
    </row>
    <row r="72">
      <c r="B72" s="41" t="inlineStr">
        <is>
          <t>NP-13</t>
        </is>
      </c>
      <c r="C72" s="41" t="inlineStr">
        <is>
          <t>F80011 N+3.00</t>
        </is>
      </c>
      <c r="D72" s="41" t="inlineStr">
        <is>
          <t>N+3.00</t>
        </is>
      </c>
      <c r="E72" s="54" t="n">
        <v>0.6441</v>
      </c>
      <c r="F72" s="56">
        <f>TABLEROS!$Y$18</f>
        <v>965.775510204082</v>
      </c>
      <c r="G72" s="36">
        <f>E72*F72/1000</f>
        <v>0.622056006122449</v>
      </c>
      <c r="H72" s="56">
        <f>TABLEROS!$X$18</f>
        <v>713.673469387755</v>
      </c>
      <c r="I72" s="36">
        <f>E72*H72/1000</f>
        <v>0.459677081632653</v>
      </c>
      <c r="J72" s="41" t="inlineStr">
        <is>
          <t>NP</t>
        </is>
      </c>
      <c r="K72" s="37" t="str">
        <f>PRINCIPALES!$BZ$21</f>
        <v>CUMPLE</v>
      </c>
      <c r="L72" s="36">
        <f>E72*TABLEROS!$U$18/1000</f>
        <v>0.122379</v>
      </c>
      <c r="M72" s="36">
        <f>E72*IF(TABLEROS!$E$18="HABITACIÓN",DATOS!$C$91,DATOS!$C$94)/1000</f>
        <v>0.051528</v>
      </c>
    </row>
    <row r="73">
      <c r="B73" s="41" t="inlineStr">
        <is>
          <t>NP-27</t>
        </is>
      </c>
      <c r="C73" s="41" t="inlineStr">
        <is>
          <t>F80011 N+3.00</t>
        </is>
      </c>
      <c r="D73" s="41" t="inlineStr">
        <is>
          <t>N+3.00</t>
        </is>
      </c>
      <c r="E73" s="54" t="n">
        <v>0.0398</v>
      </c>
      <c r="F73" s="56">
        <f>TABLEROS!$Y$18</f>
        <v>965.775510204082</v>
      </c>
      <c r="G73" s="36">
        <f>E73*F73/1000</f>
        <v>0.0384378653061225</v>
      </c>
      <c r="H73" s="56">
        <f>TABLEROS!$X$18</f>
        <v>713.673469387755</v>
      </c>
      <c r="I73" s="36">
        <f>E73*H73/1000</f>
        <v>0.0284042040816327</v>
      </c>
      <c r="J73" s="41" t="inlineStr">
        <is>
          <t>NP</t>
        </is>
      </c>
      <c r="K73" s="37" t="str">
        <f>PRINCIPALES!$BZ$35</f>
        <v>CUMPLE (en VOLADO)</v>
      </c>
      <c r="L73" s="36">
        <f>E73*TABLEROS!$U$18/1000</f>
        <v>0.007562</v>
      </c>
      <c r="M73" s="36">
        <f>E73*IF(TABLEROS!$E$18="HABITACIÓN",DATOS!$C$91,DATOS!$C$94)/1000</f>
        <v>0.003184</v>
      </c>
    </row>
    <row r="74">
      <c r="B74" s="41" t="inlineStr">
        <is>
          <t>DM-11</t>
        </is>
      </c>
      <c r="C74" s="41" t="inlineStr">
        <is>
          <t>F80011 N+3.00</t>
        </is>
      </c>
      <c r="D74" s="41" t="inlineStr">
        <is>
          <t>N+3.00</t>
        </is>
      </c>
      <c r="E74" s="54" t="n">
        <v>0.2724</v>
      </c>
      <c r="F74" s="56">
        <f>TABLEROS!$Y$18</f>
        <v>965.775510204082</v>
      </c>
      <c r="G74" s="36">
        <f>E74*F74/1000</f>
        <v>0.263077248979592</v>
      </c>
      <c r="H74" s="56">
        <f>TABLEROS!$X$18</f>
        <v>713.673469387755</v>
      </c>
      <c r="I74" s="36">
        <f>E74*H74/1000</f>
        <v>0.194404653061224</v>
      </c>
      <c r="J74" s="41" t="inlineStr">
        <is>
          <t>DM</t>
        </is>
      </c>
      <c r="K74" s="37" t="inlineStr">
        <is>
          <t>sobre muro</t>
        </is>
      </c>
      <c r="L74" s="36">
        <f>E74*TABLEROS!$U$18/1000</f>
        <v>0.051756</v>
      </c>
      <c r="M74" s="36">
        <f>E74*IF(TABLEROS!$E$18="HABITACIÓN",DATOS!$C$91,DATOS!$C$94)/1000</f>
        <v>0.021792</v>
      </c>
    </row>
    <row r="75">
      <c r="B75" s="41" t="inlineStr">
        <is>
          <t>DM-12</t>
        </is>
      </c>
      <c r="C75" s="41" t="inlineStr">
        <is>
          <t>F80011 N+3.00</t>
        </is>
      </c>
      <c r="D75" s="41" t="inlineStr">
        <is>
          <t>N+3.00</t>
        </is>
      </c>
      <c r="E75" s="54" t="n">
        <v>0.3717</v>
      </c>
      <c r="F75" s="56">
        <f>TABLEROS!$Y$18</f>
        <v>965.775510204082</v>
      </c>
      <c r="G75" s="36">
        <f>E75*F75/1000</f>
        <v>0.358978757142857</v>
      </c>
      <c r="H75" s="56">
        <f>TABLEROS!$X$18</f>
        <v>713.673469387755</v>
      </c>
      <c r="I75" s="36">
        <f>E75*H75/1000</f>
        <v>0.265272428571429</v>
      </c>
      <c r="J75" s="41" t="inlineStr">
        <is>
          <t>DM</t>
        </is>
      </c>
      <c r="K75" s="37" t="inlineStr">
        <is>
          <t>sobre muro</t>
        </is>
      </c>
      <c r="L75" s="36">
        <f>E75*TABLEROS!$U$18/1000</f>
        <v>0.070623</v>
      </c>
      <c r="M75" s="36">
        <f>E75*IF(TABLEROS!$E$18="HABITACIÓN",DATOS!$C$91,DATOS!$C$94)/1000</f>
        <v>0.029736</v>
      </c>
    </row>
    <row r="76">
      <c r="B76" s="41" t="inlineStr">
        <is>
          <t>DM-62</t>
        </is>
      </c>
      <c r="C76" s="41" t="inlineStr">
        <is>
          <t>F80011 N+3.00</t>
        </is>
      </c>
      <c r="D76" s="41" t="inlineStr">
        <is>
          <t>N+3.00</t>
        </is>
      </c>
      <c r="E76" s="54" t="n">
        <v>0.0398</v>
      </c>
      <c r="F76" s="56">
        <f>TABLEROS!$Y$18</f>
        <v>965.775510204082</v>
      </c>
      <c r="G76" s="36">
        <f>E76*F76/1000</f>
        <v>0.0384378653061225</v>
      </c>
      <c r="H76" s="56">
        <f>TABLEROS!$X$18</f>
        <v>713.673469387755</v>
      </c>
      <c r="I76" s="36">
        <f>E76*H76/1000</f>
        <v>0.0284042040816327</v>
      </c>
      <c r="J76" s="41" t="inlineStr">
        <is>
          <t>DM</t>
        </is>
      </c>
      <c r="K76" s="37" t="inlineStr">
        <is>
          <t>sobre muro</t>
        </is>
      </c>
      <c r="L76" s="36">
        <f>E76*TABLEROS!$U$18/1000</f>
        <v>0.007562</v>
      </c>
      <c r="M76" s="36">
        <f>E76*IF(TABLEROS!$E$18="HABITACIÓN",DATOS!$C$91,DATOS!$C$94)/1000</f>
        <v>0.003184</v>
      </c>
    </row>
    <row r="77">
      <c r="B77" s="41" t="inlineStr">
        <is>
          <t>DM-39</t>
        </is>
      </c>
      <c r="C77" s="41" t="inlineStr">
        <is>
          <t>F80012 N+3.00</t>
        </is>
      </c>
      <c r="D77" s="41" t="inlineStr">
        <is>
          <t>N+3.00</t>
        </is>
      </c>
      <c r="E77" s="54" t="n">
        <v>3.65</v>
      </c>
      <c r="F77" s="56">
        <f>TABLEROS!$Y$19</f>
        <v>939.775510204082</v>
      </c>
      <c r="G77" s="36">
        <f>E77*F77/1000</f>
        <v>3.4301806122449</v>
      </c>
      <c r="H77" s="56">
        <f>TABLEROS!$X$19</f>
        <v>693.673469387755</v>
      </c>
      <c r="I77" s="36">
        <f>E77*H77/1000</f>
        <v>2.53190816326531</v>
      </c>
      <c r="J77" s="41" t="inlineStr">
        <is>
          <t>DM</t>
        </is>
      </c>
      <c r="K77" s="37" t="inlineStr">
        <is>
          <t>sobre muro</t>
        </is>
      </c>
      <c r="L77" s="36">
        <f>E77*TABLEROS!$U$19/1000</f>
        <v>0.6935</v>
      </c>
      <c r="M77" s="36">
        <f>E77*IF(TABLEROS!$E$19="HABITACIÓN",DATOS!$C$91,DATOS!$C$94)/1000</f>
        <v>0.292</v>
      </c>
    </row>
    <row r="78">
      <c r="B78" s="41" t="inlineStr">
        <is>
          <t>DM-40</t>
        </is>
      </c>
      <c r="C78" s="41" t="inlineStr">
        <is>
          <t>F80012 N+3.00</t>
        </is>
      </c>
      <c r="D78" s="41" t="inlineStr">
        <is>
          <t>N+3.00</t>
        </is>
      </c>
      <c r="E78" s="54" t="n">
        <v>3.2</v>
      </c>
      <c r="F78" s="56">
        <f>TABLEROS!$Y$19</f>
        <v>939.775510204082</v>
      </c>
      <c r="G78" s="36">
        <f>E78*F78/1000</f>
        <v>3.00728163265306</v>
      </c>
      <c r="H78" s="56">
        <f>TABLEROS!$X$19</f>
        <v>693.673469387755</v>
      </c>
      <c r="I78" s="36">
        <f>E78*H78/1000</f>
        <v>2.21975510204082</v>
      </c>
      <c r="J78" s="41" t="inlineStr">
        <is>
          <t>DM</t>
        </is>
      </c>
      <c r="K78" s="37" t="inlineStr">
        <is>
          <t>sobre muro</t>
        </is>
      </c>
      <c r="L78" s="36">
        <f>E78*TABLEROS!$U$19/1000</f>
        <v>0.608</v>
      </c>
      <c r="M78" s="36">
        <f>E78*IF(TABLEROS!$E$19="HABITACIÓN",DATOS!$C$91,DATOS!$C$94)/1000</f>
        <v>0.256</v>
      </c>
    </row>
    <row r="79">
      <c r="B79" s="41" t="inlineStr">
        <is>
          <t>NP-27</t>
        </is>
      </c>
      <c r="C79" s="41" t="inlineStr">
        <is>
          <t>F80013 N+3.00</t>
        </is>
      </c>
      <c r="D79" s="41" t="inlineStr">
        <is>
          <t>N+3.00</t>
        </is>
      </c>
      <c r="E79" s="54" t="n">
        <v>0.0683</v>
      </c>
      <c r="F79" s="56">
        <f>TABLEROS!$Y$20</f>
        <v>874.775510204082</v>
      </c>
      <c r="G79" s="36">
        <f>E79*F79/1000</f>
        <v>0.0597471673469388</v>
      </c>
      <c r="H79" s="56">
        <f>TABLEROS!$X$20</f>
        <v>643.673469387755</v>
      </c>
      <c r="I79" s="36">
        <f>E79*H79/1000</f>
        <v>0.0439628979591837</v>
      </c>
      <c r="J79" s="41" t="inlineStr">
        <is>
          <t>NP</t>
        </is>
      </c>
      <c r="K79" s="37" t="str">
        <f>PRINCIPALES!$BZ$35</f>
        <v>CUMPLE (en VOLADO)</v>
      </c>
      <c r="L79" s="36">
        <f>E79*TABLEROS!$U$20/1000</f>
        <v>0.012977</v>
      </c>
      <c r="M79" s="36">
        <f>E79*IF(TABLEROS!$E$20="HABITACIÓN",DATOS!$C$91,DATOS!$C$94)/1000</f>
        <v>0.005464</v>
      </c>
    </row>
    <row r="80">
      <c r="B80" s="41" t="inlineStr">
        <is>
          <t>NP-13</t>
        </is>
      </c>
      <c r="C80" s="41" t="inlineStr">
        <is>
          <t>F80013 N+3.00</t>
        </is>
      </c>
      <c r="D80" s="41" t="inlineStr">
        <is>
          <t>N+3.00</t>
        </is>
      </c>
      <c r="E80" s="54" t="n">
        <v>0.08</v>
      </c>
      <c r="F80" s="56">
        <f>TABLEROS!$Y$20</f>
        <v>874.775510204082</v>
      </c>
      <c r="G80" s="36">
        <f>E80*F80/1000</f>
        <v>0.0699820408163265</v>
      </c>
      <c r="H80" s="56">
        <f>TABLEROS!$X$20</f>
        <v>643.673469387755</v>
      </c>
      <c r="I80" s="36">
        <f>E80*H80/1000</f>
        <v>0.0514938775510204</v>
      </c>
      <c r="J80" s="41" t="inlineStr">
        <is>
          <t>NP</t>
        </is>
      </c>
      <c r="K80" s="37" t="str">
        <f>PRINCIPALES!$BZ$21</f>
        <v>CUMPLE</v>
      </c>
      <c r="L80" s="36">
        <f>E80*TABLEROS!$U$20/1000</f>
        <v>0.0152</v>
      </c>
      <c r="M80" s="36">
        <f>E80*IF(TABLEROS!$E$20="HABITACIÓN",DATOS!$C$91,DATOS!$C$94)/1000</f>
        <v>0.0064</v>
      </c>
    </row>
    <row r="81">
      <c r="B81" s="41" t="inlineStr">
        <is>
          <t>NP-28</t>
        </is>
      </c>
      <c r="C81" s="41" t="inlineStr">
        <is>
          <t>F80013 N+3.00</t>
        </is>
      </c>
      <c r="D81" s="41" t="inlineStr">
        <is>
          <t>N+3.00</t>
        </is>
      </c>
      <c r="E81" s="54" t="n">
        <v>0.5358000000000001</v>
      </c>
      <c r="F81" s="56">
        <f>TABLEROS!$Y$20</f>
        <v>874.775510204082</v>
      </c>
      <c r="G81" s="36">
        <f>E81*F81/1000</f>
        <v>0.468704718367347</v>
      </c>
      <c r="H81" s="56">
        <f>TABLEROS!$X$20</f>
        <v>643.673469387755</v>
      </c>
      <c r="I81" s="36">
        <f>E81*H81/1000</f>
        <v>0.344880244897959</v>
      </c>
      <c r="J81" s="41" t="inlineStr">
        <is>
          <t>NP</t>
        </is>
      </c>
      <c r="K81" s="37" t="str">
        <f>PRINCIPALES!$BZ$36</f>
        <v>CUMPLE</v>
      </c>
      <c r="L81" s="36">
        <f>E81*TABLEROS!$U$20/1000</f>
        <v>0.101802</v>
      </c>
      <c r="M81" s="36">
        <f>E81*IF(TABLEROS!$E$20="HABITACIÓN",DATOS!$C$91,DATOS!$C$94)/1000</f>
        <v>0.042864</v>
      </c>
    </row>
    <row r="82">
      <c r="B82" s="41" t="inlineStr">
        <is>
          <t>DM-13</t>
        </is>
      </c>
      <c r="C82" s="41" t="inlineStr">
        <is>
          <t>F80013 N+3.00</t>
        </is>
      </c>
      <c r="D82" s="41" t="inlineStr">
        <is>
          <t>N+3.00</t>
        </is>
      </c>
      <c r="E82" s="54" t="n">
        <v>0.2012</v>
      </c>
      <c r="F82" s="56">
        <f>TABLEROS!$Y$20</f>
        <v>874.775510204082</v>
      </c>
      <c r="G82" s="36">
        <f>E82*F82/1000</f>
        <v>0.176004832653061</v>
      </c>
      <c r="H82" s="56">
        <f>TABLEROS!$X$20</f>
        <v>643.673469387755</v>
      </c>
      <c r="I82" s="36">
        <f>E82*H82/1000</f>
        <v>0.129507102040816</v>
      </c>
      <c r="J82" s="41" t="inlineStr">
        <is>
          <t>DM</t>
        </is>
      </c>
      <c r="K82" s="37" t="inlineStr">
        <is>
          <t>sobre muro</t>
        </is>
      </c>
      <c r="L82" s="36">
        <f>E82*TABLEROS!$U$20/1000</f>
        <v>0.038228</v>
      </c>
      <c r="M82" s="36">
        <f>E82*IF(TABLEROS!$E$20="HABITACIÓN",DATOS!$C$91,DATOS!$C$94)/1000</f>
        <v>0.016096</v>
      </c>
    </row>
    <row r="83">
      <c r="B83" s="41" t="inlineStr">
        <is>
          <t>DM-47</t>
        </is>
      </c>
      <c r="C83" s="41" t="inlineStr">
        <is>
          <t>F80013 N+3.00</t>
        </is>
      </c>
      <c r="D83" s="41" t="inlineStr">
        <is>
          <t>N+3.00</t>
        </is>
      </c>
      <c r="E83" s="54" t="n">
        <v>0.3137</v>
      </c>
      <c r="F83" s="56">
        <f>TABLEROS!$Y$20</f>
        <v>874.775510204082</v>
      </c>
      <c r="G83" s="36">
        <f>E83*F83/1000</f>
        <v>0.27441707755102</v>
      </c>
      <c r="H83" s="56">
        <f>TABLEROS!$X$20</f>
        <v>643.673469387755</v>
      </c>
      <c r="I83" s="36">
        <f>E83*H83/1000</f>
        <v>0.201920367346939</v>
      </c>
      <c r="J83" s="41" t="inlineStr">
        <is>
          <t>DM</t>
        </is>
      </c>
      <c r="K83" s="37" t="inlineStr">
        <is>
          <t>sobre muro</t>
        </is>
      </c>
      <c r="L83" s="36">
        <f>E83*TABLEROS!$U$20/1000</f>
        <v>0.059603</v>
      </c>
      <c r="M83" s="36">
        <f>E83*IF(TABLEROS!$E$20="HABITACIÓN",DATOS!$C$91,DATOS!$C$94)/1000</f>
        <v>0.025096</v>
      </c>
    </row>
    <row r="84">
      <c r="B84" s="41" t="inlineStr">
        <is>
          <t>DM-48</t>
        </is>
      </c>
      <c r="C84" s="41" t="inlineStr">
        <is>
          <t>F80013 N+3.00</t>
        </is>
      </c>
      <c r="D84" s="41" t="inlineStr">
        <is>
          <t>N+3.00</t>
        </is>
      </c>
      <c r="E84" s="54" t="n">
        <v>0.3703</v>
      </c>
      <c r="F84" s="56">
        <f>TABLEROS!$Y$20</f>
        <v>874.775510204082</v>
      </c>
      <c r="G84" s="36">
        <f>E84*F84/1000</f>
        <v>0.323929371428571</v>
      </c>
      <c r="H84" s="56">
        <f>TABLEROS!$X$20</f>
        <v>643.673469387755</v>
      </c>
      <c r="I84" s="36">
        <f>E84*H84/1000</f>
        <v>0.238352285714286</v>
      </c>
      <c r="J84" s="41" t="inlineStr">
        <is>
          <t>DM</t>
        </is>
      </c>
      <c r="K84" s="37" t="inlineStr">
        <is>
          <t>sobre muro</t>
        </is>
      </c>
      <c r="L84" s="36">
        <f>E84*TABLEROS!$U$20/1000</f>
        <v>0.070357</v>
      </c>
      <c r="M84" s="36">
        <f>E84*IF(TABLEROS!$E$20="HABITACIÓN",DATOS!$C$91,DATOS!$C$94)/1000</f>
        <v>0.029624</v>
      </c>
    </row>
    <row r="85">
      <c r="B85" s="41" t="inlineStr">
        <is>
          <t>DM-11</t>
        </is>
      </c>
      <c r="C85" s="41" t="inlineStr">
        <is>
          <t>F80013 N+3.00</t>
        </is>
      </c>
      <c r="D85" s="41" t="inlineStr">
        <is>
          <t>N+3.00</t>
        </is>
      </c>
      <c r="E85" s="54" t="n">
        <v>0.0618</v>
      </c>
      <c r="F85" s="56">
        <f>TABLEROS!$Y$20</f>
        <v>874.775510204082</v>
      </c>
      <c r="G85" s="36">
        <f>E85*F85/1000</f>
        <v>0.0540611265306122</v>
      </c>
      <c r="H85" s="56">
        <f>TABLEROS!$X$20</f>
        <v>643.673469387755</v>
      </c>
      <c r="I85" s="36">
        <f>E85*H85/1000</f>
        <v>0.0397790204081633</v>
      </c>
      <c r="J85" s="41" t="inlineStr">
        <is>
          <t>DM</t>
        </is>
      </c>
      <c r="K85" s="37" t="inlineStr">
        <is>
          <t>sobre muro</t>
        </is>
      </c>
      <c r="L85" s="36">
        <f>E85*TABLEROS!$U$20/1000</f>
        <v>0.011742</v>
      </c>
      <c r="M85" s="36">
        <f>E85*IF(TABLEROS!$E$20="HABITACIÓN",DATOS!$C$91,DATOS!$C$94)/1000</f>
        <v>0.004944</v>
      </c>
    </row>
    <row r="86">
      <c r="B86" s="41" t="inlineStr">
        <is>
          <t>NP-18</t>
        </is>
      </c>
      <c r="C86" s="41" t="inlineStr">
        <is>
          <t>F80014 N+3.00</t>
        </is>
      </c>
      <c r="D86" s="41" t="inlineStr">
        <is>
          <t>N+3.00</t>
        </is>
      </c>
      <c r="E86" s="54" t="n">
        <v>0.64</v>
      </c>
      <c r="F86" s="56">
        <f>TABLEROS!$Y$21</f>
        <v>965.775510204082</v>
      </c>
      <c r="G86" s="36">
        <f>E86*F86/1000</f>
        <v>0.618096326530612</v>
      </c>
      <c r="H86" s="56">
        <f>TABLEROS!$X$21</f>
        <v>713.673469387755</v>
      </c>
      <c r="I86" s="36">
        <f>E86*H86/1000</f>
        <v>0.456751020408163</v>
      </c>
      <c r="J86" s="41" t="inlineStr">
        <is>
          <t>NP</t>
        </is>
      </c>
      <c r="K86" s="37" t="str">
        <f>PRINCIPALES!$BZ$26</f>
        <v>CUMPLE</v>
      </c>
      <c r="L86" s="36">
        <f>E86*TABLEROS!$U$21/1000</f>
        <v>0.1216</v>
      </c>
      <c r="M86" s="36">
        <f>E86*IF(TABLEROS!$E$21="HABITACIÓN",DATOS!$C$91,DATOS!$C$94)/1000</f>
        <v>0.0512</v>
      </c>
    </row>
    <row r="87">
      <c r="B87" s="41" t="inlineStr">
        <is>
          <t>NP-15</t>
        </is>
      </c>
      <c r="C87" s="41" t="inlineStr">
        <is>
          <t>F80014 N+3.00</t>
        </is>
      </c>
      <c r="D87" s="41" t="inlineStr">
        <is>
          <t>N+3.00</t>
        </is>
      </c>
      <c r="E87" s="54" t="n">
        <v>1.7832</v>
      </c>
      <c r="F87" s="56">
        <f>TABLEROS!$Y$21</f>
        <v>965.775510204082</v>
      </c>
      <c r="G87" s="36">
        <f>E87*F87/1000</f>
        <v>1.72217088979592</v>
      </c>
      <c r="H87" s="56">
        <f>TABLEROS!$X$21</f>
        <v>713.673469387755</v>
      </c>
      <c r="I87" s="36">
        <f>E87*H87/1000</f>
        <v>1.27262253061224</v>
      </c>
      <c r="J87" s="41" t="inlineStr">
        <is>
          <t>NP</t>
        </is>
      </c>
      <c r="K87" s="37" t="str">
        <f>PRINCIPALES!$BZ$23</f>
        <v>PENDIENTE: H/L &lt; 0.6, falta el análisis de interacción muro-viga (NTC-M 4.1.18.2.1, p. 44)</v>
      </c>
      <c r="L87" s="36">
        <f>E87*TABLEROS!$U$21/1000</f>
        <v>0.338808</v>
      </c>
      <c r="M87" s="36">
        <f>E87*IF(TABLEROS!$E$21="HABITACIÓN",DATOS!$C$91,DATOS!$C$94)/1000</f>
        <v>0.142656</v>
      </c>
    </row>
    <row r="88">
      <c r="B88" s="41" t="inlineStr">
        <is>
          <t>DM-40</t>
        </is>
      </c>
      <c r="C88" s="41" t="inlineStr">
        <is>
          <t>F80014 N+3.00</t>
        </is>
      </c>
      <c r="D88" s="41" t="inlineStr">
        <is>
          <t>N+3.00</t>
        </is>
      </c>
      <c r="E88" s="54" t="n">
        <v>0.64</v>
      </c>
      <c r="F88" s="56">
        <f>TABLEROS!$Y$21</f>
        <v>965.775510204082</v>
      </c>
      <c r="G88" s="36">
        <f>E88*F88/1000</f>
        <v>0.618096326530612</v>
      </c>
      <c r="H88" s="56">
        <f>TABLEROS!$X$21</f>
        <v>713.673469387755</v>
      </c>
      <c r="I88" s="36">
        <f>E88*H88/1000</f>
        <v>0.456751020408163</v>
      </c>
      <c r="J88" s="41" t="inlineStr">
        <is>
          <t>DM</t>
        </is>
      </c>
      <c r="K88" s="37" t="inlineStr">
        <is>
          <t>sobre muro</t>
        </is>
      </c>
      <c r="L88" s="36">
        <f>E88*TABLEROS!$U$21/1000</f>
        <v>0.1216</v>
      </c>
      <c r="M88" s="36">
        <f>E88*IF(TABLEROS!$E$21="HABITACIÓN",DATOS!$C$91,DATOS!$C$94)/1000</f>
        <v>0.0512</v>
      </c>
    </row>
    <row r="89">
      <c r="B89" s="41" t="inlineStr">
        <is>
          <t>NP-12</t>
        </is>
      </c>
      <c r="C89" s="41" t="inlineStr">
        <is>
          <t>F80014 N+3.00</t>
        </is>
      </c>
      <c r="D89" s="41" t="inlineStr">
        <is>
          <t>N+3.00</t>
        </is>
      </c>
      <c r="E89" s="54" t="n">
        <v>1.7832</v>
      </c>
      <c r="F89" s="56">
        <f>TABLEROS!$Y$21</f>
        <v>965.775510204082</v>
      </c>
      <c r="G89" s="36">
        <f>E89*F89/1000</f>
        <v>1.72217088979592</v>
      </c>
      <c r="H89" s="56">
        <f>TABLEROS!$X$21</f>
        <v>713.673469387755</v>
      </c>
      <c r="I89" s="36">
        <f>E89*H89/1000</f>
        <v>1.27262253061224</v>
      </c>
      <c r="J89" s="41" t="inlineStr">
        <is>
          <t>NP</t>
        </is>
      </c>
      <c r="K89" s="37" t="str">
        <f>PRINCIPALES!$BZ$20</f>
        <v>CUMPLE</v>
      </c>
      <c r="L89" s="36">
        <f>E89*TABLEROS!$U$21/1000</f>
        <v>0.338808</v>
      </c>
      <c r="M89" s="36">
        <f>E89*IF(TABLEROS!$E$21="HABITACIÓN",DATOS!$C$91,DATOS!$C$94)/1000</f>
        <v>0.142656</v>
      </c>
    </row>
    <row r="90">
      <c r="B90" s="41" t="inlineStr">
        <is>
          <t>DM-13</t>
        </is>
      </c>
      <c r="C90" s="41" t="inlineStr">
        <is>
          <t>F80015 N+3.00</t>
        </is>
      </c>
      <c r="D90" s="41" t="inlineStr">
        <is>
          <t>N+3.00</t>
        </is>
      </c>
      <c r="E90" s="54" t="n">
        <v>0.532</v>
      </c>
      <c r="F90" s="56">
        <f>TABLEROS!$Y$22</f>
        <v>965.775510204082</v>
      </c>
      <c r="G90" s="36">
        <f>E90*F90/1000</f>
        <v>0.513792571428572</v>
      </c>
      <c r="H90" s="56">
        <f>TABLEROS!$X$22</f>
        <v>713.673469387755</v>
      </c>
      <c r="I90" s="36">
        <f>E90*H90/1000</f>
        <v>0.379674285714286</v>
      </c>
      <c r="J90" s="41" t="inlineStr">
        <is>
          <t>DM</t>
        </is>
      </c>
      <c r="K90" s="37" t="inlineStr">
        <is>
          <t>sobre muro</t>
        </is>
      </c>
      <c r="L90" s="36">
        <f>E90*TABLEROS!$U$22/1000</f>
        <v>0.10108</v>
      </c>
      <c r="M90" s="36">
        <f>E90*IF(TABLEROS!$E$22="HABITACIÓN",DATOS!$C$91,DATOS!$C$94)/1000</f>
        <v>0.04256</v>
      </c>
    </row>
    <row r="91">
      <c r="B91" s="41" t="inlineStr">
        <is>
          <t>DM-14</t>
        </is>
      </c>
      <c r="C91" s="41" t="inlineStr">
        <is>
          <t>F80015 N+3.00</t>
        </is>
      </c>
      <c r="D91" s="41" t="inlineStr">
        <is>
          <t>N+3.00</t>
        </is>
      </c>
      <c r="E91" s="54" t="n">
        <v>1.2504</v>
      </c>
      <c r="F91" s="56">
        <f>TABLEROS!$Y$22</f>
        <v>965.775510204082</v>
      </c>
      <c r="G91" s="36">
        <f>E91*F91/1000</f>
        <v>1.20760569795918</v>
      </c>
      <c r="H91" s="56">
        <f>TABLEROS!$X$22</f>
        <v>713.673469387755</v>
      </c>
      <c r="I91" s="36">
        <f>E91*H91/1000</f>
        <v>0.892377306122449</v>
      </c>
      <c r="J91" s="41" t="inlineStr">
        <is>
          <t>DM</t>
        </is>
      </c>
      <c r="K91" s="37" t="inlineStr">
        <is>
          <t>sobre muro</t>
        </is>
      </c>
      <c r="L91" s="36">
        <f>E91*TABLEROS!$U$22/1000</f>
        <v>0.237576</v>
      </c>
      <c r="M91" s="36">
        <f>E91*IF(TABLEROS!$E$22="HABITACIÓN",DATOS!$C$91,DATOS!$C$94)/1000</f>
        <v>0.100032</v>
      </c>
    </row>
    <row r="92">
      <c r="B92" s="41" t="inlineStr">
        <is>
          <t>NP-28</t>
        </is>
      </c>
      <c r="C92" s="41" t="inlineStr">
        <is>
          <t>F80015 N+3.00</t>
        </is>
      </c>
      <c r="D92" s="41" t="inlineStr">
        <is>
          <t>N+3.00</t>
        </is>
      </c>
      <c r="E92" s="54" t="n">
        <v>0.64</v>
      </c>
      <c r="F92" s="56">
        <f>TABLEROS!$Y$22</f>
        <v>965.775510204082</v>
      </c>
      <c r="G92" s="36">
        <f>E92*F92/1000</f>
        <v>0.618096326530612</v>
      </c>
      <c r="H92" s="56">
        <f>TABLEROS!$X$22</f>
        <v>713.673469387755</v>
      </c>
      <c r="I92" s="36">
        <f>E92*H92/1000</f>
        <v>0.456751020408163</v>
      </c>
      <c r="J92" s="41" t="inlineStr">
        <is>
          <t>NP</t>
        </is>
      </c>
      <c r="K92" s="37" t="str">
        <f>PRINCIPALES!$BZ$36</f>
        <v>CUMPLE</v>
      </c>
      <c r="L92" s="36">
        <f>E92*TABLEROS!$U$22/1000</f>
        <v>0.1216</v>
      </c>
      <c r="M92" s="36">
        <f>E92*IF(TABLEROS!$E$22="HABITACIÓN",DATOS!$C$91,DATOS!$C$94)/1000</f>
        <v>0.0512</v>
      </c>
    </row>
    <row r="93">
      <c r="B93" s="41" t="inlineStr">
        <is>
          <t>NP-13</t>
        </is>
      </c>
      <c r="C93" s="41" t="inlineStr">
        <is>
          <t>F80015 N+3.00</t>
        </is>
      </c>
      <c r="D93" s="41" t="inlineStr">
        <is>
          <t>N+3.00</t>
        </is>
      </c>
      <c r="E93" s="54" t="n">
        <v>1.7824</v>
      </c>
      <c r="F93" s="56">
        <f>TABLEROS!$Y$22</f>
        <v>965.775510204082</v>
      </c>
      <c r="G93" s="36">
        <f>E93*F93/1000</f>
        <v>1.72139826938776</v>
      </c>
      <c r="H93" s="56">
        <f>TABLEROS!$X$22</f>
        <v>713.673469387755</v>
      </c>
      <c r="I93" s="36">
        <f>E93*H93/1000</f>
        <v>1.27205159183673</v>
      </c>
      <c r="J93" s="41" t="inlineStr">
        <is>
          <t>NP</t>
        </is>
      </c>
      <c r="K93" s="37" t="str">
        <f>PRINCIPALES!$BZ$21</f>
        <v>CUMPLE</v>
      </c>
      <c r="L93" s="36">
        <f>E93*TABLEROS!$U$22/1000</f>
        <v>0.338656</v>
      </c>
      <c r="M93" s="36">
        <f>E93*IF(TABLEROS!$E$22="HABITACIÓN",DATOS!$C$91,DATOS!$C$94)/1000</f>
        <v>0.142592</v>
      </c>
    </row>
    <row r="94">
      <c r="B94" s="41" t="inlineStr">
        <is>
          <t>DM-62</t>
        </is>
      </c>
      <c r="C94" s="41" t="inlineStr">
        <is>
          <t>F80015 N+3.00</t>
        </is>
      </c>
      <c r="D94" s="41" t="inlineStr">
        <is>
          <t>N+3.00</t>
        </is>
      </c>
      <c r="E94" s="54" t="n">
        <v>0.64</v>
      </c>
      <c r="F94" s="56">
        <f>TABLEROS!$Y$22</f>
        <v>965.775510204082</v>
      </c>
      <c r="G94" s="36">
        <f>E94*F94/1000</f>
        <v>0.618096326530612</v>
      </c>
      <c r="H94" s="56">
        <f>TABLEROS!$X$22</f>
        <v>713.673469387755</v>
      </c>
      <c r="I94" s="36">
        <f>E94*H94/1000</f>
        <v>0.456751020408163</v>
      </c>
      <c r="J94" s="41" t="inlineStr">
        <is>
          <t>DM</t>
        </is>
      </c>
      <c r="K94" s="37" t="inlineStr">
        <is>
          <t>sobre muro</t>
        </is>
      </c>
      <c r="L94" s="36">
        <f>E94*TABLEROS!$U$22/1000</f>
        <v>0.1216</v>
      </c>
      <c r="M94" s="36">
        <f>E94*IF(TABLEROS!$E$22="HABITACIÓN",DATOS!$C$91,DATOS!$C$94)/1000</f>
        <v>0.0512</v>
      </c>
    </row>
    <row r="95">
      <c r="B95" s="41" t="inlineStr">
        <is>
          <t>NP-15</t>
        </is>
      </c>
      <c r="C95" s="41" t="inlineStr">
        <is>
          <t>F80016 N+3.00</t>
        </is>
      </c>
      <c r="D95" s="41" t="inlineStr">
        <is>
          <t>N+3.00</t>
        </is>
      </c>
      <c r="E95" s="54" t="n">
        <v>4.852</v>
      </c>
      <c r="F95" s="56">
        <f>TABLEROS!$Y$23</f>
        <v>874.775510204082</v>
      </c>
      <c r="G95" s="36">
        <f>E95*F95/1000</f>
        <v>4.2444107755102</v>
      </c>
      <c r="H95" s="56">
        <f>TABLEROS!$X$23</f>
        <v>643.673469387755</v>
      </c>
      <c r="I95" s="36">
        <f>E95*H95/1000</f>
        <v>3.12310367346939</v>
      </c>
      <c r="J95" s="41" t="inlineStr">
        <is>
          <t>NP</t>
        </is>
      </c>
      <c r="K95" s="37" t="str">
        <f>PRINCIPALES!$BZ$23</f>
        <v>PENDIENTE: H/L &lt; 0.6, falta el análisis de interacción muro-viga (NTC-M 4.1.18.2.1, p. 44)</v>
      </c>
      <c r="L95" s="36">
        <f>E95*TABLEROS!$U$23/1000</f>
        <v>0.92188</v>
      </c>
      <c r="M95" s="36">
        <f>E95*IF(TABLEROS!$E$23="HABITACIÓN",DATOS!$C$91,DATOS!$C$94)/1000</f>
        <v>0.38816</v>
      </c>
    </row>
    <row r="96">
      <c r="B96" s="41" t="inlineStr">
        <is>
          <t>NP-24</t>
        </is>
      </c>
      <c r="C96" s="41" t="inlineStr">
        <is>
          <t>F80016 N+3.00</t>
        </is>
      </c>
      <c r="D96" s="41" t="inlineStr">
        <is>
          <t>N+3.00</t>
        </is>
      </c>
      <c r="E96" s="54" t="n">
        <v>4</v>
      </c>
      <c r="F96" s="56">
        <f>TABLEROS!$Y$23</f>
        <v>874.775510204082</v>
      </c>
      <c r="G96" s="36">
        <f>E96*F96/1000</f>
        <v>3.49910204081633</v>
      </c>
      <c r="H96" s="56">
        <f>TABLEROS!$X$23</f>
        <v>643.673469387755</v>
      </c>
      <c r="I96" s="36">
        <f>E96*H96/1000</f>
        <v>2.57469387755102</v>
      </c>
      <c r="J96" s="41" t="inlineStr">
        <is>
          <t>NP</t>
        </is>
      </c>
      <c r="K96" s="37" t="str">
        <f>PRINCIPALES!$BZ$32</f>
        <v>CUMPLE</v>
      </c>
      <c r="L96" s="36">
        <f>E96*TABLEROS!$U$23/1000</f>
        <v>0.76</v>
      </c>
      <c r="M96" s="36">
        <f>E96*IF(TABLEROS!$E$23="HABITACIÓN",DATOS!$C$91,DATOS!$C$94)/1000</f>
        <v>0.32</v>
      </c>
    </row>
    <row r="97">
      <c r="B97" s="41" t="inlineStr">
        <is>
          <t>DM-16</t>
        </is>
      </c>
      <c r="C97" s="41" t="inlineStr">
        <is>
          <t>F80016 N+3.00</t>
        </is>
      </c>
      <c r="D97" s="41" t="inlineStr">
        <is>
          <t>N+3.00</t>
        </is>
      </c>
      <c r="E97" s="54" t="n">
        <v>0.0612</v>
      </c>
      <c r="F97" s="56">
        <f>TABLEROS!$Y$23</f>
        <v>874.775510204082</v>
      </c>
      <c r="G97" s="36">
        <f>E97*F97/1000</f>
        <v>0.0535362612244898</v>
      </c>
      <c r="H97" s="56">
        <f>TABLEROS!$X$23</f>
        <v>643.673469387755</v>
      </c>
      <c r="I97" s="36">
        <f>E97*H97/1000</f>
        <v>0.0393928163265306</v>
      </c>
      <c r="J97" s="41" t="inlineStr">
        <is>
          <t>DM</t>
        </is>
      </c>
      <c r="K97" s="37" t="inlineStr">
        <is>
          <t>sobre muro</t>
        </is>
      </c>
      <c r="L97" s="36">
        <f>E97*TABLEROS!$U$23/1000</f>
        <v>0.011628</v>
      </c>
      <c r="M97" s="36">
        <f>E97*IF(TABLEROS!$E$23="HABITACIÓN",DATOS!$C$91,DATOS!$C$94)/1000</f>
        <v>0.004896</v>
      </c>
    </row>
    <row r="98">
      <c r="B98" s="41" t="inlineStr">
        <is>
          <t>DM-17</t>
        </is>
      </c>
      <c r="C98" s="41" t="inlineStr">
        <is>
          <t>F80016 N+3.00</t>
        </is>
      </c>
      <c r="D98" s="41" t="inlineStr">
        <is>
          <t>N+3.00</t>
        </is>
      </c>
      <c r="E98" s="54" t="n">
        <v>4.7908</v>
      </c>
      <c r="F98" s="56">
        <f>TABLEROS!$Y$23</f>
        <v>874.775510204082</v>
      </c>
      <c r="G98" s="36">
        <f>E98*F98/1000</f>
        <v>4.19087451428571</v>
      </c>
      <c r="H98" s="56">
        <f>TABLEROS!$X$23</f>
        <v>643.673469387755</v>
      </c>
      <c r="I98" s="36">
        <f>E98*H98/1000</f>
        <v>3.08371085714286</v>
      </c>
      <c r="J98" s="41" t="inlineStr">
        <is>
          <t>DM</t>
        </is>
      </c>
      <c r="K98" s="37" t="inlineStr">
        <is>
          <t>sobre muro</t>
        </is>
      </c>
      <c r="L98" s="36">
        <f>E98*TABLEROS!$U$23/1000</f>
        <v>0.910252</v>
      </c>
      <c r="M98" s="36">
        <f>E98*IF(TABLEROS!$E$23="HABITACIÓN",DATOS!$C$91,DATOS!$C$94)/1000</f>
        <v>0.383264</v>
      </c>
    </row>
    <row r="99">
      <c r="B99" s="41" t="inlineStr">
        <is>
          <t>DM-41</t>
        </is>
      </c>
      <c r="C99" s="41" t="inlineStr">
        <is>
          <t>F80016 N+3.00</t>
        </is>
      </c>
      <c r="D99" s="41" t="inlineStr">
        <is>
          <t>N+3.00</t>
        </is>
      </c>
      <c r="E99" s="54" t="n">
        <v>2.002</v>
      </c>
      <c r="F99" s="56">
        <f>TABLEROS!$Y$23</f>
        <v>874.775510204082</v>
      </c>
      <c r="G99" s="36">
        <f>E99*F99/1000</f>
        <v>1.75130057142857</v>
      </c>
      <c r="H99" s="56">
        <f>TABLEROS!$X$23</f>
        <v>643.673469387755</v>
      </c>
      <c r="I99" s="36">
        <f>E99*H99/1000</f>
        <v>1.28863428571429</v>
      </c>
      <c r="J99" s="41" t="inlineStr">
        <is>
          <t>DM</t>
        </is>
      </c>
      <c r="K99" s="37" t="inlineStr">
        <is>
          <t>sobre muro</t>
        </is>
      </c>
      <c r="L99" s="36">
        <f>E99*TABLEROS!$U$23/1000</f>
        <v>0.38038</v>
      </c>
      <c r="M99" s="36">
        <f>E99*IF(TABLEROS!$E$23="HABITACIÓN",DATOS!$C$91,DATOS!$C$94)/1000</f>
        <v>0.16016</v>
      </c>
    </row>
    <row r="100">
      <c r="B100" s="41" t="inlineStr">
        <is>
          <t>DM-42</t>
        </is>
      </c>
      <c r="C100" s="41" t="inlineStr">
        <is>
          <t>F80016 N+3.00</t>
        </is>
      </c>
      <c r="D100" s="41" t="inlineStr">
        <is>
          <t>N+3.00</t>
        </is>
      </c>
      <c r="E100" s="54" t="n">
        <v>1.998</v>
      </c>
      <c r="F100" s="56">
        <f>TABLEROS!$Y$23</f>
        <v>874.775510204082</v>
      </c>
      <c r="G100" s="36">
        <f>E100*F100/1000</f>
        <v>1.74780146938775</v>
      </c>
      <c r="H100" s="56">
        <f>TABLEROS!$X$23</f>
        <v>643.673469387755</v>
      </c>
      <c r="I100" s="36">
        <f>E100*H100/1000</f>
        <v>1.28605959183673</v>
      </c>
      <c r="J100" s="41" t="inlineStr">
        <is>
          <t>DM</t>
        </is>
      </c>
      <c r="K100" s="37" t="inlineStr">
        <is>
          <t>sobre muro</t>
        </is>
      </c>
      <c r="L100" s="36">
        <f>E100*TABLEROS!$U$23/1000</f>
        <v>0.37962</v>
      </c>
      <c r="M100" s="36">
        <f>E100*IF(TABLEROS!$E$23="HABITACIÓN",DATOS!$C$91,DATOS!$C$94)/1000</f>
        <v>0.15984</v>
      </c>
    </row>
    <row r="101">
      <c r="B101" s="41" t="inlineStr">
        <is>
          <t>DM-49</t>
        </is>
      </c>
      <c r="C101" s="41" t="inlineStr">
        <is>
          <t>F80017 N+3.00</t>
        </is>
      </c>
      <c r="D101" s="41" t="inlineStr">
        <is>
          <t>N+3.00</t>
        </is>
      </c>
      <c r="E101" s="54" t="n">
        <v>0.1435</v>
      </c>
      <c r="F101" s="56">
        <f>TABLEROS!$Y$24</f>
        <v>874.775510204082</v>
      </c>
      <c r="G101" s="36">
        <f>E101*F101/1000</f>
        <v>0.125530285714286</v>
      </c>
      <c r="H101" s="56">
        <f>TABLEROS!$X$24</f>
        <v>643.673469387755</v>
      </c>
      <c r="I101" s="36">
        <f>E101*H101/1000</f>
        <v>0.0923671428571428</v>
      </c>
      <c r="J101" s="41" t="inlineStr">
        <is>
          <t>DM</t>
        </is>
      </c>
      <c r="K101" s="37" t="inlineStr">
        <is>
          <t>sobre muro</t>
        </is>
      </c>
      <c r="L101" s="36">
        <f>E101*TABLEROS!$U$24/1000</f>
        <v>0.027265</v>
      </c>
      <c r="M101" s="36">
        <f>E101*IF(TABLEROS!$E$24="HABITACIÓN",DATOS!$C$91,DATOS!$C$94)/1000</f>
        <v>0.01148</v>
      </c>
    </row>
    <row r="102">
      <c r="B102" s="41" t="inlineStr">
        <is>
          <t>DM-50</t>
        </is>
      </c>
      <c r="C102" s="41" t="inlineStr">
        <is>
          <t>F80017 N+3.00</t>
        </is>
      </c>
      <c r="D102" s="41" t="inlineStr">
        <is>
          <t>N+3.00</t>
        </is>
      </c>
      <c r="E102" s="54" t="n">
        <v>0.263</v>
      </c>
      <c r="F102" s="56">
        <f>TABLEROS!$Y$24</f>
        <v>874.775510204082</v>
      </c>
      <c r="G102" s="36">
        <f>E102*F102/1000</f>
        <v>0.230065959183673</v>
      </c>
      <c r="H102" s="56">
        <f>TABLEROS!$X$24</f>
        <v>643.673469387755</v>
      </c>
      <c r="I102" s="36">
        <f>E102*H102/1000</f>
        <v>0.16928612244898</v>
      </c>
      <c r="J102" s="41" t="inlineStr">
        <is>
          <t>DM</t>
        </is>
      </c>
      <c r="K102" s="37" t="inlineStr">
        <is>
          <t>sobre muro</t>
        </is>
      </c>
      <c r="L102" s="36">
        <f>E102*TABLEROS!$U$24/1000</f>
        <v>0.04997</v>
      </c>
      <c r="M102" s="36">
        <f>E102*IF(TABLEROS!$E$24="HABITACIÓN",DATOS!$C$91,DATOS!$C$94)/1000</f>
        <v>0.02104</v>
      </c>
    </row>
    <row r="103">
      <c r="B103" s="41" t="inlineStr">
        <is>
          <t>DM-51</t>
        </is>
      </c>
      <c r="C103" s="41" t="inlineStr">
        <is>
          <t>F80017 N+3.00</t>
        </is>
      </c>
      <c r="D103" s="41" t="inlineStr">
        <is>
          <t>N+3.00</t>
        </is>
      </c>
      <c r="E103" s="54" t="n">
        <v>0.5293</v>
      </c>
      <c r="F103" s="56">
        <f>TABLEROS!$Y$24</f>
        <v>874.775510204082</v>
      </c>
      <c r="G103" s="36">
        <f>E103*F103/1000</f>
        <v>0.46301867755102</v>
      </c>
      <c r="H103" s="56">
        <f>TABLEROS!$X$24</f>
        <v>643.673469387755</v>
      </c>
      <c r="I103" s="36">
        <f>E103*H103/1000</f>
        <v>0.340696367346939</v>
      </c>
      <c r="J103" s="41" t="inlineStr">
        <is>
          <t>DM</t>
        </is>
      </c>
      <c r="K103" s="37" t="inlineStr">
        <is>
          <t>sobre muro</t>
        </is>
      </c>
      <c r="L103" s="36">
        <f>E103*TABLEROS!$U$24/1000</f>
        <v>0.100567</v>
      </c>
      <c r="M103" s="36">
        <f>E103*IF(TABLEROS!$E$24="HABITACIÓN",DATOS!$C$91,DATOS!$C$94)/1000</f>
        <v>0.042344</v>
      </c>
    </row>
    <row r="104">
      <c r="B104" s="41" t="inlineStr">
        <is>
          <t>DM-17</t>
        </is>
      </c>
      <c r="C104" s="41" t="inlineStr">
        <is>
          <t>F80017 N+3.00</t>
        </is>
      </c>
      <c r="D104" s="41" t="inlineStr">
        <is>
          <t>N+3.00</t>
        </is>
      </c>
      <c r="E104" s="54" t="n">
        <v>0.0111</v>
      </c>
      <c r="F104" s="56">
        <f>TABLEROS!$Y$24</f>
        <v>874.775510204082</v>
      </c>
      <c r="G104" s="36">
        <f>E104*F104/1000</f>
        <v>0.00971000816326531</v>
      </c>
      <c r="H104" s="56">
        <f>TABLEROS!$X$24</f>
        <v>643.673469387755</v>
      </c>
      <c r="I104" s="36">
        <f>E104*H104/1000</f>
        <v>0.00714477551020408</v>
      </c>
      <c r="J104" s="41" t="inlineStr">
        <is>
          <t>DM</t>
        </is>
      </c>
      <c r="K104" s="37" t="inlineStr">
        <is>
          <t>sobre muro</t>
        </is>
      </c>
      <c r="L104" s="36">
        <f>E104*TABLEROS!$U$24/1000</f>
        <v>0.002109</v>
      </c>
      <c r="M104" s="36">
        <f>E104*IF(TABLEROS!$E$24="HABITACIÓN",DATOS!$C$91,DATOS!$C$94)/1000</f>
        <v>0.000888</v>
      </c>
    </row>
    <row r="105">
      <c r="B105" s="41" t="inlineStr">
        <is>
          <t>DM-18</t>
        </is>
      </c>
      <c r="C105" s="41" t="inlineStr">
        <is>
          <t>F80017 N+3.00</t>
        </is>
      </c>
      <c r="D105" s="41" t="inlineStr">
        <is>
          <t>N+3.00</t>
        </is>
      </c>
      <c r="E105" s="54" t="n">
        <v>0.0511</v>
      </c>
      <c r="F105" s="56">
        <f>TABLEROS!$Y$24</f>
        <v>874.775510204082</v>
      </c>
      <c r="G105" s="36">
        <f>E105*F105/1000</f>
        <v>0.0447010285714286</v>
      </c>
      <c r="H105" s="56">
        <f>TABLEROS!$X$24</f>
        <v>643.673469387755</v>
      </c>
      <c r="I105" s="36">
        <f>E105*H105/1000</f>
        <v>0.0328917142857143</v>
      </c>
      <c r="J105" s="41" t="inlineStr">
        <is>
          <t>DM</t>
        </is>
      </c>
      <c r="K105" s="37" t="inlineStr">
        <is>
          <t>sobre muro</t>
        </is>
      </c>
      <c r="L105" s="36">
        <f>E105*TABLEROS!$U$24/1000</f>
        <v>0.009709</v>
      </c>
      <c r="M105" s="36">
        <f>E105*IF(TABLEROS!$E$24="HABITACIÓN",DATOS!$C$91,DATOS!$C$94)/1000</f>
        <v>0.004088</v>
      </c>
    </row>
    <row r="106">
      <c r="B106" s="41" t="inlineStr">
        <is>
          <t>NP-24</t>
        </is>
      </c>
      <c r="C106" s="41" t="inlineStr">
        <is>
          <t>F80017 N+3.00</t>
        </is>
      </c>
      <c r="D106" s="41" t="inlineStr">
        <is>
          <t>N+3.00</t>
        </is>
      </c>
      <c r="E106" s="54" t="n">
        <v>0.9357</v>
      </c>
      <c r="F106" s="56">
        <f>TABLEROS!$Y$24</f>
        <v>874.775510204082</v>
      </c>
      <c r="G106" s="36">
        <f>E106*F106/1000</f>
        <v>0.818527444897959</v>
      </c>
      <c r="H106" s="56">
        <f>TABLEROS!$X$24</f>
        <v>643.673469387755</v>
      </c>
      <c r="I106" s="36">
        <f>E106*H106/1000</f>
        <v>0.602285265306122</v>
      </c>
      <c r="J106" s="41" t="inlineStr">
        <is>
          <t>NP</t>
        </is>
      </c>
      <c r="K106" s="37" t="str">
        <f>PRINCIPALES!$BZ$32</f>
        <v>CUMPLE</v>
      </c>
      <c r="L106" s="36">
        <f>E106*TABLEROS!$U$24/1000</f>
        <v>0.177783</v>
      </c>
      <c r="M106" s="36">
        <f>E106*IF(TABLEROS!$E$24="HABITACIÓN",DATOS!$C$91,DATOS!$C$94)/1000</f>
        <v>0.074856</v>
      </c>
    </row>
    <row r="107">
      <c r="B107" s="41" t="inlineStr">
        <is>
          <t>NP-15</t>
        </is>
      </c>
      <c r="C107" s="41" t="inlineStr">
        <is>
          <t>F80017 N+3.00</t>
        </is>
      </c>
      <c r="D107" s="41" t="inlineStr">
        <is>
          <t>N+3.00</t>
        </is>
      </c>
      <c r="E107" s="54" t="n">
        <v>0.0623</v>
      </c>
      <c r="F107" s="56">
        <f>TABLEROS!$Y$24</f>
        <v>874.775510204082</v>
      </c>
      <c r="G107" s="36">
        <f>E107*F107/1000</f>
        <v>0.0544985142857143</v>
      </c>
      <c r="H107" s="56">
        <f>TABLEROS!$X$24</f>
        <v>643.673469387755</v>
      </c>
      <c r="I107" s="36">
        <f>E107*H107/1000</f>
        <v>0.0401008571428571</v>
      </c>
      <c r="J107" s="41" t="inlineStr">
        <is>
          <t>NP</t>
        </is>
      </c>
      <c r="K107" s="37" t="str">
        <f>PRINCIPALES!$BZ$23</f>
        <v>PENDIENTE: H/L &lt; 0.6, falta el análisis de interacción muro-viga (NTC-M 4.1.18.2.1, p. 44)</v>
      </c>
      <c r="L107" s="36">
        <f>E107*TABLEROS!$U$24/1000</f>
        <v>0.011837</v>
      </c>
      <c r="M107" s="36">
        <f>E107*IF(TABLEROS!$E$24="HABITACIÓN",DATOS!$C$91,DATOS!$C$94)/1000</f>
        <v>0.004984</v>
      </c>
    </row>
    <row r="108">
      <c r="B108" s="41" t="inlineStr">
        <is>
          <t>DM-19</t>
        </is>
      </c>
      <c r="C108" s="41" t="inlineStr">
        <is>
          <t>F80018 N+3.00</t>
        </is>
      </c>
      <c r="D108" s="41" t="inlineStr">
        <is>
          <t>N+3.00</t>
        </is>
      </c>
      <c r="E108" s="54" t="n">
        <v>0.0613</v>
      </c>
      <c r="F108" s="56">
        <f>TABLEROS!$Y$25</f>
        <v>874.775510204082</v>
      </c>
      <c r="G108" s="36">
        <f>E108*F108/1000</f>
        <v>0.0536237387755102</v>
      </c>
      <c r="H108" s="56">
        <f>TABLEROS!$X$25</f>
        <v>643.673469387755</v>
      </c>
      <c r="I108" s="36">
        <f>E108*H108/1000</f>
        <v>0.0394571836734694</v>
      </c>
      <c r="J108" s="41" t="inlineStr">
        <is>
          <t>DM</t>
        </is>
      </c>
      <c r="K108" s="37" t="inlineStr">
        <is>
          <t>sobre muro</t>
        </is>
      </c>
      <c r="L108" s="36">
        <f>E108*TABLEROS!$U$25/1000</f>
        <v>0.011647</v>
      </c>
      <c r="M108" s="36">
        <f>E108*IF(TABLEROS!$E$25="HABITACIÓN",DATOS!$C$91,DATOS!$C$94)/1000</f>
        <v>0.004904</v>
      </c>
    </row>
    <row r="109">
      <c r="B109" s="41" t="inlineStr">
        <is>
          <t>DM-20</t>
        </is>
      </c>
      <c r="C109" s="41" t="inlineStr">
        <is>
          <t>F80018 N+3.00</t>
        </is>
      </c>
      <c r="D109" s="41" t="inlineStr">
        <is>
          <t>N+3.00</t>
        </is>
      </c>
      <c r="E109" s="54" t="n">
        <v>2.5102</v>
      </c>
      <c r="F109" s="56">
        <f>TABLEROS!$Y$25</f>
        <v>874.775510204082</v>
      </c>
      <c r="G109" s="36">
        <f>E109*F109/1000</f>
        <v>2.19586148571429</v>
      </c>
      <c r="H109" s="56">
        <f>TABLEROS!$X$25</f>
        <v>643.673469387755</v>
      </c>
      <c r="I109" s="36">
        <f>E109*H109/1000</f>
        <v>1.61574914285714</v>
      </c>
      <c r="J109" s="41" t="inlineStr">
        <is>
          <t>DM</t>
        </is>
      </c>
      <c r="K109" s="37" t="inlineStr">
        <is>
          <t>sobre muro</t>
        </is>
      </c>
      <c r="L109" s="36">
        <f>E109*TABLEROS!$U$25/1000</f>
        <v>0.476938</v>
      </c>
      <c r="M109" s="36">
        <f>E109*IF(TABLEROS!$E$25="HABITACIÓN",DATOS!$C$91,DATOS!$C$94)/1000</f>
        <v>0.200816</v>
      </c>
    </row>
    <row r="110">
      <c r="B110" s="41" t="inlineStr">
        <is>
          <t>DM-21</t>
        </is>
      </c>
      <c r="C110" s="41" t="inlineStr">
        <is>
          <t>F80018 N+3.00</t>
        </is>
      </c>
      <c r="D110" s="41" t="inlineStr">
        <is>
          <t>N+3.00</t>
        </is>
      </c>
      <c r="E110" s="54" t="n">
        <v>1.0322</v>
      </c>
      <c r="F110" s="56">
        <f>TABLEROS!$Y$25</f>
        <v>874.775510204082</v>
      </c>
      <c r="G110" s="36">
        <f>E110*F110/1000</f>
        <v>0.902943281632653</v>
      </c>
      <c r="H110" s="56">
        <f>TABLEROS!$X$25</f>
        <v>643.673469387755</v>
      </c>
      <c r="I110" s="36">
        <f>E110*H110/1000</f>
        <v>0.664399755102041</v>
      </c>
      <c r="J110" s="41" t="inlineStr">
        <is>
          <t>DM</t>
        </is>
      </c>
      <c r="K110" s="37" t="inlineStr">
        <is>
          <t>sobre muro</t>
        </is>
      </c>
      <c r="L110" s="36">
        <f>E110*TABLEROS!$U$25/1000</f>
        <v>0.196118</v>
      </c>
      <c r="M110" s="36">
        <f>E110*IF(TABLEROS!$E$25="HABITACIÓN",DATOS!$C$91,DATOS!$C$94)/1000</f>
        <v>0.082576</v>
      </c>
    </row>
    <row r="111">
      <c r="B111" s="41" t="inlineStr">
        <is>
          <t>DM-22</t>
        </is>
      </c>
      <c r="C111" s="41" t="inlineStr">
        <is>
          <t>F80018 N+3.00</t>
        </is>
      </c>
      <c r="D111" s="41" t="inlineStr">
        <is>
          <t>N+3.00</t>
        </is>
      </c>
      <c r="E111" s="54" t="n">
        <v>0.2478</v>
      </c>
      <c r="F111" s="56">
        <f>TABLEROS!$Y$25</f>
        <v>874.775510204082</v>
      </c>
      <c r="G111" s="36">
        <f>E111*F111/1000</f>
        <v>0.216769371428571</v>
      </c>
      <c r="H111" s="56">
        <f>TABLEROS!$X$25</f>
        <v>643.673469387755</v>
      </c>
      <c r="I111" s="36">
        <f>E111*H111/1000</f>
        <v>0.159502285714286</v>
      </c>
      <c r="J111" s="41" t="inlineStr">
        <is>
          <t>DM</t>
        </is>
      </c>
      <c r="K111" s="37" t="inlineStr">
        <is>
          <t>sobre muro</t>
        </is>
      </c>
      <c r="L111" s="36">
        <f>E111*TABLEROS!$U$25/1000</f>
        <v>0.047082</v>
      </c>
      <c r="M111" s="36">
        <f>E111*IF(TABLEROS!$E$25="HABITACIÓN",DATOS!$C$91,DATOS!$C$94)/1000</f>
        <v>0.019824</v>
      </c>
    </row>
    <row r="112">
      <c r="B112" s="41" t="inlineStr">
        <is>
          <t>DM-49</t>
        </is>
      </c>
      <c r="C112" s="41" t="inlineStr">
        <is>
          <t>F80018 N+3.00</t>
        </is>
      </c>
      <c r="D112" s="41" t="inlineStr">
        <is>
          <t>N+3.00</t>
        </is>
      </c>
      <c r="E112" s="54" t="n">
        <v>0.245</v>
      </c>
      <c r="F112" s="56">
        <f>TABLEROS!$Y$25</f>
        <v>874.775510204082</v>
      </c>
      <c r="G112" s="36">
        <f>E112*F112/1000</f>
        <v>0.21432</v>
      </c>
      <c r="H112" s="56">
        <f>TABLEROS!$X$25</f>
        <v>643.673469387755</v>
      </c>
      <c r="I112" s="36">
        <f>E112*H112/1000</f>
        <v>0.1577</v>
      </c>
      <c r="J112" s="41" t="inlineStr">
        <is>
          <t>DM</t>
        </is>
      </c>
      <c r="K112" s="37" t="inlineStr">
        <is>
          <t>sobre muro</t>
        </is>
      </c>
      <c r="L112" s="36">
        <f>E112*TABLEROS!$U$25/1000</f>
        <v>0.04655</v>
      </c>
      <c r="M112" s="36">
        <f>E112*IF(TABLEROS!$E$25="HABITACIÓN",DATOS!$C$91,DATOS!$C$94)/1000</f>
        <v>0.0196</v>
      </c>
    </row>
    <row r="113">
      <c r="B113" s="41" t="inlineStr">
        <is>
          <t>DM-50</t>
        </is>
      </c>
      <c r="C113" s="41" t="inlineStr">
        <is>
          <t>F80018 N+3.00</t>
        </is>
      </c>
      <c r="D113" s="41" t="inlineStr">
        <is>
          <t>N+3.00</t>
        </is>
      </c>
      <c r="E113" s="54" t="n">
        <v>1.2933</v>
      </c>
      <c r="F113" s="56">
        <f>TABLEROS!$Y$25</f>
        <v>874.775510204082</v>
      </c>
      <c r="G113" s="36">
        <f>E113*F113/1000</f>
        <v>1.13134716734694</v>
      </c>
      <c r="H113" s="56">
        <f>TABLEROS!$X$25</f>
        <v>643.673469387755</v>
      </c>
      <c r="I113" s="36">
        <f>E113*H113/1000</f>
        <v>0.832462897959184</v>
      </c>
      <c r="J113" s="41" t="inlineStr">
        <is>
          <t>DM</t>
        </is>
      </c>
      <c r="K113" s="37" t="inlineStr">
        <is>
          <t>sobre muro</t>
        </is>
      </c>
      <c r="L113" s="36">
        <f>E113*TABLEROS!$U$25/1000</f>
        <v>0.245727</v>
      </c>
      <c r="M113" s="36">
        <f>E113*IF(TABLEROS!$E$25="HABITACIÓN",DATOS!$C$91,DATOS!$C$94)/1000</f>
        <v>0.103464</v>
      </c>
    </row>
    <row r="114">
      <c r="B114" s="41" t="inlineStr">
        <is>
          <t>DM-51</t>
        </is>
      </c>
      <c r="C114" s="41" t="inlineStr">
        <is>
          <t>F80018 N+3.00</t>
        </is>
      </c>
      <c r="D114" s="41" t="inlineStr">
        <is>
          <t>N+3.00</t>
        </is>
      </c>
      <c r="E114" s="54" t="n">
        <v>2.4603</v>
      </c>
      <c r="F114" s="56">
        <f>TABLEROS!$Y$25</f>
        <v>874.775510204082</v>
      </c>
      <c r="G114" s="36">
        <f>E114*F114/1000</f>
        <v>2.1522101877551</v>
      </c>
      <c r="H114" s="56">
        <f>TABLEROS!$X$25</f>
        <v>643.673469387755</v>
      </c>
      <c r="I114" s="36">
        <f>E114*H114/1000</f>
        <v>1.58362983673469</v>
      </c>
      <c r="J114" s="41" t="inlineStr">
        <is>
          <t>DM</t>
        </is>
      </c>
      <c r="K114" s="37" t="inlineStr">
        <is>
          <t>sobre muro</t>
        </is>
      </c>
      <c r="L114" s="36">
        <f>E114*TABLEROS!$U$25/1000</f>
        <v>0.467457</v>
      </c>
      <c r="M114" s="36">
        <f>E114*IF(TABLEROS!$E$25="HABITACIÓN",DATOS!$C$91,DATOS!$C$94)/1000</f>
        <v>0.196824</v>
      </c>
    </row>
    <row r="115">
      <c r="B115" s="41" t="inlineStr">
        <is>
          <t>DM-13</t>
        </is>
      </c>
      <c r="C115" s="41" t="inlineStr">
        <is>
          <t>F80018 N+3.00</t>
        </is>
      </c>
      <c r="D115" s="41" t="inlineStr">
        <is>
          <t>N+3.00</t>
        </is>
      </c>
      <c r="E115" s="54" t="n">
        <v>1.9247</v>
      </c>
      <c r="F115" s="56">
        <f>TABLEROS!$Y$25</f>
        <v>874.775510204082</v>
      </c>
      <c r="G115" s="36">
        <f>E115*F115/1000</f>
        <v>1.6836804244898</v>
      </c>
      <c r="H115" s="56">
        <f>TABLEROS!$X$25</f>
        <v>643.673469387755</v>
      </c>
      <c r="I115" s="36">
        <f>E115*H115/1000</f>
        <v>1.23887832653061</v>
      </c>
      <c r="J115" s="41" t="inlineStr">
        <is>
          <t>DM</t>
        </is>
      </c>
      <c r="K115" s="37" t="inlineStr">
        <is>
          <t>sobre muro</t>
        </is>
      </c>
      <c r="L115" s="36">
        <f>E115*TABLEROS!$U$25/1000</f>
        <v>0.365693</v>
      </c>
      <c r="M115" s="36">
        <f>E115*IF(TABLEROS!$E$25="HABITACIÓN",DATOS!$C$91,DATOS!$C$94)/1000</f>
        <v>0.153976</v>
      </c>
    </row>
    <row r="116">
      <c r="B116" s="41" t="inlineStr">
        <is>
          <t>DM-14</t>
        </is>
      </c>
      <c r="C116" s="41" t="inlineStr">
        <is>
          <t>F80018 N+3.00</t>
        </is>
      </c>
      <c r="D116" s="41" t="inlineStr">
        <is>
          <t>N+3.00</t>
        </is>
      </c>
      <c r="E116" s="54" t="n">
        <v>1.9267</v>
      </c>
      <c r="F116" s="56">
        <f>TABLEROS!$Y$25</f>
        <v>874.775510204082</v>
      </c>
      <c r="G116" s="36">
        <f>E116*F116/1000</f>
        <v>1.6854299755102</v>
      </c>
      <c r="H116" s="56">
        <f>TABLEROS!$X$25</f>
        <v>643.673469387755</v>
      </c>
      <c r="I116" s="36">
        <f>E116*H116/1000</f>
        <v>1.24016567346939</v>
      </c>
      <c r="J116" s="41" t="inlineStr">
        <is>
          <t>DM</t>
        </is>
      </c>
      <c r="K116" s="37" t="inlineStr">
        <is>
          <t>sobre muro</t>
        </is>
      </c>
      <c r="L116" s="36">
        <f>E116*TABLEROS!$U$25/1000</f>
        <v>0.366073</v>
      </c>
      <c r="M116" s="36">
        <f>E116*IF(TABLEROS!$E$25="HABITACIÓN",DATOS!$C$91,DATOS!$C$94)/1000</f>
        <v>0.154136</v>
      </c>
    </row>
    <row r="117">
      <c r="B117" s="41" t="inlineStr">
        <is>
          <t>DM-63</t>
        </is>
      </c>
      <c r="C117" s="41" t="inlineStr">
        <is>
          <t>F80018 N+3.00</t>
        </is>
      </c>
      <c r="D117" s="41" t="inlineStr">
        <is>
          <t>N+3.00</t>
        </is>
      </c>
      <c r="E117" s="54" t="n">
        <v>1.9993</v>
      </c>
      <c r="F117" s="56">
        <f>TABLEROS!$Y$25</f>
        <v>874.775510204082</v>
      </c>
      <c r="G117" s="36">
        <f>E117*F117/1000</f>
        <v>1.74893867755102</v>
      </c>
      <c r="H117" s="56">
        <f>TABLEROS!$X$25</f>
        <v>643.673469387755</v>
      </c>
      <c r="I117" s="36">
        <f>E117*H117/1000</f>
        <v>1.28689636734694</v>
      </c>
      <c r="J117" s="41" t="inlineStr">
        <is>
          <t>DM</t>
        </is>
      </c>
      <c r="K117" s="37" t="inlineStr">
        <is>
          <t>sobre muro</t>
        </is>
      </c>
      <c r="L117" s="36">
        <f>E117*TABLEROS!$U$25/1000</f>
        <v>0.379867</v>
      </c>
      <c r="M117" s="36">
        <f>E117*IF(TABLEROS!$E$25="HABITACIÓN",DATOS!$C$91,DATOS!$C$94)/1000</f>
        <v>0.159944</v>
      </c>
    </row>
    <row r="118">
      <c r="B118" s="41" t="inlineStr">
        <is>
          <t>DM-64</t>
        </is>
      </c>
      <c r="C118" s="41" t="inlineStr">
        <is>
          <t>F80018 N+3.00</t>
        </is>
      </c>
      <c r="D118" s="41" t="inlineStr">
        <is>
          <t>N+3.00</t>
        </is>
      </c>
      <c r="E118" s="54" t="n">
        <v>1.9993</v>
      </c>
      <c r="F118" s="56">
        <f>TABLEROS!$Y$25</f>
        <v>874.775510204082</v>
      </c>
      <c r="G118" s="36">
        <f>E118*F118/1000</f>
        <v>1.74893867755102</v>
      </c>
      <c r="H118" s="56">
        <f>TABLEROS!$X$25</f>
        <v>643.673469387755</v>
      </c>
      <c r="I118" s="36">
        <f>E118*H118/1000</f>
        <v>1.28689636734694</v>
      </c>
      <c r="J118" s="41" t="inlineStr">
        <is>
          <t>DM</t>
        </is>
      </c>
      <c r="K118" s="37" t="inlineStr">
        <is>
          <t>sobre muro</t>
        </is>
      </c>
      <c r="L118" s="36">
        <f>E118*TABLEROS!$U$25/1000</f>
        <v>0.379867</v>
      </c>
      <c r="M118" s="36">
        <f>E118*IF(TABLEROS!$E$25="HABITACIÓN",DATOS!$C$91,DATOS!$C$94)/1000</f>
        <v>0.159944</v>
      </c>
    </row>
    <row r="119">
      <c r="B119" s="41" t="inlineStr">
        <is>
          <t>DM-43</t>
        </is>
      </c>
      <c r="C119" s="41" t="inlineStr">
        <is>
          <t>F80019 N+3.00</t>
        </is>
      </c>
      <c r="D119" s="41" t="inlineStr">
        <is>
          <t>N+3.00</t>
        </is>
      </c>
      <c r="E119" s="54" t="n">
        <v>1</v>
      </c>
      <c r="F119" s="56">
        <f>TABLEROS!$Y$26</f>
        <v>939.775510204082</v>
      </c>
      <c r="G119" s="36">
        <f>E119*F119/1000</f>
        <v>0.939775510204082</v>
      </c>
      <c r="H119" s="56">
        <f>TABLEROS!$X$26</f>
        <v>693.673469387755</v>
      </c>
      <c r="I119" s="36">
        <f>E119*H119/1000</f>
        <v>0.693673469387755</v>
      </c>
      <c r="J119" s="41" t="inlineStr">
        <is>
          <t>DM</t>
        </is>
      </c>
      <c r="K119" s="37" t="inlineStr">
        <is>
          <t>sobre muro</t>
        </is>
      </c>
      <c r="L119" s="36">
        <f>E119*TABLEROS!$U$26/1000</f>
        <v>0.19</v>
      </c>
      <c r="M119" s="36">
        <f>E119*IF(TABLEROS!$E$26="HABITACIÓN",DATOS!$C$91,DATOS!$C$94)/1000</f>
        <v>0.08</v>
      </c>
    </row>
    <row r="120">
      <c r="B120" s="41" t="inlineStr">
        <is>
          <t>DM-16</t>
        </is>
      </c>
      <c r="C120" s="41" t="inlineStr">
        <is>
          <t>F80019 N+3.00</t>
        </is>
      </c>
      <c r="D120" s="41" t="inlineStr">
        <is>
          <t>N+3.00</t>
        </is>
      </c>
      <c r="E120" s="54" t="n">
        <v>0.0613</v>
      </c>
      <c r="F120" s="56">
        <f>TABLEROS!$Y$26</f>
        <v>939.775510204082</v>
      </c>
      <c r="G120" s="36">
        <f>E120*F120/1000</f>
        <v>0.0576082387755102</v>
      </c>
      <c r="H120" s="56">
        <f>TABLEROS!$X$26</f>
        <v>693.673469387755</v>
      </c>
      <c r="I120" s="36">
        <f>E120*H120/1000</f>
        <v>0.0425221836734694</v>
      </c>
      <c r="J120" s="41" t="inlineStr">
        <is>
          <t>DM</t>
        </is>
      </c>
      <c r="K120" s="37" t="inlineStr">
        <is>
          <t>sobre muro</t>
        </is>
      </c>
      <c r="L120" s="36">
        <f>E120*TABLEROS!$U$26/1000</f>
        <v>0.011647</v>
      </c>
      <c r="M120" s="36">
        <f>E120*IF(TABLEROS!$E$26="HABITACIÓN",DATOS!$C$91,DATOS!$C$94)/1000</f>
        <v>0.004904</v>
      </c>
    </row>
    <row r="121">
      <c r="B121" s="41" t="inlineStr">
        <is>
          <t>DM-17</t>
        </is>
      </c>
      <c r="C121" s="41" t="inlineStr">
        <is>
          <t>F80019 N+3.00</t>
        </is>
      </c>
      <c r="D121" s="41" t="inlineStr">
        <is>
          <t>N+3.00</t>
        </is>
      </c>
      <c r="E121" s="54" t="n">
        <v>4.0138</v>
      </c>
      <c r="F121" s="56">
        <f>TABLEROS!$Y$26</f>
        <v>939.775510204082</v>
      </c>
      <c r="G121" s="36">
        <f>E121*F121/1000</f>
        <v>3.77207094285714</v>
      </c>
      <c r="H121" s="56">
        <f>TABLEROS!$X$26</f>
        <v>693.673469387755</v>
      </c>
      <c r="I121" s="36">
        <f>E121*H121/1000</f>
        <v>2.78426657142857</v>
      </c>
      <c r="J121" s="41" t="inlineStr">
        <is>
          <t>DM</t>
        </is>
      </c>
      <c r="K121" s="37" t="inlineStr">
        <is>
          <t>sobre muro</t>
        </is>
      </c>
      <c r="L121" s="36">
        <f>E121*TABLEROS!$U$26/1000</f>
        <v>0.762622</v>
      </c>
      <c r="M121" s="36">
        <f>E121*IF(TABLEROS!$E$26="HABITACIÓN",DATOS!$C$91,DATOS!$C$94)/1000</f>
        <v>0.321104</v>
      </c>
    </row>
    <row r="122">
      <c r="B122" s="41" t="inlineStr">
        <is>
          <t>DM-18</t>
        </is>
      </c>
      <c r="C122" s="41" t="inlineStr">
        <is>
          <t>F80019 N+3.00</t>
        </is>
      </c>
      <c r="D122" s="41" t="inlineStr">
        <is>
          <t>N+3.00</t>
        </is>
      </c>
      <c r="E122" s="54" t="n">
        <v>0.35</v>
      </c>
      <c r="F122" s="56">
        <f>TABLEROS!$Y$26</f>
        <v>939.775510204082</v>
      </c>
      <c r="G122" s="36">
        <f>E122*F122/1000</f>
        <v>0.328921428571429</v>
      </c>
      <c r="H122" s="56">
        <f>TABLEROS!$X$26</f>
        <v>693.673469387755</v>
      </c>
      <c r="I122" s="36">
        <f>E122*H122/1000</f>
        <v>0.242785714285714</v>
      </c>
      <c r="J122" s="41" t="inlineStr">
        <is>
          <t>DM</t>
        </is>
      </c>
      <c r="K122" s="37" t="inlineStr">
        <is>
          <t>sobre muro</t>
        </is>
      </c>
      <c r="L122" s="36">
        <f>E122*TABLEROS!$U$26/1000</f>
        <v>0.0665</v>
      </c>
      <c r="M122" s="36">
        <f>E122*IF(TABLEROS!$E$26="HABITACIÓN",DATOS!$C$91,DATOS!$C$94)/1000</f>
        <v>0.028</v>
      </c>
    </row>
    <row r="123">
      <c r="B123" s="41" t="inlineStr">
        <is>
          <t>DM-19</t>
        </is>
      </c>
      <c r="C123" s="41" t="inlineStr">
        <is>
          <t>F80019 N+3.00</t>
        </is>
      </c>
      <c r="D123" s="41" t="inlineStr">
        <is>
          <t>N+3.00</t>
        </is>
      </c>
      <c r="E123" s="54" t="n">
        <v>0.35</v>
      </c>
      <c r="F123" s="56">
        <f>TABLEROS!$Y$26</f>
        <v>939.775510204082</v>
      </c>
      <c r="G123" s="36">
        <f>E123*F123/1000</f>
        <v>0.328921428571429</v>
      </c>
      <c r="H123" s="56">
        <f>TABLEROS!$X$26</f>
        <v>693.673469387755</v>
      </c>
      <c r="I123" s="36">
        <f>E123*H123/1000</f>
        <v>0.242785714285714</v>
      </c>
      <c r="J123" s="41" t="inlineStr">
        <is>
          <t>DM</t>
        </is>
      </c>
      <c r="K123" s="37" t="inlineStr">
        <is>
          <t>sobre muro</t>
        </is>
      </c>
      <c r="L123" s="36">
        <f>E123*TABLEROS!$U$26/1000</f>
        <v>0.0665</v>
      </c>
      <c r="M123" s="36">
        <f>E123*IF(TABLEROS!$E$26="HABITACIÓN",DATOS!$C$91,DATOS!$C$94)/1000</f>
        <v>0.028</v>
      </c>
    </row>
    <row r="124">
      <c r="B124" s="41" t="inlineStr">
        <is>
          <t>DM-20</t>
        </is>
      </c>
      <c r="C124" s="41" t="inlineStr">
        <is>
          <t>F80019 N+3.00</t>
        </is>
      </c>
      <c r="D124" s="41" t="inlineStr">
        <is>
          <t>N+3.00</t>
        </is>
      </c>
      <c r="E124" s="54" t="n">
        <v>1.475</v>
      </c>
      <c r="F124" s="56">
        <f>TABLEROS!$Y$26</f>
        <v>939.775510204082</v>
      </c>
      <c r="G124" s="36">
        <f>E124*F124/1000</f>
        <v>1.38616887755102</v>
      </c>
      <c r="H124" s="56">
        <f>TABLEROS!$X$26</f>
        <v>693.673469387755</v>
      </c>
      <c r="I124" s="36">
        <f>E124*H124/1000</f>
        <v>1.02316836734694</v>
      </c>
      <c r="J124" s="41" t="inlineStr">
        <is>
          <t>DM</t>
        </is>
      </c>
      <c r="K124" s="37" t="inlineStr">
        <is>
          <t>sobre muro</t>
        </is>
      </c>
      <c r="L124" s="36">
        <f>E124*TABLEROS!$U$26/1000</f>
        <v>0.28025</v>
      </c>
      <c r="M124" s="36">
        <f>E124*IF(TABLEROS!$E$26="HABITACIÓN",DATOS!$C$91,DATOS!$C$94)/1000</f>
        <v>0.118</v>
      </c>
    </row>
    <row r="125">
      <c r="B125" s="41" t="inlineStr">
        <is>
          <t>DM-53</t>
        </is>
      </c>
      <c r="C125" s="41" t="inlineStr">
        <is>
          <t>F80019 N+3.00</t>
        </is>
      </c>
      <c r="D125" s="41" t="inlineStr">
        <is>
          <t>N+3.00</t>
        </is>
      </c>
      <c r="E125" s="54" t="n">
        <v>1</v>
      </c>
      <c r="F125" s="56">
        <f>TABLEROS!$Y$26</f>
        <v>939.775510204082</v>
      </c>
      <c r="G125" s="36">
        <f>E125*F125/1000</f>
        <v>0.939775510204082</v>
      </c>
      <c r="H125" s="56">
        <f>TABLEROS!$X$26</f>
        <v>693.673469387755</v>
      </c>
      <c r="I125" s="36">
        <f>E125*H125/1000</f>
        <v>0.693673469387755</v>
      </c>
      <c r="J125" s="41" t="inlineStr">
        <is>
          <t>DM</t>
        </is>
      </c>
      <c r="K125" s="37" t="inlineStr">
        <is>
          <t>sobre muro</t>
        </is>
      </c>
      <c r="L125" s="36">
        <f>E125*TABLEROS!$U$26/1000</f>
        <v>0.19</v>
      </c>
      <c r="M125" s="36">
        <f>E125*IF(TABLEROS!$E$26="HABITACIÓN",DATOS!$C$91,DATOS!$C$94)/1000</f>
        <v>0.08</v>
      </c>
    </row>
    <row r="126">
      <c r="B126" s="41" t="inlineStr">
        <is>
          <t>NP-16</t>
        </is>
      </c>
      <c r="C126" s="41" t="inlineStr">
        <is>
          <t>F80019 N+3.00</t>
        </is>
      </c>
      <c r="D126" s="41" t="inlineStr">
        <is>
          <t>N+3.00</t>
        </is>
      </c>
      <c r="E126" s="54" t="n">
        <v>6.25</v>
      </c>
      <c r="F126" s="56">
        <f>TABLEROS!$Y$26</f>
        <v>939.775510204082</v>
      </c>
      <c r="G126" s="36">
        <f>E126*F126/1000</f>
        <v>5.87359693877551</v>
      </c>
      <c r="H126" s="56">
        <f>TABLEROS!$X$26</f>
        <v>693.673469387755</v>
      </c>
      <c r="I126" s="36">
        <f>E126*H126/1000</f>
        <v>4.33545918367347</v>
      </c>
      <c r="J126" s="41" t="inlineStr">
        <is>
          <t>NP</t>
        </is>
      </c>
      <c r="K126" s="37" t="str">
        <f>PRINCIPALES!$BZ$24</f>
        <v>BORDE DE VOLADO — armado de orilla</v>
      </c>
      <c r="L126" s="36">
        <f>E126*TABLEROS!$U$26/1000</f>
        <v>1.1875</v>
      </c>
      <c r="M126" s="36">
        <f>E126*IF(TABLEROS!$E$26="HABITACIÓN",DATOS!$C$91,DATOS!$C$94)/1000</f>
        <v>0.5</v>
      </c>
    </row>
    <row r="127">
      <c r="B127" s="41" t="inlineStr">
        <is>
          <t>DM-53</t>
        </is>
      </c>
      <c r="C127" s="41" t="inlineStr">
        <is>
          <t>F80020 N+3.00</t>
        </is>
      </c>
      <c r="D127" s="41" t="inlineStr">
        <is>
          <t>N+3.00</t>
        </is>
      </c>
      <c r="E127" s="54" t="n">
        <v>1.7</v>
      </c>
      <c r="F127" s="56">
        <f>TABLEROS!$Y$27</f>
        <v>959.275510204082</v>
      </c>
      <c r="G127" s="36">
        <f>E127*F127/1000</f>
        <v>1.63076836734694</v>
      </c>
      <c r="H127" s="56">
        <f>TABLEROS!$X$27</f>
        <v>708.673469387755</v>
      </c>
      <c r="I127" s="36">
        <f>E127*H127/1000</f>
        <v>1.20474489795918</v>
      </c>
      <c r="J127" s="41" t="inlineStr">
        <is>
          <t>DM</t>
        </is>
      </c>
      <c r="K127" s="37" t="inlineStr">
        <is>
          <t>sobre muro</t>
        </is>
      </c>
      <c r="L127" s="36">
        <f>E127*TABLEROS!$U$27/1000</f>
        <v>0.323</v>
      </c>
      <c r="M127" s="36">
        <f>E127*IF(TABLEROS!$E$27="HABITACIÓN",DATOS!$C$91,DATOS!$C$94)/1000</f>
        <v>0.136</v>
      </c>
    </row>
    <row r="128">
      <c r="B128" s="41" t="inlineStr">
        <is>
          <t>DM-21</t>
        </is>
      </c>
      <c r="C128" s="41" t="inlineStr">
        <is>
          <t>F80020 N+3.00</t>
        </is>
      </c>
      <c r="D128" s="41" t="inlineStr">
        <is>
          <t>N+3.00</t>
        </is>
      </c>
      <c r="E128" s="54" t="n">
        <v>0.3922</v>
      </c>
      <c r="F128" s="56">
        <f>TABLEROS!$Y$27</f>
        <v>959.275510204082</v>
      </c>
      <c r="G128" s="36">
        <f>E128*F128/1000</f>
        <v>0.376227855102041</v>
      </c>
      <c r="H128" s="56">
        <f>TABLEROS!$X$27</f>
        <v>708.673469387755</v>
      </c>
      <c r="I128" s="36">
        <f>E128*H128/1000</f>
        <v>0.277941734693878</v>
      </c>
      <c r="J128" s="41" t="inlineStr">
        <is>
          <t>DM</t>
        </is>
      </c>
      <c r="K128" s="37" t="inlineStr">
        <is>
          <t>sobre muro</t>
        </is>
      </c>
      <c r="L128" s="36">
        <f>E128*TABLEROS!$U$27/1000</f>
        <v>0.074518</v>
      </c>
      <c r="M128" s="36">
        <f>E128*IF(TABLEROS!$E$27="HABITACIÓN",DATOS!$C$91,DATOS!$C$94)/1000</f>
        <v>0.031376</v>
      </c>
    </row>
    <row r="129">
      <c r="B129" s="41" t="inlineStr">
        <is>
          <t>DM-22</t>
        </is>
      </c>
      <c r="C129" s="41" t="inlineStr">
        <is>
          <t>F80020 N+3.00</t>
        </is>
      </c>
      <c r="D129" s="41" t="inlineStr">
        <is>
          <t>N+3.00</t>
        </is>
      </c>
      <c r="E129" s="54" t="n">
        <v>0.2478</v>
      </c>
      <c r="F129" s="56">
        <f>TABLEROS!$Y$27</f>
        <v>959.275510204082</v>
      </c>
      <c r="G129" s="36">
        <f>E129*F129/1000</f>
        <v>0.237708471428571</v>
      </c>
      <c r="H129" s="56">
        <f>TABLEROS!$X$27</f>
        <v>708.673469387755</v>
      </c>
      <c r="I129" s="36">
        <f>E129*H129/1000</f>
        <v>0.175609285714286</v>
      </c>
      <c r="J129" s="41" t="inlineStr">
        <is>
          <t>DM</t>
        </is>
      </c>
      <c r="K129" s="37" t="inlineStr">
        <is>
          <t>sobre muro</t>
        </is>
      </c>
      <c r="L129" s="36">
        <f>E129*TABLEROS!$U$27/1000</f>
        <v>0.047082</v>
      </c>
      <c r="M129" s="36">
        <f>E129*IF(TABLEROS!$E$27="HABITACIÓN",DATOS!$C$91,DATOS!$C$94)/1000</f>
        <v>0.019824</v>
      </c>
    </row>
    <row r="130">
      <c r="B130" s="41" t="inlineStr">
        <is>
          <t>DM-65</t>
        </is>
      </c>
      <c r="C130" s="41" t="inlineStr">
        <is>
          <t>F80020 N+3.00</t>
        </is>
      </c>
      <c r="D130" s="41" t="inlineStr">
        <is>
          <t>N+3.00</t>
        </is>
      </c>
      <c r="E130" s="54" t="n">
        <v>1.7</v>
      </c>
      <c r="F130" s="56">
        <f>TABLEROS!$Y$27</f>
        <v>959.275510204082</v>
      </c>
      <c r="G130" s="36">
        <f>E130*F130/1000</f>
        <v>1.63076836734694</v>
      </c>
      <c r="H130" s="56">
        <f>TABLEROS!$X$27</f>
        <v>708.673469387755</v>
      </c>
      <c r="I130" s="36">
        <f>E130*H130/1000</f>
        <v>1.20474489795918</v>
      </c>
      <c r="J130" s="41" t="inlineStr">
        <is>
          <t>DM</t>
        </is>
      </c>
      <c r="K130" s="37" t="inlineStr">
        <is>
          <t>sobre muro</t>
        </is>
      </c>
      <c r="L130" s="36">
        <f>E130*TABLEROS!$U$27/1000</f>
        <v>0.323</v>
      </c>
      <c r="M130" s="36">
        <f>E130*IF(TABLEROS!$E$27="HABITACIÓN",DATOS!$C$91,DATOS!$C$94)/1000</f>
        <v>0.136</v>
      </c>
    </row>
    <row r="131">
      <c r="B131" s="41" t="inlineStr">
        <is>
          <t>DM-25</t>
        </is>
      </c>
      <c r="C131" s="41" t="inlineStr">
        <is>
          <t>F80020 N+3.00</t>
        </is>
      </c>
      <c r="D131" s="41" t="inlineStr">
        <is>
          <t>N+3.00</t>
        </is>
      </c>
      <c r="E131" s="54" t="n">
        <v>0.0262</v>
      </c>
      <c r="F131" s="56">
        <f>TABLEROS!$Y$27</f>
        <v>959.275510204082</v>
      </c>
      <c r="G131" s="36">
        <f>E131*F131/1000</f>
        <v>0.0251330183673469</v>
      </c>
      <c r="H131" s="56">
        <f>TABLEROS!$X$27</f>
        <v>708.673469387755</v>
      </c>
      <c r="I131" s="36">
        <f>E131*H131/1000</f>
        <v>0.0185672448979592</v>
      </c>
      <c r="J131" s="41" t="inlineStr">
        <is>
          <t>DM</t>
        </is>
      </c>
      <c r="K131" s="37" t="inlineStr">
        <is>
          <t>sobre muro</t>
        </is>
      </c>
      <c r="L131" s="36">
        <f>E131*TABLEROS!$U$27/1000</f>
        <v>0.004978</v>
      </c>
      <c r="M131" s="36">
        <f>E131*IF(TABLEROS!$E$27="HABITACIÓN",DATOS!$C$91,DATOS!$C$94)/1000</f>
        <v>0.002096</v>
      </c>
    </row>
    <row r="132">
      <c r="B132" s="41" t="inlineStr">
        <is>
          <t>DM-26</t>
        </is>
      </c>
      <c r="C132" s="41" t="inlineStr">
        <is>
          <t>F80020 N+3.00</t>
        </is>
      </c>
      <c r="D132" s="41" t="inlineStr">
        <is>
          <t>N+3.00</t>
        </is>
      </c>
      <c r="E132" s="54" t="n">
        <v>0.6027</v>
      </c>
      <c r="F132" s="56">
        <f>TABLEROS!$Y$27</f>
        <v>959.275510204082</v>
      </c>
      <c r="G132" s="36">
        <f>E132*F132/1000</f>
        <v>0.57815535</v>
      </c>
      <c r="H132" s="56">
        <f>TABLEROS!$X$27</f>
        <v>708.673469387755</v>
      </c>
      <c r="I132" s="36">
        <f>E132*H132/1000</f>
        <v>0.4271175</v>
      </c>
      <c r="J132" s="41" t="inlineStr">
        <is>
          <t>DM</t>
        </is>
      </c>
      <c r="K132" s="37" t="inlineStr">
        <is>
          <t>sobre muro</t>
        </is>
      </c>
      <c r="L132" s="36">
        <f>E132*TABLEROS!$U$27/1000</f>
        <v>0.114513</v>
      </c>
      <c r="M132" s="36">
        <f>E132*IF(TABLEROS!$E$27="HABITACIÓN",DATOS!$C$91,DATOS!$C$94)/1000</f>
        <v>0.048216</v>
      </c>
    </row>
    <row r="133">
      <c r="B133" s="41" t="inlineStr">
        <is>
          <t>DM-27</t>
        </is>
      </c>
      <c r="C133" s="41" t="inlineStr">
        <is>
          <t>F80020 N+3.00</t>
        </is>
      </c>
      <c r="D133" s="41" t="inlineStr">
        <is>
          <t>N+3.00</t>
        </is>
      </c>
      <c r="E133" s="54" t="n">
        <v>0.0111</v>
      </c>
      <c r="F133" s="56">
        <f>TABLEROS!$Y$27</f>
        <v>959.275510204082</v>
      </c>
      <c r="G133" s="36">
        <f>E133*F133/1000</f>
        <v>0.0106479581632653</v>
      </c>
      <c r="H133" s="56">
        <f>TABLEROS!$X$27</f>
        <v>708.673469387755</v>
      </c>
      <c r="I133" s="36">
        <f>E133*H133/1000</f>
        <v>0.00786627551020408</v>
      </c>
      <c r="J133" s="41" t="inlineStr">
        <is>
          <t>DM</t>
        </is>
      </c>
      <c r="K133" s="37" t="inlineStr">
        <is>
          <t>sobre muro</t>
        </is>
      </c>
      <c r="L133" s="36">
        <f>E133*TABLEROS!$U$27/1000</f>
        <v>0.002109</v>
      </c>
      <c r="M133" s="36">
        <f>E133*IF(TABLEROS!$E$27="HABITACIÓN",DATOS!$C$91,DATOS!$C$94)/1000</f>
        <v>0.000888</v>
      </c>
    </row>
    <row r="134">
      <c r="B134" s="41" t="inlineStr">
        <is>
          <t>DM-43</t>
        </is>
      </c>
      <c r="C134" s="41" t="inlineStr">
        <is>
          <t>F80021 N+3.00</t>
        </is>
      </c>
      <c r="D134" s="41" t="inlineStr">
        <is>
          <t>N+3.00</t>
        </is>
      </c>
      <c r="E134" s="54" t="n">
        <v>1.7</v>
      </c>
      <c r="F134" s="56">
        <f>TABLEROS!$Y$28</f>
        <v>882.775510204082</v>
      </c>
      <c r="G134" s="36">
        <f>E134*F134/1000</f>
        <v>1.50071836734694</v>
      </c>
      <c r="H134" s="56">
        <f>TABLEROS!$X$28</f>
        <v>663.673469387755</v>
      </c>
      <c r="I134" s="36">
        <f>E134*H134/1000</f>
        <v>1.12824489795918</v>
      </c>
      <c r="J134" s="41" t="inlineStr">
        <is>
          <t>DM</t>
        </is>
      </c>
      <c r="K134" s="37" t="inlineStr">
        <is>
          <t>sobre muro</t>
        </is>
      </c>
      <c r="L134" s="36">
        <f>E134*TABLEROS!$U$28/1000</f>
        <v>0.17</v>
      </c>
      <c r="M134" s="36">
        <f>E134*IF(TABLEROS!$E$28="HABITACIÓN",DATOS!$C$91,DATOS!$C$94)/1000</f>
        <v>0.0255</v>
      </c>
    </row>
    <row r="135">
      <c r="B135" s="41" t="inlineStr">
        <is>
          <t>DM-23</t>
        </is>
      </c>
      <c r="C135" s="41" t="inlineStr">
        <is>
          <t>F80021 N+3.00</t>
        </is>
      </c>
      <c r="D135" s="41" t="inlineStr">
        <is>
          <t>N+3.00</t>
        </is>
      </c>
      <c r="E135" s="54" t="n">
        <v>0.3936</v>
      </c>
      <c r="F135" s="56">
        <f>TABLEROS!$Y$28</f>
        <v>882.775510204082</v>
      </c>
      <c r="G135" s="36">
        <f>E135*F135/1000</f>
        <v>0.347460440816327</v>
      </c>
      <c r="H135" s="56">
        <f>TABLEROS!$X$28</f>
        <v>663.673469387755</v>
      </c>
      <c r="I135" s="36">
        <f>E135*H135/1000</f>
        <v>0.26122187755102</v>
      </c>
      <c r="J135" s="41" t="inlineStr">
        <is>
          <t>DM</t>
        </is>
      </c>
      <c r="K135" s="37" t="inlineStr">
        <is>
          <t>sobre muro</t>
        </is>
      </c>
      <c r="L135" s="36">
        <f>E135*TABLEROS!$U$28/1000</f>
        <v>0.03936</v>
      </c>
      <c r="M135" s="36">
        <f>E135*IF(TABLEROS!$E$28="HABITACIÓN",DATOS!$C$91,DATOS!$C$94)/1000</f>
        <v>0.005904</v>
      </c>
    </row>
    <row r="136">
      <c r="B136" s="41" t="inlineStr">
        <is>
          <t>DM-24</t>
        </is>
      </c>
      <c r="C136" s="41" t="inlineStr">
        <is>
          <t>F80021 N+3.00</t>
        </is>
      </c>
      <c r="D136" s="41" t="inlineStr">
        <is>
          <t>N+3.00</t>
        </is>
      </c>
      <c r="E136" s="54" t="n">
        <v>0.2464</v>
      </c>
      <c r="F136" s="56">
        <f>TABLEROS!$Y$28</f>
        <v>882.775510204082</v>
      </c>
      <c r="G136" s="36">
        <f>E136*F136/1000</f>
        <v>0.217515885714286</v>
      </c>
      <c r="H136" s="56">
        <f>TABLEROS!$X$28</f>
        <v>663.673469387755</v>
      </c>
      <c r="I136" s="36">
        <f>E136*H136/1000</f>
        <v>0.163529142857143</v>
      </c>
      <c r="J136" s="41" t="inlineStr">
        <is>
          <t>DM</t>
        </is>
      </c>
      <c r="K136" s="37" t="inlineStr">
        <is>
          <t>sobre muro</t>
        </is>
      </c>
      <c r="L136" s="36">
        <f>E136*TABLEROS!$U$28/1000</f>
        <v>0.02464</v>
      </c>
      <c r="M136" s="36">
        <f>E136*IF(TABLEROS!$E$28="HABITACIÓN",DATOS!$C$91,DATOS!$C$94)/1000</f>
        <v>0.003696</v>
      </c>
    </row>
    <row r="137">
      <c r="B137" s="41" t="inlineStr">
        <is>
          <t>DM-28</t>
        </is>
      </c>
      <c r="C137" s="41" t="inlineStr">
        <is>
          <t>F80021 N+3.00</t>
        </is>
      </c>
      <c r="D137" s="41" t="inlineStr">
        <is>
          <t>N+3.00</t>
        </is>
      </c>
      <c r="E137" s="54" t="n">
        <v>0.66</v>
      </c>
      <c r="F137" s="56">
        <f>TABLEROS!$Y$28</f>
        <v>882.775510204082</v>
      </c>
      <c r="G137" s="36">
        <f>E137*F137/1000</f>
        <v>0.582631836734694</v>
      </c>
      <c r="H137" s="56">
        <f>TABLEROS!$X$28</f>
        <v>663.673469387755</v>
      </c>
      <c r="I137" s="36">
        <f>E137*H137/1000</f>
        <v>0.438024489795918</v>
      </c>
      <c r="J137" s="41" t="inlineStr">
        <is>
          <t>DM</t>
        </is>
      </c>
      <c r="K137" s="37" t="inlineStr">
        <is>
          <t>sobre muro</t>
        </is>
      </c>
      <c r="L137" s="36">
        <f>E137*TABLEROS!$U$28/1000</f>
        <v>0.066</v>
      </c>
      <c r="M137" s="36">
        <f>E137*IF(TABLEROS!$E$28="HABITACIÓN",DATOS!$C$91,DATOS!$C$94)/1000</f>
        <v>0.0099</v>
      </c>
    </row>
    <row r="138">
      <c r="B138" s="41" t="inlineStr">
        <is>
          <t>DM-29</t>
        </is>
      </c>
      <c r="C138" s="41" t="inlineStr">
        <is>
          <t>F80021 N+3.00</t>
        </is>
      </c>
      <c r="D138" s="41" t="inlineStr">
        <is>
          <t>N+3.00</t>
        </is>
      </c>
      <c r="E138" s="54" t="n">
        <v>0.795</v>
      </c>
      <c r="F138" s="56">
        <f>TABLEROS!$Y$28</f>
        <v>882.775510204082</v>
      </c>
      <c r="G138" s="36">
        <f>E138*F138/1000</f>
        <v>0.701806530612245</v>
      </c>
      <c r="H138" s="56">
        <f>TABLEROS!$X$28</f>
        <v>663.673469387755</v>
      </c>
      <c r="I138" s="36">
        <f>E138*H138/1000</f>
        <v>0.527620408163265</v>
      </c>
      <c r="J138" s="41" t="inlineStr">
        <is>
          <t>DM</t>
        </is>
      </c>
      <c r="K138" s="37" t="inlineStr">
        <is>
          <t>sobre muro</t>
        </is>
      </c>
      <c r="L138" s="36">
        <f>E138*TABLEROS!$U$28/1000</f>
        <v>0.0795</v>
      </c>
      <c r="M138" s="36">
        <f>E138*IF(TABLEROS!$E$28="HABITACIÓN",DATOS!$C$91,DATOS!$C$94)/1000</f>
        <v>0.011925</v>
      </c>
    </row>
    <row r="139">
      <c r="B139" s="41" t="inlineStr">
        <is>
          <t>DM-30</t>
        </is>
      </c>
      <c r="C139" s="41" t="inlineStr">
        <is>
          <t>F80021 N+3.00</t>
        </is>
      </c>
      <c r="D139" s="41" t="inlineStr">
        <is>
          <t>N+3.00</t>
        </is>
      </c>
      <c r="E139" s="54" t="n">
        <v>0.245</v>
      </c>
      <c r="F139" s="56">
        <f>TABLEROS!$Y$28</f>
        <v>882.775510204082</v>
      </c>
      <c r="G139" s="36">
        <f>E139*F139/1000</f>
        <v>0.21628</v>
      </c>
      <c r="H139" s="56">
        <f>TABLEROS!$X$28</f>
        <v>663.673469387755</v>
      </c>
      <c r="I139" s="36">
        <f>E139*H139/1000</f>
        <v>0.1626</v>
      </c>
      <c r="J139" s="41" t="inlineStr">
        <is>
          <t>DM</t>
        </is>
      </c>
      <c r="K139" s="37" t="inlineStr">
        <is>
          <t>sobre muro</t>
        </is>
      </c>
      <c r="L139" s="36">
        <f>E139*TABLEROS!$U$28/1000</f>
        <v>0.0245</v>
      </c>
      <c r="M139" s="36">
        <f>E139*IF(TABLEROS!$E$28="HABITACIÓN",DATOS!$C$91,DATOS!$C$94)/1000</f>
        <v>0.003675</v>
      </c>
    </row>
    <row r="140">
      <c r="B140" s="41" t="inlineStr">
        <is>
          <t>DM-15</t>
        </is>
      </c>
      <c r="C140" s="41" t="inlineStr">
        <is>
          <t>F80021 N+3.00</t>
        </is>
      </c>
      <c r="D140" s="41" t="inlineStr">
        <is>
          <t>N+3.00</t>
        </is>
      </c>
      <c r="E140" s="54" t="n">
        <v>0.64</v>
      </c>
      <c r="F140" s="56">
        <f>TABLEROS!$Y$28</f>
        <v>882.775510204082</v>
      </c>
      <c r="G140" s="36">
        <f>E140*F140/1000</f>
        <v>0.564976326530612</v>
      </c>
      <c r="H140" s="56">
        <f>TABLEROS!$X$28</f>
        <v>663.673469387755</v>
      </c>
      <c r="I140" s="36">
        <f>E140*H140/1000</f>
        <v>0.424751020408163</v>
      </c>
      <c r="J140" s="41" t="inlineStr">
        <is>
          <t>DM</t>
        </is>
      </c>
      <c r="K140" s="37" t="inlineStr">
        <is>
          <t>sobre muro</t>
        </is>
      </c>
      <c r="L140" s="36">
        <f>E140*TABLEROS!$U$28/1000</f>
        <v>0.064</v>
      </c>
      <c r="M140" s="36">
        <f>E140*IF(TABLEROS!$E$28="HABITACIÓN",DATOS!$C$91,DATOS!$C$94)/1000</f>
        <v>0.0096</v>
      </c>
    </row>
    <row r="141">
      <c r="B141" s="41" t="inlineStr">
        <is>
          <t>DM-121</t>
        </is>
      </c>
      <c r="C141" s="41" t="inlineStr">
        <is>
          <t>F80023 N+6.00</t>
        </is>
      </c>
      <c r="D141" s="41" t="inlineStr">
        <is>
          <t>N+6.00</t>
        </is>
      </c>
      <c r="E141" s="54" t="n">
        <v>1.3773</v>
      </c>
      <c r="F141" s="56">
        <f>TABLEROS!$Y$31</f>
        <v>882.775510204082</v>
      </c>
      <c r="G141" s="36">
        <f>E141*F141/1000</f>
        <v>1.21584671020408</v>
      </c>
      <c r="H141" s="56">
        <f>TABLEROS!$X$31</f>
        <v>663.673469387755</v>
      </c>
      <c r="I141" s="36">
        <f>E141*H141/1000</f>
        <v>0.914077469387755</v>
      </c>
      <c r="J141" s="41" t="inlineStr">
        <is>
          <t>DM</t>
        </is>
      </c>
      <c r="K141" s="37" t="inlineStr">
        <is>
          <t>sobre muro</t>
        </is>
      </c>
      <c r="L141" s="36">
        <f>E141*TABLEROS!$U$31/1000</f>
        <v>0.13773</v>
      </c>
      <c r="M141" s="36">
        <f>E141*IF(TABLEROS!$E$31="HABITACIÓN",DATOS!$C$91,DATOS!$C$94)/1000</f>
        <v>0.0206595</v>
      </c>
    </row>
    <row r="142">
      <c r="B142" s="41" t="inlineStr">
        <is>
          <t>DM-122</t>
        </is>
      </c>
      <c r="C142" s="41" t="inlineStr">
        <is>
          <t>F80023 N+6.00</t>
        </is>
      </c>
      <c r="D142" s="41" t="inlineStr">
        <is>
          <t>N+6.00</t>
        </is>
      </c>
      <c r="E142" s="54" t="n">
        <v>0.3998</v>
      </c>
      <c r="F142" s="56">
        <f>TABLEROS!$Y$31</f>
        <v>882.775510204082</v>
      </c>
      <c r="G142" s="36">
        <f>E142*F142/1000</f>
        <v>0.352933648979592</v>
      </c>
      <c r="H142" s="56">
        <f>TABLEROS!$X$31</f>
        <v>663.673469387755</v>
      </c>
      <c r="I142" s="36">
        <f>E142*H142/1000</f>
        <v>0.265336653061224</v>
      </c>
      <c r="J142" s="41" t="inlineStr">
        <is>
          <t>DM</t>
        </is>
      </c>
      <c r="K142" s="37" t="inlineStr">
        <is>
          <t>sobre muro</t>
        </is>
      </c>
      <c r="L142" s="36">
        <f>E142*TABLEROS!$U$31/1000</f>
        <v>0.03998</v>
      </c>
      <c r="M142" s="36">
        <f>E142*IF(TABLEROS!$E$31="HABITACIÓN",DATOS!$C$91,DATOS!$C$94)/1000</f>
        <v>0.005997</v>
      </c>
    </row>
    <row r="143">
      <c r="B143" s="41" t="inlineStr">
        <is>
          <t>DM-70</t>
        </is>
      </c>
      <c r="C143" s="41" t="inlineStr">
        <is>
          <t>F80023 N+6.00</t>
        </is>
      </c>
      <c r="D143" s="41" t="inlineStr">
        <is>
          <t>N+6.00</t>
        </is>
      </c>
      <c r="E143" s="54" t="n">
        <v>0.6368</v>
      </c>
      <c r="F143" s="56">
        <f>TABLEROS!$Y$31</f>
        <v>882.775510204082</v>
      </c>
      <c r="G143" s="36">
        <f>E143*F143/1000</f>
        <v>0.562151444897959</v>
      </c>
      <c r="H143" s="56">
        <f>TABLEROS!$X$31</f>
        <v>663.673469387755</v>
      </c>
      <c r="I143" s="36">
        <f>E143*H143/1000</f>
        <v>0.422627265306123</v>
      </c>
      <c r="J143" s="41" t="inlineStr">
        <is>
          <t>DM</t>
        </is>
      </c>
      <c r="K143" s="37" t="inlineStr">
        <is>
          <t>sobre muro</t>
        </is>
      </c>
      <c r="L143" s="36">
        <f>E143*TABLEROS!$U$31/1000</f>
        <v>0.06368</v>
      </c>
      <c r="M143" s="36">
        <f>E143*IF(TABLEROS!$E$31="HABITACIÓN",DATOS!$C$91,DATOS!$C$94)/1000</f>
        <v>0.009552</v>
      </c>
    </row>
    <row r="144">
      <c r="B144" s="41" t="inlineStr">
        <is>
          <t>DM-131</t>
        </is>
      </c>
      <c r="C144" s="41" t="inlineStr">
        <is>
          <t>F80023 N+6.00</t>
        </is>
      </c>
      <c r="D144" s="41" t="inlineStr">
        <is>
          <t>N+6.00</t>
        </is>
      </c>
      <c r="E144" s="54" t="n">
        <v>0.8882</v>
      </c>
      <c r="F144" s="56">
        <f>TABLEROS!$Y$31</f>
        <v>882.775510204082</v>
      </c>
      <c r="G144" s="36">
        <f>E144*F144/1000</f>
        <v>0.784081208163265</v>
      </c>
      <c r="H144" s="56">
        <f>TABLEROS!$X$31</f>
        <v>663.673469387755</v>
      </c>
      <c r="I144" s="36">
        <f>E144*H144/1000</f>
        <v>0.589474775510204</v>
      </c>
      <c r="J144" s="41" t="inlineStr">
        <is>
          <t>DM</t>
        </is>
      </c>
      <c r="K144" s="37" t="inlineStr">
        <is>
          <t>sobre muro</t>
        </is>
      </c>
      <c r="L144" s="36">
        <f>E144*TABLEROS!$U$31/1000</f>
        <v>0.08882</v>
      </c>
      <c r="M144" s="36">
        <f>E144*IF(TABLEROS!$E$31="HABITACIÓN",DATOS!$C$91,DATOS!$C$94)/1000</f>
        <v>0.013323</v>
      </c>
    </row>
    <row r="145">
      <c r="B145" s="41" t="inlineStr">
        <is>
          <t>DM-132</t>
        </is>
      </c>
      <c r="C145" s="41" t="inlineStr">
        <is>
          <t>F80023 N+6.00</t>
        </is>
      </c>
      <c r="D145" s="41" t="inlineStr">
        <is>
          <t>N+6.00</t>
        </is>
      </c>
      <c r="E145" s="54" t="n">
        <v>0.889</v>
      </c>
      <c r="F145" s="56">
        <f>TABLEROS!$Y$31</f>
        <v>882.775510204082</v>
      </c>
      <c r="G145" s="36">
        <f>E145*F145/1000</f>
        <v>0.784787428571429</v>
      </c>
      <c r="H145" s="56">
        <f>TABLEROS!$X$31</f>
        <v>663.673469387755</v>
      </c>
      <c r="I145" s="36">
        <f>E145*H145/1000</f>
        <v>0.590005714285714</v>
      </c>
      <c r="J145" s="41" t="inlineStr">
        <is>
          <t>DM</t>
        </is>
      </c>
      <c r="K145" s="37" t="inlineStr">
        <is>
          <t>sobre muro</t>
        </is>
      </c>
      <c r="L145" s="36">
        <f>E145*TABLEROS!$U$31/1000</f>
        <v>0.0889</v>
      </c>
      <c r="M145" s="36">
        <f>E145*IF(TABLEROS!$E$31="HABITACIÓN",DATOS!$C$91,DATOS!$C$94)/1000</f>
        <v>0.013335</v>
      </c>
    </row>
    <row r="146">
      <c r="B146" s="41" t="inlineStr">
        <is>
          <t>DM-71</t>
        </is>
      </c>
      <c r="C146" s="41" t="inlineStr">
        <is>
          <t>F80023 N+6.00</t>
        </is>
      </c>
      <c r="D146" s="41" t="inlineStr">
        <is>
          <t>N+6.00</t>
        </is>
      </c>
      <c r="E146" s="54" t="n">
        <v>0.4415</v>
      </c>
      <c r="F146" s="56">
        <f>TABLEROS!$Y$31</f>
        <v>882.775510204082</v>
      </c>
      <c r="G146" s="36">
        <f>E146*F146/1000</f>
        <v>0.389745387755102</v>
      </c>
      <c r="H146" s="56">
        <f>TABLEROS!$X$31</f>
        <v>663.673469387755</v>
      </c>
      <c r="I146" s="36">
        <f>E146*H146/1000</f>
        <v>0.293011836734694</v>
      </c>
      <c r="J146" s="41" t="inlineStr">
        <is>
          <t>DM</t>
        </is>
      </c>
      <c r="K146" s="37" t="inlineStr">
        <is>
          <t>sobre muro</t>
        </is>
      </c>
      <c r="L146" s="36">
        <f>E146*TABLEROS!$U$31/1000</f>
        <v>0.04415</v>
      </c>
      <c r="M146" s="36">
        <f>E146*IF(TABLEROS!$E$31="HABITACIÓN",DATOS!$C$91,DATOS!$C$94)/1000</f>
        <v>0.0066225</v>
      </c>
    </row>
    <row r="147">
      <c r="B147" s="41" t="inlineStr">
        <is>
          <t>DM-72</t>
        </is>
      </c>
      <c r="C147" s="41" t="inlineStr">
        <is>
          <t>F80023 N+6.00</t>
        </is>
      </c>
      <c r="D147" s="41" t="inlineStr">
        <is>
          <t>N+6.00</t>
        </is>
      </c>
      <c r="E147" s="54" t="n">
        <v>0.1953</v>
      </c>
      <c r="F147" s="56">
        <f>TABLEROS!$Y$31</f>
        <v>882.775510204082</v>
      </c>
      <c r="G147" s="36">
        <f>E147*F147/1000</f>
        <v>0.172406057142857</v>
      </c>
      <c r="H147" s="56">
        <f>TABLEROS!$X$31</f>
        <v>663.673469387755</v>
      </c>
      <c r="I147" s="36">
        <f>E147*H147/1000</f>
        <v>0.129615428571429</v>
      </c>
      <c r="J147" s="41" t="inlineStr">
        <is>
          <t>DM</t>
        </is>
      </c>
      <c r="K147" s="37" t="inlineStr">
        <is>
          <t>sobre muro</t>
        </is>
      </c>
      <c r="L147" s="36">
        <f>E147*TABLEROS!$U$31/1000</f>
        <v>0.01953</v>
      </c>
      <c r="M147" s="36">
        <f>E147*IF(TABLEROS!$E$31="HABITACIÓN",DATOS!$C$91,DATOS!$C$94)/1000</f>
        <v>0.0029295</v>
      </c>
    </row>
    <row r="148">
      <c r="B148" s="41" t="inlineStr">
        <is>
          <t>DM-67</t>
        </is>
      </c>
      <c r="C148" s="41" t="inlineStr">
        <is>
          <t>F80024 N+6.00</t>
        </is>
      </c>
      <c r="D148" s="41" t="inlineStr">
        <is>
          <t>N+6.00</t>
        </is>
      </c>
      <c r="E148" s="54" t="n">
        <v>0.4278</v>
      </c>
      <c r="F148" s="56">
        <f>TABLEROS!$Y$32</f>
        <v>941.275510204082</v>
      </c>
      <c r="G148" s="36">
        <f>E148*F148/1000</f>
        <v>0.402677663265306</v>
      </c>
      <c r="H148" s="56">
        <f>TABLEROS!$X$32</f>
        <v>708.673469387755</v>
      </c>
      <c r="I148" s="36">
        <f>E148*H148/1000</f>
        <v>0.303170510204082</v>
      </c>
      <c r="J148" s="41" t="inlineStr">
        <is>
          <t>DM</t>
        </is>
      </c>
      <c r="K148" s="37" t="inlineStr">
        <is>
          <t>sobre muro</t>
        </is>
      </c>
      <c r="L148" s="36">
        <f>E148*TABLEROS!$U$32/1000</f>
        <v>0.04278</v>
      </c>
      <c r="M148" s="36">
        <f>E148*IF(TABLEROS!$E$32="HABITACIÓN",DATOS!$C$91,DATOS!$C$94)/1000</f>
        <v>0.006417</v>
      </c>
    </row>
    <row r="149">
      <c r="B149" s="41" t="inlineStr">
        <is>
          <t>DM-68</t>
        </is>
      </c>
      <c r="C149" s="41" t="inlineStr">
        <is>
          <t>F80024 N+6.00</t>
        </is>
      </c>
      <c r="D149" s="41" t="inlineStr">
        <is>
          <t>N+6.00</t>
        </is>
      </c>
      <c r="E149" s="54" t="n">
        <v>3.9702</v>
      </c>
      <c r="F149" s="56">
        <f>TABLEROS!$Y$32</f>
        <v>941.275510204082</v>
      </c>
      <c r="G149" s="36">
        <f>E149*F149/1000</f>
        <v>3.73705203061225</v>
      </c>
      <c r="H149" s="56">
        <f>TABLEROS!$X$32</f>
        <v>708.673469387755</v>
      </c>
      <c r="I149" s="36">
        <f>E149*H149/1000</f>
        <v>2.81357540816327</v>
      </c>
      <c r="J149" s="41" t="inlineStr">
        <is>
          <t>DM</t>
        </is>
      </c>
      <c r="K149" s="37" t="inlineStr">
        <is>
          <t>sobre muro</t>
        </is>
      </c>
      <c r="L149" s="36">
        <f>E149*TABLEROS!$U$32/1000</f>
        <v>0.39702</v>
      </c>
      <c r="M149" s="36">
        <f>E149*IF(TABLEROS!$E$32="HABITACIÓN",DATOS!$C$91,DATOS!$C$94)/1000</f>
        <v>0.059553</v>
      </c>
    </row>
    <row r="150">
      <c r="B150" s="41" t="inlineStr">
        <is>
          <t>DM-69</t>
        </is>
      </c>
      <c r="C150" s="41" t="inlineStr">
        <is>
          <t>F80024 N+6.00</t>
        </is>
      </c>
      <c r="D150" s="41" t="inlineStr">
        <is>
          <t>N+6.00</t>
        </is>
      </c>
      <c r="E150" s="54" t="n">
        <v>0.2828</v>
      </c>
      <c r="F150" s="56">
        <f>TABLEROS!$Y$32</f>
        <v>941.275510204082</v>
      </c>
      <c r="G150" s="36">
        <f>E150*F150/1000</f>
        <v>0.266192714285714</v>
      </c>
      <c r="H150" s="56">
        <f>TABLEROS!$X$32</f>
        <v>708.673469387755</v>
      </c>
      <c r="I150" s="36">
        <f>E150*H150/1000</f>
        <v>0.200412857142857</v>
      </c>
      <c r="J150" s="41" t="inlineStr">
        <is>
          <t>DM</t>
        </is>
      </c>
      <c r="K150" s="37" t="inlineStr">
        <is>
          <t>sobre muro</t>
        </is>
      </c>
      <c r="L150" s="36">
        <f>E150*TABLEROS!$U$32/1000</f>
        <v>0.02828</v>
      </c>
      <c r="M150" s="36">
        <f>E150*IF(TABLEROS!$E$32="HABITACIÓN",DATOS!$C$91,DATOS!$C$94)/1000</f>
        <v>0.004242</v>
      </c>
    </row>
    <row r="151">
      <c r="B151" s="41" t="inlineStr">
        <is>
          <t>DM-121</t>
        </is>
      </c>
      <c r="C151" s="41" t="inlineStr">
        <is>
          <t>F80024 N+6.00</t>
        </is>
      </c>
      <c r="D151" s="41" t="inlineStr">
        <is>
          <t>N+6.00</t>
        </is>
      </c>
      <c r="E151" s="54" t="n">
        <v>2.2578</v>
      </c>
      <c r="F151" s="56">
        <f>TABLEROS!$Y$32</f>
        <v>941.275510204082</v>
      </c>
      <c r="G151" s="36">
        <f>E151*F151/1000</f>
        <v>2.12521184693878</v>
      </c>
      <c r="H151" s="56">
        <f>TABLEROS!$X$32</f>
        <v>708.673469387755</v>
      </c>
      <c r="I151" s="36">
        <f>E151*H151/1000</f>
        <v>1.60004295918367</v>
      </c>
      <c r="J151" s="41" t="inlineStr">
        <is>
          <t>DM</t>
        </is>
      </c>
      <c r="K151" s="37" t="inlineStr">
        <is>
          <t>sobre muro</t>
        </is>
      </c>
      <c r="L151" s="36">
        <f>E151*TABLEROS!$U$32/1000</f>
        <v>0.22578</v>
      </c>
      <c r="M151" s="36">
        <f>E151*IF(TABLEROS!$E$32="HABITACIÓN",DATOS!$C$91,DATOS!$C$94)/1000</f>
        <v>0.033867</v>
      </c>
    </row>
    <row r="152">
      <c r="B152" s="41" t="inlineStr">
        <is>
          <t>DM-122</t>
        </is>
      </c>
      <c r="C152" s="41" t="inlineStr">
        <is>
          <t>F80024 N+6.00</t>
        </is>
      </c>
      <c r="D152" s="41" t="inlineStr">
        <is>
          <t>N+6.00</t>
        </is>
      </c>
      <c r="E152" s="54" t="n">
        <v>1.918</v>
      </c>
      <c r="F152" s="56">
        <f>TABLEROS!$Y$32</f>
        <v>941.275510204082</v>
      </c>
      <c r="G152" s="36">
        <f>E152*F152/1000</f>
        <v>1.80536642857143</v>
      </c>
      <c r="H152" s="56">
        <f>TABLEROS!$X$32</f>
        <v>708.673469387755</v>
      </c>
      <c r="I152" s="36">
        <f>E152*H152/1000</f>
        <v>1.35923571428571</v>
      </c>
      <c r="J152" s="41" t="inlineStr">
        <is>
          <t>DM</t>
        </is>
      </c>
      <c r="K152" s="37" t="inlineStr">
        <is>
          <t>sobre muro</t>
        </is>
      </c>
      <c r="L152" s="36">
        <f>E152*TABLEROS!$U$32/1000</f>
        <v>0.1918</v>
      </c>
      <c r="M152" s="36">
        <f>E152*IF(TABLEROS!$E$32="HABITACIÓN",DATOS!$C$91,DATOS!$C$94)/1000</f>
        <v>0.02877</v>
      </c>
    </row>
    <row r="153">
      <c r="B153" s="41" t="inlineStr">
        <is>
          <t>DM-123</t>
        </is>
      </c>
      <c r="C153" s="41" t="inlineStr">
        <is>
          <t>F80024 N+6.00</t>
        </is>
      </c>
      <c r="D153" s="41" t="inlineStr">
        <is>
          <t>N+6.00</t>
        </is>
      </c>
      <c r="E153" s="54" t="n">
        <v>1.47</v>
      </c>
      <c r="F153" s="56">
        <f>TABLEROS!$Y$32</f>
        <v>941.275510204082</v>
      </c>
      <c r="G153" s="36">
        <f>E153*F153/1000</f>
        <v>1.383675</v>
      </c>
      <c r="H153" s="56">
        <f>TABLEROS!$X$32</f>
        <v>708.673469387755</v>
      </c>
      <c r="I153" s="36">
        <f>E153*H153/1000</f>
        <v>1.04175</v>
      </c>
      <c r="J153" s="41" t="inlineStr">
        <is>
          <t>DM</t>
        </is>
      </c>
      <c r="K153" s="37" t="inlineStr">
        <is>
          <t>sobre muro</t>
        </is>
      </c>
      <c r="L153" s="36">
        <f>E153*TABLEROS!$U$32/1000</f>
        <v>0.147</v>
      </c>
      <c r="M153" s="36">
        <f>E153*IF(TABLEROS!$E$32="HABITACIÓN",DATOS!$C$91,DATOS!$C$94)/1000</f>
        <v>0.02205</v>
      </c>
    </row>
    <row r="154">
      <c r="B154" s="41" t="inlineStr">
        <is>
          <t>DM-124</t>
        </is>
      </c>
      <c r="C154" s="41" t="inlineStr">
        <is>
          <t>F80024 N+6.00</t>
        </is>
      </c>
      <c r="D154" s="41" t="inlineStr">
        <is>
          <t>N+6.00</t>
        </is>
      </c>
      <c r="E154" s="54" t="n">
        <v>0.3828</v>
      </c>
      <c r="F154" s="56">
        <f>TABLEROS!$Y$32</f>
        <v>941.275510204082</v>
      </c>
      <c r="G154" s="36">
        <f>E154*F154/1000</f>
        <v>0.360320265306122</v>
      </c>
      <c r="H154" s="56">
        <f>TABLEROS!$X$32</f>
        <v>708.673469387755</v>
      </c>
      <c r="I154" s="36">
        <f>E154*H154/1000</f>
        <v>0.271280204081633</v>
      </c>
      <c r="J154" s="41" t="inlineStr">
        <is>
          <t>DM</t>
        </is>
      </c>
      <c r="K154" s="37" t="inlineStr">
        <is>
          <t>sobre muro</t>
        </is>
      </c>
      <c r="L154" s="36">
        <f>E154*TABLEROS!$U$32/1000</f>
        <v>0.03828</v>
      </c>
      <c r="M154" s="36">
        <f>E154*IF(TABLEROS!$E$32="HABITACIÓN",DATOS!$C$91,DATOS!$C$94)/1000</f>
        <v>0.005742</v>
      </c>
    </row>
    <row r="155">
      <c r="B155" s="41" t="inlineStr">
        <is>
          <t>DM-76</t>
        </is>
      </c>
      <c r="C155" s="41" t="inlineStr">
        <is>
          <t>F80024 N+6.00</t>
        </is>
      </c>
      <c r="D155" s="41" t="inlineStr">
        <is>
          <t>N+6.00</t>
        </is>
      </c>
      <c r="E155" s="54" t="n">
        <v>2.3393</v>
      </c>
      <c r="F155" s="56">
        <f>TABLEROS!$Y$32</f>
        <v>941.275510204082</v>
      </c>
      <c r="G155" s="36">
        <f>E155*F155/1000</f>
        <v>2.20192580102041</v>
      </c>
      <c r="H155" s="56">
        <f>TABLEROS!$X$32</f>
        <v>708.673469387755</v>
      </c>
      <c r="I155" s="36">
        <f>E155*H155/1000</f>
        <v>1.65779984693878</v>
      </c>
      <c r="J155" s="41" t="inlineStr">
        <is>
          <t>DM</t>
        </is>
      </c>
      <c r="K155" s="37" t="inlineStr">
        <is>
          <t>sobre muro</t>
        </is>
      </c>
      <c r="L155" s="36">
        <f>E155*TABLEROS!$U$32/1000</f>
        <v>0.23393</v>
      </c>
      <c r="M155" s="36">
        <f>E155*IF(TABLEROS!$E$32="HABITACIÓN",DATOS!$C$91,DATOS!$C$94)/1000</f>
        <v>0.0350895</v>
      </c>
    </row>
    <row r="156">
      <c r="B156" s="41" t="inlineStr">
        <is>
          <t>DM-77</t>
        </is>
      </c>
      <c r="C156" s="41" t="inlineStr">
        <is>
          <t>F80024 N+6.00</t>
        </is>
      </c>
      <c r="D156" s="41" t="inlineStr">
        <is>
          <t>N+6.00</t>
        </is>
      </c>
      <c r="E156" s="54" t="n">
        <v>2.3414</v>
      </c>
      <c r="F156" s="56">
        <f>TABLEROS!$Y$32</f>
        <v>941.275510204082</v>
      </c>
      <c r="G156" s="36">
        <f>E156*F156/1000</f>
        <v>2.20390247959184</v>
      </c>
      <c r="H156" s="56">
        <f>TABLEROS!$X$32</f>
        <v>708.673469387755</v>
      </c>
      <c r="I156" s="36">
        <f>E156*H156/1000</f>
        <v>1.65928806122449</v>
      </c>
      <c r="J156" s="41" t="inlineStr">
        <is>
          <t>DM</t>
        </is>
      </c>
      <c r="K156" s="37" t="inlineStr">
        <is>
          <t>sobre muro</t>
        </is>
      </c>
      <c r="L156" s="36">
        <f>E156*TABLEROS!$U$32/1000</f>
        <v>0.23414</v>
      </c>
      <c r="M156" s="36">
        <f>E156*IF(TABLEROS!$E$32="HABITACIÓN",DATOS!$C$91,DATOS!$C$94)/1000</f>
        <v>0.035121</v>
      </c>
    </row>
    <row r="157">
      <c r="B157" s="41" t="inlineStr">
        <is>
          <t>DM-108</t>
        </is>
      </c>
      <c r="C157" s="41" t="inlineStr">
        <is>
          <t>F80024 N+6.00</t>
        </is>
      </c>
      <c r="D157" s="41" t="inlineStr">
        <is>
          <t>N+6.00</t>
        </is>
      </c>
      <c r="E157" s="54" t="n">
        <v>2.9061</v>
      </c>
      <c r="F157" s="56">
        <f>TABLEROS!$Y$32</f>
        <v>941.275510204082</v>
      </c>
      <c r="G157" s="36">
        <f>E157*F157/1000</f>
        <v>2.73544076020408</v>
      </c>
      <c r="H157" s="56">
        <f>TABLEROS!$X$32</f>
        <v>708.673469387755</v>
      </c>
      <c r="I157" s="36">
        <f>E157*H157/1000</f>
        <v>2.05947596938776</v>
      </c>
      <c r="J157" s="41" t="inlineStr">
        <is>
          <t>DM</t>
        </is>
      </c>
      <c r="K157" s="37" t="inlineStr">
        <is>
          <t>sobre muro</t>
        </is>
      </c>
      <c r="L157" s="36">
        <f>E157*TABLEROS!$U$32/1000</f>
        <v>0.29061</v>
      </c>
      <c r="M157" s="36">
        <f>E157*IF(TABLEROS!$E$32="HABITACIÓN",DATOS!$C$91,DATOS!$C$94)/1000</f>
        <v>0.0435915</v>
      </c>
    </row>
    <row r="158">
      <c r="B158" s="41" t="inlineStr">
        <is>
          <t>DM-109</t>
        </is>
      </c>
      <c r="C158" s="41" t="inlineStr">
        <is>
          <t>F80024 N+6.00</t>
        </is>
      </c>
      <c r="D158" s="41" t="inlineStr">
        <is>
          <t>N+6.00</t>
        </is>
      </c>
      <c r="E158" s="54" t="n">
        <v>2.6965</v>
      </c>
      <c r="F158" s="56">
        <f>TABLEROS!$Y$32</f>
        <v>941.275510204082</v>
      </c>
      <c r="G158" s="36">
        <f>E158*F158/1000</f>
        <v>2.53814941326531</v>
      </c>
      <c r="H158" s="56">
        <f>TABLEROS!$X$32</f>
        <v>708.673469387755</v>
      </c>
      <c r="I158" s="36">
        <f>E158*H158/1000</f>
        <v>1.91093801020408</v>
      </c>
      <c r="J158" s="41" t="inlineStr">
        <is>
          <t>DM</t>
        </is>
      </c>
      <c r="K158" s="37" t="inlineStr">
        <is>
          <t>sobre muro</t>
        </is>
      </c>
      <c r="L158" s="36">
        <f>E158*TABLEROS!$U$32/1000</f>
        <v>0.26965</v>
      </c>
      <c r="M158" s="36">
        <f>E158*IF(TABLEROS!$E$32="HABITACIÓN",DATOS!$C$91,DATOS!$C$94)/1000</f>
        <v>0.0404475</v>
      </c>
    </row>
    <row r="159">
      <c r="B159" s="41" t="inlineStr">
        <is>
          <t>DM-110</t>
        </is>
      </c>
      <c r="C159" s="41" t="inlineStr">
        <is>
          <t>F80024 N+6.00</t>
        </is>
      </c>
      <c r="D159" s="41" t="inlineStr">
        <is>
          <t>N+6.00</t>
        </is>
      </c>
      <c r="E159" s="54" t="n">
        <v>0.426</v>
      </c>
      <c r="F159" s="56">
        <f>TABLEROS!$Y$32</f>
        <v>941.275510204082</v>
      </c>
      <c r="G159" s="36">
        <f>E159*F159/1000</f>
        <v>0.400983367346939</v>
      </c>
      <c r="H159" s="56">
        <f>TABLEROS!$X$32</f>
        <v>708.673469387755</v>
      </c>
      <c r="I159" s="36">
        <f>E159*H159/1000</f>
        <v>0.301894897959184</v>
      </c>
      <c r="J159" s="41" t="inlineStr">
        <is>
          <t>DM</t>
        </is>
      </c>
      <c r="K159" s="37" t="inlineStr">
        <is>
          <t>sobre muro</t>
        </is>
      </c>
      <c r="L159" s="36">
        <f>E159*TABLEROS!$U$32/1000</f>
        <v>0.0426</v>
      </c>
      <c r="M159" s="36">
        <f>E159*IF(TABLEROS!$E$32="HABITACIÓN",DATOS!$C$91,DATOS!$C$94)/1000</f>
        <v>0.00639</v>
      </c>
    </row>
    <row r="160">
      <c r="B160" s="41" t="inlineStr">
        <is>
          <t>DM-89</t>
        </is>
      </c>
      <c r="C160" s="41" t="inlineStr">
        <is>
          <t>F80025 N+6.00</t>
        </is>
      </c>
      <c r="D160" s="41" t="inlineStr">
        <is>
          <t>N+6.00</t>
        </is>
      </c>
      <c r="E160" s="54" t="n">
        <v>0.08</v>
      </c>
      <c r="F160" s="56">
        <f>TABLEROS!$Y$33</f>
        <v>921.775510204082</v>
      </c>
      <c r="G160" s="36">
        <f>E160*F160/1000</f>
        <v>0.0737420408163265</v>
      </c>
      <c r="H160" s="56">
        <f>TABLEROS!$X$33</f>
        <v>693.673469387755</v>
      </c>
      <c r="I160" s="36">
        <f>E160*H160/1000</f>
        <v>0.0554938775510204</v>
      </c>
      <c r="J160" s="41" t="inlineStr">
        <is>
          <t>DM</t>
        </is>
      </c>
      <c r="K160" s="37" t="inlineStr">
        <is>
          <t>sobre muro</t>
        </is>
      </c>
      <c r="L160" s="36">
        <f>E160*TABLEROS!$U$33/1000</f>
        <v>0.008</v>
      </c>
      <c r="M160" s="36">
        <f>E160*IF(TABLEROS!$E$33="HABITACIÓN",DATOS!$C$91,DATOS!$C$94)/1000</f>
        <v>0.0012</v>
      </c>
    </row>
    <row r="161">
      <c r="B161" s="41" t="inlineStr">
        <is>
          <t>DM-90</t>
        </is>
      </c>
      <c r="C161" s="41" t="inlineStr">
        <is>
          <t>F80025 N+6.00</t>
        </is>
      </c>
      <c r="D161" s="41" t="inlineStr">
        <is>
          <t>N+6.00</t>
        </is>
      </c>
      <c r="E161" s="54" t="n">
        <v>1.7117</v>
      </c>
      <c r="F161" s="56">
        <f>TABLEROS!$Y$33</f>
        <v>921.775510204082</v>
      </c>
      <c r="G161" s="36">
        <f>E161*F161/1000</f>
        <v>1.57780314081633</v>
      </c>
      <c r="H161" s="56">
        <f>TABLEROS!$X$33</f>
        <v>693.673469387755</v>
      </c>
      <c r="I161" s="36">
        <f>E161*H161/1000</f>
        <v>1.18736087755102</v>
      </c>
      <c r="J161" s="41" t="inlineStr">
        <is>
          <t>DM</t>
        </is>
      </c>
      <c r="K161" s="37" t="inlineStr">
        <is>
          <t>sobre muro</t>
        </is>
      </c>
      <c r="L161" s="36">
        <f>E161*TABLEROS!$U$33/1000</f>
        <v>0.17117</v>
      </c>
      <c r="M161" s="36">
        <f>E161*IF(TABLEROS!$E$33="HABITACIÓN",DATOS!$C$91,DATOS!$C$94)/1000</f>
        <v>0.0256755</v>
      </c>
    </row>
    <row r="162">
      <c r="B162" s="41" t="inlineStr">
        <is>
          <t>DM-91</t>
        </is>
      </c>
      <c r="C162" s="41" t="inlineStr">
        <is>
          <t>F80025 N+6.00</t>
        </is>
      </c>
      <c r="D162" s="41" t="inlineStr">
        <is>
          <t>N+6.00</t>
        </is>
      </c>
      <c r="E162" s="54" t="n">
        <v>1.1461</v>
      </c>
      <c r="F162" s="56">
        <f>TABLEROS!$Y$33</f>
        <v>921.775510204082</v>
      </c>
      <c r="G162" s="36">
        <f>E162*F162/1000</f>
        <v>1.0564469122449</v>
      </c>
      <c r="H162" s="56">
        <f>TABLEROS!$X$33</f>
        <v>693.673469387755</v>
      </c>
      <c r="I162" s="36">
        <f>E162*H162/1000</f>
        <v>0.795019163265306</v>
      </c>
      <c r="J162" s="41" t="inlineStr">
        <is>
          <t>DM</t>
        </is>
      </c>
      <c r="K162" s="37" t="inlineStr">
        <is>
          <t>sobre muro</t>
        </is>
      </c>
      <c r="L162" s="36">
        <f>E162*TABLEROS!$U$33/1000</f>
        <v>0.11461</v>
      </c>
      <c r="M162" s="36">
        <f>E162*IF(TABLEROS!$E$33="HABITACIÓN",DATOS!$C$91,DATOS!$C$94)/1000</f>
        <v>0.0171915</v>
      </c>
    </row>
    <row r="163">
      <c r="B163" s="41" t="inlineStr">
        <is>
          <t>DM-127</t>
        </is>
      </c>
      <c r="C163" s="41" t="inlineStr">
        <is>
          <t>F80025 N+6.00</t>
        </is>
      </c>
      <c r="D163" s="41" t="inlineStr">
        <is>
          <t>N+6.00</t>
        </is>
      </c>
      <c r="E163" s="54" t="n">
        <v>0.5512</v>
      </c>
      <c r="F163" s="56">
        <f>TABLEROS!$Y$33</f>
        <v>921.775510204082</v>
      </c>
      <c r="G163" s="36">
        <f>E163*F163/1000</f>
        <v>0.50808266122449</v>
      </c>
      <c r="H163" s="56">
        <f>TABLEROS!$X$33</f>
        <v>693.673469387755</v>
      </c>
      <c r="I163" s="36">
        <f>E163*H163/1000</f>
        <v>0.382352816326531</v>
      </c>
      <c r="J163" s="41" t="inlineStr">
        <is>
          <t>DM</t>
        </is>
      </c>
      <c r="K163" s="37" t="inlineStr">
        <is>
          <t>sobre muro</t>
        </is>
      </c>
      <c r="L163" s="36">
        <f>E163*TABLEROS!$U$33/1000</f>
        <v>0.05512</v>
      </c>
      <c r="M163" s="36">
        <f>E163*IF(TABLEROS!$E$33="HABITACIÓN",DATOS!$C$91,DATOS!$C$94)/1000</f>
        <v>0.008268</v>
      </c>
    </row>
    <row r="164">
      <c r="B164" s="41" t="inlineStr">
        <is>
          <t>DM-128</t>
        </is>
      </c>
      <c r="C164" s="41" t="inlineStr">
        <is>
          <t>F80025 N+6.00</t>
        </is>
      </c>
      <c r="D164" s="41" t="inlineStr">
        <is>
          <t>N+6.00</t>
        </is>
      </c>
      <c r="E164" s="54" t="n">
        <v>6.1424</v>
      </c>
      <c r="F164" s="56">
        <f>TABLEROS!$Y$33</f>
        <v>921.775510204082</v>
      </c>
      <c r="G164" s="36">
        <f>E164*F164/1000</f>
        <v>5.66191389387755</v>
      </c>
      <c r="H164" s="56">
        <f>TABLEROS!$X$33</f>
        <v>693.673469387755</v>
      </c>
      <c r="I164" s="36">
        <f>E164*H164/1000</f>
        <v>4.26081991836735</v>
      </c>
      <c r="J164" s="41" t="inlineStr">
        <is>
          <t>DM</t>
        </is>
      </c>
      <c r="K164" s="37" t="inlineStr">
        <is>
          <t>sobre muro</t>
        </is>
      </c>
      <c r="L164" s="36">
        <f>E164*TABLEROS!$U$33/1000</f>
        <v>0.61424</v>
      </c>
      <c r="M164" s="36">
        <f>E164*IF(TABLEROS!$E$33="HABITACIÓN",DATOS!$C$91,DATOS!$C$94)/1000</f>
        <v>0.092136</v>
      </c>
    </row>
    <row r="165">
      <c r="B165" s="41" t="inlineStr">
        <is>
          <t>DM-129</t>
        </is>
      </c>
      <c r="C165" s="41" t="inlineStr">
        <is>
          <t>F80025 N+6.00</t>
        </is>
      </c>
      <c r="D165" s="41" t="inlineStr">
        <is>
          <t>N+6.00</t>
        </is>
      </c>
      <c r="E165" s="54" t="n">
        <v>0.4743</v>
      </c>
      <c r="F165" s="56">
        <f>TABLEROS!$Y$33</f>
        <v>921.775510204082</v>
      </c>
      <c r="G165" s="36">
        <f>E165*F165/1000</f>
        <v>0.437198124489796</v>
      </c>
      <c r="H165" s="56">
        <f>TABLEROS!$X$33</f>
        <v>693.673469387755</v>
      </c>
      <c r="I165" s="36">
        <f>E165*H165/1000</f>
        <v>0.329009326530612</v>
      </c>
      <c r="J165" s="41" t="inlineStr">
        <is>
          <t>DM</t>
        </is>
      </c>
      <c r="K165" s="37" t="inlineStr">
        <is>
          <t>sobre muro</t>
        </is>
      </c>
      <c r="L165" s="36">
        <f>E165*TABLEROS!$U$33/1000</f>
        <v>0.04743</v>
      </c>
      <c r="M165" s="36">
        <f>E165*IF(TABLEROS!$E$33="HABITACIÓN",DATOS!$C$91,DATOS!$C$94)/1000</f>
        <v>0.0071145</v>
      </c>
    </row>
    <row r="166">
      <c r="B166" s="41" t="inlineStr">
        <is>
          <t>DM-78</t>
        </is>
      </c>
      <c r="C166" s="41" t="inlineStr">
        <is>
          <t>F80025 N+6.00</t>
        </is>
      </c>
      <c r="D166" s="41" t="inlineStr">
        <is>
          <t>N+6.00</t>
        </is>
      </c>
      <c r="E166" s="54" t="n">
        <v>0.3681</v>
      </c>
      <c r="F166" s="56">
        <f>TABLEROS!$Y$33</f>
        <v>921.775510204082</v>
      </c>
      <c r="G166" s="36">
        <f>E166*F166/1000</f>
        <v>0.339305565306122</v>
      </c>
      <c r="H166" s="56">
        <f>TABLEROS!$X$33</f>
        <v>693.673469387755</v>
      </c>
      <c r="I166" s="36">
        <f>E166*H166/1000</f>
        <v>0.255341204081633</v>
      </c>
      <c r="J166" s="41" t="inlineStr">
        <is>
          <t>DM</t>
        </is>
      </c>
      <c r="K166" s="37" t="inlineStr">
        <is>
          <t>sobre muro</t>
        </is>
      </c>
      <c r="L166" s="36">
        <f>E166*TABLEROS!$U$33/1000</f>
        <v>0.03681</v>
      </c>
      <c r="M166" s="36">
        <f>E166*IF(TABLEROS!$E$33="HABITACIÓN",DATOS!$C$91,DATOS!$C$94)/1000</f>
        <v>0.0055215</v>
      </c>
    </row>
    <row r="167">
      <c r="B167" s="41" t="inlineStr">
        <is>
          <t>DM-79</t>
        </is>
      </c>
      <c r="C167" s="41" t="inlineStr">
        <is>
          <t>F80025 N+6.00</t>
        </is>
      </c>
      <c r="D167" s="41" t="inlineStr">
        <is>
          <t>N+6.00</t>
        </is>
      </c>
      <c r="E167" s="54" t="n">
        <v>2.0697</v>
      </c>
      <c r="F167" s="56">
        <f>TABLEROS!$Y$33</f>
        <v>921.775510204082</v>
      </c>
      <c r="G167" s="36">
        <f>E167*F167/1000</f>
        <v>1.90779877346939</v>
      </c>
      <c r="H167" s="56">
        <f>TABLEROS!$X$33</f>
        <v>693.673469387755</v>
      </c>
      <c r="I167" s="36">
        <f>E167*H167/1000</f>
        <v>1.43569597959184</v>
      </c>
      <c r="J167" s="41" t="inlineStr">
        <is>
          <t>DM</t>
        </is>
      </c>
      <c r="K167" s="37" t="inlineStr">
        <is>
          <t>sobre muro</t>
        </is>
      </c>
      <c r="L167" s="36">
        <f>E167*TABLEROS!$U$33/1000</f>
        <v>0.20697</v>
      </c>
      <c r="M167" s="36">
        <f>E167*IF(TABLEROS!$E$33="HABITACIÓN",DATOS!$C$91,DATOS!$C$94)/1000</f>
        <v>0.0310455</v>
      </c>
    </row>
    <row r="168">
      <c r="B168" s="41" t="inlineStr">
        <is>
          <t>DM-80</t>
        </is>
      </c>
      <c r="C168" s="41" t="inlineStr">
        <is>
          <t>F80025 N+6.00</t>
        </is>
      </c>
      <c r="D168" s="41" t="inlineStr">
        <is>
          <t>N+6.00</t>
        </is>
      </c>
      <c r="E168" s="54" t="n">
        <v>0.2508</v>
      </c>
      <c r="F168" s="56">
        <f>TABLEROS!$Y$33</f>
        <v>921.775510204082</v>
      </c>
      <c r="G168" s="36">
        <f>E168*F168/1000</f>
        <v>0.231181297959184</v>
      </c>
      <c r="H168" s="56">
        <f>TABLEROS!$X$33</f>
        <v>693.673469387755</v>
      </c>
      <c r="I168" s="36">
        <f>E168*H168/1000</f>
        <v>0.173973306122449</v>
      </c>
      <c r="J168" s="41" t="inlineStr">
        <is>
          <t>DM</t>
        </is>
      </c>
      <c r="K168" s="37" t="inlineStr">
        <is>
          <t>sobre muro</t>
        </is>
      </c>
      <c r="L168" s="36">
        <f>E168*TABLEROS!$U$33/1000</f>
        <v>0.02508</v>
      </c>
      <c r="M168" s="36">
        <f>E168*IF(TABLEROS!$E$33="HABITACIÓN",DATOS!$C$91,DATOS!$C$94)/1000</f>
        <v>0.003762</v>
      </c>
    </row>
    <row r="169">
      <c r="B169" s="41" t="inlineStr">
        <is>
          <t>DM-81</t>
        </is>
      </c>
      <c r="C169" s="41" t="inlineStr">
        <is>
          <t>F80025 N+6.00</t>
        </is>
      </c>
      <c r="D169" s="41" t="inlineStr">
        <is>
          <t>N+6.00</t>
        </is>
      </c>
      <c r="E169" s="54" t="n">
        <v>0.2492</v>
      </c>
      <c r="F169" s="56">
        <f>TABLEROS!$Y$33</f>
        <v>921.775510204082</v>
      </c>
      <c r="G169" s="36">
        <f>E169*F169/1000</f>
        <v>0.229706457142857</v>
      </c>
      <c r="H169" s="56">
        <f>TABLEROS!$X$33</f>
        <v>693.673469387755</v>
      </c>
      <c r="I169" s="36">
        <f>E169*H169/1000</f>
        <v>0.172863428571429</v>
      </c>
      <c r="J169" s="41" t="inlineStr">
        <is>
          <t>DM</t>
        </is>
      </c>
      <c r="K169" s="37" t="inlineStr">
        <is>
          <t>sobre muro</t>
        </is>
      </c>
      <c r="L169" s="36">
        <f>E169*TABLEROS!$U$33/1000</f>
        <v>0.02492</v>
      </c>
      <c r="M169" s="36">
        <f>E169*IF(TABLEROS!$E$33="HABITACIÓN",DATOS!$C$91,DATOS!$C$94)/1000</f>
        <v>0.003738</v>
      </c>
    </row>
    <row r="170">
      <c r="B170" s="41" t="inlineStr">
        <is>
          <t>DM-136</t>
        </is>
      </c>
      <c r="C170" s="41" t="inlineStr">
        <is>
          <t>F80025 N+6.00</t>
        </is>
      </c>
      <c r="D170" s="41" t="inlineStr">
        <is>
          <t>N+6.00</t>
        </is>
      </c>
      <c r="E170" s="54" t="n">
        <v>2.2162</v>
      </c>
      <c r="F170" s="56">
        <f>TABLEROS!$Y$33</f>
        <v>921.775510204082</v>
      </c>
      <c r="G170" s="36">
        <f>E170*F170/1000</f>
        <v>2.04283888571429</v>
      </c>
      <c r="H170" s="56">
        <f>TABLEROS!$X$33</f>
        <v>693.673469387755</v>
      </c>
      <c r="I170" s="36">
        <f>E170*H170/1000</f>
        <v>1.53731914285714</v>
      </c>
      <c r="J170" s="41" t="inlineStr">
        <is>
          <t>DM</t>
        </is>
      </c>
      <c r="K170" s="37" t="inlineStr">
        <is>
          <t>sobre muro</t>
        </is>
      </c>
      <c r="L170" s="36">
        <f>E170*TABLEROS!$U$33/1000</f>
        <v>0.22162</v>
      </c>
      <c r="M170" s="36">
        <f>E170*IF(TABLEROS!$E$33="HABITACIÓN",DATOS!$C$91,DATOS!$C$94)/1000</f>
        <v>0.033243</v>
      </c>
    </row>
    <row r="171">
      <c r="B171" s="41" t="inlineStr">
        <is>
          <t>DM-137</t>
        </is>
      </c>
      <c r="C171" s="41" t="inlineStr">
        <is>
          <t>F80025 N+6.00</t>
        </is>
      </c>
      <c r="D171" s="41" t="inlineStr">
        <is>
          <t>N+6.00</t>
        </is>
      </c>
      <c r="E171" s="54" t="n">
        <v>2.8778</v>
      </c>
      <c r="F171" s="56">
        <f>TABLEROS!$Y$33</f>
        <v>921.775510204082</v>
      </c>
      <c r="G171" s="36">
        <f>E171*F171/1000</f>
        <v>2.65268556326531</v>
      </c>
      <c r="H171" s="56">
        <f>TABLEROS!$X$33</f>
        <v>693.673469387755</v>
      </c>
      <c r="I171" s="36">
        <f>E171*H171/1000</f>
        <v>1.99625351020408</v>
      </c>
      <c r="J171" s="41" t="inlineStr">
        <is>
          <t>DM</t>
        </is>
      </c>
      <c r="K171" s="37" t="inlineStr">
        <is>
          <t>sobre muro</t>
        </is>
      </c>
      <c r="L171" s="36">
        <f>E171*TABLEROS!$U$33/1000</f>
        <v>0.28778</v>
      </c>
      <c r="M171" s="36">
        <f>E171*IF(TABLEROS!$E$33="HABITACIÓN",DATOS!$C$91,DATOS!$C$94)/1000</f>
        <v>0.043167</v>
      </c>
    </row>
    <row r="172">
      <c r="B172" s="41" t="inlineStr">
        <is>
          <t>DM-138</t>
        </is>
      </c>
      <c r="C172" s="41" t="inlineStr">
        <is>
          <t>F80025 N+6.00</t>
        </is>
      </c>
      <c r="D172" s="41" t="inlineStr">
        <is>
          <t>N+6.00</t>
        </is>
      </c>
      <c r="E172" s="54" t="n">
        <v>0.7955</v>
      </c>
      <c r="F172" s="56">
        <f>TABLEROS!$Y$33</f>
        <v>921.775510204082</v>
      </c>
      <c r="G172" s="36">
        <f>E172*F172/1000</f>
        <v>0.733272418367347</v>
      </c>
      <c r="H172" s="56">
        <f>TABLEROS!$X$33</f>
        <v>693.673469387755</v>
      </c>
      <c r="I172" s="36">
        <f>E172*H172/1000</f>
        <v>0.551817244897959</v>
      </c>
      <c r="J172" s="41" t="inlineStr">
        <is>
          <t>DM</t>
        </is>
      </c>
      <c r="K172" s="37" t="inlineStr">
        <is>
          <t>sobre muro</t>
        </is>
      </c>
      <c r="L172" s="36">
        <f>E172*TABLEROS!$U$33/1000</f>
        <v>0.07955</v>
      </c>
      <c r="M172" s="36">
        <f>E172*IF(TABLEROS!$E$33="HABITACIÓN",DATOS!$C$91,DATOS!$C$94)/1000</f>
        <v>0.0119325</v>
      </c>
    </row>
    <row r="173">
      <c r="B173" s="41" t="inlineStr">
        <is>
          <t>DM-139</t>
        </is>
      </c>
      <c r="C173" s="41" t="inlineStr">
        <is>
          <t>F80025 N+6.00</t>
        </is>
      </c>
      <c r="D173" s="41" t="inlineStr">
        <is>
          <t>N+6.00</t>
        </is>
      </c>
      <c r="E173" s="54" t="n">
        <v>1.1988</v>
      </c>
      <c r="F173" s="56">
        <f>TABLEROS!$Y$33</f>
        <v>921.775510204082</v>
      </c>
      <c r="G173" s="36">
        <f>E173*F173/1000</f>
        <v>1.10502448163265</v>
      </c>
      <c r="H173" s="56">
        <f>TABLEROS!$X$33</f>
        <v>693.673469387755</v>
      </c>
      <c r="I173" s="36">
        <f>E173*H173/1000</f>
        <v>0.831575755102041</v>
      </c>
      <c r="J173" s="41" t="inlineStr">
        <is>
          <t>DM</t>
        </is>
      </c>
      <c r="K173" s="37" t="inlineStr">
        <is>
          <t>sobre muro</t>
        </is>
      </c>
      <c r="L173" s="36">
        <f>E173*TABLEROS!$U$33/1000</f>
        <v>0.11988</v>
      </c>
      <c r="M173" s="36">
        <f>E173*IF(TABLEROS!$E$33="HABITACIÓN",DATOS!$C$91,DATOS!$C$94)/1000</f>
        <v>0.017982</v>
      </c>
    </row>
    <row r="174">
      <c r="B174" s="41" t="inlineStr">
        <is>
          <t>DM-140</t>
        </is>
      </c>
      <c r="C174" s="41" t="inlineStr">
        <is>
          <t>F80025 N+6.00</t>
        </is>
      </c>
      <c r="D174" s="41" t="inlineStr">
        <is>
          <t>N+6.00</t>
        </is>
      </c>
      <c r="E174" s="54" t="n">
        <v>0.0796</v>
      </c>
      <c r="F174" s="56">
        <f>TABLEROS!$Y$33</f>
        <v>921.775510204082</v>
      </c>
      <c r="G174" s="36">
        <f>E174*F174/1000</f>
        <v>0.0733733306122449</v>
      </c>
      <c r="H174" s="56">
        <f>TABLEROS!$X$33</f>
        <v>693.673469387755</v>
      </c>
      <c r="I174" s="36">
        <f>E174*H174/1000</f>
        <v>0.0552164081632653</v>
      </c>
      <c r="J174" s="41" t="inlineStr">
        <is>
          <t>DM</t>
        </is>
      </c>
      <c r="K174" s="37" t="inlineStr">
        <is>
          <t>sobre muro</t>
        </is>
      </c>
      <c r="L174" s="36">
        <f>E174*TABLEROS!$U$33/1000</f>
        <v>0.00796</v>
      </c>
      <c r="M174" s="36">
        <f>E174*IF(TABLEROS!$E$33="HABITACIÓN",DATOS!$C$91,DATOS!$C$94)/1000</f>
        <v>0.001194</v>
      </c>
    </row>
    <row r="175">
      <c r="B175" s="41" t="inlineStr">
        <is>
          <t>DM-90</t>
        </is>
      </c>
      <c r="C175" s="41" t="inlineStr">
        <is>
          <t>F80026 N+6.00</t>
        </is>
      </c>
      <c r="D175" s="41" t="inlineStr">
        <is>
          <t>N+6.00</t>
        </is>
      </c>
      <c r="E175" s="54" t="n">
        <v>0.5537</v>
      </c>
      <c r="F175" s="56">
        <f>TABLEROS!$Y$34</f>
        <v>915.275510204082</v>
      </c>
      <c r="G175" s="36">
        <f>E175*F175/1000</f>
        <v>0.50678805</v>
      </c>
      <c r="H175" s="56">
        <f>TABLEROS!$X$34</f>
        <v>688.673469387755</v>
      </c>
      <c r="I175" s="36">
        <f>E175*H175/1000</f>
        <v>0.3813185</v>
      </c>
      <c r="J175" s="41" t="inlineStr">
        <is>
          <t>DM</t>
        </is>
      </c>
      <c r="K175" s="37" t="inlineStr">
        <is>
          <t>sobre muro</t>
        </is>
      </c>
      <c r="L175" s="36">
        <f>E175*TABLEROS!$U$34/1000</f>
        <v>0.05537</v>
      </c>
      <c r="M175" s="36">
        <f>E175*IF(TABLEROS!$E$34="HABITACIÓN",DATOS!$C$91,DATOS!$C$94)/1000</f>
        <v>0.0083055</v>
      </c>
    </row>
    <row r="176">
      <c r="B176" s="41" t="inlineStr">
        <is>
          <t>DM-91</t>
        </is>
      </c>
      <c r="C176" s="41" t="inlineStr">
        <is>
          <t>F80026 N+6.00</t>
        </is>
      </c>
      <c r="D176" s="41" t="inlineStr">
        <is>
          <t>N+6.00</t>
        </is>
      </c>
      <c r="E176" s="54" t="n">
        <v>0.5537</v>
      </c>
      <c r="F176" s="56">
        <f>TABLEROS!$Y$34</f>
        <v>915.275510204082</v>
      </c>
      <c r="G176" s="36">
        <f>E176*F176/1000</f>
        <v>0.50678805</v>
      </c>
      <c r="H176" s="56">
        <f>TABLEROS!$X$34</f>
        <v>688.673469387755</v>
      </c>
      <c r="I176" s="36">
        <f>E176*H176/1000</f>
        <v>0.3813185</v>
      </c>
      <c r="J176" s="41" t="inlineStr">
        <is>
          <t>DM</t>
        </is>
      </c>
      <c r="K176" s="37" t="inlineStr">
        <is>
          <t>sobre muro</t>
        </is>
      </c>
      <c r="L176" s="36">
        <f>E176*TABLEROS!$U$34/1000</f>
        <v>0.05537</v>
      </c>
      <c r="M176" s="36">
        <f>E176*IF(TABLEROS!$E$34="HABITACIÓN",DATOS!$C$91,DATOS!$C$94)/1000</f>
        <v>0.0083055</v>
      </c>
    </row>
    <row r="177">
      <c r="B177" s="41" t="inlineStr">
        <is>
          <t>DM-141</t>
        </is>
      </c>
      <c r="C177" s="41" t="inlineStr">
        <is>
          <t>F80026 N+6.00</t>
        </is>
      </c>
      <c r="D177" s="41" t="inlineStr">
        <is>
          <t>N+6.00</t>
        </is>
      </c>
      <c r="E177" s="54" t="n">
        <v>0.1811</v>
      </c>
      <c r="F177" s="56">
        <f>TABLEROS!$Y$34</f>
        <v>915.275510204082</v>
      </c>
      <c r="G177" s="36">
        <f>E177*F177/1000</f>
        <v>0.165756394897959</v>
      </c>
      <c r="H177" s="56">
        <f>TABLEROS!$X$34</f>
        <v>688.673469387755</v>
      </c>
      <c r="I177" s="36">
        <f>E177*H177/1000</f>
        <v>0.124718765306122</v>
      </c>
      <c r="J177" s="41" t="inlineStr">
        <is>
          <t>DM</t>
        </is>
      </c>
      <c r="K177" s="37" t="inlineStr">
        <is>
          <t>sobre muro</t>
        </is>
      </c>
      <c r="L177" s="36">
        <f>E177*TABLEROS!$U$34/1000</f>
        <v>0.01811</v>
      </c>
      <c r="M177" s="36">
        <f>E177*IF(TABLEROS!$E$34="HABITACIÓN",DATOS!$C$91,DATOS!$C$94)/1000</f>
        <v>0.0027165</v>
      </c>
    </row>
    <row r="178">
      <c r="B178" s="41" t="inlineStr">
        <is>
          <t>NP-31</t>
        </is>
      </c>
      <c r="C178" s="41" t="inlineStr">
        <is>
          <t>F80026 N+6.00</t>
        </is>
      </c>
      <c r="D178" s="41" t="inlineStr">
        <is>
          <t>N+6.00</t>
        </is>
      </c>
      <c r="E178" s="54" t="n">
        <v>1.1074</v>
      </c>
      <c r="F178" s="56">
        <f>TABLEROS!$Y$34</f>
        <v>915.275510204082</v>
      </c>
      <c r="G178" s="36">
        <f>E178*F178/1000</f>
        <v>1.0135761</v>
      </c>
      <c r="H178" s="56">
        <f>TABLEROS!$X$34</f>
        <v>688.673469387755</v>
      </c>
      <c r="I178" s="36">
        <f>E178*H178/1000</f>
        <v>0.762637</v>
      </c>
      <c r="J178" s="41" t="inlineStr">
        <is>
          <t>NP</t>
        </is>
      </c>
      <c r="K178" s="37" t="str">
        <f>PRINCIPALES!$BZ$39</f>
        <v>CUMPLE</v>
      </c>
      <c r="L178" s="36">
        <f>E178*TABLEROS!$U$34/1000</f>
        <v>0.11074</v>
      </c>
      <c r="M178" s="36">
        <f>E178*IF(TABLEROS!$E$34="HABITACIÓN",DATOS!$C$91,DATOS!$C$94)/1000</f>
        <v>0.016611</v>
      </c>
    </row>
    <row r="179">
      <c r="B179" s="41" t="inlineStr">
        <is>
          <t>DM-130</t>
        </is>
      </c>
      <c r="C179" s="41" t="inlineStr">
        <is>
          <t>F80026 N+6.00</t>
        </is>
      </c>
      <c r="D179" s="41" t="inlineStr">
        <is>
          <t>N+6.00</t>
        </is>
      </c>
      <c r="E179" s="54" t="n">
        <v>0.1811</v>
      </c>
      <c r="F179" s="56">
        <f>TABLEROS!$Y$34</f>
        <v>915.275510204082</v>
      </c>
      <c r="G179" s="36">
        <f>E179*F179/1000</f>
        <v>0.165756394897959</v>
      </c>
      <c r="H179" s="56">
        <f>TABLEROS!$X$34</f>
        <v>688.673469387755</v>
      </c>
      <c r="I179" s="36">
        <f>E179*H179/1000</f>
        <v>0.124718765306122</v>
      </c>
      <c r="J179" s="41" t="inlineStr">
        <is>
          <t>DM</t>
        </is>
      </c>
      <c r="K179" s="37" t="inlineStr">
        <is>
          <t>sobre muro</t>
        </is>
      </c>
      <c r="L179" s="36">
        <f>E179*TABLEROS!$U$34/1000</f>
        <v>0.01811</v>
      </c>
      <c r="M179" s="36">
        <f>E179*IF(TABLEROS!$E$34="HABITACIÓN",DATOS!$C$91,DATOS!$C$94)/1000</f>
        <v>0.0027165</v>
      </c>
    </row>
    <row r="180">
      <c r="B180" s="41" t="inlineStr">
        <is>
          <t>NP-32</t>
        </is>
      </c>
      <c r="C180" s="41" t="inlineStr">
        <is>
          <t>F80027 N+6.00</t>
        </is>
      </c>
      <c r="D180" s="41" t="inlineStr">
        <is>
          <t>N+6.00</t>
        </is>
      </c>
      <c r="E180" s="54" t="n">
        <v>1.412</v>
      </c>
      <c r="F180" s="56">
        <f>TABLEROS!$Y$35</f>
        <v>915.275510204082</v>
      </c>
      <c r="G180" s="36">
        <f>E180*F180/1000</f>
        <v>1.29236902040816</v>
      </c>
      <c r="H180" s="56">
        <f>TABLEROS!$X$35</f>
        <v>688.673469387755</v>
      </c>
      <c r="I180" s="36">
        <f>E180*H180/1000</f>
        <v>0.97240693877551</v>
      </c>
      <c r="J180" s="41" t="inlineStr">
        <is>
          <t>NP</t>
        </is>
      </c>
      <c r="K180" s="37" t="str">
        <f>PRINCIPALES!$BZ$40</f>
        <v>CUMPLE</v>
      </c>
      <c r="L180" s="36">
        <f>E180*TABLEROS!$U$35/1000</f>
        <v>0.1412</v>
      </c>
      <c r="M180" s="36">
        <f>E180*IF(TABLEROS!$E$35="HABITACIÓN",DATOS!$C$91,DATOS!$C$94)/1000</f>
        <v>0.02118</v>
      </c>
    </row>
    <row r="181">
      <c r="B181" s="41" t="inlineStr">
        <is>
          <t>DM-114</t>
        </is>
      </c>
      <c r="C181" s="41" t="inlineStr">
        <is>
          <t>F80027 N+6.00</t>
        </is>
      </c>
      <c r="D181" s="41" t="inlineStr">
        <is>
          <t>N+6.00</t>
        </is>
      </c>
      <c r="E181" s="54" t="n">
        <v>0.3312</v>
      </c>
      <c r="F181" s="56">
        <f>TABLEROS!$Y$35</f>
        <v>915.275510204082</v>
      </c>
      <c r="G181" s="36">
        <f>E181*F181/1000</f>
        <v>0.303139248979592</v>
      </c>
      <c r="H181" s="56">
        <f>TABLEROS!$X$35</f>
        <v>688.673469387755</v>
      </c>
      <c r="I181" s="36">
        <f>E181*H181/1000</f>
        <v>0.228088653061224</v>
      </c>
      <c r="J181" s="41" t="inlineStr">
        <is>
          <t>DM</t>
        </is>
      </c>
      <c r="K181" s="37" t="inlineStr">
        <is>
          <t>sobre muro</t>
        </is>
      </c>
      <c r="L181" s="36">
        <f>E181*TABLEROS!$U$35/1000</f>
        <v>0.03312</v>
      </c>
      <c r="M181" s="36">
        <f>E181*IF(TABLEROS!$E$35="HABITACIÓN",DATOS!$C$91,DATOS!$C$94)/1000</f>
        <v>0.004968</v>
      </c>
    </row>
    <row r="182">
      <c r="B182" s="41" t="inlineStr">
        <is>
          <t>DM-86</t>
        </is>
      </c>
      <c r="C182" s="41" t="inlineStr">
        <is>
          <t>F80027 N+6.00</t>
        </is>
      </c>
      <c r="D182" s="41" t="inlineStr">
        <is>
          <t>N+6.00</t>
        </is>
      </c>
      <c r="E182" s="54" t="n">
        <v>0.7057</v>
      </c>
      <c r="F182" s="56">
        <f>TABLEROS!$Y$35</f>
        <v>915.275510204082</v>
      </c>
      <c r="G182" s="36">
        <f>E182*F182/1000</f>
        <v>0.64590992755102</v>
      </c>
      <c r="H182" s="56">
        <f>TABLEROS!$X$35</f>
        <v>688.673469387755</v>
      </c>
      <c r="I182" s="36">
        <f>E182*H182/1000</f>
        <v>0.485996867346939</v>
      </c>
      <c r="J182" s="41" t="inlineStr">
        <is>
          <t>DM</t>
        </is>
      </c>
      <c r="K182" s="37" t="inlineStr">
        <is>
          <t>sobre muro</t>
        </is>
      </c>
      <c r="L182" s="36">
        <f>E182*TABLEROS!$U$35/1000</f>
        <v>0.07057</v>
      </c>
      <c r="M182" s="36">
        <f>E182*IF(TABLEROS!$E$35="HABITACIÓN",DATOS!$C$91,DATOS!$C$94)/1000</f>
        <v>0.0105855</v>
      </c>
    </row>
    <row r="183">
      <c r="B183" s="41" t="inlineStr">
        <is>
          <t>DM-87</t>
        </is>
      </c>
      <c r="C183" s="41" t="inlineStr">
        <is>
          <t>F80027 N+6.00</t>
        </is>
      </c>
      <c r="D183" s="41" t="inlineStr">
        <is>
          <t>N+6.00</t>
        </is>
      </c>
      <c r="E183" s="54" t="n">
        <v>0.7063</v>
      </c>
      <c r="F183" s="56">
        <f>TABLEROS!$Y$35</f>
        <v>915.275510204082</v>
      </c>
      <c r="G183" s="36">
        <f>E183*F183/1000</f>
        <v>0.646459092857143</v>
      </c>
      <c r="H183" s="56">
        <f>TABLEROS!$X$35</f>
        <v>688.673469387755</v>
      </c>
      <c r="I183" s="36">
        <f>E183*H183/1000</f>
        <v>0.486410071428571</v>
      </c>
      <c r="J183" s="41" t="inlineStr">
        <is>
          <t>DM</t>
        </is>
      </c>
      <c r="K183" s="37" t="inlineStr">
        <is>
          <t>sobre muro</t>
        </is>
      </c>
      <c r="L183" s="36">
        <f>E183*TABLEROS!$U$35/1000</f>
        <v>0.07063</v>
      </c>
      <c r="M183" s="36">
        <f>E183*IF(TABLEROS!$E$35="HABITACIÓN",DATOS!$C$91,DATOS!$C$94)/1000</f>
        <v>0.0105945</v>
      </c>
    </row>
    <row r="184">
      <c r="B184" s="41" t="inlineStr">
        <is>
          <t>DM-117</t>
        </is>
      </c>
      <c r="C184" s="41" t="inlineStr">
        <is>
          <t>F80027 N+6.00</t>
        </is>
      </c>
      <c r="D184" s="41" t="inlineStr">
        <is>
          <t>N+6.00</t>
        </is>
      </c>
      <c r="E184" s="54" t="n">
        <v>0.3312</v>
      </c>
      <c r="F184" s="56">
        <f>TABLEROS!$Y$35</f>
        <v>915.275510204082</v>
      </c>
      <c r="G184" s="36">
        <f>E184*F184/1000</f>
        <v>0.303139248979592</v>
      </c>
      <c r="H184" s="56">
        <f>TABLEROS!$X$35</f>
        <v>688.673469387755</v>
      </c>
      <c r="I184" s="36">
        <f>E184*H184/1000</f>
        <v>0.228088653061224</v>
      </c>
      <c r="J184" s="41" t="inlineStr">
        <is>
          <t>DM</t>
        </is>
      </c>
      <c r="K184" s="37" t="inlineStr">
        <is>
          <t>sobre muro</t>
        </is>
      </c>
      <c r="L184" s="36">
        <f>E184*TABLEROS!$U$35/1000</f>
        <v>0.03312</v>
      </c>
      <c r="M184" s="36">
        <f>E184*IF(TABLEROS!$E$35="HABITACIÓN",DATOS!$C$91,DATOS!$C$94)/1000</f>
        <v>0.004968</v>
      </c>
    </row>
    <row r="185">
      <c r="B185" s="41" t="inlineStr">
        <is>
          <t>NP-31</t>
        </is>
      </c>
      <c r="C185" s="41" t="inlineStr">
        <is>
          <t>F80028 N+6.00</t>
        </is>
      </c>
      <c r="D185" s="41" t="inlineStr">
        <is>
          <t>N+6.00</t>
        </is>
      </c>
      <c r="E185" s="54" t="n">
        <v>0.2266</v>
      </c>
      <c r="F185" s="56">
        <f>TABLEROS!$Y$36</f>
        <v>915.275510204082</v>
      </c>
      <c r="G185" s="36">
        <f>E185*F185/1000</f>
        <v>0.207401430612245</v>
      </c>
      <c r="H185" s="56">
        <f>TABLEROS!$X$36</f>
        <v>688.673469387755</v>
      </c>
      <c r="I185" s="36">
        <f>E185*H185/1000</f>
        <v>0.156053408163265</v>
      </c>
      <c r="J185" s="41" t="inlineStr">
        <is>
          <t>NP</t>
        </is>
      </c>
      <c r="K185" s="37" t="str">
        <f>PRINCIPALES!$BZ$39</f>
        <v>CUMPLE</v>
      </c>
      <c r="L185" s="36">
        <f>E185*TABLEROS!$U$36/1000</f>
        <v>0.02266</v>
      </c>
      <c r="M185" s="36">
        <f>E185*IF(TABLEROS!$E$36="HABITACIÓN",DATOS!$C$91,DATOS!$C$94)/1000</f>
        <v>0.003399</v>
      </c>
    </row>
    <row r="186">
      <c r="B186" s="41" t="inlineStr">
        <is>
          <t>DM-141</t>
        </is>
      </c>
      <c r="C186" s="41" t="inlineStr">
        <is>
          <t>F80028 N+6.00</t>
        </is>
      </c>
      <c r="D186" s="41" t="inlineStr">
        <is>
          <t>N+6.00</t>
        </is>
      </c>
      <c r="E186" s="54" t="n">
        <v>0.0503</v>
      </c>
      <c r="F186" s="56">
        <f>TABLEROS!$Y$36</f>
        <v>915.275510204082</v>
      </c>
      <c r="G186" s="36">
        <f>E186*F186/1000</f>
        <v>0.0460383581632653</v>
      </c>
      <c r="H186" s="56">
        <f>TABLEROS!$X$36</f>
        <v>688.673469387755</v>
      </c>
      <c r="I186" s="36">
        <f>E186*H186/1000</f>
        <v>0.0346402755102041</v>
      </c>
      <c r="J186" s="41" t="inlineStr">
        <is>
          <t>DM</t>
        </is>
      </c>
      <c r="K186" s="37" t="inlineStr">
        <is>
          <t>sobre muro</t>
        </is>
      </c>
      <c r="L186" s="36">
        <f>E186*TABLEROS!$U$36/1000</f>
        <v>0.00503</v>
      </c>
      <c r="M186" s="36">
        <f>E186*IF(TABLEROS!$E$36="HABITACIÓN",DATOS!$C$91,DATOS!$C$94)/1000</f>
        <v>0.0007545</v>
      </c>
    </row>
    <row r="187">
      <c r="B187" s="41" t="inlineStr">
        <is>
          <t>DM-98</t>
        </is>
      </c>
      <c r="C187" s="41" t="inlineStr">
        <is>
          <t>F80028 N+6.00</t>
        </is>
      </c>
      <c r="D187" s="41" t="inlineStr">
        <is>
          <t>N+6.00</t>
        </is>
      </c>
      <c r="E187" s="54" t="n">
        <v>0.06909999999999999</v>
      </c>
      <c r="F187" s="56">
        <f>TABLEROS!$Y$36</f>
        <v>915.275510204082</v>
      </c>
      <c r="G187" s="36">
        <f>E187*F187/1000</f>
        <v>0.063245537755102</v>
      </c>
      <c r="H187" s="56">
        <f>TABLEROS!$X$36</f>
        <v>688.673469387755</v>
      </c>
      <c r="I187" s="36">
        <f>E187*H187/1000</f>
        <v>0.0475873367346939</v>
      </c>
      <c r="J187" s="41" t="inlineStr">
        <is>
          <t>DM</t>
        </is>
      </c>
      <c r="K187" s="37" t="inlineStr">
        <is>
          <t>sobre muro</t>
        </is>
      </c>
      <c r="L187" s="36">
        <f>E187*TABLEROS!$U$36/1000</f>
        <v>0.00691</v>
      </c>
      <c r="M187" s="36">
        <f>E187*IF(TABLEROS!$E$36="HABITACIÓN",DATOS!$C$91,DATOS!$C$94)/1000</f>
        <v>0.0010365</v>
      </c>
    </row>
    <row r="188">
      <c r="B188" s="41" t="inlineStr">
        <is>
          <t>DM-99</t>
        </is>
      </c>
      <c r="C188" s="41" t="inlineStr">
        <is>
          <t>F80028 N+6.00</t>
        </is>
      </c>
      <c r="D188" s="41" t="inlineStr">
        <is>
          <t>N+6.00</t>
        </is>
      </c>
      <c r="E188" s="54" t="n">
        <v>0.0122</v>
      </c>
      <c r="F188" s="56">
        <f>TABLEROS!$Y$36</f>
        <v>915.275510204082</v>
      </c>
      <c r="G188" s="36">
        <f>E188*F188/1000</f>
        <v>0.0111663612244898</v>
      </c>
      <c r="H188" s="56">
        <f>TABLEROS!$X$36</f>
        <v>688.673469387755</v>
      </c>
      <c r="I188" s="36">
        <f>E188*H188/1000</f>
        <v>0.00840181632653061</v>
      </c>
      <c r="J188" s="41" t="inlineStr">
        <is>
          <t>DM</t>
        </is>
      </c>
      <c r="K188" s="37" t="inlineStr">
        <is>
          <t>sobre muro</t>
        </is>
      </c>
      <c r="L188" s="36">
        <f>E188*TABLEROS!$U$36/1000</f>
        <v>0.00122</v>
      </c>
      <c r="M188" s="36">
        <f>E188*IF(TABLEROS!$E$36="HABITACIÓN",DATOS!$C$91,DATOS!$C$94)/1000</f>
        <v>0.000183</v>
      </c>
    </row>
    <row r="189">
      <c r="B189" s="41" t="inlineStr">
        <is>
          <t>DM-100</t>
        </is>
      </c>
      <c r="C189" s="41" t="inlineStr">
        <is>
          <t>F80028 N+6.00</t>
        </is>
      </c>
      <c r="D189" s="41" t="inlineStr">
        <is>
          <t>N+6.00</t>
        </is>
      </c>
      <c r="E189" s="54" t="n">
        <v>0.1425</v>
      </c>
      <c r="F189" s="56">
        <f>TABLEROS!$Y$36</f>
        <v>915.275510204082</v>
      </c>
      <c r="G189" s="36">
        <f>E189*F189/1000</f>
        <v>0.130426760204082</v>
      </c>
      <c r="H189" s="56">
        <f>TABLEROS!$X$36</f>
        <v>688.673469387755</v>
      </c>
      <c r="I189" s="36">
        <f>E189*H189/1000</f>
        <v>0.0981359693877551</v>
      </c>
      <c r="J189" s="41" t="inlineStr">
        <is>
          <t>DM</t>
        </is>
      </c>
      <c r="K189" s="37" t="inlineStr">
        <is>
          <t>sobre muro</t>
        </is>
      </c>
      <c r="L189" s="36">
        <f>E189*TABLEROS!$U$36/1000</f>
        <v>0.01425</v>
      </c>
      <c r="M189" s="36">
        <f>E189*IF(TABLEROS!$E$36="HABITACIÓN",DATOS!$C$91,DATOS!$C$94)/1000</f>
        <v>0.0021375</v>
      </c>
    </row>
    <row r="190">
      <c r="B190" s="41" t="inlineStr">
        <is>
          <t>DM-130</t>
        </is>
      </c>
      <c r="C190" s="41" t="inlineStr">
        <is>
          <t>F80028 N+6.00</t>
        </is>
      </c>
      <c r="D190" s="41" t="inlineStr">
        <is>
          <t>N+6.00</t>
        </is>
      </c>
      <c r="E190" s="54" t="n">
        <v>0.101</v>
      </c>
      <c r="F190" s="56">
        <f>TABLEROS!$Y$36</f>
        <v>915.275510204082</v>
      </c>
      <c r="G190" s="36">
        <f>E190*F190/1000</f>
        <v>0.0924428265306123</v>
      </c>
      <c r="H190" s="56">
        <f>TABLEROS!$X$36</f>
        <v>688.673469387755</v>
      </c>
      <c r="I190" s="36">
        <f>E190*H190/1000</f>
        <v>0.0695560204081633</v>
      </c>
      <c r="J190" s="41" t="inlineStr">
        <is>
          <t>DM</t>
        </is>
      </c>
      <c r="K190" s="37" t="inlineStr">
        <is>
          <t>sobre muro</t>
        </is>
      </c>
      <c r="L190" s="36">
        <f>E190*TABLEROS!$U$36/1000</f>
        <v>0.0101</v>
      </c>
      <c r="M190" s="36">
        <f>E190*IF(TABLEROS!$E$36="HABITACIÓN",DATOS!$C$91,DATOS!$C$94)/1000</f>
        <v>0.001515</v>
      </c>
    </row>
    <row r="191">
      <c r="B191" s="41" t="inlineStr">
        <is>
          <t>DM-92</t>
        </is>
      </c>
      <c r="C191" s="41" t="inlineStr">
        <is>
          <t>F80029 N+6.00</t>
        </is>
      </c>
      <c r="D191" s="41" t="inlineStr">
        <is>
          <t>N+6.00</t>
        </is>
      </c>
      <c r="E191" s="54" t="n">
        <v>0.1548</v>
      </c>
      <c r="F191" s="56">
        <f>TABLEROS!$Y$37</f>
        <v>915.275510204082</v>
      </c>
      <c r="G191" s="36">
        <f>E191*F191/1000</f>
        <v>0.141684648979592</v>
      </c>
      <c r="H191" s="56">
        <f>TABLEROS!$X$37</f>
        <v>688.673469387755</v>
      </c>
      <c r="I191" s="36">
        <f>E191*H191/1000</f>
        <v>0.106606653061224</v>
      </c>
      <c r="J191" s="41" t="inlineStr">
        <is>
          <t>DM</t>
        </is>
      </c>
      <c r="K191" s="37" t="inlineStr">
        <is>
          <t>sobre muro</t>
        </is>
      </c>
      <c r="L191" s="36">
        <f>E191*TABLEROS!$U$37/1000</f>
        <v>0.01548</v>
      </c>
      <c r="M191" s="36">
        <f>E191*IF(TABLEROS!$E$37="HABITACIÓN",DATOS!$C$91,DATOS!$C$94)/1000</f>
        <v>0.002322</v>
      </c>
    </row>
    <row r="192">
      <c r="B192" s="41" t="inlineStr">
        <is>
          <t>DM-93</t>
        </is>
      </c>
      <c r="C192" s="41" t="inlineStr">
        <is>
          <t>F80029 N+6.00</t>
        </is>
      </c>
      <c r="D192" s="41" t="inlineStr">
        <is>
          <t>N+6.00</t>
        </is>
      </c>
      <c r="E192" s="54" t="n">
        <v>0.0693</v>
      </c>
      <c r="F192" s="56">
        <f>TABLEROS!$Y$37</f>
        <v>915.275510204082</v>
      </c>
      <c r="G192" s="36">
        <f>E192*F192/1000</f>
        <v>0.0634285928571429</v>
      </c>
      <c r="H192" s="56">
        <f>TABLEROS!$X$37</f>
        <v>688.673469387755</v>
      </c>
      <c r="I192" s="36">
        <f>E192*H192/1000</f>
        <v>0.0477250714285714</v>
      </c>
      <c r="J192" s="41" t="inlineStr">
        <is>
          <t>DM</t>
        </is>
      </c>
      <c r="K192" s="37" t="inlineStr">
        <is>
          <t>sobre muro</t>
        </is>
      </c>
      <c r="L192" s="36">
        <f>E192*TABLEROS!$U$37/1000</f>
        <v>0.00693</v>
      </c>
      <c r="M192" s="36">
        <f>E192*IF(TABLEROS!$E$37="HABITACIÓN",DATOS!$C$91,DATOS!$C$94)/1000</f>
        <v>0.0010395</v>
      </c>
    </row>
    <row r="193">
      <c r="B193" s="41" t="inlineStr">
        <is>
          <t>DM-114</t>
        </is>
      </c>
      <c r="C193" s="41" t="inlineStr">
        <is>
          <t>F80029 N+6.00</t>
        </is>
      </c>
      <c r="D193" s="41" t="inlineStr">
        <is>
          <t>N+6.00</t>
        </is>
      </c>
      <c r="E193" s="54" t="n">
        <v>0.0282</v>
      </c>
      <c r="F193" s="56">
        <f>TABLEROS!$Y$37</f>
        <v>915.275510204082</v>
      </c>
      <c r="G193" s="36">
        <f>E193*F193/1000</f>
        <v>0.0258107693877551</v>
      </c>
      <c r="H193" s="56">
        <f>TABLEROS!$X$37</f>
        <v>688.673469387755</v>
      </c>
      <c r="I193" s="36">
        <f>E193*H193/1000</f>
        <v>0.0194205918367347</v>
      </c>
      <c r="J193" s="41" t="inlineStr">
        <is>
          <t>DM</t>
        </is>
      </c>
      <c r="K193" s="37" t="inlineStr">
        <is>
          <t>sobre muro</t>
        </is>
      </c>
      <c r="L193" s="36">
        <f>E193*TABLEROS!$U$37/1000</f>
        <v>0.00282</v>
      </c>
      <c r="M193" s="36">
        <f>E193*IF(TABLEROS!$E$37="HABITACIÓN",DATOS!$C$91,DATOS!$C$94)/1000</f>
        <v>0.000423</v>
      </c>
    </row>
    <row r="194">
      <c r="B194" s="41" t="inlineStr">
        <is>
          <t>NP-32</t>
        </is>
      </c>
      <c r="C194" s="41" t="inlineStr">
        <is>
          <t>F80029 N+6.00</t>
        </is>
      </c>
      <c r="D194" s="41" t="inlineStr">
        <is>
          <t>N+6.00</t>
        </is>
      </c>
      <c r="E194" s="54" t="n">
        <v>0.2269</v>
      </c>
      <c r="F194" s="56">
        <f>TABLEROS!$Y$37</f>
        <v>915.275510204082</v>
      </c>
      <c r="G194" s="36">
        <f>E194*F194/1000</f>
        <v>0.207676013265306</v>
      </c>
      <c r="H194" s="56">
        <f>TABLEROS!$X$37</f>
        <v>688.673469387755</v>
      </c>
      <c r="I194" s="36">
        <f>E194*H194/1000</f>
        <v>0.156260010204082</v>
      </c>
      <c r="J194" s="41" t="inlineStr">
        <is>
          <t>NP</t>
        </is>
      </c>
      <c r="K194" s="37" t="str">
        <f>PRINCIPALES!$BZ$40</f>
        <v>CUMPLE</v>
      </c>
      <c r="L194" s="36">
        <f>E194*TABLEROS!$U$37/1000</f>
        <v>0.02269</v>
      </c>
      <c r="M194" s="36">
        <f>E194*IF(TABLEROS!$E$37="HABITACIÓN",DATOS!$C$91,DATOS!$C$94)/1000</f>
        <v>0.0034035</v>
      </c>
    </row>
    <row r="195">
      <c r="B195" s="41" t="inlineStr">
        <is>
          <t>DM-117</t>
        </is>
      </c>
      <c r="C195" s="41" t="inlineStr">
        <is>
          <t>F80029 N+6.00</t>
        </is>
      </c>
      <c r="D195" s="41" t="inlineStr">
        <is>
          <t>N+6.00</t>
        </is>
      </c>
      <c r="E195" s="54" t="n">
        <v>0.0483</v>
      </c>
      <c r="F195" s="56">
        <f>TABLEROS!$Y$37</f>
        <v>915.275510204082</v>
      </c>
      <c r="G195" s="36">
        <f>E195*F195/1000</f>
        <v>0.0442078071428571</v>
      </c>
      <c r="H195" s="56">
        <f>TABLEROS!$X$37</f>
        <v>688.673469387755</v>
      </c>
      <c r="I195" s="36">
        <f>E195*H195/1000</f>
        <v>0.0332629285714286</v>
      </c>
      <c r="J195" s="41" t="inlineStr">
        <is>
          <t>DM</t>
        </is>
      </c>
      <c r="K195" s="37" t="inlineStr">
        <is>
          <t>sobre muro</t>
        </is>
      </c>
      <c r="L195" s="36">
        <f>E195*TABLEROS!$U$37/1000</f>
        <v>0.00483</v>
      </c>
      <c r="M195" s="36">
        <f>E195*IF(TABLEROS!$E$37="HABITACIÓN",DATOS!$C$91,DATOS!$C$94)/1000</f>
        <v>0.0007245</v>
      </c>
    </row>
    <row r="196">
      <c r="B196" s="41" t="inlineStr">
        <is>
          <t>DM-125</t>
        </is>
      </c>
      <c r="C196" s="41" t="inlineStr">
        <is>
          <t>F80030 N+6.00</t>
        </is>
      </c>
      <c r="D196" s="41" t="inlineStr">
        <is>
          <t>N+6.00</t>
        </is>
      </c>
      <c r="E196" s="54" t="n">
        <v>2.002</v>
      </c>
      <c r="F196" s="56">
        <f>TABLEROS!$Y$38</f>
        <v>934.775510204082</v>
      </c>
      <c r="G196" s="36">
        <f>E196*F196/1000</f>
        <v>1.87142057142857</v>
      </c>
      <c r="H196" s="56">
        <f>TABLEROS!$X$38</f>
        <v>703.673469387755</v>
      </c>
      <c r="I196" s="36">
        <f>E196*H196/1000</f>
        <v>1.40875428571429</v>
      </c>
      <c r="J196" s="41" t="inlineStr">
        <is>
          <t>DM</t>
        </is>
      </c>
      <c r="K196" s="37" t="inlineStr">
        <is>
          <t>sobre muro</t>
        </is>
      </c>
      <c r="L196" s="36">
        <f>E196*TABLEROS!$U$38/1000</f>
        <v>0.2002</v>
      </c>
      <c r="M196" s="36">
        <f>E196*IF(TABLEROS!$E$38="HABITACIÓN",DATOS!$C$91,DATOS!$C$94)/1000</f>
        <v>0.03003</v>
      </c>
    </row>
    <row r="197">
      <c r="B197" s="41" t="inlineStr">
        <is>
          <t>DM-126</t>
        </is>
      </c>
      <c r="C197" s="41" t="inlineStr">
        <is>
          <t>F80030 N+6.00</t>
        </is>
      </c>
      <c r="D197" s="41" t="inlineStr">
        <is>
          <t>N+6.00</t>
        </is>
      </c>
      <c r="E197" s="54" t="n">
        <v>1.998</v>
      </c>
      <c r="F197" s="56">
        <f>TABLEROS!$Y$38</f>
        <v>934.775510204082</v>
      </c>
      <c r="G197" s="36">
        <f>E197*F197/1000</f>
        <v>1.86768146938776</v>
      </c>
      <c r="H197" s="56">
        <f>TABLEROS!$X$38</f>
        <v>703.673469387755</v>
      </c>
      <c r="I197" s="36">
        <f>E197*H197/1000</f>
        <v>1.40593959183673</v>
      </c>
      <c r="J197" s="41" t="inlineStr">
        <is>
          <t>DM</t>
        </is>
      </c>
      <c r="K197" s="37" t="inlineStr">
        <is>
          <t>sobre muro</t>
        </is>
      </c>
      <c r="L197" s="36">
        <f>E197*TABLEROS!$U$38/1000</f>
        <v>0.1998</v>
      </c>
      <c r="M197" s="36">
        <f>E197*IF(TABLEROS!$E$38="HABITACIÓN",DATOS!$C$91,DATOS!$C$94)/1000</f>
        <v>0.02997</v>
      </c>
    </row>
    <row r="198">
      <c r="B198" s="41" t="inlineStr">
        <is>
          <t>DM-101</t>
        </is>
      </c>
      <c r="C198" s="41" t="inlineStr">
        <is>
          <t>F80030 N+6.00</t>
        </is>
      </c>
      <c r="D198" s="41" t="inlineStr">
        <is>
          <t>N+6.00</t>
        </is>
      </c>
      <c r="E198" s="54" t="n">
        <v>0.4278</v>
      </c>
      <c r="F198" s="56">
        <f>TABLEROS!$Y$38</f>
        <v>934.775510204082</v>
      </c>
      <c r="G198" s="36">
        <f>E198*F198/1000</f>
        <v>0.399896963265306</v>
      </c>
      <c r="H198" s="56">
        <f>TABLEROS!$X$38</f>
        <v>703.673469387755</v>
      </c>
      <c r="I198" s="36">
        <f>E198*H198/1000</f>
        <v>0.301031510204082</v>
      </c>
      <c r="J198" s="41" t="inlineStr">
        <is>
          <t>DM</t>
        </is>
      </c>
      <c r="K198" s="37" t="inlineStr">
        <is>
          <t>sobre muro</t>
        </is>
      </c>
      <c r="L198" s="36">
        <f>E198*TABLEROS!$U$38/1000</f>
        <v>0.04278</v>
      </c>
      <c r="M198" s="36">
        <f>E198*IF(TABLEROS!$E$38="HABITACIÓN",DATOS!$C$91,DATOS!$C$94)/1000</f>
        <v>0.006417</v>
      </c>
    </row>
    <row r="199">
      <c r="B199" s="41" t="inlineStr">
        <is>
          <t>DM-102</t>
        </is>
      </c>
      <c r="C199" s="41" t="inlineStr">
        <is>
          <t>F80030 N+6.00</t>
        </is>
      </c>
      <c r="D199" s="41" t="inlineStr">
        <is>
          <t>N+6.00</t>
        </is>
      </c>
      <c r="E199" s="54" t="n">
        <v>3.3007</v>
      </c>
      <c r="F199" s="56">
        <f>TABLEROS!$Y$38</f>
        <v>934.775510204082</v>
      </c>
      <c r="G199" s="36">
        <f>E199*F199/1000</f>
        <v>3.08541352653061</v>
      </c>
      <c r="H199" s="56">
        <f>TABLEROS!$X$38</f>
        <v>703.673469387755</v>
      </c>
      <c r="I199" s="36">
        <f>E199*H199/1000</f>
        <v>2.32261502040816</v>
      </c>
      <c r="J199" s="41" t="inlineStr">
        <is>
          <t>DM</t>
        </is>
      </c>
      <c r="K199" s="37" t="inlineStr">
        <is>
          <t>sobre muro</t>
        </is>
      </c>
      <c r="L199" s="36">
        <f>E199*TABLEROS!$U$38/1000</f>
        <v>0.33007</v>
      </c>
      <c r="M199" s="36">
        <f>E199*IF(TABLEROS!$E$38="HABITACIÓN",DATOS!$C$91,DATOS!$C$94)/1000</f>
        <v>0.0495105</v>
      </c>
    </row>
    <row r="200">
      <c r="B200" s="41" t="inlineStr">
        <is>
          <t>DM-103</t>
        </is>
      </c>
      <c r="C200" s="41" t="inlineStr">
        <is>
          <t>F80030 N+6.00</t>
        </is>
      </c>
      <c r="D200" s="41" t="inlineStr">
        <is>
          <t>N+6.00</t>
        </is>
      </c>
      <c r="E200" s="54" t="n">
        <v>1.1235</v>
      </c>
      <c r="F200" s="56">
        <f>TABLEROS!$Y$38</f>
        <v>934.775510204082</v>
      </c>
      <c r="G200" s="36">
        <f>E200*F200/1000</f>
        <v>1.05022028571429</v>
      </c>
      <c r="H200" s="56">
        <f>TABLEROS!$X$38</f>
        <v>703.673469387755</v>
      </c>
      <c r="I200" s="36">
        <f>E200*H200/1000</f>
        <v>0.790577142857143</v>
      </c>
      <c r="J200" s="41" t="inlineStr">
        <is>
          <t>DM</t>
        </is>
      </c>
      <c r="K200" s="37" t="inlineStr">
        <is>
          <t>sobre muro</t>
        </is>
      </c>
      <c r="L200" s="36">
        <f>E200*TABLEROS!$U$38/1000</f>
        <v>0.11235</v>
      </c>
      <c r="M200" s="36">
        <f>E200*IF(TABLEROS!$E$38="HABITACIÓN",DATOS!$C$91,DATOS!$C$94)/1000</f>
        <v>0.0168525</v>
      </c>
    </row>
    <row r="201">
      <c r="B201" s="41" t="inlineStr">
        <is>
          <t>DM-115</t>
        </is>
      </c>
      <c r="C201" s="41" t="inlineStr">
        <is>
          <t>F80030 N+6.00</t>
        </is>
      </c>
      <c r="D201" s="41" t="inlineStr">
        <is>
          <t>N+6.00</t>
        </is>
      </c>
      <c r="E201" s="54" t="n">
        <v>2.002</v>
      </c>
      <c r="F201" s="56">
        <f>TABLEROS!$Y$38</f>
        <v>934.775510204082</v>
      </c>
      <c r="G201" s="36">
        <f>E201*F201/1000</f>
        <v>1.87142057142857</v>
      </c>
      <c r="H201" s="56">
        <f>TABLEROS!$X$38</f>
        <v>703.673469387755</v>
      </c>
      <c r="I201" s="36">
        <f>E201*H201/1000</f>
        <v>1.40875428571429</v>
      </c>
      <c r="J201" s="41" t="inlineStr">
        <is>
          <t>DM</t>
        </is>
      </c>
      <c r="K201" s="37" t="inlineStr">
        <is>
          <t>sobre muro</t>
        </is>
      </c>
      <c r="L201" s="36">
        <f>E201*TABLEROS!$U$38/1000</f>
        <v>0.2002</v>
      </c>
      <c r="M201" s="36">
        <f>E201*IF(TABLEROS!$E$38="HABITACIÓN",DATOS!$C$91,DATOS!$C$94)/1000</f>
        <v>0.03003</v>
      </c>
    </row>
    <row r="202">
      <c r="B202" s="41" t="inlineStr">
        <is>
          <t>DM-116</t>
        </is>
      </c>
      <c r="C202" s="41" t="inlineStr">
        <is>
          <t>F80030 N+6.00</t>
        </is>
      </c>
      <c r="D202" s="41" t="inlineStr">
        <is>
          <t>N+6.00</t>
        </is>
      </c>
      <c r="E202" s="54" t="n">
        <v>1.998</v>
      </c>
      <c r="F202" s="56">
        <f>TABLEROS!$Y$38</f>
        <v>934.775510204082</v>
      </c>
      <c r="G202" s="36">
        <f>E202*F202/1000</f>
        <v>1.86768146938776</v>
      </c>
      <c r="H202" s="56">
        <f>TABLEROS!$X$38</f>
        <v>703.673469387755</v>
      </c>
      <c r="I202" s="36">
        <f>E202*H202/1000</f>
        <v>1.40593959183673</v>
      </c>
      <c r="J202" s="41" t="inlineStr">
        <is>
          <t>DM</t>
        </is>
      </c>
      <c r="K202" s="37" t="inlineStr">
        <is>
          <t>sobre muro</t>
        </is>
      </c>
      <c r="L202" s="36">
        <f>E202*TABLEROS!$U$38/1000</f>
        <v>0.1998</v>
      </c>
      <c r="M202" s="36">
        <f>E202*IF(TABLEROS!$E$38="HABITACIÓN",DATOS!$C$91,DATOS!$C$94)/1000</f>
        <v>0.02997</v>
      </c>
    </row>
    <row r="203">
      <c r="B203" s="41" t="inlineStr">
        <is>
          <t>DM-92</t>
        </is>
      </c>
      <c r="C203" s="41" t="inlineStr">
        <is>
          <t>F80030 N+6.00</t>
        </is>
      </c>
      <c r="D203" s="41" t="inlineStr">
        <is>
          <t>N+6.00</t>
        </is>
      </c>
      <c r="E203" s="54" t="n">
        <v>2.258</v>
      </c>
      <c r="F203" s="56">
        <f>TABLEROS!$Y$38</f>
        <v>934.775510204082</v>
      </c>
      <c r="G203" s="36">
        <f>E203*F203/1000</f>
        <v>2.11072310204082</v>
      </c>
      <c r="H203" s="56">
        <f>TABLEROS!$X$38</f>
        <v>703.673469387755</v>
      </c>
      <c r="I203" s="36">
        <f>E203*H203/1000</f>
        <v>1.58889469387755</v>
      </c>
      <c r="J203" s="41" t="inlineStr">
        <is>
          <t>DM</t>
        </is>
      </c>
      <c r="K203" s="37" t="inlineStr">
        <is>
          <t>sobre muro</t>
        </is>
      </c>
      <c r="L203" s="36">
        <f>E203*TABLEROS!$U$38/1000</f>
        <v>0.2258</v>
      </c>
      <c r="M203" s="36">
        <f>E203*IF(TABLEROS!$E$38="HABITACIÓN",DATOS!$C$91,DATOS!$C$94)/1000</f>
        <v>0.03387</v>
      </c>
    </row>
    <row r="204">
      <c r="B204" s="41" t="inlineStr">
        <is>
          <t>DM-93</t>
        </is>
      </c>
      <c r="C204" s="41" t="inlineStr">
        <is>
          <t>F80030 N+6.00</t>
        </is>
      </c>
      <c r="D204" s="41" t="inlineStr">
        <is>
          <t>N+6.00</t>
        </is>
      </c>
      <c r="E204" s="54" t="n">
        <v>1.6182</v>
      </c>
      <c r="F204" s="56">
        <f>TABLEROS!$Y$38</f>
        <v>934.775510204082</v>
      </c>
      <c r="G204" s="36">
        <f>E204*F204/1000</f>
        <v>1.51265373061224</v>
      </c>
      <c r="H204" s="56">
        <f>TABLEROS!$X$38</f>
        <v>703.673469387755</v>
      </c>
      <c r="I204" s="36">
        <f>E204*H204/1000</f>
        <v>1.13868440816327</v>
      </c>
      <c r="J204" s="41" t="inlineStr">
        <is>
          <t>DM</t>
        </is>
      </c>
      <c r="K204" s="37" t="inlineStr">
        <is>
          <t>sobre muro</t>
        </is>
      </c>
      <c r="L204" s="36">
        <f>E204*TABLEROS!$U$38/1000</f>
        <v>0.16182</v>
      </c>
      <c r="M204" s="36">
        <f>E204*IF(TABLEROS!$E$38="HABITACIÓN",DATOS!$C$91,DATOS!$C$94)/1000</f>
        <v>0.024273</v>
      </c>
    </row>
    <row r="205">
      <c r="B205" s="41" t="inlineStr">
        <is>
          <t>DM-94</t>
        </is>
      </c>
      <c r="C205" s="41" t="inlineStr">
        <is>
          <t>F80030 N+6.00</t>
        </is>
      </c>
      <c r="D205" s="41" t="inlineStr">
        <is>
          <t>N+6.00</t>
        </is>
      </c>
      <c r="E205" s="54" t="n">
        <v>0.4788</v>
      </c>
      <c r="F205" s="56">
        <f>TABLEROS!$Y$38</f>
        <v>934.775510204082</v>
      </c>
      <c r="G205" s="36">
        <f>E205*F205/1000</f>
        <v>0.447570514285714</v>
      </c>
      <c r="H205" s="56">
        <f>TABLEROS!$X$38</f>
        <v>703.673469387755</v>
      </c>
      <c r="I205" s="36">
        <f>E205*H205/1000</f>
        <v>0.336918857142857</v>
      </c>
      <c r="J205" s="41" t="inlineStr">
        <is>
          <t>DM</t>
        </is>
      </c>
      <c r="K205" s="37" t="inlineStr">
        <is>
          <t>sobre muro</t>
        </is>
      </c>
      <c r="L205" s="36">
        <f>E205*TABLEROS!$U$38/1000</f>
        <v>0.04788</v>
      </c>
      <c r="M205" s="36">
        <f>E205*IF(TABLEROS!$E$38="HABITACIÓN",DATOS!$C$91,DATOS!$C$94)/1000</f>
        <v>0.007182</v>
      </c>
    </row>
    <row r="206">
      <c r="B206" s="41" t="inlineStr">
        <is>
          <t>DM-95</t>
        </is>
      </c>
      <c r="C206" s="41" t="inlineStr">
        <is>
          <t>F80030 N+6.00</t>
        </is>
      </c>
      <c r="D206" s="41" t="inlineStr">
        <is>
          <t>N+6.00</t>
        </is>
      </c>
      <c r="E206" s="54" t="n">
        <v>0.497</v>
      </c>
      <c r="F206" s="56">
        <f>TABLEROS!$Y$38</f>
        <v>934.775510204082</v>
      </c>
      <c r="G206" s="36">
        <f>E206*F206/1000</f>
        <v>0.464583428571429</v>
      </c>
      <c r="H206" s="56">
        <f>TABLEROS!$X$38</f>
        <v>703.673469387755</v>
      </c>
      <c r="I206" s="36">
        <f>E206*H206/1000</f>
        <v>0.349725714285714</v>
      </c>
      <c r="J206" s="41" t="inlineStr">
        <is>
          <t>DM</t>
        </is>
      </c>
      <c r="K206" s="37" t="inlineStr">
        <is>
          <t>sobre muro</t>
        </is>
      </c>
      <c r="L206" s="36">
        <f>E206*TABLEROS!$U$38/1000</f>
        <v>0.0497</v>
      </c>
      <c r="M206" s="36">
        <f>E206*IF(TABLEROS!$E$38="HABITACIÓN",DATOS!$C$91,DATOS!$C$94)/1000</f>
        <v>0.007455</v>
      </c>
    </row>
    <row r="207">
      <c r="B207" s="41" t="inlineStr">
        <is>
          <t>DM-96</t>
        </is>
      </c>
      <c r="C207" s="41" t="inlineStr">
        <is>
          <t>F80031 N+6.00</t>
        </is>
      </c>
      <c r="D207" s="41" t="inlineStr">
        <is>
          <t>N+6.00</t>
        </is>
      </c>
      <c r="E207" s="54" t="n">
        <v>0.496</v>
      </c>
      <c r="F207" s="56">
        <f>TABLEROS!$Y$39</f>
        <v>934.775510204082</v>
      </c>
      <c r="G207" s="36">
        <f>E207*F207/1000</f>
        <v>0.463648653061225</v>
      </c>
      <c r="H207" s="56">
        <f>TABLEROS!$X$39</f>
        <v>703.673469387755</v>
      </c>
      <c r="I207" s="36">
        <f>E207*H207/1000</f>
        <v>0.349022040816327</v>
      </c>
      <c r="J207" s="41" t="inlineStr">
        <is>
          <t>DM</t>
        </is>
      </c>
      <c r="K207" s="37" t="inlineStr">
        <is>
          <t>sobre muro</t>
        </is>
      </c>
      <c r="L207" s="36">
        <f>E207*TABLEROS!$U$39/1000</f>
        <v>0.0496</v>
      </c>
      <c r="M207" s="36">
        <f>E207*IF(TABLEROS!$E$39="HABITACIÓN",DATOS!$C$91,DATOS!$C$94)/1000</f>
        <v>0.00744</v>
      </c>
    </row>
    <row r="208">
      <c r="B208" s="41" t="inlineStr">
        <is>
          <t>DM-97</t>
        </is>
      </c>
      <c r="C208" s="41" t="inlineStr">
        <is>
          <t>F80031 N+6.00</t>
        </is>
      </c>
      <c r="D208" s="41" t="inlineStr">
        <is>
          <t>N+6.00</t>
        </is>
      </c>
      <c r="E208" s="54" t="n">
        <v>0.4784</v>
      </c>
      <c r="F208" s="56">
        <f>TABLEROS!$Y$39</f>
        <v>934.775510204082</v>
      </c>
      <c r="G208" s="36">
        <f>E208*F208/1000</f>
        <v>0.447196604081633</v>
      </c>
      <c r="H208" s="56">
        <f>TABLEROS!$X$39</f>
        <v>703.673469387755</v>
      </c>
      <c r="I208" s="36">
        <f>E208*H208/1000</f>
        <v>0.336637387755102</v>
      </c>
      <c r="J208" s="41" t="inlineStr">
        <is>
          <t>DM</t>
        </is>
      </c>
      <c r="K208" s="37" t="inlineStr">
        <is>
          <t>sobre muro</t>
        </is>
      </c>
      <c r="L208" s="36">
        <f>E208*TABLEROS!$U$39/1000</f>
        <v>0.04784</v>
      </c>
      <c r="M208" s="36">
        <f>E208*IF(TABLEROS!$E$39="HABITACIÓN",DATOS!$C$91,DATOS!$C$94)/1000</f>
        <v>0.007176</v>
      </c>
    </row>
    <row r="209">
      <c r="B209" s="41" t="inlineStr">
        <is>
          <t>DM-98</t>
        </is>
      </c>
      <c r="C209" s="41" t="inlineStr">
        <is>
          <t>F80031 N+6.00</t>
        </is>
      </c>
      <c r="D209" s="41" t="inlineStr">
        <is>
          <t>N+6.00</t>
        </is>
      </c>
      <c r="E209" s="54" t="n">
        <v>1.6176</v>
      </c>
      <c r="F209" s="56">
        <f>TABLEROS!$Y$39</f>
        <v>934.775510204082</v>
      </c>
      <c r="G209" s="36">
        <f>E209*F209/1000</f>
        <v>1.51209286530612</v>
      </c>
      <c r="H209" s="56">
        <f>TABLEROS!$X$39</f>
        <v>703.673469387755</v>
      </c>
      <c r="I209" s="36">
        <f>E209*H209/1000</f>
        <v>1.13826220408163</v>
      </c>
      <c r="J209" s="41" t="inlineStr">
        <is>
          <t>DM</t>
        </is>
      </c>
      <c r="K209" s="37" t="inlineStr">
        <is>
          <t>sobre muro</t>
        </is>
      </c>
      <c r="L209" s="36">
        <f>E209*TABLEROS!$U$39/1000</f>
        <v>0.16176</v>
      </c>
      <c r="M209" s="36">
        <f>E209*IF(TABLEROS!$E$39="HABITACIÓN",DATOS!$C$91,DATOS!$C$94)/1000</f>
        <v>0.024264</v>
      </c>
    </row>
    <row r="210">
      <c r="B210" s="41" t="inlineStr">
        <is>
          <t>DM-99</t>
        </is>
      </c>
      <c r="C210" s="41" t="inlineStr">
        <is>
          <t>F80031 N+6.00</t>
        </is>
      </c>
      <c r="D210" s="41" t="inlineStr">
        <is>
          <t>N+6.00</t>
        </is>
      </c>
      <c r="E210" s="54" t="n">
        <v>0.3293</v>
      </c>
      <c r="F210" s="56">
        <f>TABLEROS!$Y$39</f>
        <v>934.775510204082</v>
      </c>
      <c r="G210" s="36">
        <f>E210*F210/1000</f>
        <v>0.307821575510204</v>
      </c>
      <c r="H210" s="56">
        <f>TABLEROS!$X$39</f>
        <v>703.673469387755</v>
      </c>
      <c r="I210" s="36">
        <f>E210*H210/1000</f>
        <v>0.231719673469388</v>
      </c>
      <c r="J210" s="41" t="inlineStr">
        <is>
          <t>DM</t>
        </is>
      </c>
      <c r="K210" s="37" t="inlineStr">
        <is>
          <t>sobre muro</t>
        </is>
      </c>
      <c r="L210" s="36">
        <f>E210*TABLEROS!$U$39/1000</f>
        <v>0.03293</v>
      </c>
      <c r="M210" s="36">
        <f>E210*IF(TABLEROS!$E$39="HABITACIÓN",DATOS!$C$91,DATOS!$C$94)/1000</f>
        <v>0.0049395</v>
      </c>
    </row>
    <row r="211">
      <c r="B211" s="41" t="inlineStr">
        <is>
          <t>DM-100</t>
        </is>
      </c>
      <c r="C211" s="41" t="inlineStr">
        <is>
          <t>F80031 N+6.00</t>
        </is>
      </c>
      <c r="D211" s="41" t="inlineStr">
        <is>
          <t>N+6.00</t>
        </is>
      </c>
      <c r="E211" s="54" t="n">
        <v>1.9267</v>
      </c>
      <c r="F211" s="56">
        <f>TABLEROS!$Y$39</f>
        <v>934.775510204082</v>
      </c>
      <c r="G211" s="36">
        <f>E211*F211/1000</f>
        <v>1.8010319755102</v>
      </c>
      <c r="H211" s="56">
        <f>TABLEROS!$X$39</f>
        <v>703.673469387755</v>
      </c>
      <c r="I211" s="36">
        <f>E211*H211/1000</f>
        <v>1.35576767346939</v>
      </c>
      <c r="J211" s="41" t="inlineStr">
        <is>
          <t>DM</t>
        </is>
      </c>
      <c r="K211" s="37" t="inlineStr">
        <is>
          <t>sobre muro</t>
        </is>
      </c>
      <c r="L211" s="36">
        <f>E211*TABLEROS!$U$39/1000</f>
        <v>0.19267</v>
      </c>
      <c r="M211" s="36">
        <f>E211*IF(TABLEROS!$E$39="HABITACIÓN",DATOS!$C$91,DATOS!$C$94)/1000</f>
        <v>0.0289005</v>
      </c>
    </row>
    <row r="212">
      <c r="B212" s="41" t="inlineStr">
        <is>
          <t>DM-142</t>
        </is>
      </c>
      <c r="C212" s="41" t="inlineStr">
        <is>
          <t>F80031 N+6.00</t>
        </is>
      </c>
      <c r="D212" s="41" t="inlineStr">
        <is>
          <t>N+6.00</t>
        </is>
      </c>
      <c r="E212" s="54" t="n">
        <v>2</v>
      </c>
      <c r="F212" s="56">
        <f>TABLEROS!$Y$39</f>
        <v>934.775510204082</v>
      </c>
      <c r="G212" s="36">
        <f>E212*F212/1000</f>
        <v>1.86955102040816</v>
      </c>
      <c r="H212" s="56">
        <f>TABLEROS!$X$39</f>
        <v>703.673469387755</v>
      </c>
      <c r="I212" s="36">
        <f>E212*H212/1000</f>
        <v>1.40734693877551</v>
      </c>
      <c r="J212" s="41" t="inlineStr">
        <is>
          <t>DM</t>
        </is>
      </c>
      <c r="K212" s="37" t="inlineStr">
        <is>
          <t>sobre muro</t>
        </is>
      </c>
      <c r="L212" s="36">
        <f>E212*TABLEROS!$U$39/1000</f>
        <v>0.2</v>
      </c>
      <c r="M212" s="36">
        <f>E212*IF(TABLEROS!$E$39="HABITACIÓN",DATOS!$C$91,DATOS!$C$94)/1000</f>
        <v>0.03</v>
      </c>
    </row>
    <row r="213">
      <c r="B213" s="41" t="inlineStr">
        <is>
          <t>DM-143</t>
        </is>
      </c>
      <c r="C213" s="41" t="inlineStr">
        <is>
          <t>F80031 N+6.00</t>
        </is>
      </c>
      <c r="D213" s="41" t="inlineStr">
        <is>
          <t>N+6.00</t>
        </is>
      </c>
      <c r="E213" s="54" t="n">
        <v>2</v>
      </c>
      <c r="F213" s="56">
        <f>TABLEROS!$Y$39</f>
        <v>934.775510204082</v>
      </c>
      <c r="G213" s="36">
        <f>E213*F213/1000</f>
        <v>1.86955102040816</v>
      </c>
      <c r="H213" s="56">
        <f>TABLEROS!$X$39</f>
        <v>703.673469387755</v>
      </c>
      <c r="I213" s="36">
        <f>E213*H213/1000</f>
        <v>1.40734693877551</v>
      </c>
      <c r="J213" s="41" t="inlineStr">
        <is>
          <t>DM</t>
        </is>
      </c>
      <c r="K213" s="37" t="inlineStr">
        <is>
          <t>sobre muro</t>
        </is>
      </c>
      <c r="L213" s="36">
        <f>E213*TABLEROS!$U$39/1000</f>
        <v>0.2</v>
      </c>
      <c r="M213" s="36">
        <f>E213*IF(TABLEROS!$E$39="HABITACIÓN",DATOS!$C$91,DATOS!$C$94)/1000</f>
        <v>0.03</v>
      </c>
    </row>
    <row r="214">
      <c r="B214" s="41" t="inlineStr">
        <is>
          <t>DM-104</t>
        </is>
      </c>
      <c r="C214" s="41" t="inlineStr">
        <is>
          <t>F80031 N+6.00</t>
        </is>
      </c>
      <c r="D214" s="41" t="inlineStr">
        <is>
          <t>N+6.00</t>
        </is>
      </c>
      <c r="E214" s="54" t="n">
        <v>1.1235</v>
      </c>
      <c r="F214" s="56">
        <f>TABLEROS!$Y$39</f>
        <v>934.775510204082</v>
      </c>
      <c r="G214" s="36">
        <f>E214*F214/1000</f>
        <v>1.05022028571429</v>
      </c>
      <c r="H214" s="56">
        <f>TABLEROS!$X$39</f>
        <v>703.673469387755</v>
      </c>
      <c r="I214" s="36">
        <f>E214*H214/1000</f>
        <v>0.790577142857143</v>
      </c>
      <c r="J214" s="41" t="inlineStr">
        <is>
          <t>DM</t>
        </is>
      </c>
      <c r="K214" s="37" t="inlineStr">
        <is>
          <t>sobre muro</t>
        </is>
      </c>
      <c r="L214" s="36">
        <f>E214*TABLEROS!$U$39/1000</f>
        <v>0.11235</v>
      </c>
      <c r="M214" s="36">
        <f>E214*IF(TABLEROS!$E$39="HABITACIÓN",DATOS!$C$91,DATOS!$C$94)/1000</f>
        <v>0.0168525</v>
      </c>
    </row>
    <row r="215">
      <c r="B215" s="41" t="inlineStr">
        <is>
          <t>DM-105</t>
        </is>
      </c>
      <c r="C215" s="41" t="inlineStr">
        <is>
          <t>F80031 N+6.00</t>
        </is>
      </c>
      <c r="D215" s="41" t="inlineStr">
        <is>
          <t>N+6.00</t>
        </is>
      </c>
      <c r="E215" s="54" t="n">
        <v>3.2967</v>
      </c>
      <c r="F215" s="56">
        <f>TABLEROS!$Y$39</f>
        <v>934.775510204082</v>
      </c>
      <c r="G215" s="36">
        <f>E215*F215/1000</f>
        <v>3.0816744244898</v>
      </c>
      <c r="H215" s="56">
        <f>TABLEROS!$X$39</f>
        <v>703.673469387755</v>
      </c>
      <c r="I215" s="36">
        <f>E215*H215/1000</f>
        <v>2.31980032653061</v>
      </c>
      <c r="J215" s="41" t="inlineStr">
        <is>
          <t>DM</t>
        </is>
      </c>
      <c r="K215" s="37" t="inlineStr">
        <is>
          <t>sobre muro</t>
        </is>
      </c>
      <c r="L215" s="36">
        <f>E215*TABLEROS!$U$39/1000</f>
        <v>0.32967</v>
      </c>
      <c r="M215" s="36">
        <f>E215*IF(TABLEROS!$E$39="HABITACIÓN",DATOS!$C$91,DATOS!$C$94)/1000</f>
        <v>0.0494505</v>
      </c>
    </row>
    <row r="216">
      <c r="B216" s="41" t="inlineStr">
        <is>
          <t>DM-106</t>
        </is>
      </c>
      <c r="C216" s="41" t="inlineStr">
        <is>
          <t>F80031 N+6.00</t>
        </is>
      </c>
      <c r="D216" s="41" t="inlineStr">
        <is>
          <t>N+6.00</t>
        </is>
      </c>
      <c r="E216" s="54" t="n">
        <v>0.4278</v>
      </c>
      <c r="F216" s="56">
        <f>TABLEROS!$Y$39</f>
        <v>934.775510204082</v>
      </c>
      <c r="G216" s="36">
        <f>E216*F216/1000</f>
        <v>0.399896963265306</v>
      </c>
      <c r="H216" s="56">
        <f>TABLEROS!$X$39</f>
        <v>703.673469387755</v>
      </c>
      <c r="I216" s="36">
        <f>E216*H216/1000</f>
        <v>0.301031510204082</v>
      </c>
      <c r="J216" s="41" t="inlineStr">
        <is>
          <t>DM</t>
        </is>
      </c>
      <c r="K216" s="37" t="inlineStr">
        <is>
          <t>sobre muro</t>
        </is>
      </c>
      <c r="L216" s="36">
        <f>E216*TABLEROS!$U$39/1000</f>
        <v>0.04278</v>
      </c>
      <c r="M216" s="36">
        <f>E216*IF(TABLEROS!$E$39="HABITACIÓN",DATOS!$C$91,DATOS!$C$94)/1000</f>
        <v>0.006417</v>
      </c>
    </row>
    <row r="217">
      <c r="B217" s="41" t="inlineStr">
        <is>
          <t>DM-125</t>
        </is>
      </c>
      <c r="C217" s="41" t="inlineStr">
        <is>
          <t>F80031 N+6.00</t>
        </is>
      </c>
      <c r="D217" s="41" t="inlineStr">
        <is>
          <t>N+6.00</t>
        </is>
      </c>
      <c r="E217" s="54" t="n">
        <v>2.002</v>
      </c>
      <c r="F217" s="56">
        <f>TABLEROS!$Y$39</f>
        <v>934.775510204082</v>
      </c>
      <c r="G217" s="36">
        <f>E217*F217/1000</f>
        <v>1.87142057142857</v>
      </c>
      <c r="H217" s="56">
        <f>TABLEROS!$X$39</f>
        <v>703.673469387755</v>
      </c>
      <c r="I217" s="36">
        <f>E217*H217/1000</f>
        <v>1.40875428571429</v>
      </c>
      <c r="J217" s="41" t="inlineStr">
        <is>
          <t>DM</t>
        </is>
      </c>
      <c r="K217" s="37" t="inlineStr">
        <is>
          <t>sobre muro</t>
        </is>
      </c>
      <c r="L217" s="36">
        <f>E217*TABLEROS!$U$39/1000</f>
        <v>0.2002</v>
      </c>
      <c r="M217" s="36">
        <f>E217*IF(TABLEROS!$E$39="HABITACIÓN",DATOS!$C$91,DATOS!$C$94)/1000</f>
        <v>0.03003</v>
      </c>
    </row>
    <row r="218">
      <c r="B218" s="41" t="inlineStr">
        <is>
          <t>DM-126</t>
        </is>
      </c>
      <c r="C218" s="41" t="inlineStr">
        <is>
          <t>F80031 N+6.00</t>
        </is>
      </c>
      <c r="D218" s="41" t="inlineStr">
        <is>
          <t>N+6.00</t>
        </is>
      </c>
      <c r="E218" s="54" t="n">
        <v>1.998</v>
      </c>
      <c r="F218" s="56">
        <f>TABLEROS!$Y$39</f>
        <v>934.775510204082</v>
      </c>
      <c r="G218" s="36">
        <f>E218*F218/1000</f>
        <v>1.86768146938776</v>
      </c>
      <c r="H218" s="56">
        <f>TABLEROS!$X$39</f>
        <v>703.673469387755</v>
      </c>
      <c r="I218" s="36">
        <f>E218*H218/1000</f>
        <v>1.40593959183673</v>
      </c>
      <c r="J218" s="41" t="inlineStr">
        <is>
          <t>DM</t>
        </is>
      </c>
      <c r="K218" s="37" t="inlineStr">
        <is>
          <t>sobre muro</t>
        </is>
      </c>
      <c r="L218" s="36">
        <f>E218*TABLEROS!$U$39/1000</f>
        <v>0.1998</v>
      </c>
      <c r="M218" s="36">
        <f>E218*IF(TABLEROS!$E$39="HABITACIÓN",DATOS!$C$91,DATOS!$C$94)/1000</f>
        <v>0.02997</v>
      </c>
    </row>
    <row r="219">
      <c r="B219" s="41" t="inlineStr">
        <is>
          <t>DM-123</t>
        </is>
      </c>
      <c r="C219" s="41" t="inlineStr">
        <is>
          <t>F80032 N+6.00</t>
        </is>
      </c>
      <c r="D219" s="41" t="inlineStr">
        <is>
          <t>N+6.00</t>
        </is>
      </c>
      <c r="E219" s="54" t="n">
        <v>0.5195</v>
      </c>
      <c r="F219" s="56">
        <f>TABLEROS!$Y$40</f>
        <v>941.275510204082</v>
      </c>
      <c r="G219" s="36">
        <f>E219*F219/1000</f>
        <v>0.48899262755102</v>
      </c>
      <c r="H219" s="56">
        <f>TABLEROS!$X$40</f>
        <v>708.673469387755</v>
      </c>
      <c r="I219" s="36">
        <f>E219*H219/1000</f>
        <v>0.368155867346939</v>
      </c>
      <c r="J219" s="41" t="inlineStr">
        <is>
          <t>DM</t>
        </is>
      </c>
      <c r="K219" s="37" t="inlineStr">
        <is>
          <t>sobre muro</t>
        </is>
      </c>
      <c r="L219" s="36">
        <f>E219*TABLEROS!$U$40/1000</f>
        <v>0.05195</v>
      </c>
      <c r="M219" s="36">
        <f>E219*IF(TABLEROS!$E$40="HABITACIÓN",DATOS!$C$91,DATOS!$C$94)/1000</f>
        <v>0.0077925</v>
      </c>
    </row>
    <row r="220">
      <c r="B220" s="41" t="inlineStr">
        <is>
          <t>DM-124</t>
        </is>
      </c>
      <c r="C220" s="41" t="inlineStr">
        <is>
          <t>F80032 N+6.00</t>
        </is>
      </c>
      <c r="D220" s="41" t="inlineStr">
        <is>
          <t>N+6.00</t>
        </is>
      </c>
      <c r="E220" s="54" t="n">
        <v>0.6982</v>
      </c>
      <c r="F220" s="56">
        <f>TABLEROS!$Y$40</f>
        <v>941.275510204082</v>
      </c>
      <c r="G220" s="36">
        <f>E220*F220/1000</f>
        <v>0.65719856122449</v>
      </c>
      <c r="H220" s="56">
        <f>TABLEROS!$X$40</f>
        <v>708.673469387755</v>
      </c>
      <c r="I220" s="36">
        <f>E220*H220/1000</f>
        <v>0.494795816326531</v>
      </c>
      <c r="J220" s="41" t="inlineStr">
        <is>
          <t>DM</t>
        </is>
      </c>
      <c r="K220" s="37" t="inlineStr">
        <is>
          <t>sobre muro</t>
        </is>
      </c>
      <c r="L220" s="36">
        <f>E220*TABLEROS!$U$40/1000</f>
        <v>0.06982</v>
      </c>
      <c r="M220" s="36">
        <f>E220*IF(TABLEROS!$E$40="HABITACIÓN",DATOS!$C$91,DATOS!$C$94)/1000</f>
        <v>0.010473</v>
      </c>
    </row>
    <row r="221">
      <c r="B221" s="41" t="inlineStr">
        <is>
          <t>SIN DALA</t>
        </is>
      </c>
      <c r="C221" s="41" t="inlineStr">
        <is>
          <t>F80032 N+6.00</t>
        </is>
      </c>
      <c r="D221" s="41" t="inlineStr">
        <is>
          <t>N+6.00</t>
        </is>
      </c>
      <c r="E221" s="54" t="n">
        <v>3.8879</v>
      </c>
      <c r="F221" s="56">
        <f>TABLEROS!$Y$40</f>
        <v>941.275510204082</v>
      </c>
      <c r="G221" s="36">
        <f>E221*F221/1000</f>
        <v>3.65958505612245</v>
      </c>
      <c r="H221" s="56">
        <f>TABLEROS!$X$40</f>
        <v>708.673469387755</v>
      </c>
      <c r="I221" s="36">
        <f>E221*H221/1000</f>
        <v>2.75525158163265</v>
      </c>
      <c r="J221" s="41" t="inlineStr">
        <is>
          <t>SIN DALA</t>
        </is>
      </c>
      <c r="K221" s="37" t="inlineStr">
        <is>
          <t>borde sin dala en el E2K</t>
        </is>
      </c>
      <c r="L221" s="36">
        <f>E221*TABLEROS!$U$40/1000</f>
        <v>0.38879</v>
      </c>
      <c r="M221" s="36">
        <f>E221*IF(TABLEROS!$E$40="HABITACIÓN",DATOS!$C$91,DATOS!$C$94)/1000</f>
        <v>0.0583185</v>
      </c>
    </row>
    <row r="222">
      <c r="B222" s="41" t="inlineStr">
        <is>
          <t>DM-71</t>
        </is>
      </c>
      <c r="C222" s="41" t="inlineStr">
        <is>
          <t>F80032 N+6.00</t>
        </is>
      </c>
      <c r="D222" s="41" t="inlineStr">
        <is>
          <t>N+6.00</t>
        </is>
      </c>
      <c r="E222" s="54" t="n">
        <v>0.4415</v>
      </c>
      <c r="F222" s="56">
        <f>TABLEROS!$Y$40</f>
        <v>941.275510204082</v>
      </c>
      <c r="G222" s="36">
        <f>E222*F222/1000</f>
        <v>0.415573137755102</v>
      </c>
      <c r="H222" s="56">
        <f>TABLEROS!$X$40</f>
        <v>708.673469387755</v>
      </c>
      <c r="I222" s="36">
        <f>E222*H222/1000</f>
        <v>0.312879336734694</v>
      </c>
      <c r="J222" s="41" t="inlineStr">
        <is>
          <t>DM</t>
        </is>
      </c>
      <c r="K222" s="37" t="inlineStr">
        <is>
          <t>sobre muro</t>
        </is>
      </c>
      <c r="L222" s="36">
        <f>E222*TABLEROS!$U$40/1000</f>
        <v>0.04415</v>
      </c>
      <c r="M222" s="36">
        <f>E222*IF(TABLEROS!$E$40="HABITACIÓN",DATOS!$C$91,DATOS!$C$94)/1000</f>
        <v>0.0066225</v>
      </c>
    </row>
    <row r="223">
      <c r="B223" s="41" t="inlineStr">
        <is>
          <t>DM-72</t>
        </is>
      </c>
      <c r="C223" s="41" t="inlineStr">
        <is>
          <t>F80032 N+6.00</t>
        </is>
      </c>
      <c r="D223" s="41" t="inlineStr">
        <is>
          <t>N+6.00</t>
        </is>
      </c>
      <c r="E223" s="54" t="n">
        <v>0.1953</v>
      </c>
      <c r="F223" s="56">
        <f>TABLEROS!$Y$40</f>
        <v>941.275510204082</v>
      </c>
      <c r="G223" s="36">
        <f>E223*F223/1000</f>
        <v>0.183831107142857</v>
      </c>
      <c r="H223" s="56">
        <f>TABLEROS!$X$40</f>
        <v>708.673469387755</v>
      </c>
      <c r="I223" s="36">
        <f>E223*H223/1000</f>
        <v>0.138403928571429</v>
      </c>
      <c r="J223" s="41" t="inlineStr">
        <is>
          <t>DM</t>
        </is>
      </c>
      <c r="K223" s="37" t="inlineStr">
        <is>
          <t>sobre muro</t>
        </is>
      </c>
      <c r="L223" s="36">
        <f>E223*TABLEROS!$U$40/1000</f>
        <v>0.01953</v>
      </c>
      <c r="M223" s="36">
        <f>E223*IF(TABLEROS!$E$40="HABITACIÓN",DATOS!$C$91,DATOS!$C$94)/1000</f>
        <v>0.0029295</v>
      </c>
    </row>
    <row r="224">
      <c r="B224" s="41" t="inlineStr">
        <is>
          <t>DM-133</t>
        </is>
      </c>
      <c r="C224" s="41" t="inlineStr">
        <is>
          <t>F80032 N+6.00</t>
        </is>
      </c>
      <c r="D224" s="41" t="inlineStr">
        <is>
          <t>N+6.00</t>
        </is>
      </c>
      <c r="E224" s="54" t="n">
        <v>0.4812</v>
      </c>
      <c r="F224" s="56">
        <f>TABLEROS!$Y$40</f>
        <v>941.275510204082</v>
      </c>
      <c r="G224" s="36">
        <f>E224*F224/1000</f>
        <v>0.452941775510204</v>
      </c>
      <c r="H224" s="56">
        <f>TABLEROS!$X$40</f>
        <v>708.673469387755</v>
      </c>
      <c r="I224" s="36">
        <f>E224*H224/1000</f>
        <v>0.341013673469388</v>
      </c>
      <c r="J224" s="41" t="inlineStr">
        <is>
          <t>DM</t>
        </is>
      </c>
      <c r="K224" s="37" t="inlineStr">
        <is>
          <t>sobre muro</t>
        </is>
      </c>
      <c r="L224" s="36">
        <f>E224*TABLEROS!$U$40/1000</f>
        <v>0.04812</v>
      </c>
      <c r="M224" s="36">
        <f>E224*IF(TABLEROS!$E$40="HABITACIÓN",DATOS!$C$91,DATOS!$C$94)/1000</f>
        <v>0.007218</v>
      </c>
    </row>
    <row r="225">
      <c r="B225" s="41" t="inlineStr">
        <is>
          <t>NP-34</t>
        </is>
      </c>
      <c r="C225" s="41" t="inlineStr">
        <is>
          <t>F80032 N+6.00</t>
        </is>
      </c>
      <c r="D225" s="41" t="inlineStr">
        <is>
          <t>N+6.00</t>
        </is>
      </c>
      <c r="E225" s="54" t="n">
        <v>2.2701</v>
      </c>
      <c r="F225" s="56">
        <f>TABLEROS!$Y$40</f>
        <v>941.275510204082</v>
      </c>
      <c r="G225" s="36">
        <f>E225*F225/1000</f>
        <v>2.13678953571429</v>
      </c>
      <c r="H225" s="56">
        <f>TABLEROS!$X$40</f>
        <v>708.673469387755</v>
      </c>
      <c r="I225" s="36">
        <f>E225*H225/1000</f>
        <v>1.60875964285714</v>
      </c>
      <c r="J225" s="41" t="inlineStr">
        <is>
          <t>NP</t>
        </is>
      </c>
      <c r="K225" s="37" t="str">
        <f>PRINCIPALES!$BZ$42</f>
        <v>CUMPLE</v>
      </c>
      <c r="L225" s="36">
        <f>E225*TABLEROS!$U$40/1000</f>
        <v>0.22701</v>
      </c>
      <c r="M225" s="36">
        <f>E225*IF(TABLEROS!$E$40="HABITACIÓN",DATOS!$C$91,DATOS!$C$94)/1000</f>
        <v>0.0340515</v>
      </c>
    </row>
    <row r="226">
      <c r="B226" s="41" t="inlineStr">
        <is>
          <t>DM-78</t>
        </is>
      </c>
      <c r="C226" s="41" t="inlineStr">
        <is>
          <t>F80032 N+6.00</t>
        </is>
      </c>
      <c r="D226" s="41" t="inlineStr">
        <is>
          <t>N+6.00</t>
        </is>
      </c>
      <c r="E226" s="54" t="n">
        <v>0.1255</v>
      </c>
      <c r="F226" s="56">
        <f>TABLEROS!$Y$40</f>
        <v>941.275510204082</v>
      </c>
      <c r="G226" s="36">
        <f>E226*F226/1000</f>
        <v>0.118130076530612</v>
      </c>
      <c r="H226" s="56">
        <f>TABLEROS!$X$40</f>
        <v>708.673469387755</v>
      </c>
      <c r="I226" s="36">
        <f>E226*H226/1000</f>
        <v>0.0889385204081633</v>
      </c>
      <c r="J226" s="41" t="inlineStr">
        <is>
          <t>DM</t>
        </is>
      </c>
      <c r="K226" s="37" t="inlineStr">
        <is>
          <t>sobre muro</t>
        </is>
      </c>
      <c r="L226" s="36">
        <f>E226*TABLEROS!$U$40/1000</f>
        <v>0.01255</v>
      </c>
      <c r="M226" s="36">
        <f>E226*IF(TABLEROS!$E$40="HABITACIÓN",DATOS!$C$91,DATOS!$C$94)/1000</f>
        <v>0.0018825</v>
      </c>
    </row>
    <row r="227">
      <c r="B227" s="41" t="inlineStr">
        <is>
          <t>DM-127</t>
        </is>
      </c>
      <c r="C227" s="41" t="inlineStr">
        <is>
          <t>F80032 N+6.00</t>
        </is>
      </c>
      <c r="D227" s="41" t="inlineStr">
        <is>
          <t>N+6.00</t>
        </is>
      </c>
      <c r="E227" s="54" t="n">
        <v>0.5749</v>
      </c>
      <c r="F227" s="56">
        <f>TABLEROS!$Y$40</f>
        <v>941.275510204082</v>
      </c>
      <c r="G227" s="36">
        <f>E227*F227/1000</f>
        <v>0.541139290816327</v>
      </c>
      <c r="H227" s="56">
        <f>TABLEROS!$X$40</f>
        <v>708.673469387755</v>
      </c>
      <c r="I227" s="36">
        <f>E227*H227/1000</f>
        <v>0.40741637755102</v>
      </c>
      <c r="J227" s="41" t="inlineStr">
        <is>
          <t>DM</t>
        </is>
      </c>
      <c r="K227" s="37" t="inlineStr">
        <is>
          <t>sobre muro</t>
        </is>
      </c>
      <c r="L227" s="36">
        <f>E227*TABLEROS!$U$40/1000</f>
        <v>0.05749</v>
      </c>
      <c r="M227" s="36">
        <f>E227*IF(TABLEROS!$E$40="HABITACIÓN",DATOS!$C$91,DATOS!$C$94)/1000</f>
        <v>0.0086235</v>
      </c>
    </row>
    <row r="228">
      <c r="B228" s="41" t="inlineStr">
        <is>
          <t>DM-128</t>
        </is>
      </c>
      <c r="C228" s="41" t="inlineStr">
        <is>
          <t>F80032 N+6.00</t>
        </is>
      </c>
      <c r="D228" s="41" t="inlineStr">
        <is>
          <t>N+6.00</t>
        </is>
      </c>
      <c r="E228" s="54" t="n">
        <v>2.5029</v>
      </c>
      <c r="F228" s="56">
        <f>TABLEROS!$Y$40</f>
        <v>941.275510204082</v>
      </c>
      <c r="G228" s="36">
        <f>E228*F228/1000</f>
        <v>2.3559184744898</v>
      </c>
      <c r="H228" s="56">
        <f>TABLEROS!$X$40</f>
        <v>708.673469387755</v>
      </c>
      <c r="I228" s="36">
        <f>E228*H228/1000</f>
        <v>1.77373882653061</v>
      </c>
      <c r="J228" s="41" t="inlineStr">
        <is>
          <t>DM</t>
        </is>
      </c>
      <c r="K228" s="37" t="inlineStr">
        <is>
          <t>sobre muro</t>
        </is>
      </c>
      <c r="L228" s="36">
        <f>E228*TABLEROS!$U$40/1000</f>
        <v>0.25029</v>
      </c>
      <c r="M228" s="36">
        <f>E228*IF(TABLEROS!$E$40="HABITACIÓN",DATOS!$C$91,DATOS!$C$94)/1000</f>
        <v>0.0375435</v>
      </c>
    </row>
    <row r="229">
      <c r="B229" s="41" t="inlineStr">
        <is>
          <t>DM-129</t>
        </is>
      </c>
      <c r="C229" s="41" t="inlineStr">
        <is>
          <t>F80032 N+6.00</t>
        </is>
      </c>
      <c r="D229" s="41" t="inlineStr">
        <is>
          <t>N+6.00</t>
        </is>
      </c>
      <c r="E229" s="54" t="n">
        <v>0.9716</v>
      </c>
      <c r="F229" s="56">
        <f>TABLEROS!$Y$40</f>
        <v>941.275510204082</v>
      </c>
      <c r="G229" s="36">
        <f>E229*F229/1000</f>
        <v>0.914543285714286</v>
      </c>
      <c r="H229" s="56">
        <f>TABLEROS!$X$40</f>
        <v>708.673469387755</v>
      </c>
      <c r="I229" s="36">
        <f>E229*H229/1000</f>
        <v>0.688547142857143</v>
      </c>
      <c r="J229" s="41" t="inlineStr">
        <is>
          <t>DM</t>
        </is>
      </c>
      <c r="K229" s="37" t="inlineStr">
        <is>
          <t>sobre muro</t>
        </is>
      </c>
      <c r="L229" s="36">
        <f>E229*TABLEROS!$U$40/1000</f>
        <v>0.09716</v>
      </c>
      <c r="M229" s="36">
        <f>E229*IF(TABLEROS!$E$40="HABITACIÓN",DATOS!$C$91,DATOS!$C$94)/1000</f>
        <v>0.014574</v>
      </c>
    </row>
    <row r="230">
      <c r="B230" s="41" t="inlineStr">
        <is>
          <t>DM-89</t>
        </is>
      </c>
      <c r="C230" s="41" t="inlineStr">
        <is>
          <t>F80032 N+6.00</t>
        </is>
      </c>
      <c r="D230" s="41" t="inlineStr">
        <is>
          <t>N+6.00</t>
        </is>
      </c>
      <c r="E230" s="54" t="n">
        <v>0.08</v>
      </c>
      <c r="F230" s="56">
        <f>TABLEROS!$Y$40</f>
        <v>941.275510204082</v>
      </c>
      <c r="G230" s="36">
        <f>E230*F230/1000</f>
        <v>0.0753020408163265</v>
      </c>
      <c r="H230" s="56">
        <f>TABLEROS!$X$40</f>
        <v>708.673469387755</v>
      </c>
      <c r="I230" s="36">
        <f>E230*H230/1000</f>
        <v>0.0566938775510204</v>
      </c>
      <c r="J230" s="41" t="inlineStr">
        <is>
          <t>DM</t>
        </is>
      </c>
      <c r="K230" s="37" t="inlineStr">
        <is>
          <t>sobre muro</t>
        </is>
      </c>
      <c r="L230" s="36">
        <f>E230*TABLEROS!$U$40/1000</f>
        <v>0.008</v>
      </c>
      <c r="M230" s="36">
        <f>E230*IF(TABLEROS!$E$40="HABITACIÓN",DATOS!$C$91,DATOS!$C$94)/1000</f>
        <v>0.0012</v>
      </c>
    </row>
    <row r="231">
      <c r="B231" s="41" t="inlineStr">
        <is>
          <t>DM-130</t>
        </is>
      </c>
      <c r="C231" s="41" t="inlineStr">
        <is>
          <t>F80032 N+6.00</t>
        </is>
      </c>
      <c r="D231" s="41" t="inlineStr">
        <is>
          <t>N+6.00</t>
        </is>
      </c>
      <c r="E231" s="54" t="n">
        <v>1.1793</v>
      </c>
      <c r="F231" s="56">
        <f>TABLEROS!$Y$40</f>
        <v>941.275510204082</v>
      </c>
      <c r="G231" s="36">
        <f>E231*F231/1000</f>
        <v>1.11004620918367</v>
      </c>
      <c r="H231" s="56">
        <f>TABLEROS!$X$40</f>
        <v>708.673469387755</v>
      </c>
      <c r="I231" s="36">
        <f>E231*H231/1000</f>
        <v>0.83573862244898</v>
      </c>
      <c r="J231" s="41" t="inlineStr">
        <is>
          <t>DM</t>
        </is>
      </c>
      <c r="K231" s="37" t="inlineStr">
        <is>
          <t>sobre muro</t>
        </is>
      </c>
      <c r="L231" s="36">
        <f>E231*TABLEROS!$U$40/1000</f>
        <v>0.11793</v>
      </c>
      <c r="M231" s="36">
        <f>E231*IF(TABLEROS!$E$40="HABITACIÓN",DATOS!$C$91,DATOS!$C$94)/1000</f>
        <v>0.0176895</v>
      </c>
    </row>
    <row r="232">
      <c r="B232" s="41" t="inlineStr">
        <is>
          <t>DM-94</t>
        </is>
      </c>
      <c r="C232" s="41" t="inlineStr">
        <is>
          <t>F80032 N+6.00</t>
        </is>
      </c>
      <c r="D232" s="41" t="inlineStr">
        <is>
          <t>N+6.00</t>
        </is>
      </c>
      <c r="E232" s="54" t="n">
        <v>0.08</v>
      </c>
      <c r="F232" s="56">
        <f>TABLEROS!$Y$40</f>
        <v>941.275510204082</v>
      </c>
      <c r="G232" s="36">
        <f>E232*F232/1000</f>
        <v>0.0753020408163265</v>
      </c>
      <c r="H232" s="56">
        <f>TABLEROS!$X$40</f>
        <v>708.673469387755</v>
      </c>
      <c r="I232" s="36">
        <f>E232*H232/1000</f>
        <v>0.0566938775510204</v>
      </c>
      <c r="J232" s="41" t="inlineStr">
        <is>
          <t>DM</t>
        </is>
      </c>
      <c r="K232" s="37" t="inlineStr">
        <is>
          <t>sobre muro</t>
        </is>
      </c>
      <c r="L232" s="36">
        <f>E232*TABLEROS!$U$40/1000</f>
        <v>0.008</v>
      </c>
      <c r="M232" s="36">
        <f>E232*IF(TABLEROS!$E$40="HABITACIÓN",DATOS!$C$91,DATOS!$C$94)/1000</f>
        <v>0.0012</v>
      </c>
    </row>
    <row r="233">
      <c r="B233" s="41" t="inlineStr">
        <is>
          <t>DM-95</t>
        </is>
      </c>
      <c r="C233" s="41" t="inlineStr">
        <is>
          <t>F80032 N+6.00</t>
        </is>
      </c>
      <c r="D233" s="41" t="inlineStr">
        <is>
          <t>N+6.00</t>
        </is>
      </c>
      <c r="E233" s="54" t="n">
        <v>0.8958</v>
      </c>
      <c r="F233" s="56">
        <f>TABLEROS!$Y$40</f>
        <v>941.275510204082</v>
      </c>
      <c r="G233" s="36">
        <f>E233*F233/1000</f>
        <v>0.843194602040816</v>
      </c>
      <c r="H233" s="56">
        <f>TABLEROS!$X$40</f>
        <v>708.673469387755</v>
      </c>
      <c r="I233" s="36">
        <f>E233*H233/1000</f>
        <v>0.634829693877551</v>
      </c>
      <c r="J233" s="41" t="inlineStr">
        <is>
          <t>DM</t>
        </is>
      </c>
      <c r="K233" s="37" t="inlineStr">
        <is>
          <t>sobre muro</t>
        </is>
      </c>
      <c r="L233" s="36">
        <f>E233*TABLEROS!$U$40/1000</f>
        <v>0.08958</v>
      </c>
      <c r="M233" s="36">
        <f>E233*IF(TABLEROS!$E$40="HABITACIÓN",DATOS!$C$91,DATOS!$C$94)/1000</f>
        <v>0.013437</v>
      </c>
    </row>
    <row r="234">
      <c r="B234" s="41" t="inlineStr">
        <is>
          <t>DM-96</t>
        </is>
      </c>
      <c r="C234" s="41" t="inlineStr">
        <is>
          <t>F80032 N+6.00</t>
        </is>
      </c>
      <c r="D234" s="41" t="inlineStr">
        <is>
          <t>N+6.00</t>
        </is>
      </c>
      <c r="E234" s="54" t="n">
        <v>0.8944</v>
      </c>
      <c r="F234" s="56">
        <f>TABLEROS!$Y$40</f>
        <v>941.275510204082</v>
      </c>
      <c r="G234" s="36">
        <f>E234*F234/1000</f>
        <v>0.841876816326531</v>
      </c>
      <c r="H234" s="56">
        <f>TABLEROS!$X$40</f>
        <v>708.673469387755</v>
      </c>
      <c r="I234" s="36">
        <f>E234*H234/1000</f>
        <v>0.633837551020408</v>
      </c>
      <c r="J234" s="41" t="inlineStr">
        <is>
          <t>DM</t>
        </is>
      </c>
      <c r="K234" s="37" t="inlineStr">
        <is>
          <t>sobre muro</t>
        </is>
      </c>
      <c r="L234" s="36">
        <f>E234*TABLEROS!$U$40/1000</f>
        <v>0.08944</v>
      </c>
      <c r="M234" s="36">
        <f>E234*IF(TABLEROS!$E$40="HABITACIÓN",DATOS!$C$91,DATOS!$C$94)/1000</f>
        <v>0.013416</v>
      </c>
    </row>
    <row r="235">
      <c r="B235" s="41" t="inlineStr">
        <is>
          <t>DM-97</t>
        </is>
      </c>
      <c r="C235" s="41" t="inlineStr">
        <is>
          <t>F80032 N+6.00</t>
        </is>
      </c>
      <c r="D235" s="41" t="inlineStr">
        <is>
          <t>N+6.00</t>
        </is>
      </c>
      <c r="E235" s="54" t="n">
        <v>0.08</v>
      </c>
      <c r="F235" s="56">
        <f>TABLEROS!$Y$40</f>
        <v>941.275510204082</v>
      </c>
      <c r="G235" s="36">
        <f>E235*F235/1000</f>
        <v>0.0753020408163265</v>
      </c>
      <c r="H235" s="56">
        <f>TABLEROS!$X$40</f>
        <v>708.673469387755</v>
      </c>
      <c r="I235" s="36">
        <f>E235*H235/1000</f>
        <v>0.0566938775510204</v>
      </c>
      <c r="J235" s="41" t="inlineStr">
        <is>
          <t>DM</t>
        </is>
      </c>
      <c r="K235" s="37" t="inlineStr">
        <is>
          <t>sobre muro</t>
        </is>
      </c>
      <c r="L235" s="36">
        <f>E235*TABLEROS!$U$40/1000</f>
        <v>0.008</v>
      </c>
      <c r="M235" s="36">
        <f>E235*IF(TABLEROS!$E$40="HABITACIÓN",DATOS!$C$91,DATOS!$C$94)/1000</f>
        <v>0.0012</v>
      </c>
    </row>
    <row r="236">
      <c r="B236" s="41" t="inlineStr">
        <is>
          <t>DM-117</t>
        </is>
      </c>
      <c r="C236" s="41" t="inlineStr">
        <is>
          <t>F80032 N+6.00</t>
        </is>
      </c>
      <c r="D236" s="41" t="inlineStr">
        <is>
          <t>N+6.00</t>
        </is>
      </c>
      <c r="E236" s="54" t="n">
        <v>1.1801</v>
      </c>
      <c r="F236" s="56">
        <f>TABLEROS!$Y$40</f>
        <v>941.275510204082</v>
      </c>
      <c r="G236" s="36">
        <f>E236*F236/1000</f>
        <v>1.11079922959184</v>
      </c>
      <c r="H236" s="56">
        <f>TABLEROS!$X$40</f>
        <v>708.673469387755</v>
      </c>
      <c r="I236" s="36">
        <f>E236*H236/1000</f>
        <v>0.83630556122449</v>
      </c>
      <c r="J236" s="41" t="inlineStr">
        <is>
          <t>DM</t>
        </is>
      </c>
      <c r="K236" s="37" t="inlineStr">
        <is>
          <t>sobre muro</t>
        </is>
      </c>
      <c r="L236" s="36">
        <f>E236*TABLEROS!$U$40/1000</f>
        <v>0.11801</v>
      </c>
      <c r="M236" s="36">
        <f>E236*IF(TABLEROS!$E$40="HABITACIÓN",DATOS!$C$91,DATOS!$C$94)/1000</f>
        <v>0.0177015</v>
      </c>
    </row>
    <row r="237">
      <c r="B237" s="41" t="inlineStr">
        <is>
          <t>DM-88</t>
        </is>
      </c>
      <c r="C237" s="41" t="inlineStr">
        <is>
          <t>F80032 N+6.00</t>
        </is>
      </c>
      <c r="D237" s="41" t="inlineStr">
        <is>
          <t>N+6.00</t>
        </is>
      </c>
      <c r="E237" s="54" t="n">
        <v>0.07920000000000001</v>
      </c>
      <c r="F237" s="56">
        <f>TABLEROS!$Y$40</f>
        <v>941.275510204082</v>
      </c>
      <c r="G237" s="36">
        <f>E237*F237/1000</f>
        <v>0.0745490204081633</v>
      </c>
      <c r="H237" s="56">
        <f>TABLEROS!$X$40</f>
        <v>708.673469387755</v>
      </c>
      <c r="I237" s="36">
        <f>E237*H237/1000</f>
        <v>0.0561269387755102</v>
      </c>
      <c r="J237" s="41" t="inlineStr">
        <is>
          <t>DM</t>
        </is>
      </c>
      <c r="K237" s="37" t="inlineStr">
        <is>
          <t>sobre muro</t>
        </is>
      </c>
      <c r="L237" s="36">
        <f>E237*TABLEROS!$U$40/1000</f>
        <v>0.00792</v>
      </c>
      <c r="M237" s="36">
        <f>E237*IF(TABLEROS!$E$40="HABITACIÓN",DATOS!$C$91,DATOS!$C$94)/1000</f>
        <v>0.001188</v>
      </c>
    </row>
    <row r="238">
      <c r="B238" s="41" t="inlineStr">
        <is>
          <t>DM-118</t>
        </is>
      </c>
      <c r="C238" s="41" t="inlineStr">
        <is>
          <t>F80032 N+6.00</t>
        </is>
      </c>
      <c r="D238" s="41" t="inlineStr">
        <is>
          <t>N+6.00</t>
        </is>
      </c>
      <c r="E238" s="54" t="n">
        <v>0.3759</v>
      </c>
      <c r="F238" s="56">
        <f>TABLEROS!$Y$40</f>
        <v>941.275510204082</v>
      </c>
      <c r="G238" s="36">
        <f>E238*F238/1000</f>
        <v>0.353825464285714</v>
      </c>
      <c r="H238" s="56">
        <f>TABLEROS!$X$40</f>
        <v>708.673469387755</v>
      </c>
      <c r="I238" s="36">
        <f>E238*H238/1000</f>
        <v>0.266390357142857</v>
      </c>
      <c r="J238" s="41" t="inlineStr">
        <is>
          <t>DM</t>
        </is>
      </c>
      <c r="K238" s="37" t="inlineStr">
        <is>
          <t>sobre muro</t>
        </is>
      </c>
      <c r="L238" s="36">
        <f>E238*TABLEROS!$U$40/1000</f>
        <v>0.03759</v>
      </c>
      <c r="M238" s="36">
        <f>E238*IF(TABLEROS!$E$40="HABITACIÓN",DATOS!$C$91,DATOS!$C$94)/1000</f>
        <v>0.0056385</v>
      </c>
    </row>
    <row r="239">
      <c r="B239" s="41" t="inlineStr">
        <is>
          <t>DM-119</t>
        </is>
      </c>
      <c r="C239" s="41" t="inlineStr">
        <is>
          <t>F80032 N+6.00</t>
        </is>
      </c>
      <c r="D239" s="41" t="inlineStr">
        <is>
          <t>N+6.00</t>
        </is>
      </c>
      <c r="E239" s="54" t="n">
        <v>1.0396</v>
      </c>
      <c r="F239" s="56">
        <f>TABLEROS!$Y$40</f>
        <v>941.275510204082</v>
      </c>
      <c r="G239" s="36">
        <f>E239*F239/1000</f>
        <v>0.978550020408163</v>
      </c>
      <c r="H239" s="56">
        <f>TABLEROS!$X$40</f>
        <v>708.673469387755</v>
      </c>
      <c r="I239" s="36">
        <f>E239*H239/1000</f>
        <v>0.73673693877551</v>
      </c>
      <c r="J239" s="41" t="inlineStr">
        <is>
          <t>DM</t>
        </is>
      </c>
      <c r="K239" s="37" t="inlineStr">
        <is>
          <t>sobre muro</t>
        </is>
      </c>
      <c r="L239" s="36">
        <f>E239*TABLEROS!$U$40/1000</f>
        <v>0.10396</v>
      </c>
      <c r="M239" s="36">
        <f>E239*IF(TABLEROS!$E$40="HABITACIÓN",DATOS!$C$91,DATOS!$C$94)/1000</f>
        <v>0.015594</v>
      </c>
    </row>
    <row r="240">
      <c r="B240" s="41" t="inlineStr">
        <is>
          <t>DM-84</t>
        </is>
      </c>
      <c r="C240" s="41" t="inlineStr">
        <is>
          <t>F80032 N+6.00</t>
        </is>
      </c>
      <c r="D240" s="41" t="inlineStr">
        <is>
          <t>N+6.00</t>
        </is>
      </c>
      <c r="E240" s="54" t="n">
        <v>0.3362</v>
      </c>
      <c r="F240" s="56">
        <f>TABLEROS!$Y$40</f>
        <v>941.275510204082</v>
      </c>
      <c r="G240" s="36">
        <f>E240*F240/1000</f>
        <v>0.316456826530612</v>
      </c>
      <c r="H240" s="56">
        <f>TABLEROS!$X$40</f>
        <v>708.673469387755</v>
      </c>
      <c r="I240" s="36">
        <f>E240*H240/1000</f>
        <v>0.238256020408163</v>
      </c>
      <c r="J240" s="41" t="inlineStr">
        <is>
          <t>DM</t>
        </is>
      </c>
      <c r="K240" s="37" t="inlineStr">
        <is>
          <t>sobre muro</t>
        </is>
      </c>
      <c r="L240" s="36">
        <f>E240*TABLEROS!$U$40/1000</f>
        <v>0.03362</v>
      </c>
      <c r="M240" s="36">
        <f>E240*IF(TABLEROS!$E$40="HABITACIÓN",DATOS!$C$91,DATOS!$C$94)/1000</f>
        <v>0.005043</v>
      </c>
    </row>
    <row r="241">
      <c r="B241" s="41" t="inlineStr">
        <is>
          <t>SIN DALA</t>
        </is>
      </c>
      <c r="C241" s="41" t="inlineStr">
        <is>
          <t>F80032 N+6.00</t>
        </is>
      </c>
      <c r="D241" s="41" t="inlineStr">
        <is>
          <t>N+6.00</t>
        </is>
      </c>
      <c r="E241" s="54" t="n">
        <v>0.0688</v>
      </c>
      <c r="F241" s="56">
        <f>TABLEROS!$Y$40</f>
        <v>941.275510204082</v>
      </c>
      <c r="G241" s="36">
        <f>E241*F241/1000</f>
        <v>0.0647597551020408</v>
      </c>
      <c r="H241" s="56">
        <f>TABLEROS!$X$40</f>
        <v>708.673469387755</v>
      </c>
      <c r="I241" s="36">
        <f>E241*H241/1000</f>
        <v>0.0487567346938776</v>
      </c>
      <c r="J241" s="41" t="inlineStr">
        <is>
          <t>SIN DALA</t>
        </is>
      </c>
      <c r="K241" s="37" t="inlineStr">
        <is>
          <t>borde sin dala en el E2K</t>
        </is>
      </c>
      <c r="L241" s="36">
        <f>E241*TABLEROS!$U$40/1000</f>
        <v>0.00688</v>
      </c>
      <c r="M241" s="36">
        <f>E241*IF(TABLEROS!$E$40="HABITACIÓN",DATOS!$C$91,DATOS!$C$94)/1000</f>
        <v>0.001032</v>
      </c>
    </row>
    <row r="242">
      <c r="B242" s="41" t="inlineStr">
        <is>
          <t>DM-118</t>
        </is>
      </c>
      <c r="C242" s="41" t="inlineStr">
        <is>
          <t>F80010 N+6.00</t>
        </is>
      </c>
      <c r="D242" s="41" t="inlineStr">
        <is>
          <t>N+6.00</t>
        </is>
      </c>
      <c r="E242" s="54" t="n">
        <v>0.3003</v>
      </c>
      <c r="F242" s="56">
        <f>TABLEROS!$Y$30</f>
        <v>921.775510204082</v>
      </c>
      <c r="G242" s="36">
        <f>E242*F242/1000</f>
        <v>0.276809185714286</v>
      </c>
      <c r="H242" s="56">
        <f>TABLEROS!$X$30</f>
        <v>693.673469387755</v>
      </c>
      <c r="I242" s="36">
        <f>E242*H242/1000</f>
        <v>0.208310142857143</v>
      </c>
      <c r="J242" s="41" t="inlineStr">
        <is>
          <t>DM</t>
        </is>
      </c>
      <c r="K242" s="37" t="inlineStr">
        <is>
          <t>sobre muro</t>
        </is>
      </c>
      <c r="L242" s="36">
        <f>E242*TABLEROS!$U$30/1000</f>
        <v>0.03003</v>
      </c>
      <c r="M242" s="36">
        <f>E242*IF(TABLEROS!$E$30="HABITACIÓN",DATOS!$C$91,DATOS!$C$94)/1000</f>
        <v>0.0045045</v>
      </c>
    </row>
    <row r="243">
      <c r="B243" s="41" t="inlineStr">
        <is>
          <t>DM-119</t>
        </is>
      </c>
      <c r="C243" s="41" t="inlineStr">
        <is>
          <t>F80010 N+6.00</t>
        </is>
      </c>
      <c r="D243" s="41" t="inlineStr">
        <is>
          <t>N+6.00</t>
        </is>
      </c>
      <c r="E243" s="54" t="n">
        <v>0.5323</v>
      </c>
      <c r="F243" s="56">
        <f>TABLEROS!$Y$30</f>
        <v>921.775510204082</v>
      </c>
      <c r="G243" s="36">
        <f>E243*F243/1000</f>
        <v>0.490661104081633</v>
      </c>
      <c r="H243" s="56">
        <f>TABLEROS!$X$30</f>
        <v>693.673469387755</v>
      </c>
      <c r="I243" s="36">
        <f>E243*H243/1000</f>
        <v>0.369242387755102</v>
      </c>
      <c r="J243" s="41" t="inlineStr">
        <is>
          <t>DM</t>
        </is>
      </c>
      <c r="K243" s="37" t="inlineStr">
        <is>
          <t>sobre muro</t>
        </is>
      </c>
      <c r="L243" s="36">
        <f>E243*TABLEROS!$U$30/1000</f>
        <v>0.05323</v>
      </c>
      <c r="M243" s="36">
        <f>E243*IF(TABLEROS!$E$30="HABITACIÓN",DATOS!$C$91,DATOS!$C$94)/1000</f>
        <v>0.0079845</v>
      </c>
    </row>
    <row r="244">
      <c r="B244" s="41" t="inlineStr">
        <is>
          <t>DM-86</t>
        </is>
      </c>
      <c r="C244" s="41" t="inlineStr">
        <is>
          <t>F80010 N+6.00</t>
        </is>
      </c>
      <c r="D244" s="41" t="inlineStr">
        <is>
          <t>N+6.00</t>
        </is>
      </c>
      <c r="E244" s="54" t="n">
        <v>0.9651999999999999</v>
      </c>
      <c r="F244" s="56">
        <f>TABLEROS!$Y$30</f>
        <v>921.775510204082</v>
      </c>
      <c r="G244" s="36">
        <f>E244*F244/1000</f>
        <v>0.88969772244898</v>
      </c>
      <c r="H244" s="56">
        <f>TABLEROS!$X$30</f>
        <v>693.673469387755</v>
      </c>
      <c r="I244" s="36">
        <f>E244*H244/1000</f>
        <v>0.669533632653061</v>
      </c>
      <c r="J244" s="41" t="inlineStr">
        <is>
          <t>DM</t>
        </is>
      </c>
      <c r="K244" s="37" t="inlineStr">
        <is>
          <t>sobre muro</t>
        </is>
      </c>
      <c r="L244" s="36">
        <f>E244*TABLEROS!$U$30/1000</f>
        <v>0.09652</v>
      </c>
      <c r="M244" s="36">
        <f>E244*IF(TABLEROS!$E$30="HABITACIÓN",DATOS!$C$91,DATOS!$C$94)/1000</f>
        <v>0.014478</v>
      </c>
    </row>
    <row r="245">
      <c r="B245" s="41" t="inlineStr">
        <is>
          <t>DM-87</t>
        </is>
      </c>
      <c r="C245" s="41" t="inlineStr">
        <is>
          <t>F80010 N+6.00</t>
        </is>
      </c>
      <c r="D245" s="41" t="inlineStr">
        <is>
          <t>N+6.00</t>
        </is>
      </c>
      <c r="E245" s="54" t="n">
        <v>1.2501</v>
      </c>
      <c r="F245" s="56">
        <f>TABLEROS!$Y$30</f>
        <v>921.775510204082</v>
      </c>
      <c r="G245" s="36">
        <f>E245*F245/1000</f>
        <v>1.15231156530612</v>
      </c>
      <c r="H245" s="56">
        <f>TABLEROS!$X$30</f>
        <v>693.673469387755</v>
      </c>
      <c r="I245" s="36">
        <f>E245*H245/1000</f>
        <v>0.867161204081633</v>
      </c>
      <c r="J245" s="41" t="inlineStr">
        <is>
          <t>DM</t>
        </is>
      </c>
      <c r="K245" s="37" t="inlineStr">
        <is>
          <t>sobre muro</t>
        </is>
      </c>
      <c r="L245" s="36">
        <f>E245*TABLEROS!$U$30/1000</f>
        <v>0.12501</v>
      </c>
      <c r="M245" s="36">
        <f>E245*IF(TABLEROS!$E$30="HABITACIÓN",DATOS!$C$91,DATOS!$C$94)/1000</f>
        <v>0.0187515</v>
      </c>
    </row>
    <row r="246">
      <c r="B246" s="41" t="inlineStr">
        <is>
          <t>DM-88</t>
        </is>
      </c>
      <c r="C246" s="41" t="inlineStr">
        <is>
          <t>F80010 N+6.00</t>
        </is>
      </c>
      <c r="D246" s="41" t="inlineStr">
        <is>
          <t>N+6.00</t>
        </is>
      </c>
      <c r="E246" s="54" t="n">
        <v>0.07920000000000001</v>
      </c>
      <c r="F246" s="56">
        <f>TABLEROS!$Y$30</f>
        <v>921.775510204082</v>
      </c>
      <c r="G246" s="36">
        <f>E246*F246/1000</f>
        <v>0.0730046204081633</v>
      </c>
      <c r="H246" s="56">
        <f>TABLEROS!$X$30</f>
        <v>693.673469387755</v>
      </c>
      <c r="I246" s="36">
        <f>E246*H246/1000</f>
        <v>0.0549389387755102</v>
      </c>
      <c r="J246" s="41" t="inlineStr">
        <is>
          <t>DM</t>
        </is>
      </c>
      <c r="K246" s="37" t="inlineStr">
        <is>
          <t>sobre muro</t>
        </is>
      </c>
      <c r="L246" s="36">
        <f>E246*TABLEROS!$U$30/1000</f>
        <v>0.00792</v>
      </c>
      <c r="M246" s="36">
        <f>E246*IF(TABLEROS!$E$30="HABITACIÓN",DATOS!$C$91,DATOS!$C$94)/1000</f>
        <v>0.001188</v>
      </c>
    </row>
    <row r="247">
      <c r="B247" s="41" t="inlineStr">
        <is>
          <t>NP-33</t>
        </is>
      </c>
      <c r="C247" s="41" t="inlineStr">
        <is>
          <t>F80010 N+6.00</t>
        </is>
      </c>
      <c r="D247" s="41" t="inlineStr">
        <is>
          <t>N+6.00</t>
        </is>
      </c>
      <c r="E247" s="54" t="n">
        <v>0.8327</v>
      </c>
      <c r="F247" s="56">
        <f>TABLEROS!$Y$30</f>
        <v>921.775510204082</v>
      </c>
      <c r="G247" s="36">
        <f>E247*F247/1000</f>
        <v>0.767562467346939</v>
      </c>
      <c r="H247" s="56">
        <f>TABLEROS!$X$30</f>
        <v>693.673469387755</v>
      </c>
      <c r="I247" s="36">
        <f>E247*H247/1000</f>
        <v>0.577621897959184</v>
      </c>
      <c r="J247" s="41" t="inlineStr">
        <is>
          <t>NP</t>
        </is>
      </c>
      <c r="K247" s="37" t="str">
        <f>PRINCIPALES!$BZ$41</f>
        <v>CUMPLE</v>
      </c>
      <c r="L247" s="36">
        <f>E247*TABLEROS!$U$30/1000</f>
        <v>0.08327</v>
      </c>
      <c r="M247" s="36">
        <f>E247*IF(TABLEROS!$E$30="HABITACIÓN",DATOS!$C$91,DATOS!$C$94)/1000</f>
        <v>0.0124905</v>
      </c>
    </row>
    <row r="248">
      <c r="B248" s="41" t="inlineStr">
        <is>
          <t>DM-82</t>
        </is>
      </c>
      <c r="C248" s="41" t="inlineStr">
        <is>
          <t>F80010 N+6.00</t>
        </is>
      </c>
      <c r="D248" s="41" t="inlineStr">
        <is>
          <t>N+6.00</t>
        </is>
      </c>
      <c r="E248" s="54" t="n">
        <v>1.1477</v>
      </c>
      <c r="F248" s="56">
        <f>TABLEROS!$Y$30</f>
        <v>921.775510204082</v>
      </c>
      <c r="G248" s="36">
        <f>E248*F248/1000</f>
        <v>1.05792175306122</v>
      </c>
      <c r="H248" s="56">
        <f>TABLEROS!$X$30</f>
        <v>693.673469387755</v>
      </c>
      <c r="I248" s="36">
        <f>E248*H248/1000</f>
        <v>0.796129040816326</v>
      </c>
      <c r="J248" s="41" t="inlineStr">
        <is>
          <t>DM</t>
        </is>
      </c>
      <c r="K248" s="37" t="inlineStr">
        <is>
          <t>sobre muro</t>
        </is>
      </c>
      <c r="L248" s="36">
        <f>E248*TABLEROS!$U$30/1000</f>
        <v>0.11477</v>
      </c>
      <c r="M248" s="36">
        <f>E248*IF(TABLEROS!$E$30="HABITACIÓN",DATOS!$C$91,DATOS!$C$94)/1000</f>
        <v>0.0172155</v>
      </c>
    </row>
    <row r="249">
      <c r="B249" s="41" t="inlineStr">
        <is>
          <t>DM-83</t>
        </is>
      </c>
      <c r="C249" s="41" t="inlineStr">
        <is>
          <t>F80010 N+6.00</t>
        </is>
      </c>
      <c r="D249" s="41" t="inlineStr">
        <is>
          <t>N+6.00</t>
        </is>
      </c>
      <c r="E249" s="54" t="n">
        <v>1.1468</v>
      </c>
      <c r="F249" s="56">
        <f>TABLEROS!$Y$30</f>
        <v>921.775510204082</v>
      </c>
      <c r="G249" s="36">
        <f>E249*F249/1000</f>
        <v>1.05709215510204</v>
      </c>
      <c r="H249" s="56">
        <f>TABLEROS!$X$30</f>
        <v>693.673469387755</v>
      </c>
      <c r="I249" s="36">
        <f>E249*H249/1000</f>
        <v>0.795504734693878</v>
      </c>
      <c r="J249" s="41" t="inlineStr">
        <is>
          <t>DM</t>
        </is>
      </c>
      <c r="K249" s="37" t="inlineStr">
        <is>
          <t>sobre muro</t>
        </is>
      </c>
      <c r="L249" s="36">
        <f>E249*TABLEROS!$U$30/1000</f>
        <v>0.11468</v>
      </c>
      <c r="M249" s="36">
        <f>E249*IF(TABLEROS!$E$30="HABITACIÓN",DATOS!$C$91,DATOS!$C$94)/1000</f>
        <v>0.017202</v>
      </c>
    </row>
    <row r="250">
      <c r="B250" s="41" t="inlineStr">
        <is>
          <t>DM-120</t>
        </is>
      </c>
      <c r="C250" s="41" t="inlineStr">
        <is>
          <t>F2 N+6.00</t>
        </is>
      </c>
      <c r="D250" s="41" t="inlineStr">
        <is>
          <t>N+6.00</t>
        </is>
      </c>
      <c r="E250" s="54" t="n">
        <v>0.251</v>
      </c>
      <c r="F250" s="56">
        <f>TABLEROS!$Y$29</f>
        <v>882.775510204082</v>
      </c>
      <c r="G250" s="36">
        <f>E250*F250/1000</f>
        <v>0.221576653061224</v>
      </c>
      <c r="H250" s="56">
        <f>TABLEROS!$X$29</f>
        <v>663.673469387755</v>
      </c>
      <c r="I250" s="36">
        <f>E250*H250/1000</f>
        <v>0.166582040816327</v>
      </c>
      <c r="J250" s="41" t="inlineStr">
        <is>
          <t>DM</t>
        </is>
      </c>
      <c r="K250" s="37" t="inlineStr">
        <is>
          <t>sobre muro</t>
        </is>
      </c>
      <c r="L250" s="36">
        <f>E250*TABLEROS!$U$29/1000</f>
        <v>0.0251</v>
      </c>
      <c r="M250" s="36">
        <f>E250*IF(TABLEROS!$E$29="HABITACIÓN",DATOS!$C$91,DATOS!$C$94)/1000</f>
        <v>0.003765</v>
      </c>
    </row>
    <row r="251">
      <c r="B251" s="41" t="inlineStr">
        <is>
          <t>DM-67</t>
        </is>
      </c>
      <c r="C251" s="41" t="inlineStr">
        <is>
          <t>F2 N+6.00</t>
        </is>
      </c>
      <c r="D251" s="41" t="inlineStr">
        <is>
          <t>N+6.00</t>
        </is>
      </c>
      <c r="E251" s="54" t="n">
        <v>0.3379</v>
      </c>
      <c r="F251" s="56">
        <f>TABLEROS!$Y$29</f>
        <v>882.775510204082</v>
      </c>
      <c r="G251" s="36">
        <f>E251*F251/1000</f>
        <v>0.298289844897959</v>
      </c>
      <c r="H251" s="56">
        <f>TABLEROS!$X$29</f>
        <v>663.673469387755</v>
      </c>
      <c r="I251" s="36">
        <f>E251*H251/1000</f>
        <v>0.224255265306122</v>
      </c>
      <c r="J251" s="41" t="inlineStr">
        <is>
          <t>DM</t>
        </is>
      </c>
      <c r="K251" s="37" t="inlineStr">
        <is>
          <t>sobre muro</t>
        </is>
      </c>
      <c r="L251" s="36">
        <f>E251*TABLEROS!$U$29/1000</f>
        <v>0.03379</v>
      </c>
      <c r="M251" s="36">
        <f>E251*IF(TABLEROS!$E$29="HABITACIÓN",DATOS!$C$91,DATOS!$C$94)/1000</f>
        <v>0.0050685</v>
      </c>
    </row>
    <row r="252">
      <c r="B252" s="41" t="inlineStr">
        <is>
          <t>DM-68</t>
        </is>
      </c>
      <c r="C252" s="41" t="inlineStr">
        <is>
          <t>F2 N+6.00</t>
        </is>
      </c>
      <c r="D252" s="41" t="inlineStr">
        <is>
          <t>N+6.00</t>
        </is>
      </c>
      <c r="E252" s="54" t="n">
        <v>1.3277</v>
      </c>
      <c r="F252" s="56">
        <f>TABLEROS!$Y$29</f>
        <v>882.775510204082</v>
      </c>
      <c r="G252" s="36">
        <f>E252*F252/1000</f>
        <v>1.17206104489796</v>
      </c>
      <c r="H252" s="56">
        <f>TABLEROS!$X$29</f>
        <v>663.673469387755</v>
      </c>
      <c r="I252" s="36">
        <f>E252*H252/1000</f>
        <v>0.881159265306123</v>
      </c>
      <c r="J252" s="41" t="inlineStr">
        <is>
          <t>DM</t>
        </is>
      </c>
      <c r="K252" s="37" t="inlineStr">
        <is>
          <t>sobre muro</t>
        </is>
      </c>
      <c r="L252" s="36">
        <f>E252*TABLEROS!$U$29/1000</f>
        <v>0.13277</v>
      </c>
      <c r="M252" s="36">
        <f>E252*IF(TABLEROS!$E$29="HABITACIÓN",DATOS!$C$91,DATOS!$C$94)/1000</f>
        <v>0.0199155</v>
      </c>
    </row>
    <row r="253">
      <c r="B253" s="41" t="inlineStr">
        <is>
          <t>DM-69</t>
        </is>
      </c>
      <c r="C253" s="41" t="inlineStr">
        <is>
          <t>F2 N+6.00</t>
        </is>
      </c>
      <c r="D253" s="41" t="inlineStr">
        <is>
          <t>N+6.00</t>
        </is>
      </c>
      <c r="E253" s="54" t="n">
        <v>0.2513</v>
      </c>
      <c r="F253" s="56">
        <f>TABLEROS!$Y$29</f>
        <v>882.775510204082</v>
      </c>
      <c r="G253" s="36">
        <f>E253*F253/1000</f>
        <v>0.221841485714286</v>
      </c>
      <c r="H253" s="56">
        <f>TABLEROS!$X$29</f>
        <v>663.673469387755</v>
      </c>
      <c r="I253" s="36">
        <f>E253*H253/1000</f>
        <v>0.166781142857143</v>
      </c>
      <c r="J253" s="41" t="inlineStr">
        <is>
          <t>DM</t>
        </is>
      </c>
      <c r="K253" s="37" t="inlineStr">
        <is>
          <t>sobre muro</t>
        </is>
      </c>
      <c r="L253" s="36">
        <f>E253*TABLEROS!$U$29/1000</f>
        <v>0.02513</v>
      </c>
      <c r="M253" s="36">
        <f>E253*IF(TABLEROS!$E$29="HABITACIÓN",DATOS!$C$91,DATOS!$C$94)/1000</f>
        <v>0.0037695</v>
      </c>
    </row>
    <row r="254">
      <c r="B254" s="41" t="inlineStr">
        <is>
          <t>DM-107</t>
        </is>
      </c>
      <c r="C254" s="41" t="inlineStr">
        <is>
          <t>F2 N+6.00</t>
        </is>
      </c>
      <c r="D254" s="41" t="inlineStr">
        <is>
          <t>N+6.00</t>
        </is>
      </c>
      <c r="E254" s="54" t="n">
        <v>0.251</v>
      </c>
      <c r="F254" s="56">
        <f>TABLEROS!$Y$29</f>
        <v>882.775510204082</v>
      </c>
      <c r="G254" s="36">
        <f>E254*F254/1000</f>
        <v>0.221576653061224</v>
      </c>
      <c r="H254" s="56">
        <f>TABLEROS!$X$29</f>
        <v>663.673469387755</v>
      </c>
      <c r="I254" s="36">
        <f>E254*H254/1000</f>
        <v>0.166582040816327</v>
      </c>
      <c r="J254" s="41" t="inlineStr">
        <is>
          <t>DM</t>
        </is>
      </c>
      <c r="K254" s="37" t="inlineStr">
        <is>
          <t>sobre muro</t>
        </is>
      </c>
      <c r="L254" s="36">
        <f>E254*TABLEROS!$U$29/1000</f>
        <v>0.0251</v>
      </c>
      <c r="M254" s="36">
        <f>E254*IF(TABLEROS!$E$29="HABITACIÓN",DATOS!$C$91,DATOS!$C$94)/1000</f>
        <v>0.003765</v>
      </c>
    </row>
    <row r="255">
      <c r="B255" s="41" t="inlineStr">
        <is>
          <t>DM-66</t>
        </is>
      </c>
      <c r="C255" s="41" t="inlineStr">
        <is>
          <t>F2 N+6.00</t>
        </is>
      </c>
      <c r="D255" s="41" t="inlineStr">
        <is>
          <t>N+6.00</t>
        </is>
      </c>
      <c r="E255" s="54" t="n">
        <v>1.9168</v>
      </c>
      <c r="F255" s="56">
        <f>TABLEROS!$Y$29</f>
        <v>882.775510204082</v>
      </c>
      <c r="G255" s="36">
        <f>E255*F255/1000</f>
        <v>1.69210409795918</v>
      </c>
      <c r="H255" s="56">
        <f>TABLEROS!$X$29</f>
        <v>663.673469387755</v>
      </c>
      <c r="I255" s="36">
        <f>E255*H255/1000</f>
        <v>1.27212930612245</v>
      </c>
      <c r="J255" s="41" t="inlineStr">
        <is>
          <t>DM</t>
        </is>
      </c>
      <c r="K255" s="37" t="inlineStr">
        <is>
          <t>sobre muro</t>
        </is>
      </c>
      <c r="L255" s="36">
        <f>E255*TABLEROS!$U$29/1000</f>
        <v>0.19168</v>
      </c>
      <c r="M255" s="36">
        <f>E255*IF(TABLEROS!$E$29="HABITACIÓN",DATOS!$C$91,DATOS!$C$94)/1000</f>
        <v>0.028752</v>
      </c>
    </row>
  </sheetData>
  <mergeCells count="2">
    <mergeCell ref="B2:M2"/>
    <mergeCell ref="B1:M1"/>
  </mergeCells>
  <conditionalFormatting sqref="K6:K255">
    <cfRule type="expression" priority="1" dxfId="0" stopIfTrue="1">
      <formula>OR(ISNUMBER(FIND("NO CUMPLE",K6)),ISNUMBER(FIND("REVISAR",K6)),ISNUMBER(FIND("NO CABE",K6)),ISNUMBER(FIND("FUERA",K6)),ISNUMBER(FIND("SIN APOYO",K6)),ISNUMBER(FIND("INSUFICIENTE",K6)),ISNUMBER(FIND("PENDIENTE",K6)))</formula>
    </cfRule>
    <cfRule type="expression" priority="2" dxfId="1" stopIfTrue="1">
      <formula>OR(ISNUMBER(FIND("CUMPLE",K6)),ISNUMBER(FIND("SÍ aplica",K6)),ISNUMBER(FIND("MANDA",K6)))</formula>
    </cfRule>
    <cfRule type="expression" priority="3" dxfId="2" stopIfTrue="1">
      <formula>OR(ISNUMBER(FIND("MACIZAR",K6)),ISNUMBER(FIND("VOLADO",K6)),ISNUMBER(FIND("PROPUESTO",K6)),ISNUMBER(FIND("VER ",K6)))</formula>
    </cfRule>
  </conditionalFormatting>
  <pageMargins left="0.75" right="0.75" top="1" bottom="1" header="0.5" footer="0.5"/>
  <pageSetup orientation="landscape" paperSize="1" fitToHeight="0" fitToWidth="1"/>
</worksheet>
</file>

<file path=xl/worksheets/sheet14.xml><?xml version="1.0" encoding="utf-8"?>
<worksheet xmlns="http://schemas.openxmlformats.org/spreadsheetml/2006/main">
  <sheetPr>
    <outlinePr summaryBelow="1" summaryRight="1"/>
    <pageSetUpPr fitToPage="1"/>
  </sheetPr>
  <dimension ref="B1:Q20"/>
  <sheetViews>
    <sheetView showGridLines="0" workbookViewId="0">
      <selection activeCell="A1" sqref="A1"/>
    </sheetView>
  </sheetViews>
  <sheetFormatPr baseColWidth="8" defaultRowHeight="15"/>
  <cols>
    <col width="1.78" customWidth="1" min="1" max="1"/>
    <col width="10" customWidth="1" min="2" max="2"/>
    <col width="8" customWidth="1" min="3" max="3"/>
    <col width="10" customWidth="1" min="4" max="4"/>
    <col width="9" customWidth="1" min="5" max="5"/>
    <col width="8" customWidth="1" min="6" max="6"/>
    <col width="9" customWidth="1" min="7" max="7"/>
    <col width="10" customWidth="1" min="8" max="8"/>
    <col width="10" customWidth="1" min="9" max="9"/>
    <col width="8" customWidth="1" min="10" max="10"/>
    <col width="8" customWidth="1" min="11" max="11"/>
    <col width="14" customWidth="1" min="12" max="12"/>
    <col width="8" customWidth="1" min="13" max="13"/>
    <col width="10" customWidth="1" min="14" max="14"/>
    <col width="8" customWidth="1" min="15" max="15"/>
    <col width="8" customWidth="1" min="16" max="16"/>
    <col width="9" customWidth="1" min="17" max="17"/>
  </cols>
  <sheetData>
    <row r="1" ht="26" customHeight="1">
      <c r="B1" s="68" t="inlineStr">
        <is>
          <t>TRANSFER — NERVADURAS PRINCIPALES QUE SE APOYAN EN OTRAS (DIRECTO O A TRAVÉS DEL MURO DE ARRIBA)</t>
        </is>
      </c>
    </row>
    <row r="2" ht="30" customHeight="1">
      <c r="B2" s="84" t="inlineStr">
        <is>
          <t>La reacción del extremo de un tramo entra como carga puntual en el tramo que lo recibe, a la distancia «pos» de su extremo i. «Por el muro»: la principal de azotea descarga en un castillo o muro del primer nivel que está sobre una principal del N+3.00. Las referencias son directas (sin búsquedas) para que Excel no vea referencias circulares.</t>
        </is>
      </c>
    </row>
    <row r="5" ht="42" customHeight="1">
      <c r="B5" s="8" t="inlineStr">
        <is>
          <t>Tramo que entrega</t>
        </is>
      </c>
      <c r="C5" s="8" t="inlineStr">
        <is>
          <t>Extremo</t>
        </is>
      </c>
      <c r="D5" s="8" t="inlineStr">
        <is>
          <t>Tramo que recibe</t>
        </is>
      </c>
      <c r="E5" s="8" t="inlineStr">
        <is>
          <t>pos desde i (m)</t>
        </is>
      </c>
      <c r="F5" s="8" t="inlineStr">
        <is>
          <t>P_u (t)</t>
        </is>
      </c>
      <c r="G5" s="8" t="inlineStr">
        <is>
          <t>L del que recibe (m)</t>
        </is>
      </c>
      <c r="H5" s="8" t="inlineStr">
        <is>
          <t>Momento que aporta (t·m)</t>
        </is>
      </c>
      <c r="I5" s="8" t="inlineStr">
        <is>
          <t>Cortante que aporta (t)</t>
        </is>
      </c>
      <c r="J5" s="8" t="inlineStr">
        <is>
          <t>A R_i (t)</t>
        </is>
      </c>
      <c r="K5" s="8" t="inlineStr">
        <is>
          <t>A R_j (t)</t>
        </is>
      </c>
      <c r="L5" s="8" t="inlineStr">
        <is>
          <t>Condición del que recibe</t>
        </is>
      </c>
      <c r="M5" s="8" t="inlineStr">
        <is>
          <t>P serv. (t)</t>
        </is>
      </c>
      <c r="N5" s="8" t="inlineStr">
        <is>
          <t>M serv. que aporta (t·m)</t>
        </is>
      </c>
      <c r="O5" s="8" t="inlineStr">
        <is>
          <t>A R_i serv. (t)</t>
        </is>
      </c>
      <c r="P5" s="8" t="inlineStr">
        <is>
          <t>A R_j serv. (t)</t>
        </is>
      </c>
      <c r="Q5" s="8" t="inlineStr">
        <is>
          <t>Vía</t>
        </is>
      </c>
    </row>
    <row r="6">
      <c r="B6" s="41" t="inlineStr">
        <is>
          <t>NP-04</t>
        </is>
      </c>
      <c r="C6" s="41" t="inlineStr">
        <is>
          <t>j</t>
        </is>
      </c>
      <c r="D6" s="41" t="inlineStr">
        <is>
          <t>NP-22</t>
        </is>
      </c>
      <c r="E6" s="54" t="n">
        <v>1.002</v>
      </c>
      <c r="F6" s="36">
        <f>PRINCIPALES!$AJ$12</f>
        <v>0.482552969387755</v>
      </c>
      <c r="G6" s="36">
        <f>PRINCIPALES!$G$30</f>
        <v>1.925</v>
      </c>
      <c r="H6" s="36">
        <f>IF(PRINCIPALES!$L$30="APOYADA",F6*E6*(G6-E6)/G6,IF(PRINCIPALES!$L$30="VOLADO",F6*IF(PRINCIPALES!$M$30="i",E6,G6-E6),0))</f>
        <v>0.231837497935786</v>
      </c>
      <c r="I6" s="36">
        <f>IF(PRINCIPALES!$L$30="APOYADA",F6*MAX(E6,G6-E6)/G6,IF(PRINCIPALES!$L$30="VOLADO",F6,0))</f>
        <v>0.251178220948847</v>
      </c>
      <c r="J6" s="36">
        <f>IF(PRINCIPALES!$L$30="APOYADA",F6*(G6-E6)/G6,0)</f>
        <v>0.231374748438908</v>
      </c>
      <c r="K6" s="36">
        <f>IF(PRINCIPALES!$L$30="APOYADA",F6*E6/G6,0)</f>
        <v>0.251178220948847</v>
      </c>
      <c r="L6" s="41" t="str">
        <f>PRINCIPALES!$L$30</f>
        <v>APOYADA</v>
      </c>
      <c r="M6" s="36">
        <f>PRINCIPALES!$AL$12</f>
        <v>0.356697591836735</v>
      </c>
      <c r="N6" s="36">
        <f>IF(PRINCIPALES!$L$30="APOYADA",M6*E6*(G6-E6)/G6,IF(PRINCIPALES!$L$30="VOLADO",M6*IF(PRINCIPALES!$M$30="i",E6,G6-E6),0))</f>
        <v>0.171371605724591</v>
      </c>
      <c r="O6" s="36">
        <f>IF(PRINCIPALES!$L$30="APOYADA",M6*(G6-E6)/G6,0)</f>
        <v>0.171029546631328</v>
      </c>
      <c r="P6" s="36">
        <f>IF(PRINCIPALES!$L$30="APOYADA",M6*E6/G6,0)</f>
        <v>0.185668045205407</v>
      </c>
      <c r="Q6" s="41" t="inlineStr">
        <is>
          <t>directo</t>
        </is>
      </c>
    </row>
    <row r="7">
      <c r="B7" s="41" t="inlineStr">
        <is>
          <t>NP-11</t>
        </is>
      </c>
      <c r="C7" s="41" t="inlineStr">
        <is>
          <t>i</t>
        </is>
      </c>
      <c r="D7" s="41" t="inlineStr">
        <is>
          <t>NP-26</t>
        </is>
      </c>
      <c r="E7" s="54" t="n">
        <v>4.297</v>
      </c>
      <c r="F7" s="36">
        <f>PRINCIPALES!$AI$19</f>
        <v>1.80477259392857</v>
      </c>
      <c r="G7" s="36">
        <f>PRINCIPALES!$G$34</f>
        <v>5.497</v>
      </c>
      <c r="H7" s="36">
        <f>IF(PRINCIPALES!$L$34="APOYADA",F7*E7*(G7-E7)/G7,IF(PRINCIPALES!$L$34="VOLADO",F7*IF(PRINCIPALES!$M$34="i",E7,G7-E7),0))</f>
        <v>1.69294695348977</v>
      </c>
      <c r="I7" s="36">
        <f>IF(PRINCIPALES!$L$34="APOYADA",F7*MAX(E7,G7-E7)/G7,IF(PRINCIPALES!$L$34="VOLADO",F7,0))</f>
        <v>1.41078912790814</v>
      </c>
      <c r="J7" s="36">
        <f>IF(PRINCIPALES!$L$34="APOYADA",F7*(G7-E7)/G7,0)</f>
        <v>0.393983466020427</v>
      </c>
      <c r="K7" s="36">
        <f>IF(PRINCIPALES!$L$34="APOYADA",F7*E7/G7,0)</f>
        <v>1.41078912790814</v>
      </c>
      <c r="L7" s="41" t="str">
        <f>PRINCIPALES!$L$34</f>
        <v>APOYADA</v>
      </c>
      <c r="M7" s="36">
        <f>PRINCIPALES!$AK$19</f>
        <v>1.38828661071429</v>
      </c>
      <c r="N7" s="36">
        <f>IF(PRINCIPALES!$L$34="APOYADA",M7*E7*(G7-E7)/G7,IF(PRINCIPALES!$L$34="VOLADO",M7*IF(PRINCIPALES!$M$34="i",E7,G7-E7),0))</f>
        <v>1.30226688729983</v>
      </c>
      <c r="O7" s="36">
        <f>IF(PRINCIPALES!$L$34="APOYADA",M7*(G7-E7)/G7,0)</f>
        <v>0.303064204631098</v>
      </c>
      <c r="P7" s="36">
        <f>IF(PRINCIPALES!$L$34="APOYADA",M7*E7/G7,0)</f>
        <v>1.08522240608319</v>
      </c>
      <c r="Q7" s="41" t="inlineStr">
        <is>
          <t>directo</t>
        </is>
      </c>
    </row>
    <row r="8">
      <c r="B8" s="41" t="inlineStr">
        <is>
          <t>NP-13</t>
        </is>
      </c>
      <c r="C8" s="41" t="inlineStr">
        <is>
          <t>i</t>
        </is>
      </c>
      <c r="D8" s="41" t="inlineStr">
        <is>
          <t>NP-27</t>
        </is>
      </c>
      <c r="E8" s="54" t="n">
        <v>0.399</v>
      </c>
      <c r="F8" s="36">
        <f>PRINCIPALES!$AI$21</f>
        <v>7.896316080731</v>
      </c>
      <c r="G8" s="36">
        <f>PRINCIPALES!$G$35</f>
        <v>0.399</v>
      </c>
      <c r="H8" s="36">
        <f>IF(PRINCIPALES!$L$35="APOYADA",F8*E8*(G8-E8)/G8,IF(PRINCIPALES!$L$35="VOLADO",F8*IF(PRINCIPALES!$M$35="i",E8,G8-E8),0))</f>
        <v>3.15063011621167</v>
      </c>
      <c r="I8" s="36">
        <f>IF(PRINCIPALES!$L$35="APOYADA",F8*MAX(E8,G8-E8)/G8,IF(PRINCIPALES!$L$35="VOLADO",F8,0))</f>
        <v>7.896316080731</v>
      </c>
      <c r="J8" s="36">
        <f>IF(PRINCIPALES!$L$35="APOYADA",F8*(G8-E8)/G8,0)</f>
        <v>0</v>
      </c>
      <c r="K8" s="36">
        <f>IF(PRINCIPALES!$L$35="APOYADA",F8*E8/G8,0)</f>
        <v>0</v>
      </c>
      <c r="L8" s="41" t="str">
        <f>PRINCIPALES!$L$35</f>
        <v>VOLADO</v>
      </c>
      <c r="M8" s="36">
        <f>PRINCIPALES!$AK$21</f>
        <v>5.97637101171256</v>
      </c>
      <c r="N8" s="36">
        <f>IF(PRINCIPALES!$L$35="APOYADA",M8*E8*(G8-E8)/G8,IF(PRINCIPALES!$L$35="VOLADO",M8*IF(PRINCIPALES!$M$35="i",E8,G8-E8),0))</f>
        <v>2.38457203367331</v>
      </c>
      <c r="O8" s="36">
        <f>IF(PRINCIPALES!$L$35="APOYADA",M8*(G8-E8)/G8,0)</f>
        <v>0</v>
      </c>
      <c r="P8" s="36">
        <f>IF(PRINCIPALES!$L$35="APOYADA",M8*E8/G8,0)</f>
        <v>0</v>
      </c>
      <c r="Q8" s="41" t="inlineStr">
        <is>
          <t>directo</t>
        </is>
      </c>
    </row>
    <row r="9">
      <c r="B9" s="41" t="inlineStr">
        <is>
          <t>NP-18</t>
        </is>
      </c>
      <c r="C9" s="41" t="inlineStr">
        <is>
          <t>i</t>
        </is>
      </c>
      <c r="D9" s="41" t="inlineStr">
        <is>
          <t>NP-12</t>
        </is>
      </c>
      <c r="E9" s="54" t="n">
        <v>3.029</v>
      </c>
      <c r="F9" s="36">
        <f>PRINCIPALES!$AI$26</f>
        <v>2.7526409104882</v>
      </c>
      <c r="G9" s="36">
        <f>PRINCIPALES!$G$20</f>
        <v>3.427</v>
      </c>
      <c r="H9" s="36">
        <f>IF(PRINCIPALES!$L$20="APOYADA",F9*E9*(G9-E9)/G9,IF(PRINCIPALES!$L$20="VOLADO",F9*IF(PRINCIPALES!$M$20="i",E9,G9-E9),0))</f>
        <v>0.968317545524298</v>
      </c>
      <c r="I9" s="36">
        <f>IF(PRINCIPALES!$L$20="APOYADA",F9*MAX(E9,G9-E9)/G9,IF(PRINCIPALES!$L$20="VOLADO",F9,0))</f>
        <v>2.43295865709622</v>
      </c>
      <c r="J9" s="36">
        <f>IF(PRINCIPALES!$L$20="APOYADA",F9*(G9-E9)/G9,0)</f>
        <v>0.319682253391977</v>
      </c>
      <c r="K9" s="36">
        <f>IF(PRINCIPALES!$L$20="APOYADA",F9*E9/G9,0)</f>
        <v>2.43295865709622</v>
      </c>
      <c r="L9" s="41" t="str">
        <f>PRINCIPALES!$L$20</f>
        <v>APOYADA</v>
      </c>
      <c r="M9" s="36">
        <f>PRINCIPALES!$AK$26</f>
        <v>2.07808457489477</v>
      </c>
      <c r="N9" s="36">
        <f>IF(PRINCIPALES!$L$20="APOYADA",M9*E9*(G9-E9)/G9,IF(PRINCIPALES!$L$20="VOLADO",M9*IF(PRINCIPALES!$M$20="i",E9,G9-E9),0))</f>
        <v>0.731023704285904</v>
      </c>
      <c r="O9" s="36">
        <f>IF(PRINCIPALES!$L$20="APOYADA",M9*(G9-E9)/G9,0)</f>
        <v>0.241341599302048</v>
      </c>
      <c r="P9" s="36">
        <f>IF(PRINCIPALES!$L$20="APOYADA",M9*E9/G9,0)</f>
        <v>1.83674297559272</v>
      </c>
      <c r="Q9" s="41" t="inlineStr">
        <is>
          <t>directo</t>
        </is>
      </c>
    </row>
    <row r="10">
      <c r="B10" s="41" t="inlineStr">
        <is>
          <t>NP-18</t>
        </is>
      </c>
      <c r="C10" s="41" t="inlineStr">
        <is>
          <t>j</t>
        </is>
      </c>
      <c r="D10" s="41" t="inlineStr">
        <is>
          <t>NP-15</t>
        </is>
      </c>
      <c r="E10" s="54" t="n">
        <v>3.029</v>
      </c>
      <c r="F10" s="36">
        <f>PRINCIPALES!$AJ$26</f>
        <v>3.12788427879751</v>
      </c>
      <c r="G10" s="36">
        <f>PRINCIPALES!$G$23</f>
        <v>4.925</v>
      </c>
      <c r="H10" s="36">
        <f>IF(PRINCIPALES!$L$23="APOYADA",F10*E10*(G10-E10)/G10,IF(PRINCIPALES!$L$23="VOLADO",F10*IF(PRINCIPALES!$M$23="i",E10,G10-E10),0))</f>
        <v>3.64738870395648</v>
      </c>
      <c r="I10" s="36">
        <f>IF(PRINCIPALES!$L$23="APOYADA",F10*MAX(E10,G10-E10)/G10,IF(PRINCIPALES!$L$23="VOLADO",F10,0))</f>
        <v>1.92372821938633</v>
      </c>
      <c r="J10" s="36">
        <f>IF(PRINCIPALES!$L$23="APOYADA",F10*(G10-E10)/G10,0)</f>
        <v>1.20415605941118</v>
      </c>
      <c r="K10" s="36">
        <f>IF(PRINCIPALES!$L$23="APOYADA",F10*E10/G10,0)</f>
        <v>1.92372821938633</v>
      </c>
      <c r="L10" s="41" t="str">
        <f>PRINCIPALES!$L$23</f>
        <v>APOYADA</v>
      </c>
      <c r="M10" s="36">
        <f>PRINCIPALES!$AL$26</f>
        <v>2.36120203224809</v>
      </c>
      <c r="N10" s="36">
        <f>IF(PRINCIPALES!$L$23="APOYADA",M10*E10*(G10-E10)/G10,IF(PRINCIPALES!$L$23="VOLADO",M10*IF(PRINCIPALES!$M$23="i",E10,G10-E10),0))</f>
        <v>2.75336964303924</v>
      </c>
      <c r="O10" s="36">
        <f>IF(PRINCIPALES!$L$23="APOYADA",M10*(G10-E10)/G10,0)</f>
        <v>0.909002853429923</v>
      </c>
      <c r="P10" s="36">
        <f>IF(PRINCIPALES!$L$23="APOYADA",M10*E10/G10,0)</f>
        <v>1.45219917881816</v>
      </c>
      <c r="Q10" s="41" t="inlineStr">
        <is>
          <t>directo</t>
        </is>
      </c>
    </row>
    <row r="11">
      <c r="B11" s="41" t="inlineStr">
        <is>
          <t>NP-19</t>
        </is>
      </c>
      <c r="C11" s="41" t="inlineStr">
        <is>
          <t>i</t>
        </is>
      </c>
      <c r="D11" s="41" t="inlineStr">
        <is>
          <t>NP-10</t>
        </is>
      </c>
      <c r="E11" s="54" t="n">
        <v>3.427</v>
      </c>
      <c r="F11" s="36">
        <f>PRINCIPALES!$AI$27</f>
        <v>3.2220281125</v>
      </c>
      <c r="G11" s="36">
        <f>PRINCIPALES!$G$18</f>
        <v>4.327</v>
      </c>
      <c r="H11" s="36">
        <f>IF(PRINCIPALES!$L$18="APOYADA",F11*E11*(G11-E11)/G11,IF(PRINCIPALES!$L$18="VOLADO",F11*IF(PRINCIPALES!$M$18="i",E11,G11-E11),0))</f>
        <v>2.29667236130893</v>
      </c>
      <c r="I11" s="36">
        <f>IF(PRINCIPALES!$L$18="APOYADA",F11*MAX(E11,G11-E11)/G11,IF(PRINCIPALES!$L$18="VOLADO",F11,0))</f>
        <v>2.55185817923215</v>
      </c>
      <c r="J11" s="36">
        <f>IF(PRINCIPALES!$L$18="APOYADA",F11*(G11-E11)/G11,0)</f>
        <v>0.670169933267853</v>
      </c>
      <c r="K11" s="36">
        <f>IF(PRINCIPALES!$L$18="APOYADA",F11*E11/G11,0)</f>
        <v>2.55185817923215</v>
      </c>
      <c r="L11" s="41" t="str">
        <f>PRINCIPALES!$L$18</f>
        <v>APOYADA</v>
      </c>
      <c r="M11" s="36">
        <f>PRINCIPALES!$AK$27</f>
        <v>2.429781625</v>
      </c>
      <c r="N11" s="36">
        <f>IF(PRINCIPALES!$L$18="APOYADA",M11*E11*(G11-E11)/G11,IF(PRINCIPALES!$L$18="VOLADO",M11*IF(PRINCIPALES!$M$18="i",E11,G11-E11),0))</f>
        <v>1.73195642846949</v>
      </c>
      <c r="O11" s="36">
        <f>IF(PRINCIPALES!$L$18="APOYADA",M11*(G11-E11)/G11,0)</f>
        <v>0.505385593367229</v>
      </c>
      <c r="P11" s="36">
        <f>IF(PRINCIPALES!$L$18="APOYADA",M11*E11/G11,0)</f>
        <v>1.92439603163277</v>
      </c>
      <c r="Q11" s="41" t="inlineStr">
        <is>
          <t>directo</t>
        </is>
      </c>
    </row>
    <row r="12">
      <c r="B12" s="41" t="inlineStr">
        <is>
          <t>NP-24</t>
        </is>
      </c>
      <c r="C12" s="41" t="inlineStr">
        <is>
          <t>i</t>
        </is>
      </c>
      <c r="D12" s="41" t="inlineStr">
        <is>
          <t>NP-15</t>
        </is>
      </c>
      <c r="E12" s="54" t="n">
        <v>4.426</v>
      </c>
      <c r="F12" s="36">
        <f>PRINCIPALES!$AI$32</f>
        <v>8.93059657959184</v>
      </c>
      <c r="G12" s="36">
        <f>PRINCIPALES!$G$23</f>
        <v>4.925</v>
      </c>
      <c r="H12" s="36">
        <f>IF(PRINCIPALES!$L$23="APOYADA",F12*E12*(G12-E12)/G12,IF(PRINCIPALES!$L$23="VOLADO",F12*IF(PRINCIPALES!$M$23="i",E12,G12-E12),0))</f>
        <v>4.00484942338588</v>
      </c>
      <c r="I12" s="36">
        <f>IF(PRINCIPALES!$L$23="APOYADA",F12*MAX(E12,G12-E12)/G12,IF(PRINCIPALES!$L$23="VOLADO",F12,0))</f>
        <v>8.0257503474667</v>
      </c>
      <c r="J12" s="36">
        <f>IF(PRINCIPALES!$L$23="APOYADA",F12*(G12-E12)/G12,0)</f>
        <v>0.904846232125142</v>
      </c>
      <c r="K12" s="36">
        <f>IF(PRINCIPALES!$L$23="APOYADA",F12*E12/G12,0)</f>
        <v>8.0257503474667</v>
      </c>
      <c r="L12" s="41" t="str">
        <f>PRINCIPALES!$L$23</f>
        <v>APOYADA</v>
      </c>
      <c r="M12" s="36">
        <f>PRINCIPALES!$AK$32</f>
        <v>6.73601406122449</v>
      </c>
      <c r="N12" s="36">
        <f>IF(PRINCIPALES!$L$23="APOYADA",M12*E12*(G12-E12)/G12,IF(PRINCIPALES!$L$23="VOLADO",M12*IF(PRINCIPALES!$M$23="i",E12,G12-E12),0))</f>
        <v>3.02070771964565</v>
      </c>
      <c r="O12" s="36">
        <f>IF(PRINCIPALES!$L$23="APOYADA",M12*(G12-E12)/G12,0)</f>
        <v>0.682491576964674</v>
      </c>
      <c r="P12" s="36">
        <f>IF(PRINCIPALES!$L$23="APOYADA",M12*E12/G12,0)</f>
        <v>6.05352248425982</v>
      </c>
      <c r="Q12" s="41" t="inlineStr">
        <is>
          <t>directo</t>
        </is>
      </c>
    </row>
    <row r="13">
      <c r="B13" s="41" t="inlineStr">
        <is>
          <t>NP-25</t>
        </is>
      </c>
      <c r="C13" s="41" t="inlineStr">
        <is>
          <t>i</t>
        </is>
      </c>
      <c r="D13" s="41" t="inlineStr">
        <is>
          <t>NP-05</t>
        </is>
      </c>
      <c r="E13" s="54" t="n">
        <v>0</v>
      </c>
      <c r="F13" s="36">
        <f>PRINCIPALES!$AI$33</f>
        <v>0.618084973469388</v>
      </c>
      <c r="G13" s="36">
        <f>PRINCIPALES!$G$13</f>
        <v>0.463</v>
      </c>
      <c r="H13" s="36">
        <f>IF(PRINCIPALES!$L$13="APOYADA",F13*E13*(G13-E13)/G13,IF(PRINCIPALES!$L$13="VOLADO",F13*IF(PRINCIPALES!$M$13="i",E13,G13-E13),0))</f>
        <v>0.286173342716327</v>
      </c>
      <c r="I13" s="36">
        <f>IF(PRINCIPALES!$L$13="APOYADA",F13*MAX(E13,G13-E13)/G13,IF(PRINCIPALES!$L$13="VOLADO",F13,0))</f>
        <v>0.618084973469388</v>
      </c>
      <c r="J13" s="36">
        <f>IF(PRINCIPALES!$L$13="APOYADA",F13*(G13-E13)/G13,0)</f>
        <v>0</v>
      </c>
      <c r="K13" s="36">
        <f>IF(PRINCIPALES!$L$13="APOYADA",F13*E13/G13,0)</f>
        <v>0</v>
      </c>
      <c r="L13" s="41" t="str">
        <f>PRINCIPALES!$L$13</f>
        <v>VOLADO</v>
      </c>
      <c r="M13" s="36">
        <f>PRINCIPALES!$AK$33</f>
        <v>0.459204979591837</v>
      </c>
      <c r="N13" s="36">
        <f>IF(PRINCIPALES!$L$13="APOYADA",M13*E13*(G13-E13)/G13,IF(PRINCIPALES!$L$13="VOLADO",M13*IF(PRINCIPALES!$M$13="i",E13,G13-E13),0))</f>
        <v>0.21261190555102</v>
      </c>
      <c r="O13" s="36">
        <f>IF(PRINCIPALES!$L$13="APOYADA",M13*(G13-E13)/G13,0)</f>
        <v>0</v>
      </c>
      <c r="P13" s="36">
        <f>IF(PRINCIPALES!$L$13="APOYADA",M13*E13/G13,0)</f>
        <v>0</v>
      </c>
      <c r="Q13" s="41" t="inlineStr">
        <is>
          <t>directo</t>
        </is>
      </c>
    </row>
    <row r="14">
      <c r="B14" s="41" t="inlineStr">
        <is>
          <t>NP-28</t>
        </is>
      </c>
      <c r="C14" s="41" t="inlineStr">
        <is>
          <t>i</t>
        </is>
      </c>
      <c r="D14" s="41" t="inlineStr">
        <is>
          <t>NP-13</t>
        </is>
      </c>
      <c r="E14" s="54" t="n">
        <v>0.4</v>
      </c>
      <c r="F14" s="36">
        <f>PRINCIPALES!$AI$36</f>
        <v>2.60484117537883</v>
      </c>
      <c r="G14" s="36">
        <f>PRINCIPALES!$G$21</f>
        <v>3.428</v>
      </c>
      <c r="H14" s="36">
        <f>IF(PRINCIPALES!$L$21="APOYADA",F14*E14*(G14-E14)/G14,IF(PRINCIPALES!$L$21="VOLADO",F14*IF(PRINCIPALES!$M$21="i",E14,G14-E14),0))</f>
        <v>0.920356952047501</v>
      </c>
      <c r="I14" s="36">
        <f>IF(PRINCIPALES!$L$21="APOYADA",F14*MAX(E14,G14-E14)/G14,IF(PRINCIPALES!$L$21="VOLADO",F14,0))</f>
        <v>2.30089238011875</v>
      </c>
      <c r="J14" s="36">
        <f>IF(PRINCIPALES!$L$21="APOYADA",F14*(G14-E14)/G14,0)</f>
        <v>2.30089238011875</v>
      </c>
      <c r="K14" s="36">
        <f>IF(PRINCIPALES!$L$21="APOYADA",F14*E14/G14,0)</f>
        <v>0.303948795260073</v>
      </c>
      <c r="L14" s="41" t="str">
        <f>PRINCIPALES!$L$21</f>
        <v>APOYADA</v>
      </c>
      <c r="M14" s="36">
        <f>PRINCIPALES!$AK$36</f>
        <v>1.97049399067602</v>
      </c>
      <c r="N14" s="36">
        <f>IF(PRINCIPALES!$L$21="APOYADA",M14*E14*(G14-E14)/G14,IF(PRINCIPALES!$L$21="VOLADO",M14*IF(PRINCIPALES!$M$21="i",E14,G14-E14),0))</f>
        <v>0.696225881419719</v>
      </c>
      <c r="O14" s="36">
        <f>IF(PRINCIPALES!$L$21="APOYADA",M14*(G14-E14)/G14,0)</f>
        <v>1.7405647035493</v>
      </c>
      <c r="P14" s="36">
        <f>IF(PRINCIPALES!$L$21="APOYADA",M14*E14/G14,0)</f>
        <v>0.229929287126723</v>
      </c>
      <c r="Q14" s="41" t="inlineStr">
        <is>
          <t>directo</t>
        </is>
      </c>
    </row>
    <row r="15">
      <c r="B15" s="41" t="inlineStr">
        <is>
          <t>NP-30</t>
        </is>
      </c>
      <c r="C15" s="41" t="inlineStr">
        <is>
          <t>j</t>
        </is>
      </c>
      <c r="D15" s="41" t="inlineStr">
        <is>
          <t>NP-08</t>
        </is>
      </c>
      <c r="E15" s="54" t="n">
        <v>1.928</v>
      </c>
      <c r="F15" s="36">
        <f>PRINCIPALES!$AJ$38</f>
        <v>4.11715879183674</v>
      </c>
      <c r="G15" s="36">
        <f>PRINCIPALES!$G$16</f>
        <v>2.722</v>
      </c>
      <c r="H15" s="36">
        <f>IF(PRINCIPALES!$L$16="APOYADA",F15*E15*(G15-E15)/G15,IF(PRINCIPALES!$L$16="VOLADO",F15*IF(PRINCIPALES!$M$16="i",E15,G15-E15),0))</f>
        <v>2.31545864350662</v>
      </c>
      <c r="I15" s="36">
        <f>IF(PRINCIPALES!$L$16="APOYADA",F15*MAX(E15,G15-E15)/G15,IF(PRINCIPALES!$L$16="VOLADO",F15,0))</f>
        <v>2.91619476512168</v>
      </c>
      <c r="J15" s="36">
        <f>IF(PRINCIPALES!$L$16="APOYADA",F15*(G15-E15)/G15,0)</f>
        <v>1.20096402671505</v>
      </c>
      <c r="K15" s="36">
        <f>IF(PRINCIPALES!$L$16="APOYADA",F15*E15/G15,0)</f>
        <v>2.91619476512168</v>
      </c>
      <c r="L15" s="41" t="str">
        <f>PRINCIPALES!$L$16</f>
        <v>APOYADA</v>
      </c>
      <c r="M15" s="36">
        <f>PRINCIPALES!$AL$38</f>
        <v>3.0919412244898</v>
      </c>
      <c r="N15" s="36">
        <f>IF(PRINCIPALES!$L$16="APOYADA",M15*E15*(G15-E15)/G15,IF(PRINCIPALES!$L$16="VOLADO",M15*IF(PRINCIPALES!$M$16="i",E15,G15-E15),0))</f>
        <v>1.73888411776935</v>
      </c>
      <c r="O15" s="36">
        <f>IF(PRINCIPALES!$L$16="APOYADA",M15*(G15-E15)/G15,0)</f>
        <v>0.901910849465429</v>
      </c>
      <c r="P15" s="36">
        <f>IF(PRINCIPALES!$L$16="APOYADA",M15*E15/G15,0)</f>
        <v>2.19003037502437</v>
      </c>
      <c r="Q15" s="41" t="inlineStr">
        <is>
          <t>directo</t>
        </is>
      </c>
    </row>
    <row r="16">
      <c r="B16" s="41" t="inlineStr">
        <is>
          <t>NP-31</t>
        </is>
      </c>
      <c r="C16" s="41" t="inlineStr">
        <is>
          <t>i</t>
        </is>
      </c>
      <c r="D16" s="41" t="inlineStr">
        <is>
          <t>NP-28</t>
        </is>
      </c>
      <c r="E16" s="54" t="n">
        <v>0.851</v>
      </c>
      <c r="F16" s="36">
        <f>PRINCIPALES!$AI$39</f>
        <v>0.715687046938776</v>
      </c>
      <c r="G16" s="36">
        <f>PRINCIPALES!$G$36</f>
        <v>1.6</v>
      </c>
      <c r="H16" s="36">
        <f>IF(PRINCIPALES!$L$36="APOYADA",F16*E16*(G16-E16)/G16,IF(PRINCIPALES!$L$36="VOLADO",F16*IF(PRINCIPALES!$M$36="i",E16,G16-E16),0))</f>
        <v>0.28511138001983</v>
      </c>
      <c r="I16" s="36">
        <f>IF(PRINCIPALES!$L$36="APOYADA",F16*MAX(E16,G16-E16)/G16,IF(PRINCIPALES!$L$36="VOLADO",F16,0))</f>
        <v>0.380656048090561</v>
      </c>
      <c r="J16" s="36">
        <f>IF(PRINCIPALES!$L$36="APOYADA",F16*(G16-E16)/G16,0)</f>
        <v>0.335030998848214</v>
      </c>
      <c r="K16" s="36">
        <f>IF(PRINCIPALES!$L$36="APOYADA",F16*E16/G16,0)</f>
        <v>0.380656048090561</v>
      </c>
      <c r="L16" s="41" t="str">
        <f>PRINCIPALES!$L$36</f>
        <v>APOYADA</v>
      </c>
      <c r="M16" s="36">
        <f>PRINCIPALES!$AK$39</f>
        <v>0.540266959183673</v>
      </c>
      <c r="N16" s="36">
        <f>IF(PRINCIPALES!$L$36="APOYADA",M16*E16*(G16-E16)/G16,IF(PRINCIPALES!$L$36="VOLADO",M16*IF(PRINCIPALES!$M$36="i",E16,G16-E16),0))</f>
        <v>0.215228512197946</v>
      </c>
      <c r="O16" s="36">
        <f>IF(PRINCIPALES!$L$36="APOYADA",M16*(G16-E16)/G16,0)</f>
        <v>0.252912470267857</v>
      </c>
      <c r="P16" s="36">
        <f>IF(PRINCIPALES!$L$36="APOYADA",M16*E16/G16,0)</f>
        <v>0.287354488915816</v>
      </c>
      <c r="Q16" s="41" t="inlineStr">
        <is>
          <t>por el muro</t>
        </is>
      </c>
    </row>
    <row r="17">
      <c r="B17" s="41" t="inlineStr">
        <is>
          <t>NP-32</t>
        </is>
      </c>
      <c r="C17" s="41" t="inlineStr">
        <is>
          <t>j</t>
        </is>
      </c>
      <c r="D17" s="41" t="inlineStr">
        <is>
          <t>NP-18</t>
        </is>
      </c>
      <c r="E17" s="54" t="n">
        <v>1.151</v>
      </c>
      <c r="F17" s="36">
        <f>PRINCIPALES!$AJ$40</f>
        <v>0.855255540306122</v>
      </c>
      <c r="G17" s="36">
        <f>PRINCIPALES!$G$26</f>
        <v>1.6</v>
      </c>
      <c r="H17" s="36">
        <f>IF(PRINCIPALES!$L$26="APOYADA",F17*E17*(G17-E17)/G17,IF(PRINCIPALES!$L$26="VOLADO",F17*IF(PRINCIPALES!$M$26="i",E17,G17-E17),0))</f>
        <v>0.276247004984165</v>
      </c>
      <c r="I17" s="36">
        <f>IF(PRINCIPALES!$L$26="APOYADA",F17*MAX(E17,G17-E17)/G17,IF(PRINCIPALES!$L$26="VOLADO",F17,0))</f>
        <v>0.615249454307717</v>
      </c>
      <c r="J17" s="36">
        <f>IF(PRINCIPALES!$L$26="APOYADA",F17*(G17-E17)/G17,0)</f>
        <v>0.240006085998406</v>
      </c>
      <c r="K17" s="36">
        <f>IF(PRINCIPALES!$L$26="APOYADA",F17*E17/G17,0)</f>
        <v>0.615249454307717</v>
      </c>
      <c r="L17" s="41" t="str">
        <f>PRINCIPALES!$L$26</f>
        <v>APOYADA</v>
      </c>
      <c r="M17" s="36">
        <f>PRINCIPALES!$AL$40</f>
        <v>0.645281954081633</v>
      </c>
      <c r="N17" s="36">
        <f>IF(PRINCIPALES!$L$26="APOYADA",M17*E17*(G17-E17)/G17,IF(PRINCIPALES!$L$26="VOLADO",M17*IF(PRINCIPALES!$M$26="i",E17,G17-E17),0))</f>
        <v>0.208425667867146</v>
      </c>
      <c r="O17" s="36">
        <f>IF(PRINCIPALES!$L$26="APOYADA",M17*(G17-E17)/G17,0)</f>
        <v>0.181082248364158</v>
      </c>
      <c r="P17" s="36">
        <f>IF(PRINCIPALES!$L$26="APOYADA",M17*E17/G17,0)</f>
        <v>0.464199705717474</v>
      </c>
      <c r="Q17" s="41" t="inlineStr">
        <is>
          <t>por el muro</t>
        </is>
      </c>
    </row>
    <row r="18">
      <c r="B18" s="41" t="inlineStr">
        <is>
          <t>NP-33</t>
        </is>
      </c>
      <c r="C18" s="41" t="inlineStr">
        <is>
          <t>i</t>
        </is>
      </c>
      <c r="D18" s="41" t="inlineStr">
        <is>
          <t>NP-10</t>
        </is>
      </c>
      <c r="E18" s="54" t="n">
        <v>0</v>
      </c>
      <c r="F18" s="36">
        <f>PRINCIPALES!$AI$41</f>
        <v>0.566996335714286</v>
      </c>
      <c r="G18" s="36">
        <f>PRINCIPALES!$G$18</f>
        <v>4.327</v>
      </c>
      <c r="H18" s="36">
        <f>IF(PRINCIPALES!$L$18="APOYADA",F18*E18*(G18-E18)/G18,IF(PRINCIPALES!$L$18="VOLADO",F18*IF(PRINCIPALES!$M$18="i",E18,G18-E18),0))</f>
        <v>0</v>
      </c>
      <c r="I18" s="36">
        <f>IF(PRINCIPALES!$L$18="APOYADA",F18*MAX(E18,G18-E18)/G18,IF(PRINCIPALES!$L$18="VOLADO",F18,0))</f>
        <v>0.566996335714286</v>
      </c>
      <c r="J18" s="36">
        <f>IF(PRINCIPALES!$L$18="APOYADA",F18*(G18-E18)/G18,0)</f>
        <v>0.566996335714286</v>
      </c>
      <c r="K18" s="36">
        <f>IF(PRINCIPALES!$L$18="APOYADA",F18*E18/G18,0)</f>
        <v>0</v>
      </c>
      <c r="L18" s="41" t="str">
        <f>PRINCIPALES!$L$18</f>
        <v>APOYADA</v>
      </c>
      <c r="M18" s="36">
        <f>PRINCIPALES!$AK$41</f>
        <v>0.429745642857143</v>
      </c>
      <c r="N18" s="36">
        <f>IF(PRINCIPALES!$L$18="APOYADA",M18*E18*(G18-E18)/G18,IF(PRINCIPALES!$L$18="VOLADO",M18*IF(PRINCIPALES!$M$18="i",E18,G18-E18),0))</f>
        <v>0</v>
      </c>
      <c r="O18" s="36">
        <f>IF(PRINCIPALES!$L$18="APOYADA",M18*(G18-E18)/G18,0)</f>
        <v>0.429745642857143</v>
      </c>
      <c r="P18" s="36">
        <f>IF(PRINCIPALES!$L$18="APOYADA",M18*E18/G18,0)</f>
        <v>0</v>
      </c>
      <c r="Q18" s="41" t="inlineStr">
        <is>
          <t>por el muro</t>
        </is>
      </c>
    </row>
    <row r="19">
      <c r="B19" s="41" t="inlineStr">
        <is>
          <t>NP-33</t>
        </is>
      </c>
      <c r="C19" s="41" t="inlineStr">
        <is>
          <t>j</t>
        </is>
      </c>
      <c r="D19" s="41" t="inlineStr">
        <is>
          <t>NP-12</t>
        </is>
      </c>
      <c r="E19" s="54" t="n">
        <v>0</v>
      </c>
      <c r="F19" s="36">
        <f>PRINCIPALES!$AJ$41</f>
        <v>0.566996335714286</v>
      </c>
      <c r="G19" s="36">
        <f>PRINCIPALES!$G$20</f>
        <v>3.427</v>
      </c>
      <c r="H19" s="36">
        <f>IF(PRINCIPALES!$L$20="APOYADA",F19*E19*(G19-E19)/G19,IF(PRINCIPALES!$L$20="VOLADO",F19*IF(PRINCIPALES!$M$20="i",E19,G19-E19),0))</f>
        <v>0</v>
      </c>
      <c r="I19" s="36">
        <f>IF(PRINCIPALES!$L$20="APOYADA",F19*MAX(E19,G19-E19)/G19,IF(PRINCIPALES!$L$20="VOLADO",F19,0))</f>
        <v>0.566996335714286</v>
      </c>
      <c r="J19" s="36">
        <f>IF(PRINCIPALES!$L$20="APOYADA",F19*(G19-E19)/G19,0)</f>
        <v>0.566996335714286</v>
      </c>
      <c r="K19" s="36">
        <f>IF(PRINCIPALES!$L$20="APOYADA",F19*E19/G19,0)</f>
        <v>0</v>
      </c>
      <c r="L19" s="41" t="str">
        <f>PRINCIPALES!$L$20</f>
        <v>APOYADA</v>
      </c>
      <c r="M19" s="36">
        <f>PRINCIPALES!$AL$41</f>
        <v>0.429745642857143</v>
      </c>
      <c r="N19" s="36">
        <f>IF(PRINCIPALES!$L$20="APOYADA",M19*E19*(G19-E19)/G19,IF(PRINCIPALES!$L$20="VOLADO",M19*IF(PRINCIPALES!$M$20="i",E19,G19-E19),0))</f>
        <v>0</v>
      </c>
      <c r="O19" s="36">
        <f>IF(PRINCIPALES!$L$20="APOYADA",M19*(G19-E19)/G19,0)</f>
        <v>0.429745642857143</v>
      </c>
      <c r="P19" s="36">
        <f>IF(PRINCIPALES!$L$20="APOYADA",M19*E19/G19,0)</f>
        <v>0</v>
      </c>
      <c r="Q19" s="41" t="inlineStr">
        <is>
          <t>por el muro</t>
        </is>
      </c>
    </row>
    <row r="20">
      <c r="B20" s="41" t="inlineStr">
        <is>
          <t>NP-34</t>
        </is>
      </c>
      <c r="C20" s="41" t="inlineStr">
        <is>
          <t>j</t>
        </is>
      </c>
      <c r="D20" s="41" t="inlineStr">
        <is>
          <t>NP-08</t>
        </is>
      </c>
      <c r="E20" s="54" t="n">
        <v>0.501</v>
      </c>
      <c r="F20" s="36">
        <f>PRINCIPALES!$AJ$42</f>
        <v>1.36977106173469</v>
      </c>
      <c r="G20" s="36">
        <f>PRINCIPALES!$G$16</f>
        <v>2.722</v>
      </c>
      <c r="H20" s="36">
        <f>IF(PRINCIPALES!$L$16="APOYADA",F20*E20*(G20-E20)/G20,IF(PRINCIPALES!$L$16="VOLADO",F20*IF(PRINCIPALES!$M$16="i",E20,G20-E20),0))</f>
        <v>0.559946004990628</v>
      </c>
      <c r="I20" s="36">
        <f>IF(PRINCIPALES!$L$16="APOYADA",F20*MAX(E20,G20-E20)/G20,IF(PRINCIPALES!$L$16="VOLADO",F20,0))</f>
        <v>1.11765669658808</v>
      </c>
      <c r="J20" s="36">
        <f>IF(PRINCIPALES!$L$16="APOYADA",F20*(G20-E20)/G20,0)</f>
        <v>1.11765669658808</v>
      </c>
      <c r="K20" s="36">
        <f>IF(PRINCIPALES!$L$16="APOYADA",F20*E20/G20,0)</f>
        <v>0.252114365146613</v>
      </c>
      <c r="L20" s="41" t="str">
        <f>PRINCIPALES!$L$16</f>
        <v>APOYADA</v>
      </c>
      <c r="M20" s="36">
        <f>PRINCIPALES!$AL$42</f>
        <v>1.03620773979592</v>
      </c>
      <c r="N20" s="36">
        <f>IF(PRINCIPALES!$L$16="APOYADA",M20*E20*(G20-E20)/G20,IF(PRINCIPALES!$L$16="VOLADO",M20*IF(PRINCIPALES!$M$16="i",E20,G20-E20),0))</f>
        <v>0.423589313899138</v>
      </c>
      <c r="O20" s="36">
        <f>IF(PRINCIPALES!$L$16="APOYADA",M20*(G20-E20)/G20,0)</f>
        <v>0.84548765249329</v>
      </c>
      <c r="P20" s="36">
        <f>IF(PRINCIPALES!$L$16="APOYADA",M20*E20/G20,0)</f>
        <v>0.190720087302629</v>
      </c>
      <c r="Q20" s="41" t="inlineStr">
        <is>
          <t>por el muro</t>
        </is>
      </c>
    </row>
  </sheetData>
  <mergeCells count="2">
    <mergeCell ref="B2:Q2"/>
    <mergeCell ref="B1:Q1"/>
  </mergeCells>
  <pageMargins left="0.75" right="0.75" top="1" bottom="1" header="0.5" footer="0.5"/>
  <pageSetup orientation="landscape" paperSize="1" fitToHeight="0" fitToWidth="1"/>
</worksheet>
</file>

<file path=xl/worksheets/sheet15.xml><?xml version="1.0" encoding="utf-8"?>
<worksheet xmlns="http://schemas.openxmlformats.org/spreadsheetml/2006/main">
  <sheetPr>
    <outlinePr summaryBelow="1" summaryRight="1"/>
    <pageSetUpPr fitToPage="1"/>
  </sheetPr>
  <dimension ref="A1:FX440"/>
  <sheetViews>
    <sheetView showGridLines="0" workbookViewId="0">
      <selection activeCell="A1" sqref="A1"/>
    </sheetView>
  </sheetViews>
  <sheetFormatPr baseColWidth="8" defaultRowHeight="15"/>
  <cols>
    <col width="46" customWidth="1" min="1" max="1"/>
  </cols>
  <sheetData>
    <row r="1">
      <c r="A1" s="85" t="inlineStr">
        <is>
          <t>COORDENADAS DE LAS GRÁFICAS DE LA HOJA CROQUIS</t>
        </is>
      </c>
    </row>
    <row r="2">
      <c r="A2" s="86" t="inlineStr">
        <is>
          <t>La genera el libro solo. Cada par de columnas es un trazo CONTINUO: cuando el trazo ya terminó, las filas que sobran repiten el último punto. Las plantas (columnas CW en adelante) son datos fijos del modelo y del DXF; se separan con renglones vacíos para levantar la pluma.</t>
        </is>
      </c>
    </row>
    <row r="3">
      <c r="DQ3" t="inlineStr">
        <is>
          <t>Polígonos de tableros (búsqueda)</t>
        </is>
      </c>
      <c r="FD3" t="inlineStr">
        <is>
          <t>Nervaduras principales (búsqueda)</t>
        </is>
      </c>
    </row>
    <row r="4">
      <c r="A4" t="inlineStr">
        <is>
          <t>k</t>
        </is>
      </c>
      <c r="B4" t="inlineStr">
        <is>
          <t>Tablero x</t>
        </is>
      </c>
      <c r="C4" t="inlineStr">
        <is>
          <t>Tablero y</t>
        </is>
      </c>
      <c r="D4" t="inlineStr">
        <is>
          <t>Paño de principales x</t>
        </is>
      </c>
      <c r="E4" t="inlineStr">
        <is>
          <t>Paño de principales y</t>
        </is>
      </c>
      <c r="F4" t="inlineStr">
        <is>
          <t>Casetones (aristas ‖ Y) x</t>
        </is>
      </c>
      <c r="G4" t="inlineStr">
        <is>
          <t>Casetones (aristas ‖ Y) y</t>
        </is>
      </c>
      <c r="H4" t="inlineStr">
        <is>
          <t>Casetones (aristas ‖ X) x</t>
        </is>
      </c>
      <c r="I4" t="inlineStr">
        <is>
          <t>Casetones (aristas ‖ X) y</t>
        </is>
      </c>
      <c r="J4" t="inlineStr">
        <is>
          <t>ncorto_inf x</t>
        </is>
      </c>
      <c r="K4" t="inlineStr">
        <is>
          <t>ncorto_inf y</t>
        </is>
      </c>
      <c r="L4" t="inlineStr">
        <is>
          <t>ncorto_sup x</t>
        </is>
      </c>
      <c r="M4" t="inlineStr">
        <is>
          <t>ncorto_sup y</t>
        </is>
      </c>
      <c r="N4" t="inlineStr">
        <is>
          <t>ncorto_bI x</t>
        </is>
      </c>
      <c r="O4" t="inlineStr">
        <is>
          <t>ncorto_bI y</t>
        </is>
      </c>
      <c r="P4" t="inlineStr">
        <is>
          <t>ncorto_bD x</t>
        </is>
      </c>
      <c r="Q4" t="inlineStr">
        <is>
          <t>ncorto_bD y</t>
        </is>
      </c>
      <c r="R4" t="inlineStr">
        <is>
          <t>nlargo_inf x</t>
        </is>
      </c>
      <c r="S4" t="inlineStr">
        <is>
          <t>nlargo_inf y</t>
        </is>
      </c>
      <c r="T4" t="inlineStr">
        <is>
          <t>nlargo_sup x</t>
        </is>
      </c>
      <c r="U4" t="inlineStr">
        <is>
          <t>nlargo_sup y</t>
        </is>
      </c>
      <c r="V4" t="inlineStr">
        <is>
          <t>nlargo_bI x</t>
        </is>
      </c>
      <c r="W4" t="inlineStr">
        <is>
          <t>nlargo_bI y</t>
        </is>
      </c>
      <c r="X4" t="inlineStr">
        <is>
          <t>nlargo_bD x</t>
        </is>
      </c>
      <c r="Y4" t="inlineStr">
        <is>
          <t>nlargo_bD y</t>
        </is>
      </c>
      <c r="Z4" t="inlineStr">
        <is>
          <t>Cota a_x x</t>
        </is>
      </c>
      <c r="AA4" t="inlineStr">
        <is>
          <t>Cota a_x y</t>
        </is>
      </c>
      <c r="AB4" t="inlineStr">
        <is>
          <t>Cota a_y x</t>
        </is>
      </c>
      <c r="AC4" t="inlineStr">
        <is>
          <t>Cota a_y y</t>
        </is>
      </c>
      <c r="AD4" t="inlineStr">
        <is>
          <t>Cota s x</t>
        </is>
      </c>
      <c r="AE4" t="inlineStr">
        <is>
          <t>Cota s y</t>
        </is>
      </c>
      <c r="AF4" t="inlineStr">
        <is>
          <t>Concreto x</t>
        </is>
      </c>
      <c r="AG4" t="inlineStr">
        <is>
          <t>Concreto y</t>
        </is>
      </c>
      <c r="AH4" t="inlineStr">
        <is>
          <t>Casetón izq. x</t>
        </is>
      </c>
      <c r="AI4" t="inlineStr">
        <is>
          <t>Casetón izq. y</t>
        </is>
      </c>
      <c r="AJ4" t="inlineStr">
        <is>
          <t>Casetón der. x</t>
        </is>
      </c>
      <c r="AK4" t="inlineStr">
        <is>
          <t>Casetón der. y</t>
        </is>
      </c>
      <c r="AL4" t="inlineStr">
        <is>
          <t>Malla x</t>
        </is>
      </c>
      <c r="AM4" t="inlineStr">
        <is>
          <t>Malla y</t>
        </is>
      </c>
      <c r="AN4" t="inlineStr">
        <is>
          <t>Varillas inferiores x</t>
        </is>
      </c>
      <c r="AO4" t="inlineStr">
        <is>
          <t>Varillas inferiores y</t>
        </is>
      </c>
      <c r="AP4" t="inlineStr">
        <is>
          <t>Bastones x</t>
        </is>
      </c>
      <c r="AQ4" t="inlineStr">
        <is>
          <t>Bastones y</t>
        </is>
      </c>
      <c r="AR4" t="inlineStr">
        <is>
          <t>Estribo / grapa x</t>
        </is>
      </c>
      <c r="AS4" t="inlineStr">
        <is>
          <t>Estribo / grapa y</t>
        </is>
      </c>
      <c r="AT4" t="inlineStr">
        <is>
          <t>Cota b_w x</t>
        </is>
      </c>
      <c r="AU4" t="inlineStr">
        <is>
          <t>Cota b_w y</t>
        </is>
      </c>
      <c r="AV4" t="inlineStr">
        <is>
          <t>Cota s (corte) x</t>
        </is>
      </c>
      <c r="AW4" t="inlineStr">
        <is>
          <t>Cota s (corte) y</t>
        </is>
      </c>
      <c r="AX4" t="inlineStr">
        <is>
          <t>Cota h x</t>
        </is>
      </c>
      <c r="AY4" t="inlineStr">
        <is>
          <t>Cota h y</t>
        </is>
      </c>
      <c r="AZ4" t="inlineStr">
        <is>
          <t>Nervadura (alzado) x</t>
        </is>
      </c>
      <c r="BA4" t="inlineStr">
        <is>
          <t>Nervadura (alzado) y</t>
        </is>
      </c>
      <c r="BB4" t="inlineStr">
        <is>
          <t>Apoyo izquierdo x</t>
        </is>
      </c>
      <c r="BC4" t="inlineStr">
        <is>
          <t>Apoyo izquierdo y</t>
        </is>
      </c>
      <c r="BD4" t="inlineStr">
        <is>
          <t>Apoyo derecho x</t>
        </is>
      </c>
      <c r="BE4" t="inlineStr">
        <is>
          <t>Apoyo derecho y</t>
        </is>
      </c>
      <c r="BF4" t="inlineStr">
        <is>
          <t>Inferior (alzado) x</t>
        </is>
      </c>
      <c r="BG4" t="inlineStr">
        <is>
          <t>Inferior (alzado) y</t>
        </is>
      </c>
      <c r="BH4" t="inlineStr">
        <is>
          <t>Superior corrido (alzado) x</t>
        </is>
      </c>
      <c r="BI4" t="inlineStr">
        <is>
          <t>Superior corrido (alzado) y</t>
        </is>
      </c>
      <c r="BJ4" t="inlineStr">
        <is>
          <t>Bastón izq. (alzado) x</t>
        </is>
      </c>
      <c r="BK4" t="inlineStr">
        <is>
          <t>Bastón izq. (alzado) y</t>
        </is>
      </c>
      <c r="BL4" t="inlineStr">
        <is>
          <t>Bastón der. (alzado) x</t>
        </is>
      </c>
      <c r="BM4" t="inlineStr">
        <is>
          <t>Bastón der. (alzado) y</t>
        </is>
      </c>
      <c r="BN4" t="inlineStr">
        <is>
          <t>Cota a1 x</t>
        </is>
      </c>
      <c r="BO4" t="inlineStr">
        <is>
          <t>Cota a1 y</t>
        </is>
      </c>
      <c r="BP4" t="inlineStr">
        <is>
          <t>Sección principal x</t>
        </is>
      </c>
      <c r="BQ4" t="inlineStr">
        <is>
          <t>Sección principal y</t>
        </is>
      </c>
      <c r="BR4" t="inlineStr">
        <is>
          <t>Casetón izq. (principal) x</t>
        </is>
      </c>
      <c r="BS4" t="inlineStr">
        <is>
          <t>Casetón izq. (principal) y</t>
        </is>
      </c>
      <c r="BT4" t="inlineStr">
        <is>
          <t>Casetón der. (principal) x</t>
        </is>
      </c>
      <c r="BU4" t="inlineStr">
        <is>
          <t>Casetón der. (principal) y</t>
        </is>
      </c>
      <c r="BV4" t="inlineStr">
        <is>
          <t>Estribo principal x</t>
        </is>
      </c>
      <c r="BW4" t="inlineStr">
        <is>
          <t>Estribo principal y</t>
        </is>
      </c>
      <c r="BX4" t="inlineStr">
        <is>
          <t>Inferiores principal x</t>
        </is>
      </c>
      <c r="BY4" t="inlineStr">
        <is>
          <t>Inferiores principal y</t>
        </is>
      </c>
      <c r="BZ4" t="inlineStr">
        <is>
          <t>Superiores principal x</t>
        </is>
      </c>
      <c r="CA4" t="inlineStr">
        <is>
          <t>Superiores principal y</t>
        </is>
      </c>
      <c r="CB4" t="inlineStr">
        <is>
          <t>Cota b principal x</t>
        </is>
      </c>
      <c r="CC4" t="inlineStr">
        <is>
          <t>Cota b principal y</t>
        </is>
      </c>
      <c r="CD4" t="inlineStr">
        <is>
          <t>Cota h principal x</t>
        </is>
      </c>
      <c r="CE4" t="inlineStr">
        <is>
          <t>Cota h principal y</t>
        </is>
      </c>
      <c r="CW4" t="inlineStr">
        <is>
          <t>tabN+3.00 x</t>
        </is>
      </c>
      <c r="CX4" t="inlineStr">
        <is>
          <t>tabN+3.00 y</t>
        </is>
      </c>
      <c r="CY4" t="inlineStr">
        <is>
          <t>murN+3.00 x</t>
        </is>
      </c>
      <c r="CZ4" t="inlineStr">
        <is>
          <t>murN+3.00 y</t>
        </is>
      </c>
      <c r="DA4" t="inlineStr">
        <is>
          <t>npN+3.00 x</t>
        </is>
      </c>
      <c r="DB4" t="inlineStr">
        <is>
          <t>npN+3.00 y</t>
        </is>
      </c>
      <c r="DC4" t="inlineStr">
        <is>
          <t>vacN+3.00 x</t>
        </is>
      </c>
      <c r="DD4" t="inlineStr">
        <is>
          <t>vacN+3.00 y</t>
        </is>
      </c>
      <c r="DE4" t="inlineStr">
        <is>
          <t>casN+3.00 x</t>
        </is>
      </c>
      <c r="DF4" t="inlineStr">
        <is>
          <t>casN+3.00 y</t>
        </is>
      </c>
      <c r="DG4" t="inlineStr">
        <is>
          <t>tabN+6.00 x</t>
        </is>
      </c>
      <c r="DH4" t="inlineStr">
        <is>
          <t>tabN+6.00 y</t>
        </is>
      </c>
      <c r="DI4" t="inlineStr">
        <is>
          <t>murN+6.00 x</t>
        </is>
      </c>
      <c r="DJ4" t="inlineStr">
        <is>
          <t>murN+6.00 y</t>
        </is>
      </c>
      <c r="DK4" t="inlineStr">
        <is>
          <t>npN+6.00 x</t>
        </is>
      </c>
      <c r="DL4" t="inlineStr">
        <is>
          <t>npN+6.00 y</t>
        </is>
      </c>
      <c r="DM4" t="inlineStr">
        <is>
          <t>vacN+6.00 x</t>
        </is>
      </c>
      <c r="DN4" t="inlineStr">
        <is>
          <t>vacN+6.00 y</t>
        </is>
      </c>
      <c r="DO4" t="inlineStr">
        <is>
          <t>casN+6.00 x</t>
        </is>
      </c>
      <c r="DP4" t="inlineStr">
        <is>
          <t>casN+6.00 y</t>
        </is>
      </c>
      <c r="FK4" t="inlineStr">
        <is>
          <t>sel N+3.00</t>
        </is>
      </c>
      <c r="FM4" t="inlineStr">
        <is>
          <t>np N+3.00</t>
        </is>
      </c>
      <c r="FO4" t="inlineStr">
        <is>
          <t>sel N+6.00</t>
        </is>
      </c>
      <c r="FQ4" t="inlineStr">
        <is>
          <t>np N+6.00</t>
        </is>
      </c>
    </row>
    <row r="8">
      <c r="A8" t="n">
        <v>1</v>
      </c>
      <c r="B8">
        <f>CHOOSE(MIN(MAX($A8,1),5),CROQUIS!$C$15,CROQUIS!$C$15+CROQUIS!$C$10*CROQUIS!$C$14,CROQUIS!$C$15+CROQUIS!$C$10*CROQUIS!$C$14,CROQUIS!$C$15,CROQUIS!$C$15)</f>
        <v>12</v>
      </c>
      <c r="C8">
        <f>CHOOSE(MIN(MAX($A8,1),5),CROQUIS!$C$16,CROQUIS!$C$16,CROQUIS!$C$16+CROQUIS!$C$11*CROQUIS!$C$14,CROQUIS!$C$16+CROQUIS!$C$11*CROQUIS!$C$14,CROQUIS!$C$16)</f>
        <v>15.9462268413918</v>
      </c>
      <c r="D8">
        <f>CHOOSE(MIN(MAX($A8,1),5),CROQUIS!$C$15+DATOS!$C$17/2*CROQUIS!$C$14,CROQUIS!$C$15+CROQUIS!$C$10*CROQUIS!$C$14-DATOS!$C$17/2*CROQUIS!$C$14,CROQUIS!$C$15+CROQUIS!$C$10*CROQUIS!$C$14-DATOS!$C$17/2*CROQUIS!$C$14,CROQUIS!$C$15+DATOS!$C$17/2*CROQUIS!$C$14,CROQUIS!$C$15+DATOS!$C$17/2*CROQUIS!$C$14)</f>
        <v>13.3895164934478</v>
      </c>
      <c r="E8">
        <f>CHOOSE(MIN(MAX($A8,1),5),CROQUIS!$C$16+DATOS!$C$17/2*CROQUIS!$C$14,CROQUIS!$C$16+DATOS!$C$17/2*CROQUIS!$C$14,CROQUIS!$C$16+CROQUIS!$C$11*CROQUIS!$C$14-DATOS!$C$17/2*CROQUIS!$C$14,CROQUIS!$C$16+CROQUIS!$C$11*CROQUIS!$C$14-DATOS!$C$17/2*CROQUIS!$C$14,CROQUIS!$C$16+DATOS!$C$17/2*CROQUIS!$C$14)</f>
        <v>17.3357433348396</v>
      </c>
      <c r="F8">
        <f>IF(NERVADURA!$C$131=0,CROQUIS!$C$15+CROQUIS!$C$10*CROQUIS!$C$14/2,CROQUIS!$C$15+(DATOS!$C$17/2+NERVADURA!$C$132+INT(MIN(INT(($A8-1)/2),MAX(2*NERVADURA!$C$131-1,0))/2)*DATOS!$C$16+MOD(MIN(INT(($A8-1)/2),MAX(2*NERVADURA!$C$131-1,0)),2)*DATOS!$C$11)*CROQUIS!$C$14)</f>
        <v>15.0198825124266</v>
      </c>
      <c r="G8">
        <f>IF(NERVADURA!$C$131=0,CROQUIS!$C$16+CROQUIS!$C$11*CROQUIS!$C$14/2,CROQUIS!$C$16+IF(MOD(MIN(INT(($A8-1)/2),MAX(2*NERVADURA!$C$131-1,0)),2)=0,IF(IF(INT(($A8-1)/2)&gt;MAX(2*NERVADURA!$C$131-1,0),1,MOD($A8-1,2))=0,(DATOS!$C$17/2+NERVADURA!$C$134),(CROQUIS!$C$11-DATOS!$C$17/2-NERVADURA!$C$134)),IF(IF(INT(($A8-1)/2)&gt;MAX(2*NERVADURA!$C$131-1,0),1,MOD($A8-1,2))=0,(CROQUIS!$C$11-DATOS!$C$17/2-NERVADURA!$C$134),(DATOS!$C$17/2+NERVADURA!$C$134)))*CROQUIS!$C$14)</f>
        <v>21.504292815183</v>
      </c>
      <c r="H8">
        <f>IF(NERVADURA!$C$133=0,CROQUIS!$C$15+CROQUIS!$C$10*CROQUIS!$C$14/2,CROQUIS!$C$15+IF(MOD(MIN(INT(($A8-1)/2),MAX(2*NERVADURA!$C$133-1,0)),2)=0,IF(IF(INT(($A8-1)/2)&gt;MAX(2*NERVADURA!$C$133-1,0),1,MOD($A8-1,2))=0,(DATOS!$C$17/2+NERVADURA!$C$132),(CROQUIS!$C$10-DATOS!$C$17/2-NERVADURA!$C$132)),IF(IF(INT(($A8-1)/2)&gt;MAX(2*NERVADURA!$C$133-1,0),1,MOD($A8-1,2))=0,(CROQUIS!$C$10-DATOS!$C$17/2-NERVADURA!$C$132),(DATOS!$C$17/2+NERVADURA!$C$132)))*CROQUIS!$C$14)</f>
        <v>15.0198825124266</v>
      </c>
      <c r="I8">
        <f>IF(NERVADURA!$C$133=0,CROQUIS!$C$16+CROQUIS!$C$11*CROQUIS!$C$14/2,CROQUIS!$C$16+(DATOS!$C$17/2+NERVADURA!$C$134+INT(MIN(INT(($A8-1)/2),MAX(2*NERVADURA!$C$133-1,0))/2)*DATOS!$C$16+MOD(MIN(INT(($A8-1)/2),MAX(2*NERVADURA!$C$133-1,0)),2)*DATOS!$C$11)*CROQUIS!$C$14)</f>
        <v>21.504292815183</v>
      </c>
      <c r="J8">
        <f>IF(CROQUIS!$C$12="X",IF($A8&lt;=1,CROQUIS!$C$15+(0.02)*CROQUIS!$C$10*CROQUIS!$C$14,CROQUIS!$C$15+(0.98)*CROQUIS!$C$10*CROQUIS!$C$14),CROQUIS!$C$15+CROQUIS!$C$10*CROQUIS!$C$14/2+-1.2)</f>
        <v>51.8</v>
      </c>
      <c r="K8">
        <f>IF(CROQUIS!$C$12="X",CROQUIS!$C$16+CROQUIS!$C$11*CROQUIS!$C$14/2+-1.2,IF($A8&lt;=1,CROQUIS!$C$16+(0.02)*CROQUIS!$C$11*CROQUIS!$C$14,CROQUIS!$C$16+(0.98)*CROQUIS!$C$11*CROQUIS!$C$14))</f>
        <v>17.4283777677361</v>
      </c>
      <c r="L8">
        <f>IF(CROQUIS!$C$12="X",IF($A8&lt;=1,CROQUIS!$C$15+(0.02)*CROQUIS!$C$10*CROQUIS!$C$14,CROQUIS!$C$15+(0.98)*CROQUIS!$C$10*CROQUIS!$C$14),CROQUIS!$C$15+CROQUIS!$C$10*CROQUIS!$C$14/2+1.2)</f>
        <v>54.2</v>
      </c>
      <c r="M8">
        <f>IF(CROQUIS!$C$12="X",CROQUIS!$C$16+CROQUIS!$C$11*CROQUIS!$C$14/2+1.2,IF($A8&lt;=1,CROQUIS!$C$16+(0.02)*CROQUIS!$C$11*CROQUIS!$C$14,CROQUIS!$C$16+(0.98)*CROQUIS!$C$11*CROQUIS!$C$14))</f>
        <v>17.4283777677361</v>
      </c>
      <c r="N8">
        <f>IF(NERVADURA!$C$73&lt;2,-50,IF(CROQUIS!$C$12="X",IF($A8&lt;=1,CROQUIS!$C$15+(0)*CROQUIS!$C$10*CROQUIS!$C$14,CROQUIS!$C$15+(IF(CROQUIS!$C$9="VOLADO",1,MIN(0.5,(DATOS!$C$17/2+NERVADURA!$C$137)/(NERVADURA!$C$15*100))))*CROQUIS!$C$10*CROQUIS!$C$14),CROQUIS!$C$15+CROQUIS!$C$10*CROQUIS!$C$14/2+2.6))</f>
        <v>-50</v>
      </c>
      <c r="O8">
        <f>IF(CROQUIS!$C$12="X",CROQUIS!$C$16+CROQUIS!$C$11*CROQUIS!$C$14/2+2.6,IF($A8&lt;=1,CROQUIS!$C$16+(0)*CROQUIS!$C$11*CROQUIS!$C$14,CROQUIS!$C$16+(IF(CROQUIS!$C$9="VOLADO",1,MIN(0.5,(DATOS!$C$17/2+NERVADURA!$C$137)/(NERVADURA!$C$15*100))))*CROQUIS!$C$11*CROQUIS!$C$14))</f>
        <v>15.9462268413918</v>
      </c>
      <c r="P8">
        <f>IF(OR(NERVADURA!$C$73&lt;2,CROQUIS!$C$9="VOLADO"),-50,IF(CROQUIS!$C$12="X",IF($A8&lt;=1,CROQUIS!$C$15+(IF(CROQUIS!$C$9="VOLADO",1,1-MIN(0.5,(DATOS!$C$17/2+NERVADURA!$C$137)/(NERVADURA!$C$15*100))))*CROQUIS!$C$10*CROQUIS!$C$14,CROQUIS!$C$15+(1)*CROQUIS!$C$10*CROQUIS!$C$14),CROQUIS!$C$15+CROQUIS!$C$10*CROQUIS!$C$14/2+2.6))</f>
        <v>-50</v>
      </c>
      <c r="Q8">
        <f>IF(CROQUIS!$C$12="X",CROQUIS!$C$16+CROQUIS!$C$11*CROQUIS!$C$14/2+2.6,IF($A8&lt;=1,CROQUIS!$C$16+(IF(CROQUIS!$C$9="VOLADO",1,1-MIN(0.5,(DATOS!$C$17/2+NERVADURA!$C$137)/(NERVADURA!$C$15*100))))*CROQUIS!$C$11*CROQUIS!$C$14,CROQUIS!$C$16+(1)*CROQUIS!$C$11*CROQUIS!$C$14))</f>
        <v>69.2110257568911</v>
      </c>
      <c r="R8">
        <f>IF(CROQUIS!$C$12="Y",IF($A8&lt;=1,CROQUIS!$C$15+(0.02)*CROQUIS!$C$10*CROQUIS!$C$14,CROQUIS!$C$15+(0.98)*CROQUIS!$C$10*CROQUIS!$C$14),CROQUIS!$C$15+CROQUIS!$C$10*CROQUIS!$C$14/2+-1.2)</f>
        <v>13.64</v>
      </c>
      <c r="S8">
        <f>IF(CROQUIS!$C$12="Y",CROQUIS!$C$16+CROQUIS!$C$11*CROQUIS!$C$14/2+(-1.2)+0.0,IF($A8&lt;=1,CROQUIS!$C$16+(0.02)*CROQUIS!$C$11*CROQUIS!$C$14,CROQUIS!$C$16+(0.98)*CROQUIS!$C$11*CROQUIS!$C$14))</f>
        <v>51.8</v>
      </c>
      <c r="T8">
        <f>IF(CROQUIS!$C$12="Y",IF($A8&lt;=1,CROQUIS!$C$15+(0.02)*CROQUIS!$C$10*CROQUIS!$C$14,CROQUIS!$C$15+(0.98)*CROQUIS!$C$10*CROQUIS!$C$14),CROQUIS!$C$15+CROQUIS!$C$10*CROQUIS!$C$14/2+1.2)</f>
        <v>13.64</v>
      </c>
      <c r="U8">
        <f>IF(CROQUIS!$C$12="Y",CROQUIS!$C$16+CROQUIS!$C$11*CROQUIS!$C$14/2+(1.2)+0.0,IF($A8&lt;=1,CROQUIS!$C$16+(0.02)*CROQUIS!$C$11*CROQUIS!$C$14,CROQUIS!$C$16+(0.98)*CROQUIS!$C$11*CROQUIS!$C$14))</f>
        <v>54.2</v>
      </c>
      <c r="V8">
        <f>IF(NERVADURA!$C$103&lt;2,-50,IF(CROQUIS!$C$12="Y",IF($A8&lt;=1,CROQUIS!$C$15+(0)*CROQUIS!$C$10*CROQUIS!$C$14,CROQUIS!$C$15+(IF(CROQUIS!$C$9="VOLADO",1,MIN(0.5,(DATOS!$C$17/2+NERVADURA!$C$138)/(NERVADURA!$C$16*100))))*CROQUIS!$C$10*CROQUIS!$C$14),CROQUIS!$C$15+CROQUIS!$C$10*CROQUIS!$C$14/2+2.6))</f>
        <v>-50</v>
      </c>
      <c r="W8">
        <f>IF(CROQUIS!$C$12="Y",CROQUIS!$C$16+CROQUIS!$C$11*CROQUIS!$C$14/2+(2.6)+0.0,IF($A8&lt;=1,CROQUIS!$C$16+(0)*CROQUIS!$C$11*CROQUIS!$C$14,CROQUIS!$C$16+(IF(CROQUIS!$C$9="VOLADO",1,MIN(0.5,(DATOS!$C$17/2+NERVADURA!$C$138)/(NERVADURA!$C$16*100))))*CROQUIS!$C$11*CROQUIS!$C$14))</f>
        <v>55.6</v>
      </c>
      <c r="X8">
        <f>IF(OR(NERVADURA!$C$103&lt;2,CROQUIS!$C$9="VOLADO"),-50,IF(CROQUIS!$C$12="Y",IF($A8&lt;=1,CROQUIS!$C$15+(IF(CROQUIS!$C$9="VOLADO",1,1-MIN(0.5,(DATOS!$C$17/2+NERVADURA!$C$138)/(NERVADURA!$C$16*100))))*CROQUIS!$C$10*CROQUIS!$C$14,CROQUIS!$C$15+(1)*CROQUIS!$C$10*CROQUIS!$C$14),CROQUIS!$C$15+CROQUIS!$C$10*CROQUIS!$C$14/2+2.6))</f>
        <v>-50</v>
      </c>
      <c r="Y8">
        <f>IF(CROQUIS!$C$12="Y",CROQUIS!$C$16+CROQUIS!$C$11*CROQUIS!$C$14/2+(2.6)+0.0,IF($A8&lt;=1,CROQUIS!$C$16+(IF(CROQUIS!$C$9="VOLADO",1,1-MIN(0.5,(DATOS!$C$17/2+NERVADURA!$C$138)/(NERVADURA!$C$16*100))))*CROQUIS!$C$11*CROQUIS!$C$14,CROQUIS!$C$16+(1)*CROQUIS!$C$11*CROQUIS!$C$14))</f>
        <v>55.6</v>
      </c>
      <c r="Z8">
        <f>CHOOSE(MIN(MAX($A8,1),7),CROQUIS!$C$15,CROQUIS!$C$15,CROQUIS!$C$15,(CROQUIS!$C$15+CROQUIS!$C$15+CROQUIS!$C$10*CROQUIS!$C$14)/2,CROQUIS!$C$15+CROQUIS!$C$10*CROQUIS!$C$14,CROQUIS!$C$15+CROQUIS!$C$10*CROQUIS!$C$14,CROQUIS!$C$15+CROQUIS!$C$10*CROQUIS!$C$14)</f>
        <v>12</v>
      </c>
      <c r="AA8">
        <f>CHOOSE(MIN(MAX($A8,1),7),CROQUIS!$C$16-5-1.5,CROQUIS!$C$16-5+1.5,CROQUIS!$C$16-5,CROQUIS!$C$16-5,CROQUIS!$C$16-5,CROQUIS!$C$16-5+1.5,CROQUIS!$C$16-5-1.5)</f>
        <v>9.44622684139178</v>
      </c>
      <c r="AB8">
        <f>CHOOSE(MIN(MAX($A8,1),7),CROQUIS!$C$15-5-1.5,CROQUIS!$C$15-5+1.5,CROQUIS!$C$15-5,CROQUIS!$C$15-5,CROQUIS!$C$15-5,CROQUIS!$C$15-5+1.5,CROQUIS!$C$15-5-1.5)</f>
        <v>5.5</v>
      </c>
      <c r="AC8">
        <f>CHOOSE(MIN(MAX($A8,1),7),CROQUIS!$C$16,CROQUIS!$C$16,CROQUIS!$C$16,(CROQUIS!$C$16+CROQUIS!$C$16+CROQUIS!$C$11*CROQUIS!$C$14)/2,CROQUIS!$C$16+CROQUIS!$C$11*CROQUIS!$C$14,CROQUIS!$C$16+CROQUIS!$C$11*CROQUIS!$C$14,CROQUIS!$C$16+CROQUIS!$C$11*CROQUIS!$C$14)</f>
        <v>15.9462268413918</v>
      </c>
      <c r="AD8">
        <f>CHOOSE(MIN(MAX($A8,1),7),CROQUIS!$C$15+(DATOS!$C$17/2+NERVADURA!$C$132)*CROQUIS!$C$14,CROQUIS!$C$15+(DATOS!$C$17/2+NERVADURA!$C$132)*CROQUIS!$C$14,CROQUIS!$C$15+(DATOS!$C$17/2+NERVADURA!$C$132)*CROQUIS!$C$14,(CROQUIS!$C$15+(DATOS!$C$17/2+NERVADURA!$C$132)*CROQUIS!$C$14+CROQUIS!$C$15+(DATOS!$C$17/2+NERVADURA!$C$132+DATOS!$C$16)*CROQUIS!$C$14)/2,CROQUIS!$C$15+(DATOS!$C$17/2+NERVADURA!$C$132+DATOS!$C$16)*CROQUIS!$C$14,CROQUIS!$C$15+(DATOS!$C$17/2+NERVADURA!$C$132+DATOS!$C$16)*CROQUIS!$C$14,CROQUIS!$C$15+(DATOS!$C$17/2+NERVADURA!$C$132+DATOS!$C$16)*CROQUIS!$C$14)</f>
        <v>15.0198825124266</v>
      </c>
      <c r="AE8">
        <f>CHOOSE(MIN(MAX($A8,1),7),CROQUIS!$C$16+CROQUIS!$C$11*CROQUIS!$C$14+4-1.5,CROQUIS!$C$16+CROQUIS!$C$11*CROQUIS!$C$14+4+1.5,CROQUIS!$C$16+CROQUIS!$C$11*CROQUIS!$C$14+4,CROQUIS!$C$16+CROQUIS!$C$11*CROQUIS!$C$14+4,CROQUIS!$C$16+CROQUIS!$C$11*CROQUIS!$C$14+4,CROQUIS!$C$16+CROQUIS!$C$11*CROQUIS!$C$14+4+1.5,CROQUIS!$C$16+CROQUIS!$C$11*CROQUIS!$C$14+4-1.5)</f>
        <v>92.5537731586082</v>
      </c>
      <c r="AF8">
        <f>CHOOSE(MIN(MAX($A8,1),9),-DATOS!$C$16/2,DATOS!$C$16/2,DATOS!$C$16/2,DATOS!$C$13/2,DATOS!$C$13/2,-DATOS!$C$13/2,-DATOS!$C$13/2,-DATOS!$C$16/2,-DATOS!$C$16/2)</f>
        <v>-35</v>
      </c>
      <c r="AG8">
        <f>CHOOSE(MIN(MAX($A8,1),9),DATOS!$C$15,DATOS!$C$15,DATOS!$C$12,DATOS!$C$12,0,0,DATOS!$C$12,DATOS!$C$12,DATOS!$C$15)</f>
        <v>25</v>
      </c>
      <c r="AH8">
        <f>CHOOSE(MIN(MAX($A8,1),5),-DATOS!$C$16/2,-DATOS!$C$13/2,-DATOS!$C$13/2,-DATOS!$C$16/2,-DATOS!$C$16/2)</f>
        <v>-35</v>
      </c>
      <c r="AI8">
        <f>CHOOSE(MIN(MAX($A8,1),5),0,0,DATOS!$C$12,DATOS!$C$12,0)</f>
        <v>0</v>
      </c>
      <c r="AJ8">
        <f>CHOOSE(MIN(MAX($A8,1),5),DATOS!$C$13/2,DATOS!$C$16/2,DATOS!$C$16/2,DATOS!$C$13/2,DATOS!$C$13/2)</f>
        <v>5</v>
      </c>
      <c r="AK8">
        <f>CHOOSE(MIN(MAX($A8,1),5),0,0,DATOS!$C$12,DATOS!$C$12,0)</f>
        <v>0</v>
      </c>
      <c r="AL8">
        <f>IF($A8&lt;=1,-DATOS!$C$16/2+1,DATOS!$C$16/2-1)</f>
        <v>-34</v>
      </c>
      <c r="AM8">
        <f>DATOS!$C$15-DATOS!$C$20-DATOS!$C$35</f>
        <v>22.512</v>
      </c>
      <c r="AN8">
        <f>IF($A8&lt;=1,0,-1)*0+IF(NERVADURA!$C$58=1,0,IF(MIN($A8,NERVADURA!$C$58)=1,-1,1)*(MAX(DATOS!$C$32,INDEX(TABLAS!$C$52:$C$58,MATCH(NERVADURA!$C$57,TABLAS!$B$52:$B$58,0)))/2+INDEX(TABLAS!$C$52:$C$58,MATCH(NERVADURA!$C$57,TABLAS!$B$52:$B$58,0))/2))</f>
        <v>0</v>
      </c>
      <c r="AO8">
        <f>IF(NERVADURA!$C$58=0,-100,DATOS!$C$15-NERVADURA!$C$54)</f>
        <v>2.635</v>
      </c>
      <c r="AP8">
        <f>IF($A8&lt;=1,0,-1)*0+IF(NERVADURA!$C$73=1,0,IF(MIN($A8,NERVADURA!$C$73)=1,-1,1)*(MAX(DATOS!$C$32,INDEX(TABLAS!$C$52:$C$58,MATCH(NERVADURA!$C$72,TABLAS!$B$52:$B$58,0)))/2+INDEX(TABLAS!$C$52:$C$58,MATCH(NERVADURA!$C$72,TABLAS!$B$52:$B$58,0))/2))</f>
        <v>0</v>
      </c>
      <c r="AQ8">
        <f>IF(NERVADURA!$C$73=0,-100,NERVADURA!$C$69)</f>
        <v>21.389</v>
      </c>
      <c r="AR8">
        <f>CHOOSE(MIN(MAX($A8,1),5),-(DATOS!$C$13/2-DATOS!$C$20),(DATOS!$C$13/2-DATOS!$C$20),(DATOS!$C$13/2-DATOS!$C$20),-(DATOS!$C$13/2-DATOS!$C$20),-(DATOS!$C$13/2-DATOS!$C$20))</f>
        <v>-3</v>
      </c>
      <c r="AS8">
        <f>IF(DATOS!$C$25=0,-100,CHOOSE(MIN(MAX($A8,1),5),DATOS!$C$20,DATOS!$C$20,DATOS!$C$15-DATOS!$C$20,DATOS!$C$15-DATOS!$C$20,DATOS!$C$20))</f>
        <v>-100</v>
      </c>
      <c r="AT8">
        <f>CHOOSE(MIN(MAX($A8,1),7),-DATOS!$C$13/2,-DATOS!$C$13/2,-DATOS!$C$13/2,(-DATOS!$C$13/2+DATOS!$C$13/2)/2,DATOS!$C$13/2,DATOS!$C$13/2,DATOS!$C$13/2)</f>
        <v>-5</v>
      </c>
      <c r="AU8">
        <f>CHOOSE(MIN(MAX($A8,1),7),-4-1.5,-4+1.5,-4,-4,-4,-4+1.5,-4-1.5)</f>
        <v>-5.5</v>
      </c>
      <c r="AV8">
        <f>CHOOSE(MIN(MAX($A8,1),7),-DATOS!$C$16/2,-DATOS!$C$16/2,-DATOS!$C$16/2,(-DATOS!$C$16/2+DATOS!$C$16/2)/2,DATOS!$C$16/2,DATOS!$C$16/2,DATOS!$C$16/2)</f>
        <v>-35</v>
      </c>
      <c r="AW8">
        <f>CHOOSE(MIN(MAX($A8,1),7),DATOS!$C$15+4-1.5,DATOS!$C$15+4+1.5,DATOS!$C$15+4,DATOS!$C$15+4,DATOS!$C$15+4,DATOS!$C$15+4+1.5,DATOS!$C$15+4-1.5)</f>
        <v>27.5</v>
      </c>
      <c r="AX8">
        <f>CHOOSE(MIN(MAX($A8,1),7),DATOS!$C$16/2+4-1.5,DATOS!$C$16/2+4+1.5,DATOS!$C$16/2+4,DATOS!$C$16/2+4,DATOS!$C$16/2+4,DATOS!$C$16/2+4+1.5,DATOS!$C$16/2+4-1.5)</f>
        <v>37.5</v>
      </c>
      <c r="AY8">
        <f>CHOOSE(MIN(MAX($A8,1),7),0,0,0,(0+DATOS!$C$15)/2,DATOS!$C$15,DATOS!$C$15,DATOS!$C$15)</f>
        <v>0</v>
      </c>
      <c r="AZ8">
        <f>CHOOSE(MIN(MAX($A8,1),5),0,100,100,0,0)</f>
        <v>0</v>
      </c>
      <c r="BA8">
        <f>CHOOSE(MIN(MAX($A8,1),5),0,0,12,12,0)</f>
        <v>0</v>
      </c>
      <c r="BB8">
        <f>CHOOSE(MIN(MAX($A8,1),5),-3,0,0,-3,-3)</f>
        <v>-3</v>
      </c>
      <c r="BC8">
        <f>CHOOSE(MIN(MAX($A8,1),5),-10,-10,12,12,-10)</f>
        <v>-10</v>
      </c>
      <c r="BD8">
        <f>CHOOSE(MIN(MAX($A8,1),5),IF(CROQUIS!$C$9="VOLADO",-3,100),IF(CROQUIS!$C$9="VOLADO",0,103),IF(CROQUIS!$C$9="VOLADO",0,103),IF(CROQUIS!$C$9="VOLADO",-3,100),IF(CROQUIS!$C$9="VOLADO",-3,100))</f>
        <v>100</v>
      </c>
      <c r="BE8">
        <f>CHOOSE(MIN(MAX($A8,1),5),-10,-10,12,12,-10)</f>
        <v>-10</v>
      </c>
      <c r="BF8">
        <f>CHOOSE(MIN(MAX($A8,1),4),1.5,1.5,98.5,98.5)</f>
        <v>1.5</v>
      </c>
      <c r="BG8">
        <f>CHOOSE(MIN(MAX($A8,1),4),4,1.5,1.5,4)</f>
        <v>4</v>
      </c>
      <c r="BH8">
        <f>CHOOSE(MIN(MAX($A8,1),4),-1.5,-1.5,101.5,101.5)</f>
        <v>-1.5</v>
      </c>
      <c r="BI8">
        <f>CHOOSE(MIN(MAX($A8,1),4),6,9.5,9.5,IF(CROQUIS!$C$9="VOLADO",9.5,6))</f>
        <v>6</v>
      </c>
      <c r="BJ8">
        <f>IF(NERVADURA!$C$73&lt;2,-50,CHOOSE(MIN(MAX($A8,1),3),-1.5,-1.5,IF(CROQUIS!$C$9="VOLADO",98.5,MIN(50,(DATOS!$C$17/2+NERVADURA!$C$137)/(NERVADURA!$C$15*100)*100))))</f>
        <v>-50</v>
      </c>
      <c r="BK8">
        <f>CHOOSE(MIN(MAX($A8,1),3),6,10.7,10.7)</f>
        <v>6</v>
      </c>
      <c r="BL8">
        <f>IF(OR(NERVADURA!$C$73&lt;2,CROQUIS!$C$9="VOLADO"),-50,CHOOSE(MIN(MAX($A8,1),3),101.5,101.5,100-MIN(50,(DATOS!$C$17/2+NERVADURA!$C$137)/(NERVADURA!$C$15*100)*100)))</f>
        <v>-50</v>
      </c>
      <c r="BM8">
        <f>CHOOSE(MIN(MAX($A8,1),3),6,10.7,10.7)</f>
        <v>6</v>
      </c>
      <c r="BN8">
        <f>CHOOSE(MIN(MAX($A8,1),7),0,0,0,(0+100)/2,100,100,100)</f>
        <v>0</v>
      </c>
      <c r="BO8">
        <f>CHOOSE(MIN(MAX($A8,1),7),-14-1.5,-14+1.5,-14,-14,-14,-14+1.5,-14-1.5)</f>
        <v>-15.5</v>
      </c>
      <c r="BP8">
        <f>CHOOSE(MIN(MAX($A8,1),9),-35,35,35,CROQUIS!$C$30/2,CROQUIS!$C$30/2,-CROQUIS!$C$30/2,-CROQUIS!$C$30/2,-35,-35)</f>
        <v>-35</v>
      </c>
      <c r="BQ8">
        <f>CHOOSE(MIN(MAX($A8,1),9),CROQUIS!$C$31,CROQUIS!$C$31,CROQUIS!$C$31-DATOS!$C$14,CROQUIS!$C$31-DATOS!$C$14,0,0,CROQUIS!$C$31-DATOS!$C$14,CROQUIS!$C$31-DATOS!$C$14,CROQUIS!$C$31)</f>
        <v>45</v>
      </c>
      <c r="BR8">
        <f>CHOOSE(MIN(MAX($A8,1),5),-35,-CROQUIS!$C$30/2,-CROQUIS!$C$30/2,-35,-35)</f>
        <v>-35</v>
      </c>
      <c r="BS8">
        <f>CHOOSE(MIN(MAX($A8,1),5),CROQUIS!$C$31-DATOS!$C$14-DATOS!$C$12,CROQUIS!$C$31-DATOS!$C$14-DATOS!$C$12,CROQUIS!$C$31-DATOS!$C$14,CROQUIS!$C$31-DATOS!$C$14,CROQUIS!$C$31-DATOS!$C$14-DATOS!$C$12)</f>
        <v>20</v>
      </c>
      <c r="BT8">
        <f>CHOOSE(MIN(MAX($A8,1),5),CROQUIS!$C$30/2,35,35,CROQUIS!$C$30/2,CROQUIS!$C$30/2)</f>
        <v>10</v>
      </c>
      <c r="BU8">
        <f>CHOOSE(MIN(MAX($A8,1),5),CROQUIS!$C$31-DATOS!$C$14-DATOS!$C$12,CROQUIS!$C$31-DATOS!$C$14-DATOS!$C$12,CROQUIS!$C$31-DATOS!$C$14,CROQUIS!$C$31-DATOS!$C$14,CROQUIS!$C$31-DATOS!$C$14-DATOS!$C$12)</f>
        <v>20</v>
      </c>
      <c r="BV8">
        <f>CHOOSE(MIN(MAX($A8,1),5),-(CROQUIS!$C$30/2-DATOS!$C$22-INDEX(TABLAS!$C$52:$C$58,MATCH(DATOS!$C$113,TABLAS!$B$52:$B$58,0))/2),(CROQUIS!$C$30/2-DATOS!$C$22-INDEX(TABLAS!$C$52:$C$58,MATCH(DATOS!$C$113,TABLAS!$B$52:$B$58,0))/2),(CROQUIS!$C$30/2-DATOS!$C$22-INDEX(TABLAS!$C$52:$C$58,MATCH(DATOS!$C$113,TABLAS!$B$52:$B$58,0))/2),-(CROQUIS!$C$30/2-DATOS!$C$22-INDEX(TABLAS!$C$52:$C$58,MATCH(DATOS!$C$113,TABLAS!$B$52:$B$58,0))/2),-(CROQUIS!$C$30/2-DATOS!$C$22-INDEX(TABLAS!$C$52:$C$58,MATCH(DATOS!$C$113,TABLAS!$B$52:$B$58,0))/2))</f>
        <v>-5.525</v>
      </c>
      <c r="BW8">
        <f>CHOOSE(MIN(MAX($A8,1),5),DATOS!$C$22+INDEX(TABLAS!$C$52:$C$58,MATCH(DATOS!$C$113,TABLAS!$B$52:$B$58,0))/2,DATOS!$C$22+INDEX(TABLAS!$C$52:$C$58,MATCH(DATOS!$C$113,TABLAS!$B$52:$B$58,0))/2,CROQUIS!$C$31-DATOS!$C$22-INDEX(TABLAS!$C$52:$C$58,MATCH(DATOS!$C$113,TABLAS!$B$52:$B$58,0))/2,CROQUIS!$C$31-DATOS!$C$22-INDEX(TABLAS!$C$52:$C$58,MATCH(DATOS!$C$113,TABLAS!$B$52:$B$58,0))/2,DATOS!$C$22+INDEX(TABLAS!$C$52:$C$58,MATCH(DATOS!$C$113,TABLAS!$B$52:$B$58,0))/2)</f>
        <v>4.475</v>
      </c>
      <c r="BX8">
        <f>IF(CROQUIS!$C$32&lt;=1,0,-(CROQUIS!$C$30-2*DATOS!$C$22-2*INDEX(TABLAS!$C$52:$C$58,MATCH(DATOS!$C$113,TABLAS!$B$52:$B$58,0))-INDEX(TABLAS!$C$52:$C$58,MATCH(MAX(CROQUIS!$C$33,3),TABLAS!$B$52:$B$58,0)))/2+(MIN($A8,CROQUIS!$C$32)-1)*(CROQUIS!$C$30-2*DATOS!$C$22-2*INDEX(TABLAS!$C$52:$C$58,MATCH(DATOS!$C$113,TABLAS!$B$52:$B$58,0))-INDEX(TABLAS!$C$52:$C$58,MATCH(MAX(CROQUIS!$C$33,3),TABLAS!$B$52:$B$58,0)))/(CROQUIS!$C$32-1))</f>
        <v>-4.415</v>
      </c>
      <c r="BY8">
        <f>IF(CROQUIS!$C$32=0,-100,DATOS!$C$22+INDEX(TABLAS!$C$52:$C$58,MATCH(DATOS!$C$113,TABLAS!$B$52:$B$58,0))+INDEX(TABLAS!$C$52:$C$58,MATCH(MAX(CROQUIS!$C$33,3),TABLAS!$B$52:$B$58,0))/2)</f>
        <v>5.585</v>
      </c>
      <c r="BZ8">
        <f>IF(CROQUIS!$C$34&lt;=1,0,-(CROQUIS!$C$30-2*DATOS!$C$22-2*INDEX(TABLAS!$C$52:$C$58,MATCH(DATOS!$C$113,TABLAS!$B$52:$B$58,0))-INDEX(TABLAS!$C$52:$C$58,MATCH(MAX(CROQUIS!$C$35,3),TABLAS!$B$52:$B$58,0)))/2+(MIN($A8,CROQUIS!$C$34)-1)*(CROQUIS!$C$30-2*DATOS!$C$22-2*INDEX(TABLAS!$C$52:$C$58,MATCH(DATOS!$C$113,TABLAS!$B$52:$B$58,0))-INDEX(TABLAS!$C$52:$C$58,MATCH(MAX(CROQUIS!$C$35,3),TABLAS!$B$52:$B$58,0)))/(CROQUIS!$C$34-1))</f>
        <v>-4.415</v>
      </c>
      <c r="CA8">
        <f>IF(CROQUIS!$C$34=0,-100,CROQUIS!$C$31-DATOS!$C$22-INDEX(TABLAS!$C$52:$C$58,MATCH(DATOS!$C$113,TABLAS!$B$52:$B$58,0))-INDEX(TABLAS!$C$52:$C$58,MATCH(MAX(CROQUIS!$C$35,3),TABLAS!$B$52:$B$58,0))/2)</f>
        <v>39.415</v>
      </c>
      <c r="CB8">
        <f>CHOOSE(MIN(MAX($A8,1),7),-CROQUIS!$C$30/2,-CROQUIS!$C$30/2,-CROQUIS!$C$30/2,(-CROQUIS!$C$30/2+CROQUIS!$C$30/2)/2,CROQUIS!$C$30/2,CROQUIS!$C$30/2,CROQUIS!$C$30/2)</f>
        <v>-10</v>
      </c>
      <c r="CC8">
        <f>CHOOSE(MIN(MAX($A8,1),7),-5-1.5,-5+1.5,-5,-5,-5,-5+1.5,-5-1.5)</f>
        <v>-6.5</v>
      </c>
      <c r="CD8">
        <f>CHOOSE(MIN(MAX($A8,1),7),38-1.5,38+1.5,38,38,38,38+1.5,38-1.5)</f>
        <v>36.5</v>
      </c>
      <c r="CE8">
        <f>CHOOSE(MIN(MAX($A8,1),7),0,0,0,(0+CROQUIS!$C$31)/2,CROQUIS!$C$31,CROQUIS!$C$31,CROQUIS!$C$31)</f>
        <v>0</v>
      </c>
      <c r="CW8" t="n">
        <v>4.327</v>
      </c>
      <c r="CX8" t="n">
        <v>1.919</v>
      </c>
      <c r="CY8" t="n">
        <v>0</v>
      </c>
      <c r="CZ8" t="n">
        <v>5.346</v>
      </c>
      <c r="DA8" t="n">
        <v>0</v>
      </c>
      <c r="DB8" t="n">
        <v>1.919</v>
      </c>
      <c r="DC8" t="n">
        <v>4.247</v>
      </c>
      <c r="DD8" t="n">
        <v>7.946</v>
      </c>
      <c r="DE8" t="n">
        <v>-1.6</v>
      </c>
      <c r="DF8" t="n">
        <v>21.446</v>
      </c>
      <c r="DG8" t="n">
        <v>4.327</v>
      </c>
      <c r="DH8" t="n">
        <v>1.919</v>
      </c>
      <c r="DI8" t="n">
        <v>0</v>
      </c>
      <c r="DJ8" t="n">
        <v>1.919</v>
      </c>
      <c r="DK8" t="n">
        <v>5.822</v>
      </c>
      <c r="DL8" t="n">
        <v>16.697</v>
      </c>
      <c r="DM8" t="n">
        <v>4.427</v>
      </c>
      <c r="DN8" t="n">
        <v>7.946</v>
      </c>
      <c r="DO8" t="n">
        <v>0</v>
      </c>
      <c r="DP8" t="n">
        <v>1.919</v>
      </c>
      <c r="DQ8" t="inlineStr">
        <is>
          <t>F80001 N+3.00</t>
        </is>
      </c>
      <c r="DR8" t="inlineStr">
        <is>
          <t>N+3.00</t>
        </is>
      </c>
      <c r="DS8" t="n">
        <v>4.327</v>
      </c>
      <c r="DT8" t="n">
        <v>1.919</v>
      </c>
      <c r="DU8" t="n">
        <v>4.327</v>
      </c>
      <c r="DV8" t="n">
        <v>2.921</v>
      </c>
      <c r="DW8" t="n">
        <v>0</v>
      </c>
      <c r="DX8" t="n">
        <v>2.921</v>
      </c>
      <c r="DY8" t="n">
        <v>0</v>
      </c>
      <c r="DZ8" t="n">
        <v>1.919</v>
      </c>
      <c r="EA8" t="n">
        <v>4.327</v>
      </c>
      <c r="EB8" t="n">
        <v>1.919</v>
      </c>
      <c r="EC8" t="n">
        <v>4.327</v>
      </c>
      <c r="ED8" t="n">
        <v>1.919</v>
      </c>
      <c r="EE8" t="n">
        <v>4.327</v>
      </c>
      <c r="EF8" t="n">
        <v>1.919</v>
      </c>
      <c r="EG8" t="n">
        <v>4.327</v>
      </c>
      <c r="EH8" t="n">
        <v>1.919</v>
      </c>
      <c r="EI8" t="n">
        <v>4.327</v>
      </c>
      <c r="EJ8" t="n">
        <v>1.919</v>
      </c>
      <c r="EK8" t="n">
        <v>4.327</v>
      </c>
      <c r="EL8" t="n">
        <v>1.919</v>
      </c>
      <c r="EM8" t="n">
        <v>4.327</v>
      </c>
      <c r="EN8" t="n">
        <v>1.919</v>
      </c>
      <c r="EO8" t="n">
        <v>4.327</v>
      </c>
      <c r="EP8" t="n">
        <v>1.919</v>
      </c>
      <c r="EQ8" t="n">
        <v>4.327</v>
      </c>
      <c r="ER8" t="n">
        <v>1.919</v>
      </c>
      <c r="ES8" t="n">
        <v>4.327</v>
      </c>
      <c r="ET8" t="n">
        <v>1.919</v>
      </c>
      <c r="EU8" t="n">
        <v>4.327</v>
      </c>
      <c r="EV8" t="n">
        <v>1.919</v>
      </c>
      <c r="EW8" t="n">
        <v>4.327</v>
      </c>
      <c r="EX8" t="n">
        <v>1.919</v>
      </c>
      <c r="EY8" t="n">
        <v>4.327</v>
      </c>
      <c r="EZ8" t="n">
        <v>1.919</v>
      </c>
      <c r="FA8" t="n">
        <v>4.327</v>
      </c>
      <c r="FB8" t="n">
        <v>1.919</v>
      </c>
      <c r="FD8" t="inlineStr">
        <is>
          <t>NP-01</t>
        </is>
      </c>
      <c r="FE8" t="inlineStr">
        <is>
          <t>N+3.00</t>
        </is>
      </c>
      <c r="FF8" t="n">
        <v>0</v>
      </c>
      <c r="FG8" t="n">
        <v>1.919</v>
      </c>
      <c r="FH8" t="n">
        <v>4.327</v>
      </c>
      <c r="FI8" t="n">
        <v>1.919</v>
      </c>
      <c r="FK8">
        <f>IF(INDEX($DR$8:$DR$39,MATCH(CROQUIS!$C$7,$DQ$8:$DQ$39,0))="N+3.00",INDEX($DS$8:$DS$39,MATCH(CROQUIS!$C$7,$DQ$8:$DQ$39,0)),-100)</f>
        <v>0</v>
      </c>
      <c r="FL8">
        <f>IF(INDEX($DR$8:$DR$39,MATCH(CROQUIS!$C$7,$DQ$8:$DQ$39,0))="N+3.00",INDEX($DT$8:$DT$39,MATCH(CROQUIS!$C$7,$DQ$8:$DQ$39,0)),-100)</f>
        <v>17.446</v>
      </c>
      <c r="FM8">
        <f>IF(INDEX($FE$8:$FE$41,MATCH(CROQUIS!$C$24,$FD$8:$FD$41,0))="N+3.00",INDEX($FF$8:$FF$41,MATCH(CROQUIS!$C$24,$FD$8:$FD$41,0)),-100)</f>
        <v>4.327</v>
      </c>
      <c r="FN8">
        <f>IF(INDEX($FE$8:$FE$41,MATCH(CROQUIS!$C$24,$FD$8:$FD$41,0))="N+3.00",INDEX($FG$8:$FG$41,MATCH(CROQUIS!$C$24,$FD$8:$FD$41,0)),-100)</f>
        <v>7.871</v>
      </c>
      <c r="FO8">
        <f>IF(INDEX($DR$8:$DR$39,MATCH(CROQUIS!$C$7,$DQ$8:$DQ$39,0))="N+6.00",INDEX($DS$8:$DS$39,MATCH(CROQUIS!$C$7,$DQ$8:$DQ$39,0)),-100)</f>
        <v>-100</v>
      </c>
      <c r="FP8">
        <f>IF(INDEX($DR$8:$DR$39,MATCH(CROQUIS!$C$7,$DQ$8:$DQ$39,0))="N+6.00",INDEX($DT$8:$DT$39,MATCH(CROQUIS!$C$7,$DQ$8:$DQ$39,0)),-100)</f>
        <v>-100</v>
      </c>
      <c r="FQ8">
        <f>IF(INDEX($FE$8:$FE$41,MATCH(CROQUIS!$C$24,$FD$8:$FD$41,0))="N+6.00",INDEX($FF$8:$FF$41,MATCH(CROQUIS!$C$24,$FD$8:$FD$41,0)),-100)</f>
        <v>-100</v>
      </c>
      <c r="FR8">
        <f>IF(INDEX($FE$8:$FE$41,MATCH(CROQUIS!$C$24,$FD$8:$FD$41,0))="N+6.00",INDEX($FG$8:$FG$41,MATCH(CROQUIS!$C$24,$FD$8:$FD$41,0)),-100)</f>
        <v>-100</v>
      </c>
      <c r="FT8" t="inlineStr">
        <is>
          <t>F80001</t>
        </is>
      </c>
      <c r="FU8" t="n">
        <v>2.163</v>
      </c>
      <c r="FV8" t="n">
        <v>2.42</v>
      </c>
      <c r="FW8" t="inlineStr">
        <is>
          <t>N+3.00</t>
        </is>
      </c>
    </row>
    <row r="9">
      <c r="A9" t="n">
        <v>2</v>
      </c>
      <c r="B9">
        <f>CHOOSE(MIN(MAX($A9,1),5),CROQUIS!$C$15,CROQUIS!$C$15+CROQUIS!$C$10*CROQUIS!$C$14,CROQUIS!$C$15+CROQUIS!$C$10*CROQUIS!$C$14,CROQUIS!$C$15,CROQUIS!$C$15)</f>
        <v>94</v>
      </c>
      <c r="C9">
        <f>CHOOSE(MIN(MAX($A9,1),5),CROQUIS!$C$16,CROQUIS!$C$16,CROQUIS!$C$16+CROQUIS!$C$11*CROQUIS!$C$14,CROQUIS!$C$16+CROQUIS!$C$11*CROQUIS!$C$14,CROQUIS!$C$16)</f>
        <v>15.9462268413918</v>
      </c>
      <c r="D9">
        <f>CHOOSE(MIN(MAX($A9,1),5),CROQUIS!$C$15+DATOS!$C$17/2*CROQUIS!$C$14,CROQUIS!$C$15+CROQUIS!$C$10*CROQUIS!$C$14-DATOS!$C$17/2*CROQUIS!$C$14,CROQUIS!$C$15+CROQUIS!$C$10*CROQUIS!$C$14-DATOS!$C$17/2*CROQUIS!$C$14,CROQUIS!$C$15+DATOS!$C$17/2*CROQUIS!$C$14,CROQUIS!$C$15+DATOS!$C$17/2*CROQUIS!$C$14)</f>
        <v>92.6104835065522</v>
      </c>
      <c r="E9">
        <f>CHOOSE(MIN(MAX($A9,1),5),CROQUIS!$C$16+DATOS!$C$17/2*CROQUIS!$C$14,CROQUIS!$C$16+DATOS!$C$17/2*CROQUIS!$C$14,CROQUIS!$C$16+CROQUIS!$C$11*CROQUIS!$C$14-DATOS!$C$17/2*CROQUIS!$C$14,CROQUIS!$C$16+CROQUIS!$C$11*CROQUIS!$C$14-DATOS!$C$17/2*CROQUIS!$C$14,CROQUIS!$C$16+DATOS!$C$17/2*CROQUIS!$C$14)</f>
        <v>17.3357433348396</v>
      </c>
      <c r="F9">
        <f>IF(NERVADURA!$C$131=0,CROQUIS!$C$15+CROQUIS!$C$10*CROQUIS!$C$14/2,CROQUIS!$C$15+(DATOS!$C$17/2+NERVADURA!$C$132+INT(MIN(INT(($A9-1)/2),MAX(2*NERVADURA!$C$131-1,0))/2)*DATOS!$C$16+MOD(MIN(INT(($A9-1)/2),MAX(2*NERVADURA!$C$131-1,0)),2)*DATOS!$C$11)*CROQUIS!$C$14)</f>
        <v>15.0198825124266</v>
      </c>
      <c r="G9">
        <f>IF(NERVADURA!$C$131=0,CROQUIS!$C$16+CROQUIS!$C$11*CROQUIS!$C$14/2,CROQUIS!$C$16+IF(MOD(MIN(INT(($A9-1)/2),MAX(2*NERVADURA!$C$131-1,0)),2)=0,IF(IF(INT(($A9-1)/2)&gt;MAX(2*NERVADURA!$C$131-1,0),1,MOD($A9-1,2))=0,(DATOS!$C$17/2+NERVADURA!$C$134),(CROQUIS!$C$11-DATOS!$C$17/2-NERVADURA!$C$134)),IF(IF(INT(($A9-1)/2)&gt;MAX(2*NERVADURA!$C$131-1,0),1,MOD($A9-1,2))=0,(CROQUIS!$C$11-DATOS!$C$17/2-NERVADURA!$C$134),(DATOS!$C$17/2+NERVADURA!$C$134)))*CROQUIS!$C$14)</f>
        <v>84.495707184817</v>
      </c>
      <c r="H9">
        <f>IF(NERVADURA!$C$133=0,CROQUIS!$C$15+CROQUIS!$C$10*CROQUIS!$C$14/2,CROQUIS!$C$15+IF(MOD(MIN(INT(($A9-1)/2),MAX(2*NERVADURA!$C$133-1,0)),2)=0,IF(IF(INT(($A9-1)/2)&gt;MAX(2*NERVADURA!$C$133-1,0),1,MOD($A9-1,2))=0,(DATOS!$C$17/2+NERVADURA!$C$132),(CROQUIS!$C$10-DATOS!$C$17/2-NERVADURA!$C$132)),IF(IF(INT(($A9-1)/2)&gt;MAX(2*NERVADURA!$C$133-1,0),1,MOD($A9-1,2))=0,(CROQUIS!$C$10-DATOS!$C$17/2-NERVADURA!$C$132),(DATOS!$C$17/2+NERVADURA!$C$132)))*CROQUIS!$C$14)</f>
        <v>90.9801174875734</v>
      </c>
      <c r="I9">
        <f>IF(NERVADURA!$C$133=0,CROQUIS!$C$16+CROQUIS!$C$11*CROQUIS!$C$14/2,CROQUIS!$C$16+(DATOS!$C$17/2+NERVADURA!$C$134+INT(MIN(INT(($A9-1)/2),MAX(2*NERVADURA!$C$133-1,0))/2)*DATOS!$C$16+MOD(MIN(INT(($A9-1)/2),MAX(2*NERVADURA!$C$133-1,0)),2)*DATOS!$C$11)*CROQUIS!$C$14)</f>
        <v>21.504292815183</v>
      </c>
      <c r="J9">
        <f>IF(CROQUIS!$C$12="X",IF($A9&lt;=1,CROQUIS!$C$15+(0.02)*CROQUIS!$C$10*CROQUIS!$C$14,CROQUIS!$C$15+(0.98)*CROQUIS!$C$10*CROQUIS!$C$14),CROQUIS!$C$15+CROQUIS!$C$10*CROQUIS!$C$14/2+-1.2)</f>
        <v>51.8</v>
      </c>
      <c r="K9">
        <f>IF(CROQUIS!$C$12="X",CROQUIS!$C$16+CROQUIS!$C$11*CROQUIS!$C$14/2+-1.2,IF($A9&lt;=1,CROQUIS!$C$16+(0.02)*CROQUIS!$C$11*CROQUIS!$C$14,CROQUIS!$C$16+(0.98)*CROQUIS!$C$11*CROQUIS!$C$14))</f>
        <v>88.5716222322639</v>
      </c>
      <c r="L9">
        <f>IF(CROQUIS!$C$12="X",IF($A9&lt;=1,CROQUIS!$C$15+(0.02)*CROQUIS!$C$10*CROQUIS!$C$14,CROQUIS!$C$15+(0.98)*CROQUIS!$C$10*CROQUIS!$C$14),CROQUIS!$C$15+CROQUIS!$C$10*CROQUIS!$C$14/2+1.2)</f>
        <v>54.2</v>
      </c>
      <c r="M9">
        <f>IF(CROQUIS!$C$12="X",CROQUIS!$C$16+CROQUIS!$C$11*CROQUIS!$C$14/2+1.2,IF($A9&lt;=1,CROQUIS!$C$16+(0.02)*CROQUIS!$C$11*CROQUIS!$C$14,CROQUIS!$C$16+(0.98)*CROQUIS!$C$11*CROQUIS!$C$14))</f>
        <v>88.5716222322639</v>
      </c>
      <c r="N9">
        <f>IF(NERVADURA!$C$73&lt;2,-50,IF(CROQUIS!$C$12="X",IF($A9&lt;=1,CROQUIS!$C$15+(0)*CROQUIS!$C$10*CROQUIS!$C$14,CROQUIS!$C$15+(IF(CROQUIS!$C$9="VOLADO",1,MIN(0.5,(DATOS!$C$17/2+NERVADURA!$C$137)/(NERVADURA!$C$15*100))))*CROQUIS!$C$10*CROQUIS!$C$14),CROQUIS!$C$15+CROQUIS!$C$10*CROQUIS!$C$14/2+2.6))</f>
        <v>-50</v>
      </c>
      <c r="O9">
        <f>IF(CROQUIS!$C$12="X",CROQUIS!$C$16+CROQUIS!$C$11*CROQUIS!$C$14/2+2.6,IF($A9&lt;=1,CROQUIS!$C$16+(0)*CROQUIS!$C$11*CROQUIS!$C$14,CROQUIS!$C$16+(IF(CROQUIS!$C$9="VOLADO",1,MIN(0.5,(DATOS!$C$17/2+NERVADURA!$C$137)/(NERVADURA!$C$15*100))))*CROQUIS!$C$11*CROQUIS!$C$14))</f>
        <v>36.7889742431089</v>
      </c>
      <c r="P9">
        <f>IF(OR(NERVADURA!$C$73&lt;2,CROQUIS!$C$9="VOLADO"),-50,IF(CROQUIS!$C$12="X",IF($A9&lt;=1,CROQUIS!$C$15+(IF(CROQUIS!$C$9="VOLADO",1,1-MIN(0.5,(DATOS!$C$17/2+NERVADURA!$C$137)/(NERVADURA!$C$15*100))))*CROQUIS!$C$10*CROQUIS!$C$14,CROQUIS!$C$15+(1)*CROQUIS!$C$10*CROQUIS!$C$14),CROQUIS!$C$15+CROQUIS!$C$10*CROQUIS!$C$14/2+2.6))</f>
        <v>-50</v>
      </c>
      <c r="Q9">
        <f>IF(CROQUIS!$C$12="X",CROQUIS!$C$16+CROQUIS!$C$11*CROQUIS!$C$14/2+2.6,IF($A9&lt;=1,CROQUIS!$C$16+(IF(CROQUIS!$C$9="VOLADO",1,1-MIN(0.5,(DATOS!$C$17/2+NERVADURA!$C$137)/(NERVADURA!$C$15*100))))*CROQUIS!$C$11*CROQUIS!$C$14,CROQUIS!$C$16+(1)*CROQUIS!$C$11*CROQUIS!$C$14))</f>
        <v>90.0537731586082</v>
      </c>
      <c r="R9">
        <f>IF(CROQUIS!$C$12="Y",IF($A9&lt;=1,CROQUIS!$C$15+(0.02)*CROQUIS!$C$10*CROQUIS!$C$14,CROQUIS!$C$15+(0.98)*CROQUIS!$C$10*CROQUIS!$C$14),CROQUIS!$C$15+CROQUIS!$C$10*CROQUIS!$C$14/2+-1.2)</f>
        <v>92.36</v>
      </c>
      <c r="S9">
        <f>IF(CROQUIS!$C$12="Y",CROQUIS!$C$16+CROQUIS!$C$11*CROQUIS!$C$14/2+(-1.2)+0.0,IF($A9&lt;=1,CROQUIS!$C$16+(0.02)*CROQUIS!$C$11*CROQUIS!$C$14,CROQUIS!$C$16+(0.98)*CROQUIS!$C$11*CROQUIS!$C$14))</f>
        <v>51.8</v>
      </c>
      <c r="T9">
        <f>IF(CROQUIS!$C$12="Y",IF($A9&lt;=1,CROQUIS!$C$15+(0.02)*CROQUIS!$C$10*CROQUIS!$C$14,CROQUIS!$C$15+(0.98)*CROQUIS!$C$10*CROQUIS!$C$14),CROQUIS!$C$15+CROQUIS!$C$10*CROQUIS!$C$14/2+1.2)</f>
        <v>92.36</v>
      </c>
      <c r="U9">
        <f>IF(CROQUIS!$C$12="Y",CROQUIS!$C$16+CROQUIS!$C$11*CROQUIS!$C$14/2+(1.2)+0.0,IF($A9&lt;=1,CROQUIS!$C$16+(0.02)*CROQUIS!$C$11*CROQUIS!$C$14,CROQUIS!$C$16+(0.98)*CROQUIS!$C$11*CROQUIS!$C$14))</f>
        <v>54.2</v>
      </c>
      <c r="V9">
        <f>IF(NERVADURA!$C$103&lt;2,-50,IF(CROQUIS!$C$12="Y",IF($A9&lt;=1,CROQUIS!$C$15+(0)*CROQUIS!$C$10*CROQUIS!$C$14,CROQUIS!$C$15+(IF(CROQUIS!$C$9="VOLADO",1,MIN(0.5,(DATOS!$C$17/2+NERVADURA!$C$138)/(NERVADURA!$C$16*100))))*CROQUIS!$C$10*CROQUIS!$C$14),CROQUIS!$C$15+CROQUIS!$C$10*CROQUIS!$C$14/2+2.6))</f>
        <v>-50</v>
      </c>
      <c r="W9">
        <f>IF(CROQUIS!$C$12="Y",CROQUIS!$C$16+CROQUIS!$C$11*CROQUIS!$C$14/2+(2.6)+0.0,IF($A9&lt;=1,CROQUIS!$C$16+(0)*CROQUIS!$C$11*CROQUIS!$C$14,CROQUIS!$C$16+(IF(CROQUIS!$C$9="VOLADO",1,MIN(0.5,(DATOS!$C$17/2+NERVADURA!$C$138)/(NERVADURA!$C$16*100))))*CROQUIS!$C$11*CROQUIS!$C$14))</f>
        <v>55.6</v>
      </c>
      <c r="X9">
        <f>IF(OR(NERVADURA!$C$103&lt;2,CROQUIS!$C$9="VOLADO"),-50,IF(CROQUIS!$C$12="Y",IF($A9&lt;=1,CROQUIS!$C$15+(IF(CROQUIS!$C$9="VOLADO",1,1-MIN(0.5,(DATOS!$C$17/2+NERVADURA!$C$138)/(NERVADURA!$C$16*100))))*CROQUIS!$C$10*CROQUIS!$C$14,CROQUIS!$C$15+(1)*CROQUIS!$C$10*CROQUIS!$C$14),CROQUIS!$C$15+CROQUIS!$C$10*CROQUIS!$C$14/2+2.6))</f>
        <v>-50</v>
      </c>
      <c r="Y9">
        <f>IF(CROQUIS!$C$12="Y",CROQUIS!$C$16+CROQUIS!$C$11*CROQUIS!$C$14/2+(2.6)+0.0,IF($A9&lt;=1,CROQUIS!$C$16+(IF(CROQUIS!$C$9="VOLADO",1,1-MIN(0.5,(DATOS!$C$17/2+NERVADURA!$C$138)/(NERVADURA!$C$16*100))))*CROQUIS!$C$11*CROQUIS!$C$14,CROQUIS!$C$16+(1)*CROQUIS!$C$11*CROQUIS!$C$14))</f>
        <v>55.6</v>
      </c>
      <c r="Z9">
        <f>CHOOSE(MIN(MAX($A9,1),7),CROQUIS!$C$15,CROQUIS!$C$15,CROQUIS!$C$15,(CROQUIS!$C$15+CROQUIS!$C$15+CROQUIS!$C$10*CROQUIS!$C$14)/2,CROQUIS!$C$15+CROQUIS!$C$10*CROQUIS!$C$14,CROQUIS!$C$15+CROQUIS!$C$10*CROQUIS!$C$14,CROQUIS!$C$15+CROQUIS!$C$10*CROQUIS!$C$14)</f>
        <v>12</v>
      </c>
      <c r="AA9">
        <f>CHOOSE(MIN(MAX($A9,1),7),CROQUIS!$C$16-5-1.5,CROQUIS!$C$16-5+1.5,CROQUIS!$C$16-5,CROQUIS!$C$16-5,CROQUIS!$C$16-5,CROQUIS!$C$16-5+1.5,CROQUIS!$C$16-5-1.5)</f>
        <v>12.4462268413918</v>
      </c>
      <c r="AB9">
        <f>CHOOSE(MIN(MAX($A9,1),7),CROQUIS!$C$15-5-1.5,CROQUIS!$C$15-5+1.5,CROQUIS!$C$15-5,CROQUIS!$C$15-5,CROQUIS!$C$15-5,CROQUIS!$C$15-5+1.5,CROQUIS!$C$15-5-1.5)</f>
        <v>8.5</v>
      </c>
      <c r="AC9">
        <f>CHOOSE(MIN(MAX($A9,1),7),CROQUIS!$C$16,CROQUIS!$C$16,CROQUIS!$C$16,(CROQUIS!$C$16+CROQUIS!$C$16+CROQUIS!$C$11*CROQUIS!$C$14)/2,CROQUIS!$C$16+CROQUIS!$C$11*CROQUIS!$C$14,CROQUIS!$C$16+CROQUIS!$C$11*CROQUIS!$C$14,CROQUIS!$C$16+CROQUIS!$C$11*CROQUIS!$C$14)</f>
        <v>15.9462268413918</v>
      </c>
      <c r="AD9">
        <f>CHOOSE(MIN(MAX($A9,1),7),CROQUIS!$C$15+(DATOS!$C$17/2+NERVADURA!$C$132)*CROQUIS!$C$14,CROQUIS!$C$15+(DATOS!$C$17/2+NERVADURA!$C$132)*CROQUIS!$C$14,CROQUIS!$C$15+(DATOS!$C$17/2+NERVADURA!$C$132)*CROQUIS!$C$14,(CROQUIS!$C$15+(DATOS!$C$17/2+NERVADURA!$C$132)*CROQUIS!$C$14+CROQUIS!$C$15+(DATOS!$C$17/2+NERVADURA!$C$132+DATOS!$C$16)*CROQUIS!$C$14)/2,CROQUIS!$C$15+(DATOS!$C$17/2+NERVADURA!$C$132+DATOS!$C$16)*CROQUIS!$C$14,CROQUIS!$C$15+(DATOS!$C$17/2+NERVADURA!$C$132+DATOS!$C$16)*CROQUIS!$C$14,CROQUIS!$C$15+(DATOS!$C$17/2+NERVADURA!$C$132+DATOS!$C$16)*CROQUIS!$C$14)</f>
        <v>15.0198825124266</v>
      </c>
      <c r="AE9">
        <f>CHOOSE(MIN(MAX($A9,1),7),CROQUIS!$C$16+CROQUIS!$C$11*CROQUIS!$C$14+4-1.5,CROQUIS!$C$16+CROQUIS!$C$11*CROQUIS!$C$14+4+1.5,CROQUIS!$C$16+CROQUIS!$C$11*CROQUIS!$C$14+4,CROQUIS!$C$16+CROQUIS!$C$11*CROQUIS!$C$14+4,CROQUIS!$C$16+CROQUIS!$C$11*CROQUIS!$C$14+4,CROQUIS!$C$16+CROQUIS!$C$11*CROQUIS!$C$14+4+1.5,CROQUIS!$C$16+CROQUIS!$C$11*CROQUIS!$C$14+4-1.5)</f>
        <v>95.5537731586082</v>
      </c>
      <c r="AF9">
        <f>CHOOSE(MIN(MAX($A9,1),9),-DATOS!$C$16/2,DATOS!$C$16/2,DATOS!$C$16/2,DATOS!$C$13/2,DATOS!$C$13/2,-DATOS!$C$13/2,-DATOS!$C$13/2,-DATOS!$C$16/2,-DATOS!$C$16/2)</f>
        <v>35</v>
      </c>
      <c r="AG9">
        <f>CHOOSE(MIN(MAX($A9,1),9),DATOS!$C$15,DATOS!$C$15,DATOS!$C$12,DATOS!$C$12,0,0,DATOS!$C$12,DATOS!$C$12,DATOS!$C$15)</f>
        <v>25</v>
      </c>
      <c r="AH9">
        <f>CHOOSE(MIN(MAX($A9,1),5),-DATOS!$C$16/2,-DATOS!$C$13/2,-DATOS!$C$13/2,-DATOS!$C$16/2,-DATOS!$C$16/2)</f>
        <v>-5</v>
      </c>
      <c r="AI9">
        <f>CHOOSE(MIN(MAX($A9,1),5),0,0,DATOS!$C$12,DATOS!$C$12,0)</f>
        <v>0</v>
      </c>
      <c r="AJ9">
        <f>CHOOSE(MIN(MAX($A9,1),5),DATOS!$C$13/2,DATOS!$C$16/2,DATOS!$C$16/2,DATOS!$C$13/2,DATOS!$C$13/2)</f>
        <v>35</v>
      </c>
      <c r="AK9">
        <f>CHOOSE(MIN(MAX($A9,1),5),0,0,DATOS!$C$12,DATOS!$C$12,0)</f>
        <v>0</v>
      </c>
      <c r="AL9">
        <f>IF($A9&lt;=1,-DATOS!$C$16/2+1,DATOS!$C$16/2-1)</f>
        <v>34</v>
      </c>
      <c r="AM9">
        <f>DATOS!$C$15-DATOS!$C$20-DATOS!$C$35</f>
        <v>22.512</v>
      </c>
      <c r="AN9">
        <f>IF($A9&lt;=1,0,-1)*0+IF(NERVADURA!$C$58=1,0,IF(MIN($A9,NERVADURA!$C$58)=1,-1,1)*(MAX(DATOS!$C$32,INDEX(TABLAS!$C$52:$C$58,MATCH(NERVADURA!$C$57,TABLAS!$B$52:$B$58,0)))/2+INDEX(TABLAS!$C$52:$C$58,MATCH(NERVADURA!$C$57,TABLAS!$B$52:$B$58,0))/2))</f>
        <v>0</v>
      </c>
      <c r="AO9">
        <f>IF(NERVADURA!$C$58=0,-100,DATOS!$C$15-NERVADURA!$C$54)</f>
        <v>2.635</v>
      </c>
      <c r="AP9">
        <f>IF($A9&lt;=1,0,-1)*0+IF(NERVADURA!$C$73=1,0,IF(MIN($A9,NERVADURA!$C$73)=1,-1,1)*(MAX(DATOS!$C$32,INDEX(TABLAS!$C$52:$C$58,MATCH(NERVADURA!$C$72,TABLAS!$B$52:$B$58,0)))/2+INDEX(TABLAS!$C$52:$C$58,MATCH(NERVADURA!$C$72,TABLAS!$B$52:$B$58,0))/2))</f>
        <v>0</v>
      </c>
      <c r="AQ9">
        <f>IF(NERVADURA!$C$73=0,-100,NERVADURA!$C$69)</f>
        <v>21.389</v>
      </c>
      <c r="AR9">
        <f>CHOOSE(MIN(MAX($A9,1),5),-(DATOS!$C$13/2-DATOS!$C$20),(DATOS!$C$13/2-DATOS!$C$20),(DATOS!$C$13/2-DATOS!$C$20),-(DATOS!$C$13/2-DATOS!$C$20),-(DATOS!$C$13/2-DATOS!$C$20))</f>
        <v>3</v>
      </c>
      <c r="AS9">
        <f>IF(DATOS!$C$25=0,-100,CHOOSE(MIN(MAX($A9,1),5),DATOS!$C$20,DATOS!$C$20,DATOS!$C$15-DATOS!$C$20,DATOS!$C$15-DATOS!$C$20,DATOS!$C$20))</f>
        <v>-100</v>
      </c>
      <c r="AT9">
        <f>CHOOSE(MIN(MAX($A9,1),7),-DATOS!$C$13/2,-DATOS!$C$13/2,-DATOS!$C$13/2,(-DATOS!$C$13/2+DATOS!$C$13/2)/2,DATOS!$C$13/2,DATOS!$C$13/2,DATOS!$C$13/2)</f>
        <v>-5</v>
      </c>
      <c r="AU9">
        <f>CHOOSE(MIN(MAX($A9,1),7),-4-1.5,-4+1.5,-4,-4,-4,-4+1.5,-4-1.5)</f>
        <v>-2.5</v>
      </c>
      <c r="AV9">
        <f>CHOOSE(MIN(MAX($A9,1),7),-DATOS!$C$16/2,-DATOS!$C$16/2,-DATOS!$C$16/2,(-DATOS!$C$16/2+DATOS!$C$16/2)/2,DATOS!$C$16/2,DATOS!$C$16/2,DATOS!$C$16/2)</f>
        <v>-35</v>
      </c>
      <c r="AW9">
        <f>CHOOSE(MIN(MAX($A9,1),7),DATOS!$C$15+4-1.5,DATOS!$C$15+4+1.5,DATOS!$C$15+4,DATOS!$C$15+4,DATOS!$C$15+4,DATOS!$C$15+4+1.5,DATOS!$C$15+4-1.5)</f>
        <v>30.5</v>
      </c>
      <c r="AX9">
        <f>CHOOSE(MIN(MAX($A9,1),7),DATOS!$C$16/2+4-1.5,DATOS!$C$16/2+4+1.5,DATOS!$C$16/2+4,DATOS!$C$16/2+4,DATOS!$C$16/2+4,DATOS!$C$16/2+4+1.5,DATOS!$C$16/2+4-1.5)</f>
        <v>40.5</v>
      </c>
      <c r="AY9">
        <f>CHOOSE(MIN(MAX($A9,1),7),0,0,0,(0+DATOS!$C$15)/2,DATOS!$C$15,DATOS!$C$15,DATOS!$C$15)</f>
        <v>0</v>
      </c>
      <c r="AZ9">
        <f>CHOOSE(MIN(MAX($A9,1),5),0,100,100,0,0)</f>
        <v>100</v>
      </c>
      <c r="BA9">
        <f>CHOOSE(MIN(MAX($A9,1),5),0,0,12,12,0)</f>
        <v>0</v>
      </c>
      <c r="BB9">
        <f>CHOOSE(MIN(MAX($A9,1),5),-3,0,0,-3,-3)</f>
        <v>0</v>
      </c>
      <c r="BC9">
        <f>CHOOSE(MIN(MAX($A9,1),5),-10,-10,12,12,-10)</f>
        <v>-10</v>
      </c>
      <c r="BD9">
        <f>CHOOSE(MIN(MAX($A9,1),5),IF(CROQUIS!$C$9="VOLADO",-3,100),IF(CROQUIS!$C$9="VOLADO",0,103),IF(CROQUIS!$C$9="VOLADO",0,103),IF(CROQUIS!$C$9="VOLADO",-3,100),IF(CROQUIS!$C$9="VOLADO",-3,100))</f>
        <v>103</v>
      </c>
      <c r="BE9">
        <f>CHOOSE(MIN(MAX($A9,1),5),-10,-10,12,12,-10)</f>
        <v>-10</v>
      </c>
      <c r="BF9">
        <f>CHOOSE(MIN(MAX($A9,1),4),1.5,1.5,98.5,98.5)</f>
        <v>1.5</v>
      </c>
      <c r="BG9">
        <f>CHOOSE(MIN(MAX($A9,1),4),4,1.5,1.5,4)</f>
        <v>1.5</v>
      </c>
      <c r="BH9">
        <f>CHOOSE(MIN(MAX($A9,1),4),-1.5,-1.5,101.5,101.5)</f>
        <v>-1.5</v>
      </c>
      <c r="BI9">
        <f>CHOOSE(MIN(MAX($A9,1),4),6,9.5,9.5,IF(CROQUIS!$C$9="VOLADO",9.5,6))</f>
        <v>9.5</v>
      </c>
      <c r="BJ9">
        <f>IF(NERVADURA!$C$73&lt;2,-50,CHOOSE(MIN(MAX($A9,1),3),-1.5,-1.5,IF(CROQUIS!$C$9="VOLADO",98.5,MIN(50,(DATOS!$C$17/2+NERVADURA!$C$137)/(NERVADURA!$C$15*100)*100))))</f>
        <v>-50</v>
      </c>
      <c r="BK9">
        <f>CHOOSE(MIN(MAX($A9,1),3),6,10.7,10.7)</f>
        <v>10.7</v>
      </c>
      <c r="BL9">
        <f>IF(OR(NERVADURA!$C$73&lt;2,CROQUIS!$C$9="VOLADO"),-50,CHOOSE(MIN(MAX($A9,1),3),101.5,101.5,100-MIN(50,(DATOS!$C$17/2+NERVADURA!$C$137)/(NERVADURA!$C$15*100)*100)))</f>
        <v>-50</v>
      </c>
      <c r="BM9">
        <f>CHOOSE(MIN(MAX($A9,1),3),6,10.7,10.7)</f>
        <v>10.7</v>
      </c>
      <c r="BN9">
        <f>CHOOSE(MIN(MAX($A9,1),7),0,0,0,(0+100)/2,100,100,100)</f>
        <v>0</v>
      </c>
      <c r="BO9">
        <f>CHOOSE(MIN(MAX($A9,1),7),-14-1.5,-14+1.5,-14,-14,-14,-14+1.5,-14-1.5)</f>
        <v>-12.5</v>
      </c>
      <c r="BP9">
        <f>CHOOSE(MIN(MAX($A9,1),9),-35,35,35,CROQUIS!$C$30/2,CROQUIS!$C$30/2,-CROQUIS!$C$30/2,-CROQUIS!$C$30/2,-35,-35)</f>
        <v>35</v>
      </c>
      <c r="BQ9">
        <f>CHOOSE(MIN(MAX($A9,1),9),CROQUIS!$C$31,CROQUIS!$C$31,CROQUIS!$C$31-DATOS!$C$14,CROQUIS!$C$31-DATOS!$C$14,0,0,CROQUIS!$C$31-DATOS!$C$14,CROQUIS!$C$31-DATOS!$C$14,CROQUIS!$C$31)</f>
        <v>45</v>
      </c>
      <c r="BR9">
        <f>CHOOSE(MIN(MAX($A9,1),5),-35,-CROQUIS!$C$30/2,-CROQUIS!$C$30/2,-35,-35)</f>
        <v>-10</v>
      </c>
      <c r="BS9">
        <f>CHOOSE(MIN(MAX($A9,1),5),CROQUIS!$C$31-DATOS!$C$14-DATOS!$C$12,CROQUIS!$C$31-DATOS!$C$14-DATOS!$C$12,CROQUIS!$C$31-DATOS!$C$14,CROQUIS!$C$31-DATOS!$C$14,CROQUIS!$C$31-DATOS!$C$14-DATOS!$C$12)</f>
        <v>20</v>
      </c>
      <c r="BT9">
        <f>CHOOSE(MIN(MAX($A9,1),5),CROQUIS!$C$30/2,35,35,CROQUIS!$C$30/2,CROQUIS!$C$30/2)</f>
        <v>35</v>
      </c>
      <c r="BU9">
        <f>CHOOSE(MIN(MAX($A9,1),5),CROQUIS!$C$31-DATOS!$C$14-DATOS!$C$12,CROQUIS!$C$31-DATOS!$C$14-DATOS!$C$12,CROQUIS!$C$31-DATOS!$C$14,CROQUIS!$C$31-DATOS!$C$14,CROQUIS!$C$31-DATOS!$C$14-DATOS!$C$12)</f>
        <v>20</v>
      </c>
      <c r="BV9">
        <f>CHOOSE(MIN(MAX($A9,1),5),-(CROQUIS!$C$30/2-DATOS!$C$22-INDEX(TABLAS!$C$52:$C$58,MATCH(DATOS!$C$113,TABLAS!$B$52:$B$58,0))/2),(CROQUIS!$C$30/2-DATOS!$C$22-INDEX(TABLAS!$C$52:$C$58,MATCH(DATOS!$C$113,TABLAS!$B$52:$B$58,0))/2),(CROQUIS!$C$30/2-DATOS!$C$22-INDEX(TABLAS!$C$52:$C$58,MATCH(DATOS!$C$113,TABLAS!$B$52:$B$58,0))/2),-(CROQUIS!$C$30/2-DATOS!$C$22-INDEX(TABLAS!$C$52:$C$58,MATCH(DATOS!$C$113,TABLAS!$B$52:$B$58,0))/2),-(CROQUIS!$C$30/2-DATOS!$C$22-INDEX(TABLAS!$C$52:$C$58,MATCH(DATOS!$C$113,TABLAS!$B$52:$B$58,0))/2))</f>
        <v>5.525</v>
      </c>
      <c r="BW9">
        <f>CHOOSE(MIN(MAX($A9,1),5),DATOS!$C$22+INDEX(TABLAS!$C$52:$C$58,MATCH(DATOS!$C$113,TABLAS!$B$52:$B$58,0))/2,DATOS!$C$22+INDEX(TABLAS!$C$52:$C$58,MATCH(DATOS!$C$113,TABLAS!$B$52:$B$58,0))/2,CROQUIS!$C$31-DATOS!$C$22-INDEX(TABLAS!$C$52:$C$58,MATCH(DATOS!$C$113,TABLAS!$B$52:$B$58,0))/2,CROQUIS!$C$31-DATOS!$C$22-INDEX(TABLAS!$C$52:$C$58,MATCH(DATOS!$C$113,TABLAS!$B$52:$B$58,0))/2,DATOS!$C$22+INDEX(TABLAS!$C$52:$C$58,MATCH(DATOS!$C$113,TABLAS!$B$52:$B$58,0))/2)</f>
        <v>4.475</v>
      </c>
      <c r="BX9">
        <f>IF(CROQUIS!$C$32&lt;=1,0,-(CROQUIS!$C$30-2*DATOS!$C$22-2*INDEX(TABLAS!$C$52:$C$58,MATCH(DATOS!$C$113,TABLAS!$B$52:$B$58,0))-INDEX(TABLAS!$C$52:$C$58,MATCH(MAX(CROQUIS!$C$33,3),TABLAS!$B$52:$B$58,0)))/2+(MIN($A9,CROQUIS!$C$32)-1)*(CROQUIS!$C$30-2*DATOS!$C$22-2*INDEX(TABLAS!$C$52:$C$58,MATCH(DATOS!$C$113,TABLAS!$B$52:$B$58,0))-INDEX(TABLAS!$C$52:$C$58,MATCH(MAX(CROQUIS!$C$33,3),TABLAS!$B$52:$B$58,0)))/(CROQUIS!$C$32-1))</f>
        <v>0</v>
      </c>
      <c r="BY9">
        <f>IF(CROQUIS!$C$32=0,-100,DATOS!$C$22+INDEX(TABLAS!$C$52:$C$58,MATCH(DATOS!$C$113,TABLAS!$B$52:$B$58,0))+INDEX(TABLAS!$C$52:$C$58,MATCH(MAX(CROQUIS!$C$33,3),TABLAS!$B$52:$B$58,0))/2)</f>
        <v>5.585</v>
      </c>
      <c r="BZ9">
        <f>IF(CROQUIS!$C$34&lt;=1,0,-(CROQUIS!$C$30-2*DATOS!$C$22-2*INDEX(TABLAS!$C$52:$C$58,MATCH(DATOS!$C$113,TABLAS!$B$52:$B$58,0))-INDEX(TABLAS!$C$52:$C$58,MATCH(MAX(CROQUIS!$C$35,3),TABLAS!$B$52:$B$58,0)))/2+(MIN($A9,CROQUIS!$C$34)-1)*(CROQUIS!$C$30-2*DATOS!$C$22-2*INDEX(TABLAS!$C$52:$C$58,MATCH(DATOS!$C$113,TABLAS!$B$52:$B$58,0))-INDEX(TABLAS!$C$52:$C$58,MATCH(MAX(CROQUIS!$C$35,3),TABLAS!$B$52:$B$58,0)))/(CROQUIS!$C$34-1))</f>
        <v>4.415</v>
      </c>
      <c r="CA9">
        <f>IF(CROQUIS!$C$34=0,-100,CROQUIS!$C$31-DATOS!$C$22-INDEX(TABLAS!$C$52:$C$58,MATCH(DATOS!$C$113,TABLAS!$B$52:$B$58,0))-INDEX(TABLAS!$C$52:$C$58,MATCH(MAX(CROQUIS!$C$35,3),TABLAS!$B$52:$B$58,0))/2)</f>
        <v>39.415</v>
      </c>
      <c r="CB9">
        <f>CHOOSE(MIN(MAX($A9,1),7),-CROQUIS!$C$30/2,-CROQUIS!$C$30/2,-CROQUIS!$C$30/2,(-CROQUIS!$C$30/2+CROQUIS!$C$30/2)/2,CROQUIS!$C$30/2,CROQUIS!$C$30/2,CROQUIS!$C$30/2)</f>
        <v>-10</v>
      </c>
      <c r="CC9">
        <f>CHOOSE(MIN(MAX($A9,1),7),-5-1.5,-5+1.5,-5,-5,-5,-5+1.5,-5-1.5)</f>
        <v>-3.5</v>
      </c>
      <c r="CD9">
        <f>CHOOSE(MIN(MAX($A9,1),7),38-1.5,38+1.5,38,38,38,38+1.5,38-1.5)</f>
        <v>39.5</v>
      </c>
      <c r="CE9">
        <f>CHOOSE(MIN(MAX($A9,1),7),0,0,0,(0+CROQUIS!$C$31)/2,CROQUIS!$C$31,CROQUIS!$C$31,CROQUIS!$C$31)</f>
        <v>0</v>
      </c>
      <c r="CW9" t="n">
        <v>4.327</v>
      </c>
      <c r="CX9" t="n">
        <v>2.921</v>
      </c>
      <c r="CY9" t="n">
        <v>2.925</v>
      </c>
      <c r="CZ9" t="n">
        <v>5.346</v>
      </c>
      <c r="DA9" t="n">
        <v>4.327</v>
      </c>
      <c r="DB9" t="n">
        <v>1.919</v>
      </c>
      <c r="DC9" t="n">
        <v>4.247</v>
      </c>
      <c r="DD9" t="n">
        <v>13.946</v>
      </c>
      <c r="DE9" t="n">
        <v>-1.6</v>
      </c>
      <c r="DF9" t="n">
        <v>22.671</v>
      </c>
      <c r="DG9" t="n">
        <v>4.327</v>
      </c>
      <c r="DH9" t="n">
        <v>2.921</v>
      </c>
      <c r="DI9" t="n">
        <v>4.327</v>
      </c>
      <c r="DJ9" t="n">
        <v>1.919</v>
      </c>
      <c r="DK9" t="n">
        <v>8.85</v>
      </c>
      <c r="DL9" t="n">
        <v>16.697</v>
      </c>
      <c r="DM9" t="n">
        <v>4.427</v>
      </c>
      <c r="DN9" t="n">
        <v>13.946</v>
      </c>
      <c r="DO9" t="n">
        <v>0</v>
      </c>
      <c r="DP9" t="n">
        <v>2.921</v>
      </c>
      <c r="DQ9" t="inlineStr">
        <is>
          <t>F80003 N+3.00</t>
        </is>
      </c>
      <c r="DR9" t="inlineStr">
        <is>
          <t>N+3.00</t>
        </is>
      </c>
      <c r="DS9" t="n">
        <v>0</v>
      </c>
      <c r="DT9" t="n">
        <v>2.921</v>
      </c>
      <c r="DU9" t="n">
        <v>4.327</v>
      </c>
      <c r="DV9" t="n">
        <v>2.921</v>
      </c>
      <c r="DW9" t="n">
        <v>4.327</v>
      </c>
      <c r="DX9" t="n">
        <v>5.946</v>
      </c>
      <c r="DY9" t="n">
        <v>2.925</v>
      </c>
      <c r="DZ9" t="n">
        <v>5.946</v>
      </c>
      <c r="EA9" t="n">
        <v>2.925</v>
      </c>
      <c r="EB9" t="n">
        <v>5.346</v>
      </c>
      <c r="EC9" t="n">
        <v>0</v>
      </c>
      <c r="ED9" t="n">
        <v>5.346</v>
      </c>
      <c r="EE9" t="n">
        <v>0</v>
      </c>
      <c r="EF9" t="n">
        <v>2.921</v>
      </c>
      <c r="EG9" t="n">
        <v>0</v>
      </c>
      <c r="EH9" t="n">
        <v>2.921</v>
      </c>
      <c r="EI9" t="n">
        <v>0</v>
      </c>
      <c r="EJ9" t="n">
        <v>2.921</v>
      </c>
      <c r="EK9" t="n">
        <v>0</v>
      </c>
      <c r="EL9" t="n">
        <v>2.921</v>
      </c>
      <c r="EM9" t="n">
        <v>0</v>
      </c>
      <c r="EN9" t="n">
        <v>2.921</v>
      </c>
      <c r="EO9" t="n">
        <v>0</v>
      </c>
      <c r="EP9" t="n">
        <v>2.921</v>
      </c>
      <c r="EQ9" t="n">
        <v>0</v>
      </c>
      <c r="ER9" t="n">
        <v>2.921</v>
      </c>
      <c r="ES9" t="n">
        <v>0</v>
      </c>
      <c r="ET9" t="n">
        <v>2.921</v>
      </c>
      <c r="EU9" t="n">
        <v>0</v>
      </c>
      <c r="EV9" t="n">
        <v>2.921</v>
      </c>
      <c r="EW9" t="n">
        <v>0</v>
      </c>
      <c r="EX9" t="n">
        <v>2.921</v>
      </c>
      <c r="EY9" t="n">
        <v>0</v>
      </c>
      <c r="EZ9" t="n">
        <v>2.921</v>
      </c>
      <c r="FA9" t="n">
        <v>0</v>
      </c>
      <c r="FB9" t="n">
        <v>2.921</v>
      </c>
      <c r="FD9" t="inlineStr">
        <is>
          <t>NP-02</t>
        </is>
      </c>
      <c r="FE9" t="inlineStr">
        <is>
          <t>N+3.00</t>
        </is>
      </c>
      <c r="FF9" t="n">
        <v>0</v>
      </c>
      <c r="FG9" t="n">
        <v>2.921</v>
      </c>
      <c r="FH9" t="n">
        <v>4.327</v>
      </c>
      <c r="FI9" t="n">
        <v>2.921</v>
      </c>
      <c r="FK9">
        <f>IF(INDEX($DR$8:$DR$39,MATCH(CROQUIS!$C$7,$DQ$8:$DQ$39,0))="N+3.00",INDEX($DU$8:$DU$39,MATCH(CROQUIS!$C$7,$DQ$8:$DQ$39,0)),-100)</f>
        <v>4.426</v>
      </c>
      <c r="FL9">
        <f>IF(INDEX($DR$8:$DR$39,MATCH(CROQUIS!$C$7,$DQ$8:$DQ$39,0))="N+3.00",INDEX($DV$8:$DV$39,MATCH(CROQUIS!$C$7,$DQ$8:$DQ$39,0)),-100)</f>
        <v>17.446</v>
      </c>
      <c r="FM9">
        <f>IF(INDEX($FE$8:$FE$41,MATCH(CROQUIS!$C$24,$FD$8:$FD$41,0))="N+3.00",INDEX($FH$8:$FH$41,MATCH(CROQUIS!$C$24,$FD$8:$FD$41,0)),-100)</f>
        <v>4.327</v>
      </c>
      <c r="FN9">
        <f>IF(INDEX($FE$8:$FE$41,MATCH(CROQUIS!$C$24,$FD$8:$FD$41,0))="N+3.00",INDEX($FI$8:$FI$41,MATCH(CROQUIS!$C$24,$FD$8:$FD$41,0)),-100)</f>
        <v>14.021</v>
      </c>
      <c r="FO9">
        <f>IF(INDEX($DR$8:$DR$39,MATCH(CROQUIS!$C$7,$DQ$8:$DQ$39,0))="N+6.00",INDEX($DU$8:$DU$39,MATCH(CROQUIS!$C$7,$DQ$8:$DQ$39,0)),-100)</f>
        <v>-100</v>
      </c>
      <c r="FP9">
        <f>IF(INDEX($DR$8:$DR$39,MATCH(CROQUIS!$C$7,$DQ$8:$DQ$39,0))="N+6.00",INDEX($DV$8:$DV$39,MATCH(CROQUIS!$C$7,$DQ$8:$DQ$39,0)),-100)</f>
        <v>-100</v>
      </c>
      <c r="FQ9">
        <f>IF(INDEX($FE$8:$FE$41,MATCH(CROQUIS!$C$24,$FD$8:$FD$41,0))="N+6.00",INDEX($FH$8:$FH$41,MATCH(CROQUIS!$C$24,$FD$8:$FD$41,0)),-100)</f>
        <v>-100</v>
      </c>
      <c r="FR9">
        <f>IF(INDEX($FE$8:$FE$41,MATCH(CROQUIS!$C$24,$FD$8:$FD$41,0))="N+6.00",INDEX($FI$8:$FI$41,MATCH(CROQUIS!$C$24,$FD$8:$FD$41,0)),-100)</f>
        <v>-100</v>
      </c>
      <c r="FT9" t="inlineStr">
        <is>
          <t>F80003</t>
        </is>
      </c>
      <c r="FU9" t="n">
        <v>2.163</v>
      </c>
      <c r="FV9" t="n">
        <v>4.133</v>
      </c>
      <c r="FW9" t="inlineStr">
        <is>
          <t>N+3.00</t>
        </is>
      </c>
    </row>
    <row r="10">
      <c r="A10" t="n">
        <v>3</v>
      </c>
      <c r="B10">
        <f>CHOOSE(MIN(MAX($A10,1),5),CROQUIS!$C$15,CROQUIS!$C$15+CROQUIS!$C$10*CROQUIS!$C$14,CROQUIS!$C$15+CROQUIS!$C$10*CROQUIS!$C$14,CROQUIS!$C$15,CROQUIS!$C$15)</f>
        <v>94</v>
      </c>
      <c r="C10">
        <f>CHOOSE(MIN(MAX($A10,1),5),CROQUIS!$C$16,CROQUIS!$C$16,CROQUIS!$C$16+CROQUIS!$C$11*CROQUIS!$C$14,CROQUIS!$C$16+CROQUIS!$C$11*CROQUIS!$C$14,CROQUIS!$C$16)</f>
        <v>90.0537731586082</v>
      </c>
      <c r="D10">
        <f>CHOOSE(MIN(MAX($A10,1),5),CROQUIS!$C$15+DATOS!$C$17/2*CROQUIS!$C$14,CROQUIS!$C$15+CROQUIS!$C$10*CROQUIS!$C$14-DATOS!$C$17/2*CROQUIS!$C$14,CROQUIS!$C$15+CROQUIS!$C$10*CROQUIS!$C$14-DATOS!$C$17/2*CROQUIS!$C$14,CROQUIS!$C$15+DATOS!$C$17/2*CROQUIS!$C$14,CROQUIS!$C$15+DATOS!$C$17/2*CROQUIS!$C$14)</f>
        <v>92.6104835065522</v>
      </c>
      <c r="E10">
        <f>CHOOSE(MIN(MAX($A10,1),5),CROQUIS!$C$16+DATOS!$C$17/2*CROQUIS!$C$14,CROQUIS!$C$16+DATOS!$C$17/2*CROQUIS!$C$14,CROQUIS!$C$16+CROQUIS!$C$11*CROQUIS!$C$14-DATOS!$C$17/2*CROQUIS!$C$14,CROQUIS!$C$16+CROQUIS!$C$11*CROQUIS!$C$14-DATOS!$C$17/2*CROQUIS!$C$14,CROQUIS!$C$16+DATOS!$C$17/2*CROQUIS!$C$14)</f>
        <v>88.6642566651604</v>
      </c>
      <c r="F10">
        <f>IF(NERVADURA!$C$131=0,CROQUIS!$C$15+CROQUIS!$C$10*CROQUIS!$C$14/2,CROQUIS!$C$15+(DATOS!$C$17/2+NERVADURA!$C$132+INT(MIN(INT(($A10-1)/2),MAX(2*NERVADURA!$C$131-1,0))/2)*DATOS!$C$16+MOD(MIN(INT(($A10-1)/2),MAX(2*NERVADURA!$C$131-1,0)),2)*DATOS!$C$11)*CROQUIS!$C$14)</f>
        <v>26.136014460009</v>
      </c>
      <c r="G10">
        <f>IF(NERVADURA!$C$131=0,CROQUIS!$C$16+CROQUIS!$C$11*CROQUIS!$C$14/2,CROQUIS!$C$16+IF(MOD(MIN(INT(($A10-1)/2),MAX(2*NERVADURA!$C$131-1,0)),2)=0,IF(IF(INT(($A10-1)/2)&gt;MAX(2*NERVADURA!$C$131-1,0),1,MOD($A10-1,2))=0,(DATOS!$C$17/2+NERVADURA!$C$134),(CROQUIS!$C$11-DATOS!$C$17/2-NERVADURA!$C$134)),IF(IF(INT(($A10-1)/2)&gt;MAX(2*NERVADURA!$C$131-1,0),1,MOD($A10-1,2))=0,(CROQUIS!$C$11-DATOS!$C$17/2-NERVADURA!$C$134),(DATOS!$C$17/2+NERVADURA!$C$134)))*CROQUIS!$C$14)</f>
        <v>84.495707184817</v>
      </c>
      <c r="H10">
        <f>IF(NERVADURA!$C$133=0,CROQUIS!$C$15+CROQUIS!$C$10*CROQUIS!$C$14/2,CROQUIS!$C$15+IF(MOD(MIN(INT(($A10-1)/2),MAX(2*NERVADURA!$C$133-1,0)),2)=0,IF(IF(INT(($A10-1)/2)&gt;MAX(2*NERVADURA!$C$133-1,0),1,MOD($A10-1,2))=0,(DATOS!$C$17/2+NERVADURA!$C$132),(CROQUIS!$C$10-DATOS!$C$17/2-NERVADURA!$C$132)),IF(IF(INT(($A10-1)/2)&gt;MAX(2*NERVADURA!$C$133-1,0),1,MOD($A10-1,2))=0,(CROQUIS!$C$10-DATOS!$C$17/2-NERVADURA!$C$132),(DATOS!$C$17/2+NERVADURA!$C$132)))*CROQUIS!$C$14)</f>
        <v>90.9801174875734</v>
      </c>
      <c r="I10">
        <f>IF(NERVADURA!$C$133=0,CROQUIS!$C$16+CROQUIS!$C$11*CROQUIS!$C$14/2,CROQUIS!$C$16+(DATOS!$C$17/2+NERVADURA!$C$134+INT(MIN(INT(($A10-1)/2),MAX(2*NERVADURA!$C$133-1,0))/2)*DATOS!$C$16+MOD(MIN(INT(($A10-1)/2),MAX(2*NERVADURA!$C$133-1,0)),2)*DATOS!$C$11)*CROQUIS!$C$14)</f>
        <v>32.6204247627655</v>
      </c>
      <c r="J10">
        <f>IF(CROQUIS!$C$12="X",IF($A10&lt;=1,CROQUIS!$C$15+(0.02)*CROQUIS!$C$10*CROQUIS!$C$14,CROQUIS!$C$15+(0.98)*CROQUIS!$C$10*CROQUIS!$C$14),CROQUIS!$C$15+CROQUIS!$C$10*CROQUIS!$C$14/2+-1.2)</f>
        <v>51.8</v>
      </c>
      <c r="K10">
        <f>IF(CROQUIS!$C$12="X",CROQUIS!$C$16+CROQUIS!$C$11*CROQUIS!$C$14/2+-1.2,IF($A10&lt;=1,CROQUIS!$C$16+(0.02)*CROQUIS!$C$11*CROQUIS!$C$14,CROQUIS!$C$16+(0.98)*CROQUIS!$C$11*CROQUIS!$C$14))</f>
        <v>88.5716222322639</v>
      </c>
      <c r="L10">
        <f>IF(CROQUIS!$C$12="X",IF($A10&lt;=1,CROQUIS!$C$15+(0.02)*CROQUIS!$C$10*CROQUIS!$C$14,CROQUIS!$C$15+(0.98)*CROQUIS!$C$10*CROQUIS!$C$14),CROQUIS!$C$15+CROQUIS!$C$10*CROQUIS!$C$14/2+1.2)</f>
        <v>54.2</v>
      </c>
      <c r="M10">
        <f>IF(CROQUIS!$C$12="X",CROQUIS!$C$16+CROQUIS!$C$11*CROQUIS!$C$14/2+1.2,IF($A10&lt;=1,CROQUIS!$C$16+(0.02)*CROQUIS!$C$11*CROQUIS!$C$14,CROQUIS!$C$16+(0.98)*CROQUIS!$C$11*CROQUIS!$C$14))</f>
        <v>88.5716222322639</v>
      </c>
      <c r="N10">
        <f>IF(NERVADURA!$C$73&lt;2,-50,IF(CROQUIS!$C$12="X",IF($A10&lt;=1,CROQUIS!$C$15+(0)*CROQUIS!$C$10*CROQUIS!$C$14,CROQUIS!$C$15+(IF(CROQUIS!$C$9="VOLADO",1,MIN(0.5,(DATOS!$C$17/2+NERVADURA!$C$137)/(NERVADURA!$C$15*100))))*CROQUIS!$C$10*CROQUIS!$C$14),CROQUIS!$C$15+CROQUIS!$C$10*CROQUIS!$C$14/2+2.6))</f>
        <v>-50</v>
      </c>
      <c r="O10">
        <f>IF(CROQUIS!$C$12="X",CROQUIS!$C$16+CROQUIS!$C$11*CROQUIS!$C$14/2+2.6,IF($A10&lt;=1,CROQUIS!$C$16+(0)*CROQUIS!$C$11*CROQUIS!$C$14,CROQUIS!$C$16+(IF(CROQUIS!$C$9="VOLADO",1,MIN(0.5,(DATOS!$C$17/2+NERVADURA!$C$137)/(NERVADURA!$C$15*100))))*CROQUIS!$C$11*CROQUIS!$C$14))</f>
        <v>36.7889742431089</v>
      </c>
      <c r="P10">
        <f>IF(OR(NERVADURA!$C$73&lt;2,CROQUIS!$C$9="VOLADO"),-50,IF(CROQUIS!$C$12="X",IF($A10&lt;=1,CROQUIS!$C$15+(IF(CROQUIS!$C$9="VOLADO",1,1-MIN(0.5,(DATOS!$C$17/2+NERVADURA!$C$137)/(NERVADURA!$C$15*100))))*CROQUIS!$C$10*CROQUIS!$C$14,CROQUIS!$C$15+(1)*CROQUIS!$C$10*CROQUIS!$C$14),CROQUIS!$C$15+CROQUIS!$C$10*CROQUIS!$C$14/2+2.6))</f>
        <v>-50</v>
      </c>
      <c r="Q10">
        <f>IF(CROQUIS!$C$12="X",CROQUIS!$C$16+CROQUIS!$C$11*CROQUIS!$C$14/2+2.6,IF($A10&lt;=1,CROQUIS!$C$16+(IF(CROQUIS!$C$9="VOLADO",1,1-MIN(0.5,(DATOS!$C$17/2+NERVADURA!$C$137)/(NERVADURA!$C$15*100))))*CROQUIS!$C$11*CROQUIS!$C$14,CROQUIS!$C$16+(1)*CROQUIS!$C$11*CROQUIS!$C$14))</f>
        <v>90.0537731586082</v>
      </c>
      <c r="R10">
        <f>IF(CROQUIS!$C$12="Y",IF($A10&lt;=1,CROQUIS!$C$15+(0.02)*CROQUIS!$C$10*CROQUIS!$C$14,CROQUIS!$C$15+(0.98)*CROQUIS!$C$10*CROQUIS!$C$14),CROQUIS!$C$15+CROQUIS!$C$10*CROQUIS!$C$14/2+-1.2)</f>
        <v>92.36</v>
      </c>
      <c r="S10">
        <f>IF(CROQUIS!$C$12="Y",CROQUIS!$C$16+CROQUIS!$C$11*CROQUIS!$C$14/2+(-1.2)+0.0,IF($A10&lt;=1,CROQUIS!$C$16+(0.02)*CROQUIS!$C$11*CROQUIS!$C$14,CROQUIS!$C$16+(0.98)*CROQUIS!$C$11*CROQUIS!$C$14))</f>
        <v>51.8</v>
      </c>
      <c r="T10">
        <f>IF(CROQUIS!$C$12="Y",IF($A10&lt;=1,CROQUIS!$C$15+(0.02)*CROQUIS!$C$10*CROQUIS!$C$14,CROQUIS!$C$15+(0.98)*CROQUIS!$C$10*CROQUIS!$C$14),CROQUIS!$C$15+CROQUIS!$C$10*CROQUIS!$C$14/2+1.2)</f>
        <v>92.36</v>
      </c>
      <c r="U10">
        <f>IF(CROQUIS!$C$12="Y",CROQUIS!$C$16+CROQUIS!$C$11*CROQUIS!$C$14/2+(1.2)+0.0,IF($A10&lt;=1,CROQUIS!$C$16+(0.02)*CROQUIS!$C$11*CROQUIS!$C$14,CROQUIS!$C$16+(0.98)*CROQUIS!$C$11*CROQUIS!$C$14))</f>
        <v>54.2</v>
      </c>
      <c r="V10">
        <f>IF(NERVADURA!$C$103&lt;2,-50,IF(CROQUIS!$C$12="Y",IF($A10&lt;=1,CROQUIS!$C$15+(0)*CROQUIS!$C$10*CROQUIS!$C$14,CROQUIS!$C$15+(IF(CROQUIS!$C$9="VOLADO",1,MIN(0.5,(DATOS!$C$17/2+NERVADURA!$C$138)/(NERVADURA!$C$16*100))))*CROQUIS!$C$10*CROQUIS!$C$14),CROQUIS!$C$15+CROQUIS!$C$10*CROQUIS!$C$14/2+2.6))</f>
        <v>-50</v>
      </c>
      <c r="W10">
        <f>IF(CROQUIS!$C$12="Y",CROQUIS!$C$16+CROQUIS!$C$11*CROQUIS!$C$14/2+(2.6)+0.0,IF($A10&lt;=1,CROQUIS!$C$16+(0)*CROQUIS!$C$11*CROQUIS!$C$14,CROQUIS!$C$16+(IF(CROQUIS!$C$9="VOLADO",1,MIN(0.5,(DATOS!$C$17/2+NERVADURA!$C$138)/(NERVADURA!$C$16*100))))*CROQUIS!$C$11*CROQUIS!$C$14))</f>
        <v>55.6</v>
      </c>
      <c r="X10">
        <f>IF(OR(NERVADURA!$C$103&lt;2,CROQUIS!$C$9="VOLADO"),-50,IF(CROQUIS!$C$12="Y",IF($A10&lt;=1,CROQUIS!$C$15+(IF(CROQUIS!$C$9="VOLADO",1,1-MIN(0.5,(DATOS!$C$17/2+NERVADURA!$C$138)/(NERVADURA!$C$16*100))))*CROQUIS!$C$10*CROQUIS!$C$14,CROQUIS!$C$15+(1)*CROQUIS!$C$10*CROQUIS!$C$14),CROQUIS!$C$15+CROQUIS!$C$10*CROQUIS!$C$14/2+2.6))</f>
        <v>-50</v>
      </c>
      <c r="Y10">
        <f>IF(CROQUIS!$C$12="Y",CROQUIS!$C$16+CROQUIS!$C$11*CROQUIS!$C$14/2+(2.6)+0.0,IF($A10&lt;=1,CROQUIS!$C$16+(IF(CROQUIS!$C$9="VOLADO",1,1-MIN(0.5,(DATOS!$C$17/2+NERVADURA!$C$138)/(NERVADURA!$C$16*100))))*CROQUIS!$C$11*CROQUIS!$C$14,CROQUIS!$C$16+(1)*CROQUIS!$C$11*CROQUIS!$C$14))</f>
        <v>55.6</v>
      </c>
      <c r="Z10">
        <f>CHOOSE(MIN(MAX($A10,1),7),CROQUIS!$C$15,CROQUIS!$C$15,CROQUIS!$C$15,(CROQUIS!$C$15+CROQUIS!$C$15+CROQUIS!$C$10*CROQUIS!$C$14)/2,CROQUIS!$C$15+CROQUIS!$C$10*CROQUIS!$C$14,CROQUIS!$C$15+CROQUIS!$C$10*CROQUIS!$C$14,CROQUIS!$C$15+CROQUIS!$C$10*CROQUIS!$C$14)</f>
        <v>12</v>
      </c>
      <c r="AA10">
        <f>CHOOSE(MIN(MAX($A10,1),7),CROQUIS!$C$16-5-1.5,CROQUIS!$C$16-5+1.5,CROQUIS!$C$16-5,CROQUIS!$C$16-5,CROQUIS!$C$16-5,CROQUIS!$C$16-5+1.5,CROQUIS!$C$16-5-1.5)</f>
        <v>10.9462268413918</v>
      </c>
      <c r="AB10">
        <f>CHOOSE(MIN(MAX($A10,1),7),CROQUIS!$C$15-5-1.5,CROQUIS!$C$15-5+1.5,CROQUIS!$C$15-5,CROQUIS!$C$15-5,CROQUIS!$C$15-5,CROQUIS!$C$15-5+1.5,CROQUIS!$C$15-5-1.5)</f>
        <v>7</v>
      </c>
      <c r="AC10">
        <f>CHOOSE(MIN(MAX($A10,1),7),CROQUIS!$C$16,CROQUIS!$C$16,CROQUIS!$C$16,(CROQUIS!$C$16+CROQUIS!$C$16+CROQUIS!$C$11*CROQUIS!$C$14)/2,CROQUIS!$C$16+CROQUIS!$C$11*CROQUIS!$C$14,CROQUIS!$C$16+CROQUIS!$C$11*CROQUIS!$C$14,CROQUIS!$C$16+CROQUIS!$C$11*CROQUIS!$C$14)</f>
        <v>15.9462268413918</v>
      </c>
      <c r="AD10">
        <f>CHOOSE(MIN(MAX($A10,1),7),CROQUIS!$C$15+(DATOS!$C$17/2+NERVADURA!$C$132)*CROQUIS!$C$14,CROQUIS!$C$15+(DATOS!$C$17/2+NERVADURA!$C$132)*CROQUIS!$C$14,CROQUIS!$C$15+(DATOS!$C$17/2+NERVADURA!$C$132)*CROQUIS!$C$14,(CROQUIS!$C$15+(DATOS!$C$17/2+NERVADURA!$C$132)*CROQUIS!$C$14+CROQUIS!$C$15+(DATOS!$C$17/2+NERVADURA!$C$132+DATOS!$C$16)*CROQUIS!$C$14)/2,CROQUIS!$C$15+(DATOS!$C$17/2+NERVADURA!$C$132+DATOS!$C$16)*CROQUIS!$C$14,CROQUIS!$C$15+(DATOS!$C$17/2+NERVADURA!$C$132+DATOS!$C$16)*CROQUIS!$C$14,CROQUIS!$C$15+(DATOS!$C$17/2+NERVADURA!$C$132+DATOS!$C$16)*CROQUIS!$C$14)</f>
        <v>15.0198825124266</v>
      </c>
      <c r="AE10">
        <f>CHOOSE(MIN(MAX($A10,1),7),CROQUIS!$C$16+CROQUIS!$C$11*CROQUIS!$C$14+4-1.5,CROQUIS!$C$16+CROQUIS!$C$11*CROQUIS!$C$14+4+1.5,CROQUIS!$C$16+CROQUIS!$C$11*CROQUIS!$C$14+4,CROQUIS!$C$16+CROQUIS!$C$11*CROQUIS!$C$14+4,CROQUIS!$C$16+CROQUIS!$C$11*CROQUIS!$C$14+4,CROQUIS!$C$16+CROQUIS!$C$11*CROQUIS!$C$14+4+1.5,CROQUIS!$C$16+CROQUIS!$C$11*CROQUIS!$C$14+4-1.5)</f>
        <v>94.0537731586082</v>
      </c>
      <c r="AF10">
        <f>CHOOSE(MIN(MAX($A10,1),9),-DATOS!$C$16/2,DATOS!$C$16/2,DATOS!$C$16/2,DATOS!$C$13/2,DATOS!$C$13/2,-DATOS!$C$13/2,-DATOS!$C$13/2,-DATOS!$C$16/2,-DATOS!$C$16/2)</f>
        <v>35</v>
      </c>
      <c r="AG10">
        <f>CHOOSE(MIN(MAX($A10,1),9),DATOS!$C$15,DATOS!$C$15,DATOS!$C$12,DATOS!$C$12,0,0,DATOS!$C$12,DATOS!$C$12,DATOS!$C$15)</f>
        <v>20</v>
      </c>
      <c r="AH10">
        <f>CHOOSE(MIN(MAX($A10,1),5),-DATOS!$C$16/2,-DATOS!$C$13/2,-DATOS!$C$13/2,-DATOS!$C$16/2,-DATOS!$C$16/2)</f>
        <v>-5</v>
      </c>
      <c r="AI10">
        <f>CHOOSE(MIN(MAX($A10,1),5),0,0,DATOS!$C$12,DATOS!$C$12,0)</f>
        <v>20</v>
      </c>
      <c r="AJ10">
        <f>CHOOSE(MIN(MAX($A10,1),5),DATOS!$C$13/2,DATOS!$C$16/2,DATOS!$C$16/2,DATOS!$C$13/2,DATOS!$C$13/2)</f>
        <v>35</v>
      </c>
      <c r="AK10">
        <f>CHOOSE(MIN(MAX($A10,1),5),0,0,DATOS!$C$12,DATOS!$C$12,0)</f>
        <v>20</v>
      </c>
      <c r="AR10">
        <f>CHOOSE(MIN(MAX($A10,1),5),-(DATOS!$C$13/2-DATOS!$C$20),(DATOS!$C$13/2-DATOS!$C$20),(DATOS!$C$13/2-DATOS!$C$20),-(DATOS!$C$13/2-DATOS!$C$20),-(DATOS!$C$13/2-DATOS!$C$20))</f>
        <v>3</v>
      </c>
      <c r="AS10">
        <f>IF(DATOS!$C$25=0,-100,CHOOSE(MIN(MAX($A10,1),5),DATOS!$C$20,DATOS!$C$20,DATOS!$C$15-DATOS!$C$20,DATOS!$C$15-DATOS!$C$20,DATOS!$C$20))</f>
        <v>-100</v>
      </c>
      <c r="AT10">
        <f>CHOOSE(MIN(MAX($A10,1),7),-DATOS!$C$13/2,-DATOS!$C$13/2,-DATOS!$C$13/2,(-DATOS!$C$13/2+DATOS!$C$13/2)/2,DATOS!$C$13/2,DATOS!$C$13/2,DATOS!$C$13/2)</f>
        <v>-5</v>
      </c>
      <c r="AU10">
        <f>CHOOSE(MIN(MAX($A10,1),7),-4-1.5,-4+1.5,-4,-4,-4,-4+1.5,-4-1.5)</f>
        <v>-4</v>
      </c>
      <c r="AV10">
        <f>CHOOSE(MIN(MAX($A10,1),7),-DATOS!$C$16/2,-DATOS!$C$16/2,-DATOS!$C$16/2,(-DATOS!$C$16/2+DATOS!$C$16/2)/2,DATOS!$C$16/2,DATOS!$C$16/2,DATOS!$C$16/2)</f>
        <v>-35</v>
      </c>
      <c r="AW10">
        <f>CHOOSE(MIN(MAX($A10,1),7),DATOS!$C$15+4-1.5,DATOS!$C$15+4+1.5,DATOS!$C$15+4,DATOS!$C$15+4,DATOS!$C$15+4,DATOS!$C$15+4+1.5,DATOS!$C$15+4-1.5)</f>
        <v>29</v>
      </c>
      <c r="AX10">
        <f>CHOOSE(MIN(MAX($A10,1),7),DATOS!$C$16/2+4-1.5,DATOS!$C$16/2+4+1.5,DATOS!$C$16/2+4,DATOS!$C$16/2+4,DATOS!$C$16/2+4,DATOS!$C$16/2+4+1.5,DATOS!$C$16/2+4-1.5)</f>
        <v>39</v>
      </c>
      <c r="AY10">
        <f>CHOOSE(MIN(MAX($A10,1),7),0,0,0,(0+DATOS!$C$15)/2,DATOS!$C$15,DATOS!$C$15,DATOS!$C$15)</f>
        <v>0</v>
      </c>
      <c r="AZ10">
        <f>CHOOSE(MIN(MAX($A10,1),5),0,100,100,0,0)</f>
        <v>100</v>
      </c>
      <c r="BA10">
        <f>CHOOSE(MIN(MAX($A10,1),5),0,0,12,12,0)</f>
        <v>12</v>
      </c>
      <c r="BB10">
        <f>CHOOSE(MIN(MAX($A10,1),5),-3,0,0,-3,-3)</f>
        <v>0</v>
      </c>
      <c r="BC10">
        <f>CHOOSE(MIN(MAX($A10,1),5),-10,-10,12,12,-10)</f>
        <v>12</v>
      </c>
      <c r="BD10">
        <f>CHOOSE(MIN(MAX($A10,1),5),IF(CROQUIS!$C$9="VOLADO",-3,100),IF(CROQUIS!$C$9="VOLADO",0,103),IF(CROQUIS!$C$9="VOLADO",0,103),IF(CROQUIS!$C$9="VOLADO",-3,100),IF(CROQUIS!$C$9="VOLADO",-3,100))</f>
        <v>103</v>
      </c>
      <c r="BE10">
        <f>CHOOSE(MIN(MAX($A10,1),5),-10,-10,12,12,-10)</f>
        <v>12</v>
      </c>
      <c r="BF10">
        <f>CHOOSE(MIN(MAX($A10,1),4),1.5,1.5,98.5,98.5)</f>
        <v>98.5</v>
      </c>
      <c r="BG10">
        <f>CHOOSE(MIN(MAX($A10,1),4),4,1.5,1.5,4)</f>
        <v>1.5</v>
      </c>
      <c r="BH10">
        <f>CHOOSE(MIN(MAX($A10,1),4),-1.5,-1.5,101.5,101.5)</f>
        <v>101.5</v>
      </c>
      <c r="BI10">
        <f>CHOOSE(MIN(MAX($A10,1),4),6,9.5,9.5,IF(CROQUIS!$C$9="VOLADO",9.5,6))</f>
        <v>9.5</v>
      </c>
      <c r="BJ10">
        <f>IF(NERVADURA!$C$73&lt;2,-50,CHOOSE(MIN(MAX($A10,1),3),-1.5,-1.5,IF(CROQUIS!$C$9="VOLADO",98.5,MIN(50,(DATOS!$C$17/2+NERVADURA!$C$137)/(NERVADURA!$C$15*100)*100))))</f>
        <v>-50</v>
      </c>
      <c r="BK10">
        <f>CHOOSE(MIN(MAX($A10,1),3),6,10.7,10.7)</f>
        <v>10.7</v>
      </c>
      <c r="BL10">
        <f>IF(OR(NERVADURA!$C$73&lt;2,CROQUIS!$C$9="VOLADO"),-50,CHOOSE(MIN(MAX($A10,1),3),101.5,101.5,100-MIN(50,(DATOS!$C$17/2+NERVADURA!$C$137)/(NERVADURA!$C$15*100)*100)))</f>
        <v>-50</v>
      </c>
      <c r="BM10">
        <f>CHOOSE(MIN(MAX($A10,1),3),6,10.7,10.7)</f>
        <v>10.7</v>
      </c>
      <c r="BN10">
        <f>CHOOSE(MIN(MAX($A10,1),7),0,0,0,(0+100)/2,100,100,100)</f>
        <v>0</v>
      </c>
      <c r="BO10">
        <f>CHOOSE(MIN(MAX($A10,1),7),-14-1.5,-14+1.5,-14,-14,-14,-14+1.5,-14-1.5)</f>
        <v>-14</v>
      </c>
      <c r="BP10">
        <f>CHOOSE(MIN(MAX($A10,1),9),-35,35,35,CROQUIS!$C$30/2,CROQUIS!$C$30/2,-CROQUIS!$C$30/2,-CROQUIS!$C$30/2,-35,-35)</f>
        <v>35</v>
      </c>
      <c r="BQ10">
        <f>CHOOSE(MIN(MAX($A10,1),9),CROQUIS!$C$31,CROQUIS!$C$31,CROQUIS!$C$31-DATOS!$C$14,CROQUIS!$C$31-DATOS!$C$14,0,0,CROQUIS!$C$31-DATOS!$C$14,CROQUIS!$C$31-DATOS!$C$14,CROQUIS!$C$31)</f>
        <v>40</v>
      </c>
      <c r="BR10">
        <f>CHOOSE(MIN(MAX($A10,1),5),-35,-CROQUIS!$C$30/2,-CROQUIS!$C$30/2,-35,-35)</f>
        <v>-10</v>
      </c>
      <c r="BS10">
        <f>CHOOSE(MIN(MAX($A10,1),5),CROQUIS!$C$31-DATOS!$C$14-DATOS!$C$12,CROQUIS!$C$31-DATOS!$C$14-DATOS!$C$12,CROQUIS!$C$31-DATOS!$C$14,CROQUIS!$C$31-DATOS!$C$14,CROQUIS!$C$31-DATOS!$C$14-DATOS!$C$12)</f>
        <v>40</v>
      </c>
      <c r="BT10">
        <f>CHOOSE(MIN(MAX($A10,1),5),CROQUIS!$C$30/2,35,35,CROQUIS!$C$30/2,CROQUIS!$C$30/2)</f>
        <v>35</v>
      </c>
      <c r="BU10">
        <f>CHOOSE(MIN(MAX($A10,1),5),CROQUIS!$C$31-DATOS!$C$14-DATOS!$C$12,CROQUIS!$C$31-DATOS!$C$14-DATOS!$C$12,CROQUIS!$C$31-DATOS!$C$14,CROQUIS!$C$31-DATOS!$C$14,CROQUIS!$C$31-DATOS!$C$14-DATOS!$C$12)</f>
        <v>40</v>
      </c>
      <c r="BV10">
        <f>CHOOSE(MIN(MAX($A10,1),5),-(CROQUIS!$C$30/2-DATOS!$C$22-INDEX(TABLAS!$C$52:$C$58,MATCH(DATOS!$C$113,TABLAS!$B$52:$B$58,0))/2),(CROQUIS!$C$30/2-DATOS!$C$22-INDEX(TABLAS!$C$52:$C$58,MATCH(DATOS!$C$113,TABLAS!$B$52:$B$58,0))/2),(CROQUIS!$C$30/2-DATOS!$C$22-INDEX(TABLAS!$C$52:$C$58,MATCH(DATOS!$C$113,TABLAS!$B$52:$B$58,0))/2),-(CROQUIS!$C$30/2-DATOS!$C$22-INDEX(TABLAS!$C$52:$C$58,MATCH(DATOS!$C$113,TABLAS!$B$52:$B$58,0))/2),-(CROQUIS!$C$30/2-DATOS!$C$22-INDEX(TABLAS!$C$52:$C$58,MATCH(DATOS!$C$113,TABLAS!$B$52:$B$58,0))/2))</f>
        <v>5.525</v>
      </c>
      <c r="BW10">
        <f>CHOOSE(MIN(MAX($A10,1),5),DATOS!$C$22+INDEX(TABLAS!$C$52:$C$58,MATCH(DATOS!$C$113,TABLAS!$B$52:$B$58,0))/2,DATOS!$C$22+INDEX(TABLAS!$C$52:$C$58,MATCH(DATOS!$C$113,TABLAS!$B$52:$B$58,0))/2,CROQUIS!$C$31-DATOS!$C$22-INDEX(TABLAS!$C$52:$C$58,MATCH(DATOS!$C$113,TABLAS!$B$52:$B$58,0))/2,CROQUIS!$C$31-DATOS!$C$22-INDEX(TABLAS!$C$52:$C$58,MATCH(DATOS!$C$113,TABLAS!$B$52:$B$58,0))/2,DATOS!$C$22+INDEX(TABLAS!$C$52:$C$58,MATCH(DATOS!$C$113,TABLAS!$B$52:$B$58,0))/2)</f>
        <v>40.525</v>
      </c>
      <c r="BX10">
        <f>IF(CROQUIS!$C$32&lt;=1,0,-(CROQUIS!$C$30-2*DATOS!$C$22-2*INDEX(TABLAS!$C$52:$C$58,MATCH(DATOS!$C$113,TABLAS!$B$52:$B$58,0))-INDEX(TABLAS!$C$52:$C$58,MATCH(MAX(CROQUIS!$C$33,3),TABLAS!$B$52:$B$58,0)))/2+(MIN($A10,CROQUIS!$C$32)-1)*(CROQUIS!$C$30-2*DATOS!$C$22-2*INDEX(TABLAS!$C$52:$C$58,MATCH(DATOS!$C$113,TABLAS!$B$52:$B$58,0))-INDEX(TABLAS!$C$52:$C$58,MATCH(MAX(CROQUIS!$C$33,3),TABLAS!$B$52:$B$58,0)))/(CROQUIS!$C$32-1))</f>
        <v>4.415</v>
      </c>
      <c r="BY10">
        <f>IF(CROQUIS!$C$32=0,-100,DATOS!$C$22+INDEX(TABLAS!$C$52:$C$58,MATCH(DATOS!$C$113,TABLAS!$B$52:$B$58,0))+INDEX(TABLAS!$C$52:$C$58,MATCH(MAX(CROQUIS!$C$33,3),TABLAS!$B$52:$B$58,0))/2)</f>
        <v>5.585</v>
      </c>
      <c r="BZ10">
        <f>IF(CROQUIS!$C$34&lt;=1,0,-(CROQUIS!$C$30-2*DATOS!$C$22-2*INDEX(TABLAS!$C$52:$C$58,MATCH(DATOS!$C$113,TABLAS!$B$52:$B$58,0))-INDEX(TABLAS!$C$52:$C$58,MATCH(MAX(CROQUIS!$C$35,3),TABLAS!$B$52:$B$58,0)))/2+(MIN($A10,CROQUIS!$C$34)-1)*(CROQUIS!$C$30-2*DATOS!$C$22-2*INDEX(TABLAS!$C$52:$C$58,MATCH(DATOS!$C$113,TABLAS!$B$52:$B$58,0))-INDEX(TABLAS!$C$52:$C$58,MATCH(MAX(CROQUIS!$C$35,3),TABLAS!$B$52:$B$58,0)))/(CROQUIS!$C$34-1))</f>
        <v>4.415</v>
      </c>
      <c r="CA10">
        <f>IF(CROQUIS!$C$34=0,-100,CROQUIS!$C$31-DATOS!$C$22-INDEX(TABLAS!$C$52:$C$58,MATCH(DATOS!$C$113,TABLAS!$B$52:$B$58,0))-INDEX(TABLAS!$C$52:$C$58,MATCH(MAX(CROQUIS!$C$35,3),TABLAS!$B$52:$B$58,0))/2)</f>
        <v>39.415</v>
      </c>
      <c r="CB10">
        <f>CHOOSE(MIN(MAX($A10,1),7),-CROQUIS!$C$30/2,-CROQUIS!$C$30/2,-CROQUIS!$C$30/2,(-CROQUIS!$C$30/2+CROQUIS!$C$30/2)/2,CROQUIS!$C$30/2,CROQUIS!$C$30/2,CROQUIS!$C$30/2)</f>
        <v>-10</v>
      </c>
      <c r="CC10">
        <f>CHOOSE(MIN(MAX($A10,1),7),-5-1.5,-5+1.5,-5,-5,-5,-5+1.5,-5-1.5)</f>
        <v>-5</v>
      </c>
      <c r="CD10">
        <f>CHOOSE(MIN(MAX($A10,1),7),38-1.5,38+1.5,38,38,38,38+1.5,38-1.5)</f>
        <v>38</v>
      </c>
      <c r="CE10">
        <f>CHOOSE(MIN(MAX($A10,1),7),0,0,0,(0+CROQUIS!$C$31)/2,CROQUIS!$C$31,CROQUIS!$C$31,CROQUIS!$C$31)</f>
        <v>0</v>
      </c>
      <c r="CW10" t="n">
        <v>0</v>
      </c>
      <c r="CX10" t="n">
        <v>2.921</v>
      </c>
      <c r="DC10" t="n">
        <v>0.075</v>
      </c>
      <c r="DD10" t="n">
        <v>13.946</v>
      </c>
      <c r="DE10" t="n">
        <v>-1.6</v>
      </c>
      <c r="DF10" t="n">
        <v>23.671</v>
      </c>
      <c r="DG10" t="n">
        <v>0</v>
      </c>
      <c r="DH10" t="n">
        <v>2.921</v>
      </c>
      <c r="DM10" t="n">
        <v>0.075</v>
      </c>
      <c r="DN10" t="n">
        <v>13.946</v>
      </c>
      <c r="DO10" t="n">
        <v>0</v>
      </c>
      <c r="DP10" t="n">
        <v>5.346</v>
      </c>
      <c r="DQ10" t="inlineStr">
        <is>
          <t>F80004 N+3.00</t>
        </is>
      </c>
      <c r="DR10" t="inlineStr">
        <is>
          <t>N+3.00</t>
        </is>
      </c>
      <c r="DS10" t="n">
        <v>5.923</v>
      </c>
      <c r="DT10" t="n">
        <v>5.946</v>
      </c>
      <c r="DU10" t="n">
        <v>4.327</v>
      </c>
      <c r="DV10" t="n">
        <v>5.946</v>
      </c>
      <c r="DW10" t="n">
        <v>4.327</v>
      </c>
      <c r="DX10" t="n">
        <v>2.921</v>
      </c>
      <c r="DY10" t="n">
        <v>5.923</v>
      </c>
      <c r="DZ10" t="n">
        <v>2.921</v>
      </c>
      <c r="EA10" t="n">
        <v>5.923</v>
      </c>
      <c r="EB10" t="n">
        <v>5.946</v>
      </c>
      <c r="EC10" t="n">
        <v>5.923</v>
      </c>
      <c r="ED10" t="n">
        <v>5.946</v>
      </c>
      <c r="EE10" t="n">
        <v>5.923</v>
      </c>
      <c r="EF10" t="n">
        <v>5.946</v>
      </c>
      <c r="EG10" t="n">
        <v>5.923</v>
      </c>
      <c r="EH10" t="n">
        <v>5.946</v>
      </c>
      <c r="EI10" t="n">
        <v>5.923</v>
      </c>
      <c r="EJ10" t="n">
        <v>5.946</v>
      </c>
      <c r="EK10" t="n">
        <v>5.923</v>
      </c>
      <c r="EL10" t="n">
        <v>5.946</v>
      </c>
      <c r="EM10" t="n">
        <v>5.923</v>
      </c>
      <c r="EN10" t="n">
        <v>5.946</v>
      </c>
      <c r="EO10" t="n">
        <v>5.923</v>
      </c>
      <c r="EP10" t="n">
        <v>5.946</v>
      </c>
      <c r="EQ10" t="n">
        <v>5.923</v>
      </c>
      <c r="ER10" t="n">
        <v>5.946</v>
      </c>
      <c r="ES10" t="n">
        <v>5.923</v>
      </c>
      <c r="ET10" t="n">
        <v>5.946</v>
      </c>
      <c r="EU10" t="n">
        <v>5.923</v>
      </c>
      <c r="EV10" t="n">
        <v>5.946</v>
      </c>
      <c r="EW10" t="n">
        <v>5.923</v>
      </c>
      <c r="EX10" t="n">
        <v>5.946</v>
      </c>
      <c r="EY10" t="n">
        <v>5.923</v>
      </c>
      <c r="EZ10" t="n">
        <v>5.946</v>
      </c>
      <c r="FA10" t="n">
        <v>5.923</v>
      </c>
      <c r="FB10" t="n">
        <v>5.946</v>
      </c>
      <c r="FD10" t="inlineStr">
        <is>
          <t>NP-03</t>
        </is>
      </c>
      <c r="FE10" t="inlineStr">
        <is>
          <t>N+3.00</t>
        </is>
      </c>
      <c r="FF10" t="n">
        <v>4.327</v>
      </c>
      <c r="FG10" t="n">
        <v>2.921</v>
      </c>
      <c r="FH10" t="n">
        <v>5.923</v>
      </c>
      <c r="FI10" t="n">
        <v>2.921</v>
      </c>
      <c r="FK10">
        <f>IF(INDEX($DR$8:$DR$39,MATCH(CROQUIS!$C$7,$DQ$8:$DQ$39,0))="N+3.00",INDEX($DW$8:$DW$39,MATCH(CROQUIS!$C$7,$DQ$8:$DQ$39,0)),-100)</f>
        <v>4.426</v>
      </c>
      <c r="FL10">
        <f>IF(INDEX($DR$8:$DR$39,MATCH(CROQUIS!$C$7,$DQ$8:$DQ$39,0))="N+3.00",INDEX($DX$8:$DX$39,MATCH(CROQUIS!$C$7,$DQ$8:$DQ$39,0)),-100)</f>
        <v>21.446</v>
      </c>
      <c r="FO10">
        <f>IF(INDEX($DR$8:$DR$39,MATCH(CROQUIS!$C$7,$DQ$8:$DQ$39,0))="N+6.00",INDEX($DW$8:$DW$39,MATCH(CROQUIS!$C$7,$DQ$8:$DQ$39,0)),-100)</f>
        <v>-100</v>
      </c>
      <c r="FP10">
        <f>IF(INDEX($DR$8:$DR$39,MATCH(CROQUIS!$C$7,$DQ$8:$DQ$39,0))="N+6.00",INDEX($DX$8:$DX$39,MATCH(CROQUIS!$C$7,$DQ$8:$DQ$39,0)),-100)</f>
        <v>-100</v>
      </c>
      <c r="FT10" t="inlineStr">
        <is>
          <t>F80004</t>
        </is>
      </c>
      <c r="FU10" t="n">
        <v>5.125</v>
      </c>
      <c r="FV10" t="n">
        <v>4.433</v>
      </c>
      <c r="FW10" t="inlineStr">
        <is>
          <t>N+3.00</t>
        </is>
      </c>
    </row>
    <row r="11">
      <c r="A11" t="n">
        <v>4</v>
      </c>
      <c r="B11">
        <f>CHOOSE(MIN(MAX($A11,1),5),CROQUIS!$C$15,CROQUIS!$C$15+CROQUIS!$C$10*CROQUIS!$C$14,CROQUIS!$C$15+CROQUIS!$C$10*CROQUIS!$C$14,CROQUIS!$C$15,CROQUIS!$C$15)</f>
        <v>12</v>
      </c>
      <c r="C11">
        <f>CHOOSE(MIN(MAX($A11,1),5),CROQUIS!$C$16,CROQUIS!$C$16,CROQUIS!$C$16+CROQUIS!$C$11*CROQUIS!$C$14,CROQUIS!$C$16+CROQUIS!$C$11*CROQUIS!$C$14,CROQUIS!$C$16)</f>
        <v>90.0537731586082</v>
      </c>
      <c r="D11">
        <f>CHOOSE(MIN(MAX($A11,1),5),CROQUIS!$C$15+DATOS!$C$17/2*CROQUIS!$C$14,CROQUIS!$C$15+CROQUIS!$C$10*CROQUIS!$C$14-DATOS!$C$17/2*CROQUIS!$C$14,CROQUIS!$C$15+CROQUIS!$C$10*CROQUIS!$C$14-DATOS!$C$17/2*CROQUIS!$C$14,CROQUIS!$C$15+DATOS!$C$17/2*CROQUIS!$C$14,CROQUIS!$C$15+DATOS!$C$17/2*CROQUIS!$C$14)</f>
        <v>13.3895164934478</v>
      </c>
      <c r="E11">
        <f>CHOOSE(MIN(MAX($A11,1),5),CROQUIS!$C$16+DATOS!$C$17/2*CROQUIS!$C$14,CROQUIS!$C$16+DATOS!$C$17/2*CROQUIS!$C$14,CROQUIS!$C$16+CROQUIS!$C$11*CROQUIS!$C$14-DATOS!$C$17/2*CROQUIS!$C$14,CROQUIS!$C$16+CROQUIS!$C$11*CROQUIS!$C$14-DATOS!$C$17/2*CROQUIS!$C$14,CROQUIS!$C$16+DATOS!$C$17/2*CROQUIS!$C$14)</f>
        <v>88.6642566651604</v>
      </c>
      <c r="F11">
        <f>IF(NERVADURA!$C$131=0,CROQUIS!$C$15+CROQUIS!$C$10*CROQUIS!$C$14/2,CROQUIS!$C$15+(DATOS!$C$17/2+NERVADURA!$C$132+INT(MIN(INT(($A11-1)/2),MAX(2*NERVADURA!$C$131-1,0))/2)*DATOS!$C$16+MOD(MIN(INT(($A11-1)/2),MAX(2*NERVADURA!$C$131-1,0)),2)*DATOS!$C$11)*CROQUIS!$C$14)</f>
        <v>26.136014460009</v>
      </c>
      <c r="G11">
        <f>IF(NERVADURA!$C$131=0,CROQUIS!$C$16+CROQUIS!$C$11*CROQUIS!$C$14/2,CROQUIS!$C$16+IF(MOD(MIN(INT(($A11-1)/2),MAX(2*NERVADURA!$C$131-1,0)),2)=0,IF(IF(INT(($A11-1)/2)&gt;MAX(2*NERVADURA!$C$131-1,0),1,MOD($A11-1,2))=0,(DATOS!$C$17/2+NERVADURA!$C$134),(CROQUIS!$C$11-DATOS!$C$17/2-NERVADURA!$C$134)),IF(IF(INT(($A11-1)/2)&gt;MAX(2*NERVADURA!$C$131-1,0),1,MOD($A11-1,2))=0,(CROQUIS!$C$11-DATOS!$C$17/2-NERVADURA!$C$134),(DATOS!$C$17/2+NERVADURA!$C$134)))*CROQUIS!$C$14)</f>
        <v>21.504292815183</v>
      </c>
      <c r="H11">
        <f>IF(NERVADURA!$C$133=0,CROQUIS!$C$15+CROQUIS!$C$10*CROQUIS!$C$14/2,CROQUIS!$C$15+IF(MOD(MIN(INT(($A11-1)/2),MAX(2*NERVADURA!$C$133-1,0)),2)=0,IF(IF(INT(($A11-1)/2)&gt;MAX(2*NERVADURA!$C$133-1,0),1,MOD($A11-1,2))=0,(DATOS!$C$17/2+NERVADURA!$C$132),(CROQUIS!$C$10-DATOS!$C$17/2-NERVADURA!$C$132)),IF(IF(INT(($A11-1)/2)&gt;MAX(2*NERVADURA!$C$133-1,0),1,MOD($A11-1,2))=0,(CROQUIS!$C$10-DATOS!$C$17/2-NERVADURA!$C$132),(DATOS!$C$17/2+NERVADURA!$C$132)))*CROQUIS!$C$14)</f>
        <v>15.0198825124266</v>
      </c>
      <c r="I11">
        <f>IF(NERVADURA!$C$133=0,CROQUIS!$C$16+CROQUIS!$C$11*CROQUIS!$C$14/2,CROQUIS!$C$16+(DATOS!$C$17/2+NERVADURA!$C$134+INT(MIN(INT(($A11-1)/2),MAX(2*NERVADURA!$C$133-1,0))/2)*DATOS!$C$16+MOD(MIN(INT(($A11-1)/2),MAX(2*NERVADURA!$C$133-1,0)),2)*DATOS!$C$11)*CROQUIS!$C$14)</f>
        <v>32.6204247627655</v>
      </c>
      <c r="J11">
        <f>IF(CROQUIS!$C$12="X",IF($A11&lt;=1,CROQUIS!$C$15+(0.02)*CROQUIS!$C$10*CROQUIS!$C$14,CROQUIS!$C$15+(0.98)*CROQUIS!$C$10*CROQUIS!$C$14),CROQUIS!$C$15+CROQUIS!$C$10*CROQUIS!$C$14/2+-1.2)</f>
        <v>51.8</v>
      </c>
      <c r="K11">
        <f>IF(CROQUIS!$C$12="X",CROQUIS!$C$16+CROQUIS!$C$11*CROQUIS!$C$14/2+-1.2,IF($A11&lt;=1,CROQUIS!$C$16+(0.02)*CROQUIS!$C$11*CROQUIS!$C$14,CROQUIS!$C$16+(0.98)*CROQUIS!$C$11*CROQUIS!$C$14))</f>
        <v>88.5716222322639</v>
      </c>
      <c r="L11">
        <f>IF(CROQUIS!$C$12="X",IF($A11&lt;=1,CROQUIS!$C$15+(0.02)*CROQUIS!$C$10*CROQUIS!$C$14,CROQUIS!$C$15+(0.98)*CROQUIS!$C$10*CROQUIS!$C$14),CROQUIS!$C$15+CROQUIS!$C$10*CROQUIS!$C$14/2+1.2)</f>
        <v>54.2</v>
      </c>
      <c r="M11">
        <f>IF(CROQUIS!$C$12="X",CROQUIS!$C$16+CROQUIS!$C$11*CROQUIS!$C$14/2+1.2,IF($A11&lt;=1,CROQUIS!$C$16+(0.02)*CROQUIS!$C$11*CROQUIS!$C$14,CROQUIS!$C$16+(0.98)*CROQUIS!$C$11*CROQUIS!$C$14))</f>
        <v>88.5716222322639</v>
      </c>
      <c r="N11">
        <f>IF(NERVADURA!$C$73&lt;2,-50,IF(CROQUIS!$C$12="X",IF($A11&lt;=1,CROQUIS!$C$15+(0)*CROQUIS!$C$10*CROQUIS!$C$14,CROQUIS!$C$15+(IF(CROQUIS!$C$9="VOLADO",1,MIN(0.5,(DATOS!$C$17/2+NERVADURA!$C$137)/(NERVADURA!$C$15*100))))*CROQUIS!$C$10*CROQUIS!$C$14),CROQUIS!$C$15+CROQUIS!$C$10*CROQUIS!$C$14/2+2.6))</f>
        <v>-50</v>
      </c>
      <c r="O11">
        <f>IF(CROQUIS!$C$12="X",CROQUIS!$C$16+CROQUIS!$C$11*CROQUIS!$C$14/2+2.6,IF($A11&lt;=1,CROQUIS!$C$16+(0)*CROQUIS!$C$11*CROQUIS!$C$14,CROQUIS!$C$16+(IF(CROQUIS!$C$9="VOLADO",1,MIN(0.5,(DATOS!$C$17/2+NERVADURA!$C$137)/(NERVADURA!$C$15*100))))*CROQUIS!$C$11*CROQUIS!$C$14))</f>
        <v>36.7889742431089</v>
      </c>
      <c r="P11">
        <f>IF(OR(NERVADURA!$C$73&lt;2,CROQUIS!$C$9="VOLADO"),-50,IF(CROQUIS!$C$12="X",IF($A11&lt;=1,CROQUIS!$C$15+(IF(CROQUIS!$C$9="VOLADO",1,1-MIN(0.5,(DATOS!$C$17/2+NERVADURA!$C$137)/(NERVADURA!$C$15*100))))*CROQUIS!$C$10*CROQUIS!$C$14,CROQUIS!$C$15+(1)*CROQUIS!$C$10*CROQUIS!$C$14),CROQUIS!$C$15+CROQUIS!$C$10*CROQUIS!$C$14/2+2.6))</f>
        <v>-50</v>
      </c>
      <c r="Q11">
        <f>IF(CROQUIS!$C$12="X",CROQUIS!$C$16+CROQUIS!$C$11*CROQUIS!$C$14/2+2.6,IF($A11&lt;=1,CROQUIS!$C$16+(IF(CROQUIS!$C$9="VOLADO",1,1-MIN(0.5,(DATOS!$C$17/2+NERVADURA!$C$137)/(NERVADURA!$C$15*100))))*CROQUIS!$C$11*CROQUIS!$C$14,CROQUIS!$C$16+(1)*CROQUIS!$C$11*CROQUIS!$C$14))</f>
        <v>90.0537731586082</v>
      </c>
      <c r="R11">
        <f>IF(CROQUIS!$C$12="Y",IF($A11&lt;=1,CROQUIS!$C$15+(0.02)*CROQUIS!$C$10*CROQUIS!$C$14,CROQUIS!$C$15+(0.98)*CROQUIS!$C$10*CROQUIS!$C$14),CROQUIS!$C$15+CROQUIS!$C$10*CROQUIS!$C$14/2+-1.2)</f>
        <v>92.36</v>
      </c>
      <c r="S11">
        <f>IF(CROQUIS!$C$12="Y",CROQUIS!$C$16+CROQUIS!$C$11*CROQUIS!$C$14/2+(-1.2)+0.0,IF($A11&lt;=1,CROQUIS!$C$16+(0.02)*CROQUIS!$C$11*CROQUIS!$C$14,CROQUIS!$C$16+(0.98)*CROQUIS!$C$11*CROQUIS!$C$14))</f>
        <v>51.8</v>
      </c>
      <c r="T11">
        <f>IF(CROQUIS!$C$12="Y",IF($A11&lt;=1,CROQUIS!$C$15+(0.02)*CROQUIS!$C$10*CROQUIS!$C$14,CROQUIS!$C$15+(0.98)*CROQUIS!$C$10*CROQUIS!$C$14),CROQUIS!$C$15+CROQUIS!$C$10*CROQUIS!$C$14/2+1.2)</f>
        <v>92.36</v>
      </c>
      <c r="U11">
        <f>IF(CROQUIS!$C$12="Y",CROQUIS!$C$16+CROQUIS!$C$11*CROQUIS!$C$14/2+(1.2)+0.0,IF($A11&lt;=1,CROQUIS!$C$16+(0.02)*CROQUIS!$C$11*CROQUIS!$C$14,CROQUIS!$C$16+(0.98)*CROQUIS!$C$11*CROQUIS!$C$14))</f>
        <v>54.2</v>
      </c>
      <c r="V11">
        <f>IF(NERVADURA!$C$103&lt;2,-50,IF(CROQUIS!$C$12="Y",IF($A11&lt;=1,CROQUIS!$C$15+(0)*CROQUIS!$C$10*CROQUIS!$C$14,CROQUIS!$C$15+(IF(CROQUIS!$C$9="VOLADO",1,MIN(0.5,(DATOS!$C$17/2+NERVADURA!$C$138)/(NERVADURA!$C$16*100))))*CROQUIS!$C$10*CROQUIS!$C$14),CROQUIS!$C$15+CROQUIS!$C$10*CROQUIS!$C$14/2+2.6))</f>
        <v>-50</v>
      </c>
      <c r="W11">
        <f>IF(CROQUIS!$C$12="Y",CROQUIS!$C$16+CROQUIS!$C$11*CROQUIS!$C$14/2+(2.6)+0.0,IF($A11&lt;=1,CROQUIS!$C$16+(0)*CROQUIS!$C$11*CROQUIS!$C$14,CROQUIS!$C$16+(IF(CROQUIS!$C$9="VOLADO",1,MIN(0.5,(DATOS!$C$17/2+NERVADURA!$C$138)/(NERVADURA!$C$16*100))))*CROQUIS!$C$11*CROQUIS!$C$14))</f>
        <v>55.6</v>
      </c>
      <c r="X11">
        <f>IF(OR(NERVADURA!$C$103&lt;2,CROQUIS!$C$9="VOLADO"),-50,IF(CROQUIS!$C$12="Y",IF($A11&lt;=1,CROQUIS!$C$15+(IF(CROQUIS!$C$9="VOLADO",1,1-MIN(0.5,(DATOS!$C$17/2+NERVADURA!$C$138)/(NERVADURA!$C$16*100))))*CROQUIS!$C$10*CROQUIS!$C$14,CROQUIS!$C$15+(1)*CROQUIS!$C$10*CROQUIS!$C$14),CROQUIS!$C$15+CROQUIS!$C$10*CROQUIS!$C$14/2+2.6))</f>
        <v>-50</v>
      </c>
      <c r="Y11">
        <f>IF(CROQUIS!$C$12="Y",CROQUIS!$C$16+CROQUIS!$C$11*CROQUIS!$C$14/2+(2.6)+0.0,IF($A11&lt;=1,CROQUIS!$C$16+(IF(CROQUIS!$C$9="VOLADO",1,1-MIN(0.5,(DATOS!$C$17/2+NERVADURA!$C$138)/(NERVADURA!$C$16*100))))*CROQUIS!$C$11*CROQUIS!$C$14,CROQUIS!$C$16+(1)*CROQUIS!$C$11*CROQUIS!$C$14))</f>
        <v>55.6</v>
      </c>
      <c r="Z11">
        <f>CHOOSE(MIN(MAX($A11,1),7),CROQUIS!$C$15,CROQUIS!$C$15,CROQUIS!$C$15,(CROQUIS!$C$15+CROQUIS!$C$15+CROQUIS!$C$10*CROQUIS!$C$14)/2,CROQUIS!$C$15+CROQUIS!$C$10*CROQUIS!$C$14,CROQUIS!$C$15+CROQUIS!$C$10*CROQUIS!$C$14,CROQUIS!$C$15+CROQUIS!$C$10*CROQUIS!$C$14)</f>
        <v>53</v>
      </c>
      <c r="AA11">
        <f>CHOOSE(MIN(MAX($A11,1),7),CROQUIS!$C$16-5-1.5,CROQUIS!$C$16-5+1.5,CROQUIS!$C$16-5,CROQUIS!$C$16-5,CROQUIS!$C$16-5,CROQUIS!$C$16-5+1.5,CROQUIS!$C$16-5-1.5)</f>
        <v>10.9462268413918</v>
      </c>
      <c r="AB11">
        <f>CHOOSE(MIN(MAX($A11,1),7),CROQUIS!$C$15-5-1.5,CROQUIS!$C$15-5+1.5,CROQUIS!$C$15-5,CROQUIS!$C$15-5,CROQUIS!$C$15-5,CROQUIS!$C$15-5+1.5,CROQUIS!$C$15-5-1.5)</f>
        <v>7</v>
      </c>
      <c r="AC11">
        <f>CHOOSE(MIN(MAX($A11,1),7),CROQUIS!$C$16,CROQUIS!$C$16,CROQUIS!$C$16,(CROQUIS!$C$16+CROQUIS!$C$16+CROQUIS!$C$11*CROQUIS!$C$14)/2,CROQUIS!$C$16+CROQUIS!$C$11*CROQUIS!$C$14,CROQUIS!$C$16+CROQUIS!$C$11*CROQUIS!$C$14,CROQUIS!$C$16+CROQUIS!$C$11*CROQUIS!$C$14)</f>
        <v>53</v>
      </c>
      <c r="AD11">
        <f>CHOOSE(MIN(MAX($A11,1),7),CROQUIS!$C$15+(DATOS!$C$17/2+NERVADURA!$C$132)*CROQUIS!$C$14,CROQUIS!$C$15+(DATOS!$C$17/2+NERVADURA!$C$132)*CROQUIS!$C$14,CROQUIS!$C$15+(DATOS!$C$17/2+NERVADURA!$C$132)*CROQUIS!$C$14,(CROQUIS!$C$15+(DATOS!$C$17/2+NERVADURA!$C$132)*CROQUIS!$C$14+CROQUIS!$C$15+(DATOS!$C$17/2+NERVADURA!$C$132+DATOS!$C$16)*CROQUIS!$C$14)/2,CROQUIS!$C$15+(DATOS!$C$17/2+NERVADURA!$C$132+DATOS!$C$16)*CROQUIS!$C$14,CROQUIS!$C$15+(DATOS!$C$17/2+NERVADURA!$C$132+DATOS!$C$16)*CROQUIS!$C$14,CROQUIS!$C$15+(DATOS!$C$17/2+NERVADURA!$C$132+DATOS!$C$16)*CROQUIS!$C$14)</f>
        <v>21.504292815183</v>
      </c>
      <c r="AE11">
        <f>CHOOSE(MIN(MAX($A11,1),7),CROQUIS!$C$16+CROQUIS!$C$11*CROQUIS!$C$14+4-1.5,CROQUIS!$C$16+CROQUIS!$C$11*CROQUIS!$C$14+4+1.5,CROQUIS!$C$16+CROQUIS!$C$11*CROQUIS!$C$14+4,CROQUIS!$C$16+CROQUIS!$C$11*CROQUIS!$C$14+4,CROQUIS!$C$16+CROQUIS!$C$11*CROQUIS!$C$14+4,CROQUIS!$C$16+CROQUIS!$C$11*CROQUIS!$C$14+4+1.5,CROQUIS!$C$16+CROQUIS!$C$11*CROQUIS!$C$14+4-1.5)</f>
        <v>94.0537731586082</v>
      </c>
      <c r="AF11">
        <f>CHOOSE(MIN(MAX($A11,1),9),-DATOS!$C$16/2,DATOS!$C$16/2,DATOS!$C$16/2,DATOS!$C$13/2,DATOS!$C$13/2,-DATOS!$C$13/2,-DATOS!$C$13/2,-DATOS!$C$16/2,-DATOS!$C$16/2)</f>
        <v>5</v>
      </c>
      <c r="AG11">
        <f>CHOOSE(MIN(MAX($A11,1),9),DATOS!$C$15,DATOS!$C$15,DATOS!$C$12,DATOS!$C$12,0,0,DATOS!$C$12,DATOS!$C$12,DATOS!$C$15)</f>
        <v>20</v>
      </c>
      <c r="AH11">
        <f>CHOOSE(MIN(MAX($A11,1),5),-DATOS!$C$16/2,-DATOS!$C$13/2,-DATOS!$C$13/2,-DATOS!$C$16/2,-DATOS!$C$16/2)</f>
        <v>-35</v>
      </c>
      <c r="AI11">
        <f>CHOOSE(MIN(MAX($A11,1),5),0,0,DATOS!$C$12,DATOS!$C$12,0)</f>
        <v>20</v>
      </c>
      <c r="AJ11">
        <f>CHOOSE(MIN(MAX($A11,1),5),DATOS!$C$13/2,DATOS!$C$16/2,DATOS!$C$16/2,DATOS!$C$13/2,DATOS!$C$13/2)</f>
        <v>5</v>
      </c>
      <c r="AK11">
        <f>CHOOSE(MIN(MAX($A11,1),5),0,0,DATOS!$C$12,DATOS!$C$12,0)</f>
        <v>20</v>
      </c>
      <c r="AR11">
        <f>CHOOSE(MIN(MAX($A11,1),5),-(DATOS!$C$13/2-DATOS!$C$20),(DATOS!$C$13/2-DATOS!$C$20),(DATOS!$C$13/2-DATOS!$C$20),-(DATOS!$C$13/2-DATOS!$C$20),-(DATOS!$C$13/2-DATOS!$C$20))</f>
        <v>-3</v>
      </c>
      <c r="AS11">
        <f>IF(DATOS!$C$25=0,-100,CHOOSE(MIN(MAX($A11,1),5),DATOS!$C$20,DATOS!$C$20,DATOS!$C$15-DATOS!$C$20,DATOS!$C$15-DATOS!$C$20,DATOS!$C$20))</f>
        <v>-100</v>
      </c>
      <c r="AT11">
        <f>CHOOSE(MIN(MAX($A11,1),7),-DATOS!$C$13/2,-DATOS!$C$13/2,-DATOS!$C$13/2,(-DATOS!$C$13/2+DATOS!$C$13/2)/2,DATOS!$C$13/2,DATOS!$C$13/2,DATOS!$C$13/2)</f>
        <v>0</v>
      </c>
      <c r="AU11">
        <f>CHOOSE(MIN(MAX($A11,1),7),-4-1.5,-4+1.5,-4,-4,-4,-4+1.5,-4-1.5)</f>
        <v>-4</v>
      </c>
      <c r="AV11">
        <f>CHOOSE(MIN(MAX($A11,1),7),-DATOS!$C$16/2,-DATOS!$C$16/2,-DATOS!$C$16/2,(-DATOS!$C$16/2+DATOS!$C$16/2)/2,DATOS!$C$16/2,DATOS!$C$16/2,DATOS!$C$16/2)</f>
        <v>0</v>
      </c>
      <c r="AW11">
        <f>CHOOSE(MIN(MAX($A11,1),7),DATOS!$C$15+4-1.5,DATOS!$C$15+4+1.5,DATOS!$C$15+4,DATOS!$C$15+4,DATOS!$C$15+4,DATOS!$C$15+4+1.5,DATOS!$C$15+4-1.5)</f>
        <v>29</v>
      </c>
      <c r="AX11">
        <f>CHOOSE(MIN(MAX($A11,1),7),DATOS!$C$16/2+4-1.5,DATOS!$C$16/2+4+1.5,DATOS!$C$16/2+4,DATOS!$C$16/2+4,DATOS!$C$16/2+4,DATOS!$C$16/2+4+1.5,DATOS!$C$16/2+4-1.5)</f>
        <v>39</v>
      </c>
      <c r="AY11">
        <f>CHOOSE(MIN(MAX($A11,1),7),0,0,0,(0+DATOS!$C$15)/2,DATOS!$C$15,DATOS!$C$15,DATOS!$C$15)</f>
        <v>12.5</v>
      </c>
      <c r="AZ11">
        <f>CHOOSE(MIN(MAX($A11,1),5),0,100,100,0,0)</f>
        <v>0</v>
      </c>
      <c r="BA11">
        <f>CHOOSE(MIN(MAX($A11,1),5),0,0,12,12,0)</f>
        <v>12</v>
      </c>
      <c r="BB11">
        <f>CHOOSE(MIN(MAX($A11,1),5),-3,0,0,-3,-3)</f>
        <v>-3</v>
      </c>
      <c r="BC11">
        <f>CHOOSE(MIN(MAX($A11,1),5),-10,-10,12,12,-10)</f>
        <v>12</v>
      </c>
      <c r="BD11">
        <f>CHOOSE(MIN(MAX($A11,1),5),IF(CROQUIS!$C$9="VOLADO",-3,100),IF(CROQUIS!$C$9="VOLADO",0,103),IF(CROQUIS!$C$9="VOLADO",0,103),IF(CROQUIS!$C$9="VOLADO",-3,100),IF(CROQUIS!$C$9="VOLADO",-3,100))</f>
        <v>100</v>
      </c>
      <c r="BE11">
        <f>CHOOSE(MIN(MAX($A11,1),5),-10,-10,12,12,-10)</f>
        <v>12</v>
      </c>
      <c r="BF11">
        <f>CHOOSE(MIN(MAX($A11,1),4),1.5,1.5,98.5,98.5)</f>
        <v>98.5</v>
      </c>
      <c r="BG11">
        <f>CHOOSE(MIN(MAX($A11,1),4),4,1.5,1.5,4)</f>
        <v>4</v>
      </c>
      <c r="BH11">
        <f>CHOOSE(MIN(MAX($A11,1),4),-1.5,-1.5,101.5,101.5)</f>
        <v>101.5</v>
      </c>
      <c r="BI11">
        <f>CHOOSE(MIN(MAX($A11,1),4),6,9.5,9.5,IF(CROQUIS!$C$9="VOLADO",9.5,6))</f>
        <v>6</v>
      </c>
      <c r="BN11">
        <f>CHOOSE(MIN(MAX($A11,1),7),0,0,0,(0+100)/2,100,100,100)</f>
        <v>50</v>
      </c>
      <c r="BO11">
        <f>CHOOSE(MIN(MAX($A11,1),7),-14-1.5,-14+1.5,-14,-14,-14,-14+1.5,-14-1.5)</f>
        <v>-14</v>
      </c>
      <c r="BP11">
        <f>CHOOSE(MIN(MAX($A11,1),9),-35,35,35,CROQUIS!$C$30/2,CROQUIS!$C$30/2,-CROQUIS!$C$30/2,-CROQUIS!$C$30/2,-35,-35)</f>
        <v>10</v>
      </c>
      <c r="BQ11">
        <f>CHOOSE(MIN(MAX($A11,1),9),CROQUIS!$C$31,CROQUIS!$C$31,CROQUIS!$C$31-DATOS!$C$14,CROQUIS!$C$31-DATOS!$C$14,0,0,CROQUIS!$C$31-DATOS!$C$14,CROQUIS!$C$31-DATOS!$C$14,CROQUIS!$C$31)</f>
        <v>40</v>
      </c>
      <c r="BR11">
        <f>CHOOSE(MIN(MAX($A11,1),5),-35,-CROQUIS!$C$30/2,-CROQUIS!$C$30/2,-35,-35)</f>
        <v>-35</v>
      </c>
      <c r="BS11">
        <f>CHOOSE(MIN(MAX($A11,1),5),CROQUIS!$C$31-DATOS!$C$14-DATOS!$C$12,CROQUIS!$C$31-DATOS!$C$14-DATOS!$C$12,CROQUIS!$C$31-DATOS!$C$14,CROQUIS!$C$31-DATOS!$C$14,CROQUIS!$C$31-DATOS!$C$14-DATOS!$C$12)</f>
        <v>40</v>
      </c>
      <c r="BT11">
        <f>CHOOSE(MIN(MAX($A11,1),5),CROQUIS!$C$30/2,35,35,CROQUIS!$C$30/2,CROQUIS!$C$30/2)</f>
        <v>10</v>
      </c>
      <c r="BU11">
        <f>CHOOSE(MIN(MAX($A11,1),5),CROQUIS!$C$31-DATOS!$C$14-DATOS!$C$12,CROQUIS!$C$31-DATOS!$C$14-DATOS!$C$12,CROQUIS!$C$31-DATOS!$C$14,CROQUIS!$C$31-DATOS!$C$14,CROQUIS!$C$31-DATOS!$C$14-DATOS!$C$12)</f>
        <v>40</v>
      </c>
      <c r="BV11">
        <f>CHOOSE(MIN(MAX($A11,1),5),-(CROQUIS!$C$30/2-DATOS!$C$22-INDEX(TABLAS!$C$52:$C$58,MATCH(DATOS!$C$113,TABLAS!$B$52:$B$58,0))/2),(CROQUIS!$C$30/2-DATOS!$C$22-INDEX(TABLAS!$C$52:$C$58,MATCH(DATOS!$C$113,TABLAS!$B$52:$B$58,0))/2),(CROQUIS!$C$30/2-DATOS!$C$22-INDEX(TABLAS!$C$52:$C$58,MATCH(DATOS!$C$113,TABLAS!$B$52:$B$58,0))/2),-(CROQUIS!$C$30/2-DATOS!$C$22-INDEX(TABLAS!$C$52:$C$58,MATCH(DATOS!$C$113,TABLAS!$B$52:$B$58,0))/2),-(CROQUIS!$C$30/2-DATOS!$C$22-INDEX(TABLAS!$C$52:$C$58,MATCH(DATOS!$C$113,TABLAS!$B$52:$B$58,0))/2))</f>
        <v>-5.525</v>
      </c>
      <c r="BW11">
        <f>CHOOSE(MIN(MAX($A11,1),5),DATOS!$C$22+INDEX(TABLAS!$C$52:$C$58,MATCH(DATOS!$C$113,TABLAS!$B$52:$B$58,0))/2,DATOS!$C$22+INDEX(TABLAS!$C$52:$C$58,MATCH(DATOS!$C$113,TABLAS!$B$52:$B$58,0))/2,CROQUIS!$C$31-DATOS!$C$22-INDEX(TABLAS!$C$52:$C$58,MATCH(DATOS!$C$113,TABLAS!$B$52:$B$58,0))/2,CROQUIS!$C$31-DATOS!$C$22-INDEX(TABLAS!$C$52:$C$58,MATCH(DATOS!$C$113,TABLAS!$B$52:$B$58,0))/2,DATOS!$C$22+INDEX(TABLAS!$C$52:$C$58,MATCH(DATOS!$C$113,TABLAS!$B$52:$B$58,0))/2)</f>
        <v>40.525</v>
      </c>
      <c r="BX11">
        <f>IF(CROQUIS!$C$32&lt;=1,0,-(CROQUIS!$C$30-2*DATOS!$C$22-2*INDEX(TABLAS!$C$52:$C$58,MATCH(DATOS!$C$113,TABLAS!$B$52:$B$58,0))-INDEX(TABLAS!$C$52:$C$58,MATCH(MAX(CROQUIS!$C$33,3),TABLAS!$B$52:$B$58,0)))/2+(MIN($A11,CROQUIS!$C$32)-1)*(CROQUIS!$C$30-2*DATOS!$C$22-2*INDEX(TABLAS!$C$52:$C$58,MATCH(DATOS!$C$113,TABLAS!$B$52:$B$58,0))-INDEX(TABLAS!$C$52:$C$58,MATCH(MAX(CROQUIS!$C$33,3),TABLAS!$B$52:$B$58,0)))/(CROQUIS!$C$32-1))</f>
        <v>4.415</v>
      </c>
      <c r="BY11">
        <f>IF(CROQUIS!$C$32=0,-100,DATOS!$C$22+INDEX(TABLAS!$C$52:$C$58,MATCH(DATOS!$C$113,TABLAS!$B$52:$B$58,0))+INDEX(TABLAS!$C$52:$C$58,MATCH(MAX(CROQUIS!$C$33,3),TABLAS!$B$52:$B$58,0))/2)</f>
        <v>5.585</v>
      </c>
      <c r="BZ11">
        <f>IF(CROQUIS!$C$34&lt;=1,0,-(CROQUIS!$C$30-2*DATOS!$C$22-2*INDEX(TABLAS!$C$52:$C$58,MATCH(DATOS!$C$113,TABLAS!$B$52:$B$58,0))-INDEX(TABLAS!$C$52:$C$58,MATCH(MAX(CROQUIS!$C$35,3),TABLAS!$B$52:$B$58,0)))/2+(MIN($A11,CROQUIS!$C$34)-1)*(CROQUIS!$C$30-2*DATOS!$C$22-2*INDEX(TABLAS!$C$52:$C$58,MATCH(DATOS!$C$113,TABLAS!$B$52:$B$58,0))-INDEX(TABLAS!$C$52:$C$58,MATCH(MAX(CROQUIS!$C$35,3),TABLAS!$B$52:$B$58,0)))/(CROQUIS!$C$34-1))</f>
        <v>4.415</v>
      </c>
      <c r="CA11">
        <f>IF(CROQUIS!$C$34=0,-100,CROQUIS!$C$31-DATOS!$C$22-INDEX(TABLAS!$C$52:$C$58,MATCH(DATOS!$C$113,TABLAS!$B$52:$B$58,0))-INDEX(TABLAS!$C$52:$C$58,MATCH(MAX(CROQUIS!$C$35,3),TABLAS!$B$52:$B$58,0))/2)</f>
        <v>39.415</v>
      </c>
      <c r="CB11">
        <f>CHOOSE(MIN(MAX($A11,1),7),-CROQUIS!$C$30/2,-CROQUIS!$C$30/2,-CROQUIS!$C$30/2,(-CROQUIS!$C$30/2+CROQUIS!$C$30/2)/2,CROQUIS!$C$30/2,CROQUIS!$C$30/2,CROQUIS!$C$30/2)</f>
        <v>0</v>
      </c>
      <c r="CC11">
        <f>CHOOSE(MIN(MAX($A11,1),7),-5-1.5,-5+1.5,-5,-5,-5,-5+1.5,-5-1.5)</f>
        <v>-5</v>
      </c>
      <c r="CD11">
        <f>CHOOSE(MIN(MAX($A11,1),7),38-1.5,38+1.5,38,38,38,38+1.5,38-1.5)</f>
        <v>38</v>
      </c>
      <c r="CE11">
        <f>CHOOSE(MIN(MAX($A11,1),7),0,0,0,(0+CROQUIS!$C$31)/2,CROQUIS!$C$31,CROQUIS!$C$31,CROQUIS!$C$31)</f>
        <v>22.5</v>
      </c>
      <c r="CW11" t="n">
        <v>0</v>
      </c>
      <c r="CX11" t="n">
        <v>1.919</v>
      </c>
      <c r="CY11" t="n">
        <v>2.925</v>
      </c>
      <c r="CZ11" t="n">
        <v>5.946</v>
      </c>
      <c r="DA11" t="n">
        <v>0</v>
      </c>
      <c r="DB11" t="n">
        <v>2.921</v>
      </c>
      <c r="DC11" t="n">
        <v>0.075</v>
      </c>
      <c r="DD11" t="n">
        <v>7.946</v>
      </c>
      <c r="DE11" t="n">
        <v>-1.6</v>
      </c>
      <c r="DF11" t="n">
        <v>24.371</v>
      </c>
      <c r="DG11" t="n">
        <v>0</v>
      </c>
      <c r="DH11" t="n">
        <v>1.919</v>
      </c>
      <c r="DI11" t="n">
        <v>0</v>
      </c>
      <c r="DJ11" t="n">
        <v>2.921</v>
      </c>
      <c r="DK11" t="n">
        <v>0</v>
      </c>
      <c r="DL11" t="n">
        <v>16.997</v>
      </c>
      <c r="DM11" t="n">
        <v>0.075</v>
      </c>
      <c r="DN11" t="n">
        <v>7.946</v>
      </c>
      <c r="DO11" t="n">
        <v>0</v>
      </c>
      <c r="DP11" t="n">
        <v>6.948</v>
      </c>
      <c r="DQ11" t="inlineStr">
        <is>
          <t>F80005 N+3.00</t>
        </is>
      </c>
      <c r="DR11" t="inlineStr">
        <is>
          <t>N+3.00</t>
        </is>
      </c>
      <c r="DS11" t="n">
        <v>0</v>
      </c>
      <c r="DT11" t="n">
        <v>5.346</v>
      </c>
      <c r="DU11" t="n">
        <v>2.925</v>
      </c>
      <c r="DV11" t="n">
        <v>5.346</v>
      </c>
      <c r="DW11" t="n">
        <v>2.925</v>
      </c>
      <c r="DX11" t="n">
        <v>6.948</v>
      </c>
      <c r="DY11" t="n">
        <v>0</v>
      </c>
      <c r="DZ11" t="n">
        <v>6.948</v>
      </c>
      <c r="EA11" t="n">
        <v>0</v>
      </c>
      <c r="EB11" t="n">
        <v>5.346</v>
      </c>
      <c r="EC11" t="n">
        <v>0</v>
      </c>
      <c r="ED11" t="n">
        <v>5.346</v>
      </c>
      <c r="EE11" t="n">
        <v>0</v>
      </c>
      <c r="EF11" t="n">
        <v>5.346</v>
      </c>
      <c r="EG11" t="n">
        <v>0</v>
      </c>
      <c r="EH11" t="n">
        <v>5.346</v>
      </c>
      <c r="EI11" t="n">
        <v>0</v>
      </c>
      <c r="EJ11" t="n">
        <v>5.346</v>
      </c>
      <c r="EK11" t="n">
        <v>0</v>
      </c>
      <c r="EL11" t="n">
        <v>5.346</v>
      </c>
      <c r="EM11" t="n">
        <v>0</v>
      </c>
      <c r="EN11" t="n">
        <v>5.346</v>
      </c>
      <c r="EO11" t="n">
        <v>0</v>
      </c>
      <c r="EP11" t="n">
        <v>5.346</v>
      </c>
      <c r="EQ11" t="n">
        <v>0</v>
      </c>
      <c r="ER11" t="n">
        <v>5.346</v>
      </c>
      <c r="ES11" t="n">
        <v>0</v>
      </c>
      <c r="ET11" t="n">
        <v>5.346</v>
      </c>
      <c r="EU11" t="n">
        <v>0</v>
      </c>
      <c r="EV11" t="n">
        <v>5.346</v>
      </c>
      <c r="EW11" t="n">
        <v>0</v>
      </c>
      <c r="EX11" t="n">
        <v>5.346</v>
      </c>
      <c r="EY11" t="n">
        <v>0</v>
      </c>
      <c r="EZ11" t="n">
        <v>5.346</v>
      </c>
      <c r="FA11" t="n">
        <v>0</v>
      </c>
      <c r="FB11" t="n">
        <v>5.346</v>
      </c>
      <c r="FD11" t="inlineStr">
        <is>
          <t>NP-04</t>
        </is>
      </c>
      <c r="FE11" t="inlineStr">
        <is>
          <t>N+3.00</t>
        </is>
      </c>
      <c r="FF11" t="n">
        <v>2.925</v>
      </c>
      <c r="FG11" t="n">
        <v>6.948</v>
      </c>
      <c r="FH11" t="n">
        <v>4.327</v>
      </c>
      <c r="FI11" t="n">
        <v>6.948</v>
      </c>
      <c r="FK11">
        <f>IF(INDEX($DR$8:$DR$39,MATCH(CROQUIS!$C$7,$DQ$8:$DQ$39,0))="N+3.00",INDEX($DY$8:$DY$39,MATCH(CROQUIS!$C$7,$DQ$8:$DQ$39,0)),-100)</f>
        <v>0</v>
      </c>
      <c r="FL11">
        <f>IF(INDEX($DR$8:$DR$39,MATCH(CROQUIS!$C$7,$DQ$8:$DQ$39,0))="N+3.00",INDEX($DZ$8:$DZ$39,MATCH(CROQUIS!$C$7,$DQ$8:$DQ$39,0)),-100)</f>
        <v>21.446</v>
      </c>
      <c r="FO11">
        <f>IF(INDEX($DR$8:$DR$39,MATCH(CROQUIS!$C$7,$DQ$8:$DQ$39,0))="N+6.00",INDEX($DY$8:$DY$39,MATCH(CROQUIS!$C$7,$DQ$8:$DQ$39,0)),-100)</f>
        <v>-100</v>
      </c>
      <c r="FP11">
        <f>IF(INDEX($DR$8:$DR$39,MATCH(CROQUIS!$C$7,$DQ$8:$DQ$39,0))="N+6.00",INDEX($DZ$8:$DZ$39,MATCH(CROQUIS!$C$7,$DQ$8:$DQ$39,0)),-100)</f>
        <v>-100</v>
      </c>
      <c r="FT11" t="inlineStr">
        <is>
          <t>F80005</t>
        </is>
      </c>
      <c r="FU11" t="n">
        <v>1.462</v>
      </c>
      <c r="FV11" t="n">
        <v>6.147</v>
      </c>
      <c r="FW11" t="inlineStr">
        <is>
          <t>N+3.00</t>
        </is>
      </c>
    </row>
    <row r="12">
      <c r="A12" t="n">
        <v>5</v>
      </c>
      <c r="B12">
        <f>CHOOSE(MIN(MAX($A12,1),5),CROQUIS!$C$15,CROQUIS!$C$15+CROQUIS!$C$10*CROQUIS!$C$14,CROQUIS!$C$15+CROQUIS!$C$10*CROQUIS!$C$14,CROQUIS!$C$15,CROQUIS!$C$15)</f>
        <v>12</v>
      </c>
      <c r="C12">
        <f>CHOOSE(MIN(MAX($A12,1),5),CROQUIS!$C$16,CROQUIS!$C$16,CROQUIS!$C$16+CROQUIS!$C$11*CROQUIS!$C$14,CROQUIS!$C$16+CROQUIS!$C$11*CROQUIS!$C$14,CROQUIS!$C$16)</f>
        <v>15.9462268413918</v>
      </c>
      <c r="D12">
        <f>CHOOSE(MIN(MAX($A12,1),5),CROQUIS!$C$15+DATOS!$C$17/2*CROQUIS!$C$14,CROQUIS!$C$15+CROQUIS!$C$10*CROQUIS!$C$14-DATOS!$C$17/2*CROQUIS!$C$14,CROQUIS!$C$15+CROQUIS!$C$10*CROQUIS!$C$14-DATOS!$C$17/2*CROQUIS!$C$14,CROQUIS!$C$15+DATOS!$C$17/2*CROQUIS!$C$14,CROQUIS!$C$15+DATOS!$C$17/2*CROQUIS!$C$14)</f>
        <v>13.3895164934478</v>
      </c>
      <c r="E12">
        <f>CHOOSE(MIN(MAX($A12,1),5),CROQUIS!$C$16+DATOS!$C$17/2*CROQUIS!$C$14,CROQUIS!$C$16+DATOS!$C$17/2*CROQUIS!$C$14,CROQUIS!$C$16+CROQUIS!$C$11*CROQUIS!$C$14-DATOS!$C$17/2*CROQUIS!$C$14,CROQUIS!$C$16+CROQUIS!$C$11*CROQUIS!$C$14-DATOS!$C$17/2*CROQUIS!$C$14,CROQUIS!$C$16+DATOS!$C$17/2*CROQUIS!$C$14)</f>
        <v>17.3357433348396</v>
      </c>
      <c r="F12">
        <f>IF(NERVADURA!$C$131=0,CROQUIS!$C$15+CROQUIS!$C$10*CROQUIS!$C$14/2,CROQUIS!$C$15+(DATOS!$C$17/2+NERVADURA!$C$132+INT(MIN(INT(($A12-1)/2),MAX(2*NERVADURA!$C$131-1,0))/2)*DATOS!$C$16+MOD(MIN(INT(($A12-1)/2),MAX(2*NERVADURA!$C$131-1,0)),2)*DATOS!$C$11)*CROQUIS!$C$14)</f>
        <v>27.9887031179395</v>
      </c>
      <c r="G12">
        <f>IF(NERVADURA!$C$131=0,CROQUIS!$C$16+CROQUIS!$C$11*CROQUIS!$C$14/2,CROQUIS!$C$16+IF(MOD(MIN(INT(($A12-1)/2),MAX(2*NERVADURA!$C$131-1,0)),2)=0,IF(IF(INT(($A12-1)/2)&gt;MAX(2*NERVADURA!$C$131-1,0),1,MOD($A12-1,2))=0,(DATOS!$C$17/2+NERVADURA!$C$134),(CROQUIS!$C$11-DATOS!$C$17/2-NERVADURA!$C$134)),IF(IF(INT(($A12-1)/2)&gt;MAX(2*NERVADURA!$C$131-1,0),1,MOD($A12-1,2))=0,(CROQUIS!$C$11-DATOS!$C$17/2-NERVADURA!$C$134),(DATOS!$C$17/2+NERVADURA!$C$134)))*CROQUIS!$C$14)</f>
        <v>21.504292815183</v>
      </c>
      <c r="H12">
        <f>IF(NERVADURA!$C$133=0,CROQUIS!$C$15+CROQUIS!$C$10*CROQUIS!$C$14/2,CROQUIS!$C$15+IF(MOD(MIN(INT(($A12-1)/2),MAX(2*NERVADURA!$C$133-1,0)),2)=0,IF(IF(INT(($A12-1)/2)&gt;MAX(2*NERVADURA!$C$133-1,0),1,MOD($A12-1,2))=0,(DATOS!$C$17/2+NERVADURA!$C$132),(CROQUIS!$C$10-DATOS!$C$17/2-NERVADURA!$C$132)),IF(IF(INT(($A12-1)/2)&gt;MAX(2*NERVADURA!$C$133-1,0),1,MOD($A12-1,2))=0,(CROQUIS!$C$10-DATOS!$C$17/2-NERVADURA!$C$132),(DATOS!$C$17/2+NERVADURA!$C$132)))*CROQUIS!$C$14)</f>
        <v>15.0198825124266</v>
      </c>
      <c r="I12">
        <f>IF(NERVADURA!$C$133=0,CROQUIS!$C$16+CROQUIS!$C$11*CROQUIS!$C$14/2,CROQUIS!$C$16+(DATOS!$C$17/2+NERVADURA!$C$134+INT(MIN(INT(($A12-1)/2),MAX(2*NERVADURA!$C$133-1,0))/2)*DATOS!$C$16+MOD(MIN(INT(($A12-1)/2),MAX(2*NERVADURA!$C$133-1,0)),2)*DATOS!$C$11)*CROQUIS!$C$14)</f>
        <v>34.4731134206959</v>
      </c>
      <c r="J12">
        <f>IF(CROQUIS!$C$12="X",IF($A12&lt;=1,CROQUIS!$C$15+(0.02)*CROQUIS!$C$10*CROQUIS!$C$14,CROQUIS!$C$15+(0.98)*CROQUIS!$C$10*CROQUIS!$C$14),CROQUIS!$C$15+CROQUIS!$C$10*CROQUIS!$C$14/2+-1.2)</f>
        <v>51.8</v>
      </c>
      <c r="K12">
        <f>IF(CROQUIS!$C$12="X",CROQUIS!$C$16+CROQUIS!$C$11*CROQUIS!$C$14/2+-1.2,IF($A12&lt;=1,CROQUIS!$C$16+(0.02)*CROQUIS!$C$11*CROQUIS!$C$14,CROQUIS!$C$16+(0.98)*CROQUIS!$C$11*CROQUIS!$C$14))</f>
        <v>88.5716222322639</v>
      </c>
      <c r="L12">
        <f>IF(CROQUIS!$C$12="X",IF($A12&lt;=1,CROQUIS!$C$15+(0.02)*CROQUIS!$C$10*CROQUIS!$C$14,CROQUIS!$C$15+(0.98)*CROQUIS!$C$10*CROQUIS!$C$14),CROQUIS!$C$15+CROQUIS!$C$10*CROQUIS!$C$14/2+1.2)</f>
        <v>54.2</v>
      </c>
      <c r="M12">
        <f>IF(CROQUIS!$C$12="X",CROQUIS!$C$16+CROQUIS!$C$11*CROQUIS!$C$14/2+1.2,IF($A12&lt;=1,CROQUIS!$C$16+(0.02)*CROQUIS!$C$11*CROQUIS!$C$14,CROQUIS!$C$16+(0.98)*CROQUIS!$C$11*CROQUIS!$C$14))</f>
        <v>88.5716222322639</v>
      </c>
      <c r="N12">
        <f>IF(NERVADURA!$C$73&lt;2,-50,IF(CROQUIS!$C$12="X",IF($A12&lt;=1,CROQUIS!$C$15+(0)*CROQUIS!$C$10*CROQUIS!$C$14,CROQUIS!$C$15+(IF(CROQUIS!$C$9="VOLADO",1,MIN(0.5,(DATOS!$C$17/2+NERVADURA!$C$137)/(NERVADURA!$C$15*100))))*CROQUIS!$C$10*CROQUIS!$C$14),CROQUIS!$C$15+CROQUIS!$C$10*CROQUIS!$C$14/2+2.6))</f>
        <v>-50</v>
      </c>
      <c r="O12">
        <f>IF(CROQUIS!$C$12="X",CROQUIS!$C$16+CROQUIS!$C$11*CROQUIS!$C$14/2+2.6,IF($A12&lt;=1,CROQUIS!$C$16+(0)*CROQUIS!$C$11*CROQUIS!$C$14,CROQUIS!$C$16+(IF(CROQUIS!$C$9="VOLADO",1,MIN(0.5,(DATOS!$C$17/2+NERVADURA!$C$137)/(NERVADURA!$C$15*100))))*CROQUIS!$C$11*CROQUIS!$C$14))</f>
        <v>36.7889742431089</v>
      </c>
      <c r="P12">
        <f>IF(OR(NERVADURA!$C$73&lt;2,CROQUIS!$C$9="VOLADO"),-50,IF(CROQUIS!$C$12="X",IF($A12&lt;=1,CROQUIS!$C$15+(IF(CROQUIS!$C$9="VOLADO",1,1-MIN(0.5,(DATOS!$C$17/2+NERVADURA!$C$137)/(NERVADURA!$C$15*100))))*CROQUIS!$C$10*CROQUIS!$C$14,CROQUIS!$C$15+(1)*CROQUIS!$C$10*CROQUIS!$C$14),CROQUIS!$C$15+CROQUIS!$C$10*CROQUIS!$C$14/2+2.6))</f>
        <v>-50</v>
      </c>
      <c r="Q12">
        <f>IF(CROQUIS!$C$12="X",CROQUIS!$C$16+CROQUIS!$C$11*CROQUIS!$C$14/2+2.6,IF($A12&lt;=1,CROQUIS!$C$16+(IF(CROQUIS!$C$9="VOLADO",1,1-MIN(0.5,(DATOS!$C$17/2+NERVADURA!$C$137)/(NERVADURA!$C$15*100))))*CROQUIS!$C$11*CROQUIS!$C$14,CROQUIS!$C$16+(1)*CROQUIS!$C$11*CROQUIS!$C$14))</f>
        <v>90.0537731586082</v>
      </c>
      <c r="R12">
        <f>IF(CROQUIS!$C$12="Y",IF($A12&lt;=1,CROQUIS!$C$15+(0.02)*CROQUIS!$C$10*CROQUIS!$C$14,CROQUIS!$C$15+(0.98)*CROQUIS!$C$10*CROQUIS!$C$14),CROQUIS!$C$15+CROQUIS!$C$10*CROQUIS!$C$14/2+-1.2)</f>
        <v>92.36</v>
      </c>
      <c r="S12">
        <f>IF(CROQUIS!$C$12="Y",CROQUIS!$C$16+CROQUIS!$C$11*CROQUIS!$C$14/2+(-1.2)+0.0,IF($A12&lt;=1,CROQUIS!$C$16+(0.02)*CROQUIS!$C$11*CROQUIS!$C$14,CROQUIS!$C$16+(0.98)*CROQUIS!$C$11*CROQUIS!$C$14))</f>
        <v>51.8</v>
      </c>
      <c r="T12">
        <f>IF(CROQUIS!$C$12="Y",IF($A12&lt;=1,CROQUIS!$C$15+(0.02)*CROQUIS!$C$10*CROQUIS!$C$14,CROQUIS!$C$15+(0.98)*CROQUIS!$C$10*CROQUIS!$C$14),CROQUIS!$C$15+CROQUIS!$C$10*CROQUIS!$C$14/2+1.2)</f>
        <v>92.36</v>
      </c>
      <c r="U12">
        <f>IF(CROQUIS!$C$12="Y",CROQUIS!$C$16+CROQUIS!$C$11*CROQUIS!$C$14/2+(1.2)+0.0,IF($A12&lt;=1,CROQUIS!$C$16+(0.02)*CROQUIS!$C$11*CROQUIS!$C$14,CROQUIS!$C$16+(0.98)*CROQUIS!$C$11*CROQUIS!$C$14))</f>
        <v>54.2</v>
      </c>
      <c r="V12">
        <f>IF(NERVADURA!$C$103&lt;2,-50,IF(CROQUIS!$C$12="Y",IF($A12&lt;=1,CROQUIS!$C$15+(0)*CROQUIS!$C$10*CROQUIS!$C$14,CROQUIS!$C$15+(IF(CROQUIS!$C$9="VOLADO",1,MIN(0.5,(DATOS!$C$17/2+NERVADURA!$C$138)/(NERVADURA!$C$16*100))))*CROQUIS!$C$10*CROQUIS!$C$14),CROQUIS!$C$15+CROQUIS!$C$10*CROQUIS!$C$14/2+2.6))</f>
        <v>-50</v>
      </c>
      <c r="W12">
        <f>IF(CROQUIS!$C$12="Y",CROQUIS!$C$16+CROQUIS!$C$11*CROQUIS!$C$14/2+(2.6)+0.0,IF($A12&lt;=1,CROQUIS!$C$16+(0)*CROQUIS!$C$11*CROQUIS!$C$14,CROQUIS!$C$16+(IF(CROQUIS!$C$9="VOLADO",1,MIN(0.5,(DATOS!$C$17/2+NERVADURA!$C$138)/(NERVADURA!$C$16*100))))*CROQUIS!$C$11*CROQUIS!$C$14))</f>
        <v>55.6</v>
      </c>
      <c r="X12">
        <f>IF(OR(NERVADURA!$C$103&lt;2,CROQUIS!$C$9="VOLADO"),-50,IF(CROQUIS!$C$12="Y",IF($A12&lt;=1,CROQUIS!$C$15+(IF(CROQUIS!$C$9="VOLADO",1,1-MIN(0.5,(DATOS!$C$17/2+NERVADURA!$C$138)/(NERVADURA!$C$16*100))))*CROQUIS!$C$10*CROQUIS!$C$14,CROQUIS!$C$15+(1)*CROQUIS!$C$10*CROQUIS!$C$14),CROQUIS!$C$15+CROQUIS!$C$10*CROQUIS!$C$14/2+2.6))</f>
        <v>-50</v>
      </c>
      <c r="Y12">
        <f>IF(CROQUIS!$C$12="Y",CROQUIS!$C$16+CROQUIS!$C$11*CROQUIS!$C$14/2+(2.6)+0.0,IF($A12&lt;=1,CROQUIS!$C$16+(IF(CROQUIS!$C$9="VOLADO",1,1-MIN(0.5,(DATOS!$C$17/2+NERVADURA!$C$138)/(NERVADURA!$C$16*100))))*CROQUIS!$C$11*CROQUIS!$C$14,CROQUIS!$C$16+(1)*CROQUIS!$C$11*CROQUIS!$C$14))</f>
        <v>55.6</v>
      </c>
      <c r="Z12">
        <f>CHOOSE(MIN(MAX($A12,1),7),CROQUIS!$C$15,CROQUIS!$C$15,CROQUIS!$C$15,(CROQUIS!$C$15+CROQUIS!$C$15+CROQUIS!$C$10*CROQUIS!$C$14)/2,CROQUIS!$C$15+CROQUIS!$C$10*CROQUIS!$C$14,CROQUIS!$C$15+CROQUIS!$C$10*CROQUIS!$C$14,CROQUIS!$C$15+CROQUIS!$C$10*CROQUIS!$C$14)</f>
        <v>94</v>
      </c>
      <c r="AA12">
        <f>CHOOSE(MIN(MAX($A12,1),7),CROQUIS!$C$16-5-1.5,CROQUIS!$C$16-5+1.5,CROQUIS!$C$16-5,CROQUIS!$C$16-5,CROQUIS!$C$16-5,CROQUIS!$C$16-5+1.5,CROQUIS!$C$16-5-1.5)</f>
        <v>10.9462268413918</v>
      </c>
      <c r="AB12">
        <f>CHOOSE(MIN(MAX($A12,1),7),CROQUIS!$C$15-5-1.5,CROQUIS!$C$15-5+1.5,CROQUIS!$C$15-5,CROQUIS!$C$15-5,CROQUIS!$C$15-5,CROQUIS!$C$15-5+1.5,CROQUIS!$C$15-5-1.5)</f>
        <v>7</v>
      </c>
      <c r="AC12">
        <f>CHOOSE(MIN(MAX($A12,1),7),CROQUIS!$C$16,CROQUIS!$C$16,CROQUIS!$C$16,(CROQUIS!$C$16+CROQUIS!$C$16+CROQUIS!$C$11*CROQUIS!$C$14)/2,CROQUIS!$C$16+CROQUIS!$C$11*CROQUIS!$C$14,CROQUIS!$C$16+CROQUIS!$C$11*CROQUIS!$C$14,CROQUIS!$C$16+CROQUIS!$C$11*CROQUIS!$C$14)</f>
        <v>90.0537731586082</v>
      </c>
      <c r="AD12">
        <f>CHOOSE(MIN(MAX($A12,1),7),CROQUIS!$C$15+(DATOS!$C$17/2+NERVADURA!$C$132)*CROQUIS!$C$14,CROQUIS!$C$15+(DATOS!$C$17/2+NERVADURA!$C$132)*CROQUIS!$C$14,CROQUIS!$C$15+(DATOS!$C$17/2+NERVADURA!$C$132)*CROQUIS!$C$14,(CROQUIS!$C$15+(DATOS!$C$17/2+NERVADURA!$C$132)*CROQUIS!$C$14+CROQUIS!$C$15+(DATOS!$C$17/2+NERVADURA!$C$132+DATOS!$C$16)*CROQUIS!$C$14)/2,CROQUIS!$C$15+(DATOS!$C$17/2+NERVADURA!$C$132+DATOS!$C$16)*CROQUIS!$C$14,CROQUIS!$C$15+(DATOS!$C$17/2+NERVADURA!$C$132+DATOS!$C$16)*CROQUIS!$C$14,CROQUIS!$C$15+(DATOS!$C$17/2+NERVADURA!$C$132+DATOS!$C$16)*CROQUIS!$C$14)</f>
        <v>27.9887031179395</v>
      </c>
      <c r="AE12">
        <f>CHOOSE(MIN(MAX($A12,1),7),CROQUIS!$C$16+CROQUIS!$C$11*CROQUIS!$C$14+4-1.5,CROQUIS!$C$16+CROQUIS!$C$11*CROQUIS!$C$14+4+1.5,CROQUIS!$C$16+CROQUIS!$C$11*CROQUIS!$C$14+4,CROQUIS!$C$16+CROQUIS!$C$11*CROQUIS!$C$14+4,CROQUIS!$C$16+CROQUIS!$C$11*CROQUIS!$C$14+4,CROQUIS!$C$16+CROQUIS!$C$11*CROQUIS!$C$14+4+1.5,CROQUIS!$C$16+CROQUIS!$C$11*CROQUIS!$C$14+4-1.5)</f>
        <v>94.0537731586082</v>
      </c>
      <c r="AF12">
        <f>CHOOSE(MIN(MAX($A12,1),9),-DATOS!$C$16/2,DATOS!$C$16/2,DATOS!$C$16/2,DATOS!$C$13/2,DATOS!$C$13/2,-DATOS!$C$13/2,-DATOS!$C$13/2,-DATOS!$C$16/2,-DATOS!$C$16/2)</f>
        <v>5</v>
      </c>
      <c r="AG12">
        <f>CHOOSE(MIN(MAX($A12,1),9),DATOS!$C$15,DATOS!$C$15,DATOS!$C$12,DATOS!$C$12,0,0,DATOS!$C$12,DATOS!$C$12,DATOS!$C$15)</f>
        <v>0</v>
      </c>
      <c r="AH12">
        <f>CHOOSE(MIN(MAX($A12,1),5),-DATOS!$C$16/2,-DATOS!$C$13/2,-DATOS!$C$13/2,-DATOS!$C$16/2,-DATOS!$C$16/2)</f>
        <v>-35</v>
      </c>
      <c r="AI12">
        <f>CHOOSE(MIN(MAX($A12,1),5),0,0,DATOS!$C$12,DATOS!$C$12,0)</f>
        <v>0</v>
      </c>
      <c r="AJ12">
        <f>CHOOSE(MIN(MAX($A12,1),5),DATOS!$C$13/2,DATOS!$C$16/2,DATOS!$C$16/2,DATOS!$C$13/2,DATOS!$C$13/2)</f>
        <v>5</v>
      </c>
      <c r="AK12">
        <f>CHOOSE(MIN(MAX($A12,1),5),0,0,DATOS!$C$12,DATOS!$C$12,0)</f>
        <v>0</v>
      </c>
      <c r="AR12">
        <f>CHOOSE(MIN(MAX($A12,1),5),-(DATOS!$C$13/2-DATOS!$C$20),(DATOS!$C$13/2-DATOS!$C$20),(DATOS!$C$13/2-DATOS!$C$20),-(DATOS!$C$13/2-DATOS!$C$20),-(DATOS!$C$13/2-DATOS!$C$20))</f>
        <v>-3</v>
      </c>
      <c r="AS12">
        <f>IF(DATOS!$C$25=0,-100,CHOOSE(MIN(MAX($A12,1),5),DATOS!$C$20,DATOS!$C$20,DATOS!$C$15-DATOS!$C$20,DATOS!$C$15-DATOS!$C$20,DATOS!$C$20))</f>
        <v>-100</v>
      </c>
      <c r="AT12">
        <f>CHOOSE(MIN(MAX($A12,1),7),-DATOS!$C$13/2,-DATOS!$C$13/2,-DATOS!$C$13/2,(-DATOS!$C$13/2+DATOS!$C$13/2)/2,DATOS!$C$13/2,DATOS!$C$13/2,DATOS!$C$13/2)</f>
        <v>5</v>
      </c>
      <c r="AU12">
        <f>CHOOSE(MIN(MAX($A12,1),7),-4-1.5,-4+1.5,-4,-4,-4,-4+1.5,-4-1.5)</f>
        <v>-4</v>
      </c>
      <c r="AV12">
        <f>CHOOSE(MIN(MAX($A12,1),7),-DATOS!$C$16/2,-DATOS!$C$16/2,-DATOS!$C$16/2,(-DATOS!$C$16/2+DATOS!$C$16/2)/2,DATOS!$C$16/2,DATOS!$C$16/2,DATOS!$C$16/2)</f>
        <v>35</v>
      </c>
      <c r="AW12">
        <f>CHOOSE(MIN(MAX($A12,1),7),DATOS!$C$15+4-1.5,DATOS!$C$15+4+1.5,DATOS!$C$15+4,DATOS!$C$15+4,DATOS!$C$15+4,DATOS!$C$15+4+1.5,DATOS!$C$15+4-1.5)</f>
        <v>29</v>
      </c>
      <c r="AX12">
        <f>CHOOSE(MIN(MAX($A12,1),7),DATOS!$C$16/2+4-1.5,DATOS!$C$16/2+4+1.5,DATOS!$C$16/2+4,DATOS!$C$16/2+4,DATOS!$C$16/2+4,DATOS!$C$16/2+4+1.5,DATOS!$C$16/2+4-1.5)</f>
        <v>39</v>
      </c>
      <c r="AY12">
        <f>CHOOSE(MIN(MAX($A12,1),7),0,0,0,(0+DATOS!$C$15)/2,DATOS!$C$15,DATOS!$C$15,DATOS!$C$15)</f>
        <v>25</v>
      </c>
      <c r="AZ12">
        <f>CHOOSE(MIN(MAX($A12,1),5),0,100,100,0,0)</f>
        <v>0</v>
      </c>
      <c r="BA12">
        <f>CHOOSE(MIN(MAX($A12,1),5),0,0,12,12,0)</f>
        <v>0</v>
      </c>
      <c r="BB12">
        <f>CHOOSE(MIN(MAX($A12,1),5),-3,0,0,-3,-3)</f>
        <v>-3</v>
      </c>
      <c r="BC12">
        <f>CHOOSE(MIN(MAX($A12,1),5),-10,-10,12,12,-10)</f>
        <v>-10</v>
      </c>
      <c r="BD12">
        <f>CHOOSE(MIN(MAX($A12,1),5),IF(CROQUIS!$C$9="VOLADO",-3,100),IF(CROQUIS!$C$9="VOLADO",0,103),IF(CROQUIS!$C$9="VOLADO",0,103),IF(CROQUIS!$C$9="VOLADO",-3,100),IF(CROQUIS!$C$9="VOLADO",-3,100))</f>
        <v>100</v>
      </c>
      <c r="BE12">
        <f>CHOOSE(MIN(MAX($A12,1),5),-10,-10,12,12,-10)</f>
        <v>-10</v>
      </c>
      <c r="BN12">
        <f>CHOOSE(MIN(MAX($A12,1),7),0,0,0,(0+100)/2,100,100,100)</f>
        <v>100</v>
      </c>
      <c r="BO12">
        <f>CHOOSE(MIN(MAX($A12,1),7),-14-1.5,-14+1.5,-14,-14,-14,-14+1.5,-14-1.5)</f>
        <v>-14</v>
      </c>
      <c r="BP12">
        <f>CHOOSE(MIN(MAX($A12,1),9),-35,35,35,CROQUIS!$C$30/2,CROQUIS!$C$30/2,-CROQUIS!$C$30/2,-CROQUIS!$C$30/2,-35,-35)</f>
        <v>10</v>
      </c>
      <c r="BQ12">
        <f>CHOOSE(MIN(MAX($A12,1),9),CROQUIS!$C$31,CROQUIS!$C$31,CROQUIS!$C$31-DATOS!$C$14,CROQUIS!$C$31-DATOS!$C$14,0,0,CROQUIS!$C$31-DATOS!$C$14,CROQUIS!$C$31-DATOS!$C$14,CROQUIS!$C$31)</f>
        <v>0</v>
      </c>
      <c r="BR12">
        <f>CHOOSE(MIN(MAX($A12,1),5),-35,-CROQUIS!$C$30/2,-CROQUIS!$C$30/2,-35,-35)</f>
        <v>-35</v>
      </c>
      <c r="BS12">
        <f>CHOOSE(MIN(MAX($A12,1),5),CROQUIS!$C$31-DATOS!$C$14-DATOS!$C$12,CROQUIS!$C$31-DATOS!$C$14-DATOS!$C$12,CROQUIS!$C$31-DATOS!$C$14,CROQUIS!$C$31-DATOS!$C$14,CROQUIS!$C$31-DATOS!$C$14-DATOS!$C$12)</f>
        <v>20</v>
      </c>
      <c r="BT12">
        <f>CHOOSE(MIN(MAX($A12,1),5),CROQUIS!$C$30/2,35,35,CROQUIS!$C$30/2,CROQUIS!$C$30/2)</f>
        <v>10</v>
      </c>
      <c r="BU12">
        <f>CHOOSE(MIN(MAX($A12,1),5),CROQUIS!$C$31-DATOS!$C$14-DATOS!$C$12,CROQUIS!$C$31-DATOS!$C$14-DATOS!$C$12,CROQUIS!$C$31-DATOS!$C$14,CROQUIS!$C$31-DATOS!$C$14,CROQUIS!$C$31-DATOS!$C$14-DATOS!$C$12)</f>
        <v>20</v>
      </c>
      <c r="BV12">
        <f>CHOOSE(MIN(MAX($A12,1),5),-(CROQUIS!$C$30/2-DATOS!$C$22-INDEX(TABLAS!$C$52:$C$58,MATCH(DATOS!$C$113,TABLAS!$B$52:$B$58,0))/2),(CROQUIS!$C$30/2-DATOS!$C$22-INDEX(TABLAS!$C$52:$C$58,MATCH(DATOS!$C$113,TABLAS!$B$52:$B$58,0))/2),(CROQUIS!$C$30/2-DATOS!$C$22-INDEX(TABLAS!$C$52:$C$58,MATCH(DATOS!$C$113,TABLAS!$B$52:$B$58,0))/2),-(CROQUIS!$C$30/2-DATOS!$C$22-INDEX(TABLAS!$C$52:$C$58,MATCH(DATOS!$C$113,TABLAS!$B$52:$B$58,0))/2),-(CROQUIS!$C$30/2-DATOS!$C$22-INDEX(TABLAS!$C$52:$C$58,MATCH(DATOS!$C$113,TABLAS!$B$52:$B$58,0))/2))</f>
        <v>-5.525</v>
      </c>
      <c r="BW12">
        <f>CHOOSE(MIN(MAX($A12,1),5),DATOS!$C$22+INDEX(TABLAS!$C$52:$C$58,MATCH(DATOS!$C$113,TABLAS!$B$52:$B$58,0))/2,DATOS!$C$22+INDEX(TABLAS!$C$52:$C$58,MATCH(DATOS!$C$113,TABLAS!$B$52:$B$58,0))/2,CROQUIS!$C$31-DATOS!$C$22-INDEX(TABLAS!$C$52:$C$58,MATCH(DATOS!$C$113,TABLAS!$B$52:$B$58,0))/2,CROQUIS!$C$31-DATOS!$C$22-INDEX(TABLAS!$C$52:$C$58,MATCH(DATOS!$C$113,TABLAS!$B$52:$B$58,0))/2,DATOS!$C$22+INDEX(TABLAS!$C$52:$C$58,MATCH(DATOS!$C$113,TABLAS!$B$52:$B$58,0))/2)</f>
        <v>4.475</v>
      </c>
      <c r="BX12">
        <f>IF(CROQUIS!$C$32&lt;=1,0,-(CROQUIS!$C$30-2*DATOS!$C$22-2*INDEX(TABLAS!$C$52:$C$58,MATCH(DATOS!$C$113,TABLAS!$B$52:$B$58,0))-INDEX(TABLAS!$C$52:$C$58,MATCH(MAX(CROQUIS!$C$33,3),TABLAS!$B$52:$B$58,0)))/2+(MIN($A12,CROQUIS!$C$32)-1)*(CROQUIS!$C$30-2*DATOS!$C$22-2*INDEX(TABLAS!$C$52:$C$58,MATCH(DATOS!$C$113,TABLAS!$B$52:$B$58,0))-INDEX(TABLAS!$C$52:$C$58,MATCH(MAX(CROQUIS!$C$33,3),TABLAS!$B$52:$B$58,0)))/(CROQUIS!$C$32-1))</f>
        <v>4.415</v>
      </c>
      <c r="BY12">
        <f>IF(CROQUIS!$C$32=0,-100,DATOS!$C$22+INDEX(TABLAS!$C$52:$C$58,MATCH(DATOS!$C$113,TABLAS!$B$52:$B$58,0))+INDEX(TABLAS!$C$52:$C$58,MATCH(MAX(CROQUIS!$C$33,3),TABLAS!$B$52:$B$58,0))/2)</f>
        <v>5.585</v>
      </c>
      <c r="BZ12">
        <f>IF(CROQUIS!$C$34&lt;=1,0,-(CROQUIS!$C$30-2*DATOS!$C$22-2*INDEX(TABLAS!$C$52:$C$58,MATCH(DATOS!$C$113,TABLAS!$B$52:$B$58,0))-INDEX(TABLAS!$C$52:$C$58,MATCH(MAX(CROQUIS!$C$35,3),TABLAS!$B$52:$B$58,0)))/2+(MIN($A12,CROQUIS!$C$34)-1)*(CROQUIS!$C$30-2*DATOS!$C$22-2*INDEX(TABLAS!$C$52:$C$58,MATCH(DATOS!$C$113,TABLAS!$B$52:$B$58,0))-INDEX(TABLAS!$C$52:$C$58,MATCH(MAX(CROQUIS!$C$35,3),TABLAS!$B$52:$B$58,0)))/(CROQUIS!$C$34-1))</f>
        <v>4.415</v>
      </c>
      <c r="CA12">
        <f>IF(CROQUIS!$C$34=0,-100,CROQUIS!$C$31-DATOS!$C$22-INDEX(TABLAS!$C$52:$C$58,MATCH(DATOS!$C$113,TABLAS!$B$52:$B$58,0))-INDEX(TABLAS!$C$52:$C$58,MATCH(MAX(CROQUIS!$C$35,3),TABLAS!$B$52:$B$58,0))/2)</f>
        <v>39.415</v>
      </c>
      <c r="CB12">
        <f>CHOOSE(MIN(MAX($A12,1),7),-CROQUIS!$C$30/2,-CROQUIS!$C$30/2,-CROQUIS!$C$30/2,(-CROQUIS!$C$30/2+CROQUIS!$C$30/2)/2,CROQUIS!$C$30/2,CROQUIS!$C$30/2,CROQUIS!$C$30/2)</f>
        <v>10</v>
      </c>
      <c r="CC12">
        <f>CHOOSE(MIN(MAX($A12,1),7),-5-1.5,-5+1.5,-5,-5,-5,-5+1.5,-5-1.5)</f>
        <v>-5</v>
      </c>
      <c r="CD12">
        <f>CHOOSE(MIN(MAX($A12,1),7),38-1.5,38+1.5,38,38,38,38+1.5,38-1.5)</f>
        <v>38</v>
      </c>
      <c r="CE12">
        <f>CHOOSE(MIN(MAX($A12,1),7),0,0,0,(0+CROQUIS!$C$31)/2,CROQUIS!$C$31,CROQUIS!$C$31,CROQUIS!$C$31)</f>
        <v>45</v>
      </c>
      <c r="CW12" t="n">
        <v>4.327</v>
      </c>
      <c r="CX12" t="n">
        <v>1.919</v>
      </c>
      <c r="CY12" t="n">
        <v>5.923</v>
      </c>
      <c r="CZ12" t="n">
        <v>5.946</v>
      </c>
      <c r="DA12" t="n">
        <v>4.327</v>
      </c>
      <c r="DB12" t="n">
        <v>2.921</v>
      </c>
      <c r="DC12" t="n">
        <v>4.247</v>
      </c>
      <c r="DD12" t="n">
        <v>7.946</v>
      </c>
      <c r="DE12" t="n">
        <v>-0.702</v>
      </c>
      <c r="DF12" t="n">
        <v>24.371</v>
      </c>
      <c r="DG12" t="n">
        <v>4.327</v>
      </c>
      <c r="DH12" t="n">
        <v>1.919</v>
      </c>
      <c r="DI12" t="n">
        <v>5.923</v>
      </c>
      <c r="DJ12" t="n">
        <v>2.921</v>
      </c>
      <c r="DK12" t="n">
        <v>3.029</v>
      </c>
      <c r="DL12" t="n">
        <v>16.997</v>
      </c>
      <c r="DM12" t="n">
        <v>4.427</v>
      </c>
      <c r="DN12" t="n">
        <v>7.946</v>
      </c>
      <c r="DO12" t="n">
        <v>0</v>
      </c>
      <c r="DP12" t="n">
        <v>7.871</v>
      </c>
      <c r="DQ12" t="inlineStr">
        <is>
          <t>F80006 N+3.00</t>
        </is>
      </c>
      <c r="DR12" t="inlineStr">
        <is>
          <t>N+3.00</t>
        </is>
      </c>
      <c r="DS12" t="n">
        <v>2.925</v>
      </c>
      <c r="DT12" t="n">
        <v>6.948</v>
      </c>
      <c r="DU12" t="n">
        <v>2.925</v>
      </c>
      <c r="DV12" t="n">
        <v>5.946</v>
      </c>
      <c r="DW12" t="n">
        <v>4.327</v>
      </c>
      <c r="DX12" t="n">
        <v>5.946</v>
      </c>
      <c r="DY12" t="n">
        <v>4.327</v>
      </c>
      <c r="DZ12" t="n">
        <v>6.948</v>
      </c>
      <c r="EA12" t="n">
        <v>2.925</v>
      </c>
      <c r="EB12" t="n">
        <v>6.948</v>
      </c>
      <c r="EC12" t="n">
        <v>2.925</v>
      </c>
      <c r="ED12" t="n">
        <v>6.948</v>
      </c>
      <c r="EE12" t="n">
        <v>2.925</v>
      </c>
      <c r="EF12" t="n">
        <v>6.948</v>
      </c>
      <c r="EG12" t="n">
        <v>2.925</v>
      </c>
      <c r="EH12" t="n">
        <v>6.948</v>
      </c>
      <c r="EI12" t="n">
        <v>2.925</v>
      </c>
      <c r="EJ12" t="n">
        <v>6.948</v>
      </c>
      <c r="EK12" t="n">
        <v>2.925</v>
      </c>
      <c r="EL12" t="n">
        <v>6.948</v>
      </c>
      <c r="EM12" t="n">
        <v>2.925</v>
      </c>
      <c r="EN12" t="n">
        <v>6.948</v>
      </c>
      <c r="EO12" t="n">
        <v>2.925</v>
      </c>
      <c r="EP12" t="n">
        <v>6.948</v>
      </c>
      <c r="EQ12" t="n">
        <v>2.925</v>
      </c>
      <c r="ER12" t="n">
        <v>6.948</v>
      </c>
      <c r="ES12" t="n">
        <v>2.925</v>
      </c>
      <c r="ET12" t="n">
        <v>6.948</v>
      </c>
      <c r="EU12" t="n">
        <v>2.925</v>
      </c>
      <c r="EV12" t="n">
        <v>6.948</v>
      </c>
      <c r="EW12" t="n">
        <v>2.925</v>
      </c>
      <c r="EX12" t="n">
        <v>6.948</v>
      </c>
      <c r="EY12" t="n">
        <v>2.925</v>
      </c>
      <c r="EZ12" t="n">
        <v>6.948</v>
      </c>
      <c r="FA12" t="n">
        <v>2.925</v>
      </c>
      <c r="FB12" t="n">
        <v>6.948</v>
      </c>
      <c r="FD12" t="inlineStr">
        <is>
          <t>NP-05</t>
        </is>
      </c>
      <c r="FE12" t="inlineStr">
        <is>
          <t>N+3.00</t>
        </is>
      </c>
      <c r="FF12" t="n">
        <v>5.46</v>
      </c>
      <c r="FG12" t="n">
        <v>6.948</v>
      </c>
      <c r="FH12" t="n">
        <v>5.923</v>
      </c>
      <c r="FI12" t="n">
        <v>6.948</v>
      </c>
      <c r="FK12">
        <f>IF(INDEX($DR$8:$DR$39,MATCH(CROQUIS!$C$7,$DQ$8:$DQ$39,0))="N+3.00",INDEX($EA$8:$EA$39,MATCH(CROQUIS!$C$7,$DQ$8:$DQ$39,0)),-100)</f>
        <v>0</v>
      </c>
      <c r="FL12">
        <f>IF(INDEX($DR$8:$DR$39,MATCH(CROQUIS!$C$7,$DQ$8:$DQ$39,0))="N+3.00",INDEX($EB$8:$EB$39,MATCH(CROQUIS!$C$7,$DQ$8:$DQ$39,0)),-100)</f>
        <v>17.446</v>
      </c>
      <c r="FO12">
        <f>IF(INDEX($DR$8:$DR$39,MATCH(CROQUIS!$C$7,$DQ$8:$DQ$39,0))="N+6.00",INDEX($EA$8:$EA$39,MATCH(CROQUIS!$C$7,$DQ$8:$DQ$39,0)),-100)</f>
        <v>-100</v>
      </c>
      <c r="FP12">
        <f>IF(INDEX($DR$8:$DR$39,MATCH(CROQUIS!$C$7,$DQ$8:$DQ$39,0))="N+6.00",INDEX($EB$8:$EB$39,MATCH(CROQUIS!$C$7,$DQ$8:$DQ$39,0)),-100)</f>
        <v>-100</v>
      </c>
      <c r="FT12" t="inlineStr">
        <is>
          <t>F80006</t>
        </is>
      </c>
      <c r="FU12" t="n">
        <v>3.626</v>
      </c>
      <c r="FV12" t="n">
        <v>6.447</v>
      </c>
      <c r="FW12" t="inlineStr">
        <is>
          <t>N+3.00</t>
        </is>
      </c>
    </row>
    <row r="13">
      <c r="A13" t="n">
        <v>6</v>
      </c>
      <c r="B13">
        <f>CHOOSE(MIN(MAX($A13,1),5),CROQUIS!$C$15,CROQUIS!$C$15+CROQUIS!$C$10*CROQUIS!$C$14,CROQUIS!$C$15+CROQUIS!$C$10*CROQUIS!$C$14,CROQUIS!$C$15,CROQUIS!$C$15)</f>
        <v>12</v>
      </c>
      <c r="C13">
        <f>CHOOSE(MIN(MAX($A13,1),5),CROQUIS!$C$16,CROQUIS!$C$16,CROQUIS!$C$16+CROQUIS!$C$11*CROQUIS!$C$14,CROQUIS!$C$16+CROQUIS!$C$11*CROQUIS!$C$14,CROQUIS!$C$16)</f>
        <v>15.9462268413918</v>
      </c>
      <c r="D13">
        <f>CHOOSE(MIN(MAX($A13,1),5),CROQUIS!$C$15+DATOS!$C$17/2*CROQUIS!$C$14,CROQUIS!$C$15+CROQUIS!$C$10*CROQUIS!$C$14-DATOS!$C$17/2*CROQUIS!$C$14,CROQUIS!$C$15+CROQUIS!$C$10*CROQUIS!$C$14-DATOS!$C$17/2*CROQUIS!$C$14,CROQUIS!$C$15+DATOS!$C$17/2*CROQUIS!$C$14,CROQUIS!$C$15+DATOS!$C$17/2*CROQUIS!$C$14)</f>
        <v>13.3895164934478</v>
      </c>
      <c r="E13">
        <f>CHOOSE(MIN(MAX($A13,1),5),CROQUIS!$C$16+DATOS!$C$17/2*CROQUIS!$C$14,CROQUIS!$C$16+DATOS!$C$17/2*CROQUIS!$C$14,CROQUIS!$C$16+CROQUIS!$C$11*CROQUIS!$C$14-DATOS!$C$17/2*CROQUIS!$C$14,CROQUIS!$C$16+CROQUIS!$C$11*CROQUIS!$C$14-DATOS!$C$17/2*CROQUIS!$C$14,CROQUIS!$C$16+DATOS!$C$17/2*CROQUIS!$C$14)</f>
        <v>17.3357433348396</v>
      </c>
      <c r="F13">
        <f>IF(NERVADURA!$C$131=0,CROQUIS!$C$15+CROQUIS!$C$10*CROQUIS!$C$14/2,CROQUIS!$C$15+(DATOS!$C$17/2+NERVADURA!$C$132+INT(MIN(INT(($A13-1)/2),MAX(2*NERVADURA!$C$131-1,0))/2)*DATOS!$C$16+MOD(MIN(INT(($A13-1)/2),MAX(2*NERVADURA!$C$131-1,0)),2)*DATOS!$C$11)*CROQUIS!$C$14)</f>
        <v>27.9887031179395</v>
      </c>
      <c r="G13">
        <f>IF(NERVADURA!$C$131=0,CROQUIS!$C$16+CROQUIS!$C$11*CROQUIS!$C$14/2,CROQUIS!$C$16+IF(MOD(MIN(INT(($A13-1)/2),MAX(2*NERVADURA!$C$131-1,0)),2)=0,IF(IF(INT(($A13-1)/2)&gt;MAX(2*NERVADURA!$C$131-1,0),1,MOD($A13-1,2))=0,(DATOS!$C$17/2+NERVADURA!$C$134),(CROQUIS!$C$11-DATOS!$C$17/2-NERVADURA!$C$134)),IF(IF(INT(($A13-1)/2)&gt;MAX(2*NERVADURA!$C$131-1,0),1,MOD($A13-1,2))=0,(CROQUIS!$C$11-DATOS!$C$17/2-NERVADURA!$C$134),(DATOS!$C$17/2+NERVADURA!$C$134)))*CROQUIS!$C$14)</f>
        <v>84.495707184817</v>
      </c>
      <c r="H13">
        <f>IF(NERVADURA!$C$133=0,CROQUIS!$C$15+CROQUIS!$C$10*CROQUIS!$C$14/2,CROQUIS!$C$15+IF(MOD(MIN(INT(($A13-1)/2),MAX(2*NERVADURA!$C$133-1,0)),2)=0,IF(IF(INT(($A13-1)/2)&gt;MAX(2*NERVADURA!$C$133-1,0),1,MOD($A13-1,2))=0,(DATOS!$C$17/2+NERVADURA!$C$132),(CROQUIS!$C$10-DATOS!$C$17/2-NERVADURA!$C$132)),IF(IF(INT(($A13-1)/2)&gt;MAX(2*NERVADURA!$C$133-1,0),1,MOD($A13-1,2))=0,(CROQUIS!$C$10-DATOS!$C$17/2-NERVADURA!$C$132),(DATOS!$C$17/2+NERVADURA!$C$132)))*CROQUIS!$C$14)</f>
        <v>90.9801174875734</v>
      </c>
      <c r="I13">
        <f>IF(NERVADURA!$C$133=0,CROQUIS!$C$16+CROQUIS!$C$11*CROQUIS!$C$14/2,CROQUIS!$C$16+(DATOS!$C$17/2+NERVADURA!$C$134+INT(MIN(INT(($A13-1)/2),MAX(2*NERVADURA!$C$133-1,0))/2)*DATOS!$C$16+MOD(MIN(INT(($A13-1)/2),MAX(2*NERVADURA!$C$133-1,0)),2)*DATOS!$C$11)*CROQUIS!$C$14)</f>
        <v>34.4731134206959</v>
      </c>
      <c r="J13">
        <f>IF(CROQUIS!$C$12="X",IF($A13&lt;=1,CROQUIS!$C$15+(0.02)*CROQUIS!$C$10*CROQUIS!$C$14,CROQUIS!$C$15+(0.98)*CROQUIS!$C$10*CROQUIS!$C$14),CROQUIS!$C$15+CROQUIS!$C$10*CROQUIS!$C$14/2+-1.2)</f>
        <v>51.8</v>
      </c>
      <c r="K13">
        <f>IF(CROQUIS!$C$12="X",CROQUIS!$C$16+CROQUIS!$C$11*CROQUIS!$C$14/2+-1.2,IF($A13&lt;=1,CROQUIS!$C$16+(0.02)*CROQUIS!$C$11*CROQUIS!$C$14,CROQUIS!$C$16+(0.98)*CROQUIS!$C$11*CROQUIS!$C$14))</f>
        <v>88.5716222322639</v>
      </c>
      <c r="L13">
        <f>IF(CROQUIS!$C$12="X",IF($A13&lt;=1,CROQUIS!$C$15+(0.02)*CROQUIS!$C$10*CROQUIS!$C$14,CROQUIS!$C$15+(0.98)*CROQUIS!$C$10*CROQUIS!$C$14),CROQUIS!$C$15+CROQUIS!$C$10*CROQUIS!$C$14/2+1.2)</f>
        <v>54.2</v>
      </c>
      <c r="M13">
        <f>IF(CROQUIS!$C$12="X",CROQUIS!$C$16+CROQUIS!$C$11*CROQUIS!$C$14/2+1.2,IF($A13&lt;=1,CROQUIS!$C$16+(0.02)*CROQUIS!$C$11*CROQUIS!$C$14,CROQUIS!$C$16+(0.98)*CROQUIS!$C$11*CROQUIS!$C$14))</f>
        <v>88.5716222322639</v>
      </c>
      <c r="N13">
        <f>IF(NERVADURA!$C$73&lt;2,-50,IF(CROQUIS!$C$12="X",IF($A13&lt;=1,CROQUIS!$C$15+(0)*CROQUIS!$C$10*CROQUIS!$C$14,CROQUIS!$C$15+(IF(CROQUIS!$C$9="VOLADO",1,MIN(0.5,(DATOS!$C$17/2+NERVADURA!$C$137)/(NERVADURA!$C$15*100))))*CROQUIS!$C$10*CROQUIS!$C$14),CROQUIS!$C$15+CROQUIS!$C$10*CROQUIS!$C$14/2+2.6))</f>
        <v>-50</v>
      </c>
      <c r="O13">
        <f>IF(CROQUIS!$C$12="X",CROQUIS!$C$16+CROQUIS!$C$11*CROQUIS!$C$14/2+2.6,IF($A13&lt;=1,CROQUIS!$C$16+(0)*CROQUIS!$C$11*CROQUIS!$C$14,CROQUIS!$C$16+(IF(CROQUIS!$C$9="VOLADO",1,MIN(0.5,(DATOS!$C$17/2+NERVADURA!$C$137)/(NERVADURA!$C$15*100))))*CROQUIS!$C$11*CROQUIS!$C$14))</f>
        <v>36.7889742431089</v>
      </c>
      <c r="P13">
        <f>IF(OR(NERVADURA!$C$73&lt;2,CROQUIS!$C$9="VOLADO"),-50,IF(CROQUIS!$C$12="X",IF($A13&lt;=1,CROQUIS!$C$15+(IF(CROQUIS!$C$9="VOLADO",1,1-MIN(0.5,(DATOS!$C$17/2+NERVADURA!$C$137)/(NERVADURA!$C$15*100))))*CROQUIS!$C$10*CROQUIS!$C$14,CROQUIS!$C$15+(1)*CROQUIS!$C$10*CROQUIS!$C$14),CROQUIS!$C$15+CROQUIS!$C$10*CROQUIS!$C$14/2+2.6))</f>
        <v>-50</v>
      </c>
      <c r="Q13">
        <f>IF(CROQUIS!$C$12="X",CROQUIS!$C$16+CROQUIS!$C$11*CROQUIS!$C$14/2+2.6,IF($A13&lt;=1,CROQUIS!$C$16+(IF(CROQUIS!$C$9="VOLADO",1,1-MIN(0.5,(DATOS!$C$17/2+NERVADURA!$C$137)/(NERVADURA!$C$15*100))))*CROQUIS!$C$11*CROQUIS!$C$14,CROQUIS!$C$16+(1)*CROQUIS!$C$11*CROQUIS!$C$14))</f>
        <v>90.0537731586082</v>
      </c>
      <c r="R13">
        <f>IF(CROQUIS!$C$12="Y",IF($A13&lt;=1,CROQUIS!$C$15+(0.02)*CROQUIS!$C$10*CROQUIS!$C$14,CROQUIS!$C$15+(0.98)*CROQUIS!$C$10*CROQUIS!$C$14),CROQUIS!$C$15+CROQUIS!$C$10*CROQUIS!$C$14/2+-1.2)</f>
        <v>92.36</v>
      </c>
      <c r="S13">
        <f>IF(CROQUIS!$C$12="Y",CROQUIS!$C$16+CROQUIS!$C$11*CROQUIS!$C$14/2+(-1.2)+0.0,IF($A13&lt;=1,CROQUIS!$C$16+(0.02)*CROQUIS!$C$11*CROQUIS!$C$14,CROQUIS!$C$16+(0.98)*CROQUIS!$C$11*CROQUIS!$C$14))</f>
        <v>51.8</v>
      </c>
      <c r="T13">
        <f>IF(CROQUIS!$C$12="Y",IF($A13&lt;=1,CROQUIS!$C$15+(0.02)*CROQUIS!$C$10*CROQUIS!$C$14,CROQUIS!$C$15+(0.98)*CROQUIS!$C$10*CROQUIS!$C$14),CROQUIS!$C$15+CROQUIS!$C$10*CROQUIS!$C$14/2+1.2)</f>
        <v>92.36</v>
      </c>
      <c r="U13">
        <f>IF(CROQUIS!$C$12="Y",CROQUIS!$C$16+CROQUIS!$C$11*CROQUIS!$C$14/2+(1.2)+0.0,IF($A13&lt;=1,CROQUIS!$C$16+(0.02)*CROQUIS!$C$11*CROQUIS!$C$14,CROQUIS!$C$16+(0.98)*CROQUIS!$C$11*CROQUIS!$C$14))</f>
        <v>54.2</v>
      </c>
      <c r="V13">
        <f>IF(NERVADURA!$C$103&lt;2,-50,IF(CROQUIS!$C$12="Y",IF($A13&lt;=1,CROQUIS!$C$15+(0)*CROQUIS!$C$10*CROQUIS!$C$14,CROQUIS!$C$15+(IF(CROQUIS!$C$9="VOLADO",1,MIN(0.5,(DATOS!$C$17/2+NERVADURA!$C$138)/(NERVADURA!$C$16*100))))*CROQUIS!$C$10*CROQUIS!$C$14),CROQUIS!$C$15+CROQUIS!$C$10*CROQUIS!$C$14/2+2.6))</f>
        <v>-50</v>
      </c>
      <c r="W13">
        <f>IF(CROQUIS!$C$12="Y",CROQUIS!$C$16+CROQUIS!$C$11*CROQUIS!$C$14/2+(2.6)+0.0,IF($A13&lt;=1,CROQUIS!$C$16+(0)*CROQUIS!$C$11*CROQUIS!$C$14,CROQUIS!$C$16+(IF(CROQUIS!$C$9="VOLADO",1,MIN(0.5,(DATOS!$C$17/2+NERVADURA!$C$138)/(NERVADURA!$C$16*100))))*CROQUIS!$C$11*CROQUIS!$C$14))</f>
        <v>55.6</v>
      </c>
      <c r="X13">
        <f>IF(OR(NERVADURA!$C$103&lt;2,CROQUIS!$C$9="VOLADO"),-50,IF(CROQUIS!$C$12="Y",IF($A13&lt;=1,CROQUIS!$C$15+(IF(CROQUIS!$C$9="VOLADO",1,1-MIN(0.5,(DATOS!$C$17/2+NERVADURA!$C$138)/(NERVADURA!$C$16*100))))*CROQUIS!$C$10*CROQUIS!$C$14,CROQUIS!$C$15+(1)*CROQUIS!$C$10*CROQUIS!$C$14),CROQUIS!$C$15+CROQUIS!$C$10*CROQUIS!$C$14/2+2.6))</f>
        <v>-50</v>
      </c>
      <c r="Y13">
        <f>IF(CROQUIS!$C$12="Y",CROQUIS!$C$16+CROQUIS!$C$11*CROQUIS!$C$14/2+(2.6)+0.0,IF($A13&lt;=1,CROQUIS!$C$16+(IF(CROQUIS!$C$9="VOLADO",1,1-MIN(0.5,(DATOS!$C$17/2+NERVADURA!$C$138)/(NERVADURA!$C$16*100))))*CROQUIS!$C$11*CROQUIS!$C$14,CROQUIS!$C$16+(1)*CROQUIS!$C$11*CROQUIS!$C$14))</f>
        <v>55.6</v>
      </c>
      <c r="Z13">
        <f>CHOOSE(MIN(MAX($A13,1),7),CROQUIS!$C$15,CROQUIS!$C$15,CROQUIS!$C$15,(CROQUIS!$C$15+CROQUIS!$C$15+CROQUIS!$C$10*CROQUIS!$C$14)/2,CROQUIS!$C$15+CROQUIS!$C$10*CROQUIS!$C$14,CROQUIS!$C$15+CROQUIS!$C$10*CROQUIS!$C$14,CROQUIS!$C$15+CROQUIS!$C$10*CROQUIS!$C$14)</f>
        <v>94</v>
      </c>
      <c r="AA13">
        <f>CHOOSE(MIN(MAX($A13,1),7),CROQUIS!$C$16-5-1.5,CROQUIS!$C$16-5+1.5,CROQUIS!$C$16-5,CROQUIS!$C$16-5,CROQUIS!$C$16-5,CROQUIS!$C$16-5+1.5,CROQUIS!$C$16-5-1.5)</f>
        <v>12.4462268413918</v>
      </c>
      <c r="AB13">
        <f>CHOOSE(MIN(MAX($A13,1),7),CROQUIS!$C$15-5-1.5,CROQUIS!$C$15-5+1.5,CROQUIS!$C$15-5,CROQUIS!$C$15-5,CROQUIS!$C$15-5,CROQUIS!$C$15-5+1.5,CROQUIS!$C$15-5-1.5)</f>
        <v>8.5</v>
      </c>
      <c r="AC13">
        <f>CHOOSE(MIN(MAX($A13,1),7),CROQUIS!$C$16,CROQUIS!$C$16,CROQUIS!$C$16,(CROQUIS!$C$16+CROQUIS!$C$16+CROQUIS!$C$11*CROQUIS!$C$14)/2,CROQUIS!$C$16+CROQUIS!$C$11*CROQUIS!$C$14,CROQUIS!$C$16+CROQUIS!$C$11*CROQUIS!$C$14,CROQUIS!$C$16+CROQUIS!$C$11*CROQUIS!$C$14)</f>
        <v>90.0537731586082</v>
      </c>
      <c r="AD13">
        <f>CHOOSE(MIN(MAX($A13,1),7),CROQUIS!$C$15+(DATOS!$C$17/2+NERVADURA!$C$132)*CROQUIS!$C$14,CROQUIS!$C$15+(DATOS!$C$17/2+NERVADURA!$C$132)*CROQUIS!$C$14,CROQUIS!$C$15+(DATOS!$C$17/2+NERVADURA!$C$132)*CROQUIS!$C$14,(CROQUIS!$C$15+(DATOS!$C$17/2+NERVADURA!$C$132)*CROQUIS!$C$14+CROQUIS!$C$15+(DATOS!$C$17/2+NERVADURA!$C$132+DATOS!$C$16)*CROQUIS!$C$14)/2,CROQUIS!$C$15+(DATOS!$C$17/2+NERVADURA!$C$132+DATOS!$C$16)*CROQUIS!$C$14,CROQUIS!$C$15+(DATOS!$C$17/2+NERVADURA!$C$132+DATOS!$C$16)*CROQUIS!$C$14,CROQUIS!$C$15+(DATOS!$C$17/2+NERVADURA!$C$132+DATOS!$C$16)*CROQUIS!$C$14)</f>
        <v>27.9887031179395</v>
      </c>
      <c r="AE13">
        <f>CHOOSE(MIN(MAX($A13,1),7),CROQUIS!$C$16+CROQUIS!$C$11*CROQUIS!$C$14+4-1.5,CROQUIS!$C$16+CROQUIS!$C$11*CROQUIS!$C$14+4+1.5,CROQUIS!$C$16+CROQUIS!$C$11*CROQUIS!$C$14+4,CROQUIS!$C$16+CROQUIS!$C$11*CROQUIS!$C$14+4,CROQUIS!$C$16+CROQUIS!$C$11*CROQUIS!$C$14+4,CROQUIS!$C$16+CROQUIS!$C$11*CROQUIS!$C$14+4+1.5,CROQUIS!$C$16+CROQUIS!$C$11*CROQUIS!$C$14+4-1.5)</f>
        <v>95.5537731586082</v>
      </c>
      <c r="AF13">
        <f>CHOOSE(MIN(MAX($A13,1),9),-DATOS!$C$16/2,DATOS!$C$16/2,DATOS!$C$16/2,DATOS!$C$13/2,DATOS!$C$13/2,-DATOS!$C$13/2,-DATOS!$C$13/2,-DATOS!$C$16/2,-DATOS!$C$16/2)</f>
        <v>-5</v>
      </c>
      <c r="AG13">
        <f>CHOOSE(MIN(MAX($A13,1),9),DATOS!$C$15,DATOS!$C$15,DATOS!$C$12,DATOS!$C$12,0,0,DATOS!$C$12,DATOS!$C$12,DATOS!$C$15)</f>
        <v>0</v>
      </c>
      <c r="AT13">
        <f>CHOOSE(MIN(MAX($A13,1),7),-DATOS!$C$13/2,-DATOS!$C$13/2,-DATOS!$C$13/2,(-DATOS!$C$13/2+DATOS!$C$13/2)/2,DATOS!$C$13/2,DATOS!$C$13/2,DATOS!$C$13/2)</f>
        <v>5</v>
      </c>
      <c r="AU13">
        <f>CHOOSE(MIN(MAX($A13,1),7),-4-1.5,-4+1.5,-4,-4,-4,-4+1.5,-4-1.5)</f>
        <v>-2.5</v>
      </c>
      <c r="AV13">
        <f>CHOOSE(MIN(MAX($A13,1),7),-DATOS!$C$16/2,-DATOS!$C$16/2,-DATOS!$C$16/2,(-DATOS!$C$16/2+DATOS!$C$16/2)/2,DATOS!$C$16/2,DATOS!$C$16/2,DATOS!$C$16/2)</f>
        <v>35</v>
      </c>
      <c r="AW13">
        <f>CHOOSE(MIN(MAX($A13,1),7),DATOS!$C$15+4-1.5,DATOS!$C$15+4+1.5,DATOS!$C$15+4,DATOS!$C$15+4,DATOS!$C$15+4,DATOS!$C$15+4+1.5,DATOS!$C$15+4-1.5)</f>
        <v>30.5</v>
      </c>
      <c r="AX13">
        <f>CHOOSE(MIN(MAX($A13,1),7),DATOS!$C$16/2+4-1.5,DATOS!$C$16/2+4+1.5,DATOS!$C$16/2+4,DATOS!$C$16/2+4,DATOS!$C$16/2+4,DATOS!$C$16/2+4+1.5,DATOS!$C$16/2+4-1.5)</f>
        <v>40.5</v>
      </c>
      <c r="AY13">
        <f>CHOOSE(MIN(MAX($A13,1),7),0,0,0,(0+DATOS!$C$15)/2,DATOS!$C$15,DATOS!$C$15,DATOS!$C$15)</f>
        <v>25</v>
      </c>
      <c r="BN13">
        <f>CHOOSE(MIN(MAX($A13,1),7),0,0,0,(0+100)/2,100,100,100)</f>
        <v>100</v>
      </c>
      <c r="BO13">
        <f>CHOOSE(MIN(MAX($A13,1),7),-14-1.5,-14+1.5,-14,-14,-14,-14+1.5,-14-1.5)</f>
        <v>-12.5</v>
      </c>
      <c r="BP13">
        <f>CHOOSE(MIN(MAX($A13,1),9),-35,35,35,CROQUIS!$C$30/2,CROQUIS!$C$30/2,-CROQUIS!$C$30/2,-CROQUIS!$C$30/2,-35,-35)</f>
        <v>-10</v>
      </c>
      <c r="BQ13">
        <f>CHOOSE(MIN(MAX($A13,1),9),CROQUIS!$C$31,CROQUIS!$C$31,CROQUIS!$C$31-DATOS!$C$14,CROQUIS!$C$31-DATOS!$C$14,0,0,CROQUIS!$C$31-DATOS!$C$14,CROQUIS!$C$31-DATOS!$C$14,CROQUIS!$C$31)</f>
        <v>0</v>
      </c>
      <c r="BX13">
        <f>IF(CROQUIS!$C$32&lt;=1,0,-(CROQUIS!$C$30-2*DATOS!$C$22-2*INDEX(TABLAS!$C$52:$C$58,MATCH(DATOS!$C$113,TABLAS!$B$52:$B$58,0))-INDEX(TABLAS!$C$52:$C$58,MATCH(MAX(CROQUIS!$C$33,3),TABLAS!$B$52:$B$58,0)))/2+(MIN($A13,CROQUIS!$C$32)-1)*(CROQUIS!$C$30-2*DATOS!$C$22-2*INDEX(TABLAS!$C$52:$C$58,MATCH(DATOS!$C$113,TABLAS!$B$52:$B$58,0))-INDEX(TABLAS!$C$52:$C$58,MATCH(MAX(CROQUIS!$C$33,3),TABLAS!$B$52:$B$58,0)))/(CROQUIS!$C$32-1))</f>
        <v>4.415</v>
      </c>
      <c r="BY13">
        <f>IF(CROQUIS!$C$32=0,-100,DATOS!$C$22+INDEX(TABLAS!$C$52:$C$58,MATCH(DATOS!$C$113,TABLAS!$B$52:$B$58,0))+INDEX(TABLAS!$C$52:$C$58,MATCH(MAX(CROQUIS!$C$33,3),TABLAS!$B$52:$B$58,0))/2)</f>
        <v>5.585</v>
      </c>
      <c r="BZ13">
        <f>IF(CROQUIS!$C$34&lt;=1,0,-(CROQUIS!$C$30-2*DATOS!$C$22-2*INDEX(TABLAS!$C$52:$C$58,MATCH(DATOS!$C$113,TABLAS!$B$52:$B$58,0))-INDEX(TABLAS!$C$52:$C$58,MATCH(MAX(CROQUIS!$C$35,3),TABLAS!$B$52:$B$58,0)))/2+(MIN($A13,CROQUIS!$C$34)-1)*(CROQUIS!$C$30-2*DATOS!$C$22-2*INDEX(TABLAS!$C$52:$C$58,MATCH(DATOS!$C$113,TABLAS!$B$52:$B$58,0))-INDEX(TABLAS!$C$52:$C$58,MATCH(MAX(CROQUIS!$C$35,3),TABLAS!$B$52:$B$58,0)))/(CROQUIS!$C$34-1))</f>
        <v>4.415</v>
      </c>
      <c r="CA13">
        <f>IF(CROQUIS!$C$34=0,-100,CROQUIS!$C$31-DATOS!$C$22-INDEX(TABLAS!$C$52:$C$58,MATCH(DATOS!$C$113,TABLAS!$B$52:$B$58,0))-INDEX(TABLAS!$C$52:$C$58,MATCH(MAX(CROQUIS!$C$35,3),TABLAS!$B$52:$B$58,0))/2)</f>
        <v>39.415</v>
      </c>
      <c r="CB13">
        <f>CHOOSE(MIN(MAX($A13,1),7),-CROQUIS!$C$30/2,-CROQUIS!$C$30/2,-CROQUIS!$C$30/2,(-CROQUIS!$C$30/2+CROQUIS!$C$30/2)/2,CROQUIS!$C$30/2,CROQUIS!$C$30/2,CROQUIS!$C$30/2)</f>
        <v>10</v>
      </c>
      <c r="CC13">
        <f>CHOOSE(MIN(MAX($A13,1),7),-5-1.5,-5+1.5,-5,-5,-5,-5+1.5,-5-1.5)</f>
        <v>-3.5</v>
      </c>
      <c r="CD13">
        <f>CHOOSE(MIN(MAX($A13,1),7),38-1.5,38+1.5,38,38,38,38+1.5,38-1.5)</f>
        <v>39.5</v>
      </c>
      <c r="CE13">
        <f>CHOOSE(MIN(MAX($A13,1),7),0,0,0,(0+CROQUIS!$C$31)/2,CROQUIS!$C$31,CROQUIS!$C$31,CROQUIS!$C$31)</f>
        <v>45</v>
      </c>
      <c r="DE13" t="n">
        <v>0</v>
      </c>
      <c r="DF13" t="n">
        <v>0</v>
      </c>
      <c r="DO13" t="n">
        <v>0</v>
      </c>
      <c r="DP13" t="n">
        <v>9.949999999999999</v>
      </c>
      <c r="DQ13" t="inlineStr">
        <is>
          <t>F80007 N+3.00</t>
        </is>
      </c>
      <c r="DR13" t="inlineStr">
        <is>
          <t>N+3.00</t>
        </is>
      </c>
      <c r="DS13" t="n">
        <v>0</v>
      </c>
      <c r="DT13" t="n">
        <v>6.948</v>
      </c>
      <c r="DU13" t="n">
        <v>4.327</v>
      </c>
      <c r="DV13" t="n">
        <v>6.948</v>
      </c>
      <c r="DW13" t="n">
        <v>4.327</v>
      </c>
      <c r="DX13" t="n">
        <v>7.871</v>
      </c>
      <c r="DY13" t="n">
        <v>0</v>
      </c>
      <c r="DZ13" t="n">
        <v>7.871</v>
      </c>
      <c r="EA13" t="n">
        <v>0</v>
      </c>
      <c r="EB13" t="n">
        <v>6.948</v>
      </c>
      <c r="EC13" t="n">
        <v>0</v>
      </c>
      <c r="ED13" t="n">
        <v>6.948</v>
      </c>
      <c r="EE13" t="n">
        <v>0</v>
      </c>
      <c r="EF13" t="n">
        <v>6.948</v>
      </c>
      <c r="EG13" t="n">
        <v>0</v>
      </c>
      <c r="EH13" t="n">
        <v>6.948</v>
      </c>
      <c r="EI13" t="n">
        <v>0</v>
      </c>
      <c r="EJ13" t="n">
        <v>6.948</v>
      </c>
      <c r="EK13" t="n">
        <v>0</v>
      </c>
      <c r="EL13" t="n">
        <v>6.948</v>
      </c>
      <c r="EM13" t="n">
        <v>0</v>
      </c>
      <c r="EN13" t="n">
        <v>6.948</v>
      </c>
      <c r="EO13" t="n">
        <v>0</v>
      </c>
      <c r="EP13" t="n">
        <v>6.948</v>
      </c>
      <c r="EQ13" t="n">
        <v>0</v>
      </c>
      <c r="ER13" t="n">
        <v>6.948</v>
      </c>
      <c r="ES13" t="n">
        <v>0</v>
      </c>
      <c r="ET13" t="n">
        <v>6.948</v>
      </c>
      <c r="EU13" t="n">
        <v>0</v>
      </c>
      <c r="EV13" t="n">
        <v>6.948</v>
      </c>
      <c r="EW13" t="n">
        <v>0</v>
      </c>
      <c r="EX13" t="n">
        <v>6.948</v>
      </c>
      <c r="EY13" t="n">
        <v>0</v>
      </c>
      <c r="EZ13" t="n">
        <v>6.948</v>
      </c>
      <c r="FA13" t="n">
        <v>0</v>
      </c>
      <c r="FB13" t="n">
        <v>6.948</v>
      </c>
      <c r="FD13" t="inlineStr">
        <is>
          <t>NP-06</t>
        </is>
      </c>
      <c r="FE13" t="inlineStr">
        <is>
          <t>N+3.00</t>
        </is>
      </c>
      <c r="FF13" t="n">
        <v>0</v>
      </c>
      <c r="FG13" t="n">
        <v>7.871</v>
      </c>
      <c r="FH13" t="n">
        <v>4.327</v>
      </c>
      <c r="FI13" t="n">
        <v>7.871</v>
      </c>
      <c r="FK13">
        <f>IF(INDEX($DR$8:$DR$39,MATCH(CROQUIS!$C$7,$DQ$8:$DQ$39,0))="N+3.00",INDEX($EC$8:$EC$39,MATCH(CROQUIS!$C$7,$DQ$8:$DQ$39,0)),-100)</f>
        <v>0</v>
      </c>
      <c r="FL13">
        <f>IF(INDEX($DR$8:$DR$39,MATCH(CROQUIS!$C$7,$DQ$8:$DQ$39,0))="N+3.00",INDEX($ED$8:$ED$39,MATCH(CROQUIS!$C$7,$DQ$8:$DQ$39,0)),-100)</f>
        <v>17.446</v>
      </c>
      <c r="FO13">
        <f>IF(INDEX($DR$8:$DR$39,MATCH(CROQUIS!$C$7,$DQ$8:$DQ$39,0))="N+6.00",INDEX($EC$8:$EC$39,MATCH(CROQUIS!$C$7,$DQ$8:$DQ$39,0)),-100)</f>
        <v>-100</v>
      </c>
      <c r="FP13">
        <f>IF(INDEX($DR$8:$DR$39,MATCH(CROQUIS!$C$7,$DQ$8:$DQ$39,0))="N+6.00",INDEX($ED$8:$ED$39,MATCH(CROQUIS!$C$7,$DQ$8:$DQ$39,0)),-100)</f>
        <v>-100</v>
      </c>
      <c r="FT13" t="inlineStr">
        <is>
          <t>F80007</t>
        </is>
      </c>
      <c r="FU13" t="n">
        <v>2.163</v>
      </c>
      <c r="FV13" t="n">
        <v>7.41</v>
      </c>
      <c r="FW13" t="inlineStr">
        <is>
          <t>N+3.00</t>
        </is>
      </c>
    </row>
    <row r="14">
      <c r="A14" t="n">
        <v>7</v>
      </c>
      <c r="B14">
        <f>CHOOSE(MIN(MAX($A14,1),5),CROQUIS!$C$15,CROQUIS!$C$15+CROQUIS!$C$10*CROQUIS!$C$14,CROQUIS!$C$15+CROQUIS!$C$10*CROQUIS!$C$14,CROQUIS!$C$15,CROQUIS!$C$15)</f>
        <v>12</v>
      </c>
      <c r="C14">
        <f>CHOOSE(MIN(MAX($A14,1),5),CROQUIS!$C$16,CROQUIS!$C$16,CROQUIS!$C$16+CROQUIS!$C$11*CROQUIS!$C$14,CROQUIS!$C$16+CROQUIS!$C$11*CROQUIS!$C$14,CROQUIS!$C$16)</f>
        <v>15.9462268413918</v>
      </c>
      <c r="D14">
        <f>CHOOSE(MIN(MAX($A14,1),5),CROQUIS!$C$15+DATOS!$C$17/2*CROQUIS!$C$14,CROQUIS!$C$15+CROQUIS!$C$10*CROQUIS!$C$14-DATOS!$C$17/2*CROQUIS!$C$14,CROQUIS!$C$15+CROQUIS!$C$10*CROQUIS!$C$14-DATOS!$C$17/2*CROQUIS!$C$14,CROQUIS!$C$15+DATOS!$C$17/2*CROQUIS!$C$14,CROQUIS!$C$15+DATOS!$C$17/2*CROQUIS!$C$14)</f>
        <v>13.3895164934478</v>
      </c>
      <c r="E14">
        <f>CHOOSE(MIN(MAX($A14,1),5),CROQUIS!$C$16+DATOS!$C$17/2*CROQUIS!$C$14,CROQUIS!$C$16+DATOS!$C$17/2*CROQUIS!$C$14,CROQUIS!$C$16+CROQUIS!$C$11*CROQUIS!$C$14-DATOS!$C$17/2*CROQUIS!$C$14,CROQUIS!$C$16+CROQUIS!$C$11*CROQUIS!$C$14-DATOS!$C$17/2*CROQUIS!$C$14,CROQUIS!$C$16+DATOS!$C$17/2*CROQUIS!$C$14)</f>
        <v>17.3357433348396</v>
      </c>
      <c r="F14">
        <f>IF(NERVADURA!$C$131=0,CROQUIS!$C$15+CROQUIS!$C$10*CROQUIS!$C$14/2,CROQUIS!$C$15+(DATOS!$C$17/2+NERVADURA!$C$132+INT(MIN(INT(($A14-1)/2),MAX(2*NERVADURA!$C$131-1,0))/2)*DATOS!$C$16+MOD(MIN(INT(($A14-1)/2),MAX(2*NERVADURA!$C$131-1,0)),2)*DATOS!$C$11)*CROQUIS!$C$14)</f>
        <v>39.1048350655219</v>
      </c>
      <c r="G14">
        <f>IF(NERVADURA!$C$131=0,CROQUIS!$C$16+CROQUIS!$C$11*CROQUIS!$C$14/2,CROQUIS!$C$16+IF(MOD(MIN(INT(($A14-1)/2),MAX(2*NERVADURA!$C$131-1,0)),2)=0,IF(IF(INT(($A14-1)/2)&gt;MAX(2*NERVADURA!$C$131-1,0),1,MOD($A14-1,2))=0,(DATOS!$C$17/2+NERVADURA!$C$134),(CROQUIS!$C$11-DATOS!$C$17/2-NERVADURA!$C$134)),IF(IF(INT(($A14-1)/2)&gt;MAX(2*NERVADURA!$C$131-1,0),1,MOD($A14-1,2))=0,(CROQUIS!$C$11-DATOS!$C$17/2-NERVADURA!$C$134),(DATOS!$C$17/2+NERVADURA!$C$134)))*CROQUIS!$C$14)</f>
        <v>84.495707184817</v>
      </c>
      <c r="H14">
        <f>IF(NERVADURA!$C$133=0,CROQUIS!$C$15+CROQUIS!$C$10*CROQUIS!$C$14/2,CROQUIS!$C$15+IF(MOD(MIN(INT(($A14-1)/2),MAX(2*NERVADURA!$C$133-1,0)),2)=0,IF(IF(INT(($A14-1)/2)&gt;MAX(2*NERVADURA!$C$133-1,0),1,MOD($A14-1,2))=0,(DATOS!$C$17/2+NERVADURA!$C$132),(CROQUIS!$C$10-DATOS!$C$17/2-NERVADURA!$C$132)),IF(IF(INT(($A14-1)/2)&gt;MAX(2*NERVADURA!$C$133-1,0),1,MOD($A14-1,2))=0,(CROQUIS!$C$10-DATOS!$C$17/2-NERVADURA!$C$132),(DATOS!$C$17/2+NERVADURA!$C$132)))*CROQUIS!$C$14)</f>
        <v>90.9801174875734</v>
      </c>
      <c r="I14">
        <f>IF(NERVADURA!$C$133=0,CROQUIS!$C$16+CROQUIS!$C$11*CROQUIS!$C$14/2,CROQUIS!$C$16+(DATOS!$C$17/2+NERVADURA!$C$134+INT(MIN(INT(($A14-1)/2),MAX(2*NERVADURA!$C$133-1,0))/2)*DATOS!$C$16+MOD(MIN(INT(($A14-1)/2),MAX(2*NERVADURA!$C$133-1,0)),2)*DATOS!$C$11)*CROQUIS!$C$14)</f>
        <v>45.5892453682784</v>
      </c>
      <c r="Z14">
        <f>CHOOSE(MIN(MAX($A14,1),7),CROQUIS!$C$15,CROQUIS!$C$15,CROQUIS!$C$15,(CROQUIS!$C$15+CROQUIS!$C$15+CROQUIS!$C$10*CROQUIS!$C$14)/2,CROQUIS!$C$15+CROQUIS!$C$10*CROQUIS!$C$14,CROQUIS!$C$15+CROQUIS!$C$10*CROQUIS!$C$14,CROQUIS!$C$15+CROQUIS!$C$10*CROQUIS!$C$14)</f>
        <v>94</v>
      </c>
      <c r="AA14">
        <f>CHOOSE(MIN(MAX($A14,1),7),CROQUIS!$C$16-5-1.5,CROQUIS!$C$16-5+1.5,CROQUIS!$C$16-5,CROQUIS!$C$16-5,CROQUIS!$C$16-5,CROQUIS!$C$16-5+1.5,CROQUIS!$C$16-5-1.5)</f>
        <v>9.44622684139178</v>
      </c>
      <c r="AB14">
        <f>CHOOSE(MIN(MAX($A14,1),7),CROQUIS!$C$15-5-1.5,CROQUIS!$C$15-5+1.5,CROQUIS!$C$15-5,CROQUIS!$C$15-5,CROQUIS!$C$15-5,CROQUIS!$C$15-5+1.5,CROQUIS!$C$15-5-1.5)</f>
        <v>5.5</v>
      </c>
      <c r="AC14">
        <f>CHOOSE(MIN(MAX($A14,1),7),CROQUIS!$C$16,CROQUIS!$C$16,CROQUIS!$C$16,(CROQUIS!$C$16+CROQUIS!$C$16+CROQUIS!$C$11*CROQUIS!$C$14)/2,CROQUIS!$C$16+CROQUIS!$C$11*CROQUIS!$C$14,CROQUIS!$C$16+CROQUIS!$C$11*CROQUIS!$C$14,CROQUIS!$C$16+CROQUIS!$C$11*CROQUIS!$C$14)</f>
        <v>90.0537731586082</v>
      </c>
      <c r="AD14">
        <f>CHOOSE(MIN(MAX($A14,1),7),CROQUIS!$C$15+(DATOS!$C$17/2+NERVADURA!$C$132)*CROQUIS!$C$14,CROQUIS!$C$15+(DATOS!$C$17/2+NERVADURA!$C$132)*CROQUIS!$C$14,CROQUIS!$C$15+(DATOS!$C$17/2+NERVADURA!$C$132)*CROQUIS!$C$14,(CROQUIS!$C$15+(DATOS!$C$17/2+NERVADURA!$C$132)*CROQUIS!$C$14+CROQUIS!$C$15+(DATOS!$C$17/2+NERVADURA!$C$132+DATOS!$C$16)*CROQUIS!$C$14)/2,CROQUIS!$C$15+(DATOS!$C$17/2+NERVADURA!$C$132+DATOS!$C$16)*CROQUIS!$C$14,CROQUIS!$C$15+(DATOS!$C$17/2+NERVADURA!$C$132+DATOS!$C$16)*CROQUIS!$C$14,CROQUIS!$C$15+(DATOS!$C$17/2+NERVADURA!$C$132+DATOS!$C$16)*CROQUIS!$C$14)</f>
        <v>27.9887031179395</v>
      </c>
      <c r="AE14">
        <f>CHOOSE(MIN(MAX($A14,1),7),CROQUIS!$C$16+CROQUIS!$C$11*CROQUIS!$C$14+4-1.5,CROQUIS!$C$16+CROQUIS!$C$11*CROQUIS!$C$14+4+1.5,CROQUIS!$C$16+CROQUIS!$C$11*CROQUIS!$C$14+4,CROQUIS!$C$16+CROQUIS!$C$11*CROQUIS!$C$14+4,CROQUIS!$C$16+CROQUIS!$C$11*CROQUIS!$C$14+4,CROQUIS!$C$16+CROQUIS!$C$11*CROQUIS!$C$14+4+1.5,CROQUIS!$C$16+CROQUIS!$C$11*CROQUIS!$C$14+4-1.5)</f>
        <v>92.5537731586082</v>
      </c>
      <c r="AF14">
        <f>CHOOSE(MIN(MAX($A14,1),9),-DATOS!$C$16/2,DATOS!$C$16/2,DATOS!$C$16/2,DATOS!$C$13/2,DATOS!$C$13/2,-DATOS!$C$13/2,-DATOS!$C$13/2,-DATOS!$C$16/2,-DATOS!$C$16/2)</f>
        <v>-5</v>
      </c>
      <c r="AG14">
        <f>CHOOSE(MIN(MAX($A14,1),9),DATOS!$C$15,DATOS!$C$15,DATOS!$C$12,DATOS!$C$12,0,0,DATOS!$C$12,DATOS!$C$12,DATOS!$C$15)</f>
        <v>20</v>
      </c>
      <c r="AT14">
        <f>CHOOSE(MIN(MAX($A14,1),7),-DATOS!$C$13/2,-DATOS!$C$13/2,-DATOS!$C$13/2,(-DATOS!$C$13/2+DATOS!$C$13/2)/2,DATOS!$C$13/2,DATOS!$C$13/2,DATOS!$C$13/2)</f>
        <v>5</v>
      </c>
      <c r="AU14">
        <f>CHOOSE(MIN(MAX($A14,1),7),-4-1.5,-4+1.5,-4,-4,-4,-4+1.5,-4-1.5)</f>
        <v>-5.5</v>
      </c>
      <c r="AV14">
        <f>CHOOSE(MIN(MAX($A14,1),7),-DATOS!$C$16/2,-DATOS!$C$16/2,-DATOS!$C$16/2,(-DATOS!$C$16/2+DATOS!$C$16/2)/2,DATOS!$C$16/2,DATOS!$C$16/2,DATOS!$C$16/2)</f>
        <v>35</v>
      </c>
      <c r="AW14">
        <f>CHOOSE(MIN(MAX($A14,1),7),DATOS!$C$15+4-1.5,DATOS!$C$15+4+1.5,DATOS!$C$15+4,DATOS!$C$15+4,DATOS!$C$15+4,DATOS!$C$15+4+1.5,DATOS!$C$15+4-1.5)</f>
        <v>27.5</v>
      </c>
      <c r="AX14">
        <f>CHOOSE(MIN(MAX($A14,1),7),DATOS!$C$16/2+4-1.5,DATOS!$C$16/2+4+1.5,DATOS!$C$16/2+4,DATOS!$C$16/2+4,DATOS!$C$16/2+4,DATOS!$C$16/2+4+1.5,DATOS!$C$16/2+4-1.5)</f>
        <v>37.5</v>
      </c>
      <c r="AY14">
        <f>CHOOSE(MIN(MAX($A14,1),7),0,0,0,(0+DATOS!$C$15)/2,DATOS!$C$15,DATOS!$C$15,DATOS!$C$15)</f>
        <v>25</v>
      </c>
      <c r="BN14">
        <f>CHOOSE(MIN(MAX($A14,1),7),0,0,0,(0+100)/2,100,100,100)</f>
        <v>100</v>
      </c>
      <c r="BO14">
        <f>CHOOSE(MIN(MAX($A14,1),7),-14-1.5,-14+1.5,-14,-14,-14,-14+1.5,-14-1.5)</f>
        <v>-15.5</v>
      </c>
      <c r="BP14">
        <f>CHOOSE(MIN(MAX($A14,1),9),-35,35,35,CROQUIS!$C$30/2,CROQUIS!$C$30/2,-CROQUIS!$C$30/2,-CROQUIS!$C$30/2,-35,-35)</f>
        <v>-10</v>
      </c>
      <c r="BQ14">
        <f>CHOOSE(MIN(MAX($A14,1),9),CROQUIS!$C$31,CROQUIS!$C$31,CROQUIS!$C$31-DATOS!$C$14,CROQUIS!$C$31-DATOS!$C$14,0,0,CROQUIS!$C$31-DATOS!$C$14,CROQUIS!$C$31-DATOS!$C$14,CROQUIS!$C$31)</f>
        <v>40</v>
      </c>
      <c r="BX14">
        <f>IF(CROQUIS!$C$32&lt;=1,0,-(CROQUIS!$C$30-2*DATOS!$C$22-2*INDEX(TABLAS!$C$52:$C$58,MATCH(DATOS!$C$113,TABLAS!$B$52:$B$58,0))-INDEX(TABLAS!$C$52:$C$58,MATCH(MAX(CROQUIS!$C$33,3),TABLAS!$B$52:$B$58,0)))/2+(MIN($A14,CROQUIS!$C$32)-1)*(CROQUIS!$C$30-2*DATOS!$C$22-2*INDEX(TABLAS!$C$52:$C$58,MATCH(DATOS!$C$113,TABLAS!$B$52:$B$58,0))-INDEX(TABLAS!$C$52:$C$58,MATCH(MAX(CROQUIS!$C$33,3),TABLAS!$B$52:$B$58,0)))/(CROQUIS!$C$32-1))</f>
        <v>4.415</v>
      </c>
      <c r="BY14">
        <f>IF(CROQUIS!$C$32=0,-100,DATOS!$C$22+INDEX(TABLAS!$C$52:$C$58,MATCH(DATOS!$C$113,TABLAS!$B$52:$B$58,0))+INDEX(TABLAS!$C$52:$C$58,MATCH(MAX(CROQUIS!$C$33,3),TABLAS!$B$52:$B$58,0))/2)</f>
        <v>5.585</v>
      </c>
      <c r="BZ14">
        <f>IF(CROQUIS!$C$34&lt;=1,0,-(CROQUIS!$C$30-2*DATOS!$C$22-2*INDEX(TABLAS!$C$52:$C$58,MATCH(DATOS!$C$113,TABLAS!$B$52:$B$58,0))-INDEX(TABLAS!$C$52:$C$58,MATCH(MAX(CROQUIS!$C$35,3),TABLAS!$B$52:$B$58,0)))/2+(MIN($A14,CROQUIS!$C$34)-1)*(CROQUIS!$C$30-2*DATOS!$C$22-2*INDEX(TABLAS!$C$52:$C$58,MATCH(DATOS!$C$113,TABLAS!$B$52:$B$58,0))-INDEX(TABLAS!$C$52:$C$58,MATCH(MAX(CROQUIS!$C$35,3),TABLAS!$B$52:$B$58,0)))/(CROQUIS!$C$34-1))</f>
        <v>4.415</v>
      </c>
      <c r="CA14">
        <f>IF(CROQUIS!$C$34=0,-100,CROQUIS!$C$31-DATOS!$C$22-INDEX(TABLAS!$C$52:$C$58,MATCH(DATOS!$C$113,TABLAS!$B$52:$B$58,0))-INDEX(TABLAS!$C$52:$C$58,MATCH(MAX(CROQUIS!$C$35,3),TABLAS!$B$52:$B$58,0))/2)</f>
        <v>39.415</v>
      </c>
      <c r="CB14">
        <f>CHOOSE(MIN(MAX($A14,1),7),-CROQUIS!$C$30/2,-CROQUIS!$C$30/2,-CROQUIS!$C$30/2,(-CROQUIS!$C$30/2+CROQUIS!$C$30/2)/2,CROQUIS!$C$30/2,CROQUIS!$C$30/2,CROQUIS!$C$30/2)</f>
        <v>10</v>
      </c>
      <c r="CC14">
        <f>CHOOSE(MIN(MAX($A14,1),7),-5-1.5,-5+1.5,-5,-5,-5,-5+1.5,-5-1.5)</f>
        <v>-6.5</v>
      </c>
      <c r="CD14">
        <f>CHOOSE(MIN(MAX($A14,1),7),38-1.5,38+1.5,38,38,38,38+1.5,38-1.5)</f>
        <v>36.5</v>
      </c>
      <c r="CE14">
        <f>CHOOSE(MIN(MAX($A14,1),7),0,0,0,(0+CROQUIS!$C$31)/2,CROQUIS!$C$31,CROQUIS!$C$31,CROQUIS!$C$31)</f>
        <v>45</v>
      </c>
      <c r="CW14" t="n">
        <v>0</v>
      </c>
      <c r="CX14" t="n">
        <v>2.921</v>
      </c>
      <c r="CY14" t="n">
        <v>0</v>
      </c>
      <c r="CZ14" t="n">
        <v>6.948</v>
      </c>
      <c r="DA14" t="n">
        <v>4.327</v>
      </c>
      <c r="DB14" t="n">
        <v>2.921</v>
      </c>
      <c r="DC14" t="n">
        <v>0.075</v>
      </c>
      <c r="DD14" t="n">
        <v>7.946</v>
      </c>
      <c r="DE14" t="n">
        <v>0</v>
      </c>
      <c r="DF14" t="n">
        <v>1.919</v>
      </c>
      <c r="DG14" t="n">
        <v>3.427</v>
      </c>
      <c r="DH14" t="n">
        <v>14.021</v>
      </c>
      <c r="DI14" t="n">
        <v>4.327</v>
      </c>
      <c r="DJ14" t="n">
        <v>5.946</v>
      </c>
      <c r="DK14" t="n">
        <v>0</v>
      </c>
      <c r="DL14" t="n">
        <v>14.021</v>
      </c>
      <c r="DM14" t="n">
        <v>0.075</v>
      </c>
      <c r="DN14" t="n">
        <v>7.946</v>
      </c>
      <c r="DO14" t="n">
        <v>0</v>
      </c>
      <c r="DP14" t="n">
        <v>11.986</v>
      </c>
      <c r="DQ14" t="inlineStr">
        <is>
          <t>F80008 N+3.00</t>
        </is>
      </c>
      <c r="DR14" t="inlineStr">
        <is>
          <t>N+3.00</t>
        </is>
      </c>
      <c r="DS14" t="n">
        <v>4.327</v>
      </c>
      <c r="DT14" t="n">
        <v>14.021</v>
      </c>
      <c r="DU14" t="n">
        <v>4.327</v>
      </c>
      <c r="DV14" t="n">
        <v>5.946</v>
      </c>
      <c r="DW14" t="n">
        <v>5.923</v>
      </c>
      <c r="DX14" t="n">
        <v>5.946</v>
      </c>
      <c r="DY14" t="n">
        <v>5.923</v>
      </c>
      <c r="DZ14" t="n">
        <v>6.948</v>
      </c>
      <c r="EA14" t="n">
        <v>5.46</v>
      </c>
      <c r="EB14" t="n">
        <v>6.948</v>
      </c>
      <c r="EC14" t="n">
        <v>5.46</v>
      </c>
      <c r="ED14" t="n">
        <v>8.91</v>
      </c>
      <c r="EE14" t="n">
        <v>7.35</v>
      </c>
      <c r="EF14" t="n">
        <v>8.91</v>
      </c>
      <c r="EG14" t="n">
        <v>7.35</v>
      </c>
      <c r="EH14" t="n">
        <v>9.949999999999999</v>
      </c>
      <c r="EI14" t="n">
        <v>5.422</v>
      </c>
      <c r="EJ14" t="n">
        <v>9.949999999999999</v>
      </c>
      <c r="EK14" t="n">
        <v>5.422</v>
      </c>
      <c r="EL14" t="n">
        <v>15.447</v>
      </c>
      <c r="EM14" t="n">
        <v>4.925</v>
      </c>
      <c r="EN14" t="n">
        <v>15.447</v>
      </c>
      <c r="EO14" t="n">
        <v>4.925</v>
      </c>
      <c r="EP14" t="n">
        <v>17.446</v>
      </c>
      <c r="EQ14" t="n">
        <v>3.029</v>
      </c>
      <c r="ER14" t="n">
        <v>17.446</v>
      </c>
      <c r="ES14" t="n">
        <v>3.029</v>
      </c>
      <c r="ET14" t="n">
        <v>15.846</v>
      </c>
      <c r="EU14" t="n">
        <v>3.427</v>
      </c>
      <c r="EV14" t="n">
        <v>15.846</v>
      </c>
      <c r="EW14" t="n">
        <v>3.427</v>
      </c>
      <c r="EX14" t="n">
        <v>14.021</v>
      </c>
      <c r="EY14" t="n">
        <v>4.327</v>
      </c>
      <c r="EZ14" t="n">
        <v>14.021</v>
      </c>
      <c r="FA14" t="n">
        <v>4.327</v>
      </c>
      <c r="FB14" t="n">
        <v>14.021</v>
      </c>
      <c r="FD14" t="inlineStr">
        <is>
          <t>NP-07</t>
        </is>
      </c>
      <c r="FE14" t="inlineStr">
        <is>
          <t>N+3.00</t>
        </is>
      </c>
      <c r="FF14" t="n">
        <v>5.441</v>
      </c>
      <c r="FG14" t="n">
        <v>8.91</v>
      </c>
      <c r="FH14" t="n">
        <v>7.35</v>
      </c>
      <c r="FI14" t="n">
        <v>8.91</v>
      </c>
      <c r="FK14">
        <f>IF(INDEX($DR$8:$DR$39,MATCH(CROQUIS!$C$7,$DQ$8:$DQ$39,0))="N+3.00",INDEX($EE$8:$EE$39,MATCH(CROQUIS!$C$7,$DQ$8:$DQ$39,0)),-100)</f>
        <v>0</v>
      </c>
      <c r="FL14">
        <f>IF(INDEX($DR$8:$DR$39,MATCH(CROQUIS!$C$7,$DQ$8:$DQ$39,0))="N+3.00",INDEX($EF$8:$EF$39,MATCH(CROQUIS!$C$7,$DQ$8:$DQ$39,0)),-100)</f>
        <v>17.446</v>
      </c>
      <c r="FO14">
        <f>IF(INDEX($DR$8:$DR$39,MATCH(CROQUIS!$C$7,$DQ$8:$DQ$39,0))="N+6.00",INDEX($EE$8:$EE$39,MATCH(CROQUIS!$C$7,$DQ$8:$DQ$39,0)),-100)</f>
        <v>-100</v>
      </c>
      <c r="FP14">
        <f>IF(INDEX($DR$8:$DR$39,MATCH(CROQUIS!$C$7,$DQ$8:$DQ$39,0))="N+6.00",INDEX($EF$8:$EF$39,MATCH(CROQUIS!$C$7,$DQ$8:$DQ$39,0)),-100)</f>
        <v>-100</v>
      </c>
      <c r="FT14" t="inlineStr">
        <is>
          <t>F80008</t>
        </is>
      </c>
      <c r="FU14" t="n">
        <v>4.874</v>
      </c>
      <c r="FV14" t="n">
        <v>11.986</v>
      </c>
      <c r="FW14" t="inlineStr">
        <is>
          <t>N+3.00</t>
        </is>
      </c>
    </row>
    <row r="15">
      <c r="A15" t="n">
        <v>8</v>
      </c>
      <c r="B15">
        <f>CHOOSE(MIN(MAX($A15,1),5),CROQUIS!$C$15,CROQUIS!$C$15+CROQUIS!$C$10*CROQUIS!$C$14,CROQUIS!$C$15+CROQUIS!$C$10*CROQUIS!$C$14,CROQUIS!$C$15,CROQUIS!$C$15)</f>
        <v>12</v>
      </c>
      <c r="C15">
        <f>CHOOSE(MIN(MAX($A15,1),5),CROQUIS!$C$16,CROQUIS!$C$16,CROQUIS!$C$16+CROQUIS!$C$11*CROQUIS!$C$14,CROQUIS!$C$16+CROQUIS!$C$11*CROQUIS!$C$14,CROQUIS!$C$16)</f>
        <v>15.9462268413918</v>
      </c>
      <c r="D15">
        <f>CHOOSE(MIN(MAX($A15,1),5),CROQUIS!$C$15+DATOS!$C$17/2*CROQUIS!$C$14,CROQUIS!$C$15+CROQUIS!$C$10*CROQUIS!$C$14-DATOS!$C$17/2*CROQUIS!$C$14,CROQUIS!$C$15+CROQUIS!$C$10*CROQUIS!$C$14-DATOS!$C$17/2*CROQUIS!$C$14,CROQUIS!$C$15+DATOS!$C$17/2*CROQUIS!$C$14,CROQUIS!$C$15+DATOS!$C$17/2*CROQUIS!$C$14)</f>
        <v>13.3895164934478</v>
      </c>
      <c r="E15">
        <f>CHOOSE(MIN(MAX($A15,1),5),CROQUIS!$C$16+DATOS!$C$17/2*CROQUIS!$C$14,CROQUIS!$C$16+DATOS!$C$17/2*CROQUIS!$C$14,CROQUIS!$C$16+CROQUIS!$C$11*CROQUIS!$C$14-DATOS!$C$17/2*CROQUIS!$C$14,CROQUIS!$C$16+CROQUIS!$C$11*CROQUIS!$C$14-DATOS!$C$17/2*CROQUIS!$C$14,CROQUIS!$C$16+DATOS!$C$17/2*CROQUIS!$C$14)</f>
        <v>17.3357433348396</v>
      </c>
      <c r="F15">
        <f>IF(NERVADURA!$C$131=0,CROQUIS!$C$15+CROQUIS!$C$10*CROQUIS!$C$14/2,CROQUIS!$C$15+(DATOS!$C$17/2+NERVADURA!$C$132+INT(MIN(INT(($A15-1)/2),MAX(2*NERVADURA!$C$131-1,0))/2)*DATOS!$C$16+MOD(MIN(INT(($A15-1)/2),MAX(2*NERVADURA!$C$131-1,0)),2)*DATOS!$C$11)*CROQUIS!$C$14)</f>
        <v>39.1048350655219</v>
      </c>
      <c r="G15">
        <f>IF(NERVADURA!$C$131=0,CROQUIS!$C$16+CROQUIS!$C$11*CROQUIS!$C$14/2,CROQUIS!$C$16+IF(MOD(MIN(INT(($A15-1)/2),MAX(2*NERVADURA!$C$131-1,0)),2)=0,IF(IF(INT(($A15-1)/2)&gt;MAX(2*NERVADURA!$C$131-1,0),1,MOD($A15-1,2))=0,(DATOS!$C$17/2+NERVADURA!$C$134),(CROQUIS!$C$11-DATOS!$C$17/2-NERVADURA!$C$134)),IF(IF(INT(($A15-1)/2)&gt;MAX(2*NERVADURA!$C$131-1,0),1,MOD($A15-1,2))=0,(CROQUIS!$C$11-DATOS!$C$17/2-NERVADURA!$C$134),(DATOS!$C$17/2+NERVADURA!$C$134)))*CROQUIS!$C$14)</f>
        <v>21.504292815183</v>
      </c>
      <c r="H15">
        <f>IF(NERVADURA!$C$133=0,CROQUIS!$C$15+CROQUIS!$C$10*CROQUIS!$C$14/2,CROQUIS!$C$15+IF(MOD(MIN(INT(($A15-1)/2),MAX(2*NERVADURA!$C$133-1,0)),2)=0,IF(IF(INT(($A15-1)/2)&gt;MAX(2*NERVADURA!$C$133-1,0),1,MOD($A15-1,2))=0,(DATOS!$C$17/2+NERVADURA!$C$132),(CROQUIS!$C$10-DATOS!$C$17/2-NERVADURA!$C$132)),IF(IF(INT(($A15-1)/2)&gt;MAX(2*NERVADURA!$C$133-1,0),1,MOD($A15-1,2))=0,(CROQUIS!$C$10-DATOS!$C$17/2-NERVADURA!$C$132),(DATOS!$C$17/2+NERVADURA!$C$132)))*CROQUIS!$C$14)</f>
        <v>15.0198825124266</v>
      </c>
      <c r="I15">
        <f>IF(NERVADURA!$C$133=0,CROQUIS!$C$16+CROQUIS!$C$11*CROQUIS!$C$14/2,CROQUIS!$C$16+(DATOS!$C$17/2+NERVADURA!$C$134+INT(MIN(INT(($A15-1)/2),MAX(2*NERVADURA!$C$133-1,0))/2)*DATOS!$C$16+MOD(MIN(INT(($A15-1)/2),MAX(2*NERVADURA!$C$133-1,0)),2)*DATOS!$C$11)*CROQUIS!$C$14)</f>
        <v>45.5892453682784</v>
      </c>
      <c r="AF15">
        <f>CHOOSE(MIN(MAX($A15,1),9),-DATOS!$C$16/2,DATOS!$C$16/2,DATOS!$C$16/2,DATOS!$C$13/2,DATOS!$C$13/2,-DATOS!$C$13/2,-DATOS!$C$13/2,-DATOS!$C$16/2,-DATOS!$C$16/2)</f>
        <v>-35</v>
      </c>
      <c r="AG15">
        <f>CHOOSE(MIN(MAX($A15,1),9),DATOS!$C$15,DATOS!$C$15,DATOS!$C$12,DATOS!$C$12,0,0,DATOS!$C$12,DATOS!$C$12,DATOS!$C$15)</f>
        <v>20</v>
      </c>
      <c r="BP15">
        <f>CHOOSE(MIN(MAX($A15,1),9),-35,35,35,CROQUIS!$C$30/2,CROQUIS!$C$30/2,-CROQUIS!$C$30/2,-CROQUIS!$C$30/2,-35,-35)</f>
        <v>-35</v>
      </c>
      <c r="BQ15">
        <f>CHOOSE(MIN(MAX($A15,1),9),CROQUIS!$C$31,CROQUIS!$C$31,CROQUIS!$C$31-DATOS!$C$14,CROQUIS!$C$31-DATOS!$C$14,0,0,CROQUIS!$C$31-DATOS!$C$14,CROQUIS!$C$31-DATOS!$C$14,CROQUIS!$C$31)</f>
        <v>40</v>
      </c>
      <c r="BX15">
        <f>IF(CROQUIS!$C$32&lt;=1,0,-(CROQUIS!$C$30-2*DATOS!$C$22-2*INDEX(TABLAS!$C$52:$C$58,MATCH(DATOS!$C$113,TABLAS!$B$52:$B$58,0))-INDEX(TABLAS!$C$52:$C$58,MATCH(MAX(CROQUIS!$C$33,3),TABLAS!$B$52:$B$58,0)))/2+(MIN($A15,CROQUIS!$C$32)-1)*(CROQUIS!$C$30-2*DATOS!$C$22-2*INDEX(TABLAS!$C$52:$C$58,MATCH(DATOS!$C$113,TABLAS!$B$52:$B$58,0))-INDEX(TABLAS!$C$52:$C$58,MATCH(MAX(CROQUIS!$C$33,3),TABLAS!$B$52:$B$58,0)))/(CROQUIS!$C$32-1))</f>
        <v>4.415</v>
      </c>
      <c r="BY15">
        <f>IF(CROQUIS!$C$32=0,-100,DATOS!$C$22+INDEX(TABLAS!$C$52:$C$58,MATCH(DATOS!$C$113,TABLAS!$B$52:$B$58,0))+INDEX(TABLAS!$C$52:$C$58,MATCH(MAX(CROQUIS!$C$33,3),TABLAS!$B$52:$B$58,0))/2)</f>
        <v>5.585</v>
      </c>
      <c r="BZ15">
        <f>IF(CROQUIS!$C$34&lt;=1,0,-(CROQUIS!$C$30-2*DATOS!$C$22-2*INDEX(TABLAS!$C$52:$C$58,MATCH(DATOS!$C$113,TABLAS!$B$52:$B$58,0))-INDEX(TABLAS!$C$52:$C$58,MATCH(MAX(CROQUIS!$C$35,3),TABLAS!$B$52:$B$58,0)))/2+(MIN($A15,CROQUIS!$C$34)-1)*(CROQUIS!$C$30-2*DATOS!$C$22-2*INDEX(TABLAS!$C$52:$C$58,MATCH(DATOS!$C$113,TABLAS!$B$52:$B$58,0))-INDEX(TABLAS!$C$52:$C$58,MATCH(MAX(CROQUIS!$C$35,3),TABLAS!$B$52:$B$58,0)))/(CROQUIS!$C$34-1))</f>
        <v>4.415</v>
      </c>
      <c r="CA15">
        <f>IF(CROQUIS!$C$34=0,-100,CROQUIS!$C$31-DATOS!$C$22-INDEX(TABLAS!$C$52:$C$58,MATCH(DATOS!$C$113,TABLAS!$B$52:$B$58,0))-INDEX(TABLAS!$C$52:$C$58,MATCH(MAX(CROQUIS!$C$35,3),TABLAS!$B$52:$B$58,0))/2)</f>
        <v>39.415</v>
      </c>
      <c r="CW15" t="n">
        <v>4.327</v>
      </c>
      <c r="CX15" t="n">
        <v>2.921</v>
      </c>
      <c r="CY15" t="n">
        <v>2.925</v>
      </c>
      <c r="CZ15" t="n">
        <v>6.948</v>
      </c>
      <c r="DA15" t="n">
        <v>5.923</v>
      </c>
      <c r="DB15" t="n">
        <v>2.921</v>
      </c>
      <c r="DC15" t="n">
        <v>4.247</v>
      </c>
      <c r="DD15" t="n">
        <v>13.946</v>
      </c>
      <c r="DE15" t="n">
        <v>0</v>
      </c>
      <c r="DF15" t="n">
        <v>2.921</v>
      </c>
      <c r="DG15" t="n">
        <v>3.427</v>
      </c>
      <c r="DH15" t="n">
        <v>15.846</v>
      </c>
      <c r="DI15" t="n">
        <v>5.923</v>
      </c>
      <c r="DJ15" t="n">
        <v>5.946</v>
      </c>
      <c r="DK15" t="n">
        <v>0</v>
      </c>
      <c r="DL15" t="n">
        <v>15.846</v>
      </c>
      <c r="DM15" t="n">
        <v>4.427</v>
      </c>
      <c r="DN15" t="n">
        <v>13.946</v>
      </c>
      <c r="DO15" t="n">
        <v>0</v>
      </c>
      <c r="DP15" t="n">
        <v>14.021</v>
      </c>
      <c r="DQ15" t="inlineStr">
        <is>
          <t>F80009 N+3.00</t>
        </is>
      </c>
      <c r="DR15" t="inlineStr">
        <is>
          <t>N+3.00</t>
        </is>
      </c>
      <c r="DS15" t="n">
        <v>8.85</v>
      </c>
      <c r="DT15" t="n">
        <v>15.447</v>
      </c>
      <c r="DU15" t="n">
        <v>5.422</v>
      </c>
      <c r="DV15" t="n">
        <v>15.447</v>
      </c>
      <c r="DW15" t="n">
        <v>5.422</v>
      </c>
      <c r="DX15" t="n">
        <v>9.949999999999999</v>
      </c>
      <c r="DY15" t="n">
        <v>8.85</v>
      </c>
      <c r="DZ15" t="n">
        <v>9.949999999999999</v>
      </c>
      <c r="EA15" t="n">
        <v>8.85</v>
      </c>
      <c r="EB15" t="n">
        <v>15.447</v>
      </c>
      <c r="EC15" t="n">
        <v>8.85</v>
      </c>
      <c r="ED15" t="n">
        <v>15.447</v>
      </c>
      <c r="EE15" t="n">
        <v>8.85</v>
      </c>
      <c r="EF15" t="n">
        <v>15.447</v>
      </c>
      <c r="EG15" t="n">
        <v>8.85</v>
      </c>
      <c r="EH15" t="n">
        <v>15.447</v>
      </c>
      <c r="EI15" t="n">
        <v>8.85</v>
      </c>
      <c r="EJ15" t="n">
        <v>15.447</v>
      </c>
      <c r="EK15" t="n">
        <v>8.85</v>
      </c>
      <c r="EL15" t="n">
        <v>15.447</v>
      </c>
      <c r="EM15" t="n">
        <v>8.85</v>
      </c>
      <c r="EN15" t="n">
        <v>15.447</v>
      </c>
      <c r="EO15" t="n">
        <v>8.85</v>
      </c>
      <c r="EP15" t="n">
        <v>15.447</v>
      </c>
      <c r="EQ15" t="n">
        <v>8.85</v>
      </c>
      <c r="ER15" t="n">
        <v>15.447</v>
      </c>
      <c r="ES15" t="n">
        <v>8.85</v>
      </c>
      <c r="ET15" t="n">
        <v>15.447</v>
      </c>
      <c r="EU15" t="n">
        <v>8.85</v>
      </c>
      <c r="EV15" t="n">
        <v>15.447</v>
      </c>
      <c r="EW15" t="n">
        <v>8.85</v>
      </c>
      <c r="EX15" t="n">
        <v>15.447</v>
      </c>
      <c r="EY15" t="n">
        <v>8.85</v>
      </c>
      <c r="EZ15" t="n">
        <v>15.447</v>
      </c>
      <c r="FA15" t="n">
        <v>8.85</v>
      </c>
      <c r="FB15" t="n">
        <v>15.447</v>
      </c>
      <c r="FD15" t="inlineStr">
        <is>
          <t>NP-08</t>
        </is>
      </c>
      <c r="FE15" t="inlineStr">
        <is>
          <t>N+3.00</t>
        </is>
      </c>
      <c r="FF15" t="n">
        <v>5.422</v>
      </c>
      <c r="FG15" t="n">
        <v>9.949999999999999</v>
      </c>
      <c r="FH15" t="n">
        <v>8.144</v>
      </c>
      <c r="FI15" t="n">
        <v>9.949999999999999</v>
      </c>
      <c r="FK15">
        <f>IF(INDEX($DR$8:$DR$39,MATCH(CROQUIS!$C$7,$DQ$8:$DQ$39,0))="N+3.00",INDEX($EG$8:$EG$39,MATCH(CROQUIS!$C$7,$DQ$8:$DQ$39,0)),-100)</f>
        <v>0</v>
      </c>
      <c r="FL15">
        <f>IF(INDEX($DR$8:$DR$39,MATCH(CROQUIS!$C$7,$DQ$8:$DQ$39,0))="N+3.00",INDEX($EH$8:$EH$39,MATCH(CROQUIS!$C$7,$DQ$8:$DQ$39,0)),-100)</f>
        <v>17.446</v>
      </c>
      <c r="FO15">
        <f>IF(INDEX($DR$8:$DR$39,MATCH(CROQUIS!$C$7,$DQ$8:$DQ$39,0))="N+6.00",INDEX($EG$8:$EG$39,MATCH(CROQUIS!$C$7,$DQ$8:$DQ$39,0)),-100)</f>
        <v>-100</v>
      </c>
      <c r="FP15">
        <f>IF(INDEX($DR$8:$DR$39,MATCH(CROQUIS!$C$7,$DQ$8:$DQ$39,0))="N+6.00",INDEX($EH$8:$EH$39,MATCH(CROQUIS!$C$7,$DQ$8:$DQ$39,0)),-100)</f>
        <v>-100</v>
      </c>
      <c r="FT15" t="inlineStr">
        <is>
          <t>F80009</t>
        </is>
      </c>
      <c r="FU15" t="n">
        <v>7.136</v>
      </c>
      <c r="FV15" t="n">
        <v>12.698</v>
      </c>
      <c r="FW15" t="inlineStr">
        <is>
          <t>N+3.00</t>
        </is>
      </c>
    </row>
    <row r="16">
      <c r="A16" t="n">
        <v>9</v>
      </c>
      <c r="B16">
        <f>CHOOSE(MIN(MAX($A16,1),5),CROQUIS!$C$15,CROQUIS!$C$15+CROQUIS!$C$10*CROQUIS!$C$14,CROQUIS!$C$15+CROQUIS!$C$10*CROQUIS!$C$14,CROQUIS!$C$15,CROQUIS!$C$15)</f>
        <v>12</v>
      </c>
      <c r="C16">
        <f>CHOOSE(MIN(MAX($A16,1),5),CROQUIS!$C$16,CROQUIS!$C$16,CROQUIS!$C$16+CROQUIS!$C$11*CROQUIS!$C$14,CROQUIS!$C$16+CROQUIS!$C$11*CROQUIS!$C$14,CROQUIS!$C$16)</f>
        <v>15.9462268413918</v>
      </c>
      <c r="D16">
        <f>CHOOSE(MIN(MAX($A16,1),5),CROQUIS!$C$15+DATOS!$C$17/2*CROQUIS!$C$14,CROQUIS!$C$15+CROQUIS!$C$10*CROQUIS!$C$14-DATOS!$C$17/2*CROQUIS!$C$14,CROQUIS!$C$15+CROQUIS!$C$10*CROQUIS!$C$14-DATOS!$C$17/2*CROQUIS!$C$14,CROQUIS!$C$15+DATOS!$C$17/2*CROQUIS!$C$14,CROQUIS!$C$15+DATOS!$C$17/2*CROQUIS!$C$14)</f>
        <v>13.3895164934478</v>
      </c>
      <c r="E16">
        <f>CHOOSE(MIN(MAX($A16,1),5),CROQUIS!$C$16+DATOS!$C$17/2*CROQUIS!$C$14,CROQUIS!$C$16+DATOS!$C$17/2*CROQUIS!$C$14,CROQUIS!$C$16+CROQUIS!$C$11*CROQUIS!$C$14-DATOS!$C$17/2*CROQUIS!$C$14,CROQUIS!$C$16+CROQUIS!$C$11*CROQUIS!$C$14-DATOS!$C$17/2*CROQUIS!$C$14,CROQUIS!$C$16+DATOS!$C$17/2*CROQUIS!$C$14)</f>
        <v>17.3357433348396</v>
      </c>
      <c r="F16">
        <f>IF(NERVADURA!$C$131=0,CROQUIS!$C$15+CROQUIS!$C$10*CROQUIS!$C$14/2,CROQUIS!$C$15+(DATOS!$C$17/2+NERVADURA!$C$132+INT(MIN(INT(($A16-1)/2),MAX(2*NERVADURA!$C$131-1,0))/2)*DATOS!$C$16+MOD(MIN(INT(($A16-1)/2),MAX(2*NERVADURA!$C$131-1,0)),2)*DATOS!$C$11)*CROQUIS!$C$14)</f>
        <v>40.9575237234523</v>
      </c>
      <c r="G16">
        <f>IF(NERVADURA!$C$131=0,CROQUIS!$C$16+CROQUIS!$C$11*CROQUIS!$C$14/2,CROQUIS!$C$16+IF(MOD(MIN(INT(($A16-1)/2),MAX(2*NERVADURA!$C$131-1,0)),2)=0,IF(IF(INT(($A16-1)/2)&gt;MAX(2*NERVADURA!$C$131-1,0),1,MOD($A16-1,2))=0,(DATOS!$C$17/2+NERVADURA!$C$134),(CROQUIS!$C$11-DATOS!$C$17/2-NERVADURA!$C$134)),IF(IF(INT(($A16-1)/2)&gt;MAX(2*NERVADURA!$C$131-1,0),1,MOD($A16-1,2))=0,(CROQUIS!$C$11-DATOS!$C$17/2-NERVADURA!$C$134),(DATOS!$C$17/2+NERVADURA!$C$134)))*CROQUIS!$C$14)</f>
        <v>21.504292815183</v>
      </c>
      <c r="H16">
        <f>IF(NERVADURA!$C$133=0,CROQUIS!$C$15+CROQUIS!$C$10*CROQUIS!$C$14/2,CROQUIS!$C$15+IF(MOD(MIN(INT(($A16-1)/2),MAX(2*NERVADURA!$C$133-1,0)),2)=0,IF(IF(INT(($A16-1)/2)&gt;MAX(2*NERVADURA!$C$133-1,0),1,MOD($A16-1,2))=0,(DATOS!$C$17/2+NERVADURA!$C$132),(CROQUIS!$C$10-DATOS!$C$17/2-NERVADURA!$C$132)),IF(IF(INT(($A16-1)/2)&gt;MAX(2*NERVADURA!$C$133-1,0),1,MOD($A16-1,2))=0,(CROQUIS!$C$10-DATOS!$C$17/2-NERVADURA!$C$132),(DATOS!$C$17/2+NERVADURA!$C$132)))*CROQUIS!$C$14)</f>
        <v>15.0198825124266</v>
      </c>
      <c r="I16">
        <f>IF(NERVADURA!$C$133=0,CROQUIS!$C$16+CROQUIS!$C$11*CROQUIS!$C$14/2,CROQUIS!$C$16+(DATOS!$C$17/2+NERVADURA!$C$134+INT(MIN(INT(($A16-1)/2),MAX(2*NERVADURA!$C$133-1,0))/2)*DATOS!$C$16+MOD(MIN(INT(($A16-1)/2),MAX(2*NERVADURA!$C$133-1,0)),2)*DATOS!$C$11)*CROQUIS!$C$14)</f>
        <v>47.4419340262088</v>
      </c>
      <c r="AF16">
        <f>CHOOSE(MIN(MAX($A16,1),9),-DATOS!$C$16/2,DATOS!$C$16/2,DATOS!$C$16/2,DATOS!$C$13/2,DATOS!$C$13/2,-DATOS!$C$13/2,-DATOS!$C$13/2,-DATOS!$C$16/2,-DATOS!$C$16/2)</f>
        <v>-35</v>
      </c>
      <c r="AG16">
        <f>CHOOSE(MIN(MAX($A16,1),9),DATOS!$C$15,DATOS!$C$15,DATOS!$C$12,DATOS!$C$12,0,0,DATOS!$C$12,DATOS!$C$12,DATOS!$C$15)</f>
        <v>25</v>
      </c>
      <c r="BP16">
        <f>CHOOSE(MIN(MAX($A16,1),9),-35,35,35,CROQUIS!$C$30/2,CROQUIS!$C$30/2,-CROQUIS!$C$30/2,-CROQUIS!$C$30/2,-35,-35)</f>
        <v>-35</v>
      </c>
      <c r="BQ16">
        <f>CHOOSE(MIN(MAX($A16,1),9),CROQUIS!$C$31,CROQUIS!$C$31,CROQUIS!$C$31-DATOS!$C$14,CROQUIS!$C$31-DATOS!$C$14,0,0,CROQUIS!$C$31-DATOS!$C$14,CROQUIS!$C$31-DATOS!$C$14,CROQUIS!$C$31)</f>
        <v>45</v>
      </c>
      <c r="CW16" t="n">
        <v>4.327</v>
      </c>
      <c r="CX16" t="n">
        <v>5.946</v>
      </c>
      <c r="DE16" t="n">
        <v>0</v>
      </c>
      <c r="DF16" t="n">
        <v>5.346</v>
      </c>
      <c r="DG16" t="n">
        <v>0</v>
      </c>
      <c r="DH16" t="n">
        <v>15.846</v>
      </c>
      <c r="DO16" t="n">
        <v>0</v>
      </c>
      <c r="DP16" t="n">
        <v>15.846</v>
      </c>
      <c r="DQ16" t="inlineStr">
        <is>
          <t>F80010 N+3.00</t>
        </is>
      </c>
      <c r="DR16" t="inlineStr">
        <is>
          <t>N+3.00</t>
        </is>
      </c>
      <c r="DS16" t="n">
        <v>3.427</v>
      </c>
      <c r="DT16" t="n">
        <v>14.021</v>
      </c>
      <c r="DU16" t="n">
        <v>3.427</v>
      </c>
      <c r="DV16" t="n">
        <v>15.846</v>
      </c>
      <c r="DW16" t="n">
        <v>0</v>
      </c>
      <c r="DX16" t="n">
        <v>15.846</v>
      </c>
      <c r="DY16" t="n">
        <v>0</v>
      </c>
      <c r="DZ16" t="n">
        <v>14.021</v>
      </c>
      <c r="EA16" t="n">
        <v>3.427</v>
      </c>
      <c r="EB16" t="n">
        <v>14.021</v>
      </c>
      <c r="EC16" t="n">
        <v>3.427</v>
      </c>
      <c r="ED16" t="n">
        <v>14.021</v>
      </c>
      <c r="EE16" t="n">
        <v>3.427</v>
      </c>
      <c r="EF16" t="n">
        <v>14.021</v>
      </c>
      <c r="EG16" t="n">
        <v>3.427</v>
      </c>
      <c r="EH16" t="n">
        <v>14.021</v>
      </c>
      <c r="EI16" t="n">
        <v>3.427</v>
      </c>
      <c r="EJ16" t="n">
        <v>14.021</v>
      </c>
      <c r="EK16" t="n">
        <v>3.427</v>
      </c>
      <c r="EL16" t="n">
        <v>14.021</v>
      </c>
      <c r="EM16" t="n">
        <v>3.427</v>
      </c>
      <c r="EN16" t="n">
        <v>14.021</v>
      </c>
      <c r="EO16" t="n">
        <v>3.427</v>
      </c>
      <c r="EP16" t="n">
        <v>14.021</v>
      </c>
      <c r="EQ16" t="n">
        <v>3.427</v>
      </c>
      <c r="ER16" t="n">
        <v>14.021</v>
      </c>
      <c r="ES16" t="n">
        <v>3.427</v>
      </c>
      <c r="ET16" t="n">
        <v>14.021</v>
      </c>
      <c r="EU16" t="n">
        <v>3.427</v>
      </c>
      <c r="EV16" t="n">
        <v>14.021</v>
      </c>
      <c r="EW16" t="n">
        <v>3.427</v>
      </c>
      <c r="EX16" t="n">
        <v>14.021</v>
      </c>
      <c r="EY16" t="n">
        <v>3.427</v>
      </c>
      <c r="EZ16" t="n">
        <v>14.021</v>
      </c>
      <c r="FA16" t="n">
        <v>3.427</v>
      </c>
      <c r="FB16" t="n">
        <v>14.021</v>
      </c>
      <c r="FD16" t="inlineStr">
        <is>
          <t>NP-09</t>
        </is>
      </c>
      <c r="FE16" t="inlineStr">
        <is>
          <t>N+3.00</t>
        </is>
      </c>
      <c r="FF16" t="n">
        <v>-2</v>
      </c>
      <c r="FG16" t="n">
        <v>14.021</v>
      </c>
      <c r="FH16" t="n">
        <v>0</v>
      </c>
      <c r="FI16" t="n">
        <v>14.021</v>
      </c>
      <c r="FK16">
        <f>IF(INDEX($DR$8:$DR$39,MATCH(CROQUIS!$C$7,$DQ$8:$DQ$39,0))="N+3.00",INDEX($EI$8:$EI$39,MATCH(CROQUIS!$C$7,$DQ$8:$DQ$39,0)),-100)</f>
        <v>0</v>
      </c>
      <c r="FL16">
        <f>IF(INDEX($DR$8:$DR$39,MATCH(CROQUIS!$C$7,$DQ$8:$DQ$39,0))="N+3.00",INDEX($EJ$8:$EJ$39,MATCH(CROQUIS!$C$7,$DQ$8:$DQ$39,0)),-100)</f>
        <v>17.446</v>
      </c>
      <c r="FO16">
        <f>IF(INDEX($DR$8:$DR$39,MATCH(CROQUIS!$C$7,$DQ$8:$DQ$39,0))="N+6.00",INDEX($EI$8:$EI$39,MATCH(CROQUIS!$C$7,$DQ$8:$DQ$39,0)),-100)</f>
        <v>-100</v>
      </c>
      <c r="FP16">
        <f>IF(INDEX($DR$8:$DR$39,MATCH(CROQUIS!$C$7,$DQ$8:$DQ$39,0))="N+6.00",INDEX($EJ$8:$EJ$39,MATCH(CROQUIS!$C$7,$DQ$8:$DQ$39,0)),-100)</f>
        <v>-100</v>
      </c>
      <c r="FT16" t="inlineStr">
        <is>
          <t>F80010</t>
        </is>
      </c>
      <c r="FU16" t="n">
        <v>1.714</v>
      </c>
      <c r="FV16" t="n">
        <v>14.934</v>
      </c>
      <c r="FW16" t="inlineStr">
        <is>
          <t>N+3.00</t>
        </is>
      </c>
    </row>
    <row r="17">
      <c r="A17" t="n">
        <v>10</v>
      </c>
      <c r="B17">
        <f>CHOOSE(MIN(MAX($A17,1),5),CROQUIS!$C$15,CROQUIS!$C$15+CROQUIS!$C$10*CROQUIS!$C$14,CROQUIS!$C$15+CROQUIS!$C$10*CROQUIS!$C$14,CROQUIS!$C$15,CROQUIS!$C$15)</f>
        <v>12</v>
      </c>
      <c r="C17">
        <f>CHOOSE(MIN(MAX($A17,1),5),CROQUIS!$C$16,CROQUIS!$C$16,CROQUIS!$C$16+CROQUIS!$C$11*CROQUIS!$C$14,CROQUIS!$C$16+CROQUIS!$C$11*CROQUIS!$C$14,CROQUIS!$C$16)</f>
        <v>15.9462268413918</v>
      </c>
      <c r="D17">
        <f>CHOOSE(MIN(MAX($A17,1),5),CROQUIS!$C$15+DATOS!$C$17/2*CROQUIS!$C$14,CROQUIS!$C$15+CROQUIS!$C$10*CROQUIS!$C$14-DATOS!$C$17/2*CROQUIS!$C$14,CROQUIS!$C$15+CROQUIS!$C$10*CROQUIS!$C$14-DATOS!$C$17/2*CROQUIS!$C$14,CROQUIS!$C$15+DATOS!$C$17/2*CROQUIS!$C$14,CROQUIS!$C$15+DATOS!$C$17/2*CROQUIS!$C$14)</f>
        <v>13.3895164934478</v>
      </c>
      <c r="E17">
        <f>CHOOSE(MIN(MAX($A17,1),5),CROQUIS!$C$16+DATOS!$C$17/2*CROQUIS!$C$14,CROQUIS!$C$16+DATOS!$C$17/2*CROQUIS!$C$14,CROQUIS!$C$16+CROQUIS!$C$11*CROQUIS!$C$14-DATOS!$C$17/2*CROQUIS!$C$14,CROQUIS!$C$16+CROQUIS!$C$11*CROQUIS!$C$14-DATOS!$C$17/2*CROQUIS!$C$14,CROQUIS!$C$16+DATOS!$C$17/2*CROQUIS!$C$14)</f>
        <v>17.3357433348396</v>
      </c>
      <c r="F17">
        <f>IF(NERVADURA!$C$131=0,CROQUIS!$C$15+CROQUIS!$C$10*CROQUIS!$C$14/2,CROQUIS!$C$15+(DATOS!$C$17/2+NERVADURA!$C$132+INT(MIN(INT(($A17-1)/2),MAX(2*NERVADURA!$C$131-1,0))/2)*DATOS!$C$16+MOD(MIN(INT(($A17-1)/2),MAX(2*NERVADURA!$C$131-1,0)),2)*DATOS!$C$11)*CROQUIS!$C$14)</f>
        <v>40.9575237234523</v>
      </c>
      <c r="G17">
        <f>IF(NERVADURA!$C$131=0,CROQUIS!$C$16+CROQUIS!$C$11*CROQUIS!$C$14/2,CROQUIS!$C$16+IF(MOD(MIN(INT(($A17-1)/2),MAX(2*NERVADURA!$C$131-1,0)),2)=0,IF(IF(INT(($A17-1)/2)&gt;MAX(2*NERVADURA!$C$131-1,0),1,MOD($A17-1,2))=0,(DATOS!$C$17/2+NERVADURA!$C$134),(CROQUIS!$C$11-DATOS!$C$17/2-NERVADURA!$C$134)),IF(IF(INT(($A17-1)/2)&gt;MAX(2*NERVADURA!$C$131-1,0),1,MOD($A17-1,2))=0,(CROQUIS!$C$11-DATOS!$C$17/2-NERVADURA!$C$134),(DATOS!$C$17/2+NERVADURA!$C$134)))*CROQUIS!$C$14)</f>
        <v>84.495707184817</v>
      </c>
      <c r="H17">
        <f>IF(NERVADURA!$C$133=0,CROQUIS!$C$15+CROQUIS!$C$10*CROQUIS!$C$14/2,CROQUIS!$C$15+IF(MOD(MIN(INT(($A17-1)/2),MAX(2*NERVADURA!$C$133-1,0)),2)=0,IF(IF(INT(($A17-1)/2)&gt;MAX(2*NERVADURA!$C$133-1,0),1,MOD($A17-1,2))=0,(DATOS!$C$17/2+NERVADURA!$C$132),(CROQUIS!$C$10-DATOS!$C$17/2-NERVADURA!$C$132)),IF(IF(INT(($A17-1)/2)&gt;MAX(2*NERVADURA!$C$133-1,0),1,MOD($A17-1,2))=0,(CROQUIS!$C$10-DATOS!$C$17/2-NERVADURA!$C$132),(DATOS!$C$17/2+NERVADURA!$C$132)))*CROQUIS!$C$14)</f>
        <v>90.9801174875734</v>
      </c>
      <c r="I17">
        <f>IF(NERVADURA!$C$133=0,CROQUIS!$C$16+CROQUIS!$C$11*CROQUIS!$C$14/2,CROQUIS!$C$16+(DATOS!$C$17/2+NERVADURA!$C$134+INT(MIN(INT(($A17-1)/2),MAX(2*NERVADURA!$C$133-1,0))/2)*DATOS!$C$16+MOD(MIN(INT(($A17-1)/2),MAX(2*NERVADURA!$C$133-1,0)),2)*DATOS!$C$11)*CROQUIS!$C$14)</f>
        <v>47.4419340262088</v>
      </c>
      <c r="CW17" t="n">
        <v>2.925</v>
      </c>
      <c r="CX17" t="n">
        <v>5.946</v>
      </c>
      <c r="CY17" t="n">
        <v>5.923</v>
      </c>
      <c r="CZ17" t="n">
        <v>6.948</v>
      </c>
      <c r="DA17" t="n">
        <v>2.925</v>
      </c>
      <c r="DB17" t="n">
        <v>6.948</v>
      </c>
      <c r="DC17" t="n">
        <v>0.075</v>
      </c>
      <c r="DD17" t="n">
        <v>13.946</v>
      </c>
      <c r="DE17" t="n">
        <v>0</v>
      </c>
      <c r="DF17" t="n">
        <v>6.948</v>
      </c>
      <c r="DG17" t="n">
        <v>0</v>
      </c>
      <c r="DH17" t="n">
        <v>14.021</v>
      </c>
      <c r="DI17" t="n">
        <v>5.923</v>
      </c>
      <c r="DJ17" t="n">
        <v>6.948</v>
      </c>
      <c r="DK17" t="n">
        <v>5.923</v>
      </c>
      <c r="DL17" t="n">
        <v>6.948</v>
      </c>
      <c r="DM17" t="n">
        <v>0.075</v>
      </c>
      <c r="DN17" t="n">
        <v>13.946</v>
      </c>
      <c r="DO17" t="n">
        <v>0</v>
      </c>
      <c r="DP17" t="n">
        <v>17.446</v>
      </c>
      <c r="DQ17" t="inlineStr">
        <is>
          <t>F80011 N+3.00</t>
        </is>
      </c>
      <c r="DR17" t="inlineStr">
        <is>
          <t>N+3.00</t>
        </is>
      </c>
      <c r="DS17" t="n">
        <v>8.85</v>
      </c>
      <c r="DT17" t="n">
        <v>15.846</v>
      </c>
      <c r="DU17" t="n">
        <v>5.422</v>
      </c>
      <c r="DV17" t="n">
        <v>15.846</v>
      </c>
      <c r="DW17" t="n">
        <v>5.422</v>
      </c>
      <c r="DX17" t="n">
        <v>15.447</v>
      </c>
      <c r="DY17" t="n">
        <v>8.85</v>
      </c>
      <c r="DZ17" t="n">
        <v>15.447</v>
      </c>
      <c r="EA17" t="n">
        <v>8.85</v>
      </c>
      <c r="EB17" t="n">
        <v>15.846</v>
      </c>
      <c r="EC17" t="n">
        <v>8.85</v>
      </c>
      <c r="ED17" t="n">
        <v>15.846</v>
      </c>
      <c r="EE17" t="n">
        <v>8.85</v>
      </c>
      <c r="EF17" t="n">
        <v>15.846</v>
      </c>
      <c r="EG17" t="n">
        <v>8.85</v>
      </c>
      <c r="EH17" t="n">
        <v>15.846</v>
      </c>
      <c r="EI17" t="n">
        <v>8.85</v>
      </c>
      <c r="EJ17" t="n">
        <v>15.846</v>
      </c>
      <c r="EK17" t="n">
        <v>8.85</v>
      </c>
      <c r="EL17" t="n">
        <v>15.846</v>
      </c>
      <c r="EM17" t="n">
        <v>8.85</v>
      </c>
      <c r="EN17" t="n">
        <v>15.846</v>
      </c>
      <c r="EO17" t="n">
        <v>8.85</v>
      </c>
      <c r="EP17" t="n">
        <v>15.846</v>
      </c>
      <c r="EQ17" t="n">
        <v>8.85</v>
      </c>
      <c r="ER17" t="n">
        <v>15.846</v>
      </c>
      <c r="ES17" t="n">
        <v>8.85</v>
      </c>
      <c r="ET17" t="n">
        <v>15.846</v>
      </c>
      <c r="EU17" t="n">
        <v>8.85</v>
      </c>
      <c r="EV17" t="n">
        <v>15.846</v>
      </c>
      <c r="EW17" t="n">
        <v>8.85</v>
      </c>
      <c r="EX17" t="n">
        <v>15.846</v>
      </c>
      <c r="EY17" t="n">
        <v>8.85</v>
      </c>
      <c r="EZ17" t="n">
        <v>15.846</v>
      </c>
      <c r="FA17" t="n">
        <v>8.85</v>
      </c>
      <c r="FB17" t="n">
        <v>15.846</v>
      </c>
      <c r="FD17" t="inlineStr">
        <is>
          <t>NP-10</t>
        </is>
      </c>
      <c r="FE17" t="inlineStr">
        <is>
          <t>N+3.00</t>
        </is>
      </c>
      <c r="FF17" t="n">
        <v>0</v>
      </c>
      <c r="FG17" t="n">
        <v>14.021</v>
      </c>
      <c r="FH17" t="n">
        <v>4.327</v>
      </c>
      <c r="FI17" t="n">
        <v>14.021</v>
      </c>
      <c r="FK17">
        <f>IF(INDEX($DR$8:$DR$39,MATCH(CROQUIS!$C$7,$DQ$8:$DQ$39,0))="N+3.00",INDEX($EK$8:$EK$39,MATCH(CROQUIS!$C$7,$DQ$8:$DQ$39,0)),-100)</f>
        <v>0</v>
      </c>
      <c r="FL17">
        <f>IF(INDEX($DR$8:$DR$39,MATCH(CROQUIS!$C$7,$DQ$8:$DQ$39,0))="N+3.00",INDEX($EL$8:$EL$39,MATCH(CROQUIS!$C$7,$DQ$8:$DQ$39,0)),-100)</f>
        <v>17.446</v>
      </c>
      <c r="FO17">
        <f>IF(INDEX($DR$8:$DR$39,MATCH(CROQUIS!$C$7,$DQ$8:$DQ$39,0))="N+6.00",INDEX($EK$8:$EK$39,MATCH(CROQUIS!$C$7,$DQ$8:$DQ$39,0)),-100)</f>
        <v>-100</v>
      </c>
      <c r="FP17">
        <f>IF(INDEX($DR$8:$DR$39,MATCH(CROQUIS!$C$7,$DQ$8:$DQ$39,0))="N+6.00",INDEX($EL$8:$EL$39,MATCH(CROQUIS!$C$7,$DQ$8:$DQ$39,0)),-100)</f>
        <v>-100</v>
      </c>
      <c r="FT17" t="inlineStr">
        <is>
          <t>F80011</t>
        </is>
      </c>
      <c r="FU17" t="n">
        <v>7.136</v>
      </c>
      <c r="FV17" t="n">
        <v>15.646</v>
      </c>
      <c r="FW17" t="inlineStr">
        <is>
          <t>N+3.00</t>
        </is>
      </c>
    </row>
    <row r="18">
      <c r="A18" t="n">
        <v>11</v>
      </c>
      <c r="B18">
        <f>CHOOSE(MIN(MAX($A18,1),5),CROQUIS!$C$15,CROQUIS!$C$15+CROQUIS!$C$10*CROQUIS!$C$14,CROQUIS!$C$15+CROQUIS!$C$10*CROQUIS!$C$14,CROQUIS!$C$15,CROQUIS!$C$15)</f>
        <v>12</v>
      </c>
      <c r="C18">
        <f>CHOOSE(MIN(MAX($A18,1),5),CROQUIS!$C$16,CROQUIS!$C$16,CROQUIS!$C$16+CROQUIS!$C$11*CROQUIS!$C$14,CROQUIS!$C$16+CROQUIS!$C$11*CROQUIS!$C$14,CROQUIS!$C$16)</f>
        <v>15.9462268413918</v>
      </c>
      <c r="D18">
        <f>CHOOSE(MIN(MAX($A18,1),5),CROQUIS!$C$15+DATOS!$C$17/2*CROQUIS!$C$14,CROQUIS!$C$15+CROQUIS!$C$10*CROQUIS!$C$14-DATOS!$C$17/2*CROQUIS!$C$14,CROQUIS!$C$15+CROQUIS!$C$10*CROQUIS!$C$14-DATOS!$C$17/2*CROQUIS!$C$14,CROQUIS!$C$15+DATOS!$C$17/2*CROQUIS!$C$14,CROQUIS!$C$15+DATOS!$C$17/2*CROQUIS!$C$14)</f>
        <v>13.3895164934478</v>
      </c>
      <c r="E18">
        <f>CHOOSE(MIN(MAX($A18,1),5),CROQUIS!$C$16+DATOS!$C$17/2*CROQUIS!$C$14,CROQUIS!$C$16+DATOS!$C$17/2*CROQUIS!$C$14,CROQUIS!$C$16+CROQUIS!$C$11*CROQUIS!$C$14-DATOS!$C$17/2*CROQUIS!$C$14,CROQUIS!$C$16+CROQUIS!$C$11*CROQUIS!$C$14-DATOS!$C$17/2*CROQUIS!$C$14,CROQUIS!$C$16+DATOS!$C$17/2*CROQUIS!$C$14)</f>
        <v>17.3357433348396</v>
      </c>
      <c r="F18">
        <f>IF(NERVADURA!$C$131=0,CROQUIS!$C$15+CROQUIS!$C$10*CROQUIS!$C$14/2,CROQUIS!$C$15+(DATOS!$C$17/2+NERVADURA!$C$132+INT(MIN(INT(($A18-1)/2),MAX(2*NERVADURA!$C$131-1,0))/2)*DATOS!$C$16+MOD(MIN(INT(($A18-1)/2),MAX(2*NERVADURA!$C$131-1,0)),2)*DATOS!$C$11)*CROQUIS!$C$14)</f>
        <v>52.0736556710348</v>
      </c>
      <c r="G18">
        <f>IF(NERVADURA!$C$131=0,CROQUIS!$C$16+CROQUIS!$C$11*CROQUIS!$C$14/2,CROQUIS!$C$16+IF(MOD(MIN(INT(($A18-1)/2),MAX(2*NERVADURA!$C$131-1,0)),2)=0,IF(IF(INT(($A18-1)/2)&gt;MAX(2*NERVADURA!$C$131-1,0),1,MOD($A18-1,2))=0,(DATOS!$C$17/2+NERVADURA!$C$134),(CROQUIS!$C$11-DATOS!$C$17/2-NERVADURA!$C$134)),IF(IF(INT(($A18-1)/2)&gt;MAX(2*NERVADURA!$C$131-1,0),1,MOD($A18-1,2))=0,(CROQUIS!$C$11-DATOS!$C$17/2-NERVADURA!$C$134),(DATOS!$C$17/2+NERVADURA!$C$134)))*CROQUIS!$C$14)</f>
        <v>84.495707184817</v>
      </c>
      <c r="H18">
        <f>IF(NERVADURA!$C$133=0,CROQUIS!$C$15+CROQUIS!$C$10*CROQUIS!$C$14/2,CROQUIS!$C$15+IF(MOD(MIN(INT(($A18-1)/2),MAX(2*NERVADURA!$C$133-1,0)),2)=0,IF(IF(INT(($A18-1)/2)&gt;MAX(2*NERVADURA!$C$133-1,0),1,MOD($A18-1,2))=0,(DATOS!$C$17/2+NERVADURA!$C$132),(CROQUIS!$C$10-DATOS!$C$17/2-NERVADURA!$C$132)),IF(IF(INT(($A18-1)/2)&gt;MAX(2*NERVADURA!$C$133-1,0),1,MOD($A18-1,2))=0,(CROQUIS!$C$10-DATOS!$C$17/2-NERVADURA!$C$132),(DATOS!$C$17/2+NERVADURA!$C$132)))*CROQUIS!$C$14)</f>
        <v>90.9801174875734</v>
      </c>
      <c r="I18">
        <f>IF(NERVADURA!$C$133=0,CROQUIS!$C$16+CROQUIS!$C$11*CROQUIS!$C$14/2,CROQUIS!$C$16+(DATOS!$C$17/2+NERVADURA!$C$134+INT(MIN(INT(($A18-1)/2),MAX(2*NERVADURA!$C$133-1,0))/2)*DATOS!$C$16+MOD(MIN(INT(($A18-1)/2),MAX(2*NERVADURA!$C$133-1,0)),2)*DATOS!$C$11)*CROQUIS!$C$14)</f>
        <v>58.5580659737912</v>
      </c>
      <c r="CW18" t="n">
        <v>2.925</v>
      </c>
      <c r="CX18" t="n">
        <v>5.346</v>
      </c>
      <c r="CY18" t="n">
        <v>8.85</v>
      </c>
      <c r="CZ18" t="n">
        <v>6.948</v>
      </c>
      <c r="DA18" t="n">
        <v>4.327</v>
      </c>
      <c r="DB18" t="n">
        <v>6.948</v>
      </c>
      <c r="DC18" t="n">
        <v>4.247</v>
      </c>
      <c r="DD18" t="n">
        <v>7.946</v>
      </c>
      <c r="DE18" t="n">
        <v>0</v>
      </c>
      <c r="DF18" t="n">
        <v>7.871</v>
      </c>
      <c r="DG18" t="n">
        <v>3.427</v>
      </c>
      <c r="DH18" t="n">
        <v>14.021</v>
      </c>
      <c r="DI18" t="n">
        <v>8.85</v>
      </c>
      <c r="DJ18" t="n">
        <v>6.948</v>
      </c>
      <c r="DK18" t="n">
        <v>5.923</v>
      </c>
      <c r="DL18" t="n">
        <v>9.949999999999999</v>
      </c>
      <c r="DM18" t="n">
        <v>4.427</v>
      </c>
      <c r="DN18" t="n">
        <v>7.946</v>
      </c>
      <c r="DO18" t="n">
        <v>0</v>
      </c>
      <c r="DP18" t="n">
        <v>19.447</v>
      </c>
      <c r="DQ18" t="inlineStr">
        <is>
          <t>F80012 N+3.00</t>
        </is>
      </c>
      <c r="DR18" t="inlineStr">
        <is>
          <t>N+3.00</t>
        </is>
      </c>
      <c r="DS18" t="n">
        <v>0</v>
      </c>
      <c r="DT18" t="n">
        <v>14.021</v>
      </c>
      <c r="DU18" t="n">
        <v>0</v>
      </c>
      <c r="DV18" t="n">
        <v>17.446</v>
      </c>
      <c r="DW18" t="n">
        <v>-2</v>
      </c>
      <c r="DX18" t="n">
        <v>17.446</v>
      </c>
      <c r="DY18" t="n">
        <v>-2</v>
      </c>
      <c r="DZ18" t="n">
        <v>14.021</v>
      </c>
      <c r="EA18" t="n">
        <v>0</v>
      </c>
      <c r="EB18" t="n">
        <v>14.021</v>
      </c>
      <c r="EC18" t="n">
        <v>0</v>
      </c>
      <c r="ED18" t="n">
        <v>14.021</v>
      </c>
      <c r="EE18" t="n">
        <v>0</v>
      </c>
      <c r="EF18" t="n">
        <v>14.021</v>
      </c>
      <c r="EG18" t="n">
        <v>0</v>
      </c>
      <c r="EH18" t="n">
        <v>14.021</v>
      </c>
      <c r="EI18" t="n">
        <v>0</v>
      </c>
      <c r="EJ18" t="n">
        <v>14.021</v>
      </c>
      <c r="EK18" t="n">
        <v>0</v>
      </c>
      <c r="EL18" t="n">
        <v>14.021</v>
      </c>
      <c r="EM18" t="n">
        <v>0</v>
      </c>
      <c r="EN18" t="n">
        <v>14.021</v>
      </c>
      <c r="EO18" t="n">
        <v>0</v>
      </c>
      <c r="EP18" t="n">
        <v>14.021</v>
      </c>
      <c r="EQ18" t="n">
        <v>0</v>
      </c>
      <c r="ER18" t="n">
        <v>14.021</v>
      </c>
      <c r="ES18" t="n">
        <v>0</v>
      </c>
      <c r="ET18" t="n">
        <v>14.021</v>
      </c>
      <c r="EU18" t="n">
        <v>0</v>
      </c>
      <c r="EV18" t="n">
        <v>14.021</v>
      </c>
      <c r="EW18" t="n">
        <v>0</v>
      </c>
      <c r="EX18" t="n">
        <v>14.021</v>
      </c>
      <c r="EY18" t="n">
        <v>0</v>
      </c>
      <c r="EZ18" t="n">
        <v>14.021</v>
      </c>
      <c r="FA18" t="n">
        <v>0</v>
      </c>
      <c r="FB18" t="n">
        <v>14.021</v>
      </c>
      <c r="FD18" t="inlineStr">
        <is>
          <t>NP-11</t>
        </is>
      </c>
      <c r="FE18" t="inlineStr">
        <is>
          <t>N+3.00</t>
        </is>
      </c>
      <c r="FF18" t="n">
        <v>5.441</v>
      </c>
      <c r="FG18" t="n">
        <v>14.247</v>
      </c>
      <c r="FH18" t="n">
        <v>8.85</v>
      </c>
      <c r="FI18" t="n">
        <v>14.247</v>
      </c>
      <c r="FK18">
        <f>IF(INDEX($DR$8:$DR$39,MATCH(CROQUIS!$C$7,$DQ$8:$DQ$39,0))="N+3.00",INDEX($EM$8:$EM$39,MATCH(CROQUIS!$C$7,$DQ$8:$DQ$39,0)),-100)</f>
        <v>0</v>
      </c>
      <c r="FL18">
        <f>IF(INDEX($DR$8:$DR$39,MATCH(CROQUIS!$C$7,$DQ$8:$DQ$39,0))="N+3.00",INDEX($EN$8:$EN$39,MATCH(CROQUIS!$C$7,$DQ$8:$DQ$39,0)),-100)</f>
        <v>17.446</v>
      </c>
      <c r="FO18">
        <f>IF(INDEX($DR$8:$DR$39,MATCH(CROQUIS!$C$7,$DQ$8:$DQ$39,0))="N+6.00",INDEX($EM$8:$EM$39,MATCH(CROQUIS!$C$7,$DQ$8:$DQ$39,0)),-100)</f>
        <v>-100</v>
      </c>
      <c r="FP18">
        <f>IF(INDEX($DR$8:$DR$39,MATCH(CROQUIS!$C$7,$DQ$8:$DQ$39,0))="N+6.00",INDEX($EN$8:$EN$39,MATCH(CROQUIS!$C$7,$DQ$8:$DQ$39,0)),-100)</f>
        <v>-100</v>
      </c>
      <c r="FT18" t="inlineStr">
        <is>
          <t>F80012</t>
        </is>
      </c>
      <c r="FU18" t="n">
        <v>-1</v>
      </c>
      <c r="FV18" t="n">
        <v>15.734</v>
      </c>
      <c r="FW18" t="inlineStr">
        <is>
          <t>N+3.00</t>
        </is>
      </c>
    </row>
    <row r="19">
      <c r="A19" t="n">
        <v>12</v>
      </c>
      <c r="B19">
        <f>CHOOSE(MIN(MAX($A19,1),5),CROQUIS!$C$15,CROQUIS!$C$15+CROQUIS!$C$10*CROQUIS!$C$14,CROQUIS!$C$15+CROQUIS!$C$10*CROQUIS!$C$14,CROQUIS!$C$15,CROQUIS!$C$15)</f>
        <v>12</v>
      </c>
      <c r="C19">
        <f>CHOOSE(MIN(MAX($A19,1),5),CROQUIS!$C$16,CROQUIS!$C$16,CROQUIS!$C$16+CROQUIS!$C$11*CROQUIS!$C$14,CROQUIS!$C$16+CROQUIS!$C$11*CROQUIS!$C$14,CROQUIS!$C$16)</f>
        <v>15.9462268413918</v>
      </c>
      <c r="D19">
        <f>CHOOSE(MIN(MAX($A19,1),5),CROQUIS!$C$15+DATOS!$C$17/2*CROQUIS!$C$14,CROQUIS!$C$15+CROQUIS!$C$10*CROQUIS!$C$14-DATOS!$C$17/2*CROQUIS!$C$14,CROQUIS!$C$15+CROQUIS!$C$10*CROQUIS!$C$14-DATOS!$C$17/2*CROQUIS!$C$14,CROQUIS!$C$15+DATOS!$C$17/2*CROQUIS!$C$14,CROQUIS!$C$15+DATOS!$C$17/2*CROQUIS!$C$14)</f>
        <v>13.3895164934478</v>
      </c>
      <c r="E19">
        <f>CHOOSE(MIN(MAX($A19,1),5),CROQUIS!$C$16+DATOS!$C$17/2*CROQUIS!$C$14,CROQUIS!$C$16+DATOS!$C$17/2*CROQUIS!$C$14,CROQUIS!$C$16+CROQUIS!$C$11*CROQUIS!$C$14-DATOS!$C$17/2*CROQUIS!$C$14,CROQUIS!$C$16+CROQUIS!$C$11*CROQUIS!$C$14-DATOS!$C$17/2*CROQUIS!$C$14,CROQUIS!$C$16+DATOS!$C$17/2*CROQUIS!$C$14)</f>
        <v>17.3357433348396</v>
      </c>
      <c r="F19">
        <f>IF(NERVADURA!$C$131=0,CROQUIS!$C$15+CROQUIS!$C$10*CROQUIS!$C$14/2,CROQUIS!$C$15+(DATOS!$C$17/2+NERVADURA!$C$132+INT(MIN(INT(($A19-1)/2),MAX(2*NERVADURA!$C$131-1,0))/2)*DATOS!$C$16+MOD(MIN(INT(($A19-1)/2),MAX(2*NERVADURA!$C$131-1,0)),2)*DATOS!$C$11)*CROQUIS!$C$14)</f>
        <v>52.0736556710348</v>
      </c>
      <c r="G19">
        <f>IF(NERVADURA!$C$131=0,CROQUIS!$C$16+CROQUIS!$C$11*CROQUIS!$C$14/2,CROQUIS!$C$16+IF(MOD(MIN(INT(($A19-1)/2),MAX(2*NERVADURA!$C$131-1,0)),2)=0,IF(IF(INT(($A19-1)/2)&gt;MAX(2*NERVADURA!$C$131-1,0),1,MOD($A19-1,2))=0,(DATOS!$C$17/2+NERVADURA!$C$134),(CROQUIS!$C$11-DATOS!$C$17/2-NERVADURA!$C$134)),IF(IF(INT(($A19-1)/2)&gt;MAX(2*NERVADURA!$C$131-1,0),1,MOD($A19-1,2))=0,(CROQUIS!$C$11-DATOS!$C$17/2-NERVADURA!$C$134),(DATOS!$C$17/2+NERVADURA!$C$134)))*CROQUIS!$C$14)</f>
        <v>21.504292815183</v>
      </c>
      <c r="H19">
        <f>IF(NERVADURA!$C$133=0,CROQUIS!$C$15+CROQUIS!$C$10*CROQUIS!$C$14/2,CROQUIS!$C$15+IF(MOD(MIN(INT(($A19-1)/2),MAX(2*NERVADURA!$C$133-1,0)),2)=0,IF(IF(INT(($A19-1)/2)&gt;MAX(2*NERVADURA!$C$133-1,0),1,MOD($A19-1,2))=0,(DATOS!$C$17/2+NERVADURA!$C$132),(CROQUIS!$C$10-DATOS!$C$17/2-NERVADURA!$C$132)),IF(IF(INT(($A19-1)/2)&gt;MAX(2*NERVADURA!$C$133-1,0),1,MOD($A19-1,2))=0,(CROQUIS!$C$10-DATOS!$C$17/2-NERVADURA!$C$132),(DATOS!$C$17/2+NERVADURA!$C$132)))*CROQUIS!$C$14)</f>
        <v>15.0198825124266</v>
      </c>
      <c r="I19">
        <f>IF(NERVADURA!$C$133=0,CROQUIS!$C$16+CROQUIS!$C$11*CROQUIS!$C$14/2,CROQUIS!$C$16+(DATOS!$C$17/2+NERVADURA!$C$134+INT(MIN(INT(($A19-1)/2),MAX(2*NERVADURA!$C$133-1,0))/2)*DATOS!$C$16+MOD(MIN(INT(($A19-1)/2),MAX(2*NERVADURA!$C$133-1,0)),2)*DATOS!$C$11)*CROQUIS!$C$14)</f>
        <v>58.5580659737912</v>
      </c>
      <c r="CW19" t="n">
        <v>0</v>
      </c>
      <c r="CX19" t="n">
        <v>5.346</v>
      </c>
      <c r="DE19" t="n">
        <v>0</v>
      </c>
      <c r="DF19" t="n">
        <v>9.949999999999999</v>
      </c>
      <c r="DO19" t="n">
        <v>0</v>
      </c>
      <c r="DP19" t="n">
        <v>21.446</v>
      </c>
      <c r="DQ19" t="inlineStr">
        <is>
          <t>F80013 N+3.00</t>
        </is>
      </c>
      <c r="DR19" t="inlineStr">
        <is>
          <t>N+3.00</t>
        </is>
      </c>
      <c r="DS19" t="n">
        <v>5.422</v>
      </c>
      <c r="DT19" t="n">
        <v>15.447</v>
      </c>
      <c r="DU19" t="n">
        <v>5.422</v>
      </c>
      <c r="DV19" t="n">
        <v>15.846</v>
      </c>
      <c r="DW19" t="n">
        <v>5.822</v>
      </c>
      <c r="DX19" t="n">
        <v>15.846</v>
      </c>
      <c r="DY19" t="n">
        <v>5.822</v>
      </c>
      <c r="DZ19" t="n">
        <v>17.446</v>
      </c>
      <c r="EA19" t="n">
        <v>4.925</v>
      </c>
      <c r="EB19" t="n">
        <v>17.446</v>
      </c>
      <c r="EC19" t="n">
        <v>4.925</v>
      </c>
      <c r="ED19" t="n">
        <v>15.447</v>
      </c>
      <c r="EE19" t="n">
        <v>5.422</v>
      </c>
      <c r="EF19" t="n">
        <v>15.447</v>
      </c>
      <c r="EG19" t="n">
        <v>5.422</v>
      </c>
      <c r="EH19" t="n">
        <v>15.447</v>
      </c>
      <c r="EI19" t="n">
        <v>5.422</v>
      </c>
      <c r="EJ19" t="n">
        <v>15.447</v>
      </c>
      <c r="EK19" t="n">
        <v>5.422</v>
      </c>
      <c r="EL19" t="n">
        <v>15.447</v>
      </c>
      <c r="EM19" t="n">
        <v>5.422</v>
      </c>
      <c r="EN19" t="n">
        <v>15.447</v>
      </c>
      <c r="EO19" t="n">
        <v>5.422</v>
      </c>
      <c r="EP19" t="n">
        <v>15.447</v>
      </c>
      <c r="EQ19" t="n">
        <v>5.422</v>
      </c>
      <c r="ER19" t="n">
        <v>15.447</v>
      </c>
      <c r="ES19" t="n">
        <v>5.422</v>
      </c>
      <c r="ET19" t="n">
        <v>15.447</v>
      </c>
      <c r="EU19" t="n">
        <v>5.422</v>
      </c>
      <c r="EV19" t="n">
        <v>15.447</v>
      </c>
      <c r="EW19" t="n">
        <v>5.422</v>
      </c>
      <c r="EX19" t="n">
        <v>15.447</v>
      </c>
      <c r="EY19" t="n">
        <v>5.422</v>
      </c>
      <c r="EZ19" t="n">
        <v>15.447</v>
      </c>
      <c r="FA19" t="n">
        <v>5.422</v>
      </c>
      <c r="FB19" t="n">
        <v>15.447</v>
      </c>
      <c r="FD19" t="inlineStr">
        <is>
          <t>NP-12</t>
        </is>
      </c>
      <c r="FE19" t="inlineStr">
        <is>
          <t>N+3.00</t>
        </is>
      </c>
      <c r="FF19" t="n">
        <v>0</v>
      </c>
      <c r="FG19" t="n">
        <v>15.846</v>
      </c>
      <c r="FH19" t="n">
        <v>3.427</v>
      </c>
      <c r="FI19" t="n">
        <v>15.846</v>
      </c>
      <c r="FK19">
        <f>IF(INDEX($DR$8:$DR$39,MATCH(CROQUIS!$C$7,$DQ$8:$DQ$39,0))="N+3.00",INDEX($EO$8:$EO$39,MATCH(CROQUIS!$C$7,$DQ$8:$DQ$39,0)),-100)</f>
        <v>0</v>
      </c>
      <c r="FL19">
        <f>IF(INDEX($DR$8:$DR$39,MATCH(CROQUIS!$C$7,$DQ$8:$DQ$39,0))="N+3.00",INDEX($EP$8:$EP$39,MATCH(CROQUIS!$C$7,$DQ$8:$DQ$39,0)),-100)</f>
        <v>17.446</v>
      </c>
      <c r="FO19">
        <f>IF(INDEX($DR$8:$DR$39,MATCH(CROQUIS!$C$7,$DQ$8:$DQ$39,0))="N+6.00",INDEX($EO$8:$EO$39,MATCH(CROQUIS!$C$7,$DQ$8:$DQ$39,0)),-100)</f>
        <v>-100</v>
      </c>
      <c r="FP19">
        <f>IF(INDEX($DR$8:$DR$39,MATCH(CROQUIS!$C$7,$DQ$8:$DQ$39,0))="N+6.00",INDEX($EP$8:$EP$39,MATCH(CROQUIS!$C$7,$DQ$8:$DQ$39,0)),-100)</f>
        <v>-100</v>
      </c>
      <c r="FT19" t="inlineStr">
        <is>
          <t>F80013</t>
        </is>
      </c>
      <c r="FU19" t="n">
        <v>5.373</v>
      </c>
      <c r="FV19" t="n">
        <v>16.646</v>
      </c>
      <c r="FW19" t="inlineStr">
        <is>
          <t>N+3.00</t>
        </is>
      </c>
    </row>
    <row r="20">
      <c r="A20" t="n">
        <v>13</v>
      </c>
      <c r="B20">
        <f>CHOOSE(MIN(MAX($A20,1),5),CROQUIS!$C$15,CROQUIS!$C$15+CROQUIS!$C$10*CROQUIS!$C$14,CROQUIS!$C$15+CROQUIS!$C$10*CROQUIS!$C$14,CROQUIS!$C$15,CROQUIS!$C$15)</f>
        <v>12</v>
      </c>
      <c r="C20">
        <f>CHOOSE(MIN(MAX($A20,1),5),CROQUIS!$C$16,CROQUIS!$C$16,CROQUIS!$C$16+CROQUIS!$C$11*CROQUIS!$C$14,CROQUIS!$C$16+CROQUIS!$C$11*CROQUIS!$C$14,CROQUIS!$C$16)</f>
        <v>15.9462268413918</v>
      </c>
      <c r="D20">
        <f>CHOOSE(MIN(MAX($A20,1),5),CROQUIS!$C$15+DATOS!$C$17/2*CROQUIS!$C$14,CROQUIS!$C$15+CROQUIS!$C$10*CROQUIS!$C$14-DATOS!$C$17/2*CROQUIS!$C$14,CROQUIS!$C$15+CROQUIS!$C$10*CROQUIS!$C$14-DATOS!$C$17/2*CROQUIS!$C$14,CROQUIS!$C$15+DATOS!$C$17/2*CROQUIS!$C$14,CROQUIS!$C$15+DATOS!$C$17/2*CROQUIS!$C$14)</f>
        <v>13.3895164934478</v>
      </c>
      <c r="E20">
        <f>CHOOSE(MIN(MAX($A20,1),5),CROQUIS!$C$16+DATOS!$C$17/2*CROQUIS!$C$14,CROQUIS!$C$16+DATOS!$C$17/2*CROQUIS!$C$14,CROQUIS!$C$16+CROQUIS!$C$11*CROQUIS!$C$14-DATOS!$C$17/2*CROQUIS!$C$14,CROQUIS!$C$16+CROQUIS!$C$11*CROQUIS!$C$14-DATOS!$C$17/2*CROQUIS!$C$14,CROQUIS!$C$16+DATOS!$C$17/2*CROQUIS!$C$14)</f>
        <v>17.3357433348396</v>
      </c>
      <c r="F20">
        <f>IF(NERVADURA!$C$131=0,CROQUIS!$C$15+CROQUIS!$C$10*CROQUIS!$C$14/2,CROQUIS!$C$15+(DATOS!$C$17/2+NERVADURA!$C$132+INT(MIN(INT(($A20-1)/2),MAX(2*NERVADURA!$C$131-1,0))/2)*DATOS!$C$16+MOD(MIN(INT(($A20-1)/2),MAX(2*NERVADURA!$C$131-1,0)),2)*DATOS!$C$11)*CROQUIS!$C$14)</f>
        <v>53.9263443289652</v>
      </c>
      <c r="G20">
        <f>IF(NERVADURA!$C$131=0,CROQUIS!$C$16+CROQUIS!$C$11*CROQUIS!$C$14/2,CROQUIS!$C$16+IF(MOD(MIN(INT(($A20-1)/2),MAX(2*NERVADURA!$C$131-1,0)),2)=0,IF(IF(INT(($A20-1)/2)&gt;MAX(2*NERVADURA!$C$131-1,0),1,MOD($A20-1,2))=0,(DATOS!$C$17/2+NERVADURA!$C$134),(CROQUIS!$C$11-DATOS!$C$17/2-NERVADURA!$C$134)),IF(IF(INT(($A20-1)/2)&gt;MAX(2*NERVADURA!$C$131-1,0),1,MOD($A20-1,2))=0,(CROQUIS!$C$11-DATOS!$C$17/2-NERVADURA!$C$134),(DATOS!$C$17/2+NERVADURA!$C$134)))*CROQUIS!$C$14)</f>
        <v>21.504292815183</v>
      </c>
      <c r="H20">
        <f>IF(NERVADURA!$C$133=0,CROQUIS!$C$15+CROQUIS!$C$10*CROQUIS!$C$14/2,CROQUIS!$C$15+IF(MOD(MIN(INT(($A20-1)/2),MAX(2*NERVADURA!$C$133-1,0)),2)=0,IF(IF(INT(($A20-1)/2)&gt;MAX(2*NERVADURA!$C$133-1,0),1,MOD($A20-1,2))=0,(DATOS!$C$17/2+NERVADURA!$C$132),(CROQUIS!$C$10-DATOS!$C$17/2-NERVADURA!$C$132)),IF(IF(INT(($A20-1)/2)&gt;MAX(2*NERVADURA!$C$133-1,0),1,MOD($A20-1,2))=0,(CROQUIS!$C$10-DATOS!$C$17/2-NERVADURA!$C$132),(DATOS!$C$17/2+NERVADURA!$C$132)))*CROQUIS!$C$14)</f>
        <v>15.0198825124266</v>
      </c>
      <c r="I20">
        <f>IF(NERVADURA!$C$133=0,CROQUIS!$C$16+CROQUIS!$C$11*CROQUIS!$C$14/2,CROQUIS!$C$16+(DATOS!$C$17/2+NERVADURA!$C$134+INT(MIN(INT(($A20-1)/2),MAX(2*NERVADURA!$C$133-1,0))/2)*DATOS!$C$16+MOD(MIN(INT(($A20-1)/2),MAX(2*NERVADURA!$C$133-1,0)),2)*DATOS!$C$11)*CROQUIS!$C$14)</f>
        <v>60.4107546317216</v>
      </c>
      <c r="CW20" t="n">
        <v>0</v>
      </c>
      <c r="CX20" t="n">
        <v>2.921</v>
      </c>
      <c r="CY20" t="n">
        <v>8.145</v>
      </c>
      <c r="CZ20" t="n">
        <v>9.949999999999999</v>
      </c>
      <c r="DA20" t="n">
        <v>5.46</v>
      </c>
      <c r="DB20" t="n">
        <v>6.948</v>
      </c>
      <c r="DC20" t="n">
        <v>8.85</v>
      </c>
      <c r="DD20" t="n">
        <v>9.949999999999999</v>
      </c>
      <c r="DE20" t="n">
        <v>0</v>
      </c>
      <c r="DF20" t="n">
        <v>11.986</v>
      </c>
      <c r="DG20" t="n">
        <v>4.327</v>
      </c>
      <c r="DH20" t="n">
        <v>5.946</v>
      </c>
      <c r="DI20" t="n">
        <v>0</v>
      </c>
      <c r="DJ20" t="n">
        <v>7.871</v>
      </c>
      <c r="DM20" t="n">
        <v>8.775</v>
      </c>
      <c r="DN20" t="n">
        <v>7.023</v>
      </c>
      <c r="DO20" t="n">
        <v>0.925</v>
      </c>
      <c r="DP20" t="n">
        <v>2.921</v>
      </c>
      <c r="DQ20" t="inlineStr">
        <is>
          <t>F80014 N+3.00</t>
        </is>
      </c>
      <c r="DR20" t="inlineStr">
        <is>
          <t>N+3.00</t>
        </is>
      </c>
      <c r="DS20" t="n">
        <v>3.029</v>
      </c>
      <c r="DT20" t="n">
        <v>15.846</v>
      </c>
      <c r="DU20" t="n">
        <v>3.029</v>
      </c>
      <c r="DV20" t="n">
        <v>17.446</v>
      </c>
      <c r="DW20" t="n">
        <v>0</v>
      </c>
      <c r="DX20" t="n">
        <v>17.446</v>
      </c>
      <c r="DY20" t="n">
        <v>0</v>
      </c>
      <c r="DZ20" t="n">
        <v>15.846</v>
      </c>
      <c r="EA20" t="n">
        <v>3.029</v>
      </c>
      <c r="EB20" t="n">
        <v>15.846</v>
      </c>
      <c r="EC20" t="n">
        <v>3.029</v>
      </c>
      <c r="ED20" t="n">
        <v>15.846</v>
      </c>
      <c r="EE20" t="n">
        <v>3.029</v>
      </c>
      <c r="EF20" t="n">
        <v>15.846</v>
      </c>
      <c r="EG20" t="n">
        <v>3.029</v>
      </c>
      <c r="EH20" t="n">
        <v>15.846</v>
      </c>
      <c r="EI20" t="n">
        <v>3.029</v>
      </c>
      <c r="EJ20" t="n">
        <v>15.846</v>
      </c>
      <c r="EK20" t="n">
        <v>3.029</v>
      </c>
      <c r="EL20" t="n">
        <v>15.846</v>
      </c>
      <c r="EM20" t="n">
        <v>3.029</v>
      </c>
      <c r="EN20" t="n">
        <v>15.846</v>
      </c>
      <c r="EO20" t="n">
        <v>3.029</v>
      </c>
      <c r="EP20" t="n">
        <v>15.846</v>
      </c>
      <c r="EQ20" t="n">
        <v>3.029</v>
      </c>
      <c r="ER20" t="n">
        <v>15.846</v>
      </c>
      <c r="ES20" t="n">
        <v>3.029</v>
      </c>
      <c r="ET20" t="n">
        <v>15.846</v>
      </c>
      <c r="EU20" t="n">
        <v>3.029</v>
      </c>
      <c r="EV20" t="n">
        <v>15.846</v>
      </c>
      <c r="EW20" t="n">
        <v>3.029</v>
      </c>
      <c r="EX20" t="n">
        <v>15.846</v>
      </c>
      <c r="EY20" t="n">
        <v>3.029</v>
      </c>
      <c r="EZ20" t="n">
        <v>15.846</v>
      </c>
      <c r="FA20" t="n">
        <v>3.029</v>
      </c>
      <c r="FB20" t="n">
        <v>15.846</v>
      </c>
      <c r="FD20" t="inlineStr">
        <is>
          <t>NP-13</t>
        </is>
      </c>
      <c r="FE20" t="inlineStr">
        <is>
          <t>N+3.00</t>
        </is>
      </c>
      <c r="FF20" t="n">
        <v>5.422</v>
      </c>
      <c r="FG20" t="n">
        <v>15.846</v>
      </c>
      <c r="FH20" t="n">
        <v>8.85</v>
      </c>
      <c r="FI20" t="n">
        <v>15.846</v>
      </c>
      <c r="FK20">
        <f>IF(INDEX($DR$8:$DR$39,MATCH(CROQUIS!$C$7,$DQ$8:$DQ$39,0))="N+3.00",INDEX($EQ$8:$EQ$39,MATCH(CROQUIS!$C$7,$DQ$8:$DQ$39,0)),-100)</f>
        <v>0</v>
      </c>
      <c r="FL20">
        <f>IF(INDEX($DR$8:$DR$39,MATCH(CROQUIS!$C$7,$DQ$8:$DQ$39,0))="N+3.00",INDEX($ER$8:$ER$39,MATCH(CROQUIS!$C$7,$DQ$8:$DQ$39,0)),-100)</f>
        <v>17.446</v>
      </c>
      <c r="FO20">
        <f>IF(INDEX($DR$8:$DR$39,MATCH(CROQUIS!$C$7,$DQ$8:$DQ$39,0))="N+6.00",INDEX($EQ$8:$EQ$39,MATCH(CROQUIS!$C$7,$DQ$8:$DQ$39,0)),-100)</f>
        <v>-100</v>
      </c>
      <c r="FP20">
        <f>IF(INDEX($DR$8:$DR$39,MATCH(CROQUIS!$C$7,$DQ$8:$DQ$39,0))="N+6.00",INDEX($ER$8:$ER$39,MATCH(CROQUIS!$C$7,$DQ$8:$DQ$39,0)),-100)</f>
        <v>-100</v>
      </c>
      <c r="FT20" t="inlineStr">
        <is>
          <t>F80014</t>
        </is>
      </c>
      <c r="FU20" t="n">
        <v>1.514</v>
      </c>
      <c r="FV20" t="n">
        <v>16.646</v>
      </c>
      <c r="FW20" t="inlineStr">
        <is>
          <t>N+3.00</t>
        </is>
      </c>
    </row>
    <row r="21">
      <c r="A21" t="n">
        <v>14</v>
      </c>
      <c r="B21">
        <f>CHOOSE(MIN(MAX($A21,1),5),CROQUIS!$C$15,CROQUIS!$C$15+CROQUIS!$C$10*CROQUIS!$C$14,CROQUIS!$C$15+CROQUIS!$C$10*CROQUIS!$C$14,CROQUIS!$C$15,CROQUIS!$C$15)</f>
        <v>12</v>
      </c>
      <c r="C21">
        <f>CHOOSE(MIN(MAX($A21,1),5),CROQUIS!$C$16,CROQUIS!$C$16,CROQUIS!$C$16+CROQUIS!$C$11*CROQUIS!$C$14,CROQUIS!$C$16+CROQUIS!$C$11*CROQUIS!$C$14,CROQUIS!$C$16)</f>
        <v>15.9462268413918</v>
      </c>
      <c r="D21">
        <f>CHOOSE(MIN(MAX($A21,1),5),CROQUIS!$C$15+DATOS!$C$17/2*CROQUIS!$C$14,CROQUIS!$C$15+CROQUIS!$C$10*CROQUIS!$C$14-DATOS!$C$17/2*CROQUIS!$C$14,CROQUIS!$C$15+CROQUIS!$C$10*CROQUIS!$C$14-DATOS!$C$17/2*CROQUIS!$C$14,CROQUIS!$C$15+DATOS!$C$17/2*CROQUIS!$C$14,CROQUIS!$C$15+DATOS!$C$17/2*CROQUIS!$C$14)</f>
        <v>13.3895164934478</v>
      </c>
      <c r="E21">
        <f>CHOOSE(MIN(MAX($A21,1),5),CROQUIS!$C$16+DATOS!$C$17/2*CROQUIS!$C$14,CROQUIS!$C$16+DATOS!$C$17/2*CROQUIS!$C$14,CROQUIS!$C$16+CROQUIS!$C$11*CROQUIS!$C$14-DATOS!$C$17/2*CROQUIS!$C$14,CROQUIS!$C$16+CROQUIS!$C$11*CROQUIS!$C$14-DATOS!$C$17/2*CROQUIS!$C$14,CROQUIS!$C$16+DATOS!$C$17/2*CROQUIS!$C$14)</f>
        <v>17.3357433348396</v>
      </c>
      <c r="F21">
        <f>IF(NERVADURA!$C$131=0,CROQUIS!$C$15+CROQUIS!$C$10*CROQUIS!$C$14/2,CROQUIS!$C$15+(DATOS!$C$17/2+NERVADURA!$C$132+INT(MIN(INT(($A21-1)/2),MAX(2*NERVADURA!$C$131-1,0))/2)*DATOS!$C$16+MOD(MIN(INT(($A21-1)/2),MAX(2*NERVADURA!$C$131-1,0)),2)*DATOS!$C$11)*CROQUIS!$C$14)</f>
        <v>53.9263443289652</v>
      </c>
      <c r="G21">
        <f>IF(NERVADURA!$C$131=0,CROQUIS!$C$16+CROQUIS!$C$11*CROQUIS!$C$14/2,CROQUIS!$C$16+IF(MOD(MIN(INT(($A21-1)/2),MAX(2*NERVADURA!$C$131-1,0)),2)=0,IF(IF(INT(($A21-1)/2)&gt;MAX(2*NERVADURA!$C$131-1,0),1,MOD($A21-1,2))=0,(DATOS!$C$17/2+NERVADURA!$C$134),(CROQUIS!$C$11-DATOS!$C$17/2-NERVADURA!$C$134)),IF(IF(INT(($A21-1)/2)&gt;MAX(2*NERVADURA!$C$131-1,0),1,MOD($A21-1,2))=0,(CROQUIS!$C$11-DATOS!$C$17/2-NERVADURA!$C$134),(DATOS!$C$17/2+NERVADURA!$C$134)))*CROQUIS!$C$14)</f>
        <v>84.495707184817</v>
      </c>
      <c r="H21">
        <f>IF(NERVADURA!$C$133=0,CROQUIS!$C$15+CROQUIS!$C$10*CROQUIS!$C$14/2,CROQUIS!$C$15+IF(MOD(MIN(INT(($A21-1)/2),MAX(2*NERVADURA!$C$133-1,0)),2)=0,IF(IF(INT(($A21-1)/2)&gt;MAX(2*NERVADURA!$C$133-1,0),1,MOD($A21-1,2))=0,(DATOS!$C$17/2+NERVADURA!$C$132),(CROQUIS!$C$10-DATOS!$C$17/2-NERVADURA!$C$132)),IF(IF(INT(($A21-1)/2)&gt;MAX(2*NERVADURA!$C$133-1,0),1,MOD($A21-1,2))=0,(CROQUIS!$C$10-DATOS!$C$17/2-NERVADURA!$C$132),(DATOS!$C$17/2+NERVADURA!$C$132)))*CROQUIS!$C$14)</f>
        <v>90.9801174875734</v>
      </c>
      <c r="I21">
        <f>IF(NERVADURA!$C$133=0,CROQUIS!$C$16+CROQUIS!$C$11*CROQUIS!$C$14/2,CROQUIS!$C$16+(DATOS!$C$17/2+NERVADURA!$C$134+INT(MIN(INT(($A21-1)/2),MAX(2*NERVADURA!$C$133-1,0))/2)*DATOS!$C$16+MOD(MIN(INT(($A21-1)/2),MAX(2*NERVADURA!$C$133-1,0)),2)*DATOS!$C$11)*CROQUIS!$C$14)</f>
        <v>60.4107546317216</v>
      </c>
      <c r="CY21" t="n">
        <v>8.85</v>
      </c>
      <c r="CZ21" t="n">
        <v>9.949999999999999</v>
      </c>
      <c r="DA21" t="n">
        <v>5.923</v>
      </c>
      <c r="DB21" t="n">
        <v>6.948</v>
      </c>
      <c r="DC21" t="n">
        <v>8.85</v>
      </c>
      <c r="DD21" t="n">
        <v>6.948</v>
      </c>
      <c r="DE21" t="n">
        <v>0</v>
      </c>
      <c r="DF21" t="n">
        <v>14.021</v>
      </c>
      <c r="DG21" t="n">
        <v>4.327</v>
      </c>
      <c r="DH21" t="n">
        <v>2.921</v>
      </c>
      <c r="DI21" t="n">
        <v>4.327</v>
      </c>
      <c r="DJ21" t="n">
        <v>7.871</v>
      </c>
      <c r="DM21" t="n">
        <v>8.775</v>
      </c>
      <c r="DN21" t="n">
        <v>9.875</v>
      </c>
      <c r="DO21" t="n">
        <v>0.925</v>
      </c>
      <c r="DP21" t="n">
        <v>21.446</v>
      </c>
      <c r="DQ21" t="inlineStr">
        <is>
          <t>F80015 N+3.00</t>
        </is>
      </c>
      <c r="DR21" t="inlineStr">
        <is>
          <t>N+3.00</t>
        </is>
      </c>
      <c r="DS21" t="n">
        <v>8.85</v>
      </c>
      <c r="DT21" t="n">
        <v>17.446</v>
      </c>
      <c r="DU21" t="n">
        <v>5.822</v>
      </c>
      <c r="DV21" t="n">
        <v>17.446</v>
      </c>
      <c r="DW21" t="n">
        <v>5.822</v>
      </c>
      <c r="DX21" t="n">
        <v>15.846</v>
      </c>
      <c r="DY21" t="n">
        <v>8.85</v>
      </c>
      <c r="DZ21" t="n">
        <v>15.846</v>
      </c>
      <c r="EA21" t="n">
        <v>8.85</v>
      </c>
      <c r="EB21" t="n">
        <v>17.446</v>
      </c>
      <c r="EC21" t="n">
        <v>8.85</v>
      </c>
      <c r="ED21" t="n">
        <v>17.446</v>
      </c>
      <c r="EE21" t="n">
        <v>8.85</v>
      </c>
      <c r="EF21" t="n">
        <v>17.446</v>
      </c>
      <c r="EG21" t="n">
        <v>8.85</v>
      </c>
      <c r="EH21" t="n">
        <v>17.446</v>
      </c>
      <c r="EI21" t="n">
        <v>8.85</v>
      </c>
      <c r="EJ21" t="n">
        <v>17.446</v>
      </c>
      <c r="EK21" t="n">
        <v>8.85</v>
      </c>
      <c r="EL21" t="n">
        <v>17.446</v>
      </c>
      <c r="EM21" t="n">
        <v>8.85</v>
      </c>
      <c r="EN21" t="n">
        <v>17.446</v>
      </c>
      <c r="EO21" t="n">
        <v>8.85</v>
      </c>
      <c r="EP21" t="n">
        <v>17.446</v>
      </c>
      <c r="EQ21" t="n">
        <v>8.85</v>
      </c>
      <c r="ER21" t="n">
        <v>17.446</v>
      </c>
      <c r="ES21" t="n">
        <v>8.85</v>
      </c>
      <c r="ET21" t="n">
        <v>17.446</v>
      </c>
      <c r="EU21" t="n">
        <v>8.85</v>
      </c>
      <c r="EV21" t="n">
        <v>17.446</v>
      </c>
      <c r="EW21" t="n">
        <v>8.85</v>
      </c>
      <c r="EX21" t="n">
        <v>17.446</v>
      </c>
      <c r="EY21" t="n">
        <v>8.85</v>
      </c>
      <c r="EZ21" t="n">
        <v>17.446</v>
      </c>
      <c r="FA21" t="n">
        <v>8.85</v>
      </c>
      <c r="FB21" t="n">
        <v>17.446</v>
      </c>
      <c r="FD21" t="inlineStr">
        <is>
          <t>NP-14</t>
        </is>
      </c>
      <c r="FE21" t="inlineStr">
        <is>
          <t>N+3.00</t>
        </is>
      </c>
      <c r="FF21" t="n">
        <v>-2</v>
      </c>
      <c r="FG21" t="n">
        <v>17.446</v>
      </c>
      <c r="FH21" t="n">
        <v>0</v>
      </c>
      <c r="FI21" t="n">
        <v>17.446</v>
      </c>
      <c r="FK21">
        <f>IF(INDEX($DR$8:$DR$39,MATCH(CROQUIS!$C$7,$DQ$8:$DQ$39,0))="N+3.00",INDEX($ES$8:$ES$39,MATCH(CROQUIS!$C$7,$DQ$8:$DQ$39,0)),-100)</f>
        <v>0</v>
      </c>
      <c r="FL21">
        <f>IF(INDEX($DR$8:$DR$39,MATCH(CROQUIS!$C$7,$DQ$8:$DQ$39,0))="N+3.00",INDEX($ET$8:$ET$39,MATCH(CROQUIS!$C$7,$DQ$8:$DQ$39,0)),-100)</f>
        <v>17.446</v>
      </c>
      <c r="FO21">
        <f>IF(INDEX($DR$8:$DR$39,MATCH(CROQUIS!$C$7,$DQ$8:$DQ$39,0))="N+6.00",INDEX($ES$8:$ES$39,MATCH(CROQUIS!$C$7,$DQ$8:$DQ$39,0)),-100)</f>
        <v>-100</v>
      </c>
      <c r="FP21">
        <f>IF(INDEX($DR$8:$DR$39,MATCH(CROQUIS!$C$7,$DQ$8:$DQ$39,0))="N+6.00",INDEX($ET$8:$ET$39,MATCH(CROQUIS!$C$7,$DQ$8:$DQ$39,0)),-100)</f>
        <v>-100</v>
      </c>
      <c r="FT21" t="inlineStr">
        <is>
          <t>F80015</t>
        </is>
      </c>
      <c r="FU21" t="n">
        <v>7.336</v>
      </c>
      <c r="FV21" t="n">
        <v>16.646</v>
      </c>
      <c r="FW21" t="inlineStr">
        <is>
          <t>N+3.00</t>
        </is>
      </c>
    </row>
    <row r="22">
      <c r="A22" t="n">
        <v>15</v>
      </c>
      <c r="B22">
        <f>CHOOSE(MIN(MAX($A22,1),5),CROQUIS!$C$15,CROQUIS!$C$15+CROQUIS!$C$10*CROQUIS!$C$14,CROQUIS!$C$15+CROQUIS!$C$10*CROQUIS!$C$14,CROQUIS!$C$15,CROQUIS!$C$15)</f>
        <v>12</v>
      </c>
      <c r="C22">
        <f>CHOOSE(MIN(MAX($A22,1),5),CROQUIS!$C$16,CROQUIS!$C$16,CROQUIS!$C$16+CROQUIS!$C$11*CROQUIS!$C$14,CROQUIS!$C$16+CROQUIS!$C$11*CROQUIS!$C$14,CROQUIS!$C$16)</f>
        <v>15.9462268413918</v>
      </c>
      <c r="D22">
        <f>CHOOSE(MIN(MAX($A22,1),5),CROQUIS!$C$15+DATOS!$C$17/2*CROQUIS!$C$14,CROQUIS!$C$15+CROQUIS!$C$10*CROQUIS!$C$14-DATOS!$C$17/2*CROQUIS!$C$14,CROQUIS!$C$15+CROQUIS!$C$10*CROQUIS!$C$14-DATOS!$C$17/2*CROQUIS!$C$14,CROQUIS!$C$15+DATOS!$C$17/2*CROQUIS!$C$14,CROQUIS!$C$15+DATOS!$C$17/2*CROQUIS!$C$14)</f>
        <v>13.3895164934478</v>
      </c>
      <c r="E22">
        <f>CHOOSE(MIN(MAX($A22,1),5),CROQUIS!$C$16+DATOS!$C$17/2*CROQUIS!$C$14,CROQUIS!$C$16+DATOS!$C$17/2*CROQUIS!$C$14,CROQUIS!$C$16+CROQUIS!$C$11*CROQUIS!$C$14-DATOS!$C$17/2*CROQUIS!$C$14,CROQUIS!$C$16+CROQUIS!$C$11*CROQUIS!$C$14-DATOS!$C$17/2*CROQUIS!$C$14,CROQUIS!$C$16+DATOS!$C$17/2*CROQUIS!$C$14)</f>
        <v>17.3357433348396</v>
      </c>
      <c r="F22">
        <f>IF(NERVADURA!$C$131=0,CROQUIS!$C$15+CROQUIS!$C$10*CROQUIS!$C$14/2,CROQUIS!$C$15+(DATOS!$C$17/2+NERVADURA!$C$132+INT(MIN(INT(($A22-1)/2),MAX(2*NERVADURA!$C$131-1,0))/2)*DATOS!$C$16+MOD(MIN(INT(($A22-1)/2),MAX(2*NERVADURA!$C$131-1,0)),2)*DATOS!$C$11)*CROQUIS!$C$14)</f>
        <v>65.0424762765477</v>
      </c>
      <c r="G22">
        <f>IF(NERVADURA!$C$131=0,CROQUIS!$C$16+CROQUIS!$C$11*CROQUIS!$C$14/2,CROQUIS!$C$16+IF(MOD(MIN(INT(($A22-1)/2),MAX(2*NERVADURA!$C$131-1,0)),2)=0,IF(IF(INT(($A22-1)/2)&gt;MAX(2*NERVADURA!$C$131-1,0),1,MOD($A22-1,2))=0,(DATOS!$C$17/2+NERVADURA!$C$134),(CROQUIS!$C$11-DATOS!$C$17/2-NERVADURA!$C$134)),IF(IF(INT(($A22-1)/2)&gt;MAX(2*NERVADURA!$C$131-1,0),1,MOD($A22-1,2))=0,(CROQUIS!$C$11-DATOS!$C$17/2-NERVADURA!$C$134),(DATOS!$C$17/2+NERVADURA!$C$134)))*CROQUIS!$C$14)</f>
        <v>84.495707184817</v>
      </c>
      <c r="H22">
        <f>IF(NERVADURA!$C$133=0,CROQUIS!$C$15+CROQUIS!$C$10*CROQUIS!$C$14/2,CROQUIS!$C$15+IF(MOD(MIN(INT(($A22-1)/2),MAX(2*NERVADURA!$C$133-1,0)),2)=0,IF(IF(INT(($A22-1)/2)&gt;MAX(2*NERVADURA!$C$133-1,0),1,MOD($A22-1,2))=0,(DATOS!$C$17/2+NERVADURA!$C$132),(CROQUIS!$C$10-DATOS!$C$17/2-NERVADURA!$C$132)),IF(IF(INT(($A22-1)/2)&gt;MAX(2*NERVADURA!$C$133-1,0),1,MOD($A22-1,2))=0,(CROQUIS!$C$10-DATOS!$C$17/2-NERVADURA!$C$132),(DATOS!$C$17/2+NERVADURA!$C$132)))*CROQUIS!$C$14)</f>
        <v>90.9801174875734</v>
      </c>
      <c r="I22">
        <f>IF(NERVADURA!$C$133=0,CROQUIS!$C$16+CROQUIS!$C$11*CROQUIS!$C$14/2,CROQUIS!$C$16+(DATOS!$C$17/2+NERVADURA!$C$134+INT(MIN(INT(($A22-1)/2),MAX(2*NERVADURA!$C$133-1,0))/2)*DATOS!$C$16+MOD(MIN(INT(($A22-1)/2),MAX(2*NERVADURA!$C$133-1,0)),2)*DATOS!$C$11)*CROQUIS!$C$14)</f>
        <v>71.5268865793041</v>
      </c>
      <c r="CW22" t="n">
        <v>5.923</v>
      </c>
      <c r="CX22" t="n">
        <v>5.946</v>
      </c>
      <c r="DC22" t="n">
        <v>5.46</v>
      </c>
      <c r="DD22" t="n">
        <v>6.948</v>
      </c>
      <c r="DE22" t="n">
        <v>0</v>
      </c>
      <c r="DF22" t="n">
        <v>15.846</v>
      </c>
      <c r="DG22" t="n">
        <v>5.923</v>
      </c>
      <c r="DH22" t="n">
        <v>2.921</v>
      </c>
      <c r="DM22" t="n">
        <v>5.998</v>
      </c>
      <c r="DN22" t="n">
        <v>9.875</v>
      </c>
      <c r="DO22" t="n">
        <v>1.514</v>
      </c>
      <c r="DP22" t="n">
        <v>15.846</v>
      </c>
      <c r="DQ22" t="inlineStr">
        <is>
          <t>F80016 N+3.00</t>
        </is>
      </c>
      <c r="DR22" t="inlineStr">
        <is>
          <t>N+3.00</t>
        </is>
      </c>
      <c r="DS22" t="n">
        <v>0</v>
      </c>
      <c r="DT22" t="n">
        <v>17.446</v>
      </c>
      <c r="DU22" t="n">
        <v>4.426</v>
      </c>
      <c r="DV22" t="n">
        <v>17.446</v>
      </c>
      <c r="DW22" t="n">
        <v>4.426</v>
      </c>
      <c r="DX22" t="n">
        <v>21.446</v>
      </c>
      <c r="DY22" t="n">
        <v>0</v>
      </c>
      <c r="DZ22" t="n">
        <v>21.446</v>
      </c>
      <c r="EA22" t="n">
        <v>0</v>
      </c>
      <c r="EB22" t="n">
        <v>17.446</v>
      </c>
      <c r="EC22" t="n">
        <v>0</v>
      </c>
      <c r="ED22" t="n">
        <v>17.446</v>
      </c>
      <c r="EE22" t="n">
        <v>0</v>
      </c>
      <c r="EF22" t="n">
        <v>17.446</v>
      </c>
      <c r="EG22" t="n">
        <v>0</v>
      </c>
      <c r="EH22" t="n">
        <v>17.446</v>
      </c>
      <c r="EI22" t="n">
        <v>0</v>
      </c>
      <c r="EJ22" t="n">
        <v>17.446</v>
      </c>
      <c r="EK22" t="n">
        <v>0</v>
      </c>
      <c r="EL22" t="n">
        <v>17.446</v>
      </c>
      <c r="EM22" t="n">
        <v>0</v>
      </c>
      <c r="EN22" t="n">
        <v>17.446</v>
      </c>
      <c r="EO22" t="n">
        <v>0</v>
      </c>
      <c r="EP22" t="n">
        <v>17.446</v>
      </c>
      <c r="EQ22" t="n">
        <v>0</v>
      </c>
      <c r="ER22" t="n">
        <v>17.446</v>
      </c>
      <c r="ES22" t="n">
        <v>0</v>
      </c>
      <c r="ET22" t="n">
        <v>17.446</v>
      </c>
      <c r="EU22" t="n">
        <v>0</v>
      </c>
      <c r="EV22" t="n">
        <v>17.446</v>
      </c>
      <c r="EW22" t="n">
        <v>0</v>
      </c>
      <c r="EX22" t="n">
        <v>17.446</v>
      </c>
      <c r="EY22" t="n">
        <v>0</v>
      </c>
      <c r="EZ22" t="n">
        <v>17.446</v>
      </c>
      <c r="FA22" t="n">
        <v>0</v>
      </c>
      <c r="FB22" t="n">
        <v>17.446</v>
      </c>
      <c r="FD22" t="inlineStr">
        <is>
          <t>NP-15</t>
        </is>
      </c>
      <c r="FE22" t="inlineStr">
        <is>
          <t>N+3.00</t>
        </is>
      </c>
      <c r="FF22" t="n">
        <v>0</v>
      </c>
      <c r="FG22" t="n">
        <v>17.446</v>
      </c>
      <c r="FH22" t="n">
        <v>4.925</v>
      </c>
      <c r="FI22" t="n">
        <v>17.446</v>
      </c>
      <c r="FK22">
        <f>IF(INDEX($DR$8:$DR$39,MATCH(CROQUIS!$C$7,$DQ$8:$DQ$39,0))="N+3.00",INDEX($EU$8:$EU$39,MATCH(CROQUIS!$C$7,$DQ$8:$DQ$39,0)),-100)</f>
        <v>0</v>
      </c>
      <c r="FL22">
        <f>IF(INDEX($DR$8:$DR$39,MATCH(CROQUIS!$C$7,$DQ$8:$DQ$39,0))="N+3.00",INDEX($EV$8:$EV$39,MATCH(CROQUIS!$C$7,$DQ$8:$DQ$39,0)),-100)</f>
        <v>17.446</v>
      </c>
      <c r="FO22">
        <f>IF(INDEX($DR$8:$DR$39,MATCH(CROQUIS!$C$7,$DQ$8:$DQ$39,0))="N+6.00",INDEX($EU$8:$EU$39,MATCH(CROQUIS!$C$7,$DQ$8:$DQ$39,0)),-100)</f>
        <v>-100</v>
      </c>
      <c r="FP22">
        <f>IF(INDEX($DR$8:$DR$39,MATCH(CROQUIS!$C$7,$DQ$8:$DQ$39,0))="N+6.00",INDEX($EV$8:$EV$39,MATCH(CROQUIS!$C$7,$DQ$8:$DQ$39,0)),-100)</f>
        <v>-100</v>
      </c>
      <c r="FT22" t="inlineStr">
        <is>
          <t>F80016</t>
        </is>
      </c>
      <c r="FU22" t="n">
        <v>2.213</v>
      </c>
      <c r="FV22" t="n">
        <v>19.446</v>
      </c>
      <c r="FW22" t="inlineStr">
        <is>
          <t>N+3.00</t>
        </is>
      </c>
    </row>
    <row r="23">
      <c r="A23" t="n">
        <v>16</v>
      </c>
      <c r="B23">
        <f>CHOOSE(MIN(MAX($A23,1),5),CROQUIS!$C$15,CROQUIS!$C$15+CROQUIS!$C$10*CROQUIS!$C$14,CROQUIS!$C$15+CROQUIS!$C$10*CROQUIS!$C$14,CROQUIS!$C$15,CROQUIS!$C$15)</f>
        <v>12</v>
      </c>
      <c r="C23">
        <f>CHOOSE(MIN(MAX($A23,1),5),CROQUIS!$C$16,CROQUIS!$C$16,CROQUIS!$C$16+CROQUIS!$C$11*CROQUIS!$C$14,CROQUIS!$C$16+CROQUIS!$C$11*CROQUIS!$C$14,CROQUIS!$C$16)</f>
        <v>15.9462268413918</v>
      </c>
      <c r="D23">
        <f>CHOOSE(MIN(MAX($A23,1),5),CROQUIS!$C$15+DATOS!$C$17/2*CROQUIS!$C$14,CROQUIS!$C$15+CROQUIS!$C$10*CROQUIS!$C$14-DATOS!$C$17/2*CROQUIS!$C$14,CROQUIS!$C$15+CROQUIS!$C$10*CROQUIS!$C$14-DATOS!$C$17/2*CROQUIS!$C$14,CROQUIS!$C$15+DATOS!$C$17/2*CROQUIS!$C$14,CROQUIS!$C$15+DATOS!$C$17/2*CROQUIS!$C$14)</f>
        <v>13.3895164934478</v>
      </c>
      <c r="E23">
        <f>CHOOSE(MIN(MAX($A23,1),5),CROQUIS!$C$16+DATOS!$C$17/2*CROQUIS!$C$14,CROQUIS!$C$16+DATOS!$C$17/2*CROQUIS!$C$14,CROQUIS!$C$16+CROQUIS!$C$11*CROQUIS!$C$14-DATOS!$C$17/2*CROQUIS!$C$14,CROQUIS!$C$16+CROQUIS!$C$11*CROQUIS!$C$14-DATOS!$C$17/2*CROQUIS!$C$14,CROQUIS!$C$16+DATOS!$C$17/2*CROQUIS!$C$14)</f>
        <v>17.3357433348396</v>
      </c>
      <c r="F23">
        <f>IF(NERVADURA!$C$131=0,CROQUIS!$C$15+CROQUIS!$C$10*CROQUIS!$C$14/2,CROQUIS!$C$15+(DATOS!$C$17/2+NERVADURA!$C$132+INT(MIN(INT(($A23-1)/2),MAX(2*NERVADURA!$C$131-1,0))/2)*DATOS!$C$16+MOD(MIN(INT(($A23-1)/2),MAX(2*NERVADURA!$C$131-1,0)),2)*DATOS!$C$11)*CROQUIS!$C$14)</f>
        <v>65.0424762765477</v>
      </c>
      <c r="G23">
        <f>IF(NERVADURA!$C$131=0,CROQUIS!$C$16+CROQUIS!$C$11*CROQUIS!$C$14/2,CROQUIS!$C$16+IF(MOD(MIN(INT(($A23-1)/2),MAX(2*NERVADURA!$C$131-1,0)),2)=0,IF(IF(INT(($A23-1)/2)&gt;MAX(2*NERVADURA!$C$131-1,0),1,MOD($A23-1,2))=0,(DATOS!$C$17/2+NERVADURA!$C$134),(CROQUIS!$C$11-DATOS!$C$17/2-NERVADURA!$C$134)),IF(IF(INT(($A23-1)/2)&gt;MAX(2*NERVADURA!$C$131-1,0),1,MOD($A23-1,2))=0,(CROQUIS!$C$11-DATOS!$C$17/2-NERVADURA!$C$134),(DATOS!$C$17/2+NERVADURA!$C$134)))*CROQUIS!$C$14)</f>
        <v>21.504292815183</v>
      </c>
      <c r="H23">
        <f>IF(NERVADURA!$C$133=0,CROQUIS!$C$15+CROQUIS!$C$10*CROQUIS!$C$14/2,CROQUIS!$C$15+IF(MOD(MIN(INT(($A23-1)/2),MAX(2*NERVADURA!$C$133-1,0)),2)=0,IF(IF(INT(($A23-1)/2)&gt;MAX(2*NERVADURA!$C$133-1,0),1,MOD($A23-1,2))=0,(DATOS!$C$17/2+NERVADURA!$C$132),(CROQUIS!$C$10-DATOS!$C$17/2-NERVADURA!$C$132)),IF(IF(INT(($A23-1)/2)&gt;MAX(2*NERVADURA!$C$133-1,0),1,MOD($A23-1,2))=0,(CROQUIS!$C$10-DATOS!$C$17/2-NERVADURA!$C$132),(DATOS!$C$17/2+NERVADURA!$C$132)))*CROQUIS!$C$14)</f>
        <v>15.0198825124266</v>
      </c>
      <c r="I23">
        <f>IF(NERVADURA!$C$133=0,CROQUIS!$C$16+CROQUIS!$C$11*CROQUIS!$C$14/2,CROQUIS!$C$16+(DATOS!$C$17/2+NERVADURA!$C$134+INT(MIN(INT(($A23-1)/2),MAX(2*NERVADURA!$C$133-1,0))/2)*DATOS!$C$16+MOD(MIN(INT(($A23-1)/2),MAX(2*NERVADURA!$C$133-1,0)),2)*DATOS!$C$11)*CROQUIS!$C$14)</f>
        <v>71.5268865793041</v>
      </c>
      <c r="CW23" t="n">
        <v>4.327</v>
      </c>
      <c r="CX23" t="n">
        <v>5.946</v>
      </c>
      <c r="CY23" t="n">
        <v>4.925</v>
      </c>
      <c r="CZ23" t="n">
        <v>15.447</v>
      </c>
      <c r="DA23" t="n">
        <v>0</v>
      </c>
      <c r="DB23" t="n">
        <v>7.871</v>
      </c>
      <c r="DC23" t="n">
        <v>5.422</v>
      </c>
      <c r="DD23" t="n">
        <v>9.949999999999999</v>
      </c>
      <c r="DE23" t="n">
        <v>0</v>
      </c>
      <c r="DF23" t="n">
        <v>17.446</v>
      </c>
      <c r="DG23" t="n">
        <v>5.923</v>
      </c>
      <c r="DH23" t="n">
        <v>5.946</v>
      </c>
      <c r="DI23" t="n">
        <v>5.422</v>
      </c>
      <c r="DJ23" t="n">
        <v>9.949999999999999</v>
      </c>
      <c r="DM23" t="n">
        <v>5.998</v>
      </c>
      <c r="DN23" t="n">
        <v>7.023</v>
      </c>
      <c r="DO23" t="n">
        <v>1.714</v>
      </c>
      <c r="DP23" t="n">
        <v>14.021</v>
      </c>
      <c r="DQ23" t="inlineStr">
        <is>
          <t>F80017 N+3.00</t>
        </is>
      </c>
      <c r="DR23" t="inlineStr">
        <is>
          <t>N+3.00</t>
        </is>
      </c>
      <c r="DS23" t="n">
        <v>4.925</v>
      </c>
      <c r="DT23" t="n">
        <v>17.446</v>
      </c>
      <c r="DU23" t="n">
        <v>4.925</v>
      </c>
      <c r="DV23" t="n">
        <v>21.446</v>
      </c>
      <c r="DW23" t="n">
        <v>4.426</v>
      </c>
      <c r="DX23" t="n">
        <v>21.446</v>
      </c>
      <c r="DY23" t="n">
        <v>4.426</v>
      </c>
      <c r="DZ23" t="n">
        <v>17.446</v>
      </c>
      <c r="EA23" t="n">
        <v>4.925</v>
      </c>
      <c r="EB23" t="n">
        <v>17.446</v>
      </c>
      <c r="EC23" t="n">
        <v>4.925</v>
      </c>
      <c r="ED23" t="n">
        <v>17.446</v>
      </c>
      <c r="EE23" t="n">
        <v>4.925</v>
      </c>
      <c r="EF23" t="n">
        <v>17.446</v>
      </c>
      <c r="EG23" t="n">
        <v>4.925</v>
      </c>
      <c r="EH23" t="n">
        <v>17.446</v>
      </c>
      <c r="EI23" t="n">
        <v>4.925</v>
      </c>
      <c r="EJ23" t="n">
        <v>17.446</v>
      </c>
      <c r="EK23" t="n">
        <v>4.925</v>
      </c>
      <c r="EL23" t="n">
        <v>17.446</v>
      </c>
      <c r="EM23" t="n">
        <v>4.925</v>
      </c>
      <c r="EN23" t="n">
        <v>17.446</v>
      </c>
      <c r="EO23" t="n">
        <v>4.925</v>
      </c>
      <c r="EP23" t="n">
        <v>17.446</v>
      </c>
      <c r="EQ23" t="n">
        <v>4.925</v>
      </c>
      <c r="ER23" t="n">
        <v>17.446</v>
      </c>
      <c r="ES23" t="n">
        <v>4.925</v>
      </c>
      <c r="ET23" t="n">
        <v>17.446</v>
      </c>
      <c r="EU23" t="n">
        <v>4.925</v>
      </c>
      <c r="EV23" t="n">
        <v>17.446</v>
      </c>
      <c r="EW23" t="n">
        <v>4.925</v>
      </c>
      <c r="EX23" t="n">
        <v>17.446</v>
      </c>
      <c r="EY23" t="n">
        <v>4.925</v>
      </c>
      <c r="EZ23" t="n">
        <v>17.446</v>
      </c>
      <c r="FA23" t="n">
        <v>4.925</v>
      </c>
      <c r="FB23" t="n">
        <v>17.446</v>
      </c>
      <c r="FD23" t="inlineStr">
        <is>
          <t>NP-16</t>
        </is>
      </c>
      <c r="FE23" t="inlineStr">
        <is>
          <t>N+3.00</t>
        </is>
      </c>
      <c r="FF23" t="n">
        <v>0</v>
      </c>
      <c r="FG23" t="n">
        <v>23.446</v>
      </c>
      <c r="FH23" t="n">
        <v>7.25</v>
      </c>
      <c r="FI23" t="n">
        <v>23.446</v>
      </c>
      <c r="FK23">
        <f>IF(INDEX($DR$8:$DR$39,MATCH(CROQUIS!$C$7,$DQ$8:$DQ$39,0))="N+3.00",INDEX($EW$8:$EW$39,MATCH(CROQUIS!$C$7,$DQ$8:$DQ$39,0)),-100)</f>
        <v>0</v>
      </c>
      <c r="FL23">
        <f>IF(INDEX($DR$8:$DR$39,MATCH(CROQUIS!$C$7,$DQ$8:$DQ$39,0))="N+3.00",INDEX($EX$8:$EX$39,MATCH(CROQUIS!$C$7,$DQ$8:$DQ$39,0)),-100)</f>
        <v>17.446</v>
      </c>
      <c r="FO23">
        <f>IF(INDEX($DR$8:$DR$39,MATCH(CROQUIS!$C$7,$DQ$8:$DQ$39,0))="N+6.00",INDEX($EW$8:$EW$39,MATCH(CROQUIS!$C$7,$DQ$8:$DQ$39,0)),-100)</f>
        <v>-100</v>
      </c>
      <c r="FP23">
        <f>IF(INDEX($DR$8:$DR$39,MATCH(CROQUIS!$C$7,$DQ$8:$DQ$39,0))="N+6.00",INDEX($EX$8:$EX$39,MATCH(CROQUIS!$C$7,$DQ$8:$DQ$39,0)),-100)</f>
        <v>-100</v>
      </c>
      <c r="FT23" t="inlineStr">
        <is>
          <t>F80017</t>
        </is>
      </c>
      <c r="FU23" t="n">
        <v>4.675</v>
      </c>
      <c r="FV23" t="n">
        <v>19.446</v>
      </c>
      <c r="FW23" t="inlineStr">
        <is>
          <t>N+3.00</t>
        </is>
      </c>
    </row>
    <row r="24">
      <c r="A24" t="n">
        <v>17</v>
      </c>
      <c r="B24">
        <f>CHOOSE(MIN(MAX($A24,1),5),CROQUIS!$C$15,CROQUIS!$C$15+CROQUIS!$C$10*CROQUIS!$C$14,CROQUIS!$C$15+CROQUIS!$C$10*CROQUIS!$C$14,CROQUIS!$C$15,CROQUIS!$C$15)</f>
        <v>12</v>
      </c>
      <c r="C24">
        <f>CHOOSE(MIN(MAX($A24,1),5),CROQUIS!$C$16,CROQUIS!$C$16,CROQUIS!$C$16+CROQUIS!$C$11*CROQUIS!$C$14,CROQUIS!$C$16+CROQUIS!$C$11*CROQUIS!$C$14,CROQUIS!$C$16)</f>
        <v>15.9462268413918</v>
      </c>
      <c r="D24">
        <f>CHOOSE(MIN(MAX($A24,1),5),CROQUIS!$C$15+DATOS!$C$17/2*CROQUIS!$C$14,CROQUIS!$C$15+CROQUIS!$C$10*CROQUIS!$C$14-DATOS!$C$17/2*CROQUIS!$C$14,CROQUIS!$C$15+CROQUIS!$C$10*CROQUIS!$C$14-DATOS!$C$17/2*CROQUIS!$C$14,CROQUIS!$C$15+DATOS!$C$17/2*CROQUIS!$C$14,CROQUIS!$C$15+DATOS!$C$17/2*CROQUIS!$C$14)</f>
        <v>13.3895164934478</v>
      </c>
      <c r="E24">
        <f>CHOOSE(MIN(MAX($A24,1),5),CROQUIS!$C$16+DATOS!$C$17/2*CROQUIS!$C$14,CROQUIS!$C$16+DATOS!$C$17/2*CROQUIS!$C$14,CROQUIS!$C$16+CROQUIS!$C$11*CROQUIS!$C$14-DATOS!$C$17/2*CROQUIS!$C$14,CROQUIS!$C$16+CROQUIS!$C$11*CROQUIS!$C$14-DATOS!$C$17/2*CROQUIS!$C$14,CROQUIS!$C$16+DATOS!$C$17/2*CROQUIS!$C$14)</f>
        <v>17.3357433348396</v>
      </c>
      <c r="F24">
        <f>IF(NERVADURA!$C$131=0,CROQUIS!$C$15+CROQUIS!$C$10*CROQUIS!$C$14/2,CROQUIS!$C$15+(DATOS!$C$17/2+NERVADURA!$C$132+INT(MIN(INT(($A24-1)/2),MAX(2*NERVADURA!$C$131-1,0))/2)*DATOS!$C$16+MOD(MIN(INT(($A24-1)/2),MAX(2*NERVADURA!$C$131-1,0)),2)*DATOS!$C$11)*CROQUIS!$C$14)</f>
        <v>66.8951649344781</v>
      </c>
      <c r="G24">
        <f>IF(NERVADURA!$C$131=0,CROQUIS!$C$16+CROQUIS!$C$11*CROQUIS!$C$14/2,CROQUIS!$C$16+IF(MOD(MIN(INT(($A24-1)/2),MAX(2*NERVADURA!$C$131-1,0)),2)=0,IF(IF(INT(($A24-1)/2)&gt;MAX(2*NERVADURA!$C$131-1,0),1,MOD($A24-1,2))=0,(DATOS!$C$17/2+NERVADURA!$C$134),(CROQUIS!$C$11-DATOS!$C$17/2-NERVADURA!$C$134)),IF(IF(INT(($A24-1)/2)&gt;MAX(2*NERVADURA!$C$131-1,0),1,MOD($A24-1,2))=0,(CROQUIS!$C$11-DATOS!$C$17/2-NERVADURA!$C$134),(DATOS!$C$17/2+NERVADURA!$C$134)))*CROQUIS!$C$14)</f>
        <v>21.504292815183</v>
      </c>
      <c r="H24">
        <f>IF(NERVADURA!$C$133=0,CROQUIS!$C$15+CROQUIS!$C$10*CROQUIS!$C$14/2,CROQUIS!$C$15+IF(MOD(MIN(INT(($A24-1)/2),MAX(2*NERVADURA!$C$133-1,0)),2)=0,IF(IF(INT(($A24-1)/2)&gt;MAX(2*NERVADURA!$C$133-1,0),1,MOD($A24-1,2))=0,(DATOS!$C$17/2+NERVADURA!$C$132),(CROQUIS!$C$10-DATOS!$C$17/2-NERVADURA!$C$132)),IF(IF(INT(($A24-1)/2)&gt;MAX(2*NERVADURA!$C$133-1,0),1,MOD($A24-1,2))=0,(CROQUIS!$C$10-DATOS!$C$17/2-NERVADURA!$C$132),(DATOS!$C$17/2+NERVADURA!$C$132)))*CROQUIS!$C$14)</f>
        <v>15.0198825124266</v>
      </c>
      <c r="I24">
        <f>IF(NERVADURA!$C$133=0,CROQUIS!$C$16+CROQUIS!$C$11*CROQUIS!$C$14/2,CROQUIS!$C$16+(DATOS!$C$17/2+NERVADURA!$C$134+INT(MIN(INT(($A24-1)/2),MAX(2*NERVADURA!$C$133-1,0))/2)*DATOS!$C$16+MOD(MIN(INT(($A24-1)/2),MAX(2*NERVADURA!$C$133-1,0)),2)*DATOS!$C$11)*CROQUIS!$C$14)</f>
        <v>73.3795752372345</v>
      </c>
      <c r="CW24" t="n">
        <v>4.327</v>
      </c>
      <c r="CX24" t="n">
        <v>2.921</v>
      </c>
      <c r="CY24" t="n">
        <v>8.85</v>
      </c>
      <c r="CZ24" t="n">
        <v>15.447</v>
      </c>
      <c r="DA24" t="n">
        <v>4.327</v>
      </c>
      <c r="DB24" t="n">
        <v>7.871</v>
      </c>
      <c r="DC24" t="n">
        <v>5.46</v>
      </c>
      <c r="DD24" t="n">
        <v>9.949999999999999</v>
      </c>
      <c r="DE24" t="n">
        <v>0</v>
      </c>
      <c r="DF24" t="n">
        <v>19.447</v>
      </c>
      <c r="DG24" t="n">
        <v>4.327</v>
      </c>
      <c r="DH24" t="n">
        <v>5.946</v>
      </c>
      <c r="DI24" t="n">
        <v>8.85</v>
      </c>
      <c r="DJ24" t="n">
        <v>9.949999999999999</v>
      </c>
      <c r="DM24" t="n">
        <v>8.775</v>
      </c>
      <c r="DN24" t="n">
        <v>7.023</v>
      </c>
      <c r="DO24" t="n">
        <v>2.129</v>
      </c>
      <c r="DP24" t="n">
        <v>17.446</v>
      </c>
      <c r="DQ24" t="inlineStr">
        <is>
          <t>F80018 N+3.00</t>
        </is>
      </c>
      <c r="DR24" t="inlineStr">
        <is>
          <t>N+3.00</t>
        </is>
      </c>
      <c r="DS24" t="n">
        <v>8.85</v>
      </c>
      <c r="DT24" t="n">
        <v>21.446</v>
      </c>
      <c r="DU24" t="n">
        <v>4.925</v>
      </c>
      <c r="DV24" t="n">
        <v>21.446</v>
      </c>
      <c r="DW24" t="n">
        <v>4.925</v>
      </c>
      <c r="DX24" t="n">
        <v>17.446</v>
      </c>
      <c r="DY24" t="n">
        <v>8.85</v>
      </c>
      <c r="DZ24" t="n">
        <v>17.446</v>
      </c>
      <c r="EA24" t="n">
        <v>8.85</v>
      </c>
      <c r="EB24" t="n">
        <v>21.446</v>
      </c>
      <c r="EC24" t="n">
        <v>8.85</v>
      </c>
      <c r="ED24" t="n">
        <v>21.446</v>
      </c>
      <c r="EE24" t="n">
        <v>8.85</v>
      </c>
      <c r="EF24" t="n">
        <v>21.446</v>
      </c>
      <c r="EG24" t="n">
        <v>8.85</v>
      </c>
      <c r="EH24" t="n">
        <v>21.446</v>
      </c>
      <c r="EI24" t="n">
        <v>8.85</v>
      </c>
      <c r="EJ24" t="n">
        <v>21.446</v>
      </c>
      <c r="EK24" t="n">
        <v>8.85</v>
      </c>
      <c r="EL24" t="n">
        <v>21.446</v>
      </c>
      <c r="EM24" t="n">
        <v>8.85</v>
      </c>
      <c r="EN24" t="n">
        <v>21.446</v>
      </c>
      <c r="EO24" t="n">
        <v>8.85</v>
      </c>
      <c r="EP24" t="n">
        <v>21.446</v>
      </c>
      <c r="EQ24" t="n">
        <v>8.85</v>
      </c>
      <c r="ER24" t="n">
        <v>21.446</v>
      </c>
      <c r="ES24" t="n">
        <v>8.85</v>
      </c>
      <c r="ET24" t="n">
        <v>21.446</v>
      </c>
      <c r="EU24" t="n">
        <v>8.85</v>
      </c>
      <c r="EV24" t="n">
        <v>21.446</v>
      </c>
      <c r="EW24" t="n">
        <v>8.85</v>
      </c>
      <c r="EX24" t="n">
        <v>21.446</v>
      </c>
      <c r="EY24" t="n">
        <v>8.85</v>
      </c>
      <c r="EZ24" t="n">
        <v>21.446</v>
      </c>
      <c r="FA24" t="n">
        <v>8.85</v>
      </c>
      <c r="FB24" t="n">
        <v>21.446</v>
      </c>
      <c r="FD24" t="inlineStr">
        <is>
          <t>NP-17</t>
        </is>
      </c>
      <c r="FE24" t="inlineStr">
        <is>
          <t>N+3.00</t>
        </is>
      </c>
      <c r="FF24" t="n">
        <v>-2</v>
      </c>
      <c r="FG24" t="n">
        <v>14.021</v>
      </c>
      <c r="FH24" t="n">
        <v>-2</v>
      </c>
      <c r="FI24" t="n">
        <v>17.446</v>
      </c>
      <c r="FK24">
        <f>IF(INDEX($DR$8:$DR$39,MATCH(CROQUIS!$C$7,$DQ$8:$DQ$39,0))="N+3.00",INDEX($EY$8:$EY$39,MATCH(CROQUIS!$C$7,$DQ$8:$DQ$39,0)),-100)</f>
        <v>0</v>
      </c>
      <c r="FL24">
        <f>IF(INDEX($DR$8:$DR$39,MATCH(CROQUIS!$C$7,$DQ$8:$DQ$39,0))="N+3.00",INDEX($EZ$8:$EZ$39,MATCH(CROQUIS!$C$7,$DQ$8:$DQ$39,0)),-100)</f>
        <v>17.446</v>
      </c>
      <c r="FO24">
        <f>IF(INDEX($DR$8:$DR$39,MATCH(CROQUIS!$C$7,$DQ$8:$DQ$39,0))="N+6.00",INDEX($EY$8:$EY$39,MATCH(CROQUIS!$C$7,$DQ$8:$DQ$39,0)),-100)</f>
        <v>-100</v>
      </c>
      <c r="FP24">
        <f>IF(INDEX($DR$8:$DR$39,MATCH(CROQUIS!$C$7,$DQ$8:$DQ$39,0))="N+6.00",INDEX($EZ$8:$EZ$39,MATCH(CROQUIS!$C$7,$DQ$8:$DQ$39,0)),-100)</f>
        <v>-100</v>
      </c>
      <c r="FT24" t="inlineStr">
        <is>
          <t>F80018</t>
        </is>
      </c>
      <c r="FU24" t="n">
        <v>6.887</v>
      </c>
      <c r="FV24" t="n">
        <v>19.446</v>
      </c>
      <c r="FW24" t="inlineStr">
        <is>
          <t>N+3.00</t>
        </is>
      </c>
    </row>
    <row r="25">
      <c r="A25" t="n">
        <v>18</v>
      </c>
      <c r="B25">
        <f>CHOOSE(MIN(MAX($A25,1),5),CROQUIS!$C$15,CROQUIS!$C$15+CROQUIS!$C$10*CROQUIS!$C$14,CROQUIS!$C$15+CROQUIS!$C$10*CROQUIS!$C$14,CROQUIS!$C$15,CROQUIS!$C$15)</f>
        <v>12</v>
      </c>
      <c r="C25">
        <f>CHOOSE(MIN(MAX($A25,1),5),CROQUIS!$C$16,CROQUIS!$C$16,CROQUIS!$C$16+CROQUIS!$C$11*CROQUIS!$C$14,CROQUIS!$C$16+CROQUIS!$C$11*CROQUIS!$C$14,CROQUIS!$C$16)</f>
        <v>15.9462268413918</v>
      </c>
      <c r="D25">
        <f>CHOOSE(MIN(MAX($A25,1),5),CROQUIS!$C$15+DATOS!$C$17/2*CROQUIS!$C$14,CROQUIS!$C$15+CROQUIS!$C$10*CROQUIS!$C$14-DATOS!$C$17/2*CROQUIS!$C$14,CROQUIS!$C$15+CROQUIS!$C$10*CROQUIS!$C$14-DATOS!$C$17/2*CROQUIS!$C$14,CROQUIS!$C$15+DATOS!$C$17/2*CROQUIS!$C$14,CROQUIS!$C$15+DATOS!$C$17/2*CROQUIS!$C$14)</f>
        <v>13.3895164934478</v>
      </c>
      <c r="E25">
        <f>CHOOSE(MIN(MAX($A25,1),5),CROQUIS!$C$16+DATOS!$C$17/2*CROQUIS!$C$14,CROQUIS!$C$16+DATOS!$C$17/2*CROQUIS!$C$14,CROQUIS!$C$16+CROQUIS!$C$11*CROQUIS!$C$14-DATOS!$C$17/2*CROQUIS!$C$14,CROQUIS!$C$16+CROQUIS!$C$11*CROQUIS!$C$14-DATOS!$C$17/2*CROQUIS!$C$14,CROQUIS!$C$16+DATOS!$C$17/2*CROQUIS!$C$14)</f>
        <v>17.3357433348396</v>
      </c>
      <c r="F25">
        <f>IF(NERVADURA!$C$131=0,CROQUIS!$C$15+CROQUIS!$C$10*CROQUIS!$C$14/2,CROQUIS!$C$15+(DATOS!$C$17/2+NERVADURA!$C$132+INT(MIN(INT(($A25-1)/2),MAX(2*NERVADURA!$C$131-1,0))/2)*DATOS!$C$16+MOD(MIN(INT(($A25-1)/2),MAX(2*NERVADURA!$C$131-1,0)),2)*DATOS!$C$11)*CROQUIS!$C$14)</f>
        <v>66.8951649344781</v>
      </c>
      <c r="G25">
        <f>IF(NERVADURA!$C$131=0,CROQUIS!$C$16+CROQUIS!$C$11*CROQUIS!$C$14/2,CROQUIS!$C$16+IF(MOD(MIN(INT(($A25-1)/2),MAX(2*NERVADURA!$C$131-1,0)),2)=0,IF(IF(INT(($A25-1)/2)&gt;MAX(2*NERVADURA!$C$131-1,0),1,MOD($A25-1,2))=0,(DATOS!$C$17/2+NERVADURA!$C$134),(CROQUIS!$C$11-DATOS!$C$17/2-NERVADURA!$C$134)),IF(IF(INT(($A25-1)/2)&gt;MAX(2*NERVADURA!$C$131-1,0),1,MOD($A25-1,2))=0,(CROQUIS!$C$11-DATOS!$C$17/2-NERVADURA!$C$134),(DATOS!$C$17/2+NERVADURA!$C$134)))*CROQUIS!$C$14)</f>
        <v>84.495707184817</v>
      </c>
      <c r="H25">
        <f>IF(NERVADURA!$C$133=0,CROQUIS!$C$15+CROQUIS!$C$10*CROQUIS!$C$14/2,CROQUIS!$C$15+IF(MOD(MIN(INT(($A25-1)/2),MAX(2*NERVADURA!$C$133-1,0)),2)=0,IF(IF(INT(($A25-1)/2)&gt;MAX(2*NERVADURA!$C$133-1,0),1,MOD($A25-1,2))=0,(DATOS!$C$17/2+NERVADURA!$C$132),(CROQUIS!$C$10-DATOS!$C$17/2-NERVADURA!$C$132)),IF(IF(INT(($A25-1)/2)&gt;MAX(2*NERVADURA!$C$133-1,0),1,MOD($A25-1,2))=0,(CROQUIS!$C$10-DATOS!$C$17/2-NERVADURA!$C$132),(DATOS!$C$17/2+NERVADURA!$C$132)))*CROQUIS!$C$14)</f>
        <v>90.9801174875734</v>
      </c>
      <c r="I25">
        <f>IF(NERVADURA!$C$133=0,CROQUIS!$C$16+CROQUIS!$C$11*CROQUIS!$C$14/2,CROQUIS!$C$16+(DATOS!$C$17/2+NERVADURA!$C$134+INT(MIN(INT(($A25-1)/2),MAX(2*NERVADURA!$C$133-1,0))/2)*DATOS!$C$16+MOD(MIN(INT(($A25-1)/2),MAX(2*NERVADURA!$C$133-1,0)),2)*DATOS!$C$11)*CROQUIS!$C$14)</f>
        <v>73.3795752372345</v>
      </c>
      <c r="CW25" t="n">
        <v>5.923</v>
      </c>
      <c r="CX25" t="n">
        <v>2.921</v>
      </c>
      <c r="DC25" t="n">
        <v>5.46</v>
      </c>
      <c r="DD25" t="n">
        <v>8.91</v>
      </c>
      <c r="DE25" t="n">
        <v>0</v>
      </c>
      <c r="DF25" t="n">
        <v>21.446</v>
      </c>
      <c r="DO25" t="n">
        <v>2.163</v>
      </c>
      <c r="DP25" t="n">
        <v>7.871</v>
      </c>
      <c r="DQ25" t="inlineStr">
        <is>
          <t>F80019 N+3.00</t>
        </is>
      </c>
      <c r="DR25" t="inlineStr">
        <is>
          <t>N+3.00</t>
        </is>
      </c>
      <c r="DS25" t="n">
        <v>0</v>
      </c>
      <c r="DT25" t="n">
        <v>23.446</v>
      </c>
      <c r="DU25" t="n">
        <v>0</v>
      </c>
      <c r="DV25" t="n">
        <v>21.446</v>
      </c>
      <c r="DW25" t="n">
        <v>7.25</v>
      </c>
      <c r="DX25" t="n">
        <v>21.446</v>
      </c>
      <c r="DY25" t="n">
        <v>7.25</v>
      </c>
      <c r="DZ25" t="n">
        <v>23.446</v>
      </c>
      <c r="EA25" t="n">
        <v>0</v>
      </c>
      <c r="EB25" t="n">
        <v>23.446</v>
      </c>
      <c r="EC25" t="n">
        <v>0</v>
      </c>
      <c r="ED25" t="n">
        <v>23.446</v>
      </c>
      <c r="EE25" t="n">
        <v>0</v>
      </c>
      <c r="EF25" t="n">
        <v>23.446</v>
      </c>
      <c r="EG25" t="n">
        <v>0</v>
      </c>
      <c r="EH25" t="n">
        <v>23.446</v>
      </c>
      <c r="EI25" t="n">
        <v>0</v>
      </c>
      <c r="EJ25" t="n">
        <v>23.446</v>
      </c>
      <c r="EK25" t="n">
        <v>0</v>
      </c>
      <c r="EL25" t="n">
        <v>23.446</v>
      </c>
      <c r="EM25" t="n">
        <v>0</v>
      </c>
      <c r="EN25" t="n">
        <v>23.446</v>
      </c>
      <c r="EO25" t="n">
        <v>0</v>
      </c>
      <c r="EP25" t="n">
        <v>23.446</v>
      </c>
      <c r="EQ25" t="n">
        <v>0</v>
      </c>
      <c r="ER25" t="n">
        <v>23.446</v>
      </c>
      <c r="ES25" t="n">
        <v>0</v>
      </c>
      <c r="ET25" t="n">
        <v>23.446</v>
      </c>
      <c r="EU25" t="n">
        <v>0</v>
      </c>
      <c r="EV25" t="n">
        <v>23.446</v>
      </c>
      <c r="EW25" t="n">
        <v>0</v>
      </c>
      <c r="EX25" t="n">
        <v>23.446</v>
      </c>
      <c r="EY25" t="n">
        <v>0</v>
      </c>
      <c r="EZ25" t="n">
        <v>23.446</v>
      </c>
      <c r="FA25" t="n">
        <v>0</v>
      </c>
      <c r="FB25" t="n">
        <v>23.446</v>
      </c>
      <c r="FD25" t="inlineStr">
        <is>
          <t>NP-18</t>
        </is>
      </c>
      <c r="FE25" t="inlineStr">
        <is>
          <t>N+3.00</t>
        </is>
      </c>
      <c r="FF25" t="n">
        <v>3.029</v>
      </c>
      <c r="FG25" t="n">
        <v>15.846</v>
      </c>
      <c r="FH25" t="n">
        <v>3.029</v>
      </c>
      <c r="FI25" t="n">
        <v>17.446</v>
      </c>
      <c r="FK25">
        <f>IF(INDEX($DR$8:$DR$39,MATCH(CROQUIS!$C$7,$DQ$8:$DQ$39,0))="N+3.00",INDEX($FA$8:$FA$39,MATCH(CROQUIS!$C$7,$DQ$8:$DQ$39,0)),-100)</f>
        <v>0</v>
      </c>
      <c r="FL25">
        <f>IF(INDEX($DR$8:$DR$39,MATCH(CROQUIS!$C$7,$DQ$8:$DQ$39,0))="N+3.00",INDEX($FB$8:$FB$39,MATCH(CROQUIS!$C$7,$DQ$8:$DQ$39,0)),-100)</f>
        <v>17.446</v>
      </c>
      <c r="FO25">
        <f>IF(INDEX($DR$8:$DR$39,MATCH(CROQUIS!$C$7,$DQ$8:$DQ$39,0))="N+6.00",INDEX($FA$8:$FA$39,MATCH(CROQUIS!$C$7,$DQ$8:$DQ$39,0)),-100)</f>
        <v>-100</v>
      </c>
      <c r="FP25">
        <f>IF(INDEX($DR$8:$DR$39,MATCH(CROQUIS!$C$7,$DQ$8:$DQ$39,0))="N+6.00",INDEX($FB$8:$FB$39,MATCH(CROQUIS!$C$7,$DQ$8:$DQ$39,0)),-100)</f>
        <v>-100</v>
      </c>
      <c r="FT25" t="inlineStr">
        <is>
          <t>F80019</t>
        </is>
      </c>
      <c r="FU25" t="n">
        <v>3.625</v>
      </c>
      <c r="FV25" t="n">
        <v>22.446</v>
      </c>
      <c r="FW25" t="inlineStr">
        <is>
          <t>N+3.00</t>
        </is>
      </c>
    </row>
    <row r="26">
      <c r="A26" t="n">
        <v>19</v>
      </c>
      <c r="B26">
        <f>CHOOSE(MIN(MAX($A26,1),5),CROQUIS!$C$15,CROQUIS!$C$15+CROQUIS!$C$10*CROQUIS!$C$14,CROQUIS!$C$15+CROQUIS!$C$10*CROQUIS!$C$14,CROQUIS!$C$15,CROQUIS!$C$15)</f>
        <v>12</v>
      </c>
      <c r="C26">
        <f>CHOOSE(MIN(MAX($A26,1),5),CROQUIS!$C$16,CROQUIS!$C$16,CROQUIS!$C$16+CROQUIS!$C$11*CROQUIS!$C$14,CROQUIS!$C$16+CROQUIS!$C$11*CROQUIS!$C$14,CROQUIS!$C$16)</f>
        <v>15.9462268413918</v>
      </c>
      <c r="D26">
        <f>CHOOSE(MIN(MAX($A26,1),5),CROQUIS!$C$15+DATOS!$C$17/2*CROQUIS!$C$14,CROQUIS!$C$15+CROQUIS!$C$10*CROQUIS!$C$14-DATOS!$C$17/2*CROQUIS!$C$14,CROQUIS!$C$15+CROQUIS!$C$10*CROQUIS!$C$14-DATOS!$C$17/2*CROQUIS!$C$14,CROQUIS!$C$15+DATOS!$C$17/2*CROQUIS!$C$14,CROQUIS!$C$15+DATOS!$C$17/2*CROQUIS!$C$14)</f>
        <v>13.3895164934478</v>
      </c>
      <c r="E26">
        <f>CHOOSE(MIN(MAX($A26,1),5),CROQUIS!$C$16+DATOS!$C$17/2*CROQUIS!$C$14,CROQUIS!$C$16+DATOS!$C$17/2*CROQUIS!$C$14,CROQUIS!$C$16+CROQUIS!$C$11*CROQUIS!$C$14-DATOS!$C$17/2*CROQUIS!$C$14,CROQUIS!$C$16+CROQUIS!$C$11*CROQUIS!$C$14-DATOS!$C$17/2*CROQUIS!$C$14,CROQUIS!$C$16+DATOS!$C$17/2*CROQUIS!$C$14)</f>
        <v>17.3357433348396</v>
      </c>
      <c r="F26">
        <f>IF(NERVADURA!$C$131=0,CROQUIS!$C$15+CROQUIS!$C$10*CROQUIS!$C$14/2,CROQUIS!$C$15+(DATOS!$C$17/2+NERVADURA!$C$132+INT(MIN(INT(($A26-1)/2),MAX(2*NERVADURA!$C$131-1,0))/2)*DATOS!$C$16+MOD(MIN(INT(($A26-1)/2),MAX(2*NERVADURA!$C$131-1,0)),2)*DATOS!$C$11)*CROQUIS!$C$14)</f>
        <v>78.0112968820606</v>
      </c>
      <c r="G26">
        <f>IF(NERVADURA!$C$131=0,CROQUIS!$C$16+CROQUIS!$C$11*CROQUIS!$C$14/2,CROQUIS!$C$16+IF(MOD(MIN(INT(($A26-1)/2),MAX(2*NERVADURA!$C$131-1,0)),2)=0,IF(IF(INT(($A26-1)/2)&gt;MAX(2*NERVADURA!$C$131-1,0),1,MOD($A26-1,2))=0,(DATOS!$C$17/2+NERVADURA!$C$134),(CROQUIS!$C$11-DATOS!$C$17/2-NERVADURA!$C$134)),IF(IF(INT(($A26-1)/2)&gt;MAX(2*NERVADURA!$C$131-1,0),1,MOD($A26-1,2))=0,(CROQUIS!$C$11-DATOS!$C$17/2-NERVADURA!$C$134),(DATOS!$C$17/2+NERVADURA!$C$134)))*CROQUIS!$C$14)</f>
        <v>84.495707184817</v>
      </c>
      <c r="H26">
        <f>IF(NERVADURA!$C$133=0,CROQUIS!$C$15+CROQUIS!$C$10*CROQUIS!$C$14/2,CROQUIS!$C$15+IF(MOD(MIN(INT(($A26-1)/2),MAX(2*NERVADURA!$C$133-1,0)),2)=0,IF(IF(INT(($A26-1)/2)&gt;MAX(2*NERVADURA!$C$133-1,0),1,MOD($A26-1,2))=0,(DATOS!$C$17/2+NERVADURA!$C$132),(CROQUIS!$C$10-DATOS!$C$17/2-NERVADURA!$C$132)),IF(IF(INT(($A26-1)/2)&gt;MAX(2*NERVADURA!$C$133-1,0),1,MOD($A26-1,2))=0,(CROQUIS!$C$10-DATOS!$C$17/2-NERVADURA!$C$132),(DATOS!$C$17/2+NERVADURA!$C$132)))*CROQUIS!$C$14)</f>
        <v>90.9801174875734</v>
      </c>
      <c r="I26">
        <f>IF(NERVADURA!$C$133=0,CROQUIS!$C$16+CROQUIS!$C$11*CROQUIS!$C$14/2,CROQUIS!$C$16+(DATOS!$C$17/2+NERVADURA!$C$134+INT(MIN(INT(($A26-1)/2),MAX(2*NERVADURA!$C$133-1,0))/2)*DATOS!$C$16+MOD(MIN(INT(($A26-1)/2),MAX(2*NERVADURA!$C$133-1,0)),2)*DATOS!$C$11)*CROQUIS!$C$14)</f>
        <v>84.495707184817</v>
      </c>
      <c r="CW26" t="n">
        <v>5.923</v>
      </c>
      <c r="CX26" t="n">
        <v>5.946</v>
      </c>
      <c r="CY26" t="n">
        <v>4.925</v>
      </c>
      <c r="CZ26" t="n">
        <v>17.446</v>
      </c>
      <c r="DA26" t="n">
        <v>5.441</v>
      </c>
      <c r="DB26" t="n">
        <v>8.91</v>
      </c>
      <c r="DC26" t="n">
        <v>7.35</v>
      </c>
      <c r="DD26" t="n">
        <v>8.91</v>
      </c>
      <c r="DE26" t="n">
        <v>0</v>
      </c>
      <c r="DF26" t="n">
        <v>24.371</v>
      </c>
      <c r="DG26" t="n">
        <v>0</v>
      </c>
      <c r="DH26" t="n">
        <v>2.921</v>
      </c>
      <c r="DI26" t="n">
        <v>0</v>
      </c>
      <c r="DJ26" t="n">
        <v>14.021</v>
      </c>
      <c r="DM26" t="n">
        <v>5.998</v>
      </c>
      <c r="DN26" t="n">
        <v>7.023</v>
      </c>
      <c r="DO26" t="n">
        <v>2.927</v>
      </c>
      <c r="DP26" t="n">
        <v>21.446</v>
      </c>
      <c r="DQ26" t="inlineStr">
        <is>
          <t>F80020 N+3.00</t>
        </is>
      </c>
      <c r="DR26" t="inlineStr">
        <is>
          <t>N+3.00</t>
        </is>
      </c>
      <c r="DS26" t="n">
        <v>7.25</v>
      </c>
      <c r="DT26" t="n">
        <v>24.371</v>
      </c>
      <c r="DU26" t="n">
        <v>7.25</v>
      </c>
      <c r="DV26" t="n">
        <v>21.446</v>
      </c>
      <c r="DW26" t="n">
        <v>8.85</v>
      </c>
      <c r="DX26" t="n">
        <v>21.446</v>
      </c>
      <c r="DY26" t="n">
        <v>8.85</v>
      </c>
      <c r="DZ26" t="n">
        <v>24.371</v>
      </c>
      <c r="EA26" t="n">
        <v>7.25</v>
      </c>
      <c r="EB26" t="n">
        <v>24.371</v>
      </c>
      <c r="EC26" t="n">
        <v>7.25</v>
      </c>
      <c r="ED26" t="n">
        <v>24.371</v>
      </c>
      <c r="EE26" t="n">
        <v>7.25</v>
      </c>
      <c r="EF26" t="n">
        <v>24.371</v>
      </c>
      <c r="EG26" t="n">
        <v>7.25</v>
      </c>
      <c r="EH26" t="n">
        <v>24.371</v>
      </c>
      <c r="EI26" t="n">
        <v>7.25</v>
      </c>
      <c r="EJ26" t="n">
        <v>24.371</v>
      </c>
      <c r="EK26" t="n">
        <v>7.25</v>
      </c>
      <c r="EL26" t="n">
        <v>24.371</v>
      </c>
      <c r="EM26" t="n">
        <v>7.25</v>
      </c>
      <c r="EN26" t="n">
        <v>24.371</v>
      </c>
      <c r="EO26" t="n">
        <v>7.25</v>
      </c>
      <c r="EP26" t="n">
        <v>24.371</v>
      </c>
      <c r="EQ26" t="n">
        <v>7.25</v>
      </c>
      <c r="ER26" t="n">
        <v>24.371</v>
      </c>
      <c r="ES26" t="n">
        <v>7.25</v>
      </c>
      <c r="ET26" t="n">
        <v>24.371</v>
      </c>
      <c r="EU26" t="n">
        <v>7.25</v>
      </c>
      <c r="EV26" t="n">
        <v>24.371</v>
      </c>
      <c r="EW26" t="n">
        <v>7.25</v>
      </c>
      <c r="EX26" t="n">
        <v>24.371</v>
      </c>
      <c r="EY26" t="n">
        <v>7.25</v>
      </c>
      <c r="EZ26" t="n">
        <v>24.371</v>
      </c>
      <c r="FA26" t="n">
        <v>7.25</v>
      </c>
      <c r="FB26" t="n">
        <v>24.371</v>
      </c>
      <c r="FD26" t="inlineStr">
        <is>
          <t>NP-19</t>
        </is>
      </c>
      <c r="FE26" t="inlineStr">
        <is>
          <t>N+3.00</t>
        </is>
      </c>
      <c r="FF26" t="n">
        <v>3.427</v>
      </c>
      <c r="FG26" t="n">
        <v>14.021</v>
      </c>
      <c r="FH26" t="n">
        <v>3.427</v>
      </c>
      <c r="FI26" t="n">
        <v>15.846</v>
      </c>
      <c r="FT26" t="inlineStr">
        <is>
          <t>F80020</t>
        </is>
      </c>
      <c r="FU26" t="n">
        <v>8.050000000000001</v>
      </c>
      <c r="FV26" t="n">
        <v>22.909</v>
      </c>
      <c r="FW26" t="inlineStr">
        <is>
          <t>N+3.00</t>
        </is>
      </c>
    </row>
    <row r="27">
      <c r="A27" t="n">
        <v>20</v>
      </c>
      <c r="B27">
        <f>CHOOSE(MIN(MAX($A27,1),5),CROQUIS!$C$15,CROQUIS!$C$15+CROQUIS!$C$10*CROQUIS!$C$14,CROQUIS!$C$15+CROQUIS!$C$10*CROQUIS!$C$14,CROQUIS!$C$15,CROQUIS!$C$15)</f>
        <v>12</v>
      </c>
      <c r="C27">
        <f>CHOOSE(MIN(MAX($A27,1),5),CROQUIS!$C$16,CROQUIS!$C$16,CROQUIS!$C$16+CROQUIS!$C$11*CROQUIS!$C$14,CROQUIS!$C$16+CROQUIS!$C$11*CROQUIS!$C$14,CROQUIS!$C$16)</f>
        <v>15.9462268413918</v>
      </c>
      <c r="D27">
        <f>CHOOSE(MIN(MAX($A27,1),5),CROQUIS!$C$15+DATOS!$C$17/2*CROQUIS!$C$14,CROQUIS!$C$15+CROQUIS!$C$10*CROQUIS!$C$14-DATOS!$C$17/2*CROQUIS!$C$14,CROQUIS!$C$15+CROQUIS!$C$10*CROQUIS!$C$14-DATOS!$C$17/2*CROQUIS!$C$14,CROQUIS!$C$15+DATOS!$C$17/2*CROQUIS!$C$14,CROQUIS!$C$15+DATOS!$C$17/2*CROQUIS!$C$14)</f>
        <v>13.3895164934478</v>
      </c>
      <c r="E27">
        <f>CHOOSE(MIN(MAX($A27,1),5),CROQUIS!$C$16+DATOS!$C$17/2*CROQUIS!$C$14,CROQUIS!$C$16+DATOS!$C$17/2*CROQUIS!$C$14,CROQUIS!$C$16+CROQUIS!$C$11*CROQUIS!$C$14-DATOS!$C$17/2*CROQUIS!$C$14,CROQUIS!$C$16+CROQUIS!$C$11*CROQUIS!$C$14-DATOS!$C$17/2*CROQUIS!$C$14,CROQUIS!$C$16+DATOS!$C$17/2*CROQUIS!$C$14)</f>
        <v>17.3357433348396</v>
      </c>
      <c r="F27">
        <f>IF(NERVADURA!$C$131=0,CROQUIS!$C$15+CROQUIS!$C$10*CROQUIS!$C$14/2,CROQUIS!$C$15+(DATOS!$C$17/2+NERVADURA!$C$132+INT(MIN(INT(($A27-1)/2),MAX(2*NERVADURA!$C$131-1,0))/2)*DATOS!$C$16+MOD(MIN(INT(($A27-1)/2),MAX(2*NERVADURA!$C$131-1,0)),2)*DATOS!$C$11)*CROQUIS!$C$14)</f>
        <v>78.0112968820606</v>
      </c>
      <c r="G27">
        <f>IF(NERVADURA!$C$131=0,CROQUIS!$C$16+CROQUIS!$C$11*CROQUIS!$C$14/2,CROQUIS!$C$16+IF(MOD(MIN(INT(($A27-1)/2),MAX(2*NERVADURA!$C$131-1,0)),2)=0,IF(IF(INT(($A27-1)/2)&gt;MAX(2*NERVADURA!$C$131-1,0),1,MOD($A27-1,2))=0,(DATOS!$C$17/2+NERVADURA!$C$134),(CROQUIS!$C$11-DATOS!$C$17/2-NERVADURA!$C$134)),IF(IF(INT(($A27-1)/2)&gt;MAX(2*NERVADURA!$C$131-1,0),1,MOD($A27-1,2))=0,(CROQUIS!$C$11-DATOS!$C$17/2-NERVADURA!$C$134),(DATOS!$C$17/2+NERVADURA!$C$134)))*CROQUIS!$C$14)</f>
        <v>21.504292815183</v>
      </c>
      <c r="H27">
        <f>IF(NERVADURA!$C$133=0,CROQUIS!$C$15+CROQUIS!$C$10*CROQUIS!$C$14/2,CROQUIS!$C$15+IF(MOD(MIN(INT(($A27-1)/2),MAX(2*NERVADURA!$C$133-1,0)),2)=0,IF(IF(INT(($A27-1)/2)&gt;MAX(2*NERVADURA!$C$133-1,0),1,MOD($A27-1,2))=0,(DATOS!$C$17/2+NERVADURA!$C$132),(CROQUIS!$C$10-DATOS!$C$17/2-NERVADURA!$C$132)),IF(IF(INT(($A27-1)/2)&gt;MAX(2*NERVADURA!$C$133-1,0),1,MOD($A27-1,2))=0,(CROQUIS!$C$10-DATOS!$C$17/2-NERVADURA!$C$132),(DATOS!$C$17/2+NERVADURA!$C$132)))*CROQUIS!$C$14)</f>
        <v>15.0198825124266</v>
      </c>
      <c r="I27">
        <f>IF(NERVADURA!$C$133=0,CROQUIS!$C$16+CROQUIS!$C$11*CROQUIS!$C$14/2,CROQUIS!$C$16+(DATOS!$C$17/2+NERVADURA!$C$134+INT(MIN(INT(($A27-1)/2),MAX(2*NERVADURA!$C$133-1,0))/2)*DATOS!$C$16+MOD(MIN(INT(($A27-1)/2),MAX(2*NERVADURA!$C$133-1,0)),2)*DATOS!$C$11)*CROQUIS!$C$14)</f>
        <v>84.495707184817</v>
      </c>
      <c r="CY27" t="n">
        <v>8.85</v>
      </c>
      <c r="CZ27" t="n">
        <v>17.446</v>
      </c>
      <c r="DA27" t="n">
        <v>7.35</v>
      </c>
      <c r="DB27" t="n">
        <v>8.91</v>
      </c>
      <c r="DC27" t="n">
        <v>7.35</v>
      </c>
      <c r="DD27" t="n">
        <v>9.949999999999999</v>
      </c>
      <c r="DE27" t="n">
        <v>0.35</v>
      </c>
      <c r="DF27" t="n">
        <v>21.446</v>
      </c>
      <c r="DG27" t="n">
        <v>4.327</v>
      </c>
      <c r="DH27" t="n">
        <v>2.921</v>
      </c>
      <c r="DI27" t="n">
        <v>4.247</v>
      </c>
      <c r="DJ27" t="n">
        <v>14.021</v>
      </c>
      <c r="DM27" t="n">
        <v>8.775</v>
      </c>
      <c r="DN27" t="n">
        <v>9.875</v>
      </c>
      <c r="DO27" t="n">
        <v>3.029</v>
      </c>
      <c r="DP27" t="n">
        <v>15.846</v>
      </c>
      <c r="DQ27" t="inlineStr">
        <is>
          <t>F80021 N+3.00</t>
        </is>
      </c>
      <c r="DR27" t="inlineStr">
        <is>
          <t>N+3.00</t>
        </is>
      </c>
      <c r="DS27" t="n">
        <v>0</v>
      </c>
      <c r="DT27" t="n">
        <v>21.446</v>
      </c>
      <c r="DU27" t="n">
        <v>0</v>
      </c>
      <c r="DV27" t="n">
        <v>24.371</v>
      </c>
      <c r="DW27" t="n">
        <v>-1.6</v>
      </c>
      <c r="DX27" t="n">
        <v>24.371</v>
      </c>
      <c r="DY27" t="n">
        <v>-1.6</v>
      </c>
      <c r="DZ27" t="n">
        <v>21.446</v>
      </c>
      <c r="EA27" t="n">
        <v>0</v>
      </c>
      <c r="EB27" t="n">
        <v>21.446</v>
      </c>
      <c r="EC27" t="n">
        <v>0</v>
      </c>
      <c r="ED27" t="n">
        <v>21.446</v>
      </c>
      <c r="EE27" t="n">
        <v>0</v>
      </c>
      <c r="EF27" t="n">
        <v>21.446</v>
      </c>
      <c r="EG27" t="n">
        <v>0</v>
      </c>
      <c r="EH27" t="n">
        <v>21.446</v>
      </c>
      <c r="EI27" t="n">
        <v>0</v>
      </c>
      <c r="EJ27" t="n">
        <v>21.446</v>
      </c>
      <c r="EK27" t="n">
        <v>0</v>
      </c>
      <c r="EL27" t="n">
        <v>21.446</v>
      </c>
      <c r="EM27" t="n">
        <v>0</v>
      </c>
      <c r="EN27" t="n">
        <v>21.446</v>
      </c>
      <c r="EO27" t="n">
        <v>0</v>
      </c>
      <c r="EP27" t="n">
        <v>21.446</v>
      </c>
      <c r="EQ27" t="n">
        <v>0</v>
      </c>
      <c r="ER27" t="n">
        <v>21.446</v>
      </c>
      <c r="ES27" t="n">
        <v>0</v>
      </c>
      <c r="ET27" t="n">
        <v>21.446</v>
      </c>
      <c r="EU27" t="n">
        <v>0</v>
      </c>
      <c r="EV27" t="n">
        <v>21.446</v>
      </c>
      <c r="EW27" t="n">
        <v>0</v>
      </c>
      <c r="EX27" t="n">
        <v>21.446</v>
      </c>
      <c r="EY27" t="n">
        <v>0</v>
      </c>
      <c r="EZ27" t="n">
        <v>21.446</v>
      </c>
      <c r="FA27" t="n">
        <v>0</v>
      </c>
      <c r="FB27" t="n">
        <v>21.446</v>
      </c>
      <c r="FD27" t="inlineStr">
        <is>
          <t>NP-20</t>
        </is>
      </c>
      <c r="FE27" t="inlineStr">
        <is>
          <t>N+3.00</t>
        </is>
      </c>
      <c r="FF27" t="n">
        <v>4.327</v>
      </c>
      <c r="FG27" t="n">
        <v>1.919</v>
      </c>
      <c r="FH27" t="n">
        <v>4.327</v>
      </c>
      <c r="FI27" t="n">
        <v>2.921</v>
      </c>
      <c r="FT27" t="inlineStr">
        <is>
          <t>F80021</t>
        </is>
      </c>
      <c r="FU27" t="n">
        <v>-0.8</v>
      </c>
      <c r="FV27" t="n">
        <v>22.909</v>
      </c>
      <c r="FW27" t="inlineStr">
        <is>
          <t>N+3.00</t>
        </is>
      </c>
    </row>
    <row r="28">
      <c r="A28" t="n">
        <v>21</v>
      </c>
      <c r="B28">
        <f>CHOOSE(MIN(MAX($A28,1),5),CROQUIS!$C$15,CROQUIS!$C$15+CROQUIS!$C$10*CROQUIS!$C$14,CROQUIS!$C$15+CROQUIS!$C$10*CROQUIS!$C$14,CROQUIS!$C$15,CROQUIS!$C$15)</f>
        <v>12</v>
      </c>
      <c r="C28">
        <f>CHOOSE(MIN(MAX($A28,1),5),CROQUIS!$C$16,CROQUIS!$C$16,CROQUIS!$C$16+CROQUIS!$C$11*CROQUIS!$C$14,CROQUIS!$C$16+CROQUIS!$C$11*CROQUIS!$C$14,CROQUIS!$C$16)</f>
        <v>15.9462268413918</v>
      </c>
      <c r="D28">
        <f>CHOOSE(MIN(MAX($A28,1),5),CROQUIS!$C$15+DATOS!$C$17/2*CROQUIS!$C$14,CROQUIS!$C$15+CROQUIS!$C$10*CROQUIS!$C$14-DATOS!$C$17/2*CROQUIS!$C$14,CROQUIS!$C$15+CROQUIS!$C$10*CROQUIS!$C$14-DATOS!$C$17/2*CROQUIS!$C$14,CROQUIS!$C$15+DATOS!$C$17/2*CROQUIS!$C$14,CROQUIS!$C$15+DATOS!$C$17/2*CROQUIS!$C$14)</f>
        <v>13.3895164934478</v>
      </c>
      <c r="E28">
        <f>CHOOSE(MIN(MAX($A28,1),5),CROQUIS!$C$16+DATOS!$C$17/2*CROQUIS!$C$14,CROQUIS!$C$16+DATOS!$C$17/2*CROQUIS!$C$14,CROQUIS!$C$16+CROQUIS!$C$11*CROQUIS!$C$14-DATOS!$C$17/2*CROQUIS!$C$14,CROQUIS!$C$16+CROQUIS!$C$11*CROQUIS!$C$14-DATOS!$C$17/2*CROQUIS!$C$14,CROQUIS!$C$16+DATOS!$C$17/2*CROQUIS!$C$14)</f>
        <v>17.3357433348396</v>
      </c>
      <c r="F28">
        <f>IF(NERVADURA!$C$131=0,CROQUIS!$C$15+CROQUIS!$C$10*CROQUIS!$C$14/2,CROQUIS!$C$15+(DATOS!$C$17/2+NERVADURA!$C$132+INT(MIN(INT(($A28-1)/2),MAX(2*NERVADURA!$C$131-1,0))/2)*DATOS!$C$16+MOD(MIN(INT(($A28-1)/2),MAX(2*NERVADURA!$C$131-1,0)),2)*DATOS!$C$11)*CROQUIS!$C$14)</f>
        <v>79.863985539991</v>
      </c>
      <c r="G28">
        <f>IF(NERVADURA!$C$131=0,CROQUIS!$C$16+CROQUIS!$C$11*CROQUIS!$C$14/2,CROQUIS!$C$16+IF(MOD(MIN(INT(($A28-1)/2),MAX(2*NERVADURA!$C$131-1,0)),2)=0,IF(IF(INT(($A28-1)/2)&gt;MAX(2*NERVADURA!$C$131-1,0),1,MOD($A28-1,2))=0,(DATOS!$C$17/2+NERVADURA!$C$134),(CROQUIS!$C$11-DATOS!$C$17/2-NERVADURA!$C$134)),IF(IF(INT(($A28-1)/2)&gt;MAX(2*NERVADURA!$C$131-1,0),1,MOD($A28-1,2))=0,(CROQUIS!$C$11-DATOS!$C$17/2-NERVADURA!$C$134),(DATOS!$C$17/2+NERVADURA!$C$134)))*CROQUIS!$C$14)</f>
        <v>21.504292815183</v>
      </c>
      <c r="H28">
        <f>IF(NERVADURA!$C$133=0,CROQUIS!$C$15+CROQUIS!$C$10*CROQUIS!$C$14/2,CROQUIS!$C$15+IF(MOD(MIN(INT(($A28-1)/2),MAX(2*NERVADURA!$C$133-1,0)),2)=0,IF(IF(INT(($A28-1)/2)&gt;MAX(2*NERVADURA!$C$133-1,0),1,MOD($A28-1,2))=0,(DATOS!$C$17/2+NERVADURA!$C$132),(CROQUIS!$C$10-DATOS!$C$17/2-NERVADURA!$C$132)),IF(IF(INT(($A28-1)/2)&gt;MAX(2*NERVADURA!$C$133-1,0),1,MOD($A28-1,2))=0,(CROQUIS!$C$10-DATOS!$C$17/2-NERVADURA!$C$132),(DATOS!$C$17/2+NERVADURA!$C$132)))*CROQUIS!$C$14)</f>
        <v>15.0198825124266</v>
      </c>
      <c r="I28">
        <f>IF(NERVADURA!$C$133=0,CROQUIS!$C$16+CROQUIS!$C$11*CROQUIS!$C$14/2,CROQUIS!$C$16+(DATOS!$C$17/2+NERVADURA!$C$134+INT(MIN(INT(($A28-1)/2),MAX(2*NERVADURA!$C$133-1,0))/2)*DATOS!$C$16+MOD(MIN(INT(($A28-1)/2),MAX(2*NERVADURA!$C$133-1,0)),2)*DATOS!$C$11)*CROQUIS!$C$14)</f>
        <v>84.495707184817</v>
      </c>
      <c r="CW28" t="n">
        <v>0</v>
      </c>
      <c r="CX28" t="n">
        <v>5.346</v>
      </c>
      <c r="DC28" t="n">
        <v>8.85</v>
      </c>
      <c r="DD28" t="n">
        <v>9.949999999999999</v>
      </c>
      <c r="DE28" t="n">
        <v>1.075</v>
      </c>
      <c r="DF28" t="n">
        <v>5.346</v>
      </c>
      <c r="DG28" t="n">
        <v>4.327</v>
      </c>
      <c r="DH28" t="n">
        <v>7.871</v>
      </c>
      <c r="DO28" t="n">
        <v>3.029</v>
      </c>
      <c r="DP28" t="n">
        <v>17.446</v>
      </c>
      <c r="DQ28" t="inlineStr">
        <is>
          <t>F2 N+6.00</t>
        </is>
      </c>
      <c r="DR28" t="inlineStr">
        <is>
          <t>N+6.00</t>
        </is>
      </c>
      <c r="DS28" t="n">
        <v>4.327</v>
      </c>
      <c r="DT28" t="n">
        <v>1.919</v>
      </c>
      <c r="DU28" t="n">
        <v>4.327</v>
      </c>
      <c r="DV28" t="n">
        <v>2.921</v>
      </c>
      <c r="DW28" t="n">
        <v>0</v>
      </c>
      <c r="DX28" t="n">
        <v>2.921</v>
      </c>
      <c r="DY28" t="n">
        <v>0</v>
      </c>
      <c r="DZ28" t="n">
        <v>1.919</v>
      </c>
      <c r="EA28" t="n">
        <v>4.327</v>
      </c>
      <c r="EB28" t="n">
        <v>1.919</v>
      </c>
      <c r="EC28" t="n">
        <v>4.327</v>
      </c>
      <c r="ED28" t="n">
        <v>1.919</v>
      </c>
      <c r="EE28" t="n">
        <v>4.327</v>
      </c>
      <c r="EF28" t="n">
        <v>1.919</v>
      </c>
      <c r="EG28" t="n">
        <v>4.327</v>
      </c>
      <c r="EH28" t="n">
        <v>1.919</v>
      </c>
      <c r="EI28" t="n">
        <v>4.327</v>
      </c>
      <c r="EJ28" t="n">
        <v>1.919</v>
      </c>
      <c r="EK28" t="n">
        <v>4.327</v>
      </c>
      <c r="EL28" t="n">
        <v>1.919</v>
      </c>
      <c r="EM28" t="n">
        <v>4.327</v>
      </c>
      <c r="EN28" t="n">
        <v>1.919</v>
      </c>
      <c r="EO28" t="n">
        <v>4.327</v>
      </c>
      <c r="EP28" t="n">
        <v>1.919</v>
      </c>
      <c r="EQ28" t="n">
        <v>4.327</v>
      </c>
      <c r="ER28" t="n">
        <v>1.919</v>
      </c>
      <c r="ES28" t="n">
        <v>4.327</v>
      </c>
      <c r="ET28" t="n">
        <v>1.919</v>
      </c>
      <c r="EU28" t="n">
        <v>4.327</v>
      </c>
      <c r="EV28" t="n">
        <v>1.919</v>
      </c>
      <c r="EW28" t="n">
        <v>4.327</v>
      </c>
      <c r="EX28" t="n">
        <v>1.919</v>
      </c>
      <c r="EY28" t="n">
        <v>4.327</v>
      </c>
      <c r="EZ28" t="n">
        <v>1.919</v>
      </c>
      <c r="FA28" t="n">
        <v>4.327</v>
      </c>
      <c r="FB28" t="n">
        <v>1.919</v>
      </c>
      <c r="FD28" t="inlineStr">
        <is>
          <t>NP-21</t>
        </is>
      </c>
      <c r="FE28" t="inlineStr">
        <is>
          <t>N+3.00</t>
        </is>
      </c>
      <c r="FF28" t="n">
        <v>4.327</v>
      </c>
      <c r="FG28" t="n">
        <v>2.921</v>
      </c>
      <c r="FH28" t="n">
        <v>4.327</v>
      </c>
      <c r="FI28" t="n">
        <v>5.946</v>
      </c>
      <c r="FT28" t="inlineStr">
        <is>
          <t>F2</t>
        </is>
      </c>
      <c r="FU28" t="n">
        <v>2.163</v>
      </c>
      <c r="FV28" t="n">
        <v>2.42</v>
      </c>
      <c r="FW28" t="inlineStr">
        <is>
          <t>N+6.00</t>
        </is>
      </c>
    </row>
    <row r="29">
      <c r="A29" t="n">
        <v>22</v>
      </c>
      <c r="B29">
        <f>CHOOSE(MIN(MAX($A29,1),5),CROQUIS!$C$15,CROQUIS!$C$15+CROQUIS!$C$10*CROQUIS!$C$14,CROQUIS!$C$15+CROQUIS!$C$10*CROQUIS!$C$14,CROQUIS!$C$15,CROQUIS!$C$15)</f>
        <v>12</v>
      </c>
      <c r="C29">
        <f>CHOOSE(MIN(MAX($A29,1),5),CROQUIS!$C$16,CROQUIS!$C$16,CROQUIS!$C$16+CROQUIS!$C$11*CROQUIS!$C$14,CROQUIS!$C$16+CROQUIS!$C$11*CROQUIS!$C$14,CROQUIS!$C$16)</f>
        <v>15.9462268413918</v>
      </c>
      <c r="D29">
        <f>CHOOSE(MIN(MAX($A29,1),5),CROQUIS!$C$15+DATOS!$C$17/2*CROQUIS!$C$14,CROQUIS!$C$15+CROQUIS!$C$10*CROQUIS!$C$14-DATOS!$C$17/2*CROQUIS!$C$14,CROQUIS!$C$15+CROQUIS!$C$10*CROQUIS!$C$14-DATOS!$C$17/2*CROQUIS!$C$14,CROQUIS!$C$15+DATOS!$C$17/2*CROQUIS!$C$14,CROQUIS!$C$15+DATOS!$C$17/2*CROQUIS!$C$14)</f>
        <v>13.3895164934478</v>
      </c>
      <c r="E29">
        <f>CHOOSE(MIN(MAX($A29,1),5),CROQUIS!$C$16+DATOS!$C$17/2*CROQUIS!$C$14,CROQUIS!$C$16+DATOS!$C$17/2*CROQUIS!$C$14,CROQUIS!$C$16+CROQUIS!$C$11*CROQUIS!$C$14-DATOS!$C$17/2*CROQUIS!$C$14,CROQUIS!$C$16+CROQUIS!$C$11*CROQUIS!$C$14-DATOS!$C$17/2*CROQUIS!$C$14,CROQUIS!$C$16+DATOS!$C$17/2*CROQUIS!$C$14)</f>
        <v>17.3357433348396</v>
      </c>
      <c r="F29">
        <f>IF(NERVADURA!$C$131=0,CROQUIS!$C$15+CROQUIS!$C$10*CROQUIS!$C$14/2,CROQUIS!$C$15+(DATOS!$C$17/2+NERVADURA!$C$132+INT(MIN(INT(($A29-1)/2),MAX(2*NERVADURA!$C$131-1,0))/2)*DATOS!$C$16+MOD(MIN(INT(($A29-1)/2),MAX(2*NERVADURA!$C$131-1,0)),2)*DATOS!$C$11)*CROQUIS!$C$14)</f>
        <v>79.863985539991</v>
      </c>
      <c r="G29">
        <f>IF(NERVADURA!$C$131=0,CROQUIS!$C$16+CROQUIS!$C$11*CROQUIS!$C$14/2,CROQUIS!$C$16+IF(MOD(MIN(INT(($A29-1)/2),MAX(2*NERVADURA!$C$131-1,0)),2)=0,IF(IF(INT(($A29-1)/2)&gt;MAX(2*NERVADURA!$C$131-1,0),1,MOD($A29-1,2))=0,(DATOS!$C$17/2+NERVADURA!$C$134),(CROQUIS!$C$11-DATOS!$C$17/2-NERVADURA!$C$134)),IF(IF(INT(($A29-1)/2)&gt;MAX(2*NERVADURA!$C$131-1,0),1,MOD($A29-1,2))=0,(CROQUIS!$C$11-DATOS!$C$17/2-NERVADURA!$C$134),(DATOS!$C$17/2+NERVADURA!$C$134)))*CROQUIS!$C$14)</f>
        <v>84.495707184817</v>
      </c>
      <c r="H29">
        <f>IF(NERVADURA!$C$133=0,CROQUIS!$C$15+CROQUIS!$C$10*CROQUIS!$C$14/2,CROQUIS!$C$15+IF(MOD(MIN(INT(($A29-1)/2),MAX(2*NERVADURA!$C$133-1,0)),2)=0,IF(IF(INT(($A29-1)/2)&gt;MAX(2*NERVADURA!$C$133-1,0),1,MOD($A29-1,2))=0,(DATOS!$C$17/2+NERVADURA!$C$132),(CROQUIS!$C$10-DATOS!$C$17/2-NERVADURA!$C$132)),IF(IF(INT(($A29-1)/2)&gt;MAX(2*NERVADURA!$C$133-1,0),1,MOD($A29-1,2))=0,(CROQUIS!$C$10-DATOS!$C$17/2-NERVADURA!$C$132),(DATOS!$C$17/2+NERVADURA!$C$132)))*CROQUIS!$C$14)</f>
        <v>15.0198825124266</v>
      </c>
      <c r="I29">
        <f>IF(NERVADURA!$C$133=0,CROQUIS!$C$16+CROQUIS!$C$11*CROQUIS!$C$14/2,CROQUIS!$C$16+(DATOS!$C$17/2+NERVADURA!$C$134+INT(MIN(INT(($A29-1)/2),MAX(2*NERVADURA!$C$133-1,0))/2)*DATOS!$C$16+MOD(MIN(INT(($A29-1)/2),MAX(2*NERVADURA!$C$133-1,0)),2)*DATOS!$C$11)*CROQUIS!$C$14)</f>
        <v>84.495707184817</v>
      </c>
      <c r="CW29" t="n">
        <v>2.925</v>
      </c>
      <c r="CX29" t="n">
        <v>5.346</v>
      </c>
      <c r="CY29" t="n">
        <v>-1.6</v>
      </c>
      <c r="CZ29" t="n">
        <v>21.446</v>
      </c>
      <c r="DA29" t="n">
        <v>5.422</v>
      </c>
      <c r="DB29" t="n">
        <v>9.949999999999999</v>
      </c>
      <c r="DE29" t="n">
        <v>2.925</v>
      </c>
      <c r="DF29" t="n">
        <v>5.346</v>
      </c>
      <c r="DG29" t="n">
        <v>0</v>
      </c>
      <c r="DH29" t="n">
        <v>7.871</v>
      </c>
      <c r="DI29" t="n">
        <v>6.247</v>
      </c>
      <c r="DJ29" t="n">
        <v>14.247</v>
      </c>
      <c r="DM29" t="n">
        <v>5.998</v>
      </c>
      <c r="DN29" t="n">
        <v>9.875</v>
      </c>
      <c r="DO29" t="n">
        <v>3.427</v>
      </c>
      <c r="DP29" t="n">
        <v>14.021</v>
      </c>
      <c r="DQ29" t="inlineStr">
        <is>
          <t>F80010 N+6.00</t>
        </is>
      </c>
      <c r="DR29" t="inlineStr">
        <is>
          <t>N+6.00</t>
        </is>
      </c>
      <c r="DS29" t="n">
        <v>3.427</v>
      </c>
      <c r="DT29" t="n">
        <v>14.021</v>
      </c>
      <c r="DU29" t="n">
        <v>3.427</v>
      </c>
      <c r="DV29" t="n">
        <v>15.846</v>
      </c>
      <c r="DW29" t="n">
        <v>0</v>
      </c>
      <c r="DX29" t="n">
        <v>15.846</v>
      </c>
      <c r="DY29" t="n">
        <v>0</v>
      </c>
      <c r="DZ29" t="n">
        <v>14.021</v>
      </c>
      <c r="EA29" t="n">
        <v>3.427</v>
      </c>
      <c r="EB29" t="n">
        <v>14.021</v>
      </c>
      <c r="EC29" t="n">
        <v>3.427</v>
      </c>
      <c r="ED29" t="n">
        <v>14.021</v>
      </c>
      <c r="EE29" t="n">
        <v>3.427</v>
      </c>
      <c r="EF29" t="n">
        <v>14.021</v>
      </c>
      <c r="EG29" t="n">
        <v>3.427</v>
      </c>
      <c r="EH29" t="n">
        <v>14.021</v>
      </c>
      <c r="EI29" t="n">
        <v>3.427</v>
      </c>
      <c r="EJ29" t="n">
        <v>14.021</v>
      </c>
      <c r="EK29" t="n">
        <v>3.427</v>
      </c>
      <c r="EL29" t="n">
        <v>14.021</v>
      </c>
      <c r="EM29" t="n">
        <v>3.427</v>
      </c>
      <c r="EN29" t="n">
        <v>14.021</v>
      </c>
      <c r="EO29" t="n">
        <v>3.427</v>
      </c>
      <c r="EP29" t="n">
        <v>14.021</v>
      </c>
      <c r="EQ29" t="n">
        <v>3.427</v>
      </c>
      <c r="ER29" t="n">
        <v>14.021</v>
      </c>
      <c r="ES29" t="n">
        <v>3.427</v>
      </c>
      <c r="ET29" t="n">
        <v>14.021</v>
      </c>
      <c r="EU29" t="n">
        <v>3.427</v>
      </c>
      <c r="EV29" t="n">
        <v>14.021</v>
      </c>
      <c r="EW29" t="n">
        <v>3.427</v>
      </c>
      <c r="EX29" t="n">
        <v>14.021</v>
      </c>
      <c r="EY29" t="n">
        <v>3.427</v>
      </c>
      <c r="EZ29" t="n">
        <v>14.021</v>
      </c>
      <c r="FA29" t="n">
        <v>3.427</v>
      </c>
      <c r="FB29" t="n">
        <v>14.021</v>
      </c>
      <c r="FD29" t="inlineStr">
        <is>
          <t>NP-22</t>
        </is>
      </c>
      <c r="FE29" t="inlineStr">
        <is>
          <t>N+3.00</t>
        </is>
      </c>
      <c r="FF29" t="n">
        <v>4.327</v>
      </c>
      <c r="FG29" t="n">
        <v>5.946</v>
      </c>
      <c r="FH29" t="n">
        <v>4.327</v>
      </c>
      <c r="FI29" t="n">
        <v>7.871</v>
      </c>
      <c r="FT29" t="inlineStr">
        <is>
          <t>F80010</t>
        </is>
      </c>
      <c r="FU29" t="n">
        <v>1.714</v>
      </c>
      <c r="FV29" t="n">
        <v>14.934</v>
      </c>
      <c r="FW29" t="inlineStr">
        <is>
          <t>N+6.00</t>
        </is>
      </c>
    </row>
    <row r="30">
      <c r="A30" t="n">
        <v>23</v>
      </c>
      <c r="B30">
        <f>CHOOSE(MIN(MAX($A30,1),5),CROQUIS!$C$15,CROQUIS!$C$15+CROQUIS!$C$10*CROQUIS!$C$14,CROQUIS!$C$15+CROQUIS!$C$10*CROQUIS!$C$14,CROQUIS!$C$15,CROQUIS!$C$15)</f>
        <v>12</v>
      </c>
      <c r="C30">
        <f>CHOOSE(MIN(MAX($A30,1),5),CROQUIS!$C$16,CROQUIS!$C$16,CROQUIS!$C$16+CROQUIS!$C$11*CROQUIS!$C$14,CROQUIS!$C$16+CROQUIS!$C$11*CROQUIS!$C$14,CROQUIS!$C$16)</f>
        <v>15.9462268413918</v>
      </c>
      <c r="D30">
        <f>CHOOSE(MIN(MAX($A30,1),5),CROQUIS!$C$15+DATOS!$C$17/2*CROQUIS!$C$14,CROQUIS!$C$15+CROQUIS!$C$10*CROQUIS!$C$14-DATOS!$C$17/2*CROQUIS!$C$14,CROQUIS!$C$15+CROQUIS!$C$10*CROQUIS!$C$14-DATOS!$C$17/2*CROQUIS!$C$14,CROQUIS!$C$15+DATOS!$C$17/2*CROQUIS!$C$14,CROQUIS!$C$15+DATOS!$C$17/2*CROQUIS!$C$14)</f>
        <v>13.3895164934478</v>
      </c>
      <c r="E30">
        <f>CHOOSE(MIN(MAX($A30,1),5),CROQUIS!$C$16+DATOS!$C$17/2*CROQUIS!$C$14,CROQUIS!$C$16+DATOS!$C$17/2*CROQUIS!$C$14,CROQUIS!$C$16+CROQUIS!$C$11*CROQUIS!$C$14-DATOS!$C$17/2*CROQUIS!$C$14,CROQUIS!$C$16+CROQUIS!$C$11*CROQUIS!$C$14-DATOS!$C$17/2*CROQUIS!$C$14,CROQUIS!$C$16+DATOS!$C$17/2*CROQUIS!$C$14)</f>
        <v>17.3357433348396</v>
      </c>
      <c r="F30">
        <f>IF(NERVADURA!$C$131=0,CROQUIS!$C$15+CROQUIS!$C$10*CROQUIS!$C$14/2,CROQUIS!$C$15+(DATOS!$C$17/2+NERVADURA!$C$132+INT(MIN(INT(($A30-1)/2),MAX(2*NERVADURA!$C$131-1,0))/2)*DATOS!$C$16+MOD(MIN(INT(($A30-1)/2),MAX(2*NERVADURA!$C$131-1,0)),2)*DATOS!$C$11)*CROQUIS!$C$14)</f>
        <v>90.9801174875734</v>
      </c>
      <c r="G30">
        <f>IF(NERVADURA!$C$131=0,CROQUIS!$C$16+CROQUIS!$C$11*CROQUIS!$C$14/2,CROQUIS!$C$16+IF(MOD(MIN(INT(($A30-1)/2),MAX(2*NERVADURA!$C$131-1,0)),2)=0,IF(IF(INT(($A30-1)/2)&gt;MAX(2*NERVADURA!$C$131-1,0),1,MOD($A30-1,2))=0,(DATOS!$C$17/2+NERVADURA!$C$134),(CROQUIS!$C$11-DATOS!$C$17/2-NERVADURA!$C$134)),IF(IF(INT(($A30-1)/2)&gt;MAX(2*NERVADURA!$C$131-1,0),1,MOD($A30-1,2))=0,(CROQUIS!$C$11-DATOS!$C$17/2-NERVADURA!$C$134),(DATOS!$C$17/2+NERVADURA!$C$134)))*CROQUIS!$C$14)</f>
        <v>84.495707184817</v>
      </c>
      <c r="H30">
        <f>IF(NERVADURA!$C$133=0,CROQUIS!$C$15+CROQUIS!$C$10*CROQUIS!$C$14/2,CROQUIS!$C$15+IF(MOD(MIN(INT(($A30-1)/2),MAX(2*NERVADURA!$C$133-1,0)),2)=0,IF(IF(INT(($A30-1)/2)&gt;MAX(2*NERVADURA!$C$133-1,0),1,MOD($A30-1,2))=0,(DATOS!$C$17/2+NERVADURA!$C$132),(CROQUIS!$C$10-DATOS!$C$17/2-NERVADURA!$C$132)),IF(IF(INT(($A30-1)/2)&gt;MAX(2*NERVADURA!$C$133-1,0),1,MOD($A30-1,2))=0,(CROQUIS!$C$10-DATOS!$C$17/2-NERVADURA!$C$132),(DATOS!$C$17/2+NERVADURA!$C$132)))*CROQUIS!$C$14)</f>
        <v>15.0198825124266</v>
      </c>
      <c r="I30">
        <f>IF(NERVADURA!$C$133=0,CROQUIS!$C$16+CROQUIS!$C$11*CROQUIS!$C$14/2,CROQUIS!$C$16+(DATOS!$C$17/2+NERVADURA!$C$134+INT(MIN(INT(($A30-1)/2),MAX(2*NERVADURA!$C$133-1,0))/2)*DATOS!$C$16+MOD(MIN(INT(($A30-1)/2),MAX(2*NERVADURA!$C$133-1,0)),2)*DATOS!$C$11)*CROQUIS!$C$14)</f>
        <v>84.495707184817</v>
      </c>
      <c r="CW30" t="n">
        <v>2.925</v>
      </c>
      <c r="CX30" t="n">
        <v>6.948</v>
      </c>
      <c r="CY30" t="n">
        <v>8.85</v>
      </c>
      <c r="CZ30" t="n">
        <v>21.446</v>
      </c>
      <c r="DA30" t="n">
        <v>8.144</v>
      </c>
      <c r="DB30" t="n">
        <v>9.949999999999999</v>
      </c>
      <c r="DC30" t="n">
        <v>5.422</v>
      </c>
      <c r="DD30" t="n">
        <v>6.948</v>
      </c>
      <c r="DE30" t="n">
        <v>2.925</v>
      </c>
      <c r="DF30" t="n">
        <v>6.046</v>
      </c>
      <c r="DG30" t="n">
        <v>0</v>
      </c>
      <c r="DH30" t="n">
        <v>2.921</v>
      </c>
      <c r="DI30" t="n">
        <v>8.85</v>
      </c>
      <c r="DJ30" t="n">
        <v>14.247</v>
      </c>
      <c r="DM30" t="n">
        <v>8.775</v>
      </c>
      <c r="DN30" t="n">
        <v>7.023</v>
      </c>
      <c r="DO30" t="n">
        <v>3.427</v>
      </c>
      <c r="DP30" t="n">
        <v>14.796</v>
      </c>
      <c r="DQ30" t="inlineStr">
        <is>
          <t>F80023 N+6.00</t>
        </is>
      </c>
      <c r="DR30" t="inlineStr">
        <is>
          <t>N+6.00</t>
        </is>
      </c>
      <c r="DS30" t="n">
        <v>4.327</v>
      </c>
      <c r="DT30" t="n">
        <v>5.946</v>
      </c>
      <c r="DU30" t="n">
        <v>4.327</v>
      </c>
      <c r="DV30" t="n">
        <v>2.921</v>
      </c>
      <c r="DW30" t="n">
        <v>5.923</v>
      </c>
      <c r="DX30" t="n">
        <v>2.921</v>
      </c>
      <c r="DY30" t="n">
        <v>5.923</v>
      </c>
      <c r="DZ30" t="n">
        <v>5.946</v>
      </c>
      <c r="EA30" t="n">
        <v>4.327</v>
      </c>
      <c r="EB30" t="n">
        <v>5.946</v>
      </c>
      <c r="EC30" t="n">
        <v>4.327</v>
      </c>
      <c r="ED30" t="n">
        <v>5.946</v>
      </c>
      <c r="EE30" t="n">
        <v>4.327</v>
      </c>
      <c r="EF30" t="n">
        <v>5.946</v>
      </c>
      <c r="EG30" t="n">
        <v>4.327</v>
      </c>
      <c r="EH30" t="n">
        <v>5.946</v>
      </c>
      <c r="EI30" t="n">
        <v>4.327</v>
      </c>
      <c r="EJ30" t="n">
        <v>5.946</v>
      </c>
      <c r="EK30" t="n">
        <v>4.327</v>
      </c>
      <c r="EL30" t="n">
        <v>5.946</v>
      </c>
      <c r="EM30" t="n">
        <v>4.327</v>
      </c>
      <c r="EN30" t="n">
        <v>5.946</v>
      </c>
      <c r="EO30" t="n">
        <v>4.327</v>
      </c>
      <c r="EP30" t="n">
        <v>5.946</v>
      </c>
      <c r="EQ30" t="n">
        <v>4.327</v>
      </c>
      <c r="ER30" t="n">
        <v>5.946</v>
      </c>
      <c r="ES30" t="n">
        <v>4.327</v>
      </c>
      <c r="ET30" t="n">
        <v>5.946</v>
      </c>
      <c r="EU30" t="n">
        <v>4.327</v>
      </c>
      <c r="EV30" t="n">
        <v>5.946</v>
      </c>
      <c r="EW30" t="n">
        <v>4.327</v>
      </c>
      <c r="EX30" t="n">
        <v>5.946</v>
      </c>
      <c r="EY30" t="n">
        <v>4.327</v>
      </c>
      <c r="EZ30" t="n">
        <v>5.946</v>
      </c>
      <c r="FA30" t="n">
        <v>4.327</v>
      </c>
      <c r="FB30" t="n">
        <v>5.946</v>
      </c>
      <c r="FD30" t="inlineStr">
        <is>
          <t>NP-23</t>
        </is>
      </c>
      <c r="FE30" t="inlineStr">
        <is>
          <t>N+3.00</t>
        </is>
      </c>
      <c r="FF30" t="n">
        <v>4.327</v>
      </c>
      <c r="FG30" t="n">
        <v>7.871</v>
      </c>
      <c r="FH30" t="n">
        <v>4.327</v>
      </c>
      <c r="FI30" t="n">
        <v>14.021</v>
      </c>
      <c r="FT30" t="inlineStr">
        <is>
          <t>F80023</t>
        </is>
      </c>
      <c r="FU30" t="n">
        <v>5.125</v>
      </c>
      <c r="FV30" t="n">
        <v>4.433</v>
      </c>
      <c r="FW30" t="inlineStr">
        <is>
          <t>N+6.00</t>
        </is>
      </c>
    </row>
    <row r="31">
      <c r="A31" t="n">
        <v>24</v>
      </c>
      <c r="B31">
        <f>CHOOSE(MIN(MAX($A31,1),5),CROQUIS!$C$15,CROQUIS!$C$15+CROQUIS!$C$10*CROQUIS!$C$14,CROQUIS!$C$15+CROQUIS!$C$10*CROQUIS!$C$14,CROQUIS!$C$15,CROQUIS!$C$15)</f>
        <v>12</v>
      </c>
      <c r="C31">
        <f>CHOOSE(MIN(MAX($A31,1),5),CROQUIS!$C$16,CROQUIS!$C$16,CROQUIS!$C$16+CROQUIS!$C$11*CROQUIS!$C$14,CROQUIS!$C$16+CROQUIS!$C$11*CROQUIS!$C$14,CROQUIS!$C$16)</f>
        <v>15.9462268413918</v>
      </c>
      <c r="D31">
        <f>CHOOSE(MIN(MAX($A31,1),5),CROQUIS!$C$15+DATOS!$C$17/2*CROQUIS!$C$14,CROQUIS!$C$15+CROQUIS!$C$10*CROQUIS!$C$14-DATOS!$C$17/2*CROQUIS!$C$14,CROQUIS!$C$15+CROQUIS!$C$10*CROQUIS!$C$14-DATOS!$C$17/2*CROQUIS!$C$14,CROQUIS!$C$15+DATOS!$C$17/2*CROQUIS!$C$14,CROQUIS!$C$15+DATOS!$C$17/2*CROQUIS!$C$14)</f>
        <v>13.3895164934478</v>
      </c>
      <c r="E31">
        <f>CHOOSE(MIN(MAX($A31,1),5),CROQUIS!$C$16+DATOS!$C$17/2*CROQUIS!$C$14,CROQUIS!$C$16+DATOS!$C$17/2*CROQUIS!$C$14,CROQUIS!$C$16+CROQUIS!$C$11*CROQUIS!$C$14-DATOS!$C$17/2*CROQUIS!$C$14,CROQUIS!$C$16+CROQUIS!$C$11*CROQUIS!$C$14-DATOS!$C$17/2*CROQUIS!$C$14,CROQUIS!$C$16+DATOS!$C$17/2*CROQUIS!$C$14)</f>
        <v>17.3357433348396</v>
      </c>
      <c r="F31">
        <f>IF(NERVADURA!$C$131=0,CROQUIS!$C$15+CROQUIS!$C$10*CROQUIS!$C$14/2,CROQUIS!$C$15+(DATOS!$C$17/2+NERVADURA!$C$132+INT(MIN(INT(($A31-1)/2),MAX(2*NERVADURA!$C$131-1,0))/2)*DATOS!$C$16+MOD(MIN(INT(($A31-1)/2),MAX(2*NERVADURA!$C$131-1,0)),2)*DATOS!$C$11)*CROQUIS!$C$14)</f>
        <v>90.9801174875734</v>
      </c>
      <c r="G31">
        <f>IF(NERVADURA!$C$131=0,CROQUIS!$C$16+CROQUIS!$C$11*CROQUIS!$C$14/2,CROQUIS!$C$16+IF(MOD(MIN(INT(($A31-1)/2),MAX(2*NERVADURA!$C$131-1,0)),2)=0,IF(IF(INT(($A31-1)/2)&gt;MAX(2*NERVADURA!$C$131-1,0),1,MOD($A31-1,2))=0,(DATOS!$C$17/2+NERVADURA!$C$134),(CROQUIS!$C$11-DATOS!$C$17/2-NERVADURA!$C$134)),IF(IF(INT(($A31-1)/2)&gt;MAX(2*NERVADURA!$C$131-1,0),1,MOD($A31-1,2))=0,(CROQUIS!$C$11-DATOS!$C$17/2-NERVADURA!$C$134),(DATOS!$C$17/2+NERVADURA!$C$134)))*CROQUIS!$C$14)</f>
        <v>21.504292815183</v>
      </c>
      <c r="H31">
        <f>IF(NERVADURA!$C$133=0,CROQUIS!$C$15+CROQUIS!$C$10*CROQUIS!$C$14/2,CROQUIS!$C$15+IF(MOD(MIN(INT(($A31-1)/2),MAX(2*NERVADURA!$C$133-1,0)),2)=0,IF(IF(INT(($A31-1)/2)&gt;MAX(2*NERVADURA!$C$133-1,0),1,MOD($A31-1,2))=0,(DATOS!$C$17/2+NERVADURA!$C$132),(CROQUIS!$C$10-DATOS!$C$17/2-NERVADURA!$C$132)),IF(IF(INT(($A31-1)/2)&gt;MAX(2*NERVADURA!$C$133-1,0),1,MOD($A31-1,2))=0,(CROQUIS!$C$10-DATOS!$C$17/2-NERVADURA!$C$132),(DATOS!$C$17/2+NERVADURA!$C$132)))*CROQUIS!$C$14)</f>
        <v>15.0198825124266</v>
      </c>
      <c r="I31">
        <f>IF(NERVADURA!$C$133=0,CROQUIS!$C$16+CROQUIS!$C$11*CROQUIS!$C$14/2,CROQUIS!$C$16+(DATOS!$C$17/2+NERVADURA!$C$134+INT(MIN(INT(($A31-1)/2),MAX(2*NERVADURA!$C$133-1,0))/2)*DATOS!$C$16+MOD(MIN(INT(($A31-1)/2),MAX(2*NERVADURA!$C$133-1,0)),2)*DATOS!$C$11)*CROQUIS!$C$14)</f>
        <v>84.495707184817</v>
      </c>
      <c r="CW31" t="n">
        <v>0</v>
      </c>
      <c r="CX31" t="n">
        <v>6.948</v>
      </c>
      <c r="DC31" t="n">
        <v>8.85</v>
      </c>
      <c r="DD31" t="n">
        <v>9.949999999999999</v>
      </c>
      <c r="DE31" t="n">
        <v>2.925</v>
      </c>
      <c r="DF31" t="n">
        <v>6.948</v>
      </c>
      <c r="DO31" t="n">
        <v>3.427</v>
      </c>
      <c r="DP31" t="n">
        <v>15.846</v>
      </c>
      <c r="DQ31" t="inlineStr">
        <is>
          <t>F80024 N+6.00</t>
        </is>
      </c>
      <c r="DR31" t="inlineStr">
        <is>
          <t>N+6.00</t>
        </is>
      </c>
      <c r="DS31" t="n">
        <v>0</v>
      </c>
      <c r="DT31" t="n">
        <v>2.921</v>
      </c>
      <c r="DU31" t="n">
        <v>4.327</v>
      </c>
      <c r="DV31" t="n">
        <v>2.921</v>
      </c>
      <c r="DW31" t="n">
        <v>4.327</v>
      </c>
      <c r="DX31" t="n">
        <v>7.871</v>
      </c>
      <c r="DY31" t="n">
        <v>0</v>
      </c>
      <c r="DZ31" t="n">
        <v>7.871</v>
      </c>
      <c r="EA31" t="n">
        <v>0</v>
      </c>
      <c r="EB31" t="n">
        <v>2.921</v>
      </c>
      <c r="EC31" t="n">
        <v>0</v>
      </c>
      <c r="ED31" t="n">
        <v>2.921</v>
      </c>
      <c r="EE31" t="n">
        <v>0</v>
      </c>
      <c r="EF31" t="n">
        <v>2.921</v>
      </c>
      <c r="EG31" t="n">
        <v>0</v>
      </c>
      <c r="EH31" t="n">
        <v>2.921</v>
      </c>
      <c r="EI31" t="n">
        <v>0</v>
      </c>
      <c r="EJ31" t="n">
        <v>2.921</v>
      </c>
      <c r="EK31" t="n">
        <v>0</v>
      </c>
      <c r="EL31" t="n">
        <v>2.921</v>
      </c>
      <c r="EM31" t="n">
        <v>0</v>
      </c>
      <c r="EN31" t="n">
        <v>2.921</v>
      </c>
      <c r="EO31" t="n">
        <v>0</v>
      </c>
      <c r="EP31" t="n">
        <v>2.921</v>
      </c>
      <c r="EQ31" t="n">
        <v>0</v>
      </c>
      <c r="ER31" t="n">
        <v>2.921</v>
      </c>
      <c r="ES31" t="n">
        <v>0</v>
      </c>
      <c r="ET31" t="n">
        <v>2.921</v>
      </c>
      <c r="EU31" t="n">
        <v>0</v>
      </c>
      <c r="EV31" t="n">
        <v>2.921</v>
      </c>
      <c r="EW31" t="n">
        <v>0</v>
      </c>
      <c r="EX31" t="n">
        <v>2.921</v>
      </c>
      <c r="EY31" t="n">
        <v>0</v>
      </c>
      <c r="EZ31" t="n">
        <v>2.921</v>
      </c>
      <c r="FA31" t="n">
        <v>0</v>
      </c>
      <c r="FB31" t="n">
        <v>2.921</v>
      </c>
      <c r="FD31" t="inlineStr">
        <is>
          <t>NP-24</t>
        </is>
      </c>
      <c r="FE31" t="inlineStr">
        <is>
          <t>N+3.00</t>
        </is>
      </c>
      <c r="FF31" t="n">
        <v>4.426</v>
      </c>
      <c r="FG31" t="n">
        <v>17.446</v>
      </c>
      <c r="FH31" t="n">
        <v>4.426</v>
      </c>
      <c r="FI31" t="n">
        <v>21.446</v>
      </c>
      <c r="FT31" t="inlineStr">
        <is>
          <t>F80024</t>
        </is>
      </c>
      <c r="FU31" t="n">
        <v>2.163</v>
      </c>
      <c r="FV31" t="n">
        <v>5.396</v>
      </c>
      <c r="FW31" t="inlineStr">
        <is>
          <t>N+6.00</t>
        </is>
      </c>
    </row>
    <row r="32">
      <c r="A32" t="n">
        <v>25</v>
      </c>
      <c r="B32">
        <f>CHOOSE(MIN(MAX($A32,1),5),CROQUIS!$C$15,CROQUIS!$C$15+CROQUIS!$C$10*CROQUIS!$C$14,CROQUIS!$C$15+CROQUIS!$C$10*CROQUIS!$C$14,CROQUIS!$C$15,CROQUIS!$C$15)</f>
        <v>12</v>
      </c>
      <c r="C32">
        <f>CHOOSE(MIN(MAX($A32,1),5),CROQUIS!$C$16,CROQUIS!$C$16,CROQUIS!$C$16+CROQUIS!$C$11*CROQUIS!$C$14,CROQUIS!$C$16+CROQUIS!$C$11*CROQUIS!$C$14,CROQUIS!$C$16)</f>
        <v>15.9462268413918</v>
      </c>
      <c r="D32">
        <f>CHOOSE(MIN(MAX($A32,1),5),CROQUIS!$C$15+DATOS!$C$17/2*CROQUIS!$C$14,CROQUIS!$C$15+CROQUIS!$C$10*CROQUIS!$C$14-DATOS!$C$17/2*CROQUIS!$C$14,CROQUIS!$C$15+CROQUIS!$C$10*CROQUIS!$C$14-DATOS!$C$17/2*CROQUIS!$C$14,CROQUIS!$C$15+DATOS!$C$17/2*CROQUIS!$C$14,CROQUIS!$C$15+DATOS!$C$17/2*CROQUIS!$C$14)</f>
        <v>13.3895164934478</v>
      </c>
      <c r="E32">
        <f>CHOOSE(MIN(MAX($A32,1),5),CROQUIS!$C$16+DATOS!$C$17/2*CROQUIS!$C$14,CROQUIS!$C$16+DATOS!$C$17/2*CROQUIS!$C$14,CROQUIS!$C$16+CROQUIS!$C$11*CROQUIS!$C$14-DATOS!$C$17/2*CROQUIS!$C$14,CROQUIS!$C$16+CROQUIS!$C$11*CROQUIS!$C$14-DATOS!$C$17/2*CROQUIS!$C$14,CROQUIS!$C$16+DATOS!$C$17/2*CROQUIS!$C$14)</f>
        <v>17.3357433348396</v>
      </c>
      <c r="F32">
        <f>IF(NERVADURA!$C$131=0,CROQUIS!$C$15+CROQUIS!$C$10*CROQUIS!$C$14/2,CROQUIS!$C$15+(DATOS!$C$17/2+NERVADURA!$C$132+INT(MIN(INT(($A32-1)/2),MAX(2*NERVADURA!$C$131-1,0))/2)*DATOS!$C$16+MOD(MIN(INT(($A32-1)/2),MAX(2*NERVADURA!$C$131-1,0)),2)*DATOS!$C$11)*CROQUIS!$C$14)</f>
        <v>90.9801174875734</v>
      </c>
      <c r="G32">
        <f>IF(NERVADURA!$C$131=0,CROQUIS!$C$16+CROQUIS!$C$11*CROQUIS!$C$14/2,CROQUIS!$C$16+IF(MOD(MIN(INT(($A32-1)/2),MAX(2*NERVADURA!$C$131-1,0)),2)=0,IF(IF(INT(($A32-1)/2)&gt;MAX(2*NERVADURA!$C$131-1,0),1,MOD($A32-1,2))=0,(DATOS!$C$17/2+NERVADURA!$C$134),(CROQUIS!$C$11-DATOS!$C$17/2-NERVADURA!$C$134)),IF(IF(INT(($A32-1)/2)&gt;MAX(2*NERVADURA!$C$131-1,0),1,MOD($A32-1,2))=0,(CROQUIS!$C$11-DATOS!$C$17/2-NERVADURA!$C$134),(DATOS!$C$17/2+NERVADURA!$C$134)))*CROQUIS!$C$14)</f>
        <v>21.504292815183</v>
      </c>
      <c r="H32">
        <f>IF(NERVADURA!$C$133=0,CROQUIS!$C$15+CROQUIS!$C$10*CROQUIS!$C$14/2,CROQUIS!$C$15+IF(MOD(MIN(INT(($A32-1)/2),MAX(2*NERVADURA!$C$133-1,0)),2)=0,IF(IF(INT(($A32-1)/2)&gt;MAX(2*NERVADURA!$C$133-1,0),1,MOD($A32-1,2))=0,(DATOS!$C$17/2+NERVADURA!$C$132),(CROQUIS!$C$10-DATOS!$C$17/2-NERVADURA!$C$132)),IF(IF(INT(($A32-1)/2)&gt;MAX(2*NERVADURA!$C$133-1,0),1,MOD($A32-1,2))=0,(CROQUIS!$C$10-DATOS!$C$17/2-NERVADURA!$C$132),(DATOS!$C$17/2+NERVADURA!$C$132)))*CROQUIS!$C$14)</f>
        <v>15.0198825124266</v>
      </c>
      <c r="I32">
        <f>IF(NERVADURA!$C$133=0,CROQUIS!$C$16+CROQUIS!$C$11*CROQUIS!$C$14/2,CROQUIS!$C$16+(DATOS!$C$17/2+NERVADURA!$C$134+INT(MIN(INT(($A32-1)/2),MAX(2*NERVADURA!$C$133-1,0))/2)*DATOS!$C$16+MOD(MIN(INT(($A32-1)/2),MAX(2*NERVADURA!$C$133-1,0)),2)*DATOS!$C$11)*CROQUIS!$C$14)</f>
        <v>84.495707184817</v>
      </c>
      <c r="CW32" t="n">
        <v>0</v>
      </c>
      <c r="CX32" t="n">
        <v>5.346</v>
      </c>
      <c r="CY32" t="n">
        <v>-1.6</v>
      </c>
      <c r="CZ32" t="n">
        <v>24.371</v>
      </c>
      <c r="DA32" t="n">
        <v>-2</v>
      </c>
      <c r="DB32" t="n">
        <v>14.021</v>
      </c>
      <c r="DE32" t="n">
        <v>3.648</v>
      </c>
      <c r="DF32" t="n">
        <v>5.946</v>
      </c>
      <c r="DG32" t="n">
        <v>8.85</v>
      </c>
      <c r="DH32" t="n">
        <v>15.846</v>
      </c>
      <c r="DI32" t="n">
        <v>0</v>
      </c>
      <c r="DJ32" t="n">
        <v>15.846</v>
      </c>
      <c r="DM32" t="n">
        <v>5.998</v>
      </c>
      <c r="DN32" t="n">
        <v>17.072</v>
      </c>
      <c r="DO32" t="n">
        <v>3.429</v>
      </c>
      <c r="DP32" t="n">
        <v>17.446</v>
      </c>
      <c r="DQ32" t="inlineStr">
        <is>
          <t>F80025 N+6.00</t>
        </is>
      </c>
      <c r="DR32" t="inlineStr">
        <is>
          <t>N+6.00</t>
        </is>
      </c>
      <c r="DS32" t="n">
        <v>8.85</v>
      </c>
      <c r="DT32" t="n">
        <v>15.846</v>
      </c>
      <c r="DU32" t="n">
        <v>5.422</v>
      </c>
      <c r="DV32" t="n">
        <v>15.846</v>
      </c>
      <c r="DW32" t="n">
        <v>5.422</v>
      </c>
      <c r="DX32" t="n">
        <v>9.949999999999999</v>
      </c>
      <c r="DY32" t="n">
        <v>8.85</v>
      </c>
      <c r="DZ32" t="n">
        <v>9.949999999999999</v>
      </c>
      <c r="EA32" t="n">
        <v>8.85</v>
      </c>
      <c r="EB32" t="n">
        <v>15.846</v>
      </c>
      <c r="EC32" t="n">
        <v>8.85</v>
      </c>
      <c r="ED32" t="n">
        <v>15.846</v>
      </c>
      <c r="EE32" t="n">
        <v>8.85</v>
      </c>
      <c r="EF32" t="n">
        <v>15.846</v>
      </c>
      <c r="EG32" t="n">
        <v>8.85</v>
      </c>
      <c r="EH32" t="n">
        <v>15.846</v>
      </c>
      <c r="EI32" t="n">
        <v>8.85</v>
      </c>
      <c r="EJ32" t="n">
        <v>15.846</v>
      </c>
      <c r="EK32" t="n">
        <v>8.85</v>
      </c>
      <c r="EL32" t="n">
        <v>15.846</v>
      </c>
      <c r="EM32" t="n">
        <v>8.85</v>
      </c>
      <c r="EN32" t="n">
        <v>15.846</v>
      </c>
      <c r="EO32" t="n">
        <v>8.85</v>
      </c>
      <c r="EP32" t="n">
        <v>15.846</v>
      </c>
      <c r="EQ32" t="n">
        <v>8.85</v>
      </c>
      <c r="ER32" t="n">
        <v>15.846</v>
      </c>
      <c r="ES32" t="n">
        <v>8.85</v>
      </c>
      <c r="ET32" t="n">
        <v>15.846</v>
      </c>
      <c r="EU32" t="n">
        <v>8.85</v>
      </c>
      <c r="EV32" t="n">
        <v>15.846</v>
      </c>
      <c r="EW32" t="n">
        <v>8.85</v>
      </c>
      <c r="EX32" t="n">
        <v>15.846</v>
      </c>
      <c r="EY32" t="n">
        <v>8.85</v>
      </c>
      <c r="EZ32" t="n">
        <v>15.846</v>
      </c>
      <c r="FA32" t="n">
        <v>8.85</v>
      </c>
      <c r="FB32" t="n">
        <v>15.846</v>
      </c>
      <c r="FD32" t="inlineStr">
        <is>
          <t>NP-25</t>
        </is>
      </c>
      <c r="FE32" t="inlineStr">
        <is>
          <t>N+3.00</t>
        </is>
      </c>
      <c r="FF32" t="n">
        <v>5.441</v>
      </c>
      <c r="FG32" t="n">
        <v>6.948</v>
      </c>
      <c r="FH32" t="n">
        <v>5.441</v>
      </c>
      <c r="FI32" t="n">
        <v>8.91</v>
      </c>
      <c r="FT32" t="inlineStr">
        <is>
          <t>F80025</t>
        </is>
      </c>
      <c r="FU32" t="n">
        <v>7.136</v>
      </c>
      <c r="FV32" t="n">
        <v>12.898</v>
      </c>
      <c r="FW32" t="inlineStr">
        <is>
          <t>N+6.00</t>
        </is>
      </c>
    </row>
    <row r="33">
      <c r="A33" t="n">
        <v>26</v>
      </c>
      <c r="B33">
        <f>CHOOSE(MIN(MAX($A33,1),5),CROQUIS!$C$15,CROQUIS!$C$15+CROQUIS!$C$10*CROQUIS!$C$14,CROQUIS!$C$15+CROQUIS!$C$10*CROQUIS!$C$14,CROQUIS!$C$15,CROQUIS!$C$15)</f>
        <v>12</v>
      </c>
      <c r="C33">
        <f>CHOOSE(MIN(MAX($A33,1),5),CROQUIS!$C$16,CROQUIS!$C$16,CROQUIS!$C$16+CROQUIS!$C$11*CROQUIS!$C$14,CROQUIS!$C$16+CROQUIS!$C$11*CROQUIS!$C$14,CROQUIS!$C$16)</f>
        <v>15.9462268413918</v>
      </c>
      <c r="D33">
        <f>CHOOSE(MIN(MAX($A33,1),5),CROQUIS!$C$15+DATOS!$C$17/2*CROQUIS!$C$14,CROQUIS!$C$15+CROQUIS!$C$10*CROQUIS!$C$14-DATOS!$C$17/2*CROQUIS!$C$14,CROQUIS!$C$15+CROQUIS!$C$10*CROQUIS!$C$14-DATOS!$C$17/2*CROQUIS!$C$14,CROQUIS!$C$15+DATOS!$C$17/2*CROQUIS!$C$14,CROQUIS!$C$15+DATOS!$C$17/2*CROQUIS!$C$14)</f>
        <v>13.3895164934478</v>
      </c>
      <c r="E33">
        <f>CHOOSE(MIN(MAX($A33,1),5),CROQUIS!$C$16+DATOS!$C$17/2*CROQUIS!$C$14,CROQUIS!$C$16+DATOS!$C$17/2*CROQUIS!$C$14,CROQUIS!$C$16+CROQUIS!$C$11*CROQUIS!$C$14-DATOS!$C$17/2*CROQUIS!$C$14,CROQUIS!$C$16+CROQUIS!$C$11*CROQUIS!$C$14-DATOS!$C$17/2*CROQUIS!$C$14,CROQUIS!$C$16+DATOS!$C$17/2*CROQUIS!$C$14)</f>
        <v>17.3357433348396</v>
      </c>
      <c r="F33">
        <f>IF(NERVADURA!$C$131=0,CROQUIS!$C$15+CROQUIS!$C$10*CROQUIS!$C$14/2,CROQUIS!$C$15+(DATOS!$C$17/2+NERVADURA!$C$132+INT(MIN(INT(($A33-1)/2),MAX(2*NERVADURA!$C$131-1,0))/2)*DATOS!$C$16+MOD(MIN(INT(($A33-1)/2),MAX(2*NERVADURA!$C$131-1,0)),2)*DATOS!$C$11)*CROQUIS!$C$14)</f>
        <v>90.9801174875734</v>
      </c>
      <c r="G33">
        <f>IF(NERVADURA!$C$131=0,CROQUIS!$C$16+CROQUIS!$C$11*CROQUIS!$C$14/2,CROQUIS!$C$16+IF(MOD(MIN(INT(($A33-1)/2),MAX(2*NERVADURA!$C$131-1,0)),2)=0,IF(IF(INT(($A33-1)/2)&gt;MAX(2*NERVADURA!$C$131-1,0),1,MOD($A33-1,2))=0,(DATOS!$C$17/2+NERVADURA!$C$134),(CROQUIS!$C$11-DATOS!$C$17/2-NERVADURA!$C$134)),IF(IF(INT(($A33-1)/2)&gt;MAX(2*NERVADURA!$C$131-1,0),1,MOD($A33-1,2))=0,(CROQUIS!$C$11-DATOS!$C$17/2-NERVADURA!$C$134),(DATOS!$C$17/2+NERVADURA!$C$134)))*CROQUIS!$C$14)</f>
        <v>21.504292815183</v>
      </c>
      <c r="H33">
        <f>IF(NERVADURA!$C$133=0,CROQUIS!$C$15+CROQUIS!$C$10*CROQUIS!$C$14/2,CROQUIS!$C$15+IF(MOD(MIN(INT(($A33-1)/2),MAX(2*NERVADURA!$C$133-1,0)),2)=0,IF(IF(INT(($A33-1)/2)&gt;MAX(2*NERVADURA!$C$133-1,0),1,MOD($A33-1,2))=0,(DATOS!$C$17/2+NERVADURA!$C$132),(CROQUIS!$C$10-DATOS!$C$17/2-NERVADURA!$C$132)),IF(IF(INT(($A33-1)/2)&gt;MAX(2*NERVADURA!$C$133-1,0),1,MOD($A33-1,2))=0,(CROQUIS!$C$10-DATOS!$C$17/2-NERVADURA!$C$132),(DATOS!$C$17/2+NERVADURA!$C$132)))*CROQUIS!$C$14)</f>
        <v>15.0198825124266</v>
      </c>
      <c r="I33">
        <f>IF(NERVADURA!$C$133=0,CROQUIS!$C$16+CROQUIS!$C$11*CROQUIS!$C$14/2,CROQUIS!$C$16+(DATOS!$C$17/2+NERVADURA!$C$134+INT(MIN(INT(($A33-1)/2),MAX(2*NERVADURA!$C$133-1,0))/2)*DATOS!$C$16+MOD(MIN(INT(($A33-1)/2),MAX(2*NERVADURA!$C$133-1,0)),2)*DATOS!$C$11)*CROQUIS!$C$14)</f>
        <v>84.495707184817</v>
      </c>
      <c r="CY33" t="n">
        <v>0</v>
      </c>
      <c r="CZ33" t="n">
        <v>24.371</v>
      </c>
      <c r="DA33" t="n">
        <v>0</v>
      </c>
      <c r="DB33" t="n">
        <v>14.021</v>
      </c>
      <c r="DC33" t="n">
        <v>5.422</v>
      </c>
      <c r="DD33" t="n">
        <v>9.949999999999999</v>
      </c>
      <c r="DE33" t="n">
        <v>4.575</v>
      </c>
      <c r="DF33" t="n">
        <v>21.446</v>
      </c>
      <c r="DG33" t="n">
        <v>5.422</v>
      </c>
      <c r="DH33" t="n">
        <v>15.846</v>
      </c>
      <c r="DI33" t="n">
        <v>3.427</v>
      </c>
      <c r="DJ33" t="n">
        <v>15.846</v>
      </c>
      <c r="DM33" t="n">
        <v>8.775</v>
      </c>
      <c r="DN33" t="n">
        <v>17.072</v>
      </c>
      <c r="DO33" t="n">
        <v>3.575</v>
      </c>
      <c r="DP33" t="n">
        <v>2.921</v>
      </c>
      <c r="DQ33" t="inlineStr">
        <is>
          <t>F80026 N+6.00</t>
        </is>
      </c>
      <c r="DR33" t="inlineStr">
        <is>
          <t>N+6.00</t>
        </is>
      </c>
      <c r="DS33" t="n">
        <v>5.822</v>
      </c>
      <c r="DT33" t="n">
        <v>15.846</v>
      </c>
      <c r="DU33" t="n">
        <v>8.85</v>
      </c>
      <c r="DV33" t="n">
        <v>15.846</v>
      </c>
      <c r="DW33" t="n">
        <v>8.85</v>
      </c>
      <c r="DX33" t="n">
        <v>16.697</v>
      </c>
      <c r="DY33" t="n">
        <v>5.822</v>
      </c>
      <c r="DZ33" t="n">
        <v>16.697</v>
      </c>
      <c r="EA33" t="n">
        <v>5.822</v>
      </c>
      <c r="EB33" t="n">
        <v>15.846</v>
      </c>
      <c r="EC33" t="n">
        <v>5.822</v>
      </c>
      <c r="ED33" t="n">
        <v>15.846</v>
      </c>
      <c r="EE33" t="n">
        <v>5.822</v>
      </c>
      <c r="EF33" t="n">
        <v>15.846</v>
      </c>
      <c r="EG33" t="n">
        <v>5.822</v>
      </c>
      <c r="EH33" t="n">
        <v>15.846</v>
      </c>
      <c r="EI33" t="n">
        <v>5.822</v>
      </c>
      <c r="EJ33" t="n">
        <v>15.846</v>
      </c>
      <c r="EK33" t="n">
        <v>5.822</v>
      </c>
      <c r="EL33" t="n">
        <v>15.846</v>
      </c>
      <c r="EM33" t="n">
        <v>5.822</v>
      </c>
      <c r="EN33" t="n">
        <v>15.846</v>
      </c>
      <c r="EO33" t="n">
        <v>5.822</v>
      </c>
      <c r="EP33" t="n">
        <v>15.846</v>
      </c>
      <c r="EQ33" t="n">
        <v>5.822</v>
      </c>
      <c r="ER33" t="n">
        <v>15.846</v>
      </c>
      <c r="ES33" t="n">
        <v>5.822</v>
      </c>
      <c r="ET33" t="n">
        <v>15.846</v>
      </c>
      <c r="EU33" t="n">
        <v>5.822</v>
      </c>
      <c r="EV33" t="n">
        <v>15.846</v>
      </c>
      <c r="EW33" t="n">
        <v>5.822</v>
      </c>
      <c r="EX33" t="n">
        <v>15.846</v>
      </c>
      <c r="EY33" t="n">
        <v>5.822</v>
      </c>
      <c r="EZ33" t="n">
        <v>15.846</v>
      </c>
      <c r="FA33" t="n">
        <v>5.822</v>
      </c>
      <c r="FB33" t="n">
        <v>15.846</v>
      </c>
      <c r="FD33" t="inlineStr">
        <is>
          <t>NP-26</t>
        </is>
      </c>
      <c r="FE33" t="inlineStr">
        <is>
          <t>N+3.00</t>
        </is>
      </c>
      <c r="FF33" t="n">
        <v>5.441</v>
      </c>
      <c r="FG33" t="n">
        <v>9.949999999999999</v>
      </c>
      <c r="FH33" t="n">
        <v>5.441</v>
      </c>
      <c r="FI33" t="n">
        <v>15.447</v>
      </c>
      <c r="FT33" t="inlineStr">
        <is>
          <t>F80026</t>
        </is>
      </c>
      <c r="FU33" t="n">
        <v>7.336</v>
      </c>
      <c r="FV33" t="n">
        <v>16.271</v>
      </c>
      <c r="FW33" t="inlineStr">
        <is>
          <t>N+6.00</t>
        </is>
      </c>
    </row>
    <row r="34">
      <c r="A34" t="n">
        <v>27</v>
      </c>
      <c r="B34">
        <f>CHOOSE(MIN(MAX($A34,1),5),CROQUIS!$C$15,CROQUIS!$C$15+CROQUIS!$C$10*CROQUIS!$C$14,CROQUIS!$C$15+CROQUIS!$C$10*CROQUIS!$C$14,CROQUIS!$C$15,CROQUIS!$C$15)</f>
        <v>12</v>
      </c>
      <c r="C34">
        <f>CHOOSE(MIN(MAX($A34,1),5),CROQUIS!$C$16,CROQUIS!$C$16,CROQUIS!$C$16+CROQUIS!$C$11*CROQUIS!$C$14,CROQUIS!$C$16+CROQUIS!$C$11*CROQUIS!$C$14,CROQUIS!$C$16)</f>
        <v>15.9462268413918</v>
      </c>
      <c r="D34">
        <f>CHOOSE(MIN(MAX($A34,1),5),CROQUIS!$C$15+DATOS!$C$17/2*CROQUIS!$C$14,CROQUIS!$C$15+CROQUIS!$C$10*CROQUIS!$C$14-DATOS!$C$17/2*CROQUIS!$C$14,CROQUIS!$C$15+CROQUIS!$C$10*CROQUIS!$C$14-DATOS!$C$17/2*CROQUIS!$C$14,CROQUIS!$C$15+DATOS!$C$17/2*CROQUIS!$C$14,CROQUIS!$C$15+DATOS!$C$17/2*CROQUIS!$C$14)</f>
        <v>13.3895164934478</v>
      </c>
      <c r="E34">
        <f>CHOOSE(MIN(MAX($A34,1),5),CROQUIS!$C$16+DATOS!$C$17/2*CROQUIS!$C$14,CROQUIS!$C$16+DATOS!$C$17/2*CROQUIS!$C$14,CROQUIS!$C$16+CROQUIS!$C$11*CROQUIS!$C$14-DATOS!$C$17/2*CROQUIS!$C$14,CROQUIS!$C$16+CROQUIS!$C$11*CROQUIS!$C$14-DATOS!$C$17/2*CROQUIS!$C$14,CROQUIS!$C$16+DATOS!$C$17/2*CROQUIS!$C$14)</f>
        <v>17.3357433348396</v>
      </c>
      <c r="F34">
        <f>IF(NERVADURA!$C$131=0,CROQUIS!$C$15+CROQUIS!$C$10*CROQUIS!$C$14/2,CROQUIS!$C$15+(DATOS!$C$17/2+NERVADURA!$C$132+INT(MIN(INT(($A34-1)/2),MAX(2*NERVADURA!$C$131-1,0))/2)*DATOS!$C$16+MOD(MIN(INT(($A34-1)/2),MAX(2*NERVADURA!$C$131-1,0)),2)*DATOS!$C$11)*CROQUIS!$C$14)</f>
        <v>90.9801174875734</v>
      </c>
      <c r="G34">
        <f>IF(NERVADURA!$C$131=0,CROQUIS!$C$16+CROQUIS!$C$11*CROQUIS!$C$14/2,CROQUIS!$C$16+IF(MOD(MIN(INT(($A34-1)/2),MAX(2*NERVADURA!$C$131-1,0)),2)=0,IF(IF(INT(($A34-1)/2)&gt;MAX(2*NERVADURA!$C$131-1,0),1,MOD($A34-1,2))=0,(DATOS!$C$17/2+NERVADURA!$C$134),(CROQUIS!$C$11-DATOS!$C$17/2-NERVADURA!$C$134)),IF(IF(INT(($A34-1)/2)&gt;MAX(2*NERVADURA!$C$131-1,0),1,MOD($A34-1,2))=0,(CROQUIS!$C$11-DATOS!$C$17/2-NERVADURA!$C$134),(DATOS!$C$17/2+NERVADURA!$C$134)))*CROQUIS!$C$14)</f>
        <v>21.504292815183</v>
      </c>
      <c r="H34">
        <f>IF(NERVADURA!$C$133=0,CROQUIS!$C$15+CROQUIS!$C$10*CROQUIS!$C$14/2,CROQUIS!$C$15+IF(MOD(MIN(INT(($A34-1)/2),MAX(2*NERVADURA!$C$133-1,0)),2)=0,IF(IF(INT(($A34-1)/2)&gt;MAX(2*NERVADURA!$C$133-1,0),1,MOD($A34-1,2))=0,(DATOS!$C$17/2+NERVADURA!$C$132),(CROQUIS!$C$10-DATOS!$C$17/2-NERVADURA!$C$132)),IF(IF(INT(($A34-1)/2)&gt;MAX(2*NERVADURA!$C$133-1,0),1,MOD($A34-1,2))=0,(CROQUIS!$C$10-DATOS!$C$17/2-NERVADURA!$C$132),(DATOS!$C$17/2+NERVADURA!$C$132)))*CROQUIS!$C$14)</f>
        <v>15.0198825124266</v>
      </c>
      <c r="I34">
        <f>IF(NERVADURA!$C$133=0,CROQUIS!$C$16+CROQUIS!$C$11*CROQUIS!$C$14/2,CROQUIS!$C$16+(DATOS!$C$17/2+NERVADURA!$C$134+INT(MIN(INT(($A34-1)/2),MAX(2*NERVADURA!$C$133-1,0))/2)*DATOS!$C$16+MOD(MIN(INT(($A34-1)/2),MAX(2*NERVADURA!$C$133-1,0)),2)*DATOS!$C$11)*CROQUIS!$C$14)</f>
        <v>84.495707184817</v>
      </c>
      <c r="CW34" t="n">
        <v>2.925</v>
      </c>
      <c r="CX34" t="n">
        <v>6.948</v>
      </c>
      <c r="DC34" t="n">
        <v>8.85</v>
      </c>
      <c r="DD34" t="n">
        <v>6.948</v>
      </c>
      <c r="DE34" t="n">
        <v>4.925</v>
      </c>
      <c r="DF34" t="n">
        <v>15.447</v>
      </c>
      <c r="DG34" t="n">
        <v>5.422</v>
      </c>
      <c r="DH34" t="n">
        <v>9.949999999999999</v>
      </c>
      <c r="DM34" t="n">
        <v>8.775</v>
      </c>
      <c r="DN34" t="n">
        <v>17.372</v>
      </c>
      <c r="DO34" t="n">
        <v>4.327</v>
      </c>
      <c r="DP34" t="n">
        <v>1.919</v>
      </c>
      <c r="DQ34" t="inlineStr">
        <is>
          <t>F80027 N+6.00</t>
        </is>
      </c>
      <c r="DR34" t="inlineStr">
        <is>
          <t>N+6.00</t>
        </is>
      </c>
      <c r="DS34" t="n">
        <v>3.029</v>
      </c>
      <c r="DT34" t="n">
        <v>16.997</v>
      </c>
      <c r="DU34" t="n">
        <v>0</v>
      </c>
      <c r="DV34" t="n">
        <v>16.997</v>
      </c>
      <c r="DW34" t="n">
        <v>0</v>
      </c>
      <c r="DX34" t="n">
        <v>15.846</v>
      </c>
      <c r="DY34" t="n">
        <v>3.029</v>
      </c>
      <c r="DZ34" t="n">
        <v>15.846</v>
      </c>
      <c r="EA34" t="n">
        <v>3.029</v>
      </c>
      <c r="EB34" t="n">
        <v>16.997</v>
      </c>
      <c r="EC34" t="n">
        <v>3.029</v>
      </c>
      <c r="ED34" t="n">
        <v>16.997</v>
      </c>
      <c r="EE34" t="n">
        <v>3.029</v>
      </c>
      <c r="EF34" t="n">
        <v>16.997</v>
      </c>
      <c r="EG34" t="n">
        <v>3.029</v>
      </c>
      <c r="EH34" t="n">
        <v>16.997</v>
      </c>
      <c r="EI34" t="n">
        <v>3.029</v>
      </c>
      <c r="EJ34" t="n">
        <v>16.997</v>
      </c>
      <c r="EK34" t="n">
        <v>3.029</v>
      </c>
      <c r="EL34" t="n">
        <v>16.997</v>
      </c>
      <c r="EM34" t="n">
        <v>3.029</v>
      </c>
      <c r="EN34" t="n">
        <v>16.997</v>
      </c>
      <c r="EO34" t="n">
        <v>3.029</v>
      </c>
      <c r="EP34" t="n">
        <v>16.997</v>
      </c>
      <c r="EQ34" t="n">
        <v>3.029</v>
      </c>
      <c r="ER34" t="n">
        <v>16.997</v>
      </c>
      <c r="ES34" t="n">
        <v>3.029</v>
      </c>
      <c r="ET34" t="n">
        <v>16.997</v>
      </c>
      <c r="EU34" t="n">
        <v>3.029</v>
      </c>
      <c r="EV34" t="n">
        <v>16.997</v>
      </c>
      <c r="EW34" t="n">
        <v>3.029</v>
      </c>
      <c r="EX34" t="n">
        <v>16.997</v>
      </c>
      <c r="EY34" t="n">
        <v>3.029</v>
      </c>
      <c r="EZ34" t="n">
        <v>16.997</v>
      </c>
      <c r="FA34" t="n">
        <v>3.029</v>
      </c>
      <c r="FB34" t="n">
        <v>16.997</v>
      </c>
      <c r="FD34" t="inlineStr">
        <is>
          <t>NP-27</t>
        </is>
      </c>
      <c r="FE34" t="inlineStr">
        <is>
          <t>N+3.00</t>
        </is>
      </c>
      <c r="FF34" t="n">
        <v>5.441</v>
      </c>
      <c r="FG34" t="n">
        <v>15.447</v>
      </c>
      <c r="FH34" t="n">
        <v>5.441</v>
      </c>
      <c r="FI34" t="n">
        <v>15.846</v>
      </c>
      <c r="FT34" t="inlineStr">
        <is>
          <t>F80027</t>
        </is>
      </c>
      <c r="FU34" t="n">
        <v>1.514</v>
      </c>
      <c r="FV34" t="n">
        <v>16.422</v>
      </c>
      <c r="FW34" t="inlineStr">
        <is>
          <t>N+6.00</t>
        </is>
      </c>
    </row>
    <row r="35">
      <c r="A35" t="n">
        <v>28</v>
      </c>
      <c r="B35">
        <f>CHOOSE(MIN(MAX($A35,1),5),CROQUIS!$C$15,CROQUIS!$C$15+CROQUIS!$C$10*CROQUIS!$C$14,CROQUIS!$C$15+CROQUIS!$C$10*CROQUIS!$C$14,CROQUIS!$C$15,CROQUIS!$C$15)</f>
        <v>12</v>
      </c>
      <c r="C35">
        <f>CHOOSE(MIN(MAX($A35,1),5),CROQUIS!$C$16,CROQUIS!$C$16,CROQUIS!$C$16+CROQUIS!$C$11*CROQUIS!$C$14,CROQUIS!$C$16+CROQUIS!$C$11*CROQUIS!$C$14,CROQUIS!$C$16)</f>
        <v>15.9462268413918</v>
      </c>
      <c r="D35">
        <f>CHOOSE(MIN(MAX($A35,1),5),CROQUIS!$C$15+DATOS!$C$17/2*CROQUIS!$C$14,CROQUIS!$C$15+CROQUIS!$C$10*CROQUIS!$C$14-DATOS!$C$17/2*CROQUIS!$C$14,CROQUIS!$C$15+CROQUIS!$C$10*CROQUIS!$C$14-DATOS!$C$17/2*CROQUIS!$C$14,CROQUIS!$C$15+DATOS!$C$17/2*CROQUIS!$C$14,CROQUIS!$C$15+DATOS!$C$17/2*CROQUIS!$C$14)</f>
        <v>13.3895164934478</v>
      </c>
      <c r="E35">
        <f>CHOOSE(MIN(MAX($A35,1),5),CROQUIS!$C$16+DATOS!$C$17/2*CROQUIS!$C$14,CROQUIS!$C$16+DATOS!$C$17/2*CROQUIS!$C$14,CROQUIS!$C$16+CROQUIS!$C$11*CROQUIS!$C$14-DATOS!$C$17/2*CROQUIS!$C$14,CROQUIS!$C$16+CROQUIS!$C$11*CROQUIS!$C$14-DATOS!$C$17/2*CROQUIS!$C$14,CROQUIS!$C$16+DATOS!$C$17/2*CROQUIS!$C$14)</f>
        <v>17.3357433348396</v>
      </c>
      <c r="F35">
        <f>IF(NERVADURA!$C$131=0,CROQUIS!$C$15+CROQUIS!$C$10*CROQUIS!$C$14/2,CROQUIS!$C$15+(DATOS!$C$17/2+NERVADURA!$C$132+INT(MIN(INT(($A35-1)/2),MAX(2*NERVADURA!$C$131-1,0))/2)*DATOS!$C$16+MOD(MIN(INT(($A35-1)/2),MAX(2*NERVADURA!$C$131-1,0)),2)*DATOS!$C$11)*CROQUIS!$C$14)</f>
        <v>90.9801174875734</v>
      </c>
      <c r="G35">
        <f>IF(NERVADURA!$C$131=0,CROQUIS!$C$16+CROQUIS!$C$11*CROQUIS!$C$14/2,CROQUIS!$C$16+IF(MOD(MIN(INT(($A35-1)/2),MAX(2*NERVADURA!$C$131-1,0)),2)=0,IF(IF(INT(($A35-1)/2)&gt;MAX(2*NERVADURA!$C$131-1,0),1,MOD($A35-1,2))=0,(DATOS!$C$17/2+NERVADURA!$C$134),(CROQUIS!$C$11-DATOS!$C$17/2-NERVADURA!$C$134)),IF(IF(INT(($A35-1)/2)&gt;MAX(2*NERVADURA!$C$131-1,0),1,MOD($A35-1,2))=0,(CROQUIS!$C$11-DATOS!$C$17/2-NERVADURA!$C$134),(DATOS!$C$17/2+NERVADURA!$C$134)))*CROQUIS!$C$14)</f>
        <v>21.504292815183</v>
      </c>
      <c r="H35">
        <f>IF(NERVADURA!$C$133=0,CROQUIS!$C$15+CROQUIS!$C$10*CROQUIS!$C$14/2,CROQUIS!$C$15+IF(MOD(MIN(INT(($A35-1)/2),MAX(2*NERVADURA!$C$133-1,0)),2)=0,IF(IF(INT(($A35-1)/2)&gt;MAX(2*NERVADURA!$C$133-1,0),1,MOD($A35-1,2))=0,(DATOS!$C$17/2+NERVADURA!$C$132),(CROQUIS!$C$10-DATOS!$C$17/2-NERVADURA!$C$132)),IF(IF(INT(($A35-1)/2)&gt;MAX(2*NERVADURA!$C$133-1,0),1,MOD($A35-1,2))=0,(CROQUIS!$C$10-DATOS!$C$17/2-NERVADURA!$C$132),(DATOS!$C$17/2+NERVADURA!$C$132)))*CROQUIS!$C$14)</f>
        <v>15.0198825124266</v>
      </c>
      <c r="I35">
        <f>IF(NERVADURA!$C$133=0,CROQUIS!$C$16+CROQUIS!$C$11*CROQUIS!$C$14/2,CROQUIS!$C$16+(DATOS!$C$17/2+NERVADURA!$C$134+INT(MIN(INT(($A35-1)/2),MAX(2*NERVADURA!$C$133-1,0))/2)*DATOS!$C$16+MOD(MIN(INT(($A35-1)/2),MAX(2*NERVADURA!$C$133-1,0)),2)*DATOS!$C$11)*CROQUIS!$C$14)</f>
        <v>84.495707184817</v>
      </c>
      <c r="CW35" t="n">
        <v>2.925</v>
      </c>
      <c r="CX35" t="n">
        <v>5.946</v>
      </c>
      <c r="CY35" t="n">
        <v>7.25</v>
      </c>
      <c r="CZ35" t="n">
        <v>24.371</v>
      </c>
      <c r="DA35" t="n">
        <v>0</v>
      </c>
      <c r="DB35" t="n">
        <v>14.021</v>
      </c>
      <c r="DE35" t="n">
        <v>4.925</v>
      </c>
      <c r="DF35" t="n">
        <v>16.396</v>
      </c>
      <c r="DG35" t="n">
        <v>8.85</v>
      </c>
      <c r="DH35" t="n">
        <v>9.949999999999999</v>
      </c>
      <c r="DI35" t="n">
        <v>5.422</v>
      </c>
      <c r="DJ35" t="n">
        <v>15.846</v>
      </c>
      <c r="DM35" t="n">
        <v>5.998</v>
      </c>
      <c r="DN35" t="n">
        <v>17.372</v>
      </c>
      <c r="DO35" t="n">
        <v>4.327</v>
      </c>
      <c r="DP35" t="n">
        <v>2.921</v>
      </c>
      <c r="DQ35" t="inlineStr">
        <is>
          <t>F80028 N+6.00</t>
        </is>
      </c>
      <c r="DR35" t="inlineStr">
        <is>
          <t>N+6.00</t>
        </is>
      </c>
      <c r="DS35" t="n">
        <v>5.822</v>
      </c>
      <c r="DT35" t="n">
        <v>16.697</v>
      </c>
      <c r="DU35" t="n">
        <v>8.85</v>
      </c>
      <c r="DV35" t="n">
        <v>16.697</v>
      </c>
      <c r="DW35" t="n">
        <v>8.85</v>
      </c>
      <c r="DX35" t="n">
        <v>17.446</v>
      </c>
      <c r="DY35" t="n">
        <v>5.822</v>
      </c>
      <c r="DZ35" t="n">
        <v>17.446</v>
      </c>
      <c r="EA35" t="n">
        <v>5.822</v>
      </c>
      <c r="EB35" t="n">
        <v>16.697</v>
      </c>
      <c r="EC35" t="n">
        <v>5.822</v>
      </c>
      <c r="ED35" t="n">
        <v>16.697</v>
      </c>
      <c r="EE35" t="n">
        <v>5.822</v>
      </c>
      <c r="EF35" t="n">
        <v>16.697</v>
      </c>
      <c r="EG35" t="n">
        <v>5.822</v>
      </c>
      <c r="EH35" t="n">
        <v>16.697</v>
      </c>
      <c r="EI35" t="n">
        <v>5.822</v>
      </c>
      <c r="EJ35" t="n">
        <v>16.697</v>
      </c>
      <c r="EK35" t="n">
        <v>5.822</v>
      </c>
      <c r="EL35" t="n">
        <v>16.697</v>
      </c>
      <c r="EM35" t="n">
        <v>5.822</v>
      </c>
      <c r="EN35" t="n">
        <v>16.697</v>
      </c>
      <c r="EO35" t="n">
        <v>5.822</v>
      </c>
      <c r="EP35" t="n">
        <v>16.697</v>
      </c>
      <c r="EQ35" t="n">
        <v>5.822</v>
      </c>
      <c r="ER35" t="n">
        <v>16.697</v>
      </c>
      <c r="ES35" t="n">
        <v>5.822</v>
      </c>
      <c r="ET35" t="n">
        <v>16.697</v>
      </c>
      <c r="EU35" t="n">
        <v>5.822</v>
      </c>
      <c r="EV35" t="n">
        <v>16.697</v>
      </c>
      <c r="EW35" t="n">
        <v>5.822</v>
      </c>
      <c r="EX35" t="n">
        <v>16.697</v>
      </c>
      <c r="EY35" t="n">
        <v>5.822</v>
      </c>
      <c r="EZ35" t="n">
        <v>16.697</v>
      </c>
      <c r="FA35" t="n">
        <v>5.822</v>
      </c>
      <c r="FB35" t="n">
        <v>16.697</v>
      </c>
      <c r="FD35" t="inlineStr">
        <is>
          <t>NP-28</t>
        </is>
      </c>
      <c r="FE35" t="inlineStr">
        <is>
          <t>N+3.00</t>
        </is>
      </c>
      <c r="FF35" t="n">
        <v>5.822</v>
      </c>
      <c r="FG35" t="n">
        <v>15.846</v>
      </c>
      <c r="FH35" t="n">
        <v>5.822</v>
      </c>
      <c r="FI35" t="n">
        <v>17.446</v>
      </c>
      <c r="FT35" t="inlineStr">
        <is>
          <t>F80028</t>
        </is>
      </c>
      <c r="FU35" t="n">
        <v>7.336</v>
      </c>
      <c r="FV35" t="n">
        <v>17.072</v>
      </c>
      <c r="FW35" t="inlineStr">
        <is>
          <t>N+6.00</t>
        </is>
      </c>
    </row>
    <row r="36">
      <c r="A36" t="n">
        <v>29</v>
      </c>
      <c r="B36">
        <f>CHOOSE(MIN(MAX($A36,1),5),CROQUIS!$C$15,CROQUIS!$C$15+CROQUIS!$C$10*CROQUIS!$C$14,CROQUIS!$C$15+CROQUIS!$C$10*CROQUIS!$C$14,CROQUIS!$C$15,CROQUIS!$C$15)</f>
        <v>12</v>
      </c>
      <c r="C36">
        <f>CHOOSE(MIN(MAX($A36,1),5),CROQUIS!$C$16,CROQUIS!$C$16,CROQUIS!$C$16+CROQUIS!$C$11*CROQUIS!$C$14,CROQUIS!$C$16+CROQUIS!$C$11*CROQUIS!$C$14,CROQUIS!$C$16)</f>
        <v>15.9462268413918</v>
      </c>
      <c r="D36">
        <f>CHOOSE(MIN(MAX($A36,1),5),CROQUIS!$C$15+DATOS!$C$17/2*CROQUIS!$C$14,CROQUIS!$C$15+CROQUIS!$C$10*CROQUIS!$C$14-DATOS!$C$17/2*CROQUIS!$C$14,CROQUIS!$C$15+CROQUIS!$C$10*CROQUIS!$C$14-DATOS!$C$17/2*CROQUIS!$C$14,CROQUIS!$C$15+DATOS!$C$17/2*CROQUIS!$C$14,CROQUIS!$C$15+DATOS!$C$17/2*CROQUIS!$C$14)</f>
        <v>13.3895164934478</v>
      </c>
      <c r="E36">
        <f>CHOOSE(MIN(MAX($A36,1),5),CROQUIS!$C$16+DATOS!$C$17/2*CROQUIS!$C$14,CROQUIS!$C$16+DATOS!$C$17/2*CROQUIS!$C$14,CROQUIS!$C$16+CROQUIS!$C$11*CROQUIS!$C$14-DATOS!$C$17/2*CROQUIS!$C$14,CROQUIS!$C$16+CROQUIS!$C$11*CROQUIS!$C$14-DATOS!$C$17/2*CROQUIS!$C$14,CROQUIS!$C$16+DATOS!$C$17/2*CROQUIS!$C$14)</f>
        <v>17.3357433348396</v>
      </c>
      <c r="F36">
        <f>IF(NERVADURA!$C$131=0,CROQUIS!$C$15+CROQUIS!$C$10*CROQUIS!$C$14/2,CROQUIS!$C$15+(DATOS!$C$17/2+NERVADURA!$C$132+INT(MIN(INT(($A36-1)/2),MAX(2*NERVADURA!$C$131-1,0))/2)*DATOS!$C$16+MOD(MIN(INT(($A36-1)/2),MAX(2*NERVADURA!$C$131-1,0)),2)*DATOS!$C$11)*CROQUIS!$C$14)</f>
        <v>90.9801174875734</v>
      </c>
      <c r="G36">
        <f>IF(NERVADURA!$C$131=0,CROQUIS!$C$16+CROQUIS!$C$11*CROQUIS!$C$14/2,CROQUIS!$C$16+IF(MOD(MIN(INT(($A36-1)/2),MAX(2*NERVADURA!$C$131-1,0)),2)=0,IF(IF(INT(($A36-1)/2)&gt;MAX(2*NERVADURA!$C$131-1,0),1,MOD($A36-1,2))=0,(DATOS!$C$17/2+NERVADURA!$C$134),(CROQUIS!$C$11-DATOS!$C$17/2-NERVADURA!$C$134)),IF(IF(INT(($A36-1)/2)&gt;MAX(2*NERVADURA!$C$131-1,0),1,MOD($A36-1,2))=0,(CROQUIS!$C$11-DATOS!$C$17/2-NERVADURA!$C$134),(DATOS!$C$17/2+NERVADURA!$C$134)))*CROQUIS!$C$14)</f>
        <v>21.504292815183</v>
      </c>
      <c r="H36">
        <f>IF(NERVADURA!$C$133=0,CROQUIS!$C$15+CROQUIS!$C$10*CROQUIS!$C$14/2,CROQUIS!$C$15+IF(MOD(MIN(INT(($A36-1)/2),MAX(2*NERVADURA!$C$133-1,0)),2)=0,IF(IF(INT(($A36-1)/2)&gt;MAX(2*NERVADURA!$C$133-1,0),1,MOD($A36-1,2))=0,(DATOS!$C$17/2+NERVADURA!$C$132),(CROQUIS!$C$10-DATOS!$C$17/2-NERVADURA!$C$132)),IF(IF(INT(($A36-1)/2)&gt;MAX(2*NERVADURA!$C$133-1,0),1,MOD($A36-1,2))=0,(CROQUIS!$C$10-DATOS!$C$17/2-NERVADURA!$C$132),(DATOS!$C$17/2+NERVADURA!$C$132)))*CROQUIS!$C$14)</f>
        <v>15.0198825124266</v>
      </c>
      <c r="I36">
        <f>IF(NERVADURA!$C$133=0,CROQUIS!$C$16+CROQUIS!$C$11*CROQUIS!$C$14/2,CROQUIS!$C$16+(DATOS!$C$17/2+NERVADURA!$C$134+INT(MIN(INT(($A36-1)/2),MAX(2*NERVADURA!$C$133-1,0))/2)*DATOS!$C$16+MOD(MIN(INT(($A36-1)/2),MAX(2*NERVADURA!$C$133-1,0)),2)*DATOS!$C$11)*CROQUIS!$C$14)</f>
        <v>84.495707184817</v>
      </c>
      <c r="CW36" t="n">
        <v>4.327</v>
      </c>
      <c r="CX36" t="n">
        <v>5.946</v>
      </c>
      <c r="CY36" t="n">
        <v>8.85</v>
      </c>
      <c r="CZ36" t="n">
        <v>24.371</v>
      </c>
      <c r="DA36" t="n">
        <v>4.327</v>
      </c>
      <c r="DB36" t="n">
        <v>14.021</v>
      </c>
      <c r="DE36" t="n">
        <v>4.925</v>
      </c>
      <c r="DF36" t="n">
        <v>17.446</v>
      </c>
      <c r="DG36" t="n">
        <v>8.85</v>
      </c>
      <c r="DH36" t="n">
        <v>15.846</v>
      </c>
      <c r="DI36" t="n">
        <v>8.85</v>
      </c>
      <c r="DJ36" t="n">
        <v>15.846</v>
      </c>
      <c r="DM36" t="n">
        <v>5.998</v>
      </c>
      <c r="DN36" t="n">
        <v>17.072</v>
      </c>
      <c r="DO36" t="n">
        <v>4.327</v>
      </c>
      <c r="DP36" t="n">
        <v>5.046</v>
      </c>
      <c r="DQ36" t="inlineStr">
        <is>
          <t>F80029 N+6.00</t>
        </is>
      </c>
      <c r="DR36" t="inlineStr">
        <is>
          <t>N+6.00</t>
        </is>
      </c>
      <c r="DS36" t="n">
        <v>3.029</v>
      </c>
      <c r="DT36" t="n">
        <v>17.446</v>
      </c>
      <c r="DU36" t="n">
        <v>0</v>
      </c>
      <c r="DV36" t="n">
        <v>17.446</v>
      </c>
      <c r="DW36" t="n">
        <v>0</v>
      </c>
      <c r="DX36" t="n">
        <v>16.997</v>
      </c>
      <c r="DY36" t="n">
        <v>3.029</v>
      </c>
      <c r="DZ36" t="n">
        <v>16.997</v>
      </c>
      <c r="EA36" t="n">
        <v>3.029</v>
      </c>
      <c r="EB36" t="n">
        <v>17.446</v>
      </c>
      <c r="EC36" t="n">
        <v>3.029</v>
      </c>
      <c r="ED36" t="n">
        <v>17.446</v>
      </c>
      <c r="EE36" t="n">
        <v>3.029</v>
      </c>
      <c r="EF36" t="n">
        <v>17.446</v>
      </c>
      <c r="EG36" t="n">
        <v>3.029</v>
      </c>
      <c r="EH36" t="n">
        <v>17.446</v>
      </c>
      <c r="EI36" t="n">
        <v>3.029</v>
      </c>
      <c r="EJ36" t="n">
        <v>17.446</v>
      </c>
      <c r="EK36" t="n">
        <v>3.029</v>
      </c>
      <c r="EL36" t="n">
        <v>17.446</v>
      </c>
      <c r="EM36" t="n">
        <v>3.029</v>
      </c>
      <c r="EN36" t="n">
        <v>17.446</v>
      </c>
      <c r="EO36" t="n">
        <v>3.029</v>
      </c>
      <c r="EP36" t="n">
        <v>17.446</v>
      </c>
      <c r="EQ36" t="n">
        <v>3.029</v>
      </c>
      <c r="ER36" t="n">
        <v>17.446</v>
      </c>
      <c r="ES36" t="n">
        <v>3.029</v>
      </c>
      <c r="ET36" t="n">
        <v>17.446</v>
      </c>
      <c r="EU36" t="n">
        <v>3.029</v>
      </c>
      <c r="EV36" t="n">
        <v>17.446</v>
      </c>
      <c r="EW36" t="n">
        <v>3.029</v>
      </c>
      <c r="EX36" t="n">
        <v>17.446</v>
      </c>
      <c r="EY36" t="n">
        <v>3.029</v>
      </c>
      <c r="EZ36" t="n">
        <v>17.446</v>
      </c>
      <c r="FA36" t="n">
        <v>3.029</v>
      </c>
      <c r="FB36" t="n">
        <v>17.446</v>
      </c>
      <c r="FD36" t="inlineStr">
        <is>
          <t>NP-29</t>
        </is>
      </c>
      <c r="FE36" t="inlineStr">
        <is>
          <t>N+3.00</t>
        </is>
      </c>
      <c r="FF36" t="n">
        <v>5.923</v>
      </c>
      <c r="FG36" t="n">
        <v>2.921</v>
      </c>
      <c r="FH36" t="n">
        <v>5.923</v>
      </c>
      <c r="FI36" t="n">
        <v>5.946</v>
      </c>
      <c r="FT36" t="inlineStr">
        <is>
          <t>F80029</t>
        </is>
      </c>
      <c r="FU36" t="n">
        <v>1.514</v>
      </c>
      <c r="FV36" t="n">
        <v>17.221</v>
      </c>
      <c r="FW36" t="inlineStr">
        <is>
          <t>N+6.00</t>
        </is>
      </c>
    </row>
    <row r="37">
      <c r="A37" t="n">
        <v>30</v>
      </c>
      <c r="B37">
        <f>CHOOSE(MIN(MAX($A37,1),5),CROQUIS!$C$15,CROQUIS!$C$15+CROQUIS!$C$10*CROQUIS!$C$14,CROQUIS!$C$15+CROQUIS!$C$10*CROQUIS!$C$14,CROQUIS!$C$15,CROQUIS!$C$15)</f>
        <v>12</v>
      </c>
      <c r="C37">
        <f>CHOOSE(MIN(MAX($A37,1),5),CROQUIS!$C$16,CROQUIS!$C$16,CROQUIS!$C$16+CROQUIS!$C$11*CROQUIS!$C$14,CROQUIS!$C$16+CROQUIS!$C$11*CROQUIS!$C$14,CROQUIS!$C$16)</f>
        <v>15.9462268413918</v>
      </c>
      <c r="D37">
        <f>CHOOSE(MIN(MAX($A37,1),5),CROQUIS!$C$15+DATOS!$C$17/2*CROQUIS!$C$14,CROQUIS!$C$15+CROQUIS!$C$10*CROQUIS!$C$14-DATOS!$C$17/2*CROQUIS!$C$14,CROQUIS!$C$15+CROQUIS!$C$10*CROQUIS!$C$14-DATOS!$C$17/2*CROQUIS!$C$14,CROQUIS!$C$15+DATOS!$C$17/2*CROQUIS!$C$14,CROQUIS!$C$15+DATOS!$C$17/2*CROQUIS!$C$14)</f>
        <v>13.3895164934478</v>
      </c>
      <c r="E37">
        <f>CHOOSE(MIN(MAX($A37,1),5),CROQUIS!$C$16+DATOS!$C$17/2*CROQUIS!$C$14,CROQUIS!$C$16+DATOS!$C$17/2*CROQUIS!$C$14,CROQUIS!$C$16+CROQUIS!$C$11*CROQUIS!$C$14-DATOS!$C$17/2*CROQUIS!$C$14,CROQUIS!$C$16+CROQUIS!$C$11*CROQUIS!$C$14-DATOS!$C$17/2*CROQUIS!$C$14,CROQUIS!$C$16+DATOS!$C$17/2*CROQUIS!$C$14)</f>
        <v>17.3357433348396</v>
      </c>
      <c r="F37">
        <f>IF(NERVADURA!$C$131=0,CROQUIS!$C$15+CROQUIS!$C$10*CROQUIS!$C$14/2,CROQUIS!$C$15+(DATOS!$C$17/2+NERVADURA!$C$132+INT(MIN(INT(($A37-1)/2),MAX(2*NERVADURA!$C$131-1,0))/2)*DATOS!$C$16+MOD(MIN(INT(($A37-1)/2),MAX(2*NERVADURA!$C$131-1,0)),2)*DATOS!$C$11)*CROQUIS!$C$14)</f>
        <v>90.9801174875734</v>
      </c>
      <c r="G37">
        <f>IF(NERVADURA!$C$131=0,CROQUIS!$C$16+CROQUIS!$C$11*CROQUIS!$C$14/2,CROQUIS!$C$16+IF(MOD(MIN(INT(($A37-1)/2),MAX(2*NERVADURA!$C$131-1,0)),2)=0,IF(IF(INT(($A37-1)/2)&gt;MAX(2*NERVADURA!$C$131-1,0),1,MOD($A37-1,2))=0,(DATOS!$C$17/2+NERVADURA!$C$134),(CROQUIS!$C$11-DATOS!$C$17/2-NERVADURA!$C$134)),IF(IF(INT(($A37-1)/2)&gt;MAX(2*NERVADURA!$C$131-1,0),1,MOD($A37-1,2))=0,(CROQUIS!$C$11-DATOS!$C$17/2-NERVADURA!$C$134),(DATOS!$C$17/2+NERVADURA!$C$134)))*CROQUIS!$C$14)</f>
        <v>21.504292815183</v>
      </c>
      <c r="H37">
        <f>IF(NERVADURA!$C$133=0,CROQUIS!$C$15+CROQUIS!$C$10*CROQUIS!$C$14/2,CROQUIS!$C$15+IF(MOD(MIN(INT(($A37-1)/2),MAX(2*NERVADURA!$C$133-1,0)),2)=0,IF(IF(INT(($A37-1)/2)&gt;MAX(2*NERVADURA!$C$133-1,0),1,MOD($A37-1,2))=0,(DATOS!$C$17/2+NERVADURA!$C$132),(CROQUIS!$C$10-DATOS!$C$17/2-NERVADURA!$C$132)),IF(IF(INT(($A37-1)/2)&gt;MAX(2*NERVADURA!$C$133-1,0),1,MOD($A37-1,2))=0,(CROQUIS!$C$10-DATOS!$C$17/2-NERVADURA!$C$132),(DATOS!$C$17/2+NERVADURA!$C$132)))*CROQUIS!$C$14)</f>
        <v>15.0198825124266</v>
      </c>
      <c r="I37">
        <f>IF(NERVADURA!$C$133=0,CROQUIS!$C$16+CROQUIS!$C$11*CROQUIS!$C$14/2,CROQUIS!$C$16+(DATOS!$C$17/2+NERVADURA!$C$134+INT(MIN(INT(($A37-1)/2),MAX(2*NERVADURA!$C$133-1,0))/2)*DATOS!$C$16+MOD(MIN(INT(($A37-1)/2),MAX(2*NERVADURA!$C$133-1,0)),2)*DATOS!$C$11)*CROQUIS!$C$14)</f>
        <v>84.495707184817</v>
      </c>
      <c r="CW37" t="n">
        <v>4.327</v>
      </c>
      <c r="CX37" t="n">
        <v>6.948</v>
      </c>
      <c r="DE37" t="n">
        <v>4.925</v>
      </c>
      <c r="DF37" t="n">
        <v>18.146</v>
      </c>
      <c r="DO37" t="n">
        <v>4.327</v>
      </c>
      <c r="DP37" t="n">
        <v>5.946</v>
      </c>
      <c r="DQ37" t="inlineStr">
        <is>
          <t>F80030 N+6.00</t>
        </is>
      </c>
      <c r="DR37" t="inlineStr">
        <is>
          <t>N+6.00</t>
        </is>
      </c>
      <c r="DS37" t="n">
        <v>4.426</v>
      </c>
      <c r="DT37" t="n">
        <v>17.446</v>
      </c>
      <c r="DU37" t="n">
        <v>4.426</v>
      </c>
      <c r="DV37" t="n">
        <v>21.446</v>
      </c>
      <c r="DW37" t="n">
        <v>0</v>
      </c>
      <c r="DX37" t="n">
        <v>21.446</v>
      </c>
      <c r="DY37" t="n">
        <v>0</v>
      </c>
      <c r="DZ37" t="n">
        <v>17.446</v>
      </c>
      <c r="EA37" t="n">
        <v>4.426</v>
      </c>
      <c r="EB37" t="n">
        <v>17.446</v>
      </c>
      <c r="EC37" t="n">
        <v>4.426</v>
      </c>
      <c r="ED37" t="n">
        <v>17.446</v>
      </c>
      <c r="EE37" t="n">
        <v>4.426</v>
      </c>
      <c r="EF37" t="n">
        <v>17.446</v>
      </c>
      <c r="EG37" t="n">
        <v>4.426</v>
      </c>
      <c r="EH37" t="n">
        <v>17.446</v>
      </c>
      <c r="EI37" t="n">
        <v>4.426</v>
      </c>
      <c r="EJ37" t="n">
        <v>17.446</v>
      </c>
      <c r="EK37" t="n">
        <v>4.426</v>
      </c>
      <c r="EL37" t="n">
        <v>17.446</v>
      </c>
      <c r="EM37" t="n">
        <v>4.426</v>
      </c>
      <c r="EN37" t="n">
        <v>17.446</v>
      </c>
      <c r="EO37" t="n">
        <v>4.426</v>
      </c>
      <c r="EP37" t="n">
        <v>17.446</v>
      </c>
      <c r="EQ37" t="n">
        <v>4.426</v>
      </c>
      <c r="ER37" t="n">
        <v>17.446</v>
      </c>
      <c r="ES37" t="n">
        <v>4.426</v>
      </c>
      <c r="ET37" t="n">
        <v>17.446</v>
      </c>
      <c r="EU37" t="n">
        <v>4.426</v>
      </c>
      <c r="EV37" t="n">
        <v>17.446</v>
      </c>
      <c r="EW37" t="n">
        <v>4.426</v>
      </c>
      <c r="EX37" t="n">
        <v>17.446</v>
      </c>
      <c r="EY37" t="n">
        <v>4.426</v>
      </c>
      <c r="EZ37" t="n">
        <v>17.446</v>
      </c>
      <c r="FA37" t="n">
        <v>4.426</v>
      </c>
      <c r="FB37" t="n">
        <v>17.446</v>
      </c>
      <c r="FD37" t="inlineStr">
        <is>
          <t>NP-30</t>
        </is>
      </c>
      <c r="FE37" t="inlineStr">
        <is>
          <t>N+3.00</t>
        </is>
      </c>
      <c r="FF37" t="n">
        <v>7.35</v>
      </c>
      <c r="FG37" t="n">
        <v>8.91</v>
      </c>
      <c r="FH37" t="n">
        <v>7.35</v>
      </c>
      <c r="FI37" t="n">
        <v>9.949999999999999</v>
      </c>
      <c r="FT37" t="inlineStr">
        <is>
          <t>F80030</t>
        </is>
      </c>
      <c r="FU37" t="n">
        <v>2.213</v>
      </c>
      <c r="FV37" t="n">
        <v>19.446</v>
      </c>
      <c r="FW37" t="inlineStr">
        <is>
          <t>N+6.00</t>
        </is>
      </c>
    </row>
    <row r="38">
      <c r="A38" t="n">
        <v>31</v>
      </c>
      <c r="B38">
        <f>CHOOSE(MIN(MAX($A38,1),5),CROQUIS!$C$15,CROQUIS!$C$15+CROQUIS!$C$10*CROQUIS!$C$14,CROQUIS!$C$15+CROQUIS!$C$10*CROQUIS!$C$14,CROQUIS!$C$15,CROQUIS!$C$15)</f>
        <v>12</v>
      </c>
      <c r="C38">
        <f>CHOOSE(MIN(MAX($A38,1),5),CROQUIS!$C$16,CROQUIS!$C$16,CROQUIS!$C$16+CROQUIS!$C$11*CROQUIS!$C$14,CROQUIS!$C$16+CROQUIS!$C$11*CROQUIS!$C$14,CROQUIS!$C$16)</f>
        <v>15.9462268413918</v>
      </c>
      <c r="D38">
        <f>CHOOSE(MIN(MAX($A38,1),5),CROQUIS!$C$15+DATOS!$C$17/2*CROQUIS!$C$14,CROQUIS!$C$15+CROQUIS!$C$10*CROQUIS!$C$14-DATOS!$C$17/2*CROQUIS!$C$14,CROQUIS!$C$15+CROQUIS!$C$10*CROQUIS!$C$14-DATOS!$C$17/2*CROQUIS!$C$14,CROQUIS!$C$15+DATOS!$C$17/2*CROQUIS!$C$14,CROQUIS!$C$15+DATOS!$C$17/2*CROQUIS!$C$14)</f>
        <v>13.3895164934478</v>
      </c>
      <c r="E38">
        <f>CHOOSE(MIN(MAX($A38,1),5),CROQUIS!$C$16+DATOS!$C$17/2*CROQUIS!$C$14,CROQUIS!$C$16+DATOS!$C$17/2*CROQUIS!$C$14,CROQUIS!$C$16+CROQUIS!$C$11*CROQUIS!$C$14-DATOS!$C$17/2*CROQUIS!$C$14,CROQUIS!$C$16+CROQUIS!$C$11*CROQUIS!$C$14-DATOS!$C$17/2*CROQUIS!$C$14,CROQUIS!$C$16+DATOS!$C$17/2*CROQUIS!$C$14)</f>
        <v>17.3357433348396</v>
      </c>
      <c r="F38">
        <f>IF(NERVADURA!$C$131=0,CROQUIS!$C$15+CROQUIS!$C$10*CROQUIS!$C$14/2,CROQUIS!$C$15+(DATOS!$C$17/2+NERVADURA!$C$132+INT(MIN(INT(($A38-1)/2),MAX(2*NERVADURA!$C$131-1,0))/2)*DATOS!$C$16+MOD(MIN(INT(($A38-1)/2),MAX(2*NERVADURA!$C$131-1,0)),2)*DATOS!$C$11)*CROQUIS!$C$14)</f>
        <v>90.9801174875734</v>
      </c>
      <c r="G38">
        <f>IF(NERVADURA!$C$131=0,CROQUIS!$C$16+CROQUIS!$C$11*CROQUIS!$C$14/2,CROQUIS!$C$16+IF(MOD(MIN(INT(($A38-1)/2),MAX(2*NERVADURA!$C$131-1,0)),2)=0,IF(IF(INT(($A38-1)/2)&gt;MAX(2*NERVADURA!$C$131-1,0),1,MOD($A38-1,2))=0,(DATOS!$C$17/2+NERVADURA!$C$134),(CROQUIS!$C$11-DATOS!$C$17/2-NERVADURA!$C$134)),IF(IF(INT(($A38-1)/2)&gt;MAX(2*NERVADURA!$C$131-1,0),1,MOD($A38-1,2))=0,(CROQUIS!$C$11-DATOS!$C$17/2-NERVADURA!$C$134),(DATOS!$C$17/2+NERVADURA!$C$134)))*CROQUIS!$C$14)</f>
        <v>21.504292815183</v>
      </c>
      <c r="H38">
        <f>IF(NERVADURA!$C$133=0,CROQUIS!$C$15+CROQUIS!$C$10*CROQUIS!$C$14/2,CROQUIS!$C$15+IF(MOD(MIN(INT(($A38-1)/2),MAX(2*NERVADURA!$C$133-1,0)),2)=0,IF(IF(INT(($A38-1)/2)&gt;MAX(2*NERVADURA!$C$133-1,0),1,MOD($A38-1,2))=0,(DATOS!$C$17/2+NERVADURA!$C$132),(CROQUIS!$C$10-DATOS!$C$17/2-NERVADURA!$C$132)),IF(IF(INT(($A38-1)/2)&gt;MAX(2*NERVADURA!$C$133-1,0),1,MOD($A38-1,2))=0,(CROQUIS!$C$10-DATOS!$C$17/2-NERVADURA!$C$132),(DATOS!$C$17/2+NERVADURA!$C$132)))*CROQUIS!$C$14)</f>
        <v>15.0198825124266</v>
      </c>
      <c r="I38">
        <f>IF(NERVADURA!$C$133=0,CROQUIS!$C$16+CROQUIS!$C$11*CROQUIS!$C$14/2,CROQUIS!$C$16+(DATOS!$C$17/2+NERVADURA!$C$134+INT(MIN(INT(($A38-1)/2),MAX(2*NERVADURA!$C$133-1,0))/2)*DATOS!$C$16+MOD(MIN(INT(($A38-1)/2),MAX(2*NERVADURA!$C$133-1,0)),2)*DATOS!$C$11)*CROQUIS!$C$14)</f>
        <v>84.495707184817</v>
      </c>
      <c r="CW38" t="n">
        <v>2.925</v>
      </c>
      <c r="CX38" t="n">
        <v>6.948</v>
      </c>
      <c r="CY38" t="n">
        <v>-1.6</v>
      </c>
      <c r="CZ38" t="n">
        <v>21.446</v>
      </c>
      <c r="DA38" t="n">
        <v>5.441</v>
      </c>
      <c r="DB38" t="n">
        <v>14.247</v>
      </c>
      <c r="DE38" t="n">
        <v>4.925</v>
      </c>
      <c r="DF38" t="n">
        <v>19.2</v>
      </c>
      <c r="DG38" t="n">
        <v>5.822</v>
      </c>
      <c r="DH38" t="n">
        <v>15.846</v>
      </c>
      <c r="DI38" t="n">
        <v>0</v>
      </c>
      <c r="DJ38" t="n">
        <v>17.446</v>
      </c>
      <c r="DM38" t="n">
        <v>5.998</v>
      </c>
      <c r="DN38" t="n">
        <v>17.072</v>
      </c>
      <c r="DO38" t="n">
        <v>4.327</v>
      </c>
      <c r="DP38" t="n">
        <v>6.996</v>
      </c>
      <c r="DQ38" t="inlineStr">
        <is>
          <t>F80031 N+6.00</t>
        </is>
      </c>
      <c r="DR38" t="inlineStr">
        <is>
          <t>N+6.00</t>
        </is>
      </c>
      <c r="DS38" t="n">
        <v>4.426</v>
      </c>
      <c r="DT38" t="n">
        <v>17.446</v>
      </c>
      <c r="DU38" t="n">
        <v>8.85</v>
      </c>
      <c r="DV38" t="n">
        <v>17.446</v>
      </c>
      <c r="DW38" t="n">
        <v>8.85</v>
      </c>
      <c r="DX38" t="n">
        <v>21.446</v>
      </c>
      <c r="DY38" t="n">
        <v>4.426</v>
      </c>
      <c r="DZ38" t="n">
        <v>21.446</v>
      </c>
      <c r="EA38" t="n">
        <v>4.426</v>
      </c>
      <c r="EB38" t="n">
        <v>17.446</v>
      </c>
      <c r="EC38" t="n">
        <v>4.426</v>
      </c>
      <c r="ED38" t="n">
        <v>17.446</v>
      </c>
      <c r="EE38" t="n">
        <v>4.426</v>
      </c>
      <c r="EF38" t="n">
        <v>17.446</v>
      </c>
      <c r="EG38" t="n">
        <v>4.426</v>
      </c>
      <c r="EH38" t="n">
        <v>17.446</v>
      </c>
      <c r="EI38" t="n">
        <v>4.426</v>
      </c>
      <c r="EJ38" t="n">
        <v>17.446</v>
      </c>
      <c r="EK38" t="n">
        <v>4.426</v>
      </c>
      <c r="EL38" t="n">
        <v>17.446</v>
      </c>
      <c r="EM38" t="n">
        <v>4.426</v>
      </c>
      <c r="EN38" t="n">
        <v>17.446</v>
      </c>
      <c r="EO38" t="n">
        <v>4.426</v>
      </c>
      <c r="EP38" t="n">
        <v>17.446</v>
      </c>
      <c r="EQ38" t="n">
        <v>4.426</v>
      </c>
      <c r="ER38" t="n">
        <v>17.446</v>
      </c>
      <c r="ES38" t="n">
        <v>4.426</v>
      </c>
      <c r="ET38" t="n">
        <v>17.446</v>
      </c>
      <c r="EU38" t="n">
        <v>4.426</v>
      </c>
      <c r="EV38" t="n">
        <v>17.446</v>
      </c>
      <c r="EW38" t="n">
        <v>4.426</v>
      </c>
      <c r="EX38" t="n">
        <v>17.446</v>
      </c>
      <c r="EY38" t="n">
        <v>4.426</v>
      </c>
      <c r="EZ38" t="n">
        <v>17.446</v>
      </c>
      <c r="FA38" t="n">
        <v>4.426</v>
      </c>
      <c r="FB38" t="n">
        <v>17.446</v>
      </c>
      <c r="FD38" t="inlineStr">
        <is>
          <t>NP-31</t>
        </is>
      </c>
      <c r="FE38" t="inlineStr">
        <is>
          <t>N+6.00</t>
        </is>
      </c>
      <c r="FF38" t="n">
        <v>5.822</v>
      </c>
      <c r="FG38" t="n">
        <v>16.697</v>
      </c>
      <c r="FH38" t="n">
        <v>8.85</v>
      </c>
      <c r="FI38" t="n">
        <v>16.697</v>
      </c>
      <c r="FT38" t="inlineStr">
        <is>
          <t>F80031</t>
        </is>
      </c>
      <c r="FU38" t="n">
        <v>6.638</v>
      </c>
      <c r="FV38" t="n">
        <v>19.446</v>
      </c>
      <c r="FW38" t="inlineStr">
        <is>
          <t>N+6.00</t>
        </is>
      </c>
    </row>
    <row r="39">
      <c r="A39" t="n">
        <v>32</v>
      </c>
      <c r="B39">
        <f>CHOOSE(MIN(MAX($A39,1),5),CROQUIS!$C$15,CROQUIS!$C$15+CROQUIS!$C$10*CROQUIS!$C$14,CROQUIS!$C$15+CROQUIS!$C$10*CROQUIS!$C$14,CROQUIS!$C$15,CROQUIS!$C$15)</f>
        <v>12</v>
      </c>
      <c r="C39">
        <f>CHOOSE(MIN(MAX($A39,1),5),CROQUIS!$C$16,CROQUIS!$C$16,CROQUIS!$C$16+CROQUIS!$C$11*CROQUIS!$C$14,CROQUIS!$C$16+CROQUIS!$C$11*CROQUIS!$C$14,CROQUIS!$C$16)</f>
        <v>15.9462268413918</v>
      </c>
      <c r="D39">
        <f>CHOOSE(MIN(MAX($A39,1),5),CROQUIS!$C$15+DATOS!$C$17/2*CROQUIS!$C$14,CROQUIS!$C$15+CROQUIS!$C$10*CROQUIS!$C$14-DATOS!$C$17/2*CROQUIS!$C$14,CROQUIS!$C$15+CROQUIS!$C$10*CROQUIS!$C$14-DATOS!$C$17/2*CROQUIS!$C$14,CROQUIS!$C$15+DATOS!$C$17/2*CROQUIS!$C$14,CROQUIS!$C$15+DATOS!$C$17/2*CROQUIS!$C$14)</f>
        <v>13.3895164934478</v>
      </c>
      <c r="E39">
        <f>CHOOSE(MIN(MAX($A39,1),5),CROQUIS!$C$16+DATOS!$C$17/2*CROQUIS!$C$14,CROQUIS!$C$16+DATOS!$C$17/2*CROQUIS!$C$14,CROQUIS!$C$16+CROQUIS!$C$11*CROQUIS!$C$14-DATOS!$C$17/2*CROQUIS!$C$14,CROQUIS!$C$16+CROQUIS!$C$11*CROQUIS!$C$14-DATOS!$C$17/2*CROQUIS!$C$14,CROQUIS!$C$16+DATOS!$C$17/2*CROQUIS!$C$14)</f>
        <v>17.3357433348396</v>
      </c>
      <c r="F39">
        <f>IF(NERVADURA!$C$131=0,CROQUIS!$C$15+CROQUIS!$C$10*CROQUIS!$C$14/2,CROQUIS!$C$15+(DATOS!$C$17/2+NERVADURA!$C$132+INT(MIN(INT(($A39-1)/2),MAX(2*NERVADURA!$C$131-1,0))/2)*DATOS!$C$16+MOD(MIN(INT(($A39-1)/2),MAX(2*NERVADURA!$C$131-1,0)),2)*DATOS!$C$11)*CROQUIS!$C$14)</f>
        <v>90.9801174875734</v>
      </c>
      <c r="G39">
        <f>IF(NERVADURA!$C$131=0,CROQUIS!$C$16+CROQUIS!$C$11*CROQUIS!$C$14/2,CROQUIS!$C$16+IF(MOD(MIN(INT(($A39-1)/2),MAX(2*NERVADURA!$C$131-1,0)),2)=0,IF(IF(INT(($A39-1)/2)&gt;MAX(2*NERVADURA!$C$131-1,0),1,MOD($A39-1,2))=0,(DATOS!$C$17/2+NERVADURA!$C$134),(CROQUIS!$C$11-DATOS!$C$17/2-NERVADURA!$C$134)),IF(IF(INT(($A39-1)/2)&gt;MAX(2*NERVADURA!$C$131-1,0),1,MOD($A39-1,2))=0,(CROQUIS!$C$11-DATOS!$C$17/2-NERVADURA!$C$134),(DATOS!$C$17/2+NERVADURA!$C$134)))*CROQUIS!$C$14)</f>
        <v>21.504292815183</v>
      </c>
      <c r="H39">
        <f>IF(NERVADURA!$C$133=0,CROQUIS!$C$15+CROQUIS!$C$10*CROQUIS!$C$14/2,CROQUIS!$C$15+IF(MOD(MIN(INT(($A39-1)/2),MAX(2*NERVADURA!$C$133-1,0)),2)=0,IF(IF(INT(($A39-1)/2)&gt;MAX(2*NERVADURA!$C$133-1,0),1,MOD($A39-1,2))=0,(DATOS!$C$17/2+NERVADURA!$C$132),(CROQUIS!$C$10-DATOS!$C$17/2-NERVADURA!$C$132)),IF(IF(INT(($A39-1)/2)&gt;MAX(2*NERVADURA!$C$133-1,0),1,MOD($A39-1,2))=0,(CROQUIS!$C$10-DATOS!$C$17/2-NERVADURA!$C$132),(DATOS!$C$17/2+NERVADURA!$C$132)))*CROQUIS!$C$14)</f>
        <v>15.0198825124266</v>
      </c>
      <c r="I39">
        <f>IF(NERVADURA!$C$133=0,CROQUIS!$C$16+CROQUIS!$C$11*CROQUIS!$C$14/2,CROQUIS!$C$16+(DATOS!$C$17/2+NERVADURA!$C$134+INT(MIN(INT(($A39-1)/2),MAX(2*NERVADURA!$C$133-1,0))/2)*DATOS!$C$16+MOD(MIN(INT(($A39-1)/2),MAX(2*NERVADURA!$C$133-1,0)),2)*DATOS!$C$11)*CROQUIS!$C$14)</f>
        <v>84.495707184817</v>
      </c>
      <c r="CY39" t="n">
        <v>-1.6</v>
      </c>
      <c r="CZ39" t="n">
        <v>24.371</v>
      </c>
      <c r="DA39" t="n">
        <v>8.85</v>
      </c>
      <c r="DB39" t="n">
        <v>14.247</v>
      </c>
      <c r="DE39" t="n">
        <v>4.925</v>
      </c>
      <c r="DF39" t="n">
        <v>21.446</v>
      </c>
      <c r="DG39" t="n">
        <v>8.85</v>
      </c>
      <c r="DH39" t="n">
        <v>15.846</v>
      </c>
      <c r="DI39" t="n">
        <v>8.85</v>
      </c>
      <c r="DJ39" t="n">
        <v>17.446</v>
      </c>
      <c r="DM39" t="n">
        <v>8.775</v>
      </c>
      <c r="DN39" t="n">
        <v>17.372</v>
      </c>
      <c r="DO39" t="n">
        <v>4.327</v>
      </c>
      <c r="DP39" t="n">
        <v>7.871</v>
      </c>
      <c r="DQ39" t="inlineStr">
        <is>
          <t>F80032 N+6.00</t>
        </is>
      </c>
      <c r="DR39" t="inlineStr">
        <is>
          <t>N+6.00</t>
        </is>
      </c>
      <c r="DS39" t="n">
        <v>4.327</v>
      </c>
      <c r="DT39" t="n">
        <v>14.021</v>
      </c>
      <c r="DU39" t="n">
        <v>4.327</v>
      </c>
      <c r="DV39" t="n">
        <v>5.946</v>
      </c>
      <c r="DW39" t="n">
        <v>5.923</v>
      </c>
      <c r="DX39" t="n">
        <v>5.946</v>
      </c>
      <c r="DY39" t="n">
        <v>5.923</v>
      </c>
      <c r="DZ39" t="n">
        <v>9.949999999999999</v>
      </c>
      <c r="EA39" t="n">
        <v>5.422</v>
      </c>
      <c r="EB39" t="n">
        <v>9.949999999999999</v>
      </c>
      <c r="EC39" t="n">
        <v>5.422</v>
      </c>
      <c r="ED39" t="n">
        <v>15.846</v>
      </c>
      <c r="EE39" t="n">
        <v>5.822</v>
      </c>
      <c r="EF39" t="n">
        <v>15.846</v>
      </c>
      <c r="EG39" t="n">
        <v>5.822</v>
      </c>
      <c r="EH39" t="n">
        <v>17.446</v>
      </c>
      <c r="EI39" t="n">
        <v>3.029</v>
      </c>
      <c r="EJ39" t="n">
        <v>17.446</v>
      </c>
      <c r="EK39" t="n">
        <v>3.029</v>
      </c>
      <c r="EL39" t="n">
        <v>15.846</v>
      </c>
      <c r="EM39" t="n">
        <v>3.427</v>
      </c>
      <c r="EN39" t="n">
        <v>15.846</v>
      </c>
      <c r="EO39" t="n">
        <v>3.427</v>
      </c>
      <c r="EP39" t="n">
        <v>14.021</v>
      </c>
      <c r="EQ39" t="n">
        <v>4.327</v>
      </c>
      <c r="ER39" t="n">
        <v>14.021</v>
      </c>
      <c r="ES39" t="n">
        <v>4.327</v>
      </c>
      <c r="ET39" t="n">
        <v>14.021</v>
      </c>
      <c r="EU39" t="n">
        <v>4.327</v>
      </c>
      <c r="EV39" t="n">
        <v>14.021</v>
      </c>
      <c r="EW39" t="n">
        <v>4.327</v>
      </c>
      <c r="EX39" t="n">
        <v>14.021</v>
      </c>
      <c r="EY39" t="n">
        <v>4.327</v>
      </c>
      <c r="EZ39" t="n">
        <v>14.021</v>
      </c>
      <c r="FA39" t="n">
        <v>4.327</v>
      </c>
      <c r="FB39" t="n">
        <v>14.021</v>
      </c>
      <c r="FD39" t="inlineStr">
        <is>
          <t>NP-32</t>
        </is>
      </c>
      <c r="FE39" t="inlineStr">
        <is>
          <t>N+6.00</t>
        </is>
      </c>
      <c r="FF39" t="n">
        <v>0</v>
      </c>
      <c r="FG39" t="n">
        <v>16.997</v>
      </c>
      <c r="FH39" t="n">
        <v>3.029</v>
      </c>
      <c r="FI39" t="n">
        <v>16.997</v>
      </c>
      <c r="FT39" t="inlineStr">
        <is>
          <t>F80032</t>
        </is>
      </c>
      <c r="FU39" t="n">
        <v>4.874</v>
      </c>
      <c r="FV39" t="n">
        <v>11.986</v>
      </c>
      <c r="FW39" t="inlineStr">
        <is>
          <t>N+6.00</t>
        </is>
      </c>
    </row>
    <row r="40">
      <c r="A40" t="n">
        <v>33</v>
      </c>
      <c r="B40">
        <f>CHOOSE(MIN(MAX($A40,1),5),CROQUIS!$C$15,CROQUIS!$C$15+CROQUIS!$C$10*CROQUIS!$C$14,CROQUIS!$C$15+CROQUIS!$C$10*CROQUIS!$C$14,CROQUIS!$C$15,CROQUIS!$C$15)</f>
        <v>12</v>
      </c>
      <c r="C40">
        <f>CHOOSE(MIN(MAX($A40,1),5),CROQUIS!$C$16,CROQUIS!$C$16,CROQUIS!$C$16+CROQUIS!$C$11*CROQUIS!$C$14,CROQUIS!$C$16+CROQUIS!$C$11*CROQUIS!$C$14,CROQUIS!$C$16)</f>
        <v>15.9462268413918</v>
      </c>
      <c r="D40">
        <f>CHOOSE(MIN(MAX($A40,1),5),CROQUIS!$C$15+DATOS!$C$17/2*CROQUIS!$C$14,CROQUIS!$C$15+CROQUIS!$C$10*CROQUIS!$C$14-DATOS!$C$17/2*CROQUIS!$C$14,CROQUIS!$C$15+CROQUIS!$C$10*CROQUIS!$C$14-DATOS!$C$17/2*CROQUIS!$C$14,CROQUIS!$C$15+DATOS!$C$17/2*CROQUIS!$C$14,CROQUIS!$C$15+DATOS!$C$17/2*CROQUIS!$C$14)</f>
        <v>13.3895164934478</v>
      </c>
      <c r="E40">
        <f>CHOOSE(MIN(MAX($A40,1),5),CROQUIS!$C$16+DATOS!$C$17/2*CROQUIS!$C$14,CROQUIS!$C$16+DATOS!$C$17/2*CROQUIS!$C$14,CROQUIS!$C$16+CROQUIS!$C$11*CROQUIS!$C$14-DATOS!$C$17/2*CROQUIS!$C$14,CROQUIS!$C$16+CROQUIS!$C$11*CROQUIS!$C$14-DATOS!$C$17/2*CROQUIS!$C$14,CROQUIS!$C$16+DATOS!$C$17/2*CROQUIS!$C$14)</f>
        <v>17.3357433348396</v>
      </c>
      <c r="F40">
        <f>IF(NERVADURA!$C$131=0,CROQUIS!$C$15+CROQUIS!$C$10*CROQUIS!$C$14/2,CROQUIS!$C$15+(DATOS!$C$17/2+NERVADURA!$C$132+INT(MIN(INT(($A40-1)/2),MAX(2*NERVADURA!$C$131-1,0))/2)*DATOS!$C$16+MOD(MIN(INT(($A40-1)/2),MAX(2*NERVADURA!$C$131-1,0)),2)*DATOS!$C$11)*CROQUIS!$C$14)</f>
        <v>90.9801174875734</v>
      </c>
      <c r="G40">
        <f>IF(NERVADURA!$C$131=0,CROQUIS!$C$16+CROQUIS!$C$11*CROQUIS!$C$14/2,CROQUIS!$C$16+IF(MOD(MIN(INT(($A40-1)/2),MAX(2*NERVADURA!$C$131-1,0)),2)=0,IF(IF(INT(($A40-1)/2)&gt;MAX(2*NERVADURA!$C$131-1,0),1,MOD($A40-1,2))=0,(DATOS!$C$17/2+NERVADURA!$C$134),(CROQUIS!$C$11-DATOS!$C$17/2-NERVADURA!$C$134)),IF(IF(INT(($A40-1)/2)&gt;MAX(2*NERVADURA!$C$131-1,0),1,MOD($A40-1,2))=0,(CROQUIS!$C$11-DATOS!$C$17/2-NERVADURA!$C$134),(DATOS!$C$17/2+NERVADURA!$C$134)))*CROQUIS!$C$14)</f>
        <v>21.504292815183</v>
      </c>
      <c r="H40">
        <f>IF(NERVADURA!$C$133=0,CROQUIS!$C$15+CROQUIS!$C$10*CROQUIS!$C$14/2,CROQUIS!$C$15+IF(MOD(MIN(INT(($A40-1)/2),MAX(2*NERVADURA!$C$133-1,0)),2)=0,IF(IF(INT(($A40-1)/2)&gt;MAX(2*NERVADURA!$C$133-1,0),1,MOD($A40-1,2))=0,(DATOS!$C$17/2+NERVADURA!$C$132),(CROQUIS!$C$10-DATOS!$C$17/2-NERVADURA!$C$132)),IF(IF(INT(($A40-1)/2)&gt;MAX(2*NERVADURA!$C$133-1,0),1,MOD($A40-1,2))=0,(CROQUIS!$C$10-DATOS!$C$17/2-NERVADURA!$C$132),(DATOS!$C$17/2+NERVADURA!$C$132)))*CROQUIS!$C$14)</f>
        <v>15.0198825124266</v>
      </c>
      <c r="I40">
        <f>IF(NERVADURA!$C$133=0,CROQUIS!$C$16+CROQUIS!$C$11*CROQUIS!$C$14/2,CROQUIS!$C$16+(DATOS!$C$17/2+NERVADURA!$C$134+INT(MIN(INT(($A40-1)/2),MAX(2*NERVADURA!$C$133-1,0))/2)*DATOS!$C$16+MOD(MIN(INT(($A40-1)/2),MAX(2*NERVADURA!$C$133-1,0)),2)*DATOS!$C$11)*CROQUIS!$C$14)</f>
        <v>84.495707184817</v>
      </c>
      <c r="CW40" t="n">
        <v>0</v>
      </c>
      <c r="CX40" t="n">
        <v>6.948</v>
      </c>
      <c r="DE40" t="n">
        <v>5.275</v>
      </c>
      <c r="DF40" t="n">
        <v>21.446</v>
      </c>
      <c r="DG40" t="n">
        <v>8.85</v>
      </c>
      <c r="DH40" t="n">
        <v>16.697</v>
      </c>
      <c r="DO40" t="n">
        <v>4.327</v>
      </c>
      <c r="DP40" t="n">
        <v>14.021</v>
      </c>
      <c r="FD40" t="inlineStr">
        <is>
          <t>NP-33</t>
        </is>
      </c>
      <c r="FE40" t="inlineStr">
        <is>
          <t>N+6.00</t>
        </is>
      </c>
      <c r="FF40" t="n">
        <v>0</v>
      </c>
      <c r="FG40" t="n">
        <v>14.021</v>
      </c>
      <c r="FH40" t="n">
        <v>0</v>
      </c>
      <c r="FI40" t="n">
        <v>15.846</v>
      </c>
    </row>
    <row r="41">
      <c r="A41" t="n">
        <v>34</v>
      </c>
      <c r="B41">
        <f>CHOOSE(MIN(MAX($A41,1),5),CROQUIS!$C$15,CROQUIS!$C$15+CROQUIS!$C$10*CROQUIS!$C$14,CROQUIS!$C$15+CROQUIS!$C$10*CROQUIS!$C$14,CROQUIS!$C$15,CROQUIS!$C$15)</f>
        <v>12</v>
      </c>
      <c r="C41">
        <f>CHOOSE(MIN(MAX($A41,1),5),CROQUIS!$C$16,CROQUIS!$C$16,CROQUIS!$C$16+CROQUIS!$C$11*CROQUIS!$C$14,CROQUIS!$C$16+CROQUIS!$C$11*CROQUIS!$C$14,CROQUIS!$C$16)</f>
        <v>15.9462268413918</v>
      </c>
      <c r="D41">
        <f>CHOOSE(MIN(MAX($A41,1),5),CROQUIS!$C$15+DATOS!$C$17/2*CROQUIS!$C$14,CROQUIS!$C$15+CROQUIS!$C$10*CROQUIS!$C$14-DATOS!$C$17/2*CROQUIS!$C$14,CROQUIS!$C$15+CROQUIS!$C$10*CROQUIS!$C$14-DATOS!$C$17/2*CROQUIS!$C$14,CROQUIS!$C$15+DATOS!$C$17/2*CROQUIS!$C$14,CROQUIS!$C$15+DATOS!$C$17/2*CROQUIS!$C$14)</f>
        <v>13.3895164934478</v>
      </c>
      <c r="E41">
        <f>CHOOSE(MIN(MAX($A41,1),5),CROQUIS!$C$16+DATOS!$C$17/2*CROQUIS!$C$14,CROQUIS!$C$16+DATOS!$C$17/2*CROQUIS!$C$14,CROQUIS!$C$16+CROQUIS!$C$11*CROQUIS!$C$14-DATOS!$C$17/2*CROQUIS!$C$14,CROQUIS!$C$16+CROQUIS!$C$11*CROQUIS!$C$14-DATOS!$C$17/2*CROQUIS!$C$14,CROQUIS!$C$16+DATOS!$C$17/2*CROQUIS!$C$14)</f>
        <v>17.3357433348396</v>
      </c>
      <c r="F41">
        <f>IF(NERVADURA!$C$131=0,CROQUIS!$C$15+CROQUIS!$C$10*CROQUIS!$C$14/2,CROQUIS!$C$15+(DATOS!$C$17/2+NERVADURA!$C$132+INT(MIN(INT(($A41-1)/2),MAX(2*NERVADURA!$C$131-1,0))/2)*DATOS!$C$16+MOD(MIN(INT(($A41-1)/2),MAX(2*NERVADURA!$C$131-1,0)),2)*DATOS!$C$11)*CROQUIS!$C$14)</f>
        <v>90.9801174875734</v>
      </c>
      <c r="G41">
        <f>IF(NERVADURA!$C$131=0,CROQUIS!$C$16+CROQUIS!$C$11*CROQUIS!$C$14/2,CROQUIS!$C$16+IF(MOD(MIN(INT(($A41-1)/2),MAX(2*NERVADURA!$C$131-1,0)),2)=0,IF(IF(INT(($A41-1)/2)&gt;MAX(2*NERVADURA!$C$131-1,0),1,MOD($A41-1,2))=0,(DATOS!$C$17/2+NERVADURA!$C$134),(CROQUIS!$C$11-DATOS!$C$17/2-NERVADURA!$C$134)),IF(IF(INT(($A41-1)/2)&gt;MAX(2*NERVADURA!$C$131-1,0),1,MOD($A41-1,2))=0,(CROQUIS!$C$11-DATOS!$C$17/2-NERVADURA!$C$134),(DATOS!$C$17/2+NERVADURA!$C$134)))*CROQUIS!$C$14)</f>
        <v>21.504292815183</v>
      </c>
      <c r="H41">
        <f>IF(NERVADURA!$C$133=0,CROQUIS!$C$15+CROQUIS!$C$10*CROQUIS!$C$14/2,CROQUIS!$C$15+IF(MOD(MIN(INT(($A41-1)/2),MAX(2*NERVADURA!$C$133-1,0)),2)=0,IF(IF(INT(($A41-1)/2)&gt;MAX(2*NERVADURA!$C$133-1,0),1,MOD($A41-1,2))=0,(DATOS!$C$17/2+NERVADURA!$C$132),(CROQUIS!$C$10-DATOS!$C$17/2-NERVADURA!$C$132)),IF(IF(INT(($A41-1)/2)&gt;MAX(2*NERVADURA!$C$133-1,0),1,MOD($A41-1,2))=0,(CROQUIS!$C$10-DATOS!$C$17/2-NERVADURA!$C$132),(DATOS!$C$17/2+NERVADURA!$C$132)))*CROQUIS!$C$14)</f>
        <v>15.0198825124266</v>
      </c>
      <c r="I41">
        <f>IF(NERVADURA!$C$133=0,CROQUIS!$C$16+CROQUIS!$C$11*CROQUIS!$C$14/2,CROQUIS!$C$16+(DATOS!$C$17/2+NERVADURA!$C$134+INT(MIN(INT(($A41-1)/2),MAX(2*NERVADURA!$C$133-1,0))/2)*DATOS!$C$16+MOD(MIN(INT(($A41-1)/2),MAX(2*NERVADURA!$C$133-1,0)),2)*DATOS!$C$11)*CROQUIS!$C$14)</f>
        <v>84.495707184817</v>
      </c>
      <c r="CW41" t="n">
        <v>4.327</v>
      </c>
      <c r="CX41" t="n">
        <v>6.948</v>
      </c>
      <c r="CY41" t="n">
        <v>0</v>
      </c>
      <c r="CZ41" t="n">
        <v>0</v>
      </c>
      <c r="DA41" t="n">
        <v>0</v>
      </c>
      <c r="DB41" t="n">
        <v>15.846</v>
      </c>
      <c r="DE41" t="n">
        <v>5.298</v>
      </c>
      <c r="DF41" t="n">
        <v>5.946</v>
      </c>
      <c r="DG41" t="n">
        <v>5.822</v>
      </c>
      <c r="DH41" t="n">
        <v>16.697</v>
      </c>
      <c r="DI41" t="n">
        <v>0</v>
      </c>
      <c r="DJ41" t="n">
        <v>21.446</v>
      </c>
      <c r="DM41" t="n">
        <v>5.998</v>
      </c>
      <c r="DN41" t="n">
        <v>17.372</v>
      </c>
      <c r="DO41" t="n">
        <v>4.426</v>
      </c>
      <c r="DP41" t="n">
        <v>17.446</v>
      </c>
      <c r="FD41" t="inlineStr">
        <is>
          <t>NP-34</t>
        </is>
      </c>
      <c r="FE41" t="inlineStr">
        <is>
          <t>N+6.00</t>
        </is>
      </c>
      <c r="FF41" t="n">
        <v>5.923</v>
      </c>
      <c r="FG41" t="n">
        <v>6.948</v>
      </c>
      <c r="FH41" t="n">
        <v>5.923</v>
      </c>
      <c r="FI41" t="n">
        <v>9.949999999999999</v>
      </c>
    </row>
    <row r="42">
      <c r="A42" t="n">
        <v>35</v>
      </c>
      <c r="B42">
        <f>CHOOSE(MIN(MAX($A42,1),5),CROQUIS!$C$15,CROQUIS!$C$15+CROQUIS!$C$10*CROQUIS!$C$14,CROQUIS!$C$15+CROQUIS!$C$10*CROQUIS!$C$14,CROQUIS!$C$15,CROQUIS!$C$15)</f>
        <v>12</v>
      </c>
      <c r="C42">
        <f>CHOOSE(MIN(MAX($A42,1),5),CROQUIS!$C$16,CROQUIS!$C$16,CROQUIS!$C$16+CROQUIS!$C$11*CROQUIS!$C$14,CROQUIS!$C$16+CROQUIS!$C$11*CROQUIS!$C$14,CROQUIS!$C$16)</f>
        <v>15.9462268413918</v>
      </c>
      <c r="D42">
        <f>CHOOSE(MIN(MAX($A42,1),5),CROQUIS!$C$15+DATOS!$C$17/2*CROQUIS!$C$14,CROQUIS!$C$15+CROQUIS!$C$10*CROQUIS!$C$14-DATOS!$C$17/2*CROQUIS!$C$14,CROQUIS!$C$15+CROQUIS!$C$10*CROQUIS!$C$14-DATOS!$C$17/2*CROQUIS!$C$14,CROQUIS!$C$15+DATOS!$C$17/2*CROQUIS!$C$14,CROQUIS!$C$15+DATOS!$C$17/2*CROQUIS!$C$14)</f>
        <v>13.3895164934478</v>
      </c>
      <c r="E42">
        <f>CHOOSE(MIN(MAX($A42,1),5),CROQUIS!$C$16+DATOS!$C$17/2*CROQUIS!$C$14,CROQUIS!$C$16+DATOS!$C$17/2*CROQUIS!$C$14,CROQUIS!$C$16+CROQUIS!$C$11*CROQUIS!$C$14-DATOS!$C$17/2*CROQUIS!$C$14,CROQUIS!$C$16+CROQUIS!$C$11*CROQUIS!$C$14-DATOS!$C$17/2*CROQUIS!$C$14,CROQUIS!$C$16+DATOS!$C$17/2*CROQUIS!$C$14)</f>
        <v>17.3357433348396</v>
      </c>
      <c r="F42">
        <f>IF(NERVADURA!$C$131=0,CROQUIS!$C$15+CROQUIS!$C$10*CROQUIS!$C$14/2,CROQUIS!$C$15+(DATOS!$C$17/2+NERVADURA!$C$132+INT(MIN(INT(($A42-1)/2),MAX(2*NERVADURA!$C$131-1,0))/2)*DATOS!$C$16+MOD(MIN(INT(($A42-1)/2),MAX(2*NERVADURA!$C$131-1,0)),2)*DATOS!$C$11)*CROQUIS!$C$14)</f>
        <v>90.9801174875734</v>
      </c>
      <c r="G42">
        <f>IF(NERVADURA!$C$131=0,CROQUIS!$C$16+CROQUIS!$C$11*CROQUIS!$C$14/2,CROQUIS!$C$16+IF(MOD(MIN(INT(($A42-1)/2),MAX(2*NERVADURA!$C$131-1,0)),2)=0,IF(IF(INT(($A42-1)/2)&gt;MAX(2*NERVADURA!$C$131-1,0),1,MOD($A42-1,2))=0,(DATOS!$C$17/2+NERVADURA!$C$134),(CROQUIS!$C$11-DATOS!$C$17/2-NERVADURA!$C$134)),IF(IF(INT(($A42-1)/2)&gt;MAX(2*NERVADURA!$C$131-1,0),1,MOD($A42-1,2))=0,(CROQUIS!$C$11-DATOS!$C$17/2-NERVADURA!$C$134),(DATOS!$C$17/2+NERVADURA!$C$134)))*CROQUIS!$C$14)</f>
        <v>21.504292815183</v>
      </c>
      <c r="H42">
        <f>IF(NERVADURA!$C$133=0,CROQUIS!$C$15+CROQUIS!$C$10*CROQUIS!$C$14/2,CROQUIS!$C$15+IF(MOD(MIN(INT(($A42-1)/2),MAX(2*NERVADURA!$C$133-1,0)),2)=0,IF(IF(INT(($A42-1)/2)&gt;MAX(2*NERVADURA!$C$133-1,0),1,MOD($A42-1,2))=0,(DATOS!$C$17/2+NERVADURA!$C$132),(CROQUIS!$C$10-DATOS!$C$17/2-NERVADURA!$C$132)),IF(IF(INT(($A42-1)/2)&gt;MAX(2*NERVADURA!$C$133-1,0),1,MOD($A42-1,2))=0,(CROQUIS!$C$10-DATOS!$C$17/2-NERVADURA!$C$132),(DATOS!$C$17/2+NERVADURA!$C$132)))*CROQUIS!$C$14)</f>
        <v>15.0198825124266</v>
      </c>
      <c r="I42">
        <f>IF(NERVADURA!$C$133=0,CROQUIS!$C$16+CROQUIS!$C$11*CROQUIS!$C$14/2,CROQUIS!$C$16+(DATOS!$C$17/2+NERVADURA!$C$134+INT(MIN(INT(($A42-1)/2),MAX(2*NERVADURA!$C$133-1,0))/2)*DATOS!$C$16+MOD(MIN(INT(($A42-1)/2),MAX(2*NERVADURA!$C$133-1,0)),2)*DATOS!$C$11)*CROQUIS!$C$14)</f>
        <v>84.495707184817</v>
      </c>
      <c r="CW42" t="n">
        <v>4.327</v>
      </c>
      <c r="CX42" t="n">
        <v>7.871</v>
      </c>
      <c r="CY42" t="n">
        <v>0</v>
      </c>
      <c r="CZ42" t="n">
        <v>24.371</v>
      </c>
      <c r="DA42" t="n">
        <v>3.427</v>
      </c>
      <c r="DB42" t="n">
        <v>15.846</v>
      </c>
      <c r="DE42" t="n">
        <v>5.923</v>
      </c>
      <c r="DF42" t="n">
        <v>5.946</v>
      </c>
      <c r="DG42" t="n">
        <v>5.822</v>
      </c>
      <c r="DH42" t="n">
        <v>15.846</v>
      </c>
      <c r="DI42" t="n">
        <v>8.85</v>
      </c>
      <c r="DJ42" t="n">
        <v>21.446</v>
      </c>
      <c r="DM42" t="n">
        <v>8.775</v>
      </c>
      <c r="DN42" t="n">
        <v>17.072</v>
      </c>
      <c r="DO42" t="n">
        <v>4.426</v>
      </c>
      <c r="DP42" t="n">
        <v>19.447</v>
      </c>
    </row>
    <row r="43">
      <c r="A43" t="n">
        <v>36</v>
      </c>
      <c r="B43">
        <f>CHOOSE(MIN(MAX($A43,1),5),CROQUIS!$C$15,CROQUIS!$C$15+CROQUIS!$C$10*CROQUIS!$C$14,CROQUIS!$C$15+CROQUIS!$C$10*CROQUIS!$C$14,CROQUIS!$C$15,CROQUIS!$C$15)</f>
        <v>12</v>
      </c>
      <c r="C43">
        <f>CHOOSE(MIN(MAX($A43,1),5),CROQUIS!$C$16,CROQUIS!$C$16,CROQUIS!$C$16+CROQUIS!$C$11*CROQUIS!$C$14,CROQUIS!$C$16+CROQUIS!$C$11*CROQUIS!$C$14,CROQUIS!$C$16)</f>
        <v>15.9462268413918</v>
      </c>
      <c r="D43">
        <f>CHOOSE(MIN(MAX($A43,1),5),CROQUIS!$C$15+DATOS!$C$17/2*CROQUIS!$C$14,CROQUIS!$C$15+CROQUIS!$C$10*CROQUIS!$C$14-DATOS!$C$17/2*CROQUIS!$C$14,CROQUIS!$C$15+CROQUIS!$C$10*CROQUIS!$C$14-DATOS!$C$17/2*CROQUIS!$C$14,CROQUIS!$C$15+DATOS!$C$17/2*CROQUIS!$C$14,CROQUIS!$C$15+DATOS!$C$17/2*CROQUIS!$C$14)</f>
        <v>13.3895164934478</v>
      </c>
      <c r="E43">
        <f>CHOOSE(MIN(MAX($A43,1),5),CROQUIS!$C$16+DATOS!$C$17/2*CROQUIS!$C$14,CROQUIS!$C$16+DATOS!$C$17/2*CROQUIS!$C$14,CROQUIS!$C$16+CROQUIS!$C$11*CROQUIS!$C$14-DATOS!$C$17/2*CROQUIS!$C$14,CROQUIS!$C$16+CROQUIS!$C$11*CROQUIS!$C$14-DATOS!$C$17/2*CROQUIS!$C$14,CROQUIS!$C$16+DATOS!$C$17/2*CROQUIS!$C$14)</f>
        <v>17.3357433348396</v>
      </c>
      <c r="F43">
        <f>IF(NERVADURA!$C$131=0,CROQUIS!$C$15+CROQUIS!$C$10*CROQUIS!$C$14/2,CROQUIS!$C$15+(DATOS!$C$17/2+NERVADURA!$C$132+INT(MIN(INT(($A43-1)/2),MAX(2*NERVADURA!$C$131-1,0))/2)*DATOS!$C$16+MOD(MIN(INT(($A43-1)/2),MAX(2*NERVADURA!$C$131-1,0)),2)*DATOS!$C$11)*CROQUIS!$C$14)</f>
        <v>90.9801174875734</v>
      </c>
      <c r="G43">
        <f>IF(NERVADURA!$C$131=0,CROQUIS!$C$16+CROQUIS!$C$11*CROQUIS!$C$14/2,CROQUIS!$C$16+IF(MOD(MIN(INT(($A43-1)/2),MAX(2*NERVADURA!$C$131-1,0)),2)=0,IF(IF(INT(($A43-1)/2)&gt;MAX(2*NERVADURA!$C$131-1,0),1,MOD($A43-1,2))=0,(DATOS!$C$17/2+NERVADURA!$C$134),(CROQUIS!$C$11-DATOS!$C$17/2-NERVADURA!$C$134)),IF(IF(INT(($A43-1)/2)&gt;MAX(2*NERVADURA!$C$131-1,0),1,MOD($A43-1,2))=0,(CROQUIS!$C$11-DATOS!$C$17/2-NERVADURA!$C$134),(DATOS!$C$17/2+NERVADURA!$C$134)))*CROQUIS!$C$14)</f>
        <v>21.504292815183</v>
      </c>
      <c r="H43">
        <f>IF(NERVADURA!$C$133=0,CROQUIS!$C$15+CROQUIS!$C$10*CROQUIS!$C$14/2,CROQUIS!$C$15+IF(MOD(MIN(INT(($A43-1)/2),MAX(2*NERVADURA!$C$133-1,0)),2)=0,IF(IF(INT(($A43-1)/2)&gt;MAX(2*NERVADURA!$C$133-1,0),1,MOD($A43-1,2))=0,(DATOS!$C$17/2+NERVADURA!$C$132),(CROQUIS!$C$10-DATOS!$C$17/2-NERVADURA!$C$132)),IF(IF(INT(($A43-1)/2)&gt;MAX(2*NERVADURA!$C$133-1,0),1,MOD($A43-1,2))=0,(CROQUIS!$C$10-DATOS!$C$17/2-NERVADURA!$C$132),(DATOS!$C$17/2+NERVADURA!$C$132)))*CROQUIS!$C$14)</f>
        <v>15.0198825124266</v>
      </c>
      <c r="I43">
        <f>IF(NERVADURA!$C$133=0,CROQUIS!$C$16+CROQUIS!$C$11*CROQUIS!$C$14/2,CROQUIS!$C$16+(DATOS!$C$17/2+NERVADURA!$C$134+INT(MIN(INT(($A43-1)/2),MAX(2*NERVADURA!$C$133-1,0))/2)*DATOS!$C$16+MOD(MIN(INT(($A43-1)/2),MAX(2*NERVADURA!$C$133-1,0)),2)*DATOS!$C$11)*CROQUIS!$C$14)</f>
        <v>84.495707184817</v>
      </c>
      <c r="CW43" t="n">
        <v>0</v>
      </c>
      <c r="CX43" t="n">
        <v>7.871</v>
      </c>
      <c r="DE43" t="n">
        <v>5.923</v>
      </c>
      <c r="DF43" t="n">
        <v>6.948</v>
      </c>
      <c r="DO43" t="n">
        <v>4.426</v>
      </c>
      <c r="DP43" t="n">
        <v>21.446</v>
      </c>
    </row>
    <row r="44">
      <c r="A44" t="n">
        <v>37</v>
      </c>
      <c r="B44">
        <f>CHOOSE(MIN(MAX($A44,1),5),CROQUIS!$C$15,CROQUIS!$C$15+CROQUIS!$C$10*CROQUIS!$C$14,CROQUIS!$C$15+CROQUIS!$C$10*CROQUIS!$C$14,CROQUIS!$C$15,CROQUIS!$C$15)</f>
        <v>12</v>
      </c>
      <c r="C44">
        <f>CHOOSE(MIN(MAX($A44,1),5),CROQUIS!$C$16,CROQUIS!$C$16,CROQUIS!$C$16+CROQUIS!$C$11*CROQUIS!$C$14,CROQUIS!$C$16+CROQUIS!$C$11*CROQUIS!$C$14,CROQUIS!$C$16)</f>
        <v>15.9462268413918</v>
      </c>
      <c r="D44">
        <f>CHOOSE(MIN(MAX($A44,1),5),CROQUIS!$C$15+DATOS!$C$17/2*CROQUIS!$C$14,CROQUIS!$C$15+CROQUIS!$C$10*CROQUIS!$C$14-DATOS!$C$17/2*CROQUIS!$C$14,CROQUIS!$C$15+CROQUIS!$C$10*CROQUIS!$C$14-DATOS!$C$17/2*CROQUIS!$C$14,CROQUIS!$C$15+DATOS!$C$17/2*CROQUIS!$C$14,CROQUIS!$C$15+DATOS!$C$17/2*CROQUIS!$C$14)</f>
        <v>13.3895164934478</v>
      </c>
      <c r="E44">
        <f>CHOOSE(MIN(MAX($A44,1),5),CROQUIS!$C$16+DATOS!$C$17/2*CROQUIS!$C$14,CROQUIS!$C$16+DATOS!$C$17/2*CROQUIS!$C$14,CROQUIS!$C$16+CROQUIS!$C$11*CROQUIS!$C$14-DATOS!$C$17/2*CROQUIS!$C$14,CROQUIS!$C$16+CROQUIS!$C$11*CROQUIS!$C$14-DATOS!$C$17/2*CROQUIS!$C$14,CROQUIS!$C$16+DATOS!$C$17/2*CROQUIS!$C$14)</f>
        <v>17.3357433348396</v>
      </c>
      <c r="F44">
        <f>IF(NERVADURA!$C$131=0,CROQUIS!$C$15+CROQUIS!$C$10*CROQUIS!$C$14/2,CROQUIS!$C$15+(DATOS!$C$17/2+NERVADURA!$C$132+INT(MIN(INT(($A44-1)/2),MAX(2*NERVADURA!$C$131-1,0))/2)*DATOS!$C$16+MOD(MIN(INT(($A44-1)/2),MAX(2*NERVADURA!$C$131-1,0)),2)*DATOS!$C$11)*CROQUIS!$C$14)</f>
        <v>90.9801174875734</v>
      </c>
      <c r="G44">
        <f>IF(NERVADURA!$C$131=0,CROQUIS!$C$16+CROQUIS!$C$11*CROQUIS!$C$14/2,CROQUIS!$C$16+IF(MOD(MIN(INT(($A44-1)/2),MAX(2*NERVADURA!$C$131-1,0)),2)=0,IF(IF(INT(($A44-1)/2)&gt;MAX(2*NERVADURA!$C$131-1,0),1,MOD($A44-1,2))=0,(DATOS!$C$17/2+NERVADURA!$C$134),(CROQUIS!$C$11-DATOS!$C$17/2-NERVADURA!$C$134)),IF(IF(INT(($A44-1)/2)&gt;MAX(2*NERVADURA!$C$131-1,0),1,MOD($A44-1,2))=0,(CROQUIS!$C$11-DATOS!$C$17/2-NERVADURA!$C$134),(DATOS!$C$17/2+NERVADURA!$C$134)))*CROQUIS!$C$14)</f>
        <v>21.504292815183</v>
      </c>
      <c r="H44">
        <f>IF(NERVADURA!$C$133=0,CROQUIS!$C$15+CROQUIS!$C$10*CROQUIS!$C$14/2,CROQUIS!$C$15+IF(MOD(MIN(INT(($A44-1)/2),MAX(2*NERVADURA!$C$133-1,0)),2)=0,IF(IF(INT(($A44-1)/2)&gt;MAX(2*NERVADURA!$C$133-1,0),1,MOD($A44-1,2))=0,(DATOS!$C$17/2+NERVADURA!$C$132),(CROQUIS!$C$10-DATOS!$C$17/2-NERVADURA!$C$132)),IF(IF(INT(($A44-1)/2)&gt;MAX(2*NERVADURA!$C$133-1,0),1,MOD($A44-1,2))=0,(CROQUIS!$C$10-DATOS!$C$17/2-NERVADURA!$C$132),(DATOS!$C$17/2+NERVADURA!$C$132)))*CROQUIS!$C$14)</f>
        <v>15.0198825124266</v>
      </c>
      <c r="I44">
        <f>IF(NERVADURA!$C$133=0,CROQUIS!$C$16+CROQUIS!$C$11*CROQUIS!$C$14/2,CROQUIS!$C$16+(DATOS!$C$17/2+NERVADURA!$C$134+INT(MIN(INT(($A44-1)/2),MAX(2*NERVADURA!$C$133-1,0))/2)*DATOS!$C$16+MOD(MIN(INT(($A44-1)/2),MAX(2*NERVADURA!$C$133-1,0)),2)*DATOS!$C$11)*CROQUIS!$C$14)</f>
        <v>84.495707184817</v>
      </c>
      <c r="CW44" t="n">
        <v>0</v>
      </c>
      <c r="CX44" t="n">
        <v>6.948</v>
      </c>
      <c r="CY44" t="n">
        <v>2.925</v>
      </c>
      <c r="CZ44" t="n">
        <v>5.346</v>
      </c>
      <c r="DA44" t="n">
        <v>5.422</v>
      </c>
      <c r="DB44" t="n">
        <v>15.846</v>
      </c>
      <c r="DE44" t="n">
        <v>6.272</v>
      </c>
      <c r="DF44" t="n">
        <v>6.948</v>
      </c>
      <c r="DG44" t="n">
        <v>3.029</v>
      </c>
      <c r="DH44" t="n">
        <v>16.997</v>
      </c>
      <c r="DI44" t="n">
        <v>0</v>
      </c>
      <c r="DJ44" t="n">
        <v>1.919</v>
      </c>
      <c r="DM44" t="n">
        <v>5.998</v>
      </c>
      <c r="DN44" t="n">
        <v>16.772</v>
      </c>
      <c r="DO44" t="n">
        <v>5.298</v>
      </c>
      <c r="DP44" t="n">
        <v>5.946</v>
      </c>
    </row>
    <row r="45">
      <c r="A45" t="n">
        <v>38</v>
      </c>
      <c r="B45">
        <f>CHOOSE(MIN(MAX($A45,1),5),CROQUIS!$C$15,CROQUIS!$C$15+CROQUIS!$C$10*CROQUIS!$C$14,CROQUIS!$C$15+CROQUIS!$C$10*CROQUIS!$C$14,CROQUIS!$C$15,CROQUIS!$C$15)</f>
        <v>12</v>
      </c>
      <c r="C45">
        <f>CHOOSE(MIN(MAX($A45,1),5),CROQUIS!$C$16,CROQUIS!$C$16,CROQUIS!$C$16+CROQUIS!$C$11*CROQUIS!$C$14,CROQUIS!$C$16+CROQUIS!$C$11*CROQUIS!$C$14,CROQUIS!$C$16)</f>
        <v>15.9462268413918</v>
      </c>
      <c r="D45">
        <f>CHOOSE(MIN(MAX($A45,1),5),CROQUIS!$C$15+DATOS!$C$17/2*CROQUIS!$C$14,CROQUIS!$C$15+CROQUIS!$C$10*CROQUIS!$C$14-DATOS!$C$17/2*CROQUIS!$C$14,CROQUIS!$C$15+CROQUIS!$C$10*CROQUIS!$C$14-DATOS!$C$17/2*CROQUIS!$C$14,CROQUIS!$C$15+DATOS!$C$17/2*CROQUIS!$C$14,CROQUIS!$C$15+DATOS!$C$17/2*CROQUIS!$C$14)</f>
        <v>13.3895164934478</v>
      </c>
      <c r="E45">
        <f>CHOOSE(MIN(MAX($A45,1),5),CROQUIS!$C$16+DATOS!$C$17/2*CROQUIS!$C$14,CROQUIS!$C$16+DATOS!$C$17/2*CROQUIS!$C$14,CROQUIS!$C$16+CROQUIS!$C$11*CROQUIS!$C$14-DATOS!$C$17/2*CROQUIS!$C$14,CROQUIS!$C$16+CROQUIS!$C$11*CROQUIS!$C$14-DATOS!$C$17/2*CROQUIS!$C$14,CROQUIS!$C$16+DATOS!$C$17/2*CROQUIS!$C$14)</f>
        <v>17.3357433348396</v>
      </c>
      <c r="F45">
        <f>IF(NERVADURA!$C$131=0,CROQUIS!$C$15+CROQUIS!$C$10*CROQUIS!$C$14/2,CROQUIS!$C$15+(DATOS!$C$17/2+NERVADURA!$C$132+INT(MIN(INT(($A45-1)/2),MAX(2*NERVADURA!$C$131-1,0))/2)*DATOS!$C$16+MOD(MIN(INT(($A45-1)/2),MAX(2*NERVADURA!$C$131-1,0)),2)*DATOS!$C$11)*CROQUIS!$C$14)</f>
        <v>90.9801174875734</v>
      </c>
      <c r="G45">
        <f>IF(NERVADURA!$C$131=0,CROQUIS!$C$16+CROQUIS!$C$11*CROQUIS!$C$14/2,CROQUIS!$C$16+IF(MOD(MIN(INT(($A45-1)/2),MAX(2*NERVADURA!$C$131-1,0)),2)=0,IF(IF(INT(($A45-1)/2)&gt;MAX(2*NERVADURA!$C$131-1,0),1,MOD($A45-1,2))=0,(DATOS!$C$17/2+NERVADURA!$C$134),(CROQUIS!$C$11-DATOS!$C$17/2-NERVADURA!$C$134)),IF(IF(INT(($A45-1)/2)&gt;MAX(2*NERVADURA!$C$131-1,0),1,MOD($A45-1,2))=0,(CROQUIS!$C$11-DATOS!$C$17/2-NERVADURA!$C$134),(DATOS!$C$17/2+NERVADURA!$C$134)))*CROQUIS!$C$14)</f>
        <v>21.504292815183</v>
      </c>
      <c r="H45">
        <f>IF(NERVADURA!$C$133=0,CROQUIS!$C$15+CROQUIS!$C$10*CROQUIS!$C$14/2,CROQUIS!$C$15+IF(MOD(MIN(INT(($A45-1)/2),MAX(2*NERVADURA!$C$133-1,0)),2)=0,IF(IF(INT(($A45-1)/2)&gt;MAX(2*NERVADURA!$C$133-1,0),1,MOD($A45-1,2))=0,(DATOS!$C$17/2+NERVADURA!$C$132),(CROQUIS!$C$10-DATOS!$C$17/2-NERVADURA!$C$132)),IF(IF(INT(($A45-1)/2)&gt;MAX(2*NERVADURA!$C$133-1,0),1,MOD($A45-1,2))=0,(CROQUIS!$C$10-DATOS!$C$17/2-NERVADURA!$C$132),(DATOS!$C$17/2+NERVADURA!$C$132)))*CROQUIS!$C$14)</f>
        <v>15.0198825124266</v>
      </c>
      <c r="I45">
        <f>IF(NERVADURA!$C$133=0,CROQUIS!$C$16+CROQUIS!$C$11*CROQUIS!$C$14/2,CROQUIS!$C$16+(DATOS!$C$17/2+NERVADURA!$C$134+INT(MIN(INT(($A45-1)/2),MAX(2*NERVADURA!$C$133-1,0))/2)*DATOS!$C$16+MOD(MIN(INT(($A45-1)/2),MAX(2*NERVADURA!$C$133-1,0)),2)*DATOS!$C$11)*CROQUIS!$C$14)</f>
        <v>84.495707184817</v>
      </c>
      <c r="CY45" t="n">
        <v>2.925</v>
      </c>
      <c r="CZ45" t="n">
        <v>6.948</v>
      </c>
      <c r="DA45" t="n">
        <v>8.85</v>
      </c>
      <c r="DB45" t="n">
        <v>15.846</v>
      </c>
      <c r="DE45" t="n">
        <v>6.887</v>
      </c>
      <c r="DF45" t="n">
        <v>15.447</v>
      </c>
      <c r="DG45" t="n">
        <v>0</v>
      </c>
      <c r="DH45" t="n">
        <v>16.997</v>
      </c>
      <c r="DI45" t="n">
        <v>0</v>
      </c>
      <c r="DJ45" t="n">
        <v>14.021</v>
      </c>
      <c r="DM45" t="n">
        <v>8.775</v>
      </c>
      <c r="DN45" t="n">
        <v>16.772</v>
      </c>
      <c r="DO45" t="n">
        <v>5.422</v>
      </c>
      <c r="DP45" t="n">
        <v>9.949999999999999</v>
      </c>
    </row>
    <row r="46">
      <c r="A46" t="n">
        <v>39</v>
      </c>
      <c r="B46">
        <f>CHOOSE(MIN(MAX($A46,1),5),CROQUIS!$C$15,CROQUIS!$C$15+CROQUIS!$C$10*CROQUIS!$C$14,CROQUIS!$C$15+CROQUIS!$C$10*CROQUIS!$C$14,CROQUIS!$C$15,CROQUIS!$C$15)</f>
        <v>12</v>
      </c>
      <c r="C46">
        <f>CHOOSE(MIN(MAX($A46,1),5),CROQUIS!$C$16,CROQUIS!$C$16,CROQUIS!$C$16+CROQUIS!$C$11*CROQUIS!$C$14,CROQUIS!$C$16+CROQUIS!$C$11*CROQUIS!$C$14,CROQUIS!$C$16)</f>
        <v>15.9462268413918</v>
      </c>
      <c r="D46">
        <f>CHOOSE(MIN(MAX($A46,1),5),CROQUIS!$C$15+DATOS!$C$17/2*CROQUIS!$C$14,CROQUIS!$C$15+CROQUIS!$C$10*CROQUIS!$C$14-DATOS!$C$17/2*CROQUIS!$C$14,CROQUIS!$C$15+CROQUIS!$C$10*CROQUIS!$C$14-DATOS!$C$17/2*CROQUIS!$C$14,CROQUIS!$C$15+DATOS!$C$17/2*CROQUIS!$C$14,CROQUIS!$C$15+DATOS!$C$17/2*CROQUIS!$C$14)</f>
        <v>13.3895164934478</v>
      </c>
      <c r="E46">
        <f>CHOOSE(MIN(MAX($A46,1),5),CROQUIS!$C$16+DATOS!$C$17/2*CROQUIS!$C$14,CROQUIS!$C$16+DATOS!$C$17/2*CROQUIS!$C$14,CROQUIS!$C$16+CROQUIS!$C$11*CROQUIS!$C$14-DATOS!$C$17/2*CROQUIS!$C$14,CROQUIS!$C$16+CROQUIS!$C$11*CROQUIS!$C$14-DATOS!$C$17/2*CROQUIS!$C$14,CROQUIS!$C$16+DATOS!$C$17/2*CROQUIS!$C$14)</f>
        <v>17.3357433348396</v>
      </c>
      <c r="F46">
        <f>IF(NERVADURA!$C$131=0,CROQUIS!$C$15+CROQUIS!$C$10*CROQUIS!$C$14/2,CROQUIS!$C$15+(DATOS!$C$17/2+NERVADURA!$C$132+INT(MIN(INT(($A46-1)/2),MAX(2*NERVADURA!$C$131-1,0))/2)*DATOS!$C$16+MOD(MIN(INT(($A46-1)/2),MAX(2*NERVADURA!$C$131-1,0)),2)*DATOS!$C$11)*CROQUIS!$C$14)</f>
        <v>90.9801174875734</v>
      </c>
      <c r="G46">
        <f>IF(NERVADURA!$C$131=0,CROQUIS!$C$16+CROQUIS!$C$11*CROQUIS!$C$14/2,CROQUIS!$C$16+IF(MOD(MIN(INT(($A46-1)/2),MAX(2*NERVADURA!$C$131-1,0)),2)=0,IF(IF(INT(($A46-1)/2)&gt;MAX(2*NERVADURA!$C$131-1,0),1,MOD($A46-1,2))=0,(DATOS!$C$17/2+NERVADURA!$C$134),(CROQUIS!$C$11-DATOS!$C$17/2-NERVADURA!$C$134)),IF(IF(INT(($A46-1)/2)&gt;MAX(2*NERVADURA!$C$131-1,0),1,MOD($A46-1,2))=0,(CROQUIS!$C$11-DATOS!$C$17/2-NERVADURA!$C$134),(DATOS!$C$17/2+NERVADURA!$C$134)))*CROQUIS!$C$14)</f>
        <v>21.504292815183</v>
      </c>
      <c r="H46">
        <f>IF(NERVADURA!$C$133=0,CROQUIS!$C$15+CROQUIS!$C$10*CROQUIS!$C$14/2,CROQUIS!$C$15+IF(MOD(MIN(INT(($A46-1)/2),MAX(2*NERVADURA!$C$133-1,0)),2)=0,IF(IF(INT(($A46-1)/2)&gt;MAX(2*NERVADURA!$C$133-1,0),1,MOD($A46-1,2))=0,(DATOS!$C$17/2+NERVADURA!$C$132),(CROQUIS!$C$10-DATOS!$C$17/2-NERVADURA!$C$132)),IF(IF(INT(($A46-1)/2)&gt;MAX(2*NERVADURA!$C$133-1,0),1,MOD($A46-1,2))=0,(CROQUIS!$C$10-DATOS!$C$17/2-NERVADURA!$C$132),(DATOS!$C$17/2+NERVADURA!$C$132)))*CROQUIS!$C$14)</f>
        <v>15.0198825124266</v>
      </c>
      <c r="I46">
        <f>IF(NERVADURA!$C$133=0,CROQUIS!$C$16+CROQUIS!$C$11*CROQUIS!$C$14/2,CROQUIS!$C$16+(DATOS!$C$17/2+NERVADURA!$C$134+INT(MIN(INT(($A46-1)/2),MAX(2*NERVADURA!$C$133-1,0))/2)*DATOS!$C$16+MOD(MIN(INT(($A46-1)/2),MAX(2*NERVADURA!$C$133-1,0)),2)*DATOS!$C$11)*CROQUIS!$C$14)</f>
        <v>84.495707184817</v>
      </c>
      <c r="CW46" t="n">
        <v>4.327</v>
      </c>
      <c r="CX46" t="n">
        <v>14.021</v>
      </c>
      <c r="DE46" t="n">
        <v>6.887</v>
      </c>
      <c r="DF46" t="n">
        <v>17.446</v>
      </c>
      <c r="DG46" t="n">
        <v>0</v>
      </c>
      <c r="DH46" t="n">
        <v>15.846</v>
      </c>
      <c r="DM46" t="n">
        <v>8.775</v>
      </c>
      <c r="DN46" t="n">
        <v>17.072</v>
      </c>
      <c r="DO46" t="n">
        <v>5.422</v>
      </c>
      <c r="DP46" t="n">
        <v>11</v>
      </c>
    </row>
    <row r="47">
      <c r="A47" t="n">
        <v>40</v>
      </c>
      <c r="B47">
        <f>CHOOSE(MIN(MAX($A47,1),5),CROQUIS!$C$15,CROQUIS!$C$15+CROQUIS!$C$10*CROQUIS!$C$14,CROQUIS!$C$15+CROQUIS!$C$10*CROQUIS!$C$14,CROQUIS!$C$15,CROQUIS!$C$15)</f>
        <v>12</v>
      </c>
      <c r="C47">
        <f>CHOOSE(MIN(MAX($A47,1),5),CROQUIS!$C$16,CROQUIS!$C$16,CROQUIS!$C$16+CROQUIS!$C$11*CROQUIS!$C$14,CROQUIS!$C$16+CROQUIS!$C$11*CROQUIS!$C$14,CROQUIS!$C$16)</f>
        <v>15.9462268413918</v>
      </c>
      <c r="D47">
        <f>CHOOSE(MIN(MAX($A47,1),5),CROQUIS!$C$15+DATOS!$C$17/2*CROQUIS!$C$14,CROQUIS!$C$15+CROQUIS!$C$10*CROQUIS!$C$14-DATOS!$C$17/2*CROQUIS!$C$14,CROQUIS!$C$15+CROQUIS!$C$10*CROQUIS!$C$14-DATOS!$C$17/2*CROQUIS!$C$14,CROQUIS!$C$15+DATOS!$C$17/2*CROQUIS!$C$14,CROQUIS!$C$15+DATOS!$C$17/2*CROQUIS!$C$14)</f>
        <v>13.3895164934478</v>
      </c>
      <c r="E47">
        <f>CHOOSE(MIN(MAX($A47,1),5),CROQUIS!$C$16+DATOS!$C$17/2*CROQUIS!$C$14,CROQUIS!$C$16+DATOS!$C$17/2*CROQUIS!$C$14,CROQUIS!$C$16+CROQUIS!$C$11*CROQUIS!$C$14-DATOS!$C$17/2*CROQUIS!$C$14,CROQUIS!$C$16+CROQUIS!$C$11*CROQUIS!$C$14-DATOS!$C$17/2*CROQUIS!$C$14,CROQUIS!$C$16+DATOS!$C$17/2*CROQUIS!$C$14)</f>
        <v>17.3357433348396</v>
      </c>
      <c r="F47">
        <f>IF(NERVADURA!$C$131=0,CROQUIS!$C$15+CROQUIS!$C$10*CROQUIS!$C$14/2,CROQUIS!$C$15+(DATOS!$C$17/2+NERVADURA!$C$132+INT(MIN(INT(($A47-1)/2),MAX(2*NERVADURA!$C$131-1,0))/2)*DATOS!$C$16+MOD(MIN(INT(($A47-1)/2),MAX(2*NERVADURA!$C$131-1,0)),2)*DATOS!$C$11)*CROQUIS!$C$14)</f>
        <v>90.9801174875734</v>
      </c>
      <c r="G47">
        <f>IF(NERVADURA!$C$131=0,CROQUIS!$C$16+CROQUIS!$C$11*CROQUIS!$C$14/2,CROQUIS!$C$16+IF(MOD(MIN(INT(($A47-1)/2),MAX(2*NERVADURA!$C$131-1,0)),2)=0,IF(IF(INT(($A47-1)/2)&gt;MAX(2*NERVADURA!$C$131-1,0),1,MOD($A47-1,2))=0,(DATOS!$C$17/2+NERVADURA!$C$134),(CROQUIS!$C$11-DATOS!$C$17/2-NERVADURA!$C$134)),IF(IF(INT(($A47-1)/2)&gt;MAX(2*NERVADURA!$C$131-1,0),1,MOD($A47-1,2))=0,(CROQUIS!$C$11-DATOS!$C$17/2-NERVADURA!$C$134),(DATOS!$C$17/2+NERVADURA!$C$134)))*CROQUIS!$C$14)</f>
        <v>21.504292815183</v>
      </c>
      <c r="H47">
        <f>IF(NERVADURA!$C$133=0,CROQUIS!$C$15+CROQUIS!$C$10*CROQUIS!$C$14/2,CROQUIS!$C$15+IF(MOD(MIN(INT(($A47-1)/2),MAX(2*NERVADURA!$C$133-1,0)),2)=0,IF(IF(INT(($A47-1)/2)&gt;MAX(2*NERVADURA!$C$133-1,0),1,MOD($A47-1,2))=0,(DATOS!$C$17/2+NERVADURA!$C$132),(CROQUIS!$C$10-DATOS!$C$17/2-NERVADURA!$C$132)),IF(IF(INT(($A47-1)/2)&gt;MAX(2*NERVADURA!$C$133-1,0),1,MOD($A47-1,2))=0,(CROQUIS!$C$10-DATOS!$C$17/2-NERVADURA!$C$132),(DATOS!$C$17/2+NERVADURA!$C$132)))*CROQUIS!$C$14)</f>
        <v>15.0198825124266</v>
      </c>
      <c r="I47">
        <f>IF(NERVADURA!$C$133=0,CROQUIS!$C$16+CROQUIS!$C$11*CROQUIS!$C$14/2,CROQUIS!$C$16+(DATOS!$C$17/2+NERVADURA!$C$134+INT(MIN(INT(($A47-1)/2),MAX(2*NERVADURA!$C$133-1,0))/2)*DATOS!$C$16+MOD(MIN(INT(($A47-1)/2),MAX(2*NERVADURA!$C$133-1,0)),2)*DATOS!$C$11)*CROQUIS!$C$14)</f>
        <v>84.495707184817</v>
      </c>
      <c r="CW47" t="n">
        <v>4.327</v>
      </c>
      <c r="CX47" t="n">
        <v>5.946</v>
      </c>
      <c r="CY47" t="n">
        <v>4.925</v>
      </c>
      <c r="CZ47" t="n">
        <v>15.447</v>
      </c>
      <c r="DA47" t="n">
        <v>-2</v>
      </c>
      <c r="DB47" t="n">
        <v>17.446</v>
      </c>
      <c r="DE47" t="n">
        <v>7.25</v>
      </c>
      <c r="DF47" t="n">
        <v>21.446</v>
      </c>
      <c r="DG47" t="n">
        <v>3.029</v>
      </c>
      <c r="DH47" t="n">
        <v>15.846</v>
      </c>
      <c r="DI47" t="n">
        <v>0</v>
      </c>
      <c r="DJ47" t="n">
        <v>15.846</v>
      </c>
      <c r="DM47" t="n">
        <v>5.998</v>
      </c>
      <c r="DN47" t="n">
        <v>17.072</v>
      </c>
      <c r="DO47" t="n">
        <v>5.422</v>
      </c>
      <c r="DP47" t="n">
        <v>14.872</v>
      </c>
    </row>
    <row r="48">
      <c r="A48" t="n">
        <v>41</v>
      </c>
      <c r="B48">
        <f>CHOOSE(MIN(MAX($A48,1),5),CROQUIS!$C$15,CROQUIS!$C$15+CROQUIS!$C$10*CROQUIS!$C$14,CROQUIS!$C$15+CROQUIS!$C$10*CROQUIS!$C$14,CROQUIS!$C$15,CROQUIS!$C$15)</f>
        <v>12</v>
      </c>
      <c r="C48">
        <f>CHOOSE(MIN(MAX($A48,1),5),CROQUIS!$C$16,CROQUIS!$C$16,CROQUIS!$C$16+CROQUIS!$C$11*CROQUIS!$C$14,CROQUIS!$C$16+CROQUIS!$C$11*CROQUIS!$C$14,CROQUIS!$C$16)</f>
        <v>15.9462268413918</v>
      </c>
      <c r="D48">
        <f>CHOOSE(MIN(MAX($A48,1),5),CROQUIS!$C$15+DATOS!$C$17/2*CROQUIS!$C$14,CROQUIS!$C$15+CROQUIS!$C$10*CROQUIS!$C$14-DATOS!$C$17/2*CROQUIS!$C$14,CROQUIS!$C$15+CROQUIS!$C$10*CROQUIS!$C$14-DATOS!$C$17/2*CROQUIS!$C$14,CROQUIS!$C$15+DATOS!$C$17/2*CROQUIS!$C$14,CROQUIS!$C$15+DATOS!$C$17/2*CROQUIS!$C$14)</f>
        <v>13.3895164934478</v>
      </c>
      <c r="E48">
        <f>CHOOSE(MIN(MAX($A48,1),5),CROQUIS!$C$16+DATOS!$C$17/2*CROQUIS!$C$14,CROQUIS!$C$16+DATOS!$C$17/2*CROQUIS!$C$14,CROQUIS!$C$16+CROQUIS!$C$11*CROQUIS!$C$14-DATOS!$C$17/2*CROQUIS!$C$14,CROQUIS!$C$16+CROQUIS!$C$11*CROQUIS!$C$14-DATOS!$C$17/2*CROQUIS!$C$14,CROQUIS!$C$16+DATOS!$C$17/2*CROQUIS!$C$14)</f>
        <v>17.3357433348396</v>
      </c>
      <c r="F48">
        <f>IF(NERVADURA!$C$131=0,CROQUIS!$C$15+CROQUIS!$C$10*CROQUIS!$C$14/2,CROQUIS!$C$15+(DATOS!$C$17/2+NERVADURA!$C$132+INT(MIN(INT(($A48-1)/2),MAX(2*NERVADURA!$C$131-1,0))/2)*DATOS!$C$16+MOD(MIN(INT(($A48-1)/2),MAX(2*NERVADURA!$C$131-1,0)),2)*DATOS!$C$11)*CROQUIS!$C$14)</f>
        <v>90.9801174875734</v>
      </c>
      <c r="G48">
        <f>IF(NERVADURA!$C$131=0,CROQUIS!$C$16+CROQUIS!$C$11*CROQUIS!$C$14/2,CROQUIS!$C$16+IF(MOD(MIN(INT(($A48-1)/2),MAX(2*NERVADURA!$C$131-1,0)),2)=0,IF(IF(INT(($A48-1)/2)&gt;MAX(2*NERVADURA!$C$131-1,0),1,MOD($A48-1,2))=0,(DATOS!$C$17/2+NERVADURA!$C$134),(CROQUIS!$C$11-DATOS!$C$17/2-NERVADURA!$C$134)),IF(IF(INT(($A48-1)/2)&gt;MAX(2*NERVADURA!$C$131-1,0),1,MOD($A48-1,2))=0,(CROQUIS!$C$11-DATOS!$C$17/2-NERVADURA!$C$134),(DATOS!$C$17/2+NERVADURA!$C$134)))*CROQUIS!$C$14)</f>
        <v>21.504292815183</v>
      </c>
      <c r="H48">
        <f>IF(NERVADURA!$C$133=0,CROQUIS!$C$15+CROQUIS!$C$10*CROQUIS!$C$14/2,CROQUIS!$C$15+IF(MOD(MIN(INT(($A48-1)/2),MAX(2*NERVADURA!$C$133-1,0)),2)=0,IF(IF(INT(($A48-1)/2)&gt;MAX(2*NERVADURA!$C$133-1,0),1,MOD($A48-1,2))=0,(DATOS!$C$17/2+NERVADURA!$C$132),(CROQUIS!$C$10-DATOS!$C$17/2-NERVADURA!$C$132)),IF(IF(INT(($A48-1)/2)&gt;MAX(2*NERVADURA!$C$133-1,0),1,MOD($A48-1,2))=0,(CROQUIS!$C$10-DATOS!$C$17/2-NERVADURA!$C$132),(DATOS!$C$17/2+NERVADURA!$C$132)))*CROQUIS!$C$14)</f>
        <v>15.0198825124266</v>
      </c>
      <c r="I48">
        <f>IF(NERVADURA!$C$133=0,CROQUIS!$C$16+CROQUIS!$C$11*CROQUIS!$C$14/2,CROQUIS!$C$16+(DATOS!$C$17/2+NERVADURA!$C$134+INT(MIN(INT(($A48-1)/2),MAX(2*NERVADURA!$C$133-1,0))/2)*DATOS!$C$16+MOD(MIN(INT(($A48-1)/2),MAX(2*NERVADURA!$C$133-1,0)),2)*DATOS!$C$11)*CROQUIS!$C$14)</f>
        <v>84.495707184817</v>
      </c>
      <c r="CW48" t="n">
        <v>5.923</v>
      </c>
      <c r="CX48" t="n">
        <v>5.946</v>
      </c>
      <c r="CY48" t="n">
        <v>4.925</v>
      </c>
      <c r="CZ48" t="n">
        <v>21.446</v>
      </c>
      <c r="DA48" t="n">
        <v>0</v>
      </c>
      <c r="DB48" t="n">
        <v>17.446</v>
      </c>
      <c r="DE48" t="n">
        <v>7.25</v>
      </c>
      <c r="DF48" t="n">
        <v>24.371</v>
      </c>
      <c r="DG48" t="n">
        <v>3.029</v>
      </c>
      <c r="DH48" t="n">
        <v>16.997</v>
      </c>
      <c r="DI48" t="n">
        <v>0</v>
      </c>
      <c r="DJ48" t="n">
        <v>21.446</v>
      </c>
      <c r="DM48" t="n">
        <v>5.998</v>
      </c>
      <c r="DN48" t="n">
        <v>16.772</v>
      </c>
      <c r="DO48" t="n">
        <v>5.422</v>
      </c>
      <c r="DP48" t="n">
        <v>15.846</v>
      </c>
      <c r="FT48" t="inlineStr">
        <is>
          <t>C1</t>
        </is>
      </c>
      <c r="FU48" t="n">
        <v>4.327</v>
      </c>
      <c r="FV48" t="n">
        <v>1.919</v>
      </c>
      <c r="FW48" t="inlineStr">
        <is>
          <t>N+3.00</t>
        </is>
      </c>
      <c r="FX48" t="str">
        <f>IF(APOYOS!$C$17="SÍ","C1"&amp;" (propuesto)","C1"&amp;" RECHAZADO")</f>
        <v>C1 (propuesto)</v>
      </c>
    </row>
    <row r="49">
      <c r="A49" t="n">
        <v>42</v>
      </c>
      <c r="B49">
        <f>CHOOSE(MIN(MAX($A49,1),5),CROQUIS!$C$15,CROQUIS!$C$15+CROQUIS!$C$10*CROQUIS!$C$14,CROQUIS!$C$15+CROQUIS!$C$10*CROQUIS!$C$14,CROQUIS!$C$15,CROQUIS!$C$15)</f>
        <v>12</v>
      </c>
      <c r="C49">
        <f>CHOOSE(MIN(MAX($A49,1),5),CROQUIS!$C$16,CROQUIS!$C$16,CROQUIS!$C$16+CROQUIS!$C$11*CROQUIS!$C$14,CROQUIS!$C$16+CROQUIS!$C$11*CROQUIS!$C$14,CROQUIS!$C$16)</f>
        <v>15.9462268413918</v>
      </c>
      <c r="D49">
        <f>CHOOSE(MIN(MAX($A49,1),5),CROQUIS!$C$15+DATOS!$C$17/2*CROQUIS!$C$14,CROQUIS!$C$15+CROQUIS!$C$10*CROQUIS!$C$14-DATOS!$C$17/2*CROQUIS!$C$14,CROQUIS!$C$15+CROQUIS!$C$10*CROQUIS!$C$14-DATOS!$C$17/2*CROQUIS!$C$14,CROQUIS!$C$15+DATOS!$C$17/2*CROQUIS!$C$14,CROQUIS!$C$15+DATOS!$C$17/2*CROQUIS!$C$14)</f>
        <v>13.3895164934478</v>
      </c>
      <c r="E49">
        <f>CHOOSE(MIN(MAX($A49,1),5),CROQUIS!$C$16+DATOS!$C$17/2*CROQUIS!$C$14,CROQUIS!$C$16+DATOS!$C$17/2*CROQUIS!$C$14,CROQUIS!$C$16+CROQUIS!$C$11*CROQUIS!$C$14-DATOS!$C$17/2*CROQUIS!$C$14,CROQUIS!$C$16+CROQUIS!$C$11*CROQUIS!$C$14-DATOS!$C$17/2*CROQUIS!$C$14,CROQUIS!$C$16+DATOS!$C$17/2*CROQUIS!$C$14)</f>
        <v>17.3357433348396</v>
      </c>
      <c r="F49">
        <f>IF(NERVADURA!$C$131=0,CROQUIS!$C$15+CROQUIS!$C$10*CROQUIS!$C$14/2,CROQUIS!$C$15+(DATOS!$C$17/2+NERVADURA!$C$132+INT(MIN(INT(($A49-1)/2),MAX(2*NERVADURA!$C$131-1,0))/2)*DATOS!$C$16+MOD(MIN(INT(($A49-1)/2),MAX(2*NERVADURA!$C$131-1,0)),2)*DATOS!$C$11)*CROQUIS!$C$14)</f>
        <v>90.9801174875734</v>
      </c>
      <c r="G49">
        <f>IF(NERVADURA!$C$131=0,CROQUIS!$C$16+CROQUIS!$C$11*CROQUIS!$C$14/2,CROQUIS!$C$16+IF(MOD(MIN(INT(($A49-1)/2),MAX(2*NERVADURA!$C$131-1,0)),2)=0,IF(IF(INT(($A49-1)/2)&gt;MAX(2*NERVADURA!$C$131-1,0),1,MOD($A49-1,2))=0,(DATOS!$C$17/2+NERVADURA!$C$134),(CROQUIS!$C$11-DATOS!$C$17/2-NERVADURA!$C$134)),IF(IF(INT(($A49-1)/2)&gt;MAX(2*NERVADURA!$C$131-1,0),1,MOD($A49-1,2))=0,(CROQUIS!$C$11-DATOS!$C$17/2-NERVADURA!$C$134),(DATOS!$C$17/2+NERVADURA!$C$134)))*CROQUIS!$C$14)</f>
        <v>21.504292815183</v>
      </c>
      <c r="H49">
        <f>IF(NERVADURA!$C$133=0,CROQUIS!$C$15+CROQUIS!$C$10*CROQUIS!$C$14/2,CROQUIS!$C$15+IF(MOD(MIN(INT(($A49-1)/2),MAX(2*NERVADURA!$C$133-1,0)),2)=0,IF(IF(INT(($A49-1)/2)&gt;MAX(2*NERVADURA!$C$133-1,0),1,MOD($A49-1,2))=0,(DATOS!$C$17/2+NERVADURA!$C$132),(CROQUIS!$C$10-DATOS!$C$17/2-NERVADURA!$C$132)),IF(IF(INT(($A49-1)/2)&gt;MAX(2*NERVADURA!$C$133-1,0),1,MOD($A49-1,2))=0,(CROQUIS!$C$10-DATOS!$C$17/2-NERVADURA!$C$132),(DATOS!$C$17/2+NERVADURA!$C$132)))*CROQUIS!$C$14)</f>
        <v>15.0198825124266</v>
      </c>
      <c r="I49">
        <f>IF(NERVADURA!$C$133=0,CROQUIS!$C$16+CROQUIS!$C$11*CROQUIS!$C$14/2,CROQUIS!$C$16+(DATOS!$C$17/2+NERVADURA!$C$134+INT(MIN(INT(($A49-1)/2),MAX(2*NERVADURA!$C$133-1,0))/2)*DATOS!$C$16+MOD(MIN(INT(($A49-1)/2),MAX(2*NERVADURA!$C$133-1,0)),2)*DATOS!$C$11)*CROQUIS!$C$14)</f>
        <v>84.495707184817</v>
      </c>
      <c r="CW49" t="n">
        <v>5.923</v>
      </c>
      <c r="CX49" t="n">
        <v>6.948</v>
      </c>
      <c r="DE49" t="n">
        <v>7.479</v>
      </c>
      <c r="DF49" t="n">
        <v>24.371</v>
      </c>
      <c r="DO49" t="n">
        <v>5.422</v>
      </c>
      <c r="DP49" t="n">
        <v>17.446</v>
      </c>
      <c r="FT49" t="inlineStr">
        <is>
          <t>C2</t>
        </is>
      </c>
      <c r="FU49" t="n">
        <v>4.327</v>
      </c>
      <c r="FV49" t="n">
        <v>2.921</v>
      </c>
      <c r="FW49" t="inlineStr">
        <is>
          <t>N+3.00</t>
        </is>
      </c>
      <c r="FX49" t="str">
        <f>IF(APOYOS!$C$18="SÍ","C2"&amp;" (propuesto)","C2"&amp;" RECHAZADO")</f>
        <v>C2 (propuesto)</v>
      </c>
    </row>
    <row r="50">
      <c r="A50" t="n">
        <v>43</v>
      </c>
      <c r="B50">
        <f>CHOOSE(MIN(MAX($A50,1),5),CROQUIS!$C$15,CROQUIS!$C$15+CROQUIS!$C$10*CROQUIS!$C$14,CROQUIS!$C$15+CROQUIS!$C$10*CROQUIS!$C$14,CROQUIS!$C$15,CROQUIS!$C$15)</f>
        <v>12</v>
      </c>
      <c r="C50">
        <f>CHOOSE(MIN(MAX($A50,1),5),CROQUIS!$C$16,CROQUIS!$C$16,CROQUIS!$C$16+CROQUIS!$C$11*CROQUIS!$C$14,CROQUIS!$C$16+CROQUIS!$C$11*CROQUIS!$C$14,CROQUIS!$C$16)</f>
        <v>15.9462268413918</v>
      </c>
      <c r="D50">
        <f>CHOOSE(MIN(MAX($A50,1),5),CROQUIS!$C$15+DATOS!$C$17/2*CROQUIS!$C$14,CROQUIS!$C$15+CROQUIS!$C$10*CROQUIS!$C$14-DATOS!$C$17/2*CROQUIS!$C$14,CROQUIS!$C$15+CROQUIS!$C$10*CROQUIS!$C$14-DATOS!$C$17/2*CROQUIS!$C$14,CROQUIS!$C$15+DATOS!$C$17/2*CROQUIS!$C$14,CROQUIS!$C$15+DATOS!$C$17/2*CROQUIS!$C$14)</f>
        <v>13.3895164934478</v>
      </c>
      <c r="E50">
        <f>CHOOSE(MIN(MAX($A50,1),5),CROQUIS!$C$16+DATOS!$C$17/2*CROQUIS!$C$14,CROQUIS!$C$16+DATOS!$C$17/2*CROQUIS!$C$14,CROQUIS!$C$16+CROQUIS!$C$11*CROQUIS!$C$14-DATOS!$C$17/2*CROQUIS!$C$14,CROQUIS!$C$16+CROQUIS!$C$11*CROQUIS!$C$14-DATOS!$C$17/2*CROQUIS!$C$14,CROQUIS!$C$16+DATOS!$C$17/2*CROQUIS!$C$14)</f>
        <v>17.3357433348396</v>
      </c>
      <c r="F50">
        <f>IF(NERVADURA!$C$131=0,CROQUIS!$C$15+CROQUIS!$C$10*CROQUIS!$C$14/2,CROQUIS!$C$15+(DATOS!$C$17/2+NERVADURA!$C$132+INT(MIN(INT(($A50-1)/2),MAX(2*NERVADURA!$C$131-1,0))/2)*DATOS!$C$16+MOD(MIN(INT(($A50-1)/2),MAX(2*NERVADURA!$C$131-1,0)),2)*DATOS!$C$11)*CROQUIS!$C$14)</f>
        <v>90.9801174875734</v>
      </c>
      <c r="G50">
        <f>IF(NERVADURA!$C$131=0,CROQUIS!$C$16+CROQUIS!$C$11*CROQUIS!$C$14/2,CROQUIS!$C$16+IF(MOD(MIN(INT(($A50-1)/2),MAX(2*NERVADURA!$C$131-1,0)),2)=0,IF(IF(INT(($A50-1)/2)&gt;MAX(2*NERVADURA!$C$131-1,0),1,MOD($A50-1,2))=0,(DATOS!$C$17/2+NERVADURA!$C$134),(CROQUIS!$C$11-DATOS!$C$17/2-NERVADURA!$C$134)),IF(IF(INT(($A50-1)/2)&gt;MAX(2*NERVADURA!$C$131-1,0),1,MOD($A50-1,2))=0,(CROQUIS!$C$11-DATOS!$C$17/2-NERVADURA!$C$134),(DATOS!$C$17/2+NERVADURA!$C$134)))*CROQUIS!$C$14)</f>
        <v>21.504292815183</v>
      </c>
      <c r="H50">
        <f>IF(NERVADURA!$C$133=0,CROQUIS!$C$15+CROQUIS!$C$10*CROQUIS!$C$14/2,CROQUIS!$C$15+IF(MOD(MIN(INT(($A50-1)/2),MAX(2*NERVADURA!$C$133-1,0)),2)=0,IF(IF(INT(($A50-1)/2)&gt;MAX(2*NERVADURA!$C$133-1,0),1,MOD($A50-1,2))=0,(DATOS!$C$17/2+NERVADURA!$C$132),(CROQUIS!$C$10-DATOS!$C$17/2-NERVADURA!$C$132)),IF(IF(INT(($A50-1)/2)&gt;MAX(2*NERVADURA!$C$133-1,0),1,MOD($A50-1,2))=0,(CROQUIS!$C$10-DATOS!$C$17/2-NERVADURA!$C$132),(DATOS!$C$17/2+NERVADURA!$C$132)))*CROQUIS!$C$14)</f>
        <v>15.0198825124266</v>
      </c>
      <c r="I50">
        <f>IF(NERVADURA!$C$133=0,CROQUIS!$C$16+CROQUIS!$C$11*CROQUIS!$C$14/2,CROQUIS!$C$16+(DATOS!$C$17/2+NERVADURA!$C$134+INT(MIN(INT(($A50-1)/2),MAX(2*NERVADURA!$C$133-1,0))/2)*DATOS!$C$16+MOD(MIN(INT(($A50-1)/2),MAX(2*NERVADURA!$C$133-1,0)),2)*DATOS!$C$11)*CROQUIS!$C$14)</f>
        <v>84.495707184817</v>
      </c>
      <c r="CW50" t="n">
        <v>5.46</v>
      </c>
      <c r="CX50" t="n">
        <v>6.948</v>
      </c>
      <c r="CY50" t="n">
        <v>5.923</v>
      </c>
      <c r="CZ50" t="n">
        <v>5.946</v>
      </c>
      <c r="DA50" t="n">
        <v>0</v>
      </c>
      <c r="DB50" t="n">
        <v>17.446</v>
      </c>
      <c r="DE50" t="n">
        <v>8.144</v>
      </c>
      <c r="DF50" t="n">
        <v>9.949999999999999</v>
      </c>
      <c r="DG50" t="n">
        <v>5.822</v>
      </c>
      <c r="DH50" t="n">
        <v>16.697</v>
      </c>
      <c r="DI50" t="n">
        <v>3.029</v>
      </c>
      <c r="DJ50" t="n">
        <v>15.846</v>
      </c>
      <c r="DM50" t="n">
        <v>5.998</v>
      </c>
      <c r="DN50" t="n">
        <v>16.772</v>
      </c>
      <c r="DO50" t="n">
        <v>5.822</v>
      </c>
      <c r="DP50" t="n">
        <v>15.846</v>
      </c>
      <c r="FT50" t="inlineStr">
        <is>
          <t>C3</t>
        </is>
      </c>
      <c r="FU50" t="n">
        <v>5.923</v>
      </c>
      <c r="FV50" t="n">
        <v>2.921</v>
      </c>
      <c r="FW50" t="inlineStr">
        <is>
          <t>N+3.00</t>
        </is>
      </c>
      <c r="FX50" t="str">
        <f>IF(APOYOS!$C$19="SÍ","C3"&amp;" (propuesto)","C3"&amp;" RECHAZADO")</f>
        <v>C3 (propuesto)</v>
      </c>
    </row>
    <row r="51">
      <c r="A51" t="n">
        <v>44</v>
      </c>
      <c r="B51">
        <f>CHOOSE(MIN(MAX($A51,1),5),CROQUIS!$C$15,CROQUIS!$C$15+CROQUIS!$C$10*CROQUIS!$C$14,CROQUIS!$C$15+CROQUIS!$C$10*CROQUIS!$C$14,CROQUIS!$C$15,CROQUIS!$C$15)</f>
        <v>12</v>
      </c>
      <c r="C51">
        <f>CHOOSE(MIN(MAX($A51,1),5),CROQUIS!$C$16,CROQUIS!$C$16,CROQUIS!$C$16+CROQUIS!$C$11*CROQUIS!$C$14,CROQUIS!$C$16+CROQUIS!$C$11*CROQUIS!$C$14,CROQUIS!$C$16)</f>
        <v>15.9462268413918</v>
      </c>
      <c r="D51">
        <f>CHOOSE(MIN(MAX($A51,1),5),CROQUIS!$C$15+DATOS!$C$17/2*CROQUIS!$C$14,CROQUIS!$C$15+CROQUIS!$C$10*CROQUIS!$C$14-DATOS!$C$17/2*CROQUIS!$C$14,CROQUIS!$C$15+CROQUIS!$C$10*CROQUIS!$C$14-DATOS!$C$17/2*CROQUIS!$C$14,CROQUIS!$C$15+DATOS!$C$17/2*CROQUIS!$C$14,CROQUIS!$C$15+DATOS!$C$17/2*CROQUIS!$C$14)</f>
        <v>13.3895164934478</v>
      </c>
      <c r="E51">
        <f>CHOOSE(MIN(MAX($A51,1),5),CROQUIS!$C$16+DATOS!$C$17/2*CROQUIS!$C$14,CROQUIS!$C$16+DATOS!$C$17/2*CROQUIS!$C$14,CROQUIS!$C$16+CROQUIS!$C$11*CROQUIS!$C$14-DATOS!$C$17/2*CROQUIS!$C$14,CROQUIS!$C$16+CROQUIS!$C$11*CROQUIS!$C$14-DATOS!$C$17/2*CROQUIS!$C$14,CROQUIS!$C$16+DATOS!$C$17/2*CROQUIS!$C$14)</f>
        <v>17.3357433348396</v>
      </c>
      <c r="F51">
        <f>IF(NERVADURA!$C$131=0,CROQUIS!$C$15+CROQUIS!$C$10*CROQUIS!$C$14/2,CROQUIS!$C$15+(DATOS!$C$17/2+NERVADURA!$C$132+INT(MIN(INT(($A51-1)/2),MAX(2*NERVADURA!$C$131-1,0))/2)*DATOS!$C$16+MOD(MIN(INT(($A51-1)/2),MAX(2*NERVADURA!$C$131-1,0)),2)*DATOS!$C$11)*CROQUIS!$C$14)</f>
        <v>90.9801174875734</v>
      </c>
      <c r="G51">
        <f>IF(NERVADURA!$C$131=0,CROQUIS!$C$16+CROQUIS!$C$11*CROQUIS!$C$14/2,CROQUIS!$C$16+IF(MOD(MIN(INT(($A51-1)/2),MAX(2*NERVADURA!$C$131-1,0)),2)=0,IF(IF(INT(($A51-1)/2)&gt;MAX(2*NERVADURA!$C$131-1,0),1,MOD($A51-1,2))=0,(DATOS!$C$17/2+NERVADURA!$C$134),(CROQUIS!$C$11-DATOS!$C$17/2-NERVADURA!$C$134)),IF(IF(INT(($A51-1)/2)&gt;MAX(2*NERVADURA!$C$131-1,0),1,MOD($A51-1,2))=0,(CROQUIS!$C$11-DATOS!$C$17/2-NERVADURA!$C$134),(DATOS!$C$17/2+NERVADURA!$C$134)))*CROQUIS!$C$14)</f>
        <v>21.504292815183</v>
      </c>
      <c r="H51">
        <f>IF(NERVADURA!$C$133=0,CROQUIS!$C$15+CROQUIS!$C$10*CROQUIS!$C$14/2,CROQUIS!$C$15+IF(MOD(MIN(INT(($A51-1)/2),MAX(2*NERVADURA!$C$133-1,0)),2)=0,IF(IF(INT(($A51-1)/2)&gt;MAX(2*NERVADURA!$C$133-1,0),1,MOD($A51-1,2))=0,(DATOS!$C$17/2+NERVADURA!$C$132),(CROQUIS!$C$10-DATOS!$C$17/2-NERVADURA!$C$132)),IF(IF(INT(($A51-1)/2)&gt;MAX(2*NERVADURA!$C$133-1,0),1,MOD($A51-1,2))=0,(CROQUIS!$C$10-DATOS!$C$17/2-NERVADURA!$C$132),(DATOS!$C$17/2+NERVADURA!$C$132)))*CROQUIS!$C$14)</f>
        <v>15.0198825124266</v>
      </c>
      <c r="I51">
        <f>IF(NERVADURA!$C$133=0,CROQUIS!$C$16+CROQUIS!$C$11*CROQUIS!$C$14/2,CROQUIS!$C$16+(DATOS!$C$17/2+NERVADURA!$C$134+INT(MIN(INT(($A51-1)/2),MAX(2*NERVADURA!$C$133-1,0))/2)*DATOS!$C$16+MOD(MIN(INT(($A51-1)/2),MAX(2*NERVADURA!$C$133-1,0)),2)*DATOS!$C$11)*CROQUIS!$C$14)</f>
        <v>84.495707184817</v>
      </c>
      <c r="CW51" t="n">
        <v>5.46</v>
      </c>
      <c r="CX51" t="n">
        <v>8.91</v>
      </c>
      <c r="CY51" t="n">
        <v>5.923</v>
      </c>
      <c r="CZ51" t="n">
        <v>6.948</v>
      </c>
      <c r="DA51" t="n">
        <v>4.925</v>
      </c>
      <c r="DB51" t="n">
        <v>17.446</v>
      </c>
      <c r="DE51" t="n">
        <v>8.146000000000001</v>
      </c>
      <c r="DF51" t="n">
        <v>21.446</v>
      </c>
      <c r="DG51" t="n">
        <v>8.85</v>
      </c>
      <c r="DH51" t="n">
        <v>16.697</v>
      </c>
      <c r="DI51" t="n">
        <v>3.029</v>
      </c>
      <c r="DJ51" t="n">
        <v>17.446</v>
      </c>
      <c r="DM51" t="n">
        <v>8.775</v>
      </c>
      <c r="DN51" t="n">
        <v>17.072</v>
      </c>
      <c r="DO51" t="n">
        <v>5.822</v>
      </c>
      <c r="DP51" t="n">
        <v>17.446</v>
      </c>
      <c r="FT51" t="inlineStr">
        <is>
          <t>C4</t>
        </is>
      </c>
      <c r="FU51" t="n">
        <v>4.327</v>
      </c>
      <c r="FV51" t="n">
        <v>7.871</v>
      </c>
      <c r="FW51" t="inlineStr">
        <is>
          <t>N+3.00</t>
        </is>
      </c>
      <c r="FX51" t="str">
        <f>IF(APOYOS!$C$20="SÍ","C4"&amp;" (propuesto)","C4"&amp;" RECHAZADO")</f>
        <v>C4 (propuesto)</v>
      </c>
    </row>
    <row r="52">
      <c r="A52" t="n">
        <v>45</v>
      </c>
      <c r="B52">
        <f>CHOOSE(MIN(MAX($A52,1),5),CROQUIS!$C$15,CROQUIS!$C$15+CROQUIS!$C$10*CROQUIS!$C$14,CROQUIS!$C$15+CROQUIS!$C$10*CROQUIS!$C$14,CROQUIS!$C$15,CROQUIS!$C$15)</f>
        <v>12</v>
      </c>
      <c r="C52">
        <f>CHOOSE(MIN(MAX($A52,1),5),CROQUIS!$C$16,CROQUIS!$C$16,CROQUIS!$C$16+CROQUIS!$C$11*CROQUIS!$C$14,CROQUIS!$C$16+CROQUIS!$C$11*CROQUIS!$C$14,CROQUIS!$C$16)</f>
        <v>15.9462268413918</v>
      </c>
      <c r="D52">
        <f>CHOOSE(MIN(MAX($A52,1),5),CROQUIS!$C$15+DATOS!$C$17/2*CROQUIS!$C$14,CROQUIS!$C$15+CROQUIS!$C$10*CROQUIS!$C$14-DATOS!$C$17/2*CROQUIS!$C$14,CROQUIS!$C$15+CROQUIS!$C$10*CROQUIS!$C$14-DATOS!$C$17/2*CROQUIS!$C$14,CROQUIS!$C$15+DATOS!$C$17/2*CROQUIS!$C$14,CROQUIS!$C$15+DATOS!$C$17/2*CROQUIS!$C$14)</f>
        <v>13.3895164934478</v>
      </c>
      <c r="E52">
        <f>CHOOSE(MIN(MAX($A52,1),5),CROQUIS!$C$16+DATOS!$C$17/2*CROQUIS!$C$14,CROQUIS!$C$16+DATOS!$C$17/2*CROQUIS!$C$14,CROQUIS!$C$16+CROQUIS!$C$11*CROQUIS!$C$14-DATOS!$C$17/2*CROQUIS!$C$14,CROQUIS!$C$16+CROQUIS!$C$11*CROQUIS!$C$14-DATOS!$C$17/2*CROQUIS!$C$14,CROQUIS!$C$16+DATOS!$C$17/2*CROQUIS!$C$14)</f>
        <v>17.3357433348396</v>
      </c>
      <c r="F52">
        <f>IF(NERVADURA!$C$131=0,CROQUIS!$C$15+CROQUIS!$C$10*CROQUIS!$C$14/2,CROQUIS!$C$15+(DATOS!$C$17/2+NERVADURA!$C$132+INT(MIN(INT(($A52-1)/2),MAX(2*NERVADURA!$C$131-1,0))/2)*DATOS!$C$16+MOD(MIN(INT(($A52-1)/2),MAX(2*NERVADURA!$C$131-1,0)),2)*DATOS!$C$11)*CROQUIS!$C$14)</f>
        <v>90.9801174875734</v>
      </c>
      <c r="G52">
        <f>IF(NERVADURA!$C$131=0,CROQUIS!$C$16+CROQUIS!$C$11*CROQUIS!$C$14/2,CROQUIS!$C$16+IF(MOD(MIN(INT(($A52-1)/2),MAX(2*NERVADURA!$C$131-1,0)),2)=0,IF(IF(INT(($A52-1)/2)&gt;MAX(2*NERVADURA!$C$131-1,0),1,MOD($A52-1,2))=0,(DATOS!$C$17/2+NERVADURA!$C$134),(CROQUIS!$C$11-DATOS!$C$17/2-NERVADURA!$C$134)),IF(IF(INT(($A52-1)/2)&gt;MAX(2*NERVADURA!$C$131-1,0),1,MOD($A52-1,2))=0,(CROQUIS!$C$11-DATOS!$C$17/2-NERVADURA!$C$134),(DATOS!$C$17/2+NERVADURA!$C$134)))*CROQUIS!$C$14)</f>
        <v>21.504292815183</v>
      </c>
      <c r="H52">
        <f>IF(NERVADURA!$C$133=0,CROQUIS!$C$15+CROQUIS!$C$10*CROQUIS!$C$14/2,CROQUIS!$C$15+IF(MOD(MIN(INT(($A52-1)/2),MAX(2*NERVADURA!$C$133-1,0)),2)=0,IF(IF(INT(($A52-1)/2)&gt;MAX(2*NERVADURA!$C$133-1,0),1,MOD($A52-1,2))=0,(DATOS!$C$17/2+NERVADURA!$C$132),(CROQUIS!$C$10-DATOS!$C$17/2-NERVADURA!$C$132)),IF(IF(INT(($A52-1)/2)&gt;MAX(2*NERVADURA!$C$133-1,0),1,MOD($A52-1,2))=0,(CROQUIS!$C$10-DATOS!$C$17/2-NERVADURA!$C$132),(DATOS!$C$17/2+NERVADURA!$C$132)))*CROQUIS!$C$14)</f>
        <v>15.0198825124266</v>
      </c>
      <c r="I52">
        <f>IF(NERVADURA!$C$133=0,CROQUIS!$C$16+CROQUIS!$C$11*CROQUIS!$C$14/2,CROQUIS!$C$16+(DATOS!$C$17/2+NERVADURA!$C$134+INT(MIN(INT(($A52-1)/2),MAX(2*NERVADURA!$C$133-1,0))/2)*DATOS!$C$16+MOD(MIN(INT(($A52-1)/2),MAX(2*NERVADURA!$C$133-1,0)),2)*DATOS!$C$11)*CROQUIS!$C$14)</f>
        <v>84.495707184817</v>
      </c>
      <c r="CW52" t="n">
        <v>7.35</v>
      </c>
      <c r="CX52" t="n">
        <v>8.91</v>
      </c>
      <c r="DE52" t="n">
        <v>8.5</v>
      </c>
      <c r="DF52" t="n">
        <v>6.948</v>
      </c>
      <c r="DG52" t="n">
        <v>8.85</v>
      </c>
      <c r="DH52" t="n">
        <v>17.446</v>
      </c>
      <c r="DO52" t="n">
        <v>5.923</v>
      </c>
      <c r="DP52" t="n">
        <v>2.921</v>
      </c>
      <c r="FT52" t="inlineStr">
        <is>
          <t>C5</t>
        </is>
      </c>
      <c r="FU52" t="n">
        <v>4.327</v>
      </c>
      <c r="FV52" t="n">
        <v>14.021</v>
      </c>
      <c r="FW52" t="inlineStr">
        <is>
          <t>N+3.00</t>
        </is>
      </c>
      <c r="FX52" t="str">
        <f>IF(APOYOS!$C$21="SÍ","C5"&amp;" (propuesto)","C5"&amp;" RECHAZADO")</f>
        <v>C5 (propuesto)</v>
      </c>
    </row>
    <row r="53">
      <c r="A53" t="n">
        <v>46</v>
      </c>
      <c r="B53">
        <f>CHOOSE(MIN(MAX($A53,1),5),CROQUIS!$C$15,CROQUIS!$C$15+CROQUIS!$C$10*CROQUIS!$C$14,CROQUIS!$C$15+CROQUIS!$C$10*CROQUIS!$C$14,CROQUIS!$C$15,CROQUIS!$C$15)</f>
        <v>12</v>
      </c>
      <c r="C53">
        <f>CHOOSE(MIN(MAX($A53,1),5),CROQUIS!$C$16,CROQUIS!$C$16,CROQUIS!$C$16+CROQUIS!$C$11*CROQUIS!$C$14,CROQUIS!$C$16+CROQUIS!$C$11*CROQUIS!$C$14,CROQUIS!$C$16)</f>
        <v>15.9462268413918</v>
      </c>
      <c r="D53">
        <f>CHOOSE(MIN(MAX($A53,1),5),CROQUIS!$C$15+DATOS!$C$17/2*CROQUIS!$C$14,CROQUIS!$C$15+CROQUIS!$C$10*CROQUIS!$C$14-DATOS!$C$17/2*CROQUIS!$C$14,CROQUIS!$C$15+CROQUIS!$C$10*CROQUIS!$C$14-DATOS!$C$17/2*CROQUIS!$C$14,CROQUIS!$C$15+DATOS!$C$17/2*CROQUIS!$C$14,CROQUIS!$C$15+DATOS!$C$17/2*CROQUIS!$C$14)</f>
        <v>13.3895164934478</v>
      </c>
      <c r="E53">
        <f>CHOOSE(MIN(MAX($A53,1),5),CROQUIS!$C$16+DATOS!$C$17/2*CROQUIS!$C$14,CROQUIS!$C$16+DATOS!$C$17/2*CROQUIS!$C$14,CROQUIS!$C$16+CROQUIS!$C$11*CROQUIS!$C$14-DATOS!$C$17/2*CROQUIS!$C$14,CROQUIS!$C$16+CROQUIS!$C$11*CROQUIS!$C$14-DATOS!$C$17/2*CROQUIS!$C$14,CROQUIS!$C$16+DATOS!$C$17/2*CROQUIS!$C$14)</f>
        <v>17.3357433348396</v>
      </c>
      <c r="F53">
        <f>IF(NERVADURA!$C$131=0,CROQUIS!$C$15+CROQUIS!$C$10*CROQUIS!$C$14/2,CROQUIS!$C$15+(DATOS!$C$17/2+NERVADURA!$C$132+INT(MIN(INT(($A53-1)/2),MAX(2*NERVADURA!$C$131-1,0))/2)*DATOS!$C$16+MOD(MIN(INT(($A53-1)/2),MAX(2*NERVADURA!$C$131-1,0)),2)*DATOS!$C$11)*CROQUIS!$C$14)</f>
        <v>90.9801174875734</v>
      </c>
      <c r="G53">
        <f>IF(NERVADURA!$C$131=0,CROQUIS!$C$16+CROQUIS!$C$11*CROQUIS!$C$14/2,CROQUIS!$C$16+IF(MOD(MIN(INT(($A53-1)/2),MAX(2*NERVADURA!$C$131-1,0)),2)=0,IF(IF(INT(($A53-1)/2)&gt;MAX(2*NERVADURA!$C$131-1,0),1,MOD($A53-1,2))=0,(DATOS!$C$17/2+NERVADURA!$C$134),(CROQUIS!$C$11-DATOS!$C$17/2-NERVADURA!$C$134)),IF(IF(INT(($A53-1)/2)&gt;MAX(2*NERVADURA!$C$131-1,0),1,MOD($A53-1,2))=0,(CROQUIS!$C$11-DATOS!$C$17/2-NERVADURA!$C$134),(DATOS!$C$17/2+NERVADURA!$C$134)))*CROQUIS!$C$14)</f>
        <v>21.504292815183</v>
      </c>
      <c r="H53">
        <f>IF(NERVADURA!$C$133=0,CROQUIS!$C$15+CROQUIS!$C$10*CROQUIS!$C$14/2,CROQUIS!$C$15+IF(MOD(MIN(INT(($A53-1)/2),MAX(2*NERVADURA!$C$133-1,0)),2)=0,IF(IF(INT(($A53-1)/2)&gt;MAX(2*NERVADURA!$C$133-1,0),1,MOD($A53-1,2))=0,(DATOS!$C$17/2+NERVADURA!$C$132),(CROQUIS!$C$10-DATOS!$C$17/2-NERVADURA!$C$132)),IF(IF(INT(($A53-1)/2)&gt;MAX(2*NERVADURA!$C$133-1,0),1,MOD($A53-1,2))=0,(CROQUIS!$C$10-DATOS!$C$17/2-NERVADURA!$C$132),(DATOS!$C$17/2+NERVADURA!$C$132)))*CROQUIS!$C$14)</f>
        <v>15.0198825124266</v>
      </c>
      <c r="I53">
        <f>IF(NERVADURA!$C$133=0,CROQUIS!$C$16+CROQUIS!$C$11*CROQUIS!$C$14/2,CROQUIS!$C$16+(DATOS!$C$17/2+NERVADURA!$C$134+INT(MIN(INT(($A53-1)/2),MAX(2*NERVADURA!$C$133-1,0))/2)*DATOS!$C$16+MOD(MIN(INT(($A53-1)/2),MAX(2*NERVADURA!$C$133-1,0)),2)*DATOS!$C$11)*CROQUIS!$C$14)</f>
        <v>84.495707184817</v>
      </c>
      <c r="CW53" t="n">
        <v>7.35</v>
      </c>
      <c r="CX53" t="n">
        <v>9.949999999999999</v>
      </c>
      <c r="CY53" t="n">
        <v>7.25</v>
      </c>
      <c r="CZ53" t="n">
        <v>21.446</v>
      </c>
      <c r="DA53" t="n">
        <v>0</v>
      </c>
      <c r="DB53" t="n">
        <v>23.446</v>
      </c>
      <c r="DE53" t="n">
        <v>8.701000000000001</v>
      </c>
      <c r="DF53" t="n">
        <v>24.371</v>
      </c>
      <c r="DG53" t="n">
        <v>5.822</v>
      </c>
      <c r="DH53" t="n">
        <v>17.446</v>
      </c>
      <c r="DI53" t="n">
        <v>3.427</v>
      </c>
      <c r="DJ53" t="n">
        <v>14.021</v>
      </c>
      <c r="DM53" t="n">
        <v>5.998</v>
      </c>
      <c r="DN53" t="n">
        <v>17.072</v>
      </c>
      <c r="DO53" t="n">
        <v>5.923</v>
      </c>
      <c r="DP53" t="n">
        <v>4.433</v>
      </c>
      <c r="FT53" t="inlineStr">
        <is>
          <t>C6</t>
        </is>
      </c>
      <c r="FU53" t="n">
        <v>5.422</v>
      </c>
      <c r="FV53" t="n">
        <v>9.949999999999999</v>
      </c>
      <c r="FW53" t="inlineStr">
        <is>
          <t>N+3.00</t>
        </is>
      </c>
      <c r="FX53" t="str">
        <f>IF(APOYOS!$C$22="SÍ","C6"&amp;" (propuesto)","C6"&amp;" RECHAZADO")</f>
        <v>C6 (propuesto)</v>
      </c>
    </row>
    <row r="54">
      <c r="A54" t="n">
        <v>47</v>
      </c>
      <c r="B54">
        <f>CHOOSE(MIN(MAX($A54,1),5),CROQUIS!$C$15,CROQUIS!$C$15+CROQUIS!$C$10*CROQUIS!$C$14,CROQUIS!$C$15+CROQUIS!$C$10*CROQUIS!$C$14,CROQUIS!$C$15,CROQUIS!$C$15)</f>
        <v>12</v>
      </c>
      <c r="C54">
        <f>CHOOSE(MIN(MAX($A54,1),5),CROQUIS!$C$16,CROQUIS!$C$16,CROQUIS!$C$16+CROQUIS!$C$11*CROQUIS!$C$14,CROQUIS!$C$16+CROQUIS!$C$11*CROQUIS!$C$14,CROQUIS!$C$16)</f>
        <v>15.9462268413918</v>
      </c>
      <c r="D54">
        <f>CHOOSE(MIN(MAX($A54,1),5),CROQUIS!$C$15+DATOS!$C$17/2*CROQUIS!$C$14,CROQUIS!$C$15+CROQUIS!$C$10*CROQUIS!$C$14-DATOS!$C$17/2*CROQUIS!$C$14,CROQUIS!$C$15+CROQUIS!$C$10*CROQUIS!$C$14-DATOS!$C$17/2*CROQUIS!$C$14,CROQUIS!$C$15+DATOS!$C$17/2*CROQUIS!$C$14,CROQUIS!$C$15+DATOS!$C$17/2*CROQUIS!$C$14)</f>
        <v>13.3895164934478</v>
      </c>
      <c r="E54">
        <f>CHOOSE(MIN(MAX($A54,1),5),CROQUIS!$C$16+DATOS!$C$17/2*CROQUIS!$C$14,CROQUIS!$C$16+DATOS!$C$17/2*CROQUIS!$C$14,CROQUIS!$C$16+CROQUIS!$C$11*CROQUIS!$C$14-DATOS!$C$17/2*CROQUIS!$C$14,CROQUIS!$C$16+CROQUIS!$C$11*CROQUIS!$C$14-DATOS!$C$17/2*CROQUIS!$C$14,CROQUIS!$C$16+DATOS!$C$17/2*CROQUIS!$C$14)</f>
        <v>17.3357433348396</v>
      </c>
      <c r="F54">
        <f>IF(NERVADURA!$C$131=0,CROQUIS!$C$15+CROQUIS!$C$10*CROQUIS!$C$14/2,CROQUIS!$C$15+(DATOS!$C$17/2+NERVADURA!$C$132+INT(MIN(INT(($A54-1)/2),MAX(2*NERVADURA!$C$131-1,0))/2)*DATOS!$C$16+MOD(MIN(INT(($A54-1)/2),MAX(2*NERVADURA!$C$131-1,0)),2)*DATOS!$C$11)*CROQUIS!$C$14)</f>
        <v>90.9801174875734</v>
      </c>
      <c r="G54">
        <f>IF(NERVADURA!$C$131=0,CROQUIS!$C$16+CROQUIS!$C$11*CROQUIS!$C$14/2,CROQUIS!$C$16+IF(MOD(MIN(INT(($A54-1)/2),MAX(2*NERVADURA!$C$131-1,0)),2)=0,IF(IF(INT(($A54-1)/2)&gt;MAX(2*NERVADURA!$C$131-1,0),1,MOD($A54-1,2))=0,(DATOS!$C$17/2+NERVADURA!$C$134),(CROQUIS!$C$11-DATOS!$C$17/2-NERVADURA!$C$134)),IF(IF(INT(($A54-1)/2)&gt;MAX(2*NERVADURA!$C$131-1,0),1,MOD($A54-1,2))=0,(CROQUIS!$C$11-DATOS!$C$17/2-NERVADURA!$C$134),(DATOS!$C$17/2+NERVADURA!$C$134)))*CROQUIS!$C$14)</f>
        <v>21.504292815183</v>
      </c>
      <c r="H54">
        <f>IF(NERVADURA!$C$133=0,CROQUIS!$C$15+CROQUIS!$C$10*CROQUIS!$C$14/2,CROQUIS!$C$15+IF(MOD(MIN(INT(($A54-1)/2),MAX(2*NERVADURA!$C$133-1,0)),2)=0,IF(IF(INT(($A54-1)/2)&gt;MAX(2*NERVADURA!$C$133-1,0),1,MOD($A54-1,2))=0,(DATOS!$C$17/2+NERVADURA!$C$132),(CROQUIS!$C$10-DATOS!$C$17/2-NERVADURA!$C$132)),IF(IF(INT(($A54-1)/2)&gt;MAX(2*NERVADURA!$C$133-1,0),1,MOD($A54-1,2))=0,(CROQUIS!$C$10-DATOS!$C$17/2-NERVADURA!$C$132),(DATOS!$C$17/2+NERVADURA!$C$132)))*CROQUIS!$C$14)</f>
        <v>15.0198825124266</v>
      </c>
      <c r="I54">
        <f>IF(NERVADURA!$C$133=0,CROQUIS!$C$16+CROQUIS!$C$11*CROQUIS!$C$14/2,CROQUIS!$C$16+(DATOS!$C$17/2+NERVADURA!$C$134+INT(MIN(INT(($A54-1)/2),MAX(2*NERVADURA!$C$133-1,0))/2)*DATOS!$C$16+MOD(MIN(INT(($A54-1)/2),MAX(2*NERVADURA!$C$133-1,0)),2)*DATOS!$C$11)*CROQUIS!$C$14)</f>
        <v>84.495707184817</v>
      </c>
      <c r="CW54" t="n">
        <v>5.422</v>
      </c>
      <c r="CX54" t="n">
        <v>9.949999999999999</v>
      </c>
      <c r="CY54" t="n">
        <v>7.25</v>
      </c>
      <c r="CZ54" t="n">
        <v>24.371</v>
      </c>
      <c r="DA54" t="n">
        <v>7.25</v>
      </c>
      <c r="DB54" t="n">
        <v>23.446</v>
      </c>
      <c r="DE54" t="n">
        <v>8.85</v>
      </c>
      <c r="DF54" t="n">
        <v>0</v>
      </c>
      <c r="DG54" t="n">
        <v>5.822</v>
      </c>
      <c r="DH54" t="n">
        <v>16.697</v>
      </c>
      <c r="DI54" t="n">
        <v>3.427</v>
      </c>
      <c r="DJ54" t="n">
        <v>15.846</v>
      </c>
      <c r="DM54" t="n">
        <v>8.775</v>
      </c>
      <c r="DN54" t="n">
        <v>16.772</v>
      </c>
      <c r="DO54" t="n">
        <v>5.923</v>
      </c>
      <c r="DP54" t="n">
        <v>5.946</v>
      </c>
      <c r="FT54" t="inlineStr">
        <is>
          <t>C7</t>
        </is>
      </c>
      <c r="FU54" t="n">
        <v>5.441</v>
      </c>
      <c r="FV54" t="n">
        <v>8.91</v>
      </c>
      <c r="FW54" t="inlineStr">
        <is>
          <t>N+3.00</t>
        </is>
      </c>
      <c r="FX54" t="str">
        <f>IF(APOYOS!$C$23="SÍ","C7"&amp;" (propuesto)","C7"&amp;" RECHAZADO")</f>
        <v>C7 (propuesto)</v>
      </c>
    </row>
    <row r="55">
      <c r="A55" t="n">
        <v>48</v>
      </c>
      <c r="B55">
        <f>CHOOSE(MIN(MAX($A55,1),5),CROQUIS!$C$15,CROQUIS!$C$15+CROQUIS!$C$10*CROQUIS!$C$14,CROQUIS!$C$15+CROQUIS!$C$10*CROQUIS!$C$14,CROQUIS!$C$15,CROQUIS!$C$15)</f>
        <v>12</v>
      </c>
      <c r="C55">
        <f>CHOOSE(MIN(MAX($A55,1),5),CROQUIS!$C$16,CROQUIS!$C$16,CROQUIS!$C$16+CROQUIS!$C$11*CROQUIS!$C$14,CROQUIS!$C$16+CROQUIS!$C$11*CROQUIS!$C$14,CROQUIS!$C$16)</f>
        <v>15.9462268413918</v>
      </c>
      <c r="D55">
        <f>CHOOSE(MIN(MAX($A55,1),5),CROQUIS!$C$15+DATOS!$C$17/2*CROQUIS!$C$14,CROQUIS!$C$15+CROQUIS!$C$10*CROQUIS!$C$14-DATOS!$C$17/2*CROQUIS!$C$14,CROQUIS!$C$15+CROQUIS!$C$10*CROQUIS!$C$14-DATOS!$C$17/2*CROQUIS!$C$14,CROQUIS!$C$15+DATOS!$C$17/2*CROQUIS!$C$14,CROQUIS!$C$15+DATOS!$C$17/2*CROQUIS!$C$14)</f>
        <v>13.3895164934478</v>
      </c>
      <c r="E55">
        <f>CHOOSE(MIN(MAX($A55,1),5),CROQUIS!$C$16+DATOS!$C$17/2*CROQUIS!$C$14,CROQUIS!$C$16+DATOS!$C$17/2*CROQUIS!$C$14,CROQUIS!$C$16+CROQUIS!$C$11*CROQUIS!$C$14-DATOS!$C$17/2*CROQUIS!$C$14,CROQUIS!$C$16+CROQUIS!$C$11*CROQUIS!$C$14-DATOS!$C$17/2*CROQUIS!$C$14,CROQUIS!$C$16+DATOS!$C$17/2*CROQUIS!$C$14)</f>
        <v>17.3357433348396</v>
      </c>
      <c r="F55">
        <f>IF(NERVADURA!$C$131=0,CROQUIS!$C$15+CROQUIS!$C$10*CROQUIS!$C$14/2,CROQUIS!$C$15+(DATOS!$C$17/2+NERVADURA!$C$132+INT(MIN(INT(($A55-1)/2),MAX(2*NERVADURA!$C$131-1,0))/2)*DATOS!$C$16+MOD(MIN(INT(($A55-1)/2),MAX(2*NERVADURA!$C$131-1,0)),2)*DATOS!$C$11)*CROQUIS!$C$14)</f>
        <v>90.9801174875734</v>
      </c>
      <c r="G55">
        <f>IF(NERVADURA!$C$131=0,CROQUIS!$C$16+CROQUIS!$C$11*CROQUIS!$C$14/2,CROQUIS!$C$16+IF(MOD(MIN(INT(($A55-1)/2),MAX(2*NERVADURA!$C$131-1,0)),2)=0,IF(IF(INT(($A55-1)/2)&gt;MAX(2*NERVADURA!$C$131-1,0),1,MOD($A55-1,2))=0,(DATOS!$C$17/2+NERVADURA!$C$134),(CROQUIS!$C$11-DATOS!$C$17/2-NERVADURA!$C$134)),IF(IF(INT(($A55-1)/2)&gt;MAX(2*NERVADURA!$C$131-1,0),1,MOD($A55-1,2))=0,(CROQUIS!$C$11-DATOS!$C$17/2-NERVADURA!$C$134),(DATOS!$C$17/2+NERVADURA!$C$134)))*CROQUIS!$C$14)</f>
        <v>21.504292815183</v>
      </c>
      <c r="H55">
        <f>IF(NERVADURA!$C$133=0,CROQUIS!$C$15+CROQUIS!$C$10*CROQUIS!$C$14/2,CROQUIS!$C$15+IF(MOD(MIN(INT(($A55-1)/2),MAX(2*NERVADURA!$C$133-1,0)),2)=0,IF(IF(INT(($A55-1)/2)&gt;MAX(2*NERVADURA!$C$133-1,0),1,MOD($A55-1,2))=0,(DATOS!$C$17/2+NERVADURA!$C$132),(CROQUIS!$C$10-DATOS!$C$17/2-NERVADURA!$C$132)),IF(IF(INT(($A55-1)/2)&gt;MAX(2*NERVADURA!$C$133-1,0),1,MOD($A55-1,2))=0,(CROQUIS!$C$10-DATOS!$C$17/2-NERVADURA!$C$132),(DATOS!$C$17/2+NERVADURA!$C$132)))*CROQUIS!$C$14)</f>
        <v>15.0198825124266</v>
      </c>
      <c r="I55">
        <f>IF(NERVADURA!$C$133=0,CROQUIS!$C$16+CROQUIS!$C$11*CROQUIS!$C$14/2,CROQUIS!$C$16+(DATOS!$C$17/2+NERVADURA!$C$134+INT(MIN(INT(($A55-1)/2),MAX(2*NERVADURA!$C$133-1,0))/2)*DATOS!$C$16+MOD(MIN(INT(($A55-1)/2),MAX(2*NERVADURA!$C$133-1,0)),2)*DATOS!$C$11)*CROQUIS!$C$14)</f>
        <v>84.495707184817</v>
      </c>
      <c r="CW55" t="n">
        <v>5.422</v>
      </c>
      <c r="CX55" t="n">
        <v>15.447</v>
      </c>
      <c r="DE55" t="n">
        <v>8.85</v>
      </c>
      <c r="DF55" t="n">
        <v>2.316</v>
      </c>
      <c r="DO55" t="n">
        <v>5.923</v>
      </c>
      <c r="DP55" t="n">
        <v>6.948</v>
      </c>
      <c r="FT55" t="inlineStr">
        <is>
          <t>C8</t>
        </is>
      </c>
      <c r="FU55" t="n">
        <v>3.427</v>
      </c>
      <c r="FV55" t="n">
        <v>15.846</v>
      </c>
      <c r="FW55" t="inlineStr">
        <is>
          <t>N+3.00</t>
        </is>
      </c>
      <c r="FX55" t="str">
        <f>IF(APOYOS!$C$24="SÍ","C8"&amp;" (propuesto)","C8"&amp;" RECHAZADO")</f>
        <v>C8 (propuesto)</v>
      </c>
    </row>
    <row r="56">
      <c r="A56" t="n">
        <v>49</v>
      </c>
      <c r="B56">
        <f>CHOOSE(MIN(MAX($A56,1),5),CROQUIS!$C$15,CROQUIS!$C$15+CROQUIS!$C$10*CROQUIS!$C$14,CROQUIS!$C$15+CROQUIS!$C$10*CROQUIS!$C$14,CROQUIS!$C$15,CROQUIS!$C$15)</f>
        <v>12</v>
      </c>
      <c r="C56">
        <f>CHOOSE(MIN(MAX($A56,1),5),CROQUIS!$C$16,CROQUIS!$C$16,CROQUIS!$C$16+CROQUIS!$C$11*CROQUIS!$C$14,CROQUIS!$C$16+CROQUIS!$C$11*CROQUIS!$C$14,CROQUIS!$C$16)</f>
        <v>15.9462268413918</v>
      </c>
      <c r="D56">
        <f>CHOOSE(MIN(MAX($A56,1),5),CROQUIS!$C$15+DATOS!$C$17/2*CROQUIS!$C$14,CROQUIS!$C$15+CROQUIS!$C$10*CROQUIS!$C$14-DATOS!$C$17/2*CROQUIS!$C$14,CROQUIS!$C$15+CROQUIS!$C$10*CROQUIS!$C$14-DATOS!$C$17/2*CROQUIS!$C$14,CROQUIS!$C$15+DATOS!$C$17/2*CROQUIS!$C$14,CROQUIS!$C$15+DATOS!$C$17/2*CROQUIS!$C$14)</f>
        <v>13.3895164934478</v>
      </c>
      <c r="E56">
        <f>CHOOSE(MIN(MAX($A56,1),5),CROQUIS!$C$16+DATOS!$C$17/2*CROQUIS!$C$14,CROQUIS!$C$16+DATOS!$C$17/2*CROQUIS!$C$14,CROQUIS!$C$16+CROQUIS!$C$11*CROQUIS!$C$14-DATOS!$C$17/2*CROQUIS!$C$14,CROQUIS!$C$16+CROQUIS!$C$11*CROQUIS!$C$14-DATOS!$C$17/2*CROQUIS!$C$14,CROQUIS!$C$16+DATOS!$C$17/2*CROQUIS!$C$14)</f>
        <v>17.3357433348396</v>
      </c>
      <c r="F56">
        <f>IF(NERVADURA!$C$131=0,CROQUIS!$C$15+CROQUIS!$C$10*CROQUIS!$C$14/2,CROQUIS!$C$15+(DATOS!$C$17/2+NERVADURA!$C$132+INT(MIN(INT(($A56-1)/2),MAX(2*NERVADURA!$C$131-1,0))/2)*DATOS!$C$16+MOD(MIN(INT(($A56-1)/2),MAX(2*NERVADURA!$C$131-1,0)),2)*DATOS!$C$11)*CROQUIS!$C$14)</f>
        <v>90.9801174875734</v>
      </c>
      <c r="G56">
        <f>IF(NERVADURA!$C$131=0,CROQUIS!$C$16+CROQUIS!$C$11*CROQUIS!$C$14/2,CROQUIS!$C$16+IF(MOD(MIN(INT(($A56-1)/2),MAX(2*NERVADURA!$C$131-1,0)),2)=0,IF(IF(INT(($A56-1)/2)&gt;MAX(2*NERVADURA!$C$131-1,0),1,MOD($A56-1,2))=0,(DATOS!$C$17/2+NERVADURA!$C$134),(CROQUIS!$C$11-DATOS!$C$17/2-NERVADURA!$C$134)),IF(IF(INT(($A56-1)/2)&gt;MAX(2*NERVADURA!$C$131-1,0),1,MOD($A56-1,2))=0,(CROQUIS!$C$11-DATOS!$C$17/2-NERVADURA!$C$134),(DATOS!$C$17/2+NERVADURA!$C$134)))*CROQUIS!$C$14)</f>
        <v>21.504292815183</v>
      </c>
      <c r="H56">
        <f>IF(NERVADURA!$C$133=0,CROQUIS!$C$15+CROQUIS!$C$10*CROQUIS!$C$14/2,CROQUIS!$C$15+IF(MOD(MIN(INT(($A56-1)/2),MAX(2*NERVADURA!$C$133-1,0)),2)=0,IF(IF(INT(($A56-1)/2)&gt;MAX(2*NERVADURA!$C$133-1,0),1,MOD($A56-1,2))=0,(DATOS!$C$17/2+NERVADURA!$C$132),(CROQUIS!$C$10-DATOS!$C$17/2-NERVADURA!$C$132)),IF(IF(INT(($A56-1)/2)&gt;MAX(2*NERVADURA!$C$133-1,0),1,MOD($A56-1,2))=0,(CROQUIS!$C$10-DATOS!$C$17/2-NERVADURA!$C$132),(DATOS!$C$17/2+NERVADURA!$C$132)))*CROQUIS!$C$14)</f>
        <v>15.0198825124266</v>
      </c>
      <c r="I56">
        <f>IF(NERVADURA!$C$133=0,CROQUIS!$C$16+CROQUIS!$C$11*CROQUIS!$C$14/2,CROQUIS!$C$16+(DATOS!$C$17/2+NERVADURA!$C$134+INT(MIN(INT(($A56-1)/2),MAX(2*NERVADURA!$C$133-1,0))/2)*DATOS!$C$16+MOD(MIN(INT(($A56-1)/2),MAX(2*NERVADURA!$C$133-1,0)),2)*DATOS!$C$11)*CROQUIS!$C$14)</f>
        <v>84.495707184817</v>
      </c>
      <c r="CW56" t="n">
        <v>4.925</v>
      </c>
      <c r="CX56" t="n">
        <v>15.447</v>
      </c>
      <c r="CY56" t="n">
        <v>8.85</v>
      </c>
      <c r="CZ56" t="n">
        <v>0</v>
      </c>
      <c r="DA56" t="n">
        <v>-2</v>
      </c>
      <c r="DB56" t="n">
        <v>14.021</v>
      </c>
      <c r="DE56" t="n">
        <v>8.85</v>
      </c>
      <c r="DF56" t="n">
        <v>4.632</v>
      </c>
      <c r="DG56" t="n">
        <v>3.029</v>
      </c>
      <c r="DH56" t="n">
        <v>17.446</v>
      </c>
      <c r="DI56" t="n">
        <v>4.327</v>
      </c>
      <c r="DJ56" t="n">
        <v>1.919</v>
      </c>
      <c r="DM56" t="n">
        <v>0.075</v>
      </c>
      <c r="DN56" t="n">
        <v>17.072</v>
      </c>
      <c r="DO56" t="n">
        <v>5.925</v>
      </c>
      <c r="DP56" t="n">
        <v>21.446</v>
      </c>
    </row>
    <row r="57">
      <c r="A57" t="n">
        <v>50</v>
      </c>
      <c r="B57">
        <f>CHOOSE(MIN(MAX($A57,1),5),CROQUIS!$C$15,CROQUIS!$C$15+CROQUIS!$C$10*CROQUIS!$C$14,CROQUIS!$C$15+CROQUIS!$C$10*CROQUIS!$C$14,CROQUIS!$C$15,CROQUIS!$C$15)</f>
        <v>12</v>
      </c>
      <c r="C57">
        <f>CHOOSE(MIN(MAX($A57,1),5),CROQUIS!$C$16,CROQUIS!$C$16,CROQUIS!$C$16+CROQUIS!$C$11*CROQUIS!$C$14,CROQUIS!$C$16+CROQUIS!$C$11*CROQUIS!$C$14,CROQUIS!$C$16)</f>
        <v>15.9462268413918</v>
      </c>
      <c r="D57">
        <f>CHOOSE(MIN(MAX($A57,1),5),CROQUIS!$C$15+DATOS!$C$17/2*CROQUIS!$C$14,CROQUIS!$C$15+CROQUIS!$C$10*CROQUIS!$C$14-DATOS!$C$17/2*CROQUIS!$C$14,CROQUIS!$C$15+CROQUIS!$C$10*CROQUIS!$C$14-DATOS!$C$17/2*CROQUIS!$C$14,CROQUIS!$C$15+DATOS!$C$17/2*CROQUIS!$C$14,CROQUIS!$C$15+DATOS!$C$17/2*CROQUIS!$C$14)</f>
        <v>13.3895164934478</v>
      </c>
      <c r="E57">
        <f>CHOOSE(MIN(MAX($A57,1),5),CROQUIS!$C$16+DATOS!$C$17/2*CROQUIS!$C$14,CROQUIS!$C$16+DATOS!$C$17/2*CROQUIS!$C$14,CROQUIS!$C$16+CROQUIS!$C$11*CROQUIS!$C$14-DATOS!$C$17/2*CROQUIS!$C$14,CROQUIS!$C$16+CROQUIS!$C$11*CROQUIS!$C$14-DATOS!$C$17/2*CROQUIS!$C$14,CROQUIS!$C$16+DATOS!$C$17/2*CROQUIS!$C$14)</f>
        <v>17.3357433348396</v>
      </c>
      <c r="F57">
        <f>IF(NERVADURA!$C$131=0,CROQUIS!$C$15+CROQUIS!$C$10*CROQUIS!$C$14/2,CROQUIS!$C$15+(DATOS!$C$17/2+NERVADURA!$C$132+INT(MIN(INT(($A57-1)/2),MAX(2*NERVADURA!$C$131-1,0))/2)*DATOS!$C$16+MOD(MIN(INT(($A57-1)/2),MAX(2*NERVADURA!$C$131-1,0)),2)*DATOS!$C$11)*CROQUIS!$C$14)</f>
        <v>90.9801174875734</v>
      </c>
      <c r="G57">
        <f>IF(NERVADURA!$C$131=0,CROQUIS!$C$16+CROQUIS!$C$11*CROQUIS!$C$14/2,CROQUIS!$C$16+IF(MOD(MIN(INT(($A57-1)/2),MAX(2*NERVADURA!$C$131-1,0)),2)=0,IF(IF(INT(($A57-1)/2)&gt;MAX(2*NERVADURA!$C$131-1,0),1,MOD($A57-1,2))=0,(DATOS!$C$17/2+NERVADURA!$C$134),(CROQUIS!$C$11-DATOS!$C$17/2-NERVADURA!$C$134)),IF(IF(INT(($A57-1)/2)&gt;MAX(2*NERVADURA!$C$131-1,0),1,MOD($A57-1,2))=0,(CROQUIS!$C$11-DATOS!$C$17/2-NERVADURA!$C$134),(DATOS!$C$17/2+NERVADURA!$C$134)))*CROQUIS!$C$14)</f>
        <v>21.504292815183</v>
      </c>
      <c r="H57">
        <f>IF(NERVADURA!$C$133=0,CROQUIS!$C$15+CROQUIS!$C$10*CROQUIS!$C$14/2,CROQUIS!$C$15+IF(MOD(MIN(INT(($A57-1)/2),MAX(2*NERVADURA!$C$133-1,0)),2)=0,IF(IF(INT(($A57-1)/2)&gt;MAX(2*NERVADURA!$C$133-1,0),1,MOD($A57-1,2))=0,(DATOS!$C$17/2+NERVADURA!$C$132),(CROQUIS!$C$10-DATOS!$C$17/2-NERVADURA!$C$132)),IF(IF(INT(($A57-1)/2)&gt;MAX(2*NERVADURA!$C$133-1,0),1,MOD($A57-1,2))=0,(CROQUIS!$C$10-DATOS!$C$17/2-NERVADURA!$C$132),(DATOS!$C$17/2+NERVADURA!$C$132)))*CROQUIS!$C$14)</f>
        <v>15.0198825124266</v>
      </c>
      <c r="I57">
        <f>IF(NERVADURA!$C$133=0,CROQUIS!$C$16+CROQUIS!$C$11*CROQUIS!$C$14/2,CROQUIS!$C$16+(DATOS!$C$17/2+NERVADURA!$C$134+INT(MIN(INT(($A57-1)/2),MAX(2*NERVADURA!$C$133-1,0))/2)*DATOS!$C$16+MOD(MIN(INT(($A57-1)/2),MAX(2*NERVADURA!$C$133-1,0)),2)*DATOS!$C$11)*CROQUIS!$C$14)</f>
        <v>84.495707184817</v>
      </c>
      <c r="CW57" t="n">
        <v>4.925</v>
      </c>
      <c r="CX57" t="n">
        <v>17.446</v>
      </c>
      <c r="CY57" t="n">
        <v>8.85</v>
      </c>
      <c r="CZ57" t="n">
        <v>24.371</v>
      </c>
      <c r="DA57" t="n">
        <v>-2</v>
      </c>
      <c r="DB57" t="n">
        <v>17.446</v>
      </c>
      <c r="DE57" t="n">
        <v>8.85</v>
      </c>
      <c r="DF57" t="n">
        <v>6.948</v>
      </c>
      <c r="DG57" t="n">
        <v>0</v>
      </c>
      <c r="DH57" t="n">
        <v>17.446</v>
      </c>
      <c r="DI57" t="n">
        <v>4.327</v>
      </c>
      <c r="DJ57" t="n">
        <v>7.871</v>
      </c>
      <c r="DM57" t="n">
        <v>2.85</v>
      </c>
      <c r="DN57" t="n">
        <v>17.072</v>
      </c>
      <c r="DO57" t="n">
        <v>6.247</v>
      </c>
      <c r="DP57" t="n">
        <v>14.247</v>
      </c>
    </row>
    <row r="58">
      <c r="A58" t="n">
        <v>51</v>
      </c>
      <c r="B58">
        <f>CHOOSE(MIN(MAX($A58,1),5),CROQUIS!$C$15,CROQUIS!$C$15+CROQUIS!$C$10*CROQUIS!$C$14,CROQUIS!$C$15+CROQUIS!$C$10*CROQUIS!$C$14,CROQUIS!$C$15,CROQUIS!$C$15)</f>
        <v>12</v>
      </c>
      <c r="C58">
        <f>CHOOSE(MIN(MAX($A58,1),5),CROQUIS!$C$16,CROQUIS!$C$16,CROQUIS!$C$16+CROQUIS!$C$11*CROQUIS!$C$14,CROQUIS!$C$16+CROQUIS!$C$11*CROQUIS!$C$14,CROQUIS!$C$16)</f>
        <v>15.9462268413918</v>
      </c>
      <c r="D58">
        <f>CHOOSE(MIN(MAX($A58,1),5),CROQUIS!$C$15+DATOS!$C$17/2*CROQUIS!$C$14,CROQUIS!$C$15+CROQUIS!$C$10*CROQUIS!$C$14-DATOS!$C$17/2*CROQUIS!$C$14,CROQUIS!$C$15+CROQUIS!$C$10*CROQUIS!$C$14-DATOS!$C$17/2*CROQUIS!$C$14,CROQUIS!$C$15+DATOS!$C$17/2*CROQUIS!$C$14,CROQUIS!$C$15+DATOS!$C$17/2*CROQUIS!$C$14)</f>
        <v>13.3895164934478</v>
      </c>
      <c r="E58">
        <f>CHOOSE(MIN(MAX($A58,1),5),CROQUIS!$C$16+DATOS!$C$17/2*CROQUIS!$C$14,CROQUIS!$C$16+DATOS!$C$17/2*CROQUIS!$C$14,CROQUIS!$C$16+CROQUIS!$C$11*CROQUIS!$C$14-DATOS!$C$17/2*CROQUIS!$C$14,CROQUIS!$C$16+CROQUIS!$C$11*CROQUIS!$C$14-DATOS!$C$17/2*CROQUIS!$C$14,CROQUIS!$C$16+DATOS!$C$17/2*CROQUIS!$C$14)</f>
        <v>17.3357433348396</v>
      </c>
      <c r="F58">
        <f>IF(NERVADURA!$C$131=0,CROQUIS!$C$15+CROQUIS!$C$10*CROQUIS!$C$14/2,CROQUIS!$C$15+(DATOS!$C$17/2+NERVADURA!$C$132+INT(MIN(INT(($A58-1)/2),MAX(2*NERVADURA!$C$131-1,0))/2)*DATOS!$C$16+MOD(MIN(INT(($A58-1)/2),MAX(2*NERVADURA!$C$131-1,0)),2)*DATOS!$C$11)*CROQUIS!$C$14)</f>
        <v>90.9801174875734</v>
      </c>
      <c r="G58">
        <f>IF(NERVADURA!$C$131=0,CROQUIS!$C$16+CROQUIS!$C$11*CROQUIS!$C$14/2,CROQUIS!$C$16+IF(MOD(MIN(INT(($A58-1)/2),MAX(2*NERVADURA!$C$131-1,0)),2)=0,IF(IF(INT(($A58-1)/2)&gt;MAX(2*NERVADURA!$C$131-1,0),1,MOD($A58-1,2))=0,(DATOS!$C$17/2+NERVADURA!$C$134),(CROQUIS!$C$11-DATOS!$C$17/2-NERVADURA!$C$134)),IF(IF(INT(($A58-1)/2)&gt;MAX(2*NERVADURA!$C$131-1,0),1,MOD($A58-1,2))=0,(CROQUIS!$C$11-DATOS!$C$17/2-NERVADURA!$C$134),(DATOS!$C$17/2+NERVADURA!$C$134)))*CROQUIS!$C$14)</f>
        <v>21.504292815183</v>
      </c>
      <c r="H58">
        <f>IF(NERVADURA!$C$133=0,CROQUIS!$C$15+CROQUIS!$C$10*CROQUIS!$C$14/2,CROQUIS!$C$15+IF(MOD(MIN(INT(($A58-1)/2),MAX(2*NERVADURA!$C$133-1,0)),2)=0,IF(IF(INT(($A58-1)/2)&gt;MAX(2*NERVADURA!$C$133-1,0),1,MOD($A58-1,2))=0,(DATOS!$C$17/2+NERVADURA!$C$132),(CROQUIS!$C$10-DATOS!$C$17/2-NERVADURA!$C$132)),IF(IF(INT(($A58-1)/2)&gt;MAX(2*NERVADURA!$C$133-1,0),1,MOD($A58-1,2))=0,(CROQUIS!$C$10-DATOS!$C$17/2-NERVADURA!$C$132),(DATOS!$C$17/2+NERVADURA!$C$132)))*CROQUIS!$C$14)</f>
        <v>15.0198825124266</v>
      </c>
      <c r="I58">
        <f>IF(NERVADURA!$C$133=0,CROQUIS!$C$16+CROQUIS!$C$11*CROQUIS!$C$14/2,CROQUIS!$C$16+(DATOS!$C$17/2+NERVADURA!$C$134+INT(MIN(INT(($A58-1)/2),MAX(2*NERVADURA!$C$133-1,0))/2)*DATOS!$C$16+MOD(MIN(INT(($A58-1)/2),MAX(2*NERVADURA!$C$133-1,0)),2)*DATOS!$C$11)*CROQUIS!$C$14)</f>
        <v>84.495707184817</v>
      </c>
      <c r="CW58" t="n">
        <v>3.029</v>
      </c>
      <c r="CX58" t="n">
        <v>17.446</v>
      </c>
      <c r="DE58" t="n">
        <v>8.85</v>
      </c>
      <c r="DF58" t="n">
        <v>8.449</v>
      </c>
      <c r="DG58" t="n">
        <v>0</v>
      </c>
      <c r="DH58" t="n">
        <v>16.997</v>
      </c>
      <c r="DM58" t="n">
        <v>2.85</v>
      </c>
      <c r="DN58" t="n">
        <v>17.372</v>
      </c>
      <c r="DO58" t="n">
        <v>6.272</v>
      </c>
      <c r="DP58" t="n">
        <v>6.948</v>
      </c>
    </row>
    <row r="59">
      <c r="A59" t="n">
        <v>52</v>
      </c>
      <c r="B59">
        <f>CHOOSE(MIN(MAX($A59,1),5),CROQUIS!$C$15,CROQUIS!$C$15+CROQUIS!$C$10*CROQUIS!$C$14,CROQUIS!$C$15+CROQUIS!$C$10*CROQUIS!$C$14,CROQUIS!$C$15,CROQUIS!$C$15)</f>
        <v>12</v>
      </c>
      <c r="C59">
        <f>CHOOSE(MIN(MAX($A59,1),5),CROQUIS!$C$16,CROQUIS!$C$16,CROQUIS!$C$16+CROQUIS!$C$11*CROQUIS!$C$14,CROQUIS!$C$16+CROQUIS!$C$11*CROQUIS!$C$14,CROQUIS!$C$16)</f>
        <v>15.9462268413918</v>
      </c>
      <c r="D59">
        <f>CHOOSE(MIN(MAX($A59,1),5),CROQUIS!$C$15+DATOS!$C$17/2*CROQUIS!$C$14,CROQUIS!$C$15+CROQUIS!$C$10*CROQUIS!$C$14-DATOS!$C$17/2*CROQUIS!$C$14,CROQUIS!$C$15+CROQUIS!$C$10*CROQUIS!$C$14-DATOS!$C$17/2*CROQUIS!$C$14,CROQUIS!$C$15+DATOS!$C$17/2*CROQUIS!$C$14,CROQUIS!$C$15+DATOS!$C$17/2*CROQUIS!$C$14)</f>
        <v>13.3895164934478</v>
      </c>
      <c r="E59">
        <f>CHOOSE(MIN(MAX($A59,1),5),CROQUIS!$C$16+DATOS!$C$17/2*CROQUIS!$C$14,CROQUIS!$C$16+DATOS!$C$17/2*CROQUIS!$C$14,CROQUIS!$C$16+CROQUIS!$C$11*CROQUIS!$C$14-DATOS!$C$17/2*CROQUIS!$C$14,CROQUIS!$C$16+CROQUIS!$C$11*CROQUIS!$C$14-DATOS!$C$17/2*CROQUIS!$C$14,CROQUIS!$C$16+DATOS!$C$17/2*CROQUIS!$C$14)</f>
        <v>17.3357433348396</v>
      </c>
      <c r="F59">
        <f>IF(NERVADURA!$C$131=0,CROQUIS!$C$15+CROQUIS!$C$10*CROQUIS!$C$14/2,CROQUIS!$C$15+(DATOS!$C$17/2+NERVADURA!$C$132+INT(MIN(INT(($A59-1)/2),MAX(2*NERVADURA!$C$131-1,0))/2)*DATOS!$C$16+MOD(MIN(INT(($A59-1)/2),MAX(2*NERVADURA!$C$131-1,0)),2)*DATOS!$C$11)*CROQUIS!$C$14)</f>
        <v>90.9801174875734</v>
      </c>
      <c r="G59">
        <f>IF(NERVADURA!$C$131=0,CROQUIS!$C$16+CROQUIS!$C$11*CROQUIS!$C$14/2,CROQUIS!$C$16+IF(MOD(MIN(INT(($A59-1)/2),MAX(2*NERVADURA!$C$131-1,0)),2)=0,IF(IF(INT(($A59-1)/2)&gt;MAX(2*NERVADURA!$C$131-1,0),1,MOD($A59-1,2))=0,(DATOS!$C$17/2+NERVADURA!$C$134),(CROQUIS!$C$11-DATOS!$C$17/2-NERVADURA!$C$134)),IF(IF(INT(($A59-1)/2)&gt;MAX(2*NERVADURA!$C$131-1,0),1,MOD($A59-1,2))=0,(CROQUIS!$C$11-DATOS!$C$17/2-NERVADURA!$C$134),(DATOS!$C$17/2+NERVADURA!$C$134)))*CROQUIS!$C$14)</f>
        <v>21.504292815183</v>
      </c>
      <c r="H59">
        <f>IF(NERVADURA!$C$133=0,CROQUIS!$C$15+CROQUIS!$C$10*CROQUIS!$C$14/2,CROQUIS!$C$15+IF(MOD(MIN(INT(($A59-1)/2),MAX(2*NERVADURA!$C$133-1,0)),2)=0,IF(IF(INT(($A59-1)/2)&gt;MAX(2*NERVADURA!$C$133-1,0),1,MOD($A59-1,2))=0,(DATOS!$C$17/2+NERVADURA!$C$132),(CROQUIS!$C$10-DATOS!$C$17/2-NERVADURA!$C$132)),IF(IF(INT(($A59-1)/2)&gt;MAX(2*NERVADURA!$C$133-1,0),1,MOD($A59-1,2))=0,(CROQUIS!$C$10-DATOS!$C$17/2-NERVADURA!$C$132),(DATOS!$C$17/2+NERVADURA!$C$132)))*CROQUIS!$C$14)</f>
        <v>15.0198825124266</v>
      </c>
      <c r="I59">
        <f>IF(NERVADURA!$C$133=0,CROQUIS!$C$16+CROQUIS!$C$11*CROQUIS!$C$14/2,CROQUIS!$C$16+(DATOS!$C$17/2+NERVADURA!$C$134+INT(MIN(INT(($A59-1)/2),MAX(2*NERVADURA!$C$133-1,0))/2)*DATOS!$C$16+MOD(MIN(INT(($A59-1)/2),MAX(2*NERVADURA!$C$133-1,0)),2)*DATOS!$C$11)*CROQUIS!$C$14)</f>
        <v>84.495707184817</v>
      </c>
      <c r="CW59" t="n">
        <v>3.029</v>
      </c>
      <c r="CX59" t="n">
        <v>15.846</v>
      </c>
      <c r="DA59" t="n">
        <v>3.029</v>
      </c>
      <c r="DB59" t="n">
        <v>15.846</v>
      </c>
      <c r="DE59" t="n">
        <v>8.85</v>
      </c>
      <c r="DF59" t="n">
        <v>9.949999999999999</v>
      </c>
      <c r="DG59" t="n">
        <v>3.029</v>
      </c>
      <c r="DH59" t="n">
        <v>16.997</v>
      </c>
      <c r="DI59" t="n">
        <v>4.426</v>
      </c>
      <c r="DJ59" t="n">
        <v>17.446</v>
      </c>
      <c r="DM59" t="n">
        <v>0.075</v>
      </c>
      <c r="DN59" t="n">
        <v>17.372</v>
      </c>
      <c r="DO59" t="n">
        <v>6.28</v>
      </c>
      <c r="DP59" t="n">
        <v>9.949999999999999</v>
      </c>
    </row>
    <row r="60">
      <c r="A60" t="n">
        <v>53</v>
      </c>
      <c r="B60">
        <f>CHOOSE(MIN(MAX($A60,1),5),CROQUIS!$C$15,CROQUIS!$C$15+CROQUIS!$C$10*CROQUIS!$C$14,CROQUIS!$C$15+CROQUIS!$C$10*CROQUIS!$C$14,CROQUIS!$C$15,CROQUIS!$C$15)</f>
        <v>12</v>
      </c>
      <c r="C60">
        <f>CHOOSE(MIN(MAX($A60,1),5),CROQUIS!$C$16,CROQUIS!$C$16,CROQUIS!$C$16+CROQUIS!$C$11*CROQUIS!$C$14,CROQUIS!$C$16+CROQUIS!$C$11*CROQUIS!$C$14,CROQUIS!$C$16)</f>
        <v>15.9462268413918</v>
      </c>
      <c r="D60">
        <f>CHOOSE(MIN(MAX($A60,1),5),CROQUIS!$C$15+DATOS!$C$17/2*CROQUIS!$C$14,CROQUIS!$C$15+CROQUIS!$C$10*CROQUIS!$C$14-DATOS!$C$17/2*CROQUIS!$C$14,CROQUIS!$C$15+CROQUIS!$C$10*CROQUIS!$C$14-DATOS!$C$17/2*CROQUIS!$C$14,CROQUIS!$C$15+DATOS!$C$17/2*CROQUIS!$C$14,CROQUIS!$C$15+DATOS!$C$17/2*CROQUIS!$C$14)</f>
        <v>13.3895164934478</v>
      </c>
      <c r="E60">
        <f>CHOOSE(MIN(MAX($A60,1),5),CROQUIS!$C$16+DATOS!$C$17/2*CROQUIS!$C$14,CROQUIS!$C$16+DATOS!$C$17/2*CROQUIS!$C$14,CROQUIS!$C$16+CROQUIS!$C$11*CROQUIS!$C$14-DATOS!$C$17/2*CROQUIS!$C$14,CROQUIS!$C$16+CROQUIS!$C$11*CROQUIS!$C$14-DATOS!$C$17/2*CROQUIS!$C$14,CROQUIS!$C$16+DATOS!$C$17/2*CROQUIS!$C$14)</f>
        <v>17.3357433348396</v>
      </c>
      <c r="F60">
        <f>IF(NERVADURA!$C$131=0,CROQUIS!$C$15+CROQUIS!$C$10*CROQUIS!$C$14/2,CROQUIS!$C$15+(DATOS!$C$17/2+NERVADURA!$C$132+INT(MIN(INT(($A60-1)/2),MAX(2*NERVADURA!$C$131-1,0))/2)*DATOS!$C$16+MOD(MIN(INT(($A60-1)/2),MAX(2*NERVADURA!$C$131-1,0)),2)*DATOS!$C$11)*CROQUIS!$C$14)</f>
        <v>90.9801174875734</v>
      </c>
      <c r="G60">
        <f>IF(NERVADURA!$C$131=0,CROQUIS!$C$16+CROQUIS!$C$11*CROQUIS!$C$14/2,CROQUIS!$C$16+IF(MOD(MIN(INT(($A60-1)/2),MAX(2*NERVADURA!$C$131-1,0)),2)=0,IF(IF(INT(($A60-1)/2)&gt;MAX(2*NERVADURA!$C$131-1,0),1,MOD($A60-1,2))=0,(DATOS!$C$17/2+NERVADURA!$C$134),(CROQUIS!$C$11-DATOS!$C$17/2-NERVADURA!$C$134)),IF(IF(INT(($A60-1)/2)&gt;MAX(2*NERVADURA!$C$131-1,0),1,MOD($A60-1,2))=0,(CROQUIS!$C$11-DATOS!$C$17/2-NERVADURA!$C$134),(DATOS!$C$17/2+NERVADURA!$C$134)))*CROQUIS!$C$14)</f>
        <v>21.504292815183</v>
      </c>
      <c r="H60">
        <f>IF(NERVADURA!$C$133=0,CROQUIS!$C$15+CROQUIS!$C$10*CROQUIS!$C$14/2,CROQUIS!$C$15+IF(MOD(MIN(INT(($A60-1)/2),MAX(2*NERVADURA!$C$133-1,0)),2)=0,IF(IF(INT(($A60-1)/2)&gt;MAX(2*NERVADURA!$C$133-1,0),1,MOD($A60-1,2))=0,(DATOS!$C$17/2+NERVADURA!$C$132),(CROQUIS!$C$10-DATOS!$C$17/2-NERVADURA!$C$132)),IF(IF(INT(($A60-1)/2)&gt;MAX(2*NERVADURA!$C$133-1,0),1,MOD($A60-1,2))=0,(CROQUIS!$C$10-DATOS!$C$17/2-NERVADURA!$C$132),(DATOS!$C$17/2+NERVADURA!$C$132)))*CROQUIS!$C$14)</f>
        <v>15.0198825124266</v>
      </c>
      <c r="I60">
        <f>IF(NERVADURA!$C$133=0,CROQUIS!$C$16+CROQUIS!$C$11*CROQUIS!$C$14/2,CROQUIS!$C$16+(DATOS!$C$17/2+NERVADURA!$C$134+INT(MIN(INT(($A60-1)/2),MAX(2*NERVADURA!$C$133-1,0))/2)*DATOS!$C$16+MOD(MIN(INT(($A60-1)/2),MAX(2*NERVADURA!$C$133-1,0)),2)*DATOS!$C$11)*CROQUIS!$C$14)</f>
        <v>84.495707184817</v>
      </c>
      <c r="CW60" t="n">
        <v>3.427</v>
      </c>
      <c r="CX60" t="n">
        <v>15.846</v>
      </c>
      <c r="DA60" t="n">
        <v>3.029</v>
      </c>
      <c r="DB60" t="n">
        <v>17.446</v>
      </c>
      <c r="DE60" t="n">
        <v>8.85</v>
      </c>
      <c r="DF60" t="n">
        <v>12.1</v>
      </c>
      <c r="DG60" t="n">
        <v>3.029</v>
      </c>
      <c r="DH60" t="n">
        <v>17.446</v>
      </c>
      <c r="DI60" t="n">
        <v>4.426</v>
      </c>
      <c r="DJ60" t="n">
        <v>21.446</v>
      </c>
      <c r="DM60" t="n">
        <v>0.075</v>
      </c>
      <c r="DN60" t="n">
        <v>17.072</v>
      </c>
      <c r="DO60" t="n">
        <v>6.722</v>
      </c>
      <c r="DP60" t="n">
        <v>17.446</v>
      </c>
    </row>
    <row r="61">
      <c r="A61" t="n">
        <v>54</v>
      </c>
      <c r="B61">
        <f>CHOOSE(MIN(MAX($A61,1),5),CROQUIS!$C$15,CROQUIS!$C$15+CROQUIS!$C$10*CROQUIS!$C$14,CROQUIS!$C$15+CROQUIS!$C$10*CROQUIS!$C$14,CROQUIS!$C$15,CROQUIS!$C$15)</f>
        <v>12</v>
      </c>
      <c r="C61">
        <f>CHOOSE(MIN(MAX($A61,1),5),CROQUIS!$C$16,CROQUIS!$C$16,CROQUIS!$C$16+CROQUIS!$C$11*CROQUIS!$C$14,CROQUIS!$C$16+CROQUIS!$C$11*CROQUIS!$C$14,CROQUIS!$C$16)</f>
        <v>15.9462268413918</v>
      </c>
      <c r="D61">
        <f>CHOOSE(MIN(MAX($A61,1),5),CROQUIS!$C$15+DATOS!$C$17/2*CROQUIS!$C$14,CROQUIS!$C$15+CROQUIS!$C$10*CROQUIS!$C$14-DATOS!$C$17/2*CROQUIS!$C$14,CROQUIS!$C$15+CROQUIS!$C$10*CROQUIS!$C$14-DATOS!$C$17/2*CROQUIS!$C$14,CROQUIS!$C$15+DATOS!$C$17/2*CROQUIS!$C$14,CROQUIS!$C$15+DATOS!$C$17/2*CROQUIS!$C$14)</f>
        <v>13.3895164934478</v>
      </c>
      <c r="E61">
        <f>CHOOSE(MIN(MAX($A61,1),5),CROQUIS!$C$16+DATOS!$C$17/2*CROQUIS!$C$14,CROQUIS!$C$16+DATOS!$C$17/2*CROQUIS!$C$14,CROQUIS!$C$16+CROQUIS!$C$11*CROQUIS!$C$14-DATOS!$C$17/2*CROQUIS!$C$14,CROQUIS!$C$16+CROQUIS!$C$11*CROQUIS!$C$14-DATOS!$C$17/2*CROQUIS!$C$14,CROQUIS!$C$16+DATOS!$C$17/2*CROQUIS!$C$14)</f>
        <v>17.3357433348396</v>
      </c>
      <c r="F61">
        <f>IF(NERVADURA!$C$131=0,CROQUIS!$C$15+CROQUIS!$C$10*CROQUIS!$C$14/2,CROQUIS!$C$15+(DATOS!$C$17/2+NERVADURA!$C$132+INT(MIN(INT(($A61-1)/2),MAX(2*NERVADURA!$C$131-1,0))/2)*DATOS!$C$16+MOD(MIN(INT(($A61-1)/2),MAX(2*NERVADURA!$C$131-1,0)),2)*DATOS!$C$11)*CROQUIS!$C$14)</f>
        <v>90.9801174875734</v>
      </c>
      <c r="G61">
        <f>IF(NERVADURA!$C$131=0,CROQUIS!$C$16+CROQUIS!$C$11*CROQUIS!$C$14/2,CROQUIS!$C$16+IF(MOD(MIN(INT(($A61-1)/2),MAX(2*NERVADURA!$C$131-1,0)),2)=0,IF(IF(INT(($A61-1)/2)&gt;MAX(2*NERVADURA!$C$131-1,0),1,MOD($A61-1,2))=0,(DATOS!$C$17/2+NERVADURA!$C$134),(CROQUIS!$C$11-DATOS!$C$17/2-NERVADURA!$C$134)),IF(IF(INT(($A61-1)/2)&gt;MAX(2*NERVADURA!$C$131-1,0),1,MOD($A61-1,2))=0,(CROQUIS!$C$11-DATOS!$C$17/2-NERVADURA!$C$134),(DATOS!$C$17/2+NERVADURA!$C$134)))*CROQUIS!$C$14)</f>
        <v>21.504292815183</v>
      </c>
      <c r="H61">
        <f>IF(NERVADURA!$C$133=0,CROQUIS!$C$15+CROQUIS!$C$10*CROQUIS!$C$14/2,CROQUIS!$C$15+IF(MOD(MIN(INT(($A61-1)/2),MAX(2*NERVADURA!$C$133-1,0)),2)=0,IF(IF(INT(($A61-1)/2)&gt;MAX(2*NERVADURA!$C$133-1,0),1,MOD($A61-1,2))=0,(DATOS!$C$17/2+NERVADURA!$C$132),(CROQUIS!$C$10-DATOS!$C$17/2-NERVADURA!$C$132)),IF(IF(INT(($A61-1)/2)&gt;MAX(2*NERVADURA!$C$133-1,0),1,MOD($A61-1,2))=0,(CROQUIS!$C$10-DATOS!$C$17/2-NERVADURA!$C$132),(DATOS!$C$17/2+NERVADURA!$C$132)))*CROQUIS!$C$14)</f>
        <v>15.0198825124266</v>
      </c>
      <c r="I61">
        <f>IF(NERVADURA!$C$133=0,CROQUIS!$C$16+CROQUIS!$C$11*CROQUIS!$C$14/2,CROQUIS!$C$16+(DATOS!$C$17/2+NERVADURA!$C$134+INT(MIN(INT(($A61-1)/2),MAX(2*NERVADURA!$C$133-1,0))/2)*DATOS!$C$16+MOD(MIN(INT(($A61-1)/2),MAX(2*NERVADURA!$C$133-1,0)),2)*DATOS!$C$11)*CROQUIS!$C$14)</f>
        <v>84.495707184817</v>
      </c>
      <c r="CW61" t="n">
        <v>3.427</v>
      </c>
      <c r="CX61" t="n">
        <v>14.021</v>
      </c>
      <c r="DE61" t="n">
        <v>8.85</v>
      </c>
      <c r="DF61" t="n">
        <v>14.247</v>
      </c>
      <c r="DO61" t="n">
        <v>6.887</v>
      </c>
      <c r="DP61" t="n">
        <v>17.446</v>
      </c>
    </row>
    <row r="62">
      <c r="A62" t="n">
        <v>55</v>
      </c>
      <c r="B62">
        <f>CHOOSE(MIN(MAX($A62,1),5),CROQUIS!$C$15,CROQUIS!$C$15+CROQUIS!$C$10*CROQUIS!$C$14,CROQUIS!$C$15+CROQUIS!$C$10*CROQUIS!$C$14,CROQUIS!$C$15,CROQUIS!$C$15)</f>
        <v>12</v>
      </c>
      <c r="C62">
        <f>CHOOSE(MIN(MAX($A62,1),5),CROQUIS!$C$16,CROQUIS!$C$16,CROQUIS!$C$16+CROQUIS!$C$11*CROQUIS!$C$14,CROQUIS!$C$16+CROQUIS!$C$11*CROQUIS!$C$14,CROQUIS!$C$16)</f>
        <v>15.9462268413918</v>
      </c>
      <c r="D62">
        <f>CHOOSE(MIN(MAX($A62,1),5),CROQUIS!$C$15+DATOS!$C$17/2*CROQUIS!$C$14,CROQUIS!$C$15+CROQUIS!$C$10*CROQUIS!$C$14-DATOS!$C$17/2*CROQUIS!$C$14,CROQUIS!$C$15+CROQUIS!$C$10*CROQUIS!$C$14-DATOS!$C$17/2*CROQUIS!$C$14,CROQUIS!$C$15+DATOS!$C$17/2*CROQUIS!$C$14,CROQUIS!$C$15+DATOS!$C$17/2*CROQUIS!$C$14)</f>
        <v>13.3895164934478</v>
      </c>
      <c r="E62">
        <f>CHOOSE(MIN(MAX($A62,1),5),CROQUIS!$C$16+DATOS!$C$17/2*CROQUIS!$C$14,CROQUIS!$C$16+DATOS!$C$17/2*CROQUIS!$C$14,CROQUIS!$C$16+CROQUIS!$C$11*CROQUIS!$C$14-DATOS!$C$17/2*CROQUIS!$C$14,CROQUIS!$C$16+CROQUIS!$C$11*CROQUIS!$C$14-DATOS!$C$17/2*CROQUIS!$C$14,CROQUIS!$C$16+DATOS!$C$17/2*CROQUIS!$C$14)</f>
        <v>17.3357433348396</v>
      </c>
      <c r="F62">
        <f>IF(NERVADURA!$C$131=0,CROQUIS!$C$15+CROQUIS!$C$10*CROQUIS!$C$14/2,CROQUIS!$C$15+(DATOS!$C$17/2+NERVADURA!$C$132+INT(MIN(INT(($A62-1)/2),MAX(2*NERVADURA!$C$131-1,0))/2)*DATOS!$C$16+MOD(MIN(INT(($A62-1)/2),MAX(2*NERVADURA!$C$131-1,0)),2)*DATOS!$C$11)*CROQUIS!$C$14)</f>
        <v>90.9801174875734</v>
      </c>
      <c r="G62">
        <f>IF(NERVADURA!$C$131=0,CROQUIS!$C$16+CROQUIS!$C$11*CROQUIS!$C$14/2,CROQUIS!$C$16+IF(MOD(MIN(INT(($A62-1)/2),MAX(2*NERVADURA!$C$131-1,0)),2)=0,IF(IF(INT(($A62-1)/2)&gt;MAX(2*NERVADURA!$C$131-1,0),1,MOD($A62-1,2))=0,(DATOS!$C$17/2+NERVADURA!$C$134),(CROQUIS!$C$11-DATOS!$C$17/2-NERVADURA!$C$134)),IF(IF(INT(($A62-1)/2)&gt;MAX(2*NERVADURA!$C$131-1,0),1,MOD($A62-1,2))=0,(CROQUIS!$C$11-DATOS!$C$17/2-NERVADURA!$C$134),(DATOS!$C$17/2+NERVADURA!$C$134)))*CROQUIS!$C$14)</f>
        <v>21.504292815183</v>
      </c>
      <c r="H62">
        <f>IF(NERVADURA!$C$133=0,CROQUIS!$C$15+CROQUIS!$C$10*CROQUIS!$C$14/2,CROQUIS!$C$15+IF(MOD(MIN(INT(($A62-1)/2),MAX(2*NERVADURA!$C$133-1,0)),2)=0,IF(IF(INT(($A62-1)/2)&gt;MAX(2*NERVADURA!$C$133-1,0),1,MOD($A62-1,2))=0,(DATOS!$C$17/2+NERVADURA!$C$132),(CROQUIS!$C$10-DATOS!$C$17/2-NERVADURA!$C$132)),IF(IF(INT(($A62-1)/2)&gt;MAX(2*NERVADURA!$C$133-1,0),1,MOD($A62-1,2))=0,(CROQUIS!$C$10-DATOS!$C$17/2-NERVADURA!$C$132),(DATOS!$C$17/2+NERVADURA!$C$132)))*CROQUIS!$C$14)</f>
        <v>15.0198825124266</v>
      </c>
      <c r="I62">
        <f>IF(NERVADURA!$C$133=0,CROQUIS!$C$16+CROQUIS!$C$11*CROQUIS!$C$14/2,CROQUIS!$C$16+(DATOS!$C$17/2+NERVADURA!$C$134+INT(MIN(INT(($A62-1)/2),MAX(2*NERVADURA!$C$133-1,0))/2)*DATOS!$C$16+MOD(MIN(INT(($A62-1)/2),MAX(2*NERVADURA!$C$133-1,0)),2)*DATOS!$C$11)*CROQUIS!$C$14)</f>
        <v>84.495707184817</v>
      </c>
      <c r="CW62" t="n">
        <v>4.327</v>
      </c>
      <c r="CX62" t="n">
        <v>14.021</v>
      </c>
      <c r="DA62" t="n">
        <v>3.427</v>
      </c>
      <c r="DB62" t="n">
        <v>14.021</v>
      </c>
      <c r="DE62" t="n">
        <v>8.85</v>
      </c>
      <c r="DF62" t="n">
        <v>15.447</v>
      </c>
      <c r="DG62" t="n">
        <v>4.426</v>
      </c>
      <c r="DH62" t="n">
        <v>17.446</v>
      </c>
      <c r="DI62" t="n">
        <v>5.422</v>
      </c>
      <c r="DJ62" t="n">
        <v>9.949999999999999</v>
      </c>
      <c r="DM62" t="n">
        <v>0.075</v>
      </c>
      <c r="DN62" t="n">
        <v>17.072</v>
      </c>
      <c r="DO62" t="n">
        <v>7.336</v>
      </c>
      <c r="DP62" t="n">
        <v>15.846</v>
      </c>
    </row>
    <row r="63">
      <c r="A63" t="n">
        <v>56</v>
      </c>
      <c r="B63">
        <f>CHOOSE(MIN(MAX($A63,1),5),CROQUIS!$C$15,CROQUIS!$C$15+CROQUIS!$C$10*CROQUIS!$C$14,CROQUIS!$C$15+CROQUIS!$C$10*CROQUIS!$C$14,CROQUIS!$C$15,CROQUIS!$C$15)</f>
        <v>12</v>
      </c>
      <c r="C63">
        <f>CHOOSE(MIN(MAX($A63,1),5),CROQUIS!$C$16,CROQUIS!$C$16,CROQUIS!$C$16+CROQUIS!$C$11*CROQUIS!$C$14,CROQUIS!$C$16+CROQUIS!$C$11*CROQUIS!$C$14,CROQUIS!$C$16)</f>
        <v>15.9462268413918</v>
      </c>
      <c r="D63">
        <f>CHOOSE(MIN(MAX($A63,1),5),CROQUIS!$C$15+DATOS!$C$17/2*CROQUIS!$C$14,CROQUIS!$C$15+CROQUIS!$C$10*CROQUIS!$C$14-DATOS!$C$17/2*CROQUIS!$C$14,CROQUIS!$C$15+CROQUIS!$C$10*CROQUIS!$C$14-DATOS!$C$17/2*CROQUIS!$C$14,CROQUIS!$C$15+DATOS!$C$17/2*CROQUIS!$C$14,CROQUIS!$C$15+DATOS!$C$17/2*CROQUIS!$C$14)</f>
        <v>13.3895164934478</v>
      </c>
      <c r="E63">
        <f>CHOOSE(MIN(MAX($A63,1),5),CROQUIS!$C$16+DATOS!$C$17/2*CROQUIS!$C$14,CROQUIS!$C$16+DATOS!$C$17/2*CROQUIS!$C$14,CROQUIS!$C$16+CROQUIS!$C$11*CROQUIS!$C$14-DATOS!$C$17/2*CROQUIS!$C$14,CROQUIS!$C$16+CROQUIS!$C$11*CROQUIS!$C$14-DATOS!$C$17/2*CROQUIS!$C$14,CROQUIS!$C$16+DATOS!$C$17/2*CROQUIS!$C$14)</f>
        <v>17.3357433348396</v>
      </c>
      <c r="F63">
        <f>IF(NERVADURA!$C$131=0,CROQUIS!$C$15+CROQUIS!$C$10*CROQUIS!$C$14/2,CROQUIS!$C$15+(DATOS!$C$17/2+NERVADURA!$C$132+INT(MIN(INT(($A63-1)/2),MAX(2*NERVADURA!$C$131-1,0))/2)*DATOS!$C$16+MOD(MIN(INT(($A63-1)/2),MAX(2*NERVADURA!$C$131-1,0)),2)*DATOS!$C$11)*CROQUIS!$C$14)</f>
        <v>90.9801174875734</v>
      </c>
      <c r="G63">
        <f>IF(NERVADURA!$C$131=0,CROQUIS!$C$16+CROQUIS!$C$11*CROQUIS!$C$14/2,CROQUIS!$C$16+IF(MOD(MIN(INT(($A63-1)/2),MAX(2*NERVADURA!$C$131-1,0)),2)=0,IF(IF(INT(($A63-1)/2)&gt;MAX(2*NERVADURA!$C$131-1,0),1,MOD($A63-1,2))=0,(DATOS!$C$17/2+NERVADURA!$C$134),(CROQUIS!$C$11-DATOS!$C$17/2-NERVADURA!$C$134)),IF(IF(INT(($A63-1)/2)&gt;MAX(2*NERVADURA!$C$131-1,0),1,MOD($A63-1,2))=0,(CROQUIS!$C$11-DATOS!$C$17/2-NERVADURA!$C$134),(DATOS!$C$17/2+NERVADURA!$C$134)))*CROQUIS!$C$14)</f>
        <v>21.504292815183</v>
      </c>
      <c r="H63">
        <f>IF(NERVADURA!$C$133=0,CROQUIS!$C$15+CROQUIS!$C$10*CROQUIS!$C$14/2,CROQUIS!$C$15+IF(MOD(MIN(INT(($A63-1)/2),MAX(2*NERVADURA!$C$133-1,0)),2)=0,IF(IF(INT(($A63-1)/2)&gt;MAX(2*NERVADURA!$C$133-1,0),1,MOD($A63-1,2))=0,(DATOS!$C$17/2+NERVADURA!$C$132),(CROQUIS!$C$10-DATOS!$C$17/2-NERVADURA!$C$132)),IF(IF(INT(($A63-1)/2)&gt;MAX(2*NERVADURA!$C$133-1,0),1,MOD($A63-1,2))=0,(CROQUIS!$C$10-DATOS!$C$17/2-NERVADURA!$C$132),(DATOS!$C$17/2+NERVADURA!$C$132)))*CROQUIS!$C$14)</f>
        <v>15.0198825124266</v>
      </c>
      <c r="I63">
        <f>IF(NERVADURA!$C$133=0,CROQUIS!$C$16+CROQUIS!$C$11*CROQUIS!$C$14/2,CROQUIS!$C$16+(DATOS!$C$17/2+NERVADURA!$C$134+INT(MIN(INT(($A63-1)/2),MAX(2*NERVADURA!$C$133-1,0))/2)*DATOS!$C$16+MOD(MIN(INT(($A63-1)/2),MAX(2*NERVADURA!$C$133-1,0)),2)*DATOS!$C$11)*CROQUIS!$C$14)</f>
        <v>84.495707184817</v>
      </c>
      <c r="DA63" t="n">
        <v>3.427</v>
      </c>
      <c r="DB63" t="n">
        <v>15.846</v>
      </c>
      <c r="DE63" t="n">
        <v>8.85</v>
      </c>
      <c r="DF63" t="n">
        <v>17.446</v>
      </c>
      <c r="DG63" t="n">
        <v>4.426</v>
      </c>
      <c r="DH63" t="n">
        <v>21.446</v>
      </c>
      <c r="DI63" t="n">
        <v>5.422</v>
      </c>
      <c r="DJ63" t="n">
        <v>15.846</v>
      </c>
      <c r="DM63" t="n">
        <v>2.85</v>
      </c>
      <c r="DN63" t="n">
        <v>17.372</v>
      </c>
      <c r="DO63" t="n">
        <v>7.85</v>
      </c>
      <c r="DP63" t="n">
        <v>9.949999999999999</v>
      </c>
    </row>
    <row r="64">
      <c r="A64" t="n">
        <v>57</v>
      </c>
      <c r="B64">
        <f>CHOOSE(MIN(MAX($A64,1),5),CROQUIS!$C$15,CROQUIS!$C$15+CROQUIS!$C$10*CROQUIS!$C$14,CROQUIS!$C$15+CROQUIS!$C$10*CROQUIS!$C$14,CROQUIS!$C$15,CROQUIS!$C$15)</f>
        <v>12</v>
      </c>
      <c r="C64">
        <f>CHOOSE(MIN(MAX($A64,1),5),CROQUIS!$C$16,CROQUIS!$C$16,CROQUIS!$C$16+CROQUIS!$C$11*CROQUIS!$C$14,CROQUIS!$C$16+CROQUIS!$C$11*CROQUIS!$C$14,CROQUIS!$C$16)</f>
        <v>15.9462268413918</v>
      </c>
      <c r="D64">
        <f>CHOOSE(MIN(MAX($A64,1),5),CROQUIS!$C$15+DATOS!$C$17/2*CROQUIS!$C$14,CROQUIS!$C$15+CROQUIS!$C$10*CROQUIS!$C$14-DATOS!$C$17/2*CROQUIS!$C$14,CROQUIS!$C$15+CROQUIS!$C$10*CROQUIS!$C$14-DATOS!$C$17/2*CROQUIS!$C$14,CROQUIS!$C$15+DATOS!$C$17/2*CROQUIS!$C$14,CROQUIS!$C$15+DATOS!$C$17/2*CROQUIS!$C$14)</f>
        <v>13.3895164934478</v>
      </c>
      <c r="E64">
        <f>CHOOSE(MIN(MAX($A64,1),5),CROQUIS!$C$16+DATOS!$C$17/2*CROQUIS!$C$14,CROQUIS!$C$16+DATOS!$C$17/2*CROQUIS!$C$14,CROQUIS!$C$16+CROQUIS!$C$11*CROQUIS!$C$14-DATOS!$C$17/2*CROQUIS!$C$14,CROQUIS!$C$16+CROQUIS!$C$11*CROQUIS!$C$14-DATOS!$C$17/2*CROQUIS!$C$14,CROQUIS!$C$16+DATOS!$C$17/2*CROQUIS!$C$14)</f>
        <v>17.3357433348396</v>
      </c>
      <c r="F64">
        <f>IF(NERVADURA!$C$131=0,CROQUIS!$C$15+CROQUIS!$C$10*CROQUIS!$C$14/2,CROQUIS!$C$15+(DATOS!$C$17/2+NERVADURA!$C$132+INT(MIN(INT(($A64-1)/2),MAX(2*NERVADURA!$C$131-1,0))/2)*DATOS!$C$16+MOD(MIN(INT(($A64-1)/2),MAX(2*NERVADURA!$C$131-1,0)),2)*DATOS!$C$11)*CROQUIS!$C$14)</f>
        <v>90.9801174875734</v>
      </c>
      <c r="G64">
        <f>IF(NERVADURA!$C$131=0,CROQUIS!$C$16+CROQUIS!$C$11*CROQUIS!$C$14/2,CROQUIS!$C$16+IF(MOD(MIN(INT(($A64-1)/2),MAX(2*NERVADURA!$C$131-1,0)),2)=0,IF(IF(INT(($A64-1)/2)&gt;MAX(2*NERVADURA!$C$131-1,0),1,MOD($A64-1,2))=0,(DATOS!$C$17/2+NERVADURA!$C$134),(CROQUIS!$C$11-DATOS!$C$17/2-NERVADURA!$C$134)),IF(IF(INT(($A64-1)/2)&gt;MAX(2*NERVADURA!$C$131-1,0),1,MOD($A64-1,2))=0,(CROQUIS!$C$11-DATOS!$C$17/2-NERVADURA!$C$134),(DATOS!$C$17/2+NERVADURA!$C$134)))*CROQUIS!$C$14)</f>
        <v>21.504292815183</v>
      </c>
      <c r="H64">
        <f>IF(NERVADURA!$C$133=0,CROQUIS!$C$15+CROQUIS!$C$10*CROQUIS!$C$14/2,CROQUIS!$C$15+IF(MOD(MIN(INT(($A64-1)/2),MAX(2*NERVADURA!$C$133-1,0)),2)=0,IF(IF(INT(($A64-1)/2)&gt;MAX(2*NERVADURA!$C$133-1,0),1,MOD($A64-1,2))=0,(DATOS!$C$17/2+NERVADURA!$C$132),(CROQUIS!$C$10-DATOS!$C$17/2-NERVADURA!$C$132)),IF(IF(INT(($A64-1)/2)&gt;MAX(2*NERVADURA!$C$133-1,0),1,MOD($A64-1,2))=0,(CROQUIS!$C$10-DATOS!$C$17/2-NERVADURA!$C$132),(DATOS!$C$17/2+NERVADURA!$C$132)))*CROQUIS!$C$14)</f>
        <v>15.0198825124266</v>
      </c>
      <c r="I64">
        <f>IF(NERVADURA!$C$133=0,CROQUIS!$C$16+CROQUIS!$C$11*CROQUIS!$C$14/2,CROQUIS!$C$16+(DATOS!$C$17/2+NERVADURA!$C$134+INT(MIN(INT(($A64-1)/2),MAX(2*NERVADURA!$C$133-1,0))/2)*DATOS!$C$16+MOD(MIN(INT(($A64-1)/2),MAX(2*NERVADURA!$C$133-1,0)),2)*DATOS!$C$11)*CROQUIS!$C$14)</f>
        <v>84.495707184817</v>
      </c>
      <c r="CW64" t="n">
        <v>8.85</v>
      </c>
      <c r="CX64" t="n">
        <v>15.447</v>
      </c>
      <c r="DE64" t="n">
        <v>8.85</v>
      </c>
      <c r="DF64" t="n">
        <v>19.446</v>
      </c>
      <c r="DG64" t="n">
        <v>0</v>
      </c>
      <c r="DH64" t="n">
        <v>21.446</v>
      </c>
      <c r="DO64" t="n">
        <v>7.925</v>
      </c>
      <c r="DP64" t="n">
        <v>21.446</v>
      </c>
    </row>
    <row r="65">
      <c r="A65" t="n">
        <v>58</v>
      </c>
      <c r="B65">
        <f>CHOOSE(MIN(MAX($A65,1),5),CROQUIS!$C$15,CROQUIS!$C$15+CROQUIS!$C$10*CROQUIS!$C$14,CROQUIS!$C$15+CROQUIS!$C$10*CROQUIS!$C$14,CROQUIS!$C$15,CROQUIS!$C$15)</f>
        <v>12</v>
      </c>
      <c r="C65">
        <f>CHOOSE(MIN(MAX($A65,1),5),CROQUIS!$C$16,CROQUIS!$C$16,CROQUIS!$C$16+CROQUIS!$C$11*CROQUIS!$C$14,CROQUIS!$C$16+CROQUIS!$C$11*CROQUIS!$C$14,CROQUIS!$C$16)</f>
        <v>15.9462268413918</v>
      </c>
      <c r="D65">
        <f>CHOOSE(MIN(MAX($A65,1),5),CROQUIS!$C$15+DATOS!$C$17/2*CROQUIS!$C$14,CROQUIS!$C$15+CROQUIS!$C$10*CROQUIS!$C$14-DATOS!$C$17/2*CROQUIS!$C$14,CROQUIS!$C$15+CROQUIS!$C$10*CROQUIS!$C$14-DATOS!$C$17/2*CROQUIS!$C$14,CROQUIS!$C$15+DATOS!$C$17/2*CROQUIS!$C$14,CROQUIS!$C$15+DATOS!$C$17/2*CROQUIS!$C$14)</f>
        <v>13.3895164934478</v>
      </c>
      <c r="E65">
        <f>CHOOSE(MIN(MAX($A65,1),5),CROQUIS!$C$16+DATOS!$C$17/2*CROQUIS!$C$14,CROQUIS!$C$16+DATOS!$C$17/2*CROQUIS!$C$14,CROQUIS!$C$16+CROQUIS!$C$11*CROQUIS!$C$14-DATOS!$C$17/2*CROQUIS!$C$14,CROQUIS!$C$16+CROQUIS!$C$11*CROQUIS!$C$14-DATOS!$C$17/2*CROQUIS!$C$14,CROQUIS!$C$16+DATOS!$C$17/2*CROQUIS!$C$14)</f>
        <v>17.3357433348396</v>
      </c>
      <c r="F65">
        <f>IF(NERVADURA!$C$131=0,CROQUIS!$C$15+CROQUIS!$C$10*CROQUIS!$C$14/2,CROQUIS!$C$15+(DATOS!$C$17/2+NERVADURA!$C$132+INT(MIN(INT(($A65-1)/2),MAX(2*NERVADURA!$C$131-1,0))/2)*DATOS!$C$16+MOD(MIN(INT(($A65-1)/2),MAX(2*NERVADURA!$C$131-1,0)),2)*DATOS!$C$11)*CROQUIS!$C$14)</f>
        <v>90.9801174875734</v>
      </c>
      <c r="G65">
        <f>IF(NERVADURA!$C$131=0,CROQUIS!$C$16+CROQUIS!$C$11*CROQUIS!$C$14/2,CROQUIS!$C$16+IF(MOD(MIN(INT(($A65-1)/2),MAX(2*NERVADURA!$C$131-1,0)),2)=0,IF(IF(INT(($A65-1)/2)&gt;MAX(2*NERVADURA!$C$131-1,0),1,MOD($A65-1,2))=0,(DATOS!$C$17/2+NERVADURA!$C$134),(CROQUIS!$C$11-DATOS!$C$17/2-NERVADURA!$C$134)),IF(IF(INT(($A65-1)/2)&gt;MAX(2*NERVADURA!$C$131-1,0),1,MOD($A65-1,2))=0,(CROQUIS!$C$11-DATOS!$C$17/2-NERVADURA!$C$134),(DATOS!$C$17/2+NERVADURA!$C$134)))*CROQUIS!$C$14)</f>
        <v>21.504292815183</v>
      </c>
      <c r="H65">
        <f>IF(NERVADURA!$C$133=0,CROQUIS!$C$15+CROQUIS!$C$10*CROQUIS!$C$14/2,CROQUIS!$C$15+IF(MOD(MIN(INT(($A65-1)/2),MAX(2*NERVADURA!$C$133-1,0)),2)=0,IF(IF(INT(($A65-1)/2)&gt;MAX(2*NERVADURA!$C$133-1,0),1,MOD($A65-1,2))=0,(DATOS!$C$17/2+NERVADURA!$C$132),(CROQUIS!$C$10-DATOS!$C$17/2-NERVADURA!$C$132)),IF(IF(INT(($A65-1)/2)&gt;MAX(2*NERVADURA!$C$133-1,0),1,MOD($A65-1,2))=0,(CROQUIS!$C$10-DATOS!$C$17/2-NERVADURA!$C$132),(DATOS!$C$17/2+NERVADURA!$C$132)))*CROQUIS!$C$14)</f>
        <v>15.0198825124266</v>
      </c>
      <c r="I65">
        <f>IF(NERVADURA!$C$133=0,CROQUIS!$C$16+CROQUIS!$C$11*CROQUIS!$C$14/2,CROQUIS!$C$16+(DATOS!$C$17/2+NERVADURA!$C$134+INT(MIN(INT(($A65-1)/2),MAX(2*NERVADURA!$C$133-1,0))/2)*DATOS!$C$16+MOD(MIN(INT(($A65-1)/2),MAX(2*NERVADURA!$C$133-1,0)),2)*DATOS!$C$11)*CROQUIS!$C$14)</f>
        <v>84.495707184817</v>
      </c>
      <c r="CW65" t="n">
        <v>5.422</v>
      </c>
      <c r="CX65" t="n">
        <v>15.447</v>
      </c>
      <c r="DA65" t="n">
        <v>4.327</v>
      </c>
      <c r="DB65" t="n">
        <v>1.919</v>
      </c>
      <c r="DE65" t="n">
        <v>8.85</v>
      </c>
      <c r="DF65" t="n">
        <v>21.446</v>
      </c>
      <c r="DG65" t="n">
        <v>0</v>
      </c>
      <c r="DH65" t="n">
        <v>17.446</v>
      </c>
      <c r="DI65" t="n">
        <v>5.822</v>
      </c>
      <c r="DJ65" t="n">
        <v>15.846</v>
      </c>
      <c r="DM65" t="n">
        <v>0.075</v>
      </c>
      <c r="DN65" t="n">
        <v>17.372</v>
      </c>
      <c r="DO65" t="n">
        <v>8.144</v>
      </c>
      <c r="DP65" t="n">
        <v>9.949999999999999</v>
      </c>
    </row>
    <row r="66">
      <c r="A66" t="n">
        <v>59</v>
      </c>
      <c r="B66">
        <f>CHOOSE(MIN(MAX($A66,1),5),CROQUIS!$C$15,CROQUIS!$C$15+CROQUIS!$C$10*CROQUIS!$C$14,CROQUIS!$C$15+CROQUIS!$C$10*CROQUIS!$C$14,CROQUIS!$C$15,CROQUIS!$C$15)</f>
        <v>12</v>
      </c>
      <c r="C66">
        <f>CHOOSE(MIN(MAX($A66,1),5),CROQUIS!$C$16,CROQUIS!$C$16,CROQUIS!$C$16+CROQUIS!$C$11*CROQUIS!$C$14,CROQUIS!$C$16+CROQUIS!$C$11*CROQUIS!$C$14,CROQUIS!$C$16)</f>
        <v>15.9462268413918</v>
      </c>
      <c r="D66">
        <f>CHOOSE(MIN(MAX($A66,1),5),CROQUIS!$C$15+DATOS!$C$17/2*CROQUIS!$C$14,CROQUIS!$C$15+CROQUIS!$C$10*CROQUIS!$C$14-DATOS!$C$17/2*CROQUIS!$C$14,CROQUIS!$C$15+CROQUIS!$C$10*CROQUIS!$C$14-DATOS!$C$17/2*CROQUIS!$C$14,CROQUIS!$C$15+DATOS!$C$17/2*CROQUIS!$C$14,CROQUIS!$C$15+DATOS!$C$17/2*CROQUIS!$C$14)</f>
        <v>13.3895164934478</v>
      </c>
      <c r="E66">
        <f>CHOOSE(MIN(MAX($A66,1),5),CROQUIS!$C$16+DATOS!$C$17/2*CROQUIS!$C$14,CROQUIS!$C$16+DATOS!$C$17/2*CROQUIS!$C$14,CROQUIS!$C$16+CROQUIS!$C$11*CROQUIS!$C$14-DATOS!$C$17/2*CROQUIS!$C$14,CROQUIS!$C$16+CROQUIS!$C$11*CROQUIS!$C$14-DATOS!$C$17/2*CROQUIS!$C$14,CROQUIS!$C$16+DATOS!$C$17/2*CROQUIS!$C$14)</f>
        <v>17.3357433348396</v>
      </c>
      <c r="F66">
        <f>IF(NERVADURA!$C$131=0,CROQUIS!$C$15+CROQUIS!$C$10*CROQUIS!$C$14/2,CROQUIS!$C$15+(DATOS!$C$17/2+NERVADURA!$C$132+INT(MIN(INT(($A66-1)/2),MAX(2*NERVADURA!$C$131-1,0))/2)*DATOS!$C$16+MOD(MIN(INT(($A66-1)/2),MAX(2*NERVADURA!$C$131-1,0)),2)*DATOS!$C$11)*CROQUIS!$C$14)</f>
        <v>90.9801174875734</v>
      </c>
      <c r="G66">
        <f>IF(NERVADURA!$C$131=0,CROQUIS!$C$16+CROQUIS!$C$11*CROQUIS!$C$14/2,CROQUIS!$C$16+IF(MOD(MIN(INT(($A66-1)/2),MAX(2*NERVADURA!$C$131-1,0)),2)=0,IF(IF(INT(($A66-1)/2)&gt;MAX(2*NERVADURA!$C$131-1,0),1,MOD($A66-1,2))=0,(DATOS!$C$17/2+NERVADURA!$C$134),(CROQUIS!$C$11-DATOS!$C$17/2-NERVADURA!$C$134)),IF(IF(INT(($A66-1)/2)&gt;MAX(2*NERVADURA!$C$131-1,0),1,MOD($A66-1,2))=0,(CROQUIS!$C$11-DATOS!$C$17/2-NERVADURA!$C$134),(DATOS!$C$17/2+NERVADURA!$C$134)))*CROQUIS!$C$14)</f>
        <v>21.504292815183</v>
      </c>
      <c r="H66">
        <f>IF(NERVADURA!$C$133=0,CROQUIS!$C$15+CROQUIS!$C$10*CROQUIS!$C$14/2,CROQUIS!$C$15+IF(MOD(MIN(INT(($A66-1)/2),MAX(2*NERVADURA!$C$133-1,0)),2)=0,IF(IF(INT(($A66-1)/2)&gt;MAX(2*NERVADURA!$C$133-1,0),1,MOD($A66-1,2))=0,(DATOS!$C$17/2+NERVADURA!$C$132),(CROQUIS!$C$10-DATOS!$C$17/2-NERVADURA!$C$132)),IF(IF(INT(($A66-1)/2)&gt;MAX(2*NERVADURA!$C$133-1,0),1,MOD($A66-1,2))=0,(CROQUIS!$C$10-DATOS!$C$17/2-NERVADURA!$C$132),(DATOS!$C$17/2+NERVADURA!$C$132)))*CROQUIS!$C$14)</f>
        <v>15.0198825124266</v>
      </c>
      <c r="I66">
        <f>IF(NERVADURA!$C$133=0,CROQUIS!$C$16+CROQUIS!$C$11*CROQUIS!$C$14/2,CROQUIS!$C$16+(DATOS!$C$17/2+NERVADURA!$C$134+INT(MIN(INT(($A66-1)/2),MAX(2*NERVADURA!$C$133-1,0))/2)*DATOS!$C$16+MOD(MIN(INT(($A66-1)/2),MAX(2*NERVADURA!$C$133-1,0)),2)*DATOS!$C$11)*CROQUIS!$C$14)</f>
        <v>84.495707184817</v>
      </c>
      <c r="CW66" t="n">
        <v>5.422</v>
      </c>
      <c r="CX66" t="n">
        <v>9.949999999999999</v>
      </c>
      <c r="DA66" t="n">
        <v>4.327</v>
      </c>
      <c r="DB66" t="n">
        <v>2.921</v>
      </c>
      <c r="DE66" t="n">
        <v>8.85</v>
      </c>
      <c r="DF66" t="n">
        <v>24.371</v>
      </c>
      <c r="DG66" t="n">
        <v>4.426</v>
      </c>
      <c r="DH66" t="n">
        <v>17.446</v>
      </c>
      <c r="DI66" t="n">
        <v>5.822</v>
      </c>
      <c r="DJ66" t="n">
        <v>17.446</v>
      </c>
      <c r="DM66" t="n">
        <v>2.85</v>
      </c>
      <c r="DN66" t="n">
        <v>17.072</v>
      </c>
      <c r="DO66" t="n">
        <v>8.5</v>
      </c>
      <c r="DP66" t="n">
        <v>6.948</v>
      </c>
    </row>
    <row r="67">
      <c r="A67" t="n">
        <v>60</v>
      </c>
      <c r="B67">
        <f>CHOOSE(MIN(MAX($A67,1),5),CROQUIS!$C$15,CROQUIS!$C$15+CROQUIS!$C$10*CROQUIS!$C$14,CROQUIS!$C$15+CROQUIS!$C$10*CROQUIS!$C$14,CROQUIS!$C$15,CROQUIS!$C$15)</f>
        <v>12</v>
      </c>
      <c r="C67">
        <f>CHOOSE(MIN(MAX($A67,1),5),CROQUIS!$C$16,CROQUIS!$C$16,CROQUIS!$C$16+CROQUIS!$C$11*CROQUIS!$C$14,CROQUIS!$C$16+CROQUIS!$C$11*CROQUIS!$C$14,CROQUIS!$C$16)</f>
        <v>15.9462268413918</v>
      </c>
      <c r="D67">
        <f>CHOOSE(MIN(MAX($A67,1),5),CROQUIS!$C$15+DATOS!$C$17/2*CROQUIS!$C$14,CROQUIS!$C$15+CROQUIS!$C$10*CROQUIS!$C$14-DATOS!$C$17/2*CROQUIS!$C$14,CROQUIS!$C$15+CROQUIS!$C$10*CROQUIS!$C$14-DATOS!$C$17/2*CROQUIS!$C$14,CROQUIS!$C$15+DATOS!$C$17/2*CROQUIS!$C$14,CROQUIS!$C$15+DATOS!$C$17/2*CROQUIS!$C$14)</f>
        <v>13.3895164934478</v>
      </c>
      <c r="E67">
        <f>CHOOSE(MIN(MAX($A67,1),5),CROQUIS!$C$16+DATOS!$C$17/2*CROQUIS!$C$14,CROQUIS!$C$16+DATOS!$C$17/2*CROQUIS!$C$14,CROQUIS!$C$16+CROQUIS!$C$11*CROQUIS!$C$14-DATOS!$C$17/2*CROQUIS!$C$14,CROQUIS!$C$16+CROQUIS!$C$11*CROQUIS!$C$14-DATOS!$C$17/2*CROQUIS!$C$14,CROQUIS!$C$16+DATOS!$C$17/2*CROQUIS!$C$14)</f>
        <v>17.3357433348396</v>
      </c>
      <c r="F67">
        <f>IF(NERVADURA!$C$131=0,CROQUIS!$C$15+CROQUIS!$C$10*CROQUIS!$C$14/2,CROQUIS!$C$15+(DATOS!$C$17/2+NERVADURA!$C$132+INT(MIN(INT(($A67-1)/2),MAX(2*NERVADURA!$C$131-1,0))/2)*DATOS!$C$16+MOD(MIN(INT(($A67-1)/2),MAX(2*NERVADURA!$C$131-1,0)),2)*DATOS!$C$11)*CROQUIS!$C$14)</f>
        <v>90.9801174875734</v>
      </c>
      <c r="G67">
        <f>IF(NERVADURA!$C$131=0,CROQUIS!$C$16+CROQUIS!$C$11*CROQUIS!$C$14/2,CROQUIS!$C$16+IF(MOD(MIN(INT(($A67-1)/2),MAX(2*NERVADURA!$C$131-1,0)),2)=0,IF(IF(INT(($A67-1)/2)&gt;MAX(2*NERVADURA!$C$131-1,0),1,MOD($A67-1,2))=0,(DATOS!$C$17/2+NERVADURA!$C$134),(CROQUIS!$C$11-DATOS!$C$17/2-NERVADURA!$C$134)),IF(IF(INT(($A67-1)/2)&gt;MAX(2*NERVADURA!$C$131-1,0),1,MOD($A67-1,2))=0,(CROQUIS!$C$11-DATOS!$C$17/2-NERVADURA!$C$134),(DATOS!$C$17/2+NERVADURA!$C$134)))*CROQUIS!$C$14)</f>
        <v>21.504292815183</v>
      </c>
      <c r="H67">
        <f>IF(NERVADURA!$C$133=0,CROQUIS!$C$15+CROQUIS!$C$10*CROQUIS!$C$14/2,CROQUIS!$C$15+IF(MOD(MIN(INT(($A67-1)/2),MAX(2*NERVADURA!$C$133-1,0)),2)=0,IF(IF(INT(($A67-1)/2)&gt;MAX(2*NERVADURA!$C$133-1,0),1,MOD($A67-1,2))=0,(DATOS!$C$17/2+NERVADURA!$C$132),(CROQUIS!$C$10-DATOS!$C$17/2-NERVADURA!$C$132)),IF(IF(INT(($A67-1)/2)&gt;MAX(2*NERVADURA!$C$133-1,0),1,MOD($A67-1,2))=0,(CROQUIS!$C$10-DATOS!$C$17/2-NERVADURA!$C$132),(DATOS!$C$17/2+NERVADURA!$C$132)))*CROQUIS!$C$14)</f>
        <v>15.0198825124266</v>
      </c>
      <c r="I67">
        <f>IF(NERVADURA!$C$133=0,CROQUIS!$C$16+CROQUIS!$C$11*CROQUIS!$C$14/2,CROQUIS!$C$16+(DATOS!$C$17/2+NERVADURA!$C$134+INT(MIN(INT(($A67-1)/2),MAX(2*NERVADURA!$C$133-1,0))/2)*DATOS!$C$16+MOD(MIN(INT(($A67-1)/2),MAX(2*NERVADURA!$C$133-1,0)),2)*DATOS!$C$11)*CROQUIS!$C$14)</f>
        <v>84.495707184817</v>
      </c>
      <c r="CW67" t="n">
        <v>8.85</v>
      </c>
      <c r="CX67" t="n">
        <v>9.949999999999999</v>
      </c>
      <c r="DO67" t="n">
        <v>8.85</v>
      </c>
      <c r="DP67" t="n">
        <v>6.948</v>
      </c>
    </row>
    <row r="68">
      <c r="A68" t="n">
        <v>61</v>
      </c>
      <c r="CW68" t="n">
        <v>8.85</v>
      </c>
      <c r="CX68" t="n">
        <v>15.447</v>
      </c>
      <c r="DA68" t="n">
        <v>4.327</v>
      </c>
      <c r="DB68" t="n">
        <v>2.921</v>
      </c>
      <c r="DG68" t="n">
        <v>4.426</v>
      </c>
      <c r="DH68" t="n">
        <v>17.446</v>
      </c>
      <c r="DI68" t="n">
        <v>5.923</v>
      </c>
      <c r="DJ68" t="n">
        <v>2.921</v>
      </c>
      <c r="DO68" t="n">
        <v>8.85</v>
      </c>
      <c r="DP68" t="n">
        <v>8.449</v>
      </c>
    </row>
    <row r="69">
      <c r="A69" t="n">
        <v>62</v>
      </c>
      <c r="DA69" t="n">
        <v>4.327</v>
      </c>
      <c r="DB69" t="n">
        <v>5.946</v>
      </c>
      <c r="DG69" t="n">
        <v>8.85</v>
      </c>
      <c r="DH69" t="n">
        <v>17.446</v>
      </c>
      <c r="DI69" t="n">
        <v>5.923</v>
      </c>
      <c r="DJ69" t="n">
        <v>6.948</v>
      </c>
      <c r="DO69" t="n">
        <v>8.85</v>
      </c>
      <c r="DP69" t="n">
        <v>9.949999999999999</v>
      </c>
    </row>
    <row r="70">
      <c r="A70" t="n">
        <v>63</v>
      </c>
      <c r="CW70" t="n">
        <v>3.427</v>
      </c>
      <c r="CX70" t="n">
        <v>14.021</v>
      </c>
      <c r="DG70" t="n">
        <v>8.85</v>
      </c>
      <c r="DH70" t="n">
        <v>21.446</v>
      </c>
      <c r="DO70" t="n">
        <v>8.85</v>
      </c>
      <c r="DP70" t="n">
        <v>12.1</v>
      </c>
    </row>
    <row r="71">
      <c r="A71" t="n">
        <v>64</v>
      </c>
      <c r="CW71" t="n">
        <v>3.427</v>
      </c>
      <c r="CX71" t="n">
        <v>15.846</v>
      </c>
      <c r="DA71" t="n">
        <v>4.327</v>
      </c>
      <c r="DB71" t="n">
        <v>5.946</v>
      </c>
      <c r="DG71" t="n">
        <v>4.426</v>
      </c>
      <c r="DH71" t="n">
        <v>21.446</v>
      </c>
      <c r="DI71" t="n">
        <v>8.85</v>
      </c>
      <c r="DJ71" t="n">
        <v>6.948</v>
      </c>
      <c r="DO71" t="n">
        <v>8.85</v>
      </c>
      <c r="DP71" t="n">
        <v>13.779</v>
      </c>
    </row>
    <row r="72">
      <c r="A72" t="n">
        <v>65</v>
      </c>
      <c r="CW72" t="n">
        <v>0</v>
      </c>
      <c r="CX72" t="n">
        <v>15.846</v>
      </c>
      <c r="DA72" t="n">
        <v>4.327</v>
      </c>
      <c r="DB72" t="n">
        <v>7.871</v>
      </c>
      <c r="DG72" t="n">
        <v>4.426</v>
      </c>
      <c r="DH72" t="n">
        <v>17.446</v>
      </c>
      <c r="DI72" t="n">
        <v>8.85</v>
      </c>
      <c r="DJ72" t="n">
        <v>21.446</v>
      </c>
      <c r="DO72" t="n">
        <v>8.85</v>
      </c>
      <c r="DP72" t="n">
        <v>14.247</v>
      </c>
    </row>
    <row r="73">
      <c r="A73" t="n">
        <v>66</v>
      </c>
      <c r="CW73" t="n">
        <v>0</v>
      </c>
      <c r="CX73" t="n">
        <v>14.021</v>
      </c>
      <c r="DO73" t="n">
        <v>8.85</v>
      </c>
      <c r="DP73" t="n">
        <v>15.447</v>
      </c>
    </row>
    <row r="74">
      <c r="A74" t="n">
        <v>67</v>
      </c>
      <c r="CW74" t="n">
        <v>3.427</v>
      </c>
      <c r="CX74" t="n">
        <v>14.021</v>
      </c>
      <c r="DA74" t="n">
        <v>4.327</v>
      </c>
      <c r="DB74" t="n">
        <v>7.871</v>
      </c>
      <c r="DG74" t="n">
        <v>4.327</v>
      </c>
      <c r="DH74" t="n">
        <v>14.021</v>
      </c>
      <c r="DO74" t="n">
        <v>8.85</v>
      </c>
      <c r="DP74" t="n">
        <v>17.446</v>
      </c>
    </row>
    <row r="75">
      <c r="A75" t="n">
        <v>68</v>
      </c>
      <c r="DA75" t="n">
        <v>4.327</v>
      </c>
      <c r="DB75" t="n">
        <v>14.021</v>
      </c>
      <c r="DG75" t="n">
        <v>4.327</v>
      </c>
      <c r="DH75" t="n">
        <v>5.946</v>
      </c>
      <c r="DO75" t="n">
        <v>8.85</v>
      </c>
      <c r="DP75" t="n">
        <v>19.446</v>
      </c>
    </row>
    <row r="76">
      <c r="A76" t="n">
        <v>69</v>
      </c>
      <c r="CW76" t="n">
        <v>8.85</v>
      </c>
      <c r="CX76" t="n">
        <v>15.846</v>
      </c>
      <c r="DG76" t="n">
        <v>5.923</v>
      </c>
      <c r="DH76" t="n">
        <v>5.946</v>
      </c>
      <c r="DO76" t="n">
        <v>8.85</v>
      </c>
      <c r="DP76" t="n">
        <v>21.446</v>
      </c>
    </row>
    <row r="77">
      <c r="A77" t="n">
        <v>70</v>
      </c>
      <c r="CW77" t="n">
        <v>5.422</v>
      </c>
      <c r="CX77" t="n">
        <v>15.846</v>
      </c>
      <c r="DA77" t="n">
        <v>4.426</v>
      </c>
      <c r="DB77" t="n">
        <v>17.446</v>
      </c>
      <c r="DG77" t="n">
        <v>5.923</v>
      </c>
      <c r="DH77" t="n">
        <v>9.949999999999999</v>
      </c>
    </row>
    <row r="78">
      <c r="A78" t="n">
        <v>71</v>
      </c>
      <c r="CW78" t="n">
        <v>5.422</v>
      </c>
      <c r="CX78" t="n">
        <v>15.447</v>
      </c>
      <c r="DA78" t="n">
        <v>4.426</v>
      </c>
      <c r="DB78" t="n">
        <v>21.446</v>
      </c>
      <c r="DG78" t="n">
        <v>5.422</v>
      </c>
      <c r="DH78" t="n">
        <v>9.949999999999999</v>
      </c>
    </row>
    <row r="79">
      <c r="A79" t="n">
        <v>72</v>
      </c>
      <c r="CW79" t="n">
        <v>8.85</v>
      </c>
      <c r="CX79" t="n">
        <v>15.447</v>
      </c>
      <c r="DG79" t="n">
        <v>5.422</v>
      </c>
      <c r="DH79" t="n">
        <v>15.846</v>
      </c>
    </row>
    <row r="80">
      <c r="A80" t="n">
        <v>73</v>
      </c>
      <c r="CW80" t="n">
        <v>8.85</v>
      </c>
      <c r="CX80" t="n">
        <v>15.846</v>
      </c>
      <c r="DA80" t="n">
        <v>5.441</v>
      </c>
      <c r="DB80" t="n">
        <v>6.948</v>
      </c>
      <c r="DG80" t="n">
        <v>5.822</v>
      </c>
      <c r="DH80" t="n">
        <v>15.846</v>
      </c>
    </row>
    <row r="81">
      <c r="A81" t="n">
        <v>74</v>
      </c>
      <c r="DA81" t="n">
        <v>5.441</v>
      </c>
      <c r="DB81" t="n">
        <v>8.91</v>
      </c>
      <c r="DG81" t="n">
        <v>5.822</v>
      </c>
      <c r="DH81" t="n">
        <v>17.446</v>
      </c>
    </row>
    <row r="82">
      <c r="A82" t="n">
        <v>75</v>
      </c>
      <c r="CW82" t="n">
        <v>0</v>
      </c>
      <c r="CX82" t="n">
        <v>14.021</v>
      </c>
      <c r="DG82" t="n">
        <v>3.029</v>
      </c>
      <c r="DH82" t="n">
        <v>17.446</v>
      </c>
    </row>
    <row r="83">
      <c r="A83" t="n">
        <v>76</v>
      </c>
      <c r="CW83" t="n">
        <v>0</v>
      </c>
      <c r="CX83" t="n">
        <v>17.446</v>
      </c>
      <c r="DA83" t="n">
        <v>5.441</v>
      </c>
      <c r="DB83" t="n">
        <v>9.949999999999999</v>
      </c>
      <c r="DG83" t="n">
        <v>3.029</v>
      </c>
      <c r="DH83" t="n">
        <v>15.846</v>
      </c>
    </row>
    <row r="84">
      <c r="A84" t="n">
        <v>77</v>
      </c>
      <c r="CW84" t="n">
        <v>-2</v>
      </c>
      <c r="CX84" t="n">
        <v>17.446</v>
      </c>
      <c r="DA84" t="n">
        <v>5.441</v>
      </c>
      <c r="DB84" t="n">
        <v>15.447</v>
      </c>
      <c r="DG84" t="n">
        <v>3.427</v>
      </c>
      <c r="DH84" t="n">
        <v>15.846</v>
      </c>
    </row>
    <row r="85">
      <c r="A85" t="n">
        <v>78</v>
      </c>
      <c r="CW85" t="n">
        <v>-2</v>
      </c>
      <c r="CX85" t="n">
        <v>14.021</v>
      </c>
      <c r="DG85" t="n">
        <v>3.427</v>
      </c>
      <c r="DH85" t="n">
        <v>14.021</v>
      </c>
    </row>
    <row r="86">
      <c r="A86" t="n">
        <v>79</v>
      </c>
      <c r="CW86" t="n">
        <v>0</v>
      </c>
      <c r="CX86" t="n">
        <v>14.021</v>
      </c>
      <c r="DA86" t="n">
        <v>5.441</v>
      </c>
      <c r="DB86" t="n">
        <v>15.447</v>
      </c>
      <c r="DG86" t="n">
        <v>4.327</v>
      </c>
      <c r="DH86" t="n">
        <v>14.021</v>
      </c>
    </row>
    <row r="87">
      <c r="A87" t="n">
        <v>80</v>
      </c>
      <c r="DA87" t="n">
        <v>5.441</v>
      </c>
      <c r="DB87" t="n">
        <v>15.846</v>
      </c>
    </row>
    <row r="88">
      <c r="A88" t="n">
        <v>81</v>
      </c>
      <c r="CW88" t="n">
        <v>5.422</v>
      </c>
      <c r="CX88" t="n">
        <v>15.447</v>
      </c>
    </row>
    <row r="89">
      <c r="A89" t="n">
        <v>82</v>
      </c>
      <c r="CW89" t="n">
        <v>5.422</v>
      </c>
      <c r="CX89" t="n">
        <v>15.846</v>
      </c>
      <c r="DA89" t="n">
        <v>5.822</v>
      </c>
      <c r="DB89" t="n">
        <v>15.846</v>
      </c>
    </row>
    <row r="90">
      <c r="A90" t="n">
        <v>83</v>
      </c>
      <c r="CW90" t="n">
        <v>5.822</v>
      </c>
      <c r="CX90" t="n">
        <v>15.846</v>
      </c>
      <c r="DA90" t="n">
        <v>5.822</v>
      </c>
      <c r="DB90" t="n">
        <v>17.446</v>
      </c>
    </row>
    <row r="91">
      <c r="A91" t="n">
        <v>84</v>
      </c>
      <c r="CW91" t="n">
        <v>5.822</v>
      </c>
      <c r="CX91" t="n">
        <v>17.446</v>
      </c>
    </row>
    <row r="92">
      <c r="A92" t="n">
        <v>85</v>
      </c>
      <c r="CW92" t="n">
        <v>4.925</v>
      </c>
      <c r="CX92" t="n">
        <v>17.446</v>
      </c>
      <c r="DA92" t="n">
        <v>5.923</v>
      </c>
      <c r="DB92" t="n">
        <v>2.921</v>
      </c>
    </row>
    <row r="93">
      <c r="A93" t="n">
        <v>86</v>
      </c>
      <c r="CW93" t="n">
        <v>4.925</v>
      </c>
      <c r="CX93" t="n">
        <v>15.447</v>
      </c>
      <c r="DA93" t="n">
        <v>5.923</v>
      </c>
      <c r="DB93" t="n">
        <v>5.946</v>
      </c>
    </row>
    <row r="94">
      <c r="A94" t="n">
        <v>87</v>
      </c>
      <c r="CW94" t="n">
        <v>5.422</v>
      </c>
      <c r="CX94" t="n">
        <v>15.447</v>
      </c>
    </row>
    <row r="95">
      <c r="A95" t="n">
        <v>88</v>
      </c>
      <c r="DA95" t="n">
        <v>7.35</v>
      </c>
      <c r="DB95" t="n">
        <v>8.91</v>
      </c>
    </row>
    <row r="96">
      <c r="A96" t="n">
        <v>89</v>
      </c>
      <c r="CW96" t="n">
        <v>3.029</v>
      </c>
      <c r="CX96" t="n">
        <v>15.846</v>
      </c>
      <c r="DA96" t="n">
        <v>7.35</v>
      </c>
      <c r="DB96" t="n">
        <v>9.949999999999999</v>
      </c>
    </row>
    <row r="97">
      <c r="A97" t="n">
        <v>90</v>
      </c>
      <c r="CW97" t="n">
        <v>3.029</v>
      </c>
      <c r="CX97" t="n">
        <v>17.446</v>
      </c>
    </row>
    <row r="98">
      <c r="A98" t="n">
        <v>91</v>
      </c>
      <c r="CW98" t="n">
        <v>0</v>
      </c>
      <c r="CX98" t="n">
        <v>17.446</v>
      </c>
    </row>
    <row r="99">
      <c r="A99" t="n">
        <v>92</v>
      </c>
      <c r="CW99" t="n">
        <v>0</v>
      </c>
      <c r="CX99" t="n">
        <v>15.846</v>
      </c>
    </row>
    <row r="100">
      <c r="A100" t="n">
        <v>93</v>
      </c>
      <c r="CW100" t="n">
        <v>3.029</v>
      </c>
      <c r="CX100" t="n">
        <v>15.846</v>
      </c>
    </row>
    <row r="101">
      <c r="A101" t="n">
        <v>94</v>
      </c>
    </row>
    <row r="102">
      <c r="A102" t="n">
        <v>95</v>
      </c>
      <c r="CW102" t="n">
        <v>8.85</v>
      </c>
      <c r="CX102" t="n">
        <v>17.446</v>
      </c>
    </row>
    <row r="103">
      <c r="A103" t="n">
        <v>96</v>
      </c>
      <c r="CW103" t="n">
        <v>5.822</v>
      </c>
      <c r="CX103" t="n">
        <v>17.446</v>
      </c>
    </row>
    <row r="104">
      <c r="A104" t="n">
        <v>97</v>
      </c>
      <c r="CW104" t="n">
        <v>5.822</v>
      </c>
      <c r="CX104" t="n">
        <v>15.846</v>
      </c>
    </row>
    <row r="105">
      <c r="A105" t="n">
        <v>98</v>
      </c>
      <c r="CW105" t="n">
        <v>8.85</v>
      </c>
      <c r="CX105" t="n">
        <v>15.846</v>
      </c>
    </row>
    <row r="106">
      <c r="A106" t="n">
        <v>99</v>
      </c>
      <c r="CW106" t="n">
        <v>8.85</v>
      </c>
      <c r="CX106" t="n">
        <v>17.446</v>
      </c>
    </row>
    <row r="107">
      <c r="A107" t="n">
        <v>100</v>
      </c>
    </row>
    <row r="108">
      <c r="A108" t="n">
        <v>101</v>
      </c>
      <c r="CW108" t="n">
        <v>0</v>
      </c>
      <c r="CX108" t="n">
        <v>17.446</v>
      </c>
    </row>
    <row r="109">
      <c r="A109" t="n">
        <v>102</v>
      </c>
      <c r="CW109" t="n">
        <v>4.426</v>
      </c>
      <c r="CX109" t="n">
        <v>17.446</v>
      </c>
    </row>
    <row r="110">
      <c r="A110" t="n">
        <v>103</v>
      </c>
      <c r="CW110" t="n">
        <v>4.426</v>
      </c>
      <c r="CX110" t="n">
        <v>21.446</v>
      </c>
    </row>
    <row r="111">
      <c r="A111" t="n">
        <v>104</v>
      </c>
      <c r="CW111" t="n">
        <v>0</v>
      </c>
      <c r="CX111" t="n">
        <v>21.446</v>
      </c>
    </row>
    <row r="112">
      <c r="A112" t="n">
        <v>105</v>
      </c>
      <c r="CW112" t="n">
        <v>0</v>
      </c>
      <c r="CX112" t="n">
        <v>17.446</v>
      </c>
    </row>
    <row r="113">
      <c r="A113" t="n">
        <v>106</v>
      </c>
    </row>
    <row r="114">
      <c r="A114" t="n">
        <v>107</v>
      </c>
      <c r="CW114" t="n">
        <v>4.925</v>
      </c>
      <c r="CX114" t="n">
        <v>17.446</v>
      </c>
    </row>
    <row r="115">
      <c r="A115" t="n">
        <v>108</v>
      </c>
      <c r="CW115" t="n">
        <v>4.925</v>
      </c>
      <c r="CX115" t="n">
        <v>21.446</v>
      </c>
    </row>
    <row r="116">
      <c r="A116" t="n">
        <v>109</v>
      </c>
      <c r="CW116" t="n">
        <v>4.426</v>
      </c>
      <c r="CX116" t="n">
        <v>21.446</v>
      </c>
    </row>
    <row r="117">
      <c r="A117" t="n">
        <v>110</v>
      </c>
      <c r="CW117" t="n">
        <v>4.426</v>
      </c>
      <c r="CX117" t="n">
        <v>17.446</v>
      </c>
    </row>
    <row r="118">
      <c r="A118" t="n">
        <v>111</v>
      </c>
      <c r="CW118" t="n">
        <v>4.925</v>
      </c>
      <c r="CX118" t="n">
        <v>17.446</v>
      </c>
    </row>
    <row r="119">
      <c r="A119" t="n">
        <v>112</v>
      </c>
    </row>
    <row r="120">
      <c r="A120" t="n">
        <v>113</v>
      </c>
      <c r="CW120" t="n">
        <v>8.85</v>
      </c>
      <c r="CX120" t="n">
        <v>21.446</v>
      </c>
    </row>
    <row r="121">
      <c r="A121" t="n">
        <v>114</v>
      </c>
      <c r="CW121" t="n">
        <v>4.925</v>
      </c>
      <c r="CX121" t="n">
        <v>21.446</v>
      </c>
    </row>
    <row r="122">
      <c r="A122" t="n">
        <v>115</v>
      </c>
      <c r="CW122" t="n">
        <v>4.925</v>
      </c>
      <c r="CX122" t="n">
        <v>17.446</v>
      </c>
    </row>
    <row r="123">
      <c r="A123" t="n">
        <v>116</v>
      </c>
      <c r="CW123" t="n">
        <v>8.85</v>
      </c>
      <c r="CX123" t="n">
        <v>17.446</v>
      </c>
    </row>
    <row r="124">
      <c r="A124" t="n">
        <v>117</v>
      </c>
      <c r="CW124" t="n">
        <v>8.85</v>
      </c>
      <c r="CX124" t="n">
        <v>21.446</v>
      </c>
    </row>
    <row r="125">
      <c r="A125" t="n">
        <v>118</v>
      </c>
    </row>
    <row r="126">
      <c r="A126" t="n">
        <v>119</v>
      </c>
      <c r="CW126" t="n">
        <v>0</v>
      </c>
      <c r="CX126" t="n">
        <v>23.446</v>
      </c>
    </row>
    <row r="127">
      <c r="A127" t="n">
        <v>120</v>
      </c>
      <c r="CW127" t="n">
        <v>0</v>
      </c>
      <c r="CX127" t="n">
        <v>21.446</v>
      </c>
    </row>
    <row r="128">
      <c r="A128" t="n">
        <v>121</v>
      </c>
      <c r="CW128" t="n">
        <v>7.25</v>
      </c>
      <c r="CX128" t="n">
        <v>21.446</v>
      </c>
    </row>
    <row r="129">
      <c r="A129" t="n">
        <v>122</v>
      </c>
      <c r="CW129" t="n">
        <v>7.25</v>
      </c>
      <c r="CX129" t="n">
        <v>23.446</v>
      </c>
    </row>
    <row r="130">
      <c r="A130" t="n">
        <v>123</v>
      </c>
      <c r="CW130" t="n">
        <v>0</v>
      </c>
      <c r="CX130" t="n">
        <v>23.446</v>
      </c>
    </row>
    <row r="131">
      <c r="A131" t="n">
        <v>124</v>
      </c>
    </row>
    <row r="132">
      <c r="A132" t="n">
        <v>125</v>
      </c>
      <c r="CW132" t="n">
        <v>7.25</v>
      </c>
      <c r="CX132" t="n">
        <v>24.371</v>
      </c>
    </row>
    <row r="133">
      <c r="A133" t="n">
        <v>126</v>
      </c>
      <c r="CW133" t="n">
        <v>7.25</v>
      </c>
      <c r="CX133" t="n">
        <v>21.446</v>
      </c>
    </row>
    <row r="134">
      <c r="A134" t="n">
        <v>127</v>
      </c>
      <c r="CW134" t="n">
        <v>8.85</v>
      </c>
      <c r="CX134" t="n">
        <v>21.446</v>
      </c>
    </row>
    <row r="135">
      <c r="A135" t="n">
        <v>128</v>
      </c>
      <c r="CW135" t="n">
        <v>8.85</v>
      </c>
      <c r="CX135" t="n">
        <v>24.371</v>
      </c>
    </row>
    <row r="136">
      <c r="A136" t="n">
        <v>129</v>
      </c>
      <c r="CW136" t="n">
        <v>7.25</v>
      </c>
      <c r="CX136" t="n">
        <v>24.371</v>
      </c>
    </row>
    <row r="137">
      <c r="A137" t="n">
        <v>130</v>
      </c>
    </row>
    <row r="138">
      <c r="A138" t="n">
        <v>131</v>
      </c>
      <c r="CW138" t="n">
        <v>0</v>
      </c>
      <c r="CX138" t="n">
        <v>21.446</v>
      </c>
    </row>
    <row r="139">
      <c r="A139" t="n">
        <v>132</v>
      </c>
      <c r="CW139" t="n">
        <v>0</v>
      </c>
      <c r="CX139" t="n">
        <v>24.371</v>
      </c>
    </row>
    <row r="140">
      <c r="A140" t="n">
        <v>133</v>
      </c>
      <c r="CW140" t="n">
        <v>-1.6</v>
      </c>
      <c r="CX140" t="n">
        <v>24.371</v>
      </c>
    </row>
    <row r="141">
      <c r="A141" t="n">
        <v>134</v>
      </c>
      <c r="CW141" t="n">
        <v>-1.6</v>
      </c>
      <c r="CX141" t="n">
        <v>21.446</v>
      </c>
    </row>
    <row r="142">
      <c r="A142" t="n">
        <v>135</v>
      </c>
      <c r="CW142" t="n">
        <v>0</v>
      </c>
      <c r="CX142" t="n">
        <v>21.446</v>
      </c>
    </row>
    <row r="143">
      <c r="A143" t="n">
        <v>136</v>
      </c>
    </row>
    <row r="144">
      <c r="A144" t="n">
        <v>137</v>
      </c>
    </row>
    <row r="145">
      <c r="A145" t="n">
        <v>138</v>
      </c>
    </row>
    <row r="146">
      <c r="A146" t="n">
        <v>139</v>
      </c>
    </row>
    <row r="147">
      <c r="A147" t="n">
        <v>140</v>
      </c>
    </row>
    <row r="148">
      <c r="A148" t="n">
        <v>141</v>
      </c>
    </row>
    <row r="149">
      <c r="A149" t="n">
        <v>142</v>
      </c>
    </row>
    <row r="150">
      <c r="A150" t="n">
        <v>143</v>
      </c>
    </row>
    <row r="151">
      <c r="A151" t="n">
        <v>144</v>
      </c>
    </row>
    <row r="152">
      <c r="A152" t="n">
        <v>145</v>
      </c>
    </row>
    <row r="153">
      <c r="A153" t="n">
        <v>146</v>
      </c>
    </row>
    <row r="154">
      <c r="A154" t="n">
        <v>147</v>
      </c>
    </row>
    <row r="155">
      <c r="A155" t="n">
        <v>148</v>
      </c>
    </row>
    <row r="156">
      <c r="A156" t="n">
        <v>149</v>
      </c>
    </row>
    <row r="157">
      <c r="A157" t="n">
        <v>150</v>
      </c>
    </row>
    <row r="158">
      <c r="A158" t="n">
        <v>151</v>
      </c>
    </row>
    <row r="159">
      <c r="A159" t="n">
        <v>152</v>
      </c>
    </row>
    <row r="160">
      <c r="A160" t="n">
        <v>153</v>
      </c>
    </row>
    <row r="161">
      <c r="A161" t="n">
        <v>154</v>
      </c>
    </row>
    <row r="162">
      <c r="A162" t="n">
        <v>155</v>
      </c>
    </row>
    <row r="163">
      <c r="A163" t="n">
        <v>156</v>
      </c>
    </row>
    <row r="164">
      <c r="A164" t="n">
        <v>157</v>
      </c>
    </row>
    <row r="165">
      <c r="A165" t="n">
        <v>158</v>
      </c>
    </row>
    <row r="166">
      <c r="A166" t="n">
        <v>159</v>
      </c>
    </row>
    <row r="167">
      <c r="A167" t="n">
        <v>160</v>
      </c>
    </row>
    <row r="168">
      <c r="A168" t="n">
        <v>161</v>
      </c>
    </row>
    <row r="169">
      <c r="A169" t="n">
        <v>162</v>
      </c>
    </row>
    <row r="170">
      <c r="A170" t="n">
        <v>163</v>
      </c>
    </row>
    <row r="171">
      <c r="A171" t="n">
        <v>164</v>
      </c>
    </row>
    <row r="172">
      <c r="A172" t="n">
        <v>165</v>
      </c>
    </row>
    <row r="173">
      <c r="A173" t="n">
        <v>166</v>
      </c>
    </row>
    <row r="174">
      <c r="A174" t="n">
        <v>167</v>
      </c>
    </row>
    <row r="175">
      <c r="A175" t="n">
        <v>168</v>
      </c>
    </row>
    <row r="176">
      <c r="A176" t="n">
        <v>169</v>
      </c>
    </row>
    <row r="177">
      <c r="A177" t="n">
        <v>170</v>
      </c>
    </row>
    <row r="178">
      <c r="A178" t="n">
        <v>171</v>
      </c>
    </row>
    <row r="179">
      <c r="A179" t="n">
        <v>172</v>
      </c>
    </row>
    <row r="180">
      <c r="A180" t="n">
        <v>173</v>
      </c>
    </row>
    <row r="181">
      <c r="A181" t="n">
        <v>174</v>
      </c>
    </row>
    <row r="182">
      <c r="A182" t="n">
        <v>175</v>
      </c>
    </row>
    <row r="183">
      <c r="A183" t="n">
        <v>176</v>
      </c>
    </row>
    <row r="184">
      <c r="A184" t="n">
        <v>177</v>
      </c>
    </row>
    <row r="185">
      <c r="A185" t="n">
        <v>178</v>
      </c>
    </row>
    <row r="186">
      <c r="A186" t="n">
        <v>179</v>
      </c>
    </row>
    <row r="187">
      <c r="A187" t="n">
        <v>180</v>
      </c>
    </row>
    <row r="188">
      <c r="A188" t="n">
        <v>181</v>
      </c>
    </row>
    <row r="189">
      <c r="A189" t="n">
        <v>182</v>
      </c>
    </row>
    <row r="190">
      <c r="A190" t="n">
        <v>183</v>
      </c>
    </row>
    <row r="191">
      <c r="A191" t="n">
        <v>184</v>
      </c>
    </row>
    <row r="192">
      <c r="A192" t="n">
        <v>185</v>
      </c>
    </row>
    <row r="193">
      <c r="A193" t="n">
        <v>186</v>
      </c>
    </row>
    <row r="194">
      <c r="A194" t="n">
        <v>187</v>
      </c>
    </row>
    <row r="195">
      <c r="A195" t="n">
        <v>188</v>
      </c>
    </row>
    <row r="196">
      <c r="A196" t="n">
        <v>189</v>
      </c>
    </row>
    <row r="197">
      <c r="A197" t="n">
        <v>190</v>
      </c>
    </row>
    <row r="198">
      <c r="A198" t="n">
        <v>191</v>
      </c>
    </row>
    <row r="199">
      <c r="A199" t="n">
        <v>192</v>
      </c>
    </row>
    <row r="200">
      <c r="A200" t="n">
        <v>193</v>
      </c>
    </row>
    <row r="201">
      <c r="A201" t="n">
        <v>194</v>
      </c>
    </row>
    <row r="202">
      <c r="A202" t="n">
        <v>195</v>
      </c>
    </row>
    <row r="203">
      <c r="A203" t="n">
        <v>196</v>
      </c>
    </row>
    <row r="204">
      <c r="A204" t="n">
        <v>197</v>
      </c>
    </row>
    <row r="205">
      <c r="A205" t="n">
        <v>198</v>
      </c>
    </row>
    <row r="206">
      <c r="A206" t="n">
        <v>199</v>
      </c>
    </row>
    <row r="207">
      <c r="A207" t="n">
        <v>200</v>
      </c>
    </row>
    <row r="208">
      <c r="A208" t="n">
        <v>201</v>
      </c>
    </row>
    <row r="209">
      <c r="A209" t="n">
        <v>202</v>
      </c>
    </row>
    <row r="210">
      <c r="A210" t="n">
        <v>203</v>
      </c>
    </row>
    <row r="211">
      <c r="A211" t="n">
        <v>204</v>
      </c>
    </row>
    <row r="212">
      <c r="A212" t="n">
        <v>205</v>
      </c>
    </row>
    <row r="213">
      <c r="A213" t="n">
        <v>206</v>
      </c>
    </row>
    <row r="214">
      <c r="A214" t="n">
        <v>207</v>
      </c>
    </row>
    <row r="215">
      <c r="A215" t="n">
        <v>208</v>
      </c>
    </row>
    <row r="216">
      <c r="A216" t="n">
        <v>209</v>
      </c>
    </row>
    <row r="217">
      <c r="A217" t="n">
        <v>210</v>
      </c>
    </row>
    <row r="218">
      <c r="A218" t="n">
        <v>211</v>
      </c>
    </row>
    <row r="219">
      <c r="A219" t="n">
        <v>212</v>
      </c>
    </row>
    <row r="220">
      <c r="A220" t="n">
        <v>213</v>
      </c>
    </row>
    <row r="221">
      <c r="A221" t="n">
        <v>214</v>
      </c>
    </row>
    <row r="222">
      <c r="A222" t="n">
        <v>215</v>
      </c>
    </row>
    <row r="223">
      <c r="A223" t="n">
        <v>216</v>
      </c>
    </row>
    <row r="224">
      <c r="A224" t="n">
        <v>217</v>
      </c>
    </row>
    <row r="225">
      <c r="A225" t="n">
        <v>218</v>
      </c>
    </row>
    <row r="226">
      <c r="A226" t="n">
        <v>219</v>
      </c>
    </row>
    <row r="227">
      <c r="A227" t="n">
        <v>220</v>
      </c>
    </row>
    <row r="228">
      <c r="A228" t="n">
        <v>221</v>
      </c>
    </row>
    <row r="229">
      <c r="A229" t="n">
        <v>222</v>
      </c>
    </row>
    <row r="230">
      <c r="A230" t="n">
        <v>223</v>
      </c>
    </row>
    <row r="231">
      <c r="A231" t="n">
        <v>224</v>
      </c>
    </row>
    <row r="232">
      <c r="A232" t="n">
        <v>225</v>
      </c>
    </row>
    <row r="233">
      <c r="A233" t="n">
        <v>226</v>
      </c>
    </row>
    <row r="234">
      <c r="A234" t="n">
        <v>227</v>
      </c>
    </row>
    <row r="235">
      <c r="A235" t="n">
        <v>228</v>
      </c>
    </row>
    <row r="236">
      <c r="A236" t="n">
        <v>229</v>
      </c>
    </row>
    <row r="237">
      <c r="A237" t="n">
        <v>230</v>
      </c>
    </row>
    <row r="238">
      <c r="A238" t="n">
        <v>231</v>
      </c>
    </row>
    <row r="239">
      <c r="A239" t="n">
        <v>232</v>
      </c>
    </row>
    <row r="240">
      <c r="A240" t="n">
        <v>233</v>
      </c>
    </row>
    <row r="241">
      <c r="A241" t="n">
        <v>234</v>
      </c>
    </row>
    <row r="242">
      <c r="A242" t="n">
        <v>235</v>
      </c>
    </row>
    <row r="243">
      <c r="A243" t="n">
        <v>236</v>
      </c>
    </row>
    <row r="244">
      <c r="A244" t="n">
        <v>237</v>
      </c>
    </row>
    <row r="245">
      <c r="A245" t="n">
        <v>238</v>
      </c>
    </row>
    <row r="246">
      <c r="A246" t="n">
        <v>239</v>
      </c>
    </row>
    <row r="247">
      <c r="A247" t="n">
        <v>240</v>
      </c>
    </row>
    <row r="248">
      <c r="A248" t="n">
        <v>241</v>
      </c>
    </row>
    <row r="249">
      <c r="A249" t="n">
        <v>242</v>
      </c>
    </row>
    <row r="250">
      <c r="A250" t="n">
        <v>243</v>
      </c>
    </row>
    <row r="251">
      <c r="A251" t="n">
        <v>244</v>
      </c>
    </row>
    <row r="252">
      <c r="A252" t="n">
        <v>245</v>
      </c>
    </row>
    <row r="253">
      <c r="A253" t="n">
        <v>246</v>
      </c>
    </row>
    <row r="254">
      <c r="A254" t="n">
        <v>247</v>
      </c>
    </row>
    <row r="255">
      <c r="A255" t="n">
        <v>248</v>
      </c>
    </row>
    <row r="256">
      <c r="A256" t="n">
        <v>249</v>
      </c>
    </row>
    <row r="257">
      <c r="A257" t="n">
        <v>250</v>
      </c>
    </row>
    <row r="258">
      <c r="A258" t="n">
        <v>251</v>
      </c>
    </row>
    <row r="259">
      <c r="A259" t="n">
        <v>252</v>
      </c>
    </row>
    <row r="260">
      <c r="A260" t="n">
        <v>253</v>
      </c>
    </row>
    <row r="261">
      <c r="A261" t="n">
        <v>254</v>
      </c>
    </row>
    <row r="262">
      <c r="A262" t="n">
        <v>255</v>
      </c>
    </row>
    <row r="263">
      <c r="A263" t="n">
        <v>256</v>
      </c>
    </row>
    <row r="264">
      <c r="A264" t="n">
        <v>257</v>
      </c>
    </row>
    <row r="265">
      <c r="A265" t="n">
        <v>258</v>
      </c>
    </row>
    <row r="266">
      <c r="A266" t="n">
        <v>259</v>
      </c>
    </row>
    <row r="267">
      <c r="A267" t="n">
        <v>260</v>
      </c>
    </row>
    <row r="268">
      <c r="A268" t="n">
        <v>261</v>
      </c>
    </row>
    <row r="269">
      <c r="A269" t="n">
        <v>262</v>
      </c>
    </row>
    <row r="270">
      <c r="A270" t="n">
        <v>263</v>
      </c>
    </row>
    <row r="271">
      <c r="A271" t="n">
        <v>264</v>
      </c>
    </row>
    <row r="272">
      <c r="A272" t="n">
        <v>265</v>
      </c>
    </row>
    <row r="273">
      <c r="A273" t="n">
        <v>266</v>
      </c>
    </row>
    <row r="274">
      <c r="A274" t="n">
        <v>267</v>
      </c>
    </row>
    <row r="275">
      <c r="A275" t="n">
        <v>268</v>
      </c>
    </row>
    <row r="276">
      <c r="A276" t="n">
        <v>269</v>
      </c>
    </row>
    <row r="277">
      <c r="A277" t="n">
        <v>270</v>
      </c>
    </row>
    <row r="278">
      <c r="A278" t="n">
        <v>271</v>
      </c>
    </row>
    <row r="279">
      <c r="A279" t="n">
        <v>272</v>
      </c>
    </row>
    <row r="280">
      <c r="A280" t="n">
        <v>273</v>
      </c>
    </row>
    <row r="281">
      <c r="A281" t="n">
        <v>274</v>
      </c>
    </row>
    <row r="282">
      <c r="A282" t="n">
        <v>275</v>
      </c>
    </row>
    <row r="283">
      <c r="A283" t="n">
        <v>276</v>
      </c>
    </row>
    <row r="284">
      <c r="A284" t="n">
        <v>277</v>
      </c>
    </row>
    <row r="285">
      <c r="A285" t="n">
        <v>278</v>
      </c>
    </row>
    <row r="286">
      <c r="A286" t="n">
        <v>279</v>
      </c>
    </row>
    <row r="287">
      <c r="A287" t="n">
        <v>280</v>
      </c>
    </row>
    <row r="288">
      <c r="A288" t="n">
        <v>281</v>
      </c>
    </row>
    <row r="289">
      <c r="A289" t="n">
        <v>282</v>
      </c>
    </row>
    <row r="290">
      <c r="A290" t="n">
        <v>283</v>
      </c>
    </row>
    <row r="291">
      <c r="A291" t="n">
        <v>284</v>
      </c>
    </row>
    <row r="292">
      <c r="A292" t="n">
        <v>285</v>
      </c>
    </row>
    <row r="293">
      <c r="A293" t="n">
        <v>286</v>
      </c>
    </row>
    <row r="294">
      <c r="A294" t="n">
        <v>287</v>
      </c>
    </row>
    <row r="295">
      <c r="A295" t="n">
        <v>288</v>
      </c>
    </row>
    <row r="296">
      <c r="A296" t="n">
        <v>289</v>
      </c>
    </row>
    <row r="297">
      <c r="A297" t="n">
        <v>290</v>
      </c>
    </row>
    <row r="298">
      <c r="A298" t="n">
        <v>291</v>
      </c>
    </row>
    <row r="299">
      <c r="A299" t="n">
        <v>292</v>
      </c>
    </row>
    <row r="300">
      <c r="A300" t="n">
        <v>293</v>
      </c>
    </row>
    <row r="301">
      <c r="A301" t="n">
        <v>294</v>
      </c>
    </row>
    <row r="302">
      <c r="A302" t="n">
        <v>295</v>
      </c>
    </row>
    <row r="303">
      <c r="A303" t="n">
        <v>296</v>
      </c>
    </row>
    <row r="304">
      <c r="A304" t="n">
        <v>297</v>
      </c>
    </row>
    <row r="305">
      <c r="A305" t="n">
        <v>298</v>
      </c>
    </row>
    <row r="306">
      <c r="A306" t="n">
        <v>299</v>
      </c>
    </row>
    <row r="307">
      <c r="A307" t="n">
        <v>300</v>
      </c>
    </row>
    <row r="399">
      <c r="A399" s="87" t="inlineStr">
        <is>
          <t>TEXTOS DE LAS LEYENDAS</t>
        </is>
      </c>
    </row>
    <row r="400">
      <c r="A400" s="88" t="str">
        <f>"Tablero "&amp;CROQUIS!$C$7&amp;" — "&amp;TEXT(CROQUIS!$C$10/100,"0.00")&amp;" × "&amp;TEXT(CROQUIS!$C$11/100,"0.00")&amp;" m"</f>
        <v>Tablero F80016 N+3.00 — 4.43 × 4.00 m</v>
      </c>
    </row>
    <row r="401">
      <c r="A401" s="88" t="str">
        <f>"Paño de nervaduras principales / dalas (b = "&amp;DATOS!$C$17&amp;" cm)"</f>
        <v>Paño de nervaduras principales / dalas (b = 15 cm)</v>
      </c>
    </row>
    <row r="402">
      <c r="A402" s="88" t="str">
        <f>"Casetones "&amp;DATOS!$C$11&amp;"×"&amp;DATOS!$C$11&amp;"×"&amp;DATOS!$C$12&amp;": "&amp;NERVADURA!$C$131&amp;" × "&amp;NERVADURA!$C$133&amp;" pzas"</f>
        <v>Casetones 60×60×20: 6 × 5 pzas</v>
      </c>
    </row>
    <row r="403">
      <c r="A403" s="88" t="str">
        <f>"Macizo en orillas: "&amp;TEXT(NERVADURA!$C$132,"0")&amp;" cm en X, "&amp;TEXT(NERVADURA!$C$134,"0")&amp;" cm en Y"</f>
        <v>Macizo en orillas: 9 cm en X, 23 cm en Y</v>
      </c>
    </row>
    <row r="404">
      <c r="A404" s="88" t="str">
        <f>"Claro corto · inferior: "&amp;CROQUIS!$C$17</f>
        <v>Claro corto · inferior: 1 No. 4 corrida(s)</v>
      </c>
    </row>
    <row r="405">
      <c r="A405" s="88" t="str">
        <f>"Claro corto · superior: "&amp;CROQUIS!$C$18</f>
        <v>Claro corto · superior: 1 No. 4 corrida (no requiere bastones)</v>
      </c>
    </row>
    <row r="406">
      <c r="A406" s="88" t="str">
        <f>IF(NERVADURA!$C$73&lt;2,"Claro corto · bastones: no lleva","Claro corto · bastones: "&amp;(NERVADURA!$C$73-1)&amp;" No. "&amp;TEXT(NERVADURA!$C$72,"0.#")&amp;" en cada apoyo")</f>
        <v>Claro corto · bastones: no lleva</v>
      </c>
    </row>
    <row r="407">
      <c r="A407" s="88" t="str">
        <f>"(bastón del otro apoyo)"</f>
        <v>(bastón del otro apoyo)</v>
      </c>
    </row>
    <row r="408">
      <c r="A408" s="88" t="str">
        <f>"Claro largo · inferior: "&amp;CROQUIS!$C$19</f>
        <v>Claro largo · inferior: 1 No. 4 corrida(s)</v>
      </c>
    </row>
    <row r="409">
      <c r="A409" s="88" t="str">
        <f>"Claro largo · superior: "&amp;CROQUIS!$C$20</f>
        <v>Claro largo · superior: 1 No. 4 corrida (no requiere bastones)</v>
      </c>
    </row>
    <row r="410">
      <c r="A410" s="88" t="str">
        <f>IF(NERVADURA!$C$103&lt;2,"Claro largo · bastones: no lleva","Claro largo · bastones: "&amp;(NERVADURA!$C$103-1)&amp;" No. "&amp;TEXT(NERVADURA!$C$102,"0.#")&amp;" en cada apoyo")</f>
        <v>Claro largo · bastones: no lleva</v>
      </c>
    </row>
    <row r="411">
      <c r="A411" s="88" t="str">
        <f>"(bastón del otro apoyo)"</f>
        <v>(bastón del otro apoyo)</v>
      </c>
    </row>
    <row r="412">
      <c r="A412" s="88" t="str">
        <f>"a_x = "&amp;TEXT(CROQUIS!$C$10/100,"0.00")&amp;" m"</f>
        <v>a_x = 4.43 m</v>
      </c>
    </row>
    <row r="413">
      <c r="A413" s="88" t="str">
        <f>"a_y = "&amp;TEXT(CROQUIS!$C$11/100,"0.00")&amp;" m"</f>
        <v>a_y = 4.00 m</v>
      </c>
    </row>
    <row r="414">
      <c r="A414" s="88" t="str">
        <f>"s = "&amp;DATOS!$C$16&amp;" cm"</f>
        <v>s = 70 cm</v>
      </c>
    </row>
    <row r="415">
      <c r="A415" s="88" t="str">
        <f>"Nervadura "&amp;DATOS!$C$13&amp;" cm + capa "&amp;DATOS!$C$14&amp;" cm (h = "&amp;DATOS!$C$15&amp;" cm)"</f>
        <v>Nervadura 10 cm + capa 5 cm (h = 25 cm)</v>
      </c>
    </row>
    <row r="416">
      <c r="A416" s="88" t="str">
        <f>"Casetón de poliestireno "&amp;DATOS!$C$11&amp;"×"&amp;DATOS!$C$12</f>
        <v>Casetón de poliestireno 60×20</v>
      </c>
    </row>
    <row r="417">
      <c r="A417" s="88" t="str">
        <f>"(casetón)"</f>
        <v>(casetón)</v>
      </c>
    </row>
    <row r="418">
      <c r="A418" s="88" t="str">
        <f>"Malla "&amp;DATOS!$C$34</f>
        <v>Malla 6x6-6/6</v>
      </c>
    </row>
    <row r="419">
      <c r="A419" s="88" t="str">
        <f>"Inferior claro corto: "&amp;CROQUIS!$C$17</f>
        <v>Inferior claro corto: 1 No. 4 corrida(s)</v>
      </c>
    </row>
    <row r="420">
      <c r="A420" s="88" t="str">
        <f>"Superior claro corto: "&amp;CROQUIS!$C$18</f>
        <v>Superior claro corto: 1 No. 4 corrida (no requiere bastones)</v>
      </c>
    </row>
    <row r="421">
      <c r="A421" s="88" t="str">
        <f>IF(DATOS!$C$25=0,"Sin estribo: el cortante lo toma el concreto (5.5.3.8.1); si no alcanza, se maciza","Estribo No. "&amp;TEXT(DATOS!$C$25,"0.#"))</f>
        <v>Sin estribo: el cortante lo toma el concreto (5.5.3.8.1); si no alcanza, se maciza</v>
      </c>
    </row>
    <row r="422">
      <c r="A422" s="88" t="str">
        <f>"b_w = "&amp;DATOS!$C$13&amp;" cm"</f>
        <v>b_w = 10 cm</v>
      </c>
    </row>
    <row r="423">
      <c r="A423" s="88" t="str">
        <f>"s = "&amp;DATOS!$C$16&amp;" cm"</f>
        <v>s = 70 cm</v>
      </c>
    </row>
    <row r="424">
      <c r="A424" s="88" t="str">
        <f>"h = "&amp;DATOS!$C$15&amp;" cm"</f>
        <v>h = 25 cm</v>
      </c>
    </row>
    <row r="425">
      <c r="A425" s="88" t="str">
        <f>"Nervadura del claro corto ("&amp;IF(CROQUIS!$C$9="VOLADO","VOLADO","apoyada en sus dos extremos")&amp;") — alto exagerado"</f>
        <v>Nervadura del claro corto (apoyada en sus dos extremos) — alto exagerado</v>
      </c>
    </row>
    <row r="426">
      <c r="A426" s="88" t="str">
        <f>IF(CROQUIS!$C$9="VOLADO","Apoyo del volado: nervadura principal o muro (punta libre)","Apoyos: nervadura principal o muro")</f>
        <v>Apoyos: nervadura principal o muro</v>
      </c>
    </row>
    <row r="427">
      <c r="A427" s="88" t="str">
        <f>IF(CROQUIS!$C$9="VOLADO","(volado: sin apoyo en la punta)","(apoyo)")</f>
        <v>(apoyo)</v>
      </c>
    </row>
    <row r="428">
      <c r="A428" s="88" t="str">
        <f>"Inferior corrido: "&amp;CROQUIS!$C$17</f>
        <v>Inferior corrido: 1 No. 4 corrida(s)</v>
      </c>
    </row>
    <row r="429">
      <c r="A429" s="88" t="str">
        <f>"Superior corrido: 1 No. "&amp;TEXT(NERVADURA!$C$72,"0.#")&amp;" (6.7.6.1.3)"</f>
        <v>Superior corrido: 1 No. 4 (6.7.6.1.3)</v>
      </c>
    </row>
    <row r="430">
      <c r="A430" s="88" t="str">
        <f>IF(NERVADURA!$C$73&lt;2,"Sin bastones: basta la corrida superior","Bastones: "&amp;(NERVADURA!$C$73-1)&amp;" No. "&amp;TEXT(NERVADURA!$C$72,"0.#")&amp;", "&amp;TEXT(NERVADURA!$C$137/100,"0.00")&amp;" m desde el paño")</f>
        <v>Sin bastones: basta la corrida superior</v>
      </c>
    </row>
    <row r="431">
      <c r="A431" s="88" t="str">
        <f>"(bastón del otro apoyo)"</f>
        <v>(bastón del otro apoyo)</v>
      </c>
    </row>
    <row r="432">
      <c r="A432" s="88" t="str">
        <f>"a1 = "&amp;TEXT(NERVADURA!$C$15,"0.00")&amp;" m"</f>
        <v>a1 = 4.00 m</v>
      </c>
    </row>
    <row r="433">
      <c r="A433" s="88" t="str">
        <f>"Nervadura principal "&amp;CROQUIS!$C$24&amp;" ("&amp;CROQUIS!$C$27&amp;", L = "&amp;TEXT(CROQUIS!$C$29,"0.00")&amp;" m, "&amp;CROQUIS!$C$28&amp;")"</f>
        <v>Nervadura principal NP-23 (x = 4.327, L = 6.15 m, APOYADA)</v>
      </c>
    </row>
    <row r="434">
      <c r="A434" s="88" t="str">
        <f>"Casetones de los tableros vecinos"</f>
        <v>Casetones de los tableros vecinos</v>
      </c>
    </row>
    <row r="435">
      <c r="A435" s="88" t="str">
        <f>"(casetón)"</f>
        <v>(casetón)</v>
      </c>
    </row>
    <row r="436">
      <c r="A436" s="88" t="str">
        <f>"Estribos cerrados No. "&amp;TEXT(DATOS!$C$113,"0.#")&amp;" a 135°: @ "&amp;TEXT(CROQUIS!$C$37,"0.0")&amp;" cm en 2h y @ "&amp;TEXT(CROQUIS!$C$36,"0.0")&amp;" cm resto"</f>
        <v>Estribos cerrados No. 3 a 135°: @ 19.5 cm en 2h y @ 19.5 cm resto</v>
      </c>
    </row>
    <row r="437">
      <c r="A437" s="88" t="str">
        <f>IF(CROQUIS!$C$32=0,"Inferior: la sección no alcanza — sube h","Inferior: "&amp;CROQUIS!$C$32&amp;" var. No. "&amp;TEXT(CROQUIS!$C$33,"0.#"))</f>
        <v>Inferior: 3 var. No. 4</v>
      </c>
    </row>
    <row r="438">
      <c r="A438" s="88" t="str">
        <f>IF(CROQUIS!$C$34=0,"Superior: la sección no alcanza — sube h","Superior: "&amp;CROQUIS!$C$34&amp;" var. No. "&amp;TEXT(CROQUIS!$C$35,"0.#"))</f>
        <v>Superior: 2 var. No. 4</v>
      </c>
    </row>
    <row r="439">
      <c r="A439" s="88" t="str">
        <f>"b = "&amp;CROQUIS!$C$30&amp;" cm"</f>
        <v>b = 20 cm</v>
      </c>
    </row>
    <row r="440">
      <c r="A440" s="88" t="str">
        <f>"h = "&amp;CROQUIS!$C$31&amp;" cm"</f>
        <v>h = 45 cm</v>
      </c>
    </row>
  </sheetData>
  <pageMargins left="0.75" right="0.75" top="1" bottom="1" header="0.5" footer="0.5"/>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2026-10-16T21:39:55Z</dcterms:created>
  <dcterms:modified xmlns:dcterms="http://purl.org/dc/terms/" xmlns:xsi="http://www.w3.org/2001/XMLSchema-instance" xsi:type="dcterms:W3CDTF">2026-10-16T21:39:57Z</dcterms:modified>
</cp:coreProperties>
</file>