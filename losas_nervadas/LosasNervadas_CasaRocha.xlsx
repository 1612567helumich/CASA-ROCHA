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OS" sheetId="1" state="visible" r:id="rId1"/>
    <sheet xmlns:r="http://schemas.openxmlformats.org/officeDocument/2006/relationships" name="APOYOS" sheetId="2" state="visible" r:id="rId2"/>
    <sheet xmlns:r="http://schemas.openxmlformats.org/officeDocument/2006/relationships" name="CARGAS" sheetId="3" state="visible" r:id="rId3"/>
    <sheet xmlns:r="http://schemas.openxmlformats.org/officeDocument/2006/relationships" name="TABLEROS" sheetId="4" state="visible" r:id="rId4"/>
    <sheet xmlns:r="http://schemas.openxmlformats.org/officeDocument/2006/relationships" name="NERVADURA" sheetId="5" state="visible" r:id="rId5"/>
    <sheet xmlns:r="http://schemas.openxmlformats.org/officeDocument/2006/relationships" name="PRINCIPALES" sheetId="6" state="visible" r:id="rId6"/>
    <sheet xmlns:r="http://schemas.openxmlformats.org/officeDocument/2006/relationships" name="MUROS" sheetId="7" state="visible" r:id="rId7"/>
    <sheet xmlns:r="http://schemas.openxmlformats.org/officeDocument/2006/relationships" name="CROQUIS" sheetId="8" state="visible" r:id="rId8"/>
    <sheet xmlns:r="http://schemas.openxmlformats.org/officeDocument/2006/relationships" name="CUANTIFICACION" sheetId="9" state="visible" r:id="rId9"/>
    <sheet xmlns:r="http://schemas.openxmlformats.org/officeDocument/2006/relationships" name="RESUMEN" sheetId="10" state="visible" r:id="rId10"/>
    <sheet xmlns:r="http://schemas.openxmlformats.org/officeDocument/2006/relationships" name="REFERENCIAS" sheetId="11" state="visible" r:id="rId11"/>
    <sheet xmlns:r="http://schemas.openxmlformats.org/officeDocument/2006/relationships" name="TABLAS" sheetId="12" state="visible" r:id="rId12"/>
    <sheet xmlns:r="http://schemas.openxmlformats.org/officeDocument/2006/relationships" name="TRIB" sheetId="13" state="visible" r:id="rId13"/>
    <sheet xmlns:r="http://schemas.openxmlformats.org/officeDocument/2006/relationships" name="TRANSFER" sheetId="14" state="visible" r:id="rId14"/>
    <sheet xmlns:r="http://schemas.openxmlformats.org/officeDocument/2006/relationships" name="CROQUIS_DATOS" sheetId="15" state="visible" r:id="rId1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
    <numFmt numFmtId="167" formatCode="0.00000"/>
    <numFmt numFmtId="168" formatCode="#,##0.0"/>
  </numFmts>
  <fonts count="19">
    <font>
      <name val="Calibri"/>
      <family val="2"/>
      <color theme="1"/>
      <sz val="11"/>
      <scheme val="minor"/>
    </font>
    <font>
      <name val="Arial"/>
      <b val="1"/>
      <color rgb="00FFFFFF"/>
      <sz val="13"/>
    </font>
    <font>
      <name val="Arial"/>
      <i val="1"/>
      <color rgb="00595959"/>
      <sz val="9"/>
    </font>
    <font>
      <name val="Arial"/>
      <b val="1"/>
      <color rgb="00843C0C"/>
      <sz val="9"/>
    </font>
    <font>
      <name val="Arial"/>
      <b val="1"/>
      <color rgb="00FFFFFF"/>
      <sz val="10"/>
    </font>
    <font>
      <name val="Arial"/>
      <b val="1"/>
      <color rgb="001F3864"/>
      <sz val="9"/>
    </font>
    <font>
      <name val="Arial"/>
      <color rgb="001A1A1A"/>
      <sz val="10"/>
    </font>
    <font>
      <name val="Arial"/>
      <b val="1"/>
      <color rgb="000000CC"/>
      <sz val="10"/>
    </font>
    <font>
      <name val="Arial"/>
      <color rgb="00595959"/>
      <sz val="9"/>
    </font>
    <font>
      <name val="Arial"/>
      <i val="1"/>
      <color rgb="001F4E79"/>
      <sz val="8"/>
    </font>
    <font>
      <name val="Arial"/>
      <b val="1"/>
      <color rgb="001F3864"/>
      <sz val="10"/>
    </font>
    <font>
      <name val="Arial"/>
      <color rgb="001A1A1A"/>
      <sz val="9"/>
    </font>
    <font>
      <name val="Arial"/>
      <b val="1"/>
      <color rgb="001A1A1A"/>
      <sz val="9"/>
    </font>
    <font>
      <name val="Arial"/>
      <b val="1"/>
      <color rgb="000000CC"/>
      <sz val="9"/>
    </font>
    <font>
      <name val="Arial"/>
      <color rgb="001A1A1A"/>
      <sz val="8"/>
    </font>
    <font>
      <name val="Arial"/>
      <b val="1"/>
      <color rgb="00FFFFFF"/>
      <sz val="9"/>
    </font>
    <font>
      <name val="Arial"/>
      <i val="1"/>
      <color rgb="00595959"/>
      <sz val="8"/>
    </font>
    <font>
      <name val="Arial"/>
      <color rgb="00006100"/>
      <sz val="9"/>
    </font>
    <font>
      <name val="Arial"/>
      <b val="1"/>
      <color rgb="001F3864"/>
      <sz val="12"/>
    </font>
  </fonts>
  <fills count="9">
    <fill>
      <patternFill/>
    </fill>
    <fill>
      <patternFill patternType="gray125"/>
    </fill>
    <fill>
      <patternFill patternType="solid">
        <fgColor rgb="001F3864"/>
      </patternFill>
    </fill>
    <fill>
      <patternFill patternType="solid">
        <fgColor rgb="00FFF0E0"/>
      </patternFill>
    </fill>
    <fill>
      <patternFill patternType="solid">
        <fgColor rgb="002E5C9A"/>
      </patternFill>
    </fill>
    <fill>
      <patternFill patternType="solid">
        <fgColor rgb="00F2F2F2"/>
      </patternFill>
    </fill>
    <fill>
      <patternFill patternType="solid">
        <fgColor rgb="00D9E2F3"/>
      </patternFill>
    </fill>
    <fill>
      <patternFill patternType="solid">
        <fgColor rgb="00FFF2CC"/>
      </patternFill>
    </fill>
    <fill>
      <patternFill patternType="solid">
        <fgColor rgb="00EEF2F9"/>
      </patternFill>
    </fill>
  </fills>
  <borders count="7">
    <border>
      <left/>
      <right/>
      <top/>
      <bottom/>
      <diagonal/>
    </border>
    <border>
      <left style="thin">
        <color rgb="00A6A6A6"/>
      </left>
      <right style="thin">
        <color rgb="00A6A6A6"/>
      </right>
      <top style="thin">
        <color rgb="00A6A6A6"/>
      </top>
      <bottom style="thin">
        <color rgb="00A6A6A6"/>
      </bottom>
    </border>
    <border>
      <left style="thin">
        <color rgb="00A6A6A6"/>
      </left>
      <right style="thin">
        <color rgb="00A6A6A6"/>
      </right>
      <top style="thin">
        <color rgb="00A6A6A6"/>
      </top>
      <bottom style="medium">
        <color rgb="001F3864"/>
      </bottom>
    </border>
    <border>
      <left/>
      <right/>
      <top style="thin">
        <color rgb="00A6A6A6"/>
      </top>
      <bottom/>
      <diagonal/>
    </border>
    <border>
      <left/>
      <right style="thin">
        <color rgb="00A6A6A6"/>
      </right>
      <top style="thin">
        <color rgb="00A6A6A6"/>
      </top>
      <bottom/>
      <diagonal/>
    </border>
    <border>
      <left/>
      <right style="thin">
        <color rgb="00A6A6A6"/>
      </right>
      <top style="thin">
        <color rgb="00A6A6A6"/>
      </top>
      <bottom style="medium">
        <color rgb="001F3864"/>
      </bottom>
      <diagonal/>
    </border>
    <border>
      <left/>
      <right/>
      <top style="thin">
        <color rgb="00A6A6A6"/>
      </top>
      <bottom style="medium">
        <color rgb="001F3864"/>
      </bottom>
      <diagonal/>
    </border>
  </borders>
  <cellStyleXfs count="1">
    <xf numFmtId="0" fontId="0" fillId="0" borderId="0"/>
  </cellStyleXfs>
  <cellXfs count="86">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top" wrapText="1"/>
    </xf>
    <xf numFmtId="0" fontId="3" fillId="3" borderId="1" applyAlignment="1" pivotButton="0" quotePrefix="0" xfId="0">
      <alignment horizontal="left" vertical="top" wrapText="1"/>
    </xf>
    <xf numFmtId="0" fontId="0" fillId="3" borderId="1" pivotButton="0" quotePrefix="0" xfId="0"/>
    <xf numFmtId="0" fontId="4" fillId="4" borderId="0" applyAlignment="1" pivotButton="0" quotePrefix="0" xfId="0">
      <alignment horizontal="left" vertical="center"/>
    </xf>
    <xf numFmtId="0" fontId="2"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center" vertical="center" wrapText="1"/>
    </xf>
    <xf numFmtId="0" fontId="6" fillId="0" borderId="1" applyAlignment="1" pivotButton="0" quotePrefix="0" xfId="0">
      <alignment horizontal="left" vertical="center" wrapText="1"/>
    </xf>
    <xf numFmtId="1" fontId="7" fillId="7" borderId="1" applyAlignment="1" pivotButton="0" quotePrefix="0" xfId="0">
      <alignment horizontal="center" vertical="center" wrapText="1"/>
    </xf>
    <xf numFmtId="0" fontId="8" fillId="0" borderId="1" applyAlignment="1" pivotButton="0" quotePrefix="0" xfId="0">
      <alignment horizontal="center" vertical="center"/>
    </xf>
    <xf numFmtId="0" fontId="8" fillId="0" borderId="1" applyAlignment="1" pivotButton="0" quotePrefix="0" xfId="0">
      <alignment horizontal="left" vertical="center" wrapText="1"/>
    </xf>
    <xf numFmtId="0" fontId="9" fillId="0" borderId="1" applyAlignment="1" pivotButton="0" quotePrefix="0" xfId="0">
      <alignment horizontal="left" vertical="center" wrapText="1"/>
    </xf>
    <xf numFmtId="1" fontId="10" fillId="6" borderId="1" applyAlignment="1" pivotButton="0" quotePrefix="0" xfId="0">
      <alignment horizontal="center"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2" fontId="6" fillId="0" borderId="1" applyAlignment="1" pivotButton="0" quotePrefix="0" xfId="0">
      <alignment horizontal="center" vertical="center" wrapText="1"/>
    </xf>
    <xf numFmtId="49" fontId="7" fillId="7" borderId="1" applyAlignment="1" pivotButton="0" quotePrefix="0" xfId="0">
      <alignment horizontal="center" vertical="center" wrapText="1"/>
    </xf>
    <xf numFmtId="2" fontId="7" fillId="7" borderId="1" applyAlignment="1" pivotButton="0" quotePrefix="0" xfId="0">
      <alignment horizontal="center" vertical="center" wrapText="1"/>
    </xf>
    <xf numFmtId="165" fontId="7" fillId="7" borderId="1" applyAlignment="1" pivotButton="0" quotePrefix="0" xfId="0">
      <alignment horizontal="center" vertical="center" wrapText="1"/>
    </xf>
    <xf numFmtId="3"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166" fontId="6" fillId="0" borderId="1" applyAlignment="1" pivotButton="0" quotePrefix="0" xfId="0">
      <alignment horizontal="center" vertical="center" wrapText="1"/>
    </xf>
    <xf numFmtId="164" fontId="10" fillId="6" borderId="1" applyAlignment="1" pivotButton="0" quotePrefix="0" xfId="0">
      <alignment horizontal="center" vertical="center" wrapText="1"/>
    </xf>
    <xf numFmtId="166" fontId="10" fillId="6" borderId="1" applyAlignment="1" pivotButton="0" quotePrefix="0" xfId="0">
      <alignment horizontal="center" vertical="center" wrapText="1"/>
    </xf>
    <xf numFmtId="2" fontId="10" fillId="6" borderId="1" applyAlignment="1" pivotButton="0" quotePrefix="0" xfId="0">
      <alignment horizontal="center" vertical="center" wrapText="1"/>
    </xf>
    <xf numFmtId="167" fontId="6" fillId="0" borderId="1" applyAlignment="1" pivotButton="0" quotePrefix="0" xfId="0">
      <alignment horizontal="center" vertical="center" wrapText="1"/>
    </xf>
    <xf numFmtId="165" fontId="10" fillId="6" borderId="1" applyAlignment="1" pivotButton="0" quotePrefix="0" xfId="0">
      <alignment horizontal="center" vertical="center" wrapText="1"/>
    </xf>
    <xf numFmtId="0" fontId="11" fillId="0" borderId="0" applyAlignment="1" pivotButton="0" quotePrefix="0" xfId="0">
      <alignment horizontal="left" vertical="top" wrapText="1"/>
    </xf>
    <xf numFmtId="0" fontId="0" fillId="0" borderId="5" pivotButton="0" quotePrefix="0" xfId="0"/>
    <xf numFmtId="0" fontId="12" fillId="0" borderId="1" applyAlignment="1" pivotButton="0" quotePrefix="0" xfId="0">
      <alignment horizontal="left" vertical="center"/>
    </xf>
    <xf numFmtId="0" fontId="13" fillId="7" borderId="1" applyAlignment="1" pivotButton="0" quotePrefix="0" xfId="0">
      <alignment horizontal="center" vertical="center"/>
    </xf>
    <xf numFmtId="165"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0" fillId="0" borderId="1" pivotButton="0" quotePrefix="0" xfId="0"/>
    <xf numFmtId="0" fontId="11" fillId="0" borderId="1" applyAlignment="1" pivotButton="0" quotePrefix="0" xfId="0">
      <alignment horizontal="center" vertical="center"/>
    </xf>
    <xf numFmtId="9" fontId="11" fillId="0" borderId="1" applyAlignment="1" pivotButton="0" quotePrefix="0" xfId="0">
      <alignment horizontal="center" vertical="center"/>
    </xf>
    <xf numFmtId="2" fontId="11" fillId="0" borderId="1" applyAlignment="1" pivotButton="0" quotePrefix="0" xfId="0">
      <alignment horizontal="center" vertical="center"/>
    </xf>
    <xf numFmtId="0" fontId="14" fillId="0" borderId="1" applyAlignment="1" pivotButton="0" quotePrefix="0" xfId="0">
      <alignment horizontal="left" vertical="center"/>
    </xf>
    <xf numFmtId="49" fontId="6" fillId="0" borderId="1" applyAlignment="1" pivotButton="0" quotePrefix="0" xfId="0">
      <alignment horizontal="center" vertical="center" wrapText="1"/>
    </xf>
    <xf numFmtId="0" fontId="1" fillId="2" borderId="0" applyAlignment="1" pivotButton="0" quotePrefix="0" xfId="0">
      <alignment vertical="center"/>
    </xf>
    <xf numFmtId="0" fontId="2" fillId="0" borderId="0" applyAlignment="1" pivotButton="0" quotePrefix="0" xfId="0">
      <alignment vertical="top" wrapText="1"/>
    </xf>
    <xf numFmtId="0" fontId="3" fillId="3" borderId="0" applyAlignment="1" pivotButton="0" quotePrefix="0" xfId="0">
      <alignment vertical="top" wrapText="1"/>
    </xf>
    <xf numFmtId="0" fontId="15" fillId="4" borderId="0" applyAlignment="1" pivotButton="0" quotePrefix="0" xfId="0">
      <alignment horizontal="center"/>
    </xf>
    <xf numFmtId="0" fontId="16" fillId="8" borderId="1" applyAlignment="1" pivotButton="0" quotePrefix="0" xfId="0">
      <alignment horizontal="center" vertical="center" wrapText="1"/>
    </xf>
    <xf numFmtId="49" fontId="11" fillId="0" borderId="1" applyAlignment="1" pivotButton="0" quotePrefix="0" xfId="0">
      <alignment horizontal="left" vertical="center"/>
    </xf>
    <xf numFmtId="49" fontId="11" fillId="0" borderId="1" applyAlignment="1" pivotButton="0" quotePrefix="0" xfId="0">
      <alignment horizontal="center" vertical="center"/>
    </xf>
    <xf numFmtId="49" fontId="13" fillId="7" borderId="1" applyAlignment="1" pivotButton="0" quotePrefix="0" xfId="0">
      <alignment horizontal="center" vertical="center"/>
    </xf>
    <xf numFmtId="165" fontId="17" fillId="0" borderId="1" applyAlignment="1" pivotButton="0" quotePrefix="0" xfId="0">
      <alignment horizontal="center" vertical="center"/>
    </xf>
    <xf numFmtId="165" fontId="13" fillId="7" borderId="1" applyAlignment="1" pivotButton="0" quotePrefix="0" xfId="0">
      <alignment horizontal="center" vertical="center"/>
    </xf>
    <xf numFmtId="1" fontId="13" fillId="7" borderId="1" applyAlignment="1" pivotButton="0" quotePrefix="0" xfId="0">
      <alignment horizontal="center" vertical="center"/>
    </xf>
    <xf numFmtId="1" fontId="11" fillId="0" borderId="1" applyAlignment="1" pivotButton="0" quotePrefix="0" xfId="0">
      <alignment horizontal="center" vertical="center"/>
    </xf>
    <xf numFmtId="1" fontId="5" fillId="6" borderId="1" applyAlignment="1" pivotButton="0" quotePrefix="0" xfId="0">
      <alignment horizontal="center" vertical="center"/>
    </xf>
    <xf numFmtId="49" fontId="5" fillId="6" borderId="1" applyAlignment="1" pivotButton="0" quotePrefix="0" xfId="0">
      <alignment horizontal="center" vertical="center"/>
    </xf>
    <xf numFmtId="164" fontId="13" fillId="7" borderId="1" applyAlignment="1" pivotButton="0" quotePrefix="0" xfId="0">
      <alignment horizontal="center" vertical="center"/>
    </xf>
    <xf numFmtId="2" fontId="5" fillId="6" borderId="1" applyAlignment="1" pivotButton="0" quotePrefix="0" xfId="0">
      <alignment horizontal="center" vertical="center"/>
    </xf>
    <xf numFmtId="49" fontId="5" fillId="6" borderId="1" applyAlignment="1" pivotButton="0" quotePrefix="0" xfId="0">
      <alignment horizontal="left" vertical="center"/>
    </xf>
    <xf numFmtId="49" fontId="11" fillId="0" borderId="1" applyAlignment="1" pivotButton="0" quotePrefix="0" xfId="0">
      <alignment vertical="center" wrapText="1"/>
    </xf>
    <xf numFmtId="49" fontId="10" fillId="6" borderId="1" applyAlignment="1" pivotButton="0" quotePrefix="0" xfId="0">
      <alignment horizontal="center" vertical="center" wrapText="1"/>
    </xf>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1" fillId="2" borderId="0" pivotButton="0" quotePrefix="0" xfId="0"/>
    <xf numFmtId="2" fontId="13" fillId="7" borderId="1" applyAlignment="1" pivotButton="0" quotePrefix="0" xfId="0">
      <alignment horizontal="center" vertical="center"/>
    </xf>
    <xf numFmtId="165" fontId="5" fillId="6" borderId="1" applyAlignment="1" pivotButton="0" quotePrefix="0" xfId="0">
      <alignment horizontal="center" vertical="center"/>
    </xf>
    <xf numFmtId="164" fontId="11" fillId="0" borderId="1" applyAlignment="1" pivotButton="0" quotePrefix="0" xfId="0">
      <alignment horizontal="center" vertical="center"/>
    </xf>
    <xf numFmtId="49" fontId="5" fillId="6" borderId="1" applyAlignment="1" pivotButton="0" quotePrefix="0" xfId="0">
      <alignmen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xf>
    <xf numFmtId="2" fontId="17" fillId="0" borderId="1" applyAlignment="1" pivotButton="0" quotePrefix="0" xfId="0">
      <alignment horizontal="center" vertical="center"/>
    </xf>
    <xf numFmtId="164" fontId="5" fillId="6" borderId="1" applyAlignment="1" pivotButton="0" quotePrefix="0" xfId="0">
      <alignment horizontal="center" vertical="center"/>
    </xf>
    <xf numFmtId="0" fontId="6" fillId="0" borderId="1" applyAlignment="1" pivotButton="0" quotePrefix="0" xfId="0">
      <alignment horizontal="left" vertical="center"/>
    </xf>
    <xf numFmtId="168" fontId="5" fillId="6"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5" fillId="6" borderId="1" applyAlignment="1" pivotButton="0" quotePrefix="0" xfId="0">
      <alignment horizontal="center" vertical="center"/>
    </xf>
    <xf numFmtId="3" fontId="5" fillId="6" borderId="1" applyAlignment="1" pivotButton="0" quotePrefix="0" xfId="0">
      <alignment horizontal="center" vertical="center"/>
    </xf>
    <xf numFmtId="164" fontId="5" fillId="6" borderId="2" applyAlignment="1" pivotButton="0" quotePrefix="0" xfId="0">
      <alignment horizontal="center" vertical="center" wrapText="1"/>
    </xf>
    <xf numFmtId="0" fontId="2" fillId="0" borderId="0" applyAlignment="1" pivotButton="0" quotePrefix="0" xfId="0">
      <alignment wrapText="1"/>
    </xf>
    <xf numFmtId="0" fontId="18" fillId="0" borderId="0" pivotButton="0" quotePrefix="0" xfId="0"/>
    <xf numFmtId="0" fontId="2" fillId="0" borderId="0" pivotButton="0" quotePrefix="0" xfId="0"/>
    <xf numFmtId="0" fontId="10" fillId="0" borderId="0" pivotButton="0" quotePrefix="0" xfId="0"/>
    <xf numFmtId="0" fontId="11" fillId="0" borderId="0" pivotButton="0" quotePrefix="0" xfId="0"/>
  </cellXfs>
  <cellStyles count="1">
    <cellStyle name="Normal" xfId="0" builtinId="0" hidden="0"/>
  </cellStyles>
  <dxfs count="3">
    <dxf>
      <font>
        <b val="1"/>
        <color rgb="00FFFFFF"/>
      </font>
      <fill>
        <patternFill patternType="solid">
          <bgColor rgb="00C00000"/>
        </patternFill>
      </fill>
    </dxf>
    <dxf>
      <font>
        <b val="1"/>
        <color rgb="00FFFFFF"/>
      </font>
      <fill>
        <patternFill patternType="solid">
          <bgColor rgb="0000A650"/>
        </patternFill>
      </fill>
    </dxf>
    <dxf>
      <font>
        <b val="1"/>
        <color rgb="007F4F00"/>
      </font>
      <fill>
        <patternFill patternType="solid">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PLANTA N+3.00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'CROQUIS_DATOS'!$CA$8:$CA$143</f>
            </numRef>
          </xVal>
          <yVal>
            <numRef>
              <f>'CROQUIS_DATOS'!$CB$8:$CB$143</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'CROQUIS_DATOS'!$CC$8:$CC$58</f>
            </numRef>
          </xVal>
          <yVal>
            <numRef>
              <f>'CROQUIS_DATOS'!$CD$8:$CD$58</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'CROQUIS_DATOS'!$CG$8:$CG$35</f>
            </numRef>
          </xVal>
          <yVal>
            <numRef>
              <f>'CROQUIS_DATOS'!$CH$8:$CH$35</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'CROQUIS_DATOS'!$CE$8:$CE$97</f>
            </numRef>
          </xVal>
          <yVal>
            <numRef>
              <f>'CROQUIS_DATOS'!$CF$8:$CF$97</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'CROQUIS_DATOS'!$CI$8:$CI$66</f>
            </numRef>
          </xVal>
          <yVal>
            <numRef>
              <f>'CROQUIS_DATOS'!$CJ$8:$CJ$66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'CROQUIS_DATOS'!$EO$8:$EO$25</f>
            </numRef>
          </xVal>
          <yVal>
            <numRef>
              <f>'CROQUIS_DATOS'!$EP$8:$EP$25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'CROQUIS_DATOS'!$EQ$8:$EQ$9</f>
            </numRef>
          </xVal>
          <yVal>
            <numRef>
              <f>'CROQUIS_DATOS'!$ER$8:$ER$9</f>
            </numRef>
          </yVal>
          <smooth val="0"/>
        </ser>
        <ser>
          <idx val="7"/>
          <order val="7"/>
          <tx>
            <strRef>
              <f>CROQUIS_DATOS!$EX$8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'CROQUIS_DATOS'!$EY$8</f>
            </numRef>
          </xVal>
          <yVal>
            <numRef>
              <f>'CROQUIS_DATOS'!$EZ$8</f>
            </numRef>
          </yVal>
          <smooth val="0"/>
        </ser>
        <ser>
          <idx val="8"/>
          <order val="8"/>
          <tx>
            <strRef>
              <f>CROQUIS_DATOS!$EX$9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'CROQUIS_DATOS'!$EY$9</f>
            </numRef>
          </xVal>
          <yVal>
            <numRef>
              <f>'CROQUIS_DATOS'!$EZ$9</f>
            </numRef>
          </yVal>
          <smooth val="0"/>
        </ser>
        <ser>
          <idx val="9"/>
          <order val="9"/>
          <tx>
            <strRef>
              <f>CROQUIS_DATOS!$EX$10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'CROQUIS_DATOS'!$EY$10</f>
            </numRef>
          </xVal>
          <yVal>
            <numRef>
              <f>'CROQUIS_DATOS'!$EZ$10</f>
            </numRef>
          </yVal>
          <smooth val="0"/>
        </ser>
        <ser>
          <idx val="10"/>
          <order val="10"/>
          <tx>
            <strRef>
              <f>CROQUIS_DATOS!$EX$11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'CROQUIS_DATOS'!$EY$11</f>
            </numRef>
          </xVal>
          <yVal>
            <numRef>
              <f>'CROQUIS_DATOS'!$EZ$11</f>
            </numRef>
          </yVal>
          <smooth val="0"/>
        </ser>
        <ser>
          <idx val="11"/>
          <order val="11"/>
          <tx>
            <strRef>
              <f>CROQUIS_DATOS!$EX$12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'CROQUIS_DATOS'!$EY$12</f>
            </numRef>
          </xVal>
          <yVal>
            <numRef>
              <f>'CROQUIS_DATOS'!$EZ$12</f>
            </numRef>
          </yVal>
          <smooth val="0"/>
        </ser>
        <ser>
          <idx val="12"/>
          <order val="12"/>
          <tx>
            <strRef>
              <f>CROQUIS_DATOS!$EX$13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'CROQUIS_DATOS'!$EY$13</f>
            </numRef>
          </xVal>
          <yVal>
            <numRef>
              <f>'CROQUIS_DATOS'!$EZ$13</f>
            </numRef>
          </yVal>
          <smooth val="0"/>
        </ser>
        <ser>
          <idx val="13"/>
          <order val="13"/>
          <tx>
            <strRef>
              <f>CROQUIS_DATOS!$EX$14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'CROQUIS_DATOS'!$EY$14</f>
            </numRef>
          </xVal>
          <yVal>
            <numRef>
              <f>'CROQUIS_DATOS'!$EZ$14</f>
            </numRef>
          </yVal>
          <smooth val="0"/>
        </ser>
        <ser>
          <idx val="14"/>
          <order val="14"/>
          <tx>
            <strRef>
              <f>CROQUIS_DATOS!$EX$15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'CROQUIS_DATOS'!$EY$15</f>
            </numRef>
          </xVal>
          <yVal>
            <numRef>
              <f>'CROQUIS_DATOS'!$EZ$15</f>
            </numRef>
          </yVal>
          <smooth val="0"/>
        </ser>
        <ser>
          <idx val="15"/>
          <order val="15"/>
          <tx>
            <strRef>
              <f>CROQUIS_DATOS!$EX$16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'CROQUIS_DATOS'!$EY$16</f>
            </numRef>
          </xVal>
          <yVal>
            <numRef>
              <f>'CROQUIS_DATOS'!$EZ$16</f>
            </numRef>
          </yVal>
          <smooth val="0"/>
        </ser>
        <ser>
          <idx val="16"/>
          <order val="16"/>
          <tx>
            <strRef>
              <f>CROQUIS_DATOS!$EX$17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'CROQUIS_DATOS'!$EY$17</f>
            </numRef>
          </xVal>
          <yVal>
            <numRef>
              <f>'CROQUIS_DATOS'!$EZ$17</f>
            </numRef>
          </yVal>
          <smooth val="0"/>
        </ser>
        <ser>
          <idx val="17"/>
          <order val="17"/>
          <tx>
            <strRef>
              <f>CROQUIS_DATOS!$EX$18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'CROQUIS_DATOS'!$EY$18</f>
            </numRef>
          </xVal>
          <yVal>
            <numRef>
              <f>'CROQUIS_DATOS'!$EZ$18</f>
            </numRef>
          </yVal>
          <smooth val="0"/>
        </ser>
        <ser>
          <idx val="18"/>
          <order val="18"/>
          <tx>
            <strRef>
              <f>CROQUIS_DATOS!$EX$19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'CROQUIS_DATOS'!$EY$19</f>
            </numRef>
          </xVal>
          <yVal>
            <numRef>
              <f>'CROQUIS_DATOS'!$EZ$19</f>
            </numRef>
          </yVal>
          <smooth val="0"/>
        </ser>
        <ser>
          <idx val="19"/>
          <order val="19"/>
          <tx>
            <strRef>
              <f>CROQUIS_DATOS!$EX$20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'CROQUIS_DATOS'!$EY$20</f>
            </numRef>
          </xVal>
          <yVal>
            <numRef>
              <f>'CROQUIS_DATOS'!$EZ$20</f>
            </numRef>
          </yVal>
          <smooth val="0"/>
        </ser>
        <ser>
          <idx val="20"/>
          <order val="20"/>
          <tx>
            <strRef>
              <f>CROQUIS_DATOS!$EX$21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'CROQUIS_DATOS'!$EY$21</f>
            </numRef>
          </xVal>
          <yVal>
            <numRef>
              <f>'CROQUIS_DATOS'!$EZ$21</f>
            </numRef>
          </yVal>
          <smooth val="0"/>
        </ser>
        <ser>
          <idx val="21"/>
          <order val="21"/>
          <tx>
            <strRef>
              <f>CROQUIS_DATOS!$EX$22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'CROQUIS_DATOS'!$EY$22</f>
            </numRef>
          </xVal>
          <yVal>
            <numRef>
              <f>'CROQUIS_DATOS'!$EZ$22</f>
            </numRef>
          </yVal>
          <smooth val="0"/>
        </ser>
        <ser>
          <idx val="22"/>
          <order val="22"/>
          <tx>
            <strRef>
              <f>CROQUIS_DATOS!$EX$23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'CROQUIS_DATOS'!$EY$23</f>
            </numRef>
          </xVal>
          <yVal>
            <numRef>
              <f>'CROQUIS_DATOS'!$EZ$23</f>
            </numRef>
          </yVal>
          <smooth val="0"/>
        </ser>
        <ser>
          <idx val="23"/>
          <order val="23"/>
          <tx>
            <strRef>
              <f>CROQUIS_DATOS!$EX$24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'CROQUIS_DATOS'!$EY$24</f>
            </numRef>
          </xVal>
          <yVal>
            <numRef>
              <f>'CROQUIS_DATOS'!$EZ$24</f>
            </numRef>
          </yVal>
          <smooth val="0"/>
        </ser>
        <ser>
          <idx val="24"/>
          <order val="24"/>
          <tx>
            <strRef>
              <f>CROQUIS_DATOS!$EX$25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'CROQUIS_DATOS'!$EY$25</f>
            </numRef>
          </xVal>
          <yVal>
            <numRef>
              <f>'CROQUIS_DATOS'!$EZ$25</f>
            </numRef>
          </yVal>
          <smooth val="0"/>
        </ser>
        <ser>
          <idx val="25"/>
          <order val="25"/>
          <tx>
            <strRef>
              <f>CROQUIS_DATOS!$EX$26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'CROQUIS_DATOS'!$EY$26</f>
            </numRef>
          </xVal>
          <yVal>
            <numRef>
              <f>'CROQUIS_DATOS'!$EZ$26</f>
            </numRef>
          </yVal>
          <smooth val="0"/>
        </ser>
        <ser>
          <idx val="26"/>
          <order val="26"/>
          <tx>
            <strRef>
              <f>CROQUIS_DATOS!$EX$27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'CROQUIS_DATOS'!$EY$27</f>
            </numRef>
          </xVal>
          <yVal>
            <numRef>
              <f>'CROQUIS_DATOS'!$EZ$27</f>
            </numRef>
          </yVal>
          <smooth val="0"/>
        </ser>
        <ser>
          <idx val="27"/>
          <order val="27"/>
          <tx>
            <strRef>
              <f>CROQUIS_DATOS!$FB$48</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'CROQUIS_DATOS'!$EY$48</f>
            </numRef>
          </xVal>
          <yVal>
            <numRef>
              <f>'CROQUIS_DATOS'!$EZ$48</f>
            </numRef>
          </yVal>
          <smooth val="0"/>
        </ser>
        <ser>
          <idx val="28"/>
          <order val="28"/>
          <tx>
            <strRef>
              <f>CROQUIS_DATOS!$FB$49</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'CROQUIS_DATOS'!$EY$49</f>
            </numRef>
          </xVal>
          <yVal>
            <numRef>
              <f>'CROQUIS_DATOS'!$EZ$49</f>
            </numRef>
          </yVal>
          <smooth val="0"/>
        </ser>
        <ser>
          <idx val="29"/>
          <order val="29"/>
          <tx>
            <strRef>
              <f>CROQUIS_DATOS!$FB$50</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'CROQUIS_DATOS'!$EY$50</f>
            </numRef>
          </xVal>
          <yVal>
            <numRef>
              <f>'CROQUIS_DATOS'!$EZ$50</f>
            </numRef>
          </yVal>
          <smooth val="0"/>
        </ser>
        <ser>
          <idx val="30"/>
          <order val="30"/>
          <tx>
            <strRef>
              <f>CROQUIS_DATOS!$FB$51</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'CROQUIS_DATOS'!$EY$51</f>
            </numRef>
          </xVal>
          <yVal>
            <numRef>
              <f>'CROQUIS_DATOS'!$EZ$51</f>
            </numRef>
          </yVal>
          <smooth val="0"/>
        </ser>
        <ser>
          <idx val="31"/>
          <order val="31"/>
          <tx>
            <strRef>
              <f>CROQUIS_DATOS!$FB$52</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'CROQUIS_DATOS'!$EY$52</f>
            </numRef>
          </xVal>
          <yVal>
            <numRef>
              <f>'CROQUIS_DATOS'!$EZ$52</f>
            </numRef>
          </yVal>
          <smooth val="0"/>
        </ser>
        <ser>
          <idx val="32"/>
          <order val="32"/>
          <tx>
            <strRef>
              <f>CROQUIS_DATOS!$FB$53</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'CROQUIS_DATOS'!$EY$53</f>
            </numRef>
          </xVal>
          <yVal>
            <numRef>
              <f>'CROQUIS_DATOS'!$EZ$53</f>
            </numRef>
          </yVal>
          <smooth val="0"/>
        </ser>
        <ser>
          <idx val="33"/>
          <order val="33"/>
          <tx>
            <strRef>
              <f>CROQUIS_DATOS!$FB$54</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'CROQUIS_DATOS'!$EY$54</f>
            </numRef>
          </xVal>
          <yVal>
            <numRef>
              <f>'CROQUIS_DATOS'!$EZ$54</f>
            </numRef>
          </yVal>
          <smooth val="0"/>
        </ser>
        <ser>
          <idx val="34"/>
          <order val="34"/>
          <tx>
            <strRef>
              <f>CROQUIS_DATOS!$FB$55</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'CROQUIS_DATOS'!$EY$55</f>
            </numRef>
          </xVal>
          <yVal>
            <numRef>
              <f>'CROQUIS_DATOS'!$EZ$55</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PLANTA N+6.00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'CROQUIS_DATOS'!$CK$8:$CK$87</f>
            </numRef>
          </xVal>
          <yVal>
            <numRef>
              <f>'CROQUIS_DATOS'!$CL$8:$CL$87</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'CROQUIS_DATOS'!$CM$8:$CM$73</f>
            </numRef>
          </xVal>
          <yVal>
            <numRef>
              <f>'CROQUIS_DATOS'!$CN$8:$CN$73</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'CROQUIS_DATOS'!$CQ$8:$CQ$67</f>
            </numRef>
          </xVal>
          <yVal>
            <numRef>
              <f>'CROQUIS_DATOS'!$CR$8:$CR$67</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'CROQUIS_DATOS'!$CO$8:$CO$19</f>
            </numRef>
          </xVal>
          <yVal>
            <numRef>
              <f>'CROQUIS_DATOS'!$CP$8:$CP$19</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'CROQUIS_DATOS'!$CS$8:$CS$76</f>
            </numRef>
          </xVal>
          <yVal>
            <numRef>
              <f>'CROQUIS_DATOS'!$CT$8:$CT$76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'CROQUIS_DATOS'!$ES$8:$ES$25</f>
            </numRef>
          </xVal>
          <yVal>
            <numRef>
              <f>'CROQUIS_DATOS'!$ET$8:$ET$25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'CROQUIS_DATOS'!$EU$8:$EU$9</f>
            </numRef>
          </xVal>
          <yVal>
            <numRef>
              <f>'CROQUIS_DATOS'!$EV$8:$EV$9</f>
            </numRef>
          </yVal>
          <smooth val="0"/>
        </ser>
        <ser>
          <idx val="7"/>
          <order val="7"/>
          <tx>
            <strRef>
              <f>CROQUIS_DATOS!$EX$28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'CROQUIS_DATOS'!$EY$28</f>
            </numRef>
          </xVal>
          <yVal>
            <numRef>
              <f>'CROQUIS_DATOS'!$EZ$28</f>
            </numRef>
          </yVal>
          <smooth val="0"/>
        </ser>
        <ser>
          <idx val="8"/>
          <order val="8"/>
          <tx>
            <strRef>
              <f>CROQUIS_DATOS!$EX$29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'CROQUIS_DATOS'!$EY$29</f>
            </numRef>
          </xVal>
          <yVal>
            <numRef>
              <f>'CROQUIS_DATOS'!$EZ$29</f>
            </numRef>
          </yVal>
          <smooth val="0"/>
        </ser>
        <ser>
          <idx val="9"/>
          <order val="9"/>
          <tx>
            <strRef>
              <f>CROQUIS_DATOS!$EX$30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'CROQUIS_DATOS'!$EY$30</f>
            </numRef>
          </xVal>
          <yVal>
            <numRef>
              <f>'CROQUIS_DATOS'!$EZ$30</f>
            </numRef>
          </yVal>
          <smooth val="0"/>
        </ser>
        <ser>
          <idx val="10"/>
          <order val="10"/>
          <tx>
            <strRef>
              <f>CROQUIS_DATOS!$EX$31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'CROQUIS_DATOS'!$EY$31</f>
            </numRef>
          </xVal>
          <yVal>
            <numRef>
              <f>'CROQUIS_DATOS'!$EZ$31</f>
            </numRef>
          </yVal>
          <smooth val="0"/>
        </ser>
        <ser>
          <idx val="11"/>
          <order val="11"/>
          <tx>
            <strRef>
              <f>CROQUIS_DATOS!$EX$32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'CROQUIS_DATOS'!$EY$32</f>
            </numRef>
          </xVal>
          <yVal>
            <numRef>
              <f>'CROQUIS_DATOS'!$EZ$32</f>
            </numRef>
          </yVal>
          <smooth val="0"/>
        </ser>
        <ser>
          <idx val="12"/>
          <order val="12"/>
          <tx>
            <strRef>
              <f>CROQUIS_DATOS!$EX$33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'CROQUIS_DATOS'!$EY$33</f>
            </numRef>
          </xVal>
          <yVal>
            <numRef>
              <f>'CROQUIS_DATOS'!$EZ$33</f>
            </numRef>
          </yVal>
          <smooth val="0"/>
        </ser>
        <ser>
          <idx val="13"/>
          <order val="13"/>
          <tx>
            <strRef>
              <f>CROQUIS_DATOS!$EX$34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'CROQUIS_DATOS'!$EY$34</f>
            </numRef>
          </xVal>
          <yVal>
            <numRef>
              <f>'CROQUIS_DATOS'!$EZ$34</f>
            </numRef>
          </yVal>
          <smooth val="0"/>
        </ser>
        <ser>
          <idx val="14"/>
          <order val="14"/>
          <tx>
            <strRef>
              <f>CROQUIS_DATOS!$EX$35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'CROQUIS_DATOS'!$EY$35</f>
            </numRef>
          </xVal>
          <yVal>
            <numRef>
              <f>'CROQUIS_DATOS'!$EZ$35</f>
            </numRef>
          </yVal>
          <smooth val="0"/>
        </ser>
        <ser>
          <idx val="15"/>
          <order val="15"/>
          <tx>
            <strRef>
              <f>CROQUIS_DATOS!$EX$36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'CROQUIS_DATOS'!$EY$36</f>
            </numRef>
          </xVal>
          <yVal>
            <numRef>
              <f>'CROQUIS_DATOS'!$EZ$36</f>
            </numRef>
          </yVal>
          <smooth val="0"/>
        </ser>
        <ser>
          <idx val="16"/>
          <order val="16"/>
          <tx>
            <strRef>
              <f>CROQUIS_DATOS!$EX$37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'CROQUIS_DATOS'!$EY$37</f>
            </numRef>
          </xVal>
          <yVal>
            <numRef>
              <f>'CROQUIS_DATOS'!$EZ$37</f>
            </numRef>
          </yVal>
          <smooth val="0"/>
        </ser>
        <ser>
          <idx val="17"/>
          <order val="17"/>
          <tx>
            <strRef>
              <f>CROQUIS_DATOS!$EX$38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'CROQUIS_DATOS'!$EY$38</f>
            </numRef>
          </xVal>
          <yVal>
            <numRef>
              <f>'CROQUIS_DATOS'!$EZ$38</f>
            </numRef>
          </yVal>
          <smooth val="0"/>
        </ser>
        <ser>
          <idx val="18"/>
          <order val="18"/>
          <tx>
            <strRef>
              <f>CROQUIS_DATOS!$EX$39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'CROQUIS_DATOS'!$EY$39</f>
            </numRef>
          </xVal>
          <yVal>
            <numRef>
              <f>'CROQUIS_DATOS'!$EZ$39</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PLANTA DEL TABLERO — CASETONES Y NERVADURAS</a:t>
            </a:r>
          </a:p>
        </rich>
      </tx>
    </title>
    <plotArea>
      <scatterChart>
        <scatterStyle val="lineMarker"/>
        <ser>
          <idx val="0"/>
          <order val="0"/>
          <tx>
            <strRef>
              <f>CROQUIS_DATOS!$A$400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'CROQUIS_DATOS'!$B$8:$B$67</f>
            </numRef>
          </xVal>
          <yVal>
            <numRef>
              <f>'CROQUIS_DATOS'!$C$8:$C$67</f>
            </numRef>
          </yVal>
          <smooth val="0"/>
        </ser>
        <ser>
          <idx val="1"/>
          <order val="1"/>
          <tx>
            <strRef>
              <f>CROQUIS_DATOS!$A$401</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'CROQUIS_DATOS'!$D$8:$D$67</f>
            </numRef>
          </xVal>
          <yVal>
            <numRef>
              <f>'CROQUIS_DATOS'!$E$8:$E$67</f>
            </numRef>
          </yVal>
          <smooth val="0"/>
        </ser>
        <ser>
          <idx val="2"/>
          <order val="2"/>
          <tx>
            <strRef>
              <f>CROQUIS_DATOS!$A$402</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'CROQUIS_DATOS'!$F$8:$F$67</f>
            </numRef>
          </xVal>
          <yVal>
            <numRef>
              <f>'CROQUIS_DATOS'!$G$8:$G$67</f>
            </numRef>
          </yVal>
          <smooth val="0"/>
        </ser>
        <ser>
          <idx val="3"/>
          <order val="3"/>
          <tx>
            <strRef>
              <f>CROQUIS_DATOS!$A$403</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'CROQUIS_DATOS'!$H$8:$H$67</f>
            </numRef>
          </xVal>
          <yVal>
            <numRef>
              <f>'CROQUIS_DATOS'!$I$8:$I$67</f>
            </numRef>
          </yVal>
          <smooth val="0"/>
        </ser>
        <ser>
          <idx val="4"/>
          <order val="4"/>
          <tx>
            <strRef>
              <f>CROQUIS_DATOS!$A$404</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'CROQUIS_DATOS'!$J$8:$J$13</f>
            </numRef>
          </xVal>
          <yVal>
            <numRef>
              <f>'CROQUIS_DATOS'!$K$8:$K$13</f>
            </numRef>
          </yVal>
          <smooth val="0"/>
        </ser>
        <ser>
          <idx val="5"/>
          <order val="5"/>
          <tx>
            <strRef>
              <f>CROQUIS_DATOS!$A$405</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'CROQUIS_DATOS'!$L$8:$L$13</f>
            </numRef>
          </xVal>
          <yVal>
            <numRef>
              <f>'CROQUIS_DATOS'!$M$8:$M$13</f>
            </numRef>
          </yVal>
          <smooth val="0"/>
        </ser>
        <ser>
          <idx val="6"/>
          <order val="6"/>
          <tx>
            <strRef>
              <f>CROQUIS_DATOS!$A$406</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'CROQUIS_DATOS'!$N$8:$N$13</f>
            </numRef>
          </xVal>
          <yVal>
            <numRef>
              <f>'CROQUIS_DATOS'!$O$8:$O$13</f>
            </numRef>
          </yVal>
          <smooth val="0"/>
        </ser>
        <ser>
          <idx val="7"/>
          <order val="7"/>
          <tx>
            <strRef>
              <f>CROQUIS_DATOS!$A$407</f>
            </strRef>
          </tx>
          <spPr>
            <a:ln xmlns:a="http://schemas.openxmlformats.org/drawingml/2006/main" w="25400">
              <a:solidFill>
                <a:srgbClr val="00B050"/>
              </a:solidFill>
              <a:prstDash val="solid"/>
            </a:ln>
          </spPr>
          <marker>
            <symbol val="none"/>
            <spPr>
              <a:ln xmlns:a="http://schemas.openxmlformats.org/drawingml/2006/main">
                <a:prstDash val="solid"/>
              </a:ln>
            </spPr>
          </marker>
          <xVal>
            <numRef>
              <f>'CROQUIS_DATOS'!$P$8:$P$13</f>
            </numRef>
          </xVal>
          <yVal>
            <numRef>
              <f>'CROQUIS_DATOS'!$Q$8:$Q$13</f>
            </numRef>
          </yVal>
          <smooth val="0"/>
        </ser>
        <ser>
          <idx val="8"/>
          <order val="8"/>
          <tx>
            <strRef>
              <f>CROQUIS_DATOS!$A$408</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'CROQUIS_DATOS'!$R$8:$R$13</f>
            </numRef>
          </xVal>
          <yVal>
            <numRef>
              <f>'CROQUIS_DATOS'!$S$8:$S$13</f>
            </numRef>
          </yVal>
          <smooth val="0"/>
        </ser>
        <ser>
          <idx val="9"/>
          <order val="9"/>
          <tx>
            <strRef>
              <f>CROQUIS_DATOS!$A$409</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'CROQUIS_DATOS'!$T$8:$T$13</f>
            </numRef>
          </xVal>
          <yVal>
            <numRef>
              <f>'CROQUIS_DATOS'!$U$8:$U$13</f>
            </numRef>
          </yVal>
          <smooth val="0"/>
        </ser>
        <ser>
          <idx val="10"/>
          <order val="10"/>
          <tx>
            <strRef>
              <f>CROQUIS_DATOS!$A$410</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'CROQUIS_DATOS'!$V$8:$V$14</f>
            </numRef>
          </xVal>
          <yVal>
            <numRef>
              <f>'CROQUIS_DATOS'!$W$8:$W$14</f>
            </numRef>
          </yVal>
          <smooth val="0"/>
        </ser>
        <ser>
          <idx val="11"/>
          <order val="11"/>
          <tx>
            <strRef>
              <f>CROQUIS_DATOS!$A$411</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'CROQUIS_DATOS'!$X$8:$X$14</f>
            </numRef>
          </xVal>
          <yVal>
            <numRef>
              <f>'CROQUIS_DATOS'!$Y$8:$Y$14</f>
            </numRef>
          </yVal>
          <smooth val="0"/>
        </ser>
        <ser>
          <idx val="12"/>
          <order val="12"/>
          <tx>
            <strRef>
              <f>CROQUIS_DATOS!$A$412</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'CROQUIS_DATOS'!$Z$8:$Z$14</f>
            </numRef>
          </xVal>
          <yVal>
            <numRef>
              <f>'CROQUIS_DATOS'!$AA$8:$AA$14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SECUNDARIA (cm)</a:t>
            </a:r>
          </a:p>
        </rich>
      </tx>
    </title>
    <plotArea>
      <scatterChart>
        <scatterStyle val="lineMarker"/>
        <ser>
          <idx val="0"/>
          <order val="0"/>
          <tx>
            <strRef>
              <f>CROQUIS_DATOS!$A$413</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'CROQUIS_DATOS'!$AB$8:$AB$16</f>
            </numRef>
          </xVal>
          <yVal>
            <numRef>
              <f>'CROQUIS_DATOS'!$AC$8:$AC$16</f>
            </numRef>
          </yVal>
          <smooth val="0"/>
        </ser>
        <ser>
          <idx val="1"/>
          <order val="1"/>
          <tx>
            <strRef>
              <f>CROQUIS_DATOS!$A$414</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'CROQUIS_DATOS'!$AD$8:$AD$12</f>
            </numRef>
          </xVal>
          <yVal>
            <numRef>
              <f>'CROQUIS_DATOS'!$AE$8:$AE$12</f>
            </numRef>
          </yVal>
          <smooth val="0"/>
        </ser>
        <ser>
          <idx val="2"/>
          <order val="2"/>
          <tx>
            <strRef>
              <f>CROQUIS_DATOS!$A$415</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'CROQUIS_DATOS'!$AF$8:$AF$12</f>
            </numRef>
          </xVal>
          <yVal>
            <numRef>
              <f>'CROQUIS_DATOS'!$AG$8:$AG$12</f>
            </numRef>
          </yVal>
          <smooth val="0"/>
        </ser>
        <ser>
          <idx val="3"/>
          <order val="3"/>
          <tx>
            <strRef>
              <f>CROQUIS_DATOS!$A$416</f>
            </strRef>
          </tx>
          <spPr>
            <a:ln xmlns:a="http://schemas.openxmlformats.org/drawingml/2006/main" w="12700">
              <a:solidFill>
                <a:srgbClr val="00B050"/>
              </a:solidFill>
              <a:prstDash val="sysDash"/>
            </a:ln>
          </spPr>
          <marker>
            <symbol val="none"/>
            <spPr>
              <a:ln xmlns:a="http://schemas.openxmlformats.org/drawingml/2006/main">
                <a:prstDash val="solid"/>
              </a:ln>
            </spPr>
          </marker>
          <xVal>
            <numRef>
              <f>'CROQUIS_DATOS'!$AH$8:$AH$9</f>
            </numRef>
          </xVal>
          <yVal>
            <numRef>
              <f>'CROQUIS_DATOS'!$AI$8:$AI$9</f>
            </numRef>
          </yVal>
          <smooth val="0"/>
        </ser>
        <ser>
          <idx val="4"/>
          <order val="4"/>
          <tx>
            <strRef>
              <f>CROQUIS_DATOS!$A$419</f>
            </strRef>
          </tx>
          <spPr>
            <a:ln xmlns:a="http://schemas.openxmlformats.org/drawingml/2006/main" w="12700">
              <a:solidFill>
                <a:srgbClr val="7030A0"/>
              </a:solidFill>
              <a:prstDash val="solid"/>
            </a:ln>
          </spPr>
          <marker>
            <symbol val="none"/>
            <spPr>
              <a:ln xmlns:a="http://schemas.openxmlformats.org/drawingml/2006/main">
                <a:prstDash val="solid"/>
              </a:ln>
            </spPr>
          </marker>
          <xVal>
            <numRef>
              <f>'CROQUIS_DATOS'!$AN$8:$AN$12</f>
            </numRef>
          </xVal>
          <yVal>
            <numRef>
              <f>'CROQUIS_DATOS'!$AO$8:$AO$12</f>
            </numRef>
          </yVal>
          <smooth val="0"/>
        </ser>
        <ser>
          <idx val="5"/>
          <order val="5"/>
          <tx>
            <strRef>
              <f>CROQUIS_DATOS!$A$417</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'CROQUIS_DATOS'!$AJ$8:$AJ$9</f>
            </numRef>
          </xVal>
          <yVal>
            <numRef>
              <f>'CROQUIS_DATOS'!$AK$8:$AK$9</f>
            </numRef>
          </yVal>
          <smooth val="0"/>
        </ser>
        <ser>
          <idx val="6"/>
          <order val="6"/>
          <tx>
            <strRef>
              <f>CROQUIS_DATOS!$A$418</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'CROQUIS_DATOS'!$AL$8:$AL$9</f>
            </numRef>
          </xVal>
          <yVal>
            <numRef>
              <f>'CROQUIS_DATOS'!$AM$8:$AM$9</f>
            </numRef>
          </yVal>
          <smooth val="0"/>
        </ser>
        <ser>
          <idx val="7"/>
          <order val="7"/>
          <tx>
            <strRef>
              <f>CROQUIS_DATOS!$A$420</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'CROQUIS_DATOS'!$AP$8:$AP$14</f>
            </numRef>
          </xVal>
          <yVal>
            <numRef>
              <f>'CROQUIS_DATOS'!$AQ$8:$AQ$14</f>
            </numRef>
          </yVal>
          <smooth val="0"/>
        </ser>
        <ser>
          <idx val="8"/>
          <order val="8"/>
          <tx>
            <strRef>
              <f>CROQUIS_DATOS!$A$421</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'CROQUIS_DATOS'!$AR$8:$AR$14</f>
            </numRef>
          </xVal>
          <yVal>
            <numRef>
              <f>'CROQUIS_DATOS'!$AS$8:$AS$14</f>
            </numRef>
          </yVal>
          <smooth val="0"/>
        </ser>
        <ser>
          <idx val="9"/>
          <order val="9"/>
          <tx>
            <strRef>
              <f>CROQUIS_DATOS!$A$422</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'CROQUIS_DATOS'!$AT$8:$AT$14</f>
            </numRef>
          </xVal>
          <yVal>
            <numRef>
              <f>'CROQUIS_DATOS'!$AU$8:$AU$14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34"/>
          <min val="-10"/>
        </scaling>
        <delete val="1"/>
        <axPos val="l"/>
        <majorTickMark val="none"/>
        <minorTickMark val="none"/>
        <crossAx val="10"/>
      </valAx>
    </plotArea>
    <legend>
      <legendPos val="b"/>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ALZADO DE LA NERVADURA DEL CLARO CORTO</a:t>
            </a:r>
          </a:p>
        </rich>
      </tx>
    </title>
    <plotArea>
      <scatterChart>
        <scatterStyle val="lineMarker"/>
        <ser>
          <idx val="0"/>
          <order val="0"/>
          <tx>
            <strRef>
              <f>CROQUIS_DATOS!$A$423</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'CROQUIS_DATOS'!$AV$8:$AV$12</f>
            </numRef>
          </xVal>
          <yVal>
            <numRef>
              <f>'CROQUIS_DATOS'!$AW$8:$AW$12</f>
            </numRef>
          </yVal>
          <smooth val="0"/>
        </ser>
        <ser>
          <idx val="1"/>
          <order val="1"/>
          <tx>
            <strRef>
              <f>CROQUIS_DATOS!$A$424</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'CROQUIS_DATOS'!$AX$8:$AX$12</f>
            </numRef>
          </xVal>
          <yVal>
            <numRef>
              <f>'CROQUIS_DATOS'!$AY$8:$AY$12</f>
            </numRef>
          </yVal>
          <smooth val="0"/>
        </ser>
        <ser>
          <idx val="2"/>
          <order val="2"/>
          <tx>
            <strRef>
              <f>CROQUIS_DATOS!$A$425</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'CROQUIS_DATOS'!$AZ$8:$AZ$12</f>
            </numRef>
          </xVal>
          <yVal>
            <numRef>
              <f>'CROQUIS_DATOS'!$BA$8:$BA$12</f>
            </numRef>
          </yVal>
          <smooth val="0"/>
        </ser>
        <ser>
          <idx val="3"/>
          <order val="3"/>
          <tx>
            <strRef>
              <f>CROQUIS_DATOS!$A$426</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'CROQUIS_DATOS'!$BB$8:$BB$11</f>
            </numRef>
          </xVal>
          <yVal>
            <numRef>
              <f>'CROQUIS_DATOS'!$BC$8:$BC$11</f>
            </numRef>
          </yVal>
          <smooth val="0"/>
        </ser>
        <ser>
          <idx val="4"/>
          <order val="4"/>
          <tx>
            <strRef>
              <f>CROQUIS_DATOS!$A$427</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'CROQUIS_DATOS'!$BD$8:$BD$10</f>
            </numRef>
          </xVal>
          <yVal>
            <numRef>
              <f>'CROQUIS_DATOS'!$BE$8:$BE$10</f>
            </numRef>
          </yVal>
          <smooth val="0"/>
        </ser>
        <ser>
          <idx val="5"/>
          <order val="5"/>
          <tx>
            <strRef>
              <f>CROQUIS_DATOS!$A$428</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'CROQUIS_DATOS'!$BF$8:$BF$10</f>
            </numRef>
          </xVal>
          <yVal>
            <numRef>
              <f>'CROQUIS_DATOS'!$BG$8:$BG$10</f>
            </numRef>
          </yVal>
          <smooth val="0"/>
        </ser>
        <ser>
          <idx val="6"/>
          <order val="6"/>
          <tx>
            <strRef>
              <f>CROQUIS_DATOS!$A$429</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'CROQUIS_DATOS'!$BH$8:$BH$14</f>
            </numRef>
          </xVal>
          <yVal>
            <numRef>
              <f>'CROQUIS_DATOS'!$BI$8:$BI$14</f>
            </numRef>
          </yVal>
          <smooth val="0"/>
        </ser>
        <axId val="10"/>
        <axId val="20"/>
      </scatterChart>
      <valAx>
        <axId val="10"/>
        <scaling>
          <orientation val="minMax"/>
          <max val="108"/>
          <min val="-8"/>
        </scaling>
        <delete val="1"/>
        <axPos val="l"/>
        <majorTickMark val="none"/>
        <minorTickMark val="none"/>
        <crossAx val="20"/>
      </valAx>
      <valAx>
        <axId val="20"/>
        <scaling>
          <orientation val="minMax"/>
          <max val="20"/>
          <min val="-20"/>
        </scaling>
        <delete val="1"/>
        <axPos val="l"/>
        <majorTickMark val="none"/>
        <minorTickMark val="none"/>
        <crossAx val="10"/>
      </valAx>
    </plotArea>
    <legend>
      <legendPos val="b"/>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PRINCIPAL ESCOGIDA (cm)</a:t>
            </a:r>
          </a:p>
        </rich>
      </tx>
    </title>
    <plotArea>
      <scatterChart>
        <scatterStyle val="lineMarker"/>
        <ser>
          <idx val="0"/>
          <order val="0"/>
          <tx>
            <strRef>
              <f>CROQUIS_DATOS!$A$430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'CROQUIS_DATOS'!$BJ$8:$BJ$16</f>
            </numRef>
          </xVal>
          <yVal>
            <numRef>
              <f>'CROQUIS_DATOS'!$BK$8:$BK$16</f>
            </numRef>
          </yVal>
          <smooth val="0"/>
        </ser>
        <ser>
          <idx val="1"/>
          <order val="1"/>
          <tx>
            <strRef>
              <f>CROQUIS_DATOS!$A$431</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'CROQUIS_DATOS'!$BL$8:$BL$12</f>
            </numRef>
          </xVal>
          <yVal>
            <numRef>
              <f>'CROQUIS_DATOS'!$BM$8:$BM$12</f>
            </numRef>
          </yVal>
          <smooth val="0"/>
        </ser>
        <ser>
          <idx val="2"/>
          <order val="2"/>
          <tx>
            <strRef>
              <f>CROQUIS_DATOS!$A$432</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'CROQUIS_DATOS'!$BN$8:$BN$12</f>
            </numRef>
          </xVal>
          <yVal>
            <numRef>
              <f>'CROQUIS_DATOS'!$BO$8:$BO$12</f>
            </numRef>
          </yVal>
          <smooth val="0"/>
        </ser>
        <ser>
          <idx val="3"/>
          <order val="3"/>
          <tx>
            <strRef>
              <f>CROQUIS_DATOS!$A$433</f>
            </strRef>
          </tx>
          <spPr>
            <a:ln xmlns:a="http://schemas.openxmlformats.org/drawingml/2006/main" w="15875">
              <a:solidFill>
                <a:srgbClr val="7030A0"/>
              </a:solidFill>
              <a:prstDash val="solid"/>
            </a:ln>
          </spPr>
          <marker>
            <symbol val="none"/>
            <spPr>
              <a:ln xmlns:a="http://schemas.openxmlformats.org/drawingml/2006/main">
                <a:prstDash val="solid"/>
              </a:ln>
            </spPr>
          </marker>
          <xVal>
            <numRef>
              <f>'CROQUIS_DATOS'!$BP$8:$BP$12</f>
            </numRef>
          </xVal>
          <yVal>
            <numRef>
              <f>'CROQUIS_DATOS'!$BQ$8:$BQ$12</f>
            </numRef>
          </yVal>
          <smooth val="0"/>
        </ser>
        <ser>
          <idx val="4"/>
          <order val="4"/>
          <tx>
            <strRef>
              <f>CROQUIS_DATOS!$A$434</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'CROQUIS_DATOS'!$BR$8:$BR$15</f>
            </numRef>
          </xVal>
          <yVal>
            <numRef>
              <f>'CROQUIS_DATOS'!$BS$8:$BS$15</f>
            </numRef>
          </yVal>
          <smooth val="0"/>
        </ser>
        <ser>
          <idx val="5"/>
          <order val="5"/>
          <tx>
            <strRef>
              <f>CROQUIS_DATOS!$A$435</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'CROQUIS_DATOS'!$BT$8:$BT$15</f>
            </numRef>
          </xVal>
          <yVal>
            <numRef>
              <f>'CROQUIS_DATOS'!$BU$8:$BU$15</f>
            </numRef>
          </yVal>
          <smooth val="0"/>
        </ser>
        <ser>
          <idx val="6"/>
          <order val="6"/>
          <tx>
            <strRef>
              <f>CROQUIS_DATOS!$A$436</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'CROQUIS_DATOS'!$BV$8:$BV$14</f>
            </numRef>
          </xVal>
          <yVal>
            <numRef>
              <f>'CROQUIS_DATOS'!$BW$8:$BW$14</f>
            </numRef>
          </yVal>
          <smooth val="0"/>
        </ser>
        <ser>
          <idx val="7"/>
          <order val="7"/>
          <tx>
            <strRef>
              <f>CROQUIS_DATOS!$A$437</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'CROQUIS_DATOS'!$BX$8:$BX$14</f>
            </numRef>
          </xVal>
          <yVal>
            <numRef>
              <f>'CROQUIS_DATOS'!$BY$8:$BY$14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62"/>
          <min val="-10"/>
        </scaling>
        <delete val="1"/>
        <axPos val="l"/>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Claude</author>
  </authors>
  <commentList>
    <comment ref="F34" authorId="0" shapeId="0">
      <text>
        <t>Fijado a mano: el tablero es irregular y se usa su rectángulo representativo (ver TABLEROS).</t>
      </text>
    </comment>
    <comment ref="F53" authorId="0" shapeId="0">
      <text>
        <t>Fijado a mano: el tablero es irregular y se usa su rectángulo representativo (ver TABLEROS).</t>
      </text>
    </comment>
    <comment ref="F54" authorId="0" shapeId="0">
      <text>
        <t>Fijado a mano: el tablero es irregular y se usa su rectángulo representativo (ver TABLEROS).</t>
      </text>
    </comment>
    <comment ref="F55" authorId="0" shapeId="0">
      <text>
        <t>Fijado a mano: el tablero es irregular y se usa su rectángulo representativo (ver TABLEROS).</t>
      </text>
    </comment>
    <comment ref="F56" authorId="0" shapeId="0">
      <text>
        <t>Fijado a mano: el tablero es irregular y se usa su rectángulo representativo (ver TABLEROS).</t>
      </text>
    </comment>
    <comment ref="F153" authorId="0" shapeId="0">
      <text>
        <t>Fijado a mano: el tablero es irregular y se usa su rectángulo representativo (ver TABLEROS).</t>
      </text>
    </comment>
    <comment ref="F154" authorId="0" shapeId="0">
      <text>
        <t>Fijado a mano: el tablero es irregular y se usa su rectángulo representativo (ver TABLEROS).</t>
      </text>
    </comment>
    <comment ref="F155" authorId="0" shapeId="0">
      <text>
        <t>Fijado a mano: el tablero es irregular y se usa su rectángulo representativo (ver TABLEROS).</t>
      </text>
    </comment>
    <comment ref="F156" authorId="0" shapeId="0">
      <text>
        <t>Fijado a mano: el tablero es irregular y se usa su rectángulo representativo (ver TABLEROS).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41</row>
      <rowOff>0</rowOff>
    </from>
    <ext cx="4140000" cy="81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41</row>
      <rowOff>0</rowOff>
    </from>
    <ext cx="4140000" cy="81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89</row>
      <rowOff>0</rowOff>
    </from>
    <ext cx="6120000" cy="82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89</row>
      <rowOff>0</rowOff>
    </from>
    <ext cx="5400000" cy="48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119</row>
      <rowOff>0</rowOff>
    </from>
    <ext cx="540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139</row>
      <rowOff>0</rowOff>
    </from>
    <ext cx="5400000" cy="54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F99"/>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LOSAS NERVADAS CASA ROCHA — DATOS DE ENTRADA</t>
        </is>
      </c>
    </row>
    <row r="2" ht="30" customHeight="1">
      <c r="B2" s="2" t="inlineStr">
        <is>
          <t>Casa habitación de dos niveles · muros de block de 15 cm confinados con castillos K-15x15 y dalas D-15x20 · losa reticular LR-25 en entrepiso (N+3.00) y azotea (N+6.00). Se diseñan las nervaduras secundarias de cada tablero y las nervaduras principales (dalas que quedan sin muro abajo y trabajan como trabe).</t>
        </is>
      </c>
    </row>
    <row r="3" ht="6" customHeight="1"/>
    <row r="4" ht="42" customHeight="1">
      <c r="B4" s="3" t="inlineStr">
        <is>
          <t>CÓMO SE USA: sólo se tocan las celdas AMARILLAS con número AZUL. Todo lo demás está calculado y se rompe si lo escribes encima. La columna «CÓMO SE CALCULA» dice de dónde sale el número y la columna «REFERENCIA» dice qué documento, norma o archivo lo respalda.</t>
        </is>
      </c>
      <c r="C4" s="4" t="n"/>
      <c r="D4" s="4" t="n"/>
      <c r="E4" s="4" t="n"/>
      <c r="F4" s="4" t="n"/>
    </row>
    <row r="5" ht="42" customHeight="1">
      <c r="B5" s="3" t="inlineStr">
        <is>
          <t>ALCANCE: (1) nervaduras secundarias de 32 tableros con el método de coeficientes de la NTC-Concreto para losas apoyadas en su perímetro; (2) dos tableros en volado (F80012 y F80019); (3) 34 nervaduras principales sin muro abajo diseñadas como trabe; (4) carga de la losa sobre los muros. NO incluye la escalera, el pergolado de vigas VP-15x40, la revisión de los muros ni la cimentación.</t>
        </is>
      </c>
      <c r="C5" s="4" t="n"/>
      <c r="D5" s="4" t="n"/>
      <c r="E5" s="4" t="n"/>
      <c r="F5" s="4" t="n"/>
    </row>
    <row r="6" ht="54" customHeight="1">
      <c r="B6" s="3" t="inlineStr">
        <is>
          <t>NORMAS: NTC-Concreto 2023, NTC-Criterios y Acciones 2023 y NTC-Mampostería 2023 (CDMX), las mismas que usa la memoria de Naim de 2024. Las fórmulas se verificaron contra los números de esa memoria, pero el texto de las NTC 2023 no se pudo abrir desde aquí: los números de sección que se citan son los de la edición 2017 y hay que cotejarlos contra tu ejemplar antes de firmar. Lo que viene de ACI 318-19 se usa sólo como complemento.</t>
        </is>
      </c>
      <c r="C6" s="4" t="n"/>
      <c r="D6" s="4" t="n"/>
      <c r="E6" s="4" t="n"/>
      <c r="F6" s="4" t="n"/>
    </row>
    <row r="7" ht="6" customHeight="1"/>
    <row r="8" ht="21" customHeight="1">
      <c r="B8" s="5" t="inlineStr">
        <is>
          <t>1. GEOMETRÍA DE LA LOSA NERVADA LR-25</t>
        </is>
      </c>
    </row>
    <row r="9" ht="30" customHeight="1">
      <c r="B9" s="6" t="inlineStr">
        <is>
          <t>Casetón de poliestireno 60×60×20, nervadura de 10 cm y capa de 5 cm, como dice la nota 2 del plano de cortes. El E2K lo confirma: sus modificadores de la losa LR-25 salen exactos con esta geometría (ver sección 4).</t>
        </is>
      </c>
      <c r="C9" s="7" t="n"/>
      <c r="D9" s="7" t="n"/>
      <c r="E9" s="7" t="n"/>
      <c r="F9" s="7" t="n"/>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a_c — lado del casetón</t>
        </is>
      </c>
      <c r="C11" s="10" t="n">
        <v>60</v>
      </c>
      <c r="D11" s="11" t="inlineStr">
        <is>
          <t>cm</t>
        </is>
      </c>
      <c r="E11" s="12" t="inlineStr">
        <is>
          <t>CAPTURA.</t>
        </is>
      </c>
      <c r="F11" s="13" t="inlineStr">
        <is>
          <t>001_PLANO_CROCHA_R3.0.dxf · NOTAS DE CORTES, nota 2: «CASETONES 60×60×20»</t>
        </is>
      </c>
    </row>
    <row r="12" ht="19.5" customHeight="1">
      <c r="B12" s="9" t="inlineStr">
        <is>
          <t>h_c — altura del casetón</t>
        </is>
      </c>
      <c r="C12" s="10" t="n">
        <v>20</v>
      </c>
      <c r="D12" s="11" t="inlineStr">
        <is>
          <t>cm</t>
        </is>
      </c>
      <c r="E12" s="12" t="inlineStr">
        <is>
          <t>CAPTURA.</t>
        </is>
      </c>
      <c r="F12" s="13" t="inlineStr">
        <is>
          <t>001_PLANO_CROCHA_R3.0.dxf · NOTAS DE CORTES, nota 2</t>
        </is>
      </c>
    </row>
    <row r="13" ht="30" customHeight="1">
      <c r="B13" s="9" t="inlineStr">
        <is>
          <t>b_w — ancho de la nervadura secundaria</t>
        </is>
      </c>
      <c r="C13" s="10" t="n">
        <v>10</v>
      </c>
      <c r="D13" s="11" t="inlineStr">
        <is>
          <t>cm</t>
        </is>
      </c>
      <c r="E13" s="12" t="inlineStr">
        <is>
          <t>CAPTURA.</t>
        </is>
      </c>
      <c r="F13" s="13" t="inlineStr">
        <is>
          <t>001_PLANO_CROCHA_R3.0.dxf · nota 2: «NERVADURAS DE 10 cm»</t>
        </is>
      </c>
    </row>
    <row r="14" ht="19.5" customHeight="1">
      <c r="B14" s="9" t="inlineStr">
        <is>
          <t>t — espesor de la capa de compresión</t>
        </is>
      </c>
      <c r="C14" s="10" t="n">
        <v>5</v>
      </c>
      <c r="D14" s="11" t="inlineStr">
        <is>
          <t>cm</t>
        </is>
      </c>
      <c r="E14" s="12" t="inlineStr">
        <is>
          <t>CAPTURA.</t>
        </is>
      </c>
      <c r="F14" s="13" t="inlineStr">
        <is>
          <t>001_PLANO_CROCHA_R3.0.dxf · nota 2: «CAPA DE 5 cm»</t>
        </is>
      </c>
    </row>
    <row r="15" ht="30" customHeight="1">
      <c r="B15" s="9" t="inlineStr">
        <is>
          <t>h — peralte total de la losa</t>
        </is>
      </c>
      <c r="C15" s="14">
        <f>(DATOS!$C$12+DATOS!$C$14)</f>
        <v>25</v>
      </c>
      <c r="D15" s="11" t="inlineStr">
        <is>
          <t>cm</t>
        </is>
      </c>
      <c r="E15" s="12" t="inlineStr">
        <is>
          <t>CALCULADA = h_c + t. Debe dar 25: es la LR-25 del modelo.</t>
        </is>
      </c>
      <c r="F15" s="13" t="inlineStr">
        <is>
          <t>001_EST_CROCHA_R3.2.e2k · SHELLPROP "LR-25" SLABTHICKNESS 0.25</t>
        </is>
      </c>
    </row>
    <row r="16" ht="30" customHeight="1">
      <c r="B16" s="9" t="inlineStr">
        <is>
          <t>s — separación entre ejes de nervaduras</t>
        </is>
      </c>
      <c r="C16" s="14">
        <f>(DATOS!$C$11+DATOS!$C$13)</f>
        <v>70</v>
      </c>
      <c r="D16" s="11" t="inlineStr">
        <is>
          <t>cm</t>
        </is>
      </c>
      <c r="E16" s="12" t="inlineStr">
        <is>
          <t>CALCULADA = a_c + b_w. Es también el ancho del patín de cada nervadura.</t>
        </is>
      </c>
      <c r="F16" s="13" t="inlineStr">
        <is>
          <t>Geometría</t>
        </is>
      </c>
    </row>
    <row r="17" ht="30" customHeight="1">
      <c r="B17" s="9" t="inlineStr">
        <is>
          <t>b_p — ancho de la nervadura principal / dala</t>
        </is>
      </c>
      <c r="C17" s="10" t="n">
        <v>15</v>
      </c>
      <c r="D17" s="11" t="inlineStr">
        <is>
          <t>cm</t>
        </is>
      </c>
      <c r="E17" s="12" t="inlineStr">
        <is>
          <t>CAPTURA. Es el ancho de las dalas D-15x20 del modelo. En PRINCIPALES cada tramo puede llevar otro ancho.</t>
        </is>
      </c>
      <c r="F17" s="13" t="inlineStr">
        <is>
          <t>001_EST_CROCHA_R3.2.e2k · FRAMESECTION "002_D-15x20" B 0.15</t>
        </is>
      </c>
    </row>
    <row r="18" ht="43.5" customHeight="1">
      <c r="B18" s="9" t="inlineStr">
        <is>
          <t>r — recubrimiento libre</t>
        </is>
      </c>
      <c r="C18" s="15" t="n">
        <v>2</v>
      </c>
      <c r="D18" s="11" t="inlineStr">
        <is>
          <t>cm</t>
        </is>
      </c>
      <c r="E18" s="12" t="inlineStr">
        <is>
          <t>CAPTURA. Naim usa 2 cm en losas y dalas. Si la casa queda en ambiente costero o expuesto, revisa la clase de exposición: el recubrimiento sube.</t>
        </is>
      </c>
      <c r="F18" s="13" t="inlineStr">
        <is>
          <t>Naim — CASA HABITACIÓN, MEMORIA DE CÁLCULO (sep-2024) · pág. 13 «Recubrimiento 2.0 cm» · plano EST Casa Yépez, nota 1.2.2</t>
        </is>
      </c>
    </row>
    <row r="19" ht="30" customHeight="1">
      <c r="B19" s="9" t="inlineStr">
        <is>
          <t>No. de varilla del estribo / grapa en la nervadura secundaria</t>
        </is>
      </c>
      <c r="C19" s="16" t="n">
        <v>2</v>
      </c>
      <c r="D19" s="11" t="inlineStr">
        <is>
          <t>—</t>
        </is>
      </c>
      <c r="E19" s="12" t="inlineStr">
        <is>
          <t>CAPTURA. Alambrón de 1/4" (No. 2). Sólo se usa si el cortante lo pide; entra en el peralte efectivo de todas formas.</t>
        </is>
      </c>
      <c r="F19" s="13" t="inlineStr">
        <is>
          <t>Práctica de obra — tabla de varillas en TABLAS</t>
        </is>
      </c>
    </row>
    <row r="20" ht="30" customHeight="1">
      <c r="B20" s="9" t="inlineStr">
        <is>
          <t>No. de varilla preferida — lecho INFERIOR de nervaduras secundarias</t>
        </is>
      </c>
      <c r="C20" s="16" t="n">
        <v>3</v>
      </c>
      <c r="D20" s="11" t="inlineStr">
        <is>
          <t>—</t>
        </is>
      </c>
      <c r="E20" s="12" t="inlineStr">
        <is>
          <t>CAPTURA. Si con el máximo de varillas por nervadura no alcanza, la hoja sube sola al siguiente número.</t>
        </is>
      </c>
      <c r="F20" s="13" t="inlineStr">
        <is>
          <t>Práctica de obra</t>
        </is>
      </c>
    </row>
    <row r="21" ht="30" customHeight="1">
      <c r="B21" s="9" t="inlineStr">
        <is>
          <t>No. de varilla preferida — bastones SUPERIORES de nervaduras secundarias</t>
        </is>
      </c>
      <c r="C21" s="16" t="n">
        <v>3</v>
      </c>
      <c r="D21" s="11" t="inlineStr">
        <is>
          <t>—</t>
        </is>
      </c>
      <c r="E21" s="12" t="inlineStr">
        <is>
          <t>CAPTURA. Misma regla.</t>
        </is>
      </c>
      <c r="F21" s="13" t="inlineStr">
        <is>
          <t>Práctica de obra</t>
        </is>
      </c>
    </row>
    <row r="22" ht="30" customHeight="1">
      <c r="B22" s="9" t="inlineStr">
        <is>
          <t>Máximo de varillas por lecho en una nervadura de 10 cm</t>
        </is>
      </c>
      <c r="C22" s="10" t="n">
        <v>2</v>
      </c>
      <c r="D22" s="11" t="inlineStr">
        <is>
          <t>pzas</t>
        </is>
      </c>
      <c r="E22" s="12" t="inlineStr">
        <is>
          <t>CAPTURA. En 10 cm caben dos varillas No. 3 con 2.5 cm libres entre ellas; la hoja lo revisa.</t>
        </is>
      </c>
      <c r="F22" s="13" t="inlineStr">
        <is>
          <t>Geometría · ACI 318-19 §25.2.1</t>
        </is>
      </c>
    </row>
    <row r="23" ht="30" customHeight="1">
      <c r="B23" s="9" t="inlineStr">
        <is>
          <t>Mínimo de varillas inferiores corridas por nervadura</t>
        </is>
      </c>
      <c r="C23" s="10" t="n">
        <v>1</v>
      </c>
      <c r="D23" s="11" t="inlineStr">
        <is>
          <t>pzas</t>
        </is>
      </c>
      <c r="E23" s="12" t="inlineStr">
        <is>
          <t>CAPTURA.</t>
        </is>
      </c>
      <c r="F23" s="13" t="inlineStr">
        <is>
          <t>Práctica de obra</t>
        </is>
      </c>
    </row>
    <row r="24" ht="30" customHeight="1">
      <c r="B24" s="9" t="inlineStr">
        <is>
          <t>Separación libre mínima entre varillas</t>
        </is>
      </c>
      <c r="C24" s="15" t="n">
        <v>2.5</v>
      </c>
      <c r="D24" s="11" t="inlineStr">
        <is>
          <t>cm</t>
        </is>
      </c>
      <c r="E24" s="12" t="inlineStr">
        <is>
          <t>CAPTURA. El mayor entre 2.5 cm, el diámetro y 4/3 del agregado.</t>
        </is>
      </c>
      <c r="F24" s="13" t="inlineStr">
        <is>
          <t>ACI 318-19 §25.2.1</t>
        </is>
      </c>
    </row>
    <row r="25" ht="30" customHeight="1">
      <c r="B25" s="9" t="inlineStr">
        <is>
          <t>Ancho libre para varillas dentro de la nervadura secundaria</t>
        </is>
      </c>
      <c r="C25" s="17">
        <f>DATOS!$C$13-2*DATOS!$C$18-2*INDEX(TABLAS!$C$52:$C$58,MATCH(DATOS!$C$19,TABLAS!$B$52:$B$58,0))</f>
        <v>4.72</v>
      </c>
      <c r="D25" s="11" t="inlineStr">
        <is>
          <t>cm</t>
        </is>
      </c>
      <c r="E25" s="12" t="inlineStr">
        <is>
          <t>CALCULADA = b_w − 2r − 2·estribo. Con esto la hoja revisa cuántas varillas de cada número caben de verdad.</t>
        </is>
      </c>
      <c r="F25" s="13" t="inlineStr">
        <is>
          <t>Geometría</t>
        </is>
      </c>
    </row>
    <row r="26" ht="30" customHeight="1">
      <c r="B26" s="9" t="inlineStr">
        <is>
          <t>Malla electrosoldada en la capa de compresión</t>
        </is>
      </c>
      <c r="C26" s="18" t="inlineStr">
        <is>
          <t>6x6-10/10</t>
        </is>
      </c>
      <c r="D26" s="11" t="inlineStr">
        <is>
          <t>—</t>
        </is>
      </c>
      <c r="E26" s="12" t="inlineStr">
        <is>
          <t>SELECTOR. La lista está en TABLAS. Se revisa contra el acero por cambios volumétricos en NERVADURA.</t>
        </is>
      </c>
      <c r="F26" s="13" t="inlineStr">
        <is>
          <t>Naim — CASA HABITACIÓN, PLANOS EST-01 a EST-06 · EST-03 «MALLA ELECTROSOLDADA 6X6 10/10»</t>
        </is>
      </c>
    </row>
    <row r="27" ht="43.5" customHeight="1">
      <c r="B27" s="9" t="inlineStr">
        <is>
          <t>¿La losa de azotea queda expuesta directo a la intemperie?</t>
        </is>
      </c>
      <c r="C27" s="18" t="inlineStr">
        <is>
          <t>NO</t>
        </is>
      </c>
      <c r="D27" s="11" t="inlineStr">
        <is>
          <t>—</t>
        </is>
      </c>
      <c r="E27" s="12" t="inlineStr">
        <is>
          <t>SELECTOR. Con relleno e impermeabilizante encima se considera protegida; si dices SÍ el acero por temperatura sube 50%.</t>
        </is>
      </c>
      <c r="F27" s="13" t="inlineStr">
        <is>
          <t>NTC-Concreto 2023 (CDMX) · refuerzo por cambios volumétricos</t>
        </is>
      </c>
    </row>
    <row r="28" ht="6" customHeight="1"/>
    <row r="29" ht="21" customHeight="1">
      <c r="B29" s="5" t="inlineStr">
        <is>
          <t>2. MATERIALES</t>
        </is>
      </c>
    </row>
    <row r="30" ht="30" customHeight="1">
      <c r="B30" s="8" t="inlineStr">
        <is>
          <t>Concepto</t>
        </is>
      </c>
      <c r="C30" s="8" t="inlineStr">
        <is>
          <t>Valor</t>
        </is>
      </c>
      <c r="D30" s="8" t="inlineStr">
        <is>
          <t>Unidad</t>
        </is>
      </c>
      <c r="E30" s="8" t="inlineStr">
        <is>
          <t>Cómo se calcula / de dónde sale</t>
        </is>
      </c>
      <c r="F30" s="8" t="inlineStr">
        <is>
          <t>Referencia</t>
        </is>
      </c>
    </row>
    <row r="31" ht="30" customHeight="1">
      <c r="B31" s="9" t="inlineStr">
        <is>
          <t>f'c — resistencia del concreto</t>
        </is>
      </c>
      <c r="C31" s="10" t="n">
        <v>250</v>
      </c>
      <c r="D31" s="11" t="inlineStr">
        <is>
          <t>kg/cm²</t>
        </is>
      </c>
      <c r="E31" s="12" t="inlineStr">
        <is>
          <t>CAPTURA. Es el concreto asignado a la LR-25 en el modelo.</t>
        </is>
      </c>
      <c r="F31" s="13" t="inlineStr">
        <is>
          <t>001_EST_CROCHA_R3.2.e2k · MATERIAL "Concreto f'c=250kg/cm2. Clase 1A" FC 2500000 kgf/m²</t>
        </is>
      </c>
    </row>
    <row r="32" ht="30" customHeight="1">
      <c r="B32" s="9" t="inlineStr">
        <is>
          <t>fy — fluencia de la varilla corrugada</t>
        </is>
      </c>
      <c r="C32" s="10" t="n">
        <v>4200</v>
      </c>
      <c r="D32" s="11" t="inlineStr">
        <is>
          <t>kg/cm²</t>
        </is>
      </c>
      <c r="E32" s="12" t="inlineStr">
        <is>
          <t>CAPTURA.</t>
        </is>
      </c>
      <c r="F32" s="13" t="inlineStr">
        <is>
          <t>001_EST_CROCHA_R3.2.e2k · MATERIAL "Fy=4200" · NMX-C-407-ONNCCE</t>
        </is>
      </c>
    </row>
    <row r="33" ht="30" customHeight="1">
      <c r="B33" s="9" t="inlineStr">
        <is>
          <t>fy de la malla electrosoldada</t>
        </is>
      </c>
      <c r="C33" s="10" t="n">
        <v>5000</v>
      </c>
      <c r="D33" s="11" t="inlineStr">
        <is>
          <t>kg/cm²</t>
        </is>
      </c>
      <c r="E33" s="12" t="inlineStr">
        <is>
          <t>CAPTURA. Alambre liso de malla.</t>
        </is>
      </c>
      <c r="F33" s="13" t="inlineStr">
        <is>
          <t>Plano EST Casa Yépez (Naim), nota 1.2: mallas con Fy = 5000 kg/cm²</t>
        </is>
      </c>
    </row>
    <row r="34" ht="30" customHeight="1">
      <c r="B34" s="9" t="inlineStr">
        <is>
          <t>fy del estribo de la nervadura secundaria</t>
        </is>
      </c>
      <c r="C34" s="10" t="n">
        <v>2530</v>
      </c>
      <c r="D34" s="11" t="inlineStr">
        <is>
          <t>kg/cm²</t>
        </is>
      </c>
      <c r="E34" s="12" t="inlineStr">
        <is>
          <t>CAPTURA. Alambrón liso grado 25. Si usas varilla No. 2.5 corrugada pon 4200.</t>
        </is>
      </c>
      <c r="F34" s="13" t="inlineStr">
        <is>
          <t>Práctica de obra</t>
        </is>
      </c>
    </row>
    <row r="35" ht="19.5" customHeight="1">
      <c r="B35" s="9" t="inlineStr">
        <is>
          <t>γc — peso volumétrico del concreto reforzado</t>
        </is>
      </c>
      <c r="C35" s="19" t="n">
        <v>2.44</v>
      </c>
      <c r="D35" s="11" t="inlineStr">
        <is>
          <t>t/m³</t>
        </is>
      </c>
      <c r="E35" s="12" t="inlineStr">
        <is>
          <t>CAPTURA. El mismo del modelo.</t>
        </is>
      </c>
      <c r="F35" s="13" t="inlineStr">
        <is>
          <t>001_EST_CROCHA_R3.2.e2k · WEIGHTPERVOLUME 2440</t>
        </is>
      </c>
    </row>
    <row r="36" ht="30" customHeight="1">
      <c r="B36" s="9" t="inlineStr">
        <is>
          <t>γ del casetón de poliestireno</t>
        </is>
      </c>
      <c r="C36" s="20" t="n">
        <v>0.015</v>
      </c>
      <c r="D36" s="11" t="inlineStr">
        <is>
          <t>t/m³</t>
        </is>
      </c>
      <c r="E36" s="12" t="inlineStr">
        <is>
          <t>CAPTURA. Poliestireno expandido. El modelo no lo cuenta; aquí sí.</t>
        </is>
      </c>
      <c r="F36" s="13" t="inlineStr">
        <is>
          <t>001_PLANO_CROCHA_R3.0.dxf · simbología del corte «CASETÓN DE POLIESTIRENO»</t>
        </is>
      </c>
    </row>
    <row r="37" ht="43.5" customHeight="1">
      <c r="B37" s="9" t="inlineStr">
        <is>
          <t>Ec — módulo de elasticidad</t>
        </is>
      </c>
      <c r="C37" s="21">
        <f>14000*SQRT(DATOS!$C$31)</f>
        <v>221359.436211787</v>
      </c>
      <c r="D37" s="11" t="inlineStr">
        <is>
          <t>kg/cm²</t>
        </is>
      </c>
      <c r="E37" s="12" t="inlineStr">
        <is>
          <t>CALCULADA = 14,000·√f'c (concreto clase 1, agregado calizo).</t>
        </is>
      </c>
      <c r="F37" s="13" t="inlineStr">
        <is>
          <t>001_EST_CROCHA_R3.2.e2k · E 2.2135944E+09 kgf/m² = 14,000·√250 · NTC-Concreto 2023 (CDMX) (módulo de elasticidad, clase 1)</t>
        </is>
      </c>
    </row>
    <row r="38" ht="43.5" customHeight="1">
      <c r="B38" s="9" t="inlineStr">
        <is>
          <t>f''c — esfuerzo del bloque equivalente</t>
        </is>
      </c>
      <c r="C38" s="22">
        <f>0.85*DATOS!$C$31</f>
        <v>212.5</v>
      </c>
      <c r="D38" s="11" t="inlineStr">
        <is>
          <t>kg/cm²</t>
        </is>
      </c>
      <c r="E38" s="12" t="inlineStr">
        <is>
          <t>CALCULADA = 0.85·f'c (válido para f'c ≤ 280).</t>
        </is>
      </c>
      <c r="F38" s="13" t="inlineStr">
        <is>
          <t>NTC-Concreto 2023 (CDMX) · hipótesis de flexión (bloque equivalente) · Naim — CASA HABITACIÓN, MEMORIA DE CÁLCULO (sep-2024) (su MR sale con 0.85 f'c)</t>
        </is>
      </c>
    </row>
    <row r="39" ht="19.5" customHeight="1">
      <c r="B39" s="9" t="inlineStr">
        <is>
          <t>β1 — profundidad del bloque</t>
        </is>
      </c>
      <c r="C39" s="17">
        <f>IF(DATOS!$C$31&lt;=280,0.85,MAX(0.65,1.05-DATOS!$C$31/1400))</f>
        <v>0.85</v>
      </c>
      <c r="D39" s="11" t="inlineStr">
        <is>
          <t>—</t>
        </is>
      </c>
      <c r="E39" s="12" t="inlineStr">
        <is>
          <t>CALCULADA.</t>
        </is>
      </c>
      <c r="F39" s="13" t="inlineStr">
        <is>
          <t>NTC-Concreto 2023 (CDMX) · hipótesis de flexión</t>
        </is>
      </c>
    </row>
    <row r="40" ht="6" customHeight="1"/>
    <row r="41" ht="21" customHeight="1">
      <c r="B41" s="5" t="inlineStr">
        <is>
          <t>3. FACTORES DE CARGA Y DE RESISTENCIA</t>
        </is>
      </c>
    </row>
    <row r="42" ht="30" customHeight="1">
      <c r="B42" s="8" t="inlineStr">
        <is>
          <t>Concepto</t>
        </is>
      </c>
      <c r="C42" s="8" t="inlineStr">
        <is>
          <t>Valor</t>
        </is>
      </c>
      <c r="D42" s="8" t="inlineStr">
        <is>
          <t>Unidad</t>
        </is>
      </c>
      <c r="E42" s="8" t="inlineStr">
        <is>
          <t>Cómo se calcula / de dónde sale</t>
        </is>
      </c>
      <c r="F42" s="8" t="inlineStr">
        <is>
          <t>Referencia</t>
        </is>
      </c>
    </row>
    <row r="43" ht="57" customHeight="1">
      <c r="B43" s="9" t="inlineStr">
        <is>
          <t>FC_CM — factor de carga muerta</t>
        </is>
      </c>
      <c r="C43" s="19" t="n">
        <v>1.3</v>
      </c>
      <c r="D43" s="11" t="inlineStr">
        <is>
          <t>—</t>
        </is>
      </c>
      <c r="E43" s="12" t="inlineStr">
        <is>
          <t>CAPTURA. Grupo B, combinación de acciones permanentes y variables.</t>
        </is>
      </c>
      <c r="F43" s="13" t="inlineStr">
        <is>
          <t>NTC-Criterios y Acciones 2023 (CDMX) · combinaciones de acciones · Naim — CASA HABITACIÓN, MEMORIA DE CÁLCULO (sep-2024) pág. 8 · 001_EST_CROCHA_R3.2.e2k COMBO "Comb2.2"</t>
        </is>
      </c>
    </row>
    <row r="44" ht="43.5" customHeight="1">
      <c r="B44" s="9" t="inlineStr">
        <is>
          <t>FC_CV — factor de carga viva</t>
        </is>
      </c>
      <c r="C44" s="19" t="n">
        <v>1.5</v>
      </c>
      <c r="D44" s="11" t="inlineStr">
        <is>
          <t>—</t>
        </is>
      </c>
      <c r="E44" s="12" t="inlineStr">
        <is>
          <t>CAPTURA. Mismo renglón.</t>
        </is>
      </c>
      <c r="F44" s="13" t="inlineStr">
        <is>
          <t>NTC-Criterios y Acciones 2023 (CDMX) · Naim — CASA HABITACIÓN, MEMORIA DE CÁLCULO (sep-2024) pág. 8 · 001_EST_CROCHA_R3.2.e2k COMBO "Comb2.2"</t>
        </is>
      </c>
    </row>
    <row r="45" ht="43.5" customHeight="1">
      <c r="B45" s="9" t="inlineStr">
        <is>
          <t>F_R — flexión</t>
        </is>
      </c>
      <c r="C45" s="19" t="n">
        <v>0.9</v>
      </c>
      <c r="D45" s="11" t="inlineStr">
        <is>
          <t>—</t>
        </is>
      </c>
      <c r="E45" s="12" t="inlineStr">
        <is>
          <t>CAPTURA.</t>
        </is>
      </c>
      <c r="F45" s="13" t="inlineStr">
        <is>
          <t>NTC-Concreto 2023 (CDMX) · factores de resistencia · Naim — 21-03 MEMORIA DE CÁLCULO (jul-2021) pág. 13 «FR = 0.9»</t>
        </is>
      </c>
    </row>
    <row r="46" ht="43.5" customHeight="1">
      <c r="B46" s="9" t="inlineStr">
        <is>
          <t>F_R — cortante</t>
        </is>
      </c>
      <c r="C46" s="19" t="n">
        <v>0.75</v>
      </c>
      <c r="D46" s="11" t="inlineStr">
        <is>
          <t>—</t>
        </is>
      </c>
      <c r="E46" s="12" t="inlineStr">
        <is>
          <t>CAPTURA. Con 0.75 salen exactos los VcR de la tabla de nervaduras de Naim (N1: 2.86 t).</t>
        </is>
      </c>
      <c r="F46" s="13" t="inlineStr">
        <is>
          <t>NTC-Concreto 2023 (CDMX) · factores de resistencia · comprobado con Naim — CASA HABITACIÓN, MEMORIA DE CÁLCULO (sep-2024) pág. 13</t>
        </is>
      </c>
    </row>
    <row r="47" ht="30" customHeight="1">
      <c r="B47" s="9" t="inlineStr">
        <is>
          <t>fs — esfuerzo del acero en servicio (peralte mínimo)</t>
        </is>
      </c>
      <c r="C47" s="23">
        <f>0.6*DATOS!$C$32</f>
        <v>2520</v>
      </c>
      <c r="D47" s="11" t="inlineStr">
        <is>
          <t>kg/cm²</t>
        </is>
      </c>
      <c r="E47" s="12" t="inlineStr">
        <is>
          <t>CALCULADA = 0.6·fy.</t>
        </is>
      </c>
      <c r="F47" s="13" t="inlineStr">
        <is>
          <t>NTC-Concreto 2023 (CDMX) · losas apoyadas en su perímetro, peralte mínimo</t>
        </is>
      </c>
    </row>
    <row r="48" ht="43.5" customHeight="1">
      <c r="B48" s="9" t="inlineStr">
        <is>
          <t>Fracción de la cuantía balanceada que se permite</t>
        </is>
      </c>
      <c r="C48" s="19" t="n">
        <v>0.75</v>
      </c>
      <c r="D48" s="11" t="inlineStr">
        <is>
          <t>—</t>
        </is>
      </c>
      <c r="E48" s="12" t="inlineStr">
        <is>
          <t>CAPTURA. 0.75·p_b es el criterio conservador para elementos que forman parte de un sistema que resiste sismo; la losa trabaja como diafragma.</t>
        </is>
      </c>
      <c r="F48" s="13" t="inlineStr">
        <is>
          <t>NTC-Concreto 2023 (CDMX) · refuerzo máximo en flexión</t>
        </is>
      </c>
    </row>
    <row r="49" ht="30" customHeight="1">
      <c r="B49" s="9" t="inlineStr">
        <is>
          <t>Incremento de VcR en nervaduras</t>
        </is>
      </c>
      <c r="C49" s="19" t="n">
        <v>1</v>
      </c>
      <c r="D49" s="11" t="inlineStr">
        <is>
          <t>—</t>
        </is>
      </c>
      <c r="E49" s="12" t="inlineStr">
        <is>
          <t>CAPTURA. ACI permite 1.1 en sistemas de nervaduras; aquí se deja en 1.0 (sin incremento) por conservador.</t>
        </is>
      </c>
      <c r="F49" s="13" t="inlineStr">
        <is>
          <t>ACI 318-19 §8.8.1.5 (sólo como referencia)</t>
        </is>
      </c>
    </row>
    <row r="50" ht="30" customHeight="1">
      <c r="B50" s="9" t="inlineStr">
        <is>
          <t>Incremento de cortante con bordes continuos y discontinuos</t>
        </is>
      </c>
      <c r="C50" s="19" t="n">
        <v>1.15</v>
      </c>
      <c r="D50" s="11" t="inlineStr">
        <is>
          <t>—</t>
        </is>
      </c>
      <c r="E50" s="12" t="inlineStr">
        <is>
          <t>CAPTURA. Se aplica cuando el tablero tiene bordes de los dos tipos.</t>
        </is>
      </c>
      <c r="F50" s="13" t="inlineStr">
        <is>
          <t>NTC-Concreto 2023 (CDMX) · losas apoyadas en su perímetro, revisión por cortante</t>
        </is>
      </c>
    </row>
    <row r="51" ht="30" customHeight="1">
      <c r="B51" s="9" t="inlineStr">
        <is>
          <t>Largo de bastones superiores (fracción del claro, desde el eje del apoyo)</t>
        </is>
      </c>
      <c r="C51" s="19" t="n">
        <v>0.3</v>
      </c>
      <c r="D51" s="11" t="inlineStr">
        <is>
          <t>—</t>
        </is>
      </c>
      <c r="E51" s="12" t="inlineStr">
        <is>
          <t>CAPTURA. 0.30·claro cubre la extensión mínima de refuerzo negativo de franjas de columna.</t>
        </is>
      </c>
      <c r="F51" s="13" t="inlineStr">
        <is>
          <t>ACI 318-19 Fig. 8.7.4.1.3 (sólo como referencia)</t>
        </is>
      </c>
    </row>
    <row r="52" ht="43.5" customHeight="1">
      <c r="B52" s="9" t="inlineStr">
        <is>
          <t>Relación M⁻/M⁺ para nervaduras principales apoyadas</t>
        </is>
      </c>
      <c r="C52" s="20" t="n">
        <v>0.667</v>
      </c>
      <c r="D52" s="11" t="inlineStr">
        <is>
          <t>—</t>
        </is>
      </c>
      <c r="E52" s="12" t="inlineStr">
        <is>
          <t>CAPTURA. Equivale a wL²/12 contra wL²/8: arriba se arma para empotramiento, abajo para apoyo simple (envolvente conservadora).</t>
        </is>
      </c>
      <c r="F52" s="13" t="inlineStr">
        <is>
          <t>Criterio de esta hoja — no viene de norma</t>
        </is>
      </c>
    </row>
    <row r="53" ht="6" customHeight="1"/>
    <row r="54" ht="21" customHeight="1">
      <c r="B54" s="5" t="inlineStr">
        <is>
          <t>4. PROPIEDADES DE LA SECCIÓN NERVADA — Y COMPROBACIÓN CONTRA EL MODELO</t>
        </is>
      </c>
    </row>
    <row r="55" ht="30" customHeight="1">
      <c r="B55" s="6" t="inlineStr">
        <is>
          <t>Si estos dos cocientes coinciden con los del E2K, la hoja y el modelo están hablando de la misma losa.</t>
        </is>
      </c>
      <c r="C55" s="7" t="n"/>
      <c r="D55" s="7" t="n"/>
      <c r="E55" s="7" t="n"/>
      <c r="F55" s="7" t="n"/>
    </row>
    <row r="56" ht="30" customHeight="1">
      <c r="B56" s="8" t="inlineStr">
        <is>
          <t>Concepto</t>
        </is>
      </c>
      <c r="C56" s="8" t="inlineStr">
        <is>
          <t>Valor</t>
        </is>
      </c>
      <c r="D56" s="8" t="inlineStr">
        <is>
          <t>Unidad</t>
        </is>
      </c>
      <c r="E56" s="8" t="inlineStr">
        <is>
          <t>Cómo se calcula / de dónde sale</t>
        </is>
      </c>
      <c r="F56" s="8" t="inlineStr">
        <is>
          <t>Referencia</t>
        </is>
      </c>
    </row>
    <row r="57" ht="30" customHeight="1">
      <c r="B57" s="9" t="inlineStr">
        <is>
          <t>Volumen de concreto por m² de losa</t>
        </is>
      </c>
      <c r="C57" s="24">
        <f>(DATOS!$C$15/100-(DATOS!$C$11/100)^2*(DATOS!$C$12/100)/(DATOS!$C$16/100)^2)</f>
        <v>0.103061224489796</v>
      </c>
      <c r="D57" s="11" t="inlineStr">
        <is>
          <t>m³/m²</t>
        </is>
      </c>
      <c r="E57" s="12" t="inlineStr">
        <is>
          <t>CALCULADA = h − a_c²·h_c / s² (lo macizo menos los huecos de casetón).</t>
        </is>
      </c>
      <c r="F57" s="13" t="inlineStr">
        <is>
          <t>Geometría</t>
        </is>
      </c>
    </row>
    <row r="58" ht="19.5" customHeight="1">
      <c r="B58" s="9" t="inlineStr">
        <is>
          <t>Peso propio de la losa nervada</t>
        </is>
      </c>
      <c r="C58" s="25">
        <f>(DATOS!$C$57*DATOS!$C$35+(DATOS!$C$11/100)^2*(DATOS!$C$12/100)/(DATOS!$C$16/100)^2*DATOS!$C$36)*1000</f>
        <v>253.673469387755</v>
      </c>
      <c r="D58" s="11" t="inlineStr">
        <is>
          <t>kg/m²</t>
        </is>
      </c>
      <c r="E58" s="12" t="inlineStr">
        <is>
          <t>CALCULADA = V·γc + casetón·γ_pol.</t>
        </is>
      </c>
      <c r="F58" s="13" t="inlineStr">
        <is>
          <t>Geometría</t>
        </is>
      </c>
    </row>
    <row r="59" ht="30" customHeight="1">
      <c r="B59" s="9" t="inlineStr">
        <is>
          <t>Peso propio que trae el modelo</t>
        </is>
      </c>
      <c r="C59" s="22">
        <f>1503.75*0.25*0.6688</f>
        <v>251.427</v>
      </c>
      <c r="D59" s="11" t="inlineStr">
        <is>
          <t>kg/m²</t>
        </is>
      </c>
      <c r="E59" s="12" t="inlineStr">
        <is>
          <t>CALCULADA = 1503.75 kg/m³ × 0.25 m × WMOD 0.6688. Sin casetón: por eso sale 2 kg/m² abajo.</t>
        </is>
      </c>
      <c r="F59" s="13" t="inlineStr">
        <is>
          <t>001_EST_CROCHA_R3.2.e2k · MATERIAL "LR-25 equiv" 1503.75 kg/m³ y SHELLPROP "LR-25" WMOD 0.6688</t>
        </is>
      </c>
    </row>
    <row r="60" ht="19.5" customHeight="1">
      <c r="B60" s="9" t="inlineStr">
        <is>
          <t>A_T — área de la sección T de una nervadura</t>
        </is>
      </c>
      <c r="C60" s="22">
        <f>DATOS!$C$16*DATOS!$C$14+DATOS!$C$13*DATOS!$C$12</f>
        <v>550</v>
      </c>
      <c r="D60" s="11" t="inlineStr">
        <is>
          <t>cm²</t>
        </is>
      </c>
      <c r="E60" s="12" t="inlineStr">
        <is>
          <t>CALCULADA = s·t + b_w·h_c.</t>
        </is>
      </c>
      <c r="F60" s="13" t="inlineStr">
        <is>
          <t>Geometría</t>
        </is>
      </c>
    </row>
    <row r="61" ht="19.5" customHeight="1">
      <c r="B61" s="9" t="inlineStr">
        <is>
          <t>ȳ — centroide medido desde arriba</t>
        </is>
      </c>
      <c r="C61" s="17">
        <f>(DATOS!$C$16*DATOS!$C$14*DATOS!$C$14/2+DATOS!$C$13*DATOS!$C$12*(DATOS!$C$14+DATOS!$C$12/2))/DATOS!$C$60</f>
        <v>7.04545454545455</v>
      </c>
      <c r="D61" s="11" t="inlineStr">
        <is>
          <t>cm</t>
        </is>
      </c>
      <c r="E61" s="12" t="inlineStr">
        <is>
          <t>CALCULADA.</t>
        </is>
      </c>
      <c r="F61" s="13" t="inlineStr">
        <is>
          <t>Geometría</t>
        </is>
      </c>
    </row>
    <row r="62" ht="30" customHeight="1">
      <c r="B62" s="9" t="inlineStr">
        <is>
          <t>I_T — inercia bruta de una nervadura con su patín</t>
        </is>
      </c>
      <c r="C62" s="21">
        <f>DATOS!$C$16*DATOS!$C$14^3/12+DATOS!$C$16*DATOS!$C$14*(DATOS!$C$61-DATOS!$C$14/2)^2+DATOS!$C$13*DATOS!$C$12^3/12+DATOS!$C$13*DATOS!$C$12*(DATOS!$C$14+DATOS!$C$12/2-DATOS!$C$61)^2</f>
        <v>27282.196969697</v>
      </c>
      <c r="D62" s="11" t="inlineStr">
        <is>
          <t>cm⁴</t>
        </is>
      </c>
      <c r="E62" s="12" t="inlineStr">
        <is>
          <t>CALCULADA (Steiner).</t>
        </is>
      </c>
      <c r="F62" s="13" t="inlineStr">
        <is>
          <t>Geometría</t>
        </is>
      </c>
    </row>
    <row r="63" ht="30" customHeight="1">
      <c r="B63" s="9" t="inlineStr">
        <is>
          <t>I_T / I de losa maciza del mismo peralte</t>
        </is>
      </c>
      <c r="C63" s="26">
        <f>DATOS!$C$62/(DATOS!$C$16*DATOS!$C$15^3/12)</f>
        <v>0.299324675324675</v>
      </c>
      <c r="D63" s="11" t="inlineStr">
        <is>
          <t>—</t>
        </is>
      </c>
      <c r="E63" s="12" t="inlineStr">
        <is>
          <t>CALCULADA. Debe coincidir con el modificador de inercia del modelo.</t>
        </is>
      </c>
      <c r="F63" s="13" t="inlineStr">
        <is>
          <t>Geometría</t>
        </is>
      </c>
    </row>
    <row r="64" ht="30" customHeight="1">
      <c r="B64" s="9" t="inlineStr">
        <is>
          <t>Modificador de inercia en el modelo</t>
        </is>
      </c>
      <c r="C64" s="24" t="n">
        <v>0.29914984</v>
      </c>
      <c r="D64" s="11" t="inlineStr">
        <is>
          <t>—</t>
        </is>
      </c>
      <c r="E64" s="12" t="inlineStr">
        <is>
          <t>DATO del modelo. Si difiere de la fila de arriba, la losa del modelo no es la misma.</t>
        </is>
      </c>
      <c r="F64" s="13" t="inlineStr">
        <is>
          <t>001_EST_CROCHA_R3.2.e2k · SHELLPROP "LR-25" M11MOD 0.29914984</t>
        </is>
      </c>
    </row>
    <row r="65" ht="30" customHeight="1">
      <c r="B65" s="9" t="inlineStr">
        <is>
          <t>h_eq — espesor de losa maciza con la misma inercia</t>
        </is>
      </c>
      <c r="C65" s="27">
        <f>(12*DATOS!$C$62/DATOS!$C$16)^(1/3)</f>
        <v>16.7232564120244</v>
      </c>
      <c r="D65" s="11" t="inlineStr">
        <is>
          <t>cm</t>
        </is>
      </c>
      <c r="E65" s="12" t="inlineStr">
        <is>
          <t>CALCULADA = ∛(12·I_T / s). Se usa para la revisión del peralte mínimo.</t>
        </is>
      </c>
      <c r="F65" s="13" t="inlineStr">
        <is>
          <t>Criterio de esta hoja (peralte equivalente)</t>
        </is>
      </c>
    </row>
    <row r="66" ht="30" customHeight="1">
      <c r="B66" s="9" t="inlineStr">
        <is>
          <t>d inferior — peralte efectivo al lecho inferior de la nervadura</t>
        </is>
      </c>
      <c r="C66" s="27">
        <f>DATOS!$C$15-DATOS!$C$18-INDEX(TABLAS!$C$52:$C$58,MATCH(DATOS!$C$19,TABLAS!$B$52:$B$58,0))-INDEX(TABLAS!$C$52:$C$58,MATCH(DATOS!$C$20,TABLAS!$B$52:$B$58,0))/2</f>
        <v>21.885</v>
      </c>
      <c r="D66" s="11" t="inlineStr">
        <is>
          <t>cm</t>
        </is>
      </c>
      <c r="E66" s="12" t="inlineStr">
        <is>
          <t>CALCULADA = h − r − estribo − db/2.</t>
        </is>
      </c>
      <c r="F66" s="13" t="inlineStr">
        <is>
          <t>Geometría</t>
        </is>
      </c>
    </row>
    <row r="67" ht="30" customHeight="1">
      <c r="B67" s="9" t="inlineStr">
        <is>
          <t>d superior — peralte efectivo a los bastones</t>
        </is>
      </c>
      <c r="C67" s="27">
        <f>DATOS!$C$15-DATOS!$C$18-INDEX(TABLAS!$C$52:$C$58,MATCH(DATOS!$C$19,TABLAS!$B$52:$B$58,0))-INDEX(TABLAS!$C$52:$C$58,MATCH(DATOS!$C$21,TABLAS!$B$52:$B$58,0))/2</f>
        <v>21.885</v>
      </c>
      <c r="D67" s="11" t="inlineStr">
        <is>
          <t>cm</t>
        </is>
      </c>
      <c r="E67" s="12" t="inlineStr">
        <is>
          <t>CALCULADA. Los bastones van bajo la malla, dentro del estribo.</t>
        </is>
      </c>
      <c r="F67" s="13" t="inlineStr">
        <is>
          <t>Geometría</t>
        </is>
      </c>
    </row>
    <row r="68" ht="30" customHeight="1">
      <c r="B68" s="9" t="inlineStr">
        <is>
          <t>d equivalente — para el peralte mínimo</t>
        </is>
      </c>
      <c r="C68" s="17">
        <f>DATOS!$C$65-(DATOS!$C$15-DATOS!$C$66)</f>
        <v>13.6082564120244</v>
      </c>
      <c r="D68" s="11" t="inlineStr">
        <is>
          <t>cm</t>
        </is>
      </c>
      <c r="E68" s="12" t="inlineStr">
        <is>
          <t>CALCULADA = h_eq − (h − d). Más chico que d real: es conservador.</t>
        </is>
      </c>
      <c r="F68" s="13" t="inlineStr">
        <is>
          <t>Criterio de esta hoja</t>
        </is>
      </c>
    </row>
    <row r="69" ht="30" customHeight="1">
      <c r="B69" s="9" t="inlineStr">
        <is>
          <t>p_b — cuantía balanceada</t>
        </is>
      </c>
      <c r="C69" s="24">
        <f>DATOS!$C$38/DATOS!$C$32*6000*DATOS!$C$39/(DATOS!$C$32+6000)</f>
        <v>0.025297619047619</v>
      </c>
      <c r="D69" s="11" t="inlineStr">
        <is>
          <t>—</t>
        </is>
      </c>
      <c r="E69" s="12" t="inlineStr">
        <is>
          <t>CALCULADA = (f''c/fy)·6000β1/(fy+6000).</t>
        </is>
      </c>
      <c r="F69" s="13" t="inlineStr">
        <is>
          <t>NTC-Concreto 2023 (CDMX) · refuerzo máximo en flexión</t>
        </is>
      </c>
    </row>
    <row r="70" ht="30" customHeight="1">
      <c r="B70" s="9" t="inlineStr">
        <is>
          <t>p_max — cuantía máxima</t>
        </is>
      </c>
      <c r="C70" s="24">
        <f>DATOS!$C$48*DATOS!$C$69</f>
        <v>0.0189732142857143</v>
      </c>
      <c r="D70" s="11" t="inlineStr">
        <is>
          <t>—</t>
        </is>
      </c>
      <c r="E70" s="12" t="inlineStr">
        <is>
          <t>CALCULADA.</t>
        </is>
      </c>
      <c r="F70" s="13" t="inlineStr">
        <is>
          <t>NTC-Concreto 2023 (CDMX) · refuerzo máximo en flexión</t>
        </is>
      </c>
    </row>
    <row r="71" ht="43.5" customHeight="1">
      <c r="B71" s="9" t="inlineStr">
        <is>
          <t>p_min — cuantía mínima por flexión</t>
        </is>
      </c>
      <c r="C71" s="28">
        <f>0.7*SQRT(DATOS!$C$31)/DATOS!$C$32</f>
        <v>0.00263523138347365</v>
      </c>
      <c r="D71" s="11" t="inlineStr">
        <is>
          <t>—</t>
        </is>
      </c>
      <c r="E71" s="12" t="inlineStr">
        <is>
          <t>CALCULADA = 0.7·√f'c / fy, sobre b_w·d.</t>
        </is>
      </c>
      <c r="F71" s="13" t="inlineStr">
        <is>
          <t>NTC-Concreto 2023 (CDMX) · refuerzo mínimo de tensión · Naim — 21-03 MEMORIA DE CÁLCULO (jul-2021) pág. 13 (As min de 2.83 cm² sale con esta fórmula)</t>
        </is>
      </c>
    </row>
    <row r="72" ht="6" customHeight="1"/>
    <row r="73" ht="21" customHeight="1">
      <c r="B73" s="5" t="inlineStr">
        <is>
          <t>5. CARGAS VIVAS UNITARIAS</t>
        </is>
      </c>
    </row>
    <row r="74" ht="30" customHeight="1">
      <c r="B74" s="6" t="inlineStr">
        <is>
          <t>Valores de la tabla de cargas vivas de la NTC. Son los mismos que trae el modelo en cada tablero y los que usa Naim. En TABLEROS cada tablero dice si es HABITACIÓN o AZOTEA y de ahí toma W_m.</t>
        </is>
      </c>
      <c r="C74" s="7" t="n"/>
      <c r="D74" s="7" t="n"/>
      <c r="E74" s="7" t="n"/>
      <c r="F74" s="7" t="n"/>
    </row>
    <row r="75" ht="30" customHeight="1">
      <c r="B75" s="8" t="inlineStr">
        <is>
          <t>Concepto</t>
        </is>
      </c>
      <c r="C75" s="8" t="inlineStr">
        <is>
          <t>Valor</t>
        </is>
      </c>
      <c r="D75" s="8" t="inlineStr">
        <is>
          <t>Unidad</t>
        </is>
      </c>
      <c r="E75" s="8" t="inlineStr">
        <is>
          <t>Cómo se calcula / de dónde sale</t>
        </is>
      </c>
      <c r="F75" s="8" t="inlineStr">
        <is>
          <t>Referencia</t>
        </is>
      </c>
    </row>
    <row r="76" ht="57" customHeight="1">
      <c r="B76" s="9" t="inlineStr">
        <is>
          <t>Habitación — W_m (máxima, para diseño por gravedad)</t>
        </is>
      </c>
      <c r="C76" s="10" t="n">
        <v>190</v>
      </c>
      <c r="D76" s="11" t="inlineStr">
        <is>
          <t>kg/m²</t>
        </is>
      </c>
      <c r="E76" s="12" t="inlineStr">
        <is>
          <t>CAPTURA.</t>
        </is>
      </c>
      <c r="F76" s="13" t="inlineStr">
        <is>
          <t>NTC-Criterios y Acciones 2023 (CDMX) · tabla de cargas vivas unitarias, inciso a) · Naim — CASA HABITACIÓN, MEMORIA DE CÁLCULO (sep-2024) pág. 5 · 001_EST_CROCHA_R3.2.e2k AREALOAD "Carga Viva Máxima" 190</t>
        </is>
      </c>
    </row>
    <row r="77" ht="19.5" customHeight="1">
      <c r="B77" s="9" t="inlineStr">
        <is>
          <t>Habitación — W_a (instantánea)</t>
        </is>
      </c>
      <c r="C77" s="10" t="n">
        <v>100</v>
      </c>
      <c r="D77" s="11" t="inlineStr">
        <is>
          <t>kg/m²</t>
        </is>
      </c>
      <c r="E77" s="12" t="inlineStr">
        <is>
          <t>CAPTURA. Informativa: no entra en el diseño por gravedad.</t>
        </is>
      </c>
      <c r="F77" s="13" t="inlineStr">
        <is>
          <t>Mismas referencias</t>
        </is>
      </c>
    </row>
    <row r="78" ht="43.5" customHeight="1">
      <c r="B78" s="9" t="inlineStr">
        <is>
          <t>Azotea con pendiente ≤ 5% — W_m</t>
        </is>
      </c>
      <c r="C78" s="10" t="n">
        <v>100</v>
      </c>
      <c r="D78" s="11" t="inlineStr">
        <is>
          <t>kg/m²</t>
        </is>
      </c>
      <c r="E78" s="12" t="inlineStr">
        <is>
          <t>CAPTURA.</t>
        </is>
      </c>
      <c r="F78" s="13" t="inlineStr">
        <is>
          <t>NTC-Criterios y Acciones 2023 (CDMX) · inciso h) · Naim — CASA HABITACIÓN, MEMORIA DE CÁLCULO (sep-2024) pág. 6 · 001_EST_CROCHA_R3.2.e2k AREALOAD 100</t>
        </is>
      </c>
    </row>
    <row r="79" ht="19.5" customHeight="1">
      <c r="B79" s="9" t="inlineStr">
        <is>
          <t>Azotea con pendiente ≤ 5% — W_a</t>
        </is>
      </c>
      <c r="C79" s="10" t="n">
        <v>70</v>
      </c>
      <c r="D79" s="11" t="inlineStr">
        <is>
          <t>kg/m²</t>
        </is>
      </c>
      <c r="E79" s="12" t="inlineStr">
        <is>
          <t>CAPTURA. Informativa.</t>
        </is>
      </c>
      <c r="F79" s="13" t="inlineStr">
        <is>
          <t>Mismas referencias</t>
        </is>
      </c>
    </row>
    <row r="80" ht="6" customHeight="1"/>
    <row r="81" ht="21" customHeight="1">
      <c r="B81" s="5" t="inlineStr">
        <is>
          <t>6. MUROS DE PLANTA ALTA QUE QUEDAN SOBRE LA LOSA</t>
        </is>
      </c>
    </row>
    <row r="82" ht="30" customHeight="1">
      <c r="B82" s="6" t="inlineStr">
        <is>
          <t>Los muros del primer nivel que no tienen muro abajo descargan en las nervaduras principales. Su peso por metro sale de aquí.</t>
        </is>
      </c>
      <c r="C82" s="7" t="n"/>
      <c r="D82" s="7" t="n"/>
      <c r="E82" s="7" t="n"/>
      <c r="F82" s="7" t="n"/>
    </row>
    <row r="83" ht="30" customHeight="1">
      <c r="B83" s="8" t="inlineStr">
        <is>
          <t>Concepto</t>
        </is>
      </c>
      <c r="C83" s="8" t="inlineStr">
        <is>
          <t>Valor</t>
        </is>
      </c>
      <c r="D83" s="8" t="inlineStr">
        <is>
          <t>Unidad</t>
        </is>
      </c>
      <c r="E83" s="8" t="inlineStr">
        <is>
          <t>Cómo se calcula / de dónde sale</t>
        </is>
      </c>
      <c r="F83" s="8" t="inlineStr">
        <is>
          <t>Referencia</t>
        </is>
      </c>
    </row>
    <row r="84" ht="30" customHeight="1">
      <c r="B84" s="9" t="inlineStr">
        <is>
          <t>γm — peso volumétrico del block</t>
        </is>
      </c>
      <c r="C84" s="19" t="n">
        <v>1.9</v>
      </c>
      <c r="D84" s="11" t="inlineStr">
        <is>
          <t>t/m³</t>
        </is>
      </c>
      <c r="E84" s="12" t="inlineStr">
        <is>
          <t>CAPTURA. El mismo del modelo.</t>
        </is>
      </c>
      <c r="F84" s="13" t="inlineStr">
        <is>
          <t>001_EST_CROCHA_R3.2.e2k · MATERIAL "f'm=50kg/cm2..." WEIGHTPERVOLUME 1900</t>
        </is>
      </c>
    </row>
    <row r="85" ht="19.5" customHeight="1">
      <c r="B85" s="9" t="inlineStr">
        <is>
          <t>t_m — espesor del muro</t>
        </is>
      </c>
      <c r="C85" s="19" t="n">
        <v>0.15</v>
      </c>
      <c r="D85" s="11" t="inlineStr">
        <is>
          <t>m</t>
        </is>
      </c>
      <c r="E85" s="12" t="inlineStr">
        <is>
          <t>CAPTURA.</t>
        </is>
      </c>
      <c r="F85" s="13" t="inlineStr">
        <is>
          <t>001_EST_CROCHA_R3.2.e2k · SHELLPROP "Muro 15 cm"</t>
        </is>
      </c>
    </row>
    <row r="86" ht="19.5" customHeight="1">
      <c r="B86" s="9" t="inlineStr">
        <is>
          <t>Altura de entrepiso</t>
        </is>
      </c>
      <c r="C86" s="19" t="n">
        <v>3</v>
      </c>
      <c r="D86" s="11" t="inlineStr">
        <is>
          <t>m</t>
        </is>
      </c>
      <c r="E86" s="12" t="inlineStr">
        <is>
          <t>CAPTURA.</t>
        </is>
      </c>
      <c r="F86" s="13" t="inlineStr">
        <is>
          <t>001_EST_CROCHA_R3.2.e2k · STORY "N+6.00" HEIGHT 3</t>
        </is>
      </c>
    </row>
    <row r="87" ht="19.5" customHeight="1">
      <c r="B87" s="9" t="inlineStr">
        <is>
          <t>Altura del muro sobre la losa</t>
        </is>
      </c>
      <c r="C87" s="17">
        <f>DATOS!$C$86-DATOS!$C$15/100</f>
        <v>2.75</v>
      </c>
      <c r="D87" s="11" t="inlineStr">
        <is>
          <t>m</t>
        </is>
      </c>
      <c r="E87" s="12" t="inlineStr">
        <is>
          <t>CALCULADA = entrepiso − h.</t>
        </is>
      </c>
      <c r="F87" s="13" t="inlineStr">
        <is>
          <t>Geometría</t>
        </is>
      </c>
    </row>
    <row r="88" ht="19.5" customHeight="1">
      <c r="B88" s="9" t="inlineStr">
        <is>
          <t>Aplanados (las dos caras)</t>
        </is>
      </c>
      <c r="C88" s="19" t="n">
        <v>0.06</v>
      </c>
      <c r="D88" s="11" t="inlineStr">
        <is>
          <t>t/m²</t>
        </is>
      </c>
      <c r="E88" s="12" t="inlineStr">
        <is>
          <t>CAPTURA. 2 cm por cara con mortero de 1.5 t/m³.</t>
        </is>
      </c>
      <c r="F88" s="13" t="inlineStr">
        <is>
          <t>Práctica de ingeniería</t>
        </is>
      </c>
    </row>
    <row r="89" ht="30" customHeight="1">
      <c r="B89" s="9" t="inlineStr">
        <is>
          <t>w_muro — peso del muro por metro lineal (servicio)</t>
        </is>
      </c>
      <c r="C89" s="29">
        <f>(DATOS!$C$84*DATOS!$C$85+DATOS!$C$88)*DATOS!$C$87</f>
        <v>0.94875</v>
      </c>
      <c r="D89" s="11" t="inlineStr">
        <is>
          <t>t/m</t>
        </is>
      </c>
      <c r="E89" s="12" t="inlineStr">
        <is>
          <t>CALCULADA = (γm·t + aplanados)·altura.</t>
        </is>
      </c>
      <c r="F89" s="13" t="inlineStr">
        <is>
          <t>Geometría</t>
        </is>
      </c>
    </row>
    <row r="90" ht="6" customHeight="1"/>
    <row r="91" ht="21" customHeight="1">
      <c r="B91" s="5" t="inlineStr">
        <is>
          <t>7. NERVADURAS PRINCIPALES — VALORES POR OMISIÓN</t>
        </is>
      </c>
    </row>
    <row r="92" ht="30" customHeight="1">
      <c r="B92" s="6" t="inlineStr">
        <is>
          <t>Cada tramo de PRINCIPALES arranca con estos valores; ahí mismo se pueden cambiar renglón por renglón.</t>
        </is>
      </c>
      <c r="C92" s="7" t="n"/>
      <c r="D92" s="7" t="n"/>
      <c r="E92" s="7" t="n"/>
      <c r="F92" s="7" t="n"/>
    </row>
    <row r="93" ht="30" customHeight="1">
      <c r="B93" s="8" t="inlineStr">
        <is>
          <t>Concepto</t>
        </is>
      </c>
      <c r="C93" s="8" t="inlineStr">
        <is>
          <t>Valor</t>
        </is>
      </c>
      <c r="D93" s="8" t="inlineStr">
        <is>
          <t>Unidad</t>
        </is>
      </c>
      <c r="E93" s="8" t="inlineStr">
        <is>
          <t>Cómo se calcula / de dónde sale</t>
        </is>
      </c>
      <c r="F93" s="8" t="inlineStr">
        <is>
          <t>Referencia</t>
        </is>
      </c>
    </row>
    <row r="94" ht="19.5" customHeight="1">
      <c r="B94" s="9" t="inlineStr">
        <is>
          <t>No. de varilla longitudinal preferida</t>
        </is>
      </c>
      <c r="C94" s="16" t="n">
        <v>4</v>
      </c>
      <c r="D94" s="11" t="inlineStr">
        <is>
          <t>—</t>
        </is>
      </c>
      <c r="E94" s="12" t="inlineStr">
        <is>
          <t>CAPTURA. Si no cabe, la hoja sube al siguiente número.</t>
        </is>
      </c>
      <c r="F94" s="13" t="inlineStr">
        <is>
          <t>Práctica de obra</t>
        </is>
      </c>
    </row>
    <row r="95" ht="30" customHeight="1">
      <c r="B95" s="9" t="inlineStr">
        <is>
          <t>No. de varilla del estribo</t>
        </is>
      </c>
      <c r="C95" s="16" t="n">
        <v>2.5</v>
      </c>
      <c r="D95" s="11" t="inlineStr">
        <is>
          <t>—</t>
        </is>
      </c>
      <c r="E95" s="12" t="inlineStr">
        <is>
          <t>CAPTURA. Varilla corrugada de 5/16".</t>
        </is>
      </c>
      <c r="F95" s="13" t="inlineStr">
        <is>
          <t>Naim — CASA HABITACIÓN, PLANOS EST-01 a EST-06 · EST-03 (estribos 5/16")</t>
        </is>
      </c>
    </row>
    <row r="96" ht="19.5" customHeight="1">
      <c r="B96" s="9" t="inlineStr">
        <is>
          <t>Mínimo de varillas por lecho</t>
        </is>
      </c>
      <c r="C96" s="10" t="n">
        <v>2</v>
      </c>
      <c r="D96" s="11" t="inlineStr">
        <is>
          <t>pzas</t>
        </is>
      </c>
      <c r="E96" s="12" t="inlineStr">
        <is>
          <t>CAPTURA.</t>
        </is>
      </c>
      <c r="F96" s="13" t="inlineStr">
        <is>
          <t>Práctica de obra</t>
        </is>
      </c>
    </row>
    <row r="97" ht="30" customHeight="1">
      <c r="B97" s="9" t="inlineStr">
        <is>
          <t>Separación máxima de estribos (tope de obra)</t>
        </is>
      </c>
      <c r="C97" s="10" t="n">
        <v>20</v>
      </c>
      <c r="D97" s="11" t="inlineStr">
        <is>
          <t>cm</t>
        </is>
      </c>
      <c r="E97" s="12" t="inlineStr">
        <is>
          <t>CAPTURA. Manda el menor entre esto y d/2.</t>
        </is>
      </c>
      <c r="F97" s="13" t="inlineStr">
        <is>
          <t>Práctica de obra · NTC-Concreto 2023 (CDMX) · separación máxima de estribos</t>
        </is>
      </c>
    </row>
    <row r="98" ht="6" customHeight="1"/>
    <row r="99" ht="54" customHeight="1">
      <c r="B99" s="3" t="inlineStr">
        <is>
          <t>LO QUE QUEDA PENDIENTE DE TU LADO: (1) aceptar o rechazar los castillos que se proponen bajar a cimentación (hoja APOYOS); (2) dar peralte a las nervaduras principales que no pasan con 25 cm (columna «h requerido» de PRINCIPALES); (3) corregir en ETABS las secciones de F80032 y F80010 de azotea, que están como «Slab1».</t>
        </is>
      </c>
      <c r="C99" s="4" t="n"/>
      <c r="D99" s="4" t="n"/>
      <c r="E99" s="4" t="n"/>
      <c r="F99" s="4" t="n"/>
    </row>
  </sheetData>
  <mergeCells count="18">
    <mergeCell ref="B4:F4"/>
    <mergeCell ref="B82:F82"/>
    <mergeCell ref="B29:F29"/>
    <mergeCell ref="B73:F73"/>
    <mergeCell ref="B55:F55"/>
    <mergeCell ref="B6:F6"/>
    <mergeCell ref="B91:F91"/>
    <mergeCell ref="B2:F2"/>
    <mergeCell ref="B54:F54"/>
    <mergeCell ref="B81:F81"/>
    <mergeCell ref="B5:F5"/>
    <mergeCell ref="B99:F99"/>
    <mergeCell ref="B1:F1"/>
    <mergeCell ref="B8:F8"/>
    <mergeCell ref="B41:F41"/>
    <mergeCell ref="B9:F9"/>
    <mergeCell ref="B74:F74"/>
    <mergeCell ref="B92:F92"/>
  </mergeCells>
  <conditionalFormatting sqref="C1:F100">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2">
    <dataValidation sqref="C26" showDropDown="0" showInputMessage="0" showErrorMessage="0" allowBlank="0" errorTitle="Valor no válido" error="Escoge un valor de la lista" type="list">
      <formula1>=TABLAS!$B$63:$B$66</formula1>
    </dataValidation>
    <dataValidation sqref="C27" showDropDown="0" showInputMessage="0" showErrorMessage="0" allowBlank="0" errorTitle="Valor no válido" error="Escoge un valor de la lista" type="list">
      <formula1>"SÍ,NO"</formula1>
    </dataValidation>
  </dataValidations>
  <pageMargins left="0.75" right="0.75" top="1" bottom="1" header="0.5" footer="0.5"/>
  <pageSetup orientation="landscape" paperSize="1" fitToHeight="0" fitToWidth="1"/>
</worksheet>
</file>

<file path=xl/worksheets/sheet2.xml><?xml version="1.0" encoding="utf-8"?>
<worksheet xmlns="http://schemas.openxmlformats.org/spreadsheetml/2006/main">
  <sheetPr>
    <outlinePr summaryBelow="1" summaryRight="1"/>
    <pageSetUpPr fitToPage="1"/>
  </sheetPr>
  <dimension ref="B1:I219"/>
  <sheetViews>
    <sheetView showGridLines="0" zoomScale="85" workbookViewId="0">
      <pane xSplit="2" topLeftCell="C1" activePane="topRight" state="frozen"/>
      <selection pane="topRight" activeCell="A1" sqref="A1"/>
    </sheetView>
  </sheetViews>
  <sheetFormatPr baseColWidth="8" defaultRowHeight="15"/>
  <cols>
    <col width="1.78" customWidth="1" min="1" max="1"/>
    <col width="30" customWidth="1" min="2" max="2"/>
    <col width="12" customWidth="1" min="3" max="3"/>
    <col width="9" customWidth="1" min="4" max="4"/>
    <col width="10" customWidth="1" min="5" max="5"/>
    <col width="30" customWidth="1" min="6" max="6"/>
    <col width="15" customWidth="1" min="7" max="7"/>
    <col width="30" customWidth="1" min="8" max="8"/>
    <col width="40" customWidth="1" min="9" max="9"/>
  </cols>
  <sheetData>
    <row r="1" ht="26" customHeight="1">
      <c r="B1" s="1" t="inlineStr">
        <is>
          <t>APOYOS — DÓNDE SE APOYA CADA TABLERO, CUÁLES SON LAS NERVADURAS PRINCIPALES Y DÓNDE HAY VACÍOS</t>
        </is>
      </c>
    </row>
    <row r="2" ht="30" customHeight="1">
      <c r="B2" s="2" t="inlineStr">
        <is>
          <t>Se cruzó el modelo (muros, castillos y dalas por nivel) con el plano arquitectónico (capa 004_Vacios y escalera) y con el DXF de áreas tributarias. Los muros que cargan la losa N+3.00 son los de planta baja; los que cargan la azotea N+6.00 son los del primer nivel.</t>
        </is>
      </c>
    </row>
    <row r="3" ht="6" customHeight="1"/>
    <row r="4" ht="21" customHeight="1">
      <c r="B4" s="5" t="inlineStr">
        <is>
          <t>A. LO QUE SE ENCONTRÓ</t>
        </is>
      </c>
    </row>
    <row r="5" ht="28" customHeight="1">
      <c r="B5" s="30" t="inlineStr">
        <is>
          <t>1) AZOTEA (N+6.00): casi todos los bordes caen sobre muros del primer nivel. Sólo 4 tramos cortos quedan sin muro (bordes de los tragaluces, la ventana del área de tendido y el borde del vacío de la escalera) y todos llegan a muros en sus dos extremos.</t>
        </is>
      </c>
    </row>
    <row r="6" ht="41" customHeight="1">
      <c r="B6" s="30" t="inlineStr">
        <is>
          <t>2) ENTREPISO (N+3.00): en planta baja sólo hay muros en los ejes A y J y en dos núcleos (baño junto a la cochera y servicios atrás). La cochera mide 8.70 m libres y la sala tiene el vacío de doble altura: muchas dalas del modelo quedan sin muro abajo y en realidad son NERVADURAS PRINCIPALES que trabajan como trabe.</t>
        </is>
      </c>
    </row>
    <row r="7" ht="41" customHeight="1">
      <c r="B7" s="30" t="inlineStr">
        <is>
          <t>3) En el modelo tal cual, varias de esas principales rematan en nudos que no tienen nada abajo: las esquinas de la cochera (x = 4.327 y = 1.919; x = 5.923 y = 2.921), las esquinas del vacío (x = 4.327 con y = 7.871 y 14.021), la esquina de la escalera (F-8) y la esquina C-10. Así quedan en volado de 4 a 8 m: con 25 cm de peralte NO funcionan.</t>
        </is>
      </c>
    </row>
    <row r="8" ht="41" customHeight="1">
      <c r="B8" s="30" t="inlineStr">
        <is>
          <t>4) En esos mismos nudos el primer nivel SÍ tiene castillo, pero no baja a planta baja (31 castillos sin continuidad, lista F). La propuesta de esta hoja es bajar 7 de ellos a cimentación y agregar uno nuevo en la llegada de la escalera (lista B). Con eso todas las principales quedan apoyadas en sus dos extremos.</t>
        </is>
      </c>
    </row>
    <row r="9" ht="28" customHeight="1">
      <c r="B9" s="30" t="inlineStr">
        <is>
          <t>5) F80012 (área de tendido, fuera del eje A) y F80019 (terraza entre los ejes 14 y 15) son VOLADOS de 2.00 m. Sus orillas libres llevan nervadura de borde, no trabe. La de F80019 recibe el barandal de 333.7 kg/m que trae el modelo.</t>
        </is>
      </c>
    </row>
    <row r="10" ht="28" customHeight="1">
      <c r="B10" s="30" t="inlineStr">
        <is>
          <t>6) VACÍOS: doble altura de la sala (4.17 × 6.00 m), cubo de la escalera curva, vacío sobre la escalera en azotea y tres tragaluces de 0.30 m en azotea. F80028 y F80029 son prácticamente hueco (quedan 0.60 y 0.53 m² de losa): se tratan como marco de hueco, no como tablero.</t>
        </is>
      </c>
    </row>
    <row r="11" ht="28" customHeight="1">
      <c r="B11" s="30" t="inlineStr">
        <is>
          <t>7) En azotea, F80032 y F80010 están en el modelo como «Slab1» (maciza de 20 cm, concreto 4000 psi), no como LR-25. El plano dice losa reticular: aquí se diseñan como LR-25 y conviene corregirlos en ETABS.</t>
        </is>
      </c>
    </row>
    <row r="12" ht="28" customHeight="1">
      <c r="B12" s="30" t="inlineStr">
        <is>
          <t>8) F2 (azotea, sobre la terraza del frente) no tiene cargas en el modelo. Aquí se le pone la misma sobrecarga que al tablero vecino F80023 (270 kg/m²): REVISAR.</t>
        </is>
      </c>
    </row>
    <row r="13" ht="6" customHeight="1"/>
    <row r="14" ht="21" customHeight="1">
      <c r="B14" s="5" t="inlineStr">
        <is>
          <t>B. CASTILLOS QUE SE PROPONE BAJAR A CIMENTACIÓN — TÚ DECIDES</t>
        </is>
      </c>
    </row>
    <row r="15" ht="42" customHeight="1">
      <c r="B15" s="6" t="inlineStr">
        <is>
          <t>Si pones NO, los tramos que dependen de ese castillo pasan a volado en PRINCIPALES y la hoja te dice si así aguantan. OJO: si rechazas un castillo que parte un tramo en dos (C2, C4), junta a mano los dos renglones de PRINCIPALES en uno solo con el claro completo.</t>
        </is>
      </c>
      <c r="C15" s="7" t="n"/>
      <c r="D15" s="7" t="n"/>
      <c r="E15" s="7" t="n"/>
      <c r="F15" s="7" t="n"/>
      <c r="G15" s="7" t="n"/>
      <c r="H15" s="7" t="n"/>
      <c r="I15" s="7" t="n"/>
    </row>
    <row r="16">
      <c r="B16" s="8" t="inlineStr">
        <is>
          <t>Castillo</t>
        </is>
      </c>
      <c r="C16" s="8" t="inlineStr">
        <is>
          <t>¿Se acepta?</t>
        </is>
      </c>
      <c r="D16" s="8" t="inlineStr">
        <is>
          <t>x (m)</t>
        </is>
      </c>
      <c r="E16" s="8" t="inlineStr">
        <is>
          <t>y (m)</t>
        </is>
      </c>
      <c r="F16" s="8" t="inlineStr">
        <is>
          <t>Ejes</t>
        </is>
      </c>
      <c r="G16" s="8" t="inlineStr">
        <is>
          <t>Tramos que dependen</t>
        </is>
      </c>
      <c r="H16" s="8" t="inlineStr">
        <is>
          <t>Por qué</t>
        </is>
      </c>
      <c r="I16" s="31" t="n"/>
    </row>
    <row r="17" ht="36" customHeight="1">
      <c r="B17" s="32" t="inlineStr">
        <is>
          <t>C1 — PROPUESTO</t>
        </is>
      </c>
      <c r="C17" s="33" t="inlineStr">
        <is>
          <t>SÍ</t>
        </is>
      </c>
      <c r="D17" s="34" t="n">
        <v>4.327</v>
      </c>
      <c r="E17" s="34" t="n">
        <v>1.919</v>
      </c>
      <c r="F17" s="35" t="inlineStr">
        <is>
          <t>x=4.327-2</t>
        </is>
      </c>
      <c r="G17" s="36" t="inlineStr">
        <is>
          <t>NP-01, NP-20</t>
        </is>
      </c>
      <c r="H17" s="37" t="inlineStr">
        <is>
          <t>Esquina libre al frente de la cochera: ahí rematan las nervaduras de y = 1.919 y de x = 4.327. Ya hay castillo en el primer nivel.</t>
        </is>
      </c>
      <c r="I17" s="38" t="n"/>
    </row>
    <row r="18" ht="36" customHeight="1">
      <c r="B18" s="32" t="inlineStr">
        <is>
          <t>C2 — PROPUESTO</t>
        </is>
      </c>
      <c r="C18" s="33" t="inlineStr">
        <is>
          <t>SÍ</t>
        </is>
      </c>
      <c r="D18" s="34" t="n">
        <v>4.327</v>
      </c>
      <c r="E18" s="34" t="n">
        <v>2.921</v>
      </c>
      <c r="F18" s="35" t="inlineStr">
        <is>
          <t>x=4.327-3</t>
        </is>
      </c>
      <c r="G18" s="36" t="inlineStr">
        <is>
          <t>NP-02, NP-03, NP-20, NP-21</t>
        </is>
      </c>
      <c r="H18" s="37" t="inlineStr">
        <is>
          <t>Cochera: cruce de x = 4.327 con y = 2.921, bajo esquina de muro del primer nivel. Ya hay castillo en el primer nivel.</t>
        </is>
      </c>
      <c r="I18" s="38" t="n"/>
    </row>
    <row r="19" ht="36" customHeight="1">
      <c r="B19" s="32" t="inlineStr">
        <is>
          <t>C3 — PROPUESTO</t>
        </is>
      </c>
      <c r="C19" s="33" t="inlineStr">
        <is>
          <t>SÍ</t>
        </is>
      </c>
      <c r="D19" s="34" t="n">
        <v>5.923</v>
      </c>
      <c r="E19" s="34" t="n">
        <v>2.921</v>
      </c>
      <c r="F19" s="35" t="inlineStr">
        <is>
          <t>G-3</t>
        </is>
      </c>
      <c r="G19" s="36" t="inlineStr">
        <is>
          <t>NP-03, NP-29</t>
        </is>
      </c>
      <c r="H19" s="37" t="inlineStr">
        <is>
          <t>Esquina libre de la cochera (lado pickup): ahí rematan y = 2.921 y el eje G. Ya hay castillo en el primer nivel.</t>
        </is>
      </c>
      <c r="I19" s="38" t="n"/>
    </row>
    <row r="20" ht="36" customHeight="1">
      <c r="B20" s="32" t="inlineStr">
        <is>
          <t>C4 — PROPUESTO</t>
        </is>
      </c>
      <c r="C20" s="33" t="inlineStr">
        <is>
          <t>SÍ</t>
        </is>
      </c>
      <c r="D20" s="34" t="n">
        <v>4.327</v>
      </c>
      <c r="E20" s="34" t="n">
        <v>7.871</v>
      </c>
      <c r="F20" s="35" t="inlineStr">
        <is>
          <t>x=4.327-7</t>
        </is>
      </c>
      <c r="G20" s="36" t="inlineStr">
        <is>
          <t>NP-06, NP-22, NP-23</t>
        </is>
      </c>
      <c r="H20" s="37" t="inlineStr">
        <is>
          <t>Esquina sur del vacío de doble altura: recibe la nervadura del eje 7. Ya hay castillo en el primer nivel.</t>
        </is>
      </c>
      <c r="I20" s="38" t="n"/>
    </row>
    <row r="21" ht="36" customHeight="1">
      <c r="B21" s="32" t="inlineStr">
        <is>
          <t>C5 — PROPUESTO</t>
        </is>
      </c>
      <c r="C21" s="33" t="inlineStr">
        <is>
          <t>SÍ</t>
        </is>
      </c>
      <c r="D21" s="34" t="n">
        <v>4.327</v>
      </c>
      <c r="E21" s="34" t="n">
        <v>14.021</v>
      </c>
      <c r="F21" s="35" t="inlineStr">
        <is>
          <t>x=4.327-y=14.021</t>
        </is>
      </c>
      <c r="G21" s="36" t="inlineStr">
        <is>
          <t>NP-10, NP-23</t>
        </is>
      </c>
      <c r="H21" s="37" t="inlineStr">
        <is>
          <t>Esquina norte del vacío de doble altura: sin él x = 4.327 queda en volado de 8 m. Ya hay castillo en el primer nivel.</t>
        </is>
      </c>
      <c r="I21" s="38" t="n"/>
    </row>
    <row r="22" ht="36" customHeight="1">
      <c r="B22" s="32" t="inlineStr">
        <is>
          <t>C6 — PROPUESTO</t>
        </is>
      </c>
      <c r="C22" s="33" t="inlineStr">
        <is>
          <t>SÍ</t>
        </is>
      </c>
      <c r="D22" s="34" t="n">
        <v>5.422</v>
      </c>
      <c r="E22" s="34" t="n">
        <v>9.949999999999999</v>
      </c>
      <c r="F22" s="35" t="inlineStr">
        <is>
          <t>F-8</t>
        </is>
      </c>
      <c r="G22" s="36" t="inlineStr">
        <is>
          <t>NP-08, NP-26</t>
        </is>
      </c>
      <c r="H22" s="37" t="inlineStr">
        <is>
          <t>Esquina escalera/cocina (F-8): recibe la nervadura del eje F que carga muro de planta alta. Ya hay castillo en el primer nivel.</t>
        </is>
      </c>
      <c r="I22" s="38" t="n"/>
    </row>
    <row r="23" ht="36" customHeight="1">
      <c r="B23" s="32" t="inlineStr">
        <is>
          <t>C7 — PROPUESTO</t>
        </is>
      </c>
      <c r="C23" s="33" t="inlineStr">
        <is>
          <t>SÍ</t>
        </is>
      </c>
      <c r="D23" s="34" t="n">
        <v>5.441</v>
      </c>
      <c r="E23" s="34" t="n">
        <v>8.91</v>
      </c>
      <c r="F23" s="35" t="inlineStr">
        <is>
          <t>F-y=8.910</t>
        </is>
      </c>
      <c r="G23" s="36" t="inlineStr">
        <is>
          <t>NP-07, NP-25</t>
        </is>
      </c>
      <c r="H23" s="37" t="inlineStr">
        <is>
          <t>Llegada de la escalera: amarra el anillo x = 5.44 / y = 8.91. NO hay castillo arriba: es propuesta nueva, revisar con arquitectura.</t>
        </is>
      </c>
      <c r="I23" s="38" t="n"/>
    </row>
    <row r="24" ht="36" customHeight="1">
      <c r="B24" s="32" t="inlineStr">
        <is>
          <t>C8 — PROPUESTO</t>
        </is>
      </c>
      <c r="C24" s="33" t="inlineStr">
        <is>
          <t>SÍ</t>
        </is>
      </c>
      <c r="D24" s="34" t="n">
        <v>3.427</v>
      </c>
      <c r="E24" s="34" t="n">
        <v>15.846</v>
      </c>
      <c r="F24" s="35" t="inlineStr">
        <is>
          <t>C-y=15.846</t>
        </is>
      </c>
      <c r="G24" s="36" t="inlineStr">
        <is>
          <t>NP-12, NP-19</t>
        </is>
      </c>
      <c r="H24" s="37" t="inlineStr">
        <is>
          <t>Esquina C-10 (arq.): ahí remata y = 15.846 que carga muro de planta alta. Ya hay castillo en el primer nivel.</t>
        </is>
      </c>
      <c r="I24" s="38" t="n"/>
    </row>
    <row r="25" ht="6" customHeight="1"/>
    <row r="26" ht="21" customHeight="1">
      <c r="B26" s="5" t="inlineStr">
        <is>
          <t>C. BORDES DE CADA TABLERO — APOYO Y CONTINUIDAD</t>
        </is>
      </c>
    </row>
    <row r="27" ht="42" customHeight="1">
      <c r="B27" s="6" t="inlineStr">
        <is>
          <t>«Apoyo» dice qué hay bajo el borde: MURO, una NERVADURA PRINCIPAL (ver PRINCIPALES) o nada (LIBRE). «Continuidad» dice si del otro lado sigue losa: con eso TABLEROS escoge el caso de la tabla de coeficientes. La continuidad es AMARILLA: la puedes cambiar si el criterio automático no te convence.</t>
        </is>
      </c>
      <c r="C27" s="7" t="n"/>
      <c r="D27" s="7" t="n"/>
      <c r="E27" s="7" t="n"/>
      <c r="F27" s="7" t="n"/>
      <c r="G27" s="7" t="n"/>
      <c r="H27" s="7" t="n"/>
      <c r="I27" s="7" t="n"/>
    </row>
    <row r="28">
      <c r="B28" s="8" t="inlineStr">
        <is>
          <t>Tablero</t>
        </is>
      </c>
      <c r="C28" s="8" t="inlineStr">
        <is>
          <t>Lado</t>
        </is>
      </c>
      <c r="D28" s="8" t="inlineStr">
        <is>
          <t>Largo (m)</t>
        </is>
      </c>
      <c r="E28" s="8" t="inlineStr">
        <is>
          <t>% sobre muro</t>
        </is>
      </c>
      <c r="F28" s="8" t="inlineStr">
        <is>
          <t>Apoyo</t>
        </is>
      </c>
      <c r="G28" s="8" t="inlineStr">
        <is>
          <t>Continuidad</t>
        </is>
      </c>
      <c r="H28" s="8" t="inlineStr">
        <is>
          <t>Del otro lado</t>
        </is>
      </c>
      <c r="I28" s="8" t="inlineStr">
        <is>
          <t>Vacío o hueco junto</t>
        </is>
      </c>
    </row>
    <row r="29">
      <c r="B29" s="32" t="inlineStr">
        <is>
          <t>F80001 N+3.00</t>
        </is>
      </c>
      <c r="C29" s="39" t="inlineStr">
        <is>
          <t>inferior</t>
        </is>
      </c>
      <c r="D29" s="34" t="n">
        <v>4.327</v>
      </c>
      <c r="E29" s="40" t="n">
        <v>0.005</v>
      </c>
      <c r="F29" s="36" t="inlineStr">
        <is>
          <t>NERV. PRINCIPAL NP-01</t>
        </is>
      </c>
      <c r="G29" s="33" t="inlineStr">
        <is>
          <t>DISCONTINUO</t>
        </is>
      </c>
      <c r="H29" s="37" t="inlineStr"/>
      <c r="I29" s="37" t="inlineStr"/>
    </row>
    <row r="30">
      <c r="B30" s="35" t="inlineStr">
        <is>
          <t>F80001 N+3.00</t>
        </is>
      </c>
      <c r="C30" s="39" t="inlineStr">
        <is>
          <t>superior</t>
        </is>
      </c>
      <c r="D30" s="34" t="n">
        <v>4.327</v>
      </c>
      <c r="E30" s="40" t="n">
        <v>0.005</v>
      </c>
      <c r="F30" s="36" t="inlineStr">
        <is>
          <t>NERV. PRINCIPAL NP-02</t>
        </is>
      </c>
      <c r="G30" s="33" t="inlineStr">
        <is>
          <t>CONTINUO</t>
        </is>
      </c>
      <c r="H30" s="37" t="inlineStr">
        <is>
          <t>F80003</t>
        </is>
      </c>
      <c r="I30" s="37" t="inlineStr"/>
    </row>
    <row r="31">
      <c r="B31" s="35" t="inlineStr">
        <is>
          <t>F80001 N+3.00</t>
        </is>
      </c>
      <c r="C31" s="39" t="inlineStr">
        <is>
          <t>izquierdo</t>
        </is>
      </c>
      <c r="D31" s="34" t="n">
        <v>1.002</v>
      </c>
      <c r="E31" s="40" t="n">
        <v>1</v>
      </c>
      <c r="F31" s="36" t="inlineStr">
        <is>
          <t>MURO</t>
        </is>
      </c>
      <c r="G31" s="33" t="inlineStr">
        <is>
          <t>DISCONTINUO</t>
        </is>
      </c>
      <c r="H31" s="37" t="inlineStr"/>
      <c r="I31" s="37" t="inlineStr"/>
    </row>
    <row r="32">
      <c r="B32" s="35" t="inlineStr">
        <is>
          <t>F80001 N+3.00</t>
        </is>
      </c>
      <c r="C32" s="39" t="inlineStr">
        <is>
          <t>derecho</t>
        </is>
      </c>
      <c r="D32" s="34" t="n">
        <v>1.002</v>
      </c>
      <c r="E32" s="40" t="n">
        <v>0</v>
      </c>
      <c r="F32" s="36" t="inlineStr">
        <is>
          <t>NERV. PRINCIPAL NP-20</t>
        </is>
      </c>
      <c r="G32" s="33" t="inlineStr">
        <is>
          <t>DISCONTINUO</t>
        </is>
      </c>
      <c r="H32" s="37" t="inlineStr"/>
      <c r="I32" s="37" t="inlineStr"/>
    </row>
    <row r="33">
      <c r="B33" s="32" t="inlineStr">
        <is>
          <t>F80003 N+3.00</t>
        </is>
      </c>
      <c r="C33" s="39" t="inlineStr">
        <is>
          <t>inferior</t>
        </is>
      </c>
      <c r="D33" s="34" t="n">
        <v>4.327</v>
      </c>
      <c r="E33" s="40" t="n">
        <v>0.005</v>
      </c>
      <c r="F33" s="36" t="inlineStr">
        <is>
          <t>NERV. PRINCIPAL NP-02</t>
        </is>
      </c>
      <c r="G33" s="33" t="inlineStr">
        <is>
          <t>CONTINUO</t>
        </is>
      </c>
      <c r="H33" s="37" t="inlineStr">
        <is>
          <t>F80001</t>
        </is>
      </c>
      <c r="I33" s="37" t="inlineStr"/>
    </row>
    <row r="34">
      <c r="B34" s="35" t="inlineStr">
        <is>
          <t>F80003 N+3.00</t>
        </is>
      </c>
      <c r="C34" s="39" t="inlineStr">
        <is>
          <t>superior</t>
        </is>
      </c>
      <c r="D34" s="34" t="n">
        <v>4.327</v>
      </c>
      <c r="E34" s="40" t="n">
        <v>0.333</v>
      </c>
      <c r="F34" s="36" t="inlineStr">
        <is>
          <t>MURO</t>
        </is>
      </c>
      <c r="G34" s="33" t="inlineStr">
        <is>
          <t>CONTINUO</t>
        </is>
      </c>
      <c r="H34" s="37" t="inlineStr">
        <is>
          <t>F80005, F80006</t>
        </is>
      </c>
      <c r="I34" s="37" t="inlineStr"/>
    </row>
    <row r="35">
      <c r="B35" s="35" t="inlineStr">
        <is>
          <t>F80003 N+3.00</t>
        </is>
      </c>
      <c r="C35" s="39" t="inlineStr">
        <is>
          <t>izquierdo</t>
        </is>
      </c>
      <c r="D35" s="34" t="n">
        <v>3.025</v>
      </c>
      <c r="E35" s="40" t="n">
        <v>1</v>
      </c>
      <c r="F35" s="36" t="inlineStr">
        <is>
          <t>MURO</t>
        </is>
      </c>
      <c r="G35" s="33" t="inlineStr">
        <is>
          <t>DISCONTINUO</t>
        </is>
      </c>
      <c r="H35" s="37" t="inlineStr">
        <is>
          <t>F80005</t>
        </is>
      </c>
      <c r="I35" s="37" t="inlineStr"/>
    </row>
    <row r="36">
      <c r="B36" s="35" t="inlineStr">
        <is>
          <t>F80003 N+3.00</t>
        </is>
      </c>
      <c r="C36" s="39" t="inlineStr">
        <is>
          <t>derecho</t>
        </is>
      </c>
      <c r="D36" s="34" t="n">
        <v>3.025</v>
      </c>
      <c r="E36" s="40" t="n">
        <v>0.007</v>
      </c>
      <c r="F36" s="36" t="inlineStr">
        <is>
          <t>NERV. PRINCIPAL NP-21</t>
        </is>
      </c>
      <c r="G36" s="33" t="inlineStr">
        <is>
          <t>CONTINUO</t>
        </is>
      </c>
      <c r="H36" s="37" t="inlineStr">
        <is>
          <t>F80004</t>
        </is>
      </c>
      <c r="I36" s="37" t="inlineStr"/>
    </row>
    <row r="37">
      <c r="B37" s="32" t="inlineStr">
        <is>
          <t>F80004 N+3.00</t>
        </is>
      </c>
      <c r="C37" s="39" t="inlineStr">
        <is>
          <t>inferior</t>
        </is>
      </c>
      <c r="D37" s="34" t="n">
        <v>1.596</v>
      </c>
      <c r="E37" s="40" t="n">
        <v>0</v>
      </c>
      <c r="F37" s="36" t="inlineStr">
        <is>
          <t>NERV. PRINCIPAL NP-03</t>
        </is>
      </c>
      <c r="G37" s="33" t="inlineStr">
        <is>
          <t>DISCONTINUO</t>
        </is>
      </c>
      <c r="H37" s="37" t="inlineStr"/>
      <c r="I37" s="37" t="inlineStr"/>
    </row>
    <row r="38">
      <c r="B38" s="35" t="inlineStr">
        <is>
          <t>F80004 N+3.00</t>
        </is>
      </c>
      <c r="C38" s="39" t="inlineStr">
        <is>
          <t>superior</t>
        </is>
      </c>
      <c r="D38" s="34" t="n">
        <v>1.596</v>
      </c>
      <c r="E38" s="40" t="n">
        <v>1</v>
      </c>
      <c r="F38" s="36" t="inlineStr">
        <is>
          <t>MURO</t>
        </is>
      </c>
      <c r="G38" s="33" t="inlineStr">
        <is>
          <t>CONTINUO</t>
        </is>
      </c>
      <c r="H38" s="37" t="inlineStr">
        <is>
          <t>F80008</t>
        </is>
      </c>
      <c r="I38" s="37" t="inlineStr"/>
    </row>
    <row r="39">
      <c r="B39" s="35" t="inlineStr">
        <is>
          <t>F80004 N+3.00</t>
        </is>
      </c>
      <c r="C39" s="39" t="inlineStr">
        <is>
          <t>izquierdo</t>
        </is>
      </c>
      <c r="D39" s="34" t="n">
        <v>3.025</v>
      </c>
      <c r="E39" s="40" t="n">
        <v>0.007</v>
      </c>
      <c r="F39" s="36" t="inlineStr">
        <is>
          <t>NERV. PRINCIPAL NP-21</t>
        </is>
      </c>
      <c r="G39" s="33" t="inlineStr">
        <is>
          <t>CONTINUO</t>
        </is>
      </c>
      <c r="H39" s="37" t="inlineStr">
        <is>
          <t>F80003</t>
        </is>
      </c>
      <c r="I39" s="37" t="inlineStr"/>
    </row>
    <row r="40">
      <c r="B40" s="35" t="inlineStr">
        <is>
          <t>F80004 N+3.00</t>
        </is>
      </c>
      <c r="C40" s="39" t="inlineStr">
        <is>
          <t>derecho</t>
        </is>
      </c>
      <c r="D40" s="34" t="n">
        <v>3.025</v>
      </c>
      <c r="E40" s="40" t="n">
        <v>0.007</v>
      </c>
      <c r="F40" s="36" t="inlineStr">
        <is>
          <t>NERV. PRINCIPAL NP-29</t>
        </is>
      </c>
      <c r="G40" s="33" t="inlineStr">
        <is>
          <t>DISCONTINUO</t>
        </is>
      </c>
      <c r="H40" s="37" t="inlineStr"/>
      <c r="I40" s="37" t="inlineStr"/>
    </row>
    <row r="41">
      <c r="B41" s="32" t="inlineStr">
        <is>
          <t>F80005 N+3.00</t>
        </is>
      </c>
      <c r="C41" s="39" t="inlineStr">
        <is>
          <t>inferior</t>
        </is>
      </c>
      <c r="D41" s="34" t="n">
        <v>2.925</v>
      </c>
      <c r="E41" s="40" t="n">
        <v>1</v>
      </c>
      <c r="F41" s="36" t="inlineStr">
        <is>
          <t>MURO</t>
        </is>
      </c>
      <c r="G41" s="33" t="inlineStr">
        <is>
          <t>CONTINUO</t>
        </is>
      </c>
      <c r="H41" s="37" t="inlineStr">
        <is>
          <t>F80003</t>
        </is>
      </c>
      <c r="I41" s="37" t="inlineStr"/>
    </row>
    <row r="42">
      <c r="B42" s="35" t="inlineStr">
        <is>
          <t>F80005 N+3.00</t>
        </is>
      </c>
      <c r="C42" s="39" t="inlineStr">
        <is>
          <t>superior</t>
        </is>
      </c>
      <c r="D42" s="34" t="n">
        <v>2.925</v>
      </c>
      <c r="E42" s="40" t="n">
        <v>1</v>
      </c>
      <c r="F42" s="36" t="inlineStr">
        <is>
          <t>MURO</t>
        </is>
      </c>
      <c r="G42" s="33" t="inlineStr">
        <is>
          <t>CONTINUO</t>
        </is>
      </c>
      <c r="H42" s="37" t="inlineStr">
        <is>
          <t>F80007</t>
        </is>
      </c>
      <c r="I42" s="37" t="inlineStr"/>
    </row>
    <row r="43">
      <c r="B43" s="35" t="inlineStr">
        <is>
          <t>F80005 N+3.00</t>
        </is>
      </c>
      <c r="C43" s="39" t="inlineStr">
        <is>
          <t>izquierdo</t>
        </is>
      </c>
      <c r="D43" s="34" t="n">
        <v>1.602</v>
      </c>
      <c r="E43" s="40" t="n">
        <v>1</v>
      </c>
      <c r="F43" s="36" t="inlineStr">
        <is>
          <t>MURO</t>
        </is>
      </c>
      <c r="G43" s="33" t="inlineStr">
        <is>
          <t>DISCONTINUO</t>
        </is>
      </c>
      <c r="H43" s="37" t="inlineStr"/>
      <c r="I43" s="37" t="inlineStr"/>
    </row>
    <row r="44">
      <c r="B44" s="35" t="inlineStr">
        <is>
          <t>F80005 N+3.00</t>
        </is>
      </c>
      <c r="C44" s="39" t="inlineStr">
        <is>
          <t>derecho</t>
        </is>
      </c>
      <c r="D44" s="34" t="n">
        <v>1.602</v>
      </c>
      <c r="E44" s="40" t="n">
        <v>1</v>
      </c>
      <c r="F44" s="36" t="inlineStr">
        <is>
          <t>MURO</t>
        </is>
      </c>
      <c r="G44" s="33" t="inlineStr">
        <is>
          <t>CONTINUO</t>
        </is>
      </c>
      <c r="H44" s="37" t="inlineStr">
        <is>
          <t>F80003, F80006</t>
        </is>
      </c>
      <c r="I44" s="37" t="inlineStr"/>
    </row>
    <row r="45">
      <c r="B45" s="32" t="inlineStr">
        <is>
          <t>F80006 N+3.00</t>
        </is>
      </c>
      <c r="C45" s="39" t="inlineStr">
        <is>
          <t>inferior</t>
        </is>
      </c>
      <c r="D45" s="34" t="n">
        <v>1.402</v>
      </c>
      <c r="E45" s="40" t="n">
        <v>1</v>
      </c>
      <c r="F45" s="36" t="inlineStr">
        <is>
          <t>MURO</t>
        </is>
      </c>
      <c r="G45" s="33" t="inlineStr">
        <is>
          <t>CONTINUO</t>
        </is>
      </c>
      <c r="H45" s="37" t="inlineStr">
        <is>
          <t>F80003</t>
        </is>
      </c>
      <c r="I45" s="37" t="inlineStr"/>
    </row>
    <row r="46">
      <c r="B46" s="35" t="inlineStr">
        <is>
          <t>F80006 N+3.00</t>
        </is>
      </c>
      <c r="C46" s="39" t="inlineStr">
        <is>
          <t>superior</t>
        </is>
      </c>
      <c r="D46" s="34" t="n">
        <v>1.402</v>
      </c>
      <c r="E46" s="40" t="n">
        <v>0.014</v>
      </c>
      <c r="F46" s="36" t="inlineStr">
        <is>
          <t>NERV. PRINCIPAL NP-04</t>
        </is>
      </c>
      <c r="G46" s="33" t="inlineStr">
        <is>
          <t>CONTINUO</t>
        </is>
      </c>
      <c r="H46" s="37" t="inlineStr">
        <is>
          <t>F80007</t>
        </is>
      </c>
      <c r="I46" s="37" t="inlineStr"/>
    </row>
    <row r="47">
      <c r="B47" s="35" t="inlineStr">
        <is>
          <t>F80006 N+3.00</t>
        </is>
      </c>
      <c r="C47" s="39" t="inlineStr">
        <is>
          <t>izquierdo</t>
        </is>
      </c>
      <c r="D47" s="34" t="n">
        <v>1.002</v>
      </c>
      <c r="E47" s="40" t="n">
        <v>1</v>
      </c>
      <c r="F47" s="36" t="inlineStr">
        <is>
          <t>MURO</t>
        </is>
      </c>
      <c r="G47" s="33" t="inlineStr">
        <is>
          <t>CONTINUO</t>
        </is>
      </c>
      <c r="H47" s="37" t="inlineStr">
        <is>
          <t>F80005</t>
        </is>
      </c>
      <c r="I47" s="37" t="inlineStr"/>
    </row>
    <row r="48">
      <c r="B48" s="35" t="inlineStr">
        <is>
          <t>F80006 N+3.00</t>
        </is>
      </c>
      <c r="C48" s="39" t="inlineStr">
        <is>
          <t>derecho</t>
        </is>
      </c>
      <c r="D48" s="34" t="n">
        <v>1.002</v>
      </c>
      <c r="E48" s="40" t="n">
        <v>0.02</v>
      </c>
      <c r="F48" s="36" t="inlineStr">
        <is>
          <t>NERV. PRINCIPAL NP-22</t>
        </is>
      </c>
      <c r="G48" s="33" t="inlineStr">
        <is>
          <t>CONTINUO</t>
        </is>
      </c>
      <c r="H48" s="37" t="inlineStr">
        <is>
          <t>F80008</t>
        </is>
      </c>
      <c r="I48" s="37" t="inlineStr"/>
    </row>
    <row r="49">
      <c r="B49" s="32" t="inlineStr">
        <is>
          <t>F80007 N+3.00</t>
        </is>
      </c>
      <c r="C49" s="39" t="inlineStr">
        <is>
          <t>inferior</t>
        </is>
      </c>
      <c r="D49" s="34" t="n">
        <v>4.327</v>
      </c>
      <c r="E49" s="40" t="n">
        <v>0.681</v>
      </c>
      <c r="F49" s="36" t="inlineStr">
        <is>
          <t>NERV. PRINCIPAL NP-04</t>
        </is>
      </c>
      <c r="G49" s="33" t="inlineStr">
        <is>
          <t>CONTINUO</t>
        </is>
      </c>
      <c r="H49" s="37" t="inlineStr">
        <is>
          <t>F80005, F80006</t>
        </is>
      </c>
      <c r="I49" s="37" t="inlineStr"/>
    </row>
    <row r="50">
      <c r="B50" s="35" t="inlineStr">
        <is>
          <t>F80007 N+3.00</t>
        </is>
      </c>
      <c r="C50" s="39" t="inlineStr">
        <is>
          <t>superior</t>
        </is>
      </c>
      <c r="D50" s="34" t="n">
        <v>4.327</v>
      </c>
      <c r="E50" s="40" t="n">
        <v>0.005</v>
      </c>
      <c r="F50" s="36" t="inlineStr">
        <is>
          <t>NERV. PRINCIPAL NP-06</t>
        </is>
      </c>
      <c r="G50" s="33" t="inlineStr">
        <is>
          <t>DISCONTINUO</t>
        </is>
      </c>
      <c r="H50" s="37" t="inlineStr"/>
      <c r="I50" s="37" t="inlineStr">
        <is>
          <t>Vacío doble altura (sala)</t>
        </is>
      </c>
    </row>
    <row r="51">
      <c r="B51" s="35" t="inlineStr">
        <is>
          <t>F80007 N+3.00</t>
        </is>
      </c>
      <c r="C51" s="39" t="inlineStr">
        <is>
          <t>izquierdo</t>
        </is>
      </c>
      <c r="D51" s="34" t="n">
        <v>0.923</v>
      </c>
      <c r="E51" s="40" t="n">
        <v>1</v>
      </c>
      <c r="F51" s="36" t="inlineStr">
        <is>
          <t>MURO</t>
        </is>
      </c>
      <c r="G51" s="33" t="inlineStr">
        <is>
          <t>DISCONTINUO</t>
        </is>
      </c>
      <c r="H51" s="37" t="inlineStr"/>
      <c r="I51" s="37" t="inlineStr"/>
    </row>
    <row r="52">
      <c r="B52" s="35" t="inlineStr">
        <is>
          <t>F80007 N+3.00</t>
        </is>
      </c>
      <c r="C52" s="39" t="inlineStr">
        <is>
          <t>derecho</t>
        </is>
      </c>
      <c r="D52" s="34" t="n">
        <v>0.923</v>
      </c>
      <c r="E52" s="40" t="n">
        <v>0</v>
      </c>
      <c r="F52" s="36" t="inlineStr">
        <is>
          <t>NERV. PRINCIPAL NP-22</t>
        </is>
      </c>
      <c r="G52" s="33" t="inlineStr">
        <is>
          <t>CONTINUO</t>
        </is>
      </c>
      <c r="H52" s="37" t="inlineStr">
        <is>
          <t>F80008</t>
        </is>
      </c>
      <c r="I52" s="37" t="inlineStr"/>
    </row>
    <row r="53">
      <c r="B53" s="32" t="inlineStr">
        <is>
          <t>F80008 N+3.00</t>
        </is>
      </c>
      <c r="C53" s="39" t="inlineStr">
        <is>
          <t>inferior</t>
        </is>
      </c>
      <c r="D53" s="34" t="n">
        <v>4.321</v>
      </c>
      <c r="E53" s="40" t="n">
        <v>0.674</v>
      </c>
      <c r="F53" s="36" t="inlineStr">
        <is>
          <t>NERV. PRINCIPAL NP-10 / sigue el pasillo</t>
        </is>
      </c>
      <c r="G53" s="33" t="inlineStr">
        <is>
          <t>DISCONTINUO</t>
        </is>
      </c>
      <c r="H53" s="37" t="inlineStr">
        <is>
          <t>F80003, F80004, F80006</t>
        </is>
      </c>
      <c r="I53" s="37" t="inlineStr"/>
    </row>
    <row r="54">
      <c r="B54" s="35" t="inlineStr">
        <is>
          <t>F80008 N+3.00</t>
        </is>
      </c>
      <c r="C54" s="39" t="inlineStr">
        <is>
          <t>superior</t>
        </is>
      </c>
      <c r="D54" s="34" t="n">
        <v>4.321</v>
      </c>
      <c r="E54" s="40" t="n">
        <v>0.5659999999999999</v>
      </c>
      <c r="F54" s="36" t="inlineStr">
        <is>
          <t>NERV. PRINCIPAL NP-15</t>
        </is>
      </c>
      <c r="G54" s="33" t="inlineStr">
        <is>
          <t>CONTINUO</t>
        </is>
      </c>
      <c r="H54" s="37" t="inlineStr">
        <is>
          <t>F80013, F80015, F80016, F80017, F80018</t>
        </is>
      </c>
      <c r="I54" s="37" t="inlineStr"/>
    </row>
    <row r="55">
      <c r="B55" s="35" t="inlineStr">
        <is>
          <t>F80008 N+3.00</t>
        </is>
      </c>
      <c r="C55" s="39" t="inlineStr">
        <is>
          <t>izquierdo</t>
        </is>
      </c>
      <c r="D55" s="34" t="n">
        <v>11.5</v>
      </c>
      <c r="E55" s="40" t="n">
        <v>0.002</v>
      </c>
      <c r="F55" s="36" t="inlineStr">
        <is>
          <t>NERV. PRINCIPAL NP-18, NP-19</t>
        </is>
      </c>
      <c r="G55" s="33" t="inlineStr">
        <is>
          <t>CONTINUO</t>
        </is>
      </c>
      <c r="H55" s="37" t="inlineStr">
        <is>
          <t>F80006, F80007, F80010, F80014</t>
        </is>
      </c>
      <c r="I55" s="37" t="inlineStr">
        <is>
          <t>Vacío doble altura (sala)</t>
        </is>
      </c>
    </row>
    <row r="56">
      <c r="B56" s="35" t="inlineStr">
        <is>
          <t>F80008 N+3.00</t>
        </is>
      </c>
      <c r="C56" s="39" t="inlineStr">
        <is>
          <t>derecho</t>
        </is>
      </c>
      <c r="D56" s="34" t="n">
        <v>11.5</v>
      </c>
      <c r="E56" s="40" t="n">
        <v>0.008999999999999999</v>
      </c>
      <c r="F56" s="36" t="inlineStr">
        <is>
          <t>MURO / NERV. PRINCIPAL NP-26</t>
        </is>
      </c>
      <c r="G56" s="33" t="inlineStr">
        <is>
          <t>CONTINUO</t>
        </is>
      </c>
      <c r="H56" s="37" t="inlineStr">
        <is>
          <t>F80009, F80011, F80015</t>
        </is>
      </c>
      <c r="I56" s="37" t="inlineStr">
        <is>
          <t>Escalera curva (cubo)</t>
        </is>
      </c>
    </row>
    <row r="57">
      <c r="B57" s="32" t="inlineStr">
        <is>
          <t>F80009 N+3.00</t>
        </is>
      </c>
      <c r="C57" s="39" t="inlineStr">
        <is>
          <t>inferior</t>
        </is>
      </c>
      <c r="D57" s="34" t="n">
        <v>3.428</v>
      </c>
      <c r="E57" s="40" t="n">
        <v>0.211</v>
      </c>
      <c r="F57" s="36" t="inlineStr">
        <is>
          <t>NERV. PRINCIPAL NP-08</t>
        </is>
      </c>
      <c r="G57" s="33" t="inlineStr">
        <is>
          <t>CONTINUO</t>
        </is>
      </c>
      <c r="H57" s="37" t="inlineStr">
        <is>
          <t>F80008</t>
        </is>
      </c>
      <c r="I57" s="37" t="inlineStr">
        <is>
          <t>Escalera curva (cubo)</t>
        </is>
      </c>
    </row>
    <row r="58">
      <c r="B58" s="35" t="inlineStr">
        <is>
          <t>F80009 N+3.00</t>
        </is>
      </c>
      <c r="C58" s="39" t="inlineStr">
        <is>
          <t>superior</t>
        </is>
      </c>
      <c r="D58" s="34" t="n">
        <v>3.428</v>
      </c>
      <c r="E58" s="40" t="n">
        <v>1</v>
      </c>
      <c r="F58" s="36" t="inlineStr">
        <is>
          <t>MURO</t>
        </is>
      </c>
      <c r="G58" s="33" t="inlineStr">
        <is>
          <t>CONTINUO</t>
        </is>
      </c>
      <c r="H58" s="37" t="inlineStr">
        <is>
          <t>F80011</t>
        </is>
      </c>
      <c r="I58" s="37" t="inlineStr"/>
    </row>
    <row r="59">
      <c r="B59" s="35" t="inlineStr">
        <is>
          <t>F80009 N+3.00</t>
        </is>
      </c>
      <c r="C59" s="39" t="inlineStr">
        <is>
          <t>izquierdo</t>
        </is>
      </c>
      <c r="D59" s="34" t="n">
        <v>5.497</v>
      </c>
      <c r="E59" s="40" t="n">
        <v>0.004</v>
      </c>
      <c r="F59" s="36" t="inlineStr">
        <is>
          <t>NERV. PRINCIPAL NP-26</t>
        </is>
      </c>
      <c r="G59" s="33" t="inlineStr">
        <is>
          <t>CONTINUO</t>
        </is>
      </c>
      <c r="H59" s="37" t="inlineStr">
        <is>
          <t>F80008</t>
        </is>
      </c>
      <c r="I59" s="37" t="inlineStr">
        <is>
          <t>Escalera curva (cubo)</t>
        </is>
      </c>
    </row>
    <row r="60">
      <c r="B60" s="35" t="inlineStr">
        <is>
          <t>F80009 N+3.00</t>
        </is>
      </c>
      <c r="C60" s="39" t="inlineStr">
        <is>
          <t>derecho</t>
        </is>
      </c>
      <c r="D60" s="34" t="n">
        <v>5.497</v>
      </c>
      <c r="E60" s="40" t="n">
        <v>1</v>
      </c>
      <c r="F60" s="36" t="inlineStr">
        <is>
          <t>MURO</t>
        </is>
      </c>
      <c r="G60" s="33" t="inlineStr">
        <is>
          <t>DISCONTINUO</t>
        </is>
      </c>
      <c r="H60" s="37" t="inlineStr"/>
      <c r="I60" s="37" t="inlineStr">
        <is>
          <t>Escalera curva (cubo)</t>
        </is>
      </c>
    </row>
    <row r="61">
      <c r="B61" s="32" t="inlineStr">
        <is>
          <t>F80010 N+3.00</t>
        </is>
      </c>
      <c r="C61" s="39" t="inlineStr">
        <is>
          <t>inferior</t>
        </is>
      </c>
      <c r="D61" s="34" t="n">
        <v>3.427</v>
      </c>
      <c r="E61" s="40" t="n">
        <v>0.006</v>
      </c>
      <c r="F61" s="36" t="inlineStr">
        <is>
          <t>NERV. PRINCIPAL NP-10</t>
        </is>
      </c>
      <c r="G61" s="33" t="inlineStr">
        <is>
          <t>DISCONTINUO</t>
        </is>
      </c>
      <c r="H61" s="37" t="inlineStr"/>
      <c r="I61" s="37" t="inlineStr">
        <is>
          <t>Vacío doble altura (sala)</t>
        </is>
      </c>
    </row>
    <row r="62">
      <c r="B62" s="35" t="inlineStr">
        <is>
          <t>F80010 N+3.00</t>
        </is>
      </c>
      <c r="C62" s="39" t="inlineStr">
        <is>
          <t>superior</t>
        </is>
      </c>
      <c r="D62" s="34" t="n">
        <v>3.427</v>
      </c>
      <c r="E62" s="40" t="n">
        <v>0.006</v>
      </c>
      <c r="F62" s="36" t="inlineStr">
        <is>
          <t>NERV. PRINCIPAL NP-12</t>
        </is>
      </c>
      <c r="G62" s="33" t="inlineStr">
        <is>
          <t>CONTINUO</t>
        </is>
      </c>
      <c r="H62" s="37" t="inlineStr">
        <is>
          <t>F80008, F80014</t>
        </is>
      </c>
      <c r="I62" s="37" t="inlineStr"/>
    </row>
    <row r="63">
      <c r="B63" s="35" t="inlineStr">
        <is>
          <t>F80010 N+3.00</t>
        </is>
      </c>
      <c r="C63" s="39" t="inlineStr">
        <is>
          <t>izquierdo</t>
        </is>
      </c>
      <c r="D63" s="34" t="n">
        <v>1.825</v>
      </c>
      <c r="E63" s="40" t="n">
        <v>1</v>
      </c>
      <c r="F63" s="36" t="inlineStr">
        <is>
          <t>MURO</t>
        </is>
      </c>
      <c r="G63" s="33" t="inlineStr">
        <is>
          <t>CONTINUO</t>
        </is>
      </c>
      <c r="H63" s="37" t="inlineStr">
        <is>
          <t>F80012</t>
        </is>
      </c>
      <c r="I63" s="37" t="inlineStr"/>
    </row>
    <row r="64">
      <c r="B64" s="35" t="inlineStr">
        <is>
          <t>F80010 N+3.00</t>
        </is>
      </c>
      <c r="C64" s="39" t="inlineStr">
        <is>
          <t>derecho</t>
        </is>
      </c>
      <c r="D64" s="34" t="n">
        <v>1.825</v>
      </c>
      <c r="E64" s="40" t="n">
        <v>0</v>
      </c>
      <c r="F64" s="36" t="inlineStr">
        <is>
          <t>NERV. PRINCIPAL NP-19</t>
        </is>
      </c>
      <c r="G64" s="33" t="inlineStr">
        <is>
          <t>CONTINUO</t>
        </is>
      </c>
      <c r="H64" s="37" t="inlineStr">
        <is>
          <t>F80008</t>
        </is>
      </c>
      <c r="I64" s="37" t="inlineStr"/>
    </row>
    <row r="65">
      <c r="B65" s="32" t="inlineStr">
        <is>
          <t>F80011 N+3.00</t>
        </is>
      </c>
      <c r="C65" s="39" t="inlineStr">
        <is>
          <t>inferior</t>
        </is>
      </c>
      <c r="D65" s="34" t="n">
        <v>3.428</v>
      </c>
      <c r="E65" s="40" t="n">
        <v>1</v>
      </c>
      <c r="F65" s="36" t="inlineStr">
        <is>
          <t>MURO</t>
        </is>
      </c>
      <c r="G65" s="33" t="inlineStr">
        <is>
          <t>CONTINUO</t>
        </is>
      </c>
      <c r="H65" s="37" t="inlineStr">
        <is>
          <t>F80009</t>
        </is>
      </c>
      <c r="I65" s="37" t="inlineStr"/>
    </row>
    <row r="66">
      <c r="B66" s="35" t="inlineStr">
        <is>
          <t>F80011 N+3.00</t>
        </is>
      </c>
      <c r="C66" s="39" t="inlineStr">
        <is>
          <t>superior</t>
        </is>
      </c>
      <c r="D66" s="34" t="n">
        <v>3.428</v>
      </c>
      <c r="E66" s="40" t="n">
        <v>0.006</v>
      </c>
      <c r="F66" s="36" t="inlineStr">
        <is>
          <t>NERV. PRINCIPAL NP-13</t>
        </is>
      </c>
      <c r="G66" s="33" t="inlineStr">
        <is>
          <t>CONTINUO</t>
        </is>
      </c>
      <c r="H66" s="37" t="inlineStr">
        <is>
          <t>F80013, F80015</t>
        </is>
      </c>
      <c r="I66" s="37" t="inlineStr"/>
    </row>
    <row r="67">
      <c r="B67" s="35" t="inlineStr">
        <is>
          <t>F80011 N+3.00</t>
        </is>
      </c>
      <c r="C67" s="39" t="inlineStr">
        <is>
          <t>izquierdo</t>
        </is>
      </c>
      <c r="D67" s="34" t="n">
        <v>0.399</v>
      </c>
      <c r="E67" s="40" t="n">
        <v>0.05</v>
      </c>
      <c r="F67" s="36" t="inlineStr">
        <is>
          <t>NERV. PRINCIPAL NP-27</t>
        </is>
      </c>
      <c r="G67" s="33" t="inlineStr">
        <is>
          <t>CONTINUO</t>
        </is>
      </c>
      <c r="H67" s="37" t="inlineStr">
        <is>
          <t>F80013</t>
        </is>
      </c>
      <c r="I67" s="37" t="inlineStr"/>
    </row>
    <row r="68">
      <c r="B68" s="35" t="inlineStr">
        <is>
          <t>F80011 N+3.00</t>
        </is>
      </c>
      <c r="C68" s="39" t="inlineStr">
        <is>
          <t>derecho</t>
        </is>
      </c>
      <c r="D68" s="34" t="n">
        <v>0.399</v>
      </c>
      <c r="E68" s="40" t="n">
        <v>1</v>
      </c>
      <c r="F68" s="36" t="inlineStr">
        <is>
          <t>MURO</t>
        </is>
      </c>
      <c r="G68" s="33" t="inlineStr">
        <is>
          <t>DISCONTINUO</t>
        </is>
      </c>
      <c r="H68" s="37" t="inlineStr"/>
      <c r="I68" s="37" t="inlineStr"/>
    </row>
    <row r="69">
      <c r="B69" s="32" t="inlineStr">
        <is>
          <t>F80012 N+3.00</t>
        </is>
      </c>
      <c r="C69" s="39" t="inlineStr">
        <is>
          <t>inferior</t>
        </is>
      </c>
      <c r="D69" s="34" t="n">
        <v>2</v>
      </c>
      <c r="E69" s="40" t="n">
        <v>0.01</v>
      </c>
      <c r="F69" s="36" t="inlineStr">
        <is>
          <t>NERV. PRINCIPAL NP-09</t>
        </is>
      </c>
      <c r="G69" s="33" t="inlineStr">
        <is>
          <t>DISCONTINUO</t>
        </is>
      </c>
      <c r="H69" s="37" t="inlineStr"/>
      <c r="I69" s="37" t="inlineStr"/>
    </row>
    <row r="70">
      <c r="B70" s="35" t="inlineStr">
        <is>
          <t>F80012 N+3.00</t>
        </is>
      </c>
      <c r="C70" s="39" t="inlineStr">
        <is>
          <t>superior</t>
        </is>
      </c>
      <c r="D70" s="34" t="n">
        <v>2</v>
      </c>
      <c r="E70" s="40" t="n">
        <v>0.01</v>
      </c>
      <c r="F70" s="36" t="inlineStr">
        <is>
          <t>NERV. PRINCIPAL NP-14</t>
        </is>
      </c>
      <c r="G70" s="33" t="inlineStr">
        <is>
          <t>DISCONTINUO</t>
        </is>
      </c>
      <c r="H70" s="37" t="inlineStr"/>
      <c r="I70" s="37" t="inlineStr"/>
    </row>
    <row r="71">
      <c r="B71" s="35" t="inlineStr">
        <is>
          <t>F80012 N+3.00</t>
        </is>
      </c>
      <c r="C71" s="39" t="inlineStr">
        <is>
          <t>izquierdo</t>
        </is>
      </c>
      <c r="D71" s="34" t="n">
        <v>3.425</v>
      </c>
      <c r="E71" s="40" t="n">
        <v>0</v>
      </c>
      <c r="F71" s="36" t="inlineStr">
        <is>
          <t>NERV. PRINCIPAL NP-17</t>
        </is>
      </c>
      <c r="G71" s="33" t="inlineStr">
        <is>
          <t>DISCONTINUO</t>
        </is>
      </c>
      <c r="H71" s="37" t="inlineStr"/>
      <c r="I71" s="37" t="inlineStr"/>
    </row>
    <row r="72">
      <c r="B72" s="35" t="inlineStr">
        <is>
          <t>F80012 N+3.00</t>
        </is>
      </c>
      <c r="C72" s="39" t="inlineStr">
        <is>
          <t>derecho</t>
        </is>
      </c>
      <c r="D72" s="34" t="n">
        <v>3.425</v>
      </c>
      <c r="E72" s="40" t="n">
        <v>1</v>
      </c>
      <c r="F72" s="36" t="inlineStr">
        <is>
          <t>MURO</t>
        </is>
      </c>
      <c r="G72" s="33" t="inlineStr">
        <is>
          <t>CONTINUO</t>
        </is>
      </c>
      <c r="H72" s="37" t="inlineStr">
        <is>
          <t>F80010, F80014</t>
        </is>
      </c>
      <c r="I72" s="37" t="inlineStr"/>
    </row>
    <row r="73">
      <c r="B73" s="32" t="inlineStr">
        <is>
          <t>F80013 N+3.00</t>
        </is>
      </c>
      <c r="C73" s="39" t="inlineStr">
        <is>
          <t>inferior</t>
        </is>
      </c>
      <c r="D73" s="34" t="n">
        <v>0.897</v>
      </c>
      <c r="E73" s="40" t="n">
        <v>1</v>
      </c>
      <c r="F73" s="36" t="inlineStr">
        <is>
          <t>MURO</t>
        </is>
      </c>
      <c r="G73" s="33" t="inlineStr">
        <is>
          <t>CONTINUO</t>
        </is>
      </c>
      <c r="H73" s="37" t="inlineStr">
        <is>
          <t>F80008, F80009, F80011</t>
        </is>
      </c>
      <c r="I73" s="37" t="inlineStr"/>
    </row>
    <row r="74">
      <c r="B74" s="35" t="inlineStr">
        <is>
          <t>F80013 N+3.00</t>
        </is>
      </c>
      <c r="C74" s="39" t="inlineStr">
        <is>
          <t>superior</t>
        </is>
      </c>
      <c r="D74" s="34" t="n">
        <v>0.897</v>
      </c>
      <c r="E74" s="40" t="n">
        <v>1</v>
      </c>
      <c r="F74" s="36" t="inlineStr">
        <is>
          <t>MURO</t>
        </is>
      </c>
      <c r="G74" s="33" t="inlineStr">
        <is>
          <t>CONTINUO</t>
        </is>
      </c>
      <c r="H74" s="37" t="inlineStr">
        <is>
          <t>F80018</t>
        </is>
      </c>
      <c r="I74" s="37" t="inlineStr"/>
    </row>
    <row r="75">
      <c r="B75" s="35" t="inlineStr">
        <is>
          <t>F80013 N+3.00</t>
        </is>
      </c>
      <c r="C75" s="39" t="inlineStr">
        <is>
          <t>izquierdo</t>
        </is>
      </c>
      <c r="D75" s="34" t="n">
        <v>1.999</v>
      </c>
      <c r="E75" s="40" t="n">
        <v>1</v>
      </c>
      <c r="F75" s="36" t="inlineStr">
        <is>
          <t>MURO</t>
        </is>
      </c>
      <c r="G75" s="33" t="inlineStr">
        <is>
          <t>CONTINUO</t>
        </is>
      </c>
      <c r="H75" s="37" t="inlineStr">
        <is>
          <t>F80008</t>
        </is>
      </c>
      <c r="I75" s="37" t="inlineStr"/>
    </row>
    <row r="76">
      <c r="B76" s="35" t="inlineStr">
        <is>
          <t>F80013 N+3.00</t>
        </is>
      </c>
      <c r="C76" s="39" t="inlineStr">
        <is>
          <t>derecho</t>
        </is>
      </c>
      <c r="D76" s="34" t="n">
        <v>1.999</v>
      </c>
      <c r="E76" s="40" t="n">
        <v>0.02</v>
      </c>
      <c r="F76" s="36" t="inlineStr">
        <is>
          <t>NERV. PRINCIPAL NP-28</t>
        </is>
      </c>
      <c r="G76" s="33" t="inlineStr">
        <is>
          <t>CONTINUO</t>
        </is>
      </c>
      <c r="H76" s="37" t="inlineStr">
        <is>
          <t>F80011, F80015</t>
        </is>
      </c>
      <c r="I76" s="37" t="inlineStr"/>
    </row>
    <row r="77">
      <c r="B77" s="32" t="inlineStr">
        <is>
          <t>F80014 N+3.00</t>
        </is>
      </c>
      <c r="C77" s="39" t="inlineStr">
        <is>
          <t>inferior</t>
        </is>
      </c>
      <c r="D77" s="34" t="n">
        <v>3.029</v>
      </c>
      <c r="E77" s="40" t="n">
        <v>0.007</v>
      </c>
      <c r="F77" s="36" t="inlineStr">
        <is>
          <t>NERV. PRINCIPAL NP-12</t>
        </is>
      </c>
      <c r="G77" s="33" t="inlineStr">
        <is>
          <t>CONTINUO</t>
        </is>
      </c>
      <c r="H77" s="37" t="inlineStr">
        <is>
          <t>F80010</t>
        </is>
      </c>
      <c r="I77" s="37" t="inlineStr"/>
    </row>
    <row r="78">
      <c r="B78" s="35" t="inlineStr">
        <is>
          <t>F80014 N+3.00</t>
        </is>
      </c>
      <c r="C78" s="39" t="inlineStr">
        <is>
          <t>superior</t>
        </is>
      </c>
      <c r="D78" s="34" t="n">
        <v>3.029</v>
      </c>
      <c r="E78" s="40" t="n">
        <v>0.007</v>
      </c>
      <c r="F78" s="36" t="inlineStr">
        <is>
          <t>NERV. PRINCIPAL NP-15</t>
        </is>
      </c>
      <c r="G78" s="33" t="inlineStr">
        <is>
          <t>CONTINUO</t>
        </is>
      </c>
      <c r="H78" s="37" t="inlineStr">
        <is>
          <t>F80016</t>
        </is>
      </c>
      <c r="I78" s="37" t="inlineStr"/>
    </row>
    <row r="79">
      <c r="B79" s="35" t="inlineStr">
        <is>
          <t>F80014 N+3.00</t>
        </is>
      </c>
      <c r="C79" s="39" t="inlineStr">
        <is>
          <t>izquierdo</t>
        </is>
      </c>
      <c r="D79" s="34" t="n">
        <v>1.6</v>
      </c>
      <c r="E79" s="40" t="n">
        <v>1</v>
      </c>
      <c r="F79" s="36" t="inlineStr">
        <is>
          <t>MURO</t>
        </is>
      </c>
      <c r="G79" s="33" t="inlineStr">
        <is>
          <t>CONTINUO</t>
        </is>
      </c>
      <c r="H79" s="37" t="inlineStr">
        <is>
          <t>F80012</t>
        </is>
      </c>
      <c r="I79" s="37" t="inlineStr"/>
    </row>
    <row r="80">
      <c r="B80" s="35" t="inlineStr">
        <is>
          <t>F80014 N+3.00</t>
        </is>
      </c>
      <c r="C80" s="39" t="inlineStr">
        <is>
          <t>derecho</t>
        </is>
      </c>
      <c r="D80" s="34" t="n">
        <v>1.6</v>
      </c>
      <c r="E80" s="40" t="n">
        <v>0</v>
      </c>
      <c r="F80" s="36" t="inlineStr">
        <is>
          <t>NERV. PRINCIPAL NP-18</t>
        </is>
      </c>
      <c r="G80" s="33" t="inlineStr">
        <is>
          <t>CONTINUO</t>
        </is>
      </c>
      <c r="H80" s="37" t="inlineStr">
        <is>
          <t>F80008</t>
        </is>
      </c>
      <c r="I80" s="37" t="inlineStr"/>
    </row>
    <row r="81">
      <c r="B81" s="32" t="inlineStr">
        <is>
          <t>F80015 N+3.00</t>
        </is>
      </c>
      <c r="C81" s="39" t="inlineStr">
        <is>
          <t>inferior</t>
        </is>
      </c>
      <c r="D81" s="34" t="n">
        <v>3.028</v>
      </c>
      <c r="E81" s="40" t="n">
        <v>0.007</v>
      </c>
      <c r="F81" s="36" t="inlineStr">
        <is>
          <t>NERV. PRINCIPAL NP-13</t>
        </is>
      </c>
      <c r="G81" s="33" t="inlineStr">
        <is>
          <t>CONTINUO</t>
        </is>
      </c>
      <c r="H81" s="37" t="inlineStr">
        <is>
          <t>F80011</t>
        </is>
      </c>
      <c r="I81" s="37" t="inlineStr"/>
    </row>
    <row r="82">
      <c r="B82" s="35" t="inlineStr">
        <is>
          <t>F80015 N+3.00</t>
        </is>
      </c>
      <c r="C82" s="39" t="inlineStr">
        <is>
          <t>superior</t>
        </is>
      </c>
      <c r="D82" s="34" t="n">
        <v>3.028</v>
      </c>
      <c r="E82" s="40" t="n">
        <v>1</v>
      </c>
      <c r="F82" s="36" t="inlineStr">
        <is>
          <t>MURO</t>
        </is>
      </c>
      <c r="G82" s="33" t="inlineStr">
        <is>
          <t>CONTINUO</t>
        </is>
      </c>
      <c r="H82" s="37" t="inlineStr">
        <is>
          <t>F80018</t>
        </is>
      </c>
      <c r="I82" s="37" t="inlineStr"/>
    </row>
    <row r="83">
      <c r="B83" s="35" t="inlineStr">
        <is>
          <t>F80015 N+3.00</t>
        </is>
      </c>
      <c r="C83" s="39" t="inlineStr">
        <is>
          <t>izquierdo</t>
        </is>
      </c>
      <c r="D83" s="34" t="n">
        <v>1.6</v>
      </c>
      <c r="E83" s="40" t="n">
        <v>0.012</v>
      </c>
      <c r="F83" s="36" t="inlineStr">
        <is>
          <t>NERV. PRINCIPAL NP-28</t>
        </is>
      </c>
      <c r="G83" s="33" t="inlineStr">
        <is>
          <t>CONTINUO</t>
        </is>
      </c>
      <c r="H83" s="37" t="inlineStr">
        <is>
          <t>F80013</t>
        </is>
      </c>
      <c r="I83" s="37" t="inlineStr"/>
    </row>
    <row r="84">
      <c r="B84" s="35" t="inlineStr">
        <is>
          <t>F80015 N+3.00</t>
        </is>
      </c>
      <c r="C84" s="39" t="inlineStr">
        <is>
          <t>derecho</t>
        </is>
      </c>
      <c r="D84" s="34" t="n">
        <v>1.6</v>
      </c>
      <c r="E84" s="40" t="n">
        <v>1</v>
      </c>
      <c r="F84" s="36" t="inlineStr">
        <is>
          <t>MURO</t>
        </is>
      </c>
      <c r="G84" s="33" t="inlineStr">
        <is>
          <t>DISCONTINUO</t>
        </is>
      </c>
      <c r="H84" s="37" t="inlineStr"/>
      <c r="I84" s="37" t="inlineStr"/>
    </row>
    <row r="85">
      <c r="B85" s="32" t="inlineStr">
        <is>
          <t>F80016 N+3.00</t>
        </is>
      </c>
      <c r="C85" s="39" t="inlineStr">
        <is>
          <t>inferior</t>
        </is>
      </c>
      <c r="D85" s="34" t="n">
        <v>4.426</v>
      </c>
      <c r="E85" s="40" t="n">
        <v>0.005</v>
      </c>
      <c r="F85" s="36" t="inlineStr">
        <is>
          <t>NERV. PRINCIPAL NP-15</t>
        </is>
      </c>
      <c r="G85" s="33" t="inlineStr">
        <is>
          <t>CONTINUO</t>
        </is>
      </c>
      <c r="H85" s="37" t="inlineStr">
        <is>
          <t>F80008, F80014</t>
        </is>
      </c>
      <c r="I85" s="37" t="inlineStr"/>
    </row>
    <row r="86">
      <c r="B86" s="35" t="inlineStr">
        <is>
          <t>F80016 N+3.00</t>
        </is>
      </c>
      <c r="C86" s="39" t="inlineStr">
        <is>
          <t>superior</t>
        </is>
      </c>
      <c r="D86" s="34" t="n">
        <v>4.426</v>
      </c>
      <c r="E86" s="40" t="n">
        <v>1</v>
      </c>
      <c r="F86" s="36" t="inlineStr">
        <is>
          <t>MURO</t>
        </is>
      </c>
      <c r="G86" s="33" t="inlineStr">
        <is>
          <t>CONTINUO</t>
        </is>
      </c>
      <c r="H86" s="37" t="inlineStr">
        <is>
          <t>F80019</t>
        </is>
      </c>
      <c r="I86" s="37" t="inlineStr"/>
    </row>
    <row r="87">
      <c r="B87" s="35" t="inlineStr">
        <is>
          <t>F80016 N+3.00</t>
        </is>
      </c>
      <c r="C87" s="39" t="inlineStr">
        <is>
          <t>izquierdo</t>
        </is>
      </c>
      <c r="D87" s="34" t="n">
        <v>4</v>
      </c>
      <c r="E87" s="40" t="n">
        <v>1</v>
      </c>
      <c r="F87" s="36" t="inlineStr">
        <is>
          <t>MURO</t>
        </is>
      </c>
      <c r="G87" s="33" t="inlineStr">
        <is>
          <t>DISCONTINUO</t>
        </is>
      </c>
      <c r="H87" s="37" t="inlineStr"/>
      <c r="I87" s="37" t="inlineStr"/>
    </row>
    <row r="88">
      <c r="B88" s="35" t="inlineStr">
        <is>
          <t>F80016 N+3.00</t>
        </is>
      </c>
      <c r="C88" s="39" t="inlineStr">
        <is>
          <t>derecho</t>
        </is>
      </c>
      <c r="D88" s="34" t="n">
        <v>4</v>
      </c>
      <c r="E88" s="40" t="n">
        <v>0.005</v>
      </c>
      <c r="F88" s="36" t="inlineStr">
        <is>
          <t>NERV. PRINCIPAL NP-24</t>
        </is>
      </c>
      <c r="G88" s="33" t="inlineStr">
        <is>
          <t>CONTINUO</t>
        </is>
      </c>
      <c r="H88" s="37" t="inlineStr">
        <is>
          <t>F80017</t>
        </is>
      </c>
      <c r="I88" s="37" t="inlineStr"/>
    </row>
    <row r="89">
      <c r="B89" s="32" t="inlineStr">
        <is>
          <t>F80017 N+3.00</t>
        </is>
      </c>
      <c r="C89" s="39" t="inlineStr">
        <is>
          <t>inferior</t>
        </is>
      </c>
      <c r="D89" s="34" t="n">
        <v>0.499</v>
      </c>
      <c r="E89" s="40" t="n">
        <v>0.04</v>
      </c>
      <c r="F89" s="36" t="inlineStr">
        <is>
          <t>NERV. PRINCIPAL NP-15</t>
        </is>
      </c>
      <c r="G89" s="33" t="inlineStr">
        <is>
          <t>CONTINUO</t>
        </is>
      </c>
      <c r="H89" s="37" t="inlineStr">
        <is>
          <t>F80008</t>
        </is>
      </c>
      <c r="I89" s="37" t="inlineStr"/>
    </row>
    <row r="90">
      <c r="B90" s="35" t="inlineStr">
        <is>
          <t>F80017 N+3.00</t>
        </is>
      </c>
      <c r="C90" s="39" t="inlineStr">
        <is>
          <t>superior</t>
        </is>
      </c>
      <c r="D90" s="34" t="n">
        <v>0.499</v>
      </c>
      <c r="E90" s="40" t="n">
        <v>1</v>
      </c>
      <c r="F90" s="36" t="inlineStr">
        <is>
          <t>MURO</t>
        </is>
      </c>
      <c r="G90" s="33" t="inlineStr">
        <is>
          <t>CONTINUO</t>
        </is>
      </c>
      <c r="H90" s="37" t="inlineStr">
        <is>
          <t>F80019</t>
        </is>
      </c>
      <c r="I90" s="37" t="inlineStr"/>
    </row>
    <row r="91">
      <c r="B91" s="35" t="inlineStr">
        <is>
          <t>F80017 N+3.00</t>
        </is>
      </c>
      <c r="C91" s="39" t="inlineStr">
        <is>
          <t>izquierdo</t>
        </is>
      </c>
      <c r="D91" s="34" t="n">
        <v>4</v>
      </c>
      <c r="E91" s="40" t="n">
        <v>0.005</v>
      </c>
      <c r="F91" s="36" t="inlineStr">
        <is>
          <t>NERV. PRINCIPAL NP-24</t>
        </is>
      </c>
      <c r="G91" s="33" t="inlineStr">
        <is>
          <t>CONTINUO</t>
        </is>
      </c>
      <c r="H91" s="37" t="inlineStr">
        <is>
          <t>F80016</t>
        </is>
      </c>
      <c r="I91" s="37" t="inlineStr"/>
    </row>
    <row r="92">
      <c r="B92" s="35" t="inlineStr">
        <is>
          <t>F80017 N+3.00</t>
        </is>
      </c>
      <c r="C92" s="39" t="inlineStr">
        <is>
          <t>derecho</t>
        </is>
      </c>
      <c r="D92" s="34" t="n">
        <v>4</v>
      </c>
      <c r="E92" s="40" t="n">
        <v>1</v>
      </c>
      <c r="F92" s="36" t="inlineStr">
        <is>
          <t>MURO</t>
        </is>
      </c>
      <c r="G92" s="33" t="inlineStr">
        <is>
          <t>CONTINUO</t>
        </is>
      </c>
      <c r="H92" s="37" t="inlineStr">
        <is>
          <t>F80018</t>
        </is>
      </c>
      <c r="I92" s="37" t="inlineStr"/>
    </row>
    <row r="93">
      <c r="B93" s="32" t="inlineStr">
        <is>
          <t>F80018 N+3.00</t>
        </is>
      </c>
      <c r="C93" s="39" t="inlineStr">
        <is>
          <t>inferior</t>
        </is>
      </c>
      <c r="D93" s="34" t="n">
        <v>3.925</v>
      </c>
      <c r="E93" s="40" t="n">
        <v>1</v>
      </c>
      <c r="F93" s="36" t="inlineStr">
        <is>
          <t>MURO</t>
        </is>
      </c>
      <c r="G93" s="33" t="inlineStr">
        <is>
          <t>CONTINUO</t>
        </is>
      </c>
      <c r="H93" s="37" t="inlineStr">
        <is>
          <t>F80013, F80015</t>
        </is>
      </c>
      <c r="I93" s="37" t="inlineStr"/>
    </row>
    <row r="94">
      <c r="B94" s="35" t="inlineStr">
        <is>
          <t>F80018 N+3.00</t>
        </is>
      </c>
      <c r="C94" s="39" t="inlineStr">
        <is>
          <t>superior</t>
        </is>
      </c>
      <c r="D94" s="34" t="n">
        <v>3.925</v>
      </c>
      <c r="E94" s="40" t="n">
        <v>1</v>
      </c>
      <c r="F94" s="36" t="inlineStr">
        <is>
          <t>MURO</t>
        </is>
      </c>
      <c r="G94" s="33" t="inlineStr">
        <is>
          <t>CONTINUO</t>
        </is>
      </c>
      <c r="H94" s="37" t="inlineStr">
        <is>
          <t>F80019, F80020</t>
        </is>
      </c>
      <c r="I94" s="37" t="inlineStr"/>
    </row>
    <row r="95">
      <c r="B95" s="35" t="inlineStr">
        <is>
          <t>F80018 N+3.00</t>
        </is>
      </c>
      <c r="C95" s="39" t="inlineStr">
        <is>
          <t>izquierdo</t>
        </is>
      </c>
      <c r="D95" s="34" t="n">
        <v>4</v>
      </c>
      <c r="E95" s="40" t="n">
        <v>1</v>
      </c>
      <c r="F95" s="36" t="inlineStr">
        <is>
          <t>MURO</t>
        </is>
      </c>
      <c r="G95" s="33" t="inlineStr">
        <is>
          <t>CONTINUO</t>
        </is>
      </c>
      <c r="H95" s="37" t="inlineStr">
        <is>
          <t>F80017</t>
        </is>
      </c>
      <c r="I95" s="37" t="inlineStr"/>
    </row>
    <row r="96">
      <c r="B96" s="35" t="inlineStr">
        <is>
          <t>F80018 N+3.00</t>
        </is>
      </c>
      <c r="C96" s="39" t="inlineStr">
        <is>
          <t>derecho</t>
        </is>
      </c>
      <c r="D96" s="34" t="n">
        <v>4</v>
      </c>
      <c r="E96" s="40" t="n">
        <v>1</v>
      </c>
      <c r="F96" s="36" t="inlineStr">
        <is>
          <t>MURO</t>
        </is>
      </c>
      <c r="G96" s="33" t="inlineStr">
        <is>
          <t>DISCONTINUO</t>
        </is>
      </c>
      <c r="H96" s="37" t="inlineStr"/>
      <c r="I96" s="37" t="inlineStr"/>
    </row>
    <row r="97">
      <c r="B97" s="32" t="inlineStr">
        <is>
          <t>F80019 N+3.00</t>
        </is>
      </c>
      <c r="C97" s="39" t="inlineStr">
        <is>
          <t>inferior</t>
        </is>
      </c>
      <c r="D97" s="34" t="n">
        <v>7.25</v>
      </c>
      <c r="E97" s="40" t="n">
        <v>1</v>
      </c>
      <c r="F97" s="36" t="inlineStr">
        <is>
          <t>MURO</t>
        </is>
      </c>
      <c r="G97" s="33" t="inlineStr">
        <is>
          <t>CONTINUO</t>
        </is>
      </c>
      <c r="H97" s="37" t="inlineStr">
        <is>
          <t>F80016, F80017, F80018</t>
        </is>
      </c>
      <c r="I97" s="37" t="inlineStr"/>
    </row>
    <row r="98">
      <c r="B98" s="35" t="inlineStr">
        <is>
          <t>F80019 N+3.00</t>
        </is>
      </c>
      <c r="C98" s="39" t="inlineStr">
        <is>
          <t>superior</t>
        </is>
      </c>
      <c r="D98" s="34" t="n">
        <v>7.25</v>
      </c>
      <c r="E98" s="40" t="n">
        <v>0.006</v>
      </c>
      <c r="F98" s="36" t="inlineStr">
        <is>
          <t>NERV. PRINCIPAL NP-16</t>
        </is>
      </c>
      <c r="G98" s="33" t="inlineStr">
        <is>
          <t>DISCONTINUO</t>
        </is>
      </c>
      <c r="H98" s="37" t="inlineStr"/>
      <c r="I98" s="37" t="inlineStr"/>
    </row>
    <row r="99">
      <c r="B99" s="35" t="inlineStr">
        <is>
          <t>F80019 N+3.00</t>
        </is>
      </c>
      <c r="C99" s="39" t="inlineStr">
        <is>
          <t>izquierdo</t>
        </is>
      </c>
      <c r="D99" s="34" t="n">
        <v>2</v>
      </c>
      <c r="E99" s="40" t="n">
        <v>1</v>
      </c>
      <c r="F99" s="36" t="inlineStr">
        <is>
          <t>MURO</t>
        </is>
      </c>
      <c r="G99" s="33" t="inlineStr">
        <is>
          <t>CONTINUO</t>
        </is>
      </c>
      <c r="H99" s="37" t="inlineStr">
        <is>
          <t>F80021</t>
        </is>
      </c>
      <c r="I99" s="37" t="inlineStr"/>
    </row>
    <row r="100">
      <c r="B100" s="35" t="inlineStr">
        <is>
          <t>F80019 N+3.00</t>
        </is>
      </c>
      <c r="C100" s="39" t="inlineStr">
        <is>
          <t>derecho</t>
        </is>
      </c>
      <c r="D100" s="34" t="n">
        <v>2</v>
      </c>
      <c r="E100" s="40" t="n">
        <v>1</v>
      </c>
      <c r="F100" s="36" t="inlineStr">
        <is>
          <t>MURO</t>
        </is>
      </c>
      <c r="G100" s="33" t="inlineStr">
        <is>
          <t>CONTINUO</t>
        </is>
      </c>
      <c r="H100" s="37" t="inlineStr">
        <is>
          <t>F80020</t>
        </is>
      </c>
      <c r="I100" s="37" t="inlineStr"/>
    </row>
    <row r="101">
      <c r="B101" s="32" t="inlineStr">
        <is>
          <t>F80020 N+3.00</t>
        </is>
      </c>
      <c r="C101" s="39" t="inlineStr">
        <is>
          <t>inferior</t>
        </is>
      </c>
      <c r="D101" s="34" t="n">
        <v>1.6</v>
      </c>
      <c r="E101" s="40" t="n">
        <v>1</v>
      </c>
      <c r="F101" s="36" t="inlineStr">
        <is>
          <t>MURO</t>
        </is>
      </c>
      <c r="G101" s="33" t="inlineStr">
        <is>
          <t>CONTINUO</t>
        </is>
      </c>
      <c r="H101" s="37" t="inlineStr">
        <is>
          <t>F80018</t>
        </is>
      </c>
      <c r="I101" s="37" t="inlineStr"/>
    </row>
    <row r="102">
      <c r="B102" s="35" t="inlineStr">
        <is>
          <t>F80020 N+3.00</t>
        </is>
      </c>
      <c r="C102" s="39" t="inlineStr">
        <is>
          <t>superior</t>
        </is>
      </c>
      <c r="D102" s="34" t="n">
        <v>1.6</v>
      </c>
      <c r="E102" s="40" t="n">
        <v>1</v>
      </c>
      <c r="F102" s="36" t="inlineStr">
        <is>
          <t>MURO</t>
        </is>
      </c>
      <c r="G102" s="33" t="inlineStr">
        <is>
          <t>DISCONTINUO</t>
        </is>
      </c>
      <c r="H102" s="37" t="inlineStr"/>
      <c r="I102" s="37" t="inlineStr"/>
    </row>
    <row r="103">
      <c r="B103" s="35" t="inlineStr">
        <is>
          <t>F80020 N+3.00</t>
        </is>
      </c>
      <c r="C103" s="39" t="inlineStr">
        <is>
          <t>izquierdo</t>
        </is>
      </c>
      <c r="D103" s="34" t="n">
        <v>2.925</v>
      </c>
      <c r="E103" s="40" t="n">
        <v>1</v>
      </c>
      <c r="F103" s="36" t="inlineStr">
        <is>
          <t>MURO</t>
        </is>
      </c>
      <c r="G103" s="33" t="inlineStr">
        <is>
          <t>CONTINUO</t>
        </is>
      </c>
      <c r="H103" s="37" t="inlineStr">
        <is>
          <t>F80019</t>
        </is>
      </c>
      <c r="I103" s="37" t="inlineStr"/>
    </row>
    <row r="104">
      <c r="B104" s="35" t="inlineStr">
        <is>
          <t>F80020 N+3.00</t>
        </is>
      </c>
      <c r="C104" s="39" t="inlineStr">
        <is>
          <t>derecho</t>
        </is>
      </c>
      <c r="D104" s="34" t="n">
        <v>2.925</v>
      </c>
      <c r="E104" s="40" t="n">
        <v>1</v>
      </c>
      <c r="F104" s="36" t="inlineStr">
        <is>
          <t>MURO</t>
        </is>
      </c>
      <c r="G104" s="33" t="inlineStr">
        <is>
          <t>DISCONTINUO</t>
        </is>
      </c>
      <c r="H104" s="37" t="inlineStr"/>
      <c r="I104" s="37" t="inlineStr"/>
    </row>
    <row r="105">
      <c r="B105" s="32" t="inlineStr">
        <is>
          <t>F80021 N+3.00</t>
        </is>
      </c>
      <c r="C105" s="39" t="inlineStr">
        <is>
          <t>inferior</t>
        </is>
      </c>
      <c r="D105" s="34" t="n">
        <v>1.6</v>
      </c>
      <c r="E105" s="40" t="n">
        <v>1</v>
      </c>
      <c r="F105" s="36" t="inlineStr">
        <is>
          <t>MURO</t>
        </is>
      </c>
      <c r="G105" s="33" t="inlineStr">
        <is>
          <t>DISCONTINUO</t>
        </is>
      </c>
      <c r="H105" s="37" t="inlineStr"/>
      <c r="I105" s="37" t="inlineStr"/>
    </row>
    <row r="106">
      <c r="B106" s="35" t="inlineStr">
        <is>
          <t>F80021 N+3.00</t>
        </is>
      </c>
      <c r="C106" s="39" t="inlineStr">
        <is>
          <t>superior</t>
        </is>
      </c>
      <c r="D106" s="34" t="n">
        <v>1.6</v>
      </c>
      <c r="E106" s="40" t="n">
        <v>1</v>
      </c>
      <c r="F106" s="36" t="inlineStr">
        <is>
          <t>MURO</t>
        </is>
      </c>
      <c r="G106" s="33" t="inlineStr">
        <is>
          <t>DISCONTINUO</t>
        </is>
      </c>
      <c r="H106" s="37" t="inlineStr"/>
      <c r="I106" s="37" t="inlineStr"/>
    </row>
    <row r="107">
      <c r="B107" s="35" t="inlineStr">
        <is>
          <t>F80021 N+3.00</t>
        </is>
      </c>
      <c r="C107" s="39" t="inlineStr">
        <is>
          <t>izquierdo</t>
        </is>
      </c>
      <c r="D107" s="34" t="n">
        <v>2.925</v>
      </c>
      <c r="E107" s="40" t="n">
        <v>1</v>
      </c>
      <c r="F107" s="36" t="inlineStr">
        <is>
          <t>MURO</t>
        </is>
      </c>
      <c r="G107" s="33" t="inlineStr">
        <is>
          <t>DISCONTINUO</t>
        </is>
      </c>
      <c r="H107" s="37" t="inlineStr"/>
      <c r="I107" s="37" t="inlineStr"/>
    </row>
    <row r="108">
      <c r="B108" s="35" t="inlineStr">
        <is>
          <t>F80021 N+3.00</t>
        </is>
      </c>
      <c r="C108" s="39" t="inlineStr">
        <is>
          <t>derecho</t>
        </is>
      </c>
      <c r="D108" s="34" t="n">
        <v>2.925</v>
      </c>
      <c r="E108" s="40" t="n">
        <v>1</v>
      </c>
      <c r="F108" s="36" t="inlineStr">
        <is>
          <t>MURO</t>
        </is>
      </c>
      <c r="G108" s="33" t="inlineStr">
        <is>
          <t>CONTINUO</t>
        </is>
      </c>
      <c r="H108" s="37" t="inlineStr">
        <is>
          <t>F80019</t>
        </is>
      </c>
      <c r="I108" s="37" t="inlineStr"/>
    </row>
    <row r="109">
      <c r="B109" s="32" t="inlineStr">
        <is>
          <t>F2 N+6.00</t>
        </is>
      </c>
      <c r="C109" s="39" t="inlineStr">
        <is>
          <t>inferior</t>
        </is>
      </c>
      <c r="D109" s="34" t="n">
        <v>4.327</v>
      </c>
      <c r="E109" s="40" t="n">
        <v>1</v>
      </c>
      <c r="F109" s="36" t="inlineStr">
        <is>
          <t>MURO</t>
        </is>
      </c>
      <c r="G109" s="33" t="inlineStr">
        <is>
          <t>DISCONTINUO</t>
        </is>
      </c>
      <c r="H109" s="37" t="inlineStr"/>
      <c r="I109" s="37" t="inlineStr"/>
    </row>
    <row r="110">
      <c r="B110" s="35" t="inlineStr">
        <is>
          <t>F2 N+6.00</t>
        </is>
      </c>
      <c r="C110" s="39" t="inlineStr">
        <is>
          <t>superior</t>
        </is>
      </c>
      <c r="D110" s="34" t="n">
        <v>4.327</v>
      </c>
      <c r="E110" s="40" t="n">
        <v>1</v>
      </c>
      <c r="F110" s="36" t="inlineStr">
        <is>
          <t>MURO</t>
        </is>
      </c>
      <c r="G110" s="33" t="inlineStr">
        <is>
          <t>CONTINUO</t>
        </is>
      </c>
      <c r="H110" s="37" t="inlineStr">
        <is>
          <t>F80024</t>
        </is>
      </c>
      <c r="I110" s="37" t="inlineStr"/>
    </row>
    <row r="111">
      <c r="B111" s="35" t="inlineStr">
        <is>
          <t>F2 N+6.00</t>
        </is>
      </c>
      <c r="C111" s="39" t="inlineStr">
        <is>
          <t>izquierdo</t>
        </is>
      </c>
      <c r="D111" s="34" t="n">
        <v>1.002</v>
      </c>
      <c r="E111" s="40" t="n">
        <v>1</v>
      </c>
      <c r="F111" s="36" t="inlineStr">
        <is>
          <t>MURO</t>
        </is>
      </c>
      <c r="G111" s="33" t="inlineStr">
        <is>
          <t>DISCONTINUO</t>
        </is>
      </c>
      <c r="H111" s="37" t="inlineStr"/>
      <c r="I111" s="37" t="inlineStr"/>
    </row>
    <row r="112">
      <c r="B112" s="35" t="inlineStr">
        <is>
          <t>F2 N+6.00</t>
        </is>
      </c>
      <c r="C112" s="39" t="inlineStr">
        <is>
          <t>derecho</t>
        </is>
      </c>
      <c r="D112" s="34" t="n">
        <v>1.002</v>
      </c>
      <c r="E112" s="40" t="n">
        <v>1</v>
      </c>
      <c r="F112" s="36" t="inlineStr">
        <is>
          <t>MURO</t>
        </is>
      </c>
      <c r="G112" s="33" t="inlineStr">
        <is>
          <t>DISCONTINUO</t>
        </is>
      </c>
      <c r="H112" s="37" t="inlineStr"/>
      <c r="I112" s="37" t="inlineStr"/>
    </row>
    <row r="113">
      <c r="B113" s="32" t="inlineStr">
        <is>
          <t>F80010 N+6.00</t>
        </is>
      </c>
      <c r="C113" s="39" t="inlineStr">
        <is>
          <t>inferior</t>
        </is>
      </c>
      <c r="D113" s="34" t="n">
        <v>3.427</v>
      </c>
      <c r="E113" s="40" t="n">
        <v>1</v>
      </c>
      <c r="F113" s="36" t="inlineStr">
        <is>
          <t>MURO</t>
        </is>
      </c>
      <c r="G113" s="33" t="inlineStr">
        <is>
          <t>DISCONTINUO</t>
        </is>
      </c>
      <c r="H113" s="37" t="inlineStr"/>
      <c r="I113" s="37" t="inlineStr">
        <is>
          <t>Pergolado sobre doble altura (vigas VP-15x40 @0.75 + cristal)</t>
        </is>
      </c>
    </row>
    <row r="114">
      <c r="B114" s="35" t="inlineStr">
        <is>
          <t>F80010 N+6.00</t>
        </is>
      </c>
      <c r="C114" s="39" t="inlineStr">
        <is>
          <t>superior</t>
        </is>
      </c>
      <c r="D114" s="34" t="n">
        <v>3.427</v>
      </c>
      <c r="E114" s="40" t="n">
        <v>1</v>
      </c>
      <c r="F114" s="36" t="inlineStr">
        <is>
          <t>MURO</t>
        </is>
      </c>
      <c r="G114" s="33" t="inlineStr">
        <is>
          <t>CONTINUO</t>
        </is>
      </c>
      <c r="H114" s="37" t="inlineStr">
        <is>
          <t>F80027, F80032</t>
        </is>
      </c>
      <c r="I114" s="37" t="inlineStr"/>
    </row>
    <row r="115">
      <c r="B115" s="35" t="inlineStr">
        <is>
          <t>F80010 N+6.00</t>
        </is>
      </c>
      <c r="C115" s="39" t="inlineStr">
        <is>
          <t>izquierdo</t>
        </is>
      </c>
      <c r="D115" s="34" t="n">
        <v>1.825</v>
      </c>
      <c r="E115" s="40" t="n">
        <v>0.022</v>
      </c>
      <c r="F115" s="36" t="inlineStr">
        <is>
          <t>NERV. PRINCIPAL NP-33</t>
        </is>
      </c>
      <c r="G115" s="33" t="inlineStr">
        <is>
          <t>DISCONTINUO</t>
        </is>
      </c>
      <c r="H115" s="37" t="inlineStr"/>
      <c r="I115" s="37" t="inlineStr"/>
    </row>
    <row r="116">
      <c r="B116" s="35" t="inlineStr">
        <is>
          <t>F80010 N+6.00</t>
        </is>
      </c>
      <c r="C116" s="39" t="inlineStr">
        <is>
          <t>derecho</t>
        </is>
      </c>
      <c r="D116" s="34" t="n">
        <v>1.825</v>
      </c>
      <c r="E116" s="40" t="n">
        <v>1</v>
      </c>
      <c r="F116" s="36" t="inlineStr">
        <is>
          <t>MURO</t>
        </is>
      </c>
      <c r="G116" s="33" t="inlineStr">
        <is>
          <t>CONTINUO</t>
        </is>
      </c>
      <c r="H116" s="37" t="inlineStr">
        <is>
          <t>F80032</t>
        </is>
      </c>
      <c r="I116" s="37" t="inlineStr"/>
    </row>
    <row r="117">
      <c r="B117" s="32" t="inlineStr">
        <is>
          <t>F80023 N+6.00</t>
        </is>
      </c>
      <c r="C117" s="39" t="inlineStr">
        <is>
          <t>inferior</t>
        </is>
      </c>
      <c r="D117" s="34" t="n">
        <v>1.596</v>
      </c>
      <c r="E117" s="40" t="n">
        <v>1</v>
      </c>
      <c r="F117" s="36" t="inlineStr">
        <is>
          <t>MURO</t>
        </is>
      </c>
      <c r="G117" s="33" t="inlineStr">
        <is>
          <t>DISCONTINUO</t>
        </is>
      </c>
      <c r="H117" s="37" t="inlineStr"/>
      <c r="I117" s="37" t="inlineStr"/>
    </row>
    <row r="118">
      <c r="B118" s="35" t="inlineStr">
        <is>
          <t>F80023 N+6.00</t>
        </is>
      </c>
      <c r="C118" s="39" t="inlineStr">
        <is>
          <t>superior</t>
        </is>
      </c>
      <c r="D118" s="34" t="n">
        <v>1.596</v>
      </c>
      <c r="E118" s="40" t="n">
        <v>1</v>
      </c>
      <c r="F118" s="36" t="inlineStr">
        <is>
          <t>MURO</t>
        </is>
      </c>
      <c r="G118" s="33" t="inlineStr">
        <is>
          <t>CONTINUO</t>
        </is>
      </c>
      <c r="H118" s="37" t="inlineStr">
        <is>
          <t>F80032</t>
        </is>
      </c>
      <c r="I118" s="37" t="inlineStr"/>
    </row>
    <row r="119">
      <c r="B119" s="35" t="inlineStr">
        <is>
          <t>F80023 N+6.00</t>
        </is>
      </c>
      <c r="C119" s="39" t="inlineStr">
        <is>
          <t>izquierdo</t>
        </is>
      </c>
      <c r="D119" s="34" t="n">
        <v>3.025</v>
      </c>
      <c r="E119" s="40" t="n">
        <v>1</v>
      </c>
      <c r="F119" s="36" t="inlineStr">
        <is>
          <t>MURO</t>
        </is>
      </c>
      <c r="G119" s="33" t="inlineStr">
        <is>
          <t>CONTINUO</t>
        </is>
      </c>
      <c r="H119" s="37" t="inlineStr">
        <is>
          <t>F80024</t>
        </is>
      </c>
      <c r="I119" s="37" t="inlineStr"/>
    </row>
    <row r="120">
      <c r="B120" s="35" t="inlineStr">
        <is>
          <t>F80023 N+6.00</t>
        </is>
      </c>
      <c r="C120" s="39" t="inlineStr">
        <is>
          <t>derecho</t>
        </is>
      </c>
      <c r="D120" s="34" t="n">
        <v>3.025</v>
      </c>
      <c r="E120" s="40" t="n">
        <v>1</v>
      </c>
      <c r="F120" s="36" t="inlineStr">
        <is>
          <t>MURO</t>
        </is>
      </c>
      <c r="G120" s="33" t="inlineStr">
        <is>
          <t>DISCONTINUO</t>
        </is>
      </c>
      <c r="H120" s="37" t="inlineStr"/>
      <c r="I120" s="37" t="inlineStr"/>
    </row>
    <row r="121">
      <c r="B121" s="32" t="inlineStr">
        <is>
          <t>F80024 N+6.00</t>
        </is>
      </c>
      <c r="C121" s="39" t="inlineStr">
        <is>
          <t>inferior</t>
        </is>
      </c>
      <c r="D121" s="34" t="n">
        <v>4.327</v>
      </c>
      <c r="E121" s="40" t="n">
        <v>1</v>
      </c>
      <c r="F121" s="36" t="inlineStr">
        <is>
          <t>MURO</t>
        </is>
      </c>
      <c r="G121" s="33" t="inlineStr">
        <is>
          <t>CONTINUO</t>
        </is>
      </c>
      <c r="H121" s="37" t="inlineStr">
        <is>
          <t>F2</t>
        </is>
      </c>
      <c r="I121" s="37" t="inlineStr"/>
    </row>
    <row r="122">
      <c r="B122" s="35" t="inlineStr">
        <is>
          <t>F80024 N+6.00</t>
        </is>
      </c>
      <c r="C122" s="39" t="inlineStr">
        <is>
          <t>superior</t>
        </is>
      </c>
      <c r="D122" s="34" t="n">
        <v>4.327</v>
      </c>
      <c r="E122" s="40" t="n">
        <v>1</v>
      </c>
      <c r="F122" s="36" t="inlineStr">
        <is>
          <t>MURO</t>
        </is>
      </c>
      <c r="G122" s="33" t="inlineStr">
        <is>
          <t>DISCONTINUO</t>
        </is>
      </c>
      <c r="H122" s="37" t="inlineStr"/>
      <c r="I122" s="37" t="inlineStr">
        <is>
          <t>Pergolado sobre doble altura (vigas VP-15x40 @0.75 + cristal)</t>
        </is>
      </c>
    </row>
    <row r="123">
      <c r="B123" s="35" t="inlineStr">
        <is>
          <t>F80024 N+6.00</t>
        </is>
      </c>
      <c r="C123" s="39" t="inlineStr">
        <is>
          <t>izquierdo</t>
        </is>
      </c>
      <c r="D123" s="34" t="n">
        <v>4.95</v>
      </c>
      <c r="E123" s="40" t="n">
        <v>1</v>
      </c>
      <c r="F123" s="36" t="inlineStr">
        <is>
          <t>MURO</t>
        </is>
      </c>
      <c r="G123" s="33" t="inlineStr">
        <is>
          <t>DISCONTINUO</t>
        </is>
      </c>
      <c r="H123" s="37" t="inlineStr"/>
      <c r="I123" s="37" t="inlineStr"/>
    </row>
    <row r="124">
      <c r="B124" s="35" t="inlineStr">
        <is>
          <t>F80024 N+6.00</t>
        </is>
      </c>
      <c r="C124" s="39" t="inlineStr">
        <is>
          <t>derecho</t>
        </is>
      </c>
      <c r="D124" s="34" t="n">
        <v>4.95</v>
      </c>
      <c r="E124" s="40" t="n">
        <v>1</v>
      </c>
      <c r="F124" s="36" t="inlineStr">
        <is>
          <t>MURO</t>
        </is>
      </c>
      <c r="G124" s="33" t="inlineStr">
        <is>
          <t>CONTINUO</t>
        </is>
      </c>
      <c r="H124" s="37" t="inlineStr">
        <is>
          <t>F80023, F80032</t>
        </is>
      </c>
      <c r="I124" s="37" t="inlineStr"/>
    </row>
    <row r="125">
      <c r="B125" s="32" t="inlineStr">
        <is>
          <t>F80025 N+6.00</t>
        </is>
      </c>
      <c r="C125" s="39" t="inlineStr">
        <is>
          <t>inferior</t>
        </is>
      </c>
      <c r="D125" s="34" t="n">
        <v>3.428</v>
      </c>
      <c r="E125" s="40" t="n">
        <v>1</v>
      </c>
      <c r="F125" s="36" t="inlineStr">
        <is>
          <t>MURO</t>
        </is>
      </c>
      <c r="G125" s="33" t="inlineStr">
        <is>
          <t>DISCONTINUO</t>
        </is>
      </c>
      <c r="H125" s="37" t="inlineStr">
        <is>
          <t>F80032</t>
        </is>
      </c>
      <c r="I125" s="37" t="inlineStr">
        <is>
          <t>Vacío sobre escalera</t>
        </is>
      </c>
    </row>
    <row r="126">
      <c r="B126" s="35" t="inlineStr">
        <is>
          <t>F80025 N+6.00</t>
        </is>
      </c>
      <c r="C126" s="39" t="inlineStr">
        <is>
          <t>superior</t>
        </is>
      </c>
      <c r="D126" s="34" t="n">
        <v>3.428</v>
      </c>
      <c r="E126" s="40" t="n">
        <v>1</v>
      </c>
      <c r="F126" s="36" t="inlineStr">
        <is>
          <t>MURO</t>
        </is>
      </c>
      <c r="G126" s="33" t="inlineStr">
        <is>
          <t>CONTINUO</t>
        </is>
      </c>
      <c r="H126" s="37" t="inlineStr">
        <is>
          <t>F80026, F80032</t>
        </is>
      </c>
      <c r="I126" s="37" t="inlineStr"/>
    </row>
    <row r="127">
      <c r="B127" s="35" t="inlineStr">
        <is>
          <t>F80025 N+6.00</t>
        </is>
      </c>
      <c r="C127" s="39" t="inlineStr">
        <is>
          <t>izquierdo</t>
        </is>
      </c>
      <c r="D127" s="34" t="n">
        <v>5.896</v>
      </c>
      <c r="E127" s="40" t="n">
        <v>1</v>
      </c>
      <c r="F127" s="36" t="inlineStr">
        <is>
          <t>MURO</t>
        </is>
      </c>
      <c r="G127" s="33" t="inlineStr">
        <is>
          <t>CONTINUO</t>
        </is>
      </c>
      <c r="H127" s="37" t="inlineStr">
        <is>
          <t>F80032</t>
        </is>
      </c>
      <c r="I127" s="37" t="inlineStr"/>
    </row>
    <row r="128">
      <c r="B128" s="35" t="inlineStr">
        <is>
          <t>F80025 N+6.00</t>
        </is>
      </c>
      <c r="C128" s="39" t="inlineStr">
        <is>
          <t>derecho</t>
        </is>
      </c>
      <c r="D128" s="34" t="n">
        <v>5.896</v>
      </c>
      <c r="E128" s="40" t="n">
        <v>1</v>
      </c>
      <c r="F128" s="36" t="inlineStr">
        <is>
          <t>MURO</t>
        </is>
      </c>
      <c r="G128" s="33" t="inlineStr">
        <is>
          <t>DISCONTINUO</t>
        </is>
      </c>
      <c r="H128" s="37" t="inlineStr"/>
      <c r="I128" s="37" t="inlineStr"/>
    </row>
    <row r="129">
      <c r="B129" s="32" t="inlineStr">
        <is>
          <t>F80026 N+6.00</t>
        </is>
      </c>
      <c r="C129" s="39" t="inlineStr">
        <is>
          <t>inferior</t>
        </is>
      </c>
      <c r="D129" s="34" t="n">
        <v>3.028</v>
      </c>
      <c r="E129" s="40" t="n">
        <v>1</v>
      </c>
      <c r="F129" s="36" t="inlineStr">
        <is>
          <t>MURO</t>
        </is>
      </c>
      <c r="G129" s="33" t="inlineStr">
        <is>
          <t>CONTINUO</t>
        </is>
      </c>
      <c r="H129" s="37" t="inlineStr">
        <is>
          <t>F80025</t>
        </is>
      </c>
      <c r="I129" s="37" t="inlineStr"/>
    </row>
    <row r="130">
      <c r="B130" s="35" t="inlineStr">
        <is>
          <t>F80026 N+6.00</t>
        </is>
      </c>
      <c r="C130" s="39" t="inlineStr">
        <is>
          <t>superior</t>
        </is>
      </c>
      <c r="D130" s="34" t="n">
        <v>3.028</v>
      </c>
      <c r="E130" s="40" t="n">
        <v>0.013</v>
      </c>
      <c r="F130" s="36" t="inlineStr">
        <is>
          <t>NERV. PRINCIPAL NP-31</t>
        </is>
      </c>
      <c r="G130" s="33" t="inlineStr">
        <is>
          <t>DISCONTINUO</t>
        </is>
      </c>
      <c r="H130" s="37" t="inlineStr"/>
      <c r="I130" s="37" t="inlineStr">
        <is>
          <t>Hueco 0.30 m (tragaluz), Hueco/tragaluz (F80028)</t>
        </is>
      </c>
    </row>
    <row r="131">
      <c r="B131" s="35" t="inlineStr">
        <is>
          <t>F80026 N+6.00</t>
        </is>
      </c>
      <c r="C131" s="39" t="inlineStr">
        <is>
          <t>izquierdo</t>
        </is>
      </c>
      <c r="D131" s="34" t="n">
        <v>0.851</v>
      </c>
      <c r="E131" s="40" t="n">
        <v>1</v>
      </c>
      <c r="F131" s="36" t="inlineStr">
        <is>
          <t>MURO</t>
        </is>
      </c>
      <c r="G131" s="33" t="inlineStr">
        <is>
          <t>CONTINUO</t>
        </is>
      </c>
      <c r="H131" s="37" t="inlineStr">
        <is>
          <t>F80032</t>
        </is>
      </c>
      <c r="I131" s="37" t="inlineStr"/>
    </row>
    <row r="132">
      <c r="B132" s="35" t="inlineStr">
        <is>
          <t>F80026 N+6.00</t>
        </is>
      </c>
      <c r="C132" s="39" t="inlineStr">
        <is>
          <t>derecho</t>
        </is>
      </c>
      <c r="D132" s="34" t="n">
        <v>0.851</v>
      </c>
      <c r="E132" s="40" t="n">
        <v>1</v>
      </c>
      <c r="F132" s="36" t="inlineStr">
        <is>
          <t>MURO</t>
        </is>
      </c>
      <c r="G132" s="33" t="inlineStr">
        <is>
          <t>DISCONTINUO</t>
        </is>
      </c>
      <c r="H132" s="37" t="inlineStr"/>
      <c r="I132" s="37" t="inlineStr"/>
    </row>
    <row r="133">
      <c r="B133" s="32" t="inlineStr">
        <is>
          <t>F80027 N+6.00</t>
        </is>
      </c>
      <c r="C133" s="39" t="inlineStr">
        <is>
          <t>inferior</t>
        </is>
      </c>
      <c r="D133" s="34" t="n">
        <v>3.029</v>
      </c>
      <c r="E133" s="40" t="n">
        <v>1</v>
      </c>
      <c r="F133" s="36" t="inlineStr">
        <is>
          <t>MURO</t>
        </is>
      </c>
      <c r="G133" s="33" t="inlineStr">
        <is>
          <t>CONTINUO</t>
        </is>
      </c>
      <c r="H133" s="37" t="inlineStr">
        <is>
          <t>F80010</t>
        </is>
      </c>
      <c r="I133" s="37" t="inlineStr"/>
    </row>
    <row r="134">
      <c r="B134" s="35" t="inlineStr">
        <is>
          <t>F80027 N+6.00</t>
        </is>
      </c>
      <c r="C134" s="39" t="inlineStr">
        <is>
          <t>superior</t>
        </is>
      </c>
      <c r="D134" s="34" t="n">
        <v>3.029</v>
      </c>
      <c r="E134" s="40" t="n">
        <v>0.013</v>
      </c>
      <c r="F134" s="36" t="inlineStr">
        <is>
          <t>NERV. PRINCIPAL NP-32</t>
        </is>
      </c>
      <c r="G134" s="33" t="inlineStr">
        <is>
          <t>DISCONTINUO</t>
        </is>
      </c>
      <c r="H134" s="37" t="inlineStr"/>
      <c r="I134" s="37" t="inlineStr">
        <is>
          <t>Hueco 0.30 m (tragaluz), Hueco/tragaluz (F80029)</t>
        </is>
      </c>
    </row>
    <row r="135">
      <c r="B135" s="35" t="inlineStr">
        <is>
          <t>F80027 N+6.00</t>
        </is>
      </c>
      <c r="C135" s="39" t="inlineStr">
        <is>
          <t>izquierdo</t>
        </is>
      </c>
      <c r="D135" s="34" t="n">
        <v>1.151</v>
      </c>
      <c r="E135" s="40" t="n">
        <v>1</v>
      </c>
      <c r="F135" s="36" t="inlineStr">
        <is>
          <t>MURO</t>
        </is>
      </c>
      <c r="G135" s="33" t="inlineStr">
        <is>
          <t>DISCONTINUO</t>
        </is>
      </c>
      <c r="H135" s="37" t="inlineStr"/>
      <c r="I135" s="37" t="inlineStr"/>
    </row>
    <row r="136">
      <c r="B136" s="35" t="inlineStr">
        <is>
          <t>F80027 N+6.00</t>
        </is>
      </c>
      <c r="C136" s="39" t="inlineStr">
        <is>
          <t>derecho</t>
        </is>
      </c>
      <c r="D136" s="34" t="n">
        <v>1.151</v>
      </c>
      <c r="E136" s="40" t="n">
        <v>1</v>
      </c>
      <c r="F136" s="36" t="inlineStr">
        <is>
          <t>MURO</t>
        </is>
      </c>
      <c r="G136" s="33" t="inlineStr">
        <is>
          <t>CONTINUO</t>
        </is>
      </c>
      <c r="H136" s="37" t="inlineStr">
        <is>
          <t>F80032</t>
        </is>
      </c>
      <c r="I136" s="37" t="inlineStr"/>
    </row>
    <row r="137">
      <c r="B137" s="32" t="inlineStr">
        <is>
          <t>F80028 N+6.00</t>
        </is>
      </c>
      <c r="C137" s="39" t="inlineStr">
        <is>
          <t>inferior</t>
        </is>
      </c>
      <c r="D137" s="34" t="n">
        <v>3.028</v>
      </c>
      <c r="E137" s="40" t="n">
        <v>0.013</v>
      </c>
      <c r="F137" s="36" t="inlineStr">
        <is>
          <t>NERV. PRINCIPAL NP-31</t>
        </is>
      </c>
      <c r="G137" s="33" t="inlineStr">
        <is>
          <t>CONTINUO</t>
        </is>
      </c>
      <c r="H137" s="37" t="inlineStr">
        <is>
          <t>F80026</t>
        </is>
      </c>
      <c r="I137" s="37" t="inlineStr">
        <is>
          <t>Hueco 0.30 m (tragaluz)</t>
        </is>
      </c>
    </row>
    <row r="138">
      <c r="B138" s="35" t="inlineStr">
        <is>
          <t>F80028 N+6.00</t>
        </is>
      </c>
      <c r="C138" s="39" t="inlineStr">
        <is>
          <t>superior</t>
        </is>
      </c>
      <c r="D138" s="34" t="n">
        <v>3.028</v>
      </c>
      <c r="E138" s="40" t="n">
        <v>1</v>
      </c>
      <c r="F138" s="36" t="inlineStr">
        <is>
          <t>MURO</t>
        </is>
      </c>
      <c r="G138" s="33" t="inlineStr">
        <is>
          <t>CONTINUO</t>
        </is>
      </c>
      <c r="H138" s="37" t="inlineStr">
        <is>
          <t>F80031</t>
        </is>
      </c>
      <c r="I138" s="37" t="inlineStr">
        <is>
          <t>Hueco 0.30 m (tragaluz)</t>
        </is>
      </c>
    </row>
    <row r="139">
      <c r="B139" s="35" t="inlineStr">
        <is>
          <t>F80028 N+6.00</t>
        </is>
      </c>
      <c r="C139" s="39" t="inlineStr">
        <is>
          <t>izquierdo</t>
        </is>
      </c>
      <c r="D139" s="34" t="n">
        <v>0.749</v>
      </c>
      <c r="E139" s="40" t="n">
        <v>1</v>
      </c>
      <c r="F139" s="36" t="inlineStr">
        <is>
          <t>MURO</t>
        </is>
      </c>
      <c r="G139" s="33" t="inlineStr">
        <is>
          <t>CONTINUO</t>
        </is>
      </c>
      <c r="H139" s="37" t="inlineStr">
        <is>
          <t>F80032</t>
        </is>
      </c>
      <c r="I139" s="37" t="inlineStr"/>
    </row>
    <row r="140">
      <c r="B140" s="35" t="inlineStr">
        <is>
          <t>F80028 N+6.00</t>
        </is>
      </c>
      <c r="C140" s="39" t="inlineStr">
        <is>
          <t>derecho</t>
        </is>
      </c>
      <c r="D140" s="34" t="n">
        <v>0.749</v>
      </c>
      <c r="E140" s="40" t="n">
        <v>1</v>
      </c>
      <c r="F140" s="36" t="inlineStr">
        <is>
          <t>MURO</t>
        </is>
      </c>
      <c r="G140" s="33" t="inlineStr">
        <is>
          <t>DISCONTINUO</t>
        </is>
      </c>
      <c r="H140" s="37" t="inlineStr"/>
      <c r="I140" s="37" t="inlineStr">
        <is>
          <t>Hueco 0.30 m (tragaluz)</t>
        </is>
      </c>
    </row>
    <row r="141">
      <c r="B141" s="32" t="inlineStr">
        <is>
          <t>F80029 N+6.00</t>
        </is>
      </c>
      <c r="C141" s="39" t="inlineStr">
        <is>
          <t>inferior</t>
        </is>
      </c>
      <c r="D141" s="34" t="n">
        <v>3.029</v>
      </c>
      <c r="E141" s="40" t="n">
        <v>0.013</v>
      </c>
      <c r="F141" s="36" t="inlineStr">
        <is>
          <t>NERV. PRINCIPAL NP-32</t>
        </is>
      </c>
      <c r="G141" s="33" t="inlineStr">
        <is>
          <t>CONTINUO</t>
        </is>
      </c>
      <c r="H141" s="37" t="inlineStr">
        <is>
          <t>F80027</t>
        </is>
      </c>
      <c r="I141" s="37" t="inlineStr">
        <is>
          <t>Hueco 0.30 m (tragaluz)</t>
        </is>
      </c>
    </row>
    <row r="142">
      <c r="B142" s="35" t="inlineStr">
        <is>
          <t>F80029 N+6.00</t>
        </is>
      </c>
      <c r="C142" s="39" t="inlineStr">
        <is>
          <t>superior</t>
        </is>
      </c>
      <c r="D142" s="34" t="n">
        <v>3.029</v>
      </c>
      <c r="E142" s="40" t="n">
        <v>1</v>
      </c>
      <c r="F142" s="36" t="inlineStr">
        <is>
          <t>MURO</t>
        </is>
      </c>
      <c r="G142" s="33" t="inlineStr">
        <is>
          <t>CONTINUO</t>
        </is>
      </c>
      <c r="H142" s="37" t="inlineStr">
        <is>
          <t>F80030</t>
        </is>
      </c>
      <c r="I142" s="37" t="inlineStr">
        <is>
          <t>Hueco 0.30 m (tragaluz)</t>
        </is>
      </c>
    </row>
    <row r="143">
      <c r="B143" s="35" t="inlineStr">
        <is>
          <t>F80029 N+6.00</t>
        </is>
      </c>
      <c r="C143" s="39" t="inlineStr">
        <is>
          <t>izquierdo</t>
        </is>
      </c>
      <c r="D143" s="34" t="n">
        <v>0.449</v>
      </c>
      <c r="E143" s="40" t="n">
        <v>1</v>
      </c>
      <c r="F143" s="36" t="inlineStr">
        <is>
          <t>MURO</t>
        </is>
      </c>
      <c r="G143" s="33" t="inlineStr">
        <is>
          <t>DISCONTINUO</t>
        </is>
      </c>
      <c r="H143" s="37" t="inlineStr"/>
      <c r="I143" s="37" t="inlineStr">
        <is>
          <t>Hueco 0.30 m (tragaluz)</t>
        </is>
      </c>
    </row>
    <row r="144">
      <c r="B144" s="35" t="inlineStr">
        <is>
          <t>F80029 N+6.00</t>
        </is>
      </c>
      <c r="C144" s="39" t="inlineStr">
        <is>
          <t>derecho</t>
        </is>
      </c>
      <c r="D144" s="34" t="n">
        <v>0.449</v>
      </c>
      <c r="E144" s="40" t="n">
        <v>1</v>
      </c>
      <c r="F144" s="36" t="inlineStr">
        <is>
          <t>MURO</t>
        </is>
      </c>
      <c r="G144" s="33" t="inlineStr">
        <is>
          <t>CONTINUO</t>
        </is>
      </c>
      <c r="H144" s="37" t="inlineStr">
        <is>
          <t>F80032</t>
        </is>
      </c>
      <c r="I144" s="37" t="inlineStr"/>
    </row>
    <row r="145">
      <c r="B145" s="32" t="inlineStr">
        <is>
          <t>F80030 N+6.00</t>
        </is>
      </c>
      <c r="C145" s="39" t="inlineStr">
        <is>
          <t>inferior</t>
        </is>
      </c>
      <c r="D145" s="34" t="n">
        <v>4.426</v>
      </c>
      <c r="E145" s="40" t="n">
        <v>1</v>
      </c>
      <c r="F145" s="36" t="inlineStr">
        <is>
          <t>MURO</t>
        </is>
      </c>
      <c r="G145" s="33" t="inlineStr">
        <is>
          <t>DISCONTINUO</t>
        </is>
      </c>
      <c r="H145" s="37" t="inlineStr">
        <is>
          <t>F80032</t>
        </is>
      </c>
      <c r="I145" s="37" t="inlineStr">
        <is>
          <t>Hueco 0.30 m (tragaluz), Hueco/tragaluz (F80029)</t>
        </is>
      </c>
    </row>
    <row r="146">
      <c r="B146" s="35" t="inlineStr">
        <is>
          <t>F80030 N+6.00</t>
        </is>
      </c>
      <c r="C146" s="39" t="inlineStr">
        <is>
          <t>superior</t>
        </is>
      </c>
      <c r="D146" s="34" t="n">
        <v>4.426</v>
      </c>
      <c r="E146" s="40" t="n">
        <v>1</v>
      </c>
      <c r="F146" s="36" t="inlineStr">
        <is>
          <t>MURO</t>
        </is>
      </c>
      <c r="G146" s="33" t="inlineStr">
        <is>
          <t>DISCONTINUO</t>
        </is>
      </c>
      <c r="H146" s="37" t="inlineStr"/>
      <c r="I146" s="37" t="inlineStr"/>
    </row>
    <row r="147">
      <c r="B147" s="35" t="inlineStr">
        <is>
          <t>F80030 N+6.00</t>
        </is>
      </c>
      <c r="C147" s="39" t="inlineStr">
        <is>
          <t>izquierdo</t>
        </is>
      </c>
      <c r="D147" s="34" t="n">
        <v>4</v>
      </c>
      <c r="E147" s="40" t="n">
        <v>1</v>
      </c>
      <c r="F147" s="36" t="inlineStr">
        <is>
          <t>MURO</t>
        </is>
      </c>
      <c r="G147" s="33" t="inlineStr">
        <is>
          <t>DISCONTINUO</t>
        </is>
      </c>
      <c r="H147" s="37" t="inlineStr"/>
      <c r="I147" s="37" t="inlineStr"/>
    </row>
    <row r="148">
      <c r="B148" s="35" t="inlineStr">
        <is>
          <t>F80030 N+6.00</t>
        </is>
      </c>
      <c r="C148" s="39" t="inlineStr">
        <is>
          <t>derecho</t>
        </is>
      </c>
      <c r="D148" s="34" t="n">
        <v>4</v>
      </c>
      <c r="E148" s="40" t="n">
        <v>1</v>
      </c>
      <c r="F148" s="36" t="inlineStr">
        <is>
          <t>MURO</t>
        </is>
      </c>
      <c r="G148" s="33" t="inlineStr">
        <is>
          <t>CONTINUO</t>
        </is>
      </c>
      <c r="H148" s="37" t="inlineStr">
        <is>
          <t>F80031</t>
        </is>
      </c>
      <c r="I148" s="37" t="inlineStr"/>
    </row>
    <row r="149">
      <c r="B149" s="32" t="inlineStr">
        <is>
          <t>F80031 N+6.00</t>
        </is>
      </c>
      <c r="C149" s="39" t="inlineStr">
        <is>
          <t>inferior</t>
        </is>
      </c>
      <c r="D149" s="34" t="n">
        <v>4.424</v>
      </c>
      <c r="E149" s="40" t="n">
        <v>1</v>
      </c>
      <c r="F149" s="36" t="inlineStr">
        <is>
          <t>MURO</t>
        </is>
      </c>
      <c r="G149" s="33" t="inlineStr">
        <is>
          <t>DISCONTINUO</t>
        </is>
      </c>
      <c r="H149" s="37" t="inlineStr">
        <is>
          <t>F80032</t>
        </is>
      </c>
      <c r="I149" s="37" t="inlineStr">
        <is>
          <t>Hueco 0.30 m (tragaluz), Hueco/tragaluz (F80028)</t>
        </is>
      </c>
    </row>
    <row r="150">
      <c r="B150" s="35" t="inlineStr">
        <is>
          <t>F80031 N+6.00</t>
        </is>
      </c>
      <c r="C150" s="39" t="inlineStr">
        <is>
          <t>superior</t>
        </is>
      </c>
      <c r="D150" s="34" t="n">
        <v>4.424</v>
      </c>
      <c r="E150" s="40" t="n">
        <v>1</v>
      </c>
      <c r="F150" s="36" t="inlineStr">
        <is>
          <t>MURO</t>
        </is>
      </c>
      <c r="G150" s="33" t="inlineStr">
        <is>
          <t>DISCONTINUO</t>
        </is>
      </c>
      <c r="H150" s="37" t="inlineStr"/>
      <c r="I150" s="37" t="inlineStr"/>
    </row>
    <row r="151">
      <c r="B151" s="35" t="inlineStr">
        <is>
          <t>F80031 N+6.00</t>
        </is>
      </c>
      <c r="C151" s="39" t="inlineStr">
        <is>
          <t>izquierdo</t>
        </is>
      </c>
      <c r="D151" s="34" t="n">
        <v>4</v>
      </c>
      <c r="E151" s="40" t="n">
        <v>1</v>
      </c>
      <c r="F151" s="36" t="inlineStr">
        <is>
          <t>MURO</t>
        </is>
      </c>
      <c r="G151" s="33" t="inlineStr">
        <is>
          <t>CONTINUO</t>
        </is>
      </c>
      <c r="H151" s="37" t="inlineStr">
        <is>
          <t>F80030</t>
        </is>
      </c>
      <c r="I151" s="37" t="inlineStr"/>
    </row>
    <row r="152">
      <c r="B152" s="35" t="inlineStr">
        <is>
          <t>F80031 N+6.00</t>
        </is>
      </c>
      <c r="C152" s="39" t="inlineStr">
        <is>
          <t>derecho</t>
        </is>
      </c>
      <c r="D152" s="34" t="n">
        <v>4</v>
      </c>
      <c r="E152" s="40" t="n">
        <v>1</v>
      </c>
      <c r="F152" s="36" t="inlineStr">
        <is>
          <t>MURO</t>
        </is>
      </c>
      <c r="G152" s="33" t="inlineStr">
        <is>
          <t>DISCONTINUO</t>
        </is>
      </c>
      <c r="H152" s="37" t="inlineStr"/>
      <c r="I152" s="37" t="inlineStr"/>
    </row>
    <row r="153">
      <c r="B153" s="32" t="inlineStr">
        <is>
          <t>F80032 N+6.00</t>
        </is>
      </c>
      <c r="C153" s="39" t="inlineStr">
        <is>
          <t>inferior</t>
        </is>
      </c>
      <c r="D153" s="34" t="n">
        <v>2.894</v>
      </c>
      <c r="E153" s="40" t="n">
        <v>0.5580000000000001</v>
      </c>
      <c r="F153" s="36" t="inlineStr">
        <is>
          <t>MURO / vacío del pergolado</t>
        </is>
      </c>
      <c r="G153" s="33" t="inlineStr">
        <is>
          <t>DISCONTINUO</t>
        </is>
      </c>
      <c r="H153" s="37" t="inlineStr">
        <is>
          <t>F80023, F80024</t>
        </is>
      </c>
      <c r="I153" s="37" t="inlineStr"/>
    </row>
    <row r="154">
      <c r="B154" s="35" t="inlineStr">
        <is>
          <t>F80032 N+6.00</t>
        </is>
      </c>
      <c r="C154" s="39" t="inlineStr">
        <is>
          <t>superior</t>
        </is>
      </c>
      <c r="D154" s="34" t="n">
        <v>2.894</v>
      </c>
      <c r="E154" s="40" t="n">
        <v>1</v>
      </c>
      <c r="F154" s="36" t="inlineStr">
        <is>
          <t>MURO</t>
        </is>
      </c>
      <c r="G154" s="33" t="inlineStr">
        <is>
          <t>CONTINUO</t>
        </is>
      </c>
      <c r="H154" s="37" t="inlineStr">
        <is>
          <t>F80030, F80031</t>
        </is>
      </c>
      <c r="I154" s="37" t="inlineStr">
        <is>
          <t>Hueco/tragaluz (F80028)</t>
        </is>
      </c>
    </row>
    <row r="155">
      <c r="B155" s="35" t="inlineStr">
        <is>
          <t>F80032 N+6.00</t>
        </is>
      </c>
      <c r="C155" s="39" t="inlineStr">
        <is>
          <t>izquierdo</t>
        </is>
      </c>
      <c r="D155" s="34" t="n">
        <v>11.5</v>
      </c>
      <c r="E155" s="40" t="n">
        <v>0.148</v>
      </c>
      <c r="F155" s="36" t="inlineStr">
        <is>
          <t>MURO</t>
        </is>
      </c>
      <c r="G155" s="33" t="inlineStr">
        <is>
          <t>CONTINUO</t>
        </is>
      </c>
      <c r="H155" s="37" t="inlineStr">
        <is>
          <t>F80024, F80027, F80010</t>
        </is>
      </c>
      <c r="I155" s="37" t="inlineStr">
        <is>
          <t>Pergolado sobre doble altura (vigas VP-15x40 @0.75 + cristal), Hueco/tragaluz (F80029)</t>
        </is>
      </c>
    </row>
    <row r="156">
      <c r="B156" s="35" t="inlineStr">
        <is>
          <t>F80032 N+6.00</t>
        </is>
      </c>
      <c r="C156" s="39" t="inlineStr">
        <is>
          <t>derecho</t>
        </is>
      </c>
      <c r="D156" s="34" t="n">
        <v>11.5</v>
      </c>
      <c r="E156" s="40" t="n">
        <v>0.098</v>
      </c>
      <c r="F156" s="36" t="inlineStr">
        <is>
          <t>MURO</t>
        </is>
      </c>
      <c r="G156" s="33" t="inlineStr">
        <is>
          <t>CONTINUO</t>
        </is>
      </c>
      <c r="H156" s="37" t="inlineStr">
        <is>
          <t>F80025, F80026</t>
        </is>
      </c>
      <c r="I156" s="37" t="inlineStr">
        <is>
          <t>Vacío sobre escalera, Hueco 0.30 m (tragaluz), Hueco/tragaluz (F80028)</t>
        </is>
      </c>
    </row>
    <row r="157" ht="6" customHeight="1"/>
    <row r="158" ht="21" customHeight="1">
      <c r="B158" s="5" t="inlineStr">
        <is>
          <t>D. VACÍOS Y HUECOS</t>
        </is>
      </c>
    </row>
    <row r="159">
      <c r="B159" s="8" t="inlineStr">
        <is>
          <t>Vacío / hueco</t>
        </is>
      </c>
      <c r="C159" s="8" t="inlineStr">
        <is>
          <t>Nivel</t>
        </is>
      </c>
      <c r="D159" s="8" t="inlineStr">
        <is>
          <t>Ancho X (m)</t>
        </is>
      </c>
      <c r="E159" s="8" t="inlineStr">
        <is>
          <t>Largo Y (m)</t>
        </is>
      </c>
      <c r="F159" s="8" t="inlineStr">
        <is>
          <t>x de – a (m)</t>
        </is>
      </c>
      <c r="G159" s="8" t="inlineStr">
        <is>
          <t>y de – a (m)</t>
        </is>
      </c>
      <c r="H159" s="8" t="inlineStr">
        <is>
          <t>Área (m²)</t>
        </is>
      </c>
      <c r="I159" s="8" t="inlineStr">
        <is>
          <t>Fuente</t>
        </is>
      </c>
    </row>
    <row r="160" ht="30" customHeight="1">
      <c r="B160" s="36" t="inlineStr">
        <is>
          <t>Vacío doble altura (sala)</t>
        </is>
      </c>
      <c r="C160" s="39" t="inlineStr">
        <is>
          <t>N+3.00</t>
        </is>
      </c>
      <c r="D160" s="41" t="n">
        <v>4.172</v>
      </c>
      <c r="E160" s="41" t="n">
        <v>6</v>
      </c>
      <c r="F160" s="39" t="inlineStr">
        <is>
          <t>0.075 – 4.247</t>
        </is>
      </c>
      <c r="G160" s="39" t="inlineStr">
        <is>
          <t>7.946 – 13.946</t>
        </is>
      </c>
      <c r="H160" s="41" t="n">
        <v>25.03</v>
      </c>
      <c r="I160" s="13" t="inlineStr">
        <is>
          <t>001_PLANO_CROCHA_R3.0.dxf capa 004_Vacios, PLANTA PRIMER NIVEL</t>
        </is>
      </c>
    </row>
    <row r="161" ht="30" customHeight="1">
      <c r="B161" s="36" t="inlineStr">
        <is>
          <t>Escalera curva (cubo)</t>
        </is>
      </c>
      <c r="C161" s="39" t="inlineStr">
        <is>
          <t>N+3.00</t>
        </is>
      </c>
      <c r="D161" s="41" t="n">
        <v>3.428</v>
      </c>
      <c r="E161" s="41" t="n">
        <v>3.001999999999999</v>
      </c>
      <c r="F161" s="39" t="inlineStr">
        <is>
          <t>5.422 – 8.850</t>
        </is>
      </c>
      <c r="G161" s="39" t="inlineStr">
        <is>
          <t>6.948 – 9.950</t>
        </is>
      </c>
      <c r="H161" s="41" t="n">
        <v>8.27</v>
      </c>
      <c r="I161" s="13" t="inlineStr">
        <is>
          <t>001_PLANO_CROCHA_R3.0.dxf capa 005_Escalera; hueco sin tablero en el E2K</t>
        </is>
      </c>
    </row>
    <row r="162" ht="30" customHeight="1">
      <c r="B162" s="36" t="inlineStr">
        <is>
          <t>Pergolado sobre doble altura (vigas VP-15x40 @0.75 + cristal)</t>
        </is>
      </c>
      <c r="C162" s="39" t="inlineStr">
        <is>
          <t>N+6.00</t>
        </is>
      </c>
      <c r="D162" s="41" t="n">
        <v>4.351999999999999</v>
      </c>
      <c r="E162" s="41" t="n">
        <v>6</v>
      </c>
      <c r="F162" s="39" t="inlineStr">
        <is>
          <t>0.075 – 4.427</t>
        </is>
      </c>
      <c r="G162" s="39" t="inlineStr">
        <is>
          <t>7.946 – 13.946</t>
        </is>
      </c>
      <c r="H162" s="41" t="n">
        <v>26.11</v>
      </c>
      <c r="I162" s="13" t="inlineStr">
        <is>
          <t>001_PLANO_CROCHA_R3.0.dxf capa 004_Vacios, PLANTA DE AZOTEA; E2K vigas VP-15x40</t>
        </is>
      </c>
    </row>
    <row r="163" ht="30" customHeight="1">
      <c r="B163" s="36" t="inlineStr">
        <is>
          <t>Vacío sobre escalera</t>
        </is>
      </c>
      <c r="C163" s="39" t="inlineStr">
        <is>
          <t>N+6.00</t>
        </is>
      </c>
      <c r="D163" s="41" t="n">
        <v>2.777</v>
      </c>
      <c r="E163" s="41" t="n">
        <v>2.852</v>
      </c>
      <c r="F163" s="39" t="inlineStr">
        <is>
          <t>5.998 – 8.775</t>
        </is>
      </c>
      <c r="G163" s="39" t="inlineStr">
        <is>
          <t>7.023 – 9.875</t>
        </is>
      </c>
      <c r="H163" s="41" t="n">
        <v>7.92</v>
      </c>
      <c r="I163" s="13" t="inlineStr">
        <is>
          <t>001_PLANO_CROCHA_R3.0.dxf capa 004_Vacios, PLANTA DE AZOTEA</t>
        </is>
      </c>
    </row>
    <row r="164" ht="30" customHeight="1">
      <c r="B164" s="36" t="inlineStr">
        <is>
          <t>Hueco 0.30 m (tragaluz)</t>
        </is>
      </c>
      <c r="C164" s="39" t="inlineStr">
        <is>
          <t>N+6.00</t>
        </is>
      </c>
      <c r="D164" s="41" t="n">
        <v>2.777</v>
      </c>
      <c r="E164" s="41" t="n">
        <v>0.3000000000000007</v>
      </c>
      <c r="F164" s="39" t="inlineStr">
        <is>
          <t>5.998 – 8.775</t>
        </is>
      </c>
      <c r="G164" s="39" t="inlineStr">
        <is>
          <t>17.072 – 17.372</t>
        </is>
      </c>
      <c r="H164" s="41" t="n">
        <v>0.83</v>
      </c>
      <c r="I164" s="13" t="inlineStr">
        <is>
          <t>AREAS_TRIBUTARIAS_R3.2.dxf capa TRIB_HUECO / E2K áreas A1-A3</t>
        </is>
      </c>
    </row>
    <row r="165" ht="30" customHeight="1">
      <c r="B165" s="36" t="inlineStr">
        <is>
          <t>Hueco 0.30 m (tragaluz)</t>
        </is>
      </c>
      <c r="C165" s="39" t="inlineStr">
        <is>
          <t>N+6.00</t>
        </is>
      </c>
      <c r="D165" s="41" t="n">
        <v>2.777</v>
      </c>
      <c r="E165" s="41" t="n">
        <v>0.3000000000000007</v>
      </c>
      <c r="F165" s="39" t="inlineStr">
        <is>
          <t>5.998 – 8.775</t>
        </is>
      </c>
      <c r="G165" s="39" t="inlineStr">
        <is>
          <t>16.772 – 17.072</t>
        </is>
      </c>
      <c r="H165" s="41" t="n">
        <v>0.83</v>
      </c>
      <c r="I165" s="13" t="inlineStr">
        <is>
          <t>AREAS_TRIBUTARIAS_R3.2.dxf capa TRIB_HUECO / E2K áreas A1-A3</t>
        </is>
      </c>
    </row>
    <row r="166" ht="30" customHeight="1">
      <c r="B166" s="36" t="inlineStr">
        <is>
          <t>Hueco 0.30 m (tragaluz)</t>
        </is>
      </c>
      <c r="C166" s="39" t="inlineStr">
        <is>
          <t>N+6.00</t>
        </is>
      </c>
      <c r="D166" s="41" t="n">
        <v>2.775</v>
      </c>
      <c r="E166" s="41" t="n">
        <v>0.3000000000000007</v>
      </c>
      <c r="F166" s="39" t="inlineStr">
        <is>
          <t>0.075 – 2.850</t>
        </is>
      </c>
      <c r="G166" s="39" t="inlineStr">
        <is>
          <t>17.072 – 17.372</t>
        </is>
      </c>
      <c r="H166" s="41" t="n">
        <v>0.83</v>
      </c>
      <c r="I166" s="13" t="inlineStr">
        <is>
          <t>AREAS_TRIBUTARIAS_R3.2.dxf capa TRIB_HUECO / E2K áreas A1-A3</t>
        </is>
      </c>
    </row>
    <row r="167" ht="6" customHeight="1"/>
    <row r="168" ht="21" customHeight="1">
      <c r="B168" s="5" t="inlineStr">
        <is>
          <t>E. CÓMO QUEDA SI NO SE BAJA NINGÚN CASTILLO (TAL CUAL EL E2K)</t>
        </is>
      </c>
    </row>
    <row r="169" ht="30" customHeight="1">
      <c r="B169" s="6" t="inlineStr">
        <is>
          <t>Tramos de nervadura principal del N+3.00 que en el modelo actual no tienen apoyo en uno o los dos extremos. Esto es lo que motiva la lista B.</t>
        </is>
      </c>
      <c r="C169" s="7" t="n"/>
      <c r="D169" s="7" t="n"/>
      <c r="E169" s="7" t="n"/>
      <c r="F169" s="7" t="n"/>
      <c r="G169" s="7" t="n"/>
      <c r="H169" s="7" t="n"/>
      <c r="I169" s="7" t="n"/>
    </row>
    <row r="170" ht="15" customHeight="1">
      <c r="B170" s="30" t="inlineStr">
        <is>
          <t>• y = 1.919, de x = 0.000 a 4.327 (4.33 m): VOLADO en el modelo.</t>
        </is>
      </c>
    </row>
    <row r="171" ht="15" customHeight="1">
      <c r="B171" s="30" t="inlineStr">
        <is>
          <t>• y = 2.921, de x = 0.000 a 5.923 (5.92 m): VOLADO en el modelo.</t>
        </is>
      </c>
    </row>
    <row r="172" ht="15" customHeight="1">
      <c r="B172" s="30" t="inlineStr">
        <is>
          <t>• y = 8.910, de x = 5.460 a 7.350 (1.89 m): SIN APOYO en ninguno de sus extremos en el modelo.</t>
        </is>
      </c>
    </row>
    <row r="173" ht="15" customHeight="1">
      <c r="B173" s="30" t="inlineStr">
        <is>
          <t>• y = 9.950, de x = 5.422 a 8.144 (2.72 m): VOLADO en el modelo.</t>
        </is>
      </c>
    </row>
    <row r="174" ht="15" customHeight="1">
      <c r="B174" s="30" t="inlineStr">
        <is>
          <t>• y = 14.021, de x = 0.000 a 4.327 (4.33 m): VOLADO en el modelo.</t>
        </is>
      </c>
    </row>
    <row r="175" ht="15" customHeight="1">
      <c r="B175" s="30" t="inlineStr">
        <is>
          <t>• y = 14.247, de x = 6.247 a 8.850 (2.60 m): VOLADO en el modelo.</t>
        </is>
      </c>
    </row>
    <row r="176" ht="15" customHeight="1">
      <c r="B176" s="30" t="inlineStr">
        <is>
          <t>• y = 15.846, de x = 0.000 a 3.427 (3.43 m): VOLADO en el modelo.</t>
        </is>
      </c>
    </row>
    <row r="177" ht="15" customHeight="1">
      <c r="B177" s="30" t="inlineStr">
        <is>
          <t>• y = 15.846, de x = 5.422 a 8.850 (3.43 m): VOLADO en el modelo.</t>
        </is>
      </c>
    </row>
    <row r="178" ht="15" customHeight="1">
      <c r="B178" s="30" t="inlineStr">
        <is>
          <t>• x = 3.427, de y = 14.021 a 15.846 (1.82 m): VOLADO en el modelo.</t>
        </is>
      </c>
    </row>
    <row r="179" ht="15" customHeight="1">
      <c r="B179" s="30" t="inlineStr">
        <is>
          <t>• x = 4.327, de y = 1.919 a 5.946 (4.03 m): VOLADO en el modelo.</t>
        </is>
      </c>
    </row>
    <row r="180" ht="15" customHeight="1">
      <c r="B180" s="30" t="inlineStr">
        <is>
          <t>• x = 4.327, de y = 5.946 a 14.021 (8.07 m): VOLADO en el modelo.</t>
        </is>
      </c>
    </row>
    <row r="181" ht="15" customHeight="1">
      <c r="B181" s="30" t="inlineStr">
        <is>
          <t>• x = 5.441, de y = 6.948 a 8.910 (1.96 m): SIN APOYO en ninguno de sus extremos en el modelo.</t>
        </is>
      </c>
    </row>
    <row r="182" ht="15" customHeight="1">
      <c r="B182" s="30" t="inlineStr">
        <is>
          <t>• x = 5.441, de y = 9.950 a 15.447 (5.50 m): VOLADO en el modelo.</t>
        </is>
      </c>
    </row>
    <row r="183" ht="15" customHeight="1">
      <c r="B183" s="30" t="inlineStr">
        <is>
          <t>• x = 5.923, de y = 2.921 a 5.946 (3.02 m): VOLADO en el modelo.</t>
        </is>
      </c>
    </row>
    <row r="184" ht="15" customHeight="1">
      <c r="B184" s="30" t="inlineStr">
        <is>
          <t>• x = 7.350, de y = 8.910 a 9.950 (1.04 m): VOLADO en el modelo.</t>
        </is>
      </c>
    </row>
    <row r="185" ht="6" customHeight="1"/>
    <row r="186" ht="21" customHeight="1">
      <c r="B186" s="5" t="inlineStr">
        <is>
          <t>F. CASTILLOS DEL PRIMER NIVEL QUE NO BAJAN A PLANTA BAJA (31)</t>
        </is>
      </c>
    </row>
    <row r="187" ht="30" customHeight="1">
      <c r="B187" s="6" t="inlineStr">
        <is>
          <t>Castillos K-15x15 del primer nivel (entrepiso N+6.00 del E2K) que no tienen castillo ni muro abajo: descargan sobre la losa N+3.00. Los marcados como propuestos están en la lista B.</t>
        </is>
      </c>
      <c r="C187" s="7" t="n"/>
      <c r="D187" s="7" t="n"/>
      <c r="E187" s="7" t="n"/>
      <c r="F187" s="7" t="n"/>
      <c r="G187" s="7" t="n"/>
      <c r="H187" s="7" t="n"/>
      <c r="I187" s="7" t="n"/>
    </row>
    <row r="188">
      <c r="B188" s="8" t="inlineStr">
        <is>
          <t>Ubicación</t>
        </is>
      </c>
      <c r="C188" s="8" t="inlineStr">
        <is>
          <t>x (m)</t>
        </is>
      </c>
      <c r="D188" s="8" t="inlineStr">
        <is>
          <t>y (m)</t>
        </is>
      </c>
      <c r="E188" s="8" t="inlineStr">
        <is>
          <t>¿Propuesto?</t>
        </is>
      </c>
      <c r="F188" s="8" t="inlineStr">
        <is>
          <t>Nota</t>
        </is>
      </c>
      <c r="G188" s="8" t="inlineStr"/>
      <c r="H188" s="8" t="inlineStr"/>
      <c r="I188" s="8" t="inlineStr"/>
    </row>
    <row r="189">
      <c r="B189" s="35" t="inlineStr">
        <is>
          <t>x=0.925-3</t>
        </is>
      </c>
      <c r="C189" s="34" t="n">
        <v>0.925</v>
      </c>
      <c r="D189" s="34" t="n">
        <v>2.921</v>
      </c>
      <c r="E189" s="39" t="inlineStr">
        <is>
          <t>—</t>
        </is>
      </c>
      <c r="F189" s="42" t="inlineStr">
        <is>
          <t>Descarga sobre una nervadura principal o un tablero del N+3.00; su carga ya viene en el muro de arriba (wall load) de PRINCIPALES.</t>
        </is>
      </c>
    </row>
    <row r="190">
      <c r="B190" s="35" t="inlineStr">
        <is>
          <t>x=1.514-y=15.846</t>
        </is>
      </c>
      <c r="C190" s="34" t="n">
        <v>1.514</v>
      </c>
      <c r="D190" s="34" t="n">
        <v>15.846</v>
      </c>
      <c r="E190" s="39" t="inlineStr">
        <is>
          <t>—</t>
        </is>
      </c>
      <c r="F190" s="42" t="inlineStr">
        <is>
          <t>Descarga sobre una nervadura principal o un tablero del N+3.00; su carga ya viene en el muro de arriba (wall load) de PRINCIPALES.</t>
        </is>
      </c>
    </row>
    <row r="191">
      <c r="B191" s="35" t="inlineStr">
        <is>
          <t>x=1.714-y=14.021</t>
        </is>
      </c>
      <c r="C191" s="34" t="n">
        <v>1.714</v>
      </c>
      <c r="D191" s="34" t="n">
        <v>14.021</v>
      </c>
      <c r="E191" s="39" t="inlineStr">
        <is>
          <t>—</t>
        </is>
      </c>
      <c r="F191" s="42" t="inlineStr">
        <is>
          <t>Descarga sobre una nervadura principal o un tablero del N+3.00; su carga ya viene en el muro de arriba (wall load) de PRINCIPALES.</t>
        </is>
      </c>
    </row>
    <row r="192">
      <c r="B192" s="35" t="inlineStr">
        <is>
          <t>x=2.129-12</t>
        </is>
      </c>
      <c r="C192" s="34" t="n">
        <v>2.129</v>
      </c>
      <c r="D192" s="34" t="n">
        <v>17.446</v>
      </c>
      <c r="E192" s="39" t="inlineStr">
        <is>
          <t>—</t>
        </is>
      </c>
      <c r="F192" s="42" t="inlineStr">
        <is>
          <t>Descarga sobre una nervadura principal o un tablero del N+3.00; su carga ya viene en el muro de arriba (wall load) de PRINCIPALES.</t>
        </is>
      </c>
    </row>
    <row r="193">
      <c r="B193" s="35" t="inlineStr">
        <is>
          <t>x=2.163-7</t>
        </is>
      </c>
      <c r="C193" s="34" t="n">
        <v>2.163</v>
      </c>
      <c r="D193" s="34" t="n">
        <v>7.871</v>
      </c>
      <c r="E193" s="39" t="inlineStr">
        <is>
          <t>—</t>
        </is>
      </c>
      <c r="F193" s="42" t="inlineStr">
        <is>
          <t>Descarga sobre una nervadura principal o un tablero del N+3.00; su carga ya viene en el muro de arriba (wall load) de PRINCIPALES.</t>
        </is>
      </c>
    </row>
    <row r="194">
      <c r="B194" s="35" t="inlineStr">
        <is>
          <t>x=3.029-y=15.846</t>
        </is>
      </c>
      <c r="C194" s="34" t="n">
        <v>3.029</v>
      </c>
      <c r="D194" s="34" t="n">
        <v>15.846</v>
      </c>
      <c r="E194" s="39" t="inlineStr">
        <is>
          <t>—</t>
        </is>
      </c>
      <c r="F194" s="42" t="inlineStr">
        <is>
          <t>Descarga sobre una nervadura principal o un tablero del N+3.00; su carga ya viene en el muro de arriba (wall load) de PRINCIPALES.</t>
        </is>
      </c>
    </row>
    <row r="195">
      <c r="B195" s="35" t="inlineStr">
        <is>
          <t>x=3.029-12</t>
        </is>
      </c>
      <c r="C195" s="34" t="n">
        <v>3.029</v>
      </c>
      <c r="D195" s="34" t="n">
        <v>17.446</v>
      </c>
      <c r="E195" s="39" t="inlineStr">
        <is>
          <t>—</t>
        </is>
      </c>
      <c r="F195" s="42" t="inlineStr">
        <is>
          <t>Descarga sobre una nervadura principal o un tablero del N+3.00; su carga ya viene en el muro de arriba (wall load) de PRINCIPALES.</t>
        </is>
      </c>
    </row>
    <row r="196">
      <c r="B196" s="35" t="inlineStr">
        <is>
          <t>C-y=14.021</t>
        </is>
      </c>
      <c r="C196" s="34" t="n">
        <v>3.427</v>
      </c>
      <c r="D196" s="34" t="n">
        <v>14.021</v>
      </c>
      <c r="E196" s="39" t="inlineStr">
        <is>
          <t>—</t>
        </is>
      </c>
      <c r="F196" s="42" t="inlineStr">
        <is>
          <t>Descarga sobre una nervadura principal o un tablero del N+3.00; su carga ya viene en el muro de arriba (wall load) de PRINCIPALES.</t>
        </is>
      </c>
    </row>
    <row r="197">
      <c r="B197" s="35" t="inlineStr">
        <is>
          <t>C-y=14.796</t>
        </is>
      </c>
      <c r="C197" s="34" t="n">
        <v>3.427</v>
      </c>
      <c r="D197" s="34" t="n">
        <v>14.796</v>
      </c>
      <c r="E197" s="39" t="inlineStr">
        <is>
          <t>—</t>
        </is>
      </c>
      <c r="F197" s="42" t="inlineStr">
        <is>
          <t>Descarga sobre una nervadura principal o un tablero del N+3.00; su carga ya viene en el muro de arriba (wall load) de PRINCIPALES.</t>
        </is>
      </c>
    </row>
    <row r="198">
      <c r="B198" s="35" t="inlineStr">
        <is>
          <t>C-y=15.846</t>
        </is>
      </c>
      <c r="C198" s="34" t="n">
        <v>3.427</v>
      </c>
      <c r="D198" s="34" t="n">
        <v>15.846</v>
      </c>
      <c r="E198" s="39" t="inlineStr">
        <is>
          <t>C8 PROPUESTO</t>
        </is>
      </c>
      <c r="F198" s="42" t="inlineStr">
        <is>
          <t>Se propone bajarlo a cimentación.</t>
        </is>
      </c>
    </row>
    <row r="199">
      <c r="B199" s="35" t="inlineStr">
        <is>
          <t>C-12</t>
        </is>
      </c>
      <c r="C199" s="34" t="n">
        <v>3.429</v>
      </c>
      <c r="D199" s="34" t="n">
        <v>17.446</v>
      </c>
      <c r="E199" s="39" t="inlineStr">
        <is>
          <t>—</t>
        </is>
      </c>
      <c r="F199" s="42" t="inlineStr">
        <is>
          <t>Descarga sobre una nervadura principal o un tablero del N+3.00; su carga ya viene en el muro de arriba (wall load) de PRINCIPALES.</t>
        </is>
      </c>
    </row>
    <row r="200">
      <c r="B200" s="35" t="inlineStr">
        <is>
          <t>x=3.575-3</t>
        </is>
      </c>
      <c r="C200" s="34" t="n">
        <v>3.575</v>
      </c>
      <c r="D200" s="34" t="n">
        <v>2.921</v>
      </c>
      <c r="E200" s="39" t="inlineStr">
        <is>
          <t>—</t>
        </is>
      </c>
      <c r="F200" s="42" t="inlineStr">
        <is>
          <t>Descarga sobre una nervadura principal o un tablero del N+3.00; su carga ya viene en el muro de arriba (wall load) de PRINCIPALES.</t>
        </is>
      </c>
    </row>
    <row r="201">
      <c r="B201" s="35" t="inlineStr">
        <is>
          <t>x=4.327-2</t>
        </is>
      </c>
      <c r="C201" s="34" t="n">
        <v>4.327</v>
      </c>
      <c r="D201" s="34" t="n">
        <v>1.919</v>
      </c>
      <c r="E201" s="39" t="inlineStr">
        <is>
          <t>C1 PROPUESTO</t>
        </is>
      </c>
      <c r="F201" s="42" t="inlineStr">
        <is>
          <t>Se propone bajarlo a cimentación.</t>
        </is>
      </c>
    </row>
    <row r="202">
      <c r="B202" s="35" t="inlineStr">
        <is>
          <t>x=4.327-3</t>
        </is>
      </c>
      <c r="C202" s="34" t="n">
        <v>4.327</v>
      </c>
      <c r="D202" s="34" t="n">
        <v>2.921</v>
      </c>
      <c r="E202" s="39" t="inlineStr">
        <is>
          <t>C2 PROPUESTO</t>
        </is>
      </c>
      <c r="F202" s="42" t="inlineStr">
        <is>
          <t>Se propone bajarlo a cimentación.</t>
        </is>
      </c>
    </row>
    <row r="203">
      <c r="B203" s="35" t="inlineStr">
        <is>
          <t>x=4.327-y=5.046</t>
        </is>
      </c>
      <c r="C203" s="34" t="n">
        <v>4.327</v>
      </c>
      <c r="D203" s="34" t="n">
        <v>5.046</v>
      </c>
      <c r="E203" s="39" t="inlineStr">
        <is>
          <t>—</t>
        </is>
      </c>
      <c r="F203" s="42" t="inlineStr">
        <is>
          <t>Descarga sobre una nervadura principal o un tablero del N+3.00; su carga ya viene en el muro de arriba (wall load) de PRINCIPALES.</t>
        </is>
      </c>
    </row>
    <row r="204">
      <c r="B204" s="35" t="inlineStr">
        <is>
          <t>x=4.327-y=6.996</t>
        </is>
      </c>
      <c r="C204" s="34" t="n">
        <v>4.327</v>
      </c>
      <c r="D204" s="34" t="n">
        <v>6.996</v>
      </c>
      <c r="E204" s="39" t="inlineStr">
        <is>
          <t>—</t>
        </is>
      </c>
      <c r="F204" s="42" t="inlineStr">
        <is>
          <t>Descarga sobre una nervadura principal o un tablero del N+3.00; su carga ya viene en el muro de arriba (wall load) de PRINCIPALES.</t>
        </is>
      </c>
    </row>
    <row r="205">
      <c r="B205" s="35" t="inlineStr">
        <is>
          <t>x=4.327-7</t>
        </is>
      </c>
      <c r="C205" s="34" t="n">
        <v>4.327</v>
      </c>
      <c r="D205" s="34" t="n">
        <v>7.871</v>
      </c>
      <c r="E205" s="39" t="inlineStr">
        <is>
          <t>C4 PROPUESTO</t>
        </is>
      </c>
      <c r="F205" s="42" t="inlineStr">
        <is>
          <t>Se propone bajarlo a cimentación.</t>
        </is>
      </c>
    </row>
    <row r="206">
      <c r="B206" s="35" t="inlineStr">
        <is>
          <t>x=4.327-y=14.021</t>
        </is>
      </c>
      <c r="C206" s="34" t="n">
        <v>4.327</v>
      </c>
      <c r="D206" s="34" t="n">
        <v>14.021</v>
      </c>
      <c r="E206" s="39" t="inlineStr">
        <is>
          <t>C5 PROPUESTO</t>
        </is>
      </c>
      <c r="F206" s="42" t="inlineStr">
        <is>
          <t>Se propone bajarlo a cimentación.</t>
        </is>
      </c>
    </row>
    <row r="207">
      <c r="B207" s="35" t="inlineStr">
        <is>
          <t>D-12</t>
        </is>
      </c>
      <c r="C207" s="34" t="n">
        <v>4.426</v>
      </c>
      <c r="D207" s="34" t="n">
        <v>17.446</v>
      </c>
      <c r="E207" s="39" t="inlineStr">
        <is>
          <t>—</t>
        </is>
      </c>
      <c r="F207" s="42" t="inlineStr">
        <is>
          <t>Descarga sobre una nervadura principal o un tablero del N+3.00; su carga ya viene en el muro de arriba (wall load) de PRINCIPALES.</t>
        </is>
      </c>
    </row>
    <row r="208">
      <c r="B208" s="35" t="inlineStr">
        <is>
          <t>D-13</t>
        </is>
      </c>
      <c r="C208" s="34" t="n">
        <v>4.426</v>
      </c>
      <c r="D208" s="34" t="n">
        <v>19.447</v>
      </c>
      <c r="E208" s="39" t="inlineStr">
        <is>
          <t>—</t>
        </is>
      </c>
      <c r="F208" s="42" t="inlineStr">
        <is>
          <t>Descarga sobre una nervadura principal o un tablero del N+3.00; su carga ya viene en el muro de arriba (wall load) de PRINCIPALES.</t>
        </is>
      </c>
    </row>
    <row r="209">
      <c r="B209" s="35" t="inlineStr">
        <is>
          <t>F-8</t>
        </is>
      </c>
      <c r="C209" s="34" t="n">
        <v>5.422</v>
      </c>
      <c r="D209" s="34" t="n">
        <v>9.949999999999999</v>
      </c>
      <c r="E209" s="39" t="inlineStr">
        <is>
          <t>C6 PROPUESTO</t>
        </is>
      </c>
      <c r="F209" s="42" t="inlineStr">
        <is>
          <t>Se propone bajarlo a cimentación.</t>
        </is>
      </c>
    </row>
    <row r="210">
      <c r="B210" s="35" t="inlineStr">
        <is>
          <t>F-y=11.000</t>
        </is>
      </c>
      <c r="C210" s="34" t="n">
        <v>5.422</v>
      </c>
      <c r="D210" s="34" t="n">
        <v>11</v>
      </c>
      <c r="E210" s="39" t="inlineStr">
        <is>
          <t>—</t>
        </is>
      </c>
      <c r="F210" s="42" t="inlineStr">
        <is>
          <t>Descarga sobre una nervadura principal o un tablero del N+3.00; su carga ya viene en el muro de arriba (wall load) de PRINCIPALES.</t>
        </is>
      </c>
    </row>
    <row r="211">
      <c r="B211" s="35" t="inlineStr">
        <is>
          <t>F-y=14.872</t>
        </is>
      </c>
      <c r="C211" s="34" t="n">
        <v>5.422</v>
      </c>
      <c r="D211" s="34" t="n">
        <v>14.872</v>
      </c>
      <c r="E211" s="39" t="inlineStr">
        <is>
          <t>—</t>
        </is>
      </c>
      <c r="F211" s="42" t="inlineStr">
        <is>
          <t>Descarga sobre una nervadura principal o un tablero del N+3.00; su carga ya viene en el muro de arriba (wall load) de PRINCIPALES.</t>
        </is>
      </c>
    </row>
    <row r="212">
      <c r="B212" s="35" t="inlineStr">
        <is>
          <t>F-y=15.846</t>
        </is>
      </c>
      <c r="C212" s="34" t="n">
        <v>5.422</v>
      </c>
      <c r="D212" s="34" t="n">
        <v>15.846</v>
      </c>
      <c r="E212" s="39" t="inlineStr">
        <is>
          <t>—</t>
        </is>
      </c>
      <c r="F212" s="42" t="inlineStr">
        <is>
          <t>Descarga sobre una nervadura principal o un tablero del N+3.00; su carga ya viene en el muro de arriba (wall load) de PRINCIPALES.</t>
        </is>
      </c>
    </row>
    <row r="213">
      <c r="B213" s="35" t="inlineStr">
        <is>
          <t>x=5.822-y=15.846</t>
        </is>
      </c>
      <c r="C213" s="34" t="n">
        <v>5.822</v>
      </c>
      <c r="D213" s="34" t="n">
        <v>15.846</v>
      </c>
      <c r="E213" s="39" t="inlineStr">
        <is>
          <t>—</t>
        </is>
      </c>
      <c r="F213" s="42" t="inlineStr">
        <is>
          <t>Descarga sobre una nervadura principal o un tablero del N+3.00; su carga ya viene en el muro de arriba (wall load) de PRINCIPALES.</t>
        </is>
      </c>
    </row>
    <row r="214">
      <c r="B214" s="35" t="inlineStr">
        <is>
          <t>G-3</t>
        </is>
      </c>
      <c r="C214" s="34" t="n">
        <v>5.923</v>
      </c>
      <c r="D214" s="34" t="n">
        <v>2.921</v>
      </c>
      <c r="E214" s="39" t="inlineStr">
        <is>
          <t>C3 PROPUESTO</t>
        </is>
      </c>
      <c r="F214" s="42" t="inlineStr">
        <is>
          <t>Se propone bajarlo a cimentación.</t>
        </is>
      </c>
    </row>
    <row r="215">
      <c r="B215" s="35" t="inlineStr">
        <is>
          <t>G-y=4.433</t>
        </is>
      </c>
      <c r="C215" s="34" t="n">
        <v>5.923</v>
      </c>
      <c r="D215" s="34" t="n">
        <v>4.433</v>
      </c>
      <c r="E215" s="39" t="inlineStr">
        <is>
          <t>—</t>
        </is>
      </c>
      <c r="F215" s="42" t="inlineStr">
        <is>
          <t>Descarga sobre una nervadura principal o un tablero del N+3.00; su carga ya viene en el muro de arriba (wall load) de PRINCIPALES.</t>
        </is>
      </c>
    </row>
    <row r="216">
      <c r="B216" s="35" t="inlineStr">
        <is>
          <t>x=6.247-y=14.247</t>
        </is>
      </c>
      <c r="C216" s="34" t="n">
        <v>6.247</v>
      </c>
      <c r="D216" s="34" t="n">
        <v>14.247</v>
      </c>
      <c r="E216" s="39" t="inlineStr">
        <is>
          <t>—</t>
        </is>
      </c>
      <c r="F216" s="42" t="inlineStr">
        <is>
          <t>Descarga sobre una nervadura principal o un tablero del N+3.00; su carga ya viene en el muro de arriba (wall load) de PRINCIPALES.</t>
        </is>
      </c>
    </row>
    <row r="217">
      <c r="B217" s="35" t="inlineStr">
        <is>
          <t>x=6.280-8</t>
        </is>
      </c>
      <c r="C217" s="34" t="n">
        <v>6.28</v>
      </c>
      <c r="D217" s="34" t="n">
        <v>9.949999999999999</v>
      </c>
      <c r="E217" s="39" t="inlineStr">
        <is>
          <t>—</t>
        </is>
      </c>
      <c r="F217" s="42" t="inlineStr">
        <is>
          <t>Descarga sobre una nervadura principal o un tablero del N+3.00; su carga ya viene en el muro de arriba (wall load) de PRINCIPALES.</t>
        </is>
      </c>
    </row>
    <row r="218">
      <c r="B218" s="35" t="inlineStr">
        <is>
          <t>x=7.336-y=15.846</t>
        </is>
      </c>
      <c r="C218" s="34" t="n">
        <v>7.336</v>
      </c>
      <c r="D218" s="34" t="n">
        <v>15.846</v>
      </c>
      <c r="E218" s="39" t="inlineStr">
        <is>
          <t>—</t>
        </is>
      </c>
      <c r="F218" s="42" t="inlineStr">
        <is>
          <t>Descarga sobre una nervadura principal o un tablero del N+3.00; su carga ya viene en el muro de arriba (wall load) de PRINCIPALES.</t>
        </is>
      </c>
    </row>
    <row r="219">
      <c r="B219" s="35" t="inlineStr">
        <is>
          <t>x=7.850-8</t>
        </is>
      </c>
      <c r="C219" s="34" t="n">
        <v>7.85</v>
      </c>
      <c r="D219" s="34" t="n">
        <v>9.949999999999999</v>
      </c>
      <c r="E219" s="39" t="inlineStr">
        <is>
          <t>—</t>
        </is>
      </c>
      <c r="F219" s="42" t="inlineStr">
        <is>
          <t>Descarga sobre una nervadura principal o un tablero del N+3.00; su carga ya viene en el muro de arriba (wall load) de PRINCIPALES.</t>
        </is>
      </c>
    </row>
  </sheetData>
  <mergeCells count="75">
    <mergeCell ref="B173:I173"/>
    <mergeCell ref="H20:I20"/>
    <mergeCell ref="F211:I211"/>
    <mergeCell ref="B7:I7"/>
    <mergeCell ref="F210:I210"/>
    <mergeCell ref="F195:I195"/>
    <mergeCell ref="B27:I27"/>
    <mergeCell ref="B184:I184"/>
    <mergeCell ref="B180:I180"/>
    <mergeCell ref="F216:I216"/>
    <mergeCell ref="B12:I12"/>
    <mergeCell ref="F207:I207"/>
    <mergeCell ref="H21:I21"/>
    <mergeCell ref="B176:I176"/>
    <mergeCell ref="F197:I197"/>
    <mergeCell ref="B11:I11"/>
    <mergeCell ref="F206:I206"/>
    <mergeCell ref="B2:I2"/>
    <mergeCell ref="F191:I191"/>
    <mergeCell ref="F218:I218"/>
    <mergeCell ref="B14:I14"/>
    <mergeCell ref="F205:I205"/>
    <mergeCell ref="B181:I181"/>
    <mergeCell ref="F196:I196"/>
    <mergeCell ref="B1:I1"/>
    <mergeCell ref="B8:I8"/>
    <mergeCell ref="B170:I170"/>
    <mergeCell ref="F212:I212"/>
    <mergeCell ref="B179:I179"/>
    <mergeCell ref="H17:I17"/>
    <mergeCell ref="B175:I175"/>
    <mergeCell ref="F202:I202"/>
    <mergeCell ref="F193:I193"/>
    <mergeCell ref="B171:I171"/>
    <mergeCell ref="F199:I199"/>
    <mergeCell ref="F208:I208"/>
    <mergeCell ref="F217:I217"/>
    <mergeCell ref="H16:I16"/>
    <mergeCell ref="B182:I182"/>
    <mergeCell ref="B178:I178"/>
    <mergeCell ref="F192:I192"/>
    <mergeCell ref="B172:I172"/>
    <mergeCell ref="B10:I10"/>
    <mergeCell ref="B174:I174"/>
    <mergeCell ref="B168:I168"/>
    <mergeCell ref="F201:I201"/>
    <mergeCell ref="H19:I19"/>
    <mergeCell ref="F214:I214"/>
    <mergeCell ref="B186:I186"/>
    <mergeCell ref="H22:I22"/>
    <mergeCell ref="F213:I213"/>
    <mergeCell ref="F189:I189"/>
    <mergeCell ref="F204:I204"/>
    <mergeCell ref="B158:I158"/>
    <mergeCell ref="F198:I198"/>
    <mergeCell ref="B9:I9"/>
    <mergeCell ref="B187:I187"/>
    <mergeCell ref="F194:I194"/>
    <mergeCell ref="B183:I183"/>
    <mergeCell ref="F203:I203"/>
    <mergeCell ref="B177:I177"/>
    <mergeCell ref="B15:I15"/>
    <mergeCell ref="F219:I219"/>
    <mergeCell ref="B6:I6"/>
    <mergeCell ref="H24:I24"/>
    <mergeCell ref="F215:I215"/>
    <mergeCell ref="H18:I18"/>
    <mergeCell ref="F200:I200"/>
    <mergeCell ref="B169:I169"/>
    <mergeCell ref="B5:I5"/>
    <mergeCell ref="H23:I23"/>
    <mergeCell ref="F209:I209"/>
    <mergeCell ref="F190:I190"/>
    <mergeCell ref="B4:I4"/>
    <mergeCell ref="B26:I26"/>
  </mergeCells>
  <conditionalFormatting sqref="B14:I220">
    <cfRule type="expression" priority="1" dxfId="0" stopIfTrue="1">
      <formula>OR(ISNUMBER(FIND("NO CUMPLE",B14)),ISNUMBER(FIND("REVISAR",B14)),ISNUMBER(FIND("NO CABE",B14)),ISNUMBER(FIND("FUERA",B14)),ISNUMBER(FIND("SIN APOYO",B14)),ISNUMBER(FIND("INSUFICIENTE",B14)))</formula>
    </cfRule>
    <cfRule type="expression" priority="2" dxfId="1" stopIfTrue="1">
      <formula>OR(ISNUMBER(FIND("CUMPLE",B14)),ISNUMBER(FIND("SÍ aplica",B14)),ISNUMBER(FIND("MANDA",B14)))</formula>
    </cfRule>
    <cfRule type="expression" priority="3" dxfId="2" stopIfTrue="1">
      <formula>OR(ISNUMBER(FIND("MACIZAR",B14)),ISNUMBER(FIND("VOLADO",B14)),ISNUMBER(FIND("PROPUESTO",B14)),ISNUMBER(FIND("VER ",B14)))</formula>
    </cfRule>
  </conditionalFormatting>
  <dataValidations count="136">
    <dataValidation sqref="C17" showDropDown="0" showInputMessage="0" showErrorMessage="0" allowBlank="0" errorTitle="Valor no válido" error="Escoge un valor de la lista" type="list">
      <formula1>"SÍ,NO"</formula1>
    </dataValidation>
    <dataValidation sqref="C18" showDropDown="0" showInputMessage="0" showErrorMessage="0" allowBlank="0" errorTitle="Valor no válido" error="Escoge un valor de la lista" type="list">
      <formula1>"SÍ,NO"</formula1>
    </dataValidation>
    <dataValidation sqref="C19" showDropDown="0" showInputMessage="0" showErrorMessage="0" allowBlank="0" errorTitle="Valor no válido" error="Escoge un valor de la lista" type="list">
      <formula1>"SÍ,NO"</formula1>
    </dataValidation>
    <dataValidation sqref="C20" showDropDown="0" showInputMessage="0" showErrorMessage="0" allowBlank="0" errorTitle="Valor no válido" error="Escoge un valor de la lista" type="list">
      <formula1>"SÍ,NO"</formula1>
    </dataValidation>
    <dataValidation sqref="C21" showDropDown="0" showInputMessage="0" showErrorMessage="0" allowBlank="0" errorTitle="Valor no válido" error="Escoge un valor de la lista" type="list">
      <formula1>"SÍ,NO"</formula1>
    </dataValidation>
    <dataValidation sqref="C22"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24" showDropDown="0" showInputMessage="0" showErrorMessage="0" allowBlank="0" errorTitle="Valor no válido" error="Escoge un valor de la lista" type="list">
      <formula1>"SÍ,NO"</formula1>
    </dataValidation>
    <dataValidation sqref="G29" showDropDown="0" showInputMessage="0" showErrorMessage="0" allowBlank="0" errorTitle="Valor no válido" error="Escoge un valor de la lista" type="list">
      <formula1>"CONTINUO,DISCONTINUO"</formula1>
    </dataValidation>
    <dataValidation sqref="G30" showDropDown="0" showInputMessage="0" showErrorMessage="0" allowBlank="0" errorTitle="Valor no válido" error="Escoge un valor de la lista" type="list">
      <formula1>"CONTINUO,DISCONTINUO"</formula1>
    </dataValidation>
    <dataValidation sqref="G31" showDropDown="0" showInputMessage="0" showErrorMessage="0" allowBlank="0" errorTitle="Valor no válido" error="Escoge un valor de la lista" type="list">
      <formula1>"CONTINUO,DISCONTINUO"</formula1>
    </dataValidation>
    <dataValidation sqref="G32" showDropDown="0" showInputMessage="0" showErrorMessage="0" allowBlank="0" errorTitle="Valor no válido" error="Escoge un valor de la lista" type="list">
      <formula1>"CONTINUO,DISCONTINUO"</formula1>
    </dataValidation>
    <dataValidation sqref="G33" showDropDown="0" showInputMessage="0" showErrorMessage="0" allowBlank="0" errorTitle="Valor no válido" error="Escoge un valor de la lista" type="list">
      <formula1>"CONTINUO,DISCONTINUO"</formula1>
    </dataValidation>
    <dataValidation sqref="G34" showDropDown="0" showInputMessage="0" showErrorMessage="0" allowBlank="0" errorTitle="Valor no válido" error="Escoge un valor de la lista" type="list">
      <formula1>"CONTINUO,DISCONTINUO"</formula1>
    </dataValidation>
    <dataValidation sqref="G35" showDropDown="0" showInputMessage="0" showErrorMessage="0" allowBlank="0" errorTitle="Valor no válido" error="Escoge un valor de la lista" type="list">
      <formula1>"CONTINUO,DISCONTINUO"</formula1>
    </dataValidation>
    <dataValidation sqref="G36" showDropDown="0" showInputMessage="0" showErrorMessage="0" allowBlank="0" errorTitle="Valor no válido" error="Escoge un valor de la lista" type="list">
      <formula1>"CONTINUO,DISCONTINUO"</formula1>
    </dataValidation>
    <dataValidation sqref="G37" showDropDown="0" showInputMessage="0" showErrorMessage="0" allowBlank="0" errorTitle="Valor no válido" error="Escoge un valor de la lista" type="list">
      <formula1>"CONTINUO,DISCONTINUO"</formula1>
    </dataValidation>
    <dataValidation sqref="G38" showDropDown="0" showInputMessage="0" showErrorMessage="0" allowBlank="0" errorTitle="Valor no válido" error="Escoge un valor de la lista" type="list">
      <formula1>"CONTINUO,DISCONTINUO"</formula1>
    </dataValidation>
    <dataValidation sqref="G39" showDropDown="0" showInputMessage="0" showErrorMessage="0" allowBlank="0" errorTitle="Valor no válido" error="Escoge un valor de la lista" type="list">
      <formula1>"CONTINUO,DISCONTINUO"</formula1>
    </dataValidation>
    <dataValidation sqref="G40" showDropDown="0" showInputMessage="0" showErrorMessage="0" allowBlank="0" errorTitle="Valor no válido" error="Escoge un valor de la lista" type="list">
      <formula1>"CONTINUO,DISCONTINUO"</formula1>
    </dataValidation>
    <dataValidation sqref="G41" showDropDown="0" showInputMessage="0" showErrorMessage="0" allowBlank="0" errorTitle="Valor no válido" error="Escoge un valor de la lista" type="list">
      <formula1>"CONTINUO,DISCONTINUO"</formula1>
    </dataValidation>
    <dataValidation sqref="G42" showDropDown="0" showInputMessage="0" showErrorMessage="0" allowBlank="0" errorTitle="Valor no válido" error="Escoge un valor de la lista" type="list">
      <formula1>"CONTINUO,DISCONTINUO"</formula1>
    </dataValidation>
    <dataValidation sqref="G43" showDropDown="0" showInputMessage="0" showErrorMessage="0" allowBlank="0" errorTitle="Valor no válido" error="Escoge un valor de la lista" type="list">
      <formula1>"CONTINUO,DISCONTINUO"</formula1>
    </dataValidation>
    <dataValidation sqref="G44" showDropDown="0" showInputMessage="0" showErrorMessage="0" allowBlank="0" errorTitle="Valor no válido" error="Escoge un valor de la lista" type="list">
      <formula1>"CONTINUO,DISCONTINUO"</formula1>
    </dataValidation>
    <dataValidation sqref="G45" showDropDown="0" showInputMessage="0" showErrorMessage="0" allowBlank="0" errorTitle="Valor no válido" error="Escoge un valor de la lista" type="list">
      <formula1>"CONTINUO,DISCONTINUO"</formula1>
    </dataValidation>
    <dataValidation sqref="G46" showDropDown="0" showInputMessage="0" showErrorMessage="0" allowBlank="0" errorTitle="Valor no válido" error="Escoge un valor de la lista" type="list">
      <formula1>"CONTINUO,DISCONTINUO"</formula1>
    </dataValidation>
    <dataValidation sqref="G47" showDropDown="0" showInputMessage="0" showErrorMessage="0" allowBlank="0" errorTitle="Valor no válido" error="Escoge un valor de la lista" type="list">
      <formula1>"CONTINUO,DISCONTINUO"</formula1>
    </dataValidation>
    <dataValidation sqref="G48" showDropDown="0" showInputMessage="0" showErrorMessage="0" allowBlank="0" errorTitle="Valor no válido" error="Escoge un valor de la lista" type="list">
      <formula1>"CONTINUO,DISCONTINUO"</formula1>
    </dataValidation>
    <dataValidation sqref="G49" showDropDown="0" showInputMessage="0" showErrorMessage="0" allowBlank="0" errorTitle="Valor no válido" error="Escoge un valor de la lista" type="list">
      <formula1>"CONTINUO,DISCONTINUO"</formula1>
    </dataValidation>
    <dataValidation sqref="G50" showDropDown="0" showInputMessage="0" showErrorMessage="0" allowBlank="0" errorTitle="Valor no válido" error="Escoge un valor de la lista" type="list">
      <formula1>"CONTINUO,DISCONTINUO"</formula1>
    </dataValidation>
    <dataValidation sqref="G51" showDropDown="0" showInputMessage="0" showErrorMessage="0" allowBlank="0" errorTitle="Valor no válido" error="Escoge un valor de la lista" type="list">
      <formula1>"CONTINUO,DISCONTINUO"</formula1>
    </dataValidation>
    <dataValidation sqref="G52" showDropDown="0" showInputMessage="0" showErrorMessage="0" allowBlank="0" errorTitle="Valor no válido" error="Escoge un valor de la lista" type="list">
      <formula1>"CONTINUO,DISCONTINUO"</formula1>
    </dataValidation>
    <dataValidation sqref="G53" showDropDown="0" showInputMessage="0" showErrorMessage="0" allowBlank="0" errorTitle="Valor no válido" error="Escoge un valor de la lista" type="list">
      <formula1>"CONTINUO,DISCONTINUO"</formula1>
    </dataValidation>
    <dataValidation sqref="G54" showDropDown="0" showInputMessage="0" showErrorMessage="0" allowBlank="0" errorTitle="Valor no válido" error="Escoge un valor de la lista" type="list">
      <formula1>"CONTINUO,DISCONTINUO"</formula1>
    </dataValidation>
    <dataValidation sqref="G55" showDropDown="0" showInputMessage="0" showErrorMessage="0" allowBlank="0" errorTitle="Valor no válido" error="Escoge un valor de la lista" type="list">
      <formula1>"CONTINUO,DISCONTINUO"</formula1>
    </dataValidation>
    <dataValidation sqref="G56" showDropDown="0" showInputMessage="0" showErrorMessage="0" allowBlank="0" errorTitle="Valor no válido" error="Escoge un valor de la lista" type="list">
      <formula1>"CONTINUO,DISCONTINUO"</formula1>
    </dataValidation>
    <dataValidation sqref="G57" showDropDown="0" showInputMessage="0" showErrorMessage="0" allowBlank="0" errorTitle="Valor no válido" error="Escoge un valor de la lista" type="list">
      <formula1>"CONTINUO,DISCONTINUO"</formula1>
    </dataValidation>
    <dataValidation sqref="G58" showDropDown="0" showInputMessage="0" showErrorMessage="0" allowBlank="0" errorTitle="Valor no válido" error="Escoge un valor de la lista" type="list">
      <formula1>"CONTINUO,DISCONTINUO"</formula1>
    </dataValidation>
    <dataValidation sqref="G59" showDropDown="0" showInputMessage="0" showErrorMessage="0" allowBlank="0" errorTitle="Valor no válido" error="Escoge un valor de la lista" type="list">
      <formula1>"CONTINUO,DISCONTINUO"</formula1>
    </dataValidation>
    <dataValidation sqref="G60" showDropDown="0" showInputMessage="0" showErrorMessage="0" allowBlank="0" errorTitle="Valor no válido" error="Escoge un valor de la lista" type="list">
      <formula1>"CONTINUO,DISCONTINUO"</formula1>
    </dataValidation>
    <dataValidation sqref="G61" showDropDown="0" showInputMessage="0" showErrorMessage="0" allowBlank="0" errorTitle="Valor no válido" error="Escoge un valor de la lista" type="list">
      <formula1>"CONTINUO,DISCONTINUO"</formula1>
    </dataValidation>
    <dataValidation sqref="G62" showDropDown="0" showInputMessage="0" showErrorMessage="0" allowBlank="0" errorTitle="Valor no válido" error="Escoge un valor de la lista" type="list">
      <formula1>"CONTINUO,DISCONTINUO"</formula1>
    </dataValidation>
    <dataValidation sqref="G63" showDropDown="0" showInputMessage="0" showErrorMessage="0" allowBlank="0" errorTitle="Valor no válido" error="Escoge un valor de la lista" type="list">
      <formula1>"CONTINUO,DISCONTINUO"</formula1>
    </dataValidation>
    <dataValidation sqref="G64" showDropDown="0" showInputMessage="0" showErrorMessage="0" allowBlank="0" errorTitle="Valor no válido" error="Escoge un valor de la lista" type="list">
      <formula1>"CONTINUO,DISCONTINUO"</formula1>
    </dataValidation>
    <dataValidation sqref="G65" showDropDown="0" showInputMessage="0" showErrorMessage="0" allowBlank="0" errorTitle="Valor no válido" error="Escoge un valor de la lista" type="list">
      <formula1>"CONTINUO,DISCONTINUO"</formula1>
    </dataValidation>
    <dataValidation sqref="G66" showDropDown="0" showInputMessage="0" showErrorMessage="0" allowBlank="0" errorTitle="Valor no válido" error="Escoge un valor de la lista" type="list">
      <formula1>"CONTINUO,DISCONTINUO"</formula1>
    </dataValidation>
    <dataValidation sqref="G67" showDropDown="0" showInputMessage="0" showErrorMessage="0" allowBlank="0" errorTitle="Valor no válido" error="Escoge un valor de la lista" type="list">
      <formula1>"CONTINUO,DISCONTINUO"</formula1>
    </dataValidation>
    <dataValidation sqref="G68" showDropDown="0" showInputMessage="0" showErrorMessage="0" allowBlank="0" errorTitle="Valor no válido" error="Escoge un valor de la lista" type="list">
      <formula1>"CONTINUO,DISCONTINUO"</formula1>
    </dataValidation>
    <dataValidation sqref="G69" showDropDown="0" showInputMessage="0" showErrorMessage="0" allowBlank="0" errorTitle="Valor no válido" error="Escoge un valor de la lista" type="list">
      <formula1>"CONTINUO,DISCONTINUO"</formula1>
    </dataValidation>
    <dataValidation sqref="G70" showDropDown="0" showInputMessage="0" showErrorMessage="0" allowBlank="0" errorTitle="Valor no válido" error="Escoge un valor de la lista" type="list">
      <formula1>"CONTINUO,DISCONTINUO"</formula1>
    </dataValidation>
    <dataValidation sqref="G71" showDropDown="0" showInputMessage="0" showErrorMessage="0" allowBlank="0" errorTitle="Valor no válido" error="Escoge un valor de la lista" type="list">
      <formula1>"CONTINUO,DISCONTINUO"</formula1>
    </dataValidation>
    <dataValidation sqref="G72" showDropDown="0" showInputMessage="0" showErrorMessage="0" allowBlank="0" errorTitle="Valor no válido" error="Escoge un valor de la lista" type="list">
      <formula1>"CONTINUO,DISCONTINUO"</formula1>
    </dataValidation>
    <dataValidation sqref="G73" showDropDown="0" showInputMessage="0" showErrorMessage="0" allowBlank="0" errorTitle="Valor no válido" error="Escoge un valor de la lista" type="list">
      <formula1>"CONTINUO,DISCONTINUO"</formula1>
    </dataValidation>
    <dataValidation sqref="G74" showDropDown="0" showInputMessage="0" showErrorMessage="0" allowBlank="0" errorTitle="Valor no válido" error="Escoge un valor de la lista" type="list">
      <formula1>"CONTINUO,DISCONTINUO"</formula1>
    </dataValidation>
    <dataValidation sqref="G75" showDropDown="0" showInputMessage="0" showErrorMessage="0" allowBlank="0" errorTitle="Valor no válido" error="Escoge un valor de la lista" type="list">
      <formula1>"CONTINUO,DISCONTINUO"</formula1>
    </dataValidation>
    <dataValidation sqref="G76" showDropDown="0" showInputMessage="0" showErrorMessage="0" allowBlank="0" errorTitle="Valor no válido" error="Escoge un valor de la lista" type="list">
      <formula1>"CONTINUO,DISCONTINUO"</formula1>
    </dataValidation>
    <dataValidation sqref="G77" showDropDown="0" showInputMessage="0" showErrorMessage="0" allowBlank="0" errorTitle="Valor no válido" error="Escoge un valor de la lista" type="list">
      <formula1>"CONTINUO,DISCONTINUO"</formula1>
    </dataValidation>
    <dataValidation sqref="G78" showDropDown="0" showInputMessage="0" showErrorMessage="0" allowBlank="0" errorTitle="Valor no válido" error="Escoge un valor de la lista" type="list">
      <formula1>"CONTINUO,DISCONTINUO"</formula1>
    </dataValidation>
    <dataValidation sqref="G79" showDropDown="0" showInputMessage="0" showErrorMessage="0" allowBlank="0" errorTitle="Valor no válido" error="Escoge un valor de la lista" type="list">
      <formula1>"CONTINUO,DISCONTINUO"</formula1>
    </dataValidation>
    <dataValidation sqref="G80" showDropDown="0" showInputMessage="0" showErrorMessage="0" allowBlank="0" errorTitle="Valor no válido" error="Escoge un valor de la lista" type="list">
      <formula1>"CONTINUO,DISCONTINUO"</formula1>
    </dataValidation>
    <dataValidation sqref="G81" showDropDown="0" showInputMessage="0" showErrorMessage="0" allowBlank="0" errorTitle="Valor no válido" error="Escoge un valor de la lista" type="list">
      <formula1>"CONTINUO,DISCONTINUO"</formula1>
    </dataValidation>
    <dataValidation sqref="G82" showDropDown="0" showInputMessage="0" showErrorMessage="0" allowBlank="0" errorTitle="Valor no válido" error="Escoge un valor de la lista" type="list">
      <formula1>"CONTINUO,DISCONTINUO"</formula1>
    </dataValidation>
    <dataValidation sqref="G83" showDropDown="0" showInputMessage="0" showErrorMessage="0" allowBlank="0" errorTitle="Valor no válido" error="Escoge un valor de la lista" type="list">
      <formula1>"CONTINUO,DISCONTINUO"</formula1>
    </dataValidation>
    <dataValidation sqref="G84" showDropDown="0" showInputMessage="0" showErrorMessage="0" allowBlank="0" errorTitle="Valor no válido" error="Escoge un valor de la lista" type="list">
      <formula1>"CONTINUO,DISCONTINUO"</formula1>
    </dataValidation>
    <dataValidation sqref="G85" showDropDown="0" showInputMessage="0" showErrorMessage="0" allowBlank="0" errorTitle="Valor no válido" error="Escoge un valor de la lista" type="list">
      <formula1>"CONTINUO,DISCONTINUO"</formula1>
    </dataValidation>
    <dataValidation sqref="G86" showDropDown="0" showInputMessage="0" showErrorMessage="0" allowBlank="0" errorTitle="Valor no válido" error="Escoge un valor de la lista" type="list">
      <formula1>"CONTINUO,DISCONTINUO"</formula1>
    </dataValidation>
    <dataValidation sqref="G87" showDropDown="0" showInputMessage="0" showErrorMessage="0" allowBlank="0" errorTitle="Valor no válido" error="Escoge un valor de la lista" type="list">
      <formula1>"CONTINUO,DISCONTINUO"</formula1>
    </dataValidation>
    <dataValidation sqref="G88" showDropDown="0" showInputMessage="0" showErrorMessage="0" allowBlank="0" errorTitle="Valor no válido" error="Escoge un valor de la lista" type="list">
      <formula1>"CONTINUO,DISCONTINUO"</formula1>
    </dataValidation>
    <dataValidation sqref="G89" showDropDown="0" showInputMessage="0" showErrorMessage="0" allowBlank="0" errorTitle="Valor no válido" error="Escoge un valor de la lista" type="list">
      <formula1>"CONTINUO,DISCONTINUO"</formula1>
    </dataValidation>
    <dataValidation sqref="G90" showDropDown="0" showInputMessage="0" showErrorMessage="0" allowBlank="0" errorTitle="Valor no válido" error="Escoge un valor de la lista" type="list">
      <formula1>"CONTINUO,DISCONTINUO"</formula1>
    </dataValidation>
    <dataValidation sqref="G91" showDropDown="0" showInputMessage="0" showErrorMessage="0" allowBlank="0" errorTitle="Valor no válido" error="Escoge un valor de la lista" type="list">
      <formula1>"CONTINUO,DISCONTINUO"</formula1>
    </dataValidation>
    <dataValidation sqref="G92" showDropDown="0" showInputMessage="0" showErrorMessage="0" allowBlank="0" errorTitle="Valor no válido" error="Escoge un valor de la lista" type="list">
      <formula1>"CONTINUO,DISCONTINUO"</formula1>
    </dataValidation>
    <dataValidation sqref="G93" showDropDown="0" showInputMessage="0" showErrorMessage="0" allowBlank="0" errorTitle="Valor no válido" error="Escoge un valor de la lista" type="list">
      <formula1>"CONTINUO,DISCONTINUO"</formula1>
    </dataValidation>
    <dataValidation sqref="G94" showDropDown="0" showInputMessage="0" showErrorMessage="0" allowBlank="0" errorTitle="Valor no válido" error="Escoge un valor de la lista" type="list">
      <formula1>"CONTINUO,DISCONTINUO"</formula1>
    </dataValidation>
    <dataValidation sqref="G95" showDropDown="0" showInputMessage="0" showErrorMessage="0" allowBlank="0" errorTitle="Valor no válido" error="Escoge un valor de la lista" type="list">
      <formula1>"CONTINUO,DISCONTINUO"</formula1>
    </dataValidation>
    <dataValidation sqref="G96" showDropDown="0" showInputMessage="0" showErrorMessage="0" allowBlank="0" errorTitle="Valor no válido" error="Escoge un valor de la lista" type="list">
      <formula1>"CONTINUO,DISCONTINUO"</formula1>
    </dataValidation>
    <dataValidation sqref="G97" showDropDown="0" showInputMessage="0" showErrorMessage="0" allowBlank="0" errorTitle="Valor no válido" error="Escoge un valor de la lista" type="list">
      <formula1>"CONTINUO,DISCONTINUO"</formula1>
    </dataValidation>
    <dataValidation sqref="G98" showDropDown="0" showInputMessage="0" showErrorMessage="0" allowBlank="0" errorTitle="Valor no válido" error="Escoge un valor de la lista" type="list">
      <formula1>"CONTINUO,DISCONTINUO"</formula1>
    </dataValidation>
    <dataValidation sqref="G99" showDropDown="0" showInputMessage="0" showErrorMessage="0" allowBlank="0" errorTitle="Valor no válido" error="Escoge un valor de la lista" type="list">
      <formula1>"CONTINUO,DISCONTINUO"</formula1>
    </dataValidation>
    <dataValidation sqref="G100" showDropDown="0" showInputMessage="0" showErrorMessage="0" allowBlank="0" errorTitle="Valor no válido" error="Escoge un valor de la lista" type="list">
      <formula1>"CONTINUO,DISCONTINUO"</formula1>
    </dataValidation>
    <dataValidation sqref="G101" showDropDown="0" showInputMessage="0" showErrorMessage="0" allowBlank="0" errorTitle="Valor no válido" error="Escoge un valor de la lista" type="list">
      <formula1>"CONTINUO,DISCONTINUO"</formula1>
    </dataValidation>
    <dataValidation sqref="G102" showDropDown="0" showInputMessage="0" showErrorMessage="0" allowBlank="0" errorTitle="Valor no válido" error="Escoge un valor de la lista" type="list">
      <formula1>"CONTINUO,DISCONTINUO"</formula1>
    </dataValidation>
    <dataValidation sqref="G103" showDropDown="0" showInputMessage="0" showErrorMessage="0" allowBlank="0" errorTitle="Valor no válido" error="Escoge un valor de la lista" type="list">
      <formula1>"CONTINUO,DISCONTINUO"</formula1>
    </dataValidation>
    <dataValidation sqref="G104" showDropDown="0" showInputMessage="0" showErrorMessage="0" allowBlank="0" errorTitle="Valor no válido" error="Escoge un valor de la lista" type="list">
      <formula1>"CONTINUO,DISCONTINUO"</formula1>
    </dataValidation>
    <dataValidation sqref="G105" showDropDown="0" showInputMessage="0" showErrorMessage="0" allowBlank="0" errorTitle="Valor no válido" error="Escoge un valor de la lista" type="list">
      <formula1>"CONTINUO,DISCONTINUO"</formula1>
    </dataValidation>
    <dataValidation sqref="G106" showDropDown="0" showInputMessage="0" showErrorMessage="0" allowBlank="0" errorTitle="Valor no válido" error="Escoge un valor de la lista" type="list">
      <formula1>"CONTINUO,DISCONTINUO"</formula1>
    </dataValidation>
    <dataValidation sqref="G107" showDropDown="0" showInputMessage="0" showErrorMessage="0" allowBlank="0" errorTitle="Valor no válido" error="Escoge un valor de la lista" type="list">
      <formula1>"CONTINUO,DISCONTINUO"</formula1>
    </dataValidation>
    <dataValidation sqref="G108" showDropDown="0" showInputMessage="0" showErrorMessage="0" allowBlank="0" errorTitle="Valor no válido" error="Escoge un valor de la lista" type="list">
      <formula1>"CONTINUO,DISCONTINUO"</formula1>
    </dataValidation>
    <dataValidation sqref="G109" showDropDown="0" showInputMessage="0" showErrorMessage="0" allowBlank="0" errorTitle="Valor no válido" error="Escoge un valor de la lista" type="list">
      <formula1>"CONTINUO,DISCONTINUO"</formula1>
    </dataValidation>
    <dataValidation sqref="G110" showDropDown="0" showInputMessage="0" showErrorMessage="0" allowBlank="0" errorTitle="Valor no válido" error="Escoge un valor de la lista" type="list">
      <formula1>"CONTINUO,DISCONTINUO"</formula1>
    </dataValidation>
    <dataValidation sqref="G111" showDropDown="0" showInputMessage="0" showErrorMessage="0" allowBlank="0" errorTitle="Valor no válido" error="Escoge un valor de la lista" type="list">
      <formula1>"CONTINUO,DISCONTINUO"</formula1>
    </dataValidation>
    <dataValidation sqref="G112" showDropDown="0" showInputMessage="0" showErrorMessage="0" allowBlank="0" errorTitle="Valor no válido" error="Escoge un valor de la lista" type="list">
      <formula1>"CONTINUO,DISCONTINUO"</formula1>
    </dataValidation>
    <dataValidation sqref="G113" showDropDown="0" showInputMessage="0" showErrorMessage="0" allowBlank="0" errorTitle="Valor no válido" error="Escoge un valor de la lista" type="list">
      <formula1>"CONTINUO,DISCONTINUO"</formula1>
    </dataValidation>
    <dataValidation sqref="G114" showDropDown="0" showInputMessage="0" showErrorMessage="0" allowBlank="0" errorTitle="Valor no válido" error="Escoge un valor de la lista" type="list">
      <formula1>"CONTINUO,DISCONTINUO"</formula1>
    </dataValidation>
    <dataValidation sqref="G115" showDropDown="0" showInputMessage="0" showErrorMessage="0" allowBlank="0" errorTitle="Valor no válido" error="Escoge un valor de la lista" type="list">
      <formula1>"CONTINUO,DISCONTINUO"</formula1>
    </dataValidation>
    <dataValidation sqref="G116" showDropDown="0" showInputMessage="0" showErrorMessage="0" allowBlank="0" errorTitle="Valor no válido" error="Escoge un valor de la lista" type="list">
      <formula1>"CONTINUO,DISCONTINUO"</formula1>
    </dataValidation>
    <dataValidation sqref="G117" showDropDown="0" showInputMessage="0" showErrorMessage="0" allowBlank="0" errorTitle="Valor no válido" error="Escoge un valor de la lista" type="list">
      <formula1>"CONTINUO,DISCONTINUO"</formula1>
    </dataValidation>
    <dataValidation sqref="G118" showDropDown="0" showInputMessage="0" showErrorMessage="0" allowBlank="0" errorTitle="Valor no válido" error="Escoge un valor de la lista" type="list">
      <formula1>"CONTINUO,DISCONTINUO"</formula1>
    </dataValidation>
    <dataValidation sqref="G119" showDropDown="0" showInputMessage="0" showErrorMessage="0" allowBlank="0" errorTitle="Valor no válido" error="Escoge un valor de la lista" type="list">
      <formula1>"CONTINUO,DISCONTINUO"</formula1>
    </dataValidation>
    <dataValidation sqref="G120" showDropDown="0" showInputMessage="0" showErrorMessage="0" allowBlank="0" errorTitle="Valor no válido" error="Escoge un valor de la lista" type="list">
      <formula1>"CONTINUO,DISCONTINUO"</formula1>
    </dataValidation>
    <dataValidation sqref="G121" showDropDown="0" showInputMessage="0" showErrorMessage="0" allowBlank="0" errorTitle="Valor no válido" error="Escoge un valor de la lista" type="list">
      <formula1>"CONTINUO,DISCONTINUO"</formula1>
    </dataValidation>
    <dataValidation sqref="G122" showDropDown="0" showInputMessage="0" showErrorMessage="0" allowBlank="0" errorTitle="Valor no válido" error="Escoge un valor de la lista" type="list">
      <formula1>"CONTINUO,DISCONTINUO"</formula1>
    </dataValidation>
    <dataValidation sqref="G123" showDropDown="0" showInputMessage="0" showErrorMessage="0" allowBlank="0" errorTitle="Valor no válido" error="Escoge un valor de la lista" type="list">
      <formula1>"CONTINUO,DISCONTINUO"</formula1>
    </dataValidation>
    <dataValidation sqref="G124" showDropDown="0" showInputMessage="0" showErrorMessage="0" allowBlank="0" errorTitle="Valor no válido" error="Escoge un valor de la lista" type="list">
      <formula1>"CONTINUO,DISCONTINUO"</formula1>
    </dataValidation>
    <dataValidation sqref="G125" showDropDown="0" showInputMessage="0" showErrorMessage="0" allowBlank="0" errorTitle="Valor no válido" error="Escoge un valor de la lista" type="list">
      <formula1>"CONTINUO,DISCONTINUO"</formula1>
    </dataValidation>
    <dataValidation sqref="G126" showDropDown="0" showInputMessage="0" showErrorMessage="0" allowBlank="0" errorTitle="Valor no válido" error="Escoge un valor de la lista" type="list">
      <formula1>"CONTINUO,DISCONTINUO"</formula1>
    </dataValidation>
    <dataValidation sqref="G127" showDropDown="0" showInputMessage="0" showErrorMessage="0" allowBlank="0" errorTitle="Valor no válido" error="Escoge un valor de la lista" type="list">
      <formula1>"CONTINUO,DISCONTINUO"</formula1>
    </dataValidation>
    <dataValidation sqref="G128" showDropDown="0" showInputMessage="0" showErrorMessage="0" allowBlank="0" errorTitle="Valor no válido" error="Escoge un valor de la lista" type="list">
      <formula1>"CONTINUO,DISCONTINUO"</formula1>
    </dataValidation>
    <dataValidation sqref="G129" showDropDown="0" showInputMessage="0" showErrorMessage="0" allowBlank="0" errorTitle="Valor no válido" error="Escoge un valor de la lista" type="list">
      <formula1>"CONTINUO,DISCONTINUO"</formula1>
    </dataValidation>
    <dataValidation sqref="G130" showDropDown="0" showInputMessage="0" showErrorMessage="0" allowBlank="0" errorTitle="Valor no válido" error="Escoge un valor de la lista" type="list">
      <formula1>"CONTINUO,DISCONTINUO"</formula1>
    </dataValidation>
    <dataValidation sqref="G131" showDropDown="0" showInputMessage="0" showErrorMessage="0" allowBlank="0" errorTitle="Valor no válido" error="Escoge un valor de la lista" type="list">
      <formula1>"CONTINUO,DISCONTINUO"</formula1>
    </dataValidation>
    <dataValidation sqref="G132" showDropDown="0" showInputMessage="0" showErrorMessage="0" allowBlank="0" errorTitle="Valor no válido" error="Escoge un valor de la lista" type="list">
      <formula1>"CONTINUO,DISCONTINUO"</formula1>
    </dataValidation>
    <dataValidation sqref="G133" showDropDown="0" showInputMessage="0" showErrorMessage="0" allowBlank="0" errorTitle="Valor no válido" error="Escoge un valor de la lista" type="list">
      <formula1>"CONTINUO,DISCONTINUO"</formula1>
    </dataValidation>
    <dataValidation sqref="G134" showDropDown="0" showInputMessage="0" showErrorMessage="0" allowBlank="0" errorTitle="Valor no válido" error="Escoge un valor de la lista" type="list">
      <formula1>"CONTINUO,DISCONTINUO"</formula1>
    </dataValidation>
    <dataValidation sqref="G135" showDropDown="0" showInputMessage="0" showErrorMessage="0" allowBlank="0" errorTitle="Valor no válido" error="Escoge un valor de la lista" type="list">
      <formula1>"CONTINUO,DISCONTINUO"</formula1>
    </dataValidation>
    <dataValidation sqref="G136" showDropDown="0" showInputMessage="0" showErrorMessage="0" allowBlank="0" errorTitle="Valor no válido" error="Escoge un valor de la lista" type="list">
      <formula1>"CONTINUO,DISCONTINUO"</formula1>
    </dataValidation>
    <dataValidation sqref="G137" showDropDown="0" showInputMessage="0" showErrorMessage="0" allowBlank="0" errorTitle="Valor no válido" error="Escoge un valor de la lista" type="list">
      <formula1>"CONTINUO,DISCONTINUO"</formula1>
    </dataValidation>
    <dataValidation sqref="G138" showDropDown="0" showInputMessage="0" showErrorMessage="0" allowBlank="0" errorTitle="Valor no válido" error="Escoge un valor de la lista" type="list">
      <formula1>"CONTINUO,DISCONTINUO"</formula1>
    </dataValidation>
    <dataValidation sqref="G139" showDropDown="0" showInputMessage="0" showErrorMessage="0" allowBlank="0" errorTitle="Valor no válido" error="Escoge un valor de la lista" type="list">
      <formula1>"CONTINUO,DISCONTINUO"</formula1>
    </dataValidation>
    <dataValidation sqref="G140" showDropDown="0" showInputMessage="0" showErrorMessage="0" allowBlank="0" errorTitle="Valor no válido" error="Escoge un valor de la lista" type="list">
      <formula1>"CONTINUO,DISCONTINUO"</formula1>
    </dataValidation>
    <dataValidation sqref="G141" showDropDown="0" showInputMessage="0" showErrorMessage="0" allowBlank="0" errorTitle="Valor no válido" error="Escoge un valor de la lista" type="list">
      <formula1>"CONTINUO,DISCONTINUO"</formula1>
    </dataValidation>
    <dataValidation sqref="G142" showDropDown="0" showInputMessage="0" showErrorMessage="0" allowBlank="0" errorTitle="Valor no válido" error="Escoge un valor de la lista" type="list">
      <formula1>"CONTINUO,DISCONTINUO"</formula1>
    </dataValidation>
    <dataValidation sqref="G143" showDropDown="0" showInputMessage="0" showErrorMessage="0" allowBlank="0" errorTitle="Valor no válido" error="Escoge un valor de la lista" type="list">
      <formula1>"CONTINUO,DISCONTINUO"</formula1>
    </dataValidation>
    <dataValidation sqref="G144" showDropDown="0" showInputMessage="0" showErrorMessage="0" allowBlank="0" errorTitle="Valor no válido" error="Escoge un valor de la lista" type="list">
      <formula1>"CONTINUO,DISCONTINUO"</formula1>
    </dataValidation>
    <dataValidation sqref="G145" showDropDown="0" showInputMessage="0" showErrorMessage="0" allowBlank="0" errorTitle="Valor no válido" error="Escoge un valor de la lista" type="list">
      <formula1>"CONTINUO,DISCONTINUO"</formula1>
    </dataValidation>
    <dataValidation sqref="G146" showDropDown="0" showInputMessage="0" showErrorMessage="0" allowBlank="0" errorTitle="Valor no válido" error="Escoge un valor de la lista" type="list">
      <formula1>"CONTINUO,DISCONTINUO"</formula1>
    </dataValidation>
    <dataValidation sqref="G147" showDropDown="0" showInputMessage="0" showErrorMessage="0" allowBlank="0" errorTitle="Valor no válido" error="Escoge un valor de la lista" type="list">
      <formula1>"CONTINUO,DISCONTINUO"</formula1>
    </dataValidation>
    <dataValidation sqref="G148" showDropDown="0" showInputMessage="0" showErrorMessage="0" allowBlank="0" errorTitle="Valor no válido" error="Escoge un valor de la lista" type="list">
      <formula1>"CONTINUO,DISCONTINUO"</formula1>
    </dataValidation>
    <dataValidation sqref="G149" showDropDown="0" showInputMessage="0" showErrorMessage="0" allowBlank="0" errorTitle="Valor no válido" error="Escoge un valor de la lista" type="list">
      <formula1>"CONTINUO,DISCONTINUO"</formula1>
    </dataValidation>
    <dataValidation sqref="G150" showDropDown="0" showInputMessage="0" showErrorMessage="0" allowBlank="0" errorTitle="Valor no válido" error="Escoge un valor de la lista" type="list">
      <formula1>"CONTINUO,DISCONTINUO"</formula1>
    </dataValidation>
    <dataValidation sqref="G151" showDropDown="0" showInputMessage="0" showErrorMessage="0" allowBlank="0" errorTitle="Valor no válido" error="Escoge un valor de la lista" type="list">
      <formula1>"CONTINUO,DISCONTINUO"</formula1>
    </dataValidation>
    <dataValidation sqref="G152" showDropDown="0" showInputMessage="0" showErrorMessage="0" allowBlank="0" errorTitle="Valor no válido" error="Escoge un valor de la lista" type="list">
      <formula1>"CONTINUO,DISCONTINUO"</formula1>
    </dataValidation>
    <dataValidation sqref="G153" showDropDown="0" showInputMessage="0" showErrorMessage="0" allowBlank="0" errorTitle="Valor no válido" error="Escoge un valor de la lista" type="list">
      <formula1>"CONTINUO,DISCONTINUO"</formula1>
    </dataValidation>
    <dataValidation sqref="G154" showDropDown="0" showInputMessage="0" showErrorMessage="0" allowBlank="0" errorTitle="Valor no válido" error="Escoge un valor de la lista" type="list">
      <formula1>"CONTINUO,DISCONTINUO"</formula1>
    </dataValidation>
    <dataValidation sqref="G155" showDropDown="0" showInputMessage="0" showErrorMessage="0" allowBlank="0" errorTitle="Valor no válido" error="Escoge un valor de la lista" type="list">
      <formula1>"CONTINUO,DISCONTINUO"</formula1>
    </dataValidation>
    <dataValidation sqref="G156" showDropDown="0" showInputMessage="0" showErrorMessage="0" allowBlank="0" errorTitle="Valor no válido" error="Escoge un valor de la lista" type="list">
      <formula1>"CONTINUO,DISCONTINUO"</formula1>
    </dataValidation>
  </dataValidations>
  <pageMargins left="0.75" right="0.75" top="1" bottom="1" header="0.5" footer="0.5"/>
  <pageSetup orientation="landscape" paperSize="1"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B1:F85"/>
  <sheetViews>
    <sheetView showGridLines="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CARGAS — PESO PROPIO, SOBRECARGA, CARGA VIVA Y CARGAS LINEALES</t>
        </is>
      </c>
    </row>
    <row r="2" ht="30" customHeight="1">
      <c r="B2" s="2" t="inlineStr">
        <is>
          <t>La sobrecarga de cada tablero se toma del modelo (varía de 160 a 315 kg/m²) y vive en TABLEROS, columna M. Aquí está el desglose de referencia de Naim y las cargas lineales del modelo.</t>
        </is>
      </c>
    </row>
    <row r="3" ht="6" customHeight="1"/>
    <row r="4" ht="21" customHeight="1">
      <c r="B4" s="5" t="inlineStr">
        <is>
          <t>1. PESO PROPIO DE LA LOSA NERVADA</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Peso propio LR-25 (con casetón)</t>
        </is>
      </c>
      <c r="C6" s="25">
        <f>DATOS!$C$58</f>
        <v>253.673469387755</v>
      </c>
      <c r="D6" s="11" t="inlineStr">
        <is>
          <t>kg/m²</t>
        </is>
      </c>
      <c r="E6" s="12" t="inlineStr">
        <is>
          <t>Enlazado a DATOS sección 4.</t>
        </is>
      </c>
      <c r="F6" s="13" t="inlineStr">
        <is>
          <t>DATOS</t>
        </is>
      </c>
    </row>
    <row r="7" ht="19.5" customHeight="1">
      <c r="B7" s="9" t="inlineStr">
        <is>
          <t>Peso propio que trae el modelo</t>
        </is>
      </c>
      <c r="C7" s="22">
        <f>DATOS!$C$59</f>
        <v>251.427</v>
      </c>
      <c r="D7" s="11" t="inlineStr">
        <is>
          <t>kg/m²</t>
        </is>
      </c>
      <c r="E7" s="12" t="inlineStr">
        <is>
          <t>Enlazado a DATOS sección 4.</t>
        </is>
      </c>
      <c r="F7" s="13" t="inlineStr">
        <is>
          <t>001_EST_CROCHA_R3.2.e2k</t>
        </is>
      </c>
    </row>
    <row r="8" ht="6" customHeight="1"/>
    <row r="9" ht="21" customHeight="1">
      <c r="B9" s="5" t="inlineStr">
        <is>
          <t>2. SOBRECARGA MUERTA — DESGLOSE DE REFERENCIA (NAIM)</t>
        </is>
      </c>
    </row>
    <row r="10" ht="30" customHeight="1">
      <c r="B10" s="6" t="inlineStr">
        <is>
          <t>Sólo de referencia: no entra en ningún cálculo. Sirve para juzgar si las sobrecargas del modelo (columna M de TABLEROS) son razonables.</t>
        </is>
      </c>
      <c r="C10" s="7" t="n"/>
      <c r="D10" s="7" t="n"/>
      <c r="E10" s="7" t="n"/>
      <c r="F10" s="7" t="n"/>
    </row>
    <row r="11" ht="30" customHeight="1">
      <c r="B11" s="8" t="inlineStr">
        <is>
          <t>Concepto</t>
        </is>
      </c>
      <c r="C11" s="8" t="inlineStr">
        <is>
          <t>Carga</t>
        </is>
      </c>
      <c r="D11" s="8" t="inlineStr">
        <is>
          <t>Unidad</t>
        </is>
      </c>
      <c r="E11" s="8" t="inlineStr">
        <is>
          <t>Cómo se obtiene</t>
        </is>
      </c>
      <c r="F11" s="8" t="inlineStr">
        <is>
          <t>Referencia</t>
        </is>
      </c>
    </row>
    <row r="12" ht="30" customHeight="1">
      <c r="B12" s="9" t="inlineStr">
        <is>
          <t>Entrepiso — relleno 8 cm</t>
        </is>
      </c>
      <c r="C12" s="17" t="n">
        <v>0.13</v>
      </c>
      <c r="D12" s="11" t="inlineStr">
        <is>
          <t>t/m²</t>
        </is>
      </c>
      <c r="E12" s="12" t="inlineStr">
        <is>
          <t>1.60 t/m³ × 0.08 m</t>
        </is>
      </c>
      <c r="F12" s="13" t="inlineStr">
        <is>
          <t>Naim — CASA HABITACIÓN, MEMORIA DE CÁLCULO (sep-2024) · pág. 5, CARGAS DE ENTREPISO</t>
        </is>
      </c>
    </row>
    <row r="13" ht="30" customHeight="1">
      <c r="B13" s="9" t="inlineStr">
        <is>
          <t>Entrepiso — piso 3 cm</t>
        </is>
      </c>
      <c r="C13" s="17" t="n">
        <v>0.06</v>
      </c>
      <c r="D13" s="11" t="inlineStr">
        <is>
          <t>t/m²</t>
        </is>
      </c>
      <c r="E13" s="12" t="inlineStr">
        <is>
          <t>2.00 t/m³ × 0.03 m</t>
        </is>
      </c>
      <c r="F13" s="13" t="inlineStr">
        <is>
          <t>Naim — CASA HABITACIÓN, MEMORIA DE CÁLCULO (sep-2024) · pág. 5, CARGAS DE ENTREPISO</t>
        </is>
      </c>
    </row>
    <row r="14" ht="30" customHeight="1">
      <c r="B14" s="9" t="inlineStr">
        <is>
          <t>Entrepiso — pegapiso 3 cm</t>
        </is>
      </c>
      <c r="C14" s="17" t="n">
        <v>0.05</v>
      </c>
      <c r="D14" s="11" t="inlineStr">
        <is>
          <t>t/m²</t>
        </is>
      </c>
      <c r="E14" s="12" t="inlineStr">
        <is>
          <t>1.50 t/m³ × 0.03 m</t>
        </is>
      </c>
      <c r="F14" s="13" t="inlineStr">
        <is>
          <t>Naim — CASA HABITACIÓN, MEMORIA DE CÁLCULO (sep-2024) · pág. 5, CARGAS DE ENTREPISO</t>
        </is>
      </c>
    </row>
    <row r="15" ht="30" customHeight="1">
      <c r="B15" s="9" t="inlineStr">
        <is>
          <t>Entrepiso — yeso 3 cm</t>
        </is>
      </c>
      <c r="C15" s="17" t="n">
        <v>0.05</v>
      </c>
      <c r="D15" s="11" t="inlineStr">
        <is>
          <t>t/m²</t>
        </is>
      </c>
      <c r="E15" s="12" t="inlineStr">
        <is>
          <t>1.50 t/m³ × 0.03 m</t>
        </is>
      </c>
      <c r="F15" s="13" t="inlineStr">
        <is>
          <t>Naim — CASA HABITACIÓN, MEMORIA DE CÁLCULO (sep-2024) · pág. 5, CARGAS DE ENTREPISO</t>
        </is>
      </c>
    </row>
    <row r="16" ht="30" customHeight="1">
      <c r="B16" s="9" t="inlineStr">
        <is>
          <t>Entrepiso — instalaciones</t>
        </is>
      </c>
      <c r="C16" s="17" t="n">
        <v>0.02</v>
      </c>
      <c r="D16" s="11" t="inlineStr">
        <is>
          <t>t/m²</t>
        </is>
      </c>
      <c r="E16" s="12" t="inlineStr">
        <is>
          <t>—</t>
        </is>
      </c>
      <c r="F16" s="13" t="inlineStr">
        <is>
          <t>Naim — CASA HABITACIÓN, MEMORIA DE CÁLCULO (sep-2024) · pág. 5, CARGAS DE ENTREPISO</t>
        </is>
      </c>
    </row>
    <row r="17" ht="30" customHeight="1">
      <c r="B17" s="9" t="inlineStr">
        <is>
          <t>Entrepiso — carga adicional</t>
        </is>
      </c>
      <c r="C17" s="17" t="n">
        <v>0.04</v>
      </c>
      <c r="D17" s="11" t="inlineStr">
        <is>
          <t>t/m²</t>
        </is>
      </c>
      <c r="E17" s="12" t="inlineStr">
        <is>
          <t>—</t>
        </is>
      </c>
      <c r="F17" s="13" t="inlineStr">
        <is>
          <t>Naim — CASA HABITACIÓN, MEMORIA DE CÁLCULO (sep-2024) · pág. 5, CARGAS DE ENTREPISO</t>
        </is>
      </c>
    </row>
    <row r="18" ht="30" customHeight="1">
      <c r="B18" s="9" t="inlineStr">
        <is>
          <t>Entrepiso — TOTAL según Naim</t>
        </is>
      </c>
      <c r="C18" s="27" t="n">
        <v>0.33</v>
      </c>
      <c r="D18" s="11" t="inlineStr">
        <is>
          <t>t/m²</t>
        </is>
      </c>
      <c r="E18" s="12" t="inlineStr">
        <is>
          <t>Suma de los renglones de arriba.</t>
        </is>
      </c>
      <c r="F18" s="13" t="inlineStr">
        <is>
          <t>Naim — CASA HABITACIÓN, MEMORIA DE CÁLCULO (sep-2024) · pág. 5</t>
        </is>
      </c>
    </row>
    <row r="19" ht="30" customHeight="1">
      <c r="B19" s="9" t="inlineStr">
        <is>
          <t>Azotea — relleno 10 cm</t>
        </is>
      </c>
      <c r="C19" s="17" t="n">
        <v>0.16</v>
      </c>
      <c r="D19" s="11" t="inlineStr">
        <is>
          <t>t/m²</t>
        </is>
      </c>
      <c r="E19" s="12" t="inlineStr">
        <is>
          <t>1.60 t/m³ × 0.10 m</t>
        </is>
      </c>
      <c r="F19" s="13" t="inlineStr">
        <is>
          <t>Naim — CASA HABITACIÓN, MEMORIA DE CÁLCULO (sep-2024) · pág. 5, CARGAS DE AZOTEA</t>
        </is>
      </c>
    </row>
    <row r="20" ht="30" customHeight="1">
      <c r="B20" s="9" t="inlineStr">
        <is>
          <t>Azotea — yeso 3 cm</t>
        </is>
      </c>
      <c r="C20" s="17" t="n">
        <v>0.05</v>
      </c>
      <c r="D20" s="11" t="inlineStr">
        <is>
          <t>t/m²</t>
        </is>
      </c>
      <c r="E20" s="12" t="inlineStr">
        <is>
          <t>1.50 t/m³ × 0.03 m</t>
        </is>
      </c>
      <c r="F20" s="13" t="inlineStr">
        <is>
          <t>Naim — CASA HABITACIÓN, MEMORIA DE CÁLCULO (sep-2024) · pág. 5, CARGAS DE AZOTEA</t>
        </is>
      </c>
    </row>
    <row r="21" ht="30" customHeight="1">
      <c r="B21" s="9" t="inlineStr">
        <is>
          <t>Azotea — impermeabilizante</t>
        </is>
      </c>
      <c r="C21" s="17" t="n">
        <v>0.03</v>
      </c>
      <c r="D21" s="11" t="inlineStr">
        <is>
          <t>t/m²</t>
        </is>
      </c>
      <c r="E21" s="12" t="inlineStr">
        <is>
          <t>1.40 t/m³ × 0.02 m</t>
        </is>
      </c>
      <c r="F21" s="13" t="inlineStr">
        <is>
          <t>Naim — CASA HABITACIÓN, MEMORIA DE CÁLCULO (sep-2024) · pág. 5, CARGAS DE AZOTEA</t>
        </is>
      </c>
    </row>
    <row r="22" ht="30" customHeight="1">
      <c r="B22" s="9" t="inlineStr">
        <is>
          <t>Azotea — instalaciones</t>
        </is>
      </c>
      <c r="C22" s="17" t="n">
        <v>0.02</v>
      </c>
      <c r="D22" s="11" t="inlineStr">
        <is>
          <t>t/m²</t>
        </is>
      </c>
      <c r="E22" s="12" t="inlineStr">
        <is>
          <t>—</t>
        </is>
      </c>
      <c r="F22" s="13" t="inlineStr">
        <is>
          <t>Naim — CASA HABITACIÓN, MEMORIA DE CÁLCULO (sep-2024) · pág. 5, CARGAS DE AZOTEA</t>
        </is>
      </c>
    </row>
    <row r="23" ht="30" customHeight="1">
      <c r="B23" s="9" t="inlineStr">
        <is>
          <t>Azotea — carga adicional</t>
        </is>
      </c>
      <c r="C23" s="17" t="n">
        <v>0.04</v>
      </c>
      <c r="D23" s="11" t="inlineStr">
        <is>
          <t>t/m²</t>
        </is>
      </c>
      <c r="E23" s="12" t="inlineStr">
        <is>
          <t>—</t>
        </is>
      </c>
      <c r="F23" s="13" t="inlineStr">
        <is>
          <t>Naim — CASA HABITACIÓN, MEMORIA DE CÁLCULO (sep-2024) · pág. 5, CARGAS DE AZOTEA</t>
        </is>
      </c>
    </row>
    <row r="24" ht="30" customHeight="1">
      <c r="B24" s="9" t="inlineStr">
        <is>
          <t>Azotea — TOTAL según Naim</t>
        </is>
      </c>
      <c r="C24" s="27" t="n">
        <v>0.29</v>
      </c>
      <c r="D24" s="11" t="inlineStr">
        <is>
          <t>t/m²</t>
        </is>
      </c>
      <c r="E24" s="12" t="inlineStr">
        <is>
          <t>Naim reporta 0.29 (la suma de renglones da 0.30).</t>
        </is>
      </c>
      <c r="F24" s="13" t="inlineStr">
        <is>
          <t>Naim — CASA HABITACIÓN, MEMORIA DE CÁLCULO (sep-2024) · pág. 5</t>
        </is>
      </c>
    </row>
    <row r="25" ht="30" customHeight="1">
      <c r="B25" s="9" t="inlineStr">
        <is>
          <t>Sobrecarga del modelo — mínima y máxima en entrepiso</t>
        </is>
      </c>
      <c r="C25" s="43" t="str">
        <f>TEXT(MIN(TABLEROS!$M$9:$M$28),"0")&amp;" a "&amp;TEXT(MAX(TABLEROS!$M$9:$M$28),"0")</f>
        <v>0 a 0</v>
      </c>
      <c r="D25" s="11" t="inlineStr">
        <is>
          <t>kg/m²</t>
        </is>
      </c>
      <c r="E25" s="12" t="inlineStr">
        <is>
          <t>Rango de la columna M de TABLEROS para N+3.00.</t>
        </is>
      </c>
      <c r="F25" s="13" t="inlineStr">
        <is>
          <t>001_EST_CROCHA_R3.2.e2k · AREALOAD "Sobrecarga"</t>
        </is>
      </c>
    </row>
    <row r="26" ht="30" customHeight="1">
      <c r="B26" s="9" t="inlineStr">
        <is>
          <t>Sobrecarga del modelo — mínima y máxima en azotea</t>
        </is>
      </c>
      <c r="C26" s="43" t="str">
        <f>TEXT(MIN(TABLEROS!$M$29:$M$40),"0")&amp;" a "&amp;TEXT(MAX(TABLEROS!$M$29:$M$40),"0")</f>
        <v>0 a 0</v>
      </c>
      <c r="D26" s="11" t="inlineStr">
        <is>
          <t>kg/m²</t>
        </is>
      </c>
      <c r="E26" s="12" t="inlineStr">
        <is>
          <t>Rango de la columna M de TABLEROS para N+6.00.</t>
        </is>
      </c>
      <c r="F26" s="13" t="inlineStr">
        <is>
          <t>001_EST_CROCHA_R3.2.e2k · AREALOAD "Sobrecarga"</t>
        </is>
      </c>
    </row>
    <row r="27" ht="6" customHeight="1"/>
    <row r="28" ht="21" customHeight="1">
      <c r="B28" s="5" t="inlineStr">
        <is>
          <t>3. CARGA ÚLTIMA DE DISEÑO</t>
        </is>
      </c>
    </row>
    <row r="29" ht="30" customHeight="1">
      <c r="B29" s="8" t="inlineStr">
        <is>
          <t>Concepto</t>
        </is>
      </c>
      <c r="C29" s="8" t="inlineStr">
        <is>
          <t>Valor</t>
        </is>
      </c>
      <c r="D29" s="8" t="inlineStr">
        <is>
          <t>Unidad</t>
        </is>
      </c>
      <c r="E29" s="8" t="inlineStr">
        <is>
          <t>Cómo se calcula / de dónde sale</t>
        </is>
      </c>
      <c r="F29" s="8" t="inlineStr">
        <is>
          <t>Referencia</t>
        </is>
      </c>
    </row>
    <row r="30" ht="43.5" customHeight="1">
      <c r="B30" s="9" t="inlineStr">
        <is>
          <t>w_u = FC_CM·(PP + SCM) + FC_CV·W_m</t>
        </is>
      </c>
      <c r="C30" s="43" t="inlineStr">
        <is>
          <t>por tablero</t>
        </is>
      </c>
      <c r="D30" s="11" t="inlineStr">
        <is>
          <t>—</t>
        </is>
      </c>
      <c r="E30" s="12" t="inlineStr">
        <is>
          <t>Se calcula renglón por renglón en TABLEROS, columna Q. Con FC_CM = 1.3 y FC_CV = 1.5.</t>
        </is>
      </c>
      <c r="F30" s="13" t="inlineStr">
        <is>
          <t>NTC-Criterios y Acciones 2023 (CDMX) · combinaciones · Naim — CASA HABITACIÓN, MEMORIA DE CÁLCULO (sep-2024) pág. 8</t>
        </is>
      </c>
    </row>
    <row r="31" ht="30" customHeight="1">
      <c r="B31" s="9" t="inlineStr">
        <is>
          <t>w de servicio = PP + SCM + W_m</t>
        </is>
      </c>
      <c r="C31" s="43" t="inlineStr">
        <is>
          <t>por tablero</t>
        </is>
      </c>
      <c r="D31" s="11" t="inlineStr">
        <is>
          <t>—</t>
        </is>
      </c>
      <c r="E31" s="12" t="inlineStr">
        <is>
          <t>TABLEROS, columna P. Es la que entra al peralte mínimo.</t>
        </is>
      </c>
      <c r="F31" s="13" t="inlineStr">
        <is>
          <t>NTC-Concreto 2023 (CDMX) · peralte mínimo (carga de servicio)</t>
        </is>
      </c>
    </row>
    <row r="32" ht="6" customHeight="1"/>
    <row r="33" ht="21" customHeight="1">
      <c r="B33" s="5" t="inlineStr">
        <is>
          <t>4. CARGAS LINEALES QUE TRAE EL MODELO (BARANDALES, MUROS BAJOS, PRETILES Y ESCALERA)</t>
        </is>
      </c>
    </row>
    <row r="34" ht="30" customHeight="1">
      <c r="B34" s="6" t="inlineStr">
        <is>
          <t>Se suman a la nervadura principal sobre la que caen (PRINCIPALES, columnas T y U). Las de 333.7 kg/m en las orillas de F80012 y F80019 entran como carga en la orilla del volado.</t>
        </is>
      </c>
      <c r="C34" s="7" t="n"/>
      <c r="D34" s="7" t="n"/>
      <c r="E34" s="7" t="n"/>
      <c r="F34" s="7" t="n"/>
    </row>
    <row r="35" ht="30" customHeight="1">
      <c r="B35" s="8" t="inlineStr">
        <is>
          <t>Viga · nivel · caso</t>
        </is>
      </c>
      <c r="C35" s="8" t="inlineStr">
        <is>
          <t>w</t>
        </is>
      </c>
      <c r="D35" s="8" t="inlineStr">
        <is>
          <t>Unidad</t>
        </is>
      </c>
      <c r="E35" s="8" t="inlineStr">
        <is>
          <t>Dónde (de – a) y largo cargado</t>
        </is>
      </c>
      <c r="F35" s="8" t="inlineStr">
        <is>
          <t>Fuente</t>
        </is>
      </c>
    </row>
    <row r="36" ht="19.5" customHeight="1">
      <c r="B36" s="9" t="inlineStr">
        <is>
          <t>B50063 · N+3.00 · Sobrecarga</t>
        </is>
      </c>
      <c r="C36" s="22" t="n">
        <v>206</v>
      </c>
      <c r="D36" s="11" t="inlineStr">
        <is>
          <t>kg/m</t>
        </is>
      </c>
      <c r="E36" s="12" t="inlineStr">
        <is>
          <t>de (4.327, 5.946) a (5.298, 5.946) · 0.97 m</t>
        </is>
      </c>
      <c r="F36" s="13" t="inlineStr">
        <is>
          <t>001_EST_CROCHA_R3.2.e2k · FRAME OBJECT LOADS</t>
        </is>
      </c>
    </row>
    <row r="37" ht="19.5" customHeight="1">
      <c r="B37" s="9" t="inlineStr">
        <is>
          <t>B50066 · N+3.00 · Sobrecarga</t>
        </is>
      </c>
      <c r="C37" s="22" t="n">
        <v>50</v>
      </c>
      <c r="D37" s="11" t="inlineStr">
        <is>
          <t>kg/m</t>
        </is>
      </c>
      <c r="E37" s="12" t="inlineStr">
        <is>
          <t>de (5.460, 6.948) a (5.923, 6.948) · 0.46 m</t>
        </is>
      </c>
      <c r="F37" s="13" t="inlineStr">
        <is>
          <t>001_EST_CROCHA_R3.2.e2k · FRAME OBJECT LOADS</t>
        </is>
      </c>
    </row>
    <row r="38" ht="19.5" customHeight="1">
      <c r="B38" s="9" t="inlineStr">
        <is>
          <t>B50069 · N+3.00 · Sobrecarga</t>
        </is>
      </c>
      <c r="C38" s="22" t="n">
        <v>50</v>
      </c>
      <c r="D38" s="11" t="inlineStr">
        <is>
          <t>kg/m</t>
        </is>
      </c>
      <c r="E38" s="12" t="inlineStr">
        <is>
          <t>de (5.460, 8.910) a (7.350, 8.910) · 1.89 m</t>
        </is>
      </c>
      <c r="F38" s="13" t="inlineStr">
        <is>
          <t>001_EST_CROCHA_R3.2.e2k · FRAME OBJECT LOADS</t>
        </is>
      </c>
    </row>
    <row r="39" ht="19.5" customHeight="1">
      <c r="B39" s="9" t="inlineStr">
        <is>
          <t>B50069 · N+3.00 · Sobrecarga</t>
        </is>
      </c>
      <c r="C39" s="22" t="n">
        <v>144</v>
      </c>
      <c r="D39" s="11" t="inlineStr">
        <is>
          <t>kg/m</t>
        </is>
      </c>
      <c r="E39" s="12" t="inlineStr">
        <is>
          <t>de (5.495, 8.910) a (7.350, 8.910) · 1.85 m</t>
        </is>
      </c>
      <c r="F39" s="13" t="inlineStr">
        <is>
          <t>001_EST_CROCHA_R3.2.e2k · FRAME OBJECT LOADS</t>
        </is>
      </c>
    </row>
    <row r="40" ht="19.5" customHeight="1">
      <c r="B40" s="9" t="inlineStr">
        <is>
          <t>B50069 · N+3.00 · Carga Viva Máxima</t>
        </is>
      </c>
      <c r="C40" s="22" t="n">
        <v>35.1</v>
      </c>
      <c r="D40" s="11" t="inlineStr">
        <is>
          <t>kg/m</t>
        </is>
      </c>
      <c r="E40" s="12" t="inlineStr">
        <is>
          <t>de (5.495, 8.910) a (7.350, 8.910) · 1.85 m</t>
        </is>
      </c>
      <c r="F40" s="13" t="inlineStr">
        <is>
          <t>001_EST_CROCHA_R3.2.e2k · FRAME OBJECT LOADS</t>
        </is>
      </c>
    </row>
    <row r="41" ht="19.5" customHeight="1">
      <c r="B41" s="9" t="inlineStr">
        <is>
          <t>B50069 · N+3.00 · Carga Viva Instantanea</t>
        </is>
      </c>
      <c r="C41" s="22" t="n">
        <v>18.5</v>
      </c>
      <c r="D41" s="11" t="inlineStr">
        <is>
          <t>kg/m</t>
        </is>
      </c>
      <c r="E41" s="12" t="inlineStr">
        <is>
          <t>de (5.495, 8.910) a (7.350, 8.910) · 1.85 m</t>
        </is>
      </c>
      <c r="F41" s="13" t="inlineStr">
        <is>
          <t>001_EST_CROCHA_R3.2.e2k · FRAME OBJECT LOADS</t>
        </is>
      </c>
    </row>
    <row r="42" ht="19.5" customHeight="1">
      <c r="B42" s="9" t="inlineStr">
        <is>
          <t>B50069 · N+3.00 · Carga Viva Media</t>
        </is>
      </c>
      <c r="C42" s="22" t="n">
        <v>14.8</v>
      </c>
      <c r="D42" s="11" t="inlineStr">
        <is>
          <t>kg/m</t>
        </is>
      </c>
      <c r="E42" s="12" t="inlineStr">
        <is>
          <t>de (5.495, 8.910) a (7.350, 8.910) · 1.85 m</t>
        </is>
      </c>
      <c r="F42" s="13" t="inlineStr">
        <is>
          <t>001_EST_CROCHA_R3.2.e2k · FRAME OBJECT LOADS</t>
        </is>
      </c>
    </row>
    <row r="43" ht="19.5" customHeight="1">
      <c r="B43" s="9" t="inlineStr">
        <is>
          <t>B50071 · N+3.00 · Sobrecarga</t>
        </is>
      </c>
      <c r="C43" s="22" t="n">
        <v>333.7</v>
      </c>
      <c r="D43" s="11" t="inlineStr">
        <is>
          <t>kg/m</t>
        </is>
      </c>
      <c r="E43" s="12" t="inlineStr">
        <is>
          <t>de (-2.000, 14.021) a (0.000, 14.021) · 2.00 m</t>
        </is>
      </c>
      <c r="F43" s="13" t="inlineStr">
        <is>
          <t>001_EST_CROCHA_R3.2.e2k · FRAME OBJECT LOADS</t>
        </is>
      </c>
    </row>
    <row r="44" ht="19.5" customHeight="1">
      <c r="B44" s="9" t="inlineStr">
        <is>
          <t>B50079 · N+3.00 · Sobrecarga</t>
        </is>
      </c>
      <c r="C44" s="22" t="n">
        <v>294</v>
      </c>
      <c r="D44" s="11" t="inlineStr">
        <is>
          <t>kg/m</t>
        </is>
      </c>
      <c r="E44" s="12" t="inlineStr">
        <is>
          <t>de (-0.000, 21.446) a (5.275, 21.446) · 5.28 m</t>
        </is>
      </c>
      <c r="F44" s="13" t="inlineStr">
        <is>
          <t>001_EST_CROCHA_R3.2.e2k · FRAME OBJECT LOADS</t>
        </is>
      </c>
    </row>
    <row r="45" ht="19.5" customHeight="1">
      <c r="B45" s="9" t="inlineStr">
        <is>
          <t>B50079 · N+3.00 · Sobrecarga</t>
        </is>
      </c>
      <c r="C45" s="22" t="n">
        <v>500</v>
      </c>
      <c r="D45" s="11" t="inlineStr">
        <is>
          <t>kg/m</t>
        </is>
      </c>
      <c r="E45" s="12" t="inlineStr">
        <is>
          <t>de (5.275, 21.446) a (7.250, 21.446) · 1.98 m</t>
        </is>
      </c>
      <c r="F45" s="13" t="inlineStr">
        <is>
          <t>001_EST_CROCHA_R3.2.e2k · FRAME OBJECT LOADS</t>
        </is>
      </c>
    </row>
    <row r="46" ht="19.5" customHeight="1">
      <c r="B46" s="9" t="inlineStr">
        <is>
          <t>B50079 · N+3.00 · Sobrecarga</t>
        </is>
      </c>
      <c r="C46" s="22" t="n">
        <v>206</v>
      </c>
      <c r="D46" s="11" t="inlineStr">
        <is>
          <t>kg/m</t>
        </is>
      </c>
      <c r="E46" s="12" t="inlineStr">
        <is>
          <t>de (7.250, 21.446) a (8.146, 21.446) · 0.90 m</t>
        </is>
      </c>
      <c r="F46" s="13" t="inlineStr">
        <is>
          <t>001_EST_CROCHA_R3.2.e2k · FRAME OBJECT LOADS</t>
        </is>
      </c>
    </row>
    <row r="47" ht="19.5" customHeight="1">
      <c r="B47" s="9" t="inlineStr">
        <is>
          <t>B50084 · N+3.00 · Sobrecarga</t>
        </is>
      </c>
      <c r="C47" s="22" t="n">
        <v>333.7</v>
      </c>
      <c r="D47" s="11" t="inlineStr">
        <is>
          <t>kg/m</t>
        </is>
      </c>
      <c r="E47" s="12" t="inlineStr">
        <is>
          <t>de (7.250, 24.371) a (7.479, 24.371) · 0.23 m</t>
        </is>
      </c>
      <c r="F47" s="13" t="inlineStr">
        <is>
          <t>001_EST_CROCHA_R3.2.e2k · FRAME OBJECT LOADS</t>
        </is>
      </c>
    </row>
    <row r="48" ht="19.5" customHeight="1">
      <c r="B48" s="9" t="inlineStr">
        <is>
          <t>B50084 · N+3.00 · Sobrecarga</t>
        </is>
      </c>
      <c r="C48" s="22" t="n">
        <v>539.7</v>
      </c>
      <c r="D48" s="11" t="inlineStr">
        <is>
          <t>kg/m</t>
        </is>
      </c>
      <c r="E48" s="12" t="inlineStr">
        <is>
          <t>de (7.479, 24.371) a (8.701, 24.371) · 1.22 m</t>
        </is>
      </c>
      <c r="F48" s="13" t="inlineStr">
        <is>
          <t>001_EST_CROCHA_R3.2.e2k · FRAME OBJECT LOADS</t>
        </is>
      </c>
    </row>
    <row r="49" ht="19.5" customHeight="1">
      <c r="B49" s="9" t="inlineStr">
        <is>
          <t>B50084 · N+3.00 · Sobrecarga</t>
        </is>
      </c>
      <c r="C49" s="22" t="n">
        <v>333.7</v>
      </c>
      <c r="D49" s="11" t="inlineStr">
        <is>
          <t>kg/m</t>
        </is>
      </c>
      <c r="E49" s="12" t="inlineStr">
        <is>
          <t>de (8.701, 24.371) a (8.850, 24.371) · 0.15 m</t>
        </is>
      </c>
      <c r="F49" s="13" t="inlineStr">
        <is>
          <t>001_EST_CROCHA_R3.2.e2k · FRAME OBJECT LOADS</t>
        </is>
      </c>
    </row>
    <row r="50" ht="19.5" customHeight="1">
      <c r="B50" s="9" t="inlineStr">
        <is>
          <t>B50085 · N+3.00 · Sobrecarga</t>
        </is>
      </c>
      <c r="C50" s="22" t="n">
        <v>333.7</v>
      </c>
      <c r="D50" s="11" t="inlineStr">
        <is>
          <t>kg/m</t>
        </is>
      </c>
      <c r="E50" s="12" t="inlineStr">
        <is>
          <t>de (-2.000, 14.021) a (-2.000, 17.446) · 3.42 m</t>
        </is>
      </c>
      <c r="F50" s="13" t="inlineStr">
        <is>
          <t>001_EST_CROCHA_R3.2.e2k · FRAME OBJECT LOADS</t>
        </is>
      </c>
    </row>
    <row r="51" ht="19.5" customHeight="1">
      <c r="B51" s="9" t="inlineStr">
        <is>
          <t>B50087 · N+3.00 · Sobrecarga</t>
        </is>
      </c>
      <c r="C51" s="22" t="n">
        <v>333.7</v>
      </c>
      <c r="D51" s="11" t="inlineStr">
        <is>
          <t>kg/m</t>
        </is>
      </c>
      <c r="E51" s="12" t="inlineStr">
        <is>
          <t>de (0.000, 21.446) a (0.000, 23.446) · 2.00 m</t>
        </is>
      </c>
      <c r="F51" s="13" t="inlineStr">
        <is>
          <t>001_EST_CROCHA_R3.2.e2k · FRAME OBJECT LOADS</t>
        </is>
      </c>
    </row>
    <row r="52" ht="19.5" customHeight="1">
      <c r="B52" s="9" t="inlineStr">
        <is>
          <t>B50091 · N+3.00 · Sobrecarga</t>
        </is>
      </c>
      <c r="C52" s="22" t="n">
        <v>294</v>
      </c>
      <c r="D52" s="11" t="inlineStr">
        <is>
          <t>kg/m</t>
        </is>
      </c>
      <c r="E52" s="12" t="inlineStr">
        <is>
          <t>de (4.327, 1.919) a (4.327, 2.921) · 1.00 m</t>
        </is>
      </c>
      <c r="F52" s="13" t="inlineStr">
        <is>
          <t>001_EST_CROCHA_R3.2.e2k · FRAME OBJECT LOADS</t>
        </is>
      </c>
    </row>
    <row r="53" ht="19.5" customHeight="1">
      <c r="B53" s="9" t="inlineStr">
        <is>
          <t>B50091 · N+3.00 · Sobrecarga</t>
        </is>
      </c>
      <c r="C53" s="22" t="n">
        <v>50</v>
      </c>
      <c r="D53" s="11" t="inlineStr">
        <is>
          <t>kg/m</t>
        </is>
      </c>
      <c r="E53" s="12" t="inlineStr">
        <is>
          <t>de (4.327, 7.871) a (4.327, 14.021) · 6.15 m</t>
        </is>
      </c>
      <c r="F53" s="13" t="inlineStr">
        <is>
          <t>001_EST_CROCHA_R3.2.e2k · FRAME OBJECT LOADS</t>
        </is>
      </c>
    </row>
    <row r="54" ht="19.5" customHeight="1">
      <c r="B54" s="9" t="inlineStr">
        <is>
          <t>B50093 · N+3.00 · Sobrecarga</t>
        </is>
      </c>
      <c r="C54" s="22" t="n">
        <v>206</v>
      </c>
      <c r="D54" s="11" t="inlineStr">
        <is>
          <t>kg/m</t>
        </is>
      </c>
      <c r="E54" s="12" t="inlineStr">
        <is>
          <t>de (4.925, 16.396) a (4.925, 17.446) · 1.05 m</t>
        </is>
      </c>
      <c r="F54" s="13" t="inlineStr">
        <is>
          <t>001_EST_CROCHA_R3.2.e2k · FRAME OBJECT LOADS</t>
        </is>
      </c>
    </row>
    <row r="55" ht="19.5" customHeight="1">
      <c r="B55" s="9" t="inlineStr">
        <is>
          <t>B50093 · N+3.00 · Sobrecarga</t>
        </is>
      </c>
      <c r="C55" s="22" t="n">
        <v>206</v>
      </c>
      <c r="D55" s="11" t="inlineStr">
        <is>
          <t>kg/m</t>
        </is>
      </c>
      <c r="E55" s="12" t="inlineStr">
        <is>
          <t>de (4.925, 18.146) a (4.925, 19.200) · 1.05 m</t>
        </is>
      </c>
      <c r="F55" s="13" t="inlineStr">
        <is>
          <t>001_EST_CROCHA_R3.2.e2k · FRAME OBJECT LOADS</t>
        </is>
      </c>
    </row>
    <row r="56" ht="19.5" customHeight="1">
      <c r="B56" s="9" t="inlineStr">
        <is>
          <t>B50095 · N+3.00 · Sobrecarga</t>
        </is>
      </c>
      <c r="C56" s="22" t="n">
        <v>50</v>
      </c>
      <c r="D56" s="11" t="inlineStr">
        <is>
          <t>kg/m</t>
        </is>
      </c>
      <c r="E56" s="12" t="inlineStr">
        <is>
          <t>de (5.460, 6.948) a (5.460, 8.910) · 1.96 m</t>
        </is>
      </c>
      <c r="F56" s="13" t="inlineStr">
        <is>
          <t>001_EST_CROCHA_R3.2.e2k · FRAME OBJECT LOADS</t>
        </is>
      </c>
    </row>
    <row r="57" ht="19.5" customHeight="1">
      <c r="B57" s="9" t="inlineStr">
        <is>
          <t>B50098 · N+3.00 · Sobrecarga</t>
        </is>
      </c>
      <c r="C57" s="22" t="n">
        <v>333.7</v>
      </c>
      <c r="D57" s="11" t="inlineStr">
        <is>
          <t>kg/m</t>
        </is>
      </c>
      <c r="E57" s="12" t="inlineStr">
        <is>
          <t>de (7.250, 23.446) a (7.250, 24.371) · 0.93 m</t>
        </is>
      </c>
      <c r="F57" s="13" t="inlineStr">
        <is>
          <t>001_EST_CROCHA_R3.2.e2k · FRAME OBJECT LOADS</t>
        </is>
      </c>
    </row>
    <row r="58" ht="19.5" customHeight="1">
      <c r="B58" s="9" t="inlineStr">
        <is>
          <t>B50099 · N+3.00 · Carga Viva Instantanea</t>
        </is>
      </c>
      <c r="C58" s="22" t="n">
        <v>220</v>
      </c>
      <c r="D58" s="11" t="inlineStr">
        <is>
          <t>kg/m</t>
        </is>
      </c>
      <c r="E58" s="12" t="inlineStr">
        <is>
          <t>de (7.350, 8.910) a (7.350, 9.950) · 1.04 m</t>
        </is>
      </c>
      <c r="F58" s="13" t="inlineStr">
        <is>
          <t>001_EST_CROCHA_R3.2.e2k · FRAME OBJECT LOADS</t>
        </is>
      </c>
    </row>
    <row r="59" ht="19.5" customHeight="1">
      <c r="B59" s="9" t="inlineStr">
        <is>
          <t>B50099 · N+3.00 · Carga Viva Media</t>
        </is>
      </c>
      <c r="C59" s="22" t="n">
        <v>176.842</v>
      </c>
      <c r="D59" s="11" t="inlineStr">
        <is>
          <t>kg/m</t>
        </is>
      </c>
      <c r="E59" s="12" t="inlineStr">
        <is>
          <t>de (7.350, 8.910) a (7.350, 9.950) · 1.04 m</t>
        </is>
      </c>
      <c r="F59" s="13" t="inlineStr">
        <is>
          <t>001_EST_CROCHA_R3.2.e2k · FRAME OBJECT LOADS</t>
        </is>
      </c>
    </row>
    <row r="60" ht="19.5" customHeight="1">
      <c r="B60" s="9" t="inlineStr">
        <is>
          <t>B50099 · N+3.00 · Carga Viva Máxima</t>
        </is>
      </c>
      <c r="C60" s="22" t="n">
        <v>420</v>
      </c>
      <c r="D60" s="11" t="inlineStr">
        <is>
          <t>kg/m</t>
        </is>
      </c>
      <c r="E60" s="12" t="inlineStr">
        <is>
          <t>de (7.350, 8.910) a (7.350, 9.950) · 1.04 m</t>
        </is>
      </c>
      <c r="F60" s="13" t="inlineStr">
        <is>
          <t>001_EST_CROCHA_R3.2.e2k · FRAME OBJECT LOADS</t>
        </is>
      </c>
    </row>
    <row r="61" ht="19.5" customHeight="1">
      <c r="B61" s="9" t="inlineStr">
        <is>
          <t>B50099 · N+3.00 · Sobrecarga</t>
        </is>
      </c>
      <c r="C61" s="22" t="n">
        <v>2290</v>
      </c>
      <c r="D61" s="11" t="inlineStr">
        <is>
          <t>kg/m</t>
        </is>
      </c>
      <c r="E61" s="12" t="inlineStr">
        <is>
          <t>de (7.350, 8.910) a (7.350, 9.950) · 1.04 m</t>
        </is>
      </c>
      <c r="F61" s="13" t="inlineStr">
        <is>
          <t>001_EST_CROCHA_R3.2.e2k · FRAME OBJECT LOADS</t>
        </is>
      </c>
    </row>
    <row r="62" ht="19.5" customHeight="1">
      <c r="B62" s="9" t="inlineStr">
        <is>
          <t>B50068 · N+6.00 · Sobrecarga</t>
        </is>
      </c>
      <c r="C62" s="22" t="n">
        <v>101</v>
      </c>
      <c r="D62" s="11" t="inlineStr">
        <is>
          <t>kg/m</t>
        </is>
      </c>
      <c r="E62" s="12" t="inlineStr">
        <is>
          <t>de (0.000, 7.871) a (4.327, 7.871) · 4.33 m</t>
        </is>
      </c>
      <c r="F62" s="13" t="inlineStr">
        <is>
          <t>001_EST_CROCHA_R3.2.e2k · FRAME OBJECT LOADS</t>
        </is>
      </c>
    </row>
    <row r="63" ht="19.5" customHeight="1">
      <c r="B63" s="9" t="inlineStr">
        <is>
          <t>B50120 · N+6.00 · Sobrecarga</t>
        </is>
      </c>
      <c r="C63" s="22" t="n">
        <v>101</v>
      </c>
      <c r="D63" s="11" t="inlineStr">
        <is>
          <t>kg/m</t>
        </is>
      </c>
      <c r="E63" s="12" t="inlineStr">
        <is>
          <t>de (0.000, 14.021) a (4.327, 14.021) · 4.33 m</t>
        </is>
      </c>
      <c r="F63" s="13" t="inlineStr">
        <is>
          <t>001_EST_CROCHA_R3.2.e2k · FRAME OBJECT LOADS</t>
        </is>
      </c>
    </row>
    <row r="64" ht="19.5" customHeight="1">
      <c r="B64" s="9" t="inlineStr">
        <is>
          <t>B50140 · N+6.00 · Sobrecarga</t>
        </is>
      </c>
      <c r="C64" s="22" t="n">
        <v>101</v>
      </c>
      <c r="D64" s="11" t="inlineStr">
        <is>
          <t>kg/m</t>
        </is>
      </c>
      <c r="E64" s="12" t="inlineStr">
        <is>
          <t>de (4.327, 7.871) a (4.327, 14.021) · 6.15 m</t>
        </is>
      </c>
      <c r="F64" s="13" t="inlineStr">
        <is>
          <t>001_EST_CROCHA_R3.2.e2k · FRAME OBJECT LOADS</t>
        </is>
      </c>
    </row>
    <row r="65" ht="19.5" customHeight="1">
      <c r="B65" s="9" t="inlineStr">
        <is>
          <t>B50058 · N+6.00 · Sobrecarga</t>
        </is>
      </c>
      <c r="C65" s="22" t="n">
        <v>101</v>
      </c>
      <c r="D65" s="11" t="inlineStr">
        <is>
          <t>kg/m</t>
        </is>
      </c>
      <c r="E65" s="12" t="inlineStr">
        <is>
          <t>de (0.000, 1.919) a (4.327, 1.919) · 4.33 m</t>
        </is>
      </c>
      <c r="F65" s="13" t="inlineStr">
        <is>
          <t>001_EST_CROCHA_R3.2.e2k · FRAME OBJECT LOADS</t>
        </is>
      </c>
    </row>
    <row r="66" ht="19.5" customHeight="1">
      <c r="B66" s="9" t="inlineStr">
        <is>
          <t>B10 · N+6.00 · Sobrecarga</t>
        </is>
      </c>
      <c r="C66" s="22" t="n">
        <v>101</v>
      </c>
      <c r="D66" s="11" t="inlineStr">
        <is>
          <t>kg/m</t>
        </is>
      </c>
      <c r="E66" s="12" t="inlineStr">
        <is>
          <t>de (4.327, 1.919) a (4.327, 2.921) · 1.00 m</t>
        </is>
      </c>
      <c r="F66" s="13" t="inlineStr">
        <is>
          <t>001_EST_CROCHA_R3.2.e2k · FRAME OBJECT LOADS</t>
        </is>
      </c>
    </row>
    <row r="67" ht="19.5" customHeight="1">
      <c r="B67" s="9" t="inlineStr">
        <is>
          <t>B13 · N+3.00 · Sobrecarga</t>
        </is>
      </c>
      <c r="C67" s="22" t="n">
        <v>333.7</v>
      </c>
      <c r="D67" s="11" t="inlineStr">
        <is>
          <t>kg/m</t>
        </is>
      </c>
      <c r="E67" s="12" t="inlineStr">
        <is>
          <t>de (-2.000, 17.446) a (0.000, 17.446) · 2.00 m</t>
        </is>
      </c>
      <c r="F67" s="13" t="inlineStr">
        <is>
          <t>001_EST_CROCHA_R3.2.e2k · FRAME OBJECT LOADS</t>
        </is>
      </c>
    </row>
    <row r="68" ht="19.5" customHeight="1">
      <c r="B68" s="9" t="inlineStr">
        <is>
          <t>B24 · N+3.00 · Sobrecarga</t>
        </is>
      </c>
      <c r="C68" s="22" t="n">
        <v>333.7</v>
      </c>
      <c r="D68" s="11" t="inlineStr">
        <is>
          <t>kg/m</t>
        </is>
      </c>
      <c r="E68" s="12" t="inlineStr">
        <is>
          <t>de (0.000, 23.446) a (3.625, 23.446) · 3.62 m</t>
        </is>
      </c>
      <c r="F68" s="13" t="inlineStr">
        <is>
          <t>001_EST_CROCHA_R3.2.e2k · FRAME OBJECT LOADS</t>
        </is>
      </c>
    </row>
    <row r="69" ht="19.5" customHeight="1">
      <c r="B69" s="9" t="inlineStr">
        <is>
          <t>B25 · N+3.00 · Sobrecarga</t>
        </is>
      </c>
      <c r="C69" s="22" t="n">
        <v>333.7</v>
      </c>
      <c r="D69" s="11" t="inlineStr">
        <is>
          <t>kg/m</t>
        </is>
      </c>
      <c r="E69" s="12" t="inlineStr">
        <is>
          <t>de (3.625, 23.446) a (7.250, 23.446) · 3.62 m</t>
        </is>
      </c>
      <c r="F69" s="13" t="inlineStr">
        <is>
          <t>001_EST_CROCHA_R3.2.e2k · FRAME OBJECT LOADS</t>
        </is>
      </c>
    </row>
    <row r="70" ht="19.5" customHeight="1">
      <c r="B70" s="9" t="inlineStr">
        <is>
          <t>B16 · N+6.00 · Sobrecarga</t>
        </is>
      </c>
      <c r="C70" s="22" t="n">
        <v>101</v>
      </c>
      <c r="D70" s="11" t="inlineStr">
        <is>
          <t>kg/m</t>
        </is>
      </c>
      <c r="E70" s="12" t="inlineStr">
        <is>
          <t>de (0.000, 1.919) a (0.000, 2.921) · 1.00 m</t>
        </is>
      </c>
      <c r="F70" s="13" t="inlineStr">
        <is>
          <t>001_EST_CROCHA_R3.2.e2k · FRAME OBJECT LOADS</t>
        </is>
      </c>
    </row>
    <row r="71" ht="19.5" customHeight="1">
      <c r="B71" s="9" t="inlineStr">
        <is>
          <t>B50129 · N+6.00 · Sobrecarga</t>
        </is>
      </c>
      <c r="C71" s="22" t="n">
        <v>101</v>
      </c>
      <c r="D71" s="11" t="inlineStr">
        <is>
          <t>kg/m</t>
        </is>
      </c>
      <c r="E71" s="12" t="inlineStr">
        <is>
          <t>de (0.000, 21.446) a (8.850, 21.446) · 8.85 m</t>
        </is>
      </c>
      <c r="F71" s="13" t="inlineStr">
        <is>
          <t>001_EST_CROCHA_R3.2.e2k · FRAME OBJECT LOADS</t>
        </is>
      </c>
    </row>
    <row r="72" ht="19.5" customHeight="1">
      <c r="B72" s="9" t="inlineStr">
        <is>
          <t>B50129 · N+6.00 · Carga Viva Máxima</t>
        </is>
      </c>
      <c r="C72" s="22" t="n">
        <v>40</v>
      </c>
      <c r="D72" s="11" t="inlineStr">
        <is>
          <t>kg/m</t>
        </is>
      </c>
      <c r="E72" s="12" t="inlineStr">
        <is>
          <t>de (0.000, 21.446) a (7.850, 21.446) · 7.85 m</t>
        </is>
      </c>
      <c r="F72" s="13" t="inlineStr">
        <is>
          <t>001_EST_CROCHA_R3.2.e2k · FRAME OBJECT LOADS</t>
        </is>
      </c>
    </row>
    <row r="73" ht="19.5" customHeight="1">
      <c r="B73" s="9" t="inlineStr">
        <is>
          <t>B50129 · N+6.00 · Carga Viva Instantanea</t>
        </is>
      </c>
      <c r="C73" s="22" t="n">
        <v>20</v>
      </c>
      <c r="D73" s="11" t="inlineStr">
        <is>
          <t>kg/m</t>
        </is>
      </c>
      <c r="E73" s="12" t="inlineStr">
        <is>
          <t>de (0.000, 21.446) a (7.850, 21.446) · 7.85 m</t>
        </is>
      </c>
      <c r="F73" s="13" t="inlineStr">
        <is>
          <t>001_EST_CROCHA_R3.2.e2k · FRAME OBJECT LOADS</t>
        </is>
      </c>
    </row>
    <row r="74" ht="19.5" customHeight="1">
      <c r="B74" s="9" t="inlineStr">
        <is>
          <t>B50129 · N+6.00 · Carga Viva Media</t>
        </is>
      </c>
      <c r="C74" s="22" t="n">
        <v>16.8421</v>
      </c>
      <c r="D74" s="11" t="inlineStr">
        <is>
          <t>kg/m</t>
        </is>
      </c>
      <c r="E74" s="12" t="inlineStr">
        <is>
          <t>de (0.000, 21.446) a (7.850, 21.446) · 7.85 m</t>
        </is>
      </c>
      <c r="F74" s="13" t="inlineStr">
        <is>
          <t>001_EST_CROCHA_R3.2.e2k · FRAME OBJECT LOADS</t>
        </is>
      </c>
    </row>
    <row r="75" ht="19.5" customHeight="1">
      <c r="B75" s="9" t="inlineStr">
        <is>
          <t>B50129 · N+6.00 · Carga Viva Máxima</t>
        </is>
      </c>
      <c r="C75" s="22" t="n">
        <v>40</v>
      </c>
      <c r="D75" s="11" t="inlineStr">
        <is>
          <t>kg/m</t>
        </is>
      </c>
      <c r="E75" s="12" t="inlineStr">
        <is>
          <t>de (7.850, 21.446) a (8.850, 21.446) · 1.00 m</t>
        </is>
      </c>
      <c r="F75" s="13" t="inlineStr">
        <is>
          <t>001_EST_CROCHA_R3.2.e2k · FRAME OBJECT LOADS</t>
        </is>
      </c>
    </row>
    <row r="76" ht="19.5" customHeight="1">
      <c r="B76" s="9" t="inlineStr">
        <is>
          <t>B50129 · N+6.00 · Carga Viva Instantanea</t>
        </is>
      </c>
      <c r="C76" s="22" t="n">
        <v>20</v>
      </c>
      <c r="D76" s="11" t="inlineStr">
        <is>
          <t>kg/m</t>
        </is>
      </c>
      <c r="E76" s="12" t="inlineStr">
        <is>
          <t>de (7.850, 21.446) a (8.850, 21.446) · 1.00 m</t>
        </is>
      </c>
      <c r="F76" s="13" t="inlineStr">
        <is>
          <t>001_EST_CROCHA_R3.2.e2k · FRAME OBJECT LOADS</t>
        </is>
      </c>
    </row>
    <row r="77" ht="19.5" customHeight="1">
      <c r="B77" s="9" t="inlineStr">
        <is>
          <t>B50129 · N+6.00 · Carga Viva Media</t>
        </is>
      </c>
      <c r="C77" s="22" t="n">
        <v>16.8421</v>
      </c>
      <c r="D77" s="11" t="inlineStr">
        <is>
          <t>kg/m</t>
        </is>
      </c>
      <c r="E77" s="12" t="inlineStr">
        <is>
          <t>de (7.850, 21.446) a (8.850, 21.446) · 1.00 m</t>
        </is>
      </c>
      <c r="F77" s="13" t="inlineStr">
        <is>
          <t>001_EST_CROCHA_R3.2.e2k · FRAME OBJECT LOADS</t>
        </is>
      </c>
    </row>
    <row r="78" ht="19.5" customHeight="1">
      <c r="B78" s="9" t="inlineStr">
        <is>
          <t>B4 · N+3.00 · Sobrecarga</t>
        </is>
      </c>
      <c r="C78" s="22" t="n">
        <v>958</v>
      </c>
      <c r="D78" s="11" t="inlineStr">
        <is>
          <t>kg/m</t>
        </is>
      </c>
      <c r="E78" s="12" t="inlineStr">
        <is>
          <t>de (8.850, 21.446) a (8.850, 24.371) · 2.92 m</t>
        </is>
      </c>
      <c r="F78" s="13" t="inlineStr">
        <is>
          <t>001_EST_CROCHA_R3.2.e2k · FRAME OBJECT LOADS</t>
        </is>
      </c>
    </row>
    <row r="79" ht="19.5" customHeight="1">
      <c r="B79" s="9" t="inlineStr">
        <is>
          <t>B2 · N+6.00 · Sobrecarga</t>
        </is>
      </c>
      <c r="C79" s="22" t="n">
        <v>101</v>
      </c>
      <c r="D79" s="11" t="inlineStr">
        <is>
          <t>kg/m</t>
        </is>
      </c>
      <c r="E79" s="12" t="inlineStr">
        <is>
          <t>de (0.000, 14.021) a (0.000, 21.446) · 7.42 m</t>
        </is>
      </c>
      <c r="F79" s="13" t="inlineStr">
        <is>
          <t>001_EST_CROCHA_R3.2.e2k · FRAME OBJECT LOADS</t>
        </is>
      </c>
    </row>
    <row r="80" ht="19.5" customHeight="1">
      <c r="B80" s="9" t="inlineStr">
        <is>
          <t>B6 · N+6.00 · Sobrecarga</t>
        </is>
      </c>
      <c r="C80" s="22" t="n">
        <v>101</v>
      </c>
      <c r="D80" s="11" t="inlineStr">
        <is>
          <t>kg/m</t>
        </is>
      </c>
      <c r="E80" s="12" t="inlineStr">
        <is>
          <t>de (0.000, 1.919) a (0.000, 7.871) · 5.95 m</t>
        </is>
      </c>
      <c r="F80" s="13" t="inlineStr">
        <is>
          <t>001_EST_CROCHA_R3.2.e2k · FRAME OBJECT LOADS</t>
        </is>
      </c>
    </row>
    <row r="81" ht="19.5" customHeight="1">
      <c r="B81" s="9" t="inlineStr">
        <is>
          <t>B17 · N+6.00 · Sobrecarga</t>
        </is>
      </c>
      <c r="C81" s="22" t="n">
        <v>101</v>
      </c>
      <c r="D81" s="11" t="inlineStr">
        <is>
          <t>kg/m</t>
        </is>
      </c>
      <c r="E81" s="12" t="inlineStr">
        <is>
          <t>de (5.923, 2.921) a (5.923, 5.946) · 3.02 m</t>
        </is>
      </c>
      <c r="F81" s="13" t="inlineStr">
        <is>
          <t>001_EST_CROCHA_R3.2.e2k · FRAME OBJECT LOADS</t>
        </is>
      </c>
    </row>
    <row r="82" ht="19.5" customHeight="1">
      <c r="B82" s="9" t="inlineStr">
        <is>
          <t>B18 · N+6.00 · Sobrecarga</t>
        </is>
      </c>
      <c r="C82" s="22" t="n">
        <v>101</v>
      </c>
      <c r="D82" s="11" t="inlineStr">
        <is>
          <t>kg/m</t>
        </is>
      </c>
      <c r="E82" s="12" t="inlineStr">
        <is>
          <t>de (5.923, 5.946) a (5.923, 9.950) · 4.00 m</t>
        </is>
      </c>
      <c r="F82" s="13" t="inlineStr">
        <is>
          <t>001_EST_CROCHA_R3.2.e2k · FRAME OBJECT LOADS</t>
        </is>
      </c>
    </row>
    <row r="83" ht="19.5" customHeight="1">
      <c r="B83" s="9" t="inlineStr">
        <is>
          <t>B23 · N+6.00 · Sobrecarga</t>
        </is>
      </c>
      <c r="C83" s="22" t="n">
        <v>101</v>
      </c>
      <c r="D83" s="11" t="inlineStr">
        <is>
          <t>kg/m</t>
        </is>
      </c>
      <c r="E83" s="12" t="inlineStr">
        <is>
          <t>de (8.850, 9.950) a (8.850, 21.446) · 11.50 m</t>
        </is>
      </c>
      <c r="F83" s="13" t="inlineStr">
        <is>
          <t>001_EST_CROCHA_R3.2.e2k · FRAME OBJECT LOADS</t>
        </is>
      </c>
    </row>
    <row r="84" ht="19.5" customHeight="1">
      <c r="B84" s="9" t="inlineStr">
        <is>
          <t>B27 · N+6.00 · Sobrecarga</t>
        </is>
      </c>
      <c r="C84" s="22" t="n">
        <v>101</v>
      </c>
      <c r="D84" s="11" t="inlineStr">
        <is>
          <t>kg/m</t>
        </is>
      </c>
      <c r="E84" s="12" t="inlineStr">
        <is>
          <t>de (5.923, 9.950) a (8.850, 9.950) · 2.93 m</t>
        </is>
      </c>
      <c r="F84" s="13" t="inlineStr">
        <is>
          <t>001_EST_CROCHA_R3.2.e2k · FRAME OBJECT LOADS</t>
        </is>
      </c>
    </row>
    <row r="85" ht="19.5" customHeight="1">
      <c r="B85" s="9" t="inlineStr">
        <is>
          <t>B29 · N+6.00 · Sobrecarga</t>
        </is>
      </c>
      <c r="C85" s="22" t="n">
        <v>101</v>
      </c>
      <c r="D85" s="11" t="inlineStr">
        <is>
          <t>kg/m</t>
        </is>
      </c>
      <c r="E85" s="12" t="inlineStr">
        <is>
          <t>de (4.327, 2.921) a (5.923, 2.921) · 1.60 m</t>
        </is>
      </c>
      <c r="F85" s="13" t="inlineStr">
        <is>
          <t>001_EST_CROCHA_R3.2.e2k · FRAME OBJECT LOADS</t>
        </is>
      </c>
    </row>
  </sheetData>
  <mergeCells count="8">
    <mergeCell ref="B4:F4"/>
    <mergeCell ref="B2:F2"/>
    <mergeCell ref="B34:F34"/>
    <mergeCell ref="B10:F10"/>
    <mergeCell ref="B28:F28"/>
    <mergeCell ref="B33:F33"/>
    <mergeCell ref="B1:F1"/>
    <mergeCell ref="B9:F9"/>
  </mergeCells>
  <conditionalFormatting sqref="C1:F86">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4.xml><?xml version="1.0" encoding="utf-8"?>
<worksheet xmlns="http://schemas.openxmlformats.org/spreadsheetml/2006/main">
  <sheetPr>
    <outlinePr summaryBelow="1" summaryRight="1"/>
    <pageSetUpPr fitToPage="1"/>
  </sheetPr>
  <dimension ref="B1:BQ40"/>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15" customWidth="1" min="2" max="2"/>
    <col width="8" customWidth="1" min="3" max="3"/>
    <col width="12" customWidth="1" min="4" max="4"/>
    <col width="12" customWidth="1" min="5" max="5"/>
    <col width="6.5" customWidth="1" min="6" max="6"/>
    <col width="6.5" customWidth="1" min="7" max="7"/>
    <col width="7.5" customWidth="1" min="8" max="8"/>
    <col width="7.5" customWidth="1" min="9" max="9"/>
    <col width="7" customWidth="1" min="10" max="10"/>
    <col width="7" customWidth="1" min="11" max="11"/>
    <col width="7" customWidth="1" min="12" max="12"/>
    <col width="6" customWidth="1" min="13" max="13"/>
    <col width="7" customWidth="1" min="14" max="14"/>
    <col width="7" customWidth="1" min="15" max="15"/>
    <col width="7" customWidth="1" min="16" max="16"/>
    <col width="7" customWidth="1" min="17" max="17"/>
    <col width="7" customWidth="1" min="18" max="18"/>
    <col width="7.5" customWidth="1" min="19" max="19"/>
    <col width="6.5" customWidth="1" min="20" max="20"/>
    <col width="6.5" customWidth="1" min="21" max="21"/>
    <col width="15" customWidth="1" min="22" max="22"/>
    <col width="12" customWidth="1" min="23" max="23"/>
    <col width="15" customWidth="1" min="24" max="24"/>
    <col width="5" customWidth="1" min="25" max="25"/>
    <col width="6" customWidth="1" min="26" max="26"/>
    <col width="7.5" customWidth="1" min="27" max="27"/>
    <col width="7.5" customWidth="1" min="28" max="28"/>
    <col width="7.5" customWidth="1" min="29" max="29"/>
    <col width="7.5" customWidth="1" min="30" max="30"/>
    <col width="7.5" customWidth="1" min="31" max="31"/>
    <col width="7.5" customWidth="1" min="32" max="32"/>
    <col width="8.5" customWidth="1" min="33" max="33"/>
    <col width="7.5" customWidth="1" min="34" max="34"/>
    <col width="7.5" customWidth="1" min="35" max="35"/>
    <col width="7.5" customWidth="1" min="36" max="36"/>
    <col width="7.5" customWidth="1" min="37" max="37"/>
    <col width="7" customWidth="1" min="38" max="38"/>
    <col width="6" customWidth="1" min="39" max="39"/>
    <col width="5.5" customWidth="1" min="40" max="40"/>
    <col width="7" customWidth="1" min="41" max="41"/>
    <col width="7" customWidth="1" min="42" max="42"/>
    <col width="7" customWidth="1" min="43" max="43"/>
    <col width="6" customWidth="1" min="44" max="44"/>
    <col width="5.5" customWidth="1" min="45" max="45"/>
    <col width="7" customWidth="1" min="46" max="46"/>
    <col width="7" customWidth="1" min="47" max="47"/>
    <col width="7" customWidth="1" min="48" max="48"/>
    <col width="6" customWidth="1" min="49" max="49"/>
    <col width="5.5" customWidth="1" min="50" max="50"/>
    <col width="7" customWidth="1" min="51" max="51"/>
    <col width="7" customWidth="1" min="52" max="52"/>
    <col width="7" customWidth="1" min="53" max="53"/>
    <col width="6" customWidth="1" min="54" max="54"/>
    <col width="5.5" customWidth="1" min="55" max="55"/>
    <col width="7" customWidth="1" min="56" max="56"/>
    <col width="7" customWidth="1" min="57" max="57"/>
    <col width="7.5" customWidth="1" min="58" max="58"/>
    <col width="7.5" customWidth="1" min="59" max="59"/>
    <col width="15" customWidth="1" min="60" max="60"/>
    <col width="9" customWidth="1" min="61" max="61"/>
    <col width="7.5" customWidth="1" min="62" max="62"/>
    <col width="11" customWidth="1" min="63" max="63"/>
    <col width="11" customWidth="1" min="64" max="64"/>
    <col width="7.5" customWidth="1" min="65" max="65"/>
    <col width="7.5" customWidth="1" min="66" max="66"/>
    <col width="15" customWidth="1" min="67" max="67"/>
    <col width="26" customWidth="1" min="68" max="68"/>
    <col width="60" customWidth="1" min="69" max="69"/>
  </cols>
  <sheetData>
    <row r="1" ht="26" customHeight="1">
      <c r="B1" s="44" t="inlineStr">
        <is>
          <t>TABLEROS — NERVADURAS SECUNDARIAS DE CADA TABLERO (MÉTODO DE COEFICIENTES NTC, LOSA APOYADA EN SU PERÍMETRO)</t>
        </is>
      </c>
    </row>
    <row r="2" ht="30" customHeight="1">
      <c r="B2" s="45" t="inlineStr">
        <is>
          <t>Un renglón por tablero. Momentos = coeficiente × 10⁻⁴ × w_u × a1² por metro; por nervadura se multiplica por s. Abajo trabaja la sección T (patín = s); arriba trabaja sólo la nervadura de 10 cm. Lo AMARILLO se puede cambiar; el resto se calcula. El detalle paso a paso de un tablero está en la hoja NERVADURA.</t>
        </is>
      </c>
    </row>
    <row r="3" ht="30" customHeight="1">
      <c r="B3" s="46" t="inlineStr">
        <is>
          <t>ESTADO: «CUMPLE» = flexión, cortante, peralte y apoyos bien. «VER PRINCIPALES» = el tablero pasa pero alguna nervadura principal que lo recibe no. «MACIZAR n hilera(s)» = el cortante pide quitar los casetones de la orilla junto al apoyo. Los tableros irregulares usan su rectángulo representativo (columnas H e I).</t>
        </is>
      </c>
    </row>
    <row r="6">
      <c r="B6" s="47" t="inlineStr">
        <is>
          <t>TABLERO</t>
        </is>
      </c>
      <c r="F6" s="47" t="inlineStr">
        <is>
          <t>GEOMETRÍA (m)</t>
        </is>
      </c>
      <c r="N6" s="47" t="inlineStr">
        <is>
          <t>CARGAS (kg/m²)</t>
        </is>
      </c>
      <c r="S6" s="47" t="inlineStr">
        <is>
          <t>CASO DE LA TABLA</t>
        </is>
      </c>
      <c r="Y6" s="47" t="inlineStr">
        <is>
          <t>COEFICIENTES ×10⁻⁴ (interpolados en m)</t>
        </is>
      </c>
      <c r="AG6" s="47" t="inlineStr">
        <is>
          <t>MOMENTOS POR NERVADURA (t·m)</t>
        </is>
      </c>
      <c r="AL6" s="47" t="inlineStr">
        <is>
          <t>INFERIOR — CLARO CORTO</t>
        </is>
      </c>
      <c r="AQ6" s="47" t="inlineStr">
        <is>
          <t>BASTONES — CLARO CORTO</t>
        </is>
      </c>
      <c r="AV6" s="47" t="inlineStr">
        <is>
          <t>INFERIOR — CLARO LARGO</t>
        </is>
      </c>
      <c r="BA6" s="47" t="inlineStr">
        <is>
          <t>BASTONES — CLARO LARGO</t>
        </is>
      </c>
      <c r="BF6" s="47" t="inlineStr">
        <is>
          <t>CORTANTE</t>
        </is>
      </c>
      <c r="BI6" s="47" t="inlineStr">
        <is>
          <t>PERALTE</t>
        </is>
      </c>
      <c r="BL6" s="47" t="inlineStr">
        <is>
          <t>RESUMEN</t>
        </is>
      </c>
    </row>
    <row r="7" ht="42" customHeight="1">
      <c r="B7" s="8" t="inlineStr">
        <is>
          <t>Tablero</t>
        </is>
      </c>
      <c r="C7" s="8" t="inlineStr">
        <is>
          <t>Nivel</t>
        </is>
      </c>
      <c r="D7" s="8" t="inlineStr">
        <is>
          <t>Modo</t>
        </is>
      </c>
      <c r="E7" s="8" t="inlineStr">
        <is>
          <t>Destino</t>
        </is>
      </c>
      <c r="F7" s="8" t="inlineStr">
        <is>
          <t>Lx</t>
        </is>
      </c>
      <c r="G7" s="8" t="inlineStr">
        <is>
          <t>Ly</t>
        </is>
      </c>
      <c r="H7" s="8" t="inlineStr">
        <is>
          <t>a_x usado</t>
        </is>
      </c>
      <c r="I7" s="8" t="inlineStr">
        <is>
          <t>a_y usado</t>
        </is>
      </c>
      <c r="J7" s="8" t="inlineStr">
        <is>
          <t>a1 corto</t>
        </is>
      </c>
      <c r="K7" s="8" t="inlineStr">
        <is>
          <t>a2 largo</t>
        </is>
      </c>
      <c r="L7" s="8" t="inlineStr">
        <is>
          <t>m = a1/a2</t>
        </is>
      </c>
      <c r="M7" s="8" t="inlineStr">
        <is>
          <t>Corto ‖</t>
        </is>
      </c>
      <c r="N7" s="8" t="inlineStr">
        <is>
          <t>SCM</t>
        </is>
      </c>
      <c r="O7" s="8" t="inlineStr">
        <is>
          <t>CV W_m</t>
        </is>
      </c>
      <c r="P7" s="8" t="inlineStr">
        <is>
          <t>PP</t>
        </is>
      </c>
      <c r="Q7" s="8" t="inlineStr">
        <is>
          <t>w serv.</t>
        </is>
      </c>
      <c r="R7" s="8" t="inlineStr">
        <is>
          <t>w_u</t>
        </is>
      </c>
      <c r="S7" s="8" t="inlineStr">
        <is>
          <t>Bordes discont.</t>
        </is>
      </c>
      <c r="T7" s="8" t="inlineStr">
        <is>
          <t>… cortos</t>
        </is>
      </c>
      <c r="U7" s="8" t="inlineStr">
        <is>
          <t>… largos</t>
        </is>
      </c>
      <c r="V7" s="8" t="inlineStr">
        <is>
          <t>Caso automático</t>
        </is>
      </c>
      <c r="W7" s="8" t="inlineStr">
        <is>
          <t>Forzar caso</t>
        </is>
      </c>
      <c r="X7" s="8" t="inlineStr">
        <is>
          <t>Caso usado</t>
        </is>
      </c>
      <c r="Y7" s="8" t="inlineStr">
        <is>
          <t>col. m</t>
        </is>
      </c>
      <c r="Z7" s="8" t="inlineStr">
        <is>
          <t>interp.</t>
        </is>
      </c>
      <c r="AA7" s="8" t="inlineStr">
        <is>
          <t>M⁻ cont. corto</t>
        </is>
      </c>
      <c r="AB7" s="8" t="inlineStr">
        <is>
          <t>M⁻ cont. largo</t>
        </is>
      </c>
      <c r="AC7" s="8" t="inlineStr">
        <is>
          <t>M⁻ disc. corto</t>
        </is>
      </c>
      <c r="AD7" s="8" t="inlineStr">
        <is>
          <t>M⁻ disc. largo</t>
        </is>
      </c>
      <c r="AE7" s="8" t="inlineStr">
        <is>
          <t>M⁺ corto</t>
        </is>
      </c>
      <c r="AF7" s="8" t="inlineStr">
        <is>
          <t>M⁺ largo</t>
        </is>
      </c>
      <c r="AG7" s="8" t="inlineStr">
        <is>
          <t>Carga en orilla de volado</t>
        </is>
      </c>
      <c r="AH7" s="8" t="inlineStr">
        <is>
          <t>M⁺ corto</t>
        </is>
      </c>
      <c r="AI7" s="8" t="inlineStr">
        <is>
          <t>M⁻ corto</t>
        </is>
      </c>
      <c r="AJ7" s="8" t="inlineStr">
        <is>
          <t>M⁺ largo</t>
        </is>
      </c>
      <c r="AK7" s="8" t="inlineStr">
        <is>
          <t>M⁻ largo</t>
        </is>
      </c>
      <c r="AL7" s="8" t="inlineStr">
        <is>
          <t>As req.</t>
        </is>
      </c>
      <c r="AM7" s="8" t="inlineStr">
        <is>
          <t>Var. No.</t>
        </is>
      </c>
      <c r="AN7" s="8" t="inlineStr">
        <is>
          <t>Pzas</t>
        </is>
      </c>
      <c r="AO7" s="8" t="inlineStr">
        <is>
          <t>M_R</t>
        </is>
      </c>
      <c r="AP7" s="8" t="inlineStr">
        <is>
          <t>Mu/M_R</t>
        </is>
      </c>
      <c r="AQ7" s="8" t="inlineStr">
        <is>
          <t>As req.</t>
        </is>
      </c>
      <c r="AR7" s="8" t="inlineStr">
        <is>
          <t>Var. No.</t>
        </is>
      </c>
      <c r="AS7" s="8" t="inlineStr">
        <is>
          <t>Pzas</t>
        </is>
      </c>
      <c r="AT7" s="8" t="inlineStr">
        <is>
          <t>M_R</t>
        </is>
      </c>
      <c r="AU7" s="8" t="inlineStr">
        <is>
          <t>Mu/M_R</t>
        </is>
      </c>
      <c r="AV7" s="8" t="inlineStr">
        <is>
          <t>As req.</t>
        </is>
      </c>
      <c r="AW7" s="8" t="inlineStr">
        <is>
          <t>Var. No.</t>
        </is>
      </c>
      <c r="AX7" s="8" t="inlineStr">
        <is>
          <t>Pzas</t>
        </is>
      </c>
      <c r="AY7" s="8" t="inlineStr">
        <is>
          <t>M_R</t>
        </is>
      </c>
      <c r="AZ7" s="8" t="inlineStr">
        <is>
          <t>Mu/M_R</t>
        </is>
      </c>
      <c r="BA7" s="8" t="inlineStr">
        <is>
          <t>As req.</t>
        </is>
      </c>
      <c r="BB7" s="8" t="inlineStr">
        <is>
          <t>Var. No.</t>
        </is>
      </c>
      <c r="BC7" s="8" t="inlineStr">
        <is>
          <t>Pzas</t>
        </is>
      </c>
      <c r="BD7" s="8" t="inlineStr">
        <is>
          <t>M_R</t>
        </is>
      </c>
      <c r="BE7" s="8" t="inlineStr">
        <is>
          <t>Mu/M_R</t>
        </is>
      </c>
      <c r="BF7" s="8" t="inlineStr">
        <is>
          <t>V_u por nerv.</t>
        </is>
      </c>
      <c r="BG7" s="8" t="inlineStr">
        <is>
          <t>V_cR</t>
        </is>
      </c>
      <c r="BH7" s="8" t="inlineStr">
        <is>
          <t>Estado</t>
        </is>
      </c>
      <c r="BI7" s="8" t="inlineStr">
        <is>
          <t>d mín. NTC / h mín. volado</t>
        </is>
      </c>
      <c r="BJ7" s="8" t="inlineStr">
        <is>
          <t>d_eq / h</t>
        </is>
      </c>
      <c r="BK7" s="8" t="inlineStr">
        <is>
          <t>Estado</t>
        </is>
      </c>
      <c r="BL7" s="8" t="inlineStr">
        <is>
          <t>s ≤ a1/6</t>
        </is>
      </c>
      <c r="BM7" s="8" t="inlineStr">
        <is>
          <t>Casetones ‖X</t>
        </is>
      </c>
      <c r="BN7" s="8" t="inlineStr">
        <is>
          <t>Casetones ‖Y</t>
        </is>
      </c>
      <c r="BO7" s="8" t="inlineStr">
        <is>
          <t>Apoyos</t>
        </is>
      </c>
      <c r="BP7" s="8" t="inlineStr">
        <is>
          <t>ESTADO</t>
        </is>
      </c>
      <c r="BQ7" s="8" t="inlineStr">
        <is>
          <t>Nota</t>
        </is>
      </c>
    </row>
    <row r="8">
      <c r="B8" s="48" t="inlineStr"/>
      <c r="C8" s="48" t="inlineStr"/>
      <c r="D8" s="48" t="inlineStr"/>
      <c r="E8" s="48" t="inlineStr"/>
      <c r="F8" s="48" t="inlineStr">
        <is>
          <t>m</t>
        </is>
      </c>
      <c r="G8" s="48" t="inlineStr">
        <is>
          <t>m</t>
        </is>
      </c>
      <c r="H8" s="48" t="inlineStr">
        <is>
          <t>m</t>
        </is>
      </c>
      <c r="I8" s="48" t="inlineStr">
        <is>
          <t>m</t>
        </is>
      </c>
      <c r="J8" s="48" t="inlineStr">
        <is>
          <t>m</t>
        </is>
      </c>
      <c r="K8" s="48" t="inlineStr">
        <is>
          <t>m</t>
        </is>
      </c>
      <c r="L8" s="48" t="inlineStr"/>
      <c r="M8" s="48" t="inlineStr"/>
      <c r="N8" s="48" t="inlineStr">
        <is>
          <t>kg/m²</t>
        </is>
      </c>
      <c r="O8" s="48" t="inlineStr">
        <is>
          <t>kg/m²</t>
        </is>
      </c>
      <c r="P8" s="48" t="inlineStr">
        <is>
          <t>kg/m²</t>
        </is>
      </c>
      <c r="Q8" s="48" t="inlineStr">
        <is>
          <t>kg/m²</t>
        </is>
      </c>
      <c r="R8" s="48" t="inlineStr">
        <is>
          <t>kg/m²</t>
        </is>
      </c>
      <c r="S8" s="48" t="inlineStr"/>
      <c r="T8" s="48" t="inlineStr"/>
      <c r="U8" s="48" t="inlineStr"/>
      <c r="V8" s="48" t="inlineStr"/>
      <c r="W8" s="48" t="inlineStr"/>
      <c r="X8" s="48" t="inlineStr"/>
      <c r="Y8" s="48" t="inlineStr"/>
      <c r="Z8" s="48" t="inlineStr"/>
      <c r="AA8" s="48" t="inlineStr"/>
      <c r="AB8" s="48" t="inlineStr"/>
      <c r="AC8" s="48" t="inlineStr"/>
      <c r="AD8" s="48" t="inlineStr"/>
      <c r="AE8" s="48" t="inlineStr"/>
      <c r="AF8" s="48" t="inlineStr"/>
      <c r="AG8" s="48" t="inlineStr">
        <is>
          <t>kg/m (serv.)</t>
        </is>
      </c>
      <c r="AH8" s="48" t="inlineStr">
        <is>
          <t>t·m</t>
        </is>
      </c>
      <c r="AI8" s="48" t="inlineStr">
        <is>
          <t>t·m</t>
        </is>
      </c>
      <c r="AJ8" s="48" t="inlineStr">
        <is>
          <t>t·m</t>
        </is>
      </c>
      <c r="AK8" s="48" t="inlineStr">
        <is>
          <t>t·m</t>
        </is>
      </c>
      <c r="AL8" s="48" t="inlineStr">
        <is>
          <t>cm²</t>
        </is>
      </c>
      <c r="AM8" s="48" t="inlineStr"/>
      <c r="AN8" s="48" t="inlineStr"/>
      <c r="AO8" s="48" t="inlineStr">
        <is>
          <t>t·m</t>
        </is>
      </c>
      <c r="AP8" s="48" t="inlineStr"/>
      <c r="AQ8" s="48" t="inlineStr">
        <is>
          <t>cm²</t>
        </is>
      </c>
      <c r="AR8" s="48" t="inlineStr"/>
      <c r="AS8" s="48" t="inlineStr"/>
      <c r="AT8" s="48" t="inlineStr">
        <is>
          <t>t·m</t>
        </is>
      </c>
      <c r="AU8" s="48" t="inlineStr"/>
      <c r="AV8" s="48" t="inlineStr">
        <is>
          <t>cm²</t>
        </is>
      </c>
      <c r="AW8" s="48" t="inlineStr"/>
      <c r="AX8" s="48" t="inlineStr"/>
      <c r="AY8" s="48" t="inlineStr">
        <is>
          <t>t·m</t>
        </is>
      </c>
      <c r="AZ8" s="48" t="inlineStr"/>
      <c r="BA8" s="48" t="inlineStr">
        <is>
          <t>cm²</t>
        </is>
      </c>
      <c r="BB8" s="48" t="inlineStr"/>
      <c r="BC8" s="48" t="inlineStr"/>
      <c r="BD8" s="48" t="inlineStr">
        <is>
          <t>t·m</t>
        </is>
      </c>
      <c r="BE8" s="48" t="inlineStr"/>
      <c r="BF8" s="48" t="inlineStr">
        <is>
          <t>t</t>
        </is>
      </c>
      <c r="BG8" s="48" t="inlineStr">
        <is>
          <t>t</t>
        </is>
      </c>
      <c r="BH8" s="48" t="inlineStr"/>
      <c r="BI8" s="48" t="inlineStr">
        <is>
          <t>cm</t>
        </is>
      </c>
      <c r="BJ8" s="48" t="inlineStr">
        <is>
          <t>cm</t>
        </is>
      </c>
      <c r="BK8" s="48" t="inlineStr"/>
      <c r="BL8" s="48" t="inlineStr"/>
      <c r="BM8" s="48" t="inlineStr"/>
      <c r="BN8" s="48" t="inlineStr"/>
      <c r="BO8" s="48" t="inlineStr"/>
      <c r="BP8" s="48" t="inlineStr"/>
      <c r="BQ8" s="48" t="inlineStr"/>
    </row>
    <row r="9" ht="30" customHeight="1">
      <c r="B9" s="49" t="inlineStr">
        <is>
          <t>F80001 N+3.00</t>
        </is>
      </c>
      <c r="C9" s="50" t="inlineStr">
        <is>
          <t>N+3.00</t>
        </is>
      </c>
      <c r="D9" s="51" t="inlineStr">
        <is>
          <t>PERIMETRAL</t>
        </is>
      </c>
      <c r="E9" s="51" t="inlineStr">
        <is>
          <t>HABITACIÓN</t>
        </is>
      </c>
      <c r="F9" s="52" t="n">
        <v>4.327</v>
      </c>
      <c r="G9" s="52" t="n">
        <v>1.002</v>
      </c>
      <c r="H9" s="53" t="n">
        <v>4.327</v>
      </c>
      <c r="I9" s="53" t="n">
        <v>1.002</v>
      </c>
      <c r="J9" s="34">
        <f>MIN(H9,I9)</f>
        <v>1.002</v>
      </c>
      <c r="K9" s="34">
        <f>MAX(H9,I9)</f>
        <v>4.327</v>
      </c>
      <c r="L9" s="34">
        <f>IF(K9&gt;0,J9/K9,0)</f>
        <v>0.231569216547261</v>
      </c>
      <c r="M9" s="50" t="str">
        <f>IF(H9&lt;=I9,"X","Y")</f>
        <v>Y</v>
      </c>
      <c r="N9" s="54" t="n">
        <v>185</v>
      </c>
      <c r="O9" s="55">
        <f>IF(E9="HABITACIÓN",DATOS!$C$76,DATOS!$C$78)</f>
        <v>190</v>
      </c>
      <c r="P9" s="55">
        <f>DATOS!$C$58</f>
        <v>253.673469387755</v>
      </c>
      <c r="Q9" s="55">
        <f>P9+N9+O9</f>
        <v>628.673469387755</v>
      </c>
      <c r="R9" s="56">
        <f>DATOS!$C$43*(P9+N9)+DATOS!$C$44*O9</f>
        <v>855.275510204082</v>
      </c>
      <c r="S9" s="55">
        <f>(APOYOS!$G$29="DISCONTINUO")+(APOYOS!$G$30="DISCONTINUO")+(APOYOS!$G$31="DISCONTINUO")+(APOYOS!$G$32="DISCONTINUO")</f>
        <v>3</v>
      </c>
      <c r="T9" s="55">
        <f>IF(M9="X",(APOYOS!$G$29="DISCONTINUO")+(APOYOS!$G$30="DISCONTINUO"),(APOYOS!$G$31="DISCONTINUO")+(APOYOS!$G$32="DISCONTINUO"))</f>
        <v>2</v>
      </c>
      <c r="U9" s="55">
        <f>S9-T9</f>
        <v>1</v>
      </c>
      <c r="V9" s="50" t="str">
        <f>IF(S9=0,"INTERIOR",IF(S9=1,IF(T9=1,"BORDE-CORTO","BORDE-LARGO"),IF(S9=2,IF(T9=1,"ESQUINA",IF(T9=2,"EXTREMO-LARGO","EXTREMO-CORTO")),IF(S9=3,IF(T9=2,"EXTREMO-LARGO","EXTREMO-CORTO"),"AISLADO"))))</f>
        <v>EXTREMO-LARGO</v>
      </c>
      <c r="W9" s="51" t="inlineStr">
        <is>
          <t>AUTO</t>
        </is>
      </c>
      <c r="X9" s="57" t="str">
        <f>IF(W9="AUTO",V9,W9)</f>
        <v>EXTREMO-LARGO</v>
      </c>
      <c r="Y9" s="55">
        <f>MATCH(L9,TABLAS!$D$5:$J$5,1)</f>
        <v>1</v>
      </c>
      <c r="Z9" s="41">
        <f>IF(Y9&gt;=7,0,(L9-INDEX(TABLAS!$D$5:$J$5,Y9))/(INDEX(TABLAS!$D$5:$J$5,Y9+1)-INDEX(TABLAS!$D$5:$J$5,Y9)))</f>
        <v>0.463138433094523</v>
      </c>
      <c r="AA9" s="55">
        <f>INDEX(TABLAS!$D$6:$J$47,MATCH(X9&amp;"|NIC",TABLAS!$B$6:$B$47,0),Y9)+Z9*(INDEX(TABLAS!$D$6:$J$47,MATCH(X9&amp;"|NIC",TABLAS!$B$6:$B$47,0),MIN(Y9+1,7))-INDEX(TABLAS!$D$6:$J$47,MATCH(X9&amp;"|NIC",TABLAS!$B$6:$B$47,0),Y9))</f>
        <v>1018.31754102149</v>
      </c>
      <c r="AB9" s="55">
        <f>INDEX(TABLAS!$D$6:$J$47,MATCH(X9&amp;"|NIL",TABLAS!$B$6:$B$47,0),Y9)+Z9*(INDEX(TABLAS!$D$6:$J$47,MATCH(X9&amp;"|NIL",TABLAS!$B$6:$B$47,0),MIN(Y9+1,7))-INDEX(TABLAS!$D$6:$J$47,MATCH(X9&amp;"|NIL",TABLAS!$B$6:$B$47,0),Y9))</f>
        <v>0</v>
      </c>
      <c r="AC9" s="55">
        <f>INDEX(TABLAS!$D$6:$J$47,MATCH(X9&amp;"|NDC",TABLAS!$B$6:$B$47,0),Y9)+Z9*(INDEX(TABLAS!$D$6:$J$47,MATCH(X9&amp;"|NDC",TABLAS!$B$6:$B$47,0),MIN(Y9+1,7))-INDEX(TABLAS!$D$6:$J$47,MATCH(X9&amp;"|NDC",TABLAS!$B$6:$B$47,0),Y9))</f>
        <v>520.858100300439</v>
      </c>
      <c r="AD9" s="55">
        <f>INDEX(TABLAS!$D$6:$J$47,MATCH(X9&amp;"|NDL",TABLAS!$B$6:$B$47,0),Y9)+Z9*(INDEX(TABLAS!$D$6:$J$47,MATCH(X9&amp;"|NDL",TABLAS!$B$6:$B$47,0),MIN(Y9+1,7))-INDEX(TABLAS!$D$6:$J$47,MATCH(X9&amp;"|NDL",TABLAS!$B$6:$B$47,0),Y9))</f>
        <v>220</v>
      </c>
      <c r="AE9" s="55">
        <f>INDEX(TABLAS!$D$6:$J$47,MATCH(X9&amp;"|PC",TABLAS!$B$6:$B$47,0),Y9)+Z9*(INDEX(TABLAS!$D$6:$J$47,MATCH(X9&amp;"|PC",TABLAS!$B$6:$B$47,0),MIN(Y9+1,7))-INDEX(TABLAS!$D$6:$J$47,MATCH(X9&amp;"|PC",TABLAS!$B$6:$B$47,0),Y9))</f>
        <v>741.274092905015</v>
      </c>
      <c r="AF9" s="55">
        <f>INDEX(TABLAS!$D$6:$J$47,MATCH(X9&amp;"|PL",TABLAS!$B$6:$B$47,0),Y9)+Z9*(INDEX(TABLAS!$D$6:$J$47,MATCH(X9&amp;"|PL",TABLAS!$B$6:$B$47,0),MIN(Y9+1,7))-INDEX(TABLAS!$D$6:$J$47,MATCH(X9&amp;"|PL",TABLAS!$B$6:$B$47,0),Y9))</f>
        <v>298.468916108158</v>
      </c>
      <c r="AG9" s="58" t="n">
        <v>0</v>
      </c>
      <c r="AH9" s="34">
        <f>IF(D9="PERIMETRAL",AE9*R9*J9^2*1E-4*DATOS!$C$16/100/1000,0)</f>
        <v>0.0445572461807731</v>
      </c>
      <c r="AI9" s="34">
        <f>IF(D9="PERIMETRAL",MAX(AA9,AC9)*R9*J9^2*1E-4*DATOS!$C$16/100/1000,IF(D9="VOLADO",(R9*J9^2/2+DATOS!$C$43*AG9*J9)*DATOS!$C$16/100/1000,0))</f>
        <v>0.061210051450305</v>
      </c>
      <c r="AJ9" s="34">
        <f>IF(D9="PERIMETRAL",AF9*R9*J9^2*1E-4*DATOS!$C$16/100/1000,0)</f>
        <v>0.017940668775057</v>
      </c>
      <c r="AK9" s="34">
        <f>IF(D9="PERIMETRAL",MAX(AB9,AD9)*R9*J9^2*1E-4*DATOS!$C$16/100/1000,0)</f>
        <v>0.0132239805135429</v>
      </c>
      <c r="AL9" s="41">
        <f>IF(D9="HUECO",0,IF(AH9&lt;=0,DATOS!$C$71*DATOS!$C$13*DATOS!$C$66,IF((1-2*AH9*1E5/(DATOS!$C$45*DATOS!$C$16*DATOS!$C$66^2*DATOS!$C$38))&lt;0,-1,MAX(DATOS!$C$71*DATOS!$C$13*DATOS!$C$66,(1-SQRT((1-2*AH9*1E5/(DATOS!$C$45*DATOS!$C$16*DATOS!$C$66^2*DATOS!$C$38))))*DATOS!$C$38*DATOS!$C$16*DATOS!$C$66/DATOS!$C$32))))</f>
        <v>0.576720388273208</v>
      </c>
      <c r="AM9" s="39">
        <f>IF(AND(AL9&gt;=0,CEILING(AL9/INDEX(TABLAS!$D$52:$D$58,MIN(MATCH(DATOS!$C$20,TABLAS!$B$52:$B$58,0)+0,7)),1)&lt;=MIN(DATOS!$C$22,INT((DATOS!$C$25+DATOS!$C$24)/(INDEX(TABLAS!$C$52:$C$58,MIN(MATCH(DATOS!$C$20,TABLAS!$B$52:$B$58,0)+0,7))+DATOS!$C$24)))),INDEX(TABLAS!$B$52:$B$58,MIN(MATCH(DATOS!$C$20,TABLAS!$B$52:$B$58,0)+0,7)),IF(AND(AL9&gt;=0,CEILING(AL9/INDEX(TABLAS!$D$52:$D$58,MIN(MATCH(DATOS!$C$20,TABLAS!$B$52:$B$58,0)+1,7)),1)&lt;=MIN(DATOS!$C$22,INT((DATOS!$C$25+DATOS!$C$24)/(INDEX(TABLAS!$C$52:$C$58,MIN(MATCH(DATOS!$C$20,TABLAS!$B$52:$B$58,0)+1,7))+DATOS!$C$24)))),INDEX(TABLAS!$B$52:$B$58,MIN(MATCH(DATOS!$C$20,TABLAS!$B$52:$B$58,0)+1,7)),IF(AND(AL9&gt;=0,CEILING(AL9/INDEX(TABLAS!$D$52:$D$58,MIN(MATCH(DATOS!$C$20,TABLAS!$B$52:$B$58,0)+2,7)),1)&lt;=MIN(DATOS!$C$22,INT((DATOS!$C$25+DATOS!$C$24)/(INDEX(TABLAS!$C$52:$C$58,MIN(MATCH(DATOS!$C$20,TABLAS!$B$52:$B$58,0)+2,7))+DATOS!$C$24)))),INDEX(TABLAS!$B$52:$B$58,MIN(MATCH(DATOS!$C$20,TABLAS!$B$52:$B$58,0)+2,7)),IF(AND(AL9&gt;=0,CEILING(AL9/INDEX(TABLAS!$D$52:$D$58,MIN(MATCH(DATOS!$C$20,TABLAS!$B$52:$B$58,0)+3,7)),1)&lt;=MIN(DATOS!$C$22,INT((DATOS!$C$25+DATOS!$C$24)/(INDEX(TABLAS!$C$52:$C$58,MIN(MATCH(DATOS!$C$20,TABLAS!$B$52:$B$58,0)+3,7))+DATOS!$C$24)))),INDEX(TABLAS!$B$52:$B$58,MIN(MATCH(DATOS!$C$20,TABLAS!$B$52:$B$58,0)+3,7)),IF(AND(AL9&gt;=0,CEILING(AL9/INDEX(TABLAS!$D$52:$D$58,MIN(MATCH(DATOS!$C$20,TABLAS!$B$52:$B$58,0)+4,7)),1)&lt;=MIN(DATOS!$C$22,INT((DATOS!$C$25+DATOS!$C$24)/(INDEX(TABLAS!$C$52:$C$58,MIN(MATCH(DATOS!$C$20,TABLAS!$B$52:$B$58,0)+4,7))+DATOS!$C$24)))),INDEX(TABLAS!$B$52:$B$58,MIN(MATCH(DATOS!$C$20,TABLAS!$B$52:$B$58,0)+4,7)),INDEX(TABLAS!$B$52:$B$58,7))))))</f>
        <v>3</v>
      </c>
      <c r="AN9" s="55">
        <f>IF(D9="HUECO",0,IF(AL9&lt;0,0,MAX(DATOS!$C$23,CEILING(AL9/INDEX(TABLAS!$D$52:$D$58,MATCH(AM9,TABLAS!$B$52:$B$58,0)),1))))</f>
        <v>1</v>
      </c>
      <c r="AO9" s="34">
        <f>IF(AN9=0,0,DATOS!$C$45*AN9*INDEX(TABLAS!$D$52:$D$58,MATCH(AM9,TABLAS!$B$52:$B$58,0))*DATOS!$C$32*((DATOS!$C$15-DATOS!$C$18-INDEX(TABLAS!$C$52:$C$58,MATCH(DATOS!$C$19,TABLAS!$B$52:$B$58,0))-INDEX(TABLAS!$C$52:$C$58,MATCH(AM9,TABLAS!$B$52:$B$58,0))/2)-AN9*INDEX(TABLAS!$D$52:$D$58,MATCH(AM9,TABLAS!$B$52:$B$58,0))*DATOS!$C$32/(DATOS!$C$38*DATOS!$C$16)/2)/1E5)</f>
        <v>0.584659515176471</v>
      </c>
      <c r="AP9" s="59">
        <f>IF(AL9&lt;0,9.99,IF(AO9&gt;0,AH9/AO9,0))</f>
        <v>0.0762105892817363</v>
      </c>
      <c r="AQ9" s="41">
        <f>IF(D9="HUECO",0,IF(AI9&lt;=0,DATOS!$C$71*DATOS!$C$13*DATOS!$C$67,IF((1-2*AI9*1E5/(DATOS!$C$45*DATOS!$C$13*DATOS!$C$67^2*DATOS!$C$38))&lt;0,-1,IF((1-SQRT((1-2*AI9*1E5/(DATOS!$C$45*DATOS!$C$13*DATOS!$C$67^2*DATOS!$C$38))))*DATOS!$C$38*DATOS!$C$13*DATOS!$C$67/DATOS!$C$32&gt;DATOS!$C$70*DATOS!$C$13*DATOS!$C$67,-1,MAX(DATOS!$C$71*DATOS!$C$13*DATOS!$C$67,(1-SQRT((1-2*AI9*1E5/(DATOS!$C$45*DATOS!$C$13*DATOS!$C$67^2*DATOS!$C$38))))*DATOS!$C$38*DATOS!$C$13*DATOS!$C$67/DATOS!$C$32)))))</f>
        <v>0.576720388273208</v>
      </c>
      <c r="AR9" s="39">
        <f>IF(AND(AQ9&gt;=0,CEILING(AQ9/INDEX(TABLAS!$D$52:$D$58,MIN(MATCH(DATOS!$C$21,TABLAS!$B$52:$B$58,0)+0,7)),1)&lt;=MIN(DATOS!$C$22,INT((DATOS!$C$25+DATOS!$C$24)/(INDEX(TABLAS!$C$52:$C$58,MIN(MATCH(DATOS!$C$21,TABLAS!$B$52:$B$58,0)+0,7))+DATOS!$C$24)))),INDEX(TABLAS!$B$52:$B$58,MIN(MATCH(DATOS!$C$21,TABLAS!$B$52:$B$58,0)+0,7)),IF(AND(AQ9&gt;=0,CEILING(AQ9/INDEX(TABLAS!$D$52:$D$58,MIN(MATCH(DATOS!$C$21,TABLAS!$B$52:$B$58,0)+1,7)),1)&lt;=MIN(DATOS!$C$22,INT((DATOS!$C$25+DATOS!$C$24)/(INDEX(TABLAS!$C$52:$C$58,MIN(MATCH(DATOS!$C$21,TABLAS!$B$52:$B$58,0)+1,7))+DATOS!$C$24)))),INDEX(TABLAS!$B$52:$B$58,MIN(MATCH(DATOS!$C$21,TABLAS!$B$52:$B$58,0)+1,7)),IF(AND(AQ9&gt;=0,CEILING(AQ9/INDEX(TABLAS!$D$52:$D$58,MIN(MATCH(DATOS!$C$21,TABLAS!$B$52:$B$58,0)+2,7)),1)&lt;=MIN(DATOS!$C$22,INT((DATOS!$C$25+DATOS!$C$24)/(INDEX(TABLAS!$C$52:$C$58,MIN(MATCH(DATOS!$C$21,TABLAS!$B$52:$B$58,0)+2,7))+DATOS!$C$24)))),INDEX(TABLAS!$B$52:$B$58,MIN(MATCH(DATOS!$C$21,TABLAS!$B$52:$B$58,0)+2,7)),IF(AND(AQ9&gt;=0,CEILING(AQ9/INDEX(TABLAS!$D$52:$D$58,MIN(MATCH(DATOS!$C$21,TABLAS!$B$52:$B$58,0)+3,7)),1)&lt;=MIN(DATOS!$C$22,INT((DATOS!$C$25+DATOS!$C$24)/(INDEX(TABLAS!$C$52:$C$58,MIN(MATCH(DATOS!$C$21,TABLAS!$B$52:$B$58,0)+3,7))+DATOS!$C$24)))),INDEX(TABLAS!$B$52:$B$58,MIN(MATCH(DATOS!$C$21,TABLAS!$B$52:$B$58,0)+3,7)),IF(AND(AQ9&gt;=0,CEILING(AQ9/INDEX(TABLAS!$D$52:$D$58,MIN(MATCH(DATOS!$C$21,TABLAS!$B$52:$B$58,0)+4,7)),1)&lt;=MIN(DATOS!$C$22,INT((DATOS!$C$25+DATOS!$C$24)/(INDEX(TABLAS!$C$52:$C$58,MIN(MATCH(DATOS!$C$21,TABLAS!$B$52:$B$58,0)+4,7))+DATOS!$C$24)))),INDEX(TABLAS!$B$52:$B$58,MIN(MATCH(DATOS!$C$21,TABLAS!$B$52:$B$58,0)+4,7)),INDEX(TABLAS!$B$52:$B$58,7))))))</f>
        <v>3</v>
      </c>
      <c r="AS9" s="55">
        <f>IF(D9="HUECO",0,IF(AQ9&lt;0,0,MAX(1,CEILING(AQ9/INDEX(TABLAS!$D$52:$D$58,MATCH(AR9,TABLAS!$B$52:$B$58,0)),1))))</f>
        <v>1</v>
      </c>
      <c r="AT9" s="34">
        <f>IF(AS9=0,0,DATOS!$C$45*AS9*INDEX(TABLAS!$D$52:$D$58,MATCH(AR9,TABLAS!$B$52:$B$58,0))*DATOS!$C$32*((DATOS!$C$15-DATOS!$C$18-INDEX(TABLAS!$C$52:$C$58,MATCH(DATOS!$C$19,TABLAS!$B$52:$B$58,0))-INDEX(TABLAS!$C$52:$C$58,MATCH(AR9,TABLAS!$B$52:$B$58,0))/2)-AS9*INDEX(TABLAS!$D$52:$D$58,MATCH(AR9,TABLAS!$B$52:$B$58,0))*DATOS!$C$32/(DATOS!$C$38*DATOS!$C$13)/2)/1E5)</f>
        <v>0.568518826235294</v>
      </c>
      <c r="AU9" s="59">
        <f>IF(AQ9&lt;0,9.99,IF(AT9&gt;0,AI9/AT9,0))</f>
        <v>0.107665830269219</v>
      </c>
      <c r="AV9" s="41">
        <f>IF(D9="HUECO",0,IF(AJ9&lt;=0,DATOS!$C$71*DATOS!$C$13*DATOS!$C$66,IF((1-2*AJ9*1E5/(DATOS!$C$45*DATOS!$C$16*DATOS!$C$66^2*DATOS!$C$38))&lt;0,-1,MAX(DATOS!$C$71*DATOS!$C$13*DATOS!$C$66,(1-SQRT((1-2*AJ9*1E5/(DATOS!$C$45*DATOS!$C$16*DATOS!$C$66^2*DATOS!$C$38))))*DATOS!$C$38*DATOS!$C$16*DATOS!$C$66/DATOS!$C$32))))</f>
        <v>0.576720388273208</v>
      </c>
      <c r="AW9" s="39">
        <f>IF(AND(AV9&gt;=0,CEILING(AV9/INDEX(TABLAS!$D$52:$D$58,MIN(MATCH(DATOS!$C$20,TABLAS!$B$52:$B$58,0)+0,7)),1)&lt;=MIN(DATOS!$C$22,INT((DATOS!$C$25+DATOS!$C$24)/(INDEX(TABLAS!$C$52:$C$58,MIN(MATCH(DATOS!$C$20,TABLAS!$B$52:$B$58,0)+0,7))+DATOS!$C$24)))),INDEX(TABLAS!$B$52:$B$58,MIN(MATCH(DATOS!$C$20,TABLAS!$B$52:$B$58,0)+0,7)),IF(AND(AV9&gt;=0,CEILING(AV9/INDEX(TABLAS!$D$52:$D$58,MIN(MATCH(DATOS!$C$20,TABLAS!$B$52:$B$58,0)+1,7)),1)&lt;=MIN(DATOS!$C$22,INT((DATOS!$C$25+DATOS!$C$24)/(INDEX(TABLAS!$C$52:$C$58,MIN(MATCH(DATOS!$C$20,TABLAS!$B$52:$B$58,0)+1,7))+DATOS!$C$24)))),INDEX(TABLAS!$B$52:$B$58,MIN(MATCH(DATOS!$C$20,TABLAS!$B$52:$B$58,0)+1,7)),IF(AND(AV9&gt;=0,CEILING(AV9/INDEX(TABLAS!$D$52:$D$58,MIN(MATCH(DATOS!$C$20,TABLAS!$B$52:$B$58,0)+2,7)),1)&lt;=MIN(DATOS!$C$22,INT((DATOS!$C$25+DATOS!$C$24)/(INDEX(TABLAS!$C$52:$C$58,MIN(MATCH(DATOS!$C$20,TABLAS!$B$52:$B$58,0)+2,7))+DATOS!$C$24)))),INDEX(TABLAS!$B$52:$B$58,MIN(MATCH(DATOS!$C$20,TABLAS!$B$52:$B$58,0)+2,7)),IF(AND(AV9&gt;=0,CEILING(AV9/INDEX(TABLAS!$D$52:$D$58,MIN(MATCH(DATOS!$C$20,TABLAS!$B$52:$B$58,0)+3,7)),1)&lt;=MIN(DATOS!$C$22,INT((DATOS!$C$25+DATOS!$C$24)/(INDEX(TABLAS!$C$52:$C$58,MIN(MATCH(DATOS!$C$20,TABLAS!$B$52:$B$58,0)+3,7))+DATOS!$C$24)))),INDEX(TABLAS!$B$52:$B$58,MIN(MATCH(DATOS!$C$20,TABLAS!$B$52:$B$58,0)+3,7)),IF(AND(AV9&gt;=0,CEILING(AV9/INDEX(TABLAS!$D$52:$D$58,MIN(MATCH(DATOS!$C$20,TABLAS!$B$52:$B$58,0)+4,7)),1)&lt;=MIN(DATOS!$C$22,INT((DATOS!$C$25+DATOS!$C$24)/(INDEX(TABLAS!$C$52:$C$58,MIN(MATCH(DATOS!$C$20,TABLAS!$B$52:$B$58,0)+4,7))+DATOS!$C$24)))),INDEX(TABLAS!$B$52:$B$58,MIN(MATCH(DATOS!$C$20,TABLAS!$B$52:$B$58,0)+4,7)),INDEX(TABLAS!$B$52:$B$58,7))))))</f>
        <v>3</v>
      </c>
      <c r="AX9" s="55">
        <f>IF(D9="HUECO",0,IF(AV9&lt;0,0,MAX(DATOS!$C$23,CEILING(AV9/INDEX(TABLAS!$D$52:$D$58,MATCH(AW9,TABLAS!$B$52:$B$58,0)),1))))</f>
        <v>1</v>
      </c>
      <c r="AY9" s="34">
        <f>IF(AX9=0,0,DATOS!$C$45*AX9*INDEX(TABLAS!$D$52:$D$58,MATCH(AW9,TABLAS!$B$52:$B$58,0))*DATOS!$C$32*((DATOS!$C$15-DATOS!$C$18-INDEX(TABLAS!$C$52:$C$58,MATCH(DATOS!$C$19,TABLAS!$B$52:$B$58,0))-INDEX(TABLAS!$C$52:$C$58,MATCH(AW9,TABLAS!$B$52:$B$58,0))/2)-AX9*INDEX(TABLAS!$D$52:$D$58,MATCH(AW9,TABLAS!$B$52:$B$58,0))*DATOS!$C$32/(DATOS!$C$38*DATOS!$C$16)/2)/1E5)</f>
        <v>0.584659515176471</v>
      </c>
      <c r="AZ9" s="59">
        <f>IF(AV9&lt;0,9.99,IF(AY9&gt;0,AJ9/AY9,0))</f>
        <v>0.0306856697092185</v>
      </c>
      <c r="BA9" s="41">
        <f>IF(D9="HUECO",0,IF(AK9&lt;=0,DATOS!$C$71*DATOS!$C$13*DATOS!$C$67,IF((1-2*AK9*1E5/(DATOS!$C$45*DATOS!$C$13*DATOS!$C$67^2*DATOS!$C$38))&lt;0,-1,IF((1-SQRT((1-2*AK9*1E5/(DATOS!$C$45*DATOS!$C$13*DATOS!$C$67^2*DATOS!$C$38))))*DATOS!$C$38*DATOS!$C$13*DATOS!$C$67/DATOS!$C$32&gt;DATOS!$C$70*DATOS!$C$13*DATOS!$C$67,-1,MAX(DATOS!$C$71*DATOS!$C$13*DATOS!$C$67,(1-SQRT((1-2*AK9*1E5/(DATOS!$C$45*DATOS!$C$13*DATOS!$C$67^2*DATOS!$C$38))))*DATOS!$C$38*DATOS!$C$13*DATOS!$C$67/DATOS!$C$32)))))</f>
        <v>0.576720388273208</v>
      </c>
      <c r="BB9" s="39">
        <f>IF(AND(BA9&gt;=0,CEILING(BA9/INDEX(TABLAS!$D$52:$D$58,MIN(MATCH(DATOS!$C$21,TABLAS!$B$52:$B$58,0)+0,7)),1)&lt;=MIN(DATOS!$C$22,INT((DATOS!$C$25+DATOS!$C$24)/(INDEX(TABLAS!$C$52:$C$58,MIN(MATCH(DATOS!$C$21,TABLAS!$B$52:$B$58,0)+0,7))+DATOS!$C$24)))),INDEX(TABLAS!$B$52:$B$58,MIN(MATCH(DATOS!$C$21,TABLAS!$B$52:$B$58,0)+0,7)),IF(AND(BA9&gt;=0,CEILING(BA9/INDEX(TABLAS!$D$52:$D$58,MIN(MATCH(DATOS!$C$21,TABLAS!$B$52:$B$58,0)+1,7)),1)&lt;=MIN(DATOS!$C$22,INT((DATOS!$C$25+DATOS!$C$24)/(INDEX(TABLAS!$C$52:$C$58,MIN(MATCH(DATOS!$C$21,TABLAS!$B$52:$B$58,0)+1,7))+DATOS!$C$24)))),INDEX(TABLAS!$B$52:$B$58,MIN(MATCH(DATOS!$C$21,TABLAS!$B$52:$B$58,0)+1,7)),IF(AND(BA9&gt;=0,CEILING(BA9/INDEX(TABLAS!$D$52:$D$58,MIN(MATCH(DATOS!$C$21,TABLAS!$B$52:$B$58,0)+2,7)),1)&lt;=MIN(DATOS!$C$22,INT((DATOS!$C$25+DATOS!$C$24)/(INDEX(TABLAS!$C$52:$C$58,MIN(MATCH(DATOS!$C$21,TABLAS!$B$52:$B$58,0)+2,7))+DATOS!$C$24)))),INDEX(TABLAS!$B$52:$B$58,MIN(MATCH(DATOS!$C$21,TABLAS!$B$52:$B$58,0)+2,7)),IF(AND(BA9&gt;=0,CEILING(BA9/INDEX(TABLAS!$D$52:$D$58,MIN(MATCH(DATOS!$C$21,TABLAS!$B$52:$B$58,0)+3,7)),1)&lt;=MIN(DATOS!$C$22,INT((DATOS!$C$25+DATOS!$C$24)/(INDEX(TABLAS!$C$52:$C$58,MIN(MATCH(DATOS!$C$21,TABLAS!$B$52:$B$58,0)+3,7))+DATOS!$C$24)))),INDEX(TABLAS!$B$52:$B$58,MIN(MATCH(DATOS!$C$21,TABLAS!$B$52:$B$58,0)+3,7)),IF(AND(BA9&gt;=0,CEILING(BA9/INDEX(TABLAS!$D$52:$D$58,MIN(MATCH(DATOS!$C$21,TABLAS!$B$52:$B$58,0)+4,7)),1)&lt;=MIN(DATOS!$C$22,INT((DATOS!$C$25+DATOS!$C$24)/(INDEX(TABLAS!$C$52:$C$58,MIN(MATCH(DATOS!$C$21,TABLAS!$B$52:$B$58,0)+4,7))+DATOS!$C$24)))),INDEX(TABLAS!$B$52:$B$58,MIN(MATCH(DATOS!$C$21,TABLAS!$B$52:$B$58,0)+4,7)),INDEX(TABLAS!$B$52:$B$58,7))))))</f>
        <v>3</v>
      </c>
      <c r="BC9" s="55">
        <f>IF(D9="HUECO",0,IF(BA9&lt;0,0,MAX(1,CEILING(BA9/INDEX(TABLAS!$D$52:$D$58,MATCH(BB9,TABLAS!$B$52:$B$58,0)),1))))</f>
        <v>1</v>
      </c>
      <c r="BD9" s="34">
        <f>IF(BC9=0,0,DATOS!$C$45*BC9*INDEX(TABLAS!$D$52:$D$58,MATCH(BB9,TABLAS!$B$52:$B$58,0))*DATOS!$C$32*((DATOS!$C$15-DATOS!$C$18-INDEX(TABLAS!$C$52:$C$58,MATCH(DATOS!$C$19,TABLAS!$B$52:$B$58,0))-INDEX(TABLAS!$C$52:$C$58,MATCH(BB9,TABLAS!$B$52:$B$58,0))/2)-BC9*INDEX(TABLAS!$D$52:$D$58,MATCH(BB9,TABLAS!$B$52:$B$58,0))*DATOS!$C$32/(DATOS!$C$38*DATOS!$C$13)/2)/1E5)</f>
        <v>0.568518826235294</v>
      </c>
      <c r="BE9" s="59">
        <f>IF(BA9&lt;0,9.99,IF(BD9&gt;0,AK9/BD9,0))</f>
        <v>0.0232604091602585</v>
      </c>
      <c r="BF9" s="34">
        <f>IF(D9="PERIMETRAL",MAX(0,(J9/2-DATOS!$C$66/100))*(0.95-0.5*L9)*R9*IF(AND(S9&gt;0,S9&lt;4),DATOS!$C$50,1)*DATOS!$C$16/100/1000,IF(D9="VOLADO",(R9*J9+DATOS!$C$43*AG9)*DATOS!$C$16/100/1000,0))</f>
        <v>0.16205415484712</v>
      </c>
      <c r="BG9" s="34">
        <f>IF(D9="HUECO",0,DATOS!$C$46*IF((AS9*INDEX(TABLAS!$D$52:$D$58,MATCH(AR9,TABLAS!$B$52:$B$58,0))/(DATOS!$C$13*DATOS!$C$67))&lt;0.015,0.2+20*(AS9*INDEX(TABLAS!$D$52:$D$58,MATCH(AR9,TABLAS!$B$52:$B$58,0))/(DATOS!$C$13*DATOS!$C$67)),0.5)*SQRT(DATOS!$C$31)*DATOS!$C$13*DATOS!$C$67*DATOS!$C$49/1000)</f>
        <v>0.687439634849853</v>
      </c>
      <c r="BH9" s="49" t="str">
        <f>IF(D9="HUECO","—",IF(BF9&lt;=BG9,"CUMPLE","MACIZAR "&amp;MAX(1,CEILING(IF(D9="VOLADO",J9,J9/2)*(1-BG9/BF9)*100/DATOS!$C$16,1))&amp;" hilera(s)"))</f>
        <v>CUMPLE</v>
      </c>
      <c r="BI9" s="41">
        <f>IF(D9="PERIMETRAL",(2*(H9+I9)+0.25*(H9*((APOYOS!$G$29="DISCONTINUO")+(APOYOS!$G$30="DISCONTINUO"))+I9*((APOYOS!$G$31="DISCONTINUO")+(APOYOS!$G$32="DISCONTINUO"))))*(J9+MIN(K9,2*J9))/(J9+K9)*100/250*IF(OR(DATOS!$C$47&gt;2520,Q9&gt;380),0.032*(DATOS!$C$47*Q9)^0.25,1),IF(D9="VOLADO",J9*100/8,0))</f>
        <v>3.13557845945771</v>
      </c>
      <c r="BJ9" s="41">
        <f>IF(D9="VOLADO",DATOS!$C$15,DATOS!$C$68)</f>
        <v>13.6082564120244</v>
      </c>
      <c r="BK9" s="50" t="str">
        <f>IF(D9="HUECO","—",IF(BJ9&gt;=BI9,"CUMPLE","NO CUMPLE"))</f>
        <v>CUMPLE</v>
      </c>
      <c r="BL9" s="50" t="str">
        <f>IF(D9="PERIMETRAL",IF(DATOS!$C$16/100&lt;=J9/6,"SÍ","NO: a1 &lt; 6·s"),"—")</f>
        <v>NO: a1 &lt; 6·s</v>
      </c>
      <c r="BM9" s="55">
        <f>MAX(0,INT((F9*100-DATOS!$C$17+DATOS!$C$13)/DATOS!$C$16))</f>
        <v>6</v>
      </c>
      <c r="BN9" s="55">
        <f>MAX(0,INT((G9*100-DATOS!$C$17+DATOS!$C$13)/DATOS!$C$16))</f>
        <v>1</v>
      </c>
      <c r="BO9" s="49" t="str">
        <f>IF(COUNTIFS(TRIB!$C$6:$C$255,B9,TRIB!$K$6:$K$255,"NO CUMPLE*")+COUNTIFS(TRIB!$C$6:$C$255,B9,TRIB!$K$6:$K$255,"SIN APOYO*")&gt;0,"VER PRINCIPALES",IF((APOYOS!$F$29="LIBRE")+(APOYOS!$F$30="LIBRE")+(APOYOS!$F$31="LIBRE")+(APOYOS!$F$32="LIBRE")&gt;0,"REVISAR: borde libre","OK"))</f>
        <v>VER PRINCIPALES</v>
      </c>
      <c r="BP9" s="60" t="str">
        <f>IF(D9="HUECO","HUECO — marco de nervaduras principales",IF(AND(MAX(AP9,AU9,AZ9,BE9)&lt;=1,NOT(OR(AN9&gt;MIN(DATOS!$C$22,INT((DATOS!$C$25+DATOS!$C$24)/(INDEX(TABLAS!$C$52:$C$58,MATCH(AM9,TABLAS!$B$52:$B$58,0))+DATOS!$C$24))),AS9&gt;MIN(DATOS!$C$22,INT((DATOS!$C$25+DATOS!$C$24)/(INDEX(TABLAS!$C$52:$C$58,MATCH(AR9,TABLAS!$B$52:$B$58,0))+DATOS!$C$24))),AX9&gt;MIN(DATOS!$C$22,INT((DATOS!$C$25+DATOS!$C$24)/(INDEX(TABLAS!$C$52:$C$58,MATCH(AW9,TABLAS!$B$52:$B$58,0))+DATOS!$C$24))),BC9&gt;MIN(DATOS!$C$22,INT((DATOS!$C$25+DATOS!$C$24)/(INDEX(TABLAS!$C$52:$C$58,MATCH(BB9,TABLAS!$B$52:$B$58,0))+DATOS!$C$24))))),BK9="CUMPLE"),IF(BO9="OK",IF(BH9="CUMPLE","CUMPLE","CUMPLE — "&amp;BH9),IF(BO9="VER PRINCIPALES","VER PRINCIPALES","REVISAR APOYOS")),"NO CUMPLE: "&amp;IF(MAX(AP9,AU9,AZ9,BE9)&gt;1,"flexión ","")&amp;IF(OR(AN9&gt;MIN(DATOS!$C$22,INT((DATOS!$C$25+DATOS!$C$24)/(INDEX(TABLAS!$C$52:$C$58,MATCH(AM9,TABLAS!$B$52:$B$58,0))+DATOS!$C$24))),AS9&gt;MIN(DATOS!$C$22,INT((DATOS!$C$25+DATOS!$C$24)/(INDEX(TABLAS!$C$52:$C$58,MATCH(AR9,TABLAS!$B$52:$B$58,0))+DATOS!$C$24))),AX9&gt;MIN(DATOS!$C$22,INT((DATOS!$C$25+DATOS!$C$24)/(INDEX(TABLAS!$C$52:$C$58,MATCH(AW9,TABLAS!$B$52:$B$58,0))+DATOS!$C$24))),BC9&gt;MIN(DATOS!$C$22,INT((DATOS!$C$25+DATOS!$C$24)/(INDEX(TABLAS!$C$52:$C$58,MATCH(BB9,TABLAS!$B$52:$B$58,0))+DATOS!$C$24)))),"no caben ","")&amp;IF(BK9&lt;&gt;"CUMPLE","peralte","")))</f>
        <v>VER PRINCIPALES</v>
      </c>
      <c r="BQ9" s="61" t="inlineStr">
        <is>
          <t>—</t>
        </is>
      </c>
    </row>
    <row r="10" ht="30" customHeight="1">
      <c r="B10" s="49" t="inlineStr">
        <is>
          <t>F80003 N+3.00</t>
        </is>
      </c>
      <c r="C10" s="50" t="inlineStr">
        <is>
          <t>N+3.00</t>
        </is>
      </c>
      <c r="D10" s="51" t="inlineStr">
        <is>
          <t>PERIMETRAL</t>
        </is>
      </c>
      <c r="E10" s="51" t="inlineStr">
        <is>
          <t>HABITACIÓN</t>
        </is>
      </c>
      <c r="F10" s="52" t="n">
        <v>4.327</v>
      </c>
      <c r="G10" s="52" t="n">
        <v>3.025</v>
      </c>
      <c r="H10" s="53" t="n">
        <v>4.327</v>
      </c>
      <c r="I10" s="53" t="n">
        <v>3.025</v>
      </c>
      <c r="J10" s="34">
        <f>MIN(H10,I10)</f>
        <v>3.025</v>
      </c>
      <c r="K10" s="34">
        <f>MAX(H10,I10)</f>
        <v>4.327</v>
      </c>
      <c r="L10" s="34">
        <f>IF(K10&gt;0,J10/K10,0)</f>
        <v>0.699098682690086</v>
      </c>
      <c r="M10" s="50" t="str">
        <f>IF(H10&lt;=I10,"X","Y")</f>
        <v>Y</v>
      </c>
      <c r="N10" s="54" t="n">
        <v>160</v>
      </c>
      <c r="O10" s="55">
        <f>IF(E10="HABITACIÓN",DATOS!$C$76,DATOS!$C$78)</f>
        <v>190</v>
      </c>
      <c r="P10" s="55">
        <f>DATOS!$C$58</f>
        <v>253.673469387755</v>
      </c>
      <c r="Q10" s="55">
        <f>P10+N10+O10</f>
        <v>603.673469387755</v>
      </c>
      <c r="R10" s="56">
        <f>DATOS!$C$43*(P10+N10)+DATOS!$C$44*O10</f>
        <v>822.775510204082</v>
      </c>
      <c r="S10" s="55">
        <f>(APOYOS!$G$33="DISCONTINUO")+(APOYOS!$G$34="DISCONTINUO")+(APOYOS!$G$35="DISCONTINUO")+(APOYOS!$G$36="DISCONTINUO")</f>
        <v>1</v>
      </c>
      <c r="T10" s="55">
        <f>IF(M10="X",(APOYOS!$G$33="DISCONTINUO")+(APOYOS!$G$34="DISCONTINUO"),(APOYOS!$G$35="DISCONTINUO")+(APOYOS!$G$36="DISCONTINUO"))</f>
        <v>1</v>
      </c>
      <c r="U10" s="55">
        <f>S10-T10</f>
        <v>0</v>
      </c>
      <c r="V10" s="50" t="str">
        <f>IF(S10=0,"INTERIOR",IF(S10=1,IF(T10=1,"BORDE-CORTO","BORDE-LARGO"),IF(S10=2,IF(T10=1,"ESQUINA",IF(T10=2,"EXTREMO-LARGO","EXTREMO-CORTO")),IF(S10=3,IF(T10=2,"EXTREMO-LARGO","EXTREMO-CORTO"),"AISLADO"))))</f>
        <v>BORDE-CORTO</v>
      </c>
      <c r="W10" s="51" t="inlineStr">
        <is>
          <t>AUTO</t>
        </is>
      </c>
      <c r="X10" s="57" t="str">
        <f>IF(W10="AUTO",V10,W10)</f>
        <v>BORDE-CORTO</v>
      </c>
      <c r="Y10" s="55">
        <f>MATCH(L10,TABLAS!$D$5:$J$5,1)</f>
        <v>3</v>
      </c>
      <c r="Z10" s="41">
        <f>IF(Y10&gt;=7,0,(L10-INDEX(TABLAS!$D$5:$J$5,Y10))/(INDEX(TABLAS!$D$5:$J$5,Y10+1)-INDEX(TABLAS!$D$5:$J$5,Y10)))</f>
        <v>0.990986826900855</v>
      </c>
      <c r="AA10" s="55">
        <f>INDEX(TABLAS!$D$6:$J$47,MATCH(X10&amp;"|NIC",TABLAS!$B$6:$B$47,0),Y10)+Z10*(INDEX(TABLAS!$D$6:$J$47,MATCH(X10&amp;"|NIC",TABLAS!$B$6:$B$47,0),MIN(Y10+1,7))-INDEX(TABLAS!$D$6:$J$47,MATCH(X10&amp;"|NIC",TABLAS!$B$6:$B$47,0),Y10))</f>
        <v>451.495724520453</v>
      </c>
      <c r="AB10" s="55">
        <f>INDEX(TABLAS!$D$6:$J$47,MATCH(X10&amp;"|NIL",TABLAS!$B$6:$B$47,0),Y10)+Z10*(INDEX(TABLAS!$D$6:$J$47,MATCH(X10&amp;"|NIL",TABLAS!$B$6:$B$47,0),MIN(Y10+1,7))-INDEX(TABLAS!$D$6:$J$47,MATCH(X10&amp;"|NIL",TABLAS!$B$6:$B$47,0),Y10))</f>
        <v>372.171250288884</v>
      </c>
      <c r="AC10" s="55">
        <f>INDEX(TABLAS!$D$6:$J$47,MATCH(X10&amp;"|NDC",TABLAS!$B$6:$B$47,0),Y10)+Z10*(INDEX(TABLAS!$D$6:$J$47,MATCH(X10&amp;"|NDC",TABLAS!$B$6:$B$47,0),MIN(Y10+1,7))-INDEX(TABLAS!$D$6:$J$47,MATCH(X10&amp;"|NDC",TABLAS!$B$6:$B$47,0),Y10))</f>
        <v>0</v>
      </c>
      <c r="AD10" s="55">
        <f>INDEX(TABLAS!$D$6:$J$47,MATCH(X10&amp;"|NDL",TABLAS!$B$6:$B$47,0),Y10)+Z10*(INDEX(TABLAS!$D$6:$J$47,MATCH(X10&amp;"|NDL",TABLAS!$B$6:$B$47,0),MIN(Y10+1,7))-INDEX(TABLAS!$D$6:$J$47,MATCH(X10&amp;"|NDL",TABLAS!$B$6:$B$47,0),Y10))</f>
        <v>236.10815807719</v>
      </c>
      <c r="AE10" s="55">
        <f>INDEX(TABLAS!$D$6:$J$47,MATCH(X10&amp;"|PC",TABLAS!$B$6:$B$47,0),Y10)+Z10*(INDEX(TABLAS!$D$6:$J$47,MATCH(X10&amp;"|PC",TABLAS!$B$6:$B$47,0),MIN(Y10+1,7))-INDEX(TABLAS!$D$6:$J$47,MATCH(X10&amp;"|PC",TABLAS!$B$6:$B$47,0),Y10))</f>
        <v>240.468685001156</v>
      </c>
      <c r="AF10" s="55">
        <f>INDEX(TABLAS!$D$6:$J$47,MATCH(X10&amp;"|PL",TABLAS!$B$6:$B$47,0),Y10)+Z10*(INDEX(TABLAS!$D$6:$J$47,MATCH(X10&amp;"|PL",TABLAS!$B$6:$B$47,0),MIN(Y10+1,7))-INDEX(TABLAS!$D$6:$J$47,MATCH(X10&amp;"|PL",TABLAS!$B$6:$B$47,0),Y10))</f>
        <v>133.036052692397</v>
      </c>
      <c r="AG10" s="58" t="n">
        <v>0</v>
      </c>
      <c r="AH10" s="34">
        <f>IF(D10="PERIMETRAL",AE10*R10*J10^2*1E-4*DATOS!$C$16/100/1000,0)</f>
        <v>0.126732698679894</v>
      </c>
      <c r="AI10" s="34">
        <f>IF(D10="PERIMETRAL",MAX(AA10,AC10)*R10*J10^2*1E-4*DATOS!$C$16/100/1000,IF(D10="VOLADO",(R10*J10^2/2+DATOS!$C$43*AG10*J10)*DATOS!$C$16/100/1000,0))</f>
        <v>0.237948952108404</v>
      </c>
      <c r="AJ10" s="34">
        <f>IF(D10="PERIMETRAL",AF10*R10*J10^2*1E-4*DATOS!$C$16/100/1000,0)</f>
        <v>0.0701131541487281</v>
      </c>
      <c r="AK10" s="34">
        <f>IF(D10="PERIMETRAL",MAX(AB10,AD10)*R10*J10^2*1E-4*DATOS!$C$16/100/1000,0)</f>
        <v>0.196143073348423</v>
      </c>
      <c r="AL10" s="41">
        <f>IF(D10="HUECO",0,IF(AH10&lt;=0,DATOS!$C$71*DATOS!$C$13*DATOS!$C$66,IF((1-2*AH10*1E5/(DATOS!$C$45*DATOS!$C$16*DATOS!$C$66^2*DATOS!$C$38))&lt;0,-1,MAX(DATOS!$C$71*DATOS!$C$13*DATOS!$C$66,(1-SQRT((1-2*AH10*1E5/(DATOS!$C$45*DATOS!$C$16*DATOS!$C$66^2*DATOS!$C$38))))*DATOS!$C$38*DATOS!$C$16*DATOS!$C$66/DATOS!$C$32))))</f>
        <v>0.576720388273208</v>
      </c>
      <c r="AM10" s="39">
        <f>IF(AND(AL10&gt;=0,CEILING(AL10/INDEX(TABLAS!$D$52:$D$58,MIN(MATCH(DATOS!$C$20,TABLAS!$B$52:$B$58,0)+0,7)),1)&lt;=MIN(DATOS!$C$22,INT((DATOS!$C$25+DATOS!$C$24)/(INDEX(TABLAS!$C$52:$C$58,MIN(MATCH(DATOS!$C$20,TABLAS!$B$52:$B$58,0)+0,7))+DATOS!$C$24)))),INDEX(TABLAS!$B$52:$B$58,MIN(MATCH(DATOS!$C$20,TABLAS!$B$52:$B$58,0)+0,7)),IF(AND(AL10&gt;=0,CEILING(AL10/INDEX(TABLAS!$D$52:$D$58,MIN(MATCH(DATOS!$C$20,TABLAS!$B$52:$B$58,0)+1,7)),1)&lt;=MIN(DATOS!$C$22,INT((DATOS!$C$25+DATOS!$C$24)/(INDEX(TABLAS!$C$52:$C$58,MIN(MATCH(DATOS!$C$20,TABLAS!$B$52:$B$58,0)+1,7))+DATOS!$C$24)))),INDEX(TABLAS!$B$52:$B$58,MIN(MATCH(DATOS!$C$20,TABLAS!$B$52:$B$58,0)+1,7)),IF(AND(AL10&gt;=0,CEILING(AL10/INDEX(TABLAS!$D$52:$D$58,MIN(MATCH(DATOS!$C$20,TABLAS!$B$52:$B$58,0)+2,7)),1)&lt;=MIN(DATOS!$C$22,INT((DATOS!$C$25+DATOS!$C$24)/(INDEX(TABLAS!$C$52:$C$58,MIN(MATCH(DATOS!$C$20,TABLAS!$B$52:$B$58,0)+2,7))+DATOS!$C$24)))),INDEX(TABLAS!$B$52:$B$58,MIN(MATCH(DATOS!$C$20,TABLAS!$B$52:$B$58,0)+2,7)),IF(AND(AL10&gt;=0,CEILING(AL10/INDEX(TABLAS!$D$52:$D$58,MIN(MATCH(DATOS!$C$20,TABLAS!$B$52:$B$58,0)+3,7)),1)&lt;=MIN(DATOS!$C$22,INT((DATOS!$C$25+DATOS!$C$24)/(INDEX(TABLAS!$C$52:$C$58,MIN(MATCH(DATOS!$C$20,TABLAS!$B$52:$B$58,0)+3,7))+DATOS!$C$24)))),INDEX(TABLAS!$B$52:$B$58,MIN(MATCH(DATOS!$C$20,TABLAS!$B$52:$B$58,0)+3,7)),IF(AND(AL10&gt;=0,CEILING(AL10/INDEX(TABLAS!$D$52:$D$58,MIN(MATCH(DATOS!$C$20,TABLAS!$B$52:$B$58,0)+4,7)),1)&lt;=MIN(DATOS!$C$22,INT((DATOS!$C$25+DATOS!$C$24)/(INDEX(TABLAS!$C$52:$C$58,MIN(MATCH(DATOS!$C$20,TABLAS!$B$52:$B$58,0)+4,7))+DATOS!$C$24)))),INDEX(TABLAS!$B$52:$B$58,MIN(MATCH(DATOS!$C$20,TABLAS!$B$52:$B$58,0)+4,7)),INDEX(TABLAS!$B$52:$B$58,7))))))</f>
        <v>3</v>
      </c>
      <c r="AN10" s="55">
        <f>IF(D10="HUECO",0,IF(AL10&lt;0,0,MAX(DATOS!$C$23,CEILING(AL10/INDEX(TABLAS!$D$52:$D$58,MATCH(AM10,TABLAS!$B$52:$B$58,0)),1))))</f>
        <v>1</v>
      </c>
      <c r="AO10" s="34">
        <f>IF(AN10=0,0,DATOS!$C$45*AN10*INDEX(TABLAS!$D$52:$D$58,MATCH(AM10,TABLAS!$B$52:$B$58,0))*DATOS!$C$32*((DATOS!$C$15-DATOS!$C$18-INDEX(TABLAS!$C$52:$C$58,MATCH(DATOS!$C$19,TABLAS!$B$52:$B$58,0))-INDEX(TABLAS!$C$52:$C$58,MATCH(AM10,TABLAS!$B$52:$B$58,0))/2)-AN10*INDEX(TABLAS!$D$52:$D$58,MATCH(AM10,TABLAS!$B$52:$B$58,0))*DATOS!$C$32/(DATOS!$C$38*DATOS!$C$16)/2)/1E5)</f>
        <v>0.584659515176471</v>
      </c>
      <c r="AP10" s="59">
        <f>IF(AL10&lt;0,9.99,IF(AO10&gt;0,AH10/AO10,0))</f>
        <v>0.216763253466663</v>
      </c>
      <c r="AQ10" s="41">
        <f>IF(D10="HUECO",0,IF(AI10&lt;=0,DATOS!$C$71*DATOS!$C$13*DATOS!$C$67,IF((1-2*AI10*1E5/(DATOS!$C$45*DATOS!$C$13*DATOS!$C$67^2*DATOS!$C$38))&lt;0,-1,IF((1-SQRT((1-2*AI10*1E5/(DATOS!$C$45*DATOS!$C$13*DATOS!$C$67^2*DATOS!$C$38))))*DATOS!$C$38*DATOS!$C$13*DATOS!$C$67/DATOS!$C$32&gt;DATOS!$C$70*DATOS!$C$13*DATOS!$C$67,-1,MAX(DATOS!$C$71*DATOS!$C$13*DATOS!$C$67,(1-SQRT((1-2*AI10*1E5/(DATOS!$C$45*DATOS!$C$13*DATOS!$C$67^2*DATOS!$C$38))))*DATOS!$C$38*DATOS!$C$13*DATOS!$C$67/DATOS!$C$32)))))</f>
        <v>0.576720388273208</v>
      </c>
      <c r="AR10" s="39">
        <f>IF(AND(AQ10&gt;=0,CEILING(AQ10/INDEX(TABLAS!$D$52:$D$58,MIN(MATCH(DATOS!$C$21,TABLAS!$B$52:$B$58,0)+0,7)),1)&lt;=MIN(DATOS!$C$22,INT((DATOS!$C$25+DATOS!$C$24)/(INDEX(TABLAS!$C$52:$C$58,MIN(MATCH(DATOS!$C$21,TABLAS!$B$52:$B$58,0)+0,7))+DATOS!$C$24)))),INDEX(TABLAS!$B$52:$B$58,MIN(MATCH(DATOS!$C$21,TABLAS!$B$52:$B$58,0)+0,7)),IF(AND(AQ10&gt;=0,CEILING(AQ10/INDEX(TABLAS!$D$52:$D$58,MIN(MATCH(DATOS!$C$21,TABLAS!$B$52:$B$58,0)+1,7)),1)&lt;=MIN(DATOS!$C$22,INT((DATOS!$C$25+DATOS!$C$24)/(INDEX(TABLAS!$C$52:$C$58,MIN(MATCH(DATOS!$C$21,TABLAS!$B$52:$B$58,0)+1,7))+DATOS!$C$24)))),INDEX(TABLAS!$B$52:$B$58,MIN(MATCH(DATOS!$C$21,TABLAS!$B$52:$B$58,0)+1,7)),IF(AND(AQ10&gt;=0,CEILING(AQ10/INDEX(TABLAS!$D$52:$D$58,MIN(MATCH(DATOS!$C$21,TABLAS!$B$52:$B$58,0)+2,7)),1)&lt;=MIN(DATOS!$C$22,INT((DATOS!$C$25+DATOS!$C$24)/(INDEX(TABLAS!$C$52:$C$58,MIN(MATCH(DATOS!$C$21,TABLAS!$B$52:$B$58,0)+2,7))+DATOS!$C$24)))),INDEX(TABLAS!$B$52:$B$58,MIN(MATCH(DATOS!$C$21,TABLAS!$B$52:$B$58,0)+2,7)),IF(AND(AQ10&gt;=0,CEILING(AQ10/INDEX(TABLAS!$D$52:$D$58,MIN(MATCH(DATOS!$C$21,TABLAS!$B$52:$B$58,0)+3,7)),1)&lt;=MIN(DATOS!$C$22,INT((DATOS!$C$25+DATOS!$C$24)/(INDEX(TABLAS!$C$52:$C$58,MIN(MATCH(DATOS!$C$21,TABLAS!$B$52:$B$58,0)+3,7))+DATOS!$C$24)))),INDEX(TABLAS!$B$52:$B$58,MIN(MATCH(DATOS!$C$21,TABLAS!$B$52:$B$58,0)+3,7)),IF(AND(AQ10&gt;=0,CEILING(AQ10/INDEX(TABLAS!$D$52:$D$58,MIN(MATCH(DATOS!$C$21,TABLAS!$B$52:$B$58,0)+4,7)),1)&lt;=MIN(DATOS!$C$22,INT((DATOS!$C$25+DATOS!$C$24)/(INDEX(TABLAS!$C$52:$C$58,MIN(MATCH(DATOS!$C$21,TABLAS!$B$52:$B$58,0)+4,7))+DATOS!$C$24)))),INDEX(TABLAS!$B$52:$B$58,MIN(MATCH(DATOS!$C$21,TABLAS!$B$52:$B$58,0)+4,7)),INDEX(TABLAS!$B$52:$B$58,7))))))</f>
        <v>3</v>
      </c>
      <c r="AS10" s="55">
        <f>IF(D10="HUECO",0,IF(AQ10&lt;0,0,MAX(1,CEILING(AQ10/INDEX(TABLAS!$D$52:$D$58,MATCH(AR10,TABLAS!$B$52:$B$58,0)),1))))</f>
        <v>1</v>
      </c>
      <c r="AT10" s="34">
        <f>IF(AS10=0,0,DATOS!$C$45*AS10*INDEX(TABLAS!$D$52:$D$58,MATCH(AR10,TABLAS!$B$52:$B$58,0))*DATOS!$C$32*((DATOS!$C$15-DATOS!$C$18-INDEX(TABLAS!$C$52:$C$58,MATCH(DATOS!$C$19,TABLAS!$B$52:$B$58,0))-INDEX(TABLAS!$C$52:$C$58,MATCH(AR10,TABLAS!$B$52:$B$58,0))/2)-AS10*INDEX(TABLAS!$D$52:$D$58,MATCH(AR10,TABLAS!$B$52:$B$58,0))*DATOS!$C$32/(DATOS!$C$38*DATOS!$C$13)/2)/1E5)</f>
        <v>0.568518826235294</v>
      </c>
      <c r="AU10" s="59">
        <f>IF(AQ10&lt;0,9.99,IF(AT10&gt;0,AI10/AT10,0))</f>
        <v>0.418541904204107</v>
      </c>
      <c r="AV10" s="41">
        <f>IF(D10="HUECO",0,IF(AJ10&lt;=0,DATOS!$C$71*DATOS!$C$13*DATOS!$C$66,IF((1-2*AJ10*1E5/(DATOS!$C$45*DATOS!$C$16*DATOS!$C$66^2*DATOS!$C$38))&lt;0,-1,MAX(DATOS!$C$71*DATOS!$C$13*DATOS!$C$66,(1-SQRT((1-2*AJ10*1E5/(DATOS!$C$45*DATOS!$C$16*DATOS!$C$66^2*DATOS!$C$38))))*DATOS!$C$38*DATOS!$C$16*DATOS!$C$66/DATOS!$C$32))))</f>
        <v>0.576720388273208</v>
      </c>
      <c r="AW10" s="39">
        <f>IF(AND(AV10&gt;=0,CEILING(AV10/INDEX(TABLAS!$D$52:$D$58,MIN(MATCH(DATOS!$C$20,TABLAS!$B$52:$B$58,0)+0,7)),1)&lt;=MIN(DATOS!$C$22,INT((DATOS!$C$25+DATOS!$C$24)/(INDEX(TABLAS!$C$52:$C$58,MIN(MATCH(DATOS!$C$20,TABLAS!$B$52:$B$58,0)+0,7))+DATOS!$C$24)))),INDEX(TABLAS!$B$52:$B$58,MIN(MATCH(DATOS!$C$20,TABLAS!$B$52:$B$58,0)+0,7)),IF(AND(AV10&gt;=0,CEILING(AV10/INDEX(TABLAS!$D$52:$D$58,MIN(MATCH(DATOS!$C$20,TABLAS!$B$52:$B$58,0)+1,7)),1)&lt;=MIN(DATOS!$C$22,INT((DATOS!$C$25+DATOS!$C$24)/(INDEX(TABLAS!$C$52:$C$58,MIN(MATCH(DATOS!$C$20,TABLAS!$B$52:$B$58,0)+1,7))+DATOS!$C$24)))),INDEX(TABLAS!$B$52:$B$58,MIN(MATCH(DATOS!$C$20,TABLAS!$B$52:$B$58,0)+1,7)),IF(AND(AV10&gt;=0,CEILING(AV10/INDEX(TABLAS!$D$52:$D$58,MIN(MATCH(DATOS!$C$20,TABLAS!$B$52:$B$58,0)+2,7)),1)&lt;=MIN(DATOS!$C$22,INT((DATOS!$C$25+DATOS!$C$24)/(INDEX(TABLAS!$C$52:$C$58,MIN(MATCH(DATOS!$C$20,TABLAS!$B$52:$B$58,0)+2,7))+DATOS!$C$24)))),INDEX(TABLAS!$B$52:$B$58,MIN(MATCH(DATOS!$C$20,TABLAS!$B$52:$B$58,0)+2,7)),IF(AND(AV10&gt;=0,CEILING(AV10/INDEX(TABLAS!$D$52:$D$58,MIN(MATCH(DATOS!$C$20,TABLAS!$B$52:$B$58,0)+3,7)),1)&lt;=MIN(DATOS!$C$22,INT((DATOS!$C$25+DATOS!$C$24)/(INDEX(TABLAS!$C$52:$C$58,MIN(MATCH(DATOS!$C$20,TABLAS!$B$52:$B$58,0)+3,7))+DATOS!$C$24)))),INDEX(TABLAS!$B$52:$B$58,MIN(MATCH(DATOS!$C$20,TABLAS!$B$52:$B$58,0)+3,7)),IF(AND(AV10&gt;=0,CEILING(AV10/INDEX(TABLAS!$D$52:$D$58,MIN(MATCH(DATOS!$C$20,TABLAS!$B$52:$B$58,0)+4,7)),1)&lt;=MIN(DATOS!$C$22,INT((DATOS!$C$25+DATOS!$C$24)/(INDEX(TABLAS!$C$52:$C$58,MIN(MATCH(DATOS!$C$20,TABLAS!$B$52:$B$58,0)+4,7))+DATOS!$C$24)))),INDEX(TABLAS!$B$52:$B$58,MIN(MATCH(DATOS!$C$20,TABLAS!$B$52:$B$58,0)+4,7)),INDEX(TABLAS!$B$52:$B$58,7))))))</f>
        <v>3</v>
      </c>
      <c r="AX10" s="55">
        <f>IF(D10="HUECO",0,IF(AV10&lt;0,0,MAX(DATOS!$C$23,CEILING(AV10/INDEX(TABLAS!$D$52:$D$58,MATCH(AW10,TABLAS!$B$52:$B$58,0)),1))))</f>
        <v>1</v>
      </c>
      <c r="AY10" s="34">
        <f>IF(AX10=0,0,DATOS!$C$45*AX10*INDEX(TABLAS!$D$52:$D$58,MATCH(AW10,TABLAS!$B$52:$B$58,0))*DATOS!$C$32*((DATOS!$C$15-DATOS!$C$18-INDEX(TABLAS!$C$52:$C$58,MATCH(DATOS!$C$19,TABLAS!$B$52:$B$58,0))-INDEX(TABLAS!$C$52:$C$58,MATCH(AW10,TABLAS!$B$52:$B$58,0))/2)-AX10*INDEX(TABLAS!$D$52:$D$58,MATCH(AW10,TABLAS!$B$52:$B$58,0))*DATOS!$C$32/(DATOS!$C$38*DATOS!$C$16)/2)/1E5)</f>
        <v>0.584659515176471</v>
      </c>
      <c r="AZ10" s="59">
        <f>IF(AV10&lt;0,9.99,IF(AY10&gt;0,AJ10/AY10,0))</f>
        <v>0.11992134281363</v>
      </c>
      <c r="BA10" s="41">
        <f>IF(D10="HUECO",0,IF(AK10&lt;=0,DATOS!$C$71*DATOS!$C$13*DATOS!$C$67,IF((1-2*AK10*1E5/(DATOS!$C$45*DATOS!$C$13*DATOS!$C$67^2*DATOS!$C$38))&lt;0,-1,IF((1-SQRT((1-2*AK10*1E5/(DATOS!$C$45*DATOS!$C$13*DATOS!$C$67^2*DATOS!$C$38))))*DATOS!$C$38*DATOS!$C$13*DATOS!$C$67/DATOS!$C$32&gt;DATOS!$C$70*DATOS!$C$13*DATOS!$C$67,-1,MAX(DATOS!$C$71*DATOS!$C$13*DATOS!$C$67,(1-SQRT((1-2*AK10*1E5/(DATOS!$C$45*DATOS!$C$13*DATOS!$C$67^2*DATOS!$C$38))))*DATOS!$C$38*DATOS!$C$13*DATOS!$C$67/DATOS!$C$32)))))</f>
        <v>0.576720388273208</v>
      </c>
      <c r="BB10" s="39">
        <f>IF(AND(BA10&gt;=0,CEILING(BA10/INDEX(TABLAS!$D$52:$D$58,MIN(MATCH(DATOS!$C$21,TABLAS!$B$52:$B$58,0)+0,7)),1)&lt;=MIN(DATOS!$C$22,INT((DATOS!$C$25+DATOS!$C$24)/(INDEX(TABLAS!$C$52:$C$58,MIN(MATCH(DATOS!$C$21,TABLAS!$B$52:$B$58,0)+0,7))+DATOS!$C$24)))),INDEX(TABLAS!$B$52:$B$58,MIN(MATCH(DATOS!$C$21,TABLAS!$B$52:$B$58,0)+0,7)),IF(AND(BA10&gt;=0,CEILING(BA10/INDEX(TABLAS!$D$52:$D$58,MIN(MATCH(DATOS!$C$21,TABLAS!$B$52:$B$58,0)+1,7)),1)&lt;=MIN(DATOS!$C$22,INT((DATOS!$C$25+DATOS!$C$24)/(INDEX(TABLAS!$C$52:$C$58,MIN(MATCH(DATOS!$C$21,TABLAS!$B$52:$B$58,0)+1,7))+DATOS!$C$24)))),INDEX(TABLAS!$B$52:$B$58,MIN(MATCH(DATOS!$C$21,TABLAS!$B$52:$B$58,0)+1,7)),IF(AND(BA10&gt;=0,CEILING(BA10/INDEX(TABLAS!$D$52:$D$58,MIN(MATCH(DATOS!$C$21,TABLAS!$B$52:$B$58,0)+2,7)),1)&lt;=MIN(DATOS!$C$22,INT((DATOS!$C$25+DATOS!$C$24)/(INDEX(TABLAS!$C$52:$C$58,MIN(MATCH(DATOS!$C$21,TABLAS!$B$52:$B$58,0)+2,7))+DATOS!$C$24)))),INDEX(TABLAS!$B$52:$B$58,MIN(MATCH(DATOS!$C$21,TABLAS!$B$52:$B$58,0)+2,7)),IF(AND(BA10&gt;=0,CEILING(BA10/INDEX(TABLAS!$D$52:$D$58,MIN(MATCH(DATOS!$C$21,TABLAS!$B$52:$B$58,0)+3,7)),1)&lt;=MIN(DATOS!$C$22,INT((DATOS!$C$25+DATOS!$C$24)/(INDEX(TABLAS!$C$52:$C$58,MIN(MATCH(DATOS!$C$21,TABLAS!$B$52:$B$58,0)+3,7))+DATOS!$C$24)))),INDEX(TABLAS!$B$52:$B$58,MIN(MATCH(DATOS!$C$21,TABLAS!$B$52:$B$58,0)+3,7)),IF(AND(BA10&gt;=0,CEILING(BA10/INDEX(TABLAS!$D$52:$D$58,MIN(MATCH(DATOS!$C$21,TABLAS!$B$52:$B$58,0)+4,7)),1)&lt;=MIN(DATOS!$C$22,INT((DATOS!$C$25+DATOS!$C$24)/(INDEX(TABLAS!$C$52:$C$58,MIN(MATCH(DATOS!$C$21,TABLAS!$B$52:$B$58,0)+4,7))+DATOS!$C$24)))),INDEX(TABLAS!$B$52:$B$58,MIN(MATCH(DATOS!$C$21,TABLAS!$B$52:$B$58,0)+4,7)),INDEX(TABLAS!$B$52:$B$58,7))))))</f>
        <v>3</v>
      </c>
      <c r="BC10" s="55">
        <f>IF(D10="HUECO",0,IF(BA10&lt;0,0,MAX(1,CEILING(BA10/INDEX(TABLAS!$D$52:$D$58,MATCH(BB10,TABLAS!$B$52:$B$58,0)),1))))</f>
        <v>1</v>
      </c>
      <c r="BD10" s="34">
        <f>IF(BC10=0,0,DATOS!$C$45*BC10*INDEX(TABLAS!$D$52:$D$58,MATCH(BB10,TABLAS!$B$52:$B$58,0))*DATOS!$C$32*((DATOS!$C$15-DATOS!$C$18-INDEX(TABLAS!$C$52:$C$58,MATCH(DATOS!$C$19,TABLAS!$B$52:$B$58,0))-INDEX(TABLAS!$C$52:$C$58,MATCH(BB10,TABLAS!$B$52:$B$58,0))/2)-BC10*INDEX(TABLAS!$D$52:$D$58,MATCH(BB10,TABLAS!$B$52:$B$58,0))*DATOS!$C$32/(DATOS!$C$38*DATOS!$C$13)/2)/1E5)</f>
        <v>0.568518826235294</v>
      </c>
      <c r="BE10" s="59">
        <f>IF(BA10&lt;0,9.99,IF(BD10&gt;0,AK10/BD10,0))</f>
        <v>0.345007173548277</v>
      </c>
      <c r="BF10" s="34">
        <f>IF(D10="PERIMETRAL",MAX(0,(J10/2-DATOS!$C$66/100))*(0.95-0.5*L10)*R10*IF(AND(S10&gt;0,S10&lt;4),DATOS!$C$50,1)*DATOS!$C$16/100/1000,IF(D10="VOLADO",(R10*J10+DATOS!$C$43*AG10)*DATOS!$C$16/100/1000,0))</f>
        <v>0.514483386519996</v>
      </c>
      <c r="BG10" s="34">
        <f>IF(D10="HUECO",0,DATOS!$C$46*IF((AS10*INDEX(TABLAS!$D$52:$D$58,MATCH(AR10,TABLAS!$B$52:$B$58,0))/(DATOS!$C$13*DATOS!$C$67))&lt;0.015,0.2+20*(AS10*INDEX(TABLAS!$D$52:$D$58,MATCH(AR10,TABLAS!$B$52:$B$58,0))/(DATOS!$C$13*DATOS!$C$67)),0.5)*SQRT(DATOS!$C$31)*DATOS!$C$13*DATOS!$C$67*DATOS!$C$49/1000)</f>
        <v>0.687439634849853</v>
      </c>
      <c r="BH10" s="49" t="str">
        <f>IF(D10="HUECO","—",IF(BF10&lt;=BG10,"CUMPLE","MACIZAR "&amp;MAX(1,CEILING(IF(D10="VOLADO",J10,J10/2)*(1-BG10/BF10)*100/DATOS!$C$16,1))&amp;" hilera(s)"))</f>
        <v>CUMPLE</v>
      </c>
      <c r="BI10" s="41">
        <f>IF(D10="PERIMETRAL",(2*(H10+I10)+0.25*(H10*((APOYOS!$G$33="DISCONTINUO")+(APOYOS!$G$34="DISCONTINUO"))+I10*((APOYOS!$G$35="DISCONTINUO")+(APOYOS!$G$36="DISCONTINUO"))))*(J10+MIN(K10,2*J10))/(J10+K10)*100/250*IF(OR(DATOS!$C$47&gt;2520,Q10&gt;380),0.032*(DATOS!$C$47*Q10)^0.25,1),IF(D10="VOLADO",J10*100/8,0))</f>
        <v>6.94987733930529</v>
      </c>
      <c r="BJ10" s="41">
        <f>IF(D10="VOLADO",DATOS!$C$15,DATOS!$C$68)</f>
        <v>13.6082564120244</v>
      </c>
      <c r="BK10" s="50" t="str">
        <f>IF(D10="HUECO","—",IF(BJ10&gt;=BI10,"CUMPLE","NO CUMPLE"))</f>
        <v>CUMPLE</v>
      </c>
      <c r="BL10" s="50" t="str">
        <f>IF(D10="PERIMETRAL",IF(DATOS!$C$16/100&lt;=J10/6,"SÍ","NO: a1 &lt; 6·s"),"—")</f>
        <v>NO: a1 &lt; 6·s</v>
      </c>
      <c r="BM10" s="55">
        <f>MAX(0,INT((F10*100-DATOS!$C$17+DATOS!$C$13)/DATOS!$C$16))</f>
        <v>6</v>
      </c>
      <c r="BN10" s="55">
        <f>MAX(0,INT((G10*100-DATOS!$C$17+DATOS!$C$13)/DATOS!$C$16))</f>
        <v>4</v>
      </c>
      <c r="BO10" s="49" t="str">
        <f>IF(COUNTIFS(TRIB!$C$6:$C$255,B10,TRIB!$K$6:$K$255,"NO CUMPLE*")+COUNTIFS(TRIB!$C$6:$C$255,B10,TRIB!$K$6:$K$255,"SIN APOYO*")&gt;0,"VER PRINCIPALES",IF((APOYOS!$F$33="LIBRE")+(APOYOS!$F$34="LIBRE")+(APOYOS!$F$35="LIBRE")+(APOYOS!$F$36="LIBRE")&gt;0,"REVISAR: borde libre","OK"))</f>
        <v>VER PRINCIPALES</v>
      </c>
      <c r="BP10" s="60" t="str">
        <f>IF(D10="HUECO","HUECO — marco de nervaduras principales",IF(AND(MAX(AP10,AU10,AZ10,BE10)&lt;=1,NOT(OR(AN10&gt;MIN(DATOS!$C$22,INT((DATOS!$C$25+DATOS!$C$24)/(INDEX(TABLAS!$C$52:$C$58,MATCH(AM10,TABLAS!$B$52:$B$58,0))+DATOS!$C$24))),AS10&gt;MIN(DATOS!$C$22,INT((DATOS!$C$25+DATOS!$C$24)/(INDEX(TABLAS!$C$52:$C$58,MATCH(AR10,TABLAS!$B$52:$B$58,0))+DATOS!$C$24))),AX10&gt;MIN(DATOS!$C$22,INT((DATOS!$C$25+DATOS!$C$24)/(INDEX(TABLAS!$C$52:$C$58,MATCH(AW10,TABLAS!$B$52:$B$58,0))+DATOS!$C$24))),BC10&gt;MIN(DATOS!$C$22,INT((DATOS!$C$25+DATOS!$C$24)/(INDEX(TABLAS!$C$52:$C$58,MATCH(BB10,TABLAS!$B$52:$B$58,0))+DATOS!$C$24))))),BK10="CUMPLE"),IF(BO10="OK",IF(BH10="CUMPLE","CUMPLE","CUMPLE — "&amp;BH10),IF(BO10="VER PRINCIPALES","VER PRINCIPALES","REVISAR APOYOS")),"NO CUMPLE: "&amp;IF(MAX(AP10,AU10,AZ10,BE10)&gt;1,"flexión ","")&amp;IF(OR(AN10&gt;MIN(DATOS!$C$22,INT((DATOS!$C$25+DATOS!$C$24)/(INDEX(TABLAS!$C$52:$C$58,MATCH(AM10,TABLAS!$B$52:$B$58,0))+DATOS!$C$24))),AS10&gt;MIN(DATOS!$C$22,INT((DATOS!$C$25+DATOS!$C$24)/(INDEX(TABLAS!$C$52:$C$58,MATCH(AR10,TABLAS!$B$52:$B$58,0))+DATOS!$C$24))),AX10&gt;MIN(DATOS!$C$22,INT((DATOS!$C$25+DATOS!$C$24)/(INDEX(TABLAS!$C$52:$C$58,MATCH(AW10,TABLAS!$B$52:$B$58,0))+DATOS!$C$24))),BC10&gt;MIN(DATOS!$C$22,INT((DATOS!$C$25+DATOS!$C$24)/(INDEX(TABLAS!$C$52:$C$58,MATCH(BB10,TABLAS!$B$52:$B$58,0))+DATOS!$C$24)))),"no caben ","")&amp;IF(BK10&lt;&gt;"CUMPLE","peralte","")))</f>
        <v>VER PRINCIPALES</v>
      </c>
      <c r="BQ10" s="61" t="inlineStr">
        <is>
          <t>Forma de L: se toma el rectángulo envolvente 4.327 × 3.025 (conservador; el claro corto real es 2.425 en la parte izquierda).</t>
        </is>
      </c>
    </row>
    <row r="11" ht="30" customHeight="1">
      <c r="B11" s="49" t="inlineStr">
        <is>
          <t>F80004 N+3.00</t>
        </is>
      </c>
      <c r="C11" s="50" t="inlineStr">
        <is>
          <t>N+3.00</t>
        </is>
      </c>
      <c r="D11" s="51" t="inlineStr">
        <is>
          <t>PERIMETRAL</t>
        </is>
      </c>
      <c r="E11" s="51" t="inlineStr">
        <is>
          <t>HABITACIÓN</t>
        </is>
      </c>
      <c r="F11" s="52" t="n">
        <v>1.596</v>
      </c>
      <c r="G11" s="52" t="n">
        <v>3.025</v>
      </c>
      <c r="H11" s="53" t="n">
        <v>1.596</v>
      </c>
      <c r="I11" s="53" t="n">
        <v>3.025</v>
      </c>
      <c r="J11" s="34">
        <f>MIN(H11,I11)</f>
        <v>1.596</v>
      </c>
      <c r="K11" s="34">
        <f>MAX(H11,I11)</f>
        <v>3.025</v>
      </c>
      <c r="L11" s="34">
        <f>IF(K11&gt;0,J11/K11,0)</f>
        <v>0.527603305785124</v>
      </c>
      <c r="M11" s="50" t="str">
        <f>IF(H11&lt;=I11,"X","Y")</f>
        <v>X</v>
      </c>
      <c r="N11" s="54" t="n">
        <v>230</v>
      </c>
      <c r="O11" s="55">
        <f>IF(E11="HABITACIÓN",DATOS!$C$76,DATOS!$C$78)</f>
        <v>190</v>
      </c>
      <c r="P11" s="55">
        <f>DATOS!$C$58</f>
        <v>253.673469387755</v>
      </c>
      <c r="Q11" s="55">
        <f>P11+N11+O11</f>
        <v>673.673469387755</v>
      </c>
      <c r="R11" s="56">
        <f>DATOS!$C$43*(P11+N11)+DATOS!$C$44*O11</f>
        <v>913.775510204082</v>
      </c>
      <c r="S11" s="55">
        <f>(APOYOS!$G$37="DISCONTINUO")+(APOYOS!$G$38="DISCONTINUO")+(APOYOS!$G$39="DISCONTINUO")+(APOYOS!$G$40="DISCONTINUO")</f>
        <v>2</v>
      </c>
      <c r="T11" s="55">
        <f>IF(M11="X",(APOYOS!$G$37="DISCONTINUO")+(APOYOS!$G$38="DISCONTINUO"),(APOYOS!$G$39="DISCONTINUO")+(APOYOS!$G$40="DISCONTINUO"))</f>
        <v>1</v>
      </c>
      <c r="U11" s="55">
        <f>S11-T11</f>
        <v>1</v>
      </c>
      <c r="V11" s="50" t="str">
        <f>IF(S11=0,"INTERIOR",IF(S11=1,IF(T11=1,"BORDE-CORTO","BORDE-LARGO"),IF(S11=2,IF(T11=1,"ESQUINA",IF(T11=2,"EXTREMO-LARGO","EXTREMO-CORTO")),IF(S11=3,IF(T11=2,"EXTREMO-LARGO","EXTREMO-CORTO"),"AISLADO"))))</f>
        <v>ESQUINA</v>
      </c>
      <c r="W11" s="51" t="inlineStr">
        <is>
          <t>AUTO</t>
        </is>
      </c>
      <c r="X11" s="57" t="str">
        <f>IF(W11="AUTO",V11,W11)</f>
        <v>ESQUINA</v>
      </c>
      <c r="Y11" s="55">
        <f>MATCH(L11,TABLAS!$D$5:$J$5,1)</f>
        <v>2</v>
      </c>
      <c r="Z11" s="41">
        <f>IF(Y11&gt;=7,0,(L11-INDEX(TABLAS!$D$5:$J$5,Y11))/(INDEX(TABLAS!$D$5:$J$5,Y11+1)-INDEX(TABLAS!$D$5:$J$5,Y11)))</f>
        <v>0.276033057851241</v>
      </c>
      <c r="AA11" s="55">
        <f>INDEX(TABLAS!$D$6:$J$47,MATCH(X11&amp;"|NIC",TABLAS!$B$6:$B$47,0),Y11)+Z11*(INDEX(TABLAS!$D$6:$J$47,MATCH(X11&amp;"|NIC",TABLAS!$B$6:$B$47,0),MIN(Y11+1,7))-INDEX(TABLAS!$D$6:$J$47,MATCH(X11&amp;"|NIC",TABLAS!$B$6:$B$47,0),Y11))</f>
        <v>579.229752066116</v>
      </c>
      <c r="AB11" s="55">
        <f>INDEX(TABLAS!$D$6:$J$47,MATCH(X11&amp;"|NIL",TABLAS!$B$6:$B$47,0),Y11)+Z11*(INDEX(TABLAS!$D$6:$J$47,MATCH(X11&amp;"|NIL",TABLAS!$B$6:$B$47,0),MIN(Y11+1,7))-INDEX(TABLAS!$D$6:$J$47,MATCH(X11&amp;"|NIL",TABLAS!$B$6:$B$47,0),Y11))</f>
        <v>469.479338842975</v>
      </c>
      <c r="AC11" s="55">
        <f>INDEX(TABLAS!$D$6:$J$47,MATCH(X11&amp;"|NDC",TABLAS!$B$6:$B$47,0),Y11)+Z11*(INDEX(TABLAS!$D$6:$J$47,MATCH(X11&amp;"|NDC",TABLAS!$B$6:$B$47,0),MIN(Y11+1,7))-INDEX(TABLAS!$D$6:$J$47,MATCH(X11&amp;"|NDC",TABLAS!$B$6:$B$47,0),Y11))</f>
        <v>350.682644628099</v>
      </c>
      <c r="AD11" s="55">
        <f>INDEX(TABLAS!$D$6:$J$47,MATCH(X11&amp;"|NDL",TABLAS!$B$6:$B$47,0),Y11)+Z11*(INDEX(TABLAS!$D$6:$J$47,MATCH(X11&amp;"|NDL",TABLAS!$B$6:$B$47,0),MIN(Y11+1,7))-INDEX(TABLAS!$D$6:$J$47,MATCH(X11&amp;"|NDL",TABLAS!$B$6:$B$47,0),Y11))</f>
        <v>255.239669421488</v>
      </c>
      <c r="AE11" s="55">
        <f>INDEX(TABLAS!$D$6:$J$47,MATCH(X11&amp;"|PC",TABLAS!$B$6:$B$47,0),Y11)+Z11*(INDEX(TABLAS!$D$6:$J$47,MATCH(X11&amp;"|PC",TABLAS!$B$6:$B$47,0),MIN(Y11+1,7))-INDEX(TABLAS!$D$6:$J$47,MATCH(X11&amp;"|PC",TABLAS!$B$6:$B$47,0),Y11))</f>
        <v>343.646280991735</v>
      </c>
      <c r="AF11" s="55">
        <f>INDEX(TABLAS!$D$6:$J$47,MATCH(X11&amp;"|PL",TABLAS!$B$6:$B$47,0),Y11)+Z11*(INDEX(TABLAS!$D$6:$J$47,MATCH(X11&amp;"|PL",TABLAS!$B$6:$B$47,0),MIN(Y11+1,7))-INDEX(TABLAS!$D$6:$J$47,MATCH(X11&amp;"|PL",TABLAS!$B$6:$B$47,0),Y11))</f>
        <v>150.343801652893</v>
      </c>
      <c r="AG11" s="58" t="n">
        <v>0</v>
      </c>
      <c r="AH11" s="34">
        <f>IF(D11="PERIMETRAL",AE11*R11*J11^2*1E-4*DATOS!$C$16/100/1000,0)</f>
        <v>0.0559905813486149</v>
      </c>
      <c r="AI11" s="34">
        <f>IF(D11="PERIMETRAL",MAX(AA11,AC11)*R11*J11^2*1E-4*DATOS!$C$16/100/1000,IF(D11="VOLADO",(R11*J11^2/2+DATOS!$C$43*AG11*J11)*DATOS!$C$16/100/1000,0))</f>
        <v>0.094374397007881</v>
      </c>
      <c r="AJ11" s="34">
        <f>IF(D11="PERIMETRAL",AF11*R11*J11^2*1E-4*DATOS!$C$16/100/1000,0)</f>
        <v>0.0244956436962248</v>
      </c>
      <c r="AK11" s="34">
        <f>IF(D11="PERIMETRAL",MAX(AB11,AD11)*R11*J11^2*1E-4*DATOS!$C$16/100/1000,0)</f>
        <v>0.0764926686740826</v>
      </c>
      <c r="AL11" s="41">
        <f>IF(D11="HUECO",0,IF(AH11&lt;=0,DATOS!$C$71*DATOS!$C$13*DATOS!$C$66,IF((1-2*AH11*1E5/(DATOS!$C$45*DATOS!$C$16*DATOS!$C$66^2*DATOS!$C$38))&lt;0,-1,MAX(DATOS!$C$71*DATOS!$C$13*DATOS!$C$66,(1-SQRT((1-2*AH11*1E5/(DATOS!$C$45*DATOS!$C$16*DATOS!$C$66^2*DATOS!$C$38))))*DATOS!$C$38*DATOS!$C$16*DATOS!$C$66/DATOS!$C$32))))</f>
        <v>0.576720388273208</v>
      </c>
      <c r="AM11" s="39">
        <f>IF(AND(AL11&gt;=0,CEILING(AL11/INDEX(TABLAS!$D$52:$D$58,MIN(MATCH(DATOS!$C$20,TABLAS!$B$52:$B$58,0)+0,7)),1)&lt;=MIN(DATOS!$C$22,INT((DATOS!$C$25+DATOS!$C$24)/(INDEX(TABLAS!$C$52:$C$58,MIN(MATCH(DATOS!$C$20,TABLAS!$B$52:$B$58,0)+0,7))+DATOS!$C$24)))),INDEX(TABLAS!$B$52:$B$58,MIN(MATCH(DATOS!$C$20,TABLAS!$B$52:$B$58,0)+0,7)),IF(AND(AL11&gt;=0,CEILING(AL11/INDEX(TABLAS!$D$52:$D$58,MIN(MATCH(DATOS!$C$20,TABLAS!$B$52:$B$58,0)+1,7)),1)&lt;=MIN(DATOS!$C$22,INT((DATOS!$C$25+DATOS!$C$24)/(INDEX(TABLAS!$C$52:$C$58,MIN(MATCH(DATOS!$C$20,TABLAS!$B$52:$B$58,0)+1,7))+DATOS!$C$24)))),INDEX(TABLAS!$B$52:$B$58,MIN(MATCH(DATOS!$C$20,TABLAS!$B$52:$B$58,0)+1,7)),IF(AND(AL11&gt;=0,CEILING(AL11/INDEX(TABLAS!$D$52:$D$58,MIN(MATCH(DATOS!$C$20,TABLAS!$B$52:$B$58,0)+2,7)),1)&lt;=MIN(DATOS!$C$22,INT((DATOS!$C$25+DATOS!$C$24)/(INDEX(TABLAS!$C$52:$C$58,MIN(MATCH(DATOS!$C$20,TABLAS!$B$52:$B$58,0)+2,7))+DATOS!$C$24)))),INDEX(TABLAS!$B$52:$B$58,MIN(MATCH(DATOS!$C$20,TABLAS!$B$52:$B$58,0)+2,7)),IF(AND(AL11&gt;=0,CEILING(AL11/INDEX(TABLAS!$D$52:$D$58,MIN(MATCH(DATOS!$C$20,TABLAS!$B$52:$B$58,0)+3,7)),1)&lt;=MIN(DATOS!$C$22,INT((DATOS!$C$25+DATOS!$C$24)/(INDEX(TABLAS!$C$52:$C$58,MIN(MATCH(DATOS!$C$20,TABLAS!$B$52:$B$58,0)+3,7))+DATOS!$C$24)))),INDEX(TABLAS!$B$52:$B$58,MIN(MATCH(DATOS!$C$20,TABLAS!$B$52:$B$58,0)+3,7)),IF(AND(AL11&gt;=0,CEILING(AL11/INDEX(TABLAS!$D$52:$D$58,MIN(MATCH(DATOS!$C$20,TABLAS!$B$52:$B$58,0)+4,7)),1)&lt;=MIN(DATOS!$C$22,INT((DATOS!$C$25+DATOS!$C$24)/(INDEX(TABLAS!$C$52:$C$58,MIN(MATCH(DATOS!$C$20,TABLAS!$B$52:$B$58,0)+4,7))+DATOS!$C$24)))),INDEX(TABLAS!$B$52:$B$58,MIN(MATCH(DATOS!$C$20,TABLAS!$B$52:$B$58,0)+4,7)),INDEX(TABLAS!$B$52:$B$58,7))))))</f>
        <v>3</v>
      </c>
      <c r="AN11" s="55">
        <f>IF(D11="HUECO",0,IF(AL11&lt;0,0,MAX(DATOS!$C$23,CEILING(AL11/INDEX(TABLAS!$D$52:$D$58,MATCH(AM11,TABLAS!$B$52:$B$58,0)),1))))</f>
        <v>1</v>
      </c>
      <c r="AO11" s="34">
        <f>IF(AN11=0,0,DATOS!$C$45*AN11*INDEX(TABLAS!$D$52:$D$58,MATCH(AM11,TABLAS!$B$52:$B$58,0))*DATOS!$C$32*((DATOS!$C$15-DATOS!$C$18-INDEX(TABLAS!$C$52:$C$58,MATCH(DATOS!$C$19,TABLAS!$B$52:$B$58,0))-INDEX(TABLAS!$C$52:$C$58,MATCH(AM11,TABLAS!$B$52:$B$58,0))/2)-AN11*INDEX(TABLAS!$D$52:$D$58,MATCH(AM11,TABLAS!$B$52:$B$58,0))*DATOS!$C$32/(DATOS!$C$38*DATOS!$C$16)/2)/1E5)</f>
        <v>0.584659515176471</v>
      </c>
      <c r="AP11" s="59">
        <f>IF(AL11&lt;0,9.99,IF(AO11&gt;0,AH11/AO11,0))</f>
        <v>0.0957661337842333</v>
      </c>
      <c r="AQ11" s="41">
        <f>IF(D11="HUECO",0,IF(AI11&lt;=0,DATOS!$C$71*DATOS!$C$13*DATOS!$C$67,IF((1-2*AI11*1E5/(DATOS!$C$45*DATOS!$C$13*DATOS!$C$67^2*DATOS!$C$38))&lt;0,-1,IF((1-SQRT((1-2*AI11*1E5/(DATOS!$C$45*DATOS!$C$13*DATOS!$C$67^2*DATOS!$C$38))))*DATOS!$C$38*DATOS!$C$13*DATOS!$C$67/DATOS!$C$32&gt;DATOS!$C$70*DATOS!$C$13*DATOS!$C$67,-1,MAX(DATOS!$C$71*DATOS!$C$13*DATOS!$C$67,(1-SQRT((1-2*AI11*1E5/(DATOS!$C$45*DATOS!$C$13*DATOS!$C$67^2*DATOS!$C$38))))*DATOS!$C$38*DATOS!$C$13*DATOS!$C$67/DATOS!$C$32)))))</f>
        <v>0.576720388273208</v>
      </c>
      <c r="AR11" s="39">
        <f>IF(AND(AQ11&gt;=0,CEILING(AQ11/INDEX(TABLAS!$D$52:$D$58,MIN(MATCH(DATOS!$C$21,TABLAS!$B$52:$B$58,0)+0,7)),1)&lt;=MIN(DATOS!$C$22,INT((DATOS!$C$25+DATOS!$C$24)/(INDEX(TABLAS!$C$52:$C$58,MIN(MATCH(DATOS!$C$21,TABLAS!$B$52:$B$58,0)+0,7))+DATOS!$C$24)))),INDEX(TABLAS!$B$52:$B$58,MIN(MATCH(DATOS!$C$21,TABLAS!$B$52:$B$58,0)+0,7)),IF(AND(AQ11&gt;=0,CEILING(AQ11/INDEX(TABLAS!$D$52:$D$58,MIN(MATCH(DATOS!$C$21,TABLAS!$B$52:$B$58,0)+1,7)),1)&lt;=MIN(DATOS!$C$22,INT((DATOS!$C$25+DATOS!$C$24)/(INDEX(TABLAS!$C$52:$C$58,MIN(MATCH(DATOS!$C$21,TABLAS!$B$52:$B$58,0)+1,7))+DATOS!$C$24)))),INDEX(TABLAS!$B$52:$B$58,MIN(MATCH(DATOS!$C$21,TABLAS!$B$52:$B$58,0)+1,7)),IF(AND(AQ11&gt;=0,CEILING(AQ11/INDEX(TABLAS!$D$52:$D$58,MIN(MATCH(DATOS!$C$21,TABLAS!$B$52:$B$58,0)+2,7)),1)&lt;=MIN(DATOS!$C$22,INT((DATOS!$C$25+DATOS!$C$24)/(INDEX(TABLAS!$C$52:$C$58,MIN(MATCH(DATOS!$C$21,TABLAS!$B$52:$B$58,0)+2,7))+DATOS!$C$24)))),INDEX(TABLAS!$B$52:$B$58,MIN(MATCH(DATOS!$C$21,TABLAS!$B$52:$B$58,0)+2,7)),IF(AND(AQ11&gt;=0,CEILING(AQ11/INDEX(TABLAS!$D$52:$D$58,MIN(MATCH(DATOS!$C$21,TABLAS!$B$52:$B$58,0)+3,7)),1)&lt;=MIN(DATOS!$C$22,INT((DATOS!$C$25+DATOS!$C$24)/(INDEX(TABLAS!$C$52:$C$58,MIN(MATCH(DATOS!$C$21,TABLAS!$B$52:$B$58,0)+3,7))+DATOS!$C$24)))),INDEX(TABLAS!$B$52:$B$58,MIN(MATCH(DATOS!$C$21,TABLAS!$B$52:$B$58,0)+3,7)),IF(AND(AQ11&gt;=0,CEILING(AQ11/INDEX(TABLAS!$D$52:$D$58,MIN(MATCH(DATOS!$C$21,TABLAS!$B$52:$B$58,0)+4,7)),1)&lt;=MIN(DATOS!$C$22,INT((DATOS!$C$25+DATOS!$C$24)/(INDEX(TABLAS!$C$52:$C$58,MIN(MATCH(DATOS!$C$21,TABLAS!$B$52:$B$58,0)+4,7))+DATOS!$C$24)))),INDEX(TABLAS!$B$52:$B$58,MIN(MATCH(DATOS!$C$21,TABLAS!$B$52:$B$58,0)+4,7)),INDEX(TABLAS!$B$52:$B$58,7))))))</f>
        <v>3</v>
      </c>
      <c r="AS11" s="55">
        <f>IF(D11="HUECO",0,IF(AQ11&lt;0,0,MAX(1,CEILING(AQ11/INDEX(TABLAS!$D$52:$D$58,MATCH(AR11,TABLAS!$B$52:$B$58,0)),1))))</f>
        <v>1</v>
      </c>
      <c r="AT11" s="34">
        <f>IF(AS11=0,0,DATOS!$C$45*AS11*INDEX(TABLAS!$D$52:$D$58,MATCH(AR11,TABLAS!$B$52:$B$58,0))*DATOS!$C$32*((DATOS!$C$15-DATOS!$C$18-INDEX(TABLAS!$C$52:$C$58,MATCH(DATOS!$C$19,TABLAS!$B$52:$B$58,0))-INDEX(TABLAS!$C$52:$C$58,MATCH(AR11,TABLAS!$B$52:$B$58,0))/2)-AS11*INDEX(TABLAS!$D$52:$D$58,MATCH(AR11,TABLAS!$B$52:$B$58,0))*DATOS!$C$32/(DATOS!$C$38*DATOS!$C$13)/2)/1E5)</f>
        <v>0.568518826235294</v>
      </c>
      <c r="AU11" s="59">
        <f>IF(AQ11&lt;0,9.99,IF(AT11&gt;0,AI11/AT11,0))</f>
        <v>0.166000478177344</v>
      </c>
      <c r="AV11" s="41">
        <f>IF(D11="HUECO",0,IF(AJ11&lt;=0,DATOS!$C$71*DATOS!$C$13*DATOS!$C$66,IF((1-2*AJ11*1E5/(DATOS!$C$45*DATOS!$C$16*DATOS!$C$66^2*DATOS!$C$38))&lt;0,-1,MAX(DATOS!$C$71*DATOS!$C$13*DATOS!$C$66,(1-SQRT((1-2*AJ11*1E5/(DATOS!$C$45*DATOS!$C$16*DATOS!$C$66^2*DATOS!$C$38))))*DATOS!$C$38*DATOS!$C$16*DATOS!$C$66/DATOS!$C$32))))</f>
        <v>0.576720388273208</v>
      </c>
      <c r="AW11" s="39">
        <f>IF(AND(AV11&gt;=0,CEILING(AV11/INDEX(TABLAS!$D$52:$D$58,MIN(MATCH(DATOS!$C$20,TABLAS!$B$52:$B$58,0)+0,7)),1)&lt;=MIN(DATOS!$C$22,INT((DATOS!$C$25+DATOS!$C$24)/(INDEX(TABLAS!$C$52:$C$58,MIN(MATCH(DATOS!$C$20,TABLAS!$B$52:$B$58,0)+0,7))+DATOS!$C$24)))),INDEX(TABLAS!$B$52:$B$58,MIN(MATCH(DATOS!$C$20,TABLAS!$B$52:$B$58,0)+0,7)),IF(AND(AV11&gt;=0,CEILING(AV11/INDEX(TABLAS!$D$52:$D$58,MIN(MATCH(DATOS!$C$20,TABLAS!$B$52:$B$58,0)+1,7)),1)&lt;=MIN(DATOS!$C$22,INT((DATOS!$C$25+DATOS!$C$24)/(INDEX(TABLAS!$C$52:$C$58,MIN(MATCH(DATOS!$C$20,TABLAS!$B$52:$B$58,0)+1,7))+DATOS!$C$24)))),INDEX(TABLAS!$B$52:$B$58,MIN(MATCH(DATOS!$C$20,TABLAS!$B$52:$B$58,0)+1,7)),IF(AND(AV11&gt;=0,CEILING(AV11/INDEX(TABLAS!$D$52:$D$58,MIN(MATCH(DATOS!$C$20,TABLAS!$B$52:$B$58,0)+2,7)),1)&lt;=MIN(DATOS!$C$22,INT((DATOS!$C$25+DATOS!$C$24)/(INDEX(TABLAS!$C$52:$C$58,MIN(MATCH(DATOS!$C$20,TABLAS!$B$52:$B$58,0)+2,7))+DATOS!$C$24)))),INDEX(TABLAS!$B$52:$B$58,MIN(MATCH(DATOS!$C$20,TABLAS!$B$52:$B$58,0)+2,7)),IF(AND(AV11&gt;=0,CEILING(AV11/INDEX(TABLAS!$D$52:$D$58,MIN(MATCH(DATOS!$C$20,TABLAS!$B$52:$B$58,0)+3,7)),1)&lt;=MIN(DATOS!$C$22,INT((DATOS!$C$25+DATOS!$C$24)/(INDEX(TABLAS!$C$52:$C$58,MIN(MATCH(DATOS!$C$20,TABLAS!$B$52:$B$58,0)+3,7))+DATOS!$C$24)))),INDEX(TABLAS!$B$52:$B$58,MIN(MATCH(DATOS!$C$20,TABLAS!$B$52:$B$58,0)+3,7)),IF(AND(AV11&gt;=0,CEILING(AV11/INDEX(TABLAS!$D$52:$D$58,MIN(MATCH(DATOS!$C$20,TABLAS!$B$52:$B$58,0)+4,7)),1)&lt;=MIN(DATOS!$C$22,INT((DATOS!$C$25+DATOS!$C$24)/(INDEX(TABLAS!$C$52:$C$58,MIN(MATCH(DATOS!$C$20,TABLAS!$B$52:$B$58,0)+4,7))+DATOS!$C$24)))),INDEX(TABLAS!$B$52:$B$58,MIN(MATCH(DATOS!$C$20,TABLAS!$B$52:$B$58,0)+4,7)),INDEX(TABLAS!$B$52:$B$58,7))))))</f>
        <v>3</v>
      </c>
      <c r="AX11" s="55">
        <f>IF(D11="HUECO",0,IF(AV11&lt;0,0,MAX(DATOS!$C$23,CEILING(AV11/INDEX(TABLAS!$D$52:$D$58,MATCH(AW11,TABLAS!$B$52:$B$58,0)),1))))</f>
        <v>1</v>
      </c>
      <c r="AY11" s="34">
        <f>IF(AX11=0,0,DATOS!$C$45*AX11*INDEX(TABLAS!$D$52:$D$58,MATCH(AW11,TABLAS!$B$52:$B$58,0))*DATOS!$C$32*((DATOS!$C$15-DATOS!$C$18-INDEX(TABLAS!$C$52:$C$58,MATCH(DATOS!$C$19,TABLAS!$B$52:$B$58,0))-INDEX(TABLAS!$C$52:$C$58,MATCH(AW11,TABLAS!$B$52:$B$58,0))/2)-AX11*INDEX(TABLAS!$D$52:$D$58,MATCH(AW11,TABLAS!$B$52:$B$58,0))*DATOS!$C$32/(DATOS!$C$38*DATOS!$C$16)/2)/1E5)</f>
        <v>0.584659515176471</v>
      </c>
      <c r="AZ11" s="59">
        <f>IF(AV11&lt;0,9.99,IF(AY11&gt;0,AJ11/AY11,0))</f>
        <v>0.0418972804861153</v>
      </c>
      <c r="BA11" s="41">
        <f>IF(D11="HUECO",0,IF(AK11&lt;=0,DATOS!$C$71*DATOS!$C$13*DATOS!$C$67,IF((1-2*AK11*1E5/(DATOS!$C$45*DATOS!$C$13*DATOS!$C$67^2*DATOS!$C$38))&lt;0,-1,IF((1-SQRT((1-2*AK11*1E5/(DATOS!$C$45*DATOS!$C$13*DATOS!$C$67^2*DATOS!$C$38))))*DATOS!$C$38*DATOS!$C$13*DATOS!$C$67/DATOS!$C$32&gt;DATOS!$C$70*DATOS!$C$13*DATOS!$C$67,-1,MAX(DATOS!$C$71*DATOS!$C$13*DATOS!$C$67,(1-SQRT((1-2*AK11*1E5/(DATOS!$C$45*DATOS!$C$13*DATOS!$C$67^2*DATOS!$C$38))))*DATOS!$C$38*DATOS!$C$13*DATOS!$C$67/DATOS!$C$32)))))</f>
        <v>0.576720388273208</v>
      </c>
      <c r="BB11" s="39">
        <f>IF(AND(BA11&gt;=0,CEILING(BA11/INDEX(TABLAS!$D$52:$D$58,MIN(MATCH(DATOS!$C$21,TABLAS!$B$52:$B$58,0)+0,7)),1)&lt;=MIN(DATOS!$C$22,INT((DATOS!$C$25+DATOS!$C$24)/(INDEX(TABLAS!$C$52:$C$58,MIN(MATCH(DATOS!$C$21,TABLAS!$B$52:$B$58,0)+0,7))+DATOS!$C$24)))),INDEX(TABLAS!$B$52:$B$58,MIN(MATCH(DATOS!$C$21,TABLAS!$B$52:$B$58,0)+0,7)),IF(AND(BA11&gt;=0,CEILING(BA11/INDEX(TABLAS!$D$52:$D$58,MIN(MATCH(DATOS!$C$21,TABLAS!$B$52:$B$58,0)+1,7)),1)&lt;=MIN(DATOS!$C$22,INT((DATOS!$C$25+DATOS!$C$24)/(INDEX(TABLAS!$C$52:$C$58,MIN(MATCH(DATOS!$C$21,TABLAS!$B$52:$B$58,0)+1,7))+DATOS!$C$24)))),INDEX(TABLAS!$B$52:$B$58,MIN(MATCH(DATOS!$C$21,TABLAS!$B$52:$B$58,0)+1,7)),IF(AND(BA11&gt;=0,CEILING(BA11/INDEX(TABLAS!$D$52:$D$58,MIN(MATCH(DATOS!$C$21,TABLAS!$B$52:$B$58,0)+2,7)),1)&lt;=MIN(DATOS!$C$22,INT((DATOS!$C$25+DATOS!$C$24)/(INDEX(TABLAS!$C$52:$C$58,MIN(MATCH(DATOS!$C$21,TABLAS!$B$52:$B$58,0)+2,7))+DATOS!$C$24)))),INDEX(TABLAS!$B$52:$B$58,MIN(MATCH(DATOS!$C$21,TABLAS!$B$52:$B$58,0)+2,7)),IF(AND(BA11&gt;=0,CEILING(BA11/INDEX(TABLAS!$D$52:$D$58,MIN(MATCH(DATOS!$C$21,TABLAS!$B$52:$B$58,0)+3,7)),1)&lt;=MIN(DATOS!$C$22,INT((DATOS!$C$25+DATOS!$C$24)/(INDEX(TABLAS!$C$52:$C$58,MIN(MATCH(DATOS!$C$21,TABLAS!$B$52:$B$58,0)+3,7))+DATOS!$C$24)))),INDEX(TABLAS!$B$52:$B$58,MIN(MATCH(DATOS!$C$21,TABLAS!$B$52:$B$58,0)+3,7)),IF(AND(BA11&gt;=0,CEILING(BA11/INDEX(TABLAS!$D$52:$D$58,MIN(MATCH(DATOS!$C$21,TABLAS!$B$52:$B$58,0)+4,7)),1)&lt;=MIN(DATOS!$C$22,INT((DATOS!$C$25+DATOS!$C$24)/(INDEX(TABLAS!$C$52:$C$58,MIN(MATCH(DATOS!$C$21,TABLAS!$B$52:$B$58,0)+4,7))+DATOS!$C$24)))),INDEX(TABLAS!$B$52:$B$58,MIN(MATCH(DATOS!$C$21,TABLAS!$B$52:$B$58,0)+4,7)),INDEX(TABLAS!$B$52:$B$58,7))))))</f>
        <v>3</v>
      </c>
      <c r="BC11" s="55">
        <f>IF(D11="HUECO",0,IF(BA11&lt;0,0,MAX(1,CEILING(BA11/INDEX(TABLAS!$D$52:$D$58,MATCH(BB11,TABLAS!$B$52:$B$58,0)),1))))</f>
        <v>1</v>
      </c>
      <c r="BD11" s="34">
        <f>IF(BC11=0,0,DATOS!$C$45*BC11*INDEX(TABLAS!$D$52:$D$58,MATCH(BB11,TABLAS!$B$52:$B$58,0))*DATOS!$C$32*((DATOS!$C$15-DATOS!$C$18-INDEX(TABLAS!$C$52:$C$58,MATCH(DATOS!$C$19,TABLAS!$B$52:$B$58,0))-INDEX(TABLAS!$C$52:$C$58,MATCH(BB11,TABLAS!$B$52:$B$58,0))/2)-BC11*INDEX(TABLAS!$D$52:$D$58,MATCH(BB11,TABLAS!$B$52:$B$58,0))*DATOS!$C$32/(DATOS!$C$38*DATOS!$C$13)/2)/1E5)</f>
        <v>0.568518826235294</v>
      </c>
      <c r="BE11" s="59">
        <f>IF(BA11&lt;0,9.99,IF(BD11&gt;0,AK11/BD11,0))</f>
        <v>0.134547292269306</v>
      </c>
      <c r="BF11" s="34">
        <f>IF(D11="PERIMETRAL",MAX(0,(J11/2-DATOS!$C$66/100))*(0.95-0.5*L11)*R11*IF(AND(S11&gt;0,S11&lt;4),DATOS!$C$50,1)*DATOS!$C$16/100/1000,IF(D11="VOLADO",(R11*J11+DATOS!$C$43*AG11)*DATOS!$C$16/100/1000,0))</f>
        <v>0.292331842034903</v>
      </c>
      <c r="BG11" s="34">
        <f>IF(D11="HUECO",0,DATOS!$C$46*IF((AS11*INDEX(TABLAS!$D$52:$D$58,MATCH(AR11,TABLAS!$B$52:$B$58,0))/(DATOS!$C$13*DATOS!$C$67))&lt;0.015,0.2+20*(AS11*INDEX(TABLAS!$D$52:$D$58,MATCH(AR11,TABLAS!$B$52:$B$58,0))/(DATOS!$C$13*DATOS!$C$67)),0.5)*SQRT(DATOS!$C$31)*DATOS!$C$13*DATOS!$C$67*DATOS!$C$49/1000)</f>
        <v>0.687439634849853</v>
      </c>
      <c r="BH11" s="49" t="str">
        <f>IF(D11="HUECO","—",IF(BF11&lt;=BG11,"CUMPLE","MACIZAR "&amp;MAX(1,CEILING(IF(D11="VOLADO",J11,J11/2)*(1-BG11/BF11)*100/DATOS!$C$16,1))&amp;" hilera(s)"))</f>
        <v>CUMPLE</v>
      </c>
      <c r="BI11" s="41">
        <f>IF(D11="PERIMETRAL",(2*(H11+I11)+0.25*(H11*((APOYOS!$G$37="DISCONTINUO")+(APOYOS!$G$38="DISCONTINUO"))+I11*((APOYOS!$G$39="DISCONTINUO")+(APOYOS!$G$40="DISCONTINUO"))))*(J11+MIN(K11,2*J11))/(J11+K11)*100/250*IF(OR(DATOS!$C$47&gt;2520,Q11&gt;380),0.032*(DATOS!$C$47*Q11)^0.25,1),IF(D11="VOLADO",J11*100/8,0))</f>
        <v>4.8038667515738</v>
      </c>
      <c r="BJ11" s="41">
        <f>IF(D11="VOLADO",DATOS!$C$15,DATOS!$C$68)</f>
        <v>13.6082564120244</v>
      </c>
      <c r="BK11" s="50" t="str">
        <f>IF(D11="HUECO","—",IF(BJ11&gt;=BI11,"CUMPLE","NO CUMPLE"))</f>
        <v>CUMPLE</v>
      </c>
      <c r="BL11" s="50" t="str">
        <f>IF(D11="PERIMETRAL",IF(DATOS!$C$16/100&lt;=J11/6,"SÍ","NO: a1 &lt; 6·s"),"—")</f>
        <v>NO: a1 &lt; 6·s</v>
      </c>
      <c r="BM11" s="55">
        <f>MAX(0,INT((F11*100-DATOS!$C$17+DATOS!$C$13)/DATOS!$C$16))</f>
        <v>2</v>
      </c>
      <c r="BN11" s="55">
        <f>MAX(0,INT((G11*100-DATOS!$C$17+DATOS!$C$13)/DATOS!$C$16))</f>
        <v>4</v>
      </c>
      <c r="BO11" s="49" t="str">
        <f>IF(COUNTIFS(TRIB!$C$6:$C$255,B11,TRIB!$K$6:$K$255,"NO CUMPLE*")+COUNTIFS(TRIB!$C$6:$C$255,B11,TRIB!$K$6:$K$255,"SIN APOYO*")&gt;0,"VER PRINCIPALES",IF((APOYOS!$F$37="LIBRE")+(APOYOS!$F$38="LIBRE")+(APOYOS!$F$39="LIBRE")+(APOYOS!$F$40="LIBRE")&gt;0,"REVISAR: borde libre","OK"))</f>
        <v>OK</v>
      </c>
      <c r="BP11" s="60" t="str">
        <f>IF(D11="HUECO","HUECO — marco de nervaduras principales",IF(AND(MAX(AP11,AU11,AZ11,BE11)&lt;=1,NOT(OR(AN11&gt;MIN(DATOS!$C$22,INT((DATOS!$C$25+DATOS!$C$24)/(INDEX(TABLAS!$C$52:$C$58,MATCH(AM11,TABLAS!$B$52:$B$58,0))+DATOS!$C$24))),AS11&gt;MIN(DATOS!$C$22,INT((DATOS!$C$25+DATOS!$C$24)/(INDEX(TABLAS!$C$52:$C$58,MATCH(AR11,TABLAS!$B$52:$B$58,0))+DATOS!$C$24))),AX11&gt;MIN(DATOS!$C$22,INT((DATOS!$C$25+DATOS!$C$24)/(INDEX(TABLAS!$C$52:$C$58,MATCH(AW11,TABLAS!$B$52:$B$58,0))+DATOS!$C$24))),BC11&gt;MIN(DATOS!$C$22,INT((DATOS!$C$25+DATOS!$C$24)/(INDEX(TABLAS!$C$52:$C$58,MATCH(BB11,TABLAS!$B$52:$B$58,0))+DATOS!$C$24))))),BK11="CUMPLE"),IF(BO11="OK",IF(BH11="CUMPLE","CUMPLE","CUMPLE — "&amp;BH11),IF(BO11="VER PRINCIPALES","VER PRINCIPALES","REVISAR APOYOS")),"NO CUMPLE: "&amp;IF(MAX(AP11,AU11,AZ11,BE11)&gt;1,"flexión ","")&amp;IF(OR(AN11&gt;MIN(DATOS!$C$22,INT((DATOS!$C$25+DATOS!$C$24)/(INDEX(TABLAS!$C$52:$C$58,MATCH(AM11,TABLAS!$B$52:$B$58,0))+DATOS!$C$24))),AS11&gt;MIN(DATOS!$C$22,INT((DATOS!$C$25+DATOS!$C$24)/(INDEX(TABLAS!$C$52:$C$58,MATCH(AR11,TABLAS!$B$52:$B$58,0))+DATOS!$C$24))),AX11&gt;MIN(DATOS!$C$22,INT((DATOS!$C$25+DATOS!$C$24)/(INDEX(TABLAS!$C$52:$C$58,MATCH(AW11,TABLAS!$B$52:$B$58,0))+DATOS!$C$24))),BC11&gt;MIN(DATOS!$C$22,INT((DATOS!$C$25+DATOS!$C$24)/(INDEX(TABLAS!$C$52:$C$58,MATCH(BB11,TABLAS!$B$52:$B$58,0))+DATOS!$C$24)))),"no caben ","")&amp;IF(BK11&lt;&gt;"CUMPLE","peralte","")))</f>
        <v>CUMPLE</v>
      </c>
      <c r="BQ11" s="61" t="inlineStr">
        <is>
          <t>—</t>
        </is>
      </c>
    </row>
    <row r="12" ht="30" customHeight="1">
      <c r="B12" s="49" t="inlineStr">
        <is>
          <t>F80005 N+3.00</t>
        </is>
      </c>
      <c r="C12" s="50" t="inlineStr">
        <is>
          <t>N+3.00</t>
        </is>
      </c>
      <c r="D12" s="51" t="inlineStr">
        <is>
          <t>PERIMETRAL</t>
        </is>
      </c>
      <c r="E12" s="51" t="inlineStr">
        <is>
          <t>HABITACIÓN</t>
        </is>
      </c>
      <c r="F12" s="52" t="n">
        <v>2.925</v>
      </c>
      <c r="G12" s="52" t="n">
        <v>1.602</v>
      </c>
      <c r="H12" s="53" t="n">
        <v>2.925</v>
      </c>
      <c r="I12" s="53" t="n">
        <v>1.602</v>
      </c>
      <c r="J12" s="34">
        <f>MIN(H12,I12)</f>
        <v>1.602</v>
      </c>
      <c r="K12" s="34">
        <f>MAX(H12,I12)</f>
        <v>2.925</v>
      </c>
      <c r="L12" s="34">
        <f>IF(K12&gt;0,J12/K12,0)</f>
        <v>0.547692307692308</v>
      </c>
      <c r="M12" s="50" t="str">
        <f>IF(H12&lt;=I12,"X","Y")</f>
        <v>Y</v>
      </c>
      <c r="N12" s="54" t="n">
        <v>160</v>
      </c>
      <c r="O12" s="55">
        <f>IF(E12="HABITACIÓN",DATOS!$C$76,DATOS!$C$78)</f>
        <v>190</v>
      </c>
      <c r="P12" s="55">
        <f>DATOS!$C$58</f>
        <v>253.673469387755</v>
      </c>
      <c r="Q12" s="55">
        <f>P12+N12+O12</f>
        <v>603.673469387755</v>
      </c>
      <c r="R12" s="56">
        <f>DATOS!$C$43*(P12+N12)+DATOS!$C$44*O12</f>
        <v>822.775510204082</v>
      </c>
      <c r="S12" s="55">
        <f>(APOYOS!$G$41="DISCONTINUO")+(APOYOS!$G$42="DISCONTINUO")+(APOYOS!$G$43="DISCONTINUO")+(APOYOS!$G$44="DISCONTINUO")</f>
        <v>1</v>
      </c>
      <c r="T12" s="55">
        <f>IF(M12="X",(APOYOS!$G$41="DISCONTINUO")+(APOYOS!$G$42="DISCONTINUO"),(APOYOS!$G$43="DISCONTINUO")+(APOYOS!$G$44="DISCONTINUO"))</f>
        <v>1</v>
      </c>
      <c r="U12" s="55">
        <f>S12-T12</f>
        <v>0</v>
      </c>
      <c r="V12" s="50" t="str">
        <f>IF(S12=0,"INTERIOR",IF(S12=1,IF(T12=1,"BORDE-CORTO","BORDE-LARGO"),IF(S12=2,IF(T12=1,"ESQUINA",IF(T12=2,"EXTREMO-LARGO","EXTREMO-CORTO")),IF(S12=3,IF(T12=2,"EXTREMO-LARGO","EXTREMO-CORTO"),"AISLADO"))))</f>
        <v>BORDE-CORTO</v>
      </c>
      <c r="W12" s="51" t="inlineStr">
        <is>
          <t>AUTO</t>
        </is>
      </c>
      <c r="X12" s="57" t="str">
        <f>IF(W12="AUTO",V12,W12)</f>
        <v>BORDE-CORTO</v>
      </c>
      <c r="Y12" s="55">
        <f>MATCH(L12,TABLAS!$D$5:$J$5,1)</f>
        <v>2</v>
      </c>
      <c r="Z12" s="41">
        <f>IF(Y12&gt;=7,0,(L12-INDEX(TABLAS!$D$5:$J$5,Y12))/(INDEX(TABLAS!$D$5:$J$5,Y12+1)-INDEX(TABLAS!$D$5:$J$5,Y12)))</f>
        <v>0.476923076923078</v>
      </c>
      <c r="AA12" s="55">
        <f>INDEX(TABLAS!$D$6:$J$47,MATCH(X12&amp;"|NIC",TABLAS!$B$6:$B$47,0),Y12)+Z12*(INDEX(TABLAS!$D$6:$J$47,MATCH(X12&amp;"|NIC",TABLAS!$B$6:$B$47,0),MIN(Y12+1,7))-INDEX(TABLAS!$D$6:$J$47,MATCH(X12&amp;"|NIC",TABLAS!$B$6:$B$47,0),Y12))</f>
        <v>538.430769230769</v>
      </c>
      <c r="AB12" s="55">
        <f>INDEX(TABLAS!$D$6:$J$47,MATCH(X12&amp;"|NIL",TABLAS!$B$6:$B$47,0),Y12)+Z12*(INDEX(TABLAS!$D$6:$J$47,MATCH(X12&amp;"|NIL",TABLAS!$B$6:$B$47,0),MIN(Y12+1,7))-INDEX(TABLAS!$D$6:$J$47,MATCH(X12&amp;"|NIL",TABLAS!$B$6:$B$47,0),Y12))</f>
        <v>400.415384615385</v>
      </c>
      <c r="AC12" s="55">
        <f>INDEX(TABLAS!$D$6:$J$47,MATCH(X12&amp;"|NDC",TABLAS!$B$6:$B$47,0),Y12)+Z12*(INDEX(TABLAS!$D$6:$J$47,MATCH(X12&amp;"|NDC",TABLAS!$B$6:$B$47,0),MIN(Y12+1,7))-INDEX(TABLAS!$D$6:$J$47,MATCH(X12&amp;"|NDC",TABLAS!$B$6:$B$47,0),Y12))</f>
        <v>0</v>
      </c>
      <c r="AD12" s="55">
        <f>INDEX(TABLAS!$D$6:$J$47,MATCH(X12&amp;"|NDL",TABLAS!$B$6:$B$47,0),Y12)+Z12*(INDEX(TABLAS!$D$6:$J$47,MATCH(X12&amp;"|NDL",TABLAS!$B$6:$B$47,0),MIN(Y12+1,7))-INDEX(TABLAS!$D$6:$J$47,MATCH(X12&amp;"|NDL",TABLAS!$B$6:$B$47,0),Y12))</f>
        <v>253.230769230769</v>
      </c>
      <c r="AE12" s="55">
        <f>INDEX(TABLAS!$D$6:$J$47,MATCH(X12&amp;"|PC",TABLAS!$B$6:$B$47,0),Y12)+Z12*(INDEX(TABLAS!$D$6:$J$47,MATCH(X12&amp;"|PC",TABLAS!$B$6:$B$47,0),MIN(Y12+1,7))-INDEX(TABLAS!$D$6:$J$47,MATCH(X12&amp;"|PC",TABLAS!$B$6:$B$47,0),Y12))</f>
        <v>311.353846153846</v>
      </c>
      <c r="AF12" s="55">
        <f>INDEX(TABLAS!$D$6:$J$47,MATCH(X12&amp;"|PL",TABLAS!$B$6:$B$47,0),Y12)+Z12*(INDEX(TABLAS!$D$6:$J$47,MATCH(X12&amp;"|PL",TABLAS!$B$6:$B$47,0),MIN(Y12+1,7))-INDEX(TABLAS!$D$6:$J$47,MATCH(X12&amp;"|PL",TABLAS!$B$6:$B$47,0),Y12))</f>
        <v>139.615384615385</v>
      </c>
      <c r="AG12" s="58" t="n">
        <v>0</v>
      </c>
      <c r="AH12" s="34">
        <f>IF(D12="PERIMETRAL",AE12*R12*J12^2*1E-4*DATOS!$C$16/100/1000,0)</f>
        <v>0.0460212759004842</v>
      </c>
      <c r="AI12" s="34">
        <f>IF(D12="PERIMETRAL",MAX(AA12,AC12)*R12*J12^2*1E-4*DATOS!$C$16/100/1000,IF(D12="VOLADO",(R12*J12^2/2+DATOS!$C$43*AG12*J12)*DATOS!$C$16/100/1000,0))</f>
        <v>0.0795855625044543</v>
      </c>
      <c r="AJ12" s="34">
        <f>IF(D12="PERIMETRAL",AF12*R12*J12^2*1E-4*DATOS!$C$16/100/1000,0)</f>
        <v>0.0206365786538637</v>
      </c>
      <c r="AK12" s="34">
        <f>IF(D12="PERIMETRAL",MAX(AB12,AD12)*R12*J12^2*1E-4*DATOS!$C$16/100/1000,0)</f>
        <v>0.0591854801789655</v>
      </c>
      <c r="AL12" s="41">
        <f>IF(D12="HUECO",0,IF(AH12&lt;=0,DATOS!$C$71*DATOS!$C$13*DATOS!$C$66,IF((1-2*AH12*1E5/(DATOS!$C$45*DATOS!$C$16*DATOS!$C$66^2*DATOS!$C$38))&lt;0,-1,MAX(DATOS!$C$71*DATOS!$C$13*DATOS!$C$66,(1-SQRT((1-2*AH12*1E5/(DATOS!$C$45*DATOS!$C$16*DATOS!$C$66^2*DATOS!$C$38))))*DATOS!$C$38*DATOS!$C$16*DATOS!$C$66/DATOS!$C$32))))</f>
        <v>0.576720388273208</v>
      </c>
      <c r="AM12" s="39">
        <f>IF(AND(AL12&gt;=0,CEILING(AL12/INDEX(TABLAS!$D$52:$D$58,MIN(MATCH(DATOS!$C$20,TABLAS!$B$52:$B$58,0)+0,7)),1)&lt;=MIN(DATOS!$C$22,INT((DATOS!$C$25+DATOS!$C$24)/(INDEX(TABLAS!$C$52:$C$58,MIN(MATCH(DATOS!$C$20,TABLAS!$B$52:$B$58,0)+0,7))+DATOS!$C$24)))),INDEX(TABLAS!$B$52:$B$58,MIN(MATCH(DATOS!$C$20,TABLAS!$B$52:$B$58,0)+0,7)),IF(AND(AL12&gt;=0,CEILING(AL12/INDEX(TABLAS!$D$52:$D$58,MIN(MATCH(DATOS!$C$20,TABLAS!$B$52:$B$58,0)+1,7)),1)&lt;=MIN(DATOS!$C$22,INT((DATOS!$C$25+DATOS!$C$24)/(INDEX(TABLAS!$C$52:$C$58,MIN(MATCH(DATOS!$C$20,TABLAS!$B$52:$B$58,0)+1,7))+DATOS!$C$24)))),INDEX(TABLAS!$B$52:$B$58,MIN(MATCH(DATOS!$C$20,TABLAS!$B$52:$B$58,0)+1,7)),IF(AND(AL12&gt;=0,CEILING(AL12/INDEX(TABLAS!$D$52:$D$58,MIN(MATCH(DATOS!$C$20,TABLAS!$B$52:$B$58,0)+2,7)),1)&lt;=MIN(DATOS!$C$22,INT((DATOS!$C$25+DATOS!$C$24)/(INDEX(TABLAS!$C$52:$C$58,MIN(MATCH(DATOS!$C$20,TABLAS!$B$52:$B$58,0)+2,7))+DATOS!$C$24)))),INDEX(TABLAS!$B$52:$B$58,MIN(MATCH(DATOS!$C$20,TABLAS!$B$52:$B$58,0)+2,7)),IF(AND(AL12&gt;=0,CEILING(AL12/INDEX(TABLAS!$D$52:$D$58,MIN(MATCH(DATOS!$C$20,TABLAS!$B$52:$B$58,0)+3,7)),1)&lt;=MIN(DATOS!$C$22,INT((DATOS!$C$25+DATOS!$C$24)/(INDEX(TABLAS!$C$52:$C$58,MIN(MATCH(DATOS!$C$20,TABLAS!$B$52:$B$58,0)+3,7))+DATOS!$C$24)))),INDEX(TABLAS!$B$52:$B$58,MIN(MATCH(DATOS!$C$20,TABLAS!$B$52:$B$58,0)+3,7)),IF(AND(AL12&gt;=0,CEILING(AL12/INDEX(TABLAS!$D$52:$D$58,MIN(MATCH(DATOS!$C$20,TABLAS!$B$52:$B$58,0)+4,7)),1)&lt;=MIN(DATOS!$C$22,INT((DATOS!$C$25+DATOS!$C$24)/(INDEX(TABLAS!$C$52:$C$58,MIN(MATCH(DATOS!$C$20,TABLAS!$B$52:$B$58,0)+4,7))+DATOS!$C$24)))),INDEX(TABLAS!$B$52:$B$58,MIN(MATCH(DATOS!$C$20,TABLAS!$B$52:$B$58,0)+4,7)),INDEX(TABLAS!$B$52:$B$58,7))))))</f>
        <v>3</v>
      </c>
      <c r="AN12" s="55">
        <f>IF(D12="HUECO",0,IF(AL12&lt;0,0,MAX(DATOS!$C$23,CEILING(AL12/INDEX(TABLAS!$D$52:$D$58,MATCH(AM12,TABLAS!$B$52:$B$58,0)),1))))</f>
        <v>1</v>
      </c>
      <c r="AO12" s="34">
        <f>IF(AN12=0,0,DATOS!$C$45*AN12*INDEX(TABLAS!$D$52:$D$58,MATCH(AM12,TABLAS!$B$52:$B$58,0))*DATOS!$C$32*((DATOS!$C$15-DATOS!$C$18-INDEX(TABLAS!$C$52:$C$58,MATCH(DATOS!$C$19,TABLAS!$B$52:$B$58,0))-INDEX(TABLAS!$C$52:$C$58,MATCH(AM12,TABLAS!$B$52:$B$58,0))/2)-AN12*INDEX(TABLAS!$D$52:$D$58,MATCH(AM12,TABLAS!$B$52:$B$58,0))*DATOS!$C$32/(DATOS!$C$38*DATOS!$C$16)/2)/1E5)</f>
        <v>0.584659515176471</v>
      </c>
      <c r="AP12" s="59">
        <f>IF(AL12&lt;0,9.99,IF(AO12&gt;0,AH12/AO12,0))</f>
        <v>0.0787146616207784</v>
      </c>
      <c r="AQ12" s="41">
        <f>IF(D12="HUECO",0,IF(AI12&lt;=0,DATOS!$C$71*DATOS!$C$13*DATOS!$C$67,IF((1-2*AI12*1E5/(DATOS!$C$45*DATOS!$C$13*DATOS!$C$67^2*DATOS!$C$38))&lt;0,-1,IF((1-SQRT((1-2*AI12*1E5/(DATOS!$C$45*DATOS!$C$13*DATOS!$C$67^2*DATOS!$C$38))))*DATOS!$C$38*DATOS!$C$13*DATOS!$C$67/DATOS!$C$32&gt;DATOS!$C$70*DATOS!$C$13*DATOS!$C$67,-1,MAX(DATOS!$C$71*DATOS!$C$13*DATOS!$C$67,(1-SQRT((1-2*AI12*1E5/(DATOS!$C$45*DATOS!$C$13*DATOS!$C$67^2*DATOS!$C$38))))*DATOS!$C$38*DATOS!$C$13*DATOS!$C$67/DATOS!$C$32)))))</f>
        <v>0.576720388273208</v>
      </c>
      <c r="AR12" s="39">
        <f>IF(AND(AQ12&gt;=0,CEILING(AQ12/INDEX(TABLAS!$D$52:$D$58,MIN(MATCH(DATOS!$C$21,TABLAS!$B$52:$B$58,0)+0,7)),1)&lt;=MIN(DATOS!$C$22,INT((DATOS!$C$25+DATOS!$C$24)/(INDEX(TABLAS!$C$52:$C$58,MIN(MATCH(DATOS!$C$21,TABLAS!$B$52:$B$58,0)+0,7))+DATOS!$C$24)))),INDEX(TABLAS!$B$52:$B$58,MIN(MATCH(DATOS!$C$21,TABLAS!$B$52:$B$58,0)+0,7)),IF(AND(AQ12&gt;=0,CEILING(AQ12/INDEX(TABLAS!$D$52:$D$58,MIN(MATCH(DATOS!$C$21,TABLAS!$B$52:$B$58,0)+1,7)),1)&lt;=MIN(DATOS!$C$22,INT((DATOS!$C$25+DATOS!$C$24)/(INDEX(TABLAS!$C$52:$C$58,MIN(MATCH(DATOS!$C$21,TABLAS!$B$52:$B$58,0)+1,7))+DATOS!$C$24)))),INDEX(TABLAS!$B$52:$B$58,MIN(MATCH(DATOS!$C$21,TABLAS!$B$52:$B$58,0)+1,7)),IF(AND(AQ12&gt;=0,CEILING(AQ12/INDEX(TABLAS!$D$52:$D$58,MIN(MATCH(DATOS!$C$21,TABLAS!$B$52:$B$58,0)+2,7)),1)&lt;=MIN(DATOS!$C$22,INT((DATOS!$C$25+DATOS!$C$24)/(INDEX(TABLAS!$C$52:$C$58,MIN(MATCH(DATOS!$C$21,TABLAS!$B$52:$B$58,0)+2,7))+DATOS!$C$24)))),INDEX(TABLAS!$B$52:$B$58,MIN(MATCH(DATOS!$C$21,TABLAS!$B$52:$B$58,0)+2,7)),IF(AND(AQ12&gt;=0,CEILING(AQ12/INDEX(TABLAS!$D$52:$D$58,MIN(MATCH(DATOS!$C$21,TABLAS!$B$52:$B$58,0)+3,7)),1)&lt;=MIN(DATOS!$C$22,INT((DATOS!$C$25+DATOS!$C$24)/(INDEX(TABLAS!$C$52:$C$58,MIN(MATCH(DATOS!$C$21,TABLAS!$B$52:$B$58,0)+3,7))+DATOS!$C$24)))),INDEX(TABLAS!$B$52:$B$58,MIN(MATCH(DATOS!$C$21,TABLAS!$B$52:$B$58,0)+3,7)),IF(AND(AQ12&gt;=0,CEILING(AQ12/INDEX(TABLAS!$D$52:$D$58,MIN(MATCH(DATOS!$C$21,TABLAS!$B$52:$B$58,0)+4,7)),1)&lt;=MIN(DATOS!$C$22,INT((DATOS!$C$25+DATOS!$C$24)/(INDEX(TABLAS!$C$52:$C$58,MIN(MATCH(DATOS!$C$21,TABLAS!$B$52:$B$58,0)+4,7))+DATOS!$C$24)))),INDEX(TABLAS!$B$52:$B$58,MIN(MATCH(DATOS!$C$21,TABLAS!$B$52:$B$58,0)+4,7)),INDEX(TABLAS!$B$52:$B$58,7))))))</f>
        <v>3</v>
      </c>
      <c r="AS12" s="55">
        <f>IF(D12="HUECO",0,IF(AQ12&lt;0,0,MAX(1,CEILING(AQ12/INDEX(TABLAS!$D$52:$D$58,MATCH(AR12,TABLAS!$B$52:$B$58,0)),1))))</f>
        <v>1</v>
      </c>
      <c r="AT12" s="34">
        <f>IF(AS12=0,0,DATOS!$C$45*AS12*INDEX(TABLAS!$D$52:$D$58,MATCH(AR12,TABLAS!$B$52:$B$58,0))*DATOS!$C$32*((DATOS!$C$15-DATOS!$C$18-INDEX(TABLAS!$C$52:$C$58,MATCH(DATOS!$C$19,TABLAS!$B$52:$B$58,0))-INDEX(TABLAS!$C$52:$C$58,MATCH(AR12,TABLAS!$B$52:$B$58,0))/2)-AS12*INDEX(TABLAS!$D$52:$D$58,MATCH(AR12,TABLAS!$B$52:$B$58,0))*DATOS!$C$32/(DATOS!$C$38*DATOS!$C$13)/2)/1E5)</f>
        <v>0.568518826235294</v>
      </c>
      <c r="AU12" s="59">
        <f>IF(AQ12&lt;0,9.99,IF(AT12&gt;0,AI12/AT12,0))</f>
        <v>0.139987558602881</v>
      </c>
      <c r="AV12" s="41">
        <f>IF(D12="HUECO",0,IF(AJ12&lt;=0,DATOS!$C$71*DATOS!$C$13*DATOS!$C$66,IF((1-2*AJ12*1E5/(DATOS!$C$45*DATOS!$C$16*DATOS!$C$66^2*DATOS!$C$38))&lt;0,-1,MAX(DATOS!$C$71*DATOS!$C$13*DATOS!$C$66,(1-SQRT((1-2*AJ12*1E5/(DATOS!$C$45*DATOS!$C$16*DATOS!$C$66^2*DATOS!$C$38))))*DATOS!$C$38*DATOS!$C$16*DATOS!$C$66/DATOS!$C$32))))</f>
        <v>0.576720388273208</v>
      </c>
      <c r="AW12" s="39">
        <f>IF(AND(AV12&gt;=0,CEILING(AV12/INDEX(TABLAS!$D$52:$D$58,MIN(MATCH(DATOS!$C$20,TABLAS!$B$52:$B$58,0)+0,7)),1)&lt;=MIN(DATOS!$C$22,INT((DATOS!$C$25+DATOS!$C$24)/(INDEX(TABLAS!$C$52:$C$58,MIN(MATCH(DATOS!$C$20,TABLAS!$B$52:$B$58,0)+0,7))+DATOS!$C$24)))),INDEX(TABLAS!$B$52:$B$58,MIN(MATCH(DATOS!$C$20,TABLAS!$B$52:$B$58,0)+0,7)),IF(AND(AV12&gt;=0,CEILING(AV12/INDEX(TABLAS!$D$52:$D$58,MIN(MATCH(DATOS!$C$20,TABLAS!$B$52:$B$58,0)+1,7)),1)&lt;=MIN(DATOS!$C$22,INT((DATOS!$C$25+DATOS!$C$24)/(INDEX(TABLAS!$C$52:$C$58,MIN(MATCH(DATOS!$C$20,TABLAS!$B$52:$B$58,0)+1,7))+DATOS!$C$24)))),INDEX(TABLAS!$B$52:$B$58,MIN(MATCH(DATOS!$C$20,TABLAS!$B$52:$B$58,0)+1,7)),IF(AND(AV12&gt;=0,CEILING(AV12/INDEX(TABLAS!$D$52:$D$58,MIN(MATCH(DATOS!$C$20,TABLAS!$B$52:$B$58,0)+2,7)),1)&lt;=MIN(DATOS!$C$22,INT((DATOS!$C$25+DATOS!$C$24)/(INDEX(TABLAS!$C$52:$C$58,MIN(MATCH(DATOS!$C$20,TABLAS!$B$52:$B$58,0)+2,7))+DATOS!$C$24)))),INDEX(TABLAS!$B$52:$B$58,MIN(MATCH(DATOS!$C$20,TABLAS!$B$52:$B$58,0)+2,7)),IF(AND(AV12&gt;=0,CEILING(AV12/INDEX(TABLAS!$D$52:$D$58,MIN(MATCH(DATOS!$C$20,TABLAS!$B$52:$B$58,0)+3,7)),1)&lt;=MIN(DATOS!$C$22,INT((DATOS!$C$25+DATOS!$C$24)/(INDEX(TABLAS!$C$52:$C$58,MIN(MATCH(DATOS!$C$20,TABLAS!$B$52:$B$58,0)+3,7))+DATOS!$C$24)))),INDEX(TABLAS!$B$52:$B$58,MIN(MATCH(DATOS!$C$20,TABLAS!$B$52:$B$58,0)+3,7)),IF(AND(AV12&gt;=0,CEILING(AV12/INDEX(TABLAS!$D$52:$D$58,MIN(MATCH(DATOS!$C$20,TABLAS!$B$52:$B$58,0)+4,7)),1)&lt;=MIN(DATOS!$C$22,INT((DATOS!$C$25+DATOS!$C$24)/(INDEX(TABLAS!$C$52:$C$58,MIN(MATCH(DATOS!$C$20,TABLAS!$B$52:$B$58,0)+4,7))+DATOS!$C$24)))),INDEX(TABLAS!$B$52:$B$58,MIN(MATCH(DATOS!$C$20,TABLAS!$B$52:$B$58,0)+4,7)),INDEX(TABLAS!$B$52:$B$58,7))))))</f>
        <v>3</v>
      </c>
      <c r="AX12" s="55">
        <f>IF(D12="HUECO",0,IF(AV12&lt;0,0,MAX(DATOS!$C$23,CEILING(AV12/INDEX(TABLAS!$D$52:$D$58,MATCH(AW12,TABLAS!$B$52:$B$58,0)),1))))</f>
        <v>1</v>
      </c>
      <c r="AY12" s="34">
        <f>IF(AX12=0,0,DATOS!$C$45*AX12*INDEX(TABLAS!$D$52:$D$58,MATCH(AW12,TABLAS!$B$52:$B$58,0))*DATOS!$C$32*((DATOS!$C$15-DATOS!$C$18-INDEX(TABLAS!$C$52:$C$58,MATCH(DATOS!$C$19,TABLAS!$B$52:$B$58,0))-INDEX(TABLAS!$C$52:$C$58,MATCH(AW12,TABLAS!$B$52:$B$58,0))/2)-AX12*INDEX(TABLAS!$D$52:$D$58,MATCH(AW12,TABLAS!$B$52:$B$58,0))*DATOS!$C$32/(DATOS!$C$38*DATOS!$C$16)/2)/1E5)</f>
        <v>0.584659515176471</v>
      </c>
      <c r="AZ12" s="59">
        <f>IF(AV12&lt;0,9.99,IF(AY12&gt;0,AJ12/AY12,0))</f>
        <v>0.0352967464279357</v>
      </c>
      <c r="BA12" s="41">
        <f>IF(D12="HUECO",0,IF(AK12&lt;=0,DATOS!$C$71*DATOS!$C$13*DATOS!$C$67,IF((1-2*AK12*1E5/(DATOS!$C$45*DATOS!$C$13*DATOS!$C$67^2*DATOS!$C$38))&lt;0,-1,IF((1-SQRT((1-2*AK12*1E5/(DATOS!$C$45*DATOS!$C$13*DATOS!$C$67^2*DATOS!$C$38))))*DATOS!$C$38*DATOS!$C$13*DATOS!$C$67/DATOS!$C$32&gt;DATOS!$C$70*DATOS!$C$13*DATOS!$C$67,-1,MAX(DATOS!$C$71*DATOS!$C$13*DATOS!$C$67,(1-SQRT((1-2*AK12*1E5/(DATOS!$C$45*DATOS!$C$13*DATOS!$C$67^2*DATOS!$C$38))))*DATOS!$C$38*DATOS!$C$13*DATOS!$C$67/DATOS!$C$32)))))</f>
        <v>0.576720388273208</v>
      </c>
      <c r="BB12" s="39">
        <f>IF(AND(BA12&gt;=0,CEILING(BA12/INDEX(TABLAS!$D$52:$D$58,MIN(MATCH(DATOS!$C$21,TABLAS!$B$52:$B$58,0)+0,7)),1)&lt;=MIN(DATOS!$C$22,INT((DATOS!$C$25+DATOS!$C$24)/(INDEX(TABLAS!$C$52:$C$58,MIN(MATCH(DATOS!$C$21,TABLAS!$B$52:$B$58,0)+0,7))+DATOS!$C$24)))),INDEX(TABLAS!$B$52:$B$58,MIN(MATCH(DATOS!$C$21,TABLAS!$B$52:$B$58,0)+0,7)),IF(AND(BA12&gt;=0,CEILING(BA12/INDEX(TABLAS!$D$52:$D$58,MIN(MATCH(DATOS!$C$21,TABLAS!$B$52:$B$58,0)+1,7)),1)&lt;=MIN(DATOS!$C$22,INT((DATOS!$C$25+DATOS!$C$24)/(INDEX(TABLAS!$C$52:$C$58,MIN(MATCH(DATOS!$C$21,TABLAS!$B$52:$B$58,0)+1,7))+DATOS!$C$24)))),INDEX(TABLAS!$B$52:$B$58,MIN(MATCH(DATOS!$C$21,TABLAS!$B$52:$B$58,0)+1,7)),IF(AND(BA12&gt;=0,CEILING(BA12/INDEX(TABLAS!$D$52:$D$58,MIN(MATCH(DATOS!$C$21,TABLAS!$B$52:$B$58,0)+2,7)),1)&lt;=MIN(DATOS!$C$22,INT((DATOS!$C$25+DATOS!$C$24)/(INDEX(TABLAS!$C$52:$C$58,MIN(MATCH(DATOS!$C$21,TABLAS!$B$52:$B$58,0)+2,7))+DATOS!$C$24)))),INDEX(TABLAS!$B$52:$B$58,MIN(MATCH(DATOS!$C$21,TABLAS!$B$52:$B$58,0)+2,7)),IF(AND(BA12&gt;=0,CEILING(BA12/INDEX(TABLAS!$D$52:$D$58,MIN(MATCH(DATOS!$C$21,TABLAS!$B$52:$B$58,0)+3,7)),1)&lt;=MIN(DATOS!$C$22,INT((DATOS!$C$25+DATOS!$C$24)/(INDEX(TABLAS!$C$52:$C$58,MIN(MATCH(DATOS!$C$21,TABLAS!$B$52:$B$58,0)+3,7))+DATOS!$C$24)))),INDEX(TABLAS!$B$52:$B$58,MIN(MATCH(DATOS!$C$21,TABLAS!$B$52:$B$58,0)+3,7)),IF(AND(BA12&gt;=0,CEILING(BA12/INDEX(TABLAS!$D$52:$D$58,MIN(MATCH(DATOS!$C$21,TABLAS!$B$52:$B$58,0)+4,7)),1)&lt;=MIN(DATOS!$C$22,INT((DATOS!$C$25+DATOS!$C$24)/(INDEX(TABLAS!$C$52:$C$58,MIN(MATCH(DATOS!$C$21,TABLAS!$B$52:$B$58,0)+4,7))+DATOS!$C$24)))),INDEX(TABLAS!$B$52:$B$58,MIN(MATCH(DATOS!$C$21,TABLAS!$B$52:$B$58,0)+4,7)),INDEX(TABLAS!$B$52:$B$58,7))))))</f>
        <v>3</v>
      </c>
      <c r="BC12" s="55">
        <f>IF(D12="HUECO",0,IF(BA12&lt;0,0,MAX(1,CEILING(BA12/INDEX(TABLAS!$D$52:$D$58,MATCH(BB12,TABLAS!$B$52:$B$58,0)),1))))</f>
        <v>1</v>
      </c>
      <c r="BD12" s="34">
        <f>IF(BC12=0,0,DATOS!$C$45*BC12*INDEX(TABLAS!$D$52:$D$58,MATCH(BB12,TABLAS!$B$52:$B$58,0))*DATOS!$C$32*((DATOS!$C$15-DATOS!$C$18-INDEX(TABLAS!$C$52:$C$58,MATCH(DATOS!$C$19,TABLAS!$B$52:$B$58,0))-INDEX(TABLAS!$C$52:$C$58,MATCH(BB12,TABLAS!$B$52:$B$58,0))/2)-BC12*INDEX(TABLAS!$D$52:$D$58,MATCH(BB12,TABLAS!$B$52:$B$58,0))*DATOS!$C$32/(DATOS!$C$38*DATOS!$C$13)/2)/1E5)</f>
        <v>0.568518826235294</v>
      </c>
      <c r="BE12" s="59">
        <f>IF(BA12&lt;0,9.99,IF(BD12&gt;0,AK12/BD12,0))</f>
        <v>0.104104697061466</v>
      </c>
      <c r="BF12" s="34">
        <f>IF(D12="PERIMETRAL",MAX(0,(J12/2-DATOS!$C$66/100))*(0.95-0.5*L12)*R12*IF(AND(S12&gt;0,S12&lt;4),DATOS!$C$50,1)*DATOS!$C$16/100/1000,IF(D12="VOLADO",(R12*J12+DATOS!$C$43*AG12)*DATOS!$C$16/100/1000,0))</f>
        <v>0.260709983071319</v>
      </c>
      <c r="BG12" s="34">
        <f>IF(D12="HUECO",0,DATOS!$C$46*IF((AS12*INDEX(TABLAS!$D$52:$D$58,MATCH(AR12,TABLAS!$B$52:$B$58,0))/(DATOS!$C$13*DATOS!$C$67))&lt;0.015,0.2+20*(AS12*INDEX(TABLAS!$D$52:$D$58,MATCH(AR12,TABLAS!$B$52:$B$58,0))/(DATOS!$C$13*DATOS!$C$67)),0.5)*SQRT(DATOS!$C$31)*DATOS!$C$13*DATOS!$C$67*DATOS!$C$49/1000)</f>
        <v>0.687439634849853</v>
      </c>
      <c r="BH12" s="49" t="str">
        <f>IF(D12="HUECO","—",IF(BF12&lt;=BG12,"CUMPLE","MACIZAR "&amp;MAX(1,CEILING(IF(D12="VOLADO",J12,J12/2)*(1-BG12/BF12)*100/DATOS!$C$16,1))&amp;" hilera(s)"))</f>
        <v>CUMPLE</v>
      </c>
      <c r="BI12" s="41">
        <f>IF(D12="PERIMETRAL",(2*(H12+I12)+0.25*(H12*((APOYOS!$G$41="DISCONTINUO")+(APOYOS!$G$42="DISCONTINUO"))+I12*((APOYOS!$G$43="DISCONTINUO")+(APOYOS!$G$44="DISCONTINUO"))))*(J12+MIN(K12,2*J12))/(J12+K12)*100/250*IF(OR(DATOS!$C$47&gt;2520,Q12&gt;380),0.032*(DATOS!$C$47*Q12)^0.25,1),IF(D12="VOLADO",J12*100/8,0))</f>
        <v>4.2501004385092</v>
      </c>
      <c r="BJ12" s="41">
        <f>IF(D12="VOLADO",DATOS!$C$15,DATOS!$C$68)</f>
        <v>13.6082564120244</v>
      </c>
      <c r="BK12" s="50" t="str">
        <f>IF(D12="HUECO","—",IF(BJ12&gt;=BI12,"CUMPLE","NO CUMPLE"))</f>
        <v>CUMPLE</v>
      </c>
      <c r="BL12" s="50" t="str">
        <f>IF(D12="PERIMETRAL",IF(DATOS!$C$16/100&lt;=J12/6,"SÍ","NO: a1 &lt; 6·s"),"—")</f>
        <v>NO: a1 &lt; 6·s</v>
      </c>
      <c r="BM12" s="55">
        <f>MAX(0,INT((F12*100-DATOS!$C$17+DATOS!$C$13)/DATOS!$C$16))</f>
        <v>4</v>
      </c>
      <c r="BN12" s="55">
        <f>MAX(0,INT((G12*100-DATOS!$C$17+DATOS!$C$13)/DATOS!$C$16))</f>
        <v>2</v>
      </c>
      <c r="BO12" s="49" t="str">
        <f>IF(COUNTIFS(TRIB!$C$6:$C$255,B12,TRIB!$K$6:$K$255,"NO CUMPLE*")+COUNTIFS(TRIB!$C$6:$C$255,B12,TRIB!$K$6:$K$255,"SIN APOYO*")&gt;0,"VER PRINCIPALES",IF((APOYOS!$F$41="LIBRE")+(APOYOS!$F$42="LIBRE")+(APOYOS!$F$43="LIBRE")+(APOYOS!$F$44="LIBRE")&gt;0,"REVISAR: borde libre","OK"))</f>
        <v>OK</v>
      </c>
      <c r="BP12" s="60" t="str">
        <f>IF(D12="HUECO","HUECO — marco de nervaduras principales",IF(AND(MAX(AP12,AU12,AZ12,BE12)&lt;=1,NOT(OR(AN12&gt;MIN(DATOS!$C$22,INT((DATOS!$C$25+DATOS!$C$24)/(INDEX(TABLAS!$C$52:$C$58,MATCH(AM12,TABLAS!$B$52:$B$58,0))+DATOS!$C$24))),AS12&gt;MIN(DATOS!$C$22,INT((DATOS!$C$25+DATOS!$C$24)/(INDEX(TABLAS!$C$52:$C$58,MATCH(AR12,TABLAS!$B$52:$B$58,0))+DATOS!$C$24))),AX12&gt;MIN(DATOS!$C$22,INT((DATOS!$C$25+DATOS!$C$24)/(INDEX(TABLAS!$C$52:$C$58,MATCH(AW12,TABLAS!$B$52:$B$58,0))+DATOS!$C$24))),BC12&gt;MIN(DATOS!$C$22,INT((DATOS!$C$25+DATOS!$C$24)/(INDEX(TABLAS!$C$52:$C$58,MATCH(BB12,TABLAS!$B$52:$B$58,0))+DATOS!$C$24))))),BK12="CUMPLE"),IF(BO12="OK",IF(BH12="CUMPLE","CUMPLE","CUMPLE — "&amp;BH12),IF(BO12="VER PRINCIPALES","VER PRINCIPALES","REVISAR APOYOS")),"NO CUMPLE: "&amp;IF(MAX(AP12,AU12,AZ12,BE12)&gt;1,"flexión ","")&amp;IF(OR(AN12&gt;MIN(DATOS!$C$22,INT((DATOS!$C$25+DATOS!$C$24)/(INDEX(TABLAS!$C$52:$C$58,MATCH(AM12,TABLAS!$B$52:$B$58,0))+DATOS!$C$24))),AS12&gt;MIN(DATOS!$C$22,INT((DATOS!$C$25+DATOS!$C$24)/(INDEX(TABLAS!$C$52:$C$58,MATCH(AR12,TABLAS!$B$52:$B$58,0))+DATOS!$C$24))),AX12&gt;MIN(DATOS!$C$22,INT((DATOS!$C$25+DATOS!$C$24)/(INDEX(TABLAS!$C$52:$C$58,MATCH(AW12,TABLAS!$B$52:$B$58,0))+DATOS!$C$24))),BC12&gt;MIN(DATOS!$C$22,INT((DATOS!$C$25+DATOS!$C$24)/(INDEX(TABLAS!$C$52:$C$58,MATCH(BB12,TABLAS!$B$52:$B$58,0))+DATOS!$C$24)))),"no caben ","")&amp;IF(BK12&lt;&gt;"CUMPLE","peralte","")))</f>
        <v>CUMPLE</v>
      </c>
      <c r="BQ12" s="61" t="inlineStr">
        <is>
          <t>—</t>
        </is>
      </c>
    </row>
    <row r="13" ht="30" customHeight="1">
      <c r="B13" s="49" t="inlineStr">
        <is>
          <t>F80006 N+3.00</t>
        </is>
      </c>
      <c r="C13" s="50" t="inlineStr">
        <is>
          <t>N+3.00</t>
        </is>
      </c>
      <c r="D13" s="51" t="inlineStr">
        <is>
          <t>PERIMETRAL</t>
        </is>
      </c>
      <c r="E13" s="51" t="inlineStr">
        <is>
          <t>HABITACIÓN</t>
        </is>
      </c>
      <c r="F13" s="52" t="n">
        <v>1.402</v>
      </c>
      <c r="G13" s="52" t="n">
        <v>1.002</v>
      </c>
      <c r="H13" s="53" t="n">
        <v>1.402</v>
      </c>
      <c r="I13" s="53" t="n">
        <v>1.002</v>
      </c>
      <c r="J13" s="34">
        <f>MIN(H13,I13)</f>
        <v>1.002</v>
      </c>
      <c r="K13" s="34">
        <f>MAX(H13,I13)</f>
        <v>1.402</v>
      </c>
      <c r="L13" s="34">
        <f>IF(K13&gt;0,J13/K13,0)</f>
        <v>0.714693295292439</v>
      </c>
      <c r="M13" s="50" t="str">
        <f>IF(H13&lt;=I13,"X","Y")</f>
        <v>Y</v>
      </c>
      <c r="N13" s="54" t="n">
        <v>160</v>
      </c>
      <c r="O13" s="55">
        <f>IF(E13="HABITACIÓN",DATOS!$C$76,DATOS!$C$78)</f>
        <v>190</v>
      </c>
      <c r="P13" s="55">
        <f>DATOS!$C$58</f>
        <v>253.673469387755</v>
      </c>
      <c r="Q13" s="55">
        <f>P13+N13+O13</f>
        <v>603.673469387755</v>
      </c>
      <c r="R13" s="56">
        <f>DATOS!$C$43*(P13+N13)+DATOS!$C$44*O13</f>
        <v>822.775510204082</v>
      </c>
      <c r="S13" s="55">
        <f>(APOYOS!$G$45="DISCONTINUO")+(APOYOS!$G$46="DISCONTINUO")+(APOYOS!$G$47="DISCONTINUO")+(APOYOS!$G$48="DISCONTINUO")</f>
        <v>0</v>
      </c>
      <c r="T13" s="55">
        <f>IF(M13="X",(APOYOS!$G$45="DISCONTINUO")+(APOYOS!$G$46="DISCONTINUO"),(APOYOS!$G$47="DISCONTINUO")+(APOYOS!$G$48="DISCONTINUO"))</f>
        <v>0</v>
      </c>
      <c r="U13" s="55">
        <f>S13-T13</f>
        <v>0</v>
      </c>
      <c r="V13" s="50" t="str">
        <f>IF(S13=0,"INTERIOR",IF(S13=1,IF(T13=1,"BORDE-CORTO","BORDE-LARGO"),IF(S13=2,IF(T13=1,"ESQUINA",IF(T13=2,"EXTREMO-LARGO","EXTREMO-CORTO")),IF(S13=3,IF(T13=2,"EXTREMO-LARGO","EXTREMO-CORTO"),"AISLADO"))))</f>
        <v>INTERIOR</v>
      </c>
      <c r="W13" s="51" t="inlineStr">
        <is>
          <t>AUTO</t>
        </is>
      </c>
      <c r="X13" s="57" t="str">
        <f>IF(W13="AUTO",V13,W13)</f>
        <v>INTERIOR</v>
      </c>
      <c r="Y13" s="55">
        <f>MATCH(L13,TABLAS!$D$5:$J$5,1)</f>
        <v>4</v>
      </c>
      <c r="Z13" s="41">
        <f>IF(Y13&gt;=7,0,(L13-INDEX(TABLAS!$D$5:$J$5,Y13))/(INDEX(TABLAS!$D$5:$J$5,Y13+1)-INDEX(TABLAS!$D$5:$J$5,Y13)))</f>
        <v>0.146932952924394</v>
      </c>
      <c r="AA13" s="55">
        <f>INDEX(TABLAS!$D$6:$J$47,MATCH(X13&amp;"|NIC",TABLAS!$B$6:$B$47,0),Y13)+Z13*(INDEX(TABLAS!$D$6:$J$47,MATCH(X13&amp;"|NIC",TABLAS!$B$6:$B$47,0),MIN(Y13+1,7))-INDEX(TABLAS!$D$6:$J$47,MATCH(X13&amp;"|NIC",TABLAS!$B$6:$B$47,0),Y13))</f>
        <v>424.506419400856</v>
      </c>
      <c r="AB13" s="55">
        <f>INDEX(TABLAS!$D$6:$J$47,MATCH(X13&amp;"|NIL",TABLAS!$B$6:$B$47,0),Y13)+Z13*(INDEX(TABLAS!$D$6:$J$47,MATCH(X13&amp;"|NIL",TABLAS!$B$6:$B$47,0),MIN(Y13+1,7))-INDEX(TABLAS!$D$6:$J$47,MATCH(X13&amp;"|NIL",TABLAS!$B$6:$B$47,0),Y13))</f>
        <v>367.473609129815</v>
      </c>
      <c r="AC13" s="55">
        <f>INDEX(TABLAS!$D$6:$J$47,MATCH(X13&amp;"|NDC",TABLAS!$B$6:$B$47,0),Y13)+Z13*(INDEX(TABLAS!$D$6:$J$47,MATCH(X13&amp;"|NDC",TABLAS!$B$6:$B$47,0),MIN(Y13+1,7))-INDEX(TABLAS!$D$6:$J$47,MATCH(X13&amp;"|NDC",TABLAS!$B$6:$B$47,0),Y13))</f>
        <v>0</v>
      </c>
      <c r="AD13" s="55">
        <f>INDEX(TABLAS!$D$6:$J$47,MATCH(X13&amp;"|NDL",TABLAS!$B$6:$B$47,0),Y13)+Z13*(INDEX(TABLAS!$D$6:$J$47,MATCH(X13&amp;"|NDL",TABLAS!$B$6:$B$47,0),MIN(Y13+1,7))-INDEX(TABLAS!$D$6:$J$47,MATCH(X13&amp;"|NDL",TABLAS!$B$6:$B$47,0),Y13))</f>
        <v>0</v>
      </c>
      <c r="AE13" s="55">
        <f>INDEX(TABLAS!$D$6:$J$47,MATCH(X13&amp;"|PC",TABLAS!$B$6:$B$47,0),Y13)+Z13*(INDEX(TABLAS!$D$6:$J$47,MATCH(X13&amp;"|PC",TABLAS!$B$6:$B$47,0),MIN(Y13+1,7))-INDEX(TABLAS!$D$6:$J$47,MATCH(X13&amp;"|PC",TABLAS!$B$6:$B$47,0),Y13))</f>
        <v>222.710413694722</v>
      </c>
      <c r="AF13" s="55">
        <f>INDEX(TABLAS!$D$6:$J$47,MATCH(X13&amp;"|PL",TABLAS!$B$6:$B$47,0),Y13)+Z13*(INDEX(TABLAS!$D$6:$J$47,MATCH(X13&amp;"|PL",TABLAS!$B$6:$B$47,0),MIN(Y13+1,7))-INDEX(TABLAS!$D$6:$J$47,MATCH(X13&amp;"|PL",TABLAS!$B$6:$B$47,0),Y13))</f>
        <v>129.706134094151</v>
      </c>
      <c r="AG13" s="58" t="n">
        <v>0</v>
      </c>
      <c r="AH13" s="34">
        <f>IF(D13="PERIMETRAL",AE13*R13*J13^2*1E-4*DATOS!$C$16/100/1000,0)</f>
        <v>0.0128782058940609</v>
      </c>
      <c r="AI13" s="34">
        <f>IF(D13="PERIMETRAL",MAX(AA13,AC13)*R13*J13^2*1E-4*DATOS!$C$16/100/1000,IF(D13="VOLADO",(R13*J13^2/2+DATOS!$C$43*AG13*J13)*DATOS!$C$16/100/1000,0))</f>
        <v>0.0245470383791234</v>
      </c>
      <c r="AJ13" s="34">
        <f>IF(D13="PERIMETRAL",AF13*R13*J13^2*1E-4*DATOS!$C$16/100/1000,0)</f>
        <v>0.00750024335582624</v>
      </c>
      <c r="AK13" s="34">
        <f>IF(D13="PERIMETRAL",MAX(AB13,AD13)*R13*J13^2*1E-4*DATOS!$C$16/100/1000,0)</f>
        <v>0.0212491222143492</v>
      </c>
      <c r="AL13" s="41">
        <f>IF(D13="HUECO",0,IF(AH13&lt;=0,DATOS!$C$71*DATOS!$C$13*DATOS!$C$66,IF((1-2*AH13*1E5/(DATOS!$C$45*DATOS!$C$16*DATOS!$C$66^2*DATOS!$C$38))&lt;0,-1,MAX(DATOS!$C$71*DATOS!$C$13*DATOS!$C$66,(1-SQRT((1-2*AH13*1E5/(DATOS!$C$45*DATOS!$C$16*DATOS!$C$66^2*DATOS!$C$38))))*DATOS!$C$38*DATOS!$C$16*DATOS!$C$66/DATOS!$C$32))))</f>
        <v>0.576720388273208</v>
      </c>
      <c r="AM13" s="39">
        <f>IF(AND(AL13&gt;=0,CEILING(AL13/INDEX(TABLAS!$D$52:$D$58,MIN(MATCH(DATOS!$C$20,TABLAS!$B$52:$B$58,0)+0,7)),1)&lt;=MIN(DATOS!$C$22,INT((DATOS!$C$25+DATOS!$C$24)/(INDEX(TABLAS!$C$52:$C$58,MIN(MATCH(DATOS!$C$20,TABLAS!$B$52:$B$58,0)+0,7))+DATOS!$C$24)))),INDEX(TABLAS!$B$52:$B$58,MIN(MATCH(DATOS!$C$20,TABLAS!$B$52:$B$58,0)+0,7)),IF(AND(AL13&gt;=0,CEILING(AL13/INDEX(TABLAS!$D$52:$D$58,MIN(MATCH(DATOS!$C$20,TABLAS!$B$52:$B$58,0)+1,7)),1)&lt;=MIN(DATOS!$C$22,INT((DATOS!$C$25+DATOS!$C$24)/(INDEX(TABLAS!$C$52:$C$58,MIN(MATCH(DATOS!$C$20,TABLAS!$B$52:$B$58,0)+1,7))+DATOS!$C$24)))),INDEX(TABLAS!$B$52:$B$58,MIN(MATCH(DATOS!$C$20,TABLAS!$B$52:$B$58,0)+1,7)),IF(AND(AL13&gt;=0,CEILING(AL13/INDEX(TABLAS!$D$52:$D$58,MIN(MATCH(DATOS!$C$20,TABLAS!$B$52:$B$58,0)+2,7)),1)&lt;=MIN(DATOS!$C$22,INT((DATOS!$C$25+DATOS!$C$24)/(INDEX(TABLAS!$C$52:$C$58,MIN(MATCH(DATOS!$C$20,TABLAS!$B$52:$B$58,0)+2,7))+DATOS!$C$24)))),INDEX(TABLAS!$B$52:$B$58,MIN(MATCH(DATOS!$C$20,TABLAS!$B$52:$B$58,0)+2,7)),IF(AND(AL13&gt;=0,CEILING(AL13/INDEX(TABLAS!$D$52:$D$58,MIN(MATCH(DATOS!$C$20,TABLAS!$B$52:$B$58,0)+3,7)),1)&lt;=MIN(DATOS!$C$22,INT((DATOS!$C$25+DATOS!$C$24)/(INDEX(TABLAS!$C$52:$C$58,MIN(MATCH(DATOS!$C$20,TABLAS!$B$52:$B$58,0)+3,7))+DATOS!$C$24)))),INDEX(TABLAS!$B$52:$B$58,MIN(MATCH(DATOS!$C$20,TABLAS!$B$52:$B$58,0)+3,7)),IF(AND(AL13&gt;=0,CEILING(AL13/INDEX(TABLAS!$D$52:$D$58,MIN(MATCH(DATOS!$C$20,TABLAS!$B$52:$B$58,0)+4,7)),1)&lt;=MIN(DATOS!$C$22,INT((DATOS!$C$25+DATOS!$C$24)/(INDEX(TABLAS!$C$52:$C$58,MIN(MATCH(DATOS!$C$20,TABLAS!$B$52:$B$58,0)+4,7))+DATOS!$C$24)))),INDEX(TABLAS!$B$52:$B$58,MIN(MATCH(DATOS!$C$20,TABLAS!$B$52:$B$58,0)+4,7)),INDEX(TABLAS!$B$52:$B$58,7))))))</f>
        <v>3</v>
      </c>
      <c r="AN13" s="55">
        <f>IF(D13="HUECO",0,IF(AL13&lt;0,0,MAX(DATOS!$C$23,CEILING(AL13/INDEX(TABLAS!$D$52:$D$58,MATCH(AM13,TABLAS!$B$52:$B$58,0)),1))))</f>
        <v>1</v>
      </c>
      <c r="AO13" s="34">
        <f>IF(AN13=0,0,DATOS!$C$45*AN13*INDEX(TABLAS!$D$52:$D$58,MATCH(AM13,TABLAS!$B$52:$B$58,0))*DATOS!$C$32*((DATOS!$C$15-DATOS!$C$18-INDEX(TABLAS!$C$52:$C$58,MATCH(DATOS!$C$19,TABLAS!$B$52:$B$58,0))-INDEX(TABLAS!$C$52:$C$58,MATCH(AM13,TABLAS!$B$52:$B$58,0))/2)-AN13*INDEX(TABLAS!$D$52:$D$58,MATCH(AM13,TABLAS!$B$52:$B$58,0))*DATOS!$C$32/(DATOS!$C$38*DATOS!$C$16)/2)/1E5)</f>
        <v>0.584659515176471</v>
      </c>
      <c r="AP13" s="59">
        <f>IF(AL13&lt;0,9.99,IF(AO13&gt;0,AH13/AO13,0))</f>
        <v>0.0220268473526404</v>
      </c>
      <c r="AQ13" s="41">
        <f>IF(D13="HUECO",0,IF(AI13&lt;=0,DATOS!$C$71*DATOS!$C$13*DATOS!$C$67,IF((1-2*AI13*1E5/(DATOS!$C$45*DATOS!$C$13*DATOS!$C$67^2*DATOS!$C$38))&lt;0,-1,IF((1-SQRT((1-2*AI13*1E5/(DATOS!$C$45*DATOS!$C$13*DATOS!$C$67^2*DATOS!$C$38))))*DATOS!$C$38*DATOS!$C$13*DATOS!$C$67/DATOS!$C$32&gt;DATOS!$C$70*DATOS!$C$13*DATOS!$C$67,-1,MAX(DATOS!$C$71*DATOS!$C$13*DATOS!$C$67,(1-SQRT((1-2*AI13*1E5/(DATOS!$C$45*DATOS!$C$13*DATOS!$C$67^2*DATOS!$C$38))))*DATOS!$C$38*DATOS!$C$13*DATOS!$C$67/DATOS!$C$32)))))</f>
        <v>0.576720388273208</v>
      </c>
      <c r="AR13" s="39">
        <f>IF(AND(AQ13&gt;=0,CEILING(AQ13/INDEX(TABLAS!$D$52:$D$58,MIN(MATCH(DATOS!$C$21,TABLAS!$B$52:$B$58,0)+0,7)),1)&lt;=MIN(DATOS!$C$22,INT((DATOS!$C$25+DATOS!$C$24)/(INDEX(TABLAS!$C$52:$C$58,MIN(MATCH(DATOS!$C$21,TABLAS!$B$52:$B$58,0)+0,7))+DATOS!$C$24)))),INDEX(TABLAS!$B$52:$B$58,MIN(MATCH(DATOS!$C$21,TABLAS!$B$52:$B$58,0)+0,7)),IF(AND(AQ13&gt;=0,CEILING(AQ13/INDEX(TABLAS!$D$52:$D$58,MIN(MATCH(DATOS!$C$21,TABLAS!$B$52:$B$58,0)+1,7)),1)&lt;=MIN(DATOS!$C$22,INT((DATOS!$C$25+DATOS!$C$24)/(INDEX(TABLAS!$C$52:$C$58,MIN(MATCH(DATOS!$C$21,TABLAS!$B$52:$B$58,0)+1,7))+DATOS!$C$24)))),INDEX(TABLAS!$B$52:$B$58,MIN(MATCH(DATOS!$C$21,TABLAS!$B$52:$B$58,0)+1,7)),IF(AND(AQ13&gt;=0,CEILING(AQ13/INDEX(TABLAS!$D$52:$D$58,MIN(MATCH(DATOS!$C$21,TABLAS!$B$52:$B$58,0)+2,7)),1)&lt;=MIN(DATOS!$C$22,INT((DATOS!$C$25+DATOS!$C$24)/(INDEX(TABLAS!$C$52:$C$58,MIN(MATCH(DATOS!$C$21,TABLAS!$B$52:$B$58,0)+2,7))+DATOS!$C$24)))),INDEX(TABLAS!$B$52:$B$58,MIN(MATCH(DATOS!$C$21,TABLAS!$B$52:$B$58,0)+2,7)),IF(AND(AQ13&gt;=0,CEILING(AQ13/INDEX(TABLAS!$D$52:$D$58,MIN(MATCH(DATOS!$C$21,TABLAS!$B$52:$B$58,0)+3,7)),1)&lt;=MIN(DATOS!$C$22,INT((DATOS!$C$25+DATOS!$C$24)/(INDEX(TABLAS!$C$52:$C$58,MIN(MATCH(DATOS!$C$21,TABLAS!$B$52:$B$58,0)+3,7))+DATOS!$C$24)))),INDEX(TABLAS!$B$52:$B$58,MIN(MATCH(DATOS!$C$21,TABLAS!$B$52:$B$58,0)+3,7)),IF(AND(AQ13&gt;=0,CEILING(AQ13/INDEX(TABLAS!$D$52:$D$58,MIN(MATCH(DATOS!$C$21,TABLAS!$B$52:$B$58,0)+4,7)),1)&lt;=MIN(DATOS!$C$22,INT((DATOS!$C$25+DATOS!$C$24)/(INDEX(TABLAS!$C$52:$C$58,MIN(MATCH(DATOS!$C$21,TABLAS!$B$52:$B$58,0)+4,7))+DATOS!$C$24)))),INDEX(TABLAS!$B$52:$B$58,MIN(MATCH(DATOS!$C$21,TABLAS!$B$52:$B$58,0)+4,7)),INDEX(TABLAS!$B$52:$B$58,7))))))</f>
        <v>3</v>
      </c>
      <c r="AS13" s="55">
        <f>IF(D13="HUECO",0,IF(AQ13&lt;0,0,MAX(1,CEILING(AQ13/INDEX(TABLAS!$D$52:$D$58,MATCH(AR13,TABLAS!$B$52:$B$58,0)),1))))</f>
        <v>1</v>
      </c>
      <c r="AT13" s="34">
        <f>IF(AS13=0,0,DATOS!$C$45*AS13*INDEX(TABLAS!$D$52:$D$58,MATCH(AR13,TABLAS!$B$52:$B$58,0))*DATOS!$C$32*((DATOS!$C$15-DATOS!$C$18-INDEX(TABLAS!$C$52:$C$58,MATCH(DATOS!$C$19,TABLAS!$B$52:$B$58,0))-INDEX(TABLAS!$C$52:$C$58,MATCH(AR13,TABLAS!$B$52:$B$58,0))/2)-AS13*INDEX(TABLAS!$D$52:$D$58,MATCH(AR13,TABLAS!$B$52:$B$58,0))*DATOS!$C$32/(DATOS!$C$38*DATOS!$C$13)/2)/1E5)</f>
        <v>0.568518826235294</v>
      </c>
      <c r="AU13" s="59">
        <f>IF(AQ13&lt;0,9.99,IF(AT13&gt;0,AI13/AT13,0))</f>
        <v>0.0431771776876287</v>
      </c>
      <c r="AV13" s="41">
        <f>IF(D13="HUECO",0,IF(AJ13&lt;=0,DATOS!$C$71*DATOS!$C$13*DATOS!$C$66,IF((1-2*AJ13*1E5/(DATOS!$C$45*DATOS!$C$16*DATOS!$C$66^2*DATOS!$C$38))&lt;0,-1,MAX(DATOS!$C$71*DATOS!$C$13*DATOS!$C$66,(1-SQRT((1-2*AJ13*1E5/(DATOS!$C$45*DATOS!$C$16*DATOS!$C$66^2*DATOS!$C$38))))*DATOS!$C$38*DATOS!$C$16*DATOS!$C$66/DATOS!$C$32))))</f>
        <v>0.576720388273208</v>
      </c>
      <c r="AW13" s="39">
        <f>IF(AND(AV13&gt;=0,CEILING(AV13/INDEX(TABLAS!$D$52:$D$58,MIN(MATCH(DATOS!$C$20,TABLAS!$B$52:$B$58,0)+0,7)),1)&lt;=MIN(DATOS!$C$22,INT((DATOS!$C$25+DATOS!$C$24)/(INDEX(TABLAS!$C$52:$C$58,MIN(MATCH(DATOS!$C$20,TABLAS!$B$52:$B$58,0)+0,7))+DATOS!$C$24)))),INDEX(TABLAS!$B$52:$B$58,MIN(MATCH(DATOS!$C$20,TABLAS!$B$52:$B$58,0)+0,7)),IF(AND(AV13&gt;=0,CEILING(AV13/INDEX(TABLAS!$D$52:$D$58,MIN(MATCH(DATOS!$C$20,TABLAS!$B$52:$B$58,0)+1,7)),1)&lt;=MIN(DATOS!$C$22,INT((DATOS!$C$25+DATOS!$C$24)/(INDEX(TABLAS!$C$52:$C$58,MIN(MATCH(DATOS!$C$20,TABLAS!$B$52:$B$58,0)+1,7))+DATOS!$C$24)))),INDEX(TABLAS!$B$52:$B$58,MIN(MATCH(DATOS!$C$20,TABLAS!$B$52:$B$58,0)+1,7)),IF(AND(AV13&gt;=0,CEILING(AV13/INDEX(TABLAS!$D$52:$D$58,MIN(MATCH(DATOS!$C$20,TABLAS!$B$52:$B$58,0)+2,7)),1)&lt;=MIN(DATOS!$C$22,INT((DATOS!$C$25+DATOS!$C$24)/(INDEX(TABLAS!$C$52:$C$58,MIN(MATCH(DATOS!$C$20,TABLAS!$B$52:$B$58,0)+2,7))+DATOS!$C$24)))),INDEX(TABLAS!$B$52:$B$58,MIN(MATCH(DATOS!$C$20,TABLAS!$B$52:$B$58,0)+2,7)),IF(AND(AV13&gt;=0,CEILING(AV13/INDEX(TABLAS!$D$52:$D$58,MIN(MATCH(DATOS!$C$20,TABLAS!$B$52:$B$58,0)+3,7)),1)&lt;=MIN(DATOS!$C$22,INT((DATOS!$C$25+DATOS!$C$24)/(INDEX(TABLAS!$C$52:$C$58,MIN(MATCH(DATOS!$C$20,TABLAS!$B$52:$B$58,0)+3,7))+DATOS!$C$24)))),INDEX(TABLAS!$B$52:$B$58,MIN(MATCH(DATOS!$C$20,TABLAS!$B$52:$B$58,0)+3,7)),IF(AND(AV13&gt;=0,CEILING(AV13/INDEX(TABLAS!$D$52:$D$58,MIN(MATCH(DATOS!$C$20,TABLAS!$B$52:$B$58,0)+4,7)),1)&lt;=MIN(DATOS!$C$22,INT((DATOS!$C$25+DATOS!$C$24)/(INDEX(TABLAS!$C$52:$C$58,MIN(MATCH(DATOS!$C$20,TABLAS!$B$52:$B$58,0)+4,7))+DATOS!$C$24)))),INDEX(TABLAS!$B$52:$B$58,MIN(MATCH(DATOS!$C$20,TABLAS!$B$52:$B$58,0)+4,7)),INDEX(TABLAS!$B$52:$B$58,7))))))</f>
        <v>3</v>
      </c>
      <c r="AX13" s="55">
        <f>IF(D13="HUECO",0,IF(AV13&lt;0,0,MAX(DATOS!$C$23,CEILING(AV13/INDEX(TABLAS!$D$52:$D$58,MATCH(AW13,TABLAS!$B$52:$B$58,0)),1))))</f>
        <v>1</v>
      </c>
      <c r="AY13" s="34">
        <f>IF(AX13=0,0,DATOS!$C$45*AX13*INDEX(TABLAS!$D$52:$D$58,MATCH(AW13,TABLAS!$B$52:$B$58,0))*DATOS!$C$32*((DATOS!$C$15-DATOS!$C$18-INDEX(TABLAS!$C$52:$C$58,MATCH(DATOS!$C$19,TABLAS!$B$52:$B$58,0))-INDEX(TABLAS!$C$52:$C$58,MATCH(AW13,TABLAS!$B$52:$B$58,0))/2)-AX13*INDEX(TABLAS!$D$52:$D$58,MATCH(AW13,TABLAS!$B$52:$B$58,0))*DATOS!$C$32/(DATOS!$C$38*DATOS!$C$16)/2)/1E5)</f>
        <v>0.584659515176471</v>
      </c>
      <c r="AZ13" s="59">
        <f>IF(AV13&lt;0,9.99,IF(AY13&gt;0,AJ13/AY13,0))</f>
        <v>0.0128283952644855</v>
      </c>
      <c r="BA13" s="41">
        <f>IF(D13="HUECO",0,IF(AK13&lt;=0,DATOS!$C$71*DATOS!$C$13*DATOS!$C$67,IF((1-2*AK13*1E5/(DATOS!$C$45*DATOS!$C$13*DATOS!$C$67^2*DATOS!$C$38))&lt;0,-1,IF((1-SQRT((1-2*AK13*1E5/(DATOS!$C$45*DATOS!$C$13*DATOS!$C$67^2*DATOS!$C$38))))*DATOS!$C$38*DATOS!$C$13*DATOS!$C$67/DATOS!$C$32&gt;DATOS!$C$70*DATOS!$C$13*DATOS!$C$67,-1,MAX(DATOS!$C$71*DATOS!$C$13*DATOS!$C$67,(1-SQRT((1-2*AK13*1E5/(DATOS!$C$45*DATOS!$C$13*DATOS!$C$67^2*DATOS!$C$38))))*DATOS!$C$38*DATOS!$C$13*DATOS!$C$67/DATOS!$C$32)))))</f>
        <v>0.576720388273208</v>
      </c>
      <c r="BB13" s="39">
        <f>IF(AND(BA13&gt;=0,CEILING(BA13/INDEX(TABLAS!$D$52:$D$58,MIN(MATCH(DATOS!$C$21,TABLAS!$B$52:$B$58,0)+0,7)),1)&lt;=MIN(DATOS!$C$22,INT((DATOS!$C$25+DATOS!$C$24)/(INDEX(TABLAS!$C$52:$C$58,MIN(MATCH(DATOS!$C$21,TABLAS!$B$52:$B$58,0)+0,7))+DATOS!$C$24)))),INDEX(TABLAS!$B$52:$B$58,MIN(MATCH(DATOS!$C$21,TABLAS!$B$52:$B$58,0)+0,7)),IF(AND(BA13&gt;=0,CEILING(BA13/INDEX(TABLAS!$D$52:$D$58,MIN(MATCH(DATOS!$C$21,TABLAS!$B$52:$B$58,0)+1,7)),1)&lt;=MIN(DATOS!$C$22,INT((DATOS!$C$25+DATOS!$C$24)/(INDEX(TABLAS!$C$52:$C$58,MIN(MATCH(DATOS!$C$21,TABLAS!$B$52:$B$58,0)+1,7))+DATOS!$C$24)))),INDEX(TABLAS!$B$52:$B$58,MIN(MATCH(DATOS!$C$21,TABLAS!$B$52:$B$58,0)+1,7)),IF(AND(BA13&gt;=0,CEILING(BA13/INDEX(TABLAS!$D$52:$D$58,MIN(MATCH(DATOS!$C$21,TABLAS!$B$52:$B$58,0)+2,7)),1)&lt;=MIN(DATOS!$C$22,INT((DATOS!$C$25+DATOS!$C$24)/(INDEX(TABLAS!$C$52:$C$58,MIN(MATCH(DATOS!$C$21,TABLAS!$B$52:$B$58,0)+2,7))+DATOS!$C$24)))),INDEX(TABLAS!$B$52:$B$58,MIN(MATCH(DATOS!$C$21,TABLAS!$B$52:$B$58,0)+2,7)),IF(AND(BA13&gt;=0,CEILING(BA13/INDEX(TABLAS!$D$52:$D$58,MIN(MATCH(DATOS!$C$21,TABLAS!$B$52:$B$58,0)+3,7)),1)&lt;=MIN(DATOS!$C$22,INT((DATOS!$C$25+DATOS!$C$24)/(INDEX(TABLAS!$C$52:$C$58,MIN(MATCH(DATOS!$C$21,TABLAS!$B$52:$B$58,0)+3,7))+DATOS!$C$24)))),INDEX(TABLAS!$B$52:$B$58,MIN(MATCH(DATOS!$C$21,TABLAS!$B$52:$B$58,0)+3,7)),IF(AND(BA13&gt;=0,CEILING(BA13/INDEX(TABLAS!$D$52:$D$58,MIN(MATCH(DATOS!$C$21,TABLAS!$B$52:$B$58,0)+4,7)),1)&lt;=MIN(DATOS!$C$22,INT((DATOS!$C$25+DATOS!$C$24)/(INDEX(TABLAS!$C$52:$C$58,MIN(MATCH(DATOS!$C$21,TABLAS!$B$52:$B$58,0)+4,7))+DATOS!$C$24)))),INDEX(TABLAS!$B$52:$B$58,MIN(MATCH(DATOS!$C$21,TABLAS!$B$52:$B$58,0)+4,7)),INDEX(TABLAS!$B$52:$B$58,7))))))</f>
        <v>3</v>
      </c>
      <c r="BC13" s="55">
        <f>IF(D13="HUECO",0,IF(BA13&lt;0,0,MAX(1,CEILING(BA13/INDEX(TABLAS!$D$52:$D$58,MATCH(BB13,TABLAS!$B$52:$B$58,0)),1))))</f>
        <v>1</v>
      </c>
      <c r="BD13" s="34">
        <f>IF(BC13=0,0,DATOS!$C$45*BC13*INDEX(TABLAS!$D$52:$D$58,MATCH(BB13,TABLAS!$B$52:$B$58,0))*DATOS!$C$32*((DATOS!$C$15-DATOS!$C$18-INDEX(TABLAS!$C$52:$C$58,MATCH(DATOS!$C$19,TABLAS!$B$52:$B$58,0))-INDEX(TABLAS!$C$52:$C$58,MATCH(BB13,TABLAS!$B$52:$B$58,0))/2)-BC13*INDEX(TABLAS!$D$52:$D$58,MATCH(BB13,TABLAS!$B$52:$B$58,0))*DATOS!$C$32/(DATOS!$C$38*DATOS!$C$13)/2)/1E5)</f>
        <v>0.568518826235294</v>
      </c>
      <c r="BE13" s="59">
        <f>IF(BA13&lt;0,9.99,IF(BD13&gt;0,AK13/BD13,0))</f>
        <v>0.0373762859447591</v>
      </c>
      <c r="BF13" s="34">
        <f>IF(D13="PERIMETRAL",MAX(0,(J13/2-DATOS!$C$66/100))*(0.95-0.5*L13)*R13*IF(AND(S13&gt;0,S13&lt;4),DATOS!$C$50,1)*DATOS!$C$16/100/1000,IF(D13="VOLADO",(R13*J13+DATOS!$C$43*AG13)*DATOS!$C$16/100/1000,0))</f>
        <v>0.0963075193138374</v>
      </c>
      <c r="BG13" s="34">
        <f>IF(D13="HUECO",0,DATOS!$C$46*IF((AS13*INDEX(TABLAS!$D$52:$D$58,MATCH(AR13,TABLAS!$B$52:$B$58,0))/(DATOS!$C$13*DATOS!$C$67))&lt;0.015,0.2+20*(AS13*INDEX(TABLAS!$D$52:$D$58,MATCH(AR13,TABLAS!$B$52:$B$58,0))/(DATOS!$C$13*DATOS!$C$67)),0.5)*SQRT(DATOS!$C$31)*DATOS!$C$13*DATOS!$C$67*DATOS!$C$49/1000)</f>
        <v>0.687439634849853</v>
      </c>
      <c r="BH13" s="49" t="str">
        <f>IF(D13="HUECO","—",IF(BF13&lt;=BG13,"CUMPLE","MACIZAR "&amp;MAX(1,CEILING(IF(D13="VOLADO",J13,J13/2)*(1-BG13/BF13)*100/DATOS!$C$16,1))&amp;" hilera(s)"))</f>
        <v>CUMPLE</v>
      </c>
      <c r="BI13" s="41">
        <f>IF(D13="PERIMETRAL",(2*(H13+I13)+0.25*(H13*((APOYOS!$G$45="DISCONTINUO")+(APOYOS!$G$46="DISCONTINUO"))+I13*((APOYOS!$G$47="DISCONTINUO")+(APOYOS!$G$48="DISCONTINUO"))))*(J13+MIN(K13,2*J13))/(J13+K13)*100/250*IF(OR(DATOS!$C$47&gt;2520,Q13&gt;380),0.032*(DATOS!$C$47*Q13)^0.25,1),IF(D13="VOLADO",J13*100/8,0))</f>
        <v>2.16134992948884</v>
      </c>
      <c r="BJ13" s="41">
        <f>IF(D13="VOLADO",DATOS!$C$15,DATOS!$C$68)</f>
        <v>13.6082564120244</v>
      </c>
      <c r="BK13" s="50" t="str">
        <f>IF(D13="HUECO","—",IF(BJ13&gt;=BI13,"CUMPLE","NO CUMPLE"))</f>
        <v>CUMPLE</v>
      </c>
      <c r="BL13" s="50" t="str">
        <f>IF(D13="PERIMETRAL",IF(DATOS!$C$16/100&lt;=J13/6,"SÍ","NO: a1 &lt; 6·s"),"—")</f>
        <v>NO: a1 &lt; 6·s</v>
      </c>
      <c r="BM13" s="55">
        <f>MAX(0,INT((F13*100-DATOS!$C$17+DATOS!$C$13)/DATOS!$C$16))</f>
        <v>1</v>
      </c>
      <c r="BN13" s="55">
        <f>MAX(0,INT((G13*100-DATOS!$C$17+DATOS!$C$13)/DATOS!$C$16))</f>
        <v>1</v>
      </c>
      <c r="BO13" s="49" t="str">
        <f>IF(COUNTIFS(TRIB!$C$6:$C$255,B13,TRIB!$K$6:$K$255,"NO CUMPLE*")+COUNTIFS(TRIB!$C$6:$C$255,B13,TRIB!$K$6:$K$255,"SIN APOYO*")&gt;0,"VER PRINCIPALES",IF((APOYOS!$F$45="LIBRE")+(APOYOS!$F$46="LIBRE")+(APOYOS!$F$47="LIBRE")+(APOYOS!$F$48="LIBRE")&gt;0,"REVISAR: borde libre","OK"))</f>
        <v>OK</v>
      </c>
      <c r="BP13" s="60" t="str">
        <f>IF(D13="HUECO","HUECO — marco de nervaduras principales",IF(AND(MAX(AP13,AU13,AZ13,BE13)&lt;=1,NOT(OR(AN13&gt;MIN(DATOS!$C$22,INT((DATOS!$C$25+DATOS!$C$24)/(INDEX(TABLAS!$C$52:$C$58,MATCH(AM13,TABLAS!$B$52:$B$58,0))+DATOS!$C$24))),AS13&gt;MIN(DATOS!$C$22,INT((DATOS!$C$25+DATOS!$C$24)/(INDEX(TABLAS!$C$52:$C$58,MATCH(AR13,TABLAS!$B$52:$B$58,0))+DATOS!$C$24))),AX13&gt;MIN(DATOS!$C$22,INT((DATOS!$C$25+DATOS!$C$24)/(INDEX(TABLAS!$C$52:$C$58,MATCH(AW13,TABLAS!$B$52:$B$58,0))+DATOS!$C$24))),BC13&gt;MIN(DATOS!$C$22,INT((DATOS!$C$25+DATOS!$C$24)/(INDEX(TABLAS!$C$52:$C$58,MATCH(BB13,TABLAS!$B$52:$B$58,0))+DATOS!$C$24))))),BK13="CUMPLE"),IF(BO13="OK",IF(BH13="CUMPLE","CUMPLE","CUMPLE — "&amp;BH13),IF(BO13="VER PRINCIPALES","VER PRINCIPALES","REVISAR APOYOS")),"NO CUMPLE: "&amp;IF(MAX(AP13,AU13,AZ13,BE13)&gt;1,"flexión ","")&amp;IF(OR(AN13&gt;MIN(DATOS!$C$22,INT((DATOS!$C$25+DATOS!$C$24)/(INDEX(TABLAS!$C$52:$C$58,MATCH(AM13,TABLAS!$B$52:$B$58,0))+DATOS!$C$24))),AS13&gt;MIN(DATOS!$C$22,INT((DATOS!$C$25+DATOS!$C$24)/(INDEX(TABLAS!$C$52:$C$58,MATCH(AR13,TABLAS!$B$52:$B$58,0))+DATOS!$C$24))),AX13&gt;MIN(DATOS!$C$22,INT((DATOS!$C$25+DATOS!$C$24)/(INDEX(TABLAS!$C$52:$C$58,MATCH(AW13,TABLAS!$B$52:$B$58,0))+DATOS!$C$24))),BC13&gt;MIN(DATOS!$C$22,INT((DATOS!$C$25+DATOS!$C$24)/(INDEX(TABLAS!$C$52:$C$58,MATCH(BB13,TABLAS!$B$52:$B$58,0))+DATOS!$C$24)))),"no caben ","")&amp;IF(BK13&lt;&gt;"CUMPLE","peralte","")))</f>
        <v>CUMPLE</v>
      </c>
      <c r="BQ13" s="61" t="inlineStr">
        <is>
          <t>—</t>
        </is>
      </c>
    </row>
    <row r="14" ht="30" customHeight="1">
      <c r="B14" s="49" t="inlineStr">
        <is>
          <t>F80007 N+3.00</t>
        </is>
      </c>
      <c r="C14" s="50" t="inlineStr">
        <is>
          <t>N+3.00</t>
        </is>
      </c>
      <c r="D14" s="51" t="inlineStr">
        <is>
          <t>PERIMETRAL</t>
        </is>
      </c>
      <c r="E14" s="51" t="inlineStr">
        <is>
          <t>HABITACIÓN</t>
        </is>
      </c>
      <c r="F14" s="52" t="n">
        <v>4.327</v>
      </c>
      <c r="G14" s="52" t="n">
        <v>0.923</v>
      </c>
      <c r="H14" s="53" t="n">
        <v>4.327</v>
      </c>
      <c r="I14" s="53" t="n">
        <v>0.923</v>
      </c>
      <c r="J14" s="34">
        <f>MIN(H14,I14)</f>
        <v>0.923</v>
      </c>
      <c r="K14" s="34">
        <f>MAX(H14,I14)</f>
        <v>4.327</v>
      </c>
      <c r="L14" s="34">
        <f>IF(K14&gt;0,J14/K14,0)</f>
        <v>0.213311763346429</v>
      </c>
      <c r="M14" s="50" t="str">
        <f>IF(H14&lt;=I14,"X","Y")</f>
        <v>Y</v>
      </c>
      <c r="N14" s="54" t="n">
        <v>160</v>
      </c>
      <c r="O14" s="55">
        <f>IF(E14="HABITACIÓN",DATOS!$C$76,DATOS!$C$78)</f>
        <v>190</v>
      </c>
      <c r="P14" s="55">
        <f>DATOS!$C$58</f>
        <v>253.673469387755</v>
      </c>
      <c r="Q14" s="55">
        <f>P14+N14+O14</f>
        <v>603.673469387755</v>
      </c>
      <c r="R14" s="56">
        <f>DATOS!$C$43*(P14+N14)+DATOS!$C$44*O14</f>
        <v>822.775510204082</v>
      </c>
      <c r="S14" s="55">
        <f>(APOYOS!$G$49="DISCONTINUO")+(APOYOS!$G$50="DISCONTINUO")+(APOYOS!$G$51="DISCONTINUO")+(APOYOS!$G$52="DISCONTINUO")</f>
        <v>2</v>
      </c>
      <c r="T14" s="55">
        <f>IF(M14="X",(APOYOS!$G$49="DISCONTINUO")+(APOYOS!$G$50="DISCONTINUO"),(APOYOS!$G$51="DISCONTINUO")+(APOYOS!$G$52="DISCONTINUO"))</f>
        <v>1</v>
      </c>
      <c r="U14" s="55">
        <f>S14-T14</f>
        <v>1</v>
      </c>
      <c r="V14" s="50" t="str">
        <f>IF(S14=0,"INTERIOR",IF(S14=1,IF(T14=1,"BORDE-CORTO","BORDE-LARGO"),IF(S14=2,IF(T14=1,"ESQUINA",IF(T14=2,"EXTREMO-LARGO","EXTREMO-CORTO")),IF(S14=3,IF(T14=2,"EXTREMO-LARGO","EXTREMO-CORTO"),"AISLADO"))))</f>
        <v>ESQUINA</v>
      </c>
      <c r="W14" s="51" t="inlineStr">
        <is>
          <t>AUTO</t>
        </is>
      </c>
      <c r="X14" s="57" t="str">
        <f>IF(W14="AUTO",V14,W14)</f>
        <v>ESQUINA</v>
      </c>
      <c r="Y14" s="55">
        <f>MATCH(L14,TABLAS!$D$5:$J$5,1)</f>
        <v>1</v>
      </c>
      <c r="Z14" s="41">
        <f>IF(Y14&gt;=7,0,(L14-INDEX(TABLAS!$D$5:$J$5,Y14))/(INDEX(TABLAS!$D$5:$J$5,Y14+1)-INDEX(TABLAS!$D$5:$J$5,Y14)))</f>
        <v>0.426623526692859</v>
      </c>
      <c r="AA14" s="55">
        <f>INDEX(TABLAS!$D$6:$J$47,MATCH(X14&amp;"|NIC",TABLAS!$B$6:$B$47,0),Y14)+Z14*(INDEX(TABLAS!$D$6:$J$47,MATCH(X14&amp;"|NIC",TABLAS!$B$6:$B$47,0),MIN(Y14+1,7))-INDEX(TABLAS!$D$6:$J$47,MATCH(X14&amp;"|NIC",TABLAS!$B$6:$B$47,0),Y14))</f>
        <v>862.899930667899</v>
      </c>
      <c r="AB14" s="55">
        <f>INDEX(TABLAS!$D$6:$J$47,MATCH(X14&amp;"|NIL",TABLAS!$B$6:$B$47,0),Y14)+Z14*(INDEX(TABLAS!$D$6:$J$47,MATCH(X14&amp;"|NIL",TABLAS!$B$6:$B$47,0),MIN(Y14+1,7))-INDEX(TABLAS!$D$6:$J$47,MATCH(X14&amp;"|NIL",TABLAS!$B$6:$B$47,0),Y14))</f>
        <v>546.672059163393</v>
      </c>
      <c r="AC14" s="55">
        <f>INDEX(TABLAS!$D$6:$J$47,MATCH(X14&amp;"|NDC",TABLAS!$B$6:$B$47,0),Y14)+Z14*(INDEX(TABLAS!$D$6:$J$47,MATCH(X14&amp;"|NDC",TABLAS!$B$6:$B$47,0),MIN(Y14+1,7))-INDEX(TABLAS!$D$6:$J$47,MATCH(X14&amp;"|NDC",TABLAS!$B$6:$B$47,0),Y14))</f>
        <v>527.705800785764</v>
      </c>
      <c r="AD14" s="55">
        <f>INDEX(TABLAS!$D$6:$J$47,MATCH(X14&amp;"|NDL",TABLAS!$B$6:$B$47,0),Y14)+Z14*(INDEX(TABLAS!$D$6:$J$47,MATCH(X14&amp;"|NDL",TABLAS!$B$6:$B$47,0),MIN(Y14+1,7))-INDEX(TABLAS!$D$6:$J$47,MATCH(X14&amp;"|NDL",TABLAS!$B$6:$B$47,0),Y14))</f>
        <v>296.989600184886</v>
      </c>
      <c r="AE14" s="55">
        <f>INDEX(TABLAS!$D$6:$J$47,MATCH(X14&amp;"|PC",TABLAS!$B$6:$B$47,0),Y14)+Z14*(INDEX(TABLAS!$D$6:$J$47,MATCH(X14&amp;"|PC",TABLAS!$B$6:$B$47,0),MIN(Y14+1,7))-INDEX(TABLAS!$D$6:$J$47,MATCH(X14&amp;"|PC",TABLAS!$B$6:$B$47,0),Y14))</f>
        <v>583.336954009707</v>
      </c>
      <c r="AF14" s="55">
        <f>INDEX(TABLAS!$D$6:$J$47,MATCH(X14&amp;"|PL",TABLAS!$B$6:$B$47,0),Y14)+Z14*(INDEX(TABLAS!$D$6:$J$47,MATCH(X14&amp;"|PL",TABLAS!$B$6:$B$47,0),MIN(Y14+1,7))-INDEX(TABLAS!$D$6:$J$47,MATCH(X14&amp;"|PL",TABLAS!$B$6:$B$47,0),Y14))</f>
        <v>174.361682458979</v>
      </c>
      <c r="AG14" s="58" t="n">
        <v>0</v>
      </c>
      <c r="AH14" s="34">
        <f>IF(D14="PERIMETRAL",AE14*R14*J14^2*1E-4*DATOS!$C$16/100/1000,0)</f>
        <v>0.0286221522896506</v>
      </c>
      <c r="AI14" s="34">
        <f>IF(D14="PERIMETRAL",MAX(AA14,AC14)*R14*J14^2*1E-4*DATOS!$C$16/100/1000,IF(D14="VOLADO",(R14*J14^2/2+DATOS!$C$43*AG14*J14)*DATOS!$C$16/100/1000,0))</f>
        <v>0.0423392570220995</v>
      </c>
      <c r="AJ14" s="34">
        <f>IF(D14="PERIMETRAL",AF14*R14*J14^2*1E-4*DATOS!$C$16/100/1000,0)</f>
        <v>0.00855527254790985</v>
      </c>
      <c r="AK14" s="34">
        <f>IF(D14="PERIMETRAL",MAX(AB14,AD14)*R14*J14^2*1E-4*DATOS!$C$16/100/1000,0)</f>
        <v>0.0268231436776268</v>
      </c>
      <c r="AL14" s="41">
        <f>IF(D14="HUECO",0,IF(AH14&lt;=0,DATOS!$C$71*DATOS!$C$13*DATOS!$C$66,IF((1-2*AH14*1E5/(DATOS!$C$45*DATOS!$C$16*DATOS!$C$66^2*DATOS!$C$38))&lt;0,-1,MAX(DATOS!$C$71*DATOS!$C$13*DATOS!$C$66,(1-SQRT((1-2*AH14*1E5/(DATOS!$C$45*DATOS!$C$16*DATOS!$C$66^2*DATOS!$C$38))))*DATOS!$C$38*DATOS!$C$16*DATOS!$C$66/DATOS!$C$32))))</f>
        <v>0.576720388273208</v>
      </c>
      <c r="AM14" s="39">
        <f>IF(AND(AL14&gt;=0,CEILING(AL14/INDEX(TABLAS!$D$52:$D$58,MIN(MATCH(DATOS!$C$20,TABLAS!$B$52:$B$58,0)+0,7)),1)&lt;=MIN(DATOS!$C$22,INT((DATOS!$C$25+DATOS!$C$24)/(INDEX(TABLAS!$C$52:$C$58,MIN(MATCH(DATOS!$C$20,TABLAS!$B$52:$B$58,0)+0,7))+DATOS!$C$24)))),INDEX(TABLAS!$B$52:$B$58,MIN(MATCH(DATOS!$C$20,TABLAS!$B$52:$B$58,0)+0,7)),IF(AND(AL14&gt;=0,CEILING(AL14/INDEX(TABLAS!$D$52:$D$58,MIN(MATCH(DATOS!$C$20,TABLAS!$B$52:$B$58,0)+1,7)),1)&lt;=MIN(DATOS!$C$22,INT((DATOS!$C$25+DATOS!$C$24)/(INDEX(TABLAS!$C$52:$C$58,MIN(MATCH(DATOS!$C$20,TABLAS!$B$52:$B$58,0)+1,7))+DATOS!$C$24)))),INDEX(TABLAS!$B$52:$B$58,MIN(MATCH(DATOS!$C$20,TABLAS!$B$52:$B$58,0)+1,7)),IF(AND(AL14&gt;=0,CEILING(AL14/INDEX(TABLAS!$D$52:$D$58,MIN(MATCH(DATOS!$C$20,TABLAS!$B$52:$B$58,0)+2,7)),1)&lt;=MIN(DATOS!$C$22,INT((DATOS!$C$25+DATOS!$C$24)/(INDEX(TABLAS!$C$52:$C$58,MIN(MATCH(DATOS!$C$20,TABLAS!$B$52:$B$58,0)+2,7))+DATOS!$C$24)))),INDEX(TABLAS!$B$52:$B$58,MIN(MATCH(DATOS!$C$20,TABLAS!$B$52:$B$58,0)+2,7)),IF(AND(AL14&gt;=0,CEILING(AL14/INDEX(TABLAS!$D$52:$D$58,MIN(MATCH(DATOS!$C$20,TABLAS!$B$52:$B$58,0)+3,7)),1)&lt;=MIN(DATOS!$C$22,INT((DATOS!$C$25+DATOS!$C$24)/(INDEX(TABLAS!$C$52:$C$58,MIN(MATCH(DATOS!$C$20,TABLAS!$B$52:$B$58,0)+3,7))+DATOS!$C$24)))),INDEX(TABLAS!$B$52:$B$58,MIN(MATCH(DATOS!$C$20,TABLAS!$B$52:$B$58,0)+3,7)),IF(AND(AL14&gt;=0,CEILING(AL14/INDEX(TABLAS!$D$52:$D$58,MIN(MATCH(DATOS!$C$20,TABLAS!$B$52:$B$58,0)+4,7)),1)&lt;=MIN(DATOS!$C$22,INT((DATOS!$C$25+DATOS!$C$24)/(INDEX(TABLAS!$C$52:$C$58,MIN(MATCH(DATOS!$C$20,TABLAS!$B$52:$B$58,0)+4,7))+DATOS!$C$24)))),INDEX(TABLAS!$B$52:$B$58,MIN(MATCH(DATOS!$C$20,TABLAS!$B$52:$B$58,0)+4,7)),INDEX(TABLAS!$B$52:$B$58,7))))))</f>
        <v>3</v>
      </c>
      <c r="AN14" s="55">
        <f>IF(D14="HUECO",0,IF(AL14&lt;0,0,MAX(DATOS!$C$23,CEILING(AL14/INDEX(TABLAS!$D$52:$D$58,MATCH(AM14,TABLAS!$B$52:$B$58,0)),1))))</f>
        <v>1</v>
      </c>
      <c r="AO14" s="34">
        <f>IF(AN14=0,0,DATOS!$C$45*AN14*INDEX(TABLAS!$D$52:$D$58,MATCH(AM14,TABLAS!$B$52:$B$58,0))*DATOS!$C$32*((DATOS!$C$15-DATOS!$C$18-INDEX(TABLAS!$C$52:$C$58,MATCH(DATOS!$C$19,TABLAS!$B$52:$B$58,0))-INDEX(TABLAS!$C$52:$C$58,MATCH(AM14,TABLAS!$B$52:$B$58,0))/2)-AN14*INDEX(TABLAS!$D$52:$D$58,MATCH(AM14,TABLAS!$B$52:$B$58,0))*DATOS!$C$32/(DATOS!$C$38*DATOS!$C$16)/2)/1E5)</f>
        <v>0.584659515176471</v>
      </c>
      <c r="AP14" s="59">
        <f>IF(AL14&lt;0,9.99,IF(AO14&gt;0,AH14/AO14,0))</f>
        <v>0.0489552492462412</v>
      </c>
      <c r="AQ14" s="41">
        <f>IF(D14="HUECO",0,IF(AI14&lt;=0,DATOS!$C$71*DATOS!$C$13*DATOS!$C$67,IF((1-2*AI14*1E5/(DATOS!$C$45*DATOS!$C$13*DATOS!$C$67^2*DATOS!$C$38))&lt;0,-1,IF((1-SQRT((1-2*AI14*1E5/(DATOS!$C$45*DATOS!$C$13*DATOS!$C$67^2*DATOS!$C$38))))*DATOS!$C$38*DATOS!$C$13*DATOS!$C$67/DATOS!$C$32&gt;DATOS!$C$70*DATOS!$C$13*DATOS!$C$67,-1,MAX(DATOS!$C$71*DATOS!$C$13*DATOS!$C$67,(1-SQRT((1-2*AI14*1E5/(DATOS!$C$45*DATOS!$C$13*DATOS!$C$67^2*DATOS!$C$38))))*DATOS!$C$38*DATOS!$C$13*DATOS!$C$67/DATOS!$C$32)))))</f>
        <v>0.576720388273208</v>
      </c>
      <c r="AR14" s="39">
        <f>IF(AND(AQ14&gt;=0,CEILING(AQ14/INDEX(TABLAS!$D$52:$D$58,MIN(MATCH(DATOS!$C$21,TABLAS!$B$52:$B$58,0)+0,7)),1)&lt;=MIN(DATOS!$C$22,INT((DATOS!$C$25+DATOS!$C$24)/(INDEX(TABLAS!$C$52:$C$58,MIN(MATCH(DATOS!$C$21,TABLAS!$B$52:$B$58,0)+0,7))+DATOS!$C$24)))),INDEX(TABLAS!$B$52:$B$58,MIN(MATCH(DATOS!$C$21,TABLAS!$B$52:$B$58,0)+0,7)),IF(AND(AQ14&gt;=0,CEILING(AQ14/INDEX(TABLAS!$D$52:$D$58,MIN(MATCH(DATOS!$C$21,TABLAS!$B$52:$B$58,0)+1,7)),1)&lt;=MIN(DATOS!$C$22,INT((DATOS!$C$25+DATOS!$C$24)/(INDEX(TABLAS!$C$52:$C$58,MIN(MATCH(DATOS!$C$21,TABLAS!$B$52:$B$58,0)+1,7))+DATOS!$C$24)))),INDEX(TABLAS!$B$52:$B$58,MIN(MATCH(DATOS!$C$21,TABLAS!$B$52:$B$58,0)+1,7)),IF(AND(AQ14&gt;=0,CEILING(AQ14/INDEX(TABLAS!$D$52:$D$58,MIN(MATCH(DATOS!$C$21,TABLAS!$B$52:$B$58,0)+2,7)),1)&lt;=MIN(DATOS!$C$22,INT((DATOS!$C$25+DATOS!$C$24)/(INDEX(TABLAS!$C$52:$C$58,MIN(MATCH(DATOS!$C$21,TABLAS!$B$52:$B$58,0)+2,7))+DATOS!$C$24)))),INDEX(TABLAS!$B$52:$B$58,MIN(MATCH(DATOS!$C$21,TABLAS!$B$52:$B$58,0)+2,7)),IF(AND(AQ14&gt;=0,CEILING(AQ14/INDEX(TABLAS!$D$52:$D$58,MIN(MATCH(DATOS!$C$21,TABLAS!$B$52:$B$58,0)+3,7)),1)&lt;=MIN(DATOS!$C$22,INT((DATOS!$C$25+DATOS!$C$24)/(INDEX(TABLAS!$C$52:$C$58,MIN(MATCH(DATOS!$C$21,TABLAS!$B$52:$B$58,0)+3,7))+DATOS!$C$24)))),INDEX(TABLAS!$B$52:$B$58,MIN(MATCH(DATOS!$C$21,TABLAS!$B$52:$B$58,0)+3,7)),IF(AND(AQ14&gt;=0,CEILING(AQ14/INDEX(TABLAS!$D$52:$D$58,MIN(MATCH(DATOS!$C$21,TABLAS!$B$52:$B$58,0)+4,7)),1)&lt;=MIN(DATOS!$C$22,INT((DATOS!$C$25+DATOS!$C$24)/(INDEX(TABLAS!$C$52:$C$58,MIN(MATCH(DATOS!$C$21,TABLAS!$B$52:$B$58,0)+4,7))+DATOS!$C$24)))),INDEX(TABLAS!$B$52:$B$58,MIN(MATCH(DATOS!$C$21,TABLAS!$B$52:$B$58,0)+4,7)),INDEX(TABLAS!$B$52:$B$58,7))))))</f>
        <v>3</v>
      </c>
      <c r="AS14" s="55">
        <f>IF(D14="HUECO",0,IF(AQ14&lt;0,0,MAX(1,CEILING(AQ14/INDEX(TABLAS!$D$52:$D$58,MATCH(AR14,TABLAS!$B$52:$B$58,0)),1))))</f>
        <v>1</v>
      </c>
      <c r="AT14" s="34">
        <f>IF(AS14=0,0,DATOS!$C$45*AS14*INDEX(TABLAS!$D$52:$D$58,MATCH(AR14,TABLAS!$B$52:$B$58,0))*DATOS!$C$32*((DATOS!$C$15-DATOS!$C$18-INDEX(TABLAS!$C$52:$C$58,MATCH(DATOS!$C$19,TABLAS!$B$52:$B$58,0))-INDEX(TABLAS!$C$52:$C$58,MATCH(AR14,TABLAS!$B$52:$B$58,0))/2)-AS14*INDEX(TABLAS!$D$52:$D$58,MATCH(AR14,TABLAS!$B$52:$B$58,0))*DATOS!$C$32/(DATOS!$C$38*DATOS!$C$13)/2)/1E5)</f>
        <v>0.568518826235294</v>
      </c>
      <c r="AU14" s="59">
        <f>IF(AQ14&lt;0,9.99,IF(AT14&gt;0,AI14/AT14,0))</f>
        <v>0.0744729199250413</v>
      </c>
      <c r="AV14" s="41">
        <f>IF(D14="HUECO",0,IF(AJ14&lt;=0,DATOS!$C$71*DATOS!$C$13*DATOS!$C$66,IF((1-2*AJ14*1E5/(DATOS!$C$45*DATOS!$C$16*DATOS!$C$66^2*DATOS!$C$38))&lt;0,-1,MAX(DATOS!$C$71*DATOS!$C$13*DATOS!$C$66,(1-SQRT((1-2*AJ14*1E5/(DATOS!$C$45*DATOS!$C$16*DATOS!$C$66^2*DATOS!$C$38))))*DATOS!$C$38*DATOS!$C$16*DATOS!$C$66/DATOS!$C$32))))</f>
        <v>0.576720388273208</v>
      </c>
      <c r="AW14" s="39">
        <f>IF(AND(AV14&gt;=0,CEILING(AV14/INDEX(TABLAS!$D$52:$D$58,MIN(MATCH(DATOS!$C$20,TABLAS!$B$52:$B$58,0)+0,7)),1)&lt;=MIN(DATOS!$C$22,INT((DATOS!$C$25+DATOS!$C$24)/(INDEX(TABLAS!$C$52:$C$58,MIN(MATCH(DATOS!$C$20,TABLAS!$B$52:$B$58,0)+0,7))+DATOS!$C$24)))),INDEX(TABLAS!$B$52:$B$58,MIN(MATCH(DATOS!$C$20,TABLAS!$B$52:$B$58,0)+0,7)),IF(AND(AV14&gt;=0,CEILING(AV14/INDEX(TABLAS!$D$52:$D$58,MIN(MATCH(DATOS!$C$20,TABLAS!$B$52:$B$58,0)+1,7)),1)&lt;=MIN(DATOS!$C$22,INT((DATOS!$C$25+DATOS!$C$24)/(INDEX(TABLAS!$C$52:$C$58,MIN(MATCH(DATOS!$C$20,TABLAS!$B$52:$B$58,0)+1,7))+DATOS!$C$24)))),INDEX(TABLAS!$B$52:$B$58,MIN(MATCH(DATOS!$C$20,TABLAS!$B$52:$B$58,0)+1,7)),IF(AND(AV14&gt;=0,CEILING(AV14/INDEX(TABLAS!$D$52:$D$58,MIN(MATCH(DATOS!$C$20,TABLAS!$B$52:$B$58,0)+2,7)),1)&lt;=MIN(DATOS!$C$22,INT((DATOS!$C$25+DATOS!$C$24)/(INDEX(TABLAS!$C$52:$C$58,MIN(MATCH(DATOS!$C$20,TABLAS!$B$52:$B$58,0)+2,7))+DATOS!$C$24)))),INDEX(TABLAS!$B$52:$B$58,MIN(MATCH(DATOS!$C$20,TABLAS!$B$52:$B$58,0)+2,7)),IF(AND(AV14&gt;=0,CEILING(AV14/INDEX(TABLAS!$D$52:$D$58,MIN(MATCH(DATOS!$C$20,TABLAS!$B$52:$B$58,0)+3,7)),1)&lt;=MIN(DATOS!$C$22,INT((DATOS!$C$25+DATOS!$C$24)/(INDEX(TABLAS!$C$52:$C$58,MIN(MATCH(DATOS!$C$20,TABLAS!$B$52:$B$58,0)+3,7))+DATOS!$C$24)))),INDEX(TABLAS!$B$52:$B$58,MIN(MATCH(DATOS!$C$20,TABLAS!$B$52:$B$58,0)+3,7)),IF(AND(AV14&gt;=0,CEILING(AV14/INDEX(TABLAS!$D$52:$D$58,MIN(MATCH(DATOS!$C$20,TABLAS!$B$52:$B$58,0)+4,7)),1)&lt;=MIN(DATOS!$C$22,INT((DATOS!$C$25+DATOS!$C$24)/(INDEX(TABLAS!$C$52:$C$58,MIN(MATCH(DATOS!$C$20,TABLAS!$B$52:$B$58,0)+4,7))+DATOS!$C$24)))),INDEX(TABLAS!$B$52:$B$58,MIN(MATCH(DATOS!$C$20,TABLAS!$B$52:$B$58,0)+4,7)),INDEX(TABLAS!$B$52:$B$58,7))))))</f>
        <v>3</v>
      </c>
      <c r="AX14" s="55">
        <f>IF(D14="HUECO",0,IF(AV14&lt;0,0,MAX(DATOS!$C$23,CEILING(AV14/INDEX(TABLAS!$D$52:$D$58,MATCH(AW14,TABLAS!$B$52:$B$58,0)),1))))</f>
        <v>1</v>
      </c>
      <c r="AY14" s="34">
        <f>IF(AX14=0,0,DATOS!$C$45*AX14*INDEX(TABLAS!$D$52:$D$58,MATCH(AW14,TABLAS!$B$52:$B$58,0))*DATOS!$C$32*((DATOS!$C$15-DATOS!$C$18-INDEX(TABLAS!$C$52:$C$58,MATCH(DATOS!$C$19,TABLAS!$B$52:$B$58,0))-INDEX(TABLAS!$C$52:$C$58,MATCH(AW14,TABLAS!$B$52:$B$58,0))/2)-AX14*INDEX(TABLAS!$D$52:$D$58,MATCH(AW14,TABLAS!$B$52:$B$58,0))*DATOS!$C$32/(DATOS!$C$38*DATOS!$C$16)/2)/1E5)</f>
        <v>0.584659515176471</v>
      </c>
      <c r="AZ14" s="59">
        <f>IF(AV14&lt;0,9.99,IF(AY14&gt;0,AJ14/AY14,0))</f>
        <v>0.0146329142446738</v>
      </c>
      <c r="BA14" s="41">
        <f>IF(D14="HUECO",0,IF(AK14&lt;=0,DATOS!$C$71*DATOS!$C$13*DATOS!$C$67,IF((1-2*AK14*1E5/(DATOS!$C$45*DATOS!$C$13*DATOS!$C$67^2*DATOS!$C$38))&lt;0,-1,IF((1-SQRT((1-2*AK14*1E5/(DATOS!$C$45*DATOS!$C$13*DATOS!$C$67^2*DATOS!$C$38))))*DATOS!$C$38*DATOS!$C$13*DATOS!$C$67/DATOS!$C$32&gt;DATOS!$C$70*DATOS!$C$13*DATOS!$C$67,-1,MAX(DATOS!$C$71*DATOS!$C$13*DATOS!$C$67,(1-SQRT((1-2*AK14*1E5/(DATOS!$C$45*DATOS!$C$13*DATOS!$C$67^2*DATOS!$C$38))))*DATOS!$C$38*DATOS!$C$13*DATOS!$C$67/DATOS!$C$32)))))</f>
        <v>0.576720388273208</v>
      </c>
      <c r="BB14" s="39">
        <f>IF(AND(BA14&gt;=0,CEILING(BA14/INDEX(TABLAS!$D$52:$D$58,MIN(MATCH(DATOS!$C$21,TABLAS!$B$52:$B$58,0)+0,7)),1)&lt;=MIN(DATOS!$C$22,INT((DATOS!$C$25+DATOS!$C$24)/(INDEX(TABLAS!$C$52:$C$58,MIN(MATCH(DATOS!$C$21,TABLAS!$B$52:$B$58,0)+0,7))+DATOS!$C$24)))),INDEX(TABLAS!$B$52:$B$58,MIN(MATCH(DATOS!$C$21,TABLAS!$B$52:$B$58,0)+0,7)),IF(AND(BA14&gt;=0,CEILING(BA14/INDEX(TABLAS!$D$52:$D$58,MIN(MATCH(DATOS!$C$21,TABLAS!$B$52:$B$58,0)+1,7)),1)&lt;=MIN(DATOS!$C$22,INT((DATOS!$C$25+DATOS!$C$24)/(INDEX(TABLAS!$C$52:$C$58,MIN(MATCH(DATOS!$C$21,TABLAS!$B$52:$B$58,0)+1,7))+DATOS!$C$24)))),INDEX(TABLAS!$B$52:$B$58,MIN(MATCH(DATOS!$C$21,TABLAS!$B$52:$B$58,0)+1,7)),IF(AND(BA14&gt;=0,CEILING(BA14/INDEX(TABLAS!$D$52:$D$58,MIN(MATCH(DATOS!$C$21,TABLAS!$B$52:$B$58,0)+2,7)),1)&lt;=MIN(DATOS!$C$22,INT((DATOS!$C$25+DATOS!$C$24)/(INDEX(TABLAS!$C$52:$C$58,MIN(MATCH(DATOS!$C$21,TABLAS!$B$52:$B$58,0)+2,7))+DATOS!$C$24)))),INDEX(TABLAS!$B$52:$B$58,MIN(MATCH(DATOS!$C$21,TABLAS!$B$52:$B$58,0)+2,7)),IF(AND(BA14&gt;=0,CEILING(BA14/INDEX(TABLAS!$D$52:$D$58,MIN(MATCH(DATOS!$C$21,TABLAS!$B$52:$B$58,0)+3,7)),1)&lt;=MIN(DATOS!$C$22,INT((DATOS!$C$25+DATOS!$C$24)/(INDEX(TABLAS!$C$52:$C$58,MIN(MATCH(DATOS!$C$21,TABLAS!$B$52:$B$58,0)+3,7))+DATOS!$C$24)))),INDEX(TABLAS!$B$52:$B$58,MIN(MATCH(DATOS!$C$21,TABLAS!$B$52:$B$58,0)+3,7)),IF(AND(BA14&gt;=0,CEILING(BA14/INDEX(TABLAS!$D$52:$D$58,MIN(MATCH(DATOS!$C$21,TABLAS!$B$52:$B$58,0)+4,7)),1)&lt;=MIN(DATOS!$C$22,INT((DATOS!$C$25+DATOS!$C$24)/(INDEX(TABLAS!$C$52:$C$58,MIN(MATCH(DATOS!$C$21,TABLAS!$B$52:$B$58,0)+4,7))+DATOS!$C$24)))),INDEX(TABLAS!$B$52:$B$58,MIN(MATCH(DATOS!$C$21,TABLAS!$B$52:$B$58,0)+4,7)),INDEX(TABLAS!$B$52:$B$58,7))))))</f>
        <v>3</v>
      </c>
      <c r="BC14" s="55">
        <f>IF(D14="HUECO",0,IF(BA14&lt;0,0,MAX(1,CEILING(BA14/INDEX(TABLAS!$D$52:$D$58,MATCH(BB14,TABLAS!$B$52:$B$58,0)),1))))</f>
        <v>1</v>
      </c>
      <c r="BD14" s="34">
        <f>IF(BC14=0,0,DATOS!$C$45*BC14*INDEX(TABLAS!$D$52:$D$58,MATCH(BB14,TABLAS!$B$52:$B$58,0))*DATOS!$C$32*((DATOS!$C$15-DATOS!$C$18-INDEX(TABLAS!$C$52:$C$58,MATCH(DATOS!$C$19,TABLAS!$B$52:$B$58,0))-INDEX(TABLAS!$C$52:$C$58,MATCH(BB14,TABLAS!$B$52:$B$58,0))/2)-BC14*INDEX(TABLAS!$D$52:$D$58,MATCH(BB14,TABLAS!$B$52:$B$58,0))*DATOS!$C$32/(DATOS!$C$38*DATOS!$C$13)/2)/1E5)</f>
        <v>0.568518826235294</v>
      </c>
      <c r="BE14" s="59">
        <f>IF(BA14&lt;0,9.99,IF(BD14&gt;0,AK14/BD14,0))</f>
        <v>0.0471807483584113</v>
      </c>
      <c r="BF14" s="34">
        <f>IF(D14="PERIMETRAL",MAX(0,(J14/2-DATOS!$C$66/100))*(0.95-0.5*L14)*R14*IF(AND(S14&gt;0,S14&lt;4),DATOS!$C$50,1)*DATOS!$C$16/100/1000,IF(D14="VOLADO",(R14*J14+DATOS!$C$43*AG14)*DATOS!$C$16/100/1000,0))</f>
        <v>0.135538399482787</v>
      </c>
      <c r="BG14" s="34">
        <f>IF(D14="HUECO",0,DATOS!$C$46*IF((AS14*INDEX(TABLAS!$D$52:$D$58,MATCH(AR14,TABLAS!$B$52:$B$58,0))/(DATOS!$C$13*DATOS!$C$67))&lt;0.015,0.2+20*(AS14*INDEX(TABLAS!$D$52:$D$58,MATCH(AR14,TABLAS!$B$52:$B$58,0))/(DATOS!$C$13*DATOS!$C$67)),0.5)*SQRT(DATOS!$C$31)*DATOS!$C$13*DATOS!$C$67*DATOS!$C$49/1000)</f>
        <v>0.687439634849853</v>
      </c>
      <c r="BH14" s="49" t="str">
        <f>IF(D14="HUECO","—",IF(BF14&lt;=BG14,"CUMPLE","MACIZAR "&amp;MAX(1,CEILING(IF(D14="VOLADO",J14,J14/2)*(1-BG14/BF14)*100/DATOS!$C$16,1))&amp;" hilera(s)"))</f>
        <v>CUMPLE</v>
      </c>
      <c r="BI14" s="41">
        <f>IF(D14="PERIMETRAL",(2*(H14+I14)+0.25*(H14*((APOYOS!$G$49="DISCONTINUO")+(APOYOS!$G$50="DISCONTINUO"))+I14*((APOYOS!$G$51="DISCONTINUO")+(APOYOS!$G$52="DISCONTINUO"))))*(J14+MIN(K14,2*J14))/(J14+K14)*100/250*IF(OR(DATOS!$C$47&gt;2520,Q14&gt;380),0.032*(DATOS!$C$47*Q14)^0.25,1),IF(D14="VOLADO",J14*100/8,0))</f>
        <v>2.8006968382275</v>
      </c>
      <c r="BJ14" s="41">
        <f>IF(D14="VOLADO",DATOS!$C$15,DATOS!$C$68)</f>
        <v>13.6082564120244</v>
      </c>
      <c r="BK14" s="50" t="str">
        <f>IF(D14="HUECO","—",IF(BJ14&gt;=BI14,"CUMPLE","NO CUMPLE"))</f>
        <v>CUMPLE</v>
      </c>
      <c r="BL14" s="50" t="str">
        <f>IF(D14="PERIMETRAL",IF(DATOS!$C$16/100&lt;=J14/6,"SÍ","NO: a1 &lt; 6·s"),"—")</f>
        <v>NO: a1 &lt; 6·s</v>
      </c>
      <c r="BM14" s="55">
        <f>MAX(0,INT((F14*100-DATOS!$C$17+DATOS!$C$13)/DATOS!$C$16))</f>
        <v>6</v>
      </c>
      <c r="BN14" s="55">
        <f>MAX(0,INT((G14*100-DATOS!$C$17+DATOS!$C$13)/DATOS!$C$16))</f>
        <v>1</v>
      </c>
      <c r="BO14" s="49" t="str">
        <f>IF(COUNTIFS(TRIB!$C$6:$C$255,B14,TRIB!$K$6:$K$255,"NO CUMPLE*")+COUNTIFS(TRIB!$C$6:$C$255,B14,TRIB!$K$6:$K$255,"SIN APOYO*")&gt;0,"VER PRINCIPALES",IF((APOYOS!$F$49="LIBRE")+(APOYOS!$F$50="LIBRE")+(APOYOS!$F$51="LIBRE")+(APOYOS!$F$52="LIBRE")&gt;0,"REVISAR: borde libre","OK"))</f>
        <v>VER PRINCIPALES</v>
      </c>
      <c r="BP14" s="60" t="str">
        <f>IF(D14="HUECO","HUECO — marco de nervaduras principales",IF(AND(MAX(AP14,AU14,AZ14,BE14)&lt;=1,NOT(OR(AN14&gt;MIN(DATOS!$C$22,INT((DATOS!$C$25+DATOS!$C$24)/(INDEX(TABLAS!$C$52:$C$58,MATCH(AM14,TABLAS!$B$52:$B$58,0))+DATOS!$C$24))),AS14&gt;MIN(DATOS!$C$22,INT((DATOS!$C$25+DATOS!$C$24)/(INDEX(TABLAS!$C$52:$C$58,MATCH(AR14,TABLAS!$B$52:$B$58,0))+DATOS!$C$24))),AX14&gt;MIN(DATOS!$C$22,INT((DATOS!$C$25+DATOS!$C$24)/(INDEX(TABLAS!$C$52:$C$58,MATCH(AW14,TABLAS!$B$52:$B$58,0))+DATOS!$C$24))),BC14&gt;MIN(DATOS!$C$22,INT((DATOS!$C$25+DATOS!$C$24)/(INDEX(TABLAS!$C$52:$C$58,MATCH(BB14,TABLAS!$B$52:$B$58,0))+DATOS!$C$24))))),BK14="CUMPLE"),IF(BO14="OK",IF(BH14="CUMPLE","CUMPLE","CUMPLE — "&amp;BH14),IF(BO14="VER PRINCIPALES","VER PRINCIPALES","REVISAR APOYOS")),"NO CUMPLE: "&amp;IF(MAX(AP14,AU14,AZ14,BE14)&gt;1,"flexión ","")&amp;IF(OR(AN14&gt;MIN(DATOS!$C$22,INT((DATOS!$C$25+DATOS!$C$24)/(INDEX(TABLAS!$C$52:$C$58,MATCH(AM14,TABLAS!$B$52:$B$58,0))+DATOS!$C$24))),AS14&gt;MIN(DATOS!$C$22,INT((DATOS!$C$25+DATOS!$C$24)/(INDEX(TABLAS!$C$52:$C$58,MATCH(AR14,TABLAS!$B$52:$B$58,0))+DATOS!$C$24))),AX14&gt;MIN(DATOS!$C$22,INT((DATOS!$C$25+DATOS!$C$24)/(INDEX(TABLAS!$C$52:$C$58,MATCH(AW14,TABLAS!$B$52:$B$58,0))+DATOS!$C$24))),BC14&gt;MIN(DATOS!$C$22,INT((DATOS!$C$25+DATOS!$C$24)/(INDEX(TABLAS!$C$52:$C$58,MATCH(BB14,TABLAS!$B$52:$B$58,0))+DATOS!$C$24)))),"no caben ","")&amp;IF(BK14&lt;&gt;"CUMPLE","peralte","")))</f>
        <v>VER PRINCIPALES</v>
      </c>
      <c r="BQ14" s="61" t="inlineStr">
        <is>
          <t>—</t>
        </is>
      </c>
    </row>
    <row r="15" ht="30" customHeight="1">
      <c r="B15" s="49" t="inlineStr">
        <is>
          <t>F80008 N+3.00</t>
        </is>
      </c>
      <c r="C15" s="50" t="inlineStr">
        <is>
          <t>N+3.00</t>
        </is>
      </c>
      <c r="D15" s="51" t="inlineStr">
        <is>
          <t>PERIMETRAL</t>
        </is>
      </c>
      <c r="E15" s="51" t="inlineStr">
        <is>
          <t>HABITACIÓN</t>
        </is>
      </c>
      <c r="F15" s="52" t="n">
        <v>4.321</v>
      </c>
      <c r="G15" s="52" t="n">
        <v>11.5</v>
      </c>
      <c r="H15" s="53" t="n">
        <v>1.995</v>
      </c>
      <c r="I15" s="53" t="n">
        <v>3.425</v>
      </c>
      <c r="J15" s="34">
        <f>MIN(H15,I15)</f>
        <v>1.995</v>
      </c>
      <c r="K15" s="34">
        <f>MAX(H15,I15)</f>
        <v>3.425</v>
      </c>
      <c r="L15" s="34">
        <f>IF(K15&gt;0,J15/K15,0)</f>
        <v>0.582481751824818</v>
      </c>
      <c r="M15" s="50" t="str">
        <f>IF(H15&lt;=I15,"X","Y")</f>
        <v>X</v>
      </c>
      <c r="N15" s="54" t="n">
        <v>160</v>
      </c>
      <c r="O15" s="55">
        <f>IF(E15="HABITACIÓN",DATOS!$C$76,DATOS!$C$78)</f>
        <v>190</v>
      </c>
      <c r="P15" s="55">
        <f>DATOS!$C$58</f>
        <v>253.673469387755</v>
      </c>
      <c r="Q15" s="55">
        <f>P15+N15+O15</f>
        <v>603.673469387755</v>
      </c>
      <c r="R15" s="56">
        <f>DATOS!$C$43*(P15+N15)+DATOS!$C$44*O15</f>
        <v>822.775510204082</v>
      </c>
      <c r="S15" s="55">
        <f>(APOYOS!$G$53="DISCONTINUO")+(APOYOS!$G$54="DISCONTINUO")+(APOYOS!$G$55="DISCONTINUO")+(APOYOS!$G$56="DISCONTINUO")</f>
        <v>1</v>
      </c>
      <c r="T15" s="55">
        <f>IF(M15="X",(APOYOS!$G$53="DISCONTINUO")+(APOYOS!$G$54="DISCONTINUO"),(APOYOS!$G$55="DISCONTINUO")+(APOYOS!$G$56="DISCONTINUO"))</f>
        <v>1</v>
      </c>
      <c r="U15" s="55">
        <f>S15-T15</f>
        <v>0</v>
      </c>
      <c r="V15" s="50" t="str">
        <f>IF(S15=0,"INTERIOR",IF(S15=1,IF(T15=1,"BORDE-CORTO","BORDE-LARGO"),IF(S15=2,IF(T15=1,"ESQUINA",IF(T15=2,"EXTREMO-LARGO","EXTREMO-CORTO")),IF(S15=3,IF(T15=2,"EXTREMO-LARGO","EXTREMO-CORTO"),"AISLADO"))))</f>
        <v>BORDE-CORTO</v>
      </c>
      <c r="W15" s="51" t="inlineStr">
        <is>
          <t>AUTO</t>
        </is>
      </c>
      <c r="X15" s="57" t="str">
        <f>IF(W15="AUTO",V15,W15)</f>
        <v>BORDE-CORTO</v>
      </c>
      <c r="Y15" s="55">
        <f>MATCH(L15,TABLAS!$D$5:$J$5,1)</f>
        <v>2</v>
      </c>
      <c r="Z15" s="41">
        <f>IF(Y15&gt;=7,0,(L15-INDEX(TABLAS!$D$5:$J$5,Y15))/(INDEX(TABLAS!$D$5:$J$5,Y15+1)-INDEX(TABLAS!$D$5:$J$5,Y15)))</f>
        <v>0.824817518248176</v>
      </c>
      <c r="AA15" s="55">
        <f>INDEX(TABLAS!$D$6:$J$47,MATCH(X15&amp;"|NIC",TABLAS!$B$6:$B$47,0),Y15)+Z15*(INDEX(TABLAS!$D$6:$J$47,MATCH(X15&amp;"|NIC",TABLAS!$B$6:$B$47,0),MIN(Y15+1,7))-INDEX(TABLAS!$D$6:$J$47,MATCH(X15&amp;"|NIC",TABLAS!$B$6:$B$47,0),Y15))</f>
        <v>516.861313868613</v>
      </c>
      <c r="AB15" s="55">
        <f>INDEX(TABLAS!$D$6:$J$47,MATCH(X15&amp;"|NIL",TABLAS!$B$6:$B$47,0),Y15)+Z15*(INDEX(TABLAS!$D$6:$J$47,MATCH(X15&amp;"|NIL",TABLAS!$B$6:$B$47,0),MIN(Y15+1,7))-INDEX(TABLAS!$D$6:$J$47,MATCH(X15&amp;"|NIL",TABLAS!$B$6:$B$47,0),Y15))</f>
        <v>394.153284671533</v>
      </c>
      <c r="AC15" s="55">
        <f>INDEX(TABLAS!$D$6:$J$47,MATCH(X15&amp;"|NDC",TABLAS!$B$6:$B$47,0),Y15)+Z15*(INDEX(TABLAS!$D$6:$J$47,MATCH(X15&amp;"|NDC",TABLAS!$B$6:$B$47,0),MIN(Y15+1,7))-INDEX(TABLAS!$D$6:$J$47,MATCH(X15&amp;"|NDC",TABLAS!$B$6:$B$47,0),Y15))</f>
        <v>0</v>
      </c>
      <c r="AD15" s="55">
        <f>INDEX(TABLAS!$D$6:$J$47,MATCH(X15&amp;"|NDL",TABLAS!$B$6:$B$47,0),Y15)+Z15*(INDEX(TABLAS!$D$6:$J$47,MATCH(X15&amp;"|NDL",TABLAS!$B$6:$B$47,0),MIN(Y15+1,7))-INDEX(TABLAS!$D$6:$J$47,MATCH(X15&amp;"|NDL",TABLAS!$B$6:$B$47,0),Y15))</f>
        <v>249.751824817518</v>
      </c>
      <c r="AE15" s="55">
        <f>INDEX(TABLAS!$D$6:$J$47,MATCH(X15&amp;"|PC",TABLAS!$B$6:$B$47,0),Y15)+Z15*(INDEX(TABLAS!$D$6:$J$47,MATCH(X15&amp;"|PC",TABLAS!$B$6:$B$47,0),MIN(Y15+1,7))-INDEX(TABLAS!$D$6:$J$47,MATCH(X15&amp;"|PC",TABLAS!$B$6:$B$47,0),Y15))</f>
        <v>298.481751824818</v>
      </c>
      <c r="AF15" s="55">
        <f>INDEX(TABLAS!$D$6:$J$47,MATCH(X15&amp;"|PL",TABLAS!$B$6:$B$47,0),Y15)+Z15*(INDEX(TABLAS!$D$6:$J$47,MATCH(X15&amp;"|PL",TABLAS!$B$6:$B$47,0),MIN(Y15+1,7))-INDEX(TABLAS!$D$6:$J$47,MATCH(X15&amp;"|PL",TABLAS!$B$6:$B$47,0),Y15))</f>
        <v>137.875912408759</v>
      </c>
      <c r="AG15" s="58" t="n">
        <v>0</v>
      </c>
      <c r="AH15" s="34">
        <f>IF(D15="PERIMETRAL",AE15*R15*J15^2*1E-4*DATOS!$C$16/100/1000,0)</f>
        <v>0.0684199860855767</v>
      </c>
      <c r="AI15" s="34">
        <f>IF(D15="PERIMETRAL",MAX(AA15,AC15)*R15*J15^2*1E-4*DATOS!$C$16/100/1000,IF(D15="VOLADO",(R15*J15^2/2+DATOS!$C$43*AG15*J15)*DATOS!$C$16/100/1000,0))</f>
        <v>0.118478411785183</v>
      </c>
      <c r="AJ15" s="34">
        <f>IF(D15="PERIMETRAL",AF15*R15*J15^2*1E-4*DATOS!$C$16/100/1000,0)</f>
        <v>0.0316048399973212</v>
      </c>
      <c r="AK15" s="34">
        <f>IF(D15="PERIMETRAL",MAX(AB15,AD15)*R15*J15^2*1E-4*DATOS!$C$16/100/1000,0)</f>
        <v>0.0903504555569562</v>
      </c>
      <c r="AL15" s="41">
        <f>IF(D15="HUECO",0,IF(AH15&lt;=0,DATOS!$C$71*DATOS!$C$13*DATOS!$C$66,IF((1-2*AH15*1E5/(DATOS!$C$45*DATOS!$C$16*DATOS!$C$66^2*DATOS!$C$38))&lt;0,-1,MAX(DATOS!$C$71*DATOS!$C$13*DATOS!$C$66,(1-SQRT((1-2*AH15*1E5/(DATOS!$C$45*DATOS!$C$16*DATOS!$C$66^2*DATOS!$C$38))))*DATOS!$C$38*DATOS!$C$16*DATOS!$C$66/DATOS!$C$32))))</f>
        <v>0.576720388273208</v>
      </c>
      <c r="AM15" s="39">
        <f>IF(AND(AL15&gt;=0,CEILING(AL15/INDEX(TABLAS!$D$52:$D$58,MIN(MATCH(DATOS!$C$20,TABLAS!$B$52:$B$58,0)+0,7)),1)&lt;=MIN(DATOS!$C$22,INT((DATOS!$C$25+DATOS!$C$24)/(INDEX(TABLAS!$C$52:$C$58,MIN(MATCH(DATOS!$C$20,TABLAS!$B$52:$B$58,0)+0,7))+DATOS!$C$24)))),INDEX(TABLAS!$B$52:$B$58,MIN(MATCH(DATOS!$C$20,TABLAS!$B$52:$B$58,0)+0,7)),IF(AND(AL15&gt;=0,CEILING(AL15/INDEX(TABLAS!$D$52:$D$58,MIN(MATCH(DATOS!$C$20,TABLAS!$B$52:$B$58,0)+1,7)),1)&lt;=MIN(DATOS!$C$22,INT((DATOS!$C$25+DATOS!$C$24)/(INDEX(TABLAS!$C$52:$C$58,MIN(MATCH(DATOS!$C$20,TABLAS!$B$52:$B$58,0)+1,7))+DATOS!$C$24)))),INDEX(TABLAS!$B$52:$B$58,MIN(MATCH(DATOS!$C$20,TABLAS!$B$52:$B$58,0)+1,7)),IF(AND(AL15&gt;=0,CEILING(AL15/INDEX(TABLAS!$D$52:$D$58,MIN(MATCH(DATOS!$C$20,TABLAS!$B$52:$B$58,0)+2,7)),1)&lt;=MIN(DATOS!$C$22,INT((DATOS!$C$25+DATOS!$C$24)/(INDEX(TABLAS!$C$52:$C$58,MIN(MATCH(DATOS!$C$20,TABLAS!$B$52:$B$58,0)+2,7))+DATOS!$C$24)))),INDEX(TABLAS!$B$52:$B$58,MIN(MATCH(DATOS!$C$20,TABLAS!$B$52:$B$58,0)+2,7)),IF(AND(AL15&gt;=0,CEILING(AL15/INDEX(TABLAS!$D$52:$D$58,MIN(MATCH(DATOS!$C$20,TABLAS!$B$52:$B$58,0)+3,7)),1)&lt;=MIN(DATOS!$C$22,INT((DATOS!$C$25+DATOS!$C$24)/(INDEX(TABLAS!$C$52:$C$58,MIN(MATCH(DATOS!$C$20,TABLAS!$B$52:$B$58,0)+3,7))+DATOS!$C$24)))),INDEX(TABLAS!$B$52:$B$58,MIN(MATCH(DATOS!$C$20,TABLAS!$B$52:$B$58,0)+3,7)),IF(AND(AL15&gt;=0,CEILING(AL15/INDEX(TABLAS!$D$52:$D$58,MIN(MATCH(DATOS!$C$20,TABLAS!$B$52:$B$58,0)+4,7)),1)&lt;=MIN(DATOS!$C$22,INT((DATOS!$C$25+DATOS!$C$24)/(INDEX(TABLAS!$C$52:$C$58,MIN(MATCH(DATOS!$C$20,TABLAS!$B$52:$B$58,0)+4,7))+DATOS!$C$24)))),INDEX(TABLAS!$B$52:$B$58,MIN(MATCH(DATOS!$C$20,TABLAS!$B$52:$B$58,0)+4,7)),INDEX(TABLAS!$B$52:$B$58,7))))))</f>
        <v>3</v>
      </c>
      <c r="AN15" s="55">
        <f>IF(D15="HUECO",0,IF(AL15&lt;0,0,MAX(DATOS!$C$23,CEILING(AL15/INDEX(TABLAS!$D$52:$D$58,MATCH(AM15,TABLAS!$B$52:$B$58,0)),1))))</f>
        <v>1</v>
      </c>
      <c r="AO15" s="34">
        <f>IF(AN15=0,0,DATOS!$C$45*AN15*INDEX(TABLAS!$D$52:$D$58,MATCH(AM15,TABLAS!$B$52:$B$58,0))*DATOS!$C$32*((DATOS!$C$15-DATOS!$C$18-INDEX(TABLAS!$C$52:$C$58,MATCH(DATOS!$C$19,TABLAS!$B$52:$B$58,0))-INDEX(TABLAS!$C$52:$C$58,MATCH(AM15,TABLAS!$B$52:$B$58,0))/2)-AN15*INDEX(TABLAS!$D$52:$D$58,MATCH(AM15,TABLAS!$B$52:$B$58,0))*DATOS!$C$32/(DATOS!$C$38*DATOS!$C$16)/2)/1E5)</f>
        <v>0.584659515176471</v>
      </c>
      <c r="AP15" s="59">
        <f>IF(AL15&lt;0,9.99,IF(AO15&gt;0,AH15/AO15,0))</f>
        <v>0.117025352892658</v>
      </c>
      <c r="AQ15" s="41">
        <f>IF(D15="HUECO",0,IF(AI15&lt;=0,DATOS!$C$71*DATOS!$C$13*DATOS!$C$67,IF((1-2*AI15*1E5/(DATOS!$C$45*DATOS!$C$13*DATOS!$C$67^2*DATOS!$C$38))&lt;0,-1,IF((1-SQRT((1-2*AI15*1E5/(DATOS!$C$45*DATOS!$C$13*DATOS!$C$67^2*DATOS!$C$38))))*DATOS!$C$38*DATOS!$C$13*DATOS!$C$67/DATOS!$C$32&gt;DATOS!$C$70*DATOS!$C$13*DATOS!$C$67,-1,MAX(DATOS!$C$71*DATOS!$C$13*DATOS!$C$67,(1-SQRT((1-2*AI15*1E5/(DATOS!$C$45*DATOS!$C$13*DATOS!$C$67^2*DATOS!$C$38))))*DATOS!$C$38*DATOS!$C$13*DATOS!$C$67/DATOS!$C$32)))))</f>
        <v>0.576720388273208</v>
      </c>
      <c r="AR15" s="39">
        <f>IF(AND(AQ15&gt;=0,CEILING(AQ15/INDEX(TABLAS!$D$52:$D$58,MIN(MATCH(DATOS!$C$21,TABLAS!$B$52:$B$58,0)+0,7)),1)&lt;=MIN(DATOS!$C$22,INT((DATOS!$C$25+DATOS!$C$24)/(INDEX(TABLAS!$C$52:$C$58,MIN(MATCH(DATOS!$C$21,TABLAS!$B$52:$B$58,0)+0,7))+DATOS!$C$24)))),INDEX(TABLAS!$B$52:$B$58,MIN(MATCH(DATOS!$C$21,TABLAS!$B$52:$B$58,0)+0,7)),IF(AND(AQ15&gt;=0,CEILING(AQ15/INDEX(TABLAS!$D$52:$D$58,MIN(MATCH(DATOS!$C$21,TABLAS!$B$52:$B$58,0)+1,7)),1)&lt;=MIN(DATOS!$C$22,INT((DATOS!$C$25+DATOS!$C$24)/(INDEX(TABLAS!$C$52:$C$58,MIN(MATCH(DATOS!$C$21,TABLAS!$B$52:$B$58,0)+1,7))+DATOS!$C$24)))),INDEX(TABLAS!$B$52:$B$58,MIN(MATCH(DATOS!$C$21,TABLAS!$B$52:$B$58,0)+1,7)),IF(AND(AQ15&gt;=0,CEILING(AQ15/INDEX(TABLAS!$D$52:$D$58,MIN(MATCH(DATOS!$C$21,TABLAS!$B$52:$B$58,0)+2,7)),1)&lt;=MIN(DATOS!$C$22,INT((DATOS!$C$25+DATOS!$C$24)/(INDEX(TABLAS!$C$52:$C$58,MIN(MATCH(DATOS!$C$21,TABLAS!$B$52:$B$58,0)+2,7))+DATOS!$C$24)))),INDEX(TABLAS!$B$52:$B$58,MIN(MATCH(DATOS!$C$21,TABLAS!$B$52:$B$58,0)+2,7)),IF(AND(AQ15&gt;=0,CEILING(AQ15/INDEX(TABLAS!$D$52:$D$58,MIN(MATCH(DATOS!$C$21,TABLAS!$B$52:$B$58,0)+3,7)),1)&lt;=MIN(DATOS!$C$22,INT((DATOS!$C$25+DATOS!$C$24)/(INDEX(TABLAS!$C$52:$C$58,MIN(MATCH(DATOS!$C$21,TABLAS!$B$52:$B$58,0)+3,7))+DATOS!$C$24)))),INDEX(TABLAS!$B$52:$B$58,MIN(MATCH(DATOS!$C$21,TABLAS!$B$52:$B$58,0)+3,7)),IF(AND(AQ15&gt;=0,CEILING(AQ15/INDEX(TABLAS!$D$52:$D$58,MIN(MATCH(DATOS!$C$21,TABLAS!$B$52:$B$58,0)+4,7)),1)&lt;=MIN(DATOS!$C$22,INT((DATOS!$C$25+DATOS!$C$24)/(INDEX(TABLAS!$C$52:$C$58,MIN(MATCH(DATOS!$C$21,TABLAS!$B$52:$B$58,0)+4,7))+DATOS!$C$24)))),INDEX(TABLAS!$B$52:$B$58,MIN(MATCH(DATOS!$C$21,TABLAS!$B$52:$B$58,0)+4,7)),INDEX(TABLAS!$B$52:$B$58,7))))))</f>
        <v>3</v>
      </c>
      <c r="AS15" s="55">
        <f>IF(D15="HUECO",0,IF(AQ15&lt;0,0,MAX(1,CEILING(AQ15/INDEX(TABLAS!$D$52:$D$58,MATCH(AR15,TABLAS!$B$52:$B$58,0)),1))))</f>
        <v>1</v>
      </c>
      <c r="AT15" s="34">
        <f>IF(AS15=0,0,DATOS!$C$45*AS15*INDEX(TABLAS!$D$52:$D$58,MATCH(AR15,TABLAS!$B$52:$B$58,0))*DATOS!$C$32*((DATOS!$C$15-DATOS!$C$18-INDEX(TABLAS!$C$52:$C$58,MATCH(DATOS!$C$19,TABLAS!$B$52:$B$58,0))-INDEX(TABLAS!$C$52:$C$58,MATCH(AR15,TABLAS!$B$52:$B$58,0))/2)-AS15*INDEX(TABLAS!$D$52:$D$58,MATCH(AR15,TABLAS!$B$52:$B$58,0))*DATOS!$C$32/(DATOS!$C$38*DATOS!$C$13)/2)/1E5)</f>
        <v>0.568518826235294</v>
      </c>
      <c r="AU15" s="59">
        <f>IF(AQ15&lt;0,9.99,IF(AT15&gt;0,AI15/AT15,0))</f>
        <v>0.208398396531107</v>
      </c>
      <c r="AV15" s="41">
        <f>IF(D15="HUECO",0,IF(AJ15&lt;=0,DATOS!$C$71*DATOS!$C$13*DATOS!$C$66,IF((1-2*AJ15*1E5/(DATOS!$C$45*DATOS!$C$16*DATOS!$C$66^2*DATOS!$C$38))&lt;0,-1,MAX(DATOS!$C$71*DATOS!$C$13*DATOS!$C$66,(1-SQRT((1-2*AJ15*1E5/(DATOS!$C$45*DATOS!$C$16*DATOS!$C$66^2*DATOS!$C$38))))*DATOS!$C$38*DATOS!$C$16*DATOS!$C$66/DATOS!$C$32))))</f>
        <v>0.576720388273208</v>
      </c>
      <c r="AW15" s="39">
        <f>IF(AND(AV15&gt;=0,CEILING(AV15/INDEX(TABLAS!$D$52:$D$58,MIN(MATCH(DATOS!$C$20,TABLAS!$B$52:$B$58,0)+0,7)),1)&lt;=MIN(DATOS!$C$22,INT((DATOS!$C$25+DATOS!$C$24)/(INDEX(TABLAS!$C$52:$C$58,MIN(MATCH(DATOS!$C$20,TABLAS!$B$52:$B$58,0)+0,7))+DATOS!$C$24)))),INDEX(TABLAS!$B$52:$B$58,MIN(MATCH(DATOS!$C$20,TABLAS!$B$52:$B$58,0)+0,7)),IF(AND(AV15&gt;=0,CEILING(AV15/INDEX(TABLAS!$D$52:$D$58,MIN(MATCH(DATOS!$C$20,TABLAS!$B$52:$B$58,0)+1,7)),1)&lt;=MIN(DATOS!$C$22,INT((DATOS!$C$25+DATOS!$C$24)/(INDEX(TABLAS!$C$52:$C$58,MIN(MATCH(DATOS!$C$20,TABLAS!$B$52:$B$58,0)+1,7))+DATOS!$C$24)))),INDEX(TABLAS!$B$52:$B$58,MIN(MATCH(DATOS!$C$20,TABLAS!$B$52:$B$58,0)+1,7)),IF(AND(AV15&gt;=0,CEILING(AV15/INDEX(TABLAS!$D$52:$D$58,MIN(MATCH(DATOS!$C$20,TABLAS!$B$52:$B$58,0)+2,7)),1)&lt;=MIN(DATOS!$C$22,INT((DATOS!$C$25+DATOS!$C$24)/(INDEX(TABLAS!$C$52:$C$58,MIN(MATCH(DATOS!$C$20,TABLAS!$B$52:$B$58,0)+2,7))+DATOS!$C$24)))),INDEX(TABLAS!$B$52:$B$58,MIN(MATCH(DATOS!$C$20,TABLAS!$B$52:$B$58,0)+2,7)),IF(AND(AV15&gt;=0,CEILING(AV15/INDEX(TABLAS!$D$52:$D$58,MIN(MATCH(DATOS!$C$20,TABLAS!$B$52:$B$58,0)+3,7)),1)&lt;=MIN(DATOS!$C$22,INT((DATOS!$C$25+DATOS!$C$24)/(INDEX(TABLAS!$C$52:$C$58,MIN(MATCH(DATOS!$C$20,TABLAS!$B$52:$B$58,0)+3,7))+DATOS!$C$24)))),INDEX(TABLAS!$B$52:$B$58,MIN(MATCH(DATOS!$C$20,TABLAS!$B$52:$B$58,0)+3,7)),IF(AND(AV15&gt;=0,CEILING(AV15/INDEX(TABLAS!$D$52:$D$58,MIN(MATCH(DATOS!$C$20,TABLAS!$B$52:$B$58,0)+4,7)),1)&lt;=MIN(DATOS!$C$22,INT((DATOS!$C$25+DATOS!$C$24)/(INDEX(TABLAS!$C$52:$C$58,MIN(MATCH(DATOS!$C$20,TABLAS!$B$52:$B$58,0)+4,7))+DATOS!$C$24)))),INDEX(TABLAS!$B$52:$B$58,MIN(MATCH(DATOS!$C$20,TABLAS!$B$52:$B$58,0)+4,7)),INDEX(TABLAS!$B$52:$B$58,7))))))</f>
        <v>3</v>
      </c>
      <c r="AX15" s="55">
        <f>IF(D15="HUECO",0,IF(AV15&lt;0,0,MAX(DATOS!$C$23,CEILING(AV15/INDEX(TABLAS!$D$52:$D$58,MATCH(AW15,TABLAS!$B$52:$B$58,0)),1))))</f>
        <v>1</v>
      </c>
      <c r="AY15" s="34">
        <f>IF(AX15=0,0,DATOS!$C$45*AX15*INDEX(TABLAS!$D$52:$D$58,MATCH(AW15,TABLAS!$B$52:$B$58,0))*DATOS!$C$32*((DATOS!$C$15-DATOS!$C$18-INDEX(TABLAS!$C$52:$C$58,MATCH(DATOS!$C$19,TABLAS!$B$52:$B$58,0))-INDEX(TABLAS!$C$52:$C$58,MATCH(AW15,TABLAS!$B$52:$B$58,0))/2)-AX15*INDEX(TABLAS!$D$52:$D$58,MATCH(AW15,TABLAS!$B$52:$B$58,0))*DATOS!$C$32/(DATOS!$C$38*DATOS!$C$16)/2)/1E5)</f>
        <v>0.584659515176471</v>
      </c>
      <c r="AZ15" s="59">
        <f>IF(AV15&lt;0,9.99,IF(AY15&gt;0,AJ15/AY15,0))</f>
        <v>0.0540568299615918</v>
      </c>
      <c r="BA15" s="41">
        <f>IF(D15="HUECO",0,IF(AK15&lt;=0,DATOS!$C$71*DATOS!$C$13*DATOS!$C$67,IF((1-2*AK15*1E5/(DATOS!$C$45*DATOS!$C$13*DATOS!$C$67^2*DATOS!$C$38))&lt;0,-1,IF((1-SQRT((1-2*AK15*1E5/(DATOS!$C$45*DATOS!$C$13*DATOS!$C$67^2*DATOS!$C$38))))*DATOS!$C$38*DATOS!$C$13*DATOS!$C$67/DATOS!$C$32&gt;DATOS!$C$70*DATOS!$C$13*DATOS!$C$67,-1,MAX(DATOS!$C$71*DATOS!$C$13*DATOS!$C$67,(1-SQRT((1-2*AK15*1E5/(DATOS!$C$45*DATOS!$C$13*DATOS!$C$67^2*DATOS!$C$38))))*DATOS!$C$38*DATOS!$C$13*DATOS!$C$67/DATOS!$C$32)))))</f>
        <v>0.576720388273208</v>
      </c>
      <c r="BB15" s="39">
        <f>IF(AND(BA15&gt;=0,CEILING(BA15/INDEX(TABLAS!$D$52:$D$58,MIN(MATCH(DATOS!$C$21,TABLAS!$B$52:$B$58,0)+0,7)),1)&lt;=MIN(DATOS!$C$22,INT((DATOS!$C$25+DATOS!$C$24)/(INDEX(TABLAS!$C$52:$C$58,MIN(MATCH(DATOS!$C$21,TABLAS!$B$52:$B$58,0)+0,7))+DATOS!$C$24)))),INDEX(TABLAS!$B$52:$B$58,MIN(MATCH(DATOS!$C$21,TABLAS!$B$52:$B$58,0)+0,7)),IF(AND(BA15&gt;=0,CEILING(BA15/INDEX(TABLAS!$D$52:$D$58,MIN(MATCH(DATOS!$C$21,TABLAS!$B$52:$B$58,0)+1,7)),1)&lt;=MIN(DATOS!$C$22,INT((DATOS!$C$25+DATOS!$C$24)/(INDEX(TABLAS!$C$52:$C$58,MIN(MATCH(DATOS!$C$21,TABLAS!$B$52:$B$58,0)+1,7))+DATOS!$C$24)))),INDEX(TABLAS!$B$52:$B$58,MIN(MATCH(DATOS!$C$21,TABLAS!$B$52:$B$58,0)+1,7)),IF(AND(BA15&gt;=0,CEILING(BA15/INDEX(TABLAS!$D$52:$D$58,MIN(MATCH(DATOS!$C$21,TABLAS!$B$52:$B$58,0)+2,7)),1)&lt;=MIN(DATOS!$C$22,INT((DATOS!$C$25+DATOS!$C$24)/(INDEX(TABLAS!$C$52:$C$58,MIN(MATCH(DATOS!$C$21,TABLAS!$B$52:$B$58,0)+2,7))+DATOS!$C$24)))),INDEX(TABLAS!$B$52:$B$58,MIN(MATCH(DATOS!$C$21,TABLAS!$B$52:$B$58,0)+2,7)),IF(AND(BA15&gt;=0,CEILING(BA15/INDEX(TABLAS!$D$52:$D$58,MIN(MATCH(DATOS!$C$21,TABLAS!$B$52:$B$58,0)+3,7)),1)&lt;=MIN(DATOS!$C$22,INT((DATOS!$C$25+DATOS!$C$24)/(INDEX(TABLAS!$C$52:$C$58,MIN(MATCH(DATOS!$C$21,TABLAS!$B$52:$B$58,0)+3,7))+DATOS!$C$24)))),INDEX(TABLAS!$B$52:$B$58,MIN(MATCH(DATOS!$C$21,TABLAS!$B$52:$B$58,0)+3,7)),IF(AND(BA15&gt;=0,CEILING(BA15/INDEX(TABLAS!$D$52:$D$58,MIN(MATCH(DATOS!$C$21,TABLAS!$B$52:$B$58,0)+4,7)),1)&lt;=MIN(DATOS!$C$22,INT((DATOS!$C$25+DATOS!$C$24)/(INDEX(TABLAS!$C$52:$C$58,MIN(MATCH(DATOS!$C$21,TABLAS!$B$52:$B$58,0)+4,7))+DATOS!$C$24)))),INDEX(TABLAS!$B$52:$B$58,MIN(MATCH(DATOS!$C$21,TABLAS!$B$52:$B$58,0)+4,7)),INDEX(TABLAS!$B$52:$B$58,7))))))</f>
        <v>3</v>
      </c>
      <c r="BC15" s="55">
        <f>IF(D15="HUECO",0,IF(BA15&lt;0,0,MAX(1,CEILING(BA15/INDEX(TABLAS!$D$52:$D$58,MATCH(BB15,TABLAS!$B$52:$B$58,0)),1))))</f>
        <v>1</v>
      </c>
      <c r="BD15" s="34">
        <f>IF(BC15=0,0,DATOS!$C$45*BC15*INDEX(TABLAS!$D$52:$D$58,MATCH(BB15,TABLAS!$B$52:$B$58,0))*DATOS!$C$32*((DATOS!$C$15-DATOS!$C$18-INDEX(TABLAS!$C$52:$C$58,MATCH(DATOS!$C$19,TABLAS!$B$52:$B$58,0))-INDEX(TABLAS!$C$52:$C$58,MATCH(BB15,TABLAS!$B$52:$B$58,0))/2)-BC15*INDEX(TABLAS!$D$52:$D$58,MATCH(BB15,TABLAS!$B$52:$B$58,0))*DATOS!$C$32/(DATOS!$C$38*DATOS!$C$13)/2)/1E5)</f>
        <v>0.568518826235294</v>
      </c>
      <c r="BE15" s="59">
        <f>IF(BA15&lt;0,9.99,IF(BD15&gt;0,AK15/BD15,0))</f>
        <v>0.158922539391092</v>
      </c>
      <c r="BF15" s="34">
        <f>IF(D15="PERIMETRAL",MAX(0,(J15/2-DATOS!$C$66/100))*(0.95-0.5*L15)*R15*IF(AND(S15&gt;0,S15&lt;4),DATOS!$C$50,1)*DATOS!$C$16/100/1000,IF(D15="VOLADO",(R15*J15+DATOS!$C$43*AG15)*DATOS!$C$16/100/1000,0))</f>
        <v>0.339739597732273</v>
      </c>
      <c r="BG15" s="34">
        <f>IF(D15="HUECO",0,DATOS!$C$46*IF((AS15*INDEX(TABLAS!$D$52:$D$58,MATCH(AR15,TABLAS!$B$52:$B$58,0))/(DATOS!$C$13*DATOS!$C$67))&lt;0.015,0.2+20*(AS15*INDEX(TABLAS!$D$52:$D$58,MATCH(AR15,TABLAS!$B$52:$B$58,0))/(DATOS!$C$13*DATOS!$C$67)),0.5)*SQRT(DATOS!$C$31)*DATOS!$C$13*DATOS!$C$67*DATOS!$C$49/1000)</f>
        <v>0.687439634849853</v>
      </c>
      <c r="BH15" s="49" t="str">
        <f>IF(D15="HUECO","—",IF(BF15&lt;=BG15,"CUMPLE","MACIZAR "&amp;MAX(1,CEILING(IF(D15="VOLADO",J15,J15/2)*(1-BG15/BF15)*100/DATOS!$C$16,1))&amp;" hilera(s)"))</f>
        <v>CUMPLE</v>
      </c>
      <c r="BI15" s="41">
        <f>IF(D15="PERIMETRAL",(2*(H15+I15)+0.25*(H15*((APOYOS!$G$53="DISCONTINUO")+(APOYOS!$G$54="DISCONTINUO"))+I15*((APOYOS!$G$55="DISCONTINUO")+(APOYOS!$G$56="DISCONTINUO"))))*(J15+MIN(K15,2*J15))/(J15+K15)*100/250*IF(OR(DATOS!$C$47&gt;2520,Q15&gt;380),0.032*(DATOS!$C$47*Q15)^0.25,1),IF(D15="VOLADO",J15*100/8,0))</f>
        <v>5.0971311383094</v>
      </c>
      <c r="BJ15" s="41">
        <f>IF(D15="VOLADO",DATOS!$C$15,DATOS!$C$68)</f>
        <v>13.6082564120244</v>
      </c>
      <c r="BK15" s="50" t="str">
        <f>IF(D15="HUECO","—",IF(BJ15&gt;=BI15,"CUMPLE","NO CUMPLE"))</f>
        <v>CUMPLE</v>
      </c>
      <c r="BL15" s="50" t="str">
        <f>IF(D15="PERIMETRAL",IF(DATOS!$C$16/100&lt;=J15/6,"SÍ","NO: a1 &lt; 6·s"),"—")</f>
        <v>NO: a1 &lt; 6·s</v>
      </c>
      <c r="BM15" s="55">
        <f>MAX(0,INT((F15*100-DATOS!$C$17+DATOS!$C$13)/DATOS!$C$16))</f>
        <v>6</v>
      </c>
      <c r="BN15" s="55">
        <f>MAX(0,INT((G15*100-DATOS!$C$17+DATOS!$C$13)/DATOS!$C$16))</f>
        <v>16</v>
      </c>
      <c r="BO15" s="49" t="str">
        <f>IF(COUNTIFS(TRIB!$C$6:$C$255,B15,TRIB!$K$6:$K$255,"NO CUMPLE*")+COUNTIFS(TRIB!$C$6:$C$255,B15,TRIB!$K$6:$K$255,"SIN APOYO*")&gt;0,"VER PRINCIPALES",IF((APOYOS!$F$53="LIBRE")+(APOYOS!$F$54="LIBRE")+(APOYOS!$F$55="LIBRE")+(APOYOS!$F$56="LIBRE")&gt;0,"REVISAR: borde libre","OK"))</f>
        <v>VER PRINCIPALES</v>
      </c>
      <c r="BP15" s="60" t="str">
        <f>IF(D15="HUECO","HUECO — marco de nervaduras principales",IF(AND(MAX(AP15,AU15,AZ15,BE15)&lt;=1,NOT(OR(AN15&gt;MIN(DATOS!$C$22,INT((DATOS!$C$25+DATOS!$C$24)/(INDEX(TABLAS!$C$52:$C$58,MATCH(AM15,TABLAS!$B$52:$B$58,0))+DATOS!$C$24))),AS15&gt;MIN(DATOS!$C$22,INT((DATOS!$C$25+DATOS!$C$24)/(INDEX(TABLAS!$C$52:$C$58,MATCH(AR15,TABLAS!$B$52:$B$58,0))+DATOS!$C$24))),AX15&gt;MIN(DATOS!$C$22,INT((DATOS!$C$25+DATOS!$C$24)/(INDEX(TABLAS!$C$52:$C$58,MATCH(AW15,TABLAS!$B$52:$B$58,0))+DATOS!$C$24))),BC15&gt;MIN(DATOS!$C$22,INT((DATOS!$C$25+DATOS!$C$24)/(INDEX(TABLAS!$C$52:$C$58,MATCH(BB15,TABLAS!$B$52:$B$58,0))+DATOS!$C$24))))),BK15="CUMPLE"),IF(BO15="OK",IF(BH15="CUMPLE","CUMPLE","CUMPLE — "&amp;BH15),IF(BO15="VER PRINCIPALES","VER PRINCIPALES","REVISAR APOYOS")),"NO CUMPLE: "&amp;IF(MAX(AP15,AU15,AZ15,BE15)&gt;1,"flexión ","")&amp;IF(OR(AN15&gt;MIN(DATOS!$C$22,INT((DATOS!$C$25+DATOS!$C$24)/(INDEX(TABLAS!$C$52:$C$58,MATCH(AM15,TABLAS!$B$52:$B$58,0))+DATOS!$C$24))),AS15&gt;MIN(DATOS!$C$22,INT((DATOS!$C$25+DATOS!$C$24)/(INDEX(TABLAS!$C$52:$C$58,MATCH(AR15,TABLAS!$B$52:$B$58,0))+DATOS!$C$24))),AX15&gt;MIN(DATOS!$C$22,INT((DATOS!$C$25+DATOS!$C$24)/(INDEX(TABLAS!$C$52:$C$58,MATCH(AW15,TABLAS!$B$52:$B$58,0))+DATOS!$C$24))),BC15&gt;MIN(DATOS!$C$22,INT((DATOS!$C$25+DATOS!$C$24)/(INDEX(TABLAS!$C$52:$C$58,MATCH(BB15,TABLAS!$B$52:$B$58,0))+DATOS!$C$24)))),"no caben ","")&amp;IF(BK15&lt;&gt;"CUMPLE","peralte","")))</f>
        <v>VER PRINCIPALES</v>
      </c>
      <c r="BQ15" s="61" t="inlineStr">
        <is>
          <t>Parte x 3.427–5.422, y 14.021–17.446: es la de mayor claro corto. El pasillo de 1.10 m y la llegada de escalera tienen claros menores.</t>
        </is>
      </c>
    </row>
    <row r="16" ht="30" customHeight="1">
      <c r="B16" s="49" t="inlineStr">
        <is>
          <t>F80009 N+3.00</t>
        </is>
      </c>
      <c r="C16" s="50" t="inlineStr">
        <is>
          <t>N+3.00</t>
        </is>
      </c>
      <c r="D16" s="51" t="inlineStr">
        <is>
          <t>PERIMETRAL</t>
        </is>
      </c>
      <c r="E16" s="51" t="inlineStr">
        <is>
          <t>HABITACIÓN</t>
        </is>
      </c>
      <c r="F16" s="52" t="n">
        <v>3.428</v>
      </c>
      <c r="G16" s="52" t="n">
        <v>5.497</v>
      </c>
      <c r="H16" s="53" t="n">
        <v>3.428</v>
      </c>
      <c r="I16" s="53" t="n">
        <v>5.497</v>
      </c>
      <c r="J16" s="34">
        <f>MIN(H16,I16)</f>
        <v>3.428</v>
      </c>
      <c r="K16" s="34">
        <f>MAX(H16,I16)</f>
        <v>5.497</v>
      </c>
      <c r="L16" s="34">
        <f>IF(K16&gt;0,J16/K16,0)</f>
        <v>0.623612879752592</v>
      </c>
      <c r="M16" s="50" t="str">
        <f>IF(H16&lt;=I16,"X","Y")</f>
        <v>X</v>
      </c>
      <c r="N16" s="54" t="n">
        <v>175</v>
      </c>
      <c r="O16" s="55">
        <f>IF(E16="HABITACIÓN",DATOS!$C$76,DATOS!$C$78)</f>
        <v>190</v>
      </c>
      <c r="P16" s="55">
        <f>DATOS!$C$58</f>
        <v>253.673469387755</v>
      </c>
      <c r="Q16" s="55">
        <f>P16+N16+O16</f>
        <v>618.673469387755</v>
      </c>
      <c r="R16" s="56">
        <f>DATOS!$C$43*(P16+N16)+DATOS!$C$44*O16</f>
        <v>842.275510204082</v>
      </c>
      <c r="S16" s="55">
        <f>(APOYOS!$G$57="DISCONTINUO")+(APOYOS!$G$58="DISCONTINUO")+(APOYOS!$G$59="DISCONTINUO")+(APOYOS!$G$60="DISCONTINUO")</f>
        <v>1</v>
      </c>
      <c r="T16" s="55">
        <f>IF(M16="X",(APOYOS!$G$57="DISCONTINUO")+(APOYOS!$G$58="DISCONTINUO"),(APOYOS!$G$59="DISCONTINUO")+(APOYOS!$G$60="DISCONTINUO"))</f>
        <v>0</v>
      </c>
      <c r="U16" s="55">
        <f>S16-T16</f>
        <v>1</v>
      </c>
      <c r="V16" s="50" t="str">
        <f>IF(S16=0,"INTERIOR",IF(S16=1,IF(T16=1,"BORDE-CORTO","BORDE-LARGO"),IF(S16=2,IF(T16=1,"ESQUINA",IF(T16=2,"EXTREMO-LARGO","EXTREMO-CORTO")),IF(S16=3,IF(T16=2,"EXTREMO-LARGO","EXTREMO-CORTO"),"AISLADO"))))</f>
        <v>BORDE-LARGO</v>
      </c>
      <c r="W16" s="51" t="inlineStr">
        <is>
          <t>AUTO</t>
        </is>
      </c>
      <c r="X16" s="57" t="str">
        <f>IF(W16="AUTO",V16,W16)</f>
        <v>BORDE-LARGO</v>
      </c>
      <c r="Y16" s="55">
        <f>MATCH(L16,TABLAS!$D$5:$J$5,1)</f>
        <v>3</v>
      </c>
      <c r="Z16" s="41">
        <f>IF(Y16&gt;=7,0,(L16-INDEX(TABLAS!$D$5:$J$5,Y16))/(INDEX(TABLAS!$D$5:$J$5,Y16+1)-INDEX(TABLAS!$D$5:$J$5,Y16)))</f>
        <v>0.236128797525923</v>
      </c>
      <c r="AA16" s="55">
        <f>INDEX(TABLAS!$D$6:$J$47,MATCH(X16&amp;"|NIC",TABLAS!$B$6:$B$47,0),Y16)+Z16*(INDEX(TABLAS!$D$6:$J$47,MATCH(X16&amp;"|NIC",TABLAS!$B$6:$B$47,0),MIN(Y16+1,7))-INDEX(TABLAS!$D$6:$J$47,MATCH(X16&amp;"|NIC",TABLAS!$B$6:$B$47,0),Y16))</f>
        <v>499.596143350919</v>
      </c>
      <c r="AB16" s="55">
        <f>INDEX(TABLAS!$D$6:$J$47,MATCH(X16&amp;"|NIL",TABLAS!$B$6:$B$47,0),Y16)+Z16*(INDEX(TABLAS!$D$6:$J$47,MATCH(X16&amp;"|NIL",TABLAS!$B$6:$B$47,0),MIN(Y16+1,7))-INDEX(TABLAS!$D$6:$J$47,MATCH(X16&amp;"|NIL",TABLAS!$B$6:$B$47,0),Y16))</f>
        <v>434.680007276696</v>
      </c>
      <c r="AC16" s="55">
        <f>INDEX(TABLAS!$D$6:$J$47,MATCH(X16&amp;"|NDC",TABLAS!$B$6:$B$47,0),Y16)+Z16*(INDEX(TABLAS!$D$6:$J$47,MATCH(X16&amp;"|NDC",TABLAS!$B$6:$B$47,0),MIN(Y16+1,7))-INDEX(TABLAS!$D$6:$J$47,MATCH(X16&amp;"|NDC",TABLAS!$B$6:$B$47,0),Y16))</f>
        <v>312.027105694015</v>
      </c>
      <c r="AD16" s="55">
        <f>INDEX(TABLAS!$D$6:$J$47,MATCH(X16&amp;"|NDL",TABLAS!$B$6:$B$47,0),Y16)+Z16*(INDEX(TABLAS!$D$6:$J$47,MATCH(X16&amp;"|NDL",TABLAS!$B$6:$B$47,0),MIN(Y16+1,7))-INDEX(TABLAS!$D$6:$J$47,MATCH(X16&amp;"|NDL",TABLAS!$B$6:$B$47,0),Y16))</f>
        <v>0</v>
      </c>
      <c r="AE16" s="55">
        <f>INDEX(TABLAS!$D$6:$J$47,MATCH(X16&amp;"|PC",TABLAS!$B$6:$B$47,0),Y16)+Z16*(INDEX(TABLAS!$D$6:$J$47,MATCH(X16&amp;"|PC",TABLAS!$B$6:$B$47,0),MIN(Y16+1,7))-INDEX(TABLAS!$D$6:$J$47,MATCH(X16&amp;"|PC",TABLAS!$B$6:$B$47,0),Y16))</f>
        <v>274.610332908859</v>
      </c>
      <c r="AF16" s="55">
        <f>INDEX(TABLAS!$D$6:$J$47,MATCH(X16&amp;"|PL",TABLAS!$B$6:$B$47,0),Y16)+Z16*(INDEX(TABLAS!$D$6:$J$47,MATCH(X16&amp;"|PL",TABLAS!$B$6:$B$47,0),MIN(Y16+1,7))-INDEX(TABLAS!$D$6:$J$47,MATCH(X16&amp;"|PL",TABLAS!$B$6:$B$47,0),Y16))</f>
        <v>141.055484809896</v>
      </c>
      <c r="AG16" s="58" t="n">
        <v>0</v>
      </c>
      <c r="AH16" s="34">
        <f>IF(D16="PERIMETRAL",AE16*R16*J16^2*1E-4*DATOS!$C$16/100/1000,0)</f>
        <v>0.190261411608934</v>
      </c>
      <c r="AI16" s="34">
        <f>IF(D16="PERIMETRAL",MAX(AA16,AC16)*R16*J16^2*1E-4*DATOS!$C$16/100/1000,IF(D16="VOLADO",(R16*J16^2/2+DATOS!$C$43*AG16*J16)*DATOS!$C$16/100/1000,0))</f>
        <v>0.34614089885639</v>
      </c>
      <c r="AJ16" s="34">
        <f>IF(D16="PERIMETRAL",AF16*R16*J16^2*1E-4*DATOS!$C$16/100/1000,0)</f>
        <v>0.0977290816803332</v>
      </c>
      <c r="AK16" s="34">
        <f>IF(D16="PERIMETRAL",MAX(AB16,AD16)*R16*J16^2*1E-4*DATOS!$C$16/100/1000,0)</f>
        <v>0.301164311286474</v>
      </c>
      <c r="AL16" s="41">
        <f>IF(D16="HUECO",0,IF(AH16&lt;=0,DATOS!$C$71*DATOS!$C$13*DATOS!$C$66,IF((1-2*AH16*1E5/(DATOS!$C$45*DATOS!$C$16*DATOS!$C$66^2*DATOS!$C$38))&lt;0,-1,MAX(DATOS!$C$71*DATOS!$C$13*DATOS!$C$66,(1-SQRT((1-2*AH16*1E5/(DATOS!$C$45*DATOS!$C$16*DATOS!$C$66^2*DATOS!$C$38))))*DATOS!$C$38*DATOS!$C$16*DATOS!$C$66/DATOS!$C$32))))</f>
        <v>0.576720388273208</v>
      </c>
      <c r="AM16" s="39">
        <f>IF(AND(AL16&gt;=0,CEILING(AL16/INDEX(TABLAS!$D$52:$D$58,MIN(MATCH(DATOS!$C$20,TABLAS!$B$52:$B$58,0)+0,7)),1)&lt;=MIN(DATOS!$C$22,INT((DATOS!$C$25+DATOS!$C$24)/(INDEX(TABLAS!$C$52:$C$58,MIN(MATCH(DATOS!$C$20,TABLAS!$B$52:$B$58,0)+0,7))+DATOS!$C$24)))),INDEX(TABLAS!$B$52:$B$58,MIN(MATCH(DATOS!$C$20,TABLAS!$B$52:$B$58,0)+0,7)),IF(AND(AL16&gt;=0,CEILING(AL16/INDEX(TABLAS!$D$52:$D$58,MIN(MATCH(DATOS!$C$20,TABLAS!$B$52:$B$58,0)+1,7)),1)&lt;=MIN(DATOS!$C$22,INT((DATOS!$C$25+DATOS!$C$24)/(INDEX(TABLAS!$C$52:$C$58,MIN(MATCH(DATOS!$C$20,TABLAS!$B$52:$B$58,0)+1,7))+DATOS!$C$24)))),INDEX(TABLAS!$B$52:$B$58,MIN(MATCH(DATOS!$C$20,TABLAS!$B$52:$B$58,0)+1,7)),IF(AND(AL16&gt;=0,CEILING(AL16/INDEX(TABLAS!$D$52:$D$58,MIN(MATCH(DATOS!$C$20,TABLAS!$B$52:$B$58,0)+2,7)),1)&lt;=MIN(DATOS!$C$22,INT((DATOS!$C$25+DATOS!$C$24)/(INDEX(TABLAS!$C$52:$C$58,MIN(MATCH(DATOS!$C$20,TABLAS!$B$52:$B$58,0)+2,7))+DATOS!$C$24)))),INDEX(TABLAS!$B$52:$B$58,MIN(MATCH(DATOS!$C$20,TABLAS!$B$52:$B$58,0)+2,7)),IF(AND(AL16&gt;=0,CEILING(AL16/INDEX(TABLAS!$D$52:$D$58,MIN(MATCH(DATOS!$C$20,TABLAS!$B$52:$B$58,0)+3,7)),1)&lt;=MIN(DATOS!$C$22,INT((DATOS!$C$25+DATOS!$C$24)/(INDEX(TABLAS!$C$52:$C$58,MIN(MATCH(DATOS!$C$20,TABLAS!$B$52:$B$58,0)+3,7))+DATOS!$C$24)))),INDEX(TABLAS!$B$52:$B$58,MIN(MATCH(DATOS!$C$20,TABLAS!$B$52:$B$58,0)+3,7)),IF(AND(AL16&gt;=0,CEILING(AL16/INDEX(TABLAS!$D$52:$D$58,MIN(MATCH(DATOS!$C$20,TABLAS!$B$52:$B$58,0)+4,7)),1)&lt;=MIN(DATOS!$C$22,INT((DATOS!$C$25+DATOS!$C$24)/(INDEX(TABLAS!$C$52:$C$58,MIN(MATCH(DATOS!$C$20,TABLAS!$B$52:$B$58,0)+4,7))+DATOS!$C$24)))),INDEX(TABLAS!$B$52:$B$58,MIN(MATCH(DATOS!$C$20,TABLAS!$B$52:$B$58,0)+4,7)),INDEX(TABLAS!$B$52:$B$58,7))))))</f>
        <v>3</v>
      </c>
      <c r="AN16" s="55">
        <f>IF(D16="HUECO",0,IF(AL16&lt;0,0,MAX(DATOS!$C$23,CEILING(AL16/INDEX(TABLAS!$D$52:$D$58,MATCH(AM16,TABLAS!$B$52:$B$58,0)),1))))</f>
        <v>1</v>
      </c>
      <c r="AO16" s="34">
        <f>IF(AN16=0,0,DATOS!$C$45*AN16*INDEX(TABLAS!$D$52:$D$58,MATCH(AM16,TABLAS!$B$52:$B$58,0))*DATOS!$C$32*((DATOS!$C$15-DATOS!$C$18-INDEX(TABLAS!$C$52:$C$58,MATCH(DATOS!$C$19,TABLAS!$B$52:$B$58,0))-INDEX(TABLAS!$C$52:$C$58,MATCH(AM16,TABLAS!$B$52:$B$58,0))/2)-AN16*INDEX(TABLAS!$D$52:$D$58,MATCH(AM16,TABLAS!$B$52:$B$58,0))*DATOS!$C$32/(DATOS!$C$38*DATOS!$C$16)/2)/1E5)</f>
        <v>0.584659515176471</v>
      </c>
      <c r="AP16" s="59">
        <f>IF(AL16&lt;0,9.99,IF(AO16&gt;0,AH16/AO16,0))</f>
        <v>0.325422586428798</v>
      </c>
      <c r="AQ16" s="41">
        <f>IF(D16="HUECO",0,IF(AI16&lt;=0,DATOS!$C$71*DATOS!$C$13*DATOS!$C$67,IF((1-2*AI16*1E5/(DATOS!$C$45*DATOS!$C$13*DATOS!$C$67^2*DATOS!$C$38))&lt;0,-1,IF((1-SQRT((1-2*AI16*1E5/(DATOS!$C$45*DATOS!$C$13*DATOS!$C$67^2*DATOS!$C$38))))*DATOS!$C$38*DATOS!$C$13*DATOS!$C$67/DATOS!$C$32&gt;DATOS!$C$70*DATOS!$C$13*DATOS!$C$67,-1,MAX(DATOS!$C$71*DATOS!$C$13*DATOS!$C$67,(1-SQRT((1-2*AI16*1E5/(DATOS!$C$45*DATOS!$C$13*DATOS!$C$67^2*DATOS!$C$38))))*DATOS!$C$38*DATOS!$C$13*DATOS!$C$67/DATOS!$C$32)))))</f>
        <v>0.576720388273208</v>
      </c>
      <c r="AR16" s="39">
        <f>IF(AND(AQ16&gt;=0,CEILING(AQ16/INDEX(TABLAS!$D$52:$D$58,MIN(MATCH(DATOS!$C$21,TABLAS!$B$52:$B$58,0)+0,7)),1)&lt;=MIN(DATOS!$C$22,INT((DATOS!$C$25+DATOS!$C$24)/(INDEX(TABLAS!$C$52:$C$58,MIN(MATCH(DATOS!$C$21,TABLAS!$B$52:$B$58,0)+0,7))+DATOS!$C$24)))),INDEX(TABLAS!$B$52:$B$58,MIN(MATCH(DATOS!$C$21,TABLAS!$B$52:$B$58,0)+0,7)),IF(AND(AQ16&gt;=0,CEILING(AQ16/INDEX(TABLAS!$D$52:$D$58,MIN(MATCH(DATOS!$C$21,TABLAS!$B$52:$B$58,0)+1,7)),1)&lt;=MIN(DATOS!$C$22,INT((DATOS!$C$25+DATOS!$C$24)/(INDEX(TABLAS!$C$52:$C$58,MIN(MATCH(DATOS!$C$21,TABLAS!$B$52:$B$58,0)+1,7))+DATOS!$C$24)))),INDEX(TABLAS!$B$52:$B$58,MIN(MATCH(DATOS!$C$21,TABLAS!$B$52:$B$58,0)+1,7)),IF(AND(AQ16&gt;=0,CEILING(AQ16/INDEX(TABLAS!$D$52:$D$58,MIN(MATCH(DATOS!$C$21,TABLAS!$B$52:$B$58,0)+2,7)),1)&lt;=MIN(DATOS!$C$22,INT((DATOS!$C$25+DATOS!$C$24)/(INDEX(TABLAS!$C$52:$C$58,MIN(MATCH(DATOS!$C$21,TABLAS!$B$52:$B$58,0)+2,7))+DATOS!$C$24)))),INDEX(TABLAS!$B$52:$B$58,MIN(MATCH(DATOS!$C$21,TABLAS!$B$52:$B$58,0)+2,7)),IF(AND(AQ16&gt;=0,CEILING(AQ16/INDEX(TABLAS!$D$52:$D$58,MIN(MATCH(DATOS!$C$21,TABLAS!$B$52:$B$58,0)+3,7)),1)&lt;=MIN(DATOS!$C$22,INT((DATOS!$C$25+DATOS!$C$24)/(INDEX(TABLAS!$C$52:$C$58,MIN(MATCH(DATOS!$C$21,TABLAS!$B$52:$B$58,0)+3,7))+DATOS!$C$24)))),INDEX(TABLAS!$B$52:$B$58,MIN(MATCH(DATOS!$C$21,TABLAS!$B$52:$B$58,0)+3,7)),IF(AND(AQ16&gt;=0,CEILING(AQ16/INDEX(TABLAS!$D$52:$D$58,MIN(MATCH(DATOS!$C$21,TABLAS!$B$52:$B$58,0)+4,7)),1)&lt;=MIN(DATOS!$C$22,INT((DATOS!$C$25+DATOS!$C$24)/(INDEX(TABLAS!$C$52:$C$58,MIN(MATCH(DATOS!$C$21,TABLAS!$B$52:$B$58,0)+4,7))+DATOS!$C$24)))),INDEX(TABLAS!$B$52:$B$58,MIN(MATCH(DATOS!$C$21,TABLAS!$B$52:$B$58,0)+4,7)),INDEX(TABLAS!$B$52:$B$58,7))))))</f>
        <v>3</v>
      </c>
      <c r="AS16" s="55">
        <f>IF(D16="HUECO",0,IF(AQ16&lt;0,0,MAX(1,CEILING(AQ16/INDEX(TABLAS!$D$52:$D$58,MATCH(AR16,TABLAS!$B$52:$B$58,0)),1))))</f>
        <v>1</v>
      </c>
      <c r="AT16" s="34">
        <f>IF(AS16=0,0,DATOS!$C$45*AS16*INDEX(TABLAS!$D$52:$D$58,MATCH(AR16,TABLAS!$B$52:$B$58,0))*DATOS!$C$32*((DATOS!$C$15-DATOS!$C$18-INDEX(TABLAS!$C$52:$C$58,MATCH(DATOS!$C$19,TABLAS!$B$52:$B$58,0))-INDEX(TABLAS!$C$52:$C$58,MATCH(AR16,TABLAS!$B$52:$B$58,0))/2)-AS16*INDEX(TABLAS!$D$52:$D$58,MATCH(AR16,TABLAS!$B$52:$B$58,0))*DATOS!$C$32/(DATOS!$C$38*DATOS!$C$13)/2)/1E5)</f>
        <v>0.568518826235294</v>
      </c>
      <c r="AU16" s="59">
        <f>IF(AQ16&lt;0,9.99,IF(AT16&gt;0,AI16/AT16,0))</f>
        <v>0.608846854111269</v>
      </c>
      <c r="AV16" s="41">
        <f>IF(D16="HUECO",0,IF(AJ16&lt;=0,DATOS!$C$71*DATOS!$C$13*DATOS!$C$66,IF((1-2*AJ16*1E5/(DATOS!$C$45*DATOS!$C$16*DATOS!$C$66^2*DATOS!$C$38))&lt;0,-1,MAX(DATOS!$C$71*DATOS!$C$13*DATOS!$C$66,(1-SQRT((1-2*AJ16*1E5/(DATOS!$C$45*DATOS!$C$16*DATOS!$C$66^2*DATOS!$C$38))))*DATOS!$C$38*DATOS!$C$16*DATOS!$C$66/DATOS!$C$32))))</f>
        <v>0.576720388273208</v>
      </c>
      <c r="AW16" s="39">
        <f>IF(AND(AV16&gt;=0,CEILING(AV16/INDEX(TABLAS!$D$52:$D$58,MIN(MATCH(DATOS!$C$20,TABLAS!$B$52:$B$58,0)+0,7)),1)&lt;=MIN(DATOS!$C$22,INT((DATOS!$C$25+DATOS!$C$24)/(INDEX(TABLAS!$C$52:$C$58,MIN(MATCH(DATOS!$C$20,TABLAS!$B$52:$B$58,0)+0,7))+DATOS!$C$24)))),INDEX(TABLAS!$B$52:$B$58,MIN(MATCH(DATOS!$C$20,TABLAS!$B$52:$B$58,0)+0,7)),IF(AND(AV16&gt;=0,CEILING(AV16/INDEX(TABLAS!$D$52:$D$58,MIN(MATCH(DATOS!$C$20,TABLAS!$B$52:$B$58,0)+1,7)),1)&lt;=MIN(DATOS!$C$22,INT((DATOS!$C$25+DATOS!$C$24)/(INDEX(TABLAS!$C$52:$C$58,MIN(MATCH(DATOS!$C$20,TABLAS!$B$52:$B$58,0)+1,7))+DATOS!$C$24)))),INDEX(TABLAS!$B$52:$B$58,MIN(MATCH(DATOS!$C$20,TABLAS!$B$52:$B$58,0)+1,7)),IF(AND(AV16&gt;=0,CEILING(AV16/INDEX(TABLAS!$D$52:$D$58,MIN(MATCH(DATOS!$C$20,TABLAS!$B$52:$B$58,0)+2,7)),1)&lt;=MIN(DATOS!$C$22,INT((DATOS!$C$25+DATOS!$C$24)/(INDEX(TABLAS!$C$52:$C$58,MIN(MATCH(DATOS!$C$20,TABLAS!$B$52:$B$58,0)+2,7))+DATOS!$C$24)))),INDEX(TABLAS!$B$52:$B$58,MIN(MATCH(DATOS!$C$20,TABLAS!$B$52:$B$58,0)+2,7)),IF(AND(AV16&gt;=0,CEILING(AV16/INDEX(TABLAS!$D$52:$D$58,MIN(MATCH(DATOS!$C$20,TABLAS!$B$52:$B$58,0)+3,7)),1)&lt;=MIN(DATOS!$C$22,INT((DATOS!$C$25+DATOS!$C$24)/(INDEX(TABLAS!$C$52:$C$58,MIN(MATCH(DATOS!$C$20,TABLAS!$B$52:$B$58,0)+3,7))+DATOS!$C$24)))),INDEX(TABLAS!$B$52:$B$58,MIN(MATCH(DATOS!$C$20,TABLAS!$B$52:$B$58,0)+3,7)),IF(AND(AV16&gt;=0,CEILING(AV16/INDEX(TABLAS!$D$52:$D$58,MIN(MATCH(DATOS!$C$20,TABLAS!$B$52:$B$58,0)+4,7)),1)&lt;=MIN(DATOS!$C$22,INT((DATOS!$C$25+DATOS!$C$24)/(INDEX(TABLAS!$C$52:$C$58,MIN(MATCH(DATOS!$C$20,TABLAS!$B$52:$B$58,0)+4,7))+DATOS!$C$24)))),INDEX(TABLAS!$B$52:$B$58,MIN(MATCH(DATOS!$C$20,TABLAS!$B$52:$B$58,0)+4,7)),INDEX(TABLAS!$B$52:$B$58,7))))))</f>
        <v>3</v>
      </c>
      <c r="AX16" s="55">
        <f>IF(D16="HUECO",0,IF(AV16&lt;0,0,MAX(DATOS!$C$23,CEILING(AV16/INDEX(TABLAS!$D$52:$D$58,MATCH(AW16,TABLAS!$B$52:$B$58,0)),1))))</f>
        <v>1</v>
      </c>
      <c r="AY16" s="34">
        <f>IF(AX16=0,0,DATOS!$C$45*AX16*INDEX(TABLAS!$D$52:$D$58,MATCH(AW16,TABLAS!$B$52:$B$58,0))*DATOS!$C$32*((DATOS!$C$15-DATOS!$C$18-INDEX(TABLAS!$C$52:$C$58,MATCH(DATOS!$C$19,TABLAS!$B$52:$B$58,0))-INDEX(TABLAS!$C$52:$C$58,MATCH(AW16,TABLAS!$B$52:$B$58,0))/2)-AX16*INDEX(TABLAS!$D$52:$D$58,MATCH(AW16,TABLAS!$B$52:$B$58,0))*DATOS!$C$32/(DATOS!$C$38*DATOS!$C$16)/2)/1E5)</f>
        <v>0.584659515176471</v>
      </c>
      <c r="AZ16" s="59">
        <f>IF(AV16&lt;0,9.99,IF(AY16&gt;0,AJ16/AY16,0))</f>
        <v>0.1671555480472</v>
      </c>
      <c r="BA16" s="41">
        <f>IF(D16="HUECO",0,IF(AK16&lt;=0,DATOS!$C$71*DATOS!$C$13*DATOS!$C$67,IF((1-2*AK16*1E5/(DATOS!$C$45*DATOS!$C$13*DATOS!$C$67^2*DATOS!$C$38))&lt;0,-1,IF((1-SQRT((1-2*AK16*1E5/(DATOS!$C$45*DATOS!$C$13*DATOS!$C$67^2*DATOS!$C$38))))*DATOS!$C$38*DATOS!$C$13*DATOS!$C$67/DATOS!$C$32&gt;DATOS!$C$70*DATOS!$C$13*DATOS!$C$67,-1,MAX(DATOS!$C$71*DATOS!$C$13*DATOS!$C$67,(1-SQRT((1-2*AK16*1E5/(DATOS!$C$45*DATOS!$C$13*DATOS!$C$67^2*DATOS!$C$38))))*DATOS!$C$38*DATOS!$C$13*DATOS!$C$67/DATOS!$C$32)))))</f>
        <v>0.576720388273208</v>
      </c>
      <c r="BB16" s="39">
        <f>IF(AND(BA16&gt;=0,CEILING(BA16/INDEX(TABLAS!$D$52:$D$58,MIN(MATCH(DATOS!$C$21,TABLAS!$B$52:$B$58,0)+0,7)),1)&lt;=MIN(DATOS!$C$22,INT((DATOS!$C$25+DATOS!$C$24)/(INDEX(TABLAS!$C$52:$C$58,MIN(MATCH(DATOS!$C$21,TABLAS!$B$52:$B$58,0)+0,7))+DATOS!$C$24)))),INDEX(TABLAS!$B$52:$B$58,MIN(MATCH(DATOS!$C$21,TABLAS!$B$52:$B$58,0)+0,7)),IF(AND(BA16&gt;=0,CEILING(BA16/INDEX(TABLAS!$D$52:$D$58,MIN(MATCH(DATOS!$C$21,TABLAS!$B$52:$B$58,0)+1,7)),1)&lt;=MIN(DATOS!$C$22,INT((DATOS!$C$25+DATOS!$C$24)/(INDEX(TABLAS!$C$52:$C$58,MIN(MATCH(DATOS!$C$21,TABLAS!$B$52:$B$58,0)+1,7))+DATOS!$C$24)))),INDEX(TABLAS!$B$52:$B$58,MIN(MATCH(DATOS!$C$21,TABLAS!$B$52:$B$58,0)+1,7)),IF(AND(BA16&gt;=0,CEILING(BA16/INDEX(TABLAS!$D$52:$D$58,MIN(MATCH(DATOS!$C$21,TABLAS!$B$52:$B$58,0)+2,7)),1)&lt;=MIN(DATOS!$C$22,INT((DATOS!$C$25+DATOS!$C$24)/(INDEX(TABLAS!$C$52:$C$58,MIN(MATCH(DATOS!$C$21,TABLAS!$B$52:$B$58,0)+2,7))+DATOS!$C$24)))),INDEX(TABLAS!$B$52:$B$58,MIN(MATCH(DATOS!$C$21,TABLAS!$B$52:$B$58,0)+2,7)),IF(AND(BA16&gt;=0,CEILING(BA16/INDEX(TABLAS!$D$52:$D$58,MIN(MATCH(DATOS!$C$21,TABLAS!$B$52:$B$58,0)+3,7)),1)&lt;=MIN(DATOS!$C$22,INT((DATOS!$C$25+DATOS!$C$24)/(INDEX(TABLAS!$C$52:$C$58,MIN(MATCH(DATOS!$C$21,TABLAS!$B$52:$B$58,0)+3,7))+DATOS!$C$24)))),INDEX(TABLAS!$B$52:$B$58,MIN(MATCH(DATOS!$C$21,TABLAS!$B$52:$B$58,0)+3,7)),IF(AND(BA16&gt;=0,CEILING(BA16/INDEX(TABLAS!$D$52:$D$58,MIN(MATCH(DATOS!$C$21,TABLAS!$B$52:$B$58,0)+4,7)),1)&lt;=MIN(DATOS!$C$22,INT((DATOS!$C$25+DATOS!$C$24)/(INDEX(TABLAS!$C$52:$C$58,MIN(MATCH(DATOS!$C$21,TABLAS!$B$52:$B$58,0)+4,7))+DATOS!$C$24)))),INDEX(TABLAS!$B$52:$B$58,MIN(MATCH(DATOS!$C$21,TABLAS!$B$52:$B$58,0)+4,7)),INDEX(TABLAS!$B$52:$B$58,7))))))</f>
        <v>3</v>
      </c>
      <c r="BC16" s="55">
        <f>IF(D16="HUECO",0,IF(BA16&lt;0,0,MAX(1,CEILING(BA16/INDEX(TABLAS!$D$52:$D$58,MATCH(BB16,TABLAS!$B$52:$B$58,0)),1))))</f>
        <v>1</v>
      </c>
      <c r="BD16" s="34">
        <f>IF(BC16=0,0,DATOS!$C$45*BC16*INDEX(TABLAS!$D$52:$D$58,MATCH(BB16,TABLAS!$B$52:$B$58,0))*DATOS!$C$32*((DATOS!$C$15-DATOS!$C$18-INDEX(TABLAS!$C$52:$C$58,MATCH(DATOS!$C$19,TABLAS!$B$52:$B$58,0))-INDEX(TABLAS!$C$52:$C$58,MATCH(BB16,TABLAS!$B$52:$B$58,0))/2)-BC16*INDEX(TABLAS!$D$52:$D$58,MATCH(BB16,TABLAS!$B$52:$B$58,0))*DATOS!$C$32/(DATOS!$C$38*DATOS!$C$13)/2)/1E5)</f>
        <v>0.568518826235294</v>
      </c>
      <c r="BE16" s="59">
        <f>IF(BA16&lt;0,9.99,IF(BD16&gt;0,AK16/BD16,0))</f>
        <v>0.529734983941992</v>
      </c>
      <c r="BF16" s="34">
        <f>IF(D16="PERIMETRAL",MAX(0,(J16/2-DATOS!$C$66/100))*(0.95-0.5*L16)*R16*IF(AND(S16&gt;0,S16&lt;4),DATOS!$C$50,1)*DATOS!$C$16/100/1000,IF(D16="VOLADO",(R16*J16+DATOS!$C$43*AG16)*DATOS!$C$16/100/1000,0))</f>
        <v>0.646974608534919</v>
      </c>
      <c r="BG16" s="34">
        <f>IF(D16="HUECO",0,DATOS!$C$46*IF((AS16*INDEX(TABLAS!$D$52:$D$58,MATCH(AR16,TABLAS!$B$52:$B$58,0))/(DATOS!$C$13*DATOS!$C$67))&lt;0.015,0.2+20*(AS16*INDEX(TABLAS!$D$52:$D$58,MATCH(AR16,TABLAS!$B$52:$B$58,0))/(DATOS!$C$13*DATOS!$C$67)),0.5)*SQRT(DATOS!$C$31)*DATOS!$C$13*DATOS!$C$67*DATOS!$C$49/1000)</f>
        <v>0.687439634849853</v>
      </c>
      <c r="BH16" s="49" t="str">
        <f>IF(D16="HUECO","—",IF(BF16&lt;=BG16,"CUMPLE","MACIZAR "&amp;MAX(1,CEILING(IF(D16="VOLADO",J16,J16/2)*(1-BG16/BF16)*100/DATOS!$C$16,1))&amp;" hilera(s)"))</f>
        <v>CUMPLE</v>
      </c>
      <c r="BI16" s="41">
        <f>IF(D16="PERIMETRAL",(2*(H16+I16)+0.25*(H16*((APOYOS!$G$57="DISCONTINUO")+(APOYOS!$G$58="DISCONTINUO"))+I16*((APOYOS!$G$59="DISCONTINUO")+(APOYOS!$G$60="DISCONTINUO"))))*(J16+MIN(K16,2*J16))/(J16+K16)*100/250*IF(OR(DATOS!$C$47&gt;2520,Q16&gt;380),0.032*(DATOS!$C$47*Q16)^0.25,1),IF(D16="VOLADO",J16*100/8,0))</f>
        <v>8.69510605607967</v>
      </c>
      <c r="BJ16" s="41">
        <f>IF(D16="VOLADO",DATOS!$C$15,DATOS!$C$68)</f>
        <v>13.6082564120244</v>
      </c>
      <c r="BK16" s="50" t="str">
        <f>IF(D16="HUECO","—",IF(BJ16&gt;=BI16,"CUMPLE","NO CUMPLE"))</f>
        <v>CUMPLE</v>
      </c>
      <c r="BL16" s="50" t="str">
        <f>IF(D16="PERIMETRAL",IF(DATOS!$C$16/100&lt;=J16/6,"SÍ","NO: a1 &lt; 6·s"),"—")</f>
        <v>NO: a1 &lt; 6·s</v>
      </c>
      <c r="BM16" s="55">
        <f>MAX(0,INT((F16*100-DATOS!$C$17+DATOS!$C$13)/DATOS!$C$16))</f>
        <v>4</v>
      </c>
      <c r="BN16" s="55">
        <f>MAX(0,INT((G16*100-DATOS!$C$17+DATOS!$C$13)/DATOS!$C$16))</f>
        <v>7</v>
      </c>
      <c r="BO16" s="49" t="str">
        <f>IF(COUNTIFS(TRIB!$C$6:$C$255,B16,TRIB!$K$6:$K$255,"NO CUMPLE*")+COUNTIFS(TRIB!$C$6:$C$255,B16,TRIB!$K$6:$K$255,"SIN APOYO*")&gt;0,"VER PRINCIPALES",IF((APOYOS!$F$57="LIBRE")+(APOYOS!$F$58="LIBRE")+(APOYOS!$F$59="LIBRE")+(APOYOS!$F$60="LIBRE")&gt;0,"REVISAR: borde libre","OK"))</f>
        <v>VER PRINCIPALES</v>
      </c>
      <c r="BP16" s="60" t="str">
        <f>IF(D16="HUECO","HUECO — marco de nervaduras principales",IF(AND(MAX(AP16,AU16,AZ16,BE16)&lt;=1,NOT(OR(AN16&gt;MIN(DATOS!$C$22,INT((DATOS!$C$25+DATOS!$C$24)/(INDEX(TABLAS!$C$52:$C$58,MATCH(AM16,TABLAS!$B$52:$B$58,0))+DATOS!$C$24))),AS16&gt;MIN(DATOS!$C$22,INT((DATOS!$C$25+DATOS!$C$24)/(INDEX(TABLAS!$C$52:$C$58,MATCH(AR16,TABLAS!$B$52:$B$58,0))+DATOS!$C$24))),AX16&gt;MIN(DATOS!$C$22,INT((DATOS!$C$25+DATOS!$C$24)/(INDEX(TABLAS!$C$52:$C$58,MATCH(AW16,TABLAS!$B$52:$B$58,0))+DATOS!$C$24))),BC16&gt;MIN(DATOS!$C$22,INT((DATOS!$C$25+DATOS!$C$24)/(INDEX(TABLAS!$C$52:$C$58,MATCH(BB16,TABLAS!$B$52:$B$58,0))+DATOS!$C$24))))),BK16="CUMPLE"),IF(BO16="OK",IF(BH16="CUMPLE","CUMPLE","CUMPLE — "&amp;BH16),IF(BO16="VER PRINCIPALES","VER PRINCIPALES","REVISAR APOYOS")),"NO CUMPLE: "&amp;IF(MAX(AP16,AU16,AZ16,BE16)&gt;1,"flexión ","")&amp;IF(OR(AN16&gt;MIN(DATOS!$C$22,INT((DATOS!$C$25+DATOS!$C$24)/(INDEX(TABLAS!$C$52:$C$58,MATCH(AM16,TABLAS!$B$52:$B$58,0))+DATOS!$C$24))),AS16&gt;MIN(DATOS!$C$22,INT((DATOS!$C$25+DATOS!$C$24)/(INDEX(TABLAS!$C$52:$C$58,MATCH(AR16,TABLAS!$B$52:$B$58,0))+DATOS!$C$24))),AX16&gt;MIN(DATOS!$C$22,INT((DATOS!$C$25+DATOS!$C$24)/(INDEX(TABLAS!$C$52:$C$58,MATCH(AW16,TABLAS!$B$52:$B$58,0))+DATOS!$C$24))),BC16&gt;MIN(DATOS!$C$22,INT((DATOS!$C$25+DATOS!$C$24)/(INDEX(TABLAS!$C$52:$C$58,MATCH(BB16,TABLAS!$B$52:$B$58,0))+DATOS!$C$24)))),"no caben ","")&amp;IF(BK16&lt;&gt;"CUMPLE","peralte","")))</f>
        <v>VER PRINCIPALES</v>
      </c>
      <c r="BQ16" s="61" t="inlineStr">
        <is>
          <t>—</t>
        </is>
      </c>
    </row>
    <row r="17" ht="30" customHeight="1">
      <c r="B17" s="49" t="inlineStr">
        <is>
          <t>F80010 N+3.00</t>
        </is>
      </c>
      <c r="C17" s="50" t="inlineStr">
        <is>
          <t>N+3.00</t>
        </is>
      </c>
      <c r="D17" s="51" t="inlineStr">
        <is>
          <t>PERIMETRAL</t>
        </is>
      </c>
      <c r="E17" s="51" t="inlineStr">
        <is>
          <t>HABITACIÓN</t>
        </is>
      </c>
      <c r="F17" s="52" t="n">
        <v>3.427</v>
      </c>
      <c r="G17" s="52" t="n">
        <v>1.825</v>
      </c>
      <c r="H17" s="53" t="n">
        <v>3.427</v>
      </c>
      <c r="I17" s="53" t="n">
        <v>1.825</v>
      </c>
      <c r="J17" s="34">
        <f>MIN(H17,I17)</f>
        <v>1.825</v>
      </c>
      <c r="K17" s="34">
        <f>MAX(H17,I17)</f>
        <v>3.427</v>
      </c>
      <c r="L17" s="34">
        <f>IF(K17&gt;0,J17/K17,0)</f>
        <v>0.532535745550044</v>
      </c>
      <c r="M17" s="50" t="str">
        <f>IF(H17&lt;=I17,"X","Y")</f>
        <v>Y</v>
      </c>
      <c r="N17" s="54" t="n">
        <v>240</v>
      </c>
      <c r="O17" s="55">
        <f>IF(E17="HABITACIÓN",DATOS!$C$76,DATOS!$C$78)</f>
        <v>190</v>
      </c>
      <c r="P17" s="55">
        <f>DATOS!$C$58</f>
        <v>253.673469387755</v>
      </c>
      <c r="Q17" s="55">
        <f>P17+N17+O17</f>
        <v>683.673469387755</v>
      </c>
      <c r="R17" s="56">
        <f>DATOS!$C$43*(P17+N17)+DATOS!$C$44*O17</f>
        <v>926.775510204082</v>
      </c>
      <c r="S17" s="55">
        <f>(APOYOS!$G$61="DISCONTINUO")+(APOYOS!$G$62="DISCONTINUO")+(APOYOS!$G$63="DISCONTINUO")+(APOYOS!$G$64="DISCONTINUO")</f>
        <v>1</v>
      </c>
      <c r="T17" s="55">
        <f>IF(M17="X",(APOYOS!$G$61="DISCONTINUO")+(APOYOS!$G$62="DISCONTINUO"),(APOYOS!$G$63="DISCONTINUO")+(APOYOS!$G$64="DISCONTINUO"))</f>
        <v>0</v>
      </c>
      <c r="U17" s="55">
        <f>S17-T17</f>
        <v>1</v>
      </c>
      <c r="V17" s="50" t="str">
        <f>IF(S17=0,"INTERIOR",IF(S17=1,IF(T17=1,"BORDE-CORTO","BORDE-LARGO"),IF(S17=2,IF(T17=1,"ESQUINA",IF(T17=2,"EXTREMO-LARGO","EXTREMO-CORTO")),IF(S17=3,IF(T17=2,"EXTREMO-LARGO","EXTREMO-CORTO"),"AISLADO"))))</f>
        <v>BORDE-LARGO</v>
      </c>
      <c r="W17" s="51" t="inlineStr">
        <is>
          <t>AUTO</t>
        </is>
      </c>
      <c r="X17" s="57" t="str">
        <f>IF(W17="AUTO",V17,W17)</f>
        <v>BORDE-LARGO</v>
      </c>
      <c r="Y17" s="55">
        <f>MATCH(L17,TABLAS!$D$5:$J$5,1)</f>
        <v>2</v>
      </c>
      <c r="Z17" s="41">
        <f>IF(Y17&gt;=7,0,(L17-INDEX(TABLAS!$D$5:$J$5,Y17))/(INDEX(TABLAS!$D$5:$J$5,Y17+1)-INDEX(TABLAS!$D$5:$J$5,Y17)))</f>
        <v>0.325357455500438</v>
      </c>
      <c r="AA17" s="55">
        <f>INDEX(TABLAS!$D$6:$J$47,MATCH(X17&amp;"|NIC",TABLAS!$B$6:$B$47,0),Y17)+Z17*(INDEX(TABLAS!$D$6:$J$47,MATCH(X17&amp;"|NIC",TABLAS!$B$6:$B$47,0),MIN(Y17+1,7))-INDEX(TABLAS!$D$6:$J$47,MATCH(X17&amp;"|NIC",TABLAS!$B$6:$B$47,0),Y17))</f>
        <v>560.55033557047</v>
      </c>
      <c r="AB17" s="55">
        <f>INDEX(TABLAS!$D$6:$J$47,MATCH(X17&amp;"|NIL",TABLAS!$B$6:$B$47,0),Y17)+Z17*(INDEX(TABLAS!$D$6:$J$47,MATCH(X17&amp;"|NIL",TABLAS!$B$6:$B$47,0),MIN(Y17+1,7))-INDEX(TABLAS!$D$6:$J$47,MATCH(X17&amp;"|NIL",TABLAS!$B$6:$B$47,0),Y17))</f>
        <v>457.51677852349</v>
      </c>
      <c r="AC17" s="55">
        <f>INDEX(TABLAS!$D$6:$J$47,MATCH(X17&amp;"|NDC",TABLAS!$B$6:$B$47,0),Y17)+Z17*(INDEX(TABLAS!$D$6:$J$47,MATCH(X17&amp;"|NDC",TABLAS!$B$6:$B$47,0),MIN(Y17+1,7))-INDEX(TABLAS!$D$6:$J$47,MATCH(X17&amp;"|NDC",TABLAS!$B$6:$B$47,0),Y17))</f>
        <v>348.660344324482</v>
      </c>
      <c r="AD17" s="55">
        <f>INDEX(TABLAS!$D$6:$J$47,MATCH(X17&amp;"|NDL",TABLAS!$B$6:$B$47,0),Y17)+Z17*(INDEX(TABLAS!$D$6:$J$47,MATCH(X17&amp;"|NDL",TABLAS!$B$6:$B$47,0),MIN(Y17+1,7))-INDEX(TABLAS!$D$6:$J$47,MATCH(X17&amp;"|NDL",TABLAS!$B$6:$B$47,0),Y17))</f>
        <v>0</v>
      </c>
      <c r="AE17" s="55">
        <f>INDEX(TABLAS!$D$6:$J$47,MATCH(X17&amp;"|PC",TABLAS!$B$6:$B$47,0),Y17)+Z17*(INDEX(TABLAS!$D$6:$J$47,MATCH(X17&amp;"|PC",TABLAS!$B$6:$B$47,0),MIN(Y17+1,7))-INDEX(TABLAS!$D$6:$J$47,MATCH(X17&amp;"|PC",TABLAS!$B$6:$B$47,0),Y17))</f>
        <v>318.057484680479</v>
      </c>
      <c r="AF17" s="55">
        <f>INDEX(TABLAS!$D$6:$J$47,MATCH(X17&amp;"|PL",TABLAS!$B$6:$B$47,0),Y17)+Z17*(INDEX(TABLAS!$D$6:$J$47,MATCH(X17&amp;"|PL",TABLAS!$B$6:$B$47,0),MIN(Y17+1,7))-INDEX(TABLAS!$D$6:$J$47,MATCH(X17&amp;"|PL",TABLAS!$B$6:$B$47,0),Y17))</f>
        <v>145.373212722498</v>
      </c>
      <c r="AG17" s="58" t="n">
        <v>0</v>
      </c>
      <c r="AH17" s="34">
        <f>IF(D17="PERIMETRAL",AE17*R17*J17^2*1E-4*DATOS!$C$16/100/1000,0)</f>
        <v>0.0687232907037298</v>
      </c>
      <c r="AI17" s="34">
        <f>IF(D17="PERIMETRAL",MAX(AA17,AC17)*R17*J17^2*1E-4*DATOS!$C$16/100/1000,IF(D17="VOLADO",(R17*J17^2/2+DATOS!$C$43*AG17*J17)*DATOS!$C$16/100/1000,0))</f>
        <v>0.121119186062176</v>
      </c>
      <c r="AJ17" s="34">
        <f>IF(D17="PERIMETRAL",AF17*R17*J17^2*1E-4*DATOS!$C$16/100/1000,0)</f>
        <v>0.0314110688780045</v>
      </c>
      <c r="AK17" s="34">
        <f>IF(D17="PERIMETRAL",MAX(AB17,AD17)*R17*J17^2*1E-4*DATOS!$C$16/100/1000,0)</f>
        <v>0.0988565277873921</v>
      </c>
      <c r="AL17" s="41">
        <f>IF(D17="HUECO",0,IF(AH17&lt;=0,DATOS!$C$71*DATOS!$C$13*DATOS!$C$66,IF((1-2*AH17*1E5/(DATOS!$C$45*DATOS!$C$16*DATOS!$C$66^2*DATOS!$C$38))&lt;0,-1,MAX(DATOS!$C$71*DATOS!$C$13*DATOS!$C$66,(1-SQRT((1-2*AH17*1E5/(DATOS!$C$45*DATOS!$C$16*DATOS!$C$66^2*DATOS!$C$38))))*DATOS!$C$38*DATOS!$C$16*DATOS!$C$66/DATOS!$C$32))))</f>
        <v>0.576720388273208</v>
      </c>
      <c r="AM17" s="39">
        <f>IF(AND(AL17&gt;=0,CEILING(AL17/INDEX(TABLAS!$D$52:$D$58,MIN(MATCH(DATOS!$C$20,TABLAS!$B$52:$B$58,0)+0,7)),1)&lt;=MIN(DATOS!$C$22,INT((DATOS!$C$25+DATOS!$C$24)/(INDEX(TABLAS!$C$52:$C$58,MIN(MATCH(DATOS!$C$20,TABLAS!$B$52:$B$58,0)+0,7))+DATOS!$C$24)))),INDEX(TABLAS!$B$52:$B$58,MIN(MATCH(DATOS!$C$20,TABLAS!$B$52:$B$58,0)+0,7)),IF(AND(AL17&gt;=0,CEILING(AL17/INDEX(TABLAS!$D$52:$D$58,MIN(MATCH(DATOS!$C$20,TABLAS!$B$52:$B$58,0)+1,7)),1)&lt;=MIN(DATOS!$C$22,INT((DATOS!$C$25+DATOS!$C$24)/(INDEX(TABLAS!$C$52:$C$58,MIN(MATCH(DATOS!$C$20,TABLAS!$B$52:$B$58,0)+1,7))+DATOS!$C$24)))),INDEX(TABLAS!$B$52:$B$58,MIN(MATCH(DATOS!$C$20,TABLAS!$B$52:$B$58,0)+1,7)),IF(AND(AL17&gt;=0,CEILING(AL17/INDEX(TABLAS!$D$52:$D$58,MIN(MATCH(DATOS!$C$20,TABLAS!$B$52:$B$58,0)+2,7)),1)&lt;=MIN(DATOS!$C$22,INT((DATOS!$C$25+DATOS!$C$24)/(INDEX(TABLAS!$C$52:$C$58,MIN(MATCH(DATOS!$C$20,TABLAS!$B$52:$B$58,0)+2,7))+DATOS!$C$24)))),INDEX(TABLAS!$B$52:$B$58,MIN(MATCH(DATOS!$C$20,TABLAS!$B$52:$B$58,0)+2,7)),IF(AND(AL17&gt;=0,CEILING(AL17/INDEX(TABLAS!$D$52:$D$58,MIN(MATCH(DATOS!$C$20,TABLAS!$B$52:$B$58,0)+3,7)),1)&lt;=MIN(DATOS!$C$22,INT((DATOS!$C$25+DATOS!$C$24)/(INDEX(TABLAS!$C$52:$C$58,MIN(MATCH(DATOS!$C$20,TABLAS!$B$52:$B$58,0)+3,7))+DATOS!$C$24)))),INDEX(TABLAS!$B$52:$B$58,MIN(MATCH(DATOS!$C$20,TABLAS!$B$52:$B$58,0)+3,7)),IF(AND(AL17&gt;=0,CEILING(AL17/INDEX(TABLAS!$D$52:$D$58,MIN(MATCH(DATOS!$C$20,TABLAS!$B$52:$B$58,0)+4,7)),1)&lt;=MIN(DATOS!$C$22,INT((DATOS!$C$25+DATOS!$C$24)/(INDEX(TABLAS!$C$52:$C$58,MIN(MATCH(DATOS!$C$20,TABLAS!$B$52:$B$58,0)+4,7))+DATOS!$C$24)))),INDEX(TABLAS!$B$52:$B$58,MIN(MATCH(DATOS!$C$20,TABLAS!$B$52:$B$58,0)+4,7)),INDEX(TABLAS!$B$52:$B$58,7))))))</f>
        <v>3</v>
      </c>
      <c r="AN17" s="55">
        <f>IF(D17="HUECO",0,IF(AL17&lt;0,0,MAX(DATOS!$C$23,CEILING(AL17/INDEX(TABLAS!$D$52:$D$58,MATCH(AM17,TABLAS!$B$52:$B$58,0)),1))))</f>
        <v>1</v>
      </c>
      <c r="AO17" s="34">
        <f>IF(AN17=0,0,DATOS!$C$45*AN17*INDEX(TABLAS!$D$52:$D$58,MATCH(AM17,TABLAS!$B$52:$B$58,0))*DATOS!$C$32*((DATOS!$C$15-DATOS!$C$18-INDEX(TABLAS!$C$52:$C$58,MATCH(DATOS!$C$19,TABLAS!$B$52:$B$58,0))-INDEX(TABLAS!$C$52:$C$58,MATCH(AM17,TABLAS!$B$52:$B$58,0))/2)-AN17*INDEX(TABLAS!$D$52:$D$58,MATCH(AM17,TABLAS!$B$52:$B$58,0))*DATOS!$C$32/(DATOS!$C$38*DATOS!$C$16)/2)/1E5)</f>
        <v>0.584659515176471</v>
      </c>
      <c r="AP17" s="59">
        <f>IF(AL17&lt;0,9.99,IF(AO17&gt;0,AH17/AO17,0))</f>
        <v>0.117544124263481</v>
      </c>
      <c r="AQ17" s="41">
        <f>IF(D17="HUECO",0,IF(AI17&lt;=0,DATOS!$C$71*DATOS!$C$13*DATOS!$C$67,IF((1-2*AI17*1E5/(DATOS!$C$45*DATOS!$C$13*DATOS!$C$67^2*DATOS!$C$38))&lt;0,-1,IF((1-SQRT((1-2*AI17*1E5/(DATOS!$C$45*DATOS!$C$13*DATOS!$C$67^2*DATOS!$C$38))))*DATOS!$C$38*DATOS!$C$13*DATOS!$C$67/DATOS!$C$32&gt;DATOS!$C$70*DATOS!$C$13*DATOS!$C$67,-1,MAX(DATOS!$C$71*DATOS!$C$13*DATOS!$C$67,(1-SQRT((1-2*AI17*1E5/(DATOS!$C$45*DATOS!$C$13*DATOS!$C$67^2*DATOS!$C$38))))*DATOS!$C$38*DATOS!$C$13*DATOS!$C$67/DATOS!$C$32)))))</f>
        <v>0.576720388273208</v>
      </c>
      <c r="AR17" s="39">
        <f>IF(AND(AQ17&gt;=0,CEILING(AQ17/INDEX(TABLAS!$D$52:$D$58,MIN(MATCH(DATOS!$C$21,TABLAS!$B$52:$B$58,0)+0,7)),1)&lt;=MIN(DATOS!$C$22,INT((DATOS!$C$25+DATOS!$C$24)/(INDEX(TABLAS!$C$52:$C$58,MIN(MATCH(DATOS!$C$21,TABLAS!$B$52:$B$58,0)+0,7))+DATOS!$C$24)))),INDEX(TABLAS!$B$52:$B$58,MIN(MATCH(DATOS!$C$21,TABLAS!$B$52:$B$58,0)+0,7)),IF(AND(AQ17&gt;=0,CEILING(AQ17/INDEX(TABLAS!$D$52:$D$58,MIN(MATCH(DATOS!$C$21,TABLAS!$B$52:$B$58,0)+1,7)),1)&lt;=MIN(DATOS!$C$22,INT((DATOS!$C$25+DATOS!$C$24)/(INDEX(TABLAS!$C$52:$C$58,MIN(MATCH(DATOS!$C$21,TABLAS!$B$52:$B$58,0)+1,7))+DATOS!$C$24)))),INDEX(TABLAS!$B$52:$B$58,MIN(MATCH(DATOS!$C$21,TABLAS!$B$52:$B$58,0)+1,7)),IF(AND(AQ17&gt;=0,CEILING(AQ17/INDEX(TABLAS!$D$52:$D$58,MIN(MATCH(DATOS!$C$21,TABLAS!$B$52:$B$58,0)+2,7)),1)&lt;=MIN(DATOS!$C$22,INT((DATOS!$C$25+DATOS!$C$24)/(INDEX(TABLAS!$C$52:$C$58,MIN(MATCH(DATOS!$C$21,TABLAS!$B$52:$B$58,0)+2,7))+DATOS!$C$24)))),INDEX(TABLAS!$B$52:$B$58,MIN(MATCH(DATOS!$C$21,TABLAS!$B$52:$B$58,0)+2,7)),IF(AND(AQ17&gt;=0,CEILING(AQ17/INDEX(TABLAS!$D$52:$D$58,MIN(MATCH(DATOS!$C$21,TABLAS!$B$52:$B$58,0)+3,7)),1)&lt;=MIN(DATOS!$C$22,INT((DATOS!$C$25+DATOS!$C$24)/(INDEX(TABLAS!$C$52:$C$58,MIN(MATCH(DATOS!$C$21,TABLAS!$B$52:$B$58,0)+3,7))+DATOS!$C$24)))),INDEX(TABLAS!$B$52:$B$58,MIN(MATCH(DATOS!$C$21,TABLAS!$B$52:$B$58,0)+3,7)),IF(AND(AQ17&gt;=0,CEILING(AQ17/INDEX(TABLAS!$D$52:$D$58,MIN(MATCH(DATOS!$C$21,TABLAS!$B$52:$B$58,0)+4,7)),1)&lt;=MIN(DATOS!$C$22,INT((DATOS!$C$25+DATOS!$C$24)/(INDEX(TABLAS!$C$52:$C$58,MIN(MATCH(DATOS!$C$21,TABLAS!$B$52:$B$58,0)+4,7))+DATOS!$C$24)))),INDEX(TABLAS!$B$52:$B$58,MIN(MATCH(DATOS!$C$21,TABLAS!$B$52:$B$58,0)+4,7)),INDEX(TABLAS!$B$52:$B$58,7))))))</f>
        <v>3</v>
      </c>
      <c r="AS17" s="55">
        <f>IF(D17="HUECO",0,IF(AQ17&lt;0,0,MAX(1,CEILING(AQ17/INDEX(TABLAS!$D$52:$D$58,MATCH(AR17,TABLAS!$B$52:$B$58,0)),1))))</f>
        <v>1</v>
      </c>
      <c r="AT17" s="34">
        <f>IF(AS17=0,0,DATOS!$C$45*AS17*INDEX(TABLAS!$D$52:$D$58,MATCH(AR17,TABLAS!$B$52:$B$58,0))*DATOS!$C$32*((DATOS!$C$15-DATOS!$C$18-INDEX(TABLAS!$C$52:$C$58,MATCH(DATOS!$C$19,TABLAS!$B$52:$B$58,0))-INDEX(TABLAS!$C$52:$C$58,MATCH(AR17,TABLAS!$B$52:$B$58,0))/2)-AS17*INDEX(TABLAS!$D$52:$D$58,MATCH(AR17,TABLAS!$B$52:$B$58,0))*DATOS!$C$32/(DATOS!$C$38*DATOS!$C$13)/2)/1E5)</f>
        <v>0.568518826235294</v>
      </c>
      <c r="AU17" s="59">
        <f>IF(AQ17&lt;0,9.99,IF(AT17&gt;0,AI17/AT17,0))</f>
        <v>0.213043404145861</v>
      </c>
      <c r="AV17" s="41">
        <f>IF(D17="HUECO",0,IF(AJ17&lt;=0,DATOS!$C$71*DATOS!$C$13*DATOS!$C$66,IF((1-2*AJ17*1E5/(DATOS!$C$45*DATOS!$C$16*DATOS!$C$66^2*DATOS!$C$38))&lt;0,-1,MAX(DATOS!$C$71*DATOS!$C$13*DATOS!$C$66,(1-SQRT((1-2*AJ17*1E5/(DATOS!$C$45*DATOS!$C$16*DATOS!$C$66^2*DATOS!$C$38))))*DATOS!$C$38*DATOS!$C$16*DATOS!$C$66/DATOS!$C$32))))</f>
        <v>0.576720388273208</v>
      </c>
      <c r="AW17" s="39">
        <f>IF(AND(AV17&gt;=0,CEILING(AV17/INDEX(TABLAS!$D$52:$D$58,MIN(MATCH(DATOS!$C$20,TABLAS!$B$52:$B$58,0)+0,7)),1)&lt;=MIN(DATOS!$C$22,INT((DATOS!$C$25+DATOS!$C$24)/(INDEX(TABLAS!$C$52:$C$58,MIN(MATCH(DATOS!$C$20,TABLAS!$B$52:$B$58,0)+0,7))+DATOS!$C$24)))),INDEX(TABLAS!$B$52:$B$58,MIN(MATCH(DATOS!$C$20,TABLAS!$B$52:$B$58,0)+0,7)),IF(AND(AV17&gt;=0,CEILING(AV17/INDEX(TABLAS!$D$52:$D$58,MIN(MATCH(DATOS!$C$20,TABLAS!$B$52:$B$58,0)+1,7)),1)&lt;=MIN(DATOS!$C$22,INT((DATOS!$C$25+DATOS!$C$24)/(INDEX(TABLAS!$C$52:$C$58,MIN(MATCH(DATOS!$C$20,TABLAS!$B$52:$B$58,0)+1,7))+DATOS!$C$24)))),INDEX(TABLAS!$B$52:$B$58,MIN(MATCH(DATOS!$C$20,TABLAS!$B$52:$B$58,0)+1,7)),IF(AND(AV17&gt;=0,CEILING(AV17/INDEX(TABLAS!$D$52:$D$58,MIN(MATCH(DATOS!$C$20,TABLAS!$B$52:$B$58,0)+2,7)),1)&lt;=MIN(DATOS!$C$22,INT((DATOS!$C$25+DATOS!$C$24)/(INDEX(TABLAS!$C$52:$C$58,MIN(MATCH(DATOS!$C$20,TABLAS!$B$52:$B$58,0)+2,7))+DATOS!$C$24)))),INDEX(TABLAS!$B$52:$B$58,MIN(MATCH(DATOS!$C$20,TABLAS!$B$52:$B$58,0)+2,7)),IF(AND(AV17&gt;=0,CEILING(AV17/INDEX(TABLAS!$D$52:$D$58,MIN(MATCH(DATOS!$C$20,TABLAS!$B$52:$B$58,0)+3,7)),1)&lt;=MIN(DATOS!$C$22,INT((DATOS!$C$25+DATOS!$C$24)/(INDEX(TABLAS!$C$52:$C$58,MIN(MATCH(DATOS!$C$20,TABLAS!$B$52:$B$58,0)+3,7))+DATOS!$C$24)))),INDEX(TABLAS!$B$52:$B$58,MIN(MATCH(DATOS!$C$20,TABLAS!$B$52:$B$58,0)+3,7)),IF(AND(AV17&gt;=0,CEILING(AV17/INDEX(TABLAS!$D$52:$D$58,MIN(MATCH(DATOS!$C$20,TABLAS!$B$52:$B$58,0)+4,7)),1)&lt;=MIN(DATOS!$C$22,INT((DATOS!$C$25+DATOS!$C$24)/(INDEX(TABLAS!$C$52:$C$58,MIN(MATCH(DATOS!$C$20,TABLAS!$B$52:$B$58,0)+4,7))+DATOS!$C$24)))),INDEX(TABLAS!$B$52:$B$58,MIN(MATCH(DATOS!$C$20,TABLAS!$B$52:$B$58,0)+4,7)),INDEX(TABLAS!$B$52:$B$58,7))))))</f>
        <v>3</v>
      </c>
      <c r="AX17" s="55">
        <f>IF(D17="HUECO",0,IF(AV17&lt;0,0,MAX(DATOS!$C$23,CEILING(AV17/INDEX(TABLAS!$D$52:$D$58,MATCH(AW17,TABLAS!$B$52:$B$58,0)),1))))</f>
        <v>1</v>
      </c>
      <c r="AY17" s="34">
        <f>IF(AX17=0,0,DATOS!$C$45*AX17*INDEX(TABLAS!$D$52:$D$58,MATCH(AW17,TABLAS!$B$52:$B$58,0))*DATOS!$C$32*((DATOS!$C$15-DATOS!$C$18-INDEX(TABLAS!$C$52:$C$58,MATCH(DATOS!$C$19,TABLAS!$B$52:$B$58,0))-INDEX(TABLAS!$C$52:$C$58,MATCH(AW17,TABLAS!$B$52:$B$58,0))/2)-AX17*INDEX(TABLAS!$D$52:$D$58,MATCH(AW17,TABLAS!$B$52:$B$58,0))*DATOS!$C$32/(DATOS!$C$38*DATOS!$C$16)/2)/1E5)</f>
        <v>0.584659515176471</v>
      </c>
      <c r="AZ17" s="59">
        <f>IF(AV17&lt;0,9.99,IF(AY17&gt;0,AJ17/AY17,0))</f>
        <v>0.0537254043809131</v>
      </c>
      <c r="BA17" s="41">
        <f>IF(D17="HUECO",0,IF(AK17&lt;=0,DATOS!$C$71*DATOS!$C$13*DATOS!$C$67,IF((1-2*AK17*1E5/(DATOS!$C$45*DATOS!$C$13*DATOS!$C$67^2*DATOS!$C$38))&lt;0,-1,IF((1-SQRT((1-2*AK17*1E5/(DATOS!$C$45*DATOS!$C$13*DATOS!$C$67^2*DATOS!$C$38))))*DATOS!$C$38*DATOS!$C$13*DATOS!$C$67/DATOS!$C$32&gt;DATOS!$C$70*DATOS!$C$13*DATOS!$C$67,-1,MAX(DATOS!$C$71*DATOS!$C$13*DATOS!$C$67,(1-SQRT((1-2*AK17*1E5/(DATOS!$C$45*DATOS!$C$13*DATOS!$C$67^2*DATOS!$C$38))))*DATOS!$C$38*DATOS!$C$13*DATOS!$C$67/DATOS!$C$32)))))</f>
        <v>0.576720388273208</v>
      </c>
      <c r="BB17" s="39">
        <f>IF(AND(BA17&gt;=0,CEILING(BA17/INDEX(TABLAS!$D$52:$D$58,MIN(MATCH(DATOS!$C$21,TABLAS!$B$52:$B$58,0)+0,7)),1)&lt;=MIN(DATOS!$C$22,INT((DATOS!$C$25+DATOS!$C$24)/(INDEX(TABLAS!$C$52:$C$58,MIN(MATCH(DATOS!$C$21,TABLAS!$B$52:$B$58,0)+0,7))+DATOS!$C$24)))),INDEX(TABLAS!$B$52:$B$58,MIN(MATCH(DATOS!$C$21,TABLAS!$B$52:$B$58,0)+0,7)),IF(AND(BA17&gt;=0,CEILING(BA17/INDEX(TABLAS!$D$52:$D$58,MIN(MATCH(DATOS!$C$21,TABLAS!$B$52:$B$58,0)+1,7)),1)&lt;=MIN(DATOS!$C$22,INT((DATOS!$C$25+DATOS!$C$24)/(INDEX(TABLAS!$C$52:$C$58,MIN(MATCH(DATOS!$C$21,TABLAS!$B$52:$B$58,0)+1,7))+DATOS!$C$24)))),INDEX(TABLAS!$B$52:$B$58,MIN(MATCH(DATOS!$C$21,TABLAS!$B$52:$B$58,0)+1,7)),IF(AND(BA17&gt;=0,CEILING(BA17/INDEX(TABLAS!$D$52:$D$58,MIN(MATCH(DATOS!$C$21,TABLAS!$B$52:$B$58,0)+2,7)),1)&lt;=MIN(DATOS!$C$22,INT((DATOS!$C$25+DATOS!$C$24)/(INDEX(TABLAS!$C$52:$C$58,MIN(MATCH(DATOS!$C$21,TABLAS!$B$52:$B$58,0)+2,7))+DATOS!$C$24)))),INDEX(TABLAS!$B$52:$B$58,MIN(MATCH(DATOS!$C$21,TABLAS!$B$52:$B$58,0)+2,7)),IF(AND(BA17&gt;=0,CEILING(BA17/INDEX(TABLAS!$D$52:$D$58,MIN(MATCH(DATOS!$C$21,TABLAS!$B$52:$B$58,0)+3,7)),1)&lt;=MIN(DATOS!$C$22,INT((DATOS!$C$25+DATOS!$C$24)/(INDEX(TABLAS!$C$52:$C$58,MIN(MATCH(DATOS!$C$21,TABLAS!$B$52:$B$58,0)+3,7))+DATOS!$C$24)))),INDEX(TABLAS!$B$52:$B$58,MIN(MATCH(DATOS!$C$21,TABLAS!$B$52:$B$58,0)+3,7)),IF(AND(BA17&gt;=0,CEILING(BA17/INDEX(TABLAS!$D$52:$D$58,MIN(MATCH(DATOS!$C$21,TABLAS!$B$52:$B$58,0)+4,7)),1)&lt;=MIN(DATOS!$C$22,INT((DATOS!$C$25+DATOS!$C$24)/(INDEX(TABLAS!$C$52:$C$58,MIN(MATCH(DATOS!$C$21,TABLAS!$B$52:$B$58,0)+4,7))+DATOS!$C$24)))),INDEX(TABLAS!$B$52:$B$58,MIN(MATCH(DATOS!$C$21,TABLAS!$B$52:$B$58,0)+4,7)),INDEX(TABLAS!$B$52:$B$58,7))))))</f>
        <v>3</v>
      </c>
      <c r="BC17" s="55">
        <f>IF(D17="HUECO",0,IF(BA17&lt;0,0,MAX(1,CEILING(BA17/INDEX(TABLAS!$D$52:$D$58,MATCH(BB17,TABLAS!$B$52:$B$58,0)),1))))</f>
        <v>1</v>
      </c>
      <c r="BD17" s="34">
        <f>IF(BC17=0,0,DATOS!$C$45*BC17*INDEX(TABLAS!$D$52:$D$58,MATCH(BB17,TABLAS!$B$52:$B$58,0))*DATOS!$C$32*((DATOS!$C$15-DATOS!$C$18-INDEX(TABLAS!$C$52:$C$58,MATCH(DATOS!$C$19,TABLAS!$B$52:$B$58,0))-INDEX(TABLAS!$C$52:$C$58,MATCH(BB17,TABLAS!$B$52:$B$58,0))/2)-BC17*INDEX(TABLAS!$D$52:$D$58,MATCH(BB17,TABLAS!$B$52:$B$58,0))*DATOS!$C$32/(DATOS!$C$38*DATOS!$C$13)/2)/1E5)</f>
        <v>0.568518826235294</v>
      </c>
      <c r="BE17" s="59">
        <f>IF(BA17&lt;0,9.99,IF(BD17&gt;0,AK17/BD17,0))</f>
        <v>0.173884352154203</v>
      </c>
      <c r="BF17" s="34">
        <f>IF(D17="PERIMETRAL",MAX(0,(J17/2-DATOS!$C$66/100))*(0.95-0.5*L17)*R17*IF(AND(S17&gt;0,S17&lt;4),DATOS!$C$50,1)*DATOS!$C$16/100/1000,IF(D17="VOLADO",(R17*J17+DATOS!$C$43*AG17)*DATOS!$C$16/100/1000,0))</f>
        <v>0.353831755505609</v>
      </c>
      <c r="BG17" s="34">
        <f>IF(D17="HUECO",0,DATOS!$C$46*IF((AS17*INDEX(TABLAS!$D$52:$D$58,MATCH(AR17,TABLAS!$B$52:$B$58,0))/(DATOS!$C$13*DATOS!$C$67))&lt;0.015,0.2+20*(AS17*INDEX(TABLAS!$D$52:$D$58,MATCH(AR17,TABLAS!$B$52:$B$58,0))/(DATOS!$C$13*DATOS!$C$67)),0.5)*SQRT(DATOS!$C$31)*DATOS!$C$13*DATOS!$C$67*DATOS!$C$49/1000)</f>
        <v>0.687439634849853</v>
      </c>
      <c r="BH17" s="49" t="str">
        <f>IF(D17="HUECO","—",IF(BF17&lt;=BG17,"CUMPLE","MACIZAR "&amp;MAX(1,CEILING(IF(D17="VOLADO",J17,J17/2)*(1-BG17/BF17)*100/DATOS!$C$16,1))&amp;" hilera(s)"))</f>
        <v>CUMPLE</v>
      </c>
      <c r="BI17" s="41">
        <f>IF(D17="PERIMETRAL",(2*(H17+I17)+0.25*(H17*((APOYOS!$G$61="DISCONTINUO")+(APOYOS!$G$62="DISCONTINUO"))+I17*((APOYOS!$G$63="DISCONTINUO")+(APOYOS!$G$64="DISCONTINUO"))))*(J17+MIN(K17,2*J17))/(J17+K17)*100/250*IF(OR(DATOS!$C$47&gt;2520,Q17&gt;380),0.032*(DATOS!$C$47*Q17)^0.25,1),IF(D17="VOLADO",J17*100/8,0))</f>
        <v>5.26840665448414</v>
      </c>
      <c r="BJ17" s="41">
        <f>IF(D17="VOLADO",DATOS!$C$15,DATOS!$C$68)</f>
        <v>13.6082564120244</v>
      </c>
      <c r="BK17" s="50" t="str">
        <f>IF(D17="HUECO","—",IF(BJ17&gt;=BI17,"CUMPLE","NO CUMPLE"))</f>
        <v>CUMPLE</v>
      </c>
      <c r="BL17" s="50" t="str">
        <f>IF(D17="PERIMETRAL",IF(DATOS!$C$16/100&lt;=J17/6,"SÍ","NO: a1 &lt; 6·s"),"—")</f>
        <v>NO: a1 &lt; 6·s</v>
      </c>
      <c r="BM17" s="55">
        <f>MAX(0,INT((F17*100-DATOS!$C$17+DATOS!$C$13)/DATOS!$C$16))</f>
        <v>4</v>
      </c>
      <c r="BN17" s="55">
        <f>MAX(0,INT((G17*100-DATOS!$C$17+DATOS!$C$13)/DATOS!$C$16))</f>
        <v>2</v>
      </c>
      <c r="BO17" s="49" t="str">
        <f>IF(COUNTIFS(TRIB!$C$6:$C$255,B17,TRIB!$K$6:$K$255,"NO CUMPLE*")+COUNTIFS(TRIB!$C$6:$C$255,B17,TRIB!$K$6:$K$255,"SIN APOYO*")&gt;0,"VER PRINCIPALES",IF((APOYOS!$F$61="LIBRE")+(APOYOS!$F$62="LIBRE")+(APOYOS!$F$63="LIBRE")+(APOYOS!$F$64="LIBRE")&gt;0,"REVISAR: borde libre","OK"))</f>
        <v>VER PRINCIPALES</v>
      </c>
      <c r="BP17" s="60" t="str">
        <f>IF(D17="HUECO","HUECO — marco de nervaduras principales",IF(AND(MAX(AP17,AU17,AZ17,BE17)&lt;=1,NOT(OR(AN17&gt;MIN(DATOS!$C$22,INT((DATOS!$C$25+DATOS!$C$24)/(INDEX(TABLAS!$C$52:$C$58,MATCH(AM17,TABLAS!$B$52:$B$58,0))+DATOS!$C$24))),AS17&gt;MIN(DATOS!$C$22,INT((DATOS!$C$25+DATOS!$C$24)/(INDEX(TABLAS!$C$52:$C$58,MATCH(AR17,TABLAS!$B$52:$B$58,0))+DATOS!$C$24))),AX17&gt;MIN(DATOS!$C$22,INT((DATOS!$C$25+DATOS!$C$24)/(INDEX(TABLAS!$C$52:$C$58,MATCH(AW17,TABLAS!$B$52:$B$58,0))+DATOS!$C$24))),BC17&gt;MIN(DATOS!$C$22,INT((DATOS!$C$25+DATOS!$C$24)/(INDEX(TABLAS!$C$52:$C$58,MATCH(BB17,TABLAS!$B$52:$B$58,0))+DATOS!$C$24))))),BK17="CUMPLE"),IF(BO17="OK",IF(BH17="CUMPLE","CUMPLE","CUMPLE — "&amp;BH17),IF(BO17="VER PRINCIPALES","VER PRINCIPALES","REVISAR APOYOS")),"NO CUMPLE: "&amp;IF(MAX(AP17,AU17,AZ17,BE17)&gt;1,"flexión ","")&amp;IF(OR(AN17&gt;MIN(DATOS!$C$22,INT((DATOS!$C$25+DATOS!$C$24)/(INDEX(TABLAS!$C$52:$C$58,MATCH(AM17,TABLAS!$B$52:$B$58,0))+DATOS!$C$24))),AS17&gt;MIN(DATOS!$C$22,INT((DATOS!$C$25+DATOS!$C$24)/(INDEX(TABLAS!$C$52:$C$58,MATCH(AR17,TABLAS!$B$52:$B$58,0))+DATOS!$C$24))),AX17&gt;MIN(DATOS!$C$22,INT((DATOS!$C$25+DATOS!$C$24)/(INDEX(TABLAS!$C$52:$C$58,MATCH(AW17,TABLAS!$B$52:$B$58,0))+DATOS!$C$24))),BC17&gt;MIN(DATOS!$C$22,INT((DATOS!$C$25+DATOS!$C$24)/(INDEX(TABLAS!$C$52:$C$58,MATCH(BB17,TABLAS!$B$52:$B$58,0))+DATOS!$C$24)))),"no caben ","")&amp;IF(BK17&lt;&gt;"CUMPLE","peralte","")))</f>
        <v>VER PRINCIPALES</v>
      </c>
      <c r="BQ17" s="61" t="inlineStr">
        <is>
          <t>—</t>
        </is>
      </c>
    </row>
    <row r="18" ht="30" customHeight="1">
      <c r="B18" s="49" t="inlineStr">
        <is>
          <t>F80011 N+3.00</t>
        </is>
      </c>
      <c r="C18" s="50" t="inlineStr">
        <is>
          <t>N+3.00</t>
        </is>
      </c>
      <c r="D18" s="51" t="inlineStr">
        <is>
          <t>PERIMETRAL</t>
        </is>
      </c>
      <c r="E18" s="51" t="inlineStr">
        <is>
          <t>HABITACIÓN</t>
        </is>
      </c>
      <c r="F18" s="52" t="n">
        <v>3.428</v>
      </c>
      <c r="G18" s="52" t="n">
        <v>0.399</v>
      </c>
      <c r="H18" s="53" t="n">
        <v>3.428</v>
      </c>
      <c r="I18" s="53" t="n">
        <v>0.399</v>
      </c>
      <c r="J18" s="34">
        <f>MIN(H18,I18)</f>
        <v>0.399</v>
      </c>
      <c r="K18" s="34">
        <f>MAX(H18,I18)</f>
        <v>3.428</v>
      </c>
      <c r="L18" s="34">
        <f>IF(K18&gt;0,J18/K18,0)</f>
        <v>0.116394399066511</v>
      </c>
      <c r="M18" s="50" t="str">
        <f>IF(H18&lt;=I18,"X","Y")</f>
        <v>Y</v>
      </c>
      <c r="N18" s="54" t="n">
        <v>230</v>
      </c>
      <c r="O18" s="55">
        <f>IF(E18="HABITACIÓN",DATOS!$C$76,DATOS!$C$78)</f>
        <v>190</v>
      </c>
      <c r="P18" s="55">
        <f>DATOS!$C$58</f>
        <v>253.673469387755</v>
      </c>
      <c r="Q18" s="55">
        <f>P18+N18+O18</f>
        <v>673.673469387755</v>
      </c>
      <c r="R18" s="56">
        <f>DATOS!$C$43*(P18+N18)+DATOS!$C$44*O18</f>
        <v>913.775510204082</v>
      </c>
      <c r="S18" s="55">
        <f>(APOYOS!$G$65="DISCONTINUO")+(APOYOS!$G$66="DISCONTINUO")+(APOYOS!$G$67="DISCONTINUO")+(APOYOS!$G$68="DISCONTINUO")</f>
        <v>1</v>
      </c>
      <c r="T18" s="55">
        <f>IF(M18="X",(APOYOS!$G$65="DISCONTINUO")+(APOYOS!$G$66="DISCONTINUO"),(APOYOS!$G$67="DISCONTINUO")+(APOYOS!$G$68="DISCONTINUO"))</f>
        <v>1</v>
      </c>
      <c r="U18" s="55">
        <f>S18-T18</f>
        <v>0</v>
      </c>
      <c r="V18" s="50" t="str">
        <f>IF(S18=0,"INTERIOR",IF(S18=1,IF(T18=1,"BORDE-CORTO","BORDE-LARGO"),IF(S18=2,IF(T18=1,"ESQUINA",IF(T18=2,"EXTREMO-LARGO","EXTREMO-CORTO")),IF(S18=3,IF(T18=2,"EXTREMO-LARGO","EXTREMO-CORTO"),"AISLADO"))))</f>
        <v>BORDE-CORTO</v>
      </c>
      <c r="W18" s="51" t="inlineStr">
        <is>
          <t>AUTO</t>
        </is>
      </c>
      <c r="X18" s="57" t="str">
        <f>IF(W18="AUTO",V18,W18)</f>
        <v>BORDE-CORTO</v>
      </c>
      <c r="Y18" s="55">
        <f>MATCH(L18,TABLAS!$D$5:$J$5,1)</f>
        <v>1</v>
      </c>
      <c r="Z18" s="41">
        <f>IF(Y18&gt;=7,0,(L18-INDEX(TABLAS!$D$5:$J$5,Y18))/(INDEX(TABLAS!$D$5:$J$5,Y18+1)-INDEX(TABLAS!$D$5:$J$5,Y18)))</f>
        <v>0.232788798133022</v>
      </c>
      <c r="AA18" s="55">
        <f>INDEX(TABLAS!$D$6:$J$47,MATCH(X18&amp;"|NIC",TABLAS!$B$6:$B$47,0),Y18)+Z18*(INDEX(TABLAS!$D$6:$J$47,MATCH(X18&amp;"|NIC",TABLAS!$B$6:$B$47,0),MIN(Y18+1,7))-INDEX(TABLAS!$D$6:$J$47,MATCH(X18&amp;"|NIC",TABLAS!$B$6:$B$47,0),Y18))</f>
        <v>897.900816802801</v>
      </c>
      <c r="AB18" s="55">
        <f>INDEX(TABLAS!$D$6:$J$47,MATCH(X18&amp;"|NIL",TABLAS!$B$6:$B$47,0),Y18)+Z18*(INDEX(TABLAS!$D$6:$J$47,MATCH(X18&amp;"|NIL",TABLAS!$B$6:$B$47,0),MIN(Y18+1,7))-INDEX(TABLAS!$D$6:$J$47,MATCH(X18&amp;"|NIL",TABLAS!$B$6:$B$47,0),Y18))</f>
        <v>491.091598599767</v>
      </c>
      <c r="AC18" s="55">
        <f>INDEX(TABLAS!$D$6:$J$47,MATCH(X18&amp;"|NDC",TABLAS!$B$6:$B$47,0),Y18)+Z18*(INDEX(TABLAS!$D$6:$J$47,MATCH(X18&amp;"|NDC",TABLAS!$B$6:$B$47,0),MIN(Y18+1,7))-INDEX(TABLAS!$D$6:$J$47,MATCH(X18&amp;"|NDC",TABLAS!$B$6:$B$47,0),Y18))</f>
        <v>0</v>
      </c>
      <c r="AD18" s="55">
        <f>INDEX(TABLAS!$D$6:$J$47,MATCH(X18&amp;"|NDL",TABLAS!$B$6:$B$47,0),Y18)+Z18*(INDEX(TABLAS!$D$6:$J$47,MATCH(X18&amp;"|NDL",TABLAS!$B$6:$B$47,0),MIN(Y18+1,7))-INDEX(TABLAS!$D$6:$J$47,MATCH(X18&amp;"|NDL",TABLAS!$B$6:$B$47,0),Y18))</f>
        <v>310.170361726954</v>
      </c>
      <c r="AE18" s="55">
        <f>INDEX(TABLAS!$D$6:$J$47,MATCH(X18&amp;"|PC",TABLAS!$B$6:$B$47,0),Y18)+Z18*(INDEX(TABLAS!$D$6:$J$47,MATCH(X18&amp;"|PC",TABLAS!$B$6:$B$47,0),MIN(Y18+1,7))-INDEX(TABLAS!$D$6:$J$47,MATCH(X18&amp;"|PC",TABLAS!$B$6:$B$47,0),Y18))</f>
        <v>559.93057176196</v>
      </c>
      <c r="AF18" s="55">
        <f>INDEX(TABLAS!$D$6:$J$47,MATCH(X18&amp;"|PL",TABLAS!$B$6:$B$47,0),Y18)+Z18*(INDEX(TABLAS!$D$6:$J$47,MATCH(X18&amp;"|PL",TABLAS!$B$6:$B$47,0),MIN(Y18+1,7))-INDEX(TABLAS!$D$6:$J$47,MATCH(X18&amp;"|PL",TABLAS!$B$6:$B$47,0),Y18))</f>
        <v>170.386814469078</v>
      </c>
      <c r="AG18" s="58" t="n">
        <v>0</v>
      </c>
      <c r="AH18" s="34">
        <f>IF(D18="PERIMETRAL",AE18*R18*J18^2*1E-4*DATOS!$C$16/100/1000,0)</f>
        <v>0.00570187281987646</v>
      </c>
      <c r="AI18" s="34">
        <f>IF(D18="PERIMETRAL",MAX(AA18,AC18)*R18*J18^2*1E-4*DATOS!$C$16/100/1000,IF(D18="VOLADO",(R18*J18^2/2+DATOS!$C$43*AG18*J18)*DATOS!$C$16/100/1000,0))</f>
        <v>0.00914348406832351</v>
      </c>
      <c r="AJ18" s="34">
        <f>IF(D18="PERIMETRAL",AF18*R18*J18^2*1E-4*DATOS!$C$16/100/1000,0)</f>
        <v>0.0017350793031883</v>
      </c>
      <c r="AK18" s="34">
        <f>IF(D18="PERIMETRAL",MAX(AB18,AD18)*R18*J18^2*1E-4*DATOS!$C$16/100/1000,0)</f>
        <v>0.00500087328561887</v>
      </c>
      <c r="AL18" s="41">
        <f>IF(D18="HUECO",0,IF(AH18&lt;=0,DATOS!$C$71*DATOS!$C$13*DATOS!$C$66,IF((1-2*AH18*1E5/(DATOS!$C$45*DATOS!$C$16*DATOS!$C$66^2*DATOS!$C$38))&lt;0,-1,MAX(DATOS!$C$71*DATOS!$C$13*DATOS!$C$66,(1-SQRT((1-2*AH18*1E5/(DATOS!$C$45*DATOS!$C$16*DATOS!$C$66^2*DATOS!$C$38))))*DATOS!$C$38*DATOS!$C$16*DATOS!$C$66/DATOS!$C$32))))</f>
        <v>0.576720388273208</v>
      </c>
      <c r="AM18" s="39">
        <f>IF(AND(AL18&gt;=0,CEILING(AL18/INDEX(TABLAS!$D$52:$D$58,MIN(MATCH(DATOS!$C$20,TABLAS!$B$52:$B$58,0)+0,7)),1)&lt;=MIN(DATOS!$C$22,INT((DATOS!$C$25+DATOS!$C$24)/(INDEX(TABLAS!$C$52:$C$58,MIN(MATCH(DATOS!$C$20,TABLAS!$B$52:$B$58,0)+0,7))+DATOS!$C$24)))),INDEX(TABLAS!$B$52:$B$58,MIN(MATCH(DATOS!$C$20,TABLAS!$B$52:$B$58,0)+0,7)),IF(AND(AL18&gt;=0,CEILING(AL18/INDEX(TABLAS!$D$52:$D$58,MIN(MATCH(DATOS!$C$20,TABLAS!$B$52:$B$58,0)+1,7)),1)&lt;=MIN(DATOS!$C$22,INT((DATOS!$C$25+DATOS!$C$24)/(INDEX(TABLAS!$C$52:$C$58,MIN(MATCH(DATOS!$C$20,TABLAS!$B$52:$B$58,0)+1,7))+DATOS!$C$24)))),INDEX(TABLAS!$B$52:$B$58,MIN(MATCH(DATOS!$C$20,TABLAS!$B$52:$B$58,0)+1,7)),IF(AND(AL18&gt;=0,CEILING(AL18/INDEX(TABLAS!$D$52:$D$58,MIN(MATCH(DATOS!$C$20,TABLAS!$B$52:$B$58,0)+2,7)),1)&lt;=MIN(DATOS!$C$22,INT((DATOS!$C$25+DATOS!$C$24)/(INDEX(TABLAS!$C$52:$C$58,MIN(MATCH(DATOS!$C$20,TABLAS!$B$52:$B$58,0)+2,7))+DATOS!$C$24)))),INDEX(TABLAS!$B$52:$B$58,MIN(MATCH(DATOS!$C$20,TABLAS!$B$52:$B$58,0)+2,7)),IF(AND(AL18&gt;=0,CEILING(AL18/INDEX(TABLAS!$D$52:$D$58,MIN(MATCH(DATOS!$C$20,TABLAS!$B$52:$B$58,0)+3,7)),1)&lt;=MIN(DATOS!$C$22,INT((DATOS!$C$25+DATOS!$C$24)/(INDEX(TABLAS!$C$52:$C$58,MIN(MATCH(DATOS!$C$20,TABLAS!$B$52:$B$58,0)+3,7))+DATOS!$C$24)))),INDEX(TABLAS!$B$52:$B$58,MIN(MATCH(DATOS!$C$20,TABLAS!$B$52:$B$58,0)+3,7)),IF(AND(AL18&gt;=0,CEILING(AL18/INDEX(TABLAS!$D$52:$D$58,MIN(MATCH(DATOS!$C$20,TABLAS!$B$52:$B$58,0)+4,7)),1)&lt;=MIN(DATOS!$C$22,INT((DATOS!$C$25+DATOS!$C$24)/(INDEX(TABLAS!$C$52:$C$58,MIN(MATCH(DATOS!$C$20,TABLAS!$B$52:$B$58,0)+4,7))+DATOS!$C$24)))),INDEX(TABLAS!$B$52:$B$58,MIN(MATCH(DATOS!$C$20,TABLAS!$B$52:$B$58,0)+4,7)),INDEX(TABLAS!$B$52:$B$58,7))))))</f>
        <v>3</v>
      </c>
      <c r="AN18" s="55">
        <f>IF(D18="HUECO",0,IF(AL18&lt;0,0,MAX(DATOS!$C$23,CEILING(AL18/INDEX(TABLAS!$D$52:$D$58,MATCH(AM18,TABLAS!$B$52:$B$58,0)),1))))</f>
        <v>1</v>
      </c>
      <c r="AO18" s="34">
        <f>IF(AN18=0,0,DATOS!$C$45*AN18*INDEX(TABLAS!$D$52:$D$58,MATCH(AM18,TABLAS!$B$52:$B$58,0))*DATOS!$C$32*((DATOS!$C$15-DATOS!$C$18-INDEX(TABLAS!$C$52:$C$58,MATCH(DATOS!$C$19,TABLAS!$B$52:$B$58,0))-INDEX(TABLAS!$C$52:$C$58,MATCH(AM18,TABLAS!$B$52:$B$58,0))/2)-AN18*INDEX(TABLAS!$D$52:$D$58,MATCH(AM18,TABLAS!$B$52:$B$58,0))*DATOS!$C$32/(DATOS!$C$38*DATOS!$C$16)/2)/1E5)</f>
        <v>0.584659515176471</v>
      </c>
      <c r="AP18" s="59">
        <f>IF(AL18&lt;0,9.99,IF(AO18&gt;0,AH18/AO18,0))</f>
        <v>0.00975246732819431</v>
      </c>
      <c r="AQ18" s="41">
        <f>IF(D18="HUECO",0,IF(AI18&lt;=0,DATOS!$C$71*DATOS!$C$13*DATOS!$C$67,IF((1-2*AI18*1E5/(DATOS!$C$45*DATOS!$C$13*DATOS!$C$67^2*DATOS!$C$38))&lt;0,-1,IF((1-SQRT((1-2*AI18*1E5/(DATOS!$C$45*DATOS!$C$13*DATOS!$C$67^2*DATOS!$C$38))))*DATOS!$C$38*DATOS!$C$13*DATOS!$C$67/DATOS!$C$32&gt;DATOS!$C$70*DATOS!$C$13*DATOS!$C$67,-1,MAX(DATOS!$C$71*DATOS!$C$13*DATOS!$C$67,(1-SQRT((1-2*AI18*1E5/(DATOS!$C$45*DATOS!$C$13*DATOS!$C$67^2*DATOS!$C$38))))*DATOS!$C$38*DATOS!$C$13*DATOS!$C$67/DATOS!$C$32)))))</f>
        <v>0.576720388273208</v>
      </c>
      <c r="AR18" s="39">
        <f>IF(AND(AQ18&gt;=0,CEILING(AQ18/INDEX(TABLAS!$D$52:$D$58,MIN(MATCH(DATOS!$C$21,TABLAS!$B$52:$B$58,0)+0,7)),1)&lt;=MIN(DATOS!$C$22,INT((DATOS!$C$25+DATOS!$C$24)/(INDEX(TABLAS!$C$52:$C$58,MIN(MATCH(DATOS!$C$21,TABLAS!$B$52:$B$58,0)+0,7))+DATOS!$C$24)))),INDEX(TABLAS!$B$52:$B$58,MIN(MATCH(DATOS!$C$21,TABLAS!$B$52:$B$58,0)+0,7)),IF(AND(AQ18&gt;=0,CEILING(AQ18/INDEX(TABLAS!$D$52:$D$58,MIN(MATCH(DATOS!$C$21,TABLAS!$B$52:$B$58,0)+1,7)),1)&lt;=MIN(DATOS!$C$22,INT((DATOS!$C$25+DATOS!$C$24)/(INDEX(TABLAS!$C$52:$C$58,MIN(MATCH(DATOS!$C$21,TABLAS!$B$52:$B$58,0)+1,7))+DATOS!$C$24)))),INDEX(TABLAS!$B$52:$B$58,MIN(MATCH(DATOS!$C$21,TABLAS!$B$52:$B$58,0)+1,7)),IF(AND(AQ18&gt;=0,CEILING(AQ18/INDEX(TABLAS!$D$52:$D$58,MIN(MATCH(DATOS!$C$21,TABLAS!$B$52:$B$58,0)+2,7)),1)&lt;=MIN(DATOS!$C$22,INT((DATOS!$C$25+DATOS!$C$24)/(INDEX(TABLAS!$C$52:$C$58,MIN(MATCH(DATOS!$C$21,TABLAS!$B$52:$B$58,0)+2,7))+DATOS!$C$24)))),INDEX(TABLAS!$B$52:$B$58,MIN(MATCH(DATOS!$C$21,TABLAS!$B$52:$B$58,0)+2,7)),IF(AND(AQ18&gt;=0,CEILING(AQ18/INDEX(TABLAS!$D$52:$D$58,MIN(MATCH(DATOS!$C$21,TABLAS!$B$52:$B$58,0)+3,7)),1)&lt;=MIN(DATOS!$C$22,INT((DATOS!$C$25+DATOS!$C$24)/(INDEX(TABLAS!$C$52:$C$58,MIN(MATCH(DATOS!$C$21,TABLAS!$B$52:$B$58,0)+3,7))+DATOS!$C$24)))),INDEX(TABLAS!$B$52:$B$58,MIN(MATCH(DATOS!$C$21,TABLAS!$B$52:$B$58,0)+3,7)),IF(AND(AQ18&gt;=0,CEILING(AQ18/INDEX(TABLAS!$D$52:$D$58,MIN(MATCH(DATOS!$C$21,TABLAS!$B$52:$B$58,0)+4,7)),1)&lt;=MIN(DATOS!$C$22,INT((DATOS!$C$25+DATOS!$C$24)/(INDEX(TABLAS!$C$52:$C$58,MIN(MATCH(DATOS!$C$21,TABLAS!$B$52:$B$58,0)+4,7))+DATOS!$C$24)))),INDEX(TABLAS!$B$52:$B$58,MIN(MATCH(DATOS!$C$21,TABLAS!$B$52:$B$58,0)+4,7)),INDEX(TABLAS!$B$52:$B$58,7))))))</f>
        <v>3</v>
      </c>
      <c r="AS18" s="55">
        <f>IF(D18="HUECO",0,IF(AQ18&lt;0,0,MAX(1,CEILING(AQ18/INDEX(TABLAS!$D$52:$D$58,MATCH(AR18,TABLAS!$B$52:$B$58,0)),1))))</f>
        <v>1</v>
      </c>
      <c r="AT18" s="34">
        <f>IF(AS18=0,0,DATOS!$C$45*AS18*INDEX(TABLAS!$D$52:$D$58,MATCH(AR18,TABLAS!$B$52:$B$58,0))*DATOS!$C$32*((DATOS!$C$15-DATOS!$C$18-INDEX(TABLAS!$C$52:$C$58,MATCH(DATOS!$C$19,TABLAS!$B$52:$B$58,0))-INDEX(TABLAS!$C$52:$C$58,MATCH(AR18,TABLAS!$B$52:$B$58,0))/2)-AS18*INDEX(TABLAS!$D$52:$D$58,MATCH(AR18,TABLAS!$B$52:$B$58,0))*DATOS!$C$32/(DATOS!$C$38*DATOS!$C$13)/2)/1E5)</f>
        <v>0.568518826235294</v>
      </c>
      <c r="AU18" s="59">
        <f>IF(AQ18&lt;0,9.99,IF(AT18&gt;0,AI18/AT18,0))</f>
        <v>0.0160829925877235</v>
      </c>
      <c r="AV18" s="41">
        <f>IF(D18="HUECO",0,IF(AJ18&lt;=0,DATOS!$C$71*DATOS!$C$13*DATOS!$C$66,IF((1-2*AJ18*1E5/(DATOS!$C$45*DATOS!$C$16*DATOS!$C$66^2*DATOS!$C$38))&lt;0,-1,MAX(DATOS!$C$71*DATOS!$C$13*DATOS!$C$66,(1-SQRT((1-2*AJ18*1E5/(DATOS!$C$45*DATOS!$C$16*DATOS!$C$66^2*DATOS!$C$38))))*DATOS!$C$38*DATOS!$C$16*DATOS!$C$66/DATOS!$C$32))))</f>
        <v>0.576720388273208</v>
      </c>
      <c r="AW18" s="39">
        <f>IF(AND(AV18&gt;=0,CEILING(AV18/INDEX(TABLAS!$D$52:$D$58,MIN(MATCH(DATOS!$C$20,TABLAS!$B$52:$B$58,0)+0,7)),1)&lt;=MIN(DATOS!$C$22,INT((DATOS!$C$25+DATOS!$C$24)/(INDEX(TABLAS!$C$52:$C$58,MIN(MATCH(DATOS!$C$20,TABLAS!$B$52:$B$58,0)+0,7))+DATOS!$C$24)))),INDEX(TABLAS!$B$52:$B$58,MIN(MATCH(DATOS!$C$20,TABLAS!$B$52:$B$58,0)+0,7)),IF(AND(AV18&gt;=0,CEILING(AV18/INDEX(TABLAS!$D$52:$D$58,MIN(MATCH(DATOS!$C$20,TABLAS!$B$52:$B$58,0)+1,7)),1)&lt;=MIN(DATOS!$C$22,INT((DATOS!$C$25+DATOS!$C$24)/(INDEX(TABLAS!$C$52:$C$58,MIN(MATCH(DATOS!$C$20,TABLAS!$B$52:$B$58,0)+1,7))+DATOS!$C$24)))),INDEX(TABLAS!$B$52:$B$58,MIN(MATCH(DATOS!$C$20,TABLAS!$B$52:$B$58,0)+1,7)),IF(AND(AV18&gt;=0,CEILING(AV18/INDEX(TABLAS!$D$52:$D$58,MIN(MATCH(DATOS!$C$20,TABLAS!$B$52:$B$58,0)+2,7)),1)&lt;=MIN(DATOS!$C$22,INT((DATOS!$C$25+DATOS!$C$24)/(INDEX(TABLAS!$C$52:$C$58,MIN(MATCH(DATOS!$C$20,TABLAS!$B$52:$B$58,0)+2,7))+DATOS!$C$24)))),INDEX(TABLAS!$B$52:$B$58,MIN(MATCH(DATOS!$C$20,TABLAS!$B$52:$B$58,0)+2,7)),IF(AND(AV18&gt;=0,CEILING(AV18/INDEX(TABLAS!$D$52:$D$58,MIN(MATCH(DATOS!$C$20,TABLAS!$B$52:$B$58,0)+3,7)),1)&lt;=MIN(DATOS!$C$22,INT((DATOS!$C$25+DATOS!$C$24)/(INDEX(TABLAS!$C$52:$C$58,MIN(MATCH(DATOS!$C$20,TABLAS!$B$52:$B$58,0)+3,7))+DATOS!$C$24)))),INDEX(TABLAS!$B$52:$B$58,MIN(MATCH(DATOS!$C$20,TABLAS!$B$52:$B$58,0)+3,7)),IF(AND(AV18&gt;=0,CEILING(AV18/INDEX(TABLAS!$D$52:$D$58,MIN(MATCH(DATOS!$C$20,TABLAS!$B$52:$B$58,0)+4,7)),1)&lt;=MIN(DATOS!$C$22,INT((DATOS!$C$25+DATOS!$C$24)/(INDEX(TABLAS!$C$52:$C$58,MIN(MATCH(DATOS!$C$20,TABLAS!$B$52:$B$58,0)+4,7))+DATOS!$C$24)))),INDEX(TABLAS!$B$52:$B$58,MIN(MATCH(DATOS!$C$20,TABLAS!$B$52:$B$58,0)+4,7)),INDEX(TABLAS!$B$52:$B$58,7))))))</f>
        <v>3</v>
      </c>
      <c r="AX18" s="55">
        <f>IF(D18="HUECO",0,IF(AV18&lt;0,0,MAX(DATOS!$C$23,CEILING(AV18/INDEX(TABLAS!$D$52:$D$58,MATCH(AW18,TABLAS!$B$52:$B$58,0)),1))))</f>
        <v>1</v>
      </c>
      <c r="AY18" s="34">
        <f>IF(AX18=0,0,DATOS!$C$45*AX18*INDEX(TABLAS!$D$52:$D$58,MATCH(AW18,TABLAS!$B$52:$B$58,0))*DATOS!$C$32*((DATOS!$C$15-DATOS!$C$18-INDEX(TABLAS!$C$52:$C$58,MATCH(DATOS!$C$19,TABLAS!$B$52:$B$58,0))-INDEX(TABLAS!$C$52:$C$58,MATCH(AW18,TABLAS!$B$52:$B$58,0))/2)-AX18*INDEX(TABLAS!$D$52:$D$58,MATCH(AW18,TABLAS!$B$52:$B$58,0))*DATOS!$C$32/(DATOS!$C$38*DATOS!$C$16)/2)/1E5)</f>
        <v>0.584659515176471</v>
      </c>
      <c r="AZ18" s="59">
        <f>IF(AV18&lt;0,9.99,IF(AY18&gt;0,AJ18/AY18,0))</f>
        <v>0.00296767478874366</v>
      </c>
      <c r="BA18" s="41">
        <f>IF(D18="HUECO",0,IF(AK18&lt;=0,DATOS!$C$71*DATOS!$C$13*DATOS!$C$67,IF((1-2*AK18*1E5/(DATOS!$C$45*DATOS!$C$13*DATOS!$C$67^2*DATOS!$C$38))&lt;0,-1,IF((1-SQRT((1-2*AK18*1E5/(DATOS!$C$45*DATOS!$C$13*DATOS!$C$67^2*DATOS!$C$38))))*DATOS!$C$38*DATOS!$C$13*DATOS!$C$67/DATOS!$C$32&gt;DATOS!$C$70*DATOS!$C$13*DATOS!$C$67,-1,MAX(DATOS!$C$71*DATOS!$C$13*DATOS!$C$67,(1-SQRT((1-2*AK18*1E5/(DATOS!$C$45*DATOS!$C$13*DATOS!$C$67^2*DATOS!$C$38))))*DATOS!$C$38*DATOS!$C$13*DATOS!$C$67/DATOS!$C$32)))))</f>
        <v>0.576720388273208</v>
      </c>
      <c r="BB18" s="39">
        <f>IF(AND(BA18&gt;=0,CEILING(BA18/INDEX(TABLAS!$D$52:$D$58,MIN(MATCH(DATOS!$C$21,TABLAS!$B$52:$B$58,0)+0,7)),1)&lt;=MIN(DATOS!$C$22,INT((DATOS!$C$25+DATOS!$C$24)/(INDEX(TABLAS!$C$52:$C$58,MIN(MATCH(DATOS!$C$21,TABLAS!$B$52:$B$58,0)+0,7))+DATOS!$C$24)))),INDEX(TABLAS!$B$52:$B$58,MIN(MATCH(DATOS!$C$21,TABLAS!$B$52:$B$58,0)+0,7)),IF(AND(BA18&gt;=0,CEILING(BA18/INDEX(TABLAS!$D$52:$D$58,MIN(MATCH(DATOS!$C$21,TABLAS!$B$52:$B$58,0)+1,7)),1)&lt;=MIN(DATOS!$C$22,INT((DATOS!$C$25+DATOS!$C$24)/(INDEX(TABLAS!$C$52:$C$58,MIN(MATCH(DATOS!$C$21,TABLAS!$B$52:$B$58,0)+1,7))+DATOS!$C$24)))),INDEX(TABLAS!$B$52:$B$58,MIN(MATCH(DATOS!$C$21,TABLAS!$B$52:$B$58,0)+1,7)),IF(AND(BA18&gt;=0,CEILING(BA18/INDEX(TABLAS!$D$52:$D$58,MIN(MATCH(DATOS!$C$21,TABLAS!$B$52:$B$58,0)+2,7)),1)&lt;=MIN(DATOS!$C$22,INT((DATOS!$C$25+DATOS!$C$24)/(INDEX(TABLAS!$C$52:$C$58,MIN(MATCH(DATOS!$C$21,TABLAS!$B$52:$B$58,0)+2,7))+DATOS!$C$24)))),INDEX(TABLAS!$B$52:$B$58,MIN(MATCH(DATOS!$C$21,TABLAS!$B$52:$B$58,0)+2,7)),IF(AND(BA18&gt;=0,CEILING(BA18/INDEX(TABLAS!$D$52:$D$58,MIN(MATCH(DATOS!$C$21,TABLAS!$B$52:$B$58,0)+3,7)),1)&lt;=MIN(DATOS!$C$22,INT((DATOS!$C$25+DATOS!$C$24)/(INDEX(TABLAS!$C$52:$C$58,MIN(MATCH(DATOS!$C$21,TABLAS!$B$52:$B$58,0)+3,7))+DATOS!$C$24)))),INDEX(TABLAS!$B$52:$B$58,MIN(MATCH(DATOS!$C$21,TABLAS!$B$52:$B$58,0)+3,7)),IF(AND(BA18&gt;=0,CEILING(BA18/INDEX(TABLAS!$D$52:$D$58,MIN(MATCH(DATOS!$C$21,TABLAS!$B$52:$B$58,0)+4,7)),1)&lt;=MIN(DATOS!$C$22,INT((DATOS!$C$25+DATOS!$C$24)/(INDEX(TABLAS!$C$52:$C$58,MIN(MATCH(DATOS!$C$21,TABLAS!$B$52:$B$58,0)+4,7))+DATOS!$C$24)))),INDEX(TABLAS!$B$52:$B$58,MIN(MATCH(DATOS!$C$21,TABLAS!$B$52:$B$58,0)+4,7)),INDEX(TABLAS!$B$52:$B$58,7))))))</f>
        <v>3</v>
      </c>
      <c r="BC18" s="55">
        <f>IF(D18="HUECO",0,IF(BA18&lt;0,0,MAX(1,CEILING(BA18/INDEX(TABLAS!$D$52:$D$58,MATCH(BB18,TABLAS!$B$52:$B$58,0)),1))))</f>
        <v>1</v>
      </c>
      <c r="BD18" s="34">
        <f>IF(BC18=0,0,DATOS!$C$45*BC18*INDEX(TABLAS!$D$52:$D$58,MATCH(BB18,TABLAS!$B$52:$B$58,0))*DATOS!$C$32*((DATOS!$C$15-DATOS!$C$18-INDEX(TABLAS!$C$52:$C$58,MATCH(DATOS!$C$19,TABLAS!$B$52:$B$58,0))-INDEX(TABLAS!$C$52:$C$58,MATCH(BB18,TABLAS!$B$52:$B$58,0))/2)-BC18*INDEX(TABLAS!$D$52:$D$58,MATCH(BB18,TABLAS!$B$52:$B$58,0))*DATOS!$C$32/(DATOS!$C$38*DATOS!$C$13)/2)/1E5)</f>
        <v>0.568518826235294</v>
      </c>
      <c r="BE18" s="59">
        <f>IF(BA18&lt;0,9.99,IF(BD18&gt;0,AK18/BD18,0))</f>
        <v>0.00879631958493693</v>
      </c>
      <c r="BF18" s="34">
        <f>IF(D18="PERIMETRAL",MAX(0,(J18/2-DATOS!$C$66/100))*(0.95-0.5*L18)*R18*IF(AND(S18&gt;0,S18&lt;4),DATOS!$C$50,1)*DATOS!$C$16/100/1000,IF(D18="VOLADO",(R18*J18+DATOS!$C$43*AG18)*DATOS!$C$16/100/1000,0))</f>
        <v>0</v>
      </c>
      <c r="BG18" s="34">
        <f>IF(D18="HUECO",0,DATOS!$C$46*IF((AS18*INDEX(TABLAS!$D$52:$D$58,MATCH(AR18,TABLAS!$B$52:$B$58,0))/(DATOS!$C$13*DATOS!$C$67))&lt;0.015,0.2+20*(AS18*INDEX(TABLAS!$D$52:$D$58,MATCH(AR18,TABLAS!$B$52:$B$58,0))/(DATOS!$C$13*DATOS!$C$67)),0.5)*SQRT(DATOS!$C$31)*DATOS!$C$13*DATOS!$C$67*DATOS!$C$49/1000)</f>
        <v>0.687439634849853</v>
      </c>
      <c r="BH18" s="49" t="str">
        <f>IF(D18="HUECO","—",IF(BF18&lt;=BG18,"CUMPLE","MACIZAR "&amp;MAX(1,CEILING(IF(D18="VOLADO",J18,J18/2)*(1-BG18/BF18)*100/DATOS!$C$16,1))&amp;" hilera(s)"))</f>
        <v>CUMPLE</v>
      </c>
      <c r="BI18" s="41">
        <f>IF(D18="PERIMETRAL",(2*(H18+I18)+0.25*(H18*((APOYOS!$G$65="DISCONTINUO")+(APOYOS!$G$66="DISCONTINUO"))+I18*((APOYOS!$G$67="DISCONTINUO")+(APOYOS!$G$68="DISCONTINUO"))))*(J18+MIN(K18,2*J18))/(J18+K18)*100/250*IF(OR(DATOS!$C$47&gt;2520,Q18&gt;380),0.032*(DATOS!$C$47*Q18)^0.25,1),IF(D18="VOLADO",J18*100/8,0))</f>
        <v>1.12052086606973</v>
      </c>
      <c r="BJ18" s="41">
        <f>IF(D18="VOLADO",DATOS!$C$15,DATOS!$C$68)</f>
        <v>13.6082564120244</v>
      </c>
      <c r="BK18" s="50" t="str">
        <f>IF(D18="HUECO","—",IF(BJ18&gt;=BI18,"CUMPLE","NO CUMPLE"))</f>
        <v>CUMPLE</v>
      </c>
      <c r="BL18" s="50" t="str">
        <f>IF(D18="PERIMETRAL",IF(DATOS!$C$16/100&lt;=J18/6,"SÍ","NO: a1 &lt; 6·s"),"—")</f>
        <v>NO: a1 &lt; 6·s</v>
      </c>
      <c r="BM18" s="55">
        <f>MAX(0,INT((F18*100-DATOS!$C$17+DATOS!$C$13)/DATOS!$C$16))</f>
        <v>4</v>
      </c>
      <c r="BN18" s="55">
        <f>MAX(0,INT((G18*100-DATOS!$C$17+DATOS!$C$13)/DATOS!$C$16))</f>
        <v>0</v>
      </c>
      <c r="BO18" s="49" t="str">
        <f>IF(COUNTIFS(TRIB!$C$6:$C$255,B18,TRIB!$K$6:$K$255,"NO CUMPLE*")+COUNTIFS(TRIB!$C$6:$C$255,B18,TRIB!$K$6:$K$255,"SIN APOYO*")&gt;0,"VER PRINCIPALES",IF((APOYOS!$F$65="LIBRE")+(APOYOS!$F$66="LIBRE")+(APOYOS!$F$67="LIBRE")+(APOYOS!$F$68="LIBRE")&gt;0,"REVISAR: borde libre","OK"))</f>
        <v>OK</v>
      </c>
      <c r="BP18" s="60" t="str">
        <f>IF(D18="HUECO","HUECO — marco de nervaduras principales",IF(AND(MAX(AP18,AU18,AZ18,BE18)&lt;=1,NOT(OR(AN18&gt;MIN(DATOS!$C$22,INT((DATOS!$C$25+DATOS!$C$24)/(INDEX(TABLAS!$C$52:$C$58,MATCH(AM18,TABLAS!$B$52:$B$58,0))+DATOS!$C$24))),AS18&gt;MIN(DATOS!$C$22,INT((DATOS!$C$25+DATOS!$C$24)/(INDEX(TABLAS!$C$52:$C$58,MATCH(AR18,TABLAS!$B$52:$B$58,0))+DATOS!$C$24))),AX18&gt;MIN(DATOS!$C$22,INT((DATOS!$C$25+DATOS!$C$24)/(INDEX(TABLAS!$C$52:$C$58,MATCH(AW18,TABLAS!$B$52:$B$58,0))+DATOS!$C$24))),BC18&gt;MIN(DATOS!$C$22,INT((DATOS!$C$25+DATOS!$C$24)/(INDEX(TABLAS!$C$52:$C$58,MATCH(BB18,TABLAS!$B$52:$B$58,0))+DATOS!$C$24))))),BK18="CUMPLE"),IF(BO18="OK",IF(BH18="CUMPLE","CUMPLE","CUMPLE — "&amp;BH18),IF(BO18="VER PRINCIPALES","VER PRINCIPALES","REVISAR APOYOS")),"NO CUMPLE: "&amp;IF(MAX(AP18,AU18,AZ18,BE18)&gt;1,"flexión ","")&amp;IF(OR(AN18&gt;MIN(DATOS!$C$22,INT((DATOS!$C$25+DATOS!$C$24)/(INDEX(TABLAS!$C$52:$C$58,MATCH(AM18,TABLAS!$B$52:$B$58,0))+DATOS!$C$24))),AS18&gt;MIN(DATOS!$C$22,INT((DATOS!$C$25+DATOS!$C$24)/(INDEX(TABLAS!$C$52:$C$58,MATCH(AR18,TABLAS!$B$52:$B$58,0))+DATOS!$C$24))),AX18&gt;MIN(DATOS!$C$22,INT((DATOS!$C$25+DATOS!$C$24)/(INDEX(TABLAS!$C$52:$C$58,MATCH(AW18,TABLAS!$B$52:$B$58,0))+DATOS!$C$24))),BC18&gt;MIN(DATOS!$C$22,INT((DATOS!$C$25+DATOS!$C$24)/(INDEX(TABLAS!$C$52:$C$58,MATCH(BB18,TABLAS!$B$52:$B$58,0))+DATOS!$C$24)))),"no caben ","")&amp;IF(BK18&lt;&gt;"CUMPLE","peralte","")))</f>
        <v>CUMPLE</v>
      </c>
      <c r="BQ18" s="61" t="inlineStr">
        <is>
          <t>No cabe un casetón en el claro corto: el tablero se cuela MACIZO.</t>
        </is>
      </c>
    </row>
    <row r="19" ht="30" customHeight="1">
      <c r="B19" s="49" t="inlineStr">
        <is>
          <t>F80012 N+3.00</t>
        </is>
      </c>
      <c r="C19" s="50" t="inlineStr">
        <is>
          <t>N+3.00</t>
        </is>
      </c>
      <c r="D19" s="51" t="inlineStr">
        <is>
          <t>VOLADO</t>
        </is>
      </c>
      <c r="E19" s="51" t="inlineStr">
        <is>
          <t>HABITACIÓN</t>
        </is>
      </c>
      <c r="F19" s="52" t="n">
        <v>2</v>
      </c>
      <c r="G19" s="52" t="n">
        <v>3.425</v>
      </c>
      <c r="H19" s="53" t="n">
        <v>2</v>
      </c>
      <c r="I19" s="53" t="n">
        <v>3.425</v>
      </c>
      <c r="J19" s="34">
        <f>MIN(H19,I19)</f>
        <v>2</v>
      </c>
      <c r="K19" s="34">
        <f>MAX(H19,I19)</f>
        <v>3.425</v>
      </c>
      <c r="L19" s="34">
        <f>IF(K19&gt;0,J19/K19,0)</f>
        <v>0.583941605839416</v>
      </c>
      <c r="M19" s="50" t="str">
        <f>IF(H19&lt;=I19,"X","Y")</f>
        <v>X</v>
      </c>
      <c r="N19" s="54" t="n">
        <v>210</v>
      </c>
      <c r="O19" s="55">
        <f>IF(E19="HABITACIÓN",DATOS!$C$76,DATOS!$C$78)</f>
        <v>190</v>
      </c>
      <c r="P19" s="55">
        <f>DATOS!$C$58</f>
        <v>253.673469387755</v>
      </c>
      <c r="Q19" s="55">
        <f>P19+N19+O19</f>
        <v>653.673469387755</v>
      </c>
      <c r="R19" s="56">
        <f>DATOS!$C$43*(P19+N19)+DATOS!$C$44*O19</f>
        <v>887.775510204082</v>
      </c>
      <c r="S19" s="55">
        <f>(APOYOS!$G$69="DISCONTINUO")+(APOYOS!$G$70="DISCONTINUO")+(APOYOS!$G$71="DISCONTINUO")+(APOYOS!$G$72="DISCONTINUO")</f>
        <v>3</v>
      </c>
      <c r="T19" s="55">
        <f>IF(M19="X",(APOYOS!$G$69="DISCONTINUO")+(APOYOS!$G$70="DISCONTINUO"),(APOYOS!$G$71="DISCONTINUO")+(APOYOS!$G$72="DISCONTINUO"))</f>
        <v>2</v>
      </c>
      <c r="U19" s="55">
        <f>S19-T19</f>
        <v>1</v>
      </c>
      <c r="V19" s="50" t="str">
        <f>IF(S19=0,"INTERIOR",IF(S19=1,IF(T19=1,"BORDE-CORTO","BORDE-LARGO"),IF(S19=2,IF(T19=1,"ESQUINA",IF(T19=2,"EXTREMO-LARGO","EXTREMO-CORTO")),IF(S19=3,IF(T19=2,"EXTREMO-LARGO","EXTREMO-CORTO"),"AISLADO"))))</f>
        <v>EXTREMO-LARGO</v>
      </c>
      <c r="W19" s="51" t="inlineStr">
        <is>
          <t>AUTO</t>
        </is>
      </c>
      <c r="X19" s="57" t="str">
        <f>IF(W19="AUTO",V19,W19)</f>
        <v>EXTREMO-LARGO</v>
      </c>
      <c r="Y19" s="55">
        <f>MATCH(L19,TABLAS!$D$5:$J$5,1)</f>
        <v>2</v>
      </c>
      <c r="Z19" s="41">
        <f>IF(Y19&gt;=7,0,(L19-INDEX(TABLAS!$D$5:$J$5,Y19))/(INDEX(TABLAS!$D$5:$J$5,Y19+1)-INDEX(TABLAS!$D$5:$J$5,Y19)))</f>
        <v>0.839416058394161</v>
      </c>
      <c r="AA19" s="55">
        <f>INDEX(TABLAS!$D$6:$J$47,MATCH(X19&amp;"|NIC",TABLAS!$B$6:$B$47,0),Y19)+Z19*(INDEX(TABLAS!$D$6:$J$47,MATCH(X19&amp;"|NIC",TABLAS!$B$6:$B$47,0),MIN(Y19+1,7))-INDEX(TABLAS!$D$6:$J$47,MATCH(X19&amp;"|NIC",TABLAS!$B$6:$B$47,0),Y19))</f>
        <v>902.846715328467</v>
      </c>
      <c r="AB19" s="55">
        <f>INDEX(TABLAS!$D$6:$J$47,MATCH(X19&amp;"|NIL",TABLAS!$B$6:$B$47,0),Y19)+Z19*(INDEX(TABLAS!$D$6:$J$47,MATCH(X19&amp;"|NIL",TABLAS!$B$6:$B$47,0),MIN(Y19+1,7))-INDEX(TABLAS!$D$6:$J$47,MATCH(X19&amp;"|NIL",TABLAS!$B$6:$B$47,0),Y19))</f>
        <v>0</v>
      </c>
      <c r="AC19" s="55">
        <f>INDEX(TABLAS!$D$6:$J$47,MATCH(X19&amp;"|NDC",TABLAS!$B$6:$B$47,0),Y19)+Z19*(INDEX(TABLAS!$D$6:$J$47,MATCH(X19&amp;"|NDC",TABLAS!$B$6:$B$47,0),MIN(Y19+1,7))-INDEX(TABLAS!$D$6:$J$47,MATCH(X19&amp;"|NDC",TABLAS!$B$6:$B$47,0),Y19))</f>
        <v>344.817518248175</v>
      </c>
      <c r="AD19" s="55">
        <f>INDEX(TABLAS!$D$6:$J$47,MATCH(X19&amp;"|NDL",TABLAS!$B$6:$B$47,0),Y19)+Z19*(INDEX(TABLAS!$D$6:$J$47,MATCH(X19&amp;"|NDL",TABLAS!$B$6:$B$47,0),MIN(Y19+1,7))-INDEX(TABLAS!$D$6:$J$47,MATCH(X19&amp;"|NDL",TABLAS!$B$6:$B$47,0),Y19))</f>
        <v>220</v>
      </c>
      <c r="AE19" s="55">
        <f>INDEX(TABLAS!$D$6:$J$47,MATCH(X19&amp;"|PC",TABLAS!$B$6:$B$47,0),Y19)+Z19*(INDEX(TABLAS!$D$6:$J$47,MATCH(X19&amp;"|PC",TABLAS!$B$6:$B$47,0),MIN(Y19+1,7))-INDEX(TABLAS!$D$6:$J$47,MATCH(X19&amp;"|PC",TABLAS!$B$6:$B$47,0),Y19))</f>
        <v>679.63503649635</v>
      </c>
      <c r="AF19" s="55">
        <f>INDEX(TABLAS!$D$6:$J$47,MATCH(X19&amp;"|PL",TABLAS!$B$6:$B$47,0),Y19)+Z19*(INDEX(TABLAS!$D$6:$J$47,MATCH(X19&amp;"|PL",TABLAS!$B$6:$B$47,0),MIN(Y19+1,7))-INDEX(TABLAS!$D$6:$J$47,MATCH(X19&amp;"|PL",TABLAS!$B$6:$B$47,0),Y19))</f>
        <v>430</v>
      </c>
      <c r="AG19" s="58" t="n">
        <v>333.7</v>
      </c>
      <c r="AH19" s="34">
        <f>IF(D19="PERIMETRAL",AE19*R19*J19^2*1E-4*DATOS!$C$16/100/1000,0)</f>
        <v>0</v>
      </c>
      <c r="AI19" s="34">
        <f>IF(D19="PERIMETRAL",MAX(AA19,AC19)*R19*J19^2*1E-4*DATOS!$C$16/100/1000,IF(D19="VOLADO",(R19*J19^2/2+DATOS!$C$43*AG19*J19)*DATOS!$C$16/100/1000,0))</f>
        <v>1.85021971428571</v>
      </c>
      <c r="AJ19" s="34">
        <f>IF(D19="PERIMETRAL",AF19*R19*J19^2*1E-4*DATOS!$C$16/100/1000,0)</f>
        <v>0</v>
      </c>
      <c r="AK19" s="34">
        <f>IF(D19="PERIMETRAL",MAX(AB19,AD19)*R19*J19^2*1E-4*DATOS!$C$16/100/1000,0)</f>
        <v>0</v>
      </c>
      <c r="AL19" s="41">
        <f>IF(D19="HUECO",0,IF(AH19&lt;=0,DATOS!$C$71*DATOS!$C$13*DATOS!$C$66,IF((1-2*AH19*1E5/(DATOS!$C$45*DATOS!$C$16*DATOS!$C$66^2*DATOS!$C$38))&lt;0,-1,MAX(DATOS!$C$71*DATOS!$C$13*DATOS!$C$66,(1-SQRT((1-2*AH19*1E5/(DATOS!$C$45*DATOS!$C$16*DATOS!$C$66^2*DATOS!$C$38))))*DATOS!$C$38*DATOS!$C$16*DATOS!$C$66/DATOS!$C$32))))</f>
        <v>0.576720388273208</v>
      </c>
      <c r="AM19" s="39">
        <f>IF(AND(AL19&gt;=0,CEILING(AL19/INDEX(TABLAS!$D$52:$D$58,MIN(MATCH(DATOS!$C$20,TABLAS!$B$52:$B$58,0)+0,7)),1)&lt;=MIN(DATOS!$C$22,INT((DATOS!$C$25+DATOS!$C$24)/(INDEX(TABLAS!$C$52:$C$58,MIN(MATCH(DATOS!$C$20,TABLAS!$B$52:$B$58,0)+0,7))+DATOS!$C$24)))),INDEX(TABLAS!$B$52:$B$58,MIN(MATCH(DATOS!$C$20,TABLAS!$B$52:$B$58,0)+0,7)),IF(AND(AL19&gt;=0,CEILING(AL19/INDEX(TABLAS!$D$52:$D$58,MIN(MATCH(DATOS!$C$20,TABLAS!$B$52:$B$58,0)+1,7)),1)&lt;=MIN(DATOS!$C$22,INT((DATOS!$C$25+DATOS!$C$24)/(INDEX(TABLAS!$C$52:$C$58,MIN(MATCH(DATOS!$C$20,TABLAS!$B$52:$B$58,0)+1,7))+DATOS!$C$24)))),INDEX(TABLAS!$B$52:$B$58,MIN(MATCH(DATOS!$C$20,TABLAS!$B$52:$B$58,0)+1,7)),IF(AND(AL19&gt;=0,CEILING(AL19/INDEX(TABLAS!$D$52:$D$58,MIN(MATCH(DATOS!$C$20,TABLAS!$B$52:$B$58,0)+2,7)),1)&lt;=MIN(DATOS!$C$22,INT((DATOS!$C$25+DATOS!$C$24)/(INDEX(TABLAS!$C$52:$C$58,MIN(MATCH(DATOS!$C$20,TABLAS!$B$52:$B$58,0)+2,7))+DATOS!$C$24)))),INDEX(TABLAS!$B$52:$B$58,MIN(MATCH(DATOS!$C$20,TABLAS!$B$52:$B$58,0)+2,7)),IF(AND(AL19&gt;=0,CEILING(AL19/INDEX(TABLAS!$D$52:$D$58,MIN(MATCH(DATOS!$C$20,TABLAS!$B$52:$B$58,0)+3,7)),1)&lt;=MIN(DATOS!$C$22,INT((DATOS!$C$25+DATOS!$C$24)/(INDEX(TABLAS!$C$52:$C$58,MIN(MATCH(DATOS!$C$20,TABLAS!$B$52:$B$58,0)+3,7))+DATOS!$C$24)))),INDEX(TABLAS!$B$52:$B$58,MIN(MATCH(DATOS!$C$20,TABLAS!$B$52:$B$58,0)+3,7)),IF(AND(AL19&gt;=0,CEILING(AL19/INDEX(TABLAS!$D$52:$D$58,MIN(MATCH(DATOS!$C$20,TABLAS!$B$52:$B$58,0)+4,7)),1)&lt;=MIN(DATOS!$C$22,INT((DATOS!$C$25+DATOS!$C$24)/(INDEX(TABLAS!$C$52:$C$58,MIN(MATCH(DATOS!$C$20,TABLAS!$B$52:$B$58,0)+4,7))+DATOS!$C$24)))),INDEX(TABLAS!$B$52:$B$58,MIN(MATCH(DATOS!$C$20,TABLAS!$B$52:$B$58,0)+4,7)),INDEX(TABLAS!$B$52:$B$58,7))))))</f>
        <v>3</v>
      </c>
      <c r="AN19" s="55">
        <f>IF(D19="HUECO",0,IF(AL19&lt;0,0,MAX(DATOS!$C$23,CEILING(AL19/INDEX(TABLAS!$D$52:$D$58,MATCH(AM19,TABLAS!$B$52:$B$58,0)),1))))</f>
        <v>1</v>
      </c>
      <c r="AO19" s="34">
        <f>IF(AN19=0,0,DATOS!$C$45*AN19*INDEX(TABLAS!$D$52:$D$58,MATCH(AM19,TABLAS!$B$52:$B$58,0))*DATOS!$C$32*((DATOS!$C$15-DATOS!$C$18-INDEX(TABLAS!$C$52:$C$58,MATCH(DATOS!$C$19,TABLAS!$B$52:$B$58,0))-INDEX(TABLAS!$C$52:$C$58,MATCH(AM19,TABLAS!$B$52:$B$58,0))/2)-AN19*INDEX(TABLAS!$D$52:$D$58,MATCH(AM19,TABLAS!$B$52:$B$58,0))*DATOS!$C$32/(DATOS!$C$38*DATOS!$C$16)/2)/1E5)</f>
        <v>0.584659515176471</v>
      </c>
      <c r="AP19" s="59">
        <f>IF(AL19&lt;0,9.99,IF(AO19&gt;0,AH19/AO19,0))</f>
        <v>0</v>
      </c>
      <c r="AQ19" s="41">
        <f>IF(D19="HUECO",0,IF(AI19&lt;=0,DATOS!$C$71*DATOS!$C$13*DATOS!$C$67,IF((1-2*AI19*1E5/(DATOS!$C$45*DATOS!$C$13*DATOS!$C$67^2*DATOS!$C$38))&lt;0,-1,IF((1-SQRT((1-2*AI19*1E5/(DATOS!$C$45*DATOS!$C$13*DATOS!$C$67^2*DATOS!$C$38))))*DATOS!$C$38*DATOS!$C$13*DATOS!$C$67/DATOS!$C$32&gt;DATOS!$C$70*DATOS!$C$13*DATOS!$C$67,-1,MAX(DATOS!$C$71*DATOS!$C$13*DATOS!$C$67,(1-SQRT((1-2*AI19*1E5/(DATOS!$C$45*DATOS!$C$13*DATOS!$C$67^2*DATOS!$C$38))))*DATOS!$C$38*DATOS!$C$13*DATOS!$C$67/DATOS!$C$32)))))</f>
        <v>2.52432549209458</v>
      </c>
      <c r="AR19" s="39">
        <f>IF(AND(AQ19&gt;=0,CEILING(AQ19/INDEX(TABLAS!$D$52:$D$58,MIN(MATCH(DATOS!$C$21,TABLAS!$B$52:$B$58,0)+0,7)),1)&lt;=MIN(DATOS!$C$22,INT((DATOS!$C$25+DATOS!$C$24)/(INDEX(TABLAS!$C$52:$C$58,MIN(MATCH(DATOS!$C$21,TABLAS!$B$52:$B$58,0)+0,7))+DATOS!$C$24)))),INDEX(TABLAS!$B$52:$B$58,MIN(MATCH(DATOS!$C$21,TABLAS!$B$52:$B$58,0)+0,7)),IF(AND(AQ19&gt;=0,CEILING(AQ19/INDEX(TABLAS!$D$52:$D$58,MIN(MATCH(DATOS!$C$21,TABLAS!$B$52:$B$58,0)+1,7)),1)&lt;=MIN(DATOS!$C$22,INT((DATOS!$C$25+DATOS!$C$24)/(INDEX(TABLAS!$C$52:$C$58,MIN(MATCH(DATOS!$C$21,TABLAS!$B$52:$B$58,0)+1,7))+DATOS!$C$24)))),INDEX(TABLAS!$B$52:$B$58,MIN(MATCH(DATOS!$C$21,TABLAS!$B$52:$B$58,0)+1,7)),IF(AND(AQ19&gt;=0,CEILING(AQ19/INDEX(TABLAS!$D$52:$D$58,MIN(MATCH(DATOS!$C$21,TABLAS!$B$52:$B$58,0)+2,7)),1)&lt;=MIN(DATOS!$C$22,INT((DATOS!$C$25+DATOS!$C$24)/(INDEX(TABLAS!$C$52:$C$58,MIN(MATCH(DATOS!$C$21,TABLAS!$B$52:$B$58,0)+2,7))+DATOS!$C$24)))),INDEX(TABLAS!$B$52:$B$58,MIN(MATCH(DATOS!$C$21,TABLAS!$B$52:$B$58,0)+2,7)),IF(AND(AQ19&gt;=0,CEILING(AQ19/INDEX(TABLAS!$D$52:$D$58,MIN(MATCH(DATOS!$C$21,TABLAS!$B$52:$B$58,0)+3,7)),1)&lt;=MIN(DATOS!$C$22,INT((DATOS!$C$25+DATOS!$C$24)/(INDEX(TABLAS!$C$52:$C$58,MIN(MATCH(DATOS!$C$21,TABLAS!$B$52:$B$58,0)+3,7))+DATOS!$C$24)))),INDEX(TABLAS!$B$52:$B$58,MIN(MATCH(DATOS!$C$21,TABLAS!$B$52:$B$58,0)+3,7)),IF(AND(AQ19&gt;=0,CEILING(AQ19/INDEX(TABLAS!$D$52:$D$58,MIN(MATCH(DATOS!$C$21,TABLAS!$B$52:$B$58,0)+4,7)),1)&lt;=MIN(DATOS!$C$22,INT((DATOS!$C$25+DATOS!$C$24)/(INDEX(TABLAS!$C$52:$C$58,MIN(MATCH(DATOS!$C$21,TABLAS!$B$52:$B$58,0)+4,7))+DATOS!$C$24)))),INDEX(TABLAS!$B$52:$B$58,MIN(MATCH(DATOS!$C$21,TABLAS!$B$52:$B$58,0)+4,7)),INDEX(TABLAS!$B$52:$B$58,7))))))</f>
        <v>6</v>
      </c>
      <c r="AS19" s="55">
        <f>IF(D19="HUECO",0,IF(AQ19&lt;0,0,MAX(1,CEILING(AQ19/INDEX(TABLAS!$D$52:$D$58,MATCH(AR19,TABLAS!$B$52:$B$58,0)),1))))</f>
        <v>1</v>
      </c>
      <c r="AT19" s="34">
        <f>IF(AS19=0,0,DATOS!$C$45*AS19*INDEX(TABLAS!$D$52:$D$58,MATCH(AR19,TABLAS!$B$52:$B$58,0))*DATOS!$C$32*((DATOS!$C$15-DATOS!$C$18-INDEX(TABLAS!$C$52:$C$58,MATCH(DATOS!$C$19,TABLAS!$B$52:$B$58,0))-INDEX(TABLAS!$C$52:$C$58,MATCH(AR19,TABLAS!$B$52:$B$58,0))/2)-AS19*INDEX(TABLAS!$D$52:$D$58,MATCH(AR19,TABLAS!$B$52:$B$58,0))*DATOS!$C$32/(DATOS!$C$38*DATOS!$C$13)/2)/1E5)</f>
        <v>2.00254227352941</v>
      </c>
      <c r="AU19" s="59">
        <f>IF(AQ19&lt;0,9.99,IF(AT19&gt;0,AI19/AT19,0))</f>
        <v>0.923935408876421</v>
      </c>
      <c r="AV19" s="41">
        <f>IF(D19="HUECO",0,IF(AJ19&lt;=0,DATOS!$C$71*DATOS!$C$13*DATOS!$C$66,IF((1-2*AJ19*1E5/(DATOS!$C$45*DATOS!$C$16*DATOS!$C$66^2*DATOS!$C$38))&lt;0,-1,MAX(DATOS!$C$71*DATOS!$C$13*DATOS!$C$66,(1-SQRT((1-2*AJ19*1E5/(DATOS!$C$45*DATOS!$C$16*DATOS!$C$66^2*DATOS!$C$38))))*DATOS!$C$38*DATOS!$C$16*DATOS!$C$66/DATOS!$C$32))))</f>
        <v>0.576720388273208</v>
      </c>
      <c r="AW19" s="39">
        <f>IF(AND(AV19&gt;=0,CEILING(AV19/INDEX(TABLAS!$D$52:$D$58,MIN(MATCH(DATOS!$C$20,TABLAS!$B$52:$B$58,0)+0,7)),1)&lt;=MIN(DATOS!$C$22,INT((DATOS!$C$25+DATOS!$C$24)/(INDEX(TABLAS!$C$52:$C$58,MIN(MATCH(DATOS!$C$20,TABLAS!$B$52:$B$58,0)+0,7))+DATOS!$C$24)))),INDEX(TABLAS!$B$52:$B$58,MIN(MATCH(DATOS!$C$20,TABLAS!$B$52:$B$58,0)+0,7)),IF(AND(AV19&gt;=0,CEILING(AV19/INDEX(TABLAS!$D$52:$D$58,MIN(MATCH(DATOS!$C$20,TABLAS!$B$52:$B$58,0)+1,7)),1)&lt;=MIN(DATOS!$C$22,INT((DATOS!$C$25+DATOS!$C$24)/(INDEX(TABLAS!$C$52:$C$58,MIN(MATCH(DATOS!$C$20,TABLAS!$B$52:$B$58,0)+1,7))+DATOS!$C$24)))),INDEX(TABLAS!$B$52:$B$58,MIN(MATCH(DATOS!$C$20,TABLAS!$B$52:$B$58,0)+1,7)),IF(AND(AV19&gt;=0,CEILING(AV19/INDEX(TABLAS!$D$52:$D$58,MIN(MATCH(DATOS!$C$20,TABLAS!$B$52:$B$58,0)+2,7)),1)&lt;=MIN(DATOS!$C$22,INT((DATOS!$C$25+DATOS!$C$24)/(INDEX(TABLAS!$C$52:$C$58,MIN(MATCH(DATOS!$C$20,TABLAS!$B$52:$B$58,0)+2,7))+DATOS!$C$24)))),INDEX(TABLAS!$B$52:$B$58,MIN(MATCH(DATOS!$C$20,TABLAS!$B$52:$B$58,0)+2,7)),IF(AND(AV19&gt;=0,CEILING(AV19/INDEX(TABLAS!$D$52:$D$58,MIN(MATCH(DATOS!$C$20,TABLAS!$B$52:$B$58,0)+3,7)),1)&lt;=MIN(DATOS!$C$22,INT((DATOS!$C$25+DATOS!$C$24)/(INDEX(TABLAS!$C$52:$C$58,MIN(MATCH(DATOS!$C$20,TABLAS!$B$52:$B$58,0)+3,7))+DATOS!$C$24)))),INDEX(TABLAS!$B$52:$B$58,MIN(MATCH(DATOS!$C$20,TABLAS!$B$52:$B$58,0)+3,7)),IF(AND(AV19&gt;=0,CEILING(AV19/INDEX(TABLAS!$D$52:$D$58,MIN(MATCH(DATOS!$C$20,TABLAS!$B$52:$B$58,0)+4,7)),1)&lt;=MIN(DATOS!$C$22,INT((DATOS!$C$25+DATOS!$C$24)/(INDEX(TABLAS!$C$52:$C$58,MIN(MATCH(DATOS!$C$20,TABLAS!$B$52:$B$58,0)+4,7))+DATOS!$C$24)))),INDEX(TABLAS!$B$52:$B$58,MIN(MATCH(DATOS!$C$20,TABLAS!$B$52:$B$58,0)+4,7)),INDEX(TABLAS!$B$52:$B$58,7))))))</f>
        <v>3</v>
      </c>
      <c r="AX19" s="55">
        <f>IF(D19="HUECO",0,IF(AV19&lt;0,0,MAX(DATOS!$C$23,CEILING(AV19/INDEX(TABLAS!$D$52:$D$58,MATCH(AW19,TABLAS!$B$52:$B$58,0)),1))))</f>
        <v>1</v>
      </c>
      <c r="AY19" s="34">
        <f>IF(AX19=0,0,DATOS!$C$45*AX19*INDEX(TABLAS!$D$52:$D$58,MATCH(AW19,TABLAS!$B$52:$B$58,0))*DATOS!$C$32*((DATOS!$C$15-DATOS!$C$18-INDEX(TABLAS!$C$52:$C$58,MATCH(DATOS!$C$19,TABLAS!$B$52:$B$58,0))-INDEX(TABLAS!$C$52:$C$58,MATCH(AW19,TABLAS!$B$52:$B$58,0))/2)-AX19*INDEX(TABLAS!$D$52:$D$58,MATCH(AW19,TABLAS!$B$52:$B$58,0))*DATOS!$C$32/(DATOS!$C$38*DATOS!$C$16)/2)/1E5)</f>
        <v>0.584659515176471</v>
      </c>
      <c r="AZ19" s="59">
        <f>IF(AV19&lt;0,9.99,IF(AY19&gt;0,AJ19/AY19,0))</f>
        <v>0</v>
      </c>
      <c r="BA19" s="41">
        <f>IF(D19="HUECO",0,IF(AK19&lt;=0,DATOS!$C$71*DATOS!$C$13*DATOS!$C$67,IF((1-2*AK19*1E5/(DATOS!$C$45*DATOS!$C$13*DATOS!$C$67^2*DATOS!$C$38))&lt;0,-1,IF((1-SQRT((1-2*AK19*1E5/(DATOS!$C$45*DATOS!$C$13*DATOS!$C$67^2*DATOS!$C$38))))*DATOS!$C$38*DATOS!$C$13*DATOS!$C$67/DATOS!$C$32&gt;DATOS!$C$70*DATOS!$C$13*DATOS!$C$67,-1,MAX(DATOS!$C$71*DATOS!$C$13*DATOS!$C$67,(1-SQRT((1-2*AK19*1E5/(DATOS!$C$45*DATOS!$C$13*DATOS!$C$67^2*DATOS!$C$38))))*DATOS!$C$38*DATOS!$C$13*DATOS!$C$67/DATOS!$C$32)))))</f>
        <v>0.576720388273208</v>
      </c>
      <c r="BB19" s="39">
        <f>IF(AND(BA19&gt;=0,CEILING(BA19/INDEX(TABLAS!$D$52:$D$58,MIN(MATCH(DATOS!$C$21,TABLAS!$B$52:$B$58,0)+0,7)),1)&lt;=MIN(DATOS!$C$22,INT((DATOS!$C$25+DATOS!$C$24)/(INDEX(TABLAS!$C$52:$C$58,MIN(MATCH(DATOS!$C$21,TABLAS!$B$52:$B$58,0)+0,7))+DATOS!$C$24)))),INDEX(TABLAS!$B$52:$B$58,MIN(MATCH(DATOS!$C$21,TABLAS!$B$52:$B$58,0)+0,7)),IF(AND(BA19&gt;=0,CEILING(BA19/INDEX(TABLAS!$D$52:$D$58,MIN(MATCH(DATOS!$C$21,TABLAS!$B$52:$B$58,0)+1,7)),1)&lt;=MIN(DATOS!$C$22,INT((DATOS!$C$25+DATOS!$C$24)/(INDEX(TABLAS!$C$52:$C$58,MIN(MATCH(DATOS!$C$21,TABLAS!$B$52:$B$58,0)+1,7))+DATOS!$C$24)))),INDEX(TABLAS!$B$52:$B$58,MIN(MATCH(DATOS!$C$21,TABLAS!$B$52:$B$58,0)+1,7)),IF(AND(BA19&gt;=0,CEILING(BA19/INDEX(TABLAS!$D$52:$D$58,MIN(MATCH(DATOS!$C$21,TABLAS!$B$52:$B$58,0)+2,7)),1)&lt;=MIN(DATOS!$C$22,INT((DATOS!$C$25+DATOS!$C$24)/(INDEX(TABLAS!$C$52:$C$58,MIN(MATCH(DATOS!$C$21,TABLAS!$B$52:$B$58,0)+2,7))+DATOS!$C$24)))),INDEX(TABLAS!$B$52:$B$58,MIN(MATCH(DATOS!$C$21,TABLAS!$B$52:$B$58,0)+2,7)),IF(AND(BA19&gt;=0,CEILING(BA19/INDEX(TABLAS!$D$52:$D$58,MIN(MATCH(DATOS!$C$21,TABLAS!$B$52:$B$58,0)+3,7)),1)&lt;=MIN(DATOS!$C$22,INT((DATOS!$C$25+DATOS!$C$24)/(INDEX(TABLAS!$C$52:$C$58,MIN(MATCH(DATOS!$C$21,TABLAS!$B$52:$B$58,0)+3,7))+DATOS!$C$24)))),INDEX(TABLAS!$B$52:$B$58,MIN(MATCH(DATOS!$C$21,TABLAS!$B$52:$B$58,0)+3,7)),IF(AND(BA19&gt;=0,CEILING(BA19/INDEX(TABLAS!$D$52:$D$58,MIN(MATCH(DATOS!$C$21,TABLAS!$B$52:$B$58,0)+4,7)),1)&lt;=MIN(DATOS!$C$22,INT((DATOS!$C$25+DATOS!$C$24)/(INDEX(TABLAS!$C$52:$C$58,MIN(MATCH(DATOS!$C$21,TABLAS!$B$52:$B$58,0)+4,7))+DATOS!$C$24)))),INDEX(TABLAS!$B$52:$B$58,MIN(MATCH(DATOS!$C$21,TABLAS!$B$52:$B$58,0)+4,7)),INDEX(TABLAS!$B$52:$B$58,7))))))</f>
        <v>3</v>
      </c>
      <c r="BC19" s="55">
        <f>IF(D19="HUECO",0,IF(BA19&lt;0,0,MAX(1,CEILING(BA19/INDEX(TABLAS!$D$52:$D$58,MATCH(BB19,TABLAS!$B$52:$B$58,0)),1))))</f>
        <v>1</v>
      </c>
      <c r="BD19" s="34">
        <f>IF(BC19=0,0,DATOS!$C$45*BC19*INDEX(TABLAS!$D$52:$D$58,MATCH(BB19,TABLAS!$B$52:$B$58,0))*DATOS!$C$32*((DATOS!$C$15-DATOS!$C$18-INDEX(TABLAS!$C$52:$C$58,MATCH(DATOS!$C$19,TABLAS!$B$52:$B$58,0))-INDEX(TABLAS!$C$52:$C$58,MATCH(BB19,TABLAS!$B$52:$B$58,0))/2)-BC19*INDEX(TABLAS!$D$52:$D$58,MATCH(BB19,TABLAS!$B$52:$B$58,0))*DATOS!$C$32/(DATOS!$C$38*DATOS!$C$13)/2)/1E5)</f>
        <v>0.568518826235294</v>
      </c>
      <c r="BE19" s="59">
        <f>IF(BA19&lt;0,9.99,IF(BD19&gt;0,AK19/BD19,0))</f>
        <v>0</v>
      </c>
      <c r="BF19" s="34">
        <f>IF(D19="PERIMETRAL",MAX(0,(J19/2-DATOS!$C$66/100))*(0.95-0.5*L19)*R19*IF(AND(S19&gt;0,S19&lt;4),DATOS!$C$50,1)*DATOS!$C$16/100/1000,IF(D19="VOLADO",(R19*J19+DATOS!$C$43*AG19)*DATOS!$C$16/100/1000,0))</f>
        <v>1.54655271428571</v>
      </c>
      <c r="BG19" s="34">
        <f>IF(D19="HUECO",0,DATOS!$C$46*IF((AS19*INDEX(TABLAS!$D$52:$D$58,MATCH(AR19,TABLAS!$B$52:$B$58,0))/(DATOS!$C$13*DATOS!$C$67))&lt;0.015,0.2+20*(AS19*INDEX(TABLAS!$D$52:$D$58,MATCH(AR19,TABLAS!$B$52:$B$58,0))/(DATOS!$C$13*DATOS!$C$67)),0.5)*SQRT(DATOS!$C$31)*DATOS!$C$13*DATOS!$C$67*DATOS!$C$49/1000)</f>
        <v>1.19498519930688</v>
      </c>
      <c r="BH19" s="49" t="str">
        <f>IF(D19="HUECO","—",IF(BF19&lt;=BG19,"CUMPLE","MACIZAR "&amp;MAX(1,CEILING(IF(D19="VOLADO",J19,J19/2)*(1-BG19/BF19)*100/DATOS!$C$16,1))&amp;" hilera(s)"))</f>
        <v>MACIZAR 1 hilera(s)</v>
      </c>
      <c r="BI19" s="41">
        <f>IF(D19="PERIMETRAL",(2*(H19+I19)+0.25*(H19*((APOYOS!$G$69="DISCONTINUO")+(APOYOS!$G$70="DISCONTINUO"))+I19*((APOYOS!$G$71="DISCONTINUO")+(APOYOS!$G$72="DISCONTINUO"))))*(J19+MIN(K19,2*J19))/(J19+K19)*100/250*IF(OR(DATOS!$C$47&gt;2520,Q19&gt;380),0.032*(DATOS!$C$47*Q19)^0.25,1),IF(D19="VOLADO",J19*100/8,0))</f>
        <v>25</v>
      </c>
      <c r="BJ19" s="41">
        <f>IF(D19="VOLADO",DATOS!$C$15,DATOS!$C$68)</f>
        <v>25</v>
      </c>
      <c r="BK19" s="50" t="str">
        <f>IF(D19="HUECO","—",IF(BJ19&gt;=BI19,"CUMPLE","NO CUMPLE"))</f>
        <v>CUMPLE</v>
      </c>
      <c r="BL19" s="50" t="str">
        <f>IF(D19="PERIMETRAL",IF(DATOS!$C$16/100&lt;=J19/6,"SÍ","NO: a1 &lt; 6·s"),"—")</f>
        <v>—</v>
      </c>
      <c r="BM19" s="55">
        <f>MAX(0,INT((F19*100-DATOS!$C$17+DATOS!$C$13)/DATOS!$C$16))</f>
        <v>2</v>
      </c>
      <c r="BN19" s="55">
        <f>MAX(0,INT((G19*100-DATOS!$C$17+DATOS!$C$13)/DATOS!$C$16))</f>
        <v>4</v>
      </c>
      <c r="BO19" s="49" t="str">
        <f>IF(COUNTIFS(TRIB!$C$6:$C$255,B19,TRIB!$K$6:$K$255,"NO CUMPLE*")+COUNTIFS(TRIB!$C$6:$C$255,B19,TRIB!$K$6:$K$255,"SIN APOYO*")&gt;0,"VER PRINCIPALES",IF((APOYOS!$F$69="LIBRE")+(APOYOS!$F$70="LIBRE")+(APOYOS!$F$71="LIBRE")+(APOYOS!$F$72="LIBRE")&gt;0,"REVISAR: borde libre","OK"))</f>
        <v>OK</v>
      </c>
      <c r="BP19" s="60" t="str">
        <f>IF(D19="HUECO","HUECO — marco de nervaduras principales",IF(AND(MAX(AP19,AU19,AZ19,BE19)&lt;=1,NOT(OR(AN19&gt;MIN(DATOS!$C$22,INT((DATOS!$C$25+DATOS!$C$24)/(INDEX(TABLAS!$C$52:$C$58,MATCH(AM19,TABLAS!$B$52:$B$58,0))+DATOS!$C$24))),AS19&gt;MIN(DATOS!$C$22,INT((DATOS!$C$25+DATOS!$C$24)/(INDEX(TABLAS!$C$52:$C$58,MATCH(AR19,TABLAS!$B$52:$B$58,0))+DATOS!$C$24))),AX19&gt;MIN(DATOS!$C$22,INT((DATOS!$C$25+DATOS!$C$24)/(INDEX(TABLAS!$C$52:$C$58,MATCH(AW19,TABLAS!$B$52:$B$58,0))+DATOS!$C$24))),BC19&gt;MIN(DATOS!$C$22,INT((DATOS!$C$25+DATOS!$C$24)/(INDEX(TABLAS!$C$52:$C$58,MATCH(BB19,TABLAS!$B$52:$B$58,0))+DATOS!$C$24))))),BK19="CUMPLE"),IF(BO19="OK",IF(BH19="CUMPLE","CUMPLE","CUMPLE — "&amp;BH19),IF(BO19="VER PRINCIPALES","VER PRINCIPALES","REVISAR APOYOS")),"NO CUMPLE: "&amp;IF(MAX(AP19,AU19,AZ19,BE19)&gt;1,"flexión ","")&amp;IF(OR(AN19&gt;MIN(DATOS!$C$22,INT((DATOS!$C$25+DATOS!$C$24)/(INDEX(TABLAS!$C$52:$C$58,MATCH(AM19,TABLAS!$B$52:$B$58,0))+DATOS!$C$24))),AS19&gt;MIN(DATOS!$C$22,INT((DATOS!$C$25+DATOS!$C$24)/(INDEX(TABLAS!$C$52:$C$58,MATCH(AR19,TABLAS!$B$52:$B$58,0))+DATOS!$C$24))),AX19&gt;MIN(DATOS!$C$22,INT((DATOS!$C$25+DATOS!$C$24)/(INDEX(TABLAS!$C$52:$C$58,MATCH(AW19,TABLAS!$B$52:$B$58,0))+DATOS!$C$24))),BC19&gt;MIN(DATOS!$C$22,INT((DATOS!$C$25+DATOS!$C$24)/(INDEX(TABLAS!$C$52:$C$58,MATCH(BB19,TABLAS!$B$52:$B$58,0))+DATOS!$C$24)))),"no caben ","")&amp;IF(BK19&lt;&gt;"CUMPLE","peralte","")))</f>
        <v>CUMPLE — MACIZAR 1 hilera(s)</v>
      </c>
      <c r="BQ19" s="61" t="inlineStr">
        <is>
          <t>Volado de 2.00 m desde el borde derecho (muro). Orilla libre con 333.7 kg/m del E2K.</t>
        </is>
      </c>
    </row>
    <row r="20" ht="30" customHeight="1">
      <c r="B20" s="49" t="inlineStr">
        <is>
          <t>F80013 N+3.00</t>
        </is>
      </c>
      <c r="C20" s="50" t="inlineStr">
        <is>
          <t>N+3.00</t>
        </is>
      </c>
      <c r="D20" s="51" t="inlineStr">
        <is>
          <t>PERIMETRAL</t>
        </is>
      </c>
      <c r="E20" s="51" t="inlineStr">
        <is>
          <t>HABITACIÓN</t>
        </is>
      </c>
      <c r="F20" s="52" t="n">
        <v>0.897</v>
      </c>
      <c r="G20" s="52" t="n">
        <v>1.999</v>
      </c>
      <c r="H20" s="53" t="n">
        <v>0.897</v>
      </c>
      <c r="I20" s="53" t="n">
        <v>1.999</v>
      </c>
      <c r="J20" s="34">
        <f>MIN(H20,I20)</f>
        <v>0.897</v>
      </c>
      <c r="K20" s="34">
        <f>MAX(H20,I20)</f>
        <v>1.999</v>
      </c>
      <c r="L20" s="34">
        <f>IF(K20&gt;0,J20/K20,0)</f>
        <v>0.448724362181091</v>
      </c>
      <c r="M20" s="50" t="str">
        <f>IF(H20&lt;=I20,"X","Y")</f>
        <v>X</v>
      </c>
      <c r="N20" s="54" t="n">
        <v>160</v>
      </c>
      <c r="O20" s="55">
        <f>IF(E20="HABITACIÓN",DATOS!$C$76,DATOS!$C$78)</f>
        <v>190</v>
      </c>
      <c r="P20" s="55">
        <f>DATOS!$C$58</f>
        <v>253.673469387755</v>
      </c>
      <c r="Q20" s="55">
        <f>P20+N20+O20</f>
        <v>603.673469387755</v>
      </c>
      <c r="R20" s="56">
        <f>DATOS!$C$43*(P20+N20)+DATOS!$C$44*O20</f>
        <v>822.775510204082</v>
      </c>
      <c r="S20" s="55">
        <f>(APOYOS!$G$73="DISCONTINUO")+(APOYOS!$G$74="DISCONTINUO")+(APOYOS!$G$75="DISCONTINUO")+(APOYOS!$G$76="DISCONTINUO")</f>
        <v>0</v>
      </c>
      <c r="T20" s="55">
        <f>IF(M20="X",(APOYOS!$G$73="DISCONTINUO")+(APOYOS!$G$74="DISCONTINUO"),(APOYOS!$G$75="DISCONTINUO")+(APOYOS!$G$76="DISCONTINUO"))</f>
        <v>0</v>
      </c>
      <c r="U20" s="55">
        <f>S20-T20</f>
        <v>0</v>
      </c>
      <c r="V20" s="50" t="str">
        <f>IF(S20=0,"INTERIOR",IF(S20=1,IF(T20=1,"BORDE-CORTO","BORDE-LARGO"),IF(S20=2,IF(T20=1,"ESQUINA",IF(T20=2,"EXTREMO-LARGO","EXTREMO-CORTO")),IF(S20=3,IF(T20=2,"EXTREMO-LARGO","EXTREMO-CORTO"),"AISLADO"))))</f>
        <v>INTERIOR</v>
      </c>
      <c r="W20" s="51" t="inlineStr">
        <is>
          <t>AUTO</t>
        </is>
      </c>
      <c r="X20" s="57" t="str">
        <f>IF(W20="AUTO",V20,W20)</f>
        <v>INTERIOR</v>
      </c>
      <c r="Y20" s="55">
        <f>MATCH(L20,TABLAS!$D$5:$J$5,1)</f>
        <v>1</v>
      </c>
      <c r="Z20" s="41">
        <f>IF(Y20&gt;=7,0,(L20-INDEX(TABLAS!$D$5:$J$5,Y20))/(INDEX(TABLAS!$D$5:$J$5,Y20+1)-INDEX(TABLAS!$D$5:$J$5,Y20)))</f>
        <v>0.897448724362181</v>
      </c>
      <c r="AA20" s="55">
        <f>INDEX(TABLAS!$D$6:$J$47,MATCH(X20&amp;"|NIC",TABLAS!$B$6:$B$47,0),Y20)+Z20*(INDEX(TABLAS!$D$6:$J$47,MATCH(X20&amp;"|NIC",TABLAS!$B$6:$B$47,0),MIN(Y20+1,7))-INDEX(TABLAS!$D$6:$J$47,MATCH(X20&amp;"|NIC",TABLAS!$B$6:$B$47,0),Y20))</f>
        <v>598.635317658829</v>
      </c>
      <c r="AB20" s="55">
        <f>INDEX(TABLAS!$D$6:$J$47,MATCH(X20&amp;"|NIL",TABLAS!$B$6:$B$47,0),Y20)+Z20*(INDEX(TABLAS!$D$6:$J$47,MATCH(X20&amp;"|NIL",TABLAS!$B$6:$B$47,0),MIN(Y20+1,7))-INDEX(TABLAS!$D$6:$J$47,MATCH(X20&amp;"|NIL",TABLAS!$B$6:$B$47,0),Y20))</f>
        <v>419.972986493247</v>
      </c>
      <c r="AC20" s="55">
        <f>INDEX(TABLAS!$D$6:$J$47,MATCH(X20&amp;"|NDC",TABLAS!$B$6:$B$47,0),Y20)+Z20*(INDEX(TABLAS!$D$6:$J$47,MATCH(X20&amp;"|NDC",TABLAS!$B$6:$B$47,0),MIN(Y20+1,7))-INDEX(TABLAS!$D$6:$J$47,MATCH(X20&amp;"|NDC",TABLAS!$B$6:$B$47,0),Y20))</f>
        <v>0</v>
      </c>
      <c r="AD20" s="55">
        <f>INDEX(TABLAS!$D$6:$J$47,MATCH(X20&amp;"|NDL",TABLAS!$B$6:$B$47,0),Y20)+Z20*(INDEX(TABLAS!$D$6:$J$47,MATCH(X20&amp;"|NDL",TABLAS!$B$6:$B$47,0),MIN(Y20+1,7))-INDEX(TABLAS!$D$6:$J$47,MATCH(X20&amp;"|NDL",TABLAS!$B$6:$B$47,0),Y20))</f>
        <v>0</v>
      </c>
      <c r="AE20" s="55">
        <f>INDEX(TABLAS!$D$6:$J$47,MATCH(X20&amp;"|PC",TABLAS!$B$6:$B$47,0),Y20)+Z20*(INDEX(TABLAS!$D$6:$J$47,MATCH(X20&amp;"|PC",TABLAS!$B$6:$B$47,0),MIN(Y20+1,7))-INDEX(TABLAS!$D$6:$J$47,MATCH(X20&amp;"|PC",TABLAS!$B$6:$B$47,0),Y20))</f>
        <v>344.611305652826</v>
      </c>
      <c r="AF20" s="55">
        <f>INDEX(TABLAS!$D$6:$J$47,MATCH(X20&amp;"|PL",TABLAS!$B$6:$B$47,0),Y20)+Z20*(INDEX(TABLAS!$D$6:$J$47,MATCH(X20&amp;"|PL",TABLAS!$B$6:$B$47,0),MIN(Y20+1,7))-INDEX(TABLAS!$D$6:$J$47,MATCH(X20&amp;"|PL",TABLAS!$B$6:$B$47,0),Y20))</f>
        <v>142.691845922961</v>
      </c>
      <c r="AG20" s="58" t="n">
        <v>0</v>
      </c>
      <c r="AH20" s="34">
        <f>IF(D20="PERIMETRAL",AE20*R20*J20^2*1E-4*DATOS!$C$16/100/1000,0)</f>
        <v>0.015969591380483</v>
      </c>
      <c r="AI20" s="34">
        <f>IF(D20="PERIMETRAL",MAX(AA20,AC20)*R20*J20^2*1E-4*DATOS!$C$16/100/1000,IF(D20="VOLADO",(R20*J20^2/2+DATOS!$C$43*AG20*J20)*DATOS!$C$16/100/1000,0))</f>
        <v>0.0277412877990955</v>
      </c>
      <c r="AJ20" s="34">
        <f>IF(D20="PERIMETRAL",AF20*R20*J20^2*1E-4*DATOS!$C$16/100/1000,0)</f>
        <v>0.00661246579940185</v>
      </c>
      <c r="AK20" s="34">
        <f>IF(D20="PERIMETRAL",MAX(AB20,AD20)*R20*J20^2*1E-4*DATOS!$C$16/100/1000,0)</f>
        <v>0.019461918036708</v>
      </c>
      <c r="AL20" s="41">
        <f>IF(D20="HUECO",0,IF(AH20&lt;=0,DATOS!$C$71*DATOS!$C$13*DATOS!$C$66,IF((1-2*AH20*1E5/(DATOS!$C$45*DATOS!$C$16*DATOS!$C$66^2*DATOS!$C$38))&lt;0,-1,MAX(DATOS!$C$71*DATOS!$C$13*DATOS!$C$66,(1-SQRT((1-2*AH20*1E5/(DATOS!$C$45*DATOS!$C$16*DATOS!$C$66^2*DATOS!$C$38))))*DATOS!$C$38*DATOS!$C$16*DATOS!$C$66/DATOS!$C$32))))</f>
        <v>0.576720388273208</v>
      </c>
      <c r="AM20" s="39">
        <f>IF(AND(AL20&gt;=0,CEILING(AL20/INDEX(TABLAS!$D$52:$D$58,MIN(MATCH(DATOS!$C$20,TABLAS!$B$52:$B$58,0)+0,7)),1)&lt;=MIN(DATOS!$C$22,INT((DATOS!$C$25+DATOS!$C$24)/(INDEX(TABLAS!$C$52:$C$58,MIN(MATCH(DATOS!$C$20,TABLAS!$B$52:$B$58,0)+0,7))+DATOS!$C$24)))),INDEX(TABLAS!$B$52:$B$58,MIN(MATCH(DATOS!$C$20,TABLAS!$B$52:$B$58,0)+0,7)),IF(AND(AL20&gt;=0,CEILING(AL20/INDEX(TABLAS!$D$52:$D$58,MIN(MATCH(DATOS!$C$20,TABLAS!$B$52:$B$58,0)+1,7)),1)&lt;=MIN(DATOS!$C$22,INT((DATOS!$C$25+DATOS!$C$24)/(INDEX(TABLAS!$C$52:$C$58,MIN(MATCH(DATOS!$C$20,TABLAS!$B$52:$B$58,0)+1,7))+DATOS!$C$24)))),INDEX(TABLAS!$B$52:$B$58,MIN(MATCH(DATOS!$C$20,TABLAS!$B$52:$B$58,0)+1,7)),IF(AND(AL20&gt;=0,CEILING(AL20/INDEX(TABLAS!$D$52:$D$58,MIN(MATCH(DATOS!$C$20,TABLAS!$B$52:$B$58,0)+2,7)),1)&lt;=MIN(DATOS!$C$22,INT((DATOS!$C$25+DATOS!$C$24)/(INDEX(TABLAS!$C$52:$C$58,MIN(MATCH(DATOS!$C$20,TABLAS!$B$52:$B$58,0)+2,7))+DATOS!$C$24)))),INDEX(TABLAS!$B$52:$B$58,MIN(MATCH(DATOS!$C$20,TABLAS!$B$52:$B$58,0)+2,7)),IF(AND(AL20&gt;=0,CEILING(AL20/INDEX(TABLAS!$D$52:$D$58,MIN(MATCH(DATOS!$C$20,TABLAS!$B$52:$B$58,0)+3,7)),1)&lt;=MIN(DATOS!$C$22,INT((DATOS!$C$25+DATOS!$C$24)/(INDEX(TABLAS!$C$52:$C$58,MIN(MATCH(DATOS!$C$20,TABLAS!$B$52:$B$58,0)+3,7))+DATOS!$C$24)))),INDEX(TABLAS!$B$52:$B$58,MIN(MATCH(DATOS!$C$20,TABLAS!$B$52:$B$58,0)+3,7)),IF(AND(AL20&gt;=0,CEILING(AL20/INDEX(TABLAS!$D$52:$D$58,MIN(MATCH(DATOS!$C$20,TABLAS!$B$52:$B$58,0)+4,7)),1)&lt;=MIN(DATOS!$C$22,INT((DATOS!$C$25+DATOS!$C$24)/(INDEX(TABLAS!$C$52:$C$58,MIN(MATCH(DATOS!$C$20,TABLAS!$B$52:$B$58,0)+4,7))+DATOS!$C$24)))),INDEX(TABLAS!$B$52:$B$58,MIN(MATCH(DATOS!$C$20,TABLAS!$B$52:$B$58,0)+4,7)),INDEX(TABLAS!$B$52:$B$58,7))))))</f>
        <v>3</v>
      </c>
      <c r="AN20" s="55">
        <f>IF(D20="HUECO",0,IF(AL20&lt;0,0,MAX(DATOS!$C$23,CEILING(AL20/INDEX(TABLAS!$D$52:$D$58,MATCH(AM20,TABLAS!$B$52:$B$58,0)),1))))</f>
        <v>1</v>
      </c>
      <c r="AO20" s="34">
        <f>IF(AN20=0,0,DATOS!$C$45*AN20*INDEX(TABLAS!$D$52:$D$58,MATCH(AM20,TABLAS!$B$52:$B$58,0))*DATOS!$C$32*((DATOS!$C$15-DATOS!$C$18-INDEX(TABLAS!$C$52:$C$58,MATCH(DATOS!$C$19,TABLAS!$B$52:$B$58,0))-INDEX(TABLAS!$C$52:$C$58,MATCH(AM20,TABLAS!$B$52:$B$58,0))/2)-AN20*INDEX(TABLAS!$D$52:$D$58,MATCH(AM20,TABLAS!$B$52:$B$58,0))*DATOS!$C$32/(DATOS!$C$38*DATOS!$C$16)/2)/1E5)</f>
        <v>0.584659515176471</v>
      </c>
      <c r="AP20" s="59">
        <f>IF(AL20&lt;0,9.99,IF(AO20&gt;0,AH20/AO20,0))</f>
        <v>0.0273143444448395</v>
      </c>
      <c r="AQ20" s="41">
        <f>IF(D20="HUECO",0,IF(AI20&lt;=0,DATOS!$C$71*DATOS!$C$13*DATOS!$C$67,IF((1-2*AI20*1E5/(DATOS!$C$45*DATOS!$C$13*DATOS!$C$67^2*DATOS!$C$38))&lt;0,-1,IF((1-SQRT((1-2*AI20*1E5/(DATOS!$C$45*DATOS!$C$13*DATOS!$C$67^2*DATOS!$C$38))))*DATOS!$C$38*DATOS!$C$13*DATOS!$C$67/DATOS!$C$32&gt;DATOS!$C$70*DATOS!$C$13*DATOS!$C$67,-1,MAX(DATOS!$C$71*DATOS!$C$13*DATOS!$C$67,(1-SQRT((1-2*AI20*1E5/(DATOS!$C$45*DATOS!$C$13*DATOS!$C$67^2*DATOS!$C$38))))*DATOS!$C$38*DATOS!$C$13*DATOS!$C$67/DATOS!$C$32)))))</f>
        <v>0.576720388273208</v>
      </c>
      <c r="AR20" s="39">
        <f>IF(AND(AQ20&gt;=0,CEILING(AQ20/INDEX(TABLAS!$D$52:$D$58,MIN(MATCH(DATOS!$C$21,TABLAS!$B$52:$B$58,0)+0,7)),1)&lt;=MIN(DATOS!$C$22,INT((DATOS!$C$25+DATOS!$C$24)/(INDEX(TABLAS!$C$52:$C$58,MIN(MATCH(DATOS!$C$21,TABLAS!$B$52:$B$58,0)+0,7))+DATOS!$C$24)))),INDEX(TABLAS!$B$52:$B$58,MIN(MATCH(DATOS!$C$21,TABLAS!$B$52:$B$58,0)+0,7)),IF(AND(AQ20&gt;=0,CEILING(AQ20/INDEX(TABLAS!$D$52:$D$58,MIN(MATCH(DATOS!$C$21,TABLAS!$B$52:$B$58,0)+1,7)),1)&lt;=MIN(DATOS!$C$22,INT((DATOS!$C$25+DATOS!$C$24)/(INDEX(TABLAS!$C$52:$C$58,MIN(MATCH(DATOS!$C$21,TABLAS!$B$52:$B$58,0)+1,7))+DATOS!$C$24)))),INDEX(TABLAS!$B$52:$B$58,MIN(MATCH(DATOS!$C$21,TABLAS!$B$52:$B$58,0)+1,7)),IF(AND(AQ20&gt;=0,CEILING(AQ20/INDEX(TABLAS!$D$52:$D$58,MIN(MATCH(DATOS!$C$21,TABLAS!$B$52:$B$58,0)+2,7)),1)&lt;=MIN(DATOS!$C$22,INT((DATOS!$C$25+DATOS!$C$24)/(INDEX(TABLAS!$C$52:$C$58,MIN(MATCH(DATOS!$C$21,TABLAS!$B$52:$B$58,0)+2,7))+DATOS!$C$24)))),INDEX(TABLAS!$B$52:$B$58,MIN(MATCH(DATOS!$C$21,TABLAS!$B$52:$B$58,0)+2,7)),IF(AND(AQ20&gt;=0,CEILING(AQ20/INDEX(TABLAS!$D$52:$D$58,MIN(MATCH(DATOS!$C$21,TABLAS!$B$52:$B$58,0)+3,7)),1)&lt;=MIN(DATOS!$C$22,INT((DATOS!$C$25+DATOS!$C$24)/(INDEX(TABLAS!$C$52:$C$58,MIN(MATCH(DATOS!$C$21,TABLAS!$B$52:$B$58,0)+3,7))+DATOS!$C$24)))),INDEX(TABLAS!$B$52:$B$58,MIN(MATCH(DATOS!$C$21,TABLAS!$B$52:$B$58,0)+3,7)),IF(AND(AQ20&gt;=0,CEILING(AQ20/INDEX(TABLAS!$D$52:$D$58,MIN(MATCH(DATOS!$C$21,TABLAS!$B$52:$B$58,0)+4,7)),1)&lt;=MIN(DATOS!$C$22,INT((DATOS!$C$25+DATOS!$C$24)/(INDEX(TABLAS!$C$52:$C$58,MIN(MATCH(DATOS!$C$21,TABLAS!$B$52:$B$58,0)+4,7))+DATOS!$C$24)))),INDEX(TABLAS!$B$52:$B$58,MIN(MATCH(DATOS!$C$21,TABLAS!$B$52:$B$58,0)+4,7)),INDEX(TABLAS!$B$52:$B$58,7))))))</f>
        <v>3</v>
      </c>
      <c r="AS20" s="55">
        <f>IF(D20="HUECO",0,IF(AQ20&lt;0,0,MAX(1,CEILING(AQ20/INDEX(TABLAS!$D$52:$D$58,MATCH(AR20,TABLAS!$B$52:$B$58,0)),1))))</f>
        <v>1</v>
      </c>
      <c r="AT20" s="34">
        <f>IF(AS20=0,0,DATOS!$C$45*AS20*INDEX(TABLAS!$D$52:$D$58,MATCH(AR20,TABLAS!$B$52:$B$58,0))*DATOS!$C$32*((DATOS!$C$15-DATOS!$C$18-INDEX(TABLAS!$C$52:$C$58,MATCH(DATOS!$C$19,TABLAS!$B$52:$B$58,0))-INDEX(TABLAS!$C$52:$C$58,MATCH(AR20,TABLAS!$B$52:$B$58,0))/2)-AS20*INDEX(TABLAS!$D$52:$D$58,MATCH(AR20,TABLAS!$B$52:$B$58,0))*DATOS!$C$32/(DATOS!$C$38*DATOS!$C$13)/2)/1E5)</f>
        <v>0.568518826235294</v>
      </c>
      <c r="AU20" s="59">
        <f>IF(AQ20&lt;0,9.99,IF(AT20&gt;0,AI20/AT20,0))</f>
        <v>0.0487957241148848</v>
      </c>
      <c r="AV20" s="41">
        <f>IF(D20="HUECO",0,IF(AJ20&lt;=0,DATOS!$C$71*DATOS!$C$13*DATOS!$C$66,IF((1-2*AJ20*1E5/(DATOS!$C$45*DATOS!$C$16*DATOS!$C$66^2*DATOS!$C$38))&lt;0,-1,MAX(DATOS!$C$71*DATOS!$C$13*DATOS!$C$66,(1-SQRT((1-2*AJ20*1E5/(DATOS!$C$45*DATOS!$C$16*DATOS!$C$66^2*DATOS!$C$38))))*DATOS!$C$38*DATOS!$C$16*DATOS!$C$66/DATOS!$C$32))))</f>
        <v>0.576720388273208</v>
      </c>
      <c r="AW20" s="39">
        <f>IF(AND(AV20&gt;=0,CEILING(AV20/INDEX(TABLAS!$D$52:$D$58,MIN(MATCH(DATOS!$C$20,TABLAS!$B$52:$B$58,0)+0,7)),1)&lt;=MIN(DATOS!$C$22,INT((DATOS!$C$25+DATOS!$C$24)/(INDEX(TABLAS!$C$52:$C$58,MIN(MATCH(DATOS!$C$20,TABLAS!$B$52:$B$58,0)+0,7))+DATOS!$C$24)))),INDEX(TABLAS!$B$52:$B$58,MIN(MATCH(DATOS!$C$20,TABLAS!$B$52:$B$58,0)+0,7)),IF(AND(AV20&gt;=0,CEILING(AV20/INDEX(TABLAS!$D$52:$D$58,MIN(MATCH(DATOS!$C$20,TABLAS!$B$52:$B$58,0)+1,7)),1)&lt;=MIN(DATOS!$C$22,INT((DATOS!$C$25+DATOS!$C$24)/(INDEX(TABLAS!$C$52:$C$58,MIN(MATCH(DATOS!$C$20,TABLAS!$B$52:$B$58,0)+1,7))+DATOS!$C$24)))),INDEX(TABLAS!$B$52:$B$58,MIN(MATCH(DATOS!$C$20,TABLAS!$B$52:$B$58,0)+1,7)),IF(AND(AV20&gt;=0,CEILING(AV20/INDEX(TABLAS!$D$52:$D$58,MIN(MATCH(DATOS!$C$20,TABLAS!$B$52:$B$58,0)+2,7)),1)&lt;=MIN(DATOS!$C$22,INT((DATOS!$C$25+DATOS!$C$24)/(INDEX(TABLAS!$C$52:$C$58,MIN(MATCH(DATOS!$C$20,TABLAS!$B$52:$B$58,0)+2,7))+DATOS!$C$24)))),INDEX(TABLAS!$B$52:$B$58,MIN(MATCH(DATOS!$C$20,TABLAS!$B$52:$B$58,0)+2,7)),IF(AND(AV20&gt;=0,CEILING(AV20/INDEX(TABLAS!$D$52:$D$58,MIN(MATCH(DATOS!$C$20,TABLAS!$B$52:$B$58,0)+3,7)),1)&lt;=MIN(DATOS!$C$22,INT((DATOS!$C$25+DATOS!$C$24)/(INDEX(TABLAS!$C$52:$C$58,MIN(MATCH(DATOS!$C$20,TABLAS!$B$52:$B$58,0)+3,7))+DATOS!$C$24)))),INDEX(TABLAS!$B$52:$B$58,MIN(MATCH(DATOS!$C$20,TABLAS!$B$52:$B$58,0)+3,7)),IF(AND(AV20&gt;=0,CEILING(AV20/INDEX(TABLAS!$D$52:$D$58,MIN(MATCH(DATOS!$C$20,TABLAS!$B$52:$B$58,0)+4,7)),1)&lt;=MIN(DATOS!$C$22,INT((DATOS!$C$25+DATOS!$C$24)/(INDEX(TABLAS!$C$52:$C$58,MIN(MATCH(DATOS!$C$20,TABLAS!$B$52:$B$58,0)+4,7))+DATOS!$C$24)))),INDEX(TABLAS!$B$52:$B$58,MIN(MATCH(DATOS!$C$20,TABLAS!$B$52:$B$58,0)+4,7)),INDEX(TABLAS!$B$52:$B$58,7))))))</f>
        <v>3</v>
      </c>
      <c r="AX20" s="55">
        <f>IF(D20="HUECO",0,IF(AV20&lt;0,0,MAX(DATOS!$C$23,CEILING(AV20/INDEX(TABLAS!$D$52:$D$58,MATCH(AW20,TABLAS!$B$52:$B$58,0)),1))))</f>
        <v>1</v>
      </c>
      <c r="AY20" s="34">
        <f>IF(AX20=0,0,DATOS!$C$45*AX20*INDEX(TABLAS!$D$52:$D$58,MATCH(AW20,TABLAS!$B$52:$B$58,0))*DATOS!$C$32*((DATOS!$C$15-DATOS!$C$18-INDEX(TABLAS!$C$52:$C$58,MATCH(DATOS!$C$19,TABLAS!$B$52:$B$58,0))-INDEX(TABLAS!$C$52:$C$58,MATCH(AW20,TABLAS!$B$52:$B$58,0))/2)-AX20*INDEX(TABLAS!$D$52:$D$58,MATCH(AW20,TABLAS!$B$52:$B$58,0))*DATOS!$C$32/(DATOS!$C$38*DATOS!$C$16)/2)/1E5)</f>
        <v>0.584659515176471</v>
      </c>
      <c r="AZ20" s="59">
        <f>IF(AV20&lt;0,9.99,IF(AY20&gt;0,AJ20/AY20,0))</f>
        <v>0.011309943014279</v>
      </c>
      <c r="BA20" s="41">
        <f>IF(D20="HUECO",0,IF(AK20&lt;=0,DATOS!$C$71*DATOS!$C$13*DATOS!$C$67,IF((1-2*AK20*1E5/(DATOS!$C$45*DATOS!$C$13*DATOS!$C$67^2*DATOS!$C$38))&lt;0,-1,IF((1-SQRT((1-2*AK20*1E5/(DATOS!$C$45*DATOS!$C$13*DATOS!$C$67^2*DATOS!$C$38))))*DATOS!$C$38*DATOS!$C$13*DATOS!$C$67/DATOS!$C$32&gt;DATOS!$C$70*DATOS!$C$13*DATOS!$C$67,-1,MAX(DATOS!$C$71*DATOS!$C$13*DATOS!$C$67,(1-SQRT((1-2*AK20*1E5/(DATOS!$C$45*DATOS!$C$13*DATOS!$C$67^2*DATOS!$C$38))))*DATOS!$C$38*DATOS!$C$13*DATOS!$C$67/DATOS!$C$32)))))</f>
        <v>0.576720388273208</v>
      </c>
      <c r="BB20" s="39">
        <f>IF(AND(BA20&gt;=0,CEILING(BA20/INDEX(TABLAS!$D$52:$D$58,MIN(MATCH(DATOS!$C$21,TABLAS!$B$52:$B$58,0)+0,7)),1)&lt;=MIN(DATOS!$C$22,INT((DATOS!$C$25+DATOS!$C$24)/(INDEX(TABLAS!$C$52:$C$58,MIN(MATCH(DATOS!$C$21,TABLAS!$B$52:$B$58,0)+0,7))+DATOS!$C$24)))),INDEX(TABLAS!$B$52:$B$58,MIN(MATCH(DATOS!$C$21,TABLAS!$B$52:$B$58,0)+0,7)),IF(AND(BA20&gt;=0,CEILING(BA20/INDEX(TABLAS!$D$52:$D$58,MIN(MATCH(DATOS!$C$21,TABLAS!$B$52:$B$58,0)+1,7)),1)&lt;=MIN(DATOS!$C$22,INT((DATOS!$C$25+DATOS!$C$24)/(INDEX(TABLAS!$C$52:$C$58,MIN(MATCH(DATOS!$C$21,TABLAS!$B$52:$B$58,0)+1,7))+DATOS!$C$24)))),INDEX(TABLAS!$B$52:$B$58,MIN(MATCH(DATOS!$C$21,TABLAS!$B$52:$B$58,0)+1,7)),IF(AND(BA20&gt;=0,CEILING(BA20/INDEX(TABLAS!$D$52:$D$58,MIN(MATCH(DATOS!$C$21,TABLAS!$B$52:$B$58,0)+2,7)),1)&lt;=MIN(DATOS!$C$22,INT((DATOS!$C$25+DATOS!$C$24)/(INDEX(TABLAS!$C$52:$C$58,MIN(MATCH(DATOS!$C$21,TABLAS!$B$52:$B$58,0)+2,7))+DATOS!$C$24)))),INDEX(TABLAS!$B$52:$B$58,MIN(MATCH(DATOS!$C$21,TABLAS!$B$52:$B$58,0)+2,7)),IF(AND(BA20&gt;=0,CEILING(BA20/INDEX(TABLAS!$D$52:$D$58,MIN(MATCH(DATOS!$C$21,TABLAS!$B$52:$B$58,0)+3,7)),1)&lt;=MIN(DATOS!$C$22,INT((DATOS!$C$25+DATOS!$C$24)/(INDEX(TABLAS!$C$52:$C$58,MIN(MATCH(DATOS!$C$21,TABLAS!$B$52:$B$58,0)+3,7))+DATOS!$C$24)))),INDEX(TABLAS!$B$52:$B$58,MIN(MATCH(DATOS!$C$21,TABLAS!$B$52:$B$58,0)+3,7)),IF(AND(BA20&gt;=0,CEILING(BA20/INDEX(TABLAS!$D$52:$D$58,MIN(MATCH(DATOS!$C$21,TABLAS!$B$52:$B$58,0)+4,7)),1)&lt;=MIN(DATOS!$C$22,INT((DATOS!$C$25+DATOS!$C$24)/(INDEX(TABLAS!$C$52:$C$58,MIN(MATCH(DATOS!$C$21,TABLAS!$B$52:$B$58,0)+4,7))+DATOS!$C$24)))),INDEX(TABLAS!$B$52:$B$58,MIN(MATCH(DATOS!$C$21,TABLAS!$B$52:$B$58,0)+4,7)),INDEX(TABLAS!$B$52:$B$58,7))))))</f>
        <v>3</v>
      </c>
      <c r="BC20" s="55">
        <f>IF(D20="HUECO",0,IF(BA20&lt;0,0,MAX(1,CEILING(BA20/INDEX(TABLAS!$D$52:$D$58,MATCH(BB20,TABLAS!$B$52:$B$58,0)),1))))</f>
        <v>1</v>
      </c>
      <c r="BD20" s="34">
        <f>IF(BC20=0,0,DATOS!$C$45*BC20*INDEX(TABLAS!$D$52:$D$58,MATCH(BB20,TABLAS!$B$52:$B$58,0))*DATOS!$C$32*((DATOS!$C$15-DATOS!$C$18-INDEX(TABLAS!$C$52:$C$58,MATCH(DATOS!$C$19,TABLAS!$B$52:$B$58,0))-INDEX(TABLAS!$C$52:$C$58,MATCH(BB20,TABLAS!$B$52:$B$58,0))/2)-BC20*INDEX(TABLAS!$D$52:$D$58,MATCH(BB20,TABLAS!$B$52:$B$58,0))*DATOS!$C$32/(DATOS!$C$38*DATOS!$C$13)/2)/1E5)</f>
        <v>0.568518826235294</v>
      </c>
      <c r="BE20" s="59">
        <f>IF(BA20&lt;0,9.99,IF(BD20&gt;0,AK20/BD20,0))</f>
        <v>0.0342326711774595</v>
      </c>
      <c r="BF20" s="34">
        <f>IF(D20="PERIMETRAL",MAX(0,(J20/2-DATOS!$C$66/100))*(0.95-0.5*L20)*R20*IF(AND(S20&gt;0,S20&lt;4),DATOS!$C$50,1)*DATOS!$C$16/100/1000,IF(D20="VOLADO",(R20*J20+DATOS!$C$43*AG20)*DATOS!$C$16/100/1000,0))</f>
        <v>0.0959766872233974</v>
      </c>
      <c r="BG20" s="34">
        <f>IF(D20="HUECO",0,DATOS!$C$46*IF((AS20*INDEX(TABLAS!$D$52:$D$58,MATCH(AR20,TABLAS!$B$52:$B$58,0))/(DATOS!$C$13*DATOS!$C$67))&lt;0.015,0.2+20*(AS20*INDEX(TABLAS!$D$52:$D$58,MATCH(AR20,TABLAS!$B$52:$B$58,0))/(DATOS!$C$13*DATOS!$C$67)),0.5)*SQRT(DATOS!$C$31)*DATOS!$C$13*DATOS!$C$67*DATOS!$C$49/1000)</f>
        <v>0.687439634849853</v>
      </c>
      <c r="BH20" s="49" t="str">
        <f>IF(D20="HUECO","—",IF(BF20&lt;=BG20,"CUMPLE","MACIZAR "&amp;MAX(1,CEILING(IF(D20="VOLADO",J20,J20/2)*(1-BG20/BF20)*100/DATOS!$C$16,1))&amp;" hilera(s)"))</f>
        <v>CUMPLE</v>
      </c>
      <c r="BI20" s="41">
        <f>IF(D20="PERIMETRAL",(2*(H20+I20)+0.25*(H20*((APOYOS!$G$73="DISCONTINUO")+(APOYOS!$G$74="DISCONTINUO"))+I20*((APOYOS!$G$75="DISCONTINUO")+(APOYOS!$G$76="DISCONTINUO"))))*(J20+MIN(K20,2*J20))/(J20+K20)*100/250*IF(OR(DATOS!$C$47&gt;2520,Q20&gt;380),0.032*(DATOS!$C$47*Q20)^0.25,1),IF(D20="VOLADO",J20*100/8,0))</f>
        <v>2.41938130626226</v>
      </c>
      <c r="BJ20" s="41">
        <f>IF(D20="VOLADO",DATOS!$C$15,DATOS!$C$68)</f>
        <v>13.6082564120244</v>
      </c>
      <c r="BK20" s="50" t="str">
        <f>IF(D20="HUECO","—",IF(BJ20&gt;=BI20,"CUMPLE","NO CUMPLE"))</f>
        <v>CUMPLE</v>
      </c>
      <c r="BL20" s="50" t="str">
        <f>IF(D20="PERIMETRAL",IF(DATOS!$C$16/100&lt;=J20/6,"SÍ","NO: a1 &lt; 6·s"),"—")</f>
        <v>NO: a1 &lt; 6·s</v>
      </c>
      <c r="BM20" s="55">
        <f>MAX(0,INT((F20*100-DATOS!$C$17+DATOS!$C$13)/DATOS!$C$16))</f>
        <v>1</v>
      </c>
      <c r="BN20" s="55">
        <f>MAX(0,INT((G20*100-DATOS!$C$17+DATOS!$C$13)/DATOS!$C$16))</f>
        <v>2</v>
      </c>
      <c r="BO20" s="49" t="str">
        <f>IF(COUNTIFS(TRIB!$C$6:$C$255,B20,TRIB!$K$6:$K$255,"NO CUMPLE*")+COUNTIFS(TRIB!$C$6:$C$255,B20,TRIB!$K$6:$K$255,"SIN APOYO*")&gt;0,"VER PRINCIPALES",IF((APOYOS!$F$73="LIBRE")+(APOYOS!$F$74="LIBRE")+(APOYOS!$F$75="LIBRE")+(APOYOS!$F$76="LIBRE")&gt;0,"REVISAR: borde libre","OK"))</f>
        <v>OK</v>
      </c>
      <c r="BP20" s="60" t="str">
        <f>IF(D20="HUECO","HUECO — marco de nervaduras principales",IF(AND(MAX(AP20,AU20,AZ20,BE20)&lt;=1,NOT(OR(AN20&gt;MIN(DATOS!$C$22,INT((DATOS!$C$25+DATOS!$C$24)/(INDEX(TABLAS!$C$52:$C$58,MATCH(AM20,TABLAS!$B$52:$B$58,0))+DATOS!$C$24))),AS20&gt;MIN(DATOS!$C$22,INT((DATOS!$C$25+DATOS!$C$24)/(INDEX(TABLAS!$C$52:$C$58,MATCH(AR20,TABLAS!$B$52:$B$58,0))+DATOS!$C$24))),AX20&gt;MIN(DATOS!$C$22,INT((DATOS!$C$25+DATOS!$C$24)/(INDEX(TABLAS!$C$52:$C$58,MATCH(AW20,TABLAS!$B$52:$B$58,0))+DATOS!$C$24))),BC20&gt;MIN(DATOS!$C$22,INT((DATOS!$C$25+DATOS!$C$24)/(INDEX(TABLAS!$C$52:$C$58,MATCH(BB20,TABLAS!$B$52:$B$58,0))+DATOS!$C$24))))),BK20="CUMPLE"),IF(BO20="OK",IF(BH20="CUMPLE","CUMPLE","CUMPLE — "&amp;BH20),IF(BO20="VER PRINCIPALES","VER PRINCIPALES","REVISAR APOYOS")),"NO CUMPLE: "&amp;IF(MAX(AP20,AU20,AZ20,BE20)&gt;1,"flexión ","")&amp;IF(OR(AN20&gt;MIN(DATOS!$C$22,INT((DATOS!$C$25+DATOS!$C$24)/(INDEX(TABLAS!$C$52:$C$58,MATCH(AM20,TABLAS!$B$52:$B$58,0))+DATOS!$C$24))),AS20&gt;MIN(DATOS!$C$22,INT((DATOS!$C$25+DATOS!$C$24)/(INDEX(TABLAS!$C$52:$C$58,MATCH(AR20,TABLAS!$B$52:$B$58,0))+DATOS!$C$24))),AX20&gt;MIN(DATOS!$C$22,INT((DATOS!$C$25+DATOS!$C$24)/(INDEX(TABLAS!$C$52:$C$58,MATCH(AW20,TABLAS!$B$52:$B$58,0))+DATOS!$C$24))),BC20&gt;MIN(DATOS!$C$22,INT((DATOS!$C$25+DATOS!$C$24)/(INDEX(TABLAS!$C$52:$C$58,MATCH(BB20,TABLAS!$B$52:$B$58,0))+DATOS!$C$24)))),"no caben ","")&amp;IF(BK20&lt;&gt;"CUMPLE","peralte","")))</f>
        <v>CUMPLE</v>
      </c>
      <c r="BQ20" s="61" t="inlineStr">
        <is>
          <t>Forma de L: rectángulo envolvente.</t>
        </is>
      </c>
    </row>
    <row r="21" ht="30" customHeight="1">
      <c r="B21" s="49" t="inlineStr">
        <is>
          <t>F80014 N+3.00</t>
        </is>
      </c>
      <c r="C21" s="50" t="inlineStr">
        <is>
          <t>N+3.00</t>
        </is>
      </c>
      <c r="D21" s="51" t="inlineStr">
        <is>
          <t>PERIMETRAL</t>
        </is>
      </c>
      <c r="E21" s="51" t="inlineStr">
        <is>
          <t>HABITACIÓN</t>
        </is>
      </c>
      <c r="F21" s="52" t="n">
        <v>3.029</v>
      </c>
      <c r="G21" s="52" t="n">
        <v>1.6</v>
      </c>
      <c r="H21" s="53" t="n">
        <v>3.029</v>
      </c>
      <c r="I21" s="53" t="n">
        <v>1.6</v>
      </c>
      <c r="J21" s="34">
        <f>MIN(H21,I21)</f>
        <v>1.6</v>
      </c>
      <c r="K21" s="34">
        <f>MAX(H21,I21)</f>
        <v>3.029</v>
      </c>
      <c r="L21" s="34">
        <f>IF(K21&gt;0,J21/K21,0)</f>
        <v>0.528227137669198</v>
      </c>
      <c r="M21" s="50" t="str">
        <f>IF(H21&lt;=I21,"X","Y")</f>
        <v>Y</v>
      </c>
      <c r="N21" s="54" t="n">
        <v>230</v>
      </c>
      <c r="O21" s="55">
        <f>IF(E21="HABITACIÓN",DATOS!$C$76,DATOS!$C$78)</f>
        <v>190</v>
      </c>
      <c r="P21" s="55">
        <f>DATOS!$C$58</f>
        <v>253.673469387755</v>
      </c>
      <c r="Q21" s="55">
        <f>P21+N21+O21</f>
        <v>673.673469387755</v>
      </c>
      <c r="R21" s="56">
        <f>DATOS!$C$43*(P21+N21)+DATOS!$C$44*O21</f>
        <v>913.775510204082</v>
      </c>
      <c r="S21" s="55">
        <f>(APOYOS!$G$77="DISCONTINUO")+(APOYOS!$G$78="DISCONTINUO")+(APOYOS!$G$79="DISCONTINUO")+(APOYOS!$G$80="DISCONTINUO")</f>
        <v>0</v>
      </c>
      <c r="T21" s="55">
        <f>IF(M21="X",(APOYOS!$G$77="DISCONTINUO")+(APOYOS!$G$78="DISCONTINUO"),(APOYOS!$G$79="DISCONTINUO")+(APOYOS!$G$80="DISCONTINUO"))</f>
        <v>0</v>
      </c>
      <c r="U21" s="55">
        <f>S21-T21</f>
        <v>0</v>
      </c>
      <c r="V21" s="50" t="str">
        <f>IF(S21=0,"INTERIOR",IF(S21=1,IF(T21=1,"BORDE-CORTO","BORDE-LARGO"),IF(S21=2,IF(T21=1,"ESQUINA",IF(T21=2,"EXTREMO-LARGO","EXTREMO-CORTO")),IF(S21=3,IF(T21=2,"EXTREMO-LARGO","EXTREMO-CORTO"),"AISLADO"))))</f>
        <v>INTERIOR</v>
      </c>
      <c r="W21" s="51" t="inlineStr">
        <is>
          <t>AUTO</t>
        </is>
      </c>
      <c r="X21" s="57" t="str">
        <f>IF(W21="AUTO",V21,W21)</f>
        <v>INTERIOR</v>
      </c>
      <c r="Y21" s="55">
        <f>MATCH(L21,TABLAS!$D$5:$J$5,1)</f>
        <v>2</v>
      </c>
      <c r="Z21" s="41">
        <f>IF(Y21&gt;=7,0,(L21-INDEX(TABLAS!$D$5:$J$5,Y21))/(INDEX(TABLAS!$D$5:$J$5,Y21+1)-INDEX(TABLAS!$D$5:$J$5,Y21)))</f>
        <v>0.282271376691978</v>
      </c>
      <c r="AA21" s="55">
        <f>INDEX(TABLAS!$D$6:$J$47,MATCH(X21&amp;"|NIC",TABLAS!$B$6:$B$47,0),Y21)+Z21*(INDEX(TABLAS!$D$6:$J$47,MATCH(X21&amp;"|NIC",TABLAS!$B$6:$B$47,0),MIN(Y21+1,7))-INDEX(TABLAS!$D$6:$J$47,MATCH(X21&amp;"|NIC",TABLAS!$B$6:$B$47,0),Y21))</f>
        <v>534.934631891713</v>
      </c>
      <c r="AB21" s="55">
        <f>INDEX(TABLAS!$D$6:$J$47,MATCH(X21&amp;"|NIL",TABLAS!$B$6:$B$47,0),Y21)+Z21*(INDEX(TABLAS!$D$6:$J$47,MATCH(X21&amp;"|NIL",TABLAS!$B$6:$B$47,0),MIN(Y21+1,7))-INDEX(TABLAS!$D$6:$J$47,MATCH(X21&amp;"|NIL",TABLAS!$B$6:$B$47,0),Y21))</f>
        <v>403.919115219544</v>
      </c>
      <c r="AC21" s="55">
        <f>INDEX(TABLAS!$D$6:$J$47,MATCH(X21&amp;"|NDC",TABLAS!$B$6:$B$47,0),Y21)+Z21*(INDEX(TABLAS!$D$6:$J$47,MATCH(X21&amp;"|NDC",TABLAS!$B$6:$B$47,0),MIN(Y21+1,7))-INDEX(TABLAS!$D$6:$J$47,MATCH(X21&amp;"|NDC",TABLAS!$B$6:$B$47,0),Y21))</f>
        <v>0</v>
      </c>
      <c r="AD21" s="55">
        <f>INDEX(TABLAS!$D$6:$J$47,MATCH(X21&amp;"|NDL",TABLAS!$B$6:$B$47,0),Y21)+Z21*(INDEX(TABLAS!$D$6:$J$47,MATCH(X21&amp;"|NDL",TABLAS!$B$6:$B$47,0),MIN(Y21+1,7))-INDEX(TABLAS!$D$6:$J$47,MATCH(X21&amp;"|NDL",TABLAS!$B$6:$B$47,0),Y21))</f>
        <v>0</v>
      </c>
      <c r="AE21" s="55">
        <f>INDEX(TABLAS!$D$6:$J$47,MATCH(X21&amp;"|PC",TABLAS!$B$6:$B$47,0),Y21)+Z21*(INDEX(TABLAS!$D$6:$J$47,MATCH(X21&amp;"|PC",TABLAS!$B$6:$B$47,0),MIN(Y21+1,7))-INDEX(TABLAS!$D$6:$J$47,MATCH(X21&amp;"|PC",TABLAS!$B$6:$B$47,0),Y21))</f>
        <v>299.580059425553</v>
      </c>
      <c r="AF21" s="55">
        <f>INDEX(TABLAS!$D$6:$J$47,MATCH(X21&amp;"|PL",TABLAS!$B$6:$B$47,0),Y21)+Z21*(INDEX(TABLAS!$D$6:$J$47,MATCH(X21&amp;"|PL",TABLAS!$B$6:$B$47,0),MIN(Y21+1,7))-INDEX(TABLAS!$D$6:$J$47,MATCH(X21&amp;"|PL",TABLAS!$B$6:$B$47,0),Y21))</f>
        <v>137.58864311654</v>
      </c>
      <c r="AG21" s="58" t="n">
        <v>0</v>
      </c>
      <c r="AH21" s="34">
        <f>IF(D21="PERIMETRAL",AE21*R21*J21^2*1E-4*DATOS!$C$16/100/1000,0)</f>
        <v>0.0490558067594208</v>
      </c>
      <c r="AI21" s="34">
        <f>IF(D21="PERIMETRAL",MAX(AA21,AC21)*R21*J21^2*1E-4*DATOS!$C$16/100/1000,IF(D21="VOLADO",(R21*J21^2/2+DATOS!$C$43*AG21*J21)*DATOS!$C$16/100/1000,0))</f>
        <v>0.0875947817799368</v>
      </c>
      <c r="AJ21" s="34">
        <f>IF(D21="PERIMETRAL",AF21*R21*J21^2*1E-4*DATOS!$C$16/100/1000,0)</f>
        <v>0.022529943755129</v>
      </c>
      <c r="AK21" s="34">
        <f>IF(D21="PERIMETRAL",MAX(AB21,AD21)*R21*J21^2*1E-4*DATOS!$C$16/100/1000,0)</f>
        <v>0.0661411780898929</v>
      </c>
      <c r="AL21" s="41">
        <f>IF(D21="HUECO",0,IF(AH21&lt;=0,DATOS!$C$71*DATOS!$C$13*DATOS!$C$66,IF((1-2*AH21*1E5/(DATOS!$C$45*DATOS!$C$16*DATOS!$C$66^2*DATOS!$C$38))&lt;0,-1,MAX(DATOS!$C$71*DATOS!$C$13*DATOS!$C$66,(1-SQRT((1-2*AH21*1E5/(DATOS!$C$45*DATOS!$C$16*DATOS!$C$66^2*DATOS!$C$38))))*DATOS!$C$38*DATOS!$C$16*DATOS!$C$66/DATOS!$C$32))))</f>
        <v>0.576720388273208</v>
      </c>
      <c r="AM21" s="39">
        <f>IF(AND(AL21&gt;=0,CEILING(AL21/INDEX(TABLAS!$D$52:$D$58,MIN(MATCH(DATOS!$C$20,TABLAS!$B$52:$B$58,0)+0,7)),1)&lt;=MIN(DATOS!$C$22,INT((DATOS!$C$25+DATOS!$C$24)/(INDEX(TABLAS!$C$52:$C$58,MIN(MATCH(DATOS!$C$20,TABLAS!$B$52:$B$58,0)+0,7))+DATOS!$C$24)))),INDEX(TABLAS!$B$52:$B$58,MIN(MATCH(DATOS!$C$20,TABLAS!$B$52:$B$58,0)+0,7)),IF(AND(AL21&gt;=0,CEILING(AL21/INDEX(TABLAS!$D$52:$D$58,MIN(MATCH(DATOS!$C$20,TABLAS!$B$52:$B$58,0)+1,7)),1)&lt;=MIN(DATOS!$C$22,INT((DATOS!$C$25+DATOS!$C$24)/(INDEX(TABLAS!$C$52:$C$58,MIN(MATCH(DATOS!$C$20,TABLAS!$B$52:$B$58,0)+1,7))+DATOS!$C$24)))),INDEX(TABLAS!$B$52:$B$58,MIN(MATCH(DATOS!$C$20,TABLAS!$B$52:$B$58,0)+1,7)),IF(AND(AL21&gt;=0,CEILING(AL21/INDEX(TABLAS!$D$52:$D$58,MIN(MATCH(DATOS!$C$20,TABLAS!$B$52:$B$58,0)+2,7)),1)&lt;=MIN(DATOS!$C$22,INT((DATOS!$C$25+DATOS!$C$24)/(INDEX(TABLAS!$C$52:$C$58,MIN(MATCH(DATOS!$C$20,TABLAS!$B$52:$B$58,0)+2,7))+DATOS!$C$24)))),INDEX(TABLAS!$B$52:$B$58,MIN(MATCH(DATOS!$C$20,TABLAS!$B$52:$B$58,0)+2,7)),IF(AND(AL21&gt;=0,CEILING(AL21/INDEX(TABLAS!$D$52:$D$58,MIN(MATCH(DATOS!$C$20,TABLAS!$B$52:$B$58,0)+3,7)),1)&lt;=MIN(DATOS!$C$22,INT((DATOS!$C$25+DATOS!$C$24)/(INDEX(TABLAS!$C$52:$C$58,MIN(MATCH(DATOS!$C$20,TABLAS!$B$52:$B$58,0)+3,7))+DATOS!$C$24)))),INDEX(TABLAS!$B$52:$B$58,MIN(MATCH(DATOS!$C$20,TABLAS!$B$52:$B$58,0)+3,7)),IF(AND(AL21&gt;=0,CEILING(AL21/INDEX(TABLAS!$D$52:$D$58,MIN(MATCH(DATOS!$C$20,TABLAS!$B$52:$B$58,0)+4,7)),1)&lt;=MIN(DATOS!$C$22,INT((DATOS!$C$25+DATOS!$C$24)/(INDEX(TABLAS!$C$52:$C$58,MIN(MATCH(DATOS!$C$20,TABLAS!$B$52:$B$58,0)+4,7))+DATOS!$C$24)))),INDEX(TABLAS!$B$52:$B$58,MIN(MATCH(DATOS!$C$20,TABLAS!$B$52:$B$58,0)+4,7)),INDEX(TABLAS!$B$52:$B$58,7))))))</f>
        <v>3</v>
      </c>
      <c r="AN21" s="55">
        <f>IF(D21="HUECO",0,IF(AL21&lt;0,0,MAX(DATOS!$C$23,CEILING(AL21/INDEX(TABLAS!$D$52:$D$58,MATCH(AM21,TABLAS!$B$52:$B$58,0)),1))))</f>
        <v>1</v>
      </c>
      <c r="AO21" s="34">
        <f>IF(AN21=0,0,DATOS!$C$45*AN21*INDEX(TABLAS!$D$52:$D$58,MATCH(AM21,TABLAS!$B$52:$B$58,0))*DATOS!$C$32*((DATOS!$C$15-DATOS!$C$18-INDEX(TABLAS!$C$52:$C$58,MATCH(DATOS!$C$19,TABLAS!$B$52:$B$58,0))-INDEX(TABLAS!$C$52:$C$58,MATCH(AM21,TABLAS!$B$52:$B$58,0))/2)-AN21*INDEX(TABLAS!$D$52:$D$58,MATCH(AM21,TABLAS!$B$52:$B$58,0))*DATOS!$C$32/(DATOS!$C$38*DATOS!$C$16)/2)/1E5)</f>
        <v>0.584659515176471</v>
      </c>
      <c r="AP21" s="59">
        <f>IF(AL21&lt;0,9.99,IF(AO21&gt;0,AH21/AO21,0))</f>
        <v>0.0839049147170966</v>
      </c>
      <c r="AQ21" s="41">
        <f>IF(D21="HUECO",0,IF(AI21&lt;=0,DATOS!$C$71*DATOS!$C$13*DATOS!$C$67,IF((1-2*AI21*1E5/(DATOS!$C$45*DATOS!$C$13*DATOS!$C$67^2*DATOS!$C$38))&lt;0,-1,IF((1-SQRT((1-2*AI21*1E5/(DATOS!$C$45*DATOS!$C$13*DATOS!$C$67^2*DATOS!$C$38))))*DATOS!$C$38*DATOS!$C$13*DATOS!$C$67/DATOS!$C$32&gt;DATOS!$C$70*DATOS!$C$13*DATOS!$C$67,-1,MAX(DATOS!$C$71*DATOS!$C$13*DATOS!$C$67,(1-SQRT((1-2*AI21*1E5/(DATOS!$C$45*DATOS!$C$13*DATOS!$C$67^2*DATOS!$C$38))))*DATOS!$C$38*DATOS!$C$13*DATOS!$C$67/DATOS!$C$32)))))</f>
        <v>0.576720388273208</v>
      </c>
      <c r="AR21" s="39">
        <f>IF(AND(AQ21&gt;=0,CEILING(AQ21/INDEX(TABLAS!$D$52:$D$58,MIN(MATCH(DATOS!$C$21,TABLAS!$B$52:$B$58,0)+0,7)),1)&lt;=MIN(DATOS!$C$22,INT((DATOS!$C$25+DATOS!$C$24)/(INDEX(TABLAS!$C$52:$C$58,MIN(MATCH(DATOS!$C$21,TABLAS!$B$52:$B$58,0)+0,7))+DATOS!$C$24)))),INDEX(TABLAS!$B$52:$B$58,MIN(MATCH(DATOS!$C$21,TABLAS!$B$52:$B$58,0)+0,7)),IF(AND(AQ21&gt;=0,CEILING(AQ21/INDEX(TABLAS!$D$52:$D$58,MIN(MATCH(DATOS!$C$21,TABLAS!$B$52:$B$58,0)+1,7)),1)&lt;=MIN(DATOS!$C$22,INT((DATOS!$C$25+DATOS!$C$24)/(INDEX(TABLAS!$C$52:$C$58,MIN(MATCH(DATOS!$C$21,TABLAS!$B$52:$B$58,0)+1,7))+DATOS!$C$24)))),INDEX(TABLAS!$B$52:$B$58,MIN(MATCH(DATOS!$C$21,TABLAS!$B$52:$B$58,0)+1,7)),IF(AND(AQ21&gt;=0,CEILING(AQ21/INDEX(TABLAS!$D$52:$D$58,MIN(MATCH(DATOS!$C$21,TABLAS!$B$52:$B$58,0)+2,7)),1)&lt;=MIN(DATOS!$C$22,INT((DATOS!$C$25+DATOS!$C$24)/(INDEX(TABLAS!$C$52:$C$58,MIN(MATCH(DATOS!$C$21,TABLAS!$B$52:$B$58,0)+2,7))+DATOS!$C$24)))),INDEX(TABLAS!$B$52:$B$58,MIN(MATCH(DATOS!$C$21,TABLAS!$B$52:$B$58,0)+2,7)),IF(AND(AQ21&gt;=0,CEILING(AQ21/INDEX(TABLAS!$D$52:$D$58,MIN(MATCH(DATOS!$C$21,TABLAS!$B$52:$B$58,0)+3,7)),1)&lt;=MIN(DATOS!$C$22,INT((DATOS!$C$25+DATOS!$C$24)/(INDEX(TABLAS!$C$52:$C$58,MIN(MATCH(DATOS!$C$21,TABLAS!$B$52:$B$58,0)+3,7))+DATOS!$C$24)))),INDEX(TABLAS!$B$52:$B$58,MIN(MATCH(DATOS!$C$21,TABLAS!$B$52:$B$58,0)+3,7)),IF(AND(AQ21&gt;=0,CEILING(AQ21/INDEX(TABLAS!$D$52:$D$58,MIN(MATCH(DATOS!$C$21,TABLAS!$B$52:$B$58,0)+4,7)),1)&lt;=MIN(DATOS!$C$22,INT((DATOS!$C$25+DATOS!$C$24)/(INDEX(TABLAS!$C$52:$C$58,MIN(MATCH(DATOS!$C$21,TABLAS!$B$52:$B$58,0)+4,7))+DATOS!$C$24)))),INDEX(TABLAS!$B$52:$B$58,MIN(MATCH(DATOS!$C$21,TABLAS!$B$52:$B$58,0)+4,7)),INDEX(TABLAS!$B$52:$B$58,7))))))</f>
        <v>3</v>
      </c>
      <c r="AS21" s="55">
        <f>IF(D21="HUECO",0,IF(AQ21&lt;0,0,MAX(1,CEILING(AQ21/INDEX(TABLAS!$D$52:$D$58,MATCH(AR21,TABLAS!$B$52:$B$58,0)),1))))</f>
        <v>1</v>
      </c>
      <c r="AT21" s="34">
        <f>IF(AS21=0,0,DATOS!$C$45*AS21*INDEX(TABLAS!$D$52:$D$58,MATCH(AR21,TABLAS!$B$52:$B$58,0))*DATOS!$C$32*((DATOS!$C$15-DATOS!$C$18-INDEX(TABLAS!$C$52:$C$58,MATCH(DATOS!$C$19,TABLAS!$B$52:$B$58,0))-INDEX(TABLAS!$C$52:$C$58,MATCH(AR21,TABLAS!$B$52:$B$58,0))/2)-AS21*INDEX(TABLAS!$D$52:$D$58,MATCH(AR21,TABLAS!$B$52:$B$58,0))*DATOS!$C$32/(DATOS!$C$38*DATOS!$C$13)/2)/1E5)</f>
        <v>0.568518826235294</v>
      </c>
      <c r="AU21" s="59">
        <f>IF(AQ21&lt;0,9.99,IF(AT21&gt;0,AI21/AT21,0))</f>
        <v>0.154075428530635</v>
      </c>
      <c r="AV21" s="41">
        <f>IF(D21="HUECO",0,IF(AJ21&lt;=0,DATOS!$C$71*DATOS!$C$13*DATOS!$C$66,IF((1-2*AJ21*1E5/(DATOS!$C$45*DATOS!$C$16*DATOS!$C$66^2*DATOS!$C$38))&lt;0,-1,MAX(DATOS!$C$71*DATOS!$C$13*DATOS!$C$66,(1-SQRT((1-2*AJ21*1E5/(DATOS!$C$45*DATOS!$C$16*DATOS!$C$66^2*DATOS!$C$38))))*DATOS!$C$38*DATOS!$C$16*DATOS!$C$66/DATOS!$C$32))))</f>
        <v>0.576720388273208</v>
      </c>
      <c r="AW21" s="39">
        <f>IF(AND(AV21&gt;=0,CEILING(AV21/INDEX(TABLAS!$D$52:$D$58,MIN(MATCH(DATOS!$C$20,TABLAS!$B$52:$B$58,0)+0,7)),1)&lt;=MIN(DATOS!$C$22,INT((DATOS!$C$25+DATOS!$C$24)/(INDEX(TABLAS!$C$52:$C$58,MIN(MATCH(DATOS!$C$20,TABLAS!$B$52:$B$58,0)+0,7))+DATOS!$C$24)))),INDEX(TABLAS!$B$52:$B$58,MIN(MATCH(DATOS!$C$20,TABLAS!$B$52:$B$58,0)+0,7)),IF(AND(AV21&gt;=0,CEILING(AV21/INDEX(TABLAS!$D$52:$D$58,MIN(MATCH(DATOS!$C$20,TABLAS!$B$52:$B$58,0)+1,7)),1)&lt;=MIN(DATOS!$C$22,INT((DATOS!$C$25+DATOS!$C$24)/(INDEX(TABLAS!$C$52:$C$58,MIN(MATCH(DATOS!$C$20,TABLAS!$B$52:$B$58,0)+1,7))+DATOS!$C$24)))),INDEX(TABLAS!$B$52:$B$58,MIN(MATCH(DATOS!$C$20,TABLAS!$B$52:$B$58,0)+1,7)),IF(AND(AV21&gt;=0,CEILING(AV21/INDEX(TABLAS!$D$52:$D$58,MIN(MATCH(DATOS!$C$20,TABLAS!$B$52:$B$58,0)+2,7)),1)&lt;=MIN(DATOS!$C$22,INT((DATOS!$C$25+DATOS!$C$24)/(INDEX(TABLAS!$C$52:$C$58,MIN(MATCH(DATOS!$C$20,TABLAS!$B$52:$B$58,0)+2,7))+DATOS!$C$24)))),INDEX(TABLAS!$B$52:$B$58,MIN(MATCH(DATOS!$C$20,TABLAS!$B$52:$B$58,0)+2,7)),IF(AND(AV21&gt;=0,CEILING(AV21/INDEX(TABLAS!$D$52:$D$58,MIN(MATCH(DATOS!$C$20,TABLAS!$B$52:$B$58,0)+3,7)),1)&lt;=MIN(DATOS!$C$22,INT((DATOS!$C$25+DATOS!$C$24)/(INDEX(TABLAS!$C$52:$C$58,MIN(MATCH(DATOS!$C$20,TABLAS!$B$52:$B$58,0)+3,7))+DATOS!$C$24)))),INDEX(TABLAS!$B$52:$B$58,MIN(MATCH(DATOS!$C$20,TABLAS!$B$52:$B$58,0)+3,7)),IF(AND(AV21&gt;=0,CEILING(AV21/INDEX(TABLAS!$D$52:$D$58,MIN(MATCH(DATOS!$C$20,TABLAS!$B$52:$B$58,0)+4,7)),1)&lt;=MIN(DATOS!$C$22,INT((DATOS!$C$25+DATOS!$C$24)/(INDEX(TABLAS!$C$52:$C$58,MIN(MATCH(DATOS!$C$20,TABLAS!$B$52:$B$58,0)+4,7))+DATOS!$C$24)))),INDEX(TABLAS!$B$52:$B$58,MIN(MATCH(DATOS!$C$20,TABLAS!$B$52:$B$58,0)+4,7)),INDEX(TABLAS!$B$52:$B$58,7))))))</f>
        <v>3</v>
      </c>
      <c r="AX21" s="55">
        <f>IF(D21="HUECO",0,IF(AV21&lt;0,0,MAX(DATOS!$C$23,CEILING(AV21/INDEX(TABLAS!$D$52:$D$58,MATCH(AW21,TABLAS!$B$52:$B$58,0)),1))))</f>
        <v>1</v>
      </c>
      <c r="AY21" s="34">
        <f>IF(AX21=0,0,DATOS!$C$45*AX21*INDEX(TABLAS!$D$52:$D$58,MATCH(AW21,TABLAS!$B$52:$B$58,0))*DATOS!$C$32*((DATOS!$C$15-DATOS!$C$18-INDEX(TABLAS!$C$52:$C$58,MATCH(DATOS!$C$19,TABLAS!$B$52:$B$58,0))-INDEX(TABLAS!$C$52:$C$58,MATCH(AW21,TABLAS!$B$52:$B$58,0))/2)-AX21*INDEX(TABLAS!$D$52:$D$58,MATCH(AW21,TABLAS!$B$52:$B$58,0))*DATOS!$C$32/(DATOS!$C$38*DATOS!$C$16)/2)/1E5)</f>
        <v>0.584659515176471</v>
      </c>
      <c r="AZ21" s="59">
        <f>IF(AV21&lt;0,9.99,IF(AY21&gt;0,AJ21/AY21,0))</f>
        <v>0.0385351528031297</v>
      </c>
      <c r="BA21" s="41">
        <f>IF(D21="HUECO",0,IF(AK21&lt;=0,DATOS!$C$71*DATOS!$C$13*DATOS!$C$67,IF((1-2*AK21*1E5/(DATOS!$C$45*DATOS!$C$13*DATOS!$C$67^2*DATOS!$C$38))&lt;0,-1,IF((1-SQRT((1-2*AK21*1E5/(DATOS!$C$45*DATOS!$C$13*DATOS!$C$67^2*DATOS!$C$38))))*DATOS!$C$38*DATOS!$C$13*DATOS!$C$67/DATOS!$C$32&gt;DATOS!$C$70*DATOS!$C$13*DATOS!$C$67,-1,MAX(DATOS!$C$71*DATOS!$C$13*DATOS!$C$67,(1-SQRT((1-2*AK21*1E5/(DATOS!$C$45*DATOS!$C$13*DATOS!$C$67^2*DATOS!$C$38))))*DATOS!$C$38*DATOS!$C$13*DATOS!$C$67/DATOS!$C$32)))))</f>
        <v>0.576720388273208</v>
      </c>
      <c r="BB21" s="39">
        <f>IF(AND(BA21&gt;=0,CEILING(BA21/INDEX(TABLAS!$D$52:$D$58,MIN(MATCH(DATOS!$C$21,TABLAS!$B$52:$B$58,0)+0,7)),1)&lt;=MIN(DATOS!$C$22,INT((DATOS!$C$25+DATOS!$C$24)/(INDEX(TABLAS!$C$52:$C$58,MIN(MATCH(DATOS!$C$21,TABLAS!$B$52:$B$58,0)+0,7))+DATOS!$C$24)))),INDEX(TABLAS!$B$52:$B$58,MIN(MATCH(DATOS!$C$21,TABLAS!$B$52:$B$58,0)+0,7)),IF(AND(BA21&gt;=0,CEILING(BA21/INDEX(TABLAS!$D$52:$D$58,MIN(MATCH(DATOS!$C$21,TABLAS!$B$52:$B$58,0)+1,7)),1)&lt;=MIN(DATOS!$C$22,INT((DATOS!$C$25+DATOS!$C$24)/(INDEX(TABLAS!$C$52:$C$58,MIN(MATCH(DATOS!$C$21,TABLAS!$B$52:$B$58,0)+1,7))+DATOS!$C$24)))),INDEX(TABLAS!$B$52:$B$58,MIN(MATCH(DATOS!$C$21,TABLAS!$B$52:$B$58,0)+1,7)),IF(AND(BA21&gt;=0,CEILING(BA21/INDEX(TABLAS!$D$52:$D$58,MIN(MATCH(DATOS!$C$21,TABLAS!$B$52:$B$58,0)+2,7)),1)&lt;=MIN(DATOS!$C$22,INT((DATOS!$C$25+DATOS!$C$24)/(INDEX(TABLAS!$C$52:$C$58,MIN(MATCH(DATOS!$C$21,TABLAS!$B$52:$B$58,0)+2,7))+DATOS!$C$24)))),INDEX(TABLAS!$B$52:$B$58,MIN(MATCH(DATOS!$C$21,TABLAS!$B$52:$B$58,0)+2,7)),IF(AND(BA21&gt;=0,CEILING(BA21/INDEX(TABLAS!$D$52:$D$58,MIN(MATCH(DATOS!$C$21,TABLAS!$B$52:$B$58,0)+3,7)),1)&lt;=MIN(DATOS!$C$22,INT((DATOS!$C$25+DATOS!$C$24)/(INDEX(TABLAS!$C$52:$C$58,MIN(MATCH(DATOS!$C$21,TABLAS!$B$52:$B$58,0)+3,7))+DATOS!$C$24)))),INDEX(TABLAS!$B$52:$B$58,MIN(MATCH(DATOS!$C$21,TABLAS!$B$52:$B$58,0)+3,7)),IF(AND(BA21&gt;=0,CEILING(BA21/INDEX(TABLAS!$D$52:$D$58,MIN(MATCH(DATOS!$C$21,TABLAS!$B$52:$B$58,0)+4,7)),1)&lt;=MIN(DATOS!$C$22,INT((DATOS!$C$25+DATOS!$C$24)/(INDEX(TABLAS!$C$52:$C$58,MIN(MATCH(DATOS!$C$21,TABLAS!$B$52:$B$58,0)+4,7))+DATOS!$C$24)))),INDEX(TABLAS!$B$52:$B$58,MIN(MATCH(DATOS!$C$21,TABLAS!$B$52:$B$58,0)+4,7)),INDEX(TABLAS!$B$52:$B$58,7))))))</f>
        <v>3</v>
      </c>
      <c r="BC21" s="55">
        <f>IF(D21="HUECO",0,IF(BA21&lt;0,0,MAX(1,CEILING(BA21/INDEX(TABLAS!$D$52:$D$58,MATCH(BB21,TABLAS!$B$52:$B$58,0)),1))))</f>
        <v>1</v>
      </c>
      <c r="BD21" s="34">
        <f>IF(BC21=0,0,DATOS!$C$45*BC21*INDEX(TABLAS!$D$52:$D$58,MATCH(BB21,TABLAS!$B$52:$B$58,0))*DATOS!$C$32*((DATOS!$C$15-DATOS!$C$18-INDEX(TABLAS!$C$52:$C$58,MATCH(DATOS!$C$19,TABLAS!$B$52:$B$58,0))-INDEX(TABLAS!$C$52:$C$58,MATCH(BB21,TABLAS!$B$52:$B$58,0))/2)-BC21*INDEX(TABLAS!$D$52:$D$58,MATCH(BB21,TABLAS!$B$52:$B$58,0))*DATOS!$C$32/(DATOS!$C$38*DATOS!$C$13)/2)/1E5)</f>
        <v>0.568518826235294</v>
      </c>
      <c r="BE21" s="59">
        <f>IF(BA21&lt;0,9.99,IF(BD21&gt;0,AK21/BD21,0))</f>
        <v>0.116339468523632</v>
      </c>
      <c r="BF21" s="34">
        <f>IF(D21="PERIMETRAL",MAX(0,(J21/2-DATOS!$C$66/100))*(0.95-0.5*L21)*R21*IF(AND(S21&gt;0,S21&lt;4),DATOS!$C$50,1)*DATOS!$C$16/100/1000,IF(D21="VOLADO",(R21*J21+DATOS!$C$43*AG21)*DATOS!$C$16/100/1000,0))</f>
        <v>0.254963497483552</v>
      </c>
      <c r="BG21" s="34">
        <f>IF(D21="HUECO",0,DATOS!$C$46*IF((AS21*INDEX(TABLAS!$D$52:$D$58,MATCH(AR21,TABLAS!$B$52:$B$58,0))/(DATOS!$C$13*DATOS!$C$67))&lt;0.015,0.2+20*(AS21*INDEX(TABLAS!$D$52:$D$58,MATCH(AR21,TABLAS!$B$52:$B$58,0))/(DATOS!$C$13*DATOS!$C$67)),0.5)*SQRT(DATOS!$C$31)*DATOS!$C$13*DATOS!$C$67*DATOS!$C$49/1000)</f>
        <v>0.687439634849853</v>
      </c>
      <c r="BH21" s="49" t="str">
        <f>IF(D21="HUECO","—",IF(BF21&lt;=BG21,"CUMPLE","MACIZAR "&amp;MAX(1,CEILING(IF(D21="VOLADO",J21,J21/2)*(1-BG21/BF21)*100/DATOS!$C$16,1))&amp;" hilera(s)"))</f>
        <v>CUMPLE</v>
      </c>
      <c r="BI21" s="41">
        <f>IF(D21="PERIMETRAL",(2*(H21+I21)+0.25*(H21*((APOYOS!$G$77="DISCONTINUO")+(APOYOS!$G$78="DISCONTINUO"))+I21*((APOYOS!$G$79="DISCONTINUO")+(APOYOS!$G$80="DISCONTINUO"))))*(J21+MIN(K21,2*J21))/(J21+K21)*100/250*IF(OR(DATOS!$C$47&gt;2520,Q21&gt;380),0.032*(DATOS!$C$47*Q21)^0.25,1),IF(D21="VOLADO",J21*100/8,0))</f>
        <v>4.27749629816251</v>
      </c>
      <c r="BJ21" s="41">
        <f>IF(D21="VOLADO",DATOS!$C$15,DATOS!$C$68)</f>
        <v>13.6082564120244</v>
      </c>
      <c r="BK21" s="50" t="str">
        <f>IF(D21="HUECO","—",IF(BJ21&gt;=BI21,"CUMPLE","NO CUMPLE"))</f>
        <v>CUMPLE</v>
      </c>
      <c r="BL21" s="50" t="str">
        <f>IF(D21="PERIMETRAL",IF(DATOS!$C$16/100&lt;=J21/6,"SÍ","NO: a1 &lt; 6·s"),"—")</f>
        <v>NO: a1 &lt; 6·s</v>
      </c>
      <c r="BM21" s="55">
        <f>MAX(0,INT((F21*100-DATOS!$C$17+DATOS!$C$13)/DATOS!$C$16))</f>
        <v>4</v>
      </c>
      <c r="BN21" s="55">
        <f>MAX(0,INT((G21*100-DATOS!$C$17+DATOS!$C$13)/DATOS!$C$16))</f>
        <v>2</v>
      </c>
      <c r="BO21" s="49" t="str">
        <f>IF(COUNTIFS(TRIB!$C$6:$C$255,B21,TRIB!$K$6:$K$255,"NO CUMPLE*")+COUNTIFS(TRIB!$C$6:$C$255,B21,TRIB!$K$6:$K$255,"SIN APOYO*")&gt;0,"VER PRINCIPALES",IF((APOYOS!$F$77="LIBRE")+(APOYOS!$F$78="LIBRE")+(APOYOS!$F$79="LIBRE")+(APOYOS!$F$80="LIBRE")&gt;0,"REVISAR: borde libre","OK"))</f>
        <v>VER PRINCIPALES</v>
      </c>
      <c r="BP21" s="60" t="str">
        <f>IF(D21="HUECO","HUECO — marco de nervaduras principales",IF(AND(MAX(AP21,AU21,AZ21,BE21)&lt;=1,NOT(OR(AN21&gt;MIN(DATOS!$C$22,INT((DATOS!$C$25+DATOS!$C$24)/(INDEX(TABLAS!$C$52:$C$58,MATCH(AM21,TABLAS!$B$52:$B$58,0))+DATOS!$C$24))),AS21&gt;MIN(DATOS!$C$22,INT((DATOS!$C$25+DATOS!$C$24)/(INDEX(TABLAS!$C$52:$C$58,MATCH(AR21,TABLAS!$B$52:$B$58,0))+DATOS!$C$24))),AX21&gt;MIN(DATOS!$C$22,INT((DATOS!$C$25+DATOS!$C$24)/(INDEX(TABLAS!$C$52:$C$58,MATCH(AW21,TABLAS!$B$52:$B$58,0))+DATOS!$C$24))),BC21&gt;MIN(DATOS!$C$22,INT((DATOS!$C$25+DATOS!$C$24)/(INDEX(TABLAS!$C$52:$C$58,MATCH(BB21,TABLAS!$B$52:$B$58,0))+DATOS!$C$24))))),BK21="CUMPLE"),IF(BO21="OK",IF(BH21="CUMPLE","CUMPLE","CUMPLE — "&amp;BH21),IF(BO21="VER PRINCIPALES","VER PRINCIPALES","REVISAR APOYOS")),"NO CUMPLE: "&amp;IF(MAX(AP21,AU21,AZ21,BE21)&gt;1,"flexión ","")&amp;IF(OR(AN21&gt;MIN(DATOS!$C$22,INT((DATOS!$C$25+DATOS!$C$24)/(INDEX(TABLAS!$C$52:$C$58,MATCH(AM21,TABLAS!$B$52:$B$58,0))+DATOS!$C$24))),AS21&gt;MIN(DATOS!$C$22,INT((DATOS!$C$25+DATOS!$C$24)/(INDEX(TABLAS!$C$52:$C$58,MATCH(AR21,TABLAS!$B$52:$B$58,0))+DATOS!$C$24))),AX21&gt;MIN(DATOS!$C$22,INT((DATOS!$C$25+DATOS!$C$24)/(INDEX(TABLAS!$C$52:$C$58,MATCH(AW21,TABLAS!$B$52:$B$58,0))+DATOS!$C$24))),BC21&gt;MIN(DATOS!$C$22,INT((DATOS!$C$25+DATOS!$C$24)/(INDEX(TABLAS!$C$52:$C$58,MATCH(BB21,TABLAS!$B$52:$B$58,0))+DATOS!$C$24)))),"no caben ","")&amp;IF(BK21&lt;&gt;"CUMPLE","peralte","")))</f>
        <v>VER PRINCIPALES</v>
      </c>
      <c r="BQ21" s="61" t="inlineStr">
        <is>
          <t>—</t>
        </is>
      </c>
    </row>
    <row r="22" ht="30" customHeight="1">
      <c r="B22" s="49" t="inlineStr">
        <is>
          <t>F80015 N+3.00</t>
        </is>
      </c>
      <c r="C22" s="50" t="inlineStr">
        <is>
          <t>N+3.00</t>
        </is>
      </c>
      <c r="D22" s="51" t="inlineStr">
        <is>
          <t>PERIMETRAL</t>
        </is>
      </c>
      <c r="E22" s="51" t="inlineStr">
        <is>
          <t>HABITACIÓN</t>
        </is>
      </c>
      <c r="F22" s="52" t="n">
        <v>3.028</v>
      </c>
      <c r="G22" s="52" t="n">
        <v>1.6</v>
      </c>
      <c r="H22" s="53" t="n">
        <v>3.028</v>
      </c>
      <c r="I22" s="53" t="n">
        <v>1.6</v>
      </c>
      <c r="J22" s="34">
        <f>MIN(H22,I22)</f>
        <v>1.6</v>
      </c>
      <c r="K22" s="34">
        <f>MAX(H22,I22)</f>
        <v>3.028</v>
      </c>
      <c r="L22" s="34">
        <f>IF(K22&gt;0,J22/K22,0)</f>
        <v>0.528401585204756</v>
      </c>
      <c r="M22" s="50" t="str">
        <f>IF(H22&lt;=I22,"X","Y")</f>
        <v>Y</v>
      </c>
      <c r="N22" s="54" t="n">
        <v>230</v>
      </c>
      <c r="O22" s="55">
        <f>IF(E22="HABITACIÓN",DATOS!$C$76,DATOS!$C$78)</f>
        <v>190</v>
      </c>
      <c r="P22" s="55">
        <f>DATOS!$C$58</f>
        <v>253.673469387755</v>
      </c>
      <c r="Q22" s="55">
        <f>P22+N22+O22</f>
        <v>673.673469387755</v>
      </c>
      <c r="R22" s="56">
        <f>DATOS!$C$43*(P22+N22)+DATOS!$C$44*O22</f>
        <v>913.775510204082</v>
      </c>
      <c r="S22" s="55">
        <f>(APOYOS!$G$81="DISCONTINUO")+(APOYOS!$G$82="DISCONTINUO")+(APOYOS!$G$83="DISCONTINUO")+(APOYOS!$G$84="DISCONTINUO")</f>
        <v>1</v>
      </c>
      <c r="T22" s="55">
        <f>IF(M22="X",(APOYOS!$G$81="DISCONTINUO")+(APOYOS!$G$82="DISCONTINUO"),(APOYOS!$G$83="DISCONTINUO")+(APOYOS!$G$84="DISCONTINUO"))</f>
        <v>1</v>
      </c>
      <c r="U22" s="55">
        <f>S22-T22</f>
        <v>0</v>
      </c>
      <c r="V22" s="50" t="str">
        <f>IF(S22=0,"INTERIOR",IF(S22=1,IF(T22=1,"BORDE-CORTO","BORDE-LARGO"),IF(S22=2,IF(T22=1,"ESQUINA",IF(T22=2,"EXTREMO-LARGO","EXTREMO-CORTO")),IF(S22=3,IF(T22=2,"EXTREMO-LARGO","EXTREMO-CORTO"),"AISLADO"))))</f>
        <v>BORDE-CORTO</v>
      </c>
      <c r="W22" s="51" t="inlineStr">
        <is>
          <t>AUTO</t>
        </is>
      </c>
      <c r="X22" s="57" t="str">
        <f>IF(W22="AUTO",V22,W22)</f>
        <v>BORDE-CORTO</v>
      </c>
      <c r="Y22" s="55">
        <f>MATCH(L22,TABLAS!$D$5:$J$5,1)</f>
        <v>2</v>
      </c>
      <c r="Z22" s="41">
        <f>IF(Y22&gt;=7,0,(L22-INDEX(TABLAS!$D$5:$J$5,Y22))/(INDEX(TABLAS!$D$5:$J$5,Y22+1)-INDEX(TABLAS!$D$5:$J$5,Y22)))</f>
        <v>0.284015852047557</v>
      </c>
      <c r="AA22" s="55">
        <f>INDEX(TABLAS!$D$6:$J$47,MATCH(X22&amp;"|NIC",TABLAS!$B$6:$B$47,0),Y22)+Z22*(INDEX(TABLAS!$D$6:$J$47,MATCH(X22&amp;"|NIC",TABLAS!$B$6:$B$47,0),MIN(Y22+1,7))-INDEX(TABLAS!$D$6:$J$47,MATCH(X22&amp;"|NIC",TABLAS!$B$6:$B$47,0),Y22))</f>
        <v>550.391017173052</v>
      </c>
      <c r="AB22" s="55">
        <f>INDEX(TABLAS!$D$6:$J$47,MATCH(X22&amp;"|NIL",TABLAS!$B$6:$B$47,0),Y22)+Z22*(INDEX(TABLAS!$D$6:$J$47,MATCH(X22&amp;"|NIL",TABLAS!$B$6:$B$47,0),MIN(Y22+1,7))-INDEX(TABLAS!$D$6:$J$47,MATCH(X22&amp;"|NIL",TABLAS!$B$6:$B$47,0),Y22))</f>
        <v>403.887714663144</v>
      </c>
      <c r="AC22" s="55">
        <f>INDEX(TABLAS!$D$6:$J$47,MATCH(X22&amp;"|NDC",TABLAS!$B$6:$B$47,0),Y22)+Z22*(INDEX(TABLAS!$D$6:$J$47,MATCH(X22&amp;"|NDC",TABLAS!$B$6:$B$47,0),MIN(Y22+1,7))-INDEX(TABLAS!$D$6:$J$47,MATCH(X22&amp;"|NDC",TABLAS!$B$6:$B$47,0),Y22))</f>
        <v>0</v>
      </c>
      <c r="AD22" s="55">
        <f>INDEX(TABLAS!$D$6:$J$47,MATCH(X22&amp;"|NDL",TABLAS!$B$6:$B$47,0),Y22)+Z22*(INDEX(TABLAS!$D$6:$J$47,MATCH(X22&amp;"|NDL",TABLAS!$B$6:$B$47,0),MIN(Y22+1,7))-INDEX(TABLAS!$D$6:$J$47,MATCH(X22&amp;"|NDL",TABLAS!$B$6:$B$47,0),Y22))</f>
        <v>255.159841479524</v>
      </c>
      <c r="AE22" s="55">
        <f>INDEX(TABLAS!$D$6:$J$47,MATCH(X22&amp;"|PC",TABLAS!$B$6:$B$47,0),Y22)+Z22*(INDEX(TABLAS!$D$6:$J$47,MATCH(X22&amp;"|PC",TABLAS!$B$6:$B$47,0),MIN(Y22+1,7))-INDEX(TABLAS!$D$6:$J$47,MATCH(X22&amp;"|PC",TABLAS!$B$6:$B$47,0),Y22))</f>
        <v>318.49141347424</v>
      </c>
      <c r="AF22" s="55">
        <f>INDEX(TABLAS!$D$6:$J$47,MATCH(X22&amp;"|PL",TABLAS!$B$6:$B$47,0),Y22)+Z22*(INDEX(TABLAS!$D$6:$J$47,MATCH(X22&amp;"|PL",TABLAS!$B$6:$B$47,0),MIN(Y22+1,7))-INDEX(TABLAS!$D$6:$J$47,MATCH(X22&amp;"|PL",TABLAS!$B$6:$B$47,0),Y22))</f>
        <v>140.579920739762</v>
      </c>
      <c r="AG22" s="58" t="n">
        <v>0</v>
      </c>
      <c r="AH22" s="34">
        <f>IF(D22="PERIMETRAL",AE22*R22*J22^2*1E-4*DATOS!$C$16/100/1000,0)</f>
        <v>0.0521525139686734</v>
      </c>
      <c r="AI22" s="34">
        <f>IF(D22="PERIMETRAL",MAX(AA22,AC22)*R22*J22^2*1E-4*DATOS!$C$16/100/1000,IF(D22="VOLADO",(R22*J22^2/2+DATOS!$C$43*AG22*J22)*DATOS!$C$16/100/1000,0))</f>
        <v>0.0901257427892055</v>
      </c>
      <c r="AJ22" s="34">
        <f>IF(D22="PERIMETRAL",AF22*R22*J22^2*1E-4*DATOS!$C$16/100/1000,0)</f>
        <v>0.0230197611926779</v>
      </c>
      <c r="AK22" s="34">
        <f>IF(D22="PERIMETRAL",MAX(AB22,AD22)*R22*J22^2*1E-4*DATOS!$C$16/100/1000,0)</f>
        <v>0.0661360362936403</v>
      </c>
      <c r="AL22" s="41">
        <f>IF(D22="HUECO",0,IF(AH22&lt;=0,DATOS!$C$71*DATOS!$C$13*DATOS!$C$66,IF((1-2*AH22*1E5/(DATOS!$C$45*DATOS!$C$16*DATOS!$C$66^2*DATOS!$C$38))&lt;0,-1,MAX(DATOS!$C$71*DATOS!$C$13*DATOS!$C$66,(1-SQRT((1-2*AH22*1E5/(DATOS!$C$45*DATOS!$C$16*DATOS!$C$66^2*DATOS!$C$38))))*DATOS!$C$38*DATOS!$C$16*DATOS!$C$66/DATOS!$C$32))))</f>
        <v>0.576720388273208</v>
      </c>
      <c r="AM22" s="39">
        <f>IF(AND(AL22&gt;=0,CEILING(AL22/INDEX(TABLAS!$D$52:$D$58,MIN(MATCH(DATOS!$C$20,TABLAS!$B$52:$B$58,0)+0,7)),1)&lt;=MIN(DATOS!$C$22,INT((DATOS!$C$25+DATOS!$C$24)/(INDEX(TABLAS!$C$52:$C$58,MIN(MATCH(DATOS!$C$20,TABLAS!$B$52:$B$58,0)+0,7))+DATOS!$C$24)))),INDEX(TABLAS!$B$52:$B$58,MIN(MATCH(DATOS!$C$20,TABLAS!$B$52:$B$58,0)+0,7)),IF(AND(AL22&gt;=0,CEILING(AL22/INDEX(TABLAS!$D$52:$D$58,MIN(MATCH(DATOS!$C$20,TABLAS!$B$52:$B$58,0)+1,7)),1)&lt;=MIN(DATOS!$C$22,INT((DATOS!$C$25+DATOS!$C$24)/(INDEX(TABLAS!$C$52:$C$58,MIN(MATCH(DATOS!$C$20,TABLAS!$B$52:$B$58,0)+1,7))+DATOS!$C$24)))),INDEX(TABLAS!$B$52:$B$58,MIN(MATCH(DATOS!$C$20,TABLAS!$B$52:$B$58,0)+1,7)),IF(AND(AL22&gt;=0,CEILING(AL22/INDEX(TABLAS!$D$52:$D$58,MIN(MATCH(DATOS!$C$20,TABLAS!$B$52:$B$58,0)+2,7)),1)&lt;=MIN(DATOS!$C$22,INT((DATOS!$C$25+DATOS!$C$24)/(INDEX(TABLAS!$C$52:$C$58,MIN(MATCH(DATOS!$C$20,TABLAS!$B$52:$B$58,0)+2,7))+DATOS!$C$24)))),INDEX(TABLAS!$B$52:$B$58,MIN(MATCH(DATOS!$C$20,TABLAS!$B$52:$B$58,0)+2,7)),IF(AND(AL22&gt;=0,CEILING(AL22/INDEX(TABLAS!$D$52:$D$58,MIN(MATCH(DATOS!$C$20,TABLAS!$B$52:$B$58,0)+3,7)),1)&lt;=MIN(DATOS!$C$22,INT((DATOS!$C$25+DATOS!$C$24)/(INDEX(TABLAS!$C$52:$C$58,MIN(MATCH(DATOS!$C$20,TABLAS!$B$52:$B$58,0)+3,7))+DATOS!$C$24)))),INDEX(TABLAS!$B$52:$B$58,MIN(MATCH(DATOS!$C$20,TABLAS!$B$52:$B$58,0)+3,7)),IF(AND(AL22&gt;=0,CEILING(AL22/INDEX(TABLAS!$D$52:$D$58,MIN(MATCH(DATOS!$C$20,TABLAS!$B$52:$B$58,0)+4,7)),1)&lt;=MIN(DATOS!$C$22,INT((DATOS!$C$25+DATOS!$C$24)/(INDEX(TABLAS!$C$52:$C$58,MIN(MATCH(DATOS!$C$20,TABLAS!$B$52:$B$58,0)+4,7))+DATOS!$C$24)))),INDEX(TABLAS!$B$52:$B$58,MIN(MATCH(DATOS!$C$20,TABLAS!$B$52:$B$58,0)+4,7)),INDEX(TABLAS!$B$52:$B$58,7))))))</f>
        <v>3</v>
      </c>
      <c r="AN22" s="55">
        <f>IF(D22="HUECO",0,IF(AL22&lt;0,0,MAX(DATOS!$C$23,CEILING(AL22/INDEX(TABLAS!$D$52:$D$58,MATCH(AM22,TABLAS!$B$52:$B$58,0)),1))))</f>
        <v>1</v>
      </c>
      <c r="AO22" s="34">
        <f>IF(AN22=0,0,DATOS!$C$45*AN22*INDEX(TABLAS!$D$52:$D$58,MATCH(AM22,TABLAS!$B$52:$B$58,0))*DATOS!$C$32*((DATOS!$C$15-DATOS!$C$18-INDEX(TABLAS!$C$52:$C$58,MATCH(DATOS!$C$19,TABLAS!$B$52:$B$58,0))-INDEX(TABLAS!$C$52:$C$58,MATCH(AM22,TABLAS!$B$52:$B$58,0))/2)-AN22*INDEX(TABLAS!$D$52:$D$58,MATCH(AM22,TABLAS!$B$52:$B$58,0))*DATOS!$C$32/(DATOS!$C$38*DATOS!$C$16)/2)/1E5)</f>
        <v>0.584659515176471</v>
      </c>
      <c r="AP22" s="59">
        <f>IF(AL22&lt;0,9.99,IF(AO22&gt;0,AH22/AO22,0))</f>
        <v>0.0892015140691448</v>
      </c>
      <c r="AQ22" s="41">
        <f>IF(D22="HUECO",0,IF(AI22&lt;=0,DATOS!$C$71*DATOS!$C$13*DATOS!$C$67,IF((1-2*AI22*1E5/(DATOS!$C$45*DATOS!$C$13*DATOS!$C$67^2*DATOS!$C$38))&lt;0,-1,IF((1-SQRT((1-2*AI22*1E5/(DATOS!$C$45*DATOS!$C$13*DATOS!$C$67^2*DATOS!$C$38))))*DATOS!$C$38*DATOS!$C$13*DATOS!$C$67/DATOS!$C$32&gt;DATOS!$C$70*DATOS!$C$13*DATOS!$C$67,-1,MAX(DATOS!$C$71*DATOS!$C$13*DATOS!$C$67,(1-SQRT((1-2*AI22*1E5/(DATOS!$C$45*DATOS!$C$13*DATOS!$C$67^2*DATOS!$C$38))))*DATOS!$C$38*DATOS!$C$13*DATOS!$C$67/DATOS!$C$32)))))</f>
        <v>0.576720388273208</v>
      </c>
      <c r="AR22" s="39">
        <f>IF(AND(AQ22&gt;=0,CEILING(AQ22/INDEX(TABLAS!$D$52:$D$58,MIN(MATCH(DATOS!$C$21,TABLAS!$B$52:$B$58,0)+0,7)),1)&lt;=MIN(DATOS!$C$22,INT((DATOS!$C$25+DATOS!$C$24)/(INDEX(TABLAS!$C$52:$C$58,MIN(MATCH(DATOS!$C$21,TABLAS!$B$52:$B$58,0)+0,7))+DATOS!$C$24)))),INDEX(TABLAS!$B$52:$B$58,MIN(MATCH(DATOS!$C$21,TABLAS!$B$52:$B$58,0)+0,7)),IF(AND(AQ22&gt;=0,CEILING(AQ22/INDEX(TABLAS!$D$52:$D$58,MIN(MATCH(DATOS!$C$21,TABLAS!$B$52:$B$58,0)+1,7)),1)&lt;=MIN(DATOS!$C$22,INT((DATOS!$C$25+DATOS!$C$24)/(INDEX(TABLAS!$C$52:$C$58,MIN(MATCH(DATOS!$C$21,TABLAS!$B$52:$B$58,0)+1,7))+DATOS!$C$24)))),INDEX(TABLAS!$B$52:$B$58,MIN(MATCH(DATOS!$C$21,TABLAS!$B$52:$B$58,0)+1,7)),IF(AND(AQ22&gt;=0,CEILING(AQ22/INDEX(TABLAS!$D$52:$D$58,MIN(MATCH(DATOS!$C$21,TABLAS!$B$52:$B$58,0)+2,7)),1)&lt;=MIN(DATOS!$C$22,INT((DATOS!$C$25+DATOS!$C$24)/(INDEX(TABLAS!$C$52:$C$58,MIN(MATCH(DATOS!$C$21,TABLAS!$B$52:$B$58,0)+2,7))+DATOS!$C$24)))),INDEX(TABLAS!$B$52:$B$58,MIN(MATCH(DATOS!$C$21,TABLAS!$B$52:$B$58,0)+2,7)),IF(AND(AQ22&gt;=0,CEILING(AQ22/INDEX(TABLAS!$D$52:$D$58,MIN(MATCH(DATOS!$C$21,TABLAS!$B$52:$B$58,0)+3,7)),1)&lt;=MIN(DATOS!$C$22,INT((DATOS!$C$25+DATOS!$C$24)/(INDEX(TABLAS!$C$52:$C$58,MIN(MATCH(DATOS!$C$21,TABLAS!$B$52:$B$58,0)+3,7))+DATOS!$C$24)))),INDEX(TABLAS!$B$52:$B$58,MIN(MATCH(DATOS!$C$21,TABLAS!$B$52:$B$58,0)+3,7)),IF(AND(AQ22&gt;=0,CEILING(AQ22/INDEX(TABLAS!$D$52:$D$58,MIN(MATCH(DATOS!$C$21,TABLAS!$B$52:$B$58,0)+4,7)),1)&lt;=MIN(DATOS!$C$22,INT((DATOS!$C$25+DATOS!$C$24)/(INDEX(TABLAS!$C$52:$C$58,MIN(MATCH(DATOS!$C$21,TABLAS!$B$52:$B$58,0)+4,7))+DATOS!$C$24)))),INDEX(TABLAS!$B$52:$B$58,MIN(MATCH(DATOS!$C$21,TABLAS!$B$52:$B$58,0)+4,7)),INDEX(TABLAS!$B$52:$B$58,7))))))</f>
        <v>3</v>
      </c>
      <c r="AS22" s="55">
        <f>IF(D22="HUECO",0,IF(AQ22&lt;0,0,MAX(1,CEILING(AQ22/INDEX(TABLAS!$D$52:$D$58,MATCH(AR22,TABLAS!$B$52:$B$58,0)),1))))</f>
        <v>1</v>
      </c>
      <c r="AT22" s="34">
        <f>IF(AS22=0,0,DATOS!$C$45*AS22*INDEX(TABLAS!$D$52:$D$58,MATCH(AR22,TABLAS!$B$52:$B$58,0))*DATOS!$C$32*((DATOS!$C$15-DATOS!$C$18-INDEX(TABLAS!$C$52:$C$58,MATCH(DATOS!$C$19,TABLAS!$B$52:$B$58,0))-INDEX(TABLAS!$C$52:$C$58,MATCH(AR22,TABLAS!$B$52:$B$58,0))/2)-AS22*INDEX(TABLAS!$D$52:$D$58,MATCH(AR22,TABLAS!$B$52:$B$58,0))*DATOS!$C$32/(DATOS!$C$38*DATOS!$C$13)/2)/1E5)</f>
        <v>0.568518826235294</v>
      </c>
      <c r="AU22" s="59">
        <f>IF(AQ22&lt;0,9.99,IF(AT22&gt;0,AI22/AT22,0))</f>
        <v>0.158527279362082</v>
      </c>
      <c r="AV22" s="41">
        <f>IF(D22="HUECO",0,IF(AJ22&lt;=0,DATOS!$C$71*DATOS!$C$13*DATOS!$C$66,IF((1-2*AJ22*1E5/(DATOS!$C$45*DATOS!$C$16*DATOS!$C$66^2*DATOS!$C$38))&lt;0,-1,MAX(DATOS!$C$71*DATOS!$C$13*DATOS!$C$66,(1-SQRT((1-2*AJ22*1E5/(DATOS!$C$45*DATOS!$C$16*DATOS!$C$66^2*DATOS!$C$38))))*DATOS!$C$38*DATOS!$C$16*DATOS!$C$66/DATOS!$C$32))))</f>
        <v>0.576720388273208</v>
      </c>
      <c r="AW22" s="39">
        <f>IF(AND(AV22&gt;=0,CEILING(AV22/INDEX(TABLAS!$D$52:$D$58,MIN(MATCH(DATOS!$C$20,TABLAS!$B$52:$B$58,0)+0,7)),1)&lt;=MIN(DATOS!$C$22,INT((DATOS!$C$25+DATOS!$C$24)/(INDEX(TABLAS!$C$52:$C$58,MIN(MATCH(DATOS!$C$20,TABLAS!$B$52:$B$58,0)+0,7))+DATOS!$C$24)))),INDEX(TABLAS!$B$52:$B$58,MIN(MATCH(DATOS!$C$20,TABLAS!$B$52:$B$58,0)+0,7)),IF(AND(AV22&gt;=0,CEILING(AV22/INDEX(TABLAS!$D$52:$D$58,MIN(MATCH(DATOS!$C$20,TABLAS!$B$52:$B$58,0)+1,7)),1)&lt;=MIN(DATOS!$C$22,INT((DATOS!$C$25+DATOS!$C$24)/(INDEX(TABLAS!$C$52:$C$58,MIN(MATCH(DATOS!$C$20,TABLAS!$B$52:$B$58,0)+1,7))+DATOS!$C$24)))),INDEX(TABLAS!$B$52:$B$58,MIN(MATCH(DATOS!$C$20,TABLAS!$B$52:$B$58,0)+1,7)),IF(AND(AV22&gt;=0,CEILING(AV22/INDEX(TABLAS!$D$52:$D$58,MIN(MATCH(DATOS!$C$20,TABLAS!$B$52:$B$58,0)+2,7)),1)&lt;=MIN(DATOS!$C$22,INT((DATOS!$C$25+DATOS!$C$24)/(INDEX(TABLAS!$C$52:$C$58,MIN(MATCH(DATOS!$C$20,TABLAS!$B$52:$B$58,0)+2,7))+DATOS!$C$24)))),INDEX(TABLAS!$B$52:$B$58,MIN(MATCH(DATOS!$C$20,TABLAS!$B$52:$B$58,0)+2,7)),IF(AND(AV22&gt;=0,CEILING(AV22/INDEX(TABLAS!$D$52:$D$58,MIN(MATCH(DATOS!$C$20,TABLAS!$B$52:$B$58,0)+3,7)),1)&lt;=MIN(DATOS!$C$22,INT((DATOS!$C$25+DATOS!$C$24)/(INDEX(TABLAS!$C$52:$C$58,MIN(MATCH(DATOS!$C$20,TABLAS!$B$52:$B$58,0)+3,7))+DATOS!$C$24)))),INDEX(TABLAS!$B$52:$B$58,MIN(MATCH(DATOS!$C$20,TABLAS!$B$52:$B$58,0)+3,7)),IF(AND(AV22&gt;=0,CEILING(AV22/INDEX(TABLAS!$D$52:$D$58,MIN(MATCH(DATOS!$C$20,TABLAS!$B$52:$B$58,0)+4,7)),1)&lt;=MIN(DATOS!$C$22,INT((DATOS!$C$25+DATOS!$C$24)/(INDEX(TABLAS!$C$52:$C$58,MIN(MATCH(DATOS!$C$20,TABLAS!$B$52:$B$58,0)+4,7))+DATOS!$C$24)))),INDEX(TABLAS!$B$52:$B$58,MIN(MATCH(DATOS!$C$20,TABLAS!$B$52:$B$58,0)+4,7)),INDEX(TABLAS!$B$52:$B$58,7))))))</f>
        <v>3</v>
      </c>
      <c r="AX22" s="55">
        <f>IF(D22="HUECO",0,IF(AV22&lt;0,0,MAX(DATOS!$C$23,CEILING(AV22/INDEX(TABLAS!$D$52:$D$58,MATCH(AW22,TABLAS!$B$52:$B$58,0)),1))))</f>
        <v>1</v>
      </c>
      <c r="AY22" s="34">
        <f>IF(AX22=0,0,DATOS!$C$45*AX22*INDEX(TABLAS!$D$52:$D$58,MATCH(AW22,TABLAS!$B$52:$B$58,0))*DATOS!$C$32*((DATOS!$C$15-DATOS!$C$18-INDEX(TABLAS!$C$52:$C$58,MATCH(DATOS!$C$19,TABLAS!$B$52:$B$58,0))-INDEX(TABLAS!$C$52:$C$58,MATCH(AW22,TABLAS!$B$52:$B$58,0))/2)-AX22*INDEX(TABLAS!$D$52:$D$58,MATCH(AW22,TABLAS!$B$52:$B$58,0))*DATOS!$C$32/(DATOS!$C$38*DATOS!$C$16)/2)/1E5)</f>
        <v>0.584659515176471</v>
      </c>
      <c r="AZ22" s="59">
        <f>IF(AV22&lt;0,9.99,IF(AY22&gt;0,AJ22/AY22,0))</f>
        <v>0.0393729351787419</v>
      </c>
      <c r="BA22" s="41">
        <f>IF(D22="HUECO",0,IF(AK22&lt;=0,DATOS!$C$71*DATOS!$C$13*DATOS!$C$67,IF((1-2*AK22*1E5/(DATOS!$C$45*DATOS!$C$13*DATOS!$C$67^2*DATOS!$C$38))&lt;0,-1,IF((1-SQRT((1-2*AK22*1E5/(DATOS!$C$45*DATOS!$C$13*DATOS!$C$67^2*DATOS!$C$38))))*DATOS!$C$38*DATOS!$C$13*DATOS!$C$67/DATOS!$C$32&gt;DATOS!$C$70*DATOS!$C$13*DATOS!$C$67,-1,MAX(DATOS!$C$71*DATOS!$C$13*DATOS!$C$67,(1-SQRT((1-2*AK22*1E5/(DATOS!$C$45*DATOS!$C$13*DATOS!$C$67^2*DATOS!$C$38))))*DATOS!$C$38*DATOS!$C$13*DATOS!$C$67/DATOS!$C$32)))))</f>
        <v>0.576720388273208</v>
      </c>
      <c r="BB22" s="39">
        <f>IF(AND(BA22&gt;=0,CEILING(BA22/INDEX(TABLAS!$D$52:$D$58,MIN(MATCH(DATOS!$C$21,TABLAS!$B$52:$B$58,0)+0,7)),1)&lt;=MIN(DATOS!$C$22,INT((DATOS!$C$25+DATOS!$C$24)/(INDEX(TABLAS!$C$52:$C$58,MIN(MATCH(DATOS!$C$21,TABLAS!$B$52:$B$58,0)+0,7))+DATOS!$C$24)))),INDEX(TABLAS!$B$52:$B$58,MIN(MATCH(DATOS!$C$21,TABLAS!$B$52:$B$58,0)+0,7)),IF(AND(BA22&gt;=0,CEILING(BA22/INDEX(TABLAS!$D$52:$D$58,MIN(MATCH(DATOS!$C$21,TABLAS!$B$52:$B$58,0)+1,7)),1)&lt;=MIN(DATOS!$C$22,INT((DATOS!$C$25+DATOS!$C$24)/(INDEX(TABLAS!$C$52:$C$58,MIN(MATCH(DATOS!$C$21,TABLAS!$B$52:$B$58,0)+1,7))+DATOS!$C$24)))),INDEX(TABLAS!$B$52:$B$58,MIN(MATCH(DATOS!$C$21,TABLAS!$B$52:$B$58,0)+1,7)),IF(AND(BA22&gt;=0,CEILING(BA22/INDEX(TABLAS!$D$52:$D$58,MIN(MATCH(DATOS!$C$21,TABLAS!$B$52:$B$58,0)+2,7)),1)&lt;=MIN(DATOS!$C$22,INT((DATOS!$C$25+DATOS!$C$24)/(INDEX(TABLAS!$C$52:$C$58,MIN(MATCH(DATOS!$C$21,TABLAS!$B$52:$B$58,0)+2,7))+DATOS!$C$24)))),INDEX(TABLAS!$B$52:$B$58,MIN(MATCH(DATOS!$C$21,TABLAS!$B$52:$B$58,0)+2,7)),IF(AND(BA22&gt;=0,CEILING(BA22/INDEX(TABLAS!$D$52:$D$58,MIN(MATCH(DATOS!$C$21,TABLAS!$B$52:$B$58,0)+3,7)),1)&lt;=MIN(DATOS!$C$22,INT((DATOS!$C$25+DATOS!$C$24)/(INDEX(TABLAS!$C$52:$C$58,MIN(MATCH(DATOS!$C$21,TABLAS!$B$52:$B$58,0)+3,7))+DATOS!$C$24)))),INDEX(TABLAS!$B$52:$B$58,MIN(MATCH(DATOS!$C$21,TABLAS!$B$52:$B$58,0)+3,7)),IF(AND(BA22&gt;=0,CEILING(BA22/INDEX(TABLAS!$D$52:$D$58,MIN(MATCH(DATOS!$C$21,TABLAS!$B$52:$B$58,0)+4,7)),1)&lt;=MIN(DATOS!$C$22,INT((DATOS!$C$25+DATOS!$C$24)/(INDEX(TABLAS!$C$52:$C$58,MIN(MATCH(DATOS!$C$21,TABLAS!$B$52:$B$58,0)+4,7))+DATOS!$C$24)))),INDEX(TABLAS!$B$52:$B$58,MIN(MATCH(DATOS!$C$21,TABLAS!$B$52:$B$58,0)+4,7)),INDEX(TABLAS!$B$52:$B$58,7))))))</f>
        <v>3</v>
      </c>
      <c r="BC22" s="55">
        <f>IF(D22="HUECO",0,IF(BA22&lt;0,0,MAX(1,CEILING(BA22/INDEX(TABLAS!$D$52:$D$58,MATCH(BB22,TABLAS!$B$52:$B$58,0)),1))))</f>
        <v>1</v>
      </c>
      <c r="BD22" s="34">
        <f>IF(BC22=0,0,DATOS!$C$45*BC22*INDEX(TABLAS!$D$52:$D$58,MATCH(BB22,TABLAS!$B$52:$B$58,0))*DATOS!$C$32*((DATOS!$C$15-DATOS!$C$18-INDEX(TABLAS!$C$52:$C$58,MATCH(DATOS!$C$19,TABLAS!$B$52:$B$58,0))-INDEX(TABLAS!$C$52:$C$58,MATCH(BB22,TABLAS!$B$52:$B$58,0))/2)-BC22*INDEX(TABLAS!$D$52:$D$58,MATCH(BB22,TABLAS!$B$52:$B$58,0))*DATOS!$C$32/(DATOS!$C$38*DATOS!$C$13)/2)/1E5)</f>
        <v>0.568518826235294</v>
      </c>
      <c r="BE22" s="59">
        <f>IF(BA22&lt;0,9.99,IF(BD22&gt;0,AK22/BD22,0))</f>
        <v>0.116330424326649</v>
      </c>
      <c r="BF22" s="34">
        <f>IF(D22="PERIMETRAL",MAX(0,(J22/2-DATOS!$C$66/100))*(0.95-0.5*L22)*R22*IF(AND(S22&gt;0,S22&lt;4),DATOS!$C$50,1)*DATOS!$C$16/100/1000,IF(D22="VOLADO",(R22*J22+DATOS!$C$43*AG22)*DATOS!$C$16/100/1000,0))</f>
        <v>0.293170735017043</v>
      </c>
      <c r="BG22" s="34">
        <f>IF(D22="HUECO",0,DATOS!$C$46*IF((AS22*INDEX(TABLAS!$D$52:$D$58,MATCH(AR22,TABLAS!$B$52:$B$58,0))/(DATOS!$C$13*DATOS!$C$67))&lt;0.015,0.2+20*(AS22*INDEX(TABLAS!$D$52:$D$58,MATCH(AR22,TABLAS!$B$52:$B$58,0))/(DATOS!$C$13*DATOS!$C$67)),0.5)*SQRT(DATOS!$C$31)*DATOS!$C$13*DATOS!$C$67*DATOS!$C$49/1000)</f>
        <v>0.687439634849853</v>
      </c>
      <c r="BH22" s="49" t="str">
        <f>IF(D22="HUECO","—",IF(BF22&lt;=BG22,"CUMPLE","MACIZAR "&amp;MAX(1,CEILING(IF(D22="VOLADO",J22,J22/2)*(1-BG22/BF22)*100/DATOS!$C$16,1))&amp;" hilera(s)"))</f>
        <v>CUMPLE</v>
      </c>
      <c r="BI22" s="41">
        <f>IF(D22="PERIMETRAL",(2*(H22+I22)+0.25*(H22*((APOYOS!$G$81="DISCONTINUO")+(APOYOS!$G$82="DISCONTINUO"))+I22*((APOYOS!$G$83="DISCONTINUO")+(APOYOS!$G$84="DISCONTINUO"))))*(J22+MIN(K22,2*J22))/(J22+K22)*100/250*IF(OR(DATOS!$C$47&gt;2520,Q22&gt;380),0.032*(DATOS!$C$47*Q22)^0.25,1),IF(D22="VOLADO",J22*100/8,0))</f>
        <v>4.46138520793446</v>
      </c>
      <c r="BJ22" s="41">
        <f>IF(D22="VOLADO",DATOS!$C$15,DATOS!$C$68)</f>
        <v>13.6082564120244</v>
      </c>
      <c r="BK22" s="50" t="str">
        <f>IF(D22="HUECO","—",IF(BJ22&gt;=BI22,"CUMPLE","NO CUMPLE"))</f>
        <v>CUMPLE</v>
      </c>
      <c r="BL22" s="50" t="str">
        <f>IF(D22="PERIMETRAL",IF(DATOS!$C$16/100&lt;=J22/6,"SÍ","NO: a1 &lt; 6·s"),"—")</f>
        <v>NO: a1 &lt; 6·s</v>
      </c>
      <c r="BM22" s="55">
        <f>MAX(0,INT((F22*100-DATOS!$C$17+DATOS!$C$13)/DATOS!$C$16))</f>
        <v>4</v>
      </c>
      <c r="BN22" s="55">
        <f>MAX(0,INT((G22*100-DATOS!$C$17+DATOS!$C$13)/DATOS!$C$16))</f>
        <v>2</v>
      </c>
      <c r="BO22" s="49" t="str">
        <f>IF(COUNTIFS(TRIB!$C$6:$C$255,B22,TRIB!$K$6:$K$255,"NO CUMPLE*")+COUNTIFS(TRIB!$C$6:$C$255,B22,TRIB!$K$6:$K$255,"SIN APOYO*")&gt;0,"VER PRINCIPALES",IF((APOYOS!$F$81="LIBRE")+(APOYOS!$F$82="LIBRE")+(APOYOS!$F$83="LIBRE")+(APOYOS!$F$84="LIBRE")&gt;0,"REVISAR: borde libre","OK"))</f>
        <v>OK</v>
      </c>
      <c r="BP22" s="60" t="str">
        <f>IF(D22="HUECO","HUECO — marco de nervaduras principales",IF(AND(MAX(AP22,AU22,AZ22,BE22)&lt;=1,NOT(OR(AN22&gt;MIN(DATOS!$C$22,INT((DATOS!$C$25+DATOS!$C$24)/(INDEX(TABLAS!$C$52:$C$58,MATCH(AM22,TABLAS!$B$52:$B$58,0))+DATOS!$C$24))),AS22&gt;MIN(DATOS!$C$22,INT((DATOS!$C$25+DATOS!$C$24)/(INDEX(TABLAS!$C$52:$C$58,MATCH(AR22,TABLAS!$B$52:$B$58,0))+DATOS!$C$24))),AX22&gt;MIN(DATOS!$C$22,INT((DATOS!$C$25+DATOS!$C$24)/(INDEX(TABLAS!$C$52:$C$58,MATCH(AW22,TABLAS!$B$52:$B$58,0))+DATOS!$C$24))),BC22&gt;MIN(DATOS!$C$22,INT((DATOS!$C$25+DATOS!$C$24)/(INDEX(TABLAS!$C$52:$C$58,MATCH(BB22,TABLAS!$B$52:$B$58,0))+DATOS!$C$24))))),BK22="CUMPLE"),IF(BO22="OK",IF(BH22="CUMPLE","CUMPLE","CUMPLE — "&amp;BH22),IF(BO22="VER PRINCIPALES","VER PRINCIPALES","REVISAR APOYOS")),"NO CUMPLE: "&amp;IF(MAX(AP22,AU22,AZ22,BE22)&gt;1,"flexión ","")&amp;IF(OR(AN22&gt;MIN(DATOS!$C$22,INT((DATOS!$C$25+DATOS!$C$24)/(INDEX(TABLAS!$C$52:$C$58,MATCH(AM22,TABLAS!$B$52:$B$58,0))+DATOS!$C$24))),AS22&gt;MIN(DATOS!$C$22,INT((DATOS!$C$25+DATOS!$C$24)/(INDEX(TABLAS!$C$52:$C$58,MATCH(AR22,TABLAS!$B$52:$B$58,0))+DATOS!$C$24))),AX22&gt;MIN(DATOS!$C$22,INT((DATOS!$C$25+DATOS!$C$24)/(INDEX(TABLAS!$C$52:$C$58,MATCH(AW22,TABLAS!$B$52:$B$58,0))+DATOS!$C$24))),BC22&gt;MIN(DATOS!$C$22,INT((DATOS!$C$25+DATOS!$C$24)/(INDEX(TABLAS!$C$52:$C$58,MATCH(BB22,TABLAS!$B$52:$B$58,0))+DATOS!$C$24)))),"no caben ","")&amp;IF(BK22&lt;&gt;"CUMPLE","peralte","")))</f>
        <v>CUMPLE</v>
      </c>
      <c r="BQ22" s="61" t="inlineStr">
        <is>
          <t>—</t>
        </is>
      </c>
    </row>
    <row r="23" ht="30" customHeight="1">
      <c r="B23" s="49" t="inlineStr">
        <is>
          <t>F80016 N+3.00</t>
        </is>
      </c>
      <c r="C23" s="50" t="inlineStr">
        <is>
          <t>N+3.00</t>
        </is>
      </c>
      <c r="D23" s="51" t="inlineStr">
        <is>
          <t>PERIMETRAL</t>
        </is>
      </c>
      <c r="E23" s="51" t="inlineStr">
        <is>
          <t>HABITACIÓN</t>
        </is>
      </c>
      <c r="F23" s="52" t="n">
        <v>4.426</v>
      </c>
      <c r="G23" s="52" t="n">
        <v>4</v>
      </c>
      <c r="H23" s="53" t="n">
        <v>4.426</v>
      </c>
      <c r="I23" s="53" t="n">
        <v>4</v>
      </c>
      <c r="J23" s="34">
        <f>MIN(H23,I23)</f>
        <v>4</v>
      </c>
      <c r="K23" s="34">
        <f>MAX(H23,I23)</f>
        <v>4.426</v>
      </c>
      <c r="L23" s="34">
        <f>IF(K23&gt;0,J23/K23,0)</f>
        <v>0.903750564844103</v>
      </c>
      <c r="M23" s="50" t="str">
        <f>IF(H23&lt;=I23,"X","Y")</f>
        <v>Y</v>
      </c>
      <c r="N23" s="54" t="n">
        <v>160</v>
      </c>
      <c r="O23" s="55">
        <f>IF(E23="HABITACIÓN",DATOS!$C$76,DATOS!$C$78)</f>
        <v>190</v>
      </c>
      <c r="P23" s="55">
        <f>DATOS!$C$58</f>
        <v>253.673469387755</v>
      </c>
      <c r="Q23" s="55">
        <f>P23+N23+O23</f>
        <v>603.673469387755</v>
      </c>
      <c r="R23" s="56">
        <f>DATOS!$C$43*(P23+N23)+DATOS!$C$44*O23</f>
        <v>822.775510204082</v>
      </c>
      <c r="S23" s="55">
        <f>(APOYOS!$G$85="DISCONTINUO")+(APOYOS!$G$86="DISCONTINUO")+(APOYOS!$G$87="DISCONTINUO")+(APOYOS!$G$88="DISCONTINUO")</f>
        <v>1</v>
      </c>
      <c r="T23" s="55">
        <f>IF(M23="X",(APOYOS!$G$85="DISCONTINUO")+(APOYOS!$G$86="DISCONTINUO"),(APOYOS!$G$87="DISCONTINUO")+(APOYOS!$G$88="DISCONTINUO"))</f>
        <v>1</v>
      </c>
      <c r="U23" s="55">
        <f>S23-T23</f>
        <v>0</v>
      </c>
      <c r="V23" s="50" t="str">
        <f>IF(S23=0,"INTERIOR",IF(S23=1,IF(T23=1,"BORDE-CORTO","BORDE-LARGO"),IF(S23=2,IF(T23=1,"ESQUINA",IF(T23=2,"EXTREMO-LARGO","EXTREMO-CORTO")),IF(S23=3,IF(T23=2,"EXTREMO-LARGO","EXTREMO-CORTO"),"AISLADO"))))</f>
        <v>BORDE-CORTO</v>
      </c>
      <c r="W23" s="51" t="inlineStr">
        <is>
          <t>AUTO</t>
        </is>
      </c>
      <c r="X23" s="57" t="str">
        <f>IF(W23="AUTO",V23,W23)</f>
        <v>BORDE-CORTO</v>
      </c>
      <c r="Y23" s="55">
        <f>MATCH(L23,TABLAS!$D$5:$J$5,1)</f>
        <v>6</v>
      </c>
      <c r="Z23" s="41">
        <f>IF(Y23&gt;=7,0,(L23-INDEX(TABLAS!$D$5:$J$5,Y23))/(INDEX(TABLAS!$D$5:$J$5,Y23+1)-INDEX(TABLAS!$D$5:$J$5,Y23)))</f>
        <v>0.0375056484410297</v>
      </c>
      <c r="AA23" s="55">
        <f>INDEX(TABLAS!$D$6:$J$47,MATCH(X23&amp;"|NIC",TABLAS!$B$6:$B$47,0),Y23)+Z23*(INDEX(TABLAS!$D$6:$J$47,MATCH(X23&amp;"|NIC",TABLAS!$B$6:$B$47,0),MIN(Y23+1,7))-INDEX(TABLAS!$D$6:$J$47,MATCH(X23&amp;"|NIC",TABLAS!$B$6:$B$47,0),Y23))</f>
        <v>355.424762765477</v>
      </c>
      <c r="AB23" s="55">
        <f>INDEX(TABLAS!$D$6:$J$47,MATCH(X23&amp;"|NIL",TABLAS!$B$6:$B$47,0),Y23)+Z23*(INDEX(TABLAS!$D$6:$J$47,MATCH(X23&amp;"|NIL",TABLAS!$B$6:$B$47,0),MIN(Y23+1,7))-INDEX(TABLAS!$D$6:$J$47,MATCH(X23&amp;"|NIL",TABLAS!$B$6:$B$47,0),Y23))</f>
        <v>324.91233619521</v>
      </c>
      <c r="AC23" s="55">
        <f>INDEX(TABLAS!$D$6:$J$47,MATCH(X23&amp;"|NDC",TABLAS!$B$6:$B$47,0),Y23)+Z23*(INDEX(TABLAS!$D$6:$J$47,MATCH(X23&amp;"|NDC",TABLAS!$B$6:$B$47,0),MIN(Y23+1,7))-INDEX(TABLAS!$D$6:$J$47,MATCH(X23&amp;"|NDC",TABLAS!$B$6:$B$47,0),Y23))</f>
        <v>0</v>
      </c>
      <c r="AD23" s="55">
        <f>INDEX(TABLAS!$D$6:$J$47,MATCH(X23&amp;"|NDL",TABLAS!$B$6:$B$47,0),Y23)+Z23*(INDEX(TABLAS!$D$6:$J$47,MATCH(X23&amp;"|NDL",TABLAS!$B$6:$B$47,0),MIN(Y23+1,7))-INDEX(TABLAS!$D$6:$J$47,MATCH(X23&amp;"|NDL",TABLAS!$B$6:$B$47,0),Y23))</f>
        <v>205.399909624944</v>
      </c>
      <c r="AE23" s="55">
        <f>INDEX(TABLAS!$D$6:$J$47,MATCH(X23&amp;"|PC",TABLAS!$B$6:$B$47,0),Y23)+Z23*(INDEX(TABLAS!$D$6:$J$47,MATCH(X23&amp;"|PC",TABLAS!$B$6:$B$47,0),MIN(Y23+1,7))-INDEX(TABLAS!$D$6:$J$47,MATCH(X23&amp;"|PC",TABLAS!$B$6:$B$47,0),Y23))</f>
        <v>165.724807953005</v>
      </c>
      <c r="AF23" s="55">
        <f>INDEX(TABLAS!$D$6:$J$47,MATCH(X23&amp;"|PL",TABLAS!$B$6:$B$47,0),Y23)+Z23*(INDEX(TABLAS!$D$6:$J$47,MATCH(X23&amp;"|PL",TABLAS!$B$6:$B$47,0),MIN(Y23+1,7))-INDEX(TABLAS!$D$6:$J$47,MATCH(X23&amp;"|PL",TABLAS!$B$6:$B$47,0),Y23))</f>
        <v>129</v>
      </c>
      <c r="AG23" s="58" t="n">
        <v>0</v>
      </c>
      <c r="AH23" s="34">
        <f>IF(D23="PERIMETRAL",AE23*R23*J23^2*1E-4*DATOS!$C$16/100/1000,0)</f>
        <v>0.152716831027048</v>
      </c>
      <c r="AI23" s="34">
        <f>IF(D23="PERIMETRAL",MAX(AA23,AC23)*R23*J23^2*1E-4*DATOS!$C$16/100/1000,IF(D23="VOLADO",(R23*J23^2/2+DATOS!$C$43*AG23*J23)*DATOS!$C$16/100/1000,0))</f>
        <v>0.327526965386353</v>
      </c>
      <c r="AJ23" s="34">
        <f>IF(D23="PERIMETRAL",AF23*R23*J23^2*1E-4*DATOS!$C$16/100/1000,0)</f>
        <v>0.118874605714286</v>
      </c>
      <c r="AK23" s="34">
        <f>IF(D23="PERIMETRAL",MAX(AB23,AD23)*R23*J23^2*1E-4*DATOS!$C$16/100/1000,0)</f>
        <v>0.299409502766768</v>
      </c>
      <c r="AL23" s="41">
        <f>IF(D23="HUECO",0,IF(AH23&lt;=0,DATOS!$C$71*DATOS!$C$13*DATOS!$C$66,IF((1-2*AH23*1E5/(DATOS!$C$45*DATOS!$C$16*DATOS!$C$66^2*DATOS!$C$38))&lt;0,-1,MAX(DATOS!$C$71*DATOS!$C$13*DATOS!$C$66,(1-SQRT((1-2*AH23*1E5/(DATOS!$C$45*DATOS!$C$16*DATOS!$C$66^2*DATOS!$C$38))))*DATOS!$C$38*DATOS!$C$16*DATOS!$C$66/DATOS!$C$32))))</f>
        <v>0.576720388273208</v>
      </c>
      <c r="AM23" s="39">
        <f>IF(AND(AL23&gt;=0,CEILING(AL23/INDEX(TABLAS!$D$52:$D$58,MIN(MATCH(DATOS!$C$20,TABLAS!$B$52:$B$58,0)+0,7)),1)&lt;=MIN(DATOS!$C$22,INT((DATOS!$C$25+DATOS!$C$24)/(INDEX(TABLAS!$C$52:$C$58,MIN(MATCH(DATOS!$C$20,TABLAS!$B$52:$B$58,0)+0,7))+DATOS!$C$24)))),INDEX(TABLAS!$B$52:$B$58,MIN(MATCH(DATOS!$C$20,TABLAS!$B$52:$B$58,0)+0,7)),IF(AND(AL23&gt;=0,CEILING(AL23/INDEX(TABLAS!$D$52:$D$58,MIN(MATCH(DATOS!$C$20,TABLAS!$B$52:$B$58,0)+1,7)),1)&lt;=MIN(DATOS!$C$22,INT((DATOS!$C$25+DATOS!$C$24)/(INDEX(TABLAS!$C$52:$C$58,MIN(MATCH(DATOS!$C$20,TABLAS!$B$52:$B$58,0)+1,7))+DATOS!$C$24)))),INDEX(TABLAS!$B$52:$B$58,MIN(MATCH(DATOS!$C$20,TABLAS!$B$52:$B$58,0)+1,7)),IF(AND(AL23&gt;=0,CEILING(AL23/INDEX(TABLAS!$D$52:$D$58,MIN(MATCH(DATOS!$C$20,TABLAS!$B$52:$B$58,0)+2,7)),1)&lt;=MIN(DATOS!$C$22,INT((DATOS!$C$25+DATOS!$C$24)/(INDEX(TABLAS!$C$52:$C$58,MIN(MATCH(DATOS!$C$20,TABLAS!$B$52:$B$58,0)+2,7))+DATOS!$C$24)))),INDEX(TABLAS!$B$52:$B$58,MIN(MATCH(DATOS!$C$20,TABLAS!$B$52:$B$58,0)+2,7)),IF(AND(AL23&gt;=0,CEILING(AL23/INDEX(TABLAS!$D$52:$D$58,MIN(MATCH(DATOS!$C$20,TABLAS!$B$52:$B$58,0)+3,7)),1)&lt;=MIN(DATOS!$C$22,INT((DATOS!$C$25+DATOS!$C$24)/(INDEX(TABLAS!$C$52:$C$58,MIN(MATCH(DATOS!$C$20,TABLAS!$B$52:$B$58,0)+3,7))+DATOS!$C$24)))),INDEX(TABLAS!$B$52:$B$58,MIN(MATCH(DATOS!$C$20,TABLAS!$B$52:$B$58,0)+3,7)),IF(AND(AL23&gt;=0,CEILING(AL23/INDEX(TABLAS!$D$52:$D$58,MIN(MATCH(DATOS!$C$20,TABLAS!$B$52:$B$58,0)+4,7)),1)&lt;=MIN(DATOS!$C$22,INT((DATOS!$C$25+DATOS!$C$24)/(INDEX(TABLAS!$C$52:$C$58,MIN(MATCH(DATOS!$C$20,TABLAS!$B$52:$B$58,0)+4,7))+DATOS!$C$24)))),INDEX(TABLAS!$B$52:$B$58,MIN(MATCH(DATOS!$C$20,TABLAS!$B$52:$B$58,0)+4,7)),INDEX(TABLAS!$B$52:$B$58,7))))))</f>
        <v>3</v>
      </c>
      <c r="AN23" s="55">
        <f>IF(D23="HUECO",0,IF(AL23&lt;0,0,MAX(DATOS!$C$23,CEILING(AL23/INDEX(TABLAS!$D$52:$D$58,MATCH(AM23,TABLAS!$B$52:$B$58,0)),1))))</f>
        <v>1</v>
      </c>
      <c r="AO23" s="34">
        <f>IF(AN23=0,0,DATOS!$C$45*AN23*INDEX(TABLAS!$D$52:$D$58,MATCH(AM23,TABLAS!$B$52:$B$58,0))*DATOS!$C$32*((DATOS!$C$15-DATOS!$C$18-INDEX(TABLAS!$C$52:$C$58,MATCH(DATOS!$C$19,TABLAS!$B$52:$B$58,0))-INDEX(TABLAS!$C$52:$C$58,MATCH(AM23,TABLAS!$B$52:$B$58,0))/2)-AN23*INDEX(TABLAS!$D$52:$D$58,MATCH(AM23,TABLAS!$B$52:$B$58,0))*DATOS!$C$32/(DATOS!$C$38*DATOS!$C$16)/2)/1E5)</f>
        <v>0.584659515176471</v>
      </c>
      <c r="AP23" s="59">
        <f>IF(AL23&lt;0,9.99,IF(AO23&gt;0,AH23/AO23,0))</f>
        <v>0.261206440779387</v>
      </c>
      <c r="AQ23" s="41">
        <f>IF(D23="HUECO",0,IF(AI23&lt;=0,DATOS!$C$71*DATOS!$C$13*DATOS!$C$67,IF((1-2*AI23*1E5/(DATOS!$C$45*DATOS!$C$13*DATOS!$C$67^2*DATOS!$C$38))&lt;0,-1,IF((1-SQRT((1-2*AI23*1E5/(DATOS!$C$45*DATOS!$C$13*DATOS!$C$67^2*DATOS!$C$38))))*DATOS!$C$38*DATOS!$C$13*DATOS!$C$67/DATOS!$C$32&gt;DATOS!$C$70*DATOS!$C$13*DATOS!$C$67,-1,MAX(DATOS!$C$71*DATOS!$C$13*DATOS!$C$67,(1-SQRT((1-2*AI23*1E5/(DATOS!$C$45*DATOS!$C$13*DATOS!$C$67^2*DATOS!$C$38))))*DATOS!$C$38*DATOS!$C$13*DATOS!$C$67/DATOS!$C$32)))))</f>
        <v>0.576720388273208</v>
      </c>
      <c r="AR23" s="39">
        <f>IF(AND(AQ23&gt;=0,CEILING(AQ23/INDEX(TABLAS!$D$52:$D$58,MIN(MATCH(DATOS!$C$21,TABLAS!$B$52:$B$58,0)+0,7)),1)&lt;=MIN(DATOS!$C$22,INT((DATOS!$C$25+DATOS!$C$24)/(INDEX(TABLAS!$C$52:$C$58,MIN(MATCH(DATOS!$C$21,TABLAS!$B$52:$B$58,0)+0,7))+DATOS!$C$24)))),INDEX(TABLAS!$B$52:$B$58,MIN(MATCH(DATOS!$C$21,TABLAS!$B$52:$B$58,0)+0,7)),IF(AND(AQ23&gt;=0,CEILING(AQ23/INDEX(TABLAS!$D$52:$D$58,MIN(MATCH(DATOS!$C$21,TABLAS!$B$52:$B$58,0)+1,7)),1)&lt;=MIN(DATOS!$C$22,INT((DATOS!$C$25+DATOS!$C$24)/(INDEX(TABLAS!$C$52:$C$58,MIN(MATCH(DATOS!$C$21,TABLAS!$B$52:$B$58,0)+1,7))+DATOS!$C$24)))),INDEX(TABLAS!$B$52:$B$58,MIN(MATCH(DATOS!$C$21,TABLAS!$B$52:$B$58,0)+1,7)),IF(AND(AQ23&gt;=0,CEILING(AQ23/INDEX(TABLAS!$D$52:$D$58,MIN(MATCH(DATOS!$C$21,TABLAS!$B$52:$B$58,0)+2,7)),1)&lt;=MIN(DATOS!$C$22,INT((DATOS!$C$25+DATOS!$C$24)/(INDEX(TABLAS!$C$52:$C$58,MIN(MATCH(DATOS!$C$21,TABLAS!$B$52:$B$58,0)+2,7))+DATOS!$C$24)))),INDEX(TABLAS!$B$52:$B$58,MIN(MATCH(DATOS!$C$21,TABLAS!$B$52:$B$58,0)+2,7)),IF(AND(AQ23&gt;=0,CEILING(AQ23/INDEX(TABLAS!$D$52:$D$58,MIN(MATCH(DATOS!$C$21,TABLAS!$B$52:$B$58,0)+3,7)),1)&lt;=MIN(DATOS!$C$22,INT((DATOS!$C$25+DATOS!$C$24)/(INDEX(TABLAS!$C$52:$C$58,MIN(MATCH(DATOS!$C$21,TABLAS!$B$52:$B$58,0)+3,7))+DATOS!$C$24)))),INDEX(TABLAS!$B$52:$B$58,MIN(MATCH(DATOS!$C$21,TABLAS!$B$52:$B$58,0)+3,7)),IF(AND(AQ23&gt;=0,CEILING(AQ23/INDEX(TABLAS!$D$52:$D$58,MIN(MATCH(DATOS!$C$21,TABLAS!$B$52:$B$58,0)+4,7)),1)&lt;=MIN(DATOS!$C$22,INT((DATOS!$C$25+DATOS!$C$24)/(INDEX(TABLAS!$C$52:$C$58,MIN(MATCH(DATOS!$C$21,TABLAS!$B$52:$B$58,0)+4,7))+DATOS!$C$24)))),INDEX(TABLAS!$B$52:$B$58,MIN(MATCH(DATOS!$C$21,TABLAS!$B$52:$B$58,0)+4,7)),INDEX(TABLAS!$B$52:$B$58,7))))))</f>
        <v>3</v>
      </c>
      <c r="AS23" s="55">
        <f>IF(D23="HUECO",0,IF(AQ23&lt;0,0,MAX(1,CEILING(AQ23/INDEX(TABLAS!$D$52:$D$58,MATCH(AR23,TABLAS!$B$52:$B$58,0)),1))))</f>
        <v>1</v>
      </c>
      <c r="AT23" s="34">
        <f>IF(AS23=0,0,DATOS!$C$45*AS23*INDEX(TABLAS!$D$52:$D$58,MATCH(AR23,TABLAS!$B$52:$B$58,0))*DATOS!$C$32*((DATOS!$C$15-DATOS!$C$18-INDEX(TABLAS!$C$52:$C$58,MATCH(DATOS!$C$19,TABLAS!$B$52:$B$58,0))-INDEX(TABLAS!$C$52:$C$58,MATCH(AR23,TABLAS!$B$52:$B$58,0))/2)-AS23*INDEX(TABLAS!$D$52:$D$58,MATCH(AR23,TABLAS!$B$52:$B$58,0))*DATOS!$C$32/(DATOS!$C$38*DATOS!$C$13)/2)/1E5)</f>
        <v>0.568518826235294</v>
      </c>
      <c r="AU23" s="59">
        <f>IF(AQ23&lt;0,9.99,IF(AT23&gt;0,AI23/AT23,0))</f>
        <v>0.576105751071116</v>
      </c>
      <c r="AV23" s="41">
        <f>IF(D23="HUECO",0,IF(AJ23&lt;=0,DATOS!$C$71*DATOS!$C$13*DATOS!$C$66,IF((1-2*AJ23*1E5/(DATOS!$C$45*DATOS!$C$16*DATOS!$C$66^2*DATOS!$C$38))&lt;0,-1,MAX(DATOS!$C$71*DATOS!$C$13*DATOS!$C$66,(1-SQRT((1-2*AJ23*1E5/(DATOS!$C$45*DATOS!$C$16*DATOS!$C$66^2*DATOS!$C$38))))*DATOS!$C$38*DATOS!$C$16*DATOS!$C$66/DATOS!$C$32))))</f>
        <v>0.576720388273208</v>
      </c>
      <c r="AW23" s="39">
        <f>IF(AND(AV23&gt;=0,CEILING(AV23/INDEX(TABLAS!$D$52:$D$58,MIN(MATCH(DATOS!$C$20,TABLAS!$B$52:$B$58,0)+0,7)),1)&lt;=MIN(DATOS!$C$22,INT((DATOS!$C$25+DATOS!$C$24)/(INDEX(TABLAS!$C$52:$C$58,MIN(MATCH(DATOS!$C$20,TABLAS!$B$52:$B$58,0)+0,7))+DATOS!$C$24)))),INDEX(TABLAS!$B$52:$B$58,MIN(MATCH(DATOS!$C$20,TABLAS!$B$52:$B$58,0)+0,7)),IF(AND(AV23&gt;=0,CEILING(AV23/INDEX(TABLAS!$D$52:$D$58,MIN(MATCH(DATOS!$C$20,TABLAS!$B$52:$B$58,0)+1,7)),1)&lt;=MIN(DATOS!$C$22,INT((DATOS!$C$25+DATOS!$C$24)/(INDEX(TABLAS!$C$52:$C$58,MIN(MATCH(DATOS!$C$20,TABLAS!$B$52:$B$58,0)+1,7))+DATOS!$C$24)))),INDEX(TABLAS!$B$52:$B$58,MIN(MATCH(DATOS!$C$20,TABLAS!$B$52:$B$58,0)+1,7)),IF(AND(AV23&gt;=0,CEILING(AV23/INDEX(TABLAS!$D$52:$D$58,MIN(MATCH(DATOS!$C$20,TABLAS!$B$52:$B$58,0)+2,7)),1)&lt;=MIN(DATOS!$C$22,INT((DATOS!$C$25+DATOS!$C$24)/(INDEX(TABLAS!$C$52:$C$58,MIN(MATCH(DATOS!$C$20,TABLAS!$B$52:$B$58,0)+2,7))+DATOS!$C$24)))),INDEX(TABLAS!$B$52:$B$58,MIN(MATCH(DATOS!$C$20,TABLAS!$B$52:$B$58,0)+2,7)),IF(AND(AV23&gt;=0,CEILING(AV23/INDEX(TABLAS!$D$52:$D$58,MIN(MATCH(DATOS!$C$20,TABLAS!$B$52:$B$58,0)+3,7)),1)&lt;=MIN(DATOS!$C$22,INT((DATOS!$C$25+DATOS!$C$24)/(INDEX(TABLAS!$C$52:$C$58,MIN(MATCH(DATOS!$C$20,TABLAS!$B$52:$B$58,0)+3,7))+DATOS!$C$24)))),INDEX(TABLAS!$B$52:$B$58,MIN(MATCH(DATOS!$C$20,TABLAS!$B$52:$B$58,0)+3,7)),IF(AND(AV23&gt;=0,CEILING(AV23/INDEX(TABLAS!$D$52:$D$58,MIN(MATCH(DATOS!$C$20,TABLAS!$B$52:$B$58,0)+4,7)),1)&lt;=MIN(DATOS!$C$22,INT((DATOS!$C$25+DATOS!$C$24)/(INDEX(TABLAS!$C$52:$C$58,MIN(MATCH(DATOS!$C$20,TABLAS!$B$52:$B$58,0)+4,7))+DATOS!$C$24)))),INDEX(TABLAS!$B$52:$B$58,MIN(MATCH(DATOS!$C$20,TABLAS!$B$52:$B$58,0)+4,7)),INDEX(TABLAS!$B$52:$B$58,7))))))</f>
        <v>3</v>
      </c>
      <c r="AX23" s="55">
        <f>IF(D23="HUECO",0,IF(AV23&lt;0,0,MAX(DATOS!$C$23,CEILING(AV23/INDEX(TABLAS!$D$52:$D$58,MATCH(AW23,TABLAS!$B$52:$B$58,0)),1))))</f>
        <v>1</v>
      </c>
      <c r="AY23" s="34">
        <f>IF(AX23=0,0,DATOS!$C$45*AX23*INDEX(TABLAS!$D$52:$D$58,MATCH(AW23,TABLAS!$B$52:$B$58,0))*DATOS!$C$32*((DATOS!$C$15-DATOS!$C$18-INDEX(TABLAS!$C$52:$C$58,MATCH(DATOS!$C$19,TABLAS!$B$52:$B$58,0))-INDEX(TABLAS!$C$52:$C$58,MATCH(AW23,TABLAS!$B$52:$B$58,0))/2)-AX23*INDEX(TABLAS!$D$52:$D$58,MATCH(AW23,TABLAS!$B$52:$B$58,0))*DATOS!$C$32/(DATOS!$C$38*DATOS!$C$16)/2)/1E5)</f>
        <v>0.584659515176471</v>
      </c>
      <c r="AZ23" s="59">
        <f>IF(AV23&lt;0,9.99,IF(AY23&gt;0,AJ23/AY23,0))</f>
        <v>0.203322793230185</v>
      </c>
      <c r="BA23" s="41">
        <f>IF(D23="HUECO",0,IF(AK23&lt;=0,DATOS!$C$71*DATOS!$C$13*DATOS!$C$67,IF((1-2*AK23*1E5/(DATOS!$C$45*DATOS!$C$13*DATOS!$C$67^2*DATOS!$C$38))&lt;0,-1,IF((1-SQRT((1-2*AK23*1E5/(DATOS!$C$45*DATOS!$C$13*DATOS!$C$67^2*DATOS!$C$38))))*DATOS!$C$38*DATOS!$C$13*DATOS!$C$67/DATOS!$C$32&gt;DATOS!$C$70*DATOS!$C$13*DATOS!$C$67,-1,MAX(DATOS!$C$71*DATOS!$C$13*DATOS!$C$67,(1-SQRT((1-2*AK23*1E5/(DATOS!$C$45*DATOS!$C$13*DATOS!$C$67^2*DATOS!$C$38))))*DATOS!$C$38*DATOS!$C$13*DATOS!$C$67/DATOS!$C$32)))))</f>
        <v>0.576720388273208</v>
      </c>
      <c r="BB23" s="39">
        <f>IF(AND(BA23&gt;=0,CEILING(BA23/INDEX(TABLAS!$D$52:$D$58,MIN(MATCH(DATOS!$C$21,TABLAS!$B$52:$B$58,0)+0,7)),1)&lt;=MIN(DATOS!$C$22,INT((DATOS!$C$25+DATOS!$C$24)/(INDEX(TABLAS!$C$52:$C$58,MIN(MATCH(DATOS!$C$21,TABLAS!$B$52:$B$58,0)+0,7))+DATOS!$C$24)))),INDEX(TABLAS!$B$52:$B$58,MIN(MATCH(DATOS!$C$21,TABLAS!$B$52:$B$58,0)+0,7)),IF(AND(BA23&gt;=0,CEILING(BA23/INDEX(TABLAS!$D$52:$D$58,MIN(MATCH(DATOS!$C$21,TABLAS!$B$52:$B$58,0)+1,7)),1)&lt;=MIN(DATOS!$C$22,INT((DATOS!$C$25+DATOS!$C$24)/(INDEX(TABLAS!$C$52:$C$58,MIN(MATCH(DATOS!$C$21,TABLAS!$B$52:$B$58,0)+1,7))+DATOS!$C$24)))),INDEX(TABLAS!$B$52:$B$58,MIN(MATCH(DATOS!$C$21,TABLAS!$B$52:$B$58,0)+1,7)),IF(AND(BA23&gt;=0,CEILING(BA23/INDEX(TABLAS!$D$52:$D$58,MIN(MATCH(DATOS!$C$21,TABLAS!$B$52:$B$58,0)+2,7)),1)&lt;=MIN(DATOS!$C$22,INT((DATOS!$C$25+DATOS!$C$24)/(INDEX(TABLAS!$C$52:$C$58,MIN(MATCH(DATOS!$C$21,TABLAS!$B$52:$B$58,0)+2,7))+DATOS!$C$24)))),INDEX(TABLAS!$B$52:$B$58,MIN(MATCH(DATOS!$C$21,TABLAS!$B$52:$B$58,0)+2,7)),IF(AND(BA23&gt;=0,CEILING(BA23/INDEX(TABLAS!$D$52:$D$58,MIN(MATCH(DATOS!$C$21,TABLAS!$B$52:$B$58,0)+3,7)),1)&lt;=MIN(DATOS!$C$22,INT((DATOS!$C$25+DATOS!$C$24)/(INDEX(TABLAS!$C$52:$C$58,MIN(MATCH(DATOS!$C$21,TABLAS!$B$52:$B$58,0)+3,7))+DATOS!$C$24)))),INDEX(TABLAS!$B$52:$B$58,MIN(MATCH(DATOS!$C$21,TABLAS!$B$52:$B$58,0)+3,7)),IF(AND(BA23&gt;=0,CEILING(BA23/INDEX(TABLAS!$D$52:$D$58,MIN(MATCH(DATOS!$C$21,TABLAS!$B$52:$B$58,0)+4,7)),1)&lt;=MIN(DATOS!$C$22,INT((DATOS!$C$25+DATOS!$C$24)/(INDEX(TABLAS!$C$52:$C$58,MIN(MATCH(DATOS!$C$21,TABLAS!$B$52:$B$58,0)+4,7))+DATOS!$C$24)))),INDEX(TABLAS!$B$52:$B$58,MIN(MATCH(DATOS!$C$21,TABLAS!$B$52:$B$58,0)+4,7)),INDEX(TABLAS!$B$52:$B$58,7))))))</f>
        <v>3</v>
      </c>
      <c r="BC23" s="55">
        <f>IF(D23="HUECO",0,IF(BA23&lt;0,0,MAX(1,CEILING(BA23/INDEX(TABLAS!$D$52:$D$58,MATCH(BB23,TABLAS!$B$52:$B$58,0)),1))))</f>
        <v>1</v>
      </c>
      <c r="BD23" s="34">
        <f>IF(BC23=0,0,DATOS!$C$45*BC23*INDEX(TABLAS!$D$52:$D$58,MATCH(BB23,TABLAS!$B$52:$B$58,0))*DATOS!$C$32*((DATOS!$C$15-DATOS!$C$18-INDEX(TABLAS!$C$52:$C$58,MATCH(DATOS!$C$19,TABLAS!$B$52:$B$58,0))-INDEX(TABLAS!$C$52:$C$58,MATCH(BB23,TABLAS!$B$52:$B$58,0))/2)-BC23*INDEX(TABLAS!$D$52:$D$58,MATCH(BB23,TABLAS!$B$52:$B$58,0))*DATOS!$C$32/(DATOS!$C$38*DATOS!$C$13)/2)/1E5)</f>
        <v>0.568518826235294</v>
      </c>
      <c r="BE23" s="59">
        <f>IF(BA23&lt;0,9.99,IF(BD23&gt;0,AK23/BD23,0))</f>
        <v>0.526648351734355</v>
      </c>
      <c r="BF23" s="34">
        <f>IF(D23="PERIMETRAL",MAX(0,(J23/2-DATOS!$C$66/100))*(0.95-0.5*L23)*R23*IF(AND(S23&gt;0,S23&lt;4),DATOS!$C$50,1)*DATOS!$C$16/100/1000,IF(D23="VOLADO",(R23*J23+DATOS!$C$43*AG23)*DATOS!$C$16/100/1000,0))</f>
        <v>0.587646054485111</v>
      </c>
      <c r="BG23" s="34">
        <f>IF(D23="HUECO",0,DATOS!$C$46*IF((AS23*INDEX(TABLAS!$D$52:$D$58,MATCH(AR23,TABLAS!$B$52:$B$58,0))/(DATOS!$C$13*DATOS!$C$67))&lt;0.015,0.2+20*(AS23*INDEX(TABLAS!$D$52:$D$58,MATCH(AR23,TABLAS!$B$52:$B$58,0))/(DATOS!$C$13*DATOS!$C$67)),0.5)*SQRT(DATOS!$C$31)*DATOS!$C$13*DATOS!$C$67*DATOS!$C$49/1000)</f>
        <v>0.687439634849853</v>
      </c>
      <c r="BH23" s="49" t="str">
        <f>IF(D23="HUECO","—",IF(BF23&lt;=BG23,"CUMPLE","MACIZAR "&amp;MAX(1,CEILING(IF(D23="VOLADO",J23,J23/2)*(1-BG23/BF23)*100/DATOS!$C$16,1))&amp;" hilera(s)"))</f>
        <v>CUMPLE</v>
      </c>
      <c r="BI23" s="41">
        <f>IF(D23="PERIMETRAL",(2*(H23+I23)+0.25*(H23*((APOYOS!$G$85="DISCONTINUO")+(APOYOS!$G$86="DISCONTINUO"))+I23*((APOYOS!$G$87="DISCONTINUO")+(APOYOS!$G$88="DISCONTINUO"))))*(J23+MIN(K23,2*J23))/(J23+K23)*100/250*IF(OR(DATOS!$C$47&gt;2520,Q23&gt;380),0.032*(DATOS!$C$47*Q23)^0.25,1),IF(D23="VOLADO",J23*100/8,0))</f>
        <v>8.02504553686247</v>
      </c>
      <c r="BJ23" s="41">
        <f>IF(D23="VOLADO",DATOS!$C$15,DATOS!$C$68)</f>
        <v>13.6082564120244</v>
      </c>
      <c r="BK23" s="50" t="str">
        <f>IF(D23="HUECO","—",IF(BJ23&gt;=BI23,"CUMPLE","NO CUMPLE"))</f>
        <v>CUMPLE</v>
      </c>
      <c r="BL23" s="50" t="str">
        <f>IF(D23="PERIMETRAL",IF(DATOS!$C$16/100&lt;=J23/6,"SÍ","NO: a1 &lt; 6·s"),"—")</f>
        <v>NO: a1 &lt; 6·s</v>
      </c>
      <c r="BM23" s="55">
        <f>MAX(0,INT((F23*100-DATOS!$C$17+DATOS!$C$13)/DATOS!$C$16))</f>
        <v>6</v>
      </c>
      <c r="BN23" s="55">
        <f>MAX(0,INT((G23*100-DATOS!$C$17+DATOS!$C$13)/DATOS!$C$16))</f>
        <v>5</v>
      </c>
      <c r="BO23" s="49" t="str">
        <f>IF(COUNTIFS(TRIB!$C$6:$C$255,B23,TRIB!$K$6:$K$255,"NO CUMPLE*")+COUNTIFS(TRIB!$C$6:$C$255,B23,TRIB!$K$6:$K$255,"SIN APOYO*")&gt;0,"VER PRINCIPALES",IF((APOYOS!$F$85="LIBRE")+(APOYOS!$F$86="LIBRE")+(APOYOS!$F$87="LIBRE")+(APOYOS!$F$88="LIBRE")&gt;0,"REVISAR: borde libre","OK"))</f>
        <v>VER PRINCIPALES</v>
      </c>
      <c r="BP23" s="60" t="str">
        <f>IF(D23="HUECO","HUECO — marco de nervaduras principales",IF(AND(MAX(AP23,AU23,AZ23,BE23)&lt;=1,NOT(OR(AN23&gt;MIN(DATOS!$C$22,INT((DATOS!$C$25+DATOS!$C$24)/(INDEX(TABLAS!$C$52:$C$58,MATCH(AM23,TABLAS!$B$52:$B$58,0))+DATOS!$C$24))),AS23&gt;MIN(DATOS!$C$22,INT((DATOS!$C$25+DATOS!$C$24)/(INDEX(TABLAS!$C$52:$C$58,MATCH(AR23,TABLAS!$B$52:$B$58,0))+DATOS!$C$24))),AX23&gt;MIN(DATOS!$C$22,INT((DATOS!$C$25+DATOS!$C$24)/(INDEX(TABLAS!$C$52:$C$58,MATCH(AW23,TABLAS!$B$52:$B$58,0))+DATOS!$C$24))),BC23&gt;MIN(DATOS!$C$22,INT((DATOS!$C$25+DATOS!$C$24)/(INDEX(TABLAS!$C$52:$C$58,MATCH(BB23,TABLAS!$B$52:$B$58,0))+DATOS!$C$24))))),BK23="CUMPLE"),IF(BO23="OK",IF(BH23="CUMPLE","CUMPLE","CUMPLE — "&amp;BH23),IF(BO23="VER PRINCIPALES","VER PRINCIPALES","REVISAR APOYOS")),"NO CUMPLE: "&amp;IF(MAX(AP23,AU23,AZ23,BE23)&gt;1,"flexión ","")&amp;IF(OR(AN23&gt;MIN(DATOS!$C$22,INT((DATOS!$C$25+DATOS!$C$24)/(INDEX(TABLAS!$C$52:$C$58,MATCH(AM23,TABLAS!$B$52:$B$58,0))+DATOS!$C$24))),AS23&gt;MIN(DATOS!$C$22,INT((DATOS!$C$25+DATOS!$C$24)/(INDEX(TABLAS!$C$52:$C$58,MATCH(AR23,TABLAS!$B$52:$B$58,0))+DATOS!$C$24))),AX23&gt;MIN(DATOS!$C$22,INT((DATOS!$C$25+DATOS!$C$24)/(INDEX(TABLAS!$C$52:$C$58,MATCH(AW23,TABLAS!$B$52:$B$58,0))+DATOS!$C$24))),BC23&gt;MIN(DATOS!$C$22,INT((DATOS!$C$25+DATOS!$C$24)/(INDEX(TABLAS!$C$52:$C$58,MATCH(BB23,TABLAS!$B$52:$B$58,0))+DATOS!$C$24)))),"no caben ","")&amp;IF(BK23&lt;&gt;"CUMPLE","peralte","")))</f>
        <v>VER PRINCIPALES</v>
      </c>
      <c r="BQ23" s="61" t="inlineStr">
        <is>
          <t>—</t>
        </is>
      </c>
    </row>
    <row r="24" ht="30" customHeight="1">
      <c r="B24" s="49" t="inlineStr">
        <is>
          <t>F80017 N+3.00</t>
        </is>
      </c>
      <c r="C24" s="50" t="inlineStr">
        <is>
          <t>N+3.00</t>
        </is>
      </c>
      <c r="D24" s="51" t="inlineStr">
        <is>
          <t>PERIMETRAL</t>
        </is>
      </c>
      <c r="E24" s="51" t="inlineStr">
        <is>
          <t>HABITACIÓN</t>
        </is>
      </c>
      <c r="F24" s="52" t="n">
        <v>0.499</v>
      </c>
      <c r="G24" s="52" t="n">
        <v>4</v>
      </c>
      <c r="H24" s="53" t="n">
        <v>0.499</v>
      </c>
      <c r="I24" s="53" t="n">
        <v>4</v>
      </c>
      <c r="J24" s="34">
        <f>MIN(H24,I24)</f>
        <v>0.499</v>
      </c>
      <c r="K24" s="34">
        <f>MAX(H24,I24)</f>
        <v>4</v>
      </c>
      <c r="L24" s="34">
        <f>IF(K24&gt;0,J24/K24,0)</f>
        <v>0.12475</v>
      </c>
      <c r="M24" s="50" t="str">
        <f>IF(H24&lt;=I24,"X","Y")</f>
        <v>X</v>
      </c>
      <c r="N24" s="54" t="n">
        <v>160</v>
      </c>
      <c r="O24" s="55">
        <f>IF(E24="HABITACIÓN",DATOS!$C$76,DATOS!$C$78)</f>
        <v>190</v>
      </c>
      <c r="P24" s="55">
        <f>DATOS!$C$58</f>
        <v>253.673469387755</v>
      </c>
      <c r="Q24" s="55">
        <f>P24+N24+O24</f>
        <v>603.673469387755</v>
      </c>
      <c r="R24" s="56">
        <f>DATOS!$C$43*(P24+N24)+DATOS!$C$44*O24</f>
        <v>822.775510204082</v>
      </c>
      <c r="S24" s="55">
        <f>(APOYOS!$G$89="DISCONTINUO")+(APOYOS!$G$90="DISCONTINUO")+(APOYOS!$G$91="DISCONTINUO")+(APOYOS!$G$92="DISCONTINUO")</f>
        <v>0</v>
      </c>
      <c r="T24" s="55">
        <f>IF(M24="X",(APOYOS!$G$89="DISCONTINUO")+(APOYOS!$G$90="DISCONTINUO"),(APOYOS!$G$91="DISCONTINUO")+(APOYOS!$G$92="DISCONTINUO"))</f>
        <v>0</v>
      </c>
      <c r="U24" s="55">
        <f>S24-T24</f>
        <v>0</v>
      </c>
      <c r="V24" s="50" t="str">
        <f>IF(S24=0,"INTERIOR",IF(S24=1,IF(T24=1,"BORDE-CORTO","BORDE-LARGO"),IF(S24=2,IF(T24=1,"ESQUINA",IF(T24=2,"EXTREMO-LARGO","EXTREMO-CORTO")),IF(S24=3,IF(T24=2,"EXTREMO-LARGO","EXTREMO-CORTO"),"AISLADO"))))</f>
        <v>INTERIOR</v>
      </c>
      <c r="W24" s="51" t="inlineStr">
        <is>
          <t>AUTO</t>
        </is>
      </c>
      <c r="X24" s="57" t="str">
        <f>IF(W24="AUTO",V24,W24)</f>
        <v>INTERIOR</v>
      </c>
      <c r="Y24" s="55">
        <f>MATCH(L24,TABLAS!$D$5:$J$5,1)</f>
        <v>1</v>
      </c>
      <c r="Z24" s="41">
        <f>IF(Y24&gt;=7,0,(L24-INDEX(TABLAS!$D$5:$J$5,Y24))/(INDEX(TABLAS!$D$5:$J$5,Y24+1)-INDEX(TABLAS!$D$5:$J$5,Y24)))</f>
        <v>0.2495</v>
      </c>
      <c r="AA24" s="55">
        <f>INDEX(TABLAS!$D$6:$J$47,MATCH(X24&amp;"|NIC",TABLAS!$B$6:$B$47,0),Y24)+Z24*(INDEX(TABLAS!$D$6:$J$47,MATCH(X24&amp;"|NIC",TABLAS!$B$6:$B$47,0),MIN(Y24+1,7))-INDEX(TABLAS!$D$6:$J$47,MATCH(X24&amp;"|NIC",TABLAS!$B$6:$B$47,0),Y24))</f>
        <v>886.9725</v>
      </c>
      <c r="AB24" s="55">
        <f>INDEX(TABLAS!$D$6:$J$47,MATCH(X24&amp;"|NIL",TABLAS!$B$6:$B$47,0),Y24)+Z24*(INDEX(TABLAS!$D$6:$J$47,MATCH(X24&amp;"|NIL",TABLAS!$B$6:$B$47,0),MIN(Y24+1,7))-INDEX(TABLAS!$D$6:$J$47,MATCH(X24&amp;"|NIL",TABLAS!$B$6:$B$47,0),Y24))</f>
        <v>489.3035</v>
      </c>
      <c r="AC24" s="55">
        <f>INDEX(TABLAS!$D$6:$J$47,MATCH(X24&amp;"|NDC",TABLAS!$B$6:$B$47,0),Y24)+Z24*(INDEX(TABLAS!$D$6:$J$47,MATCH(X24&amp;"|NDC",TABLAS!$B$6:$B$47,0),MIN(Y24+1,7))-INDEX(TABLAS!$D$6:$J$47,MATCH(X24&amp;"|NDC",TABLAS!$B$6:$B$47,0),Y24))</f>
        <v>0</v>
      </c>
      <c r="AD24" s="55">
        <f>INDEX(TABLAS!$D$6:$J$47,MATCH(X24&amp;"|NDL",TABLAS!$B$6:$B$47,0),Y24)+Z24*(INDEX(TABLAS!$D$6:$J$47,MATCH(X24&amp;"|NDL",TABLAS!$B$6:$B$47,0),MIN(Y24+1,7))-INDEX(TABLAS!$D$6:$J$47,MATCH(X24&amp;"|NDL",TABLAS!$B$6:$B$47,0),Y24))</f>
        <v>0</v>
      </c>
      <c r="AE24" s="55">
        <f>INDEX(TABLAS!$D$6:$J$47,MATCH(X24&amp;"|PC",TABLAS!$B$6:$B$47,0),Y24)+Z24*(INDEX(TABLAS!$D$6:$J$47,MATCH(X24&amp;"|PC",TABLAS!$B$6:$B$47,0),MIN(Y24+1,7))-INDEX(TABLAS!$D$6:$J$47,MATCH(X24&amp;"|PC",TABLAS!$B$6:$B$47,0),Y24))</f>
        <v>550.659</v>
      </c>
      <c r="AF24" s="55">
        <f>INDEX(TABLAS!$D$6:$J$47,MATCH(X24&amp;"|PL",TABLAS!$B$6:$B$47,0),Y24)+Z24*(INDEX(TABLAS!$D$6:$J$47,MATCH(X24&amp;"|PL",TABLAS!$B$6:$B$47,0),MIN(Y24+1,7))-INDEX(TABLAS!$D$6:$J$47,MATCH(X24&amp;"|PL",TABLAS!$B$6:$B$47,0),Y24))</f>
        <v>166.018</v>
      </c>
      <c r="AG24" s="58" t="n">
        <v>0</v>
      </c>
      <c r="AH24" s="34">
        <f>IF(D24="PERIMETRAL",AE24*R24*J24^2*1E-4*DATOS!$C$16/100/1000,0)</f>
        <v>0.00789701984732035</v>
      </c>
      <c r="AI24" s="34">
        <f>IF(D24="PERIMETRAL",MAX(AA24,AC24)*R24*J24^2*1E-4*DATOS!$C$16/100/1000,IF(D24="VOLADO",(R24*J24^2/2+DATOS!$C$43*AG24*J24)*DATOS!$C$16/100/1000,0))</f>
        <v>0.0127201034333904</v>
      </c>
      <c r="AJ24" s="34">
        <f>IF(D24="PERIMETRAL",AF24*R24*J24^2*1E-4*DATOS!$C$16/100/1000,0)</f>
        <v>0.00238086990499098</v>
      </c>
      <c r="AK24" s="34">
        <f>IF(D24="PERIMETRAL",MAX(AB24,AD24)*R24*J24^2*1E-4*DATOS!$C$16/100/1000,0)</f>
        <v>0.00701711849050558</v>
      </c>
      <c r="AL24" s="41">
        <f>IF(D24="HUECO",0,IF(AH24&lt;=0,DATOS!$C$71*DATOS!$C$13*DATOS!$C$66,IF((1-2*AH24*1E5/(DATOS!$C$45*DATOS!$C$16*DATOS!$C$66^2*DATOS!$C$38))&lt;0,-1,MAX(DATOS!$C$71*DATOS!$C$13*DATOS!$C$66,(1-SQRT((1-2*AH24*1E5/(DATOS!$C$45*DATOS!$C$16*DATOS!$C$66^2*DATOS!$C$38))))*DATOS!$C$38*DATOS!$C$16*DATOS!$C$66/DATOS!$C$32))))</f>
        <v>0.576720388273208</v>
      </c>
      <c r="AM24" s="39">
        <f>IF(AND(AL24&gt;=0,CEILING(AL24/INDEX(TABLAS!$D$52:$D$58,MIN(MATCH(DATOS!$C$20,TABLAS!$B$52:$B$58,0)+0,7)),1)&lt;=MIN(DATOS!$C$22,INT((DATOS!$C$25+DATOS!$C$24)/(INDEX(TABLAS!$C$52:$C$58,MIN(MATCH(DATOS!$C$20,TABLAS!$B$52:$B$58,0)+0,7))+DATOS!$C$24)))),INDEX(TABLAS!$B$52:$B$58,MIN(MATCH(DATOS!$C$20,TABLAS!$B$52:$B$58,0)+0,7)),IF(AND(AL24&gt;=0,CEILING(AL24/INDEX(TABLAS!$D$52:$D$58,MIN(MATCH(DATOS!$C$20,TABLAS!$B$52:$B$58,0)+1,7)),1)&lt;=MIN(DATOS!$C$22,INT((DATOS!$C$25+DATOS!$C$24)/(INDEX(TABLAS!$C$52:$C$58,MIN(MATCH(DATOS!$C$20,TABLAS!$B$52:$B$58,0)+1,7))+DATOS!$C$24)))),INDEX(TABLAS!$B$52:$B$58,MIN(MATCH(DATOS!$C$20,TABLAS!$B$52:$B$58,0)+1,7)),IF(AND(AL24&gt;=0,CEILING(AL24/INDEX(TABLAS!$D$52:$D$58,MIN(MATCH(DATOS!$C$20,TABLAS!$B$52:$B$58,0)+2,7)),1)&lt;=MIN(DATOS!$C$22,INT((DATOS!$C$25+DATOS!$C$24)/(INDEX(TABLAS!$C$52:$C$58,MIN(MATCH(DATOS!$C$20,TABLAS!$B$52:$B$58,0)+2,7))+DATOS!$C$24)))),INDEX(TABLAS!$B$52:$B$58,MIN(MATCH(DATOS!$C$20,TABLAS!$B$52:$B$58,0)+2,7)),IF(AND(AL24&gt;=0,CEILING(AL24/INDEX(TABLAS!$D$52:$D$58,MIN(MATCH(DATOS!$C$20,TABLAS!$B$52:$B$58,0)+3,7)),1)&lt;=MIN(DATOS!$C$22,INT((DATOS!$C$25+DATOS!$C$24)/(INDEX(TABLAS!$C$52:$C$58,MIN(MATCH(DATOS!$C$20,TABLAS!$B$52:$B$58,0)+3,7))+DATOS!$C$24)))),INDEX(TABLAS!$B$52:$B$58,MIN(MATCH(DATOS!$C$20,TABLAS!$B$52:$B$58,0)+3,7)),IF(AND(AL24&gt;=0,CEILING(AL24/INDEX(TABLAS!$D$52:$D$58,MIN(MATCH(DATOS!$C$20,TABLAS!$B$52:$B$58,0)+4,7)),1)&lt;=MIN(DATOS!$C$22,INT((DATOS!$C$25+DATOS!$C$24)/(INDEX(TABLAS!$C$52:$C$58,MIN(MATCH(DATOS!$C$20,TABLAS!$B$52:$B$58,0)+4,7))+DATOS!$C$24)))),INDEX(TABLAS!$B$52:$B$58,MIN(MATCH(DATOS!$C$20,TABLAS!$B$52:$B$58,0)+4,7)),INDEX(TABLAS!$B$52:$B$58,7))))))</f>
        <v>3</v>
      </c>
      <c r="AN24" s="55">
        <f>IF(D24="HUECO",0,IF(AL24&lt;0,0,MAX(DATOS!$C$23,CEILING(AL24/INDEX(TABLAS!$D$52:$D$58,MATCH(AM24,TABLAS!$B$52:$B$58,0)),1))))</f>
        <v>1</v>
      </c>
      <c r="AO24" s="34">
        <f>IF(AN24=0,0,DATOS!$C$45*AN24*INDEX(TABLAS!$D$52:$D$58,MATCH(AM24,TABLAS!$B$52:$B$58,0))*DATOS!$C$32*((DATOS!$C$15-DATOS!$C$18-INDEX(TABLAS!$C$52:$C$58,MATCH(DATOS!$C$19,TABLAS!$B$52:$B$58,0))-INDEX(TABLAS!$C$52:$C$58,MATCH(AM24,TABLAS!$B$52:$B$58,0))/2)-AN24*INDEX(TABLAS!$D$52:$D$58,MATCH(AM24,TABLAS!$B$52:$B$58,0))*DATOS!$C$32/(DATOS!$C$38*DATOS!$C$16)/2)/1E5)</f>
        <v>0.584659515176471</v>
      </c>
      <c r="AP24" s="59">
        <f>IF(AL24&lt;0,9.99,IF(AO24&gt;0,AH24/AO24,0))</f>
        <v>0.0135070406661162</v>
      </c>
      <c r="AQ24" s="41">
        <f>IF(D24="HUECO",0,IF(AI24&lt;=0,DATOS!$C$71*DATOS!$C$13*DATOS!$C$67,IF((1-2*AI24*1E5/(DATOS!$C$45*DATOS!$C$13*DATOS!$C$67^2*DATOS!$C$38))&lt;0,-1,IF((1-SQRT((1-2*AI24*1E5/(DATOS!$C$45*DATOS!$C$13*DATOS!$C$67^2*DATOS!$C$38))))*DATOS!$C$38*DATOS!$C$13*DATOS!$C$67/DATOS!$C$32&gt;DATOS!$C$70*DATOS!$C$13*DATOS!$C$67,-1,MAX(DATOS!$C$71*DATOS!$C$13*DATOS!$C$67,(1-SQRT((1-2*AI24*1E5/(DATOS!$C$45*DATOS!$C$13*DATOS!$C$67^2*DATOS!$C$38))))*DATOS!$C$38*DATOS!$C$13*DATOS!$C$67/DATOS!$C$32)))))</f>
        <v>0.576720388273208</v>
      </c>
      <c r="AR24" s="39">
        <f>IF(AND(AQ24&gt;=0,CEILING(AQ24/INDEX(TABLAS!$D$52:$D$58,MIN(MATCH(DATOS!$C$21,TABLAS!$B$52:$B$58,0)+0,7)),1)&lt;=MIN(DATOS!$C$22,INT((DATOS!$C$25+DATOS!$C$24)/(INDEX(TABLAS!$C$52:$C$58,MIN(MATCH(DATOS!$C$21,TABLAS!$B$52:$B$58,0)+0,7))+DATOS!$C$24)))),INDEX(TABLAS!$B$52:$B$58,MIN(MATCH(DATOS!$C$21,TABLAS!$B$52:$B$58,0)+0,7)),IF(AND(AQ24&gt;=0,CEILING(AQ24/INDEX(TABLAS!$D$52:$D$58,MIN(MATCH(DATOS!$C$21,TABLAS!$B$52:$B$58,0)+1,7)),1)&lt;=MIN(DATOS!$C$22,INT((DATOS!$C$25+DATOS!$C$24)/(INDEX(TABLAS!$C$52:$C$58,MIN(MATCH(DATOS!$C$21,TABLAS!$B$52:$B$58,0)+1,7))+DATOS!$C$24)))),INDEX(TABLAS!$B$52:$B$58,MIN(MATCH(DATOS!$C$21,TABLAS!$B$52:$B$58,0)+1,7)),IF(AND(AQ24&gt;=0,CEILING(AQ24/INDEX(TABLAS!$D$52:$D$58,MIN(MATCH(DATOS!$C$21,TABLAS!$B$52:$B$58,0)+2,7)),1)&lt;=MIN(DATOS!$C$22,INT((DATOS!$C$25+DATOS!$C$24)/(INDEX(TABLAS!$C$52:$C$58,MIN(MATCH(DATOS!$C$21,TABLAS!$B$52:$B$58,0)+2,7))+DATOS!$C$24)))),INDEX(TABLAS!$B$52:$B$58,MIN(MATCH(DATOS!$C$21,TABLAS!$B$52:$B$58,0)+2,7)),IF(AND(AQ24&gt;=0,CEILING(AQ24/INDEX(TABLAS!$D$52:$D$58,MIN(MATCH(DATOS!$C$21,TABLAS!$B$52:$B$58,0)+3,7)),1)&lt;=MIN(DATOS!$C$22,INT((DATOS!$C$25+DATOS!$C$24)/(INDEX(TABLAS!$C$52:$C$58,MIN(MATCH(DATOS!$C$21,TABLAS!$B$52:$B$58,0)+3,7))+DATOS!$C$24)))),INDEX(TABLAS!$B$52:$B$58,MIN(MATCH(DATOS!$C$21,TABLAS!$B$52:$B$58,0)+3,7)),IF(AND(AQ24&gt;=0,CEILING(AQ24/INDEX(TABLAS!$D$52:$D$58,MIN(MATCH(DATOS!$C$21,TABLAS!$B$52:$B$58,0)+4,7)),1)&lt;=MIN(DATOS!$C$22,INT((DATOS!$C$25+DATOS!$C$24)/(INDEX(TABLAS!$C$52:$C$58,MIN(MATCH(DATOS!$C$21,TABLAS!$B$52:$B$58,0)+4,7))+DATOS!$C$24)))),INDEX(TABLAS!$B$52:$B$58,MIN(MATCH(DATOS!$C$21,TABLAS!$B$52:$B$58,0)+4,7)),INDEX(TABLAS!$B$52:$B$58,7))))))</f>
        <v>3</v>
      </c>
      <c r="AS24" s="55">
        <f>IF(D24="HUECO",0,IF(AQ24&lt;0,0,MAX(1,CEILING(AQ24/INDEX(TABLAS!$D$52:$D$58,MATCH(AR24,TABLAS!$B$52:$B$58,0)),1))))</f>
        <v>1</v>
      </c>
      <c r="AT24" s="34">
        <f>IF(AS24=0,0,DATOS!$C$45*AS24*INDEX(TABLAS!$D$52:$D$58,MATCH(AR24,TABLAS!$B$52:$B$58,0))*DATOS!$C$32*((DATOS!$C$15-DATOS!$C$18-INDEX(TABLAS!$C$52:$C$58,MATCH(DATOS!$C$19,TABLAS!$B$52:$B$58,0))-INDEX(TABLAS!$C$52:$C$58,MATCH(AR24,TABLAS!$B$52:$B$58,0))/2)-AS24*INDEX(TABLAS!$D$52:$D$58,MATCH(AR24,TABLAS!$B$52:$B$58,0))*DATOS!$C$32/(DATOS!$C$38*DATOS!$C$13)/2)/1E5)</f>
        <v>0.568518826235294</v>
      </c>
      <c r="AU24" s="59">
        <f>IF(AQ24&lt;0,9.99,IF(AT24&gt;0,AI24/AT24,0))</f>
        <v>0.0223741111928032</v>
      </c>
      <c r="AV24" s="41">
        <f>IF(D24="HUECO",0,IF(AJ24&lt;=0,DATOS!$C$71*DATOS!$C$13*DATOS!$C$66,IF((1-2*AJ24*1E5/(DATOS!$C$45*DATOS!$C$16*DATOS!$C$66^2*DATOS!$C$38))&lt;0,-1,MAX(DATOS!$C$71*DATOS!$C$13*DATOS!$C$66,(1-SQRT((1-2*AJ24*1E5/(DATOS!$C$45*DATOS!$C$16*DATOS!$C$66^2*DATOS!$C$38))))*DATOS!$C$38*DATOS!$C$16*DATOS!$C$66/DATOS!$C$32))))</f>
        <v>0.576720388273208</v>
      </c>
      <c r="AW24" s="39">
        <f>IF(AND(AV24&gt;=0,CEILING(AV24/INDEX(TABLAS!$D$52:$D$58,MIN(MATCH(DATOS!$C$20,TABLAS!$B$52:$B$58,0)+0,7)),1)&lt;=MIN(DATOS!$C$22,INT((DATOS!$C$25+DATOS!$C$24)/(INDEX(TABLAS!$C$52:$C$58,MIN(MATCH(DATOS!$C$20,TABLAS!$B$52:$B$58,0)+0,7))+DATOS!$C$24)))),INDEX(TABLAS!$B$52:$B$58,MIN(MATCH(DATOS!$C$20,TABLAS!$B$52:$B$58,0)+0,7)),IF(AND(AV24&gt;=0,CEILING(AV24/INDEX(TABLAS!$D$52:$D$58,MIN(MATCH(DATOS!$C$20,TABLAS!$B$52:$B$58,0)+1,7)),1)&lt;=MIN(DATOS!$C$22,INT((DATOS!$C$25+DATOS!$C$24)/(INDEX(TABLAS!$C$52:$C$58,MIN(MATCH(DATOS!$C$20,TABLAS!$B$52:$B$58,0)+1,7))+DATOS!$C$24)))),INDEX(TABLAS!$B$52:$B$58,MIN(MATCH(DATOS!$C$20,TABLAS!$B$52:$B$58,0)+1,7)),IF(AND(AV24&gt;=0,CEILING(AV24/INDEX(TABLAS!$D$52:$D$58,MIN(MATCH(DATOS!$C$20,TABLAS!$B$52:$B$58,0)+2,7)),1)&lt;=MIN(DATOS!$C$22,INT((DATOS!$C$25+DATOS!$C$24)/(INDEX(TABLAS!$C$52:$C$58,MIN(MATCH(DATOS!$C$20,TABLAS!$B$52:$B$58,0)+2,7))+DATOS!$C$24)))),INDEX(TABLAS!$B$52:$B$58,MIN(MATCH(DATOS!$C$20,TABLAS!$B$52:$B$58,0)+2,7)),IF(AND(AV24&gt;=0,CEILING(AV24/INDEX(TABLAS!$D$52:$D$58,MIN(MATCH(DATOS!$C$20,TABLAS!$B$52:$B$58,0)+3,7)),1)&lt;=MIN(DATOS!$C$22,INT((DATOS!$C$25+DATOS!$C$24)/(INDEX(TABLAS!$C$52:$C$58,MIN(MATCH(DATOS!$C$20,TABLAS!$B$52:$B$58,0)+3,7))+DATOS!$C$24)))),INDEX(TABLAS!$B$52:$B$58,MIN(MATCH(DATOS!$C$20,TABLAS!$B$52:$B$58,0)+3,7)),IF(AND(AV24&gt;=0,CEILING(AV24/INDEX(TABLAS!$D$52:$D$58,MIN(MATCH(DATOS!$C$20,TABLAS!$B$52:$B$58,0)+4,7)),1)&lt;=MIN(DATOS!$C$22,INT((DATOS!$C$25+DATOS!$C$24)/(INDEX(TABLAS!$C$52:$C$58,MIN(MATCH(DATOS!$C$20,TABLAS!$B$52:$B$58,0)+4,7))+DATOS!$C$24)))),INDEX(TABLAS!$B$52:$B$58,MIN(MATCH(DATOS!$C$20,TABLAS!$B$52:$B$58,0)+4,7)),INDEX(TABLAS!$B$52:$B$58,7))))))</f>
        <v>3</v>
      </c>
      <c r="AX24" s="55">
        <f>IF(D24="HUECO",0,IF(AV24&lt;0,0,MAX(DATOS!$C$23,CEILING(AV24/INDEX(TABLAS!$D$52:$D$58,MATCH(AW24,TABLAS!$B$52:$B$58,0)),1))))</f>
        <v>1</v>
      </c>
      <c r="AY24" s="34">
        <f>IF(AX24=0,0,DATOS!$C$45*AX24*INDEX(TABLAS!$D$52:$D$58,MATCH(AW24,TABLAS!$B$52:$B$58,0))*DATOS!$C$32*((DATOS!$C$15-DATOS!$C$18-INDEX(TABLAS!$C$52:$C$58,MATCH(DATOS!$C$19,TABLAS!$B$52:$B$58,0))-INDEX(TABLAS!$C$52:$C$58,MATCH(AW24,TABLAS!$B$52:$B$58,0))/2)-AX24*INDEX(TABLAS!$D$52:$D$58,MATCH(AW24,TABLAS!$B$52:$B$58,0))*DATOS!$C$32/(DATOS!$C$38*DATOS!$C$16)/2)/1E5)</f>
        <v>0.584659515176471</v>
      </c>
      <c r="AZ24" s="59">
        <f>IF(AV24&lt;0,9.99,IF(AY24&gt;0,AJ24/AY24,0))</f>
        <v>0.0040722332283814</v>
      </c>
      <c r="BA24" s="41">
        <f>IF(D24="HUECO",0,IF(AK24&lt;=0,DATOS!$C$71*DATOS!$C$13*DATOS!$C$67,IF((1-2*AK24*1E5/(DATOS!$C$45*DATOS!$C$13*DATOS!$C$67^2*DATOS!$C$38))&lt;0,-1,IF((1-SQRT((1-2*AK24*1E5/(DATOS!$C$45*DATOS!$C$13*DATOS!$C$67^2*DATOS!$C$38))))*DATOS!$C$38*DATOS!$C$13*DATOS!$C$67/DATOS!$C$32&gt;DATOS!$C$70*DATOS!$C$13*DATOS!$C$67,-1,MAX(DATOS!$C$71*DATOS!$C$13*DATOS!$C$67,(1-SQRT((1-2*AK24*1E5/(DATOS!$C$45*DATOS!$C$13*DATOS!$C$67^2*DATOS!$C$38))))*DATOS!$C$38*DATOS!$C$13*DATOS!$C$67/DATOS!$C$32)))))</f>
        <v>0.576720388273208</v>
      </c>
      <c r="BB24" s="39">
        <f>IF(AND(BA24&gt;=0,CEILING(BA24/INDEX(TABLAS!$D$52:$D$58,MIN(MATCH(DATOS!$C$21,TABLAS!$B$52:$B$58,0)+0,7)),1)&lt;=MIN(DATOS!$C$22,INT((DATOS!$C$25+DATOS!$C$24)/(INDEX(TABLAS!$C$52:$C$58,MIN(MATCH(DATOS!$C$21,TABLAS!$B$52:$B$58,0)+0,7))+DATOS!$C$24)))),INDEX(TABLAS!$B$52:$B$58,MIN(MATCH(DATOS!$C$21,TABLAS!$B$52:$B$58,0)+0,7)),IF(AND(BA24&gt;=0,CEILING(BA24/INDEX(TABLAS!$D$52:$D$58,MIN(MATCH(DATOS!$C$21,TABLAS!$B$52:$B$58,0)+1,7)),1)&lt;=MIN(DATOS!$C$22,INT((DATOS!$C$25+DATOS!$C$24)/(INDEX(TABLAS!$C$52:$C$58,MIN(MATCH(DATOS!$C$21,TABLAS!$B$52:$B$58,0)+1,7))+DATOS!$C$24)))),INDEX(TABLAS!$B$52:$B$58,MIN(MATCH(DATOS!$C$21,TABLAS!$B$52:$B$58,0)+1,7)),IF(AND(BA24&gt;=0,CEILING(BA24/INDEX(TABLAS!$D$52:$D$58,MIN(MATCH(DATOS!$C$21,TABLAS!$B$52:$B$58,0)+2,7)),1)&lt;=MIN(DATOS!$C$22,INT((DATOS!$C$25+DATOS!$C$24)/(INDEX(TABLAS!$C$52:$C$58,MIN(MATCH(DATOS!$C$21,TABLAS!$B$52:$B$58,0)+2,7))+DATOS!$C$24)))),INDEX(TABLAS!$B$52:$B$58,MIN(MATCH(DATOS!$C$21,TABLAS!$B$52:$B$58,0)+2,7)),IF(AND(BA24&gt;=0,CEILING(BA24/INDEX(TABLAS!$D$52:$D$58,MIN(MATCH(DATOS!$C$21,TABLAS!$B$52:$B$58,0)+3,7)),1)&lt;=MIN(DATOS!$C$22,INT((DATOS!$C$25+DATOS!$C$24)/(INDEX(TABLAS!$C$52:$C$58,MIN(MATCH(DATOS!$C$21,TABLAS!$B$52:$B$58,0)+3,7))+DATOS!$C$24)))),INDEX(TABLAS!$B$52:$B$58,MIN(MATCH(DATOS!$C$21,TABLAS!$B$52:$B$58,0)+3,7)),IF(AND(BA24&gt;=0,CEILING(BA24/INDEX(TABLAS!$D$52:$D$58,MIN(MATCH(DATOS!$C$21,TABLAS!$B$52:$B$58,0)+4,7)),1)&lt;=MIN(DATOS!$C$22,INT((DATOS!$C$25+DATOS!$C$24)/(INDEX(TABLAS!$C$52:$C$58,MIN(MATCH(DATOS!$C$21,TABLAS!$B$52:$B$58,0)+4,7))+DATOS!$C$24)))),INDEX(TABLAS!$B$52:$B$58,MIN(MATCH(DATOS!$C$21,TABLAS!$B$52:$B$58,0)+4,7)),INDEX(TABLAS!$B$52:$B$58,7))))))</f>
        <v>3</v>
      </c>
      <c r="BC24" s="55">
        <f>IF(D24="HUECO",0,IF(BA24&lt;0,0,MAX(1,CEILING(BA24/INDEX(TABLAS!$D$52:$D$58,MATCH(BB24,TABLAS!$B$52:$B$58,0)),1))))</f>
        <v>1</v>
      </c>
      <c r="BD24" s="34">
        <f>IF(BC24=0,0,DATOS!$C$45*BC24*INDEX(TABLAS!$D$52:$D$58,MATCH(BB24,TABLAS!$B$52:$B$58,0))*DATOS!$C$32*((DATOS!$C$15-DATOS!$C$18-INDEX(TABLAS!$C$52:$C$58,MATCH(DATOS!$C$19,TABLAS!$B$52:$B$58,0))-INDEX(TABLAS!$C$52:$C$58,MATCH(BB24,TABLAS!$B$52:$B$58,0))/2)-BC24*INDEX(TABLAS!$D$52:$D$58,MATCH(BB24,TABLAS!$B$52:$B$58,0))*DATOS!$C$32/(DATOS!$C$38*DATOS!$C$13)/2)/1E5)</f>
        <v>0.568518826235294</v>
      </c>
      <c r="BE24" s="59">
        <f>IF(BA24&lt;0,9.99,IF(BD24&gt;0,AK24/BD24,0))</f>
        <v>0.0123428076022963</v>
      </c>
      <c r="BF24" s="34">
        <f>IF(D24="PERIMETRAL",MAX(0,(J24/2-DATOS!$C$66/100))*(0.95-0.5*L24)*R24*IF(AND(S24&gt;0,S24&lt;4),DATOS!$C$50,1)*DATOS!$C$16/100/1000,IF(D24="VOLADO",(R24*J24+DATOS!$C$43*AG24)*DATOS!$C$16/100/1000,0))</f>
        <v>0.0156689321882143</v>
      </c>
      <c r="BG24" s="34">
        <f>IF(D24="HUECO",0,DATOS!$C$46*IF((AS24*INDEX(TABLAS!$D$52:$D$58,MATCH(AR24,TABLAS!$B$52:$B$58,0))/(DATOS!$C$13*DATOS!$C$67))&lt;0.015,0.2+20*(AS24*INDEX(TABLAS!$D$52:$D$58,MATCH(AR24,TABLAS!$B$52:$B$58,0))/(DATOS!$C$13*DATOS!$C$67)),0.5)*SQRT(DATOS!$C$31)*DATOS!$C$13*DATOS!$C$67*DATOS!$C$49/1000)</f>
        <v>0.687439634849853</v>
      </c>
      <c r="BH24" s="49" t="str">
        <f>IF(D24="HUECO","—",IF(BF24&lt;=BG24,"CUMPLE","MACIZAR "&amp;MAX(1,CEILING(IF(D24="VOLADO",J24,J24/2)*(1-BG24/BF24)*100/DATOS!$C$16,1))&amp;" hilera(s)"))</f>
        <v>CUMPLE</v>
      </c>
      <c r="BI24" s="41">
        <f>IF(D24="PERIMETRAL",(2*(H24+I24)+0.25*(H24*((APOYOS!$G$89="DISCONTINUO")+(APOYOS!$G$90="DISCONTINUO"))+I24*((APOYOS!$G$91="DISCONTINUO")+(APOYOS!$G$92="DISCONTINUO"))))*(J24+MIN(K24,2*J24))/(J24+K24)*100/250*IF(OR(DATOS!$C$47&gt;2520,Q24&gt;380),0.032*(DATOS!$C$47*Q24)^0.25,1),IF(D24="VOLADO",J24*100/8,0))</f>
        <v>1.34589885376239</v>
      </c>
      <c r="BJ24" s="41">
        <f>IF(D24="VOLADO",DATOS!$C$15,DATOS!$C$68)</f>
        <v>13.6082564120244</v>
      </c>
      <c r="BK24" s="50" t="str">
        <f>IF(D24="HUECO","—",IF(BJ24&gt;=BI24,"CUMPLE","NO CUMPLE"))</f>
        <v>CUMPLE</v>
      </c>
      <c r="BL24" s="50" t="str">
        <f>IF(D24="PERIMETRAL",IF(DATOS!$C$16/100&lt;=J24/6,"SÍ","NO: a1 &lt; 6·s"),"—")</f>
        <v>NO: a1 &lt; 6·s</v>
      </c>
      <c r="BM24" s="55">
        <f>MAX(0,INT((F24*100-DATOS!$C$17+DATOS!$C$13)/DATOS!$C$16))</f>
        <v>0</v>
      </c>
      <c r="BN24" s="55">
        <f>MAX(0,INT((G24*100-DATOS!$C$17+DATOS!$C$13)/DATOS!$C$16))</f>
        <v>5</v>
      </c>
      <c r="BO24" s="49" t="str">
        <f>IF(COUNTIFS(TRIB!$C$6:$C$255,B24,TRIB!$K$6:$K$255,"NO CUMPLE*")+COUNTIFS(TRIB!$C$6:$C$255,B24,TRIB!$K$6:$K$255,"SIN APOYO*")&gt;0,"VER PRINCIPALES",IF((APOYOS!$F$89="LIBRE")+(APOYOS!$F$90="LIBRE")+(APOYOS!$F$91="LIBRE")+(APOYOS!$F$92="LIBRE")&gt;0,"REVISAR: borde libre","OK"))</f>
        <v>VER PRINCIPALES</v>
      </c>
      <c r="BP24" s="60" t="str">
        <f>IF(D24="HUECO","HUECO — marco de nervaduras principales",IF(AND(MAX(AP24,AU24,AZ24,BE24)&lt;=1,NOT(OR(AN24&gt;MIN(DATOS!$C$22,INT((DATOS!$C$25+DATOS!$C$24)/(INDEX(TABLAS!$C$52:$C$58,MATCH(AM24,TABLAS!$B$52:$B$58,0))+DATOS!$C$24))),AS24&gt;MIN(DATOS!$C$22,INT((DATOS!$C$25+DATOS!$C$24)/(INDEX(TABLAS!$C$52:$C$58,MATCH(AR24,TABLAS!$B$52:$B$58,0))+DATOS!$C$24))),AX24&gt;MIN(DATOS!$C$22,INT((DATOS!$C$25+DATOS!$C$24)/(INDEX(TABLAS!$C$52:$C$58,MATCH(AW24,TABLAS!$B$52:$B$58,0))+DATOS!$C$24))),BC24&gt;MIN(DATOS!$C$22,INT((DATOS!$C$25+DATOS!$C$24)/(INDEX(TABLAS!$C$52:$C$58,MATCH(BB24,TABLAS!$B$52:$B$58,0))+DATOS!$C$24))))),BK24="CUMPLE"),IF(BO24="OK",IF(BH24="CUMPLE","CUMPLE","CUMPLE — "&amp;BH24),IF(BO24="VER PRINCIPALES","VER PRINCIPALES","REVISAR APOYOS")),"NO CUMPLE: "&amp;IF(MAX(AP24,AU24,AZ24,BE24)&gt;1,"flexión ","")&amp;IF(OR(AN24&gt;MIN(DATOS!$C$22,INT((DATOS!$C$25+DATOS!$C$24)/(INDEX(TABLAS!$C$52:$C$58,MATCH(AM24,TABLAS!$B$52:$B$58,0))+DATOS!$C$24))),AS24&gt;MIN(DATOS!$C$22,INT((DATOS!$C$25+DATOS!$C$24)/(INDEX(TABLAS!$C$52:$C$58,MATCH(AR24,TABLAS!$B$52:$B$58,0))+DATOS!$C$24))),AX24&gt;MIN(DATOS!$C$22,INT((DATOS!$C$25+DATOS!$C$24)/(INDEX(TABLAS!$C$52:$C$58,MATCH(AW24,TABLAS!$B$52:$B$58,0))+DATOS!$C$24))),BC24&gt;MIN(DATOS!$C$22,INT((DATOS!$C$25+DATOS!$C$24)/(INDEX(TABLAS!$C$52:$C$58,MATCH(BB24,TABLAS!$B$52:$B$58,0))+DATOS!$C$24)))),"no caben ","")&amp;IF(BK24&lt;&gt;"CUMPLE","peralte","")))</f>
        <v>VER PRINCIPALES</v>
      </c>
      <c r="BQ24" s="61" t="inlineStr">
        <is>
          <t>No cabe un casetón en el claro corto: el tablero se cuela MACIZO.</t>
        </is>
      </c>
    </row>
    <row r="25" ht="30" customHeight="1">
      <c r="B25" s="49" t="inlineStr">
        <is>
          <t>F80018 N+3.00</t>
        </is>
      </c>
      <c r="C25" s="50" t="inlineStr">
        <is>
          <t>N+3.00</t>
        </is>
      </c>
      <c r="D25" s="51" t="inlineStr">
        <is>
          <t>PERIMETRAL</t>
        </is>
      </c>
      <c r="E25" s="51" t="inlineStr">
        <is>
          <t>HABITACIÓN</t>
        </is>
      </c>
      <c r="F25" s="52" t="n">
        <v>3.925</v>
      </c>
      <c r="G25" s="52" t="n">
        <v>4</v>
      </c>
      <c r="H25" s="53" t="n">
        <v>3.925</v>
      </c>
      <c r="I25" s="53" t="n">
        <v>4</v>
      </c>
      <c r="J25" s="34">
        <f>MIN(H25,I25)</f>
        <v>3.925</v>
      </c>
      <c r="K25" s="34">
        <f>MAX(H25,I25)</f>
        <v>4</v>
      </c>
      <c r="L25" s="34">
        <f>IF(K25&gt;0,J25/K25,0)</f>
        <v>0.98125</v>
      </c>
      <c r="M25" s="50" t="str">
        <f>IF(H25&lt;=I25,"X","Y")</f>
        <v>X</v>
      </c>
      <c r="N25" s="54" t="n">
        <v>160</v>
      </c>
      <c r="O25" s="55">
        <f>IF(E25="HABITACIÓN",DATOS!$C$76,DATOS!$C$78)</f>
        <v>190</v>
      </c>
      <c r="P25" s="55">
        <f>DATOS!$C$58</f>
        <v>253.673469387755</v>
      </c>
      <c r="Q25" s="55">
        <f>P25+N25+O25</f>
        <v>603.673469387755</v>
      </c>
      <c r="R25" s="56">
        <f>DATOS!$C$43*(P25+N25)+DATOS!$C$44*O25</f>
        <v>822.775510204082</v>
      </c>
      <c r="S25" s="55">
        <f>(APOYOS!$G$93="DISCONTINUO")+(APOYOS!$G$94="DISCONTINUO")+(APOYOS!$G$95="DISCONTINUO")+(APOYOS!$G$96="DISCONTINUO")</f>
        <v>1</v>
      </c>
      <c r="T25" s="55">
        <f>IF(M25="X",(APOYOS!$G$93="DISCONTINUO")+(APOYOS!$G$94="DISCONTINUO"),(APOYOS!$G$95="DISCONTINUO")+(APOYOS!$G$96="DISCONTINUO"))</f>
        <v>0</v>
      </c>
      <c r="U25" s="55">
        <f>S25-T25</f>
        <v>1</v>
      </c>
      <c r="V25" s="50" t="str">
        <f>IF(S25=0,"INTERIOR",IF(S25=1,IF(T25=1,"BORDE-CORTO","BORDE-LARGO"),IF(S25=2,IF(T25=1,"ESQUINA",IF(T25=2,"EXTREMO-LARGO","EXTREMO-CORTO")),IF(S25=3,IF(T25=2,"EXTREMO-LARGO","EXTREMO-CORTO"),"AISLADO"))))</f>
        <v>BORDE-LARGO</v>
      </c>
      <c r="W25" s="51" t="inlineStr">
        <is>
          <t>AUTO</t>
        </is>
      </c>
      <c r="X25" s="57" t="str">
        <f>IF(W25="AUTO",V25,W25)</f>
        <v>BORDE-LARGO</v>
      </c>
      <c r="Y25" s="55">
        <f>MATCH(L25,TABLAS!$D$5:$J$5,1)</f>
        <v>6</v>
      </c>
      <c r="Z25" s="41">
        <f>IF(Y25&gt;=7,0,(L25-INDEX(TABLAS!$D$5:$J$5,Y25))/(INDEX(TABLAS!$D$5:$J$5,Y25+1)-INDEX(TABLAS!$D$5:$J$5,Y25)))</f>
        <v>0.8125</v>
      </c>
      <c r="AA25" s="55">
        <f>INDEX(TABLAS!$D$6:$J$47,MATCH(X25&amp;"|NIC",TABLAS!$B$6:$B$47,0),Y25)+Z25*(INDEX(TABLAS!$D$6:$J$47,MATCH(X25&amp;"|NIC",TABLAS!$B$6:$B$47,0),MIN(Y25+1,7))-INDEX(TABLAS!$D$6:$J$47,MATCH(X25&amp;"|NIC",TABLAS!$B$6:$B$47,0),Y25))</f>
        <v>306.1875</v>
      </c>
      <c r="AB25" s="55">
        <f>INDEX(TABLAS!$D$6:$J$47,MATCH(X25&amp;"|NIL",TABLAS!$B$6:$B$47,0),Y25)+Z25*(INDEX(TABLAS!$D$6:$J$47,MATCH(X25&amp;"|NIL",TABLAS!$B$6:$B$47,0),MIN(Y25+1,7))-INDEX(TABLAS!$D$6:$J$47,MATCH(X25&amp;"|NIL",TABLAS!$B$6:$B$47,0),Y25))</f>
        <v>321</v>
      </c>
      <c r="AC25" s="55">
        <f>INDEX(TABLAS!$D$6:$J$47,MATCH(X25&amp;"|NDC",TABLAS!$B$6:$B$47,0),Y25)+Z25*(INDEX(TABLAS!$D$6:$J$47,MATCH(X25&amp;"|NDC",TABLAS!$B$6:$B$47,0),MIN(Y25+1,7))-INDEX(TABLAS!$D$6:$J$47,MATCH(X25&amp;"|NDC",TABLAS!$B$6:$B$47,0),Y25))</f>
        <v>195.4375</v>
      </c>
      <c r="AD25" s="55">
        <f>INDEX(TABLAS!$D$6:$J$47,MATCH(X25&amp;"|NDL",TABLAS!$B$6:$B$47,0),Y25)+Z25*(INDEX(TABLAS!$D$6:$J$47,MATCH(X25&amp;"|NDL",TABLAS!$B$6:$B$47,0),MIN(Y25+1,7))-INDEX(TABLAS!$D$6:$J$47,MATCH(X25&amp;"|NDL",TABLAS!$B$6:$B$47,0),Y25))</f>
        <v>0</v>
      </c>
      <c r="AE25" s="55">
        <f>INDEX(TABLAS!$D$6:$J$47,MATCH(X25&amp;"|PC",TABLAS!$B$6:$B$47,0),Y25)+Z25*(INDEX(TABLAS!$D$6:$J$47,MATCH(X25&amp;"|PC",TABLAS!$B$6:$B$47,0),MIN(Y25+1,7))-INDEX(TABLAS!$D$6:$J$47,MATCH(X25&amp;"|PC",TABLAS!$B$6:$B$47,0),Y25))</f>
        <v>135.5625</v>
      </c>
      <c r="AF25" s="55">
        <f>INDEX(TABLAS!$D$6:$J$47,MATCH(X25&amp;"|PL",TABLAS!$B$6:$B$47,0),Y25)+Z25*(INDEX(TABLAS!$D$6:$J$47,MATCH(X25&amp;"|PL",TABLAS!$B$6:$B$47,0),MIN(Y25+1,7))-INDEX(TABLAS!$D$6:$J$47,MATCH(X25&amp;"|PL",TABLAS!$B$6:$B$47,0),Y25))</f>
        <v>133.1875</v>
      </c>
      <c r="AG25" s="58" t="n">
        <v>0</v>
      </c>
      <c r="AH25" s="34">
        <f>IF(D25="PERIMETRAL",AE25*R25*J25^2*1E-4*DATOS!$C$16/100/1000,0)</f>
        <v>0.120281348392634</v>
      </c>
      <c r="AI25" s="34">
        <f>IF(D25="PERIMETRAL",MAX(AA25,AC25)*R25*J25^2*1E-4*DATOS!$C$16/100/1000,IF(D25="VOLADO",(R25*J25^2/2+DATOS!$C$43*AG25*J25)*DATOS!$C$16/100/1000,0))</f>
        <v>0.271672810408259</v>
      </c>
      <c r="AJ25" s="34">
        <f>IF(D25="PERIMETRAL",AF25*R25*J25^2*1E-4*DATOS!$C$16/100/1000,0)</f>
        <v>0.118174067968973</v>
      </c>
      <c r="AK25" s="34">
        <f>IF(D25="PERIMETRAL",MAX(AB25,AD25)*R25*J25^2*1E-4*DATOS!$C$16/100/1000,0)</f>
        <v>0.284815585682143</v>
      </c>
      <c r="AL25" s="41">
        <f>IF(D25="HUECO",0,IF(AH25&lt;=0,DATOS!$C$71*DATOS!$C$13*DATOS!$C$66,IF((1-2*AH25*1E5/(DATOS!$C$45*DATOS!$C$16*DATOS!$C$66^2*DATOS!$C$38))&lt;0,-1,MAX(DATOS!$C$71*DATOS!$C$13*DATOS!$C$66,(1-SQRT((1-2*AH25*1E5/(DATOS!$C$45*DATOS!$C$16*DATOS!$C$66^2*DATOS!$C$38))))*DATOS!$C$38*DATOS!$C$16*DATOS!$C$66/DATOS!$C$32))))</f>
        <v>0.576720388273208</v>
      </c>
      <c r="AM25" s="39">
        <f>IF(AND(AL25&gt;=0,CEILING(AL25/INDEX(TABLAS!$D$52:$D$58,MIN(MATCH(DATOS!$C$20,TABLAS!$B$52:$B$58,0)+0,7)),1)&lt;=MIN(DATOS!$C$22,INT((DATOS!$C$25+DATOS!$C$24)/(INDEX(TABLAS!$C$52:$C$58,MIN(MATCH(DATOS!$C$20,TABLAS!$B$52:$B$58,0)+0,7))+DATOS!$C$24)))),INDEX(TABLAS!$B$52:$B$58,MIN(MATCH(DATOS!$C$20,TABLAS!$B$52:$B$58,0)+0,7)),IF(AND(AL25&gt;=0,CEILING(AL25/INDEX(TABLAS!$D$52:$D$58,MIN(MATCH(DATOS!$C$20,TABLAS!$B$52:$B$58,0)+1,7)),1)&lt;=MIN(DATOS!$C$22,INT((DATOS!$C$25+DATOS!$C$24)/(INDEX(TABLAS!$C$52:$C$58,MIN(MATCH(DATOS!$C$20,TABLAS!$B$52:$B$58,0)+1,7))+DATOS!$C$24)))),INDEX(TABLAS!$B$52:$B$58,MIN(MATCH(DATOS!$C$20,TABLAS!$B$52:$B$58,0)+1,7)),IF(AND(AL25&gt;=0,CEILING(AL25/INDEX(TABLAS!$D$52:$D$58,MIN(MATCH(DATOS!$C$20,TABLAS!$B$52:$B$58,0)+2,7)),1)&lt;=MIN(DATOS!$C$22,INT((DATOS!$C$25+DATOS!$C$24)/(INDEX(TABLAS!$C$52:$C$58,MIN(MATCH(DATOS!$C$20,TABLAS!$B$52:$B$58,0)+2,7))+DATOS!$C$24)))),INDEX(TABLAS!$B$52:$B$58,MIN(MATCH(DATOS!$C$20,TABLAS!$B$52:$B$58,0)+2,7)),IF(AND(AL25&gt;=0,CEILING(AL25/INDEX(TABLAS!$D$52:$D$58,MIN(MATCH(DATOS!$C$20,TABLAS!$B$52:$B$58,0)+3,7)),1)&lt;=MIN(DATOS!$C$22,INT((DATOS!$C$25+DATOS!$C$24)/(INDEX(TABLAS!$C$52:$C$58,MIN(MATCH(DATOS!$C$20,TABLAS!$B$52:$B$58,0)+3,7))+DATOS!$C$24)))),INDEX(TABLAS!$B$52:$B$58,MIN(MATCH(DATOS!$C$20,TABLAS!$B$52:$B$58,0)+3,7)),IF(AND(AL25&gt;=0,CEILING(AL25/INDEX(TABLAS!$D$52:$D$58,MIN(MATCH(DATOS!$C$20,TABLAS!$B$52:$B$58,0)+4,7)),1)&lt;=MIN(DATOS!$C$22,INT((DATOS!$C$25+DATOS!$C$24)/(INDEX(TABLAS!$C$52:$C$58,MIN(MATCH(DATOS!$C$20,TABLAS!$B$52:$B$58,0)+4,7))+DATOS!$C$24)))),INDEX(TABLAS!$B$52:$B$58,MIN(MATCH(DATOS!$C$20,TABLAS!$B$52:$B$58,0)+4,7)),INDEX(TABLAS!$B$52:$B$58,7))))))</f>
        <v>3</v>
      </c>
      <c r="AN25" s="55">
        <f>IF(D25="HUECO",0,IF(AL25&lt;0,0,MAX(DATOS!$C$23,CEILING(AL25/INDEX(TABLAS!$D$52:$D$58,MATCH(AM25,TABLAS!$B$52:$B$58,0)),1))))</f>
        <v>1</v>
      </c>
      <c r="AO25" s="34">
        <f>IF(AN25=0,0,DATOS!$C$45*AN25*INDEX(TABLAS!$D$52:$D$58,MATCH(AM25,TABLAS!$B$52:$B$58,0))*DATOS!$C$32*((DATOS!$C$15-DATOS!$C$18-INDEX(TABLAS!$C$52:$C$58,MATCH(DATOS!$C$19,TABLAS!$B$52:$B$58,0))-INDEX(TABLAS!$C$52:$C$58,MATCH(AM25,TABLAS!$B$52:$B$58,0))/2)-AN25*INDEX(TABLAS!$D$52:$D$58,MATCH(AM25,TABLAS!$B$52:$B$58,0))*DATOS!$C$32/(DATOS!$C$38*DATOS!$C$16)/2)/1E5)</f>
        <v>0.584659515176471</v>
      </c>
      <c r="AP25" s="59">
        <f>IF(AL25&lt;0,9.99,IF(AO25&gt;0,AH25/AO25,0))</f>
        <v>0.205728881973859</v>
      </c>
      <c r="AQ25" s="41">
        <f>IF(D25="HUECO",0,IF(AI25&lt;=0,DATOS!$C$71*DATOS!$C$13*DATOS!$C$67,IF((1-2*AI25*1E5/(DATOS!$C$45*DATOS!$C$13*DATOS!$C$67^2*DATOS!$C$38))&lt;0,-1,IF((1-SQRT((1-2*AI25*1E5/(DATOS!$C$45*DATOS!$C$13*DATOS!$C$67^2*DATOS!$C$38))))*DATOS!$C$38*DATOS!$C$13*DATOS!$C$67/DATOS!$C$32&gt;DATOS!$C$70*DATOS!$C$13*DATOS!$C$67,-1,MAX(DATOS!$C$71*DATOS!$C$13*DATOS!$C$67,(1-SQRT((1-2*AI25*1E5/(DATOS!$C$45*DATOS!$C$13*DATOS!$C$67^2*DATOS!$C$38))))*DATOS!$C$38*DATOS!$C$13*DATOS!$C$67/DATOS!$C$32)))))</f>
        <v>0.576720388273208</v>
      </c>
      <c r="AR25" s="39">
        <f>IF(AND(AQ25&gt;=0,CEILING(AQ25/INDEX(TABLAS!$D$52:$D$58,MIN(MATCH(DATOS!$C$21,TABLAS!$B$52:$B$58,0)+0,7)),1)&lt;=MIN(DATOS!$C$22,INT((DATOS!$C$25+DATOS!$C$24)/(INDEX(TABLAS!$C$52:$C$58,MIN(MATCH(DATOS!$C$21,TABLAS!$B$52:$B$58,0)+0,7))+DATOS!$C$24)))),INDEX(TABLAS!$B$52:$B$58,MIN(MATCH(DATOS!$C$21,TABLAS!$B$52:$B$58,0)+0,7)),IF(AND(AQ25&gt;=0,CEILING(AQ25/INDEX(TABLAS!$D$52:$D$58,MIN(MATCH(DATOS!$C$21,TABLAS!$B$52:$B$58,0)+1,7)),1)&lt;=MIN(DATOS!$C$22,INT((DATOS!$C$25+DATOS!$C$24)/(INDEX(TABLAS!$C$52:$C$58,MIN(MATCH(DATOS!$C$21,TABLAS!$B$52:$B$58,0)+1,7))+DATOS!$C$24)))),INDEX(TABLAS!$B$52:$B$58,MIN(MATCH(DATOS!$C$21,TABLAS!$B$52:$B$58,0)+1,7)),IF(AND(AQ25&gt;=0,CEILING(AQ25/INDEX(TABLAS!$D$52:$D$58,MIN(MATCH(DATOS!$C$21,TABLAS!$B$52:$B$58,0)+2,7)),1)&lt;=MIN(DATOS!$C$22,INT((DATOS!$C$25+DATOS!$C$24)/(INDEX(TABLAS!$C$52:$C$58,MIN(MATCH(DATOS!$C$21,TABLAS!$B$52:$B$58,0)+2,7))+DATOS!$C$24)))),INDEX(TABLAS!$B$52:$B$58,MIN(MATCH(DATOS!$C$21,TABLAS!$B$52:$B$58,0)+2,7)),IF(AND(AQ25&gt;=0,CEILING(AQ25/INDEX(TABLAS!$D$52:$D$58,MIN(MATCH(DATOS!$C$21,TABLAS!$B$52:$B$58,0)+3,7)),1)&lt;=MIN(DATOS!$C$22,INT((DATOS!$C$25+DATOS!$C$24)/(INDEX(TABLAS!$C$52:$C$58,MIN(MATCH(DATOS!$C$21,TABLAS!$B$52:$B$58,0)+3,7))+DATOS!$C$24)))),INDEX(TABLAS!$B$52:$B$58,MIN(MATCH(DATOS!$C$21,TABLAS!$B$52:$B$58,0)+3,7)),IF(AND(AQ25&gt;=0,CEILING(AQ25/INDEX(TABLAS!$D$52:$D$58,MIN(MATCH(DATOS!$C$21,TABLAS!$B$52:$B$58,0)+4,7)),1)&lt;=MIN(DATOS!$C$22,INT((DATOS!$C$25+DATOS!$C$24)/(INDEX(TABLAS!$C$52:$C$58,MIN(MATCH(DATOS!$C$21,TABLAS!$B$52:$B$58,0)+4,7))+DATOS!$C$24)))),INDEX(TABLAS!$B$52:$B$58,MIN(MATCH(DATOS!$C$21,TABLAS!$B$52:$B$58,0)+4,7)),INDEX(TABLAS!$B$52:$B$58,7))))))</f>
        <v>3</v>
      </c>
      <c r="AS25" s="55">
        <f>IF(D25="HUECO",0,IF(AQ25&lt;0,0,MAX(1,CEILING(AQ25/INDEX(TABLAS!$D$52:$D$58,MATCH(AR25,TABLAS!$B$52:$B$58,0)),1))))</f>
        <v>1</v>
      </c>
      <c r="AT25" s="34">
        <f>IF(AS25=0,0,DATOS!$C$45*AS25*INDEX(TABLAS!$D$52:$D$58,MATCH(AR25,TABLAS!$B$52:$B$58,0))*DATOS!$C$32*((DATOS!$C$15-DATOS!$C$18-INDEX(TABLAS!$C$52:$C$58,MATCH(DATOS!$C$19,TABLAS!$B$52:$B$58,0))-INDEX(TABLAS!$C$52:$C$58,MATCH(AR25,TABLAS!$B$52:$B$58,0))/2)-AS25*INDEX(TABLAS!$D$52:$D$58,MATCH(AR25,TABLAS!$B$52:$B$58,0))*DATOS!$C$32/(DATOS!$C$38*DATOS!$C$13)/2)/1E5)</f>
        <v>0.568518826235294</v>
      </c>
      <c r="AU25" s="59">
        <f>IF(AQ25&lt;0,9.99,IF(AT25&gt;0,AI25/AT25,0))</f>
        <v>0.477860710800492</v>
      </c>
      <c r="AV25" s="41">
        <f>IF(D25="HUECO",0,IF(AJ25&lt;=0,DATOS!$C$71*DATOS!$C$13*DATOS!$C$66,IF((1-2*AJ25*1E5/(DATOS!$C$45*DATOS!$C$16*DATOS!$C$66^2*DATOS!$C$38))&lt;0,-1,MAX(DATOS!$C$71*DATOS!$C$13*DATOS!$C$66,(1-SQRT((1-2*AJ25*1E5/(DATOS!$C$45*DATOS!$C$16*DATOS!$C$66^2*DATOS!$C$38))))*DATOS!$C$38*DATOS!$C$16*DATOS!$C$66/DATOS!$C$32))))</f>
        <v>0.576720388273208</v>
      </c>
      <c r="AW25" s="39">
        <f>IF(AND(AV25&gt;=0,CEILING(AV25/INDEX(TABLAS!$D$52:$D$58,MIN(MATCH(DATOS!$C$20,TABLAS!$B$52:$B$58,0)+0,7)),1)&lt;=MIN(DATOS!$C$22,INT((DATOS!$C$25+DATOS!$C$24)/(INDEX(TABLAS!$C$52:$C$58,MIN(MATCH(DATOS!$C$20,TABLAS!$B$52:$B$58,0)+0,7))+DATOS!$C$24)))),INDEX(TABLAS!$B$52:$B$58,MIN(MATCH(DATOS!$C$20,TABLAS!$B$52:$B$58,0)+0,7)),IF(AND(AV25&gt;=0,CEILING(AV25/INDEX(TABLAS!$D$52:$D$58,MIN(MATCH(DATOS!$C$20,TABLAS!$B$52:$B$58,0)+1,7)),1)&lt;=MIN(DATOS!$C$22,INT((DATOS!$C$25+DATOS!$C$24)/(INDEX(TABLAS!$C$52:$C$58,MIN(MATCH(DATOS!$C$20,TABLAS!$B$52:$B$58,0)+1,7))+DATOS!$C$24)))),INDEX(TABLAS!$B$52:$B$58,MIN(MATCH(DATOS!$C$20,TABLAS!$B$52:$B$58,0)+1,7)),IF(AND(AV25&gt;=0,CEILING(AV25/INDEX(TABLAS!$D$52:$D$58,MIN(MATCH(DATOS!$C$20,TABLAS!$B$52:$B$58,0)+2,7)),1)&lt;=MIN(DATOS!$C$22,INT((DATOS!$C$25+DATOS!$C$24)/(INDEX(TABLAS!$C$52:$C$58,MIN(MATCH(DATOS!$C$20,TABLAS!$B$52:$B$58,0)+2,7))+DATOS!$C$24)))),INDEX(TABLAS!$B$52:$B$58,MIN(MATCH(DATOS!$C$20,TABLAS!$B$52:$B$58,0)+2,7)),IF(AND(AV25&gt;=0,CEILING(AV25/INDEX(TABLAS!$D$52:$D$58,MIN(MATCH(DATOS!$C$20,TABLAS!$B$52:$B$58,0)+3,7)),1)&lt;=MIN(DATOS!$C$22,INT((DATOS!$C$25+DATOS!$C$24)/(INDEX(TABLAS!$C$52:$C$58,MIN(MATCH(DATOS!$C$20,TABLAS!$B$52:$B$58,0)+3,7))+DATOS!$C$24)))),INDEX(TABLAS!$B$52:$B$58,MIN(MATCH(DATOS!$C$20,TABLAS!$B$52:$B$58,0)+3,7)),IF(AND(AV25&gt;=0,CEILING(AV25/INDEX(TABLAS!$D$52:$D$58,MIN(MATCH(DATOS!$C$20,TABLAS!$B$52:$B$58,0)+4,7)),1)&lt;=MIN(DATOS!$C$22,INT((DATOS!$C$25+DATOS!$C$24)/(INDEX(TABLAS!$C$52:$C$58,MIN(MATCH(DATOS!$C$20,TABLAS!$B$52:$B$58,0)+4,7))+DATOS!$C$24)))),INDEX(TABLAS!$B$52:$B$58,MIN(MATCH(DATOS!$C$20,TABLAS!$B$52:$B$58,0)+4,7)),INDEX(TABLAS!$B$52:$B$58,7))))))</f>
        <v>3</v>
      </c>
      <c r="AX25" s="55">
        <f>IF(D25="HUECO",0,IF(AV25&lt;0,0,MAX(DATOS!$C$23,CEILING(AV25/INDEX(TABLAS!$D$52:$D$58,MATCH(AW25,TABLAS!$B$52:$B$58,0)),1))))</f>
        <v>1</v>
      </c>
      <c r="AY25" s="34">
        <f>IF(AX25=0,0,DATOS!$C$45*AX25*INDEX(TABLAS!$D$52:$D$58,MATCH(AW25,TABLAS!$B$52:$B$58,0))*DATOS!$C$32*((DATOS!$C$15-DATOS!$C$18-INDEX(TABLAS!$C$52:$C$58,MATCH(DATOS!$C$19,TABLAS!$B$52:$B$58,0))-INDEX(TABLAS!$C$52:$C$58,MATCH(AW25,TABLAS!$B$52:$B$58,0))/2)-AX25*INDEX(TABLAS!$D$52:$D$58,MATCH(AW25,TABLAS!$B$52:$B$58,0))*DATOS!$C$32/(DATOS!$C$38*DATOS!$C$16)/2)/1E5)</f>
        <v>0.584659515176471</v>
      </c>
      <c r="AZ25" s="59">
        <f>IF(AV25&lt;0,9.99,IF(AY25&gt;0,AJ25/AY25,0))</f>
        <v>0.202124595429366</v>
      </c>
      <c r="BA25" s="41">
        <f>IF(D25="HUECO",0,IF(AK25&lt;=0,DATOS!$C$71*DATOS!$C$13*DATOS!$C$67,IF((1-2*AK25*1E5/(DATOS!$C$45*DATOS!$C$13*DATOS!$C$67^2*DATOS!$C$38))&lt;0,-1,IF((1-SQRT((1-2*AK25*1E5/(DATOS!$C$45*DATOS!$C$13*DATOS!$C$67^2*DATOS!$C$38))))*DATOS!$C$38*DATOS!$C$13*DATOS!$C$67/DATOS!$C$32&gt;DATOS!$C$70*DATOS!$C$13*DATOS!$C$67,-1,MAX(DATOS!$C$71*DATOS!$C$13*DATOS!$C$67,(1-SQRT((1-2*AK25*1E5/(DATOS!$C$45*DATOS!$C$13*DATOS!$C$67^2*DATOS!$C$38))))*DATOS!$C$38*DATOS!$C$13*DATOS!$C$67/DATOS!$C$32)))))</f>
        <v>0.576720388273208</v>
      </c>
      <c r="BB25" s="39">
        <f>IF(AND(BA25&gt;=0,CEILING(BA25/INDEX(TABLAS!$D$52:$D$58,MIN(MATCH(DATOS!$C$21,TABLAS!$B$52:$B$58,0)+0,7)),1)&lt;=MIN(DATOS!$C$22,INT((DATOS!$C$25+DATOS!$C$24)/(INDEX(TABLAS!$C$52:$C$58,MIN(MATCH(DATOS!$C$21,TABLAS!$B$52:$B$58,0)+0,7))+DATOS!$C$24)))),INDEX(TABLAS!$B$52:$B$58,MIN(MATCH(DATOS!$C$21,TABLAS!$B$52:$B$58,0)+0,7)),IF(AND(BA25&gt;=0,CEILING(BA25/INDEX(TABLAS!$D$52:$D$58,MIN(MATCH(DATOS!$C$21,TABLAS!$B$52:$B$58,0)+1,7)),1)&lt;=MIN(DATOS!$C$22,INT((DATOS!$C$25+DATOS!$C$24)/(INDEX(TABLAS!$C$52:$C$58,MIN(MATCH(DATOS!$C$21,TABLAS!$B$52:$B$58,0)+1,7))+DATOS!$C$24)))),INDEX(TABLAS!$B$52:$B$58,MIN(MATCH(DATOS!$C$21,TABLAS!$B$52:$B$58,0)+1,7)),IF(AND(BA25&gt;=0,CEILING(BA25/INDEX(TABLAS!$D$52:$D$58,MIN(MATCH(DATOS!$C$21,TABLAS!$B$52:$B$58,0)+2,7)),1)&lt;=MIN(DATOS!$C$22,INT((DATOS!$C$25+DATOS!$C$24)/(INDEX(TABLAS!$C$52:$C$58,MIN(MATCH(DATOS!$C$21,TABLAS!$B$52:$B$58,0)+2,7))+DATOS!$C$24)))),INDEX(TABLAS!$B$52:$B$58,MIN(MATCH(DATOS!$C$21,TABLAS!$B$52:$B$58,0)+2,7)),IF(AND(BA25&gt;=0,CEILING(BA25/INDEX(TABLAS!$D$52:$D$58,MIN(MATCH(DATOS!$C$21,TABLAS!$B$52:$B$58,0)+3,7)),1)&lt;=MIN(DATOS!$C$22,INT((DATOS!$C$25+DATOS!$C$24)/(INDEX(TABLAS!$C$52:$C$58,MIN(MATCH(DATOS!$C$21,TABLAS!$B$52:$B$58,0)+3,7))+DATOS!$C$24)))),INDEX(TABLAS!$B$52:$B$58,MIN(MATCH(DATOS!$C$21,TABLAS!$B$52:$B$58,0)+3,7)),IF(AND(BA25&gt;=0,CEILING(BA25/INDEX(TABLAS!$D$52:$D$58,MIN(MATCH(DATOS!$C$21,TABLAS!$B$52:$B$58,0)+4,7)),1)&lt;=MIN(DATOS!$C$22,INT((DATOS!$C$25+DATOS!$C$24)/(INDEX(TABLAS!$C$52:$C$58,MIN(MATCH(DATOS!$C$21,TABLAS!$B$52:$B$58,0)+4,7))+DATOS!$C$24)))),INDEX(TABLAS!$B$52:$B$58,MIN(MATCH(DATOS!$C$21,TABLAS!$B$52:$B$58,0)+4,7)),INDEX(TABLAS!$B$52:$B$58,7))))))</f>
        <v>3</v>
      </c>
      <c r="BC25" s="55">
        <f>IF(D25="HUECO",0,IF(BA25&lt;0,0,MAX(1,CEILING(BA25/INDEX(TABLAS!$D$52:$D$58,MATCH(BB25,TABLAS!$B$52:$B$58,0)),1))))</f>
        <v>1</v>
      </c>
      <c r="BD25" s="34">
        <f>IF(BC25=0,0,DATOS!$C$45*BC25*INDEX(TABLAS!$D$52:$D$58,MATCH(BB25,TABLAS!$B$52:$B$58,0))*DATOS!$C$32*((DATOS!$C$15-DATOS!$C$18-INDEX(TABLAS!$C$52:$C$58,MATCH(DATOS!$C$19,TABLAS!$B$52:$B$58,0))-INDEX(TABLAS!$C$52:$C$58,MATCH(BB25,TABLAS!$B$52:$B$58,0))/2)-BC25*INDEX(TABLAS!$D$52:$D$58,MATCH(BB25,TABLAS!$B$52:$B$58,0))*DATOS!$C$32/(DATOS!$C$38*DATOS!$C$13)/2)/1E5)</f>
        <v>0.568518826235294</v>
      </c>
      <c r="BE25" s="59">
        <f>IF(BA25&lt;0,9.99,IF(BD25&gt;0,AK25/BD25,0))</f>
        <v>0.50097828346016</v>
      </c>
      <c r="BF25" s="34">
        <f>IF(D25="PERIMETRAL",MAX(0,(J25/2-DATOS!$C$66/100))*(0.95-0.5*L25)*R25*IF(AND(S25&gt;0,S25&lt;4),DATOS!$C$50,1)*DATOS!$C$16/100/1000,IF(D25="VOLADO",(R25*J25+DATOS!$C$43*AG25)*DATOS!$C$16/100/1000,0))</f>
        <v>0.530522622065625</v>
      </c>
      <c r="BG25" s="34">
        <f>IF(D25="HUECO",0,DATOS!$C$46*IF((AS25*INDEX(TABLAS!$D$52:$D$58,MATCH(AR25,TABLAS!$B$52:$B$58,0))/(DATOS!$C$13*DATOS!$C$67))&lt;0.015,0.2+20*(AS25*INDEX(TABLAS!$D$52:$D$58,MATCH(AR25,TABLAS!$B$52:$B$58,0))/(DATOS!$C$13*DATOS!$C$67)),0.5)*SQRT(DATOS!$C$31)*DATOS!$C$13*DATOS!$C$67*DATOS!$C$49/1000)</f>
        <v>0.687439634849853</v>
      </c>
      <c r="BH25" s="49" t="str">
        <f>IF(D25="HUECO","—",IF(BF25&lt;=BG25,"CUMPLE","MACIZAR "&amp;MAX(1,CEILING(IF(D25="VOLADO",J25,J25/2)*(1-BG25/BF25)*100/DATOS!$C$16,1))&amp;" hilera(s)"))</f>
        <v>CUMPLE</v>
      </c>
      <c r="BI25" s="41">
        <f>IF(D25="PERIMETRAL",(2*(H25+I25)+0.25*(H25*((APOYOS!$G$93="DISCONTINUO")+(APOYOS!$G$94="DISCONTINUO"))+I25*((APOYOS!$G$95="DISCONTINUO")+(APOYOS!$G$96="DISCONTINUO"))))*(J25+MIN(K25,2*J25))/(J25+K25)*100/250*IF(OR(DATOS!$C$47&gt;2520,Q25&gt;380),0.032*(DATOS!$C$47*Q25)^0.25,1),IF(D25="VOLADO",J25*100/8,0))</f>
        <v>7.5746144575472</v>
      </c>
      <c r="BJ25" s="41">
        <f>IF(D25="VOLADO",DATOS!$C$15,DATOS!$C$68)</f>
        <v>13.6082564120244</v>
      </c>
      <c r="BK25" s="50" t="str">
        <f>IF(D25="HUECO","—",IF(BJ25&gt;=BI25,"CUMPLE","NO CUMPLE"))</f>
        <v>CUMPLE</v>
      </c>
      <c r="BL25" s="50" t="str">
        <f>IF(D25="PERIMETRAL",IF(DATOS!$C$16/100&lt;=J25/6,"SÍ","NO: a1 &lt; 6·s"),"—")</f>
        <v>NO: a1 &lt; 6·s</v>
      </c>
      <c r="BM25" s="55">
        <f>MAX(0,INT((F25*100-DATOS!$C$17+DATOS!$C$13)/DATOS!$C$16))</f>
        <v>5</v>
      </c>
      <c r="BN25" s="55">
        <f>MAX(0,INT((G25*100-DATOS!$C$17+DATOS!$C$13)/DATOS!$C$16))</f>
        <v>5</v>
      </c>
      <c r="BO25" s="49" t="str">
        <f>IF(COUNTIFS(TRIB!$C$6:$C$255,B25,TRIB!$K$6:$K$255,"NO CUMPLE*")+COUNTIFS(TRIB!$C$6:$C$255,B25,TRIB!$K$6:$K$255,"SIN APOYO*")&gt;0,"VER PRINCIPALES",IF((APOYOS!$F$93="LIBRE")+(APOYOS!$F$94="LIBRE")+(APOYOS!$F$95="LIBRE")+(APOYOS!$F$96="LIBRE")&gt;0,"REVISAR: borde libre","OK"))</f>
        <v>OK</v>
      </c>
      <c r="BP25" s="60" t="str">
        <f>IF(D25="HUECO","HUECO — marco de nervaduras principales",IF(AND(MAX(AP25,AU25,AZ25,BE25)&lt;=1,NOT(OR(AN25&gt;MIN(DATOS!$C$22,INT((DATOS!$C$25+DATOS!$C$24)/(INDEX(TABLAS!$C$52:$C$58,MATCH(AM25,TABLAS!$B$52:$B$58,0))+DATOS!$C$24))),AS25&gt;MIN(DATOS!$C$22,INT((DATOS!$C$25+DATOS!$C$24)/(INDEX(TABLAS!$C$52:$C$58,MATCH(AR25,TABLAS!$B$52:$B$58,0))+DATOS!$C$24))),AX25&gt;MIN(DATOS!$C$22,INT((DATOS!$C$25+DATOS!$C$24)/(INDEX(TABLAS!$C$52:$C$58,MATCH(AW25,TABLAS!$B$52:$B$58,0))+DATOS!$C$24))),BC25&gt;MIN(DATOS!$C$22,INT((DATOS!$C$25+DATOS!$C$24)/(INDEX(TABLAS!$C$52:$C$58,MATCH(BB25,TABLAS!$B$52:$B$58,0))+DATOS!$C$24))))),BK25="CUMPLE"),IF(BO25="OK",IF(BH25="CUMPLE","CUMPLE","CUMPLE — "&amp;BH25),IF(BO25="VER PRINCIPALES","VER PRINCIPALES","REVISAR APOYOS")),"NO CUMPLE: "&amp;IF(MAX(AP25,AU25,AZ25,BE25)&gt;1,"flexión ","")&amp;IF(OR(AN25&gt;MIN(DATOS!$C$22,INT((DATOS!$C$25+DATOS!$C$24)/(INDEX(TABLAS!$C$52:$C$58,MATCH(AM25,TABLAS!$B$52:$B$58,0))+DATOS!$C$24))),AS25&gt;MIN(DATOS!$C$22,INT((DATOS!$C$25+DATOS!$C$24)/(INDEX(TABLAS!$C$52:$C$58,MATCH(AR25,TABLAS!$B$52:$B$58,0))+DATOS!$C$24))),AX25&gt;MIN(DATOS!$C$22,INT((DATOS!$C$25+DATOS!$C$24)/(INDEX(TABLAS!$C$52:$C$58,MATCH(AW25,TABLAS!$B$52:$B$58,0))+DATOS!$C$24))),BC25&gt;MIN(DATOS!$C$22,INT((DATOS!$C$25+DATOS!$C$24)/(INDEX(TABLAS!$C$52:$C$58,MATCH(BB25,TABLAS!$B$52:$B$58,0))+DATOS!$C$24)))),"no caben ","")&amp;IF(BK25&lt;&gt;"CUMPLE","peralte","")))</f>
        <v>CUMPLE</v>
      </c>
      <c r="BQ25" s="61" t="inlineStr">
        <is>
          <t>—</t>
        </is>
      </c>
    </row>
    <row r="26" ht="30" customHeight="1">
      <c r="B26" s="49" t="inlineStr">
        <is>
          <t>F80019 N+3.00</t>
        </is>
      </c>
      <c r="C26" s="50" t="inlineStr">
        <is>
          <t>N+3.00</t>
        </is>
      </c>
      <c r="D26" s="51" t="inlineStr">
        <is>
          <t>VOLADO</t>
        </is>
      </c>
      <c r="E26" s="51" t="inlineStr">
        <is>
          <t>HABITACIÓN</t>
        </is>
      </c>
      <c r="F26" s="52" t="n">
        <v>7.25</v>
      </c>
      <c r="G26" s="52" t="n">
        <v>2</v>
      </c>
      <c r="H26" s="53" t="n">
        <v>7.25</v>
      </c>
      <c r="I26" s="53" t="n">
        <v>2</v>
      </c>
      <c r="J26" s="34">
        <f>MIN(H26,I26)</f>
        <v>2</v>
      </c>
      <c r="K26" s="34">
        <f>MAX(H26,I26)</f>
        <v>7.25</v>
      </c>
      <c r="L26" s="34">
        <f>IF(K26&gt;0,J26/K26,0)</f>
        <v>0.275862068965517</v>
      </c>
      <c r="M26" s="50" t="str">
        <f>IF(H26&lt;=I26,"X","Y")</f>
        <v>Y</v>
      </c>
      <c r="N26" s="54" t="n">
        <v>210</v>
      </c>
      <c r="O26" s="55">
        <f>IF(E26="HABITACIÓN",DATOS!$C$76,DATOS!$C$78)</f>
        <v>190</v>
      </c>
      <c r="P26" s="55">
        <f>DATOS!$C$58</f>
        <v>253.673469387755</v>
      </c>
      <c r="Q26" s="55">
        <f>P26+N26+O26</f>
        <v>653.673469387755</v>
      </c>
      <c r="R26" s="56">
        <f>DATOS!$C$43*(P26+N26)+DATOS!$C$44*O26</f>
        <v>887.775510204082</v>
      </c>
      <c r="S26" s="55">
        <f>(APOYOS!$G$97="DISCONTINUO")+(APOYOS!$G$98="DISCONTINUO")+(APOYOS!$G$99="DISCONTINUO")+(APOYOS!$G$100="DISCONTINUO")</f>
        <v>1</v>
      </c>
      <c r="T26" s="55">
        <f>IF(M26="X",(APOYOS!$G$97="DISCONTINUO")+(APOYOS!$G$98="DISCONTINUO"),(APOYOS!$G$99="DISCONTINUO")+(APOYOS!$G$100="DISCONTINUO"))</f>
        <v>0</v>
      </c>
      <c r="U26" s="55">
        <f>S26-T26</f>
        <v>1</v>
      </c>
      <c r="V26" s="50" t="str">
        <f>IF(S26=0,"INTERIOR",IF(S26=1,IF(T26=1,"BORDE-CORTO","BORDE-LARGO"),IF(S26=2,IF(T26=1,"ESQUINA",IF(T26=2,"EXTREMO-LARGO","EXTREMO-CORTO")),IF(S26=3,IF(T26=2,"EXTREMO-LARGO","EXTREMO-CORTO"),"AISLADO"))))</f>
        <v>BORDE-LARGO</v>
      </c>
      <c r="W26" s="51" t="inlineStr">
        <is>
          <t>AUTO</t>
        </is>
      </c>
      <c r="X26" s="57" t="str">
        <f>IF(W26="AUTO",V26,W26)</f>
        <v>BORDE-LARGO</v>
      </c>
      <c r="Y26" s="55">
        <f>MATCH(L26,TABLAS!$D$5:$J$5,1)</f>
        <v>1</v>
      </c>
      <c r="Z26" s="41">
        <f>IF(Y26&gt;=7,0,(L26-INDEX(TABLAS!$D$5:$J$5,Y26))/(INDEX(TABLAS!$D$5:$J$5,Y26+1)-INDEX(TABLAS!$D$5:$J$5,Y26)))</f>
        <v>0.551724137931035</v>
      </c>
      <c r="AA26" s="55">
        <f>INDEX(TABLAS!$D$6:$J$47,MATCH(X26&amp;"|NIC",TABLAS!$B$6:$B$47,0),Y26)+Z26*(INDEX(TABLAS!$D$6:$J$47,MATCH(X26&amp;"|NIC",TABLAS!$B$6:$B$47,0),MIN(Y26+1,7))-INDEX(TABLAS!$D$6:$J$47,MATCH(X26&amp;"|NIC",TABLAS!$B$6:$B$47,0),Y26))</f>
        <v>796.827586206897</v>
      </c>
      <c r="AB26" s="55">
        <f>INDEX(TABLAS!$D$6:$J$47,MATCH(X26&amp;"|NIL",TABLAS!$B$6:$B$47,0),Y26)+Z26*(INDEX(TABLAS!$D$6:$J$47,MATCH(X26&amp;"|NIL",TABLAS!$B$6:$B$47,0),MIN(Y26+1,7))-INDEX(TABLAS!$D$6:$J$47,MATCH(X26&amp;"|NIL",TABLAS!$B$6:$B$47,0),Y26))</f>
        <v>519.689655172414</v>
      </c>
      <c r="AC26" s="55">
        <f>INDEX(TABLAS!$D$6:$J$47,MATCH(X26&amp;"|NDC",TABLAS!$B$6:$B$47,0),Y26)+Z26*(INDEX(TABLAS!$D$6:$J$47,MATCH(X26&amp;"|NDC",TABLAS!$B$6:$B$47,0),MIN(Y26+1,7))-INDEX(TABLAS!$D$6:$J$47,MATCH(X26&amp;"|NDC",TABLAS!$B$6:$B$47,0),Y26))</f>
        <v>491.551724137931</v>
      </c>
      <c r="AD26" s="55">
        <f>INDEX(TABLAS!$D$6:$J$47,MATCH(X26&amp;"|NDL",TABLAS!$B$6:$B$47,0),Y26)+Z26*(INDEX(TABLAS!$D$6:$J$47,MATCH(X26&amp;"|NDL",TABLAS!$B$6:$B$47,0),MIN(Y26+1,7))-INDEX(TABLAS!$D$6:$J$47,MATCH(X26&amp;"|NDL",TABLAS!$B$6:$B$47,0),Y26))</f>
        <v>0</v>
      </c>
      <c r="AE26" s="55">
        <f>INDEX(TABLAS!$D$6:$J$47,MATCH(X26&amp;"|PC",TABLAS!$B$6:$B$47,0),Y26)+Z26*(INDEX(TABLAS!$D$6:$J$47,MATCH(X26&amp;"|PC",TABLAS!$B$6:$B$47,0),MIN(Y26+1,7))-INDEX(TABLAS!$D$6:$J$47,MATCH(X26&amp;"|PC",TABLAS!$B$6:$B$47,0),Y26))</f>
        <v>520.931034482759</v>
      </c>
      <c r="AF26" s="55">
        <f>INDEX(TABLAS!$D$6:$J$47,MATCH(X26&amp;"|PL",TABLAS!$B$6:$B$47,0),Y26)+Z26*(INDEX(TABLAS!$D$6:$J$47,MATCH(X26&amp;"|PL",TABLAS!$B$6:$B$47,0),MIN(Y26+1,7))-INDEX(TABLAS!$D$6:$J$47,MATCH(X26&amp;"|PL",TABLAS!$B$6:$B$47,0),Y26))</f>
        <v>164.034482758621</v>
      </c>
      <c r="AG26" s="58" t="n">
        <v>333.7</v>
      </c>
      <c r="AH26" s="34">
        <f>IF(D26="PERIMETRAL",AE26*R26*J26^2*1E-4*DATOS!$C$16/100/1000,0)</f>
        <v>0</v>
      </c>
      <c r="AI26" s="34">
        <f>IF(D26="PERIMETRAL",MAX(AA26,AC26)*R26*J26^2*1E-4*DATOS!$C$16/100/1000,IF(D26="VOLADO",(R26*J26^2/2+DATOS!$C$43*AG26*J26)*DATOS!$C$16/100/1000,0))</f>
        <v>1.85021971428571</v>
      </c>
      <c r="AJ26" s="34">
        <f>IF(D26="PERIMETRAL",AF26*R26*J26^2*1E-4*DATOS!$C$16/100/1000,0)</f>
        <v>0</v>
      </c>
      <c r="AK26" s="34">
        <f>IF(D26="PERIMETRAL",MAX(AB26,AD26)*R26*J26^2*1E-4*DATOS!$C$16/100/1000,0)</f>
        <v>0</v>
      </c>
      <c r="AL26" s="41">
        <f>IF(D26="HUECO",0,IF(AH26&lt;=0,DATOS!$C$71*DATOS!$C$13*DATOS!$C$66,IF((1-2*AH26*1E5/(DATOS!$C$45*DATOS!$C$16*DATOS!$C$66^2*DATOS!$C$38))&lt;0,-1,MAX(DATOS!$C$71*DATOS!$C$13*DATOS!$C$66,(1-SQRT((1-2*AH26*1E5/(DATOS!$C$45*DATOS!$C$16*DATOS!$C$66^2*DATOS!$C$38))))*DATOS!$C$38*DATOS!$C$16*DATOS!$C$66/DATOS!$C$32))))</f>
        <v>0.576720388273208</v>
      </c>
      <c r="AM26" s="39">
        <f>IF(AND(AL26&gt;=0,CEILING(AL26/INDEX(TABLAS!$D$52:$D$58,MIN(MATCH(DATOS!$C$20,TABLAS!$B$52:$B$58,0)+0,7)),1)&lt;=MIN(DATOS!$C$22,INT((DATOS!$C$25+DATOS!$C$24)/(INDEX(TABLAS!$C$52:$C$58,MIN(MATCH(DATOS!$C$20,TABLAS!$B$52:$B$58,0)+0,7))+DATOS!$C$24)))),INDEX(TABLAS!$B$52:$B$58,MIN(MATCH(DATOS!$C$20,TABLAS!$B$52:$B$58,0)+0,7)),IF(AND(AL26&gt;=0,CEILING(AL26/INDEX(TABLAS!$D$52:$D$58,MIN(MATCH(DATOS!$C$20,TABLAS!$B$52:$B$58,0)+1,7)),1)&lt;=MIN(DATOS!$C$22,INT((DATOS!$C$25+DATOS!$C$24)/(INDEX(TABLAS!$C$52:$C$58,MIN(MATCH(DATOS!$C$20,TABLAS!$B$52:$B$58,0)+1,7))+DATOS!$C$24)))),INDEX(TABLAS!$B$52:$B$58,MIN(MATCH(DATOS!$C$20,TABLAS!$B$52:$B$58,0)+1,7)),IF(AND(AL26&gt;=0,CEILING(AL26/INDEX(TABLAS!$D$52:$D$58,MIN(MATCH(DATOS!$C$20,TABLAS!$B$52:$B$58,0)+2,7)),1)&lt;=MIN(DATOS!$C$22,INT((DATOS!$C$25+DATOS!$C$24)/(INDEX(TABLAS!$C$52:$C$58,MIN(MATCH(DATOS!$C$20,TABLAS!$B$52:$B$58,0)+2,7))+DATOS!$C$24)))),INDEX(TABLAS!$B$52:$B$58,MIN(MATCH(DATOS!$C$20,TABLAS!$B$52:$B$58,0)+2,7)),IF(AND(AL26&gt;=0,CEILING(AL26/INDEX(TABLAS!$D$52:$D$58,MIN(MATCH(DATOS!$C$20,TABLAS!$B$52:$B$58,0)+3,7)),1)&lt;=MIN(DATOS!$C$22,INT((DATOS!$C$25+DATOS!$C$24)/(INDEX(TABLAS!$C$52:$C$58,MIN(MATCH(DATOS!$C$20,TABLAS!$B$52:$B$58,0)+3,7))+DATOS!$C$24)))),INDEX(TABLAS!$B$52:$B$58,MIN(MATCH(DATOS!$C$20,TABLAS!$B$52:$B$58,0)+3,7)),IF(AND(AL26&gt;=0,CEILING(AL26/INDEX(TABLAS!$D$52:$D$58,MIN(MATCH(DATOS!$C$20,TABLAS!$B$52:$B$58,0)+4,7)),1)&lt;=MIN(DATOS!$C$22,INT((DATOS!$C$25+DATOS!$C$24)/(INDEX(TABLAS!$C$52:$C$58,MIN(MATCH(DATOS!$C$20,TABLAS!$B$52:$B$58,0)+4,7))+DATOS!$C$24)))),INDEX(TABLAS!$B$52:$B$58,MIN(MATCH(DATOS!$C$20,TABLAS!$B$52:$B$58,0)+4,7)),INDEX(TABLAS!$B$52:$B$58,7))))))</f>
        <v>3</v>
      </c>
      <c r="AN26" s="55">
        <f>IF(D26="HUECO",0,IF(AL26&lt;0,0,MAX(DATOS!$C$23,CEILING(AL26/INDEX(TABLAS!$D$52:$D$58,MATCH(AM26,TABLAS!$B$52:$B$58,0)),1))))</f>
        <v>1</v>
      </c>
      <c r="AO26" s="34">
        <f>IF(AN26=0,0,DATOS!$C$45*AN26*INDEX(TABLAS!$D$52:$D$58,MATCH(AM26,TABLAS!$B$52:$B$58,0))*DATOS!$C$32*((DATOS!$C$15-DATOS!$C$18-INDEX(TABLAS!$C$52:$C$58,MATCH(DATOS!$C$19,TABLAS!$B$52:$B$58,0))-INDEX(TABLAS!$C$52:$C$58,MATCH(AM26,TABLAS!$B$52:$B$58,0))/2)-AN26*INDEX(TABLAS!$D$52:$D$58,MATCH(AM26,TABLAS!$B$52:$B$58,0))*DATOS!$C$32/(DATOS!$C$38*DATOS!$C$16)/2)/1E5)</f>
        <v>0.584659515176471</v>
      </c>
      <c r="AP26" s="59">
        <f>IF(AL26&lt;0,9.99,IF(AO26&gt;0,AH26/AO26,0))</f>
        <v>0</v>
      </c>
      <c r="AQ26" s="41">
        <f>IF(D26="HUECO",0,IF(AI26&lt;=0,DATOS!$C$71*DATOS!$C$13*DATOS!$C$67,IF((1-2*AI26*1E5/(DATOS!$C$45*DATOS!$C$13*DATOS!$C$67^2*DATOS!$C$38))&lt;0,-1,IF((1-SQRT((1-2*AI26*1E5/(DATOS!$C$45*DATOS!$C$13*DATOS!$C$67^2*DATOS!$C$38))))*DATOS!$C$38*DATOS!$C$13*DATOS!$C$67/DATOS!$C$32&gt;DATOS!$C$70*DATOS!$C$13*DATOS!$C$67,-1,MAX(DATOS!$C$71*DATOS!$C$13*DATOS!$C$67,(1-SQRT((1-2*AI26*1E5/(DATOS!$C$45*DATOS!$C$13*DATOS!$C$67^2*DATOS!$C$38))))*DATOS!$C$38*DATOS!$C$13*DATOS!$C$67/DATOS!$C$32)))))</f>
        <v>2.52432549209458</v>
      </c>
      <c r="AR26" s="39">
        <f>IF(AND(AQ26&gt;=0,CEILING(AQ26/INDEX(TABLAS!$D$52:$D$58,MIN(MATCH(DATOS!$C$21,TABLAS!$B$52:$B$58,0)+0,7)),1)&lt;=MIN(DATOS!$C$22,INT((DATOS!$C$25+DATOS!$C$24)/(INDEX(TABLAS!$C$52:$C$58,MIN(MATCH(DATOS!$C$21,TABLAS!$B$52:$B$58,0)+0,7))+DATOS!$C$24)))),INDEX(TABLAS!$B$52:$B$58,MIN(MATCH(DATOS!$C$21,TABLAS!$B$52:$B$58,0)+0,7)),IF(AND(AQ26&gt;=0,CEILING(AQ26/INDEX(TABLAS!$D$52:$D$58,MIN(MATCH(DATOS!$C$21,TABLAS!$B$52:$B$58,0)+1,7)),1)&lt;=MIN(DATOS!$C$22,INT((DATOS!$C$25+DATOS!$C$24)/(INDEX(TABLAS!$C$52:$C$58,MIN(MATCH(DATOS!$C$21,TABLAS!$B$52:$B$58,0)+1,7))+DATOS!$C$24)))),INDEX(TABLAS!$B$52:$B$58,MIN(MATCH(DATOS!$C$21,TABLAS!$B$52:$B$58,0)+1,7)),IF(AND(AQ26&gt;=0,CEILING(AQ26/INDEX(TABLAS!$D$52:$D$58,MIN(MATCH(DATOS!$C$21,TABLAS!$B$52:$B$58,0)+2,7)),1)&lt;=MIN(DATOS!$C$22,INT((DATOS!$C$25+DATOS!$C$24)/(INDEX(TABLAS!$C$52:$C$58,MIN(MATCH(DATOS!$C$21,TABLAS!$B$52:$B$58,0)+2,7))+DATOS!$C$24)))),INDEX(TABLAS!$B$52:$B$58,MIN(MATCH(DATOS!$C$21,TABLAS!$B$52:$B$58,0)+2,7)),IF(AND(AQ26&gt;=0,CEILING(AQ26/INDEX(TABLAS!$D$52:$D$58,MIN(MATCH(DATOS!$C$21,TABLAS!$B$52:$B$58,0)+3,7)),1)&lt;=MIN(DATOS!$C$22,INT((DATOS!$C$25+DATOS!$C$24)/(INDEX(TABLAS!$C$52:$C$58,MIN(MATCH(DATOS!$C$21,TABLAS!$B$52:$B$58,0)+3,7))+DATOS!$C$24)))),INDEX(TABLAS!$B$52:$B$58,MIN(MATCH(DATOS!$C$21,TABLAS!$B$52:$B$58,0)+3,7)),IF(AND(AQ26&gt;=0,CEILING(AQ26/INDEX(TABLAS!$D$52:$D$58,MIN(MATCH(DATOS!$C$21,TABLAS!$B$52:$B$58,0)+4,7)),1)&lt;=MIN(DATOS!$C$22,INT((DATOS!$C$25+DATOS!$C$24)/(INDEX(TABLAS!$C$52:$C$58,MIN(MATCH(DATOS!$C$21,TABLAS!$B$52:$B$58,0)+4,7))+DATOS!$C$24)))),INDEX(TABLAS!$B$52:$B$58,MIN(MATCH(DATOS!$C$21,TABLAS!$B$52:$B$58,0)+4,7)),INDEX(TABLAS!$B$52:$B$58,7))))))</f>
        <v>6</v>
      </c>
      <c r="AS26" s="55">
        <f>IF(D26="HUECO",0,IF(AQ26&lt;0,0,MAX(1,CEILING(AQ26/INDEX(TABLAS!$D$52:$D$58,MATCH(AR26,TABLAS!$B$52:$B$58,0)),1))))</f>
        <v>1</v>
      </c>
      <c r="AT26" s="34">
        <f>IF(AS26=0,0,DATOS!$C$45*AS26*INDEX(TABLAS!$D$52:$D$58,MATCH(AR26,TABLAS!$B$52:$B$58,0))*DATOS!$C$32*((DATOS!$C$15-DATOS!$C$18-INDEX(TABLAS!$C$52:$C$58,MATCH(DATOS!$C$19,TABLAS!$B$52:$B$58,0))-INDEX(TABLAS!$C$52:$C$58,MATCH(AR26,TABLAS!$B$52:$B$58,0))/2)-AS26*INDEX(TABLAS!$D$52:$D$58,MATCH(AR26,TABLAS!$B$52:$B$58,0))*DATOS!$C$32/(DATOS!$C$38*DATOS!$C$13)/2)/1E5)</f>
        <v>2.00254227352941</v>
      </c>
      <c r="AU26" s="59">
        <f>IF(AQ26&lt;0,9.99,IF(AT26&gt;0,AI26/AT26,0))</f>
        <v>0.923935408876421</v>
      </c>
      <c r="AV26" s="41">
        <f>IF(D26="HUECO",0,IF(AJ26&lt;=0,DATOS!$C$71*DATOS!$C$13*DATOS!$C$66,IF((1-2*AJ26*1E5/(DATOS!$C$45*DATOS!$C$16*DATOS!$C$66^2*DATOS!$C$38))&lt;0,-1,MAX(DATOS!$C$71*DATOS!$C$13*DATOS!$C$66,(1-SQRT((1-2*AJ26*1E5/(DATOS!$C$45*DATOS!$C$16*DATOS!$C$66^2*DATOS!$C$38))))*DATOS!$C$38*DATOS!$C$16*DATOS!$C$66/DATOS!$C$32))))</f>
        <v>0.576720388273208</v>
      </c>
      <c r="AW26" s="39">
        <f>IF(AND(AV26&gt;=0,CEILING(AV26/INDEX(TABLAS!$D$52:$D$58,MIN(MATCH(DATOS!$C$20,TABLAS!$B$52:$B$58,0)+0,7)),1)&lt;=MIN(DATOS!$C$22,INT((DATOS!$C$25+DATOS!$C$24)/(INDEX(TABLAS!$C$52:$C$58,MIN(MATCH(DATOS!$C$20,TABLAS!$B$52:$B$58,0)+0,7))+DATOS!$C$24)))),INDEX(TABLAS!$B$52:$B$58,MIN(MATCH(DATOS!$C$20,TABLAS!$B$52:$B$58,0)+0,7)),IF(AND(AV26&gt;=0,CEILING(AV26/INDEX(TABLAS!$D$52:$D$58,MIN(MATCH(DATOS!$C$20,TABLAS!$B$52:$B$58,0)+1,7)),1)&lt;=MIN(DATOS!$C$22,INT((DATOS!$C$25+DATOS!$C$24)/(INDEX(TABLAS!$C$52:$C$58,MIN(MATCH(DATOS!$C$20,TABLAS!$B$52:$B$58,0)+1,7))+DATOS!$C$24)))),INDEX(TABLAS!$B$52:$B$58,MIN(MATCH(DATOS!$C$20,TABLAS!$B$52:$B$58,0)+1,7)),IF(AND(AV26&gt;=0,CEILING(AV26/INDEX(TABLAS!$D$52:$D$58,MIN(MATCH(DATOS!$C$20,TABLAS!$B$52:$B$58,0)+2,7)),1)&lt;=MIN(DATOS!$C$22,INT((DATOS!$C$25+DATOS!$C$24)/(INDEX(TABLAS!$C$52:$C$58,MIN(MATCH(DATOS!$C$20,TABLAS!$B$52:$B$58,0)+2,7))+DATOS!$C$24)))),INDEX(TABLAS!$B$52:$B$58,MIN(MATCH(DATOS!$C$20,TABLAS!$B$52:$B$58,0)+2,7)),IF(AND(AV26&gt;=0,CEILING(AV26/INDEX(TABLAS!$D$52:$D$58,MIN(MATCH(DATOS!$C$20,TABLAS!$B$52:$B$58,0)+3,7)),1)&lt;=MIN(DATOS!$C$22,INT((DATOS!$C$25+DATOS!$C$24)/(INDEX(TABLAS!$C$52:$C$58,MIN(MATCH(DATOS!$C$20,TABLAS!$B$52:$B$58,0)+3,7))+DATOS!$C$24)))),INDEX(TABLAS!$B$52:$B$58,MIN(MATCH(DATOS!$C$20,TABLAS!$B$52:$B$58,0)+3,7)),IF(AND(AV26&gt;=0,CEILING(AV26/INDEX(TABLAS!$D$52:$D$58,MIN(MATCH(DATOS!$C$20,TABLAS!$B$52:$B$58,0)+4,7)),1)&lt;=MIN(DATOS!$C$22,INT((DATOS!$C$25+DATOS!$C$24)/(INDEX(TABLAS!$C$52:$C$58,MIN(MATCH(DATOS!$C$20,TABLAS!$B$52:$B$58,0)+4,7))+DATOS!$C$24)))),INDEX(TABLAS!$B$52:$B$58,MIN(MATCH(DATOS!$C$20,TABLAS!$B$52:$B$58,0)+4,7)),INDEX(TABLAS!$B$52:$B$58,7))))))</f>
        <v>3</v>
      </c>
      <c r="AX26" s="55">
        <f>IF(D26="HUECO",0,IF(AV26&lt;0,0,MAX(DATOS!$C$23,CEILING(AV26/INDEX(TABLAS!$D$52:$D$58,MATCH(AW26,TABLAS!$B$52:$B$58,0)),1))))</f>
        <v>1</v>
      </c>
      <c r="AY26" s="34">
        <f>IF(AX26=0,0,DATOS!$C$45*AX26*INDEX(TABLAS!$D$52:$D$58,MATCH(AW26,TABLAS!$B$52:$B$58,0))*DATOS!$C$32*((DATOS!$C$15-DATOS!$C$18-INDEX(TABLAS!$C$52:$C$58,MATCH(DATOS!$C$19,TABLAS!$B$52:$B$58,0))-INDEX(TABLAS!$C$52:$C$58,MATCH(AW26,TABLAS!$B$52:$B$58,0))/2)-AX26*INDEX(TABLAS!$D$52:$D$58,MATCH(AW26,TABLAS!$B$52:$B$58,0))*DATOS!$C$32/(DATOS!$C$38*DATOS!$C$16)/2)/1E5)</f>
        <v>0.584659515176471</v>
      </c>
      <c r="AZ26" s="59">
        <f>IF(AV26&lt;0,9.99,IF(AY26&gt;0,AJ26/AY26,0))</f>
        <v>0</v>
      </c>
      <c r="BA26" s="41">
        <f>IF(D26="HUECO",0,IF(AK26&lt;=0,DATOS!$C$71*DATOS!$C$13*DATOS!$C$67,IF((1-2*AK26*1E5/(DATOS!$C$45*DATOS!$C$13*DATOS!$C$67^2*DATOS!$C$38))&lt;0,-1,IF((1-SQRT((1-2*AK26*1E5/(DATOS!$C$45*DATOS!$C$13*DATOS!$C$67^2*DATOS!$C$38))))*DATOS!$C$38*DATOS!$C$13*DATOS!$C$67/DATOS!$C$32&gt;DATOS!$C$70*DATOS!$C$13*DATOS!$C$67,-1,MAX(DATOS!$C$71*DATOS!$C$13*DATOS!$C$67,(1-SQRT((1-2*AK26*1E5/(DATOS!$C$45*DATOS!$C$13*DATOS!$C$67^2*DATOS!$C$38))))*DATOS!$C$38*DATOS!$C$13*DATOS!$C$67/DATOS!$C$32)))))</f>
        <v>0.576720388273208</v>
      </c>
      <c r="BB26" s="39">
        <f>IF(AND(BA26&gt;=0,CEILING(BA26/INDEX(TABLAS!$D$52:$D$58,MIN(MATCH(DATOS!$C$21,TABLAS!$B$52:$B$58,0)+0,7)),1)&lt;=MIN(DATOS!$C$22,INT((DATOS!$C$25+DATOS!$C$24)/(INDEX(TABLAS!$C$52:$C$58,MIN(MATCH(DATOS!$C$21,TABLAS!$B$52:$B$58,0)+0,7))+DATOS!$C$24)))),INDEX(TABLAS!$B$52:$B$58,MIN(MATCH(DATOS!$C$21,TABLAS!$B$52:$B$58,0)+0,7)),IF(AND(BA26&gt;=0,CEILING(BA26/INDEX(TABLAS!$D$52:$D$58,MIN(MATCH(DATOS!$C$21,TABLAS!$B$52:$B$58,0)+1,7)),1)&lt;=MIN(DATOS!$C$22,INT((DATOS!$C$25+DATOS!$C$24)/(INDEX(TABLAS!$C$52:$C$58,MIN(MATCH(DATOS!$C$21,TABLAS!$B$52:$B$58,0)+1,7))+DATOS!$C$24)))),INDEX(TABLAS!$B$52:$B$58,MIN(MATCH(DATOS!$C$21,TABLAS!$B$52:$B$58,0)+1,7)),IF(AND(BA26&gt;=0,CEILING(BA26/INDEX(TABLAS!$D$52:$D$58,MIN(MATCH(DATOS!$C$21,TABLAS!$B$52:$B$58,0)+2,7)),1)&lt;=MIN(DATOS!$C$22,INT((DATOS!$C$25+DATOS!$C$24)/(INDEX(TABLAS!$C$52:$C$58,MIN(MATCH(DATOS!$C$21,TABLAS!$B$52:$B$58,0)+2,7))+DATOS!$C$24)))),INDEX(TABLAS!$B$52:$B$58,MIN(MATCH(DATOS!$C$21,TABLAS!$B$52:$B$58,0)+2,7)),IF(AND(BA26&gt;=0,CEILING(BA26/INDEX(TABLAS!$D$52:$D$58,MIN(MATCH(DATOS!$C$21,TABLAS!$B$52:$B$58,0)+3,7)),1)&lt;=MIN(DATOS!$C$22,INT((DATOS!$C$25+DATOS!$C$24)/(INDEX(TABLAS!$C$52:$C$58,MIN(MATCH(DATOS!$C$21,TABLAS!$B$52:$B$58,0)+3,7))+DATOS!$C$24)))),INDEX(TABLAS!$B$52:$B$58,MIN(MATCH(DATOS!$C$21,TABLAS!$B$52:$B$58,0)+3,7)),IF(AND(BA26&gt;=0,CEILING(BA26/INDEX(TABLAS!$D$52:$D$58,MIN(MATCH(DATOS!$C$21,TABLAS!$B$52:$B$58,0)+4,7)),1)&lt;=MIN(DATOS!$C$22,INT((DATOS!$C$25+DATOS!$C$24)/(INDEX(TABLAS!$C$52:$C$58,MIN(MATCH(DATOS!$C$21,TABLAS!$B$52:$B$58,0)+4,7))+DATOS!$C$24)))),INDEX(TABLAS!$B$52:$B$58,MIN(MATCH(DATOS!$C$21,TABLAS!$B$52:$B$58,0)+4,7)),INDEX(TABLAS!$B$52:$B$58,7))))))</f>
        <v>3</v>
      </c>
      <c r="BC26" s="55">
        <f>IF(D26="HUECO",0,IF(BA26&lt;0,0,MAX(1,CEILING(BA26/INDEX(TABLAS!$D$52:$D$58,MATCH(BB26,TABLAS!$B$52:$B$58,0)),1))))</f>
        <v>1</v>
      </c>
      <c r="BD26" s="34">
        <f>IF(BC26=0,0,DATOS!$C$45*BC26*INDEX(TABLAS!$D$52:$D$58,MATCH(BB26,TABLAS!$B$52:$B$58,0))*DATOS!$C$32*((DATOS!$C$15-DATOS!$C$18-INDEX(TABLAS!$C$52:$C$58,MATCH(DATOS!$C$19,TABLAS!$B$52:$B$58,0))-INDEX(TABLAS!$C$52:$C$58,MATCH(BB26,TABLAS!$B$52:$B$58,0))/2)-BC26*INDEX(TABLAS!$D$52:$D$58,MATCH(BB26,TABLAS!$B$52:$B$58,0))*DATOS!$C$32/(DATOS!$C$38*DATOS!$C$13)/2)/1E5)</f>
        <v>0.568518826235294</v>
      </c>
      <c r="BE26" s="59">
        <f>IF(BA26&lt;0,9.99,IF(BD26&gt;0,AK26/BD26,0))</f>
        <v>0</v>
      </c>
      <c r="BF26" s="34">
        <f>IF(D26="PERIMETRAL",MAX(0,(J26/2-DATOS!$C$66/100))*(0.95-0.5*L26)*R26*IF(AND(S26&gt;0,S26&lt;4),DATOS!$C$50,1)*DATOS!$C$16/100/1000,IF(D26="VOLADO",(R26*J26+DATOS!$C$43*AG26)*DATOS!$C$16/100/1000,0))</f>
        <v>1.54655271428571</v>
      </c>
      <c r="BG26" s="34">
        <f>IF(D26="HUECO",0,DATOS!$C$46*IF((AS26*INDEX(TABLAS!$D$52:$D$58,MATCH(AR26,TABLAS!$B$52:$B$58,0))/(DATOS!$C$13*DATOS!$C$67))&lt;0.015,0.2+20*(AS26*INDEX(TABLAS!$D$52:$D$58,MATCH(AR26,TABLAS!$B$52:$B$58,0))/(DATOS!$C$13*DATOS!$C$67)),0.5)*SQRT(DATOS!$C$31)*DATOS!$C$13*DATOS!$C$67*DATOS!$C$49/1000)</f>
        <v>1.19498519930688</v>
      </c>
      <c r="BH26" s="49" t="str">
        <f>IF(D26="HUECO","—",IF(BF26&lt;=BG26,"CUMPLE","MACIZAR "&amp;MAX(1,CEILING(IF(D26="VOLADO",J26,J26/2)*(1-BG26/BF26)*100/DATOS!$C$16,1))&amp;" hilera(s)"))</f>
        <v>MACIZAR 1 hilera(s)</v>
      </c>
      <c r="BI26" s="41">
        <f>IF(D26="PERIMETRAL",(2*(H26+I26)+0.25*(H26*((APOYOS!$G$97="DISCONTINUO")+(APOYOS!$G$98="DISCONTINUO"))+I26*((APOYOS!$G$99="DISCONTINUO")+(APOYOS!$G$100="DISCONTINUO"))))*(J26+MIN(K26,2*J26))/(J26+K26)*100/250*IF(OR(DATOS!$C$47&gt;2520,Q26&gt;380),0.032*(DATOS!$C$47*Q26)^0.25,1),IF(D26="VOLADO",J26*100/8,0))</f>
        <v>25</v>
      </c>
      <c r="BJ26" s="41">
        <f>IF(D26="VOLADO",DATOS!$C$15,DATOS!$C$68)</f>
        <v>25</v>
      </c>
      <c r="BK26" s="50" t="str">
        <f>IF(D26="HUECO","—",IF(BJ26&gt;=BI26,"CUMPLE","NO CUMPLE"))</f>
        <v>CUMPLE</v>
      </c>
      <c r="BL26" s="50" t="str">
        <f>IF(D26="PERIMETRAL",IF(DATOS!$C$16/100&lt;=J26/6,"SÍ","NO: a1 &lt; 6·s"),"—")</f>
        <v>—</v>
      </c>
      <c r="BM26" s="55">
        <f>MAX(0,INT((F26*100-DATOS!$C$17+DATOS!$C$13)/DATOS!$C$16))</f>
        <v>10</v>
      </c>
      <c r="BN26" s="55">
        <f>MAX(0,INT((G26*100-DATOS!$C$17+DATOS!$C$13)/DATOS!$C$16))</f>
        <v>2</v>
      </c>
      <c r="BO26" s="49" t="str">
        <f>IF(COUNTIFS(TRIB!$C$6:$C$255,B26,TRIB!$K$6:$K$255,"NO CUMPLE*")+COUNTIFS(TRIB!$C$6:$C$255,B26,TRIB!$K$6:$K$255,"SIN APOYO*")&gt;0,"VER PRINCIPALES",IF((APOYOS!$F$97="LIBRE")+(APOYOS!$F$98="LIBRE")+(APOYOS!$F$99="LIBRE")+(APOYOS!$F$100="LIBRE")&gt;0,"REVISAR: borde libre","OK"))</f>
        <v>OK</v>
      </c>
      <c r="BP26" s="60" t="str">
        <f>IF(D26="HUECO","HUECO — marco de nervaduras principales",IF(AND(MAX(AP26,AU26,AZ26,BE26)&lt;=1,NOT(OR(AN26&gt;MIN(DATOS!$C$22,INT((DATOS!$C$25+DATOS!$C$24)/(INDEX(TABLAS!$C$52:$C$58,MATCH(AM26,TABLAS!$B$52:$B$58,0))+DATOS!$C$24))),AS26&gt;MIN(DATOS!$C$22,INT((DATOS!$C$25+DATOS!$C$24)/(INDEX(TABLAS!$C$52:$C$58,MATCH(AR26,TABLAS!$B$52:$B$58,0))+DATOS!$C$24))),AX26&gt;MIN(DATOS!$C$22,INT((DATOS!$C$25+DATOS!$C$24)/(INDEX(TABLAS!$C$52:$C$58,MATCH(AW26,TABLAS!$B$52:$B$58,0))+DATOS!$C$24))),BC26&gt;MIN(DATOS!$C$22,INT((DATOS!$C$25+DATOS!$C$24)/(INDEX(TABLAS!$C$52:$C$58,MATCH(BB26,TABLAS!$B$52:$B$58,0))+DATOS!$C$24))))),BK26="CUMPLE"),IF(BO26="OK",IF(BH26="CUMPLE","CUMPLE","CUMPLE — "&amp;BH26),IF(BO26="VER PRINCIPALES","VER PRINCIPALES","REVISAR APOYOS")),"NO CUMPLE: "&amp;IF(MAX(AP26,AU26,AZ26,BE26)&gt;1,"flexión ","")&amp;IF(OR(AN26&gt;MIN(DATOS!$C$22,INT((DATOS!$C$25+DATOS!$C$24)/(INDEX(TABLAS!$C$52:$C$58,MATCH(AM26,TABLAS!$B$52:$B$58,0))+DATOS!$C$24))),AS26&gt;MIN(DATOS!$C$22,INT((DATOS!$C$25+DATOS!$C$24)/(INDEX(TABLAS!$C$52:$C$58,MATCH(AR26,TABLAS!$B$52:$B$58,0))+DATOS!$C$24))),AX26&gt;MIN(DATOS!$C$22,INT((DATOS!$C$25+DATOS!$C$24)/(INDEX(TABLAS!$C$52:$C$58,MATCH(AW26,TABLAS!$B$52:$B$58,0))+DATOS!$C$24))),BC26&gt;MIN(DATOS!$C$22,INT((DATOS!$C$25+DATOS!$C$24)/(INDEX(TABLAS!$C$52:$C$58,MATCH(BB26,TABLAS!$B$52:$B$58,0))+DATOS!$C$24)))),"no caben ","")&amp;IF(BK26&lt;&gt;"CUMPLE","peralte","")))</f>
        <v>CUMPLE — MACIZAR 1 hilera(s)</v>
      </c>
      <c r="BQ26" s="61" t="inlineStr">
        <is>
          <t>Volado de 2.00 m desde el borde inferior (muro). Orilla libre con 333.7 kg/m del E2K.</t>
        </is>
      </c>
    </row>
    <row r="27" ht="30" customHeight="1">
      <c r="B27" s="49" t="inlineStr">
        <is>
          <t>F80020 N+3.00</t>
        </is>
      </c>
      <c r="C27" s="50" t="inlineStr">
        <is>
          <t>N+3.00</t>
        </is>
      </c>
      <c r="D27" s="51" t="inlineStr">
        <is>
          <t>PERIMETRAL</t>
        </is>
      </c>
      <c r="E27" s="51" t="inlineStr">
        <is>
          <t>HABITACIÓN</t>
        </is>
      </c>
      <c r="F27" s="52" t="n">
        <v>1.6</v>
      </c>
      <c r="G27" s="52" t="n">
        <v>2.925</v>
      </c>
      <c r="H27" s="53" t="n">
        <v>1.6</v>
      </c>
      <c r="I27" s="53" t="n">
        <v>2.925</v>
      </c>
      <c r="J27" s="34">
        <f>MIN(H27,I27)</f>
        <v>1.6</v>
      </c>
      <c r="K27" s="34">
        <f>MAX(H27,I27)</f>
        <v>2.925</v>
      </c>
      <c r="L27" s="34">
        <f>IF(K27&gt;0,J27/K27,0)</f>
        <v>0.547008547008547</v>
      </c>
      <c r="M27" s="50" t="str">
        <f>IF(H27&lt;=I27,"X","Y")</f>
        <v>X</v>
      </c>
      <c r="N27" s="54" t="n">
        <v>225</v>
      </c>
      <c r="O27" s="55">
        <f>IF(E27="HABITACIÓN",DATOS!$C$76,DATOS!$C$78)</f>
        <v>190</v>
      </c>
      <c r="P27" s="55">
        <f>DATOS!$C$58</f>
        <v>253.673469387755</v>
      </c>
      <c r="Q27" s="55">
        <f>P27+N27+O27</f>
        <v>668.673469387755</v>
      </c>
      <c r="R27" s="56">
        <f>DATOS!$C$43*(P27+N27)+DATOS!$C$44*O27</f>
        <v>907.275510204082</v>
      </c>
      <c r="S27" s="55">
        <f>(APOYOS!$G$101="DISCONTINUO")+(APOYOS!$G$102="DISCONTINUO")+(APOYOS!$G$103="DISCONTINUO")+(APOYOS!$G$104="DISCONTINUO")</f>
        <v>2</v>
      </c>
      <c r="T27" s="55">
        <f>IF(M27="X",(APOYOS!$G$101="DISCONTINUO")+(APOYOS!$G$102="DISCONTINUO"),(APOYOS!$G$103="DISCONTINUO")+(APOYOS!$G$104="DISCONTINUO"))</f>
        <v>1</v>
      </c>
      <c r="U27" s="55">
        <f>S27-T27</f>
        <v>1</v>
      </c>
      <c r="V27" s="50" t="str">
        <f>IF(S27=0,"INTERIOR",IF(S27=1,IF(T27=1,"BORDE-CORTO","BORDE-LARGO"),IF(S27=2,IF(T27=1,"ESQUINA",IF(T27=2,"EXTREMO-LARGO","EXTREMO-CORTO")),IF(S27=3,IF(T27=2,"EXTREMO-LARGO","EXTREMO-CORTO"),"AISLADO"))))</f>
        <v>ESQUINA</v>
      </c>
      <c r="W27" s="51" t="inlineStr">
        <is>
          <t>AUTO</t>
        </is>
      </c>
      <c r="X27" s="57" t="str">
        <f>IF(W27="AUTO",V27,W27)</f>
        <v>ESQUINA</v>
      </c>
      <c r="Y27" s="55">
        <f>MATCH(L27,TABLAS!$D$5:$J$5,1)</f>
        <v>2</v>
      </c>
      <c r="Z27" s="41">
        <f>IF(Y27&gt;=7,0,(L27-INDEX(TABLAS!$D$5:$J$5,Y27))/(INDEX(TABLAS!$D$5:$J$5,Y27+1)-INDEX(TABLAS!$D$5:$J$5,Y27)))</f>
        <v>0.470085470085471</v>
      </c>
      <c r="AA27" s="55">
        <f>INDEX(TABLAS!$D$6:$J$47,MATCH(X27&amp;"|NIC",TABLAS!$B$6:$B$47,0),Y27)+Z27*(INDEX(TABLAS!$D$6:$J$47,MATCH(X27&amp;"|NIC",TABLAS!$B$6:$B$47,0),MIN(Y27+1,7))-INDEX(TABLAS!$D$6:$J$47,MATCH(X27&amp;"|NIC",TABLAS!$B$6:$B$47,0),Y27))</f>
        <v>566.034188034188</v>
      </c>
      <c r="AB27" s="55">
        <f>INDEX(TABLAS!$D$6:$J$47,MATCH(X27&amp;"|NIL",TABLAS!$B$6:$B$47,0),Y27)+Z27*(INDEX(TABLAS!$D$6:$J$47,MATCH(X27&amp;"|NIL",TABLAS!$B$6:$B$47,0),MIN(Y27+1,7))-INDEX(TABLAS!$D$6:$J$47,MATCH(X27&amp;"|NIL",TABLAS!$B$6:$B$47,0),Y27))</f>
        <v>465.598290598291</v>
      </c>
      <c r="AC27" s="55">
        <f>INDEX(TABLAS!$D$6:$J$47,MATCH(X27&amp;"|NDC",TABLAS!$B$6:$B$47,0),Y27)+Z27*(INDEX(TABLAS!$D$6:$J$47,MATCH(X27&amp;"|NDC",TABLAS!$B$6:$B$47,0),MIN(Y27+1,7))-INDEX(TABLAS!$D$6:$J$47,MATCH(X27&amp;"|NDC",TABLAS!$B$6:$B$47,0),Y27))</f>
        <v>342.726495726496</v>
      </c>
      <c r="AD27" s="55">
        <f>INDEX(TABLAS!$D$6:$J$47,MATCH(X27&amp;"|NDL",TABLAS!$B$6:$B$47,0),Y27)+Z27*(INDEX(TABLAS!$D$6:$J$47,MATCH(X27&amp;"|NDL",TABLAS!$B$6:$B$47,0),MIN(Y27+1,7))-INDEX(TABLAS!$D$6:$J$47,MATCH(X27&amp;"|NDL",TABLAS!$B$6:$B$47,0),Y27))</f>
        <v>253.299145299145</v>
      </c>
      <c r="AE27" s="55">
        <f>INDEX(TABLAS!$D$6:$J$47,MATCH(X27&amp;"|PC",TABLAS!$B$6:$B$47,0),Y27)+Z27*(INDEX(TABLAS!$D$6:$J$47,MATCH(X27&amp;"|PC",TABLAS!$B$6:$B$47,0),MIN(Y27+1,7))-INDEX(TABLAS!$D$6:$J$47,MATCH(X27&amp;"|PC",TABLAS!$B$6:$B$47,0),Y27))</f>
        <v>333.555555555556</v>
      </c>
      <c r="AF27" s="55">
        <f>INDEX(TABLAS!$D$6:$J$47,MATCH(X27&amp;"|PL",TABLAS!$B$6:$B$47,0),Y27)+Z27*(INDEX(TABLAS!$D$6:$J$47,MATCH(X27&amp;"|PL",TABLAS!$B$6:$B$47,0),MIN(Y27+1,7))-INDEX(TABLAS!$D$6:$J$47,MATCH(X27&amp;"|PL",TABLAS!$B$6:$B$47,0),Y27))</f>
        <v>149.179487179487</v>
      </c>
      <c r="AG27" s="58" t="n">
        <v>0</v>
      </c>
      <c r="AH27" s="34">
        <f>IF(D27="PERIMETRAL",AE27*R27*J27^2*1E-4*DATOS!$C$16/100/1000,0)</f>
        <v>0.0542307202031746</v>
      </c>
      <c r="AI27" s="34">
        <f>IF(D27="PERIMETRAL",MAX(AA27,AC27)*R27*J27^2*1E-4*DATOS!$C$16/100/1000,IF(D27="VOLADO",(R27*J27^2/2+DATOS!$C$43*AG27*J27)*DATOS!$C$16/100/1000,0))</f>
        <v>0.0920279730481075</v>
      </c>
      <c r="AJ27" s="34">
        <f>IF(D27="PERIMETRAL",AF27*R27*J27^2*1E-4*DATOS!$C$16/100/1000,0)</f>
        <v>0.0242541636454213</v>
      </c>
      <c r="AK27" s="34">
        <f>IF(D27="PERIMETRAL",MAX(AB27,AD27)*R27*J27^2*1E-4*DATOS!$C$16/100/1000,0)</f>
        <v>0.0756987260561661</v>
      </c>
      <c r="AL27" s="41">
        <f>IF(D27="HUECO",0,IF(AH27&lt;=0,DATOS!$C$71*DATOS!$C$13*DATOS!$C$66,IF((1-2*AH27*1E5/(DATOS!$C$45*DATOS!$C$16*DATOS!$C$66^2*DATOS!$C$38))&lt;0,-1,MAX(DATOS!$C$71*DATOS!$C$13*DATOS!$C$66,(1-SQRT((1-2*AH27*1E5/(DATOS!$C$45*DATOS!$C$16*DATOS!$C$66^2*DATOS!$C$38))))*DATOS!$C$38*DATOS!$C$16*DATOS!$C$66/DATOS!$C$32))))</f>
        <v>0.576720388273208</v>
      </c>
      <c r="AM27" s="39">
        <f>IF(AND(AL27&gt;=0,CEILING(AL27/INDEX(TABLAS!$D$52:$D$58,MIN(MATCH(DATOS!$C$20,TABLAS!$B$52:$B$58,0)+0,7)),1)&lt;=MIN(DATOS!$C$22,INT((DATOS!$C$25+DATOS!$C$24)/(INDEX(TABLAS!$C$52:$C$58,MIN(MATCH(DATOS!$C$20,TABLAS!$B$52:$B$58,0)+0,7))+DATOS!$C$24)))),INDEX(TABLAS!$B$52:$B$58,MIN(MATCH(DATOS!$C$20,TABLAS!$B$52:$B$58,0)+0,7)),IF(AND(AL27&gt;=0,CEILING(AL27/INDEX(TABLAS!$D$52:$D$58,MIN(MATCH(DATOS!$C$20,TABLAS!$B$52:$B$58,0)+1,7)),1)&lt;=MIN(DATOS!$C$22,INT((DATOS!$C$25+DATOS!$C$24)/(INDEX(TABLAS!$C$52:$C$58,MIN(MATCH(DATOS!$C$20,TABLAS!$B$52:$B$58,0)+1,7))+DATOS!$C$24)))),INDEX(TABLAS!$B$52:$B$58,MIN(MATCH(DATOS!$C$20,TABLAS!$B$52:$B$58,0)+1,7)),IF(AND(AL27&gt;=0,CEILING(AL27/INDEX(TABLAS!$D$52:$D$58,MIN(MATCH(DATOS!$C$20,TABLAS!$B$52:$B$58,0)+2,7)),1)&lt;=MIN(DATOS!$C$22,INT((DATOS!$C$25+DATOS!$C$24)/(INDEX(TABLAS!$C$52:$C$58,MIN(MATCH(DATOS!$C$20,TABLAS!$B$52:$B$58,0)+2,7))+DATOS!$C$24)))),INDEX(TABLAS!$B$52:$B$58,MIN(MATCH(DATOS!$C$20,TABLAS!$B$52:$B$58,0)+2,7)),IF(AND(AL27&gt;=0,CEILING(AL27/INDEX(TABLAS!$D$52:$D$58,MIN(MATCH(DATOS!$C$20,TABLAS!$B$52:$B$58,0)+3,7)),1)&lt;=MIN(DATOS!$C$22,INT((DATOS!$C$25+DATOS!$C$24)/(INDEX(TABLAS!$C$52:$C$58,MIN(MATCH(DATOS!$C$20,TABLAS!$B$52:$B$58,0)+3,7))+DATOS!$C$24)))),INDEX(TABLAS!$B$52:$B$58,MIN(MATCH(DATOS!$C$20,TABLAS!$B$52:$B$58,0)+3,7)),IF(AND(AL27&gt;=0,CEILING(AL27/INDEX(TABLAS!$D$52:$D$58,MIN(MATCH(DATOS!$C$20,TABLAS!$B$52:$B$58,0)+4,7)),1)&lt;=MIN(DATOS!$C$22,INT((DATOS!$C$25+DATOS!$C$24)/(INDEX(TABLAS!$C$52:$C$58,MIN(MATCH(DATOS!$C$20,TABLAS!$B$52:$B$58,0)+4,7))+DATOS!$C$24)))),INDEX(TABLAS!$B$52:$B$58,MIN(MATCH(DATOS!$C$20,TABLAS!$B$52:$B$58,0)+4,7)),INDEX(TABLAS!$B$52:$B$58,7))))))</f>
        <v>3</v>
      </c>
      <c r="AN27" s="55">
        <f>IF(D27="HUECO",0,IF(AL27&lt;0,0,MAX(DATOS!$C$23,CEILING(AL27/INDEX(TABLAS!$D$52:$D$58,MATCH(AM27,TABLAS!$B$52:$B$58,0)),1))))</f>
        <v>1</v>
      </c>
      <c r="AO27" s="34">
        <f>IF(AN27=0,0,DATOS!$C$45*AN27*INDEX(TABLAS!$D$52:$D$58,MATCH(AM27,TABLAS!$B$52:$B$58,0))*DATOS!$C$32*((DATOS!$C$15-DATOS!$C$18-INDEX(TABLAS!$C$52:$C$58,MATCH(DATOS!$C$19,TABLAS!$B$52:$B$58,0))-INDEX(TABLAS!$C$52:$C$58,MATCH(AM27,TABLAS!$B$52:$B$58,0))/2)-AN27*INDEX(TABLAS!$D$52:$D$58,MATCH(AM27,TABLAS!$B$52:$B$58,0))*DATOS!$C$32/(DATOS!$C$38*DATOS!$C$16)/2)/1E5)</f>
        <v>0.584659515176471</v>
      </c>
      <c r="AP27" s="59">
        <f>IF(AL27&lt;0,9.99,IF(AO27&gt;0,AH27/AO27,0))</f>
        <v>0.0927560722017941</v>
      </c>
      <c r="AQ27" s="41">
        <f>IF(D27="HUECO",0,IF(AI27&lt;=0,DATOS!$C$71*DATOS!$C$13*DATOS!$C$67,IF((1-2*AI27*1E5/(DATOS!$C$45*DATOS!$C$13*DATOS!$C$67^2*DATOS!$C$38))&lt;0,-1,IF((1-SQRT((1-2*AI27*1E5/(DATOS!$C$45*DATOS!$C$13*DATOS!$C$67^2*DATOS!$C$38))))*DATOS!$C$38*DATOS!$C$13*DATOS!$C$67/DATOS!$C$32&gt;DATOS!$C$70*DATOS!$C$13*DATOS!$C$67,-1,MAX(DATOS!$C$71*DATOS!$C$13*DATOS!$C$67,(1-SQRT((1-2*AI27*1E5/(DATOS!$C$45*DATOS!$C$13*DATOS!$C$67^2*DATOS!$C$38))))*DATOS!$C$38*DATOS!$C$13*DATOS!$C$67/DATOS!$C$32)))))</f>
        <v>0.576720388273208</v>
      </c>
      <c r="AR27" s="39">
        <f>IF(AND(AQ27&gt;=0,CEILING(AQ27/INDEX(TABLAS!$D$52:$D$58,MIN(MATCH(DATOS!$C$21,TABLAS!$B$52:$B$58,0)+0,7)),1)&lt;=MIN(DATOS!$C$22,INT((DATOS!$C$25+DATOS!$C$24)/(INDEX(TABLAS!$C$52:$C$58,MIN(MATCH(DATOS!$C$21,TABLAS!$B$52:$B$58,0)+0,7))+DATOS!$C$24)))),INDEX(TABLAS!$B$52:$B$58,MIN(MATCH(DATOS!$C$21,TABLAS!$B$52:$B$58,0)+0,7)),IF(AND(AQ27&gt;=0,CEILING(AQ27/INDEX(TABLAS!$D$52:$D$58,MIN(MATCH(DATOS!$C$21,TABLAS!$B$52:$B$58,0)+1,7)),1)&lt;=MIN(DATOS!$C$22,INT((DATOS!$C$25+DATOS!$C$24)/(INDEX(TABLAS!$C$52:$C$58,MIN(MATCH(DATOS!$C$21,TABLAS!$B$52:$B$58,0)+1,7))+DATOS!$C$24)))),INDEX(TABLAS!$B$52:$B$58,MIN(MATCH(DATOS!$C$21,TABLAS!$B$52:$B$58,0)+1,7)),IF(AND(AQ27&gt;=0,CEILING(AQ27/INDEX(TABLAS!$D$52:$D$58,MIN(MATCH(DATOS!$C$21,TABLAS!$B$52:$B$58,0)+2,7)),1)&lt;=MIN(DATOS!$C$22,INT((DATOS!$C$25+DATOS!$C$24)/(INDEX(TABLAS!$C$52:$C$58,MIN(MATCH(DATOS!$C$21,TABLAS!$B$52:$B$58,0)+2,7))+DATOS!$C$24)))),INDEX(TABLAS!$B$52:$B$58,MIN(MATCH(DATOS!$C$21,TABLAS!$B$52:$B$58,0)+2,7)),IF(AND(AQ27&gt;=0,CEILING(AQ27/INDEX(TABLAS!$D$52:$D$58,MIN(MATCH(DATOS!$C$21,TABLAS!$B$52:$B$58,0)+3,7)),1)&lt;=MIN(DATOS!$C$22,INT((DATOS!$C$25+DATOS!$C$24)/(INDEX(TABLAS!$C$52:$C$58,MIN(MATCH(DATOS!$C$21,TABLAS!$B$52:$B$58,0)+3,7))+DATOS!$C$24)))),INDEX(TABLAS!$B$52:$B$58,MIN(MATCH(DATOS!$C$21,TABLAS!$B$52:$B$58,0)+3,7)),IF(AND(AQ27&gt;=0,CEILING(AQ27/INDEX(TABLAS!$D$52:$D$58,MIN(MATCH(DATOS!$C$21,TABLAS!$B$52:$B$58,0)+4,7)),1)&lt;=MIN(DATOS!$C$22,INT((DATOS!$C$25+DATOS!$C$24)/(INDEX(TABLAS!$C$52:$C$58,MIN(MATCH(DATOS!$C$21,TABLAS!$B$52:$B$58,0)+4,7))+DATOS!$C$24)))),INDEX(TABLAS!$B$52:$B$58,MIN(MATCH(DATOS!$C$21,TABLAS!$B$52:$B$58,0)+4,7)),INDEX(TABLAS!$B$52:$B$58,7))))))</f>
        <v>3</v>
      </c>
      <c r="AS27" s="55">
        <f>IF(D27="HUECO",0,IF(AQ27&lt;0,0,MAX(1,CEILING(AQ27/INDEX(TABLAS!$D$52:$D$58,MATCH(AR27,TABLAS!$B$52:$B$58,0)),1))))</f>
        <v>1</v>
      </c>
      <c r="AT27" s="34">
        <f>IF(AS27=0,0,DATOS!$C$45*AS27*INDEX(TABLAS!$D$52:$D$58,MATCH(AR27,TABLAS!$B$52:$B$58,0))*DATOS!$C$32*((DATOS!$C$15-DATOS!$C$18-INDEX(TABLAS!$C$52:$C$58,MATCH(DATOS!$C$19,TABLAS!$B$52:$B$58,0))-INDEX(TABLAS!$C$52:$C$58,MATCH(AR27,TABLAS!$B$52:$B$58,0))/2)-AS27*INDEX(TABLAS!$D$52:$D$58,MATCH(AR27,TABLAS!$B$52:$B$58,0))*DATOS!$C$32/(DATOS!$C$38*DATOS!$C$13)/2)/1E5)</f>
        <v>0.568518826235294</v>
      </c>
      <c r="AU27" s="59">
        <f>IF(AQ27&lt;0,9.99,IF(AT27&gt;0,AI27/AT27,0))</f>
        <v>0.161873220025997</v>
      </c>
      <c r="AV27" s="41">
        <f>IF(D27="HUECO",0,IF(AJ27&lt;=0,DATOS!$C$71*DATOS!$C$13*DATOS!$C$66,IF((1-2*AJ27*1E5/(DATOS!$C$45*DATOS!$C$16*DATOS!$C$66^2*DATOS!$C$38))&lt;0,-1,MAX(DATOS!$C$71*DATOS!$C$13*DATOS!$C$66,(1-SQRT((1-2*AJ27*1E5/(DATOS!$C$45*DATOS!$C$16*DATOS!$C$66^2*DATOS!$C$38))))*DATOS!$C$38*DATOS!$C$16*DATOS!$C$66/DATOS!$C$32))))</f>
        <v>0.576720388273208</v>
      </c>
      <c r="AW27" s="39">
        <f>IF(AND(AV27&gt;=0,CEILING(AV27/INDEX(TABLAS!$D$52:$D$58,MIN(MATCH(DATOS!$C$20,TABLAS!$B$52:$B$58,0)+0,7)),1)&lt;=MIN(DATOS!$C$22,INT((DATOS!$C$25+DATOS!$C$24)/(INDEX(TABLAS!$C$52:$C$58,MIN(MATCH(DATOS!$C$20,TABLAS!$B$52:$B$58,0)+0,7))+DATOS!$C$24)))),INDEX(TABLAS!$B$52:$B$58,MIN(MATCH(DATOS!$C$20,TABLAS!$B$52:$B$58,0)+0,7)),IF(AND(AV27&gt;=0,CEILING(AV27/INDEX(TABLAS!$D$52:$D$58,MIN(MATCH(DATOS!$C$20,TABLAS!$B$52:$B$58,0)+1,7)),1)&lt;=MIN(DATOS!$C$22,INT((DATOS!$C$25+DATOS!$C$24)/(INDEX(TABLAS!$C$52:$C$58,MIN(MATCH(DATOS!$C$20,TABLAS!$B$52:$B$58,0)+1,7))+DATOS!$C$24)))),INDEX(TABLAS!$B$52:$B$58,MIN(MATCH(DATOS!$C$20,TABLAS!$B$52:$B$58,0)+1,7)),IF(AND(AV27&gt;=0,CEILING(AV27/INDEX(TABLAS!$D$52:$D$58,MIN(MATCH(DATOS!$C$20,TABLAS!$B$52:$B$58,0)+2,7)),1)&lt;=MIN(DATOS!$C$22,INT((DATOS!$C$25+DATOS!$C$24)/(INDEX(TABLAS!$C$52:$C$58,MIN(MATCH(DATOS!$C$20,TABLAS!$B$52:$B$58,0)+2,7))+DATOS!$C$24)))),INDEX(TABLAS!$B$52:$B$58,MIN(MATCH(DATOS!$C$20,TABLAS!$B$52:$B$58,0)+2,7)),IF(AND(AV27&gt;=0,CEILING(AV27/INDEX(TABLAS!$D$52:$D$58,MIN(MATCH(DATOS!$C$20,TABLAS!$B$52:$B$58,0)+3,7)),1)&lt;=MIN(DATOS!$C$22,INT((DATOS!$C$25+DATOS!$C$24)/(INDEX(TABLAS!$C$52:$C$58,MIN(MATCH(DATOS!$C$20,TABLAS!$B$52:$B$58,0)+3,7))+DATOS!$C$24)))),INDEX(TABLAS!$B$52:$B$58,MIN(MATCH(DATOS!$C$20,TABLAS!$B$52:$B$58,0)+3,7)),IF(AND(AV27&gt;=0,CEILING(AV27/INDEX(TABLAS!$D$52:$D$58,MIN(MATCH(DATOS!$C$20,TABLAS!$B$52:$B$58,0)+4,7)),1)&lt;=MIN(DATOS!$C$22,INT((DATOS!$C$25+DATOS!$C$24)/(INDEX(TABLAS!$C$52:$C$58,MIN(MATCH(DATOS!$C$20,TABLAS!$B$52:$B$58,0)+4,7))+DATOS!$C$24)))),INDEX(TABLAS!$B$52:$B$58,MIN(MATCH(DATOS!$C$20,TABLAS!$B$52:$B$58,0)+4,7)),INDEX(TABLAS!$B$52:$B$58,7))))))</f>
        <v>3</v>
      </c>
      <c r="AX27" s="55">
        <f>IF(D27="HUECO",0,IF(AV27&lt;0,0,MAX(DATOS!$C$23,CEILING(AV27/INDEX(TABLAS!$D$52:$D$58,MATCH(AW27,TABLAS!$B$52:$B$58,0)),1))))</f>
        <v>1</v>
      </c>
      <c r="AY27" s="34">
        <f>IF(AX27=0,0,DATOS!$C$45*AX27*INDEX(TABLAS!$D$52:$D$58,MATCH(AW27,TABLAS!$B$52:$B$58,0))*DATOS!$C$32*((DATOS!$C$15-DATOS!$C$18-INDEX(TABLAS!$C$52:$C$58,MATCH(DATOS!$C$19,TABLAS!$B$52:$B$58,0))-INDEX(TABLAS!$C$52:$C$58,MATCH(AW27,TABLAS!$B$52:$B$58,0))/2)-AX27*INDEX(TABLAS!$D$52:$D$58,MATCH(AW27,TABLAS!$B$52:$B$58,0))*DATOS!$C$32/(DATOS!$C$38*DATOS!$C$16)/2)/1E5)</f>
        <v>0.584659515176471</v>
      </c>
      <c r="AZ27" s="59">
        <f>IF(AV27&lt;0,9.99,IF(AY27&gt;0,AJ27/AY27,0))</f>
        <v>0.0414842536824198</v>
      </c>
      <c r="BA27" s="41">
        <f>IF(D27="HUECO",0,IF(AK27&lt;=0,DATOS!$C$71*DATOS!$C$13*DATOS!$C$67,IF((1-2*AK27*1E5/(DATOS!$C$45*DATOS!$C$13*DATOS!$C$67^2*DATOS!$C$38))&lt;0,-1,IF((1-SQRT((1-2*AK27*1E5/(DATOS!$C$45*DATOS!$C$13*DATOS!$C$67^2*DATOS!$C$38))))*DATOS!$C$38*DATOS!$C$13*DATOS!$C$67/DATOS!$C$32&gt;DATOS!$C$70*DATOS!$C$13*DATOS!$C$67,-1,MAX(DATOS!$C$71*DATOS!$C$13*DATOS!$C$67,(1-SQRT((1-2*AK27*1E5/(DATOS!$C$45*DATOS!$C$13*DATOS!$C$67^2*DATOS!$C$38))))*DATOS!$C$38*DATOS!$C$13*DATOS!$C$67/DATOS!$C$32)))))</f>
        <v>0.576720388273208</v>
      </c>
      <c r="BB27" s="39">
        <f>IF(AND(BA27&gt;=0,CEILING(BA27/INDEX(TABLAS!$D$52:$D$58,MIN(MATCH(DATOS!$C$21,TABLAS!$B$52:$B$58,0)+0,7)),1)&lt;=MIN(DATOS!$C$22,INT((DATOS!$C$25+DATOS!$C$24)/(INDEX(TABLAS!$C$52:$C$58,MIN(MATCH(DATOS!$C$21,TABLAS!$B$52:$B$58,0)+0,7))+DATOS!$C$24)))),INDEX(TABLAS!$B$52:$B$58,MIN(MATCH(DATOS!$C$21,TABLAS!$B$52:$B$58,0)+0,7)),IF(AND(BA27&gt;=0,CEILING(BA27/INDEX(TABLAS!$D$52:$D$58,MIN(MATCH(DATOS!$C$21,TABLAS!$B$52:$B$58,0)+1,7)),1)&lt;=MIN(DATOS!$C$22,INT((DATOS!$C$25+DATOS!$C$24)/(INDEX(TABLAS!$C$52:$C$58,MIN(MATCH(DATOS!$C$21,TABLAS!$B$52:$B$58,0)+1,7))+DATOS!$C$24)))),INDEX(TABLAS!$B$52:$B$58,MIN(MATCH(DATOS!$C$21,TABLAS!$B$52:$B$58,0)+1,7)),IF(AND(BA27&gt;=0,CEILING(BA27/INDEX(TABLAS!$D$52:$D$58,MIN(MATCH(DATOS!$C$21,TABLAS!$B$52:$B$58,0)+2,7)),1)&lt;=MIN(DATOS!$C$22,INT((DATOS!$C$25+DATOS!$C$24)/(INDEX(TABLAS!$C$52:$C$58,MIN(MATCH(DATOS!$C$21,TABLAS!$B$52:$B$58,0)+2,7))+DATOS!$C$24)))),INDEX(TABLAS!$B$52:$B$58,MIN(MATCH(DATOS!$C$21,TABLAS!$B$52:$B$58,0)+2,7)),IF(AND(BA27&gt;=0,CEILING(BA27/INDEX(TABLAS!$D$52:$D$58,MIN(MATCH(DATOS!$C$21,TABLAS!$B$52:$B$58,0)+3,7)),1)&lt;=MIN(DATOS!$C$22,INT((DATOS!$C$25+DATOS!$C$24)/(INDEX(TABLAS!$C$52:$C$58,MIN(MATCH(DATOS!$C$21,TABLAS!$B$52:$B$58,0)+3,7))+DATOS!$C$24)))),INDEX(TABLAS!$B$52:$B$58,MIN(MATCH(DATOS!$C$21,TABLAS!$B$52:$B$58,0)+3,7)),IF(AND(BA27&gt;=0,CEILING(BA27/INDEX(TABLAS!$D$52:$D$58,MIN(MATCH(DATOS!$C$21,TABLAS!$B$52:$B$58,0)+4,7)),1)&lt;=MIN(DATOS!$C$22,INT((DATOS!$C$25+DATOS!$C$24)/(INDEX(TABLAS!$C$52:$C$58,MIN(MATCH(DATOS!$C$21,TABLAS!$B$52:$B$58,0)+4,7))+DATOS!$C$24)))),INDEX(TABLAS!$B$52:$B$58,MIN(MATCH(DATOS!$C$21,TABLAS!$B$52:$B$58,0)+4,7)),INDEX(TABLAS!$B$52:$B$58,7))))))</f>
        <v>3</v>
      </c>
      <c r="BC27" s="55">
        <f>IF(D27="HUECO",0,IF(BA27&lt;0,0,MAX(1,CEILING(BA27/INDEX(TABLAS!$D$52:$D$58,MATCH(BB27,TABLAS!$B$52:$B$58,0)),1))))</f>
        <v>1</v>
      </c>
      <c r="BD27" s="34">
        <f>IF(BC27=0,0,DATOS!$C$45*BC27*INDEX(TABLAS!$D$52:$D$58,MATCH(BB27,TABLAS!$B$52:$B$58,0))*DATOS!$C$32*((DATOS!$C$15-DATOS!$C$18-INDEX(TABLAS!$C$52:$C$58,MATCH(DATOS!$C$19,TABLAS!$B$52:$B$58,0))-INDEX(TABLAS!$C$52:$C$58,MATCH(BB27,TABLAS!$B$52:$B$58,0))/2)-BC27*INDEX(TABLAS!$D$52:$D$58,MATCH(BB27,TABLAS!$B$52:$B$58,0))*DATOS!$C$32/(DATOS!$C$38*DATOS!$C$13)/2)/1E5)</f>
        <v>0.568518826235294</v>
      </c>
      <c r="BE27" s="59">
        <f>IF(BA27&lt;0,9.99,IF(BD27&gt;0,AK27/BD27,0))</f>
        <v>0.133150781579987</v>
      </c>
      <c r="BF27" s="34">
        <f>IF(D27="PERIMETRAL",MAX(0,(J27/2-DATOS!$C$66/100))*(0.95-0.5*L27)*R27*IF(AND(S27&gt;0,S27&lt;4),DATOS!$C$50,1)*DATOS!$C$16/100/1000,IF(D27="VOLADO",(R27*J27+DATOS!$C$43*AG27)*DATOS!$C$16/100/1000,0))</f>
        <v>0.28713647745567</v>
      </c>
      <c r="BG27" s="34">
        <f>IF(D27="HUECO",0,DATOS!$C$46*IF((AS27*INDEX(TABLAS!$D$52:$D$58,MATCH(AR27,TABLAS!$B$52:$B$58,0))/(DATOS!$C$13*DATOS!$C$67))&lt;0.015,0.2+20*(AS27*INDEX(TABLAS!$D$52:$D$58,MATCH(AR27,TABLAS!$B$52:$B$58,0))/(DATOS!$C$13*DATOS!$C$67)),0.5)*SQRT(DATOS!$C$31)*DATOS!$C$13*DATOS!$C$67*DATOS!$C$49/1000)</f>
        <v>0.687439634849853</v>
      </c>
      <c r="BH27" s="49" t="str">
        <f>IF(D27="HUECO","—",IF(BF27&lt;=BG27,"CUMPLE","MACIZAR "&amp;MAX(1,CEILING(IF(D27="VOLADO",J27,J27/2)*(1-BG27/BF27)*100/DATOS!$C$16,1))&amp;" hilera(s)"))</f>
        <v>CUMPLE</v>
      </c>
      <c r="BI27" s="41">
        <f>IF(D27="PERIMETRAL",(2*(H27+I27)+0.25*(H27*((APOYOS!$G$101="DISCONTINUO")+(APOYOS!$G$102="DISCONTINUO"))+I27*((APOYOS!$G$103="DISCONTINUO")+(APOYOS!$G$104="DISCONTINUO"))))*(J27+MIN(K27,2*J27))/(J27+K27)*100/250*IF(OR(DATOS!$C$47&gt;2520,Q27&gt;380),0.032*(DATOS!$C$47*Q27)^0.25,1),IF(D27="VOLADO",J27*100/8,0))</f>
        <v>4.69531495641522</v>
      </c>
      <c r="BJ27" s="41">
        <f>IF(D27="VOLADO",DATOS!$C$15,DATOS!$C$68)</f>
        <v>13.6082564120244</v>
      </c>
      <c r="BK27" s="50" t="str">
        <f>IF(D27="HUECO","—",IF(BJ27&gt;=BI27,"CUMPLE","NO CUMPLE"))</f>
        <v>CUMPLE</v>
      </c>
      <c r="BL27" s="50" t="str">
        <f>IF(D27="PERIMETRAL",IF(DATOS!$C$16/100&lt;=J27/6,"SÍ","NO: a1 &lt; 6·s"),"—")</f>
        <v>NO: a1 &lt; 6·s</v>
      </c>
      <c r="BM27" s="55">
        <f>MAX(0,INT((F27*100-DATOS!$C$17+DATOS!$C$13)/DATOS!$C$16))</f>
        <v>2</v>
      </c>
      <c r="BN27" s="55">
        <f>MAX(0,INT((G27*100-DATOS!$C$17+DATOS!$C$13)/DATOS!$C$16))</f>
        <v>4</v>
      </c>
      <c r="BO27" s="49" t="str">
        <f>IF(COUNTIFS(TRIB!$C$6:$C$255,B27,TRIB!$K$6:$K$255,"NO CUMPLE*")+COUNTIFS(TRIB!$C$6:$C$255,B27,TRIB!$K$6:$K$255,"SIN APOYO*")&gt;0,"VER PRINCIPALES",IF((APOYOS!$F$101="LIBRE")+(APOYOS!$F$102="LIBRE")+(APOYOS!$F$103="LIBRE")+(APOYOS!$F$104="LIBRE")&gt;0,"REVISAR: borde libre","OK"))</f>
        <v>OK</v>
      </c>
      <c r="BP27" s="60" t="str">
        <f>IF(D27="HUECO","HUECO — marco de nervaduras principales",IF(AND(MAX(AP27,AU27,AZ27,BE27)&lt;=1,NOT(OR(AN27&gt;MIN(DATOS!$C$22,INT((DATOS!$C$25+DATOS!$C$24)/(INDEX(TABLAS!$C$52:$C$58,MATCH(AM27,TABLAS!$B$52:$B$58,0))+DATOS!$C$24))),AS27&gt;MIN(DATOS!$C$22,INT((DATOS!$C$25+DATOS!$C$24)/(INDEX(TABLAS!$C$52:$C$58,MATCH(AR27,TABLAS!$B$52:$B$58,0))+DATOS!$C$24))),AX27&gt;MIN(DATOS!$C$22,INT((DATOS!$C$25+DATOS!$C$24)/(INDEX(TABLAS!$C$52:$C$58,MATCH(AW27,TABLAS!$B$52:$B$58,0))+DATOS!$C$24))),BC27&gt;MIN(DATOS!$C$22,INT((DATOS!$C$25+DATOS!$C$24)/(INDEX(TABLAS!$C$52:$C$58,MATCH(BB27,TABLAS!$B$52:$B$58,0))+DATOS!$C$24))))),BK27="CUMPLE"),IF(BO27="OK",IF(BH27="CUMPLE","CUMPLE","CUMPLE — "&amp;BH27),IF(BO27="VER PRINCIPALES","VER PRINCIPALES","REVISAR APOYOS")),"NO CUMPLE: "&amp;IF(MAX(AP27,AU27,AZ27,BE27)&gt;1,"flexión ","")&amp;IF(OR(AN27&gt;MIN(DATOS!$C$22,INT((DATOS!$C$25+DATOS!$C$24)/(INDEX(TABLAS!$C$52:$C$58,MATCH(AM27,TABLAS!$B$52:$B$58,0))+DATOS!$C$24))),AS27&gt;MIN(DATOS!$C$22,INT((DATOS!$C$25+DATOS!$C$24)/(INDEX(TABLAS!$C$52:$C$58,MATCH(AR27,TABLAS!$B$52:$B$58,0))+DATOS!$C$24))),AX27&gt;MIN(DATOS!$C$22,INT((DATOS!$C$25+DATOS!$C$24)/(INDEX(TABLAS!$C$52:$C$58,MATCH(AW27,TABLAS!$B$52:$B$58,0))+DATOS!$C$24))),BC27&gt;MIN(DATOS!$C$22,INT((DATOS!$C$25+DATOS!$C$24)/(INDEX(TABLAS!$C$52:$C$58,MATCH(BB27,TABLAS!$B$52:$B$58,0))+DATOS!$C$24)))),"no caben ","")&amp;IF(BK27&lt;&gt;"CUMPLE","peralte","")))</f>
        <v>CUMPLE</v>
      </c>
      <c r="BQ27" s="61" t="inlineStr">
        <is>
          <t>—</t>
        </is>
      </c>
    </row>
    <row r="28" ht="30" customHeight="1">
      <c r="B28" s="49" t="inlineStr">
        <is>
          <t>F80021 N+3.00</t>
        </is>
      </c>
      <c r="C28" s="50" t="inlineStr">
        <is>
          <t>N+3.00</t>
        </is>
      </c>
      <c r="D28" s="51" t="inlineStr">
        <is>
          <t>PERIMETRAL</t>
        </is>
      </c>
      <c r="E28" s="51" t="inlineStr">
        <is>
          <t>AZOTEA</t>
        </is>
      </c>
      <c r="F28" s="52" t="n">
        <v>1.6</v>
      </c>
      <c r="G28" s="52" t="n">
        <v>2.925</v>
      </c>
      <c r="H28" s="53" t="n">
        <v>1.6</v>
      </c>
      <c r="I28" s="53" t="n">
        <v>2.925</v>
      </c>
      <c r="J28" s="34">
        <f>MIN(H28,I28)</f>
        <v>1.6</v>
      </c>
      <c r="K28" s="34">
        <f>MAX(H28,I28)</f>
        <v>2.925</v>
      </c>
      <c r="L28" s="34">
        <f>IF(K28&gt;0,J28/K28,0)</f>
        <v>0.547008547008547</v>
      </c>
      <c r="M28" s="50" t="str">
        <f>IF(H28&lt;=I28,"X","Y")</f>
        <v>X</v>
      </c>
      <c r="N28" s="54" t="n">
        <v>270</v>
      </c>
      <c r="O28" s="55">
        <f>IF(E28="HABITACIÓN",DATOS!$C$76,DATOS!$C$78)</f>
        <v>100</v>
      </c>
      <c r="P28" s="55">
        <f>DATOS!$C$58</f>
        <v>253.673469387755</v>
      </c>
      <c r="Q28" s="55">
        <f>P28+N28+O28</f>
        <v>623.673469387755</v>
      </c>
      <c r="R28" s="56">
        <f>DATOS!$C$43*(P28+N28)+DATOS!$C$44*O28</f>
        <v>830.775510204082</v>
      </c>
      <c r="S28" s="55">
        <f>(APOYOS!$G$105="DISCONTINUO")+(APOYOS!$G$106="DISCONTINUO")+(APOYOS!$G$107="DISCONTINUO")+(APOYOS!$G$108="DISCONTINUO")</f>
        <v>3</v>
      </c>
      <c r="T28" s="55">
        <f>IF(M28="X",(APOYOS!$G$105="DISCONTINUO")+(APOYOS!$G$106="DISCONTINUO"),(APOYOS!$G$107="DISCONTINUO")+(APOYOS!$G$108="DISCONTINUO"))</f>
        <v>2</v>
      </c>
      <c r="U28" s="55">
        <f>S28-T28</f>
        <v>1</v>
      </c>
      <c r="V28" s="50" t="str">
        <f>IF(S28=0,"INTERIOR",IF(S28=1,IF(T28=1,"BORDE-CORTO","BORDE-LARGO"),IF(S28=2,IF(T28=1,"ESQUINA",IF(T28=2,"EXTREMO-LARGO","EXTREMO-CORTO")),IF(S28=3,IF(T28=2,"EXTREMO-LARGO","EXTREMO-CORTO"),"AISLADO"))))</f>
        <v>EXTREMO-LARGO</v>
      </c>
      <c r="W28" s="51" t="inlineStr">
        <is>
          <t>AUTO</t>
        </is>
      </c>
      <c r="X28" s="57" t="str">
        <f>IF(W28="AUTO",V28,W28)</f>
        <v>EXTREMO-LARGO</v>
      </c>
      <c r="Y28" s="55">
        <f>MATCH(L28,TABLAS!$D$5:$J$5,1)</f>
        <v>2</v>
      </c>
      <c r="Z28" s="41">
        <f>IF(Y28&gt;=7,0,(L28-INDEX(TABLAS!$D$5:$J$5,Y28))/(INDEX(TABLAS!$D$5:$J$5,Y28+1)-INDEX(TABLAS!$D$5:$J$5,Y28)))</f>
        <v>0.470085470085471</v>
      </c>
      <c r="AA28" s="55">
        <f>INDEX(TABLAS!$D$6:$J$47,MATCH(X28&amp;"|NIC",TABLAS!$B$6:$B$47,0),Y28)+Z28*(INDEX(TABLAS!$D$6:$J$47,MATCH(X28&amp;"|NIC",TABLAS!$B$6:$B$47,0),MIN(Y28+1,7))-INDEX(TABLAS!$D$6:$J$47,MATCH(X28&amp;"|NIC",TABLAS!$B$6:$B$47,0),Y28))</f>
        <v>932.393162393162</v>
      </c>
      <c r="AB28" s="55">
        <f>INDEX(TABLAS!$D$6:$J$47,MATCH(X28&amp;"|NIL",TABLAS!$B$6:$B$47,0),Y28)+Z28*(INDEX(TABLAS!$D$6:$J$47,MATCH(X28&amp;"|NIL",TABLAS!$B$6:$B$47,0),MIN(Y28+1,7))-INDEX(TABLAS!$D$6:$J$47,MATCH(X28&amp;"|NIL",TABLAS!$B$6:$B$47,0),Y28))</f>
        <v>0</v>
      </c>
      <c r="AC28" s="55">
        <f>INDEX(TABLAS!$D$6:$J$47,MATCH(X28&amp;"|NDC",TABLAS!$B$6:$B$47,0),Y28)+Z28*(INDEX(TABLAS!$D$6:$J$47,MATCH(X28&amp;"|NDC",TABLAS!$B$6:$B$47,0),MIN(Y28+1,7))-INDEX(TABLAS!$D$6:$J$47,MATCH(X28&amp;"|NDC",TABLAS!$B$6:$B$47,0),Y28))</f>
        <v>355.897435897436</v>
      </c>
      <c r="AD28" s="55">
        <f>INDEX(TABLAS!$D$6:$J$47,MATCH(X28&amp;"|NDL",TABLAS!$B$6:$B$47,0),Y28)+Z28*(INDEX(TABLAS!$D$6:$J$47,MATCH(X28&amp;"|NDL",TABLAS!$B$6:$B$47,0),MIN(Y28+1,7))-INDEX(TABLAS!$D$6:$J$47,MATCH(X28&amp;"|NDL",TABLAS!$B$6:$B$47,0),Y28))</f>
        <v>220</v>
      </c>
      <c r="AE28" s="55">
        <f>INDEX(TABLAS!$D$6:$J$47,MATCH(X28&amp;"|PC",TABLAS!$B$6:$B$47,0),Y28)+Z28*(INDEX(TABLAS!$D$6:$J$47,MATCH(X28&amp;"|PC",TABLAS!$B$6:$B$47,0),MIN(Y28+1,7))-INDEX(TABLAS!$D$6:$J$47,MATCH(X28&amp;"|PC",TABLAS!$B$6:$B$47,0),Y28))</f>
        <v>701.794871794872</v>
      </c>
      <c r="AF28" s="55">
        <f>INDEX(TABLAS!$D$6:$J$47,MATCH(X28&amp;"|PL",TABLAS!$B$6:$B$47,0),Y28)+Z28*(INDEX(TABLAS!$D$6:$J$47,MATCH(X28&amp;"|PL",TABLAS!$B$6:$B$47,0),MIN(Y28+1,7))-INDEX(TABLAS!$D$6:$J$47,MATCH(X28&amp;"|PL",TABLAS!$B$6:$B$47,0),Y28))</f>
        <v>430</v>
      </c>
      <c r="AG28" s="58" t="n">
        <v>0</v>
      </c>
      <c r="AH28" s="34">
        <f>IF(D28="PERIMETRAL",AE28*R28*J28^2*1E-4*DATOS!$C$16/100/1000,0)</f>
        <v>0.104479691487179</v>
      </c>
      <c r="AI28" s="34">
        <f>IF(D28="PERIMETRAL",MAX(AA28,AC28)*R28*J28^2*1E-4*DATOS!$C$16/100/1000,IF(D28="VOLADO",(R28*J28^2/2+DATOS!$C$43*AG28*J28)*DATOS!$C$16/100/1000,0))</f>
        <v>0.138810005411477</v>
      </c>
      <c r="AJ28" s="34">
        <f>IF(D28="PERIMETRAL",AF28*R28*J28^2*1E-4*DATOS!$C$16/100/1000,0)</f>
        <v>0.0640162377142857</v>
      </c>
      <c r="AK28" s="34">
        <f>IF(D28="PERIMETRAL",MAX(AB28,AD28)*R28*J28^2*1E-4*DATOS!$C$16/100/1000,0)</f>
        <v>0.0327524937142857</v>
      </c>
      <c r="AL28" s="41">
        <f>IF(D28="HUECO",0,IF(AH28&lt;=0,DATOS!$C$71*DATOS!$C$13*DATOS!$C$66,IF((1-2*AH28*1E5/(DATOS!$C$45*DATOS!$C$16*DATOS!$C$66^2*DATOS!$C$38))&lt;0,-1,MAX(DATOS!$C$71*DATOS!$C$13*DATOS!$C$66,(1-SQRT((1-2*AH28*1E5/(DATOS!$C$45*DATOS!$C$16*DATOS!$C$66^2*DATOS!$C$38))))*DATOS!$C$38*DATOS!$C$16*DATOS!$C$66/DATOS!$C$32))))</f>
        <v>0.576720388273208</v>
      </c>
      <c r="AM28" s="39">
        <f>IF(AND(AL28&gt;=0,CEILING(AL28/INDEX(TABLAS!$D$52:$D$58,MIN(MATCH(DATOS!$C$20,TABLAS!$B$52:$B$58,0)+0,7)),1)&lt;=MIN(DATOS!$C$22,INT((DATOS!$C$25+DATOS!$C$24)/(INDEX(TABLAS!$C$52:$C$58,MIN(MATCH(DATOS!$C$20,TABLAS!$B$52:$B$58,0)+0,7))+DATOS!$C$24)))),INDEX(TABLAS!$B$52:$B$58,MIN(MATCH(DATOS!$C$20,TABLAS!$B$52:$B$58,0)+0,7)),IF(AND(AL28&gt;=0,CEILING(AL28/INDEX(TABLAS!$D$52:$D$58,MIN(MATCH(DATOS!$C$20,TABLAS!$B$52:$B$58,0)+1,7)),1)&lt;=MIN(DATOS!$C$22,INT((DATOS!$C$25+DATOS!$C$24)/(INDEX(TABLAS!$C$52:$C$58,MIN(MATCH(DATOS!$C$20,TABLAS!$B$52:$B$58,0)+1,7))+DATOS!$C$24)))),INDEX(TABLAS!$B$52:$B$58,MIN(MATCH(DATOS!$C$20,TABLAS!$B$52:$B$58,0)+1,7)),IF(AND(AL28&gt;=0,CEILING(AL28/INDEX(TABLAS!$D$52:$D$58,MIN(MATCH(DATOS!$C$20,TABLAS!$B$52:$B$58,0)+2,7)),1)&lt;=MIN(DATOS!$C$22,INT((DATOS!$C$25+DATOS!$C$24)/(INDEX(TABLAS!$C$52:$C$58,MIN(MATCH(DATOS!$C$20,TABLAS!$B$52:$B$58,0)+2,7))+DATOS!$C$24)))),INDEX(TABLAS!$B$52:$B$58,MIN(MATCH(DATOS!$C$20,TABLAS!$B$52:$B$58,0)+2,7)),IF(AND(AL28&gt;=0,CEILING(AL28/INDEX(TABLAS!$D$52:$D$58,MIN(MATCH(DATOS!$C$20,TABLAS!$B$52:$B$58,0)+3,7)),1)&lt;=MIN(DATOS!$C$22,INT((DATOS!$C$25+DATOS!$C$24)/(INDEX(TABLAS!$C$52:$C$58,MIN(MATCH(DATOS!$C$20,TABLAS!$B$52:$B$58,0)+3,7))+DATOS!$C$24)))),INDEX(TABLAS!$B$52:$B$58,MIN(MATCH(DATOS!$C$20,TABLAS!$B$52:$B$58,0)+3,7)),IF(AND(AL28&gt;=0,CEILING(AL28/INDEX(TABLAS!$D$52:$D$58,MIN(MATCH(DATOS!$C$20,TABLAS!$B$52:$B$58,0)+4,7)),1)&lt;=MIN(DATOS!$C$22,INT((DATOS!$C$25+DATOS!$C$24)/(INDEX(TABLAS!$C$52:$C$58,MIN(MATCH(DATOS!$C$20,TABLAS!$B$52:$B$58,0)+4,7))+DATOS!$C$24)))),INDEX(TABLAS!$B$52:$B$58,MIN(MATCH(DATOS!$C$20,TABLAS!$B$52:$B$58,0)+4,7)),INDEX(TABLAS!$B$52:$B$58,7))))))</f>
        <v>3</v>
      </c>
      <c r="AN28" s="55">
        <f>IF(D28="HUECO",0,IF(AL28&lt;0,0,MAX(DATOS!$C$23,CEILING(AL28/INDEX(TABLAS!$D$52:$D$58,MATCH(AM28,TABLAS!$B$52:$B$58,0)),1))))</f>
        <v>1</v>
      </c>
      <c r="AO28" s="34">
        <f>IF(AN28=0,0,DATOS!$C$45*AN28*INDEX(TABLAS!$D$52:$D$58,MATCH(AM28,TABLAS!$B$52:$B$58,0))*DATOS!$C$32*((DATOS!$C$15-DATOS!$C$18-INDEX(TABLAS!$C$52:$C$58,MATCH(DATOS!$C$19,TABLAS!$B$52:$B$58,0))-INDEX(TABLAS!$C$52:$C$58,MATCH(AM28,TABLAS!$B$52:$B$58,0))/2)-AN28*INDEX(TABLAS!$D$52:$D$58,MATCH(AM28,TABLAS!$B$52:$B$58,0))*DATOS!$C$32/(DATOS!$C$38*DATOS!$C$16)/2)/1E5)</f>
        <v>0.584659515176471</v>
      </c>
      <c r="AP28" s="59">
        <f>IF(AL28&lt;0,9.99,IF(AO28&gt;0,AH28/AO28,0))</f>
        <v>0.17870177218555</v>
      </c>
      <c r="AQ28" s="41">
        <f>IF(D28="HUECO",0,IF(AI28&lt;=0,DATOS!$C$71*DATOS!$C$13*DATOS!$C$67,IF((1-2*AI28*1E5/(DATOS!$C$45*DATOS!$C$13*DATOS!$C$67^2*DATOS!$C$38))&lt;0,-1,IF((1-SQRT((1-2*AI28*1E5/(DATOS!$C$45*DATOS!$C$13*DATOS!$C$67^2*DATOS!$C$38))))*DATOS!$C$38*DATOS!$C$13*DATOS!$C$67/DATOS!$C$32&gt;DATOS!$C$70*DATOS!$C$13*DATOS!$C$67,-1,MAX(DATOS!$C$71*DATOS!$C$13*DATOS!$C$67,(1-SQRT((1-2*AI28*1E5/(DATOS!$C$45*DATOS!$C$13*DATOS!$C$67^2*DATOS!$C$38))))*DATOS!$C$38*DATOS!$C$13*DATOS!$C$67/DATOS!$C$32)))))</f>
        <v>0.576720388273208</v>
      </c>
      <c r="AR28" s="39">
        <f>IF(AND(AQ28&gt;=0,CEILING(AQ28/INDEX(TABLAS!$D$52:$D$58,MIN(MATCH(DATOS!$C$21,TABLAS!$B$52:$B$58,0)+0,7)),1)&lt;=MIN(DATOS!$C$22,INT((DATOS!$C$25+DATOS!$C$24)/(INDEX(TABLAS!$C$52:$C$58,MIN(MATCH(DATOS!$C$21,TABLAS!$B$52:$B$58,0)+0,7))+DATOS!$C$24)))),INDEX(TABLAS!$B$52:$B$58,MIN(MATCH(DATOS!$C$21,TABLAS!$B$52:$B$58,0)+0,7)),IF(AND(AQ28&gt;=0,CEILING(AQ28/INDEX(TABLAS!$D$52:$D$58,MIN(MATCH(DATOS!$C$21,TABLAS!$B$52:$B$58,0)+1,7)),1)&lt;=MIN(DATOS!$C$22,INT((DATOS!$C$25+DATOS!$C$24)/(INDEX(TABLAS!$C$52:$C$58,MIN(MATCH(DATOS!$C$21,TABLAS!$B$52:$B$58,0)+1,7))+DATOS!$C$24)))),INDEX(TABLAS!$B$52:$B$58,MIN(MATCH(DATOS!$C$21,TABLAS!$B$52:$B$58,0)+1,7)),IF(AND(AQ28&gt;=0,CEILING(AQ28/INDEX(TABLAS!$D$52:$D$58,MIN(MATCH(DATOS!$C$21,TABLAS!$B$52:$B$58,0)+2,7)),1)&lt;=MIN(DATOS!$C$22,INT((DATOS!$C$25+DATOS!$C$24)/(INDEX(TABLAS!$C$52:$C$58,MIN(MATCH(DATOS!$C$21,TABLAS!$B$52:$B$58,0)+2,7))+DATOS!$C$24)))),INDEX(TABLAS!$B$52:$B$58,MIN(MATCH(DATOS!$C$21,TABLAS!$B$52:$B$58,0)+2,7)),IF(AND(AQ28&gt;=0,CEILING(AQ28/INDEX(TABLAS!$D$52:$D$58,MIN(MATCH(DATOS!$C$21,TABLAS!$B$52:$B$58,0)+3,7)),1)&lt;=MIN(DATOS!$C$22,INT((DATOS!$C$25+DATOS!$C$24)/(INDEX(TABLAS!$C$52:$C$58,MIN(MATCH(DATOS!$C$21,TABLAS!$B$52:$B$58,0)+3,7))+DATOS!$C$24)))),INDEX(TABLAS!$B$52:$B$58,MIN(MATCH(DATOS!$C$21,TABLAS!$B$52:$B$58,0)+3,7)),IF(AND(AQ28&gt;=0,CEILING(AQ28/INDEX(TABLAS!$D$52:$D$58,MIN(MATCH(DATOS!$C$21,TABLAS!$B$52:$B$58,0)+4,7)),1)&lt;=MIN(DATOS!$C$22,INT((DATOS!$C$25+DATOS!$C$24)/(INDEX(TABLAS!$C$52:$C$58,MIN(MATCH(DATOS!$C$21,TABLAS!$B$52:$B$58,0)+4,7))+DATOS!$C$24)))),INDEX(TABLAS!$B$52:$B$58,MIN(MATCH(DATOS!$C$21,TABLAS!$B$52:$B$58,0)+4,7)),INDEX(TABLAS!$B$52:$B$58,7))))))</f>
        <v>3</v>
      </c>
      <c r="AS28" s="55">
        <f>IF(D28="HUECO",0,IF(AQ28&lt;0,0,MAX(1,CEILING(AQ28/INDEX(TABLAS!$D$52:$D$58,MATCH(AR28,TABLAS!$B$52:$B$58,0)),1))))</f>
        <v>1</v>
      </c>
      <c r="AT28" s="34">
        <f>IF(AS28=0,0,DATOS!$C$45*AS28*INDEX(TABLAS!$D$52:$D$58,MATCH(AR28,TABLAS!$B$52:$B$58,0))*DATOS!$C$32*((DATOS!$C$15-DATOS!$C$18-INDEX(TABLAS!$C$52:$C$58,MATCH(DATOS!$C$19,TABLAS!$B$52:$B$58,0))-INDEX(TABLAS!$C$52:$C$58,MATCH(AR28,TABLAS!$B$52:$B$58,0))/2)-AS28*INDEX(TABLAS!$D$52:$D$58,MATCH(AR28,TABLAS!$B$52:$B$58,0))*DATOS!$C$32/(DATOS!$C$38*DATOS!$C$13)/2)/1E5)</f>
        <v>0.568518826235294</v>
      </c>
      <c r="AU28" s="59">
        <f>IF(AQ28&lt;0,9.99,IF(AT28&gt;0,AI28/AT28,0))</f>
        <v>0.244160789416018</v>
      </c>
      <c r="AV28" s="41">
        <f>IF(D28="HUECO",0,IF(AJ28&lt;=0,DATOS!$C$71*DATOS!$C$13*DATOS!$C$66,IF((1-2*AJ28*1E5/(DATOS!$C$45*DATOS!$C$16*DATOS!$C$66^2*DATOS!$C$38))&lt;0,-1,MAX(DATOS!$C$71*DATOS!$C$13*DATOS!$C$66,(1-SQRT((1-2*AJ28*1E5/(DATOS!$C$45*DATOS!$C$16*DATOS!$C$66^2*DATOS!$C$38))))*DATOS!$C$38*DATOS!$C$16*DATOS!$C$66/DATOS!$C$32))))</f>
        <v>0.576720388273208</v>
      </c>
      <c r="AW28" s="39">
        <f>IF(AND(AV28&gt;=0,CEILING(AV28/INDEX(TABLAS!$D$52:$D$58,MIN(MATCH(DATOS!$C$20,TABLAS!$B$52:$B$58,0)+0,7)),1)&lt;=MIN(DATOS!$C$22,INT((DATOS!$C$25+DATOS!$C$24)/(INDEX(TABLAS!$C$52:$C$58,MIN(MATCH(DATOS!$C$20,TABLAS!$B$52:$B$58,0)+0,7))+DATOS!$C$24)))),INDEX(TABLAS!$B$52:$B$58,MIN(MATCH(DATOS!$C$20,TABLAS!$B$52:$B$58,0)+0,7)),IF(AND(AV28&gt;=0,CEILING(AV28/INDEX(TABLAS!$D$52:$D$58,MIN(MATCH(DATOS!$C$20,TABLAS!$B$52:$B$58,0)+1,7)),1)&lt;=MIN(DATOS!$C$22,INT((DATOS!$C$25+DATOS!$C$24)/(INDEX(TABLAS!$C$52:$C$58,MIN(MATCH(DATOS!$C$20,TABLAS!$B$52:$B$58,0)+1,7))+DATOS!$C$24)))),INDEX(TABLAS!$B$52:$B$58,MIN(MATCH(DATOS!$C$20,TABLAS!$B$52:$B$58,0)+1,7)),IF(AND(AV28&gt;=0,CEILING(AV28/INDEX(TABLAS!$D$52:$D$58,MIN(MATCH(DATOS!$C$20,TABLAS!$B$52:$B$58,0)+2,7)),1)&lt;=MIN(DATOS!$C$22,INT((DATOS!$C$25+DATOS!$C$24)/(INDEX(TABLAS!$C$52:$C$58,MIN(MATCH(DATOS!$C$20,TABLAS!$B$52:$B$58,0)+2,7))+DATOS!$C$24)))),INDEX(TABLAS!$B$52:$B$58,MIN(MATCH(DATOS!$C$20,TABLAS!$B$52:$B$58,0)+2,7)),IF(AND(AV28&gt;=0,CEILING(AV28/INDEX(TABLAS!$D$52:$D$58,MIN(MATCH(DATOS!$C$20,TABLAS!$B$52:$B$58,0)+3,7)),1)&lt;=MIN(DATOS!$C$22,INT((DATOS!$C$25+DATOS!$C$24)/(INDEX(TABLAS!$C$52:$C$58,MIN(MATCH(DATOS!$C$20,TABLAS!$B$52:$B$58,0)+3,7))+DATOS!$C$24)))),INDEX(TABLAS!$B$52:$B$58,MIN(MATCH(DATOS!$C$20,TABLAS!$B$52:$B$58,0)+3,7)),IF(AND(AV28&gt;=0,CEILING(AV28/INDEX(TABLAS!$D$52:$D$58,MIN(MATCH(DATOS!$C$20,TABLAS!$B$52:$B$58,0)+4,7)),1)&lt;=MIN(DATOS!$C$22,INT((DATOS!$C$25+DATOS!$C$24)/(INDEX(TABLAS!$C$52:$C$58,MIN(MATCH(DATOS!$C$20,TABLAS!$B$52:$B$58,0)+4,7))+DATOS!$C$24)))),INDEX(TABLAS!$B$52:$B$58,MIN(MATCH(DATOS!$C$20,TABLAS!$B$52:$B$58,0)+4,7)),INDEX(TABLAS!$B$52:$B$58,7))))))</f>
        <v>3</v>
      </c>
      <c r="AX28" s="55">
        <f>IF(D28="HUECO",0,IF(AV28&lt;0,0,MAX(DATOS!$C$23,CEILING(AV28/INDEX(TABLAS!$D$52:$D$58,MATCH(AW28,TABLAS!$B$52:$B$58,0)),1))))</f>
        <v>1</v>
      </c>
      <c r="AY28" s="34">
        <f>IF(AX28=0,0,DATOS!$C$45*AX28*INDEX(TABLAS!$D$52:$D$58,MATCH(AW28,TABLAS!$B$52:$B$58,0))*DATOS!$C$32*((DATOS!$C$15-DATOS!$C$18-INDEX(TABLAS!$C$52:$C$58,MATCH(DATOS!$C$19,TABLAS!$B$52:$B$58,0))-INDEX(TABLAS!$C$52:$C$58,MATCH(AW28,TABLAS!$B$52:$B$58,0))/2)-AX28*INDEX(TABLAS!$D$52:$D$58,MATCH(AW28,TABLAS!$B$52:$B$58,0))*DATOS!$C$32/(DATOS!$C$38*DATOS!$C$16)/2)/1E5)</f>
        <v>0.584659515176471</v>
      </c>
      <c r="AZ28" s="59">
        <f>IF(AV28&lt;0,9.99,IF(AY28&gt;0,AJ28/AY28,0))</f>
        <v>0.109493193991658</v>
      </c>
      <c r="BA28" s="41">
        <f>IF(D28="HUECO",0,IF(AK28&lt;=0,DATOS!$C$71*DATOS!$C$13*DATOS!$C$67,IF((1-2*AK28*1E5/(DATOS!$C$45*DATOS!$C$13*DATOS!$C$67^2*DATOS!$C$38))&lt;0,-1,IF((1-SQRT((1-2*AK28*1E5/(DATOS!$C$45*DATOS!$C$13*DATOS!$C$67^2*DATOS!$C$38))))*DATOS!$C$38*DATOS!$C$13*DATOS!$C$67/DATOS!$C$32&gt;DATOS!$C$70*DATOS!$C$13*DATOS!$C$67,-1,MAX(DATOS!$C$71*DATOS!$C$13*DATOS!$C$67,(1-SQRT((1-2*AK28*1E5/(DATOS!$C$45*DATOS!$C$13*DATOS!$C$67^2*DATOS!$C$38))))*DATOS!$C$38*DATOS!$C$13*DATOS!$C$67/DATOS!$C$32)))))</f>
        <v>0.576720388273208</v>
      </c>
      <c r="BB28" s="39">
        <f>IF(AND(BA28&gt;=0,CEILING(BA28/INDEX(TABLAS!$D$52:$D$58,MIN(MATCH(DATOS!$C$21,TABLAS!$B$52:$B$58,0)+0,7)),1)&lt;=MIN(DATOS!$C$22,INT((DATOS!$C$25+DATOS!$C$24)/(INDEX(TABLAS!$C$52:$C$58,MIN(MATCH(DATOS!$C$21,TABLAS!$B$52:$B$58,0)+0,7))+DATOS!$C$24)))),INDEX(TABLAS!$B$52:$B$58,MIN(MATCH(DATOS!$C$21,TABLAS!$B$52:$B$58,0)+0,7)),IF(AND(BA28&gt;=0,CEILING(BA28/INDEX(TABLAS!$D$52:$D$58,MIN(MATCH(DATOS!$C$21,TABLAS!$B$52:$B$58,0)+1,7)),1)&lt;=MIN(DATOS!$C$22,INT((DATOS!$C$25+DATOS!$C$24)/(INDEX(TABLAS!$C$52:$C$58,MIN(MATCH(DATOS!$C$21,TABLAS!$B$52:$B$58,0)+1,7))+DATOS!$C$24)))),INDEX(TABLAS!$B$52:$B$58,MIN(MATCH(DATOS!$C$21,TABLAS!$B$52:$B$58,0)+1,7)),IF(AND(BA28&gt;=0,CEILING(BA28/INDEX(TABLAS!$D$52:$D$58,MIN(MATCH(DATOS!$C$21,TABLAS!$B$52:$B$58,0)+2,7)),1)&lt;=MIN(DATOS!$C$22,INT((DATOS!$C$25+DATOS!$C$24)/(INDEX(TABLAS!$C$52:$C$58,MIN(MATCH(DATOS!$C$21,TABLAS!$B$52:$B$58,0)+2,7))+DATOS!$C$24)))),INDEX(TABLAS!$B$52:$B$58,MIN(MATCH(DATOS!$C$21,TABLAS!$B$52:$B$58,0)+2,7)),IF(AND(BA28&gt;=0,CEILING(BA28/INDEX(TABLAS!$D$52:$D$58,MIN(MATCH(DATOS!$C$21,TABLAS!$B$52:$B$58,0)+3,7)),1)&lt;=MIN(DATOS!$C$22,INT((DATOS!$C$25+DATOS!$C$24)/(INDEX(TABLAS!$C$52:$C$58,MIN(MATCH(DATOS!$C$21,TABLAS!$B$52:$B$58,0)+3,7))+DATOS!$C$24)))),INDEX(TABLAS!$B$52:$B$58,MIN(MATCH(DATOS!$C$21,TABLAS!$B$52:$B$58,0)+3,7)),IF(AND(BA28&gt;=0,CEILING(BA28/INDEX(TABLAS!$D$52:$D$58,MIN(MATCH(DATOS!$C$21,TABLAS!$B$52:$B$58,0)+4,7)),1)&lt;=MIN(DATOS!$C$22,INT((DATOS!$C$25+DATOS!$C$24)/(INDEX(TABLAS!$C$52:$C$58,MIN(MATCH(DATOS!$C$21,TABLAS!$B$52:$B$58,0)+4,7))+DATOS!$C$24)))),INDEX(TABLAS!$B$52:$B$58,MIN(MATCH(DATOS!$C$21,TABLAS!$B$52:$B$58,0)+4,7)),INDEX(TABLAS!$B$52:$B$58,7))))))</f>
        <v>3</v>
      </c>
      <c r="BC28" s="55">
        <f>IF(D28="HUECO",0,IF(BA28&lt;0,0,MAX(1,CEILING(BA28/INDEX(TABLAS!$D$52:$D$58,MATCH(BB28,TABLAS!$B$52:$B$58,0)),1))))</f>
        <v>1</v>
      </c>
      <c r="BD28" s="34">
        <f>IF(BC28=0,0,DATOS!$C$45*BC28*INDEX(TABLAS!$D$52:$D$58,MATCH(BB28,TABLAS!$B$52:$B$58,0))*DATOS!$C$32*((DATOS!$C$15-DATOS!$C$18-INDEX(TABLAS!$C$52:$C$58,MATCH(DATOS!$C$19,TABLAS!$B$52:$B$58,0))-INDEX(TABLAS!$C$52:$C$58,MATCH(BB28,TABLAS!$B$52:$B$58,0))/2)-BC28*INDEX(TABLAS!$D$52:$D$58,MATCH(BB28,TABLAS!$B$52:$B$58,0))*DATOS!$C$32/(DATOS!$C$38*DATOS!$C$13)/2)/1E5)</f>
        <v>0.568518826235294</v>
      </c>
      <c r="BE28" s="59">
        <f>IF(BA28&lt;0,9.99,IF(BD28&gt;0,AK28/BD28,0))</f>
        <v>0.0576102183478624</v>
      </c>
      <c r="BF28" s="34">
        <f>IF(D28="PERIMETRAL",MAX(0,(J28/2-DATOS!$C$66/100))*(0.95-0.5*L28)*R28*IF(AND(S28&gt;0,S28&lt;4),DATOS!$C$50,1)*DATOS!$C$16/100/1000,IF(D28="VOLADO",(R28*J28+DATOS!$C$43*AG28)*DATOS!$C$16/100/1000,0))</f>
        <v>0.262925595228266</v>
      </c>
      <c r="BG28" s="34">
        <f>IF(D28="HUECO",0,DATOS!$C$46*IF((AS28*INDEX(TABLAS!$D$52:$D$58,MATCH(AR28,TABLAS!$B$52:$B$58,0))/(DATOS!$C$13*DATOS!$C$67))&lt;0.015,0.2+20*(AS28*INDEX(TABLAS!$D$52:$D$58,MATCH(AR28,TABLAS!$B$52:$B$58,0))/(DATOS!$C$13*DATOS!$C$67)),0.5)*SQRT(DATOS!$C$31)*DATOS!$C$13*DATOS!$C$67*DATOS!$C$49/1000)</f>
        <v>0.687439634849853</v>
      </c>
      <c r="BH28" s="49" t="str">
        <f>IF(D28="HUECO","—",IF(BF28&lt;=BG28,"CUMPLE","MACIZAR "&amp;MAX(1,CEILING(IF(D28="VOLADO",J28,J28/2)*(1-BG28/BF28)*100/DATOS!$C$16,1))&amp;" hilera(s)"))</f>
        <v>CUMPLE</v>
      </c>
      <c r="BI28" s="41">
        <f>IF(D28="PERIMETRAL",(2*(H28+I28)+0.25*(H28*((APOYOS!$G$105="DISCONTINUO")+(APOYOS!$G$106="DISCONTINUO"))+I28*((APOYOS!$G$107="DISCONTINUO")+(APOYOS!$G$108="DISCONTINUO"))))*(J28+MIN(K28,2*J28))/(J28+K28)*100/250*IF(OR(DATOS!$C$47&gt;2520,Q28&gt;380),0.032*(DATOS!$C$47*Q28)^0.25,1),IF(D28="VOLADO",J28*100/8,0))</f>
        <v>4.79552763211362</v>
      </c>
      <c r="BJ28" s="41">
        <f>IF(D28="VOLADO",DATOS!$C$15,DATOS!$C$68)</f>
        <v>13.6082564120244</v>
      </c>
      <c r="BK28" s="50" t="str">
        <f>IF(D28="HUECO","—",IF(BJ28&gt;=BI28,"CUMPLE","NO CUMPLE"))</f>
        <v>CUMPLE</v>
      </c>
      <c r="BL28" s="50" t="str">
        <f>IF(D28="PERIMETRAL",IF(DATOS!$C$16/100&lt;=J28/6,"SÍ","NO: a1 &lt; 6·s"),"—")</f>
        <v>NO: a1 &lt; 6·s</v>
      </c>
      <c r="BM28" s="55">
        <f>MAX(0,INT((F28*100-DATOS!$C$17+DATOS!$C$13)/DATOS!$C$16))</f>
        <v>2</v>
      </c>
      <c r="BN28" s="55">
        <f>MAX(0,INT((G28*100-DATOS!$C$17+DATOS!$C$13)/DATOS!$C$16))</f>
        <v>4</v>
      </c>
      <c r="BO28" s="49" t="str">
        <f>IF(COUNTIFS(TRIB!$C$6:$C$255,B28,TRIB!$K$6:$K$255,"NO CUMPLE*")+COUNTIFS(TRIB!$C$6:$C$255,B28,TRIB!$K$6:$K$255,"SIN APOYO*")&gt;0,"VER PRINCIPALES",IF((APOYOS!$F$105="LIBRE")+(APOYOS!$F$106="LIBRE")+(APOYOS!$F$107="LIBRE")+(APOYOS!$F$108="LIBRE")&gt;0,"REVISAR: borde libre","OK"))</f>
        <v>OK</v>
      </c>
      <c r="BP28" s="60" t="str">
        <f>IF(D28="HUECO","HUECO — marco de nervaduras principales",IF(AND(MAX(AP28,AU28,AZ28,BE28)&lt;=1,NOT(OR(AN28&gt;MIN(DATOS!$C$22,INT((DATOS!$C$25+DATOS!$C$24)/(INDEX(TABLAS!$C$52:$C$58,MATCH(AM28,TABLAS!$B$52:$B$58,0))+DATOS!$C$24))),AS28&gt;MIN(DATOS!$C$22,INT((DATOS!$C$25+DATOS!$C$24)/(INDEX(TABLAS!$C$52:$C$58,MATCH(AR28,TABLAS!$B$52:$B$58,0))+DATOS!$C$24))),AX28&gt;MIN(DATOS!$C$22,INT((DATOS!$C$25+DATOS!$C$24)/(INDEX(TABLAS!$C$52:$C$58,MATCH(AW28,TABLAS!$B$52:$B$58,0))+DATOS!$C$24))),BC28&gt;MIN(DATOS!$C$22,INT((DATOS!$C$25+DATOS!$C$24)/(INDEX(TABLAS!$C$52:$C$58,MATCH(BB28,TABLAS!$B$52:$B$58,0))+DATOS!$C$24))))),BK28="CUMPLE"),IF(BO28="OK",IF(BH28="CUMPLE","CUMPLE","CUMPLE — "&amp;BH28),IF(BO28="VER PRINCIPALES","VER PRINCIPALES","REVISAR APOYOS")),"NO CUMPLE: "&amp;IF(MAX(AP28,AU28,AZ28,BE28)&gt;1,"flexión ","")&amp;IF(OR(AN28&gt;MIN(DATOS!$C$22,INT((DATOS!$C$25+DATOS!$C$24)/(INDEX(TABLAS!$C$52:$C$58,MATCH(AM28,TABLAS!$B$52:$B$58,0))+DATOS!$C$24))),AS28&gt;MIN(DATOS!$C$22,INT((DATOS!$C$25+DATOS!$C$24)/(INDEX(TABLAS!$C$52:$C$58,MATCH(AR28,TABLAS!$B$52:$B$58,0))+DATOS!$C$24))),AX28&gt;MIN(DATOS!$C$22,INT((DATOS!$C$25+DATOS!$C$24)/(INDEX(TABLAS!$C$52:$C$58,MATCH(AW28,TABLAS!$B$52:$B$58,0))+DATOS!$C$24))),BC28&gt;MIN(DATOS!$C$22,INT((DATOS!$C$25+DATOS!$C$24)/(INDEX(TABLAS!$C$52:$C$58,MATCH(BB28,TABLAS!$B$52:$B$58,0))+DATOS!$C$24)))),"no caben ","")&amp;IF(BK28&lt;&gt;"CUMPLE","peralte","")))</f>
        <v>CUMPLE</v>
      </c>
      <c r="BQ28" s="61" t="inlineStr">
        <is>
          <t>—</t>
        </is>
      </c>
    </row>
    <row r="29" ht="30" customHeight="1">
      <c r="B29" s="49" t="inlineStr">
        <is>
          <t>F2 N+6.00</t>
        </is>
      </c>
      <c r="C29" s="50" t="inlineStr">
        <is>
          <t>N+6.00</t>
        </is>
      </c>
      <c r="D29" s="51" t="inlineStr">
        <is>
          <t>PERIMETRAL</t>
        </is>
      </c>
      <c r="E29" s="51" t="inlineStr">
        <is>
          <t>AZOTEA</t>
        </is>
      </c>
      <c r="F29" s="52" t="n">
        <v>4.327</v>
      </c>
      <c r="G29" s="52" t="n">
        <v>1.002</v>
      </c>
      <c r="H29" s="53" t="n">
        <v>4.327</v>
      </c>
      <c r="I29" s="53" t="n">
        <v>1.002</v>
      </c>
      <c r="J29" s="34">
        <f>MIN(H29,I29)</f>
        <v>1.002</v>
      </c>
      <c r="K29" s="34">
        <f>MAX(H29,I29)</f>
        <v>4.327</v>
      </c>
      <c r="L29" s="34">
        <f>IF(K29&gt;0,J29/K29,0)</f>
        <v>0.231569216547261</v>
      </c>
      <c r="M29" s="50" t="str">
        <f>IF(H29&lt;=I29,"X","Y")</f>
        <v>Y</v>
      </c>
      <c r="N29" s="54" t="n">
        <v>270</v>
      </c>
      <c r="O29" s="55">
        <f>IF(E29="HABITACIÓN",DATOS!$C$76,DATOS!$C$78)</f>
        <v>100</v>
      </c>
      <c r="P29" s="55">
        <f>DATOS!$C$58</f>
        <v>253.673469387755</v>
      </c>
      <c r="Q29" s="55">
        <f>P29+N29+O29</f>
        <v>623.673469387755</v>
      </c>
      <c r="R29" s="56">
        <f>DATOS!$C$43*(P29+N29)+DATOS!$C$44*O29</f>
        <v>830.775510204082</v>
      </c>
      <c r="S29" s="55">
        <f>(APOYOS!$G$109="DISCONTINUO")+(APOYOS!$G$110="DISCONTINUO")+(APOYOS!$G$111="DISCONTINUO")+(APOYOS!$G$112="DISCONTINUO")</f>
        <v>3</v>
      </c>
      <c r="T29" s="55">
        <f>IF(M29="X",(APOYOS!$G$109="DISCONTINUO")+(APOYOS!$G$110="DISCONTINUO"),(APOYOS!$G$111="DISCONTINUO")+(APOYOS!$G$112="DISCONTINUO"))</f>
        <v>2</v>
      </c>
      <c r="U29" s="55">
        <f>S29-T29</f>
        <v>1</v>
      </c>
      <c r="V29" s="50" t="str">
        <f>IF(S29=0,"INTERIOR",IF(S29=1,IF(T29=1,"BORDE-CORTO","BORDE-LARGO"),IF(S29=2,IF(T29=1,"ESQUINA",IF(T29=2,"EXTREMO-LARGO","EXTREMO-CORTO")),IF(S29=3,IF(T29=2,"EXTREMO-LARGO","EXTREMO-CORTO"),"AISLADO"))))</f>
        <v>EXTREMO-LARGO</v>
      </c>
      <c r="W29" s="51" t="inlineStr">
        <is>
          <t>AUTO</t>
        </is>
      </c>
      <c r="X29" s="57" t="str">
        <f>IF(W29="AUTO",V29,W29)</f>
        <v>EXTREMO-LARGO</v>
      </c>
      <c r="Y29" s="55">
        <f>MATCH(L29,TABLAS!$D$5:$J$5,1)</f>
        <v>1</v>
      </c>
      <c r="Z29" s="41">
        <f>IF(Y29&gt;=7,0,(L29-INDEX(TABLAS!$D$5:$J$5,Y29))/(INDEX(TABLAS!$D$5:$J$5,Y29+1)-INDEX(TABLAS!$D$5:$J$5,Y29)))</f>
        <v>0.463138433094523</v>
      </c>
      <c r="AA29" s="55">
        <f>INDEX(TABLAS!$D$6:$J$47,MATCH(X29&amp;"|NIC",TABLAS!$B$6:$B$47,0),Y29)+Z29*(INDEX(TABLAS!$D$6:$J$47,MATCH(X29&amp;"|NIC",TABLAS!$B$6:$B$47,0),MIN(Y29+1,7))-INDEX(TABLAS!$D$6:$J$47,MATCH(X29&amp;"|NIC",TABLAS!$B$6:$B$47,0),Y29))</f>
        <v>1018.31754102149</v>
      </c>
      <c r="AB29" s="55">
        <f>INDEX(TABLAS!$D$6:$J$47,MATCH(X29&amp;"|NIL",TABLAS!$B$6:$B$47,0),Y29)+Z29*(INDEX(TABLAS!$D$6:$J$47,MATCH(X29&amp;"|NIL",TABLAS!$B$6:$B$47,0),MIN(Y29+1,7))-INDEX(TABLAS!$D$6:$J$47,MATCH(X29&amp;"|NIL",TABLAS!$B$6:$B$47,0),Y29))</f>
        <v>0</v>
      </c>
      <c r="AC29" s="55">
        <f>INDEX(TABLAS!$D$6:$J$47,MATCH(X29&amp;"|NDC",TABLAS!$B$6:$B$47,0),Y29)+Z29*(INDEX(TABLAS!$D$6:$J$47,MATCH(X29&amp;"|NDC",TABLAS!$B$6:$B$47,0),MIN(Y29+1,7))-INDEX(TABLAS!$D$6:$J$47,MATCH(X29&amp;"|NDC",TABLAS!$B$6:$B$47,0),Y29))</f>
        <v>520.858100300439</v>
      </c>
      <c r="AD29" s="55">
        <f>INDEX(TABLAS!$D$6:$J$47,MATCH(X29&amp;"|NDL",TABLAS!$B$6:$B$47,0),Y29)+Z29*(INDEX(TABLAS!$D$6:$J$47,MATCH(X29&amp;"|NDL",TABLAS!$B$6:$B$47,0),MIN(Y29+1,7))-INDEX(TABLAS!$D$6:$J$47,MATCH(X29&amp;"|NDL",TABLAS!$B$6:$B$47,0),Y29))</f>
        <v>220</v>
      </c>
      <c r="AE29" s="55">
        <f>INDEX(TABLAS!$D$6:$J$47,MATCH(X29&amp;"|PC",TABLAS!$B$6:$B$47,0),Y29)+Z29*(INDEX(TABLAS!$D$6:$J$47,MATCH(X29&amp;"|PC",TABLAS!$B$6:$B$47,0),MIN(Y29+1,7))-INDEX(TABLAS!$D$6:$J$47,MATCH(X29&amp;"|PC",TABLAS!$B$6:$B$47,0),Y29))</f>
        <v>741.274092905015</v>
      </c>
      <c r="AF29" s="55">
        <f>INDEX(TABLAS!$D$6:$J$47,MATCH(X29&amp;"|PL",TABLAS!$B$6:$B$47,0),Y29)+Z29*(INDEX(TABLAS!$D$6:$J$47,MATCH(X29&amp;"|PL",TABLAS!$B$6:$B$47,0),MIN(Y29+1,7))-INDEX(TABLAS!$D$6:$J$47,MATCH(X29&amp;"|PL",TABLAS!$B$6:$B$47,0),Y29))</f>
        <v>298.468916108158</v>
      </c>
      <c r="AG29" s="58" t="n">
        <v>0</v>
      </c>
      <c r="AH29" s="34">
        <f>IF(D29="PERIMETRAL",AE29*R29*J29^2*1E-4*DATOS!$C$16/100/1000,0)</f>
        <v>0.0432808708860234</v>
      </c>
      <c r="AI29" s="34">
        <f>IF(D29="PERIMETRAL",MAX(AA29,AC29)*R29*J29^2*1E-4*DATOS!$C$16/100/1000,IF(D29="VOLADO",(R29*J29^2/2+DATOS!$C$43*AG29*J29)*DATOS!$C$16/100/1000,0))</f>
        <v>0.0594566442234634</v>
      </c>
      <c r="AJ29" s="34">
        <f>IF(D29="PERIMETRAL",AF29*R29*J29^2*1E-4*DATOS!$C$16/100/1000,0)</f>
        <v>0.0174267450396702</v>
      </c>
      <c r="AK29" s="34">
        <f>IF(D29="PERIMETRAL",MAX(AB29,AD29)*R29*J29^2*1E-4*DATOS!$C$16/100/1000,0)</f>
        <v>0.0128451698043429</v>
      </c>
      <c r="AL29" s="41">
        <f>IF(D29="HUECO",0,IF(AH29&lt;=0,DATOS!$C$71*DATOS!$C$13*DATOS!$C$66,IF((1-2*AH29*1E5/(DATOS!$C$45*DATOS!$C$16*DATOS!$C$66^2*DATOS!$C$38))&lt;0,-1,MAX(DATOS!$C$71*DATOS!$C$13*DATOS!$C$66,(1-SQRT((1-2*AH29*1E5/(DATOS!$C$45*DATOS!$C$16*DATOS!$C$66^2*DATOS!$C$38))))*DATOS!$C$38*DATOS!$C$16*DATOS!$C$66/DATOS!$C$32))))</f>
        <v>0.576720388273208</v>
      </c>
      <c r="AM29" s="39">
        <f>IF(AND(AL29&gt;=0,CEILING(AL29/INDEX(TABLAS!$D$52:$D$58,MIN(MATCH(DATOS!$C$20,TABLAS!$B$52:$B$58,0)+0,7)),1)&lt;=MIN(DATOS!$C$22,INT((DATOS!$C$25+DATOS!$C$24)/(INDEX(TABLAS!$C$52:$C$58,MIN(MATCH(DATOS!$C$20,TABLAS!$B$52:$B$58,0)+0,7))+DATOS!$C$24)))),INDEX(TABLAS!$B$52:$B$58,MIN(MATCH(DATOS!$C$20,TABLAS!$B$52:$B$58,0)+0,7)),IF(AND(AL29&gt;=0,CEILING(AL29/INDEX(TABLAS!$D$52:$D$58,MIN(MATCH(DATOS!$C$20,TABLAS!$B$52:$B$58,0)+1,7)),1)&lt;=MIN(DATOS!$C$22,INT((DATOS!$C$25+DATOS!$C$24)/(INDEX(TABLAS!$C$52:$C$58,MIN(MATCH(DATOS!$C$20,TABLAS!$B$52:$B$58,0)+1,7))+DATOS!$C$24)))),INDEX(TABLAS!$B$52:$B$58,MIN(MATCH(DATOS!$C$20,TABLAS!$B$52:$B$58,0)+1,7)),IF(AND(AL29&gt;=0,CEILING(AL29/INDEX(TABLAS!$D$52:$D$58,MIN(MATCH(DATOS!$C$20,TABLAS!$B$52:$B$58,0)+2,7)),1)&lt;=MIN(DATOS!$C$22,INT((DATOS!$C$25+DATOS!$C$24)/(INDEX(TABLAS!$C$52:$C$58,MIN(MATCH(DATOS!$C$20,TABLAS!$B$52:$B$58,0)+2,7))+DATOS!$C$24)))),INDEX(TABLAS!$B$52:$B$58,MIN(MATCH(DATOS!$C$20,TABLAS!$B$52:$B$58,0)+2,7)),IF(AND(AL29&gt;=0,CEILING(AL29/INDEX(TABLAS!$D$52:$D$58,MIN(MATCH(DATOS!$C$20,TABLAS!$B$52:$B$58,0)+3,7)),1)&lt;=MIN(DATOS!$C$22,INT((DATOS!$C$25+DATOS!$C$24)/(INDEX(TABLAS!$C$52:$C$58,MIN(MATCH(DATOS!$C$20,TABLAS!$B$52:$B$58,0)+3,7))+DATOS!$C$24)))),INDEX(TABLAS!$B$52:$B$58,MIN(MATCH(DATOS!$C$20,TABLAS!$B$52:$B$58,0)+3,7)),IF(AND(AL29&gt;=0,CEILING(AL29/INDEX(TABLAS!$D$52:$D$58,MIN(MATCH(DATOS!$C$20,TABLAS!$B$52:$B$58,0)+4,7)),1)&lt;=MIN(DATOS!$C$22,INT((DATOS!$C$25+DATOS!$C$24)/(INDEX(TABLAS!$C$52:$C$58,MIN(MATCH(DATOS!$C$20,TABLAS!$B$52:$B$58,0)+4,7))+DATOS!$C$24)))),INDEX(TABLAS!$B$52:$B$58,MIN(MATCH(DATOS!$C$20,TABLAS!$B$52:$B$58,0)+4,7)),INDEX(TABLAS!$B$52:$B$58,7))))))</f>
        <v>3</v>
      </c>
      <c r="AN29" s="55">
        <f>IF(D29="HUECO",0,IF(AL29&lt;0,0,MAX(DATOS!$C$23,CEILING(AL29/INDEX(TABLAS!$D$52:$D$58,MATCH(AM29,TABLAS!$B$52:$B$58,0)),1))))</f>
        <v>1</v>
      </c>
      <c r="AO29" s="34">
        <f>IF(AN29=0,0,DATOS!$C$45*AN29*INDEX(TABLAS!$D$52:$D$58,MATCH(AM29,TABLAS!$B$52:$B$58,0))*DATOS!$C$32*((DATOS!$C$15-DATOS!$C$18-INDEX(TABLAS!$C$52:$C$58,MATCH(DATOS!$C$19,TABLAS!$B$52:$B$58,0))-INDEX(TABLAS!$C$52:$C$58,MATCH(AM29,TABLAS!$B$52:$B$58,0))/2)-AN29*INDEX(TABLAS!$D$52:$D$58,MATCH(AM29,TABLAS!$B$52:$B$58,0))*DATOS!$C$32/(DATOS!$C$38*DATOS!$C$16)/2)/1E5)</f>
        <v>0.584659515176471</v>
      </c>
      <c r="AP29" s="59">
        <f>IF(AL29&lt;0,9.99,IF(AO29&gt;0,AH29/AO29,0))</f>
        <v>0.0740274805464505</v>
      </c>
      <c r="AQ29" s="41">
        <f>IF(D29="HUECO",0,IF(AI29&lt;=0,DATOS!$C$71*DATOS!$C$13*DATOS!$C$67,IF((1-2*AI29*1E5/(DATOS!$C$45*DATOS!$C$13*DATOS!$C$67^2*DATOS!$C$38))&lt;0,-1,IF((1-SQRT((1-2*AI29*1E5/(DATOS!$C$45*DATOS!$C$13*DATOS!$C$67^2*DATOS!$C$38))))*DATOS!$C$38*DATOS!$C$13*DATOS!$C$67/DATOS!$C$32&gt;DATOS!$C$70*DATOS!$C$13*DATOS!$C$67,-1,MAX(DATOS!$C$71*DATOS!$C$13*DATOS!$C$67,(1-SQRT((1-2*AI29*1E5/(DATOS!$C$45*DATOS!$C$13*DATOS!$C$67^2*DATOS!$C$38))))*DATOS!$C$38*DATOS!$C$13*DATOS!$C$67/DATOS!$C$32)))))</f>
        <v>0.576720388273208</v>
      </c>
      <c r="AR29" s="39">
        <f>IF(AND(AQ29&gt;=0,CEILING(AQ29/INDEX(TABLAS!$D$52:$D$58,MIN(MATCH(DATOS!$C$21,TABLAS!$B$52:$B$58,0)+0,7)),1)&lt;=MIN(DATOS!$C$22,INT((DATOS!$C$25+DATOS!$C$24)/(INDEX(TABLAS!$C$52:$C$58,MIN(MATCH(DATOS!$C$21,TABLAS!$B$52:$B$58,0)+0,7))+DATOS!$C$24)))),INDEX(TABLAS!$B$52:$B$58,MIN(MATCH(DATOS!$C$21,TABLAS!$B$52:$B$58,0)+0,7)),IF(AND(AQ29&gt;=0,CEILING(AQ29/INDEX(TABLAS!$D$52:$D$58,MIN(MATCH(DATOS!$C$21,TABLAS!$B$52:$B$58,0)+1,7)),1)&lt;=MIN(DATOS!$C$22,INT((DATOS!$C$25+DATOS!$C$24)/(INDEX(TABLAS!$C$52:$C$58,MIN(MATCH(DATOS!$C$21,TABLAS!$B$52:$B$58,0)+1,7))+DATOS!$C$24)))),INDEX(TABLAS!$B$52:$B$58,MIN(MATCH(DATOS!$C$21,TABLAS!$B$52:$B$58,0)+1,7)),IF(AND(AQ29&gt;=0,CEILING(AQ29/INDEX(TABLAS!$D$52:$D$58,MIN(MATCH(DATOS!$C$21,TABLAS!$B$52:$B$58,0)+2,7)),1)&lt;=MIN(DATOS!$C$22,INT((DATOS!$C$25+DATOS!$C$24)/(INDEX(TABLAS!$C$52:$C$58,MIN(MATCH(DATOS!$C$21,TABLAS!$B$52:$B$58,0)+2,7))+DATOS!$C$24)))),INDEX(TABLAS!$B$52:$B$58,MIN(MATCH(DATOS!$C$21,TABLAS!$B$52:$B$58,0)+2,7)),IF(AND(AQ29&gt;=0,CEILING(AQ29/INDEX(TABLAS!$D$52:$D$58,MIN(MATCH(DATOS!$C$21,TABLAS!$B$52:$B$58,0)+3,7)),1)&lt;=MIN(DATOS!$C$22,INT((DATOS!$C$25+DATOS!$C$24)/(INDEX(TABLAS!$C$52:$C$58,MIN(MATCH(DATOS!$C$21,TABLAS!$B$52:$B$58,0)+3,7))+DATOS!$C$24)))),INDEX(TABLAS!$B$52:$B$58,MIN(MATCH(DATOS!$C$21,TABLAS!$B$52:$B$58,0)+3,7)),IF(AND(AQ29&gt;=0,CEILING(AQ29/INDEX(TABLAS!$D$52:$D$58,MIN(MATCH(DATOS!$C$21,TABLAS!$B$52:$B$58,0)+4,7)),1)&lt;=MIN(DATOS!$C$22,INT((DATOS!$C$25+DATOS!$C$24)/(INDEX(TABLAS!$C$52:$C$58,MIN(MATCH(DATOS!$C$21,TABLAS!$B$52:$B$58,0)+4,7))+DATOS!$C$24)))),INDEX(TABLAS!$B$52:$B$58,MIN(MATCH(DATOS!$C$21,TABLAS!$B$52:$B$58,0)+4,7)),INDEX(TABLAS!$B$52:$B$58,7))))))</f>
        <v>3</v>
      </c>
      <c r="AS29" s="55">
        <f>IF(D29="HUECO",0,IF(AQ29&lt;0,0,MAX(1,CEILING(AQ29/INDEX(TABLAS!$D$52:$D$58,MATCH(AR29,TABLAS!$B$52:$B$58,0)),1))))</f>
        <v>1</v>
      </c>
      <c r="AT29" s="34">
        <f>IF(AS29=0,0,DATOS!$C$45*AS29*INDEX(TABLAS!$D$52:$D$58,MATCH(AR29,TABLAS!$B$52:$B$58,0))*DATOS!$C$32*((DATOS!$C$15-DATOS!$C$18-INDEX(TABLAS!$C$52:$C$58,MATCH(DATOS!$C$19,TABLAS!$B$52:$B$58,0))-INDEX(TABLAS!$C$52:$C$58,MATCH(AR29,TABLAS!$B$52:$B$58,0))/2)-AS29*INDEX(TABLAS!$D$52:$D$58,MATCH(AR29,TABLAS!$B$52:$B$58,0))*DATOS!$C$32/(DATOS!$C$38*DATOS!$C$13)/2)/1E5)</f>
        <v>0.568518826235294</v>
      </c>
      <c r="AU29" s="59">
        <f>IF(AQ29&lt;0,9.99,IF(AT29&gt;0,AI29/AT29,0))</f>
        <v>0.104581662875058</v>
      </c>
      <c r="AV29" s="41">
        <f>IF(D29="HUECO",0,IF(AJ29&lt;=0,DATOS!$C$71*DATOS!$C$13*DATOS!$C$66,IF((1-2*AJ29*1E5/(DATOS!$C$45*DATOS!$C$16*DATOS!$C$66^2*DATOS!$C$38))&lt;0,-1,MAX(DATOS!$C$71*DATOS!$C$13*DATOS!$C$66,(1-SQRT((1-2*AJ29*1E5/(DATOS!$C$45*DATOS!$C$16*DATOS!$C$66^2*DATOS!$C$38))))*DATOS!$C$38*DATOS!$C$16*DATOS!$C$66/DATOS!$C$32))))</f>
        <v>0.576720388273208</v>
      </c>
      <c r="AW29" s="39">
        <f>IF(AND(AV29&gt;=0,CEILING(AV29/INDEX(TABLAS!$D$52:$D$58,MIN(MATCH(DATOS!$C$20,TABLAS!$B$52:$B$58,0)+0,7)),1)&lt;=MIN(DATOS!$C$22,INT((DATOS!$C$25+DATOS!$C$24)/(INDEX(TABLAS!$C$52:$C$58,MIN(MATCH(DATOS!$C$20,TABLAS!$B$52:$B$58,0)+0,7))+DATOS!$C$24)))),INDEX(TABLAS!$B$52:$B$58,MIN(MATCH(DATOS!$C$20,TABLAS!$B$52:$B$58,0)+0,7)),IF(AND(AV29&gt;=0,CEILING(AV29/INDEX(TABLAS!$D$52:$D$58,MIN(MATCH(DATOS!$C$20,TABLAS!$B$52:$B$58,0)+1,7)),1)&lt;=MIN(DATOS!$C$22,INT((DATOS!$C$25+DATOS!$C$24)/(INDEX(TABLAS!$C$52:$C$58,MIN(MATCH(DATOS!$C$20,TABLAS!$B$52:$B$58,0)+1,7))+DATOS!$C$24)))),INDEX(TABLAS!$B$52:$B$58,MIN(MATCH(DATOS!$C$20,TABLAS!$B$52:$B$58,0)+1,7)),IF(AND(AV29&gt;=0,CEILING(AV29/INDEX(TABLAS!$D$52:$D$58,MIN(MATCH(DATOS!$C$20,TABLAS!$B$52:$B$58,0)+2,7)),1)&lt;=MIN(DATOS!$C$22,INT((DATOS!$C$25+DATOS!$C$24)/(INDEX(TABLAS!$C$52:$C$58,MIN(MATCH(DATOS!$C$20,TABLAS!$B$52:$B$58,0)+2,7))+DATOS!$C$24)))),INDEX(TABLAS!$B$52:$B$58,MIN(MATCH(DATOS!$C$20,TABLAS!$B$52:$B$58,0)+2,7)),IF(AND(AV29&gt;=0,CEILING(AV29/INDEX(TABLAS!$D$52:$D$58,MIN(MATCH(DATOS!$C$20,TABLAS!$B$52:$B$58,0)+3,7)),1)&lt;=MIN(DATOS!$C$22,INT((DATOS!$C$25+DATOS!$C$24)/(INDEX(TABLAS!$C$52:$C$58,MIN(MATCH(DATOS!$C$20,TABLAS!$B$52:$B$58,0)+3,7))+DATOS!$C$24)))),INDEX(TABLAS!$B$52:$B$58,MIN(MATCH(DATOS!$C$20,TABLAS!$B$52:$B$58,0)+3,7)),IF(AND(AV29&gt;=0,CEILING(AV29/INDEX(TABLAS!$D$52:$D$58,MIN(MATCH(DATOS!$C$20,TABLAS!$B$52:$B$58,0)+4,7)),1)&lt;=MIN(DATOS!$C$22,INT((DATOS!$C$25+DATOS!$C$24)/(INDEX(TABLAS!$C$52:$C$58,MIN(MATCH(DATOS!$C$20,TABLAS!$B$52:$B$58,0)+4,7))+DATOS!$C$24)))),INDEX(TABLAS!$B$52:$B$58,MIN(MATCH(DATOS!$C$20,TABLAS!$B$52:$B$58,0)+4,7)),INDEX(TABLAS!$B$52:$B$58,7))))))</f>
        <v>3</v>
      </c>
      <c r="AX29" s="55">
        <f>IF(D29="HUECO",0,IF(AV29&lt;0,0,MAX(DATOS!$C$23,CEILING(AV29/INDEX(TABLAS!$D$52:$D$58,MATCH(AW29,TABLAS!$B$52:$B$58,0)),1))))</f>
        <v>1</v>
      </c>
      <c r="AY29" s="34">
        <f>IF(AX29=0,0,DATOS!$C$45*AX29*INDEX(TABLAS!$D$52:$D$58,MATCH(AW29,TABLAS!$B$52:$B$58,0))*DATOS!$C$32*((DATOS!$C$15-DATOS!$C$18-INDEX(TABLAS!$C$52:$C$58,MATCH(DATOS!$C$19,TABLAS!$B$52:$B$58,0))-INDEX(TABLAS!$C$52:$C$58,MATCH(AW29,TABLAS!$B$52:$B$58,0))/2)-AX29*INDEX(TABLAS!$D$52:$D$58,MATCH(AW29,TABLAS!$B$52:$B$58,0))*DATOS!$C$32/(DATOS!$C$38*DATOS!$C$16)/2)/1E5)</f>
        <v>0.584659515176471</v>
      </c>
      <c r="AZ29" s="59">
        <f>IF(AV29&lt;0,9.99,IF(AY29&gt;0,AJ29/AY29,0))</f>
        <v>0.0298066559891876</v>
      </c>
      <c r="BA29" s="41">
        <f>IF(D29="HUECO",0,IF(AK29&lt;=0,DATOS!$C$71*DATOS!$C$13*DATOS!$C$67,IF((1-2*AK29*1E5/(DATOS!$C$45*DATOS!$C$13*DATOS!$C$67^2*DATOS!$C$38))&lt;0,-1,IF((1-SQRT((1-2*AK29*1E5/(DATOS!$C$45*DATOS!$C$13*DATOS!$C$67^2*DATOS!$C$38))))*DATOS!$C$38*DATOS!$C$13*DATOS!$C$67/DATOS!$C$32&gt;DATOS!$C$70*DATOS!$C$13*DATOS!$C$67,-1,MAX(DATOS!$C$71*DATOS!$C$13*DATOS!$C$67,(1-SQRT((1-2*AK29*1E5/(DATOS!$C$45*DATOS!$C$13*DATOS!$C$67^2*DATOS!$C$38))))*DATOS!$C$38*DATOS!$C$13*DATOS!$C$67/DATOS!$C$32)))))</f>
        <v>0.576720388273208</v>
      </c>
      <c r="BB29" s="39">
        <f>IF(AND(BA29&gt;=0,CEILING(BA29/INDEX(TABLAS!$D$52:$D$58,MIN(MATCH(DATOS!$C$21,TABLAS!$B$52:$B$58,0)+0,7)),1)&lt;=MIN(DATOS!$C$22,INT((DATOS!$C$25+DATOS!$C$24)/(INDEX(TABLAS!$C$52:$C$58,MIN(MATCH(DATOS!$C$21,TABLAS!$B$52:$B$58,0)+0,7))+DATOS!$C$24)))),INDEX(TABLAS!$B$52:$B$58,MIN(MATCH(DATOS!$C$21,TABLAS!$B$52:$B$58,0)+0,7)),IF(AND(BA29&gt;=0,CEILING(BA29/INDEX(TABLAS!$D$52:$D$58,MIN(MATCH(DATOS!$C$21,TABLAS!$B$52:$B$58,0)+1,7)),1)&lt;=MIN(DATOS!$C$22,INT((DATOS!$C$25+DATOS!$C$24)/(INDEX(TABLAS!$C$52:$C$58,MIN(MATCH(DATOS!$C$21,TABLAS!$B$52:$B$58,0)+1,7))+DATOS!$C$24)))),INDEX(TABLAS!$B$52:$B$58,MIN(MATCH(DATOS!$C$21,TABLAS!$B$52:$B$58,0)+1,7)),IF(AND(BA29&gt;=0,CEILING(BA29/INDEX(TABLAS!$D$52:$D$58,MIN(MATCH(DATOS!$C$21,TABLAS!$B$52:$B$58,0)+2,7)),1)&lt;=MIN(DATOS!$C$22,INT((DATOS!$C$25+DATOS!$C$24)/(INDEX(TABLAS!$C$52:$C$58,MIN(MATCH(DATOS!$C$21,TABLAS!$B$52:$B$58,0)+2,7))+DATOS!$C$24)))),INDEX(TABLAS!$B$52:$B$58,MIN(MATCH(DATOS!$C$21,TABLAS!$B$52:$B$58,0)+2,7)),IF(AND(BA29&gt;=0,CEILING(BA29/INDEX(TABLAS!$D$52:$D$58,MIN(MATCH(DATOS!$C$21,TABLAS!$B$52:$B$58,0)+3,7)),1)&lt;=MIN(DATOS!$C$22,INT((DATOS!$C$25+DATOS!$C$24)/(INDEX(TABLAS!$C$52:$C$58,MIN(MATCH(DATOS!$C$21,TABLAS!$B$52:$B$58,0)+3,7))+DATOS!$C$24)))),INDEX(TABLAS!$B$52:$B$58,MIN(MATCH(DATOS!$C$21,TABLAS!$B$52:$B$58,0)+3,7)),IF(AND(BA29&gt;=0,CEILING(BA29/INDEX(TABLAS!$D$52:$D$58,MIN(MATCH(DATOS!$C$21,TABLAS!$B$52:$B$58,0)+4,7)),1)&lt;=MIN(DATOS!$C$22,INT((DATOS!$C$25+DATOS!$C$24)/(INDEX(TABLAS!$C$52:$C$58,MIN(MATCH(DATOS!$C$21,TABLAS!$B$52:$B$58,0)+4,7))+DATOS!$C$24)))),INDEX(TABLAS!$B$52:$B$58,MIN(MATCH(DATOS!$C$21,TABLAS!$B$52:$B$58,0)+4,7)),INDEX(TABLAS!$B$52:$B$58,7))))))</f>
        <v>3</v>
      </c>
      <c r="BC29" s="55">
        <f>IF(D29="HUECO",0,IF(BA29&lt;0,0,MAX(1,CEILING(BA29/INDEX(TABLAS!$D$52:$D$58,MATCH(BB29,TABLAS!$B$52:$B$58,0)),1))))</f>
        <v>1</v>
      </c>
      <c r="BD29" s="34">
        <f>IF(BC29=0,0,DATOS!$C$45*BC29*INDEX(TABLAS!$D$52:$D$58,MATCH(BB29,TABLAS!$B$52:$B$58,0))*DATOS!$C$32*((DATOS!$C$15-DATOS!$C$18-INDEX(TABLAS!$C$52:$C$58,MATCH(DATOS!$C$19,TABLAS!$B$52:$B$58,0))-INDEX(TABLAS!$C$52:$C$58,MATCH(BB29,TABLAS!$B$52:$B$58,0))/2)-BC29*INDEX(TABLAS!$D$52:$D$58,MATCH(BB29,TABLAS!$B$52:$B$58,0))*DATOS!$C$32/(DATOS!$C$38*DATOS!$C$13)/2)/1E5)</f>
        <v>0.568518826235294</v>
      </c>
      <c r="BE29" s="59">
        <f>IF(BA29&lt;0,9.99,IF(BD29&gt;0,AK29/BD29,0))</f>
        <v>0.0225940975242684</v>
      </c>
      <c r="BF29" s="34">
        <f>IF(D29="PERIMETRAL",MAX(0,(J29/2-DATOS!$C$66/100))*(0.95-0.5*L29)*R29*IF(AND(S29&gt;0,S29&lt;4),DATOS!$C$50,1)*DATOS!$C$16/100/1000,IF(D29="VOLADO",(R29*J29+DATOS!$C$43*AG29)*DATOS!$C$16/100/1000,0))</f>
        <v>0.157411993641304</v>
      </c>
      <c r="BG29" s="34">
        <f>IF(D29="HUECO",0,DATOS!$C$46*IF((AS29*INDEX(TABLAS!$D$52:$D$58,MATCH(AR29,TABLAS!$B$52:$B$58,0))/(DATOS!$C$13*DATOS!$C$67))&lt;0.015,0.2+20*(AS29*INDEX(TABLAS!$D$52:$D$58,MATCH(AR29,TABLAS!$B$52:$B$58,0))/(DATOS!$C$13*DATOS!$C$67)),0.5)*SQRT(DATOS!$C$31)*DATOS!$C$13*DATOS!$C$67*DATOS!$C$49/1000)</f>
        <v>0.687439634849853</v>
      </c>
      <c r="BH29" s="49" t="str">
        <f>IF(D29="HUECO","—",IF(BF29&lt;=BG29,"CUMPLE","MACIZAR "&amp;MAX(1,CEILING(IF(D29="VOLADO",J29,J29/2)*(1-BG29/BF29)*100/DATOS!$C$16,1))&amp;" hilera(s)"))</f>
        <v>CUMPLE</v>
      </c>
      <c r="BI29" s="41">
        <f>IF(D29="PERIMETRAL",(2*(H29+I29)+0.25*(H29*((APOYOS!$G$109="DISCONTINUO")+(APOYOS!$G$110="DISCONTINUO"))+I29*((APOYOS!$G$111="DISCONTINUO")+(APOYOS!$G$112="DISCONTINUO"))))*(J29+MIN(K29,2*J29))/(J29+K29)*100/250*IF(OR(DATOS!$C$47&gt;2520,Q29&gt;380),0.032*(DATOS!$C$47*Q29)^0.25,1),IF(D29="VOLADO",J29*100/8,0))</f>
        <v>3.12932526521676</v>
      </c>
      <c r="BJ29" s="41">
        <f>IF(D29="VOLADO",DATOS!$C$15,DATOS!$C$68)</f>
        <v>13.6082564120244</v>
      </c>
      <c r="BK29" s="50" t="str">
        <f>IF(D29="HUECO","—",IF(BJ29&gt;=BI29,"CUMPLE","NO CUMPLE"))</f>
        <v>CUMPLE</v>
      </c>
      <c r="BL29" s="50" t="str">
        <f>IF(D29="PERIMETRAL",IF(DATOS!$C$16/100&lt;=J29/6,"SÍ","NO: a1 &lt; 6·s"),"—")</f>
        <v>NO: a1 &lt; 6·s</v>
      </c>
      <c r="BM29" s="55">
        <f>MAX(0,INT((F29*100-DATOS!$C$17+DATOS!$C$13)/DATOS!$C$16))</f>
        <v>6</v>
      </c>
      <c r="BN29" s="55">
        <f>MAX(0,INT((G29*100-DATOS!$C$17+DATOS!$C$13)/DATOS!$C$16))</f>
        <v>1</v>
      </c>
      <c r="BO29" s="49" t="str">
        <f>IF(COUNTIFS(TRIB!$C$6:$C$255,B29,TRIB!$K$6:$K$255,"NO CUMPLE*")+COUNTIFS(TRIB!$C$6:$C$255,B29,TRIB!$K$6:$K$255,"SIN APOYO*")&gt;0,"VER PRINCIPALES",IF((APOYOS!$F$109="LIBRE")+(APOYOS!$F$110="LIBRE")+(APOYOS!$F$111="LIBRE")+(APOYOS!$F$112="LIBRE")&gt;0,"REVISAR: borde libre","OK"))</f>
        <v>OK</v>
      </c>
      <c r="BP29" s="60" t="str">
        <f>IF(D29="HUECO","HUECO — marco de nervaduras principales",IF(AND(MAX(AP29,AU29,AZ29,BE29)&lt;=1,NOT(OR(AN29&gt;MIN(DATOS!$C$22,INT((DATOS!$C$25+DATOS!$C$24)/(INDEX(TABLAS!$C$52:$C$58,MATCH(AM29,TABLAS!$B$52:$B$58,0))+DATOS!$C$24))),AS29&gt;MIN(DATOS!$C$22,INT((DATOS!$C$25+DATOS!$C$24)/(INDEX(TABLAS!$C$52:$C$58,MATCH(AR29,TABLAS!$B$52:$B$58,0))+DATOS!$C$24))),AX29&gt;MIN(DATOS!$C$22,INT((DATOS!$C$25+DATOS!$C$24)/(INDEX(TABLAS!$C$52:$C$58,MATCH(AW29,TABLAS!$B$52:$B$58,0))+DATOS!$C$24))),BC29&gt;MIN(DATOS!$C$22,INT((DATOS!$C$25+DATOS!$C$24)/(INDEX(TABLAS!$C$52:$C$58,MATCH(BB29,TABLAS!$B$52:$B$58,0))+DATOS!$C$24))))),BK29="CUMPLE"),IF(BO29="OK",IF(BH29="CUMPLE","CUMPLE","CUMPLE — "&amp;BH29),IF(BO29="VER PRINCIPALES","VER PRINCIPALES","REVISAR APOYOS")),"NO CUMPLE: "&amp;IF(MAX(AP29,AU29,AZ29,BE29)&gt;1,"flexión ","")&amp;IF(OR(AN29&gt;MIN(DATOS!$C$22,INT((DATOS!$C$25+DATOS!$C$24)/(INDEX(TABLAS!$C$52:$C$58,MATCH(AM29,TABLAS!$B$52:$B$58,0))+DATOS!$C$24))),AS29&gt;MIN(DATOS!$C$22,INT((DATOS!$C$25+DATOS!$C$24)/(INDEX(TABLAS!$C$52:$C$58,MATCH(AR29,TABLAS!$B$52:$B$58,0))+DATOS!$C$24))),AX29&gt;MIN(DATOS!$C$22,INT((DATOS!$C$25+DATOS!$C$24)/(INDEX(TABLAS!$C$52:$C$58,MATCH(AW29,TABLAS!$B$52:$B$58,0))+DATOS!$C$24))),BC29&gt;MIN(DATOS!$C$22,INT((DATOS!$C$25+DATOS!$C$24)/(INDEX(TABLAS!$C$52:$C$58,MATCH(BB29,TABLAS!$B$52:$B$58,0))+DATOS!$C$24)))),"no caben ","")&amp;IF(BK29&lt;&gt;"CUMPLE","peralte","")))</f>
        <v>CUMPLE</v>
      </c>
      <c r="BQ29" s="61" t="inlineStr">
        <is>
          <t>Sin cargas en el E2K: se toma la SCM de F80023 (270 kg/m²). REVISAR.</t>
        </is>
      </c>
    </row>
    <row r="30" ht="30" customHeight="1">
      <c r="B30" s="49" t="inlineStr">
        <is>
          <t>F80010 N+6.00</t>
        </is>
      </c>
      <c r="C30" s="50" t="inlineStr">
        <is>
          <t>N+6.00</t>
        </is>
      </c>
      <c r="D30" s="51" t="inlineStr">
        <is>
          <t>PERIMETRAL</t>
        </is>
      </c>
      <c r="E30" s="51" t="inlineStr">
        <is>
          <t>AZOTEA</t>
        </is>
      </c>
      <c r="F30" s="52" t="n">
        <v>3.427</v>
      </c>
      <c r="G30" s="52" t="n">
        <v>1.825</v>
      </c>
      <c r="H30" s="53" t="n">
        <v>3.427</v>
      </c>
      <c r="I30" s="53" t="n">
        <v>1.825</v>
      </c>
      <c r="J30" s="34">
        <f>MIN(H30,I30)</f>
        <v>1.825</v>
      </c>
      <c r="K30" s="34">
        <f>MAX(H30,I30)</f>
        <v>3.427</v>
      </c>
      <c r="L30" s="34">
        <f>IF(K30&gt;0,J30/K30,0)</f>
        <v>0.532535745550044</v>
      </c>
      <c r="M30" s="50" t="str">
        <f>IF(H30&lt;=I30,"X","Y")</f>
        <v>Y</v>
      </c>
      <c r="N30" s="54" t="n">
        <v>300</v>
      </c>
      <c r="O30" s="55">
        <f>IF(E30="HABITACIÓN",DATOS!$C$76,DATOS!$C$78)</f>
        <v>100</v>
      </c>
      <c r="P30" s="55">
        <f>DATOS!$C$58</f>
        <v>253.673469387755</v>
      </c>
      <c r="Q30" s="55">
        <f>P30+N30+O30</f>
        <v>653.673469387755</v>
      </c>
      <c r="R30" s="56">
        <f>DATOS!$C$43*(P30+N30)+DATOS!$C$44*O30</f>
        <v>869.775510204082</v>
      </c>
      <c r="S30" s="55">
        <f>(APOYOS!$G$113="DISCONTINUO")+(APOYOS!$G$114="DISCONTINUO")+(APOYOS!$G$115="DISCONTINUO")+(APOYOS!$G$116="DISCONTINUO")</f>
        <v>2</v>
      </c>
      <c r="T30" s="55">
        <f>IF(M30="X",(APOYOS!$G$113="DISCONTINUO")+(APOYOS!$G$114="DISCONTINUO"),(APOYOS!$G$115="DISCONTINUO")+(APOYOS!$G$116="DISCONTINUO"))</f>
        <v>1</v>
      </c>
      <c r="U30" s="55">
        <f>S30-T30</f>
        <v>1</v>
      </c>
      <c r="V30" s="50" t="str">
        <f>IF(S30=0,"INTERIOR",IF(S30=1,IF(T30=1,"BORDE-CORTO","BORDE-LARGO"),IF(S30=2,IF(T30=1,"ESQUINA",IF(T30=2,"EXTREMO-LARGO","EXTREMO-CORTO")),IF(S30=3,IF(T30=2,"EXTREMO-LARGO","EXTREMO-CORTO"),"AISLADO"))))</f>
        <v>ESQUINA</v>
      </c>
      <c r="W30" s="51" t="inlineStr">
        <is>
          <t>AUTO</t>
        </is>
      </c>
      <c r="X30" s="57" t="str">
        <f>IF(W30="AUTO",V30,W30)</f>
        <v>ESQUINA</v>
      </c>
      <c r="Y30" s="55">
        <f>MATCH(L30,TABLAS!$D$5:$J$5,1)</f>
        <v>2</v>
      </c>
      <c r="Z30" s="41">
        <f>IF(Y30&gt;=7,0,(L30-INDEX(TABLAS!$D$5:$J$5,Y30))/(INDEX(TABLAS!$D$5:$J$5,Y30+1)-INDEX(TABLAS!$D$5:$J$5,Y30)))</f>
        <v>0.325357455500438</v>
      </c>
      <c r="AA30" s="55">
        <f>INDEX(TABLAS!$D$6:$J$47,MATCH(X30&amp;"|NIC",TABLAS!$B$6:$B$47,0),Y30)+Z30*(INDEX(TABLAS!$D$6:$J$47,MATCH(X30&amp;"|NIC",TABLAS!$B$6:$B$47,0),MIN(Y30+1,7))-INDEX(TABLAS!$D$6:$J$47,MATCH(X30&amp;"|NIC",TABLAS!$B$6:$B$47,0),Y30))</f>
        <v>575.87569302597</v>
      </c>
      <c r="AB30" s="55">
        <f>INDEX(TABLAS!$D$6:$J$47,MATCH(X30&amp;"|NIL",TABLAS!$B$6:$B$47,0),Y30)+Z30*(INDEX(TABLAS!$D$6:$J$47,MATCH(X30&amp;"|NIL",TABLAS!$B$6:$B$47,0),MIN(Y30+1,7))-INDEX(TABLAS!$D$6:$J$47,MATCH(X30&amp;"|NIL",TABLAS!$B$6:$B$47,0),Y30))</f>
        <v>468.492850889991</v>
      </c>
      <c r="AC30" s="55">
        <f>INDEX(TABLAS!$D$6:$J$47,MATCH(X30&amp;"|NDC",TABLAS!$B$6:$B$47,0),Y30)+Z30*(INDEX(TABLAS!$D$6:$J$47,MATCH(X30&amp;"|NDC",TABLAS!$B$6:$B$47,0),MIN(Y30+1,7))-INDEX(TABLAS!$D$6:$J$47,MATCH(X30&amp;"|NDC",TABLAS!$B$6:$B$47,0),Y30))</f>
        <v>348.660344324482</v>
      </c>
      <c r="AD30" s="55">
        <f>INDEX(TABLAS!$D$6:$J$47,MATCH(X30&amp;"|NDL",TABLAS!$B$6:$B$47,0),Y30)+Z30*(INDEX(TABLAS!$D$6:$J$47,MATCH(X30&amp;"|NDL",TABLAS!$B$6:$B$47,0),MIN(Y30+1,7))-INDEX(TABLAS!$D$6:$J$47,MATCH(X30&amp;"|NDL",TABLAS!$B$6:$B$47,0),Y30))</f>
        <v>254.746425444996</v>
      </c>
      <c r="AE30" s="55">
        <f>INDEX(TABLAS!$D$6:$J$47,MATCH(X30&amp;"|PC",TABLAS!$B$6:$B$47,0),Y30)+Z30*(INDEX(TABLAS!$D$6:$J$47,MATCH(X30&amp;"|PC",TABLAS!$B$6:$B$47,0),MIN(Y30+1,7))-INDEX(TABLAS!$D$6:$J$47,MATCH(X30&amp;"|PC",TABLAS!$B$6:$B$47,0),Y30))</f>
        <v>341.081412313977</v>
      </c>
      <c r="AF30" s="55">
        <f>INDEX(TABLAS!$D$6:$J$47,MATCH(X30&amp;"|PL",TABLAS!$B$6:$B$47,0),Y30)+Z30*(INDEX(TABLAS!$D$6:$J$47,MATCH(X30&amp;"|PL",TABLAS!$B$6:$B$47,0),MIN(Y30+1,7))-INDEX(TABLAS!$D$6:$J$47,MATCH(X30&amp;"|PL",TABLAS!$B$6:$B$47,0),Y30))</f>
        <v>150.047855266997</v>
      </c>
      <c r="AG30" s="58" t="n">
        <v>0</v>
      </c>
      <c r="AH30" s="34">
        <f>IF(D30="PERIMETRAL",AE30*R30*J30^2*1E-4*DATOS!$C$16/100/1000,0)</f>
        <v>0.0691654179313399</v>
      </c>
      <c r="AI30" s="34">
        <f>IF(D30="PERIMETRAL",MAX(AA30,AC30)*R30*J30^2*1E-4*DATOS!$C$16/100/1000,IF(D30="VOLADO",(R30*J30^2/2+DATOS!$C$43*AG30*J30)*DATOS!$C$16/100/1000,0))</f>
        <v>0.116777641778895</v>
      </c>
      <c r="AJ30" s="34">
        <f>IF(D30="PERIMETRAL",AF30*R30*J30^2*1E-4*DATOS!$C$16/100/1000,0)</f>
        <v>0.030427112837476</v>
      </c>
      <c r="AK30" s="34">
        <f>IF(D30="PERIMETRAL",MAX(AB30,AD30)*R30*J30^2*1E-4*DATOS!$C$16/100/1000,0)</f>
        <v>0.0950022565281939</v>
      </c>
      <c r="AL30" s="41">
        <f>IF(D30="HUECO",0,IF(AH30&lt;=0,DATOS!$C$71*DATOS!$C$13*DATOS!$C$66,IF((1-2*AH30*1E5/(DATOS!$C$45*DATOS!$C$16*DATOS!$C$66^2*DATOS!$C$38))&lt;0,-1,MAX(DATOS!$C$71*DATOS!$C$13*DATOS!$C$66,(1-SQRT((1-2*AH30*1E5/(DATOS!$C$45*DATOS!$C$16*DATOS!$C$66^2*DATOS!$C$38))))*DATOS!$C$38*DATOS!$C$16*DATOS!$C$66/DATOS!$C$32))))</f>
        <v>0.576720388273208</v>
      </c>
      <c r="AM30" s="39">
        <f>IF(AND(AL30&gt;=0,CEILING(AL30/INDEX(TABLAS!$D$52:$D$58,MIN(MATCH(DATOS!$C$20,TABLAS!$B$52:$B$58,0)+0,7)),1)&lt;=MIN(DATOS!$C$22,INT((DATOS!$C$25+DATOS!$C$24)/(INDEX(TABLAS!$C$52:$C$58,MIN(MATCH(DATOS!$C$20,TABLAS!$B$52:$B$58,0)+0,7))+DATOS!$C$24)))),INDEX(TABLAS!$B$52:$B$58,MIN(MATCH(DATOS!$C$20,TABLAS!$B$52:$B$58,0)+0,7)),IF(AND(AL30&gt;=0,CEILING(AL30/INDEX(TABLAS!$D$52:$D$58,MIN(MATCH(DATOS!$C$20,TABLAS!$B$52:$B$58,0)+1,7)),1)&lt;=MIN(DATOS!$C$22,INT((DATOS!$C$25+DATOS!$C$24)/(INDEX(TABLAS!$C$52:$C$58,MIN(MATCH(DATOS!$C$20,TABLAS!$B$52:$B$58,0)+1,7))+DATOS!$C$24)))),INDEX(TABLAS!$B$52:$B$58,MIN(MATCH(DATOS!$C$20,TABLAS!$B$52:$B$58,0)+1,7)),IF(AND(AL30&gt;=0,CEILING(AL30/INDEX(TABLAS!$D$52:$D$58,MIN(MATCH(DATOS!$C$20,TABLAS!$B$52:$B$58,0)+2,7)),1)&lt;=MIN(DATOS!$C$22,INT((DATOS!$C$25+DATOS!$C$24)/(INDEX(TABLAS!$C$52:$C$58,MIN(MATCH(DATOS!$C$20,TABLAS!$B$52:$B$58,0)+2,7))+DATOS!$C$24)))),INDEX(TABLAS!$B$52:$B$58,MIN(MATCH(DATOS!$C$20,TABLAS!$B$52:$B$58,0)+2,7)),IF(AND(AL30&gt;=0,CEILING(AL30/INDEX(TABLAS!$D$52:$D$58,MIN(MATCH(DATOS!$C$20,TABLAS!$B$52:$B$58,0)+3,7)),1)&lt;=MIN(DATOS!$C$22,INT((DATOS!$C$25+DATOS!$C$24)/(INDEX(TABLAS!$C$52:$C$58,MIN(MATCH(DATOS!$C$20,TABLAS!$B$52:$B$58,0)+3,7))+DATOS!$C$24)))),INDEX(TABLAS!$B$52:$B$58,MIN(MATCH(DATOS!$C$20,TABLAS!$B$52:$B$58,0)+3,7)),IF(AND(AL30&gt;=0,CEILING(AL30/INDEX(TABLAS!$D$52:$D$58,MIN(MATCH(DATOS!$C$20,TABLAS!$B$52:$B$58,0)+4,7)),1)&lt;=MIN(DATOS!$C$22,INT((DATOS!$C$25+DATOS!$C$24)/(INDEX(TABLAS!$C$52:$C$58,MIN(MATCH(DATOS!$C$20,TABLAS!$B$52:$B$58,0)+4,7))+DATOS!$C$24)))),INDEX(TABLAS!$B$52:$B$58,MIN(MATCH(DATOS!$C$20,TABLAS!$B$52:$B$58,0)+4,7)),INDEX(TABLAS!$B$52:$B$58,7))))))</f>
        <v>3</v>
      </c>
      <c r="AN30" s="55">
        <f>IF(D30="HUECO",0,IF(AL30&lt;0,0,MAX(DATOS!$C$23,CEILING(AL30/INDEX(TABLAS!$D$52:$D$58,MATCH(AM30,TABLAS!$B$52:$B$58,0)),1))))</f>
        <v>1</v>
      </c>
      <c r="AO30" s="34">
        <f>IF(AN30=0,0,DATOS!$C$45*AN30*INDEX(TABLAS!$D$52:$D$58,MATCH(AM30,TABLAS!$B$52:$B$58,0))*DATOS!$C$32*((DATOS!$C$15-DATOS!$C$18-INDEX(TABLAS!$C$52:$C$58,MATCH(DATOS!$C$19,TABLAS!$B$52:$B$58,0))-INDEX(TABLAS!$C$52:$C$58,MATCH(AM30,TABLAS!$B$52:$B$58,0))/2)-AN30*INDEX(TABLAS!$D$52:$D$58,MATCH(AM30,TABLAS!$B$52:$B$58,0))*DATOS!$C$32/(DATOS!$C$38*DATOS!$C$16)/2)/1E5)</f>
        <v>0.584659515176471</v>
      </c>
      <c r="AP30" s="59">
        <f>IF(AL30&lt;0,9.99,IF(AO30&gt;0,AH30/AO30,0))</f>
        <v>0.11830033743736</v>
      </c>
      <c r="AQ30" s="41">
        <f>IF(D30="HUECO",0,IF(AI30&lt;=0,DATOS!$C$71*DATOS!$C$13*DATOS!$C$67,IF((1-2*AI30*1E5/(DATOS!$C$45*DATOS!$C$13*DATOS!$C$67^2*DATOS!$C$38))&lt;0,-1,IF((1-SQRT((1-2*AI30*1E5/(DATOS!$C$45*DATOS!$C$13*DATOS!$C$67^2*DATOS!$C$38))))*DATOS!$C$38*DATOS!$C$13*DATOS!$C$67/DATOS!$C$32&gt;DATOS!$C$70*DATOS!$C$13*DATOS!$C$67,-1,MAX(DATOS!$C$71*DATOS!$C$13*DATOS!$C$67,(1-SQRT((1-2*AI30*1E5/(DATOS!$C$45*DATOS!$C$13*DATOS!$C$67^2*DATOS!$C$38))))*DATOS!$C$38*DATOS!$C$13*DATOS!$C$67/DATOS!$C$32)))))</f>
        <v>0.576720388273208</v>
      </c>
      <c r="AR30" s="39">
        <f>IF(AND(AQ30&gt;=0,CEILING(AQ30/INDEX(TABLAS!$D$52:$D$58,MIN(MATCH(DATOS!$C$21,TABLAS!$B$52:$B$58,0)+0,7)),1)&lt;=MIN(DATOS!$C$22,INT((DATOS!$C$25+DATOS!$C$24)/(INDEX(TABLAS!$C$52:$C$58,MIN(MATCH(DATOS!$C$21,TABLAS!$B$52:$B$58,0)+0,7))+DATOS!$C$24)))),INDEX(TABLAS!$B$52:$B$58,MIN(MATCH(DATOS!$C$21,TABLAS!$B$52:$B$58,0)+0,7)),IF(AND(AQ30&gt;=0,CEILING(AQ30/INDEX(TABLAS!$D$52:$D$58,MIN(MATCH(DATOS!$C$21,TABLAS!$B$52:$B$58,0)+1,7)),1)&lt;=MIN(DATOS!$C$22,INT((DATOS!$C$25+DATOS!$C$24)/(INDEX(TABLAS!$C$52:$C$58,MIN(MATCH(DATOS!$C$21,TABLAS!$B$52:$B$58,0)+1,7))+DATOS!$C$24)))),INDEX(TABLAS!$B$52:$B$58,MIN(MATCH(DATOS!$C$21,TABLAS!$B$52:$B$58,0)+1,7)),IF(AND(AQ30&gt;=0,CEILING(AQ30/INDEX(TABLAS!$D$52:$D$58,MIN(MATCH(DATOS!$C$21,TABLAS!$B$52:$B$58,0)+2,7)),1)&lt;=MIN(DATOS!$C$22,INT((DATOS!$C$25+DATOS!$C$24)/(INDEX(TABLAS!$C$52:$C$58,MIN(MATCH(DATOS!$C$21,TABLAS!$B$52:$B$58,0)+2,7))+DATOS!$C$24)))),INDEX(TABLAS!$B$52:$B$58,MIN(MATCH(DATOS!$C$21,TABLAS!$B$52:$B$58,0)+2,7)),IF(AND(AQ30&gt;=0,CEILING(AQ30/INDEX(TABLAS!$D$52:$D$58,MIN(MATCH(DATOS!$C$21,TABLAS!$B$52:$B$58,0)+3,7)),1)&lt;=MIN(DATOS!$C$22,INT((DATOS!$C$25+DATOS!$C$24)/(INDEX(TABLAS!$C$52:$C$58,MIN(MATCH(DATOS!$C$21,TABLAS!$B$52:$B$58,0)+3,7))+DATOS!$C$24)))),INDEX(TABLAS!$B$52:$B$58,MIN(MATCH(DATOS!$C$21,TABLAS!$B$52:$B$58,0)+3,7)),IF(AND(AQ30&gt;=0,CEILING(AQ30/INDEX(TABLAS!$D$52:$D$58,MIN(MATCH(DATOS!$C$21,TABLAS!$B$52:$B$58,0)+4,7)),1)&lt;=MIN(DATOS!$C$22,INT((DATOS!$C$25+DATOS!$C$24)/(INDEX(TABLAS!$C$52:$C$58,MIN(MATCH(DATOS!$C$21,TABLAS!$B$52:$B$58,0)+4,7))+DATOS!$C$24)))),INDEX(TABLAS!$B$52:$B$58,MIN(MATCH(DATOS!$C$21,TABLAS!$B$52:$B$58,0)+4,7)),INDEX(TABLAS!$B$52:$B$58,7))))))</f>
        <v>3</v>
      </c>
      <c r="AS30" s="55">
        <f>IF(D30="HUECO",0,IF(AQ30&lt;0,0,MAX(1,CEILING(AQ30/INDEX(TABLAS!$D$52:$D$58,MATCH(AR30,TABLAS!$B$52:$B$58,0)),1))))</f>
        <v>1</v>
      </c>
      <c r="AT30" s="34">
        <f>IF(AS30=0,0,DATOS!$C$45*AS30*INDEX(TABLAS!$D$52:$D$58,MATCH(AR30,TABLAS!$B$52:$B$58,0))*DATOS!$C$32*((DATOS!$C$15-DATOS!$C$18-INDEX(TABLAS!$C$52:$C$58,MATCH(DATOS!$C$19,TABLAS!$B$52:$B$58,0))-INDEX(TABLAS!$C$52:$C$58,MATCH(AR30,TABLAS!$B$52:$B$58,0))/2)-AS30*INDEX(TABLAS!$D$52:$D$58,MATCH(AR30,TABLAS!$B$52:$B$58,0))*DATOS!$C$32/(DATOS!$C$38*DATOS!$C$13)/2)/1E5)</f>
        <v>0.568518826235294</v>
      </c>
      <c r="AU30" s="59">
        <f>IF(AQ30&lt;0,9.99,IF(AT30&gt;0,AI30/AT30,0))</f>
        <v>0.20540681572885</v>
      </c>
      <c r="AV30" s="41">
        <f>IF(D30="HUECO",0,IF(AJ30&lt;=0,DATOS!$C$71*DATOS!$C$13*DATOS!$C$66,IF((1-2*AJ30*1E5/(DATOS!$C$45*DATOS!$C$16*DATOS!$C$66^2*DATOS!$C$38))&lt;0,-1,MAX(DATOS!$C$71*DATOS!$C$13*DATOS!$C$66,(1-SQRT((1-2*AJ30*1E5/(DATOS!$C$45*DATOS!$C$16*DATOS!$C$66^2*DATOS!$C$38))))*DATOS!$C$38*DATOS!$C$16*DATOS!$C$66/DATOS!$C$32))))</f>
        <v>0.576720388273208</v>
      </c>
      <c r="AW30" s="39">
        <f>IF(AND(AV30&gt;=0,CEILING(AV30/INDEX(TABLAS!$D$52:$D$58,MIN(MATCH(DATOS!$C$20,TABLAS!$B$52:$B$58,0)+0,7)),1)&lt;=MIN(DATOS!$C$22,INT((DATOS!$C$25+DATOS!$C$24)/(INDEX(TABLAS!$C$52:$C$58,MIN(MATCH(DATOS!$C$20,TABLAS!$B$52:$B$58,0)+0,7))+DATOS!$C$24)))),INDEX(TABLAS!$B$52:$B$58,MIN(MATCH(DATOS!$C$20,TABLAS!$B$52:$B$58,0)+0,7)),IF(AND(AV30&gt;=0,CEILING(AV30/INDEX(TABLAS!$D$52:$D$58,MIN(MATCH(DATOS!$C$20,TABLAS!$B$52:$B$58,0)+1,7)),1)&lt;=MIN(DATOS!$C$22,INT((DATOS!$C$25+DATOS!$C$24)/(INDEX(TABLAS!$C$52:$C$58,MIN(MATCH(DATOS!$C$20,TABLAS!$B$52:$B$58,0)+1,7))+DATOS!$C$24)))),INDEX(TABLAS!$B$52:$B$58,MIN(MATCH(DATOS!$C$20,TABLAS!$B$52:$B$58,0)+1,7)),IF(AND(AV30&gt;=0,CEILING(AV30/INDEX(TABLAS!$D$52:$D$58,MIN(MATCH(DATOS!$C$20,TABLAS!$B$52:$B$58,0)+2,7)),1)&lt;=MIN(DATOS!$C$22,INT((DATOS!$C$25+DATOS!$C$24)/(INDEX(TABLAS!$C$52:$C$58,MIN(MATCH(DATOS!$C$20,TABLAS!$B$52:$B$58,0)+2,7))+DATOS!$C$24)))),INDEX(TABLAS!$B$52:$B$58,MIN(MATCH(DATOS!$C$20,TABLAS!$B$52:$B$58,0)+2,7)),IF(AND(AV30&gt;=0,CEILING(AV30/INDEX(TABLAS!$D$52:$D$58,MIN(MATCH(DATOS!$C$20,TABLAS!$B$52:$B$58,0)+3,7)),1)&lt;=MIN(DATOS!$C$22,INT((DATOS!$C$25+DATOS!$C$24)/(INDEX(TABLAS!$C$52:$C$58,MIN(MATCH(DATOS!$C$20,TABLAS!$B$52:$B$58,0)+3,7))+DATOS!$C$24)))),INDEX(TABLAS!$B$52:$B$58,MIN(MATCH(DATOS!$C$20,TABLAS!$B$52:$B$58,0)+3,7)),IF(AND(AV30&gt;=0,CEILING(AV30/INDEX(TABLAS!$D$52:$D$58,MIN(MATCH(DATOS!$C$20,TABLAS!$B$52:$B$58,0)+4,7)),1)&lt;=MIN(DATOS!$C$22,INT((DATOS!$C$25+DATOS!$C$24)/(INDEX(TABLAS!$C$52:$C$58,MIN(MATCH(DATOS!$C$20,TABLAS!$B$52:$B$58,0)+4,7))+DATOS!$C$24)))),INDEX(TABLAS!$B$52:$B$58,MIN(MATCH(DATOS!$C$20,TABLAS!$B$52:$B$58,0)+4,7)),INDEX(TABLAS!$B$52:$B$58,7))))))</f>
        <v>3</v>
      </c>
      <c r="AX30" s="55">
        <f>IF(D30="HUECO",0,IF(AV30&lt;0,0,MAX(DATOS!$C$23,CEILING(AV30/INDEX(TABLAS!$D$52:$D$58,MATCH(AW30,TABLAS!$B$52:$B$58,0)),1))))</f>
        <v>1</v>
      </c>
      <c r="AY30" s="34">
        <f>IF(AX30=0,0,DATOS!$C$45*AX30*INDEX(TABLAS!$D$52:$D$58,MATCH(AW30,TABLAS!$B$52:$B$58,0))*DATOS!$C$32*((DATOS!$C$15-DATOS!$C$18-INDEX(TABLAS!$C$52:$C$58,MATCH(DATOS!$C$19,TABLAS!$B$52:$B$58,0))-INDEX(TABLAS!$C$52:$C$58,MATCH(AW30,TABLAS!$B$52:$B$58,0))/2)-AX30*INDEX(TABLAS!$D$52:$D$58,MATCH(AW30,TABLAS!$B$52:$B$58,0))*DATOS!$C$32/(DATOS!$C$38*DATOS!$C$16)/2)/1E5)</f>
        <v>0.584659515176471</v>
      </c>
      <c r="AZ30" s="59">
        <f>IF(AV30&lt;0,9.99,IF(AY30&gt;0,AJ30/AY30,0))</f>
        <v>0.0520424487204182</v>
      </c>
      <c r="BA30" s="41">
        <f>IF(D30="HUECO",0,IF(AK30&lt;=0,DATOS!$C$71*DATOS!$C$13*DATOS!$C$67,IF((1-2*AK30*1E5/(DATOS!$C$45*DATOS!$C$13*DATOS!$C$67^2*DATOS!$C$38))&lt;0,-1,IF((1-SQRT((1-2*AK30*1E5/(DATOS!$C$45*DATOS!$C$13*DATOS!$C$67^2*DATOS!$C$38))))*DATOS!$C$38*DATOS!$C$13*DATOS!$C$67/DATOS!$C$32&gt;DATOS!$C$70*DATOS!$C$13*DATOS!$C$67,-1,MAX(DATOS!$C$71*DATOS!$C$13*DATOS!$C$67,(1-SQRT((1-2*AK30*1E5/(DATOS!$C$45*DATOS!$C$13*DATOS!$C$67^2*DATOS!$C$38))))*DATOS!$C$38*DATOS!$C$13*DATOS!$C$67/DATOS!$C$32)))))</f>
        <v>0.576720388273208</v>
      </c>
      <c r="BB30" s="39">
        <f>IF(AND(BA30&gt;=0,CEILING(BA30/INDEX(TABLAS!$D$52:$D$58,MIN(MATCH(DATOS!$C$21,TABLAS!$B$52:$B$58,0)+0,7)),1)&lt;=MIN(DATOS!$C$22,INT((DATOS!$C$25+DATOS!$C$24)/(INDEX(TABLAS!$C$52:$C$58,MIN(MATCH(DATOS!$C$21,TABLAS!$B$52:$B$58,0)+0,7))+DATOS!$C$24)))),INDEX(TABLAS!$B$52:$B$58,MIN(MATCH(DATOS!$C$21,TABLAS!$B$52:$B$58,0)+0,7)),IF(AND(BA30&gt;=0,CEILING(BA30/INDEX(TABLAS!$D$52:$D$58,MIN(MATCH(DATOS!$C$21,TABLAS!$B$52:$B$58,0)+1,7)),1)&lt;=MIN(DATOS!$C$22,INT((DATOS!$C$25+DATOS!$C$24)/(INDEX(TABLAS!$C$52:$C$58,MIN(MATCH(DATOS!$C$21,TABLAS!$B$52:$B$58,0)+1,7))+DATOS!$C$24)))),INDEX(TABLAS!$B$52:$B$58,MIN(MATCH(DATOS!$C$21,TABLAS!$B$52:$B$58,0)+1,7)),IF(AND(BA30&gt;=0,CEILING(BA30/INDEX(TABLAS!$D$52:$D$58,MIN(MATCH(DATOS!$C$21,TABLAS!$B$52:$B$58,0)+2,7)),1)&lt;=MIN(DATOS!$C$22,INT((DATOS!$C$25+DATOS!$C$24)/(INDEX(TABLAS!$C$52:$C$58,MIN(MATCH(DATOS!$C$21,TABLAS!$B$52:$B$58,0)+2,7))+DATOS!$C$24)))),INDEX(TABLAS!$B$52:$B$58,MIN(MATCH(DATOS!$C$21,TABLAS!$B$52:$B$58,0)+2,7)),IF(AND(BA30&gt;=0,CEILING(BA30/INDEX(TABLAS!$D$52:$D$58,MIN(MATCH(DATOS!$C$21,TABLAS!$B$52:$B$58,0)+3,7)),1)&lt;=MIN(DATOS!$C$22,INT((DATOS!$C$25+DATOS!$C$24)/(INDEX(TABLAS!$C$52:$C$58,MIN(MATCH(DATOS!$C$21,TABLAS!$B$52:$B$58,0)+3,7))+DATOS!$C$24)))),INDEX(TABLAS!$B$52:$B$58,MIN(MATCH(DATOS!$C$21,TABLAS!$B$52:$B$58,0)+3,7)),IF(AND(BA30&gt;=0,CEILING(BA30/INDEX(TABLAS!$D$52:$D$58,MIN(MATCH(DATOS!$C$21,TABLAS!$B$52:$B$58,0)+4,7)),1)&lt;=MIN(DATOS!$C$22,INT((DATOS!$C$25+DATOS!$C$24)/(INDEX(TABLAS!$C$52:$C$58,MIN(MATCH(DATOS!$C$21,TABLAS!$B$52:$B$58,0)+4,7))+DATOS!$C$24)))),INDEX(TABLAS!$B$52:$B$58,MIN(MATCH(DATOS!$C$21,TABLAS!$B$52:$B$58,0)+4,7)),INDEX(TABLAS!$B$52:$B$58,7))))))</f>
        <v>3</v>
      </c>
      <c r="BC30" s="55">
        <f>IF(D30="HUECO",0,IF(BA30&lt;0,0,MAX(1,CEILING(BA30/INDEX(TABLAS!$D$52:$D$58,MATCH(BB30,TABLAS!$B$52:$B$58,0)),1))))</f>
        <v>1</v>
      </c>
      <c r="BD30" s="34">
        <f>IF(BC30=0,0,DATOS!$C$45*BC30*INDEX(TABLAS!$D$52:$D$58,MATCH(BB30,TABLAS!$B$52:$B$58,0))*DATOS!$C$32*((DATOS!$C$15-DATOS!$C$18-INDEX(TABLAS!$C$52:$C$58,MATCH(DATOS!$C$19,TABLAS!$B$52:$B$58,0))-INDEX(TABLAS!$C$52:$C$58,MATCH(BB30,TABLAS!$B$52:$B$58,0))/2)-BC30*INDEX(TABLAS!$D$52:$D$58,MATCH(BB30,TABLAS!$B$52:$B$58,0))*DATOS!$C$32/(DATOS!$C$38*DATOS!$C$13)/2)/1E5)</f>
        <v>0.568518826235294</v>
      </c>
      <c r="BE30" s="59">
        <f>IF(BA30&lt;0,9.99,IF(BD30&gt;0,AK30/BD30,0))</f>
        <v>0.167104855888933</v>
      </c>
      <c r="BF30" s="34">
        <f>IF(D30="PERIMETRAL",MAX(0,(J30/2-DATOS!$C$66/100))*(0.95-0.5*L30)*R30*IF(AND(S30&gt;0,S30&lt;4),DATOS!$C$50,1)*DATOS!$C$16/100/1000,IF(D30="VOLADO",(R30*J30+DATOS!$C$43*AG30)*DATOS!$C$16/100/1000,0))</f>
        <v>0.332069840304183</v>
      </c>
      <c r="BG30" s="34">
        <f>IF(D30="HUECO",0,DATOS!$C$46*IF((AS30*INDEX(TABLAS!$D$52:$D$58,MATCH(AR30,TABLAS!$B$52:$B$58,0))/(DATOS!$C$13*DATOS!$C$67))&lt;0.015,0.2+20*(AS30*INDEX(TABLAS!$D$52:$D$58,MATCH(AR30,TABLAS!$B$52:$B$58,0))/(DATOS!$C$13*DATOS!$C$67)),0.5)*SQRT(DATOS!$C$31)*DATOS!$C$13*DATOS!$C$67*DATOS!$C$49/1000)</f>
        <v>0.687439634849853</v>
      </c>
      <c r="BH30" s="49" t="str">
        <f>IF(D30="HUECO","—",IF(BF30&lt;=BG30,"CUMPLE","MACIZAR "&amp;MAX(1,CEILING(IF(D30="VOLADO",J30,J30/2)*(1-BG30/BF30)*100/DATOS!$C$16,1))&amp;" hilera(s)"))</f>
        <v>CUMPLE</v>
      </c>
      <c r="BI30" s="41">
        <f>IF(D30="PERIMETRAL",(2*(H30+I30)+0.25*(H30*((APOYOS!$G$113="DISCONTINUO")+(APOYOS!$G$114="DISCONTINUO"))+I30*((APOYOS!$G$115="DISCONTINUO")+(APOYOS!$G$116="DISCONTINUO"))))*(J30+MIN(K30,2*J30))/(J30+K30)*100/250*IF(OR(DATOS!$C$47&gt;2520,Q30&gt;380),0.032*(DATOS!$C$47*Q30)^0.25,1),IF(D30="VOLADO",J30*100/8,0))</f>
        <v>5.41885531065329</v>
      </c>
      <c r="BJ30" s="41">
        <f>IF(D30="VOLADO",DATOS!$C$15,DATOS!$C$68)</f>
        <v>13.6082564120244</v>
      </c>
      <c r="BK30" s="50" t="str">
        <f>IF(D30="HUECO","—",IF(BJ30&gt;=BI30,"CUMPLE","NO CUMPLE"))</f>
        <v>CUMPLE</v>
      </c>
      <c r="BL30" s="50" t="str">
        <f>IF(D30="PERIMETRAL",IF(DATOS!$C$16/100&lt;=J30/6,"SÍ","NO: a1 &lt; 6·s"),"—")</f>
        <v>NO: a1 &lt; 6·s</v>
      </c>
      <c r="BM30" s="55">
        <f>MAX(0,INT((F30*100-DATOS!$C$17+DATOS!$C$13)/DATOS!$C$16))</f>
        <v>4</v>
      </c>
      <c r="BN30" s="55">
        <f>MAX(0,INT((G30*100-DATOS!$C$17+DATOS!$C$13)/DATOS!$C$16))</f>
        <v>2</v>
      </c>
      <c r="BO30" s="49" t="str">
        <f>IF(COUNTIFS(TRIB!$C$6:$C$255,B30,TRIB!$K$6:$K$255,"NO CUMPLE*")+COUNTIFS(TRIB!$C$6:$C$255,B30,TRIB!$K$6:$K$255,"SIN APOYO*")&gt;0,"VER PRINCIPALES",IF((APOYOS!$F$113="LIBRE")+(APOYOS!$F$114="LIBRE")+(APOYOS!$F$115="LIBRE")+(APOYOS!$F$116="LIBRE")&gt;0,"REVISAR: borde libre","OK"))</f>
        <v>OK</v>
      </c>
      <c r="BP30" s="60" t="str">
        <f>IF(D30="HUECO","HUECO — marco de nervaduras principales",IF(AND(MAX(AP30,AU30,AZ30,BE30)&lt;=1,NOT(OR(AN30&gt;MIN(DATOS!$C$22,INT((DATOS!$C$25+DATOS!$C$24)/(INDEX(TABLAS!$C$52:$C$58,MATCH(AM30,TABLAS!$B$52:$B$58,0))+DATOS!$C$24))),AS30&gt;MIN(DATOS!$C$22,INT((DATOS!$C$25+DATOS!$C$24)/(INDEX(TABLAS!$C$52:$C$58,MATCH(AR30,TABLAS!$B$52:$B$58,0))+DATOS!$C$24))),AX30&gt;MIN(DATOS!$C$22,INT((DATOS!$C$25+DATOS!$C$24)/(INDEX(TABLAS!$C$52:$C$58,MATCH(AW30,TABLAS!$B$52:$B$58,0))+DATOS!$C$24))),BC30&gt;MIN(DATOS!$C$22,INT((DATOS!$C$25+DATOS!$C$24)/(INDEX(TABLAS!$C$52:$C$58,MATCH(BB30,TABLAS!$B$52:$B$58,0))+DATOS!$C$24))))),BK30="CUMPLE"),IF(BO30="OK",IF(BH30="CUMPLE","CUMPLE","CUMPLE — "&amp;BH30),IF(BO30="VER PRINCIPALES","VER PRINCIPALES","REVISAR APOYOS")),"NO CUMPLE: "&amp;IF(MAX(AP30,AU30,AZ30,BE30)&gt;1,"flexión ","")&amp;IF(OR(AN30&gt;MIN(DATOS!$C$22,INT((DATOS!$C$25+DATOS!$C$24)/(INDEX(TABLAS!$C$52:$C$58,MATCH(AM30,TABLAS!$B$52:$B$58,0))+DATOS!$C$24))),AS30&gt;MIN(DATOS!$C$22,INT((DATOS!$C$25+DATOS!$C$24)/(INDEX(TABLAS!$C$52:$C$58,MATCH(AR30,TABLAS!$B$52:$B$58,0))+DATOS!$C$24))),AX30&gt;MIN(DATOS!$C$22,INT((DATOS!$C$25+DATOS!$C$24)/(INDEX(TABLAS!$C$52:$C$58,MATCH(AW30,TABLAS!$B$52:$B$58,0))+DATOS!$C$24))),BC30&gt;MIN(DATOS!$C$22,INT((DATOS!$C$25+DATOS!$C$24)/(INDEX(TABLAS!$C$52:$C$58,MATCH(BB30,TABLAS!$B$52:$B$58,0))+DATOS!$C$24)))),"no caben ","")&amp;IF(BK30&lt;&gt;"CUMPLE","peralte","")))</f>
        <v>CUMPLE</v>
      </c>
      <c r="BQ30" s="61" t="inlineStr">
        <is>
          <t>En el E2K está como «Slab1» (maciza 20 cm, 4000 psi): corregir a LR-25.</t>
        </is>
      </c>
    </row>
    <row r="31" ht="30" customHeight="1">
      <c r="B31" s="49" t="inlineStr">
        <is>
          <t>F80023 N+6.00</t>
        </is>
      </c>
      <c r="C31" s="50" t="inlineStr">
        <is>
          <t>N+6.00</t>
        </is>
      </c>
      <c r="D31" s="51" t="inlineStr">
        <is>
          <t>PERIMETRAL</t>
        </is>
      </c>
      <c r="E31" s="51" t="inlineStr">
        <is>
          <t>AZOTEA</t>
        </is>
      </c>
      <c r="F31" s="52" t="n">
        <v>1.596</v>
      </c>
      <c r="G31" s="52" t="n">
        <v>3.025</v>
      </c>
      <c r="H31" s="53" t="n">
        <v>1.596</v>
      </c>
      <c r="I31" s="53" t="n">
        <v>3.025</v>
      </c>
      <c r="J31" s="34">
        <f>MIN(H31,I31)</f>
        <v>1.596</v>
      </c>
      <c r="K31" s="34">
        <f>MAX(H31,I31)</f>
        <v>3.025</v>
      </c>
      <c r="L31" s="34">
        <f>IF(K31&gt;0,J31/K31,0)</f>
        <v>0.527603305785124</v>
      </c>
      <c r="M31" s="50" t="str">
        <f>IF(H31&lt;=I31,"X","Y")</f>
        <v>X</v>
      </c>
      <c r="N31" s="54" t="n">
        <v>270</v>
      </c>
      <c r="O31" s="55">
        <f>IF(E31="HABITACIÓN",DATOS!$C$76,DATOS!$C$78)</f>
        <v>100</v>
      </c>
      <c r="P31" s="55">
        <f>DATOS!$C$58</f>
        <v>253.673469387755</v>
      </c>
      <c r="Q31" s="55">
        <f>P31+N31+O31</f>
        <v>623.673469387755</v>
      </c>
      <c r="R31" s="56">
        <f>DATOS!$C$43*(P31+N31)+DATOS!$C$44*O31</f>
        <v>830.775510204082</v>
      </c>
      <c r="S31" s="55">
        <f>(APOYOS!$G$117="DISCONTINUO")+(APOYOS!$G$118="DISCONTINUO")+(APOYOS!$G$119="DISCONTINUO")+(APOYOS!$G$120="DISCONTINUO")</f>
        <v>2</v>
      </c>
      <c r="T31" s="55">
        <f>IF(M31="X",(APOYOS!$G$117="DISCONTINUO")+(APOYOS!$G$118="DISCONTINUO"),(APOYOS!$G$119="DISCONTINUO")+(APOYOS!$G$120="DISCONTINUO"))</f>
        <v>1</v>
      </c>
      <c r="U31" s="55">
        <f>S31-T31</f>
        <v>1</v>
      </c>
      <c r="V31" s="50" t="str">
        <f>IF(S31=0,"INTERIOR",IF(S31=1,IF(T31=1,"BORDE-CORTO","BORDE-LARGO"),IF(S31=2,IF(T31=1,"ESQUINA",IF(T31=2,"EXTREMO-LARGO","EXTREMO-CORTO")),IF(S31=3,IF(T31=2,"EXTREMO-LARGO","EXTREMO-CORTO"),"AISLADO"))))</f>
        <v>ESQUINA</v>
      </c>
      <c r="W31" s="51" t="inlineStr">
        <is>
          <t>AUTO</t>
        </is>
      </c>
      <c r="X31" s="57" t="str">
        <f>IF(W31="AUTO",V31,W31)</f>
        <v>ESQUINA</v>
      </c>
      <c r="Y31" s="55">
        <f>MATCH(L31,TABLAS!$D$5:$J$5,1)</f>
        <v>2</v>
      </c>
      <c r="Z31" s="41">
        <f>IF(Y31&gt;=7,0,(L31-INDEX(TABLAS!$D$5:$J$5,Y31))/(INDEX(TABLAS!$D$5:$J$5,Y31+1)-INDEX(TABLAS!$D$5:$J$5,Y31)))</f>
        <v>0.276033057851241</v>
      </c>
      <c r="AA31" s="55">
        <f>INDEX(TABLAS!$D$6:$J$47,MATCH(X31&amp;"|NIC",TABLAS!$B$6:$B$47,0),Y31)+Z31*(INDEX(TABLAS!$D$6:$J$47,MATCH(X31&amp;"|NIC",TABLAS!$B$6:$B$47,0),MIN(Y31+1,7))-INDEX(TABLAS!$D$6:$J$47,MATCH(X31&amp;"|NIC",TABLAS!$B$6:$B$47,0),Y31))</f>
        <v>579.229752066116</v>
      </c>
      <c r="AB31" s="55">
        <f>INDEX(TABLAS!$D$6:$J$47,MATCH(X31&amp;"|NIL",TABLAS!$B$6:$B$47,0),Y31)+Z31*(INDEX(TABLAS!$D$6:$J$47,MATCH(X31&amp;"|NIL",TABLAS!$B$6:$B$47,0),MIN(Y31+1,7))-INDEX(TABLAS!$D$6:$J$47,MATCH(X31&amp;"|NIL",TABLAS!$B$6:$B$47,0),Y31))</f>
        <v>469.479338842975</v>
      </c>
      <c r="AC31" s="55">
        <f>INDEX(TABLAS!$D$6:$J$47,MATCH(X31&amp;"|NDC",TABLAS!$B$6:$B$47,0),Y31)+Z31*(INDEX(TABLAS!$D$6:$J$47,MATCH(X31&amp;"|NDC",TABLAS!$B$6:$B$47,0),MIN(Y31+1,7))-INDEX(TABLAS!$D$6:$J$47,MATCH(X31&amp;"|NDC",TABLAS!$B$6:$B$47,0),Y31))</f>
        <v>350.682644628099</v>
      </c>
      <c r="AD31" s="55">
        <f>INDEX(TABLAS!$D$6:$J$47,MATCH(X31&amp;"|NDL",TABLAS!$B$6:$B$47,0),Y31)+Z31*(INDEX(TABLAS!$D$6:$J$47,MATCH(X31&amp;"|NDL",TABLAS!$B$6:$B$47,0),MIN(Y31+1,7))-INDEX(TABLAS!$D$6:$J$47,MATCH(X31&amp;"|NDL",TABLAS!$B$6:$B$47,0),Y31))</f>
        <v>255.239669421488</v>
      </c>
      <c r="AE31" s="55">
        <f>INDEX(TABLAS!$D$6:$J$47,MATCH(X31&amp;"|PC",TABLAS!$B$6:$B$47,0),Y31)+Z31*(INDEX(TABLAS!$D$6:$J$47,MATCH(X31&amp;"|PC",TABLAS!$B$6:$B$47,0),MIN(Y31+1,7))-INDEX(TABLAS!$D$6:$J$47,MATCH(X31&amp;"|PC",TABLAS!$B$6:$B$47,0),Y31))</f>
        <v>343.646280991735</v>
      </c>
      <c r="AF31" s="55">
        <f>INDEX(TABLAS!$D$6:$J$47,MATCH(X31&amp;"|PL",TABLAS!$B$6:$B$47,0),Y31)+Z31*(INDEX(TABLAS!$D$6:$J$47,MATCH(X31&amp;"|PL",TABLAS!$B$6:$B$47,0),MIN(Y31+1,7))-INDEX(TABLAS!$D$6:$J$47,MATCH(X31&amp;"|PL",TABLAS!$B$6:$B$47,0),Y31))</f>
        <v>150.343801652893</v>
      </c>
      <c r="AG31" s="58" t="n">
        <v>0</v>
      </c>
      <c r="AH31" s="34">
        <f>IF(D31="PERIMETRAL",AE31*R31*J31^2*1E-4*DATOS!$C$16/100/1000,0)</f>
        <v>0.0509048483649227</v>
      </c>
      <c r="AI31" s="34">
        <f>IF(D31="PERIMETRAL",MAX(AA31,AC31)*R31*J31^2*1E-4*DATOS!$C$16/100/1000,IF(D31="VOLADO",(R31*J31^2/2+DATOS!$C$43*AG31*J31)*DATOS!$C$16/100/1000,0))</f>
        <v>0.0858021876805543</v>
      </c>
      <c r="AJ31" s="34">
        <f>IF(D31="PERIMETRAL",AF31*R31*J31^2*1E-4*DATOS!$C$16/100/1000,0)</f>
        <v>0.0222706569198419</v>
      </c>
      <c r="AK31" s="34">
        <f>IF(D31="PERIMETRAL",MAX(AB31,AD31)*R31*J31^2*1E-4*DATOS!$C$16/100/1000,0)</f>
        <v>0.0695446913765395</v>
      </c>
      <c r="AL31" s="41">
        <f>IF(D31="HUECO",0,IF(AH31&lt;=0,DATOS!$C$71*DATOS!$C$13*DATOS!$C$66,IF((1-2*AH31*1E5/(DATOS!$C$45*DATOS!$C$16*DATOS!$C$66^2*DATOS!$C$38))&lt;0,-1,MAX(DATOS!$C$71*DATOS!$C$13*DATOS!$C$66,(1-SQRT((1-2*AH31*1E5/(DATOS!$C$45*DATOS!$C$16*DATOS!$C$66^2*DATOS!$C$38))))*DATOS!$C$38*DATOS!$C$16*DATOS!$C$66/DATOS!$C$32))))</f>
        <v>0.576720388273208</v>
      </c>
      <c r="AM31" s="39">
        <f>IF(AND(AL31&gt;=0,CEILING(AL31/INDEX(TABLAS!$D$52:$D$58,MIN(MATCH(DATOS!$C$20,TABLAS!$B$52:$B$58,0)+0,7)),1)&lt;=MIN(DATOS!$C$22,INT((DATOS!$C$25+DATOS!$C$24)/(INDEX(TABLAS!$C$52:$C$58,MIN(MATCH(DATOS!$C$20,TABLAS!$B$52:$B$58,0)+0,7))+DATOS!$C$24)))),INDEX(TABLAS!$B$52:$B$58,MIN(MATCH(DATOS!$C$20,TABLAS!$B$52:$B$58,0)+0,7)),IF(AND(AL31&gt;=0,CEILING(AL31/INDEX(TABLAS!$D$52:$D$58,MIN(MATCH(DATOS!$C$20,TABLAS!$B$52:$B$58,0)+1,7)),1)&lt;=MIN(DATOS!$C$22,INT((DATOS!$C$25+DATOS!$C$24)/(INDEX(TABLAS!$C$52:$C$58,MIN(MATCH(DATOS!$C$20,TABLAS!$B$52:$B$58,0)+1,7))+DATOS!$C$24)))),INDEX(TABLAS!$B$52:$B$58,MIN(MATCH(DATOS!$C$20,TABLAS!$B$52:$B$58,0)+1,7)),IF(AND(AL31&gt;=0,CEILING(AL31/INDEX(TABLAS!$D$52:$D$58,MIN(MATCH(DATOS!$C$20,TABLAS!$B$52:$B$58,0)+2,7)),1)&lt;=MIN(DATOS!$C$22,INT((DATOS!$C$25+DATOS!$C$24)/(INDEX(TABLAS!$C$52:$C$58,MIN(MATCH(DATOS!$C$20,TABLAS!$B$52:$B$58,0)+2,7))+DATOS!$C$24)))),INDEX(TABLAS!$B$52:$B$58,MIN(MATCH(DATOS!$C$20,TABLAS!$B$52:$B$58,0)+2,7)),IF(AND(AL31&gt;=0,CEILING(AL31/INDEX(TABLAS!$D$52:$D$58,MIN(MATCH(DATOS!$C$20,TABLAS!$B$52:$B$58,0)+3,7)),1)&lt;=MIN(DATOS!$C$22,INT((DATOS!$C$25+DATOS!$C$24)/(INDEX(TABLAS!$C$52:$C$58,MIN(MATCH(DATOS!$C$20,TABLAS!$B$52:$B$58,0)+3,7))+DATOS!$C$24)))),INDEX(TABLAS!$B$52:$B$58,MIN(MATCH(DATOS!$C$20,TABLAS!$B$52:$B$58,0)+3,7)),IF(AND(AL31&gt;=0,CEILING(AL31/INDEX(TABLAS!$D$52:$D$58,MIN(MATCH(DATOS!$C$20,TABLAS!$B$52:$B$58,0)+4,7)),1)&lt;=MIN(DATOS!$C$22,INT((DATOS!$C$25+DATOS!$C$24)/(INDEX(TABLAS!$C$52:$C$58,MIN(MATCH(DATOS!$C$20,TABLAS!$B$52:$B$58,0)+4,7))+DATOS!$C$24)))),INDEX(TABLAS!$B$52:$B$58,MIN(MATCH(DATOS!$C$20,TABLAS!$B$52:$B$58,0)+4,7)),INDEX(TABLAS!$B$52:$B$58,7))))))</f>
        <v>3</v>
      </c>
      <c r="AN31" s="55">
        <f>IF(D31="HUECO",0,IF(AL31&lt;0,0,MAX(DATOS!$C$23,CEILING(AL31/INDEX(TABLAS!$D$52:$D$58,MATCH(AM31,TABLAS!$B$52:$B$58,0)),1))))</f>
        <v>1</v>
      </c>
      <c r="AO31" s="34">
        <f>IF(AN31=0,0,DATOS!$C$45*AN31*INDEX(TABLAS!$D$52:$D$58,MATCH(AM31,TABLAS!$B$52:$B$58,0))*DATOS!$C$32*((DATOS!$C$15-DATOS!$C$18-INDEX(TABLAS!$C$52:$C$58,MATCH(DATOS!$C$19,TABLAS!$B$52:$B$58,0))-INDEX(TABLAS!$C$52:$C$58,MATCH(AM31,TABLAS!$B$52:$B$58,0))/2)-AN31*INDEX(TABLAS!$D$52:$D$58,MATCH(AM31,TABLAS!$B$52:$B$58,0))*DATOS!$C$32/(DATOS!$C$38*DATOS!$C$16)/2)/1E5)</f>
        <v>0.584659515176471</v>
      </c>
      <c r="AP31" s="59">
        <f>IF(AL31&lt;0,9.99,IF(AO31&gt;0,AH31/AO31,0))</f>
        <v>0.0870675103090691</v>
      </c>
      <c r="AQ31" s="41">
        <f>IF(D31="HUECO",0,IF(AI31&lt;=0,DATOS!$C$71*DATOS!$C$13*DATOS!$C$67,IF((1-2*AI31*1E5/(DATOS!$C$45*DATOS!$C$13*DATOS!$C$67^2*DATOS!$C$38))&lt;0,-1,IF((1-SQRT((1-2*AI31*1E5/(DATOS!$C$45*DATOS!$C$13*DATOS!$C$67^2*DATOS!$C$38))))*DATOS!$C$38*DATOS!$C$13*DATOS!$C$67/DATOS!$C$32&gt;DATOS!$C$70*DATOS!$C$13*DATOS!$C$67,-1,MAX(DATOS!$C$71*DATOS!$C$13*DATOS!$C$67,(1-SQRT((1-2*AI31*1E5/(DATOS!$C$45*DATOS!$C$13*DATOS!$C$67^2*DATOS!$C$38))))*DATOS!$C$38*DATOS!$C$13*DATOS!$C$67/DATOS!$C$32)))))</f>
        <v>0.576720388273208</v>
      </c>
      <c r="AR31" s="39">
        <f>IF(AND(AQ31&gt;=0,CEILING(AQ31/INDEX(TABLAS!$D$52:$D$58,MIN(MATCH(DATOS!$C$21,TABLAS!$B$52:$B$58,0)+0,7)),1)&lt;=MIN(DATOS!$C$22,INT((DATOS!$C$25+DATOS!$C$24)/(INDEX(TABLAS!$C$52:$C$58,MIN(MATCH(DATOS!$C$21,TABLAS!$B$52:$B$58,0)+0,7))+DATOS!$C$24)))),INDEX(TABLAS!$B$52:$B$58,MIN(MATCH(DATOS!$C$21,TABLAS!$B$52:$B$58,0)+0,7)),IF(AND(AQ31&gt;=0,CEILING(AQ31/INDEX(TABLAS!$D$52:$D$58,MIN(MATCH(DATOS!$C$21,TABLAS!$B$52:$B$58,0)+1,7)),1)&lt;=MIN(DATOS!$C$22,INT((DATOS!$C$25+DATOS!$C$24)/(INDEX(TABLAS!$C$52:$C$58,MIN(MATCH(DATOS!$C$21,TABLAS!$B$52:$B$58,0)+1,7))+DATOS!$C$24)))),INDEX(TABLAS!$B$52:$B$58,MIN(MATCH(DATOS!$C$21,TABLAS!$B$52:$B$58,0)+1,7)),IF(AND(AQ31&gt;=0,CEILING(AQ31/INDEX(TABLAS!$D$52:$D$58,MIN(MATCH(DATOS!$C$21,TABLAS!$B$52:$B$58,0)+2,7)),1)&lt;=MIN(DATOS!$C$22,INT((DATOS!$C$25+DATOS!$C$24)/(INDEX(TABLAS!$C$52:$C$58,MIN(MATCH(DATOS!$C$21,TABLAS!$B$52:$B$58,0)+2,7))+DATOS!$C$24)))),INDEX(TABLAS!$B$52:$B$58,MIN(MATCH(DATOS!$C$21,TABLAS!$B$52:$B$58,0)+2,7)),IF(AND(AQ31&gt;=0,CEILING(AQ31/INDEX(TABLAS!$D$52:$D$58,MIN(MATCH(DATOS!$C$21,TABLAS!$B$52:$B$58,0)+3,7)),1)&lt;=MIN(DATOS!$C$22,INT((DATOS!$C$25+DATOS!$C$24)/(INDEX(TABLAS!$C$52:$C$58,MIN(MATCH(DATOS!$C$21,TABLAS!$B$52:$B$58,0)+3,7))+DATOS!$C$24)))),INDEX(TABLAS!$B$52:$B$58,MIN(MATCH(DATOS!$C$21,TABLAS!$B$52:$B$58,0)+3,7)),IF(AND(AQ31&gt;=0,CEILING(AQ31/INDEX(TABLAS!$D$52:$D$58,MIN(MATCH(DATOS!$C$21,TABLAS!$B$52:$B$58,0)+4,7)),1)&lt;=MIN(DATOS!$C$22,INT((DATOS!$C$25+DATOS!$C$24)/(INDEX(TABLAS!$C$52:$C$58,MIN(MATCH(DATOS!$C$21,TABLAS!$B$52:$B$58,0)+4,7))+DATOS!$C$24)))),INDEX(TABLAS!$B$52:$B$58,MIN(MATCH(DATOS!$C$21,TABLAS!$B$52:$B$58,0)+4,7)),INDEX(TABLAS!$B$52:$B$58,7))))))</f>
        <v>3</v>
      </c>
      <c r="AS31" s="55">
        <f>IF(D31="HUECO",0,IF(AQ31&lt;0,0,MAX(1,CEILING(AQ31/INDEX(TABLAS!$D$52:$D$58,MATCH(AR31,TABLAS!$B$52:$B$58,0)),1))))</f>
        <v>1</v>
      </c>
      <c r="AT31" s="34">
        <f>IF(AS31=0,0,DATOS!$C$45*AS31*INDEX(TABLAS!$D$52:$D$58,MATCH(AR31,TABLAS!$B$52:$B$58,0))*DATOS!$C$32*((DATOS!$C$15-DATOS!$C$18-INDEX(TABLAS!$C$52:$C$58,MATCH(DATOS!$C$19,TABLAS!$B$52:$B$58,0))-INDEX(TABLAS!$C$52:$C$58,MATCH(AR31,TABLAS!$B$52:$B$58,0))/2)-AS31*INDEX(TABLAS!$D$52:$D$58,MATCH(AR31,TABLAS!$B$52:$B$58,0))*DATOS!$C$32/(DATOS!$C$38*DATOS!$C$13)/2)/1E5)</f>
        <v>0.568518826235294</v>
      </c>
      <c r="AU31" s="59">
        <f>IF(AQ31&lt;0,9.99,IF(AT31&gt;0,AI31/AT31,0))</f>
        <v>0.150922333124362</v>
      </c>
      <c r="AV31" s="41">
        <f>IF(D31="HUECO",0,IF(AJ31&lt;=0,DATOS!$C$71*DATOS!$C$13*DATOS!$C$66,IF((1-2*AJ31*1E5/(DATOS!$C$45*DATOS!$C$16*DATOS!$C$66^2*DATOS!$C$38))&lt;0,-1,MAX(DATOS!$C$71*DATOS!$C$13*DATOS!$C$66,(1-SQRT((1-2*AJ31*1E5/(DATOS!$C$45*DATOS!$C$16*DATOS!$C$66^2*DATOS!$C$38))))*DATOS!$C$38*DATOS!$C$16*DATOS!$C$66/DATOS!$C$32))))</f>
        <v>0.576720388273208</v>
      </c>
      <c r="AW31" s="39">
        <f>IF(AND(AV31&gt;=0,CEILING(AV31/INDEX(TABLAS!$D$52:$D$58,MIN(MATCH(DATOS!$C$20,TABLAS!$B$52:$B$58,0)+0,7)),1)&lt;=MIN(DATOS!$C$22,INT((DATOS!$C$25+DATOS!$C$24)/(INDEX(TABLAS!$C$52:$C$58,MIN(MATCH(DATOS!$C$20,TABLAS!$B$52:$B$58,0)+0,7))+DATOS!$C$24)))),INDEX(TABLAS!$B$52:$B$58,MIN(MATCH(DATOS!$C$20,TABLAS!$B$52:$B$58,0)+0,7)),IF(AND(AV31&gt;=0,CEILING(AV31/INDEX(TABLAS!$D$52:$D$58,MIN(MATCH(DATOS!$C$20,TABLAS!$B$52:$B$58,0)+1,7)),1)&lt;=MIN(DATOS!$C$22,INT((DATOS!$C$25+DATOS!$C$24)/(INDEX(TABLAS!$C$52:$C$58,MIN(MATCH(DATOS!$C$20,TABLAS!$B$52:$B$58,0)+1,7))+DATOS!$C$24)))),INDEX(TABLAS!$B$52:$B$58,MIN(MATCH(DATOS!$C$20,TABLAS!$B$52:$B$58,0)+1,7)),IF(AND(AV31&gt;=0,CEILING(AV31/INDEX(TABLAS!$D$52:$D$58,MIN(MATCH(DATOS!$C$20,TABLAS!$B$52:$B$58,0)+2,7)),1)&lt;=MIN(DATOS!$C$22,INT((DATOS!$C$25+DATOS!$C$24)/(INDEX(TABLAS!$C$52:$C$58,MIN(MATCH(DATOS!$C$20,TABLAS!$B$52:$B$58,0)+2,7))+DATOS!$C$24)))),INDEX(TABLAS!$B$52:$B$58,MIN(MATCH(DATOS!$C$20,TABLAS!$B$52:$B$58,0)+2,7)),IF(AND(AV31&gt;=0,CEILING(AV31/INDEX(TABLAS!$D$52:$D$58,MIN(MATCH(DATOS!$C$20,TABLAS!$B$52:$B$58,0)+3,7)),1)&lt;=MIN(DATOS!$C$22,INT((DATOS!$C$25+DATOS!$C$24)/(INDEX(TABLAS!$C$52:$C$58,MIN(MATCH(DATOS!$C$20,TABLAS!$B$52:$B$58,0)+3,7))+DATOS!$C$24)))),INDEX(TABLAS!$B$52:$B$58,MIN(MATCH(DATOS!$C$20,TABLAS!$B$52:$B$58,0)+3,7)),IF(AND(AV31&gt;=0,CEILING(AV31/INDEX(TABLAS!$D$52:$D$58,MIN(MATCH(DATOS!$C$20,TABLAS!$B$52:$B$58,0)+4,7)),1)&lt;=MIN(DATOS!$C$22,INT((DATOS!$C$25+DATOS!$C$24)/(INDEX(TABLAS!$C$52:$C$58,MIN(MATCH(DATOS!$C$20,TABLAS!$B$52:$B$58,0)+4,7))+DATOS!$C$24)))),INDEX(TABLAS!$B$52:$B$58,MIN(MATCH(DATOS!$C$20,TABLAS!$B$52:$B$58,0)+4,7)),INDEX(TABLAS!$B$52:$B$58,7))))))</f>
        <v>3</v>
      </c>
      <c r="AX31" s="55">
        <f>IF(D31="HUECO",0,IF(AV31&lt;0,0,MAX(DATOS!$C$23,CEILING(AV31/INDEX(TABLAS!$D$52:$D$58,MATCH(AW31,TABLAS!$B$52:$B$58,0)),1))))</f>
        <v>1</v>
      </c>
      <c r="AY31" s="34">
        <f>IF(AX31=0,0,DATOS!$C$45*AX31*INDEX(TABLAS!$D$52:$D$58,MATCH(AW31,TABLAS!$B$52:$B$58,0))*DATOS!$C$32*((DATOS!$C$15-DATOS!$C$18-INDEX(TABLAS!$C$52:$C$58,MATCH(DATOS!$C$19,TABLAS!$B$52:$B$58,0))-INDEX(TABLAS!$C$52:$C$58,MATCH(AW31,TABLAS!$B$52:$B$58,0))/2)-AX31*INDEX(TABLAS!$D$52:$D$58,MATCH(AW31,TABLAS!$B$52:$B$58,0))*DATOS!$C$32/(DATOS!$C$38*DATOS!$C$16)/2)/1E5)</f>
        <v>0.584659515176471</v>
      </c>
      <c r="AZ31" s="59">
        <f>IF(AV31&lt;0,9.99,IF(AY31&gt;0,AJ31/AY31,0))</f>
        <v>0.0380916693250426</v>
      </c>
      <c r="BA31" s="41">
        <f>IF(D31="HUECO",0,IF(AK31&lt;=0,DATOS!$C$71*DATOS!$C$13*DATOS!$C$67,IF((1-2*AK31*1E5/(DATOS!$C$45*DATOS!$C$13*DATOS!$C$67^2*DATOS!$C$38))&lt;0,-1,IF((1-SQRT((1-2*AK31*1E5/(DATOS!$C$45*DATOS!$C$13*DATOS!$C$67^2*DATOS!$C$38))))*DATOS!$C$38*DATOS!$C$13*DATOS!$C$67/DATOS!$C$32&gt;DATOS!$C$70*DATOS!$C$13*DATOS!$C$67,-1,MAX(DATOS!$C$71*DATOS!$C$13*DATOS!$C$67,(1-SQRT((1-2*AK31*1E5/(DATOS!$C$45*DATOS!$C$13*DATOS!$C$67^2*DATOS!$C$38))))*DATOS!$C$38*DATOS!$C$13*DATOS!$C$67/DATOS!$C$32)))))</f>
        <v>0.576720388273208</v>
      </c>
      <c r="BB31" s="39">
        <f>IF(AND(BA31&gt;=0,CEILING(BA31/INDEX(TABLAS!$D$52:$D$58,MIN(MATCH(DATOS!$C$21,TABLAS!$B$52:$B$58,0)+0,7)),1)&lt;=MIN(DATOS!$C$22,INT((DATOS!$C$25+DATOS!$C$24)/(INDEX(TABLAS!$C$52:$C$58,MIN(MATCH(DATOS!$C$21,TABLAS!$B$52:$B$58,0)+0,7))+DATOS!$C$24)))),INDEX(TABLAS!$B$52:$B$58,MIN(MATCH(DATOS!$C$21,TABLAS!$B$52:$B$58,0)+0,7)),IF(AND(BA31&gt;=0,CEILING(BA31/INDEX(TABLAS!$D$52:$D$58,MIN(MATCH(DATOS!$C$21,TABLAS!$B$52:$B$58,0)+1,7)),1)&lt;=MIN(DATOS!$C$22,INT((DATOS!$C$25+DATOS!$C$24)/(INDEX(TABLAS!$C$52:$C$58,MIN(MATCH(DATOS!$C$21,TABLAS!$B$52:$B$58,0)+1,7))+DATOS!$C$24)))),INDEX(TABLAS!$B$52:$B$58,MIN(MATCH(DATOS!$C$21,TABLAS!$B$52:$B$58,0)+1,7)),IF(AND(BA31&gt;=0,CEILING(BA31/INDEX(TABLAS!$D$52:$D$58,MIN(MATCH(DATOS!$C$21,TABLAS!$B$52:$B$58,0)+2,7)),1)&lt;=MIN(DATOS!$C$22,INT((DATOS!$C$25+DATOS!$C$24)/(INDEX(TABLAS!$C$52:$C$58,MIN(MATCH(DATOS!$C$21,TABLAS!$B$52:$B$58,0)+2,7))+DATOS!$C$24)))),INDEX(TABLAS!$B$52:$B$58,MIN(MATCH(DATOS!$C$21,TABLAS!$B$52:$B$58,0)+2,7)),IF(AND(BA31&gt;=0,CEILING(BA31/INDEX(TABLAS!$D$52:$D$58,MIN(MATCH(DATOS!$C$21,TABLAS!$B$52:$B$58,0)+3,7)),1)&lt;=MIN(DATOS!$C$22,INT((DATOS!$C$25+DATOS!$C$24)/(INDEX(TABLAS!$C$52:$C$58,MIN(MATCH(DATOS!$C$21,TABLAS!$B$52:$B$58,0)+3,7))+DATOS!$C$24)))),INDEX(TABLAS!$B$52:$B$58,MIN(MATCH(DATOS!$C$21,TABLAS!$B$52:$B$58,0)+3,7)),IF(AND(BA31&gt;=0,CEILING(BA31/INDEX(TABLAS!$D$52:$D$58,MIN(MATCH(DATOS!$C$21,TABLAS!$B$52:$B$58,0)+4,7)),1)&lt;=MIN(DATOS!$C$22,INT((DATOS!$C$25+DATOS!$C$24)/(INDEX(TABLAS!$C$52:$C$58,MIN(MATCH(DATOS!$C$21,TABLAS!$B$52:$B$58,0)+4,7))+DATOS!$C$24)))),INDEX(TABLAS!$B$52:$B$58,MIN(MATCH(DATOS!$C$21,TABLAS!$B$52:$B$58,0)+4,7)),INDEX(TABLAS!$B$52:$B$58,7))))))</f>
        <v>3</v>
      </c>
      <c r="BC31" s="55">
        <f>IF(D31="HUECO",0,IF(BA31&lt;0,0,MAX(1,CEILING(BA31/INDEX(TABLAS!$D$52:$D$58,MATCH(BB31,TABLAS!$B$52:$B$58,0)),1))))</f>
        <v>1</v>
      </c>
      <c r="BD31" s="34">
        <f>IF(BC31=0,0,DATOS!$C$45*BC31*INDEX(TABLAS!$D$52:$D$58,MATCH(BB31,TABLAS!$B$52:$B$58,0))*DATOS!$C$32*((DATOS!$C$15-DATOS!$C$18-INDEX(TABLAS!$C$52:$C$58,MATCH(DATOS!$C$19,TABLAS!$B$52:$B$58,0))-INDEX(TABLAS!$C$52:$C$58,MATCH(BB31,TABLAS!$B$52:$B$58,0))/2)-BC31*INDEX(TABLAS!$D$52:$D$58,MATCH(BB31,TABLAS!$B$52:$B$58,0))*DATOS!$C$32/(DATOS!$C$38*DATOS!$C$13)/2)/1E5)</f>
        <v>0.568518826235294</v>
      </c>
      <c r="BE31" s="59">
        <f>IF(BA31&lt;0,9.99,IF(BD31&gt;0,AK31/BD31,0))</f>
        <v>0.122326101031801</v>
      </c>
      <c r="BF31" s="34">
        <f>IF(D31="PERIMETRAL",MAX(0,(J31/2-DATOS!$C$66/100))*(0.95-0.5*L31)*R31*IF(AND(S31&gt;0,S31&lt;4),DATOS!$C$50,1)*DATOS!$C$16/100/1000,IF(D31="VOLADO",(R31*J31+DATOS!$C$43*AG31)*DATOS!$C$16/100/1000,0))</f>
        <v>0.26577877444013</v>
      </c>
      <c r="BG31" s="34">
        <f>IF(D31="HUECO",0,DATOS!$C$46*IF((AS31*INDEX(TABLAS!$D$52:$D$58,MATCH(AR31,TABLAS!$B$52:$B$58,0))/(DATOS!$C$13*DATOS!$C$67))&lt;0.015,0.2+20*(AS31*INDEX(TABLAS!$D$52:$D$58,MATCH(AR31,TABLAS!$B$52:$B$58,0))/(DATOS!$C$13*DATOS!$C$67)),0.5)*SQRT(DATOS!$C$31)*DATOS!$C$13*DATOS!$C$67*DATOS!$C$49/1000)</f>
        <v>0.687439634849853</v>
      </c>
      <c r="BH31" s="49" t="str">
        <f>IF(D31="HUECO","—",IF(BF31&lt;=BG31,"CUMPLE","MACIZAR "&amp;MAX(1,CEILING(IF(D31="VOLADO",J31,J31/2)*(1-BG31/BF31)*100/DATOS!$C$16,1))&amp;" hilera(s)"))</f>
        <v>CUMPLE</v>
      </c>
      <c r="BI31" s="41">
        <f>IF(D31="PERIMETRAL",(2*(H31+I31)+0.25*(H31*((APOYOS!$G$117="DISCONTINUO")+(APOYOS!$G$118="DISCONTINUO"))+I31*((APOYOS!$G$119="DISCONTINUO")+(APOYOS!$G$120="DISCONTINUO"))))*(J31+MIN(K31,2*J31))/(J31+K31)*100/250*IF(OR(DATOS!$C$47&gt;2520,Q31&gt;380),0.032*(DATOS!$C$47*Q31)^0.25,1),IF(D31="VOLADO",J31*100/8,0))</f>
        <v>4.71213700394503</v>
      </c>
      <c r="BJ31" s="41">
        <f>IF(D31="VOLADO",DATOS!$C$15,DATOS!$C$68)</f>
        <v>13.6082564120244</v>
      </c>
      <c r="BK31" s="50" t="str">
        <f>IF(D31="HUECO","—",IF(BJ31&gt;=BI31,"CUMPLE","NO CUMPLE"))</f>
        <v>CUMPLE</v>
      </c>
      <c r="BL31" s="50" t="str">
        <f>IF(D31="PERIMETRAL",IF(DATOS!$C$16/100&lt;=J31/6,"SÍ","NO: a1 &lt; 6·s"),"—")</f>
        <v>NO: a1 &lt; 6·s</v>
      </c>
      <c r="BM31" s="55">
        <f>MAX(0,INT((F31*100-DATOS!$C$17+DATOS!$C$13)/DATOS!$C$16))</f>
        <v>2</v>
      </c>
      <c r="BN31" s="55">
        <f>MAX(0,INT((G31*100-DATOS!$C$17+DATOS!$C$13)/DATOS!$C$16))</f>
        <v>4</v>
      </c>
      <c r="BO31" s="49" t="str">
        <f>IF(COUNTIFS(TRIB!$C$6:$C$255,B31,TRIB!$K$6:$K$255,"NO CUMPLE*")+COUNTIFS(TRIB!$C$6:$C$255,B31,TRIB!$K$6:$K$255,"SIN APOYO*")&gt;0,"VER PRINCIPALES",IF((APOYOS!$F$117="LIBRE")+(APOYOS!$F$118="LIBRE")+(APOYOS!$F$119="LIBRE")+(APOYOS!$F$120="LIBRE")&gt;0,"REVISAR: borde libre","OK"))</f>
        <v>OK</v>
      </c>
      <c r="BP31" s="60" t="str">
        <f>IF(D31="HUECO","HUECO — marco de nervaduras principales",IF(AND(MAX(AP31,AU31,AZ31,BE31)&lt;=1,NOT(OR(AN31&gt;MIN(DATOS!$C$22,INT((DATOS!$C$25+DATOS!$C$24)/(INDEX(TABLAS!$C$52:$C$58,MATCH(AM31,TABLAS!$B$52:$B$58,0))+DATOS!$C$24))),AS31&gt;MIN(DATOS!$C$22,INT((DATOS!$C$25+DATOS!$C$24)/(INDEX(TABLAS!$C$52:$C$58,MATCH(AR31,TABLAS!$B$52:$B$58,0))+DATOS!$C$24))),AX31&gt;MIN(DATOS!$C$22,INT((DATOS!$C$25+DATOS!$C$24)/(INDEX(TABLAS!$C$52:$C$58,MATCH(AW31,TABLAS!$B$52:$B$58,0))+DATOS!$C$24))),BC31&gt;MIN(DATOS!$C$22,INT((DATOS!$C$25+DATOS!$C$24)/(INDEX(TABLAS!$C$52:$C$58,MATCH(BB31,TABLAS!$B$52:$B$58,0))+DATOS!$C$24))))),BK31="CUMPLE"),IF(BO31="OK",IF(BH31="CUMPLE","CUMPLE","CUMPLE — "&amp;BH31),IF(BO31="VER PRINCIPALES","VER PRINCIPALES","REVISAR APOYOS")),"NO CUMPLE: "&amp;IF(MAX(AP31,AU31,AZ31,BE31)&gt;1,"flexión ","")&amp;IF(OR(AN31&gt;MIN(DATOS!$C$22,INT((DATOS!$C$25+DATOS!$C$24)/(INDEX(TABLAS!$C$52:$C$58,MATCH(AM31,TABLAS!$B$52:$B$58,0))+DATOS!$C$24))),AS31&gt;MIN(DATOS!$C$22,INT((DATOS!$C$25+DATOS!$C$24)/(INDEX(TABLAS!$C$52:$C$58,MATCH(AR31,TABLAS!$B$52:$B$58,0))+DATOS!$C$24))),AX31&gt;MIN(DATOS!$C$22,INT((DATOS!$C$25+DATOS!$C$24)/(INDEX(TABLAS!$C$52:$C$58,MATCH(AW31,TABLAS!$B$52:$B$58,0))+DATOS!$C$24))),BC31&gt;MIN(DATOS!$C$22,INT((DATOS!$C$25+DATOS!$C$24)/(INDEX(TABLAS!$C$52:$C$58,MATCH(BB31,TABLAS!$B$52:$B$58,0))+DATOS!$C$24)))),"no caben ","")&amp;IF(BK31&lt;&gt;"CUMPLE","peralte","")))</f>
        <v>CUMPLE</v>
      </c>
      <c r="BQ31" s="61" t="inlineStr">
        <is>
          <t>—</t>
        </is>
      </c>
    </row>
    <row r="32" ht="30" customHeight="1">
      <c r="B32" s="49" t="inlineStr">
        <is>
          <t>F80024 N+6.00</t>
        </is>
      </c>
      <c r="C32" s="50" t="inlineStr">
        <is>
          <t>N+6.00</t>
        </is>
      </c>
      <c r="D32" s="51" t="inlineStr">
        <is>
          <t>PERIMETRAL</t>
        </is>
      </c>
      <c r="E32" s="51" t="inlineStr">
        <is>
          <t>AZOTEA</t>
        </is>
      </c>
      <c r="F32" s="52" t="n">
        <v>4.327</v>
      </c>
      <c r="G32" s="52" t="n">
        <v>4.95</v>
      </c>
      <c r="H32" s="53" t="n">
        <v>4.327</v>
      </c>
      <c r="I32" s="53" t="n">
        <v>4.95</v>
      </c>
      <c r="J32" s="34">
        <f>MIN(H32,I32)</f>
        <v>4.327</v>
      </c>
      <c r="K32" s="34">
        <f>MAX(H32,I32)</f>
        <v>4.95</v>
      </c>
      <c r="L32" s="34">
        <f>IF(K32&gt;0,J32/K32,0)</f>
        <v>0.874141414141414</v>
      </c>
      <c r="M32" s="50" t="str">
        <f>IF(H32&lt;=I32,"X","Y")</f>
        <v>X</v>
      </c>
      <c r="N32" s="54" t="n">
        <v>315</v>
      </c>
      <c r="O32" s="55">
        <f>IF(E32="HABITACIÓN",DATOS!$C$76,DATOS!$C$78)</f>
        <v>100</v>
      </c>
      <c r="P32" s="55">
        <f>DATOS!$C$58</f>
        <v>253.673469387755</v>
      </c>
      <c r="Q32" s="55">
        <f>P32+N32+O32</f>
        <v>668.673469387755</v>
      </c>
      <c r="R32" s="56">
        <f>DATOS!$C$43*(P32+N32)+DATOS!$C$44*O32</f>
        <v>889.275510204082</v>
      </c>
      <c r="S32" s="55">
        <f>(APOYOS!$G$121="DISCONTINUO")+(APOYOS!$G$122="DISCONTINUO")+(APOYOS!$G$123="DISCONTINUO")+(APOYOS!$G$124="DISCONTINUO")</f>
        <v>2</v>
      </c>
      <c r="T32" s="55">
        <f>IF(M32="X",(APOYOS!$G$121="DISCONTINUO")+(APOYOS!$G$122="DISCONTINUO"),(APOYOS!$G$123="DISCONTINUO")+(APOYOS!$G$124="DISCONTINUO"))</f>
        <v>1</v>
      </c>
      <c r="U32" s="55">
        <f>S32-T32</f>
        <v>1</v>
      </c>
      <c r="V32" s="50" t="str">
        <f>IF(S32=0,"INTERIOR",IF(S32=1,IF(T32=1,"BORDE-CORTO","BORDE-LARGO"),IF(S32=2,IF(T32=1,"ESQUINA",IF(T32=2,"EXTREMO-LARGO","EXTREMO-CORTO")),IF(S32=3,IF(T32=2,"EXTREMO-LARGO","EXTREMO-CORTO"),"AISLADO"))))</f>
        <v>ESQUINA</v>
      </c>
      <c r="W32" s="51" t="inlineStr">
        <is>
          <t>AUTO</t>
        </is>
      </c>
      <c r="X32" s="57" t="str">
        <f>IF(W32="AUTO",V32,W32)</f>
        <v>ESQUINA</v>
      </c>
      <c r="Y32" s="55">
        <f>MATCH(L32,TABLAS!$D$5:$J$5,1)</f>
        <v>5</v>
      </c>
      <c r="Z32" s="41">
        <f>IF(Y32&gt;=7,0,(L32-INDEX(TABLAS!$D$5:$J$5,Y32))/(INDEX(TABLAS!$D$5:$J$5,Y32+1)-INDEX(TABLAS!$D$5:$J$5,Y32)))</f>
        <v>0.741414141414141</v>
      </c>
      <c r="AA32" s="55">
        <f>INDEX(TABLAS!$D$6:$J$47,MATCH(X32&amp;"|NIC",TABLAS!$B$6:$B$47,0),Y32)+Z32*(INDEX(TABLAS!$D$6:$J$47,MATCH(X32&amp;"|NIC",TABLAS!$B$6:$B$47,0),MIN(Y32+1,7))-INDEX(TABLAS!$D$6:$J$47,MATCH(X32&amp;"|NIC",TABLAS!$B$6:$B$47,0),Y32))</f>
        <v>383.412121212121</v>
      </c>
      <c r="AB32" s="55">
        <f>INDEX(TABLAS!$D$6:$J$47,MATCH(X32&amp;"|NIL",TABLAS!$B$6:$B$47,0),Y32)+Z32*(INDEX(TABLAS!$D$6:$J$47,MATCH(X32&amp;"|NIL",TABLAS!$B$6:$B$47,0),MIN(Y32+1,7))-INDEX(TABLAS!$D$6:$J$47,MATCH(X32&amp;"|NIL",TABLAS!$B$6:$B$47,0),Y32))</f>
        <v>368.791919191919</v>
      </c>
      <c r="AC32" s="55">
        <f>INDEX(TABLAS!$D$6:$J$47,MATCH(X32&amp;"|NDC",TABLAS!$B$6:$B$47,0),Y32)+Z32*(INDEX(TABLAS!$D$6:$J$47,MATCH(X32&amp;"|NDC",TABLAS!$B$6:$B$47,0),MIN(Y32+1,7))-INDEX(TABLAS!$D$6:$J$47,MATCH(X32&amp;"|NDC",TABLAS!$B$6:$B$47,0),Y32))</f>
        <v>227.016161616162</v>
      </c>
      <c r="AD32" s="55">
        <f>INDEX(TABLAS!$D$6:$J$47,MATCH(X32&amp;"|NDL",TABLAS!$B$6:$B$47,0),Y32)+Z32*(INDEX(TABLAS!$D$6:$J$47,MATCH(X32&amp;"|NDL",TABLAS!$B$6:$B$47,0),MIN(Y32+1,7))-INDEX(TABLAS!$D$6:$J$47,MATCH(X32&amp;"|NDL",TABLAS!$B$6:$B$47,0),Y32))</f>
        <v>210.137373737374</v>
      </c>
      <c r="AE32" s="55">
        <f>INDEX(TABLAS!$D$6:$J$47,MATCH(X32&amp;"|PC",TABLAS!$B$6:$B$47,0),Y32)+Z32*(INDEX(TABLAS!$D$6:$J$47,MATCH(X32&amp;"|PC",TABLAS!$B$6:$B$47,0),MIN(Y32+1,7))-INDEX(TABLAS!$D$6:$J$47,MATCH(X32&amp;"|PC",TABLAS!$B$6:$B$47,0),Y32))</f>
        <v>186.343434343434</v>
      </c>
      <c r="AF32" s="55">
        <f>INDEX(TABLAS!$D$6:$J$47,MATCH(X32&amp;"|PL",TABLAS!$B$6:$B$47,0),Y32)+Z32*(INDEX(TABLAS!$D$6:$J$47,MATCH(X32&amp;"|PL",TABLAS!$B$6:$B$47,0),MIN(Y32+1,7))-INDEX(TABLAS!$D$6:$J$47,MATCH(X32&amp;"|PL",TABLAS!$B$6:$B$47,0),Y32))</f>
        <v>138.517171717172</v>
      </c>
      <c r="AG32" s="58" t="n">
        <v>0</v>
      </c>
      <c r="AH32" s="34">
        <f>IF(D32="PERIMETRAL",AE32*R32*J32^2*1E-4*DATOS!$C$16/100/1000,0)</f>
        <v>0.217181214886281</v>
      </c>
      <c r="AI32" s="34">
        <f>IF(D32="PERIMETRAL",MAX(AA32,AC32)*R32*J32^2*1E-4*DATOS!$C$16/100/1000,IF(D32="VOLADO",(R32*J32^2/2+DATOS!$C$43*AG32*J32)*DATOS!$C$16/100/1000,0))</f>
        <v>0.446862593148878</v>
      </c>
      <c r="AJ32" s="34">
        <f>IF(D32="PERIMETRAL",AF32*R32*J32^2*1E-4*DATOS!$C$16/100/1000,0)</f>
        <v>0.161440233953738</v>
      </c>
      <c r="AK32" s="34">
        <f>IF(D32="PERIMETRAL",MAX(AB32,AD32)*R32*J32^2*1E-4*DATOS!$C$16/100/1000,0)</f>
        <v>0.429822909149181</v>
      </c>
      <c r="AL32" s="41">
        <f>IF(D32="HUECO",0,IF(AH32&lt;=0,DATOS!$C$71*DATOS!$C$13*DATOS!$C$66,IF((1-2*AH32*1E5/(DATOS!$C$45*DATOS!$C$16*DATOS!$C$66^2*DATOS!$C$38))&lt;0,-1,MAX(DATOS!$C$71*DATOS!$C$13*DATOS!$C$66,(1-SQRT((1-2*AH32*1E5/(DATOS!$C$45*DATOS!$C$16*DATOS!$C$66^2*DATOS!$C$38))))*DATOS!$C$38*DATOS!$C$16*DATOS!$C$66/DATOS!$C$32))))</f>
        <v>0.576720388273208</v>
      </c>
      <c r="AM32" s="39">
        <f>IF(AND(AL32&gt;=0,CEILING(AL32/INDEX(TABLAS!$D$52:$D$58,MIN(MATCH(DATOS!$C$20,TABLAS!$B$52:$B$58,0)+0,7)),1)&lt;=MIN(DATOS!$C$22,INT((DATOS!$C$25+DATOS!$C$24)/(INDEX(TABLAS!$C$52:$C$58,MIN(MATCH(DATOS!$C$20,TABLAS!$B$52:$B$58,0)+0,7))+DATOS!$C$24)))),INDEX(TABLAS!$B$52:$B$58,MIN(MATCH(DATOS!$C$20,TABLAS!$B$52:$B$58,0)+0,7)),IF(AND(AL32&gt;=0,CEILING(AL32/INDEX(TABLAS!$D$52:$D$58,MIN(MATCH(DATOS!$C$20,TABLAS!$B$52:$B$58,0)+1,7)),1)&lt;=MIN(DATOS!$C$22,INT((DATOS!$C$25+DATOS!$C$24)/(INDEX(TABLAS!$C$52:$C$58,MIN(MATCH(DATOS!$C$20,TABLAS!$B$52:$B$58,0)+1,7))+DATOS!$C$24)))),INDEX(TABLAS!$B$52:$B$58,MIN(MATCH(DATOS!$C$20,TABLAS!$B$52:$B$58,0)+1,7)),IF(AND(AL32&gt;=0,CEILING(AL32/INDEX(TABLAS!$D$52:$D$58,MIN(MATCH(DATOS!$C$20,TABLAS!$B$52:$B$58,0)+2,7)),1)&lt;=MIN(DATOS!$C$22,INT((DATOS!$C$25+DATOS!$C$24)/(INDEX(TABLAS!$C$52:$C$58,MIN(MATCH(DATOS!$C$20,TABLAS!$B$52:$B$58,0)+2,7))+DATOS!$C$24)))),INDEX(TABLAS!$B$52:$B$58,MIN(MATCH(DATOS!$C$20,TABLAS!$B$52:$B$58,0)+2,7)),IF(AND(AL32&gt;=0,CEILING(AL32/INDEX(TABLAS!$D$52:$D$58,MIN(MATCH(DATOS!$C$20,TABLAS!$B$52:$B$58,0)+3,7)),1)&lt;=MIN(DATOS!$C$22,INT((DATOS!$C$25+DATOS!$C$24)/(INDEX(TABLAS!$C$52:$C$58,MIN(MATCH(DATOS!$C$20,TABLAS!$B$52:$B$58,0)+3,7))+DATOS!$C$24)))),INDEX(TABLAS!$B$52:$B$58,MIN(MATCH(DATOS!$C$20,TABLAS!$B$52:$B$58,0)+3,7)),IF(AND(AL32&gt;=0,CEILING(AL32/INDEX(TABLAS!$D$52:$D$58,MIN(MATCH(DATOS!$C$20,TABLAS!$B$52:$B$58,0)+4,7)),1)&lt;=MIN(DATOS!$C$22,INT((DATOS!$C$25+DATOS!$C$24)/(INDEX(TABLAS!$C$52:$C$58,MIN(MATCH(DATOS!$C$20,TABLAS!$B$52:$B$58,0)+4,7))+DATOS!$C$24)))),INDEX(TABLAS!$B$52:$B$58,MIN(MATCH(DATOS!$C$20,TABLAS!$B$52:$B$58,0)+4,7)),INDEX(TABLAS!$B$52:$B$58,7))))))</f>
        <v>3</v>
      </c>
      <c r="AN32" s="55">
        <f>IF(D32="HUECO",0,IF(AL32&lt;0,0,MAX(DATOS!$C$23,CEILING(AL32/INDEX(TABLAS!$D$52:$D$58,MATCH(AM32,TABLAS!$B$52:$B$58,0)),1))))</f>
        <v>1</v>
      </c>
      <c r="AO32" s="34">
        <f>IF(AN32=0,0,DATOS!$C$45*AN32*INDEX(TABLAS!$D$52:$D$58,MATCH(AM32,TABLAS!$B$52:$B$58,0))*DATOS!$C$32*((DATOS!$C$15-DATOS!$C$18-INDEX(TABLAS!$C$52:$C$58,MATCH(DATOS!$C$19,TABLAS!$B$52:$B$58,0))-INDEX(TABLAS!$C$52:$C$58,MATCH(AM32,TABLAS!$B$52:$B$58,0))/2)-AN32*INDEX(TABLAS!$D$52:$D$58,MATCH(AM32,TABLAS!$B$52:$B$58,0))*DATOS!$C$32/(DATOS!$C$38*DATOS!$C$16)/2)/1E5)</f>
        <v>0.584659515176471</v>
      </c>
      <c r="AP32" s="59">
        <f>IF(AL32&lt;0,9.99,IF(AO32&gt;0,AH32/AO32,0))</f>
        <v>0.371466142684309</v>
      </c>
      <c r="AQ32" s="41">
        <f>IF(D32="HUECO",0,IF(AI32&lt;=0,DATOS!$C$71*DATOS!$C$13*DATOS!$C$67,IF((1-2*AI32*1E5/(DATOS!$C$45*DATOS!$C$13*DATOS!$C$67^2*DATOS!$C$38))&lt;0,-1,IF((1-SQRT((1-2*AI32*1E5/(DATOS!$C$45*DATOS!$C$13*DATOS!$C$67^2*DATOS!$C$38))))*DATOS!$C$38*DATOS!$C$13*DATOS!$C$67/DATOS!$C$32&gt;DATOS!$C$70*DATOS!$C$13*DATOS!$C$67,-1,MAX(DATOS!$C$71*DATOS!$C$13*DATOS!$C$67,(1-SQRT((1-2*AI32*1E5/(DATOS!$C$45*DATOS!$C$13*DATOS!$C$67^2*DATOS!$C$38))))*DATOS!$C$38*DATOS!$C$13*DATOS!$C$67/DATOS!$C$32)))))</f>
        <v>0.576720388273208</v>
      </c>
      <c r="AR32" s="39">
        <f>IF(AND(AQ32&gt;=0,CEILING(AQ32/INDEX(TABLAS!$D$52:$D$58,MIN(MATCH(DATOS!$C$21,TABLAS!$B$52:$B$58,0)+0,7)),1)&lt;=MIN(DATOS!$C$22,INT((DATOS!$C$25+DATOS!$C$24)/(INDEX(TABLAS!$C$52:$C$58,MIN(MATCH(DATOS!$C$21,TABLAS!$B$52:$B$58,0)+0,7))+DATOS!$C$24)))),INDEX(TABLAS!$B$52:$B$58,MIN(MATCH(DATOS!$C$21,TABLAS!$B$52:$B$58,0)+0,7)),IF(AND(AQ32&gt;=0,CEILING(AQ32/INDEX(TABLAS!$D$52:$D$58,MIN(MATCH(DATOS!$C$21,TABLAS!$B$52:$B$58,0)+1,7)),1)&lt;=MIN(DATOS!$C$22,INT((DATOS!$C$25+DATOS!$C$24)/(INDEX(TABLAS!$C$52:$C$58,MIN(MATCH(DATOS!$C$21,TABLAS!$B$52:$B$58,0)+1,7))+DATOS!$C$24)))),INDEX(TABLAS!$B$52:$B$58,MIN(MATCH(DATOS!$C$21,TABLAS!$B$52:$B$58,0)+1,7)),IF(AND(AQ32&gt;=0,CEILING(AQ32/INDEX(TABLAS!$D$52:$D$58,MIN(MATCH(DATOS!$C$21,TABLAS!$B$52:$B$58,0)+2,7)),1)&lt;=MIN(DATOS!$C$22,INT((DATOS!$C$25+DATOS!$C$24)/(INDEX(TABLAS!$C$52:$C$58,MIN(MATCH(DATOS!$C$21,TABLAS!$B$52:$B$58,0)+2,7))+DATOS!$C$24)))),INDEX(TABLAS!$B$52:$B$58,MIN(MATCH(DATOS!$C$21,TABLAS!$B$52:$B$58,0)+2,7)),IF(AND(AQ32&gt;=0,CEILING(AQ32/INDEX(TABLAS!$D$52:$D$58,MIN(MATCH(DATOS!$C$21,TABLAS!$B$52:$B$58,0)+3,7)),1)&lt;=MIN(DATOS!$C$22,INT((DATOS!$C$25+DATOS!$C$24)/(INDEX(TABLAS!$C$52:$C$58,MIN(MATCH(DATOS!$C$21,TABLAS!$B$52:$B$58,0)+3,7))+DATOS!$C$24)))),INDEX(TABLAS!$B$52:$B$58,MIN(MATCH(DATOS!$C$21,TABLAS!$B$52:$B$58,0)+3,7)),IF(AND(AQ32&gt;=0,CEILING(AQ32/INDEX(TABLAS!$D$52:$D$58,MIN(MATCH(DATOS!$C$21,TABLAS!$B$52:$B$58,0)+4,7)),1)&lt;=MIN(DATOS!$C$22,INT((DATOS!$C$25+DATOS!$C$24)/(INDEX(TABLAS!$C$52:$C$58,MIN(MATCH(DATOS!$C$21,TABLAS!$B$52:$B$58,0)+4,7))+DATOS!$C$24)))),INDEX(TABLAS!$B$52:$B$58,MIN(MATCH(DATOS!$C$21,TABLAS!$B$52:$B$58,0)+4,7)),INDEX(TABLAS!$B$52:$B$58,7))))))</f>
        <v>3</v>
      </c>
      <c r="AS32" s="55">
        <f>IF(D32="HUECO",0,IF(AQ32&lt;0,0,MAX(1,CEILING(AQ32/INDEX(TABLAS!$D$52:$D$58,MATCH(AR32,TABLAS!$B$52:$B$58,0)),1))))</f>
        <v>1</v>
      </c>
      <c r="AT32" s="34">
        <f>IF(AS32=0,0,DATOS!$C$45*AS32*INDEX(TABLAS!$D$52:$D$58,MATCH(AR32,TABLAS!$B$52:$B$58,0))*DATOS!$C$32*((DATOS!$C$15-DATOS!$C$18-INDEX(TABLAS!$C$52:$C$58,MATCH(DATOS!$C$19,TABLAS!$B$52:$B$58,0))-INDEX(TABLAS!$C$52:$C$58,MATCH(AR32,TABLAS!$B$52:$B$58,0))/2)-AS32*INDEX(TABLAS!$D$52:$D$58,MATCH(AR32,TABLAS!$B$52:$B$58,0))*DATOS!$C$32/(DATOS!$C$38*DATOS!$C$13)/2)/1E5)</f>
        <v>0.568518826235294</v>
      </c>
      <c r="AU32" s="59">
        <f>IF(AQ32&lt;0,9.99,IF(AT32&gt;0,AI32/AT32,0))</f>
        <v>0.786011953391203</v>
      </c>
      <c r="AV32" s="41">
        <f>IF(D32="HUECO",0,IF(AJ32&lt;=0,DATOS!$C$71*DATOS!$C$13*DATOS!$C$66,IF((1-2*AJ32*1E5/(DATOS!$C$45*DATOS!$C$16*DATOS!$C$66^2*DATOS!$C$38))&lt;0,-1,MAX(DATOS!$C$71*DATOS!$C$13*DATOS!$C$66,(1-SQRT((1-2*AJ32*1E5/(DATOS!$C$45*DATOS!$C$16*DATOS!$C$66^2*DATOS!$C$38))))*DATOS!$C$38*DATOS!$C$16*DATOS!$C$66/DATOS!$C$32))))</f>
        <v>0.576720388273208</v>
      </c>
      <c r="AW32" s="39">
        <f>IF(AND(AV32&gt;=0,CEILING(AV32/INDEX(TABLAS!$D$52:$D$58,MIN(MATCH(DATOS!$C$20,TABLAS!$B$52:$B$58,0)+0,7)),1)&lt;=MIN(DATOS!$C$22,INT((DATOS!$C$25+DATOS!$C$24)/(INDEX(TABLAS!$C$52:$C$58,MIN(MATCH(DATOS!$C$20,TABLAS!$B$52:$B$58,0)+0,7))+DATOS!$C$24)))),INDEX(TABLAS!$B$52:$B$58,MIN(MATCH(DATOS!$C$20,TABLAS!$B$52:$B$58,0)+0,7)),IF(AND(AV32&gt;=0,CEILING(AV32/INDEX(TABLAS!$D$52:$D$58,MIN(MATCH(DATOS!$C$20,TABLAS!$B$52:$B$58,0)+1,7)),1)&lt;=MIN(DATOS!$C$22,INT((DATOS!$C$25+DATOS!$C$24)/(INDEX(TABLAS!$C$52:$C$58,MIN(MATCH(DATOS!$C$20,TABLAS!$B$52:$B$58,0)+1,7))+DATOS!$C$24)))),INDEX(TABLAS!$B$52:$B$58,MIN(MATCH(DATOS!$C$20,TABLAS!$B$52:$B$58,0)+1,7)),IF(AND(AV32&gt;=0,CEILING(AV32/INDEX(TABLAS!$D$52:$D$58,MIN(MATCH(DATOS!$C$20,TABLAS!$B$52:$B$58,0)+2,7)),1)&lt;=MIN(DATOS!$C$22,INT((DATOS!$C$25+DATOS!$C$24)/(INDEX(TABLAS!$C$52:$C$58,MIN(MATCH(DATOS!$C$20,TABLAS!$B$52:$B$58,0)+2,7))+DATOS!$C$24)))),INDEX(TABLAS!$B$52:$B$58,MIN(MATCH(DATOS!$C$20,TABLAS!$B$52:$B$58,0)+2,7)),IF(AND(AV32&gt;=0,CEILING(AV32/INDEX(TABLAS!$D$52:$D$58,MIN(MATCH(DATOS!$C$20,TABLAS!$B$52:$B$58,0)+3,7)),1)&lt;=MIN(DATOS!$C$22,INT((DATOS!$C$25+DATOS!$C$24)/(INDEX(TABLAS!$C$52:$C$58,MIN(MATCH(DATOS!$C$20,TABLAS!$B$52:$B$58,0)+3,7))+DATOS!$C$24)))),INDEX(TABLAS!$B$52:$B$58,MIN(MATCH(DATOS!$C$20,TABLAS!$B$52:$B$58,0)+3,7)),IF(AND(AV32&gt;=0,CEILING(AV32/INDEX(TABLAS!$D$52:$D$58,MIN(MATCH(DATOS!$C$20,TABLAS!$B$52:$B$58,0)+4,7)),1)&lt;=MIN(DATOS!$C$22,INT((DATOS!$C$25+DATOS!$C$24)/(INDEX(TABLAS!$C$52:$C$58,MIN(MATCH(DATOS!$C$20,TABLAS!$B$52:$B$58,0)+4,7))+DATOS!$C$24)))),INDEX(TABLAS!$B$52:$B$58,MIN(MATCH(DATOS!$C$20,TABLAS!$B$52:$B$58,0)+4,7)),INDEX(TABLAS!$B$52:$B$58,7))))))</f>
        <v>3</v>
      </c>
      <c r="AX32" s="55">
        <f>IF(D32="HUECO",0,IF(AV32&lt;0,0,MAX(DATOS!$C$23,CEILING(AV32/INDEX(TABLAS!$D$52:$D$58,MATCH(AW32,TABLAS!$B$52:$B$58,0)),1))))</f>
        <v>1</v>
      </c>
      <c r="AY32" s="34">
        <f>IF(AX32=0,0,DATOS!$C$45*AX32*INDEX(TABLAS!$D$52:$D$58,MATCH(AW32,TABLAS!$B$52:$B$58,0))*DATOS!$C$32*((DATOS!$C$15-DATOS!$C$18-INDEX(TABLAS!$C$52:$C$58,MATCH(DATOS!$C$19,TABLAS!$B$52:$B$58,0))-INDEX(TABLAS!$C$52:$C$58,MATCH(AW32,TABLAS!$B$52:$B$58,0))/2)-AX32*INDEX(TABLAS!$D$52:$D$58,MATCH(AW32,TABLAS!$B$52:$B$58,0))*DATOS!$C$32/(DATOS!$C$38*DATOS!$C$16)/2)/1E5)</f>
        <v>0.584659515176471</v>
      </c>
      <c r="AZ32" s="59">
        <f>IF(AV32&lt;0,9.99,IF(AY32&gt;0,AJ32/AY32,0))</f>
        <v>0.276126924753819</v>
      </c>
      <c r="BA32" s="41">
        <f>IF(D32="HUECO",0,IF(AK32&lt;=0,DATOS!$C$71*DATOS!$C$13*DATOS!$C$67,IF((1-2*AK32*1E5/(DATOS!$C$45*DATOS!$C$13*DATOS!$C$67^2*DATOS!$C$38))&lt;0,-1,IF((1-SQRT((1-2*AK32*1E5/(DATOS!$C$45*DATOS!$C$13*DATOS!$C$67^2*DATOS!$C$38))))*DATOS!$C$38*DATOS!$C$13*DATOS!$C$67/DATOS!$C$32&gt;DATOS!$C$70*DATOS!$C$13*DATOS!$C$67,-1,MAX(DATOS!$C$71*DATOS!$C$13*DATOS!$C$67,(1-SQRT((1-2*AK32*1E5/(DATOS!$C$45*DATOS!$C$13*DATOS!$C$67^2*DATOS!$C$38))))*DATOS!$C$38*DATOS!$C$13*DATOS!$C$67/DATOS!$C$32)))))</f>
        <v>0.576720388273208</v>
      </c>
      <c r="BB32" s="39">
        <f>IF(AND(BA32&gt;=0,CEILING(BA32/INDEX(TABLAS!$D$52:$D$58,MIN(MATCH(DATOS!$C$21,TABLAS!$B$52:$B$58,0)+0,7)),1)&lt;=MIN(DATOS!$C$22,INT((DATOS!$C$25+DATOS!$C$24)/(INDEX(TABLAS!$C$52:$C$58,MIN(MATCH(DATOS!$C$21,TABLAS!$B$52:$B$58,0)+0,7))+DATOS!$C$24)))),INDEX(TABLAS!$B$52:$B$58,MIN(MATCH(DATOS!$C$21,TABLAS!$B$52:$B$58,0)+0,7)),IF(AND(BA32&gt;=0,CEILING(BA32/INDEX(TABLAS!$D$52:$D$58,MIN(MATCH(DATOS!$C$21,TABLAS!$B$52:$B$58,0)+1,7)),1)&lt;=MIN(DATOS!$C$22,INT((DATOS!$C$25+DATOS!$C$24)/(INDEX(TABLAS!$C$52:$C$58,MIN(MATCH(DATOS!$C$21,TABLAS!$B$52:$B$58,0)+1,7))+DATOS!$C$24)))),INDEX(TABLAS!$B$52:$B$58,MIN(MATCH(DATOS!$C$21,TABLAS!$B$52:$B$58,0)+1,7)),IF(AND(BA32&gt;=0,CEILING(BA32/INDEX(TABLAS!$D$52:$D$58,MIN(MATCH(DATOS!$C$21,TABLAS!$B$52:$B$58,0)+2,7)),1)&lt;=MIN(DATOS!$C$22,INT((DATOS!$C$25+DATOS!$C$24)/(INDEX(TABLAS!$C$52:$C$58,MIN(MATCH(DATOS!$C$21,TABLAS!$B$52:$B$58,0)+2,7))+DATOS!$C$24)))),INDEX(TABLAS!$B$52:$B$58,MIN(MATCH(DATOS!$C$21,TABLAS!$B$52:$B$58,0)+2,7)),IF(AND(BA32&gt;=0,CEILING(BA32/INDEX(TABLAS!$D$52:$D$58,MIN(MATCH(DATOS!$C$21,TABLAS!$B$52:$B$58,0)+3,7)),1)&lt;=MIN(DATOS!$C$22,INT((DATOS!$C$25+DATOS!$C$24)/(INDEX(TABLAS!$C$52:$C$58,MIN(MATCH(DATOS!$C$21,TABLAS!$B$52:$B$58,0)+3,7))+DATOS!$C$24)))),INDEX(TABLAS!$B$52:$B$58,MIN(MATCH(DATOS!$C$21,TABLAS!$B$52:$B$58,0)+3,7)),IF(AND(BA32&gt;=0,CEILING(BA32/INDEX(TABLAS!$D$52:$D$58,MIN(MATCH(DATOS!$C$21,TABLAS!$B$52:$B$58,0)+4,7)),1)&lt;=MIN(DATOS!$C$22,INT((DATOS!$C$25+DATOS!$C$24)/(INDEX(TABLAS!$C$52:$C$58,MIN(MATCH(DATOS!$C$21,TABLAS!$B$52:$B$58,0)+4,7))+DATOS!$C$24)))),INDEX(TABLAS!$B$52:$B$58,MIN(MATCH(DATOS!$C$21,TABLAS!$B$52:$B$58,0)+4,7)),INDEX(TABLAS!$B$52:$B$58,7))))))</f>
        <v>3</v>
      </c>
      <c r="BC32" s="55">
        <f>IF(D32="HUECO",0,IF(BA32&lt;0,0,MAX(1,CEILING(BA32/INDEX(TABLAS!$D$52:$D$58,MATCH(BB32,TABLAS!$B$52:$B$58,0)),1))))</f>
        <v>1</v>
      </c>
      <c r="BD32" s="34">
        <f>IF(BC32=0,0,DATOS!$C$45*BC32*INDEX(TABLAS!$D$52:$D$58,MATCH(BB32,TABLAS!$B$52:$B$58,0))*DATOS!$C$32*((DATOS!$C$15-DATOS!$C$18-INDEX(TABLAS!$C$52:$C$58,MATCH(DATOS!$C$19,TABLAS!$B$52:$B$58,0))-INDEX(TABLAS!$C$52:$C$58,MATCH(BB32,TABLAS!$B$52:$B$58,0))/2)-BC32*INDEX(TABLAS!$D$52:$D$58,MATCH(BB32,TABLAS!$B$52:$B$58,0))*DATOS!$C$32/(DATOS!$C$38*DATOS!$C$13)/2)/1E5)</f>
        <v>0.568518826235294</v>
      </c>
      <c r="BE32" s="59">
        <f>IF(BA32&lt;0,9.99,IF(BD32&gt;0,AK32/BD32,0))</f>
        <v>0.756039887008578</v>
      </c>
      <c r="BF32" s="34">
        <f>IF(D32="PERIMETRAL",MAX(0,(J32/2-DATOS!$C$66/100))*(0.95-0.5*L32)*R32*IF(AND(S32&gt;0,S32&lt;4),DATOS!$C$50,1)*DATOS!$C$16/100/1000,IF(D32="VOLADO",(R32*J32+DATOS!$C$43*AG32)*DATOS!$C$16/100/1000,0))</f>
        <v>0.714054174857969</v>
      </c>
      <c r="BG32" s="34">
        <f>IF(D32="HUECO",0,DATOS!$C$46*IF((AS32*INDEX(TABLAS!$D$52:$D$58,MATCH(AR32,TABLAS!$B$52:$B$58,0))/(DATOS!$C$13*DATOS!$C$67))&lt;0.015,0.2+20*(AS32*INDEX(TABLAS!$D$52:$D$58,MATCH(AR32,TABLAS!$B$52:$B$58,0))/(DATOS!$C$13*DATOS!$C$67)),0.5)*SQRT(DATOS!$C$31)*DATOS!$C$13*DATOS!$C$67*DATOS!$C$49/1000)</f>
        <v>0.687439634849853</v>
      </c>
      <c r="BH32" s="49" t="str">
        <f>IF(D32="HUECO","—",IF(BF32&lt;=BG32,"CUMPLE","MACIZAR "&amp;MAX(1,CEILING(IF(D32="VOLADO",J32,J32/2)*(1-BG32/BF32)*100/DATOS!$C$16,1))&amp;" hilera(s)"))</f>
        <v>MACIZAR 1 hilera(s)</v>
      </c>
      <c r="BI32" s="41">
        <f>IF(D32="PERIMETRAL",(2*(H32+I32)+0.25*(H32*((APOYOS!$G$121="DISCONTINUO")+(APOYOS!$G$122="DISCONTINUO"))+I32*((APOYOS!$G$123="DISCONTINUO")+(APOYOS!$G$124="DISCONTINUO"))))*(J32+MIN(K32,2*J32))/(J32+K32)*100/250*IF(OR(DATOS!$C$47&gt;2520,Q32&gt;380),0.032*(DATOS!$C$47*Q32)^0.25,1),IF(D32="VOLADO",J32*100/8,0))</f>
        <v>9.62617388964951</v>
      </c>
      <c r="BJ32" s="41">
        <f>IF(D32="VOLADO",DATOS!$C$15,DATOS!$C$68)</f>
        <v>13.6082564120244</v>
      </c>
      <c r="BK32" s="50" t="str">
        <f>IF(D32="HUECO","—",IF(BJ32&gt;=BI32,"CUMPLE","NO CUMPLE"))</f>
        <v>CUMPLE</v>
      </c>
      <c r="BL32" s="50" t="str">
        <f>IF(D32="PERIMETRAL",IF(DATOS!$C$16/100&lt;=J32/6,"SÍ","NO: a1 &lt; 6·s"),"—")</f>
        <v>SÍ</v>
      </c>
      <c r="BM32" s="55">
        <f>MAX(0,INT((F32*100-DATOS!$C$17+DATOS!$C$13)/DATOS!$C$16))</f>
        <v>6</v>
      </c>
      <c r="BN32" s="55">
        <f>MAX(0,INT((G32*100-DATOS!$C$17+DATOS!$C$13)/DATOS!$C$16))</f>
        <v>7</v>
      </c>
      <c r="BO32" s="49" t="str">
        <f>IF(COUNTIFS(TRIB!$C$6:$C$255,B32,TRIB!$K$6:$K$255,"NO CUMPLE*")+COUNTIFS(TRIB!$C$6:$C$255,B32,TRIB!$K$6:$K$255,"SIN APOYO*")&gt;0,"VER PRINCIPALES",IF((APOYOS!$F$121="LIBRE")+(APOYOS!$F$122="LIBRE")+(APOYOS!$F$123="LIBRE")+(APOYOS!$F$124="LIBRE")&gt;0,"REVISAR: borde libre","OK"))</f>
        <v>OK</v>
      </c>
      <c r="BP32" s="60" t="str">
        <f>IF(D32="HUECO","HUECO — marco de nervaduras principales",IF(AND(MAX(AP32,AU32,AZ32,BE32)&lt;=1,NOT(OR(AN32&gt;MIN(DATOS!$C$22,INT((DATOS!$C$25+DATOS!$C$24)/(INDEX(TABLAS!$C$52:$C$58,MATCH(AM32,TABLAS!$B$52:$B$58,0))+DATOS!$C$24))),AS32&gt;MIN(DATOS!$C$22,INT((DATOS!$C$25+DATOS!$C$24)/(INDEX(TABLAS!$C$52:$C$58,MATCH(AR32,TABLAS!$B$52:$B$58,0))+DATOS!$C$24))),AX32&gt;MIN(DATOS!$C$22,INT((DATOS!$C$25+DATOS!$C$24)/(INDEX(TABLAS!$C$52:$C$58,MATCH(AW32,TABLAS!$B$52:$B$58,0))+DATOS!$C$24))),BC32&gt;MIN(DATOS!$C$22,INT((DATOS!$C$25+DATOS!$C$24)/(INDEX(TABLAS!$C$52:$C$58,MATCH(BB32,TABLAS!$B$52:$B$58,0))+DATOS!$C$24))))),BK32="CUMPLE"),IF(BO32="OK",IF(BH32="CUMPLE","CUMPLE","CUMPLE — "&amp;BH32),IF(BO32="VER PRINCIPALES","VER PRINCIPALES","REVISAR APOYOS")),"NO CUMPLE: "&amp;IF(MAX(AP32,AU32,AZ32,BE32)&gt;1,"flexión ","")&amp;IF(OR(AN32&gt;MIN(DATOS!$C$22,INT((DATOS!$C$25+DATOS!$C$24)/(INDEX(TABLAS!$C$52:$C$58,MATCH(AM32,TABLAS!$B$52:$B$58,0))+DATOS!$C$24))),AS32&gt;MIN(DATOS!$C$22,INT((DATOS!$C$25+DATOS!$C$24)/(INDEX(TABLAS!$C$52:$C$58,MATCH(AR32,TABLAS!$B$52:$B$58,0))+DATOS!$C$24))),AX32&gt;MIN(DATOS!$C$22,INT((DATOS!$C$25+DATOS!$C$24)/(INDEX(TABLAS!$C$52:$C$58,MATCH(AW32,TABLAS!$B$52:$B$58,0))+DATOS!$C$24))),BC32&gt;MIN(DATOS!$C$22,INT((DATOS!$C$25+DATOS!$C$24)/(INDEX(TABLAS!$C$52:$C$58,MATCH(BB32,TABLAS!$B$52:$B$58,0))+DATOS!$C$24)))),"no caben ","")&amp;IF(BK32&lt;&gt;"CUMPLE","peralte","")))</f>
        <v>CUMPLE — MACIZAR 1 hilera(s)</v>
      </c>
      <c r="BQ32" s="61" t="inlineStr">
        <is>
          <t>—</t>
        </is>
      </c>
    </row>
    <row r="33" ht="30" customHeight="1">
      <c r="B33" s="49" t="inlineStr">
        <is>
          <t>F80025 N+6.00</t>
        </is>
      </c>
      <c r="C33" s="50" t="inlineStr">
        <is>
          <t>N+6.00</t>
        </is>
      </c>
      <c r="D33" s="51" t="inlineStr">
        <is>
          <t>PERIMETRAL</t>
        </is>
      </c>
      <c r="E33" s="51" t="inlineStr">
        <is>
          <t>AZOTEA</t>
        </is>
      </c>
      <c r="F33" s="52" t="n">
        <v>3.428</v>
      </c>
      <c r="G33" s="52" t="n">
        <v>5.896</v>
      </c>
      <c r="H33" s="53" t="n">
        <v>3.428</v>
      </c>
      <c r="I33" s="53" t="n">
        <v>5.896</v>
      </c>
      <c r="J33" s="34">
        <f>MIN(H33,I33)</f>
        <v>3.428</v>
      </c>
      <c r="K33" s="34">
        <f>MAX(H33,I33)</f>
        <v>5.896</v>
      </c>
      <c r="L33" s="34">
        <f>IF(K33&gt;0,J33/K33,0)</f>
        <v>0.581411126187246</v>
      </c>
      <c r="M33" s="50" t="str">
        <f>IF(H33&lt;=I33,"X","Y")</f>
        <v>X</v>
      </c>
      <c r="N33" s="54" t="n">
        <v>300</v>
      </c>
      <c r="O33" s="55">
        <f>IF(E33="HABITACIÓN",DATOS!$C$76,DATOS!$C$78)</f>
        <v>100</v>
      </c>
      <c r="P33" s="55">
        <f>DATOS!$C$58</f>
        <v>253.673469387755</v>
      </c>
      <c r="Q33" s="55">
        <f>P33+N33+O33</f>
        <v>653.673469387755</v>
      </c>
      <c r="R33" s="56">
        <f>DATOS!$C$43*(P33+N33)+DATOS!$C$44*O33</f>
        <v>869.775510204082</v>
      </c>
      <c r="S33" s="55">
        <f>(APOYOS!$G$125="DISCONTINUO")+(APOYOS!$G$126="DISCONTINUO")+(APOYOS!$G$127="DISCONTINUO")+(APOYOS!$G$128="DISCONTINUO")</f>
        <v>2</v>
      </c>
      <c r="T33" s="55">
        <f>IF(M33="X",(APOYOS!$G$125="DISCONTINUO")+(APOYOS!$G$126="DISCONTINUO"),(APOYOS!$G$127="DISCONTINUO")+(APOYOS!$G$128="DISCONTINUO"))</f>
        <v>1</v>
      </c>
      <c r="U33" s="55">
        <f>S33-T33</f>
        <v>1</v>
      </c>
      <c r="V33" s="50" t="str">
        <f>IF(S33=0,"INTERIOR",IF(S33=1,IF(T33=1,"BORDE-CORTO","BORDE-LARGO"),IF(S33=2,IF(T33=1,"ESQUINA",IF(T33=2,"EXTREMO-LARGO","EXTREMO-CORTO")),IF(S33=3,IF(T33=2,"EXTREMO-LARGO","EXTREMO-CORTO"),"AISLADO"))))</f>
        <v>ESQUINA</v>
      </c>
      <c r="W33" s="51" t="inlineStr">
        <is>
          <t>AUTO</t>
        </is>
      </c>
      <c r="X33" s="57" t="str">
        <f>IF(W33="AUTO",V33,W33)</f>
        <v>ESQUINA</v>
      </c>
      <c r="Y33" s="55">
        <f>MATCH(L33,TABLAS!$D$5:$J$5,1)</f>
        <v>2</v>
      </c>
      <c r="Z33" s="41">
        <f>IF(Y33&gt;=7,0,(L33-INDEX(TABLAS!$D$5:$J$5,Y33))/(INDEX(TABLAS!$D$5:$J$5,Y33+1)-INDEX(TABLAS!$D$5:$J$5,Y33)))</f>
        <v>0.814111261872456</v>
      </c>
      <c r="AA33" s="55">
        <f>INDEX(TABLAS!$D$6:$J$47,MATCH(X33&amp;"|NIC",TABLAS!$B$6:$B$47,0),Y33)+Z33*(INDEX(TABLAS!$D$6:$J$47,MATCH(X33&amp;"|NIC",TABLAS!$B$6:$B$47,0),MIN(Y33+1,7))-INDEX(TABLAS!$D$6:$J$47,MATCH(X33&amp;"|NIC",TABLAS!$B$6:$B$47,0),Y33))</f>
        <v>542.640434192673</v>
      </c>
      <c r="AB33" s="55">
        <f>INDEX(TABLAS!$D$6:$J$47,MATCH(X33&amp;"|NIL",TABLAS!$B$6:$B$47,0),Y33)+Z33*(INDEX(TABLAS!$D$6:$J$47,MATCH(X33&amp;"|NIL",TABLAS!$B$6:$B$47,0),MIN(Y33+1,7))-INDEX(TABLAS!$D$6:$J$47,MATCH(X33&amp;"|NIL",TABLAS!$B$6:$B$47,0),Y33))</f>
        <v>458.717774762551</v>
      </c>
      <c r="AC33" s="55">
        <f>INDEX(TABLAS!$D$6:$J$47,MATCH(X33&amp;"|NDC",TABLAS!$B$6:$B$47,0),Y33)+Z33*(INDEX(TABLAS!$D$6:$J$47,MATCH(X33&amp;"|NDC",TABLAS!$B$6:$B$47,0),MIN(Y33+1,7))-INDEX(TABLAS!$D$6:$J$47,MATCH(X33&amp;"|NDC",TABLAS!$B$6:$B$47,0),Y33))</f>
        <v>328.621438263229</v>
      </c>
      <c r="AD33" s="55">
        <f>INDEX(TABLAS!$D$6:$J$47,MATCH(X33&amp;"|NDL",TABLAS!$B$6:$B$47,0),Y33)+Z33*(INDEX(TABLAS!$D$6:$J$47,MATCH(X33&amp;"|NDL",TABLAS!$B$6:$B$47,0),MIN(Y33+1,7))-INDEX(TABLAS!$D$6:$J$47,MATCH(X33&amp;"|NDL",TABLAS!$B$6:$B$47,0),Y33))</f>
        <v>249.858887381275</v>
      </c>
      <c r="AE33" s="55">
        <f>INDEX(TABLAS!$D$6:$J$47,MATCH(X33&amp;"|PC",TABLAS!$B$6:$B$47,0),Y33)+Z33*(INDEX(TABLAS!$D$6:$J$47,MATCH(X33&amp;"|PC",TABLAS!$B$6:$B$47,0),MIN(Y33+1,7))-INDEX(TABLAS!$D$6:$J$47,MATCH(X33&amp;"|PC",TABLAS!$B$6:$B$47,0),Y33))</f>
        <v>315.666214382632</v>
      </c>
      <c r="AF33" s="55">
        <f>INDEX(TABLAS!$D$6:$J$47,MATCH(X33&amp;"|PL",TABLAS!$B$6:$B$47,0),Y33)+Z33*(INDEX(TABLAS!$D$6:$J$47,MATCH(X33&amp;"|PL",TABLAS!$B$6:$B$47,0),MIN(Y33+1,7))-INDEX(TABLAS!$D$6:$J$47,MATCH(X33&amp;"|PL",TABLAS!$B$6:$B$47,0),Y33))</f>
        <v>147.115332428765</v>
      </c>
      <c r="AG33" s="58" t="n">
        <v>0</v>
      </c>
      <c r="AH33" s="34">
        <f>IF(D33="PERIMETRAL",AE33*R33*J33^2*1E-4*DATOS!$C$16/100/1000,0)</f>
        <v>0.225847321273717</v>
      </c>
      <c r="AI33" s="34">
        <f>IF(D33="PERIMETRAL",MAX(AA33,AC33)*R33*J33^2*1E-4*DATOS!$C$16/100/1000,IF(D33="VOLADO",(R33*J33^2/2+DATOS!$C$43*AG33*J33)*DATOS!$C$16/100/1000,0))</f>
        <v>0.38823885133513</v>
      </c>
      <c r="AJ33" s="34">
        <f>IF(D33="PERIMETRAL",AF33*R33*J33^2*1E-4*DATOS!$C$16/100/1000,0)</f>
        <v>0.105255495309533</v>
      </c>
      <c r="AK33" s="34">
        <f>IF(D33="PERIMETRAL",MAX(AB33,AD33)*R33*J33^2*1E-4*DATOS!$C$16/100/1000,0)</f>
        <v>0.328195340300766</v>
      </c>
      <c r="AL33" s="41">
        <f>IF(D33="HUECO",0,IF(AH33&lt;=0,DATOS!$C$71*DATOS!$C$13*DATOS!$C$66,IF((1-2*AH33*1E5/(DATOS!$C$45*DATOS!$C$16*DATOS!$C$66^2*DATOS!$C$38))&lt;0,-1,MAX(DATOS!$C$71*DATOS!$C$13*DATOS!$C$66,(1-SQRT((1-2*AH33*1E5/(DATOS!$C$45*DATOS!$C$16*DATOS!$C$66^2*DATOS!$C$38))))*DATOS!$C$38*DATOS!$C$16*DATOS!$C$66/DATOS!$C$32))))</f>
        <v>0.576720388273208</v>
      </c>
      <c r="AM33" s="39">
        <f>IF(AND(AL33&gt;=0,CEILING(AL33/INDEX(TABLAS!$D$52:$D$58,MIN(MATCH(DATOS!$C$20,TABLAS!$B$52:$B$58,0)+0,7)),1)&lt;=MIN(DATOS!$C$22,INT((DATOS!$C$25+DATOS!$C$24)/(INDEX(TABLAS!$C$52:$C$58,MIN(MATCH(DATOS!$C$20,TABLAS!$B$52:$B$58,0)+0,7))+DATOS!$C$24)))),INDEX(TABLAS!$B$52:$B$58,MIN(MATCH(DATOS!$C$20,TABLAS!$B$52:$B$58,0)+0,7)),IF(AND(AL33&gt;=0,CEILING(AL33/INDEX(TABLAS!$D$52:$D$58,MIN(MATCH(DATOS!$C$20,TABLAS!$B$52:$B$58,0)+1,7)),1)&lt;=MIN(DATOS!$C$22,INT((DATOS!$C$25+DATOS!$C$24)/(INDEX(TABLAS!$C$52:$C$58,MIN(MATCH(DATOS!$C$20,TABLAS!$B$52:$B$58,0)+1,7))+DATOS!$C$24)))),INDEX(TABLAS!$B$52:$B$58,MIN(MATCH(DATOS!$C$20,TABLAS!$B$52:$B$58,0)+1,7)),IF(AND(AL33&gt;=0,CEILING(AL33/INDEX(TABLAS!$D$52:$D$58,MIN(MATCH(DATOS!$C$20,TABLAS!$B$52:$B$58,0)+2,7)),1)&lt;=MIN(DATOS!$C$22,INT((DATOS!$C$25+DATOS!$C$24)/(INDEX(TABLAS!$C$52:$C$58,MIN(MATCH(DATOS!$C$20,TABLAS!$B$52:$B$58,0)+2,7))+DATOS!$C$24)))),INDEX(TABLAS!$B$52:$B$58,MIN(MATCH(DATOS!$C$20,TABLAS!$B$52:$B$58,0)+2,7)),IF(AND(AL33&gt;=0,CEILING(AL33/INDEX(TABLAS!$D$52:$D$58,MIN(MATCH(DATOS!$C$20,TABLAS!$B$52:$B$58,0)+3,7)),1)&lt;=MIN(DATOS!$C$22,INT((DATOS!$C$25+DATOS!$C$24)/(INDEX(TABLAS!$C$52:$C$58,MIN(MATCH(DATOS!$C$20,TABLAS!$B$52:$B$58,0)+3,7))+DATOS!$C$24)))),INDEX(TABLAS!$B$52:$B$58,MIN(MATCH(DATOS!$C$20,TABLAS!$B$52:$B$58,0)+3,7)),IF(AND(AL33&gt;=0,CEILING(AL33/INDEX(TABLAS!$D$52:$D$58,MIN(MATCH(DATOS!$C$20,TABLAS!$B$52:$B$58,0)+4,7)),1)&lt;=MIN(DATOS!$C$22,INT((DATOS!$C$25+DATOS!$C$24)/(INDEX(TABLAS!$C$52:$C$58,MIN(MATCH(DATOS!$C$20,TABLAS!$B$52:$B$58,0)+4,7))+DATOS!$C$24)))),INDEX(TABLAS!$B$52:$B$58,MIN(MATCH(DATOS!$C$20,TABLAS!$B$52:$B$58,0)+4,7)),INDEX(TABLAS!$B$52:$B$58,7))))))</f>
        <v>3</v>
      </c>
      <c r="AN33" s="55">
        <f>IF(D33="HUECO",0,IF(AL33&lt;0,0,MAX(DATOS!$C$23,CEILING(AL33/INDEX(TABLAS!$D$52:$D$58,MATCH(AM33,TABLAS!$B$52:$B$58,0)),1))))</f>
        <v>1</v>
      </c>
      <c r="AO33" s="34">
        <f>IF(AN33=0,0,DATOS!$C$45*AN33*INDEX(TABLAS!$D$52:$D$58,MATCH(AM33,TABLAS!$B$52:$B$58,0))*DATOS!$C$32*((DATOS!$C$15-DATOS!$C$18-INDEX(TABLAS!$C$52:$C$58,MATCH(DATOS!$C$19,TABLAS!$B$52:$B$58,0))-INDEX(TABLAS!$C$52:$C$58,MATCH(AM33,TABLAS!$B$52:$B$58,0))/2)-AN33*INDEX(TABLAS!$D$52:$D$58,MATCH(AM33,TABLAS!$B$52:$B$58,0))*DATOS!$C$32/(DATOS!$C$38*DATOS!$C$16)/2)/1E5)</f>
        <v>0.584659515176471</v>
      </c>
      <c r="AP33" s="59">
        <f>IF(AL33&lt;0,9.99,IF(AO33&gt;0,AH33/AO33,0))</f>
        <v>0.386288626818207</v>
      </c>
      <c r="AQ33" s="41">
        <f>IF(D33="HUECO",0,IF(AI33&lt;=0,DATOS!$C$71*DATOS!$C$13*DATOS!$C$67,IF((1-2*AI33*1E5/(DATOS!$C$45*DATOS!$C$13*DATOS!$C$67^2*DATOS!$C$38))&lt;0,-1,IF((1-SQRT((1-2*AI33*1E5/(DATOS!$C$45*DATOS!$C$13*DATOS!$C$67^2*DATOS!$C$38))))*DATOS!$C$38*DATOS!$C$13*DATOS!$C$67/DATOS!$C$32&gt;DATOS!$C$70*DATOS!$C$13*DATOS!$C$67,-1,MAX(DATOS!$C$71*DATOS!$C$13*DATOS!$C$67,(1-SQRT((1-2*AI33*1E5/(DATOS!$C$45*DATOS!$C$13*DATOS!$C$67^2*DATOS!$C$38))))*DATOS!$C$38*DATOS!$C$13*DATOS!$C$67/DATOS!$C$32)))))</f>
        <v>0.576720388273208</v>
      </c>
      <c r="AR33" s="39">
        <f>IF(AND(AQ33&gt;=0,CEILING(AQ33/INDEX(TABLAS!$D$52:$D$58,MIN(MATCH(DATOS!$C$21,TABLAS!$B$52:$B$58,0)+0,7)),1)&lt;=MIN(DATOS!$C$22,INT((DATOS!$C$25+DATOS!$C$24)/(INDEX(TABLAS!$C$52:$C$58,MIN(MATCH(DATOS!$C$21,TABLAS!$B$52:$B$58,0)+0,7))+DATOS!$C$24)))),INDEX(TABLAS!$B$52:$B$58,MIN(MATCH(DATOS!$C$21,TABLAS!$B$52:$B$58,0)+0,7)),IF(AND(AQ33&gt;=0,CEILING(AQ33/INDEX(TABLAS!$D$52:$D$58,MIN(MATCH(DATOS!$C$21,TABLAS!$B$52:$B$58,0)+1,7)),1)&lt;=MIN(DATOS!$C$22,INT((DATOS!$C$25+DATOS!$C$24)/(INDEX(TABLAS!$C$52:$C$58,MIN(MATCH(DATOS!$C$21,TABLAS!$B$52:$B$58,0)+1,7))+DATOS!$C$24)))),INDEX(TABLAS!$B$52:$B$58,MIN(MATCH(DATOS!$C$21,TABLAS!$B$52:$B$58,0)+1,7)),IF(AND(AQ33&gt;=0,CEILING(AQ33/INDEX(TABLAS!$D$52:$D$58,MIN(MATCH(DATOS!$C$21,TABLAS!$B$52:$B$58,0)+2,7)),1)&lt;=MIN(DATOS!$C$22,INT((DATOS!$C$25+DATOS!$C$24)/(INDEX(TABLAS!$C$52:$C$58,MIN(MATCH(DATOS!$C$21,TABLAS!$B$52:$B$58,0)+2,7))+DATOS!$C$24)))),INDEX(TABLAS!$B$52:$B$58,MIN(MATCH(DATOS!$C$21,TABLAS!$B$52:$B$58,0)+2,7)),IF(AND(AQ33&gt;=0,CEILING(AQ33/INDEX(TABLAS!$D$52:$D$58,MIN(MATCH(DATOS!$C$21,TABLAS!$B$52:$B$58,0)+3,7)),1)&lt;=MIN(DATOS!$C$22,INT((DATOS!$C$25+DATOS!$C$24)/(INDEX(TABLAS!$C$52:$C$58,MIN(MATCH(DATOS!$C$21,TABLAS!$B$52:$B$58,0)+3,7))+DATOS!$C$24)))),INDEX(TABLAS!$B$52:$B$58,MIN(MATCH(DATOS!$C$21,TABLAS!$B$52:$B$58,0)+3,7)),IF(AND(AQ33&gt;=0,CEILING(AQ33/INDEX(TABLAS!$D$52:$D$58,MIN(MATCH(DATOS!$C$21,TABLAS!$B$52:$B$58,0)+4,7)),1)&lt;=MIN(DATOS!$C$22,INT((DATOS!$C$25+DATOS!$C$24)/(INDEX(TABLAS!$C$52:$C$58,MIN(MATCH(DATOS!$C$21,TABLAS!$B$52:$B$58,0)+4,7))+DATOS!$C$24)))),INDEX(TABLAS!$B$52:$B$58,MIN(MATCH(DATOS!$C$21,TABLAS!$B$52:$B$58,0)+4,7)),INDEX(TABLAS!$B$52:$B$58,7))))))</f>
        <v>3</v>
      </c>
      <c r="AS33" s="55">
        <f>IF(D33="HUECO",0,IF(AQ33&lt;0,0,MAX(1,CEILING(AQ33/INDEX(TABLAS!$D$52:$D$58,MATCH(AR33,TABLAS!$B$52:$B$58,0)),1))))</f>
        <v>1</v>
      </c>
      <c r="AT33" s="34">
        <f>IF(AS33=0,0,DATOS!$C$45*AS33*INDEX(TABLAS!$D$52:$D$58,MATCH(AR33,TABLAS!$B$52:$B$58,0))*DATOS!$C$32*((DATOS!$C$15-DATOS!$C$18-INDEX(TABLAS!$C$52:$C$58,MATCH(DATOS!$C$19,TABLAS!$B$52:$B$58,0))-INDEX(TABLAS!$C$52:$C$58,MATCH(AR33,TABLAS!$B$52:$B$58,0))/2)-AS33*INDEX(TABLAS!$D$52:$D$58,MATCH(AR33,TABLAS!$B$52:$B$58,0))*DATOS!$C$32/(DATOS!$C$38*DATOS!$C$13)/2)/1E5)</f>
        <v>0.568518826235294</v>
      </c>
      <c r="AU33" s="59">
        <f>IF(AQ33&lt;0,9.99,IF(AT33&gt;0,AI33/AT33,0))</f>
        <v>0.682895329792384</v>
      </c>
      <c r="AV33" s="41">
        <f>IF(D33="HUECO",0,IF(AJ33&lt;=0,DATOS!$C$71*DATOS!$C$13*DATOS!$C$66,IF((1-2*AJ33*1E5/(DATOS!$C$45*DATOS!$C$16*DATOS!$C$66^2*DATOS!$C$38))&lt;0,-1,MAX(DATOS!$C$71*DATOS!$C$13*DATOS!$C$66,(1-SQRT((1-2*AJ33*1E5/(DATOS!$C$45*DATOS!$C$16*DATOS!$C$66^2*DATOS!$C$38))))*DATOS!$C$38*DATOS!$C$16*DATOS!$C$66/DATOS!$C$32))))</f>
        <v>0.576720388273208</v>
      </c>
      <c r="AW33" s="39">
        <f>IF(AND(AV33&gt;=0,CEILING(AV33/INDEX(TABLAS!$D$52:$D$58,MIN(MATCH(DATOS!$C$20,TABLAS!$B$52:$B$58,0)+0,7)),1)&lt;=MIN(DATOS!$C$22,INT((DATOS!$C$25+DATOS!$C$24)/(INDEX(TABLAS!$C$52:$C$58,MIN(MATCH(DATOS!$C$20,TABLAS!$B$52:$B$58,0)+0,7))+DATOS!$C$24)))),INDEX(TABLAS!$B$52:$B$58,MIN(MATCH(DATOS!$C$20,TABLAS!$B$52:$B$58,0)+0,7)),IF(AND(AV33&gt;=0,CEILING(AV33/INDEX(TABLAS!$D$52:$D$58,MIN(MATCH(DATOS!$C$20,TABLAS!$B$52:$B$58,0)+1,7)),1)&lt;=MIN(DATOS!$C$22,INT((DATOS!$C$25+DATOS!$C$24)/(INDEX(TABLAS!$C$52:$C$58,MIN(MATCH(DATOS!$C$20,TABLAS!$B$52:$B$58,0)+1,7))+DATOS!$C$24)))),INDEX(TABLAS!$B$52:$B$58,MIN(MATCH(DATOS!$C$20,TABLAS!$B$52:$B$58,0)+1,7)),IF(AND(AV33&gt;=0,CEILING(AV33/INDEX(TABLAS!$D$52:$D$58,MIN(MATCH(DATOS!$C$20,TABLAS!$B$52:$B$58,0)+2,7)),1)&lt;=MIN(DATOS!$C$22,INT((DATOS!$C$25+DATOS!$C$24)/(INDEX(TABLAS!$C$52:$C$58,MIN(MATCH(DATOS!$C$20,TABLAS!$B$52:$B$58,0)+2,7))+DATOS!$C$24)))),INDEX(TABLAS!$B$52:$B$58,MIN(MATCH(DATOS!$C$20,TABLAS!$B$52:$B$58,0)+2,7)),IF(AND(AV33&gt;=0,CEILING(AV33/INDEX(TABLAS!$D$52:$D$58,MIN(MATCH(DATOS!$C$20,TABLAS!$B$52:$B$58,0)+3,7)),1)&lt;=MIN(DATOS!$C$22,INT((DATOS!$C$25+DATOS!$C$24)/(INDEX(TABLAS!$C$52:$C$58,MIN(MATCH(DATOS!$C$20,TABLAS!$B$52:$B$58,0)+3,7))+DATOS!$C$24)))),INDEX(TABLAS!$B$52:$B$58,MIN(MATCH(DATOS!$C$20,TABLAS!$B$52:$B$58,0)+3,7)),IF(AND(AV33&gt;=0,CEILING(AV33/INDEX(TABLAS!$D$52:$D$58,MIN(MATCH(DATOS!$C$20,TABLAS!$B$52:$B$58,0)+4,7)),1)&lt;=MIN(DATOS!$C$22,INT((DATOS!$C$25+DATOS!$C$24)/(INDEX(TABLAS!$C$52:$C$58,MIN(MATCH(DATOS!$C$20,TABLAS!$B$52:$B$58,0)+4,7))+DATOS!$C$24)))),INDEX(TABLAS!$B$52:$B$58,MIN(MATCH(DATOS!$C$20,TABLAS!$B$52:$B$58,0)+4,7)),INDEX(TABLAS!$B$52:$B$58,7))))))</f>
        <v>3</v>
      </c>
      <c r="AX33" s="55">
        <f>IF(D33="HUECO",0,IF(AV33&lt;0,0,MAX(DATOS!$C$23,CEILING(AV33/INDEX(TABLAS!$D$52:$D$58,MATCH(AW33,TABLAS!$B$52:$B$58,0)),1))))</f>
        <v>1</v>
      </c>
      <c r="AY33" s="34">
        <f>IF(AX33=0,0,DATOS!$C$45*AX33*INDEX(TABLAS!$D$52:$D$58,MATCH(AW33,TABLAS!$B$52:$B$58,0))*DATOS!$C$32*((DATOS!$C$15-DATOS!$C$18-INDEX(TABLAS!$C$52:$C$58,MATCH(DATOS!$C$19,TABLAS!$B$52:$B$58,0))-INDEX(TABLAS!$C$52:$C$58,MATCH(AW33,TABLAS!$B$52:$B$58,0))/2)-AX33*INDEX(TABLAS!$D$52:$D$58,MATCH(AW33,TABLAS!$B$52:$B$58,0))*DATOS!$C$32/(DATOS!$C$38*DATOS!$C$16)/2)/1E5)</f>
        <v>0.584659515176471</v>
      </c>
      <c r="AZ33" s="59">
        <f>IF(AV33&lt;0,9.99,IF(AY33&gt;0,AJ33/AY33,0))</f>
        <v>0.180028704874089</v>
      </c>
      <c r="BA33" s="41">
        <f>IF(D33="HUECO",0,IF(AK33&lt;=0,DATOS!$C$71*DATOS!$C$13*DATOS!$C$67,IF((1-2*AK33*1E5/(DATOS!$C$45*DATOS!$C$13*DATOS!$C$67^2*DATOS!$C$38))&lt;0,-1,IF((1-SQRT((1-2*AK33*1E5/(DATOS!$C$45*DATOS!$C$13*DATOS!$C$67^2*DATOS!$C$38))))*DATOS!$C$38*DATOS!$C$13*DATOS!$C$67/DATOS!$C$32&gt;DATOS!$C$70*DATOS!$C$13*DATOS!$C$67,-1,MAX(DATOS!$C$71*DATOS!$C$13*DATOS!$C$67,(1-SQRT((1-2*AK33*1E5/(DATOS!$C$45*DATOS!$C$13*DATOS!$C$67^2*DATOS!$C$38))))*DATOS!$C$38*DATOS!$C$13*DATOS!$C$67/DATOS!$C$32)))))</f>
        <v>0.576720388273208</v>
      </c>
      <c r="BB33" s="39">
        <f>IF(AND(BA33&gt;=0,CEILING(BA33/INDEX(TABLAS!$D$52:$D$58,MIN(MATCH(DATOS!$C$21,TABLAS!$B$52:$B$58,0)+0,7)),1)&lt;=MIN(DATOS!$C$22,INT((DATOS!$C$25+DATOS!$C$24)/(INDEX(TABLAS!$C$52:$C$58,MIN(MATCH(DATOS!$C$21,TABLAS!$B$52:$B$58,0)+0,7))+DATOS!$C$24)))),INDEX(TABLAS!$B$52:$B$58,MIN(MATCH(DATOS!$C$21,TABLAS!$B$52:$B$58,0)+0,7)),IF(AND(BA33&gt;=0,CEILING(BA33/INDEX(TABLAS!$D$52:$D$58,MIN(MATCH(DATOS!$C$21,TABLAS!$B$52:$B$58,0)+1,7)),1)&lt;=MIN(DATOS!$C$22,INT((DATOS!$C$25+DATOS!$C$24)/(INDEX(TABLAS!$C$52:$C$58,MIN(MATCH(DATOS!$C$21,TABLAS!$B$52:$B$58,0)+1,7))+DATOS!$C$24)))),INDEX(TABLAS!$B$52:$B$58,MIN(MATCH(DATOS!$C$21,TABLAS!$B$52:$B$58,0)+1,7)),IF(AND(BA33&gt;=0,CEILING(BA33/INDEX(TABLAS!$D$52:$D$58,MIN(MATCH(DATOS!$C$21,TABLAS!$B$52:$B$58,0)+2,7)),1)&lt;=MIN(DATOS!$C$22,INT((DATOS!$C$25+DATOS!$C$24)/(INDEX(TABLAS!$C$52:$C$58,MIN(MATCH(DATOS!$C$21,TABLAS!$B$52:$B$58,0)+2,7))+DATOS!$C$24)))),INDEX(TABLAS!$B$52:$B$58,MIN(MATCH(DATOS!$C$21,TABLAS!$B$52:$B$58,0)+2,7)),IF(AND(BA33&gt;=0,CEILING(BA33/INDEX(TABLAS!$D$52:$D$58,MIN(MATCH(DATOS!$C$21,TABLAS!$B$52:$B$58,0)+3,7)),1)&lt;=MIN(DATOS!$C$22,INT((DATOS!$C$25+DATOS!$C$24)/(INDEX(TABLAS!$C$52:$C$58,MIN(MATCH(DATOS!$C$21,TABLAS!$B$52:$B$58,0)+3,7))+DATOS!$C$24)))),INDEX(TABLAS!$B$52:$B$58,MIN(MATCH(DATOS!$C$21,TABLAS!$B$52:$B$58,0)+3,7)),IF(AND(BA33&gt;=0,CEILING(BA33/INDEX(TABLAS!$D$52:$D$58,MIN(MATCH(DATOS!$C$21,TABLAS!$B$52:$B$58,0)+4,7)),1)&lt;=MIN(DATOS!$C$22,INT((DATOS!$C$25+DATOS!$C$24)/(INDEX(TABLAS!$C$52:$C$58,MIN(MATCH(DATOS!$C$21,TABLAS!$B$52:$B$58,0)+4,7))+DATOS!$C$24)))),INDEX(TABLAS!$B$52:$B$58,MIN(MATCH(DATOS!$C$21,TABLAS!$B$52:$B$58,0)+4,7)),INDEX(TABLAS!$B$52:$B$58,7))))))</f>
        <v>3</v>
      </c>
      <c r="BC33" s="55">
        <f>IF(D33="HUECO",0,IF(BA33&lt;0,0,MAX(1,CEILING(BA33/INDEX(TABLAS!$D$52:$D$58,MATCH(BB33,TABLAS!$B$52:$B$58,0)),1))))</f>
        <v>1</v>
      </c>
      <c r="BD33" s="34">
        <f>IF(BC33=0,0,DATOS!$C$45*BC33*INDEX(TABLAS!$D$52:$D$58,MATCH(BB33,TABLAS!$B$52:$B$58,0))*DATOS!$C$32*((DATOS!$C$15-DATOS!$C$18-INDEX(TABLAS!$C$52:$C$58,MATCH(DATOS!$C$19,TABLAS!$B$52:$B$58,0))-INDEX(TABLAS!$C$52:$C$58,MATCH(BB33,TABLAS!$B$52:$B$58,0))/2)-BC33*INDEX(TABLAS!$D$52:$D$58,MATCH(BB33,TABLAS!$B$52:$B$58,0))*DATOS!$C$32/(DATOS!$C$38*DATOS!$C$13)/2)/1E5)</f>
        <v>0.568518826235294</v>
      </c>
      <c r="BE33" s="59">
        <f>IF(BA33&lt;0,9.99,IF(BD33&gt;0,AK33/BD33,0))</f>
        <v>0.577281393606718</v>
      </c>
      <c r="BF33" s="34">
        <f>IF(D33="PERIMETRAL",MAX(0,(J33/2-DATOS!$C$66/100))*(0.95-0.5*L33)*R33*IF(AND(S33&gt;0,S33&lt;4),DATOS!$C$50,1)*DATOS!$C$16/100/1000,IF(D33="VOLADO",(R33*J33+DATOS!$C$43*AG33)*DATOS!$C$16/100/1000,0))</f>
        <v>0.690187726528634</v>
      </c>
      <c r="BG33" s="34">
        <f>IF(D33="HUECO",0,DATOS!$C$46*IF((AS33*INDEX(TABLAS!$D$52:$D$58,MATCH(AR33,TABLAS!$B$52:$B$58,0))/(DATOS!$C$13*DATOS!$C$67))&lt;0.015,0.2+20*(AS33*INDEX(TABLAS!$D$52:$D$58,MATCH(AR33,TABLAS!$B$52:$B$58,0))/(DATOS!$C$13*DATOS!$C$67)),0.5)*SQRT(DATOS!$C$31)*DATOS!$C$13*DATOS!$C$67*DATOS!$C$49/1000)</f>
        <v>0.687439634849853</v>
      </c>
      <c r="BH33" s="49" t="str">
        <f>IF(D33="HUECO","—",IF(BF33&lt;=BG33,"CUMPLE","MACIZAR "&amp;MAX(1,CEILING(IF(D33="VOLADO",J33,J33/2)*(1-BG33/BF33)*100/DATOS!$C$16,1))&amp;" hilera(s)"))</f>
        <v>MACIZAR 1 hilera(s)</v>
      </c>
      <c r="BI33" s="41">
        <f>IF(D33="PERIMETRAL",(2*(H33+I33)+0.25*(H33*((APOYOS!$G$125="DISCONTINUO")+(APOYOS!$G$126="DISCONTINUO"))+I33*((APOYOS!$G$127="DISCONTINUO")+(APOYOS!$G$128="DISCONTINUO"))))*(J33+MIN(K33,2*J33))/(J33+K33)*100/250*IF(OR(DATOS!$C$47&gt;2520,Q33&gt;380),0.032*(DATOS!$C$47*Q33)^0.25,1),IF(D33="VOLADO",J33*100/8,0))</f>
        <v>9.62022218517351</v>
      </c>
      <c r="BJ33" s="41">
        <f>IF(D33="VOLADO",DATOS!$C$15,DATOS!$C$68)</f>
        <v>13.6082564120244</v>
      </c>
      <c r="BK33" s="50" t="str">
        <f>IF(D33="HUECO","—",IF(BJ33&gt;=BI33,"CUMPLE","NO CUMPLE"))</f>
        <v>CUMPLE</v>
      </c>
      <c r="BL33" s="50" t="str">
        <f>IF(D33="PERIMETRAL",IF(DATOS!$C$16/100&lt;=J33/6,"SÍ","NO: a1 &lt; 6·s"),"—")</f>
        <v>NO: a1 &lt; 6·s</v>
      </c>
      <c r="BM33" s="55">
        <f>MAX(0,INT((F33*100-DATOS!$C$17+DATOS!$C$13)/DATOS!$C$16))</f>
        <v>4</v>
      </c>
      <c r="BN33" s="55">
        <f>MAX(0,INT((G33*100-DATOS!$C$17+DATOS!$C$13)/DATOS!$C$16))</f>
        <v>8</v>
      </c>
      <c r="BO33" s="49" t="str">
        <f>IF(COUNTIFS(TRIB!$C$6:$C$255,B33,TRIB!$K$6:$K$255,"NO CUMPLE*")+COUNTIFS(TRIB!$C$6:$C$255,B33,TRIB!$K$6:$K$255,"SIN APOYO*")&gt;0,"VER PRINCIPALES",IF((APOYOS!$F$125="LIBRE")+(APOYOS!$F$126="LIBRE")+(APOYOS!$F$127="LIBRE")+(APOYOS!$F$128="LIBRE")&gt;0,"REVISAR: borde libre","OK"))</f>
        <v>OK</v>
      </c>
      <c r="BP33" s="60" t="str">
        <f>IF(D33="HUECO","HUECO — marco de nervaduras principales",IF(AND(MAX(AP33,AU33,AZ33,BE33)&lt;=1,NOT(OR(AN33&gt;MIN(DATOS!$C$22,INT((DATOS!$C$25+DATOS!$C$24)/(INDEX(TABLAS!$C$52:$C$58,MATCH(AM33,TABLAS!$B$52:$B$58,0))+DATOS!$C$24))),AS33&gt;MIN(DATOS!$C$22,INT((DATOS!$C$25+DATOS!$C$24)/(INDEX(TABLAS!$C$52:$C$58,MATCH(AR33,TABLAS!$B$52:$B$58,0))+DATOS!$C$24))),AX33&gt;MIN(DATOS!$C$22,INT((DATOS!$C$25+DATOS!$C$24)/(INDEX(TABLAS!$C$52:$C$58,MATCH(AW33,TABLAS!$B$52:$B$58,0))+DATOS!$C$24))),BC33&gt;MIN(DATOS!$C$22,INT((DATOS!$C$25+DATOS!$C$24)/(INDEX(TABLAS!$C$52:$C$58,MATCH(BB33,TABLAS!$B$52:$B$58,0))+DATOS!$C$24))))),BK33="CUMPLE"),IF(BO33="OK",IF(BH33="CUMPLE","CUMPLE","CUMPLE — "&amp;BH33),IF(BO33="VER PRINCIPALES","VER PRINCIPALES","REVISAR APOYOS")),"NO CUMPLE: "&amp;IF(MAX(AP33,AU33,AZ33,BE33)&gt;1,"flexión ","")&amp;IF(OR(AN33&gt;MIN(DATOS!$C$22,INT((DATOS!$C$25+DATOS!$C$24)/(INDEX(TABLAS!$C$52:$C$58,MATCH(AM33,TABLAS!$B$52:$B$58,0))+DATOS!$C$24))),AS33&gt;MIN(DATOS!$C$22,INT((DATOS!$C$25+DATOS!$C$24)/(INDEX(TABLAS!$C$52:$C$58,MATCH(AR33,TABLAS!$B$52:$B$58,0))+DATOS!$C$24))),AX33&gt;MIN(DATOS!$C$22,INT((DATOS!$C$25+DATOS!$C$24)/(INDEX(TABLAS!$C$52:$C$58,MATCH(AW33,TABLAS!$B$52:$B$58,0))+DATOS!$C$24))),BC33&gt;MIN(DATOS!$C$22,INT((DATOS!$C$25+DATOS!$C$24)/(INDEX(TABLAS!$C$52:$C$58,MATCH(BB33,TABLAS!$B$52:$B$58,0))+DATOS!$C$24)))),"no caben ","")&amp;IF(BK33&lt;&gt;"CUMPLE","peralte","")))</f>
        <v>CUMPLE — MACIZAR 1 hilera(s)</v>
      </c>
      <c r="BQ33" s="61" t="inlineStr">
        <is>
          <t>—</t>
        </is>
      </c>
    </row>
    <row r="34" ht="30" customHeight="1">
      <c r="B34" s="49" t="inlineStr">
        <is>
          <t>F80026 N+6.00</t>
        </is>
      </c>
      <c r="C34" s="50" t="inlineStr">
        <is>
          <t>N+6.00</t>
        </is>
      </c>
      <c r="D34" s="51" t="inlineStr">
        <is>
          <t>PERIMETRAL</t>
        </is>
      </c>
      <c r="E34" s="51" t="inlineStr">
        <is>
          <t>AZOTEA</t>
        </is>
      </c>
      <c r="F34" s="52" t="n">
        <v>3.028</v>
      </c>
      <c r="G34" s="52" t="n">
        <v>0.851</v>
      </c>
      <c r="H34" s="53" t="n">
        <v>3.028</v>
      </c>
      <c r="I34" s="53" t="n">
        <v>0.851</v>
      </c>
      <c r="J34" s="34">
        <f>MIN(H34,I34)</f>
        <v>0.851</v>
      </c>
      <c r="K34" s="34">
        <f>MAX(H34,I34)</f>
        <v>3.028</v>
      </c>
      <c r="L34" s="34">
        <f>IF(K34&gt;0,J34/K34,0)</f>
        <v>0.281043593130779</v>
      </c>
      <c r="M34" s="50" t="str">
        <f>IF(H34&lt;=I34,"X","Y")</f>
        <v>Y</v>
      </c>
      <c r="N34" s="54" t="n">
        <v>295</v>
      </c>
      <c r="O34" s="55">
        <f>IF(E34="HABITACIÓN",DATOS!$C$76,DATOS!$C$78)</f>
        <v>100</v>
      </c>
      <c r="P34" s="55">
        <f>DATOS!$C$58</f>
        <v>253.673469387755</v>
      </c>
      <c r="Q34" s="55">
        <f>P34+N34+O34</f>
        <v>648.673469387755</v>
      </c>
      <c r="R34" s="56">
        <f>DATOS!$C$43*(P34+N34)+DATOS!$C$44*O34</f>
        <v>863.275510204082</v>
      </c>
      <c r="S34" s="55">
        <f>(APOYOS!$G$129="DISCONTINUO")+(APOYOS!$G$130="DISCONTINUO")+(APOYOS!$G$131="DISCONTINUO")+(APOYOS!$G$132="DISCONTINUO")</f>
        <v>2</v>
      </c>
      <c r="T34" s="55">
        <f>IF(M34="X",(APOYOS!$G$129="DISCONTINUO")+(APOYOS!$G$130="DISCONTINUO"),(APOYOS!$G$131="DISCONTINUO")+(APOYOS!$G$132="DISCONTINUO"))</f>
        <v>1</v>
      </c>
      <c r="U34" s="55">
        <f>S34-T34</f>
        <v>1</v>
      </c>
      <c r="V34" s="50" t="str">
        <f>IF(S34=0,"INTERIOR",IF(S34=1,IF(T34=1,"BORDE-CORTO","BORDE-LARGO"),IF(S34=2,IF(T34=1,"ESQUINA",IF(T34=2,"EXTREMO-LARGO","EXTREMO-CORTO")),IF(S34=3,IF(T34=2,"EXTREMO-LARGO","EXTREMO-CORTO"),"AISLADO"))))</f>
        <v>ESQUINA</v>
      </c>
      <c r="W34" s="51" t="inlineStr">
        <is>
          <t>AUTO</t>
        </is>
      </c>
      <c r="X34" s="57" t="str">
        <f>IF(W34="AUTO",V34,W34)</f>
        <v>ESQUINA</v>
      </c>
      <c r="Y34" s="55">
        <f>MATCH(L34,TABLAS!$D$5:$J$5,1)</f>
        <v>1</v>
      </c>
      <c r="Z34" s="41">
        <f>IF(Y34&gt;=7,0,(L34-INDEX(TABLAS!$D$5:$J$5,Y34))/(INDEX(TABLAS!$D$5:$J$5,Y34+1)-INDEX(TABLAS!$D$5:$J$5,Y34)))</f>
        <v>0.562087186261559</v>
      </c>
      <c r="AA34" s="55">
        <f>INDEX(TABLAS!$D$6:$J$47,MATCH(X34&amp;"|NIC",TABLAS!$B$6:$B$47,0),Y34)+Z34*(INDEX(TABLAS!$D$6:$J$47,MATCH(X34&amp;"|NIC",TABLAS!$B$6:$B$47,0),MIN(Y34+1,7))-INDEX(TABLAS!$D$6:$J$47,MATCH(X34&amp;"|NIC",TABLAS!$B$6:$B$47,0),Y34))</f>
        <v>800.31571994716</v>
      </c>
      <c r="AB34" s="55">
        <f>INDEX(TABLAS!$D$6:$J$47,MATCH(X34&amp;"|NIL",TABLAS!$B$6:$B$47,0),Y34)+Z34*(INDEX(TABLAS!$D$6:$J$47,MATCH(X34&amp;"|NIL",TABLAS!$B$6:$B$47,0),MIN(Y34+1,7))-INDEX(TABLAS!$D$6:$J$47,MATCH(X34&amp;"|NIL",TABLAS!$B$6:$B$47,0),Y34))</f>
        <v>529.739101717305</v>
      </c>
      <c r="AC34" s="55">
        <f>INDEX(TABLAS!$D$6:$J$47,MATCH(X34&amp;"|NDC",TABLAS!$B$6:$B$47,0),Y34)+Z34*(INDEX(TABLAS!$D$6:$J$47,MATCH(X34&amp;"|NDC",TABLAS!$B$6:$B$47,0),MIN(Y34+1,7))-INDEX(TABLAS!$D$6:$J$47,MATCH(X34&amp;"|NDC",TABLAS!$B$6:$B$47,0),Y34))</f>
        <v>488.55680317041</v>
      </c>
      <c r="AD34" s="55">
        <f>INDEX(TABLAS!$D$6:$J$47,MATCH(X34&amp;"|NDL",TABLAS!$B$6:$B$47,0),Y34)+Z34*(INDEX(TABLAS!$D$6:$J$47,MATCH(X34&amp;"|NDL",TABLAS!$B$6:$B$47,0),MIN(Y34+1,7))-INDEX(TABLAS!$D$6:$J$47,MATCH(X34&amp;"|NDL",TABLAS!$B$6:$B$47,0),Y34))</f>
        <v>287.778071334214</v>
      </c>
      <c r="AE34" s="55">
        <f>INDEX(TABLAS!$D$6:$J$47,MATCH(X34&amp;"|PC",TABLAS!$B$6:$B$47,0),Y34)+Z34*(INDEX(TABLAS!$D$6:$J$47,MATCH(X34&amp;"|PC",TABLAS!$B$6:$B$47,0),MIN(Y34+1,7))-INDEX(TABLAS!$D$6:$J$47,MATCH(X34&amp;"|PC",TABLAS!$B$6:$B$47,0),Y34))</f>
        <v>530.099735799208</v>
      </c>
      <c r="AF34" s="55">
        <f>INDEX(TABLAS!$D$6:$J$47,MATCH(X34&amp;"|PL",TABLAS!$B$6:$B$47,0),Y34)+Z34*(INDEX(TABLAS!$D$6:$J$47,MATCH(X34&amp;"|PL",TABLAS!$B$6:$B$47,0),MIN(Y34+1,7))-INDEX(TABLAS!$D$6:$J$47,MATCH(X34&amp;"|PL",TABLAS!$B$6:$B$47,0),Y34))</f>
        <v>169.078599735799</v>
      </c>
      <c r="AG34" s="58" t="n">
        <v>0</v>
      </c>
      <c r="AH34" s="34">
        <f>IF(D34="PERIMETRAL",AE34*R34*J34^2*1E-4*DATOS!$C$16/100/1000,0)</f>
        <v>0.0231987277788014</v>
      </c>
      <c r="AI34" s="34">
        <f>IF(D34="PERIMETRAL",MAX(AA34,AC34)*R34*J34^2*1E-4*DATOS!$C$16/100/1000,IF(D34="VOLADO",(R34*J34^2/2+DATOS!$C$43*AG34*J34)*DATOS!$C$16/100/1000,0))</f>
        <v>0.0350241761508483</v>
      </c>
      <c r="AJ34" s="34">
        <f>IF(D34="PERIMETRAL",AF34*R34*J34^2*1E-4*DATOS!$C$16/100/1000,0)</f>
        <v>0.00739937816150405</v>
      </c>
      <c r="AK34" s="34">
        <f>IF(D34="PERIMETRAL",MAX(AB34,AD34)*R34*J34^2*1E-4*DATOS!$C$16/100/1000,0)</f>
        <v>0.0231829453678156</v>
      </c>
      <c r="AL34" s="41">
        <f>IF(D34="HUECO",0,IF(AH34&lt;=0,DATOS!$C$71*DATOS!$C$13*DATOS!$C$66,IF((1-2*AH34*1E5/(DATOS!$C$45*DATOS!$C$16*DATOS!$C$66^2*DATOS!$C$38))&lt;0,-1,MAX(DATOS!$C$71*DATOS!$C$13*DATOS!$C$66,(1-SQRT((1-2*AH34*1E5/(DATOS!$C$45*DATOS!$C$16*DATOS!$C$66^2*DATOS!$C$38))))*DATOS!$C$38*DATOS!$C$16*DATOS!$C$66/DATOS!$C$32))))</f>
        <v>0.576720388273208</v>
      </c>
      <c r="AM34" s="39">
        <f>IF(AND(AL34&gt;=0,CEILING(AL34/INDEX(TABLAS!$D$52:$D$58,MIN(MATCH(DATOS!$C$20,TABLAS!$B$52:$B$58,0)+0,7)),1)&lt;=MIN(DATOS!$C$22,INT((DATOS!$C$25+DATOS!$C$24)/(INDEX(TABLAS!$C$52:$C$58,MIN(MATCH(DATOS!$C$20,TABLAS!$B$52:$B$58,0)+0,7))+DATOS!$C$24)))),INDEX(TABLAS!$B$52:$B$58,MIN(MATCH(DATOS!$C$20,TABLAS!$B$52:$B$58,0)+0,7)),IF(AND(AL34&gt;=0,CEILING(AL34/INDEX(TABLAS!$D$52:$D$58,MIN(MATCH(DATOS!$C$20,TABLAS!$B$52:$B$58,0)+1,7)),1)&lt;=MIN(DATOS!$C$22,INT((DATOS!$C$25+DATOS!$C$24)/(INDEX(TABLAS!$C$52:$C$58,MIN(MATCH(DATOS!$C$20,TABLAS!$B$52:$B$58,0)+1,7))+DATOS!$C$24)))),INDEX(TABLAS!$B$52:$B$58,MIN(MATCH(DATOS!$C$20,TABLAS!$B$52:$B$58,0)+1,7)),IF(AND(AL34&gt;=0,CEILING(AL34/INDEX(TABLAS!$D$52:$D$58,MIN(MATCH(DATOS!$C$20,TABLAS!$B$52:$B$58,0)+2,7)),1)&lt;=MIN(DATOS!$C$22,INT((DATOS!$C$25+DATOS!$C$24)/(INDEX(TABLAS!$C$52:$C$58,MIN(MATCH(DATOS!$C$20,TABLAS!$B$52:$B$58,0)+2,7))+DATOS!$C$24)))),INDEX(TABLAS!$B$52:$B$58,MIN(MATCH(DATOS!$C$20,TABLAS!$B$52:$B$58,0)+2,7)),IF(AND(AL34&gt;=0,CEILING(AL34/INDEX(TABLAS!$D$52:$D$58,MIN(MATCH(DATOS!$C$20,TABLAS!$B$52:$B$58,0)+3,7)),1)&lt;=MIN(DATOS!$C$22,INT((DATOS!$C$25+DATOS!$C$24)/(INDEX(TABLAS!$C$52:$C$58,MIN(MATCH(DATOS!$C$20,TABLAS!$B$52:$B$58,0)+3,7))+DATOS!$C$24)))),INDEX(TABLAS!$B$52:$B$58,MIN(MATCH(DATOS!$C$20,TABLAS!$B$52:$B$58,0)+3,7)),IF(AND(AL34&gt;=0,CEILING(AL34/INDEX(TABLAS!$D$52:$D$58,MIN(MATCH(DATOS!$C$20,TABLAS!$B$52:$B$58,0)+4,7)),1)&lt;=MIN(DATOS!$C$22,INT((DATOS!$C$25+DATOS!$C$24)/(INDEX(TABLAS!$C$52:$C$58,MIN(MATCH(DATOS!$C$20,TABLAS!$B$52:$B$58,0)+4,7))+DATOS!$C$24)))),INDEX(TABLAS!$B$52:$B$58,MIN(MATCH(DATOS!$C$20,TABLAS!$B$52:$B$58,0)+4,7)),INDEX(TABLAS!$B$52:$B$58,7))))))</f>
        <v>3</v>
      </c>
      <c r="AN34" s="55">
        <f>IF(D34="HUECO",0,IF(AL34&lt;0,0,MAX(DATOS!$C$23,CEILING(AL34/INDEX(TABLAS!$D$52:$D$58,MATCH(AM34,TABLAS!$B$52:$B$58,0)),1))))</f>
        <v>1</v>
      </c>
      <c r="AO34" s="34">
        <f>IF(AN34=0,0,DATOS!$C$45*AN34*INDEX(TABLAS!$D$52:$D$58,MATCH(AM34,TABLAS!$B$52:$B$58,0))*DATOS!$C$32*((DATOS!$C$15-DATOS!$C$18-INDEX(TABLAS!$C$52:$C$58,MATCH(DATOS!$C$19,TABLAS!$B$52:$B$58,0))-INDEX(TABLAS!$C$52:$C$58,MATCH(AM34,TABLAS!$B$52:$B$58,0))/2)-AN34*INDEX(TABLAS!$D$52:$D$58,MATCH(AM34,TABLAS!$B$52:$B$58,0))*DATOS!$C$32/(DATOS!$C$38*DATOS!$C$16)/2)/1E5)</f>
        <v>0.584659515176471</v>
      </c>
      <c r="AP34" s="59">
        <f>IF(AL34&lt;0,9.99,IF(AO34&gt;0,AH34/AO34,0))</f>
        <v>0.0396790391272417</v>
      </c>
      <c r="AQ34" s="41">
        <f>IF(D34="HUECO",0,IF(AI34&lt;=0,DATOS!$C$71*DATOS!$C$13*DATOS!$C$67,IF((1-2*AI34*1E5/(DATOS!$C$45*DATOS!$C$13*DATOS!$C$67^2*DATOS!$C$38))&lt;0,-1,IF((1-SQRT((1-2*AI34*1E5/(DATOS!$C$45*DATOS!$C$13*DATOS!$C$67^2*DATOS!$C$38))))*DATOS!$C$38*DATOS!$C$13*DATOS!$C$67/DATOS!$C$32&gt;DATOS!$C$70*DATOS!$C$13*DATOS!$C$67,-1,MAX(DATOS!$C$71*DATOS!$C$13*DATOS!$C$67,(1-SQRT((1-2*AI34*1E5/(DATOS!$C$45*DATOS!$C$13*DATOS!$C$67^2*DATOS!$C$38))))*DATOS!$C$38*DATOS!$C$13*DATOS!$C$67/DATOS!$C$32)))))</f>
        <v>0.576720388273208</v>
      </c>
      <c r="AR34" s="39">
        <f>IF(AND(AQ34&gt;=0,CEILING(AQ34/INDEX(TABLAS!$D$52:$D$58,MIN(MATCH(DATOS!$C$21,TABLAS!$B$52:$B$58,0)+0,7)),1)&lt;=MIN(DATOS!$C$22,INT((DATOS!$C$25+DATOS!$C$24)/(INDEX(TABLAS!$C$52:$C$58,MIN(MATCH(DATOS!$C$21,TABLAS!$B$52:$B$58,0)+0,7))+DATOS!$C$24)))),INDEX(TABLAS!$B$52:$B$58,MIN(MATCH(DATOS!$C$21,TABLAS!$B$52:$B$58,0)+0,7)),IF(AND(AQ34&gt;=0,CEILING(AQ34/INDEX(TABLAS!$D$52:$D$58,MIN(MATCH(DATOS!$C$21,TABLAS!$B$52:$B$58,0)+1,7)),1)&lt;=MIN(DATOS!$C$22,INT((DATOS!$C$25+DATOS!$C$24)/(INDEX(TABLAS!$C$52:$C$58,MIN(MATCH(DATOS!$C$21,TABLAS!$B$52:$B$58,0)+1,7))+DATOS!$C$24)))),INDEX(TABLAS!$B$52:$B$58,MIN(MATCH(DATOS!$C$21,TABLAS!$B$52:$B$58,0)+1,7)),IF(AND(AQ34&gt;=0,CEILING(AQ34/INDEX(TABLAS!$D$52:$D$58,MIN(MATCH(DATOS!$C$21,TABLAS!$B$52:$B$58,0)+2,7)),1)&lt;=MIN(DATOS!$C$22,INT((DATOS!$C$25+DATOS!$C$24)/(INDEX(TABLAS!$C$52:$C$58,MIN(MATCH(DATOS!$C$21,TABLAS!$B$52:$B$58,0)+2,7))+DATOS!$C$24)))),INDEX(TABLAS!$B$52:$B$58,MIN(MATCH(DATOS!$C$21,TABLAS!$B$52:$B$58,0)+2,7)),IF(AND(AQ34&gt;=0,CEILING(AQ34/INDEX(TABLAS!$D$52:$D$58,MIN(MATCH(DATOS!$C$21,TABLAS!$B$52:$B$58,0)+3,7)),1)&lt;=MIN(DATOS!$C$22,INT((DATOS!$C$25+DATOS!$C$24)/(INDEX(TABLAS!$C$52:$C$58,MIN(MATCH(DATOS!$C$21,TABLAS!$B$52:$B$58,0)+3,7))+DATOS!$C$24)))),INDEX(TABLAS!$B$52:$B$58,MIN(MATCH(DATOS!$C$21,TABLAS!$B$52:$B$58,0)+3,7)),IF(AND(AQ34&gt;=0,CEILING(AQ34/INDEX(TABLAS!$D$52:$D$58,MIN(MATCH(DATOS!$C$21,TABLAS!$B$52:$B$58,0)+4,7)),1)&lt;=MIN(DATOS!$C$22,INT((DATOS!$C$25+DATOS!$C$24)/(INDEX(TABLAS!$C$52:$C$58,MIN(MATCH(DATOS!$C$21,TABLAS!$B$52:$B$58,0)+4,7))+DATOS!$C$24)))),INDEX(TABLAS!$B$52:$B$58,MIN(MATCH(DATOS!$C$21,TABLAS!$B$52:$B$58,0)+4,7)),INDEX(TABLAS!$B$52:$B$58,7))))))</f>
        <v>3</v>
      </c>
      <c r="AS34" s="55">
        <f>IF(D34="HUECO",0,IF(AQ34&lt;0,0,MAX(1,CEILING(AQ34/INDEX(TABLAS!$D$52:$D$58,MATCH(AR34,TABLAS!$B$52:$B$58,0)),1))))</f>
        <v>1</v>
      </c>
      <c r="AT34" s="34">
        <f>IF(AS34=0,0,DATOS!$C$45*AS34*INDEX(TABLAS!$D$52:$D$58,MATCH(AR34,TABLAS!$B$52:$B$58,0))*DATOS!$C$32*((DATOS!$C$15-DATOS!$C$18-INDEX(TABLAS!$C$52:$C$58,MATCH(DATOS!$C$19,TABLAS!$B$52:$B$58,0))-INDEX(TABLAS!$C$52:$C$58,MATCH(AR34,TABLAS!$B$52:$B$58,0))/2)-AS34*INDEX(TABLAS!$D$52:$D$58,MATCH(AR34,TABLAS!$B$52:$B$58,0))*DATOS!$C$32/(DATOS!$C$38*DATOS!$C$13)/2)/1E5)</f>
        <v>0.568518826235294</v>
      </c>
      <c r="AU34" s="59">
        <f>IF(AQ34&lt;0,9.99,IF(AT34&gt;0,AI34/AT34,0))</f>
        <v>0.0616060093959893</v>
      </c>
      <c r="AV34" s="41">
        <f>IF(D34="HUECO",0,IF(AJ34&lt;=0,DATOS!$C$71*DATOS!$C$13*DATOS!$C$66,IF((1-2*AJ34*1E5/(DATOS!$C$45*DATOS!$C$16*DATOS!$C$66^2*DATOS!$C$38))&lt;0,-1,MAX(DATOS!$C$71*DATOS!$C$13*DATOS!$C$66,(1-SQRT((1-2*AJ34*1E5/(DATOS!$C$45*DATOS!$C$16*DATOS!$C$66^2*DATOS!$C$38))))*DATOS!$C$38*DATOS!$C$16*DATOS!$C$66/DATOS!$C$32))))</f>
        <v>0.576720388273208</v>
      </c>
      <c r="AW34" s="39">
        <f>IF(AND(AV34&gt;=0,CEILING(AV34/INDEX(TABLAS!$D$52:$D$58,MIN(MATCH(DATOS!$C$20,TABLAS!$B$52:$B$58,0)+0,7)),1)&lt;=MIN(DATOS!$C$22,INT((DATOS!$C$25+DATOS!$C$24)/(INDEX(TABLAS!$C$52:$C$58,MIN(MATCH(DATOS!$C$20,TABLAS!$B$52:$B$58,0)+0,7))+DATOS!$C$24)))),INDEX(TABLAS!$B$52:$B$58,MIN(MATCH(DATOS!$C$20,TABLAS!$B$52:$B$58,0)+0,7)),IF(AND(AV34&gt;=0,CEILING(AV34/INDEX(TABLAS!$D$52:$D$58,MIN(MATCH(DATOS!$C$20,TABLAS!$B$52:$B$58,0)+1,7)),1)&lt;=MIN(DATOS!$C$22,INT((DATOS!$C$25+DATOS!$C$24)/(INDEX(TABLAS!$C$52:$C$58,MIN(MATCH(DATOS!$C$20,TABLAS!$B$52:$B$58,0)+1,7))+DATOS!$C$24)))),INDEX(TABLAS!$B$52:$B$58,MIN(MATCH(DATOS!$C$20,TABLAS!$B$52:$B$58,0)+1,7)),IF(AND(AV34&gt;=0,CEILING(AV34/INDEX(TABLAS!$D$52:$D$58,MIN(MATCH(DATOS!$C$20,TABLAS!$B$52:$B$58,0)+2,7)),1)&lt;=MIN(DATOS!$C$22,INT((DATOS!$C$25+DATOS!$C$24)/(INDEX(TABLAS!$C$52:$C$58,MIN(MATCH(DATOS!$C$20,TABLAS!$B$52:$B$58,0)+2,7))+DATOS!$C$24)))),INDEX(TABLAS!$B$52:$B$58,MIN(MATCH(DATOS!$C$20,TABLAS!$B$52:$B$58,0)+2,7)),IF(AND(AV34&gt;=0,CEILING(AV34/INDEX(TABLAS!$D$52:$D$58,MIN(MATCH(DATOS!$C$20,TABLAS!$B$52:$B$58,0)+3,7)),1)&lt;=MIN(DATOS!$C$22,INT((DATOS!$C$25+DATOS!$C$24)/(INDEX(TABLAS!$C$52:$C$58,MIN(MATCH(DATOS!$C$20,TABLAS!$B$52:$B$58,0)+3,7))+DATOS!$C$24)))),INDEX(TABLAS!$B$52:$B$58,MIN(MATCH(DATOS!$C$20,TABLAS!$B$52:$B$58,0)+3,7)),IF(AND(AV34&gt;=0,CEILING(AV34/INDEX(TABLAS!$D$52:$D$58,MIN(MATCH(DATOS!$C$20,TABLAS!$B$52:$B$58,0)+4,7)),1)&lt;=MIN(DATOS!$C$22,INT((DATOS!$C$25+DATOS!$C$24)/(INDEX(TABLAS!$C$52:$C$58,MIN(MATCH(DATOS!$C$20,TABLAS!$B$52:$B$58,0)+4,7))+DATOS!$C$24)))),INDEX(TABLAS!$B$52:$B$58,MIN(MATCH(DATOS!$C$20,TABLAS!$B$52:$B$58,0)+4,7)),INDEX(TABLAS!$B$52:$B$58,7))))))</f>
        <v>3</v>
      </c>
      <c r="AX34" s="55">
        <f>IF(D34="HUECO",0,IF(AV34&lt;0,0,MAX(DATOS!$C$23,CEILING(AV34/INDEX(TABLAS!$D$52:$D$58,MATCH(AW34,TABLAS!$B$52:$B$58,0)),1))))</f>
        <v>1</v>
      </c>
      <c r="AY34" s="34">
        <f>IF(AX34=0,0,DATOS!$C$45*AX34*INDEX(TABLAS!$D$52:$D$58,MATCH(AW34,TABLAS!$B$52:$B$58,0))*DATOS!$C$32*((DATOS!$C$15-DATOS!$C$18-INDEX(TABLAS!$C$52:$C$58,MATCH(DATOS!$C$19,TABLAS!$B$52:$B$58,0))-INDEX(TABLAS!$C$52:$C$58,MATCH(AW34,TABLAS!$B$52:$B$58,0))/2)-AX34*INDEX(TABLAS!$D$52:$D$58,MATCH(AW34,TABLAS!$B$52:$B$58,0))*DATOS!$C$32/(DATOS!$C$38*DATOS!$C$16)/2)/1E5)</f>
        <v>0.584659515176471</v>
      </c>
      <c r="AZ34" s="59">
        <f>IF(AV34&lt;0,9.99,IF(AY34&gt;0,AJ34/AY34,0))</f>
        <v>0.0126558757181445</v>
      </c>
      <c r="BA34" s="41">
        <f>IF(D34="HUECO",0,IF(AK34&lt;=0,DATOS!$C$71*DATOS!$C$13*DATOS!$C$67,IF((1-2*AK34*1E5/(DATOS!$C$45*DATOS!$C$13*DATOS!$C$67^2*DATOS!$C$38))&lt;0,-1,IF((1-SQRT((1-2*AK34*1E5/(DATOS!$C$45*DATOS!$C$13*DATOS!$C$67^2*DATOS!$C$38))))*DATOS!$C$38*DATOS!$C$13*DATOS!$C$67/DATOS!$C$32&gt;DATOS!$C$70*DATOS!$C$13*DATOS!$C$67,-1,MAX(DATOS!$C$71*DATOS!$C$13*DATOS!$C$67,(1-SQRT((1-2*AK34*1E5/(DATOS!$C$45*DATOS!$C$13*DATOS!$C$67^2*DATOS!$C$38))))*DATOS!$C$38*DATOS!$C$13*DATOS!$C$67/DATOS!$C$32)))))</f>
        <v>0.576720388273208</v>
      </c>
      <c r="BB34" s="39">
        <f>IF(AND(BA34&gt;=0,CEILING(BA34/INDEX(TABLAS!$D$52:$D$58,MIN(MATCH(DATOS!$C$21,TABLAS!$B$52:$B$58,0)+0,7)),1)&lt;=MIN(DATOS!$C$22,INT((DATOS!$C$25+DATOS!$C$24)/(INDEX(TABLAS!$C$52:$C$58,MIN(MATCH(DATOS!$C$21,TABLAS!$B$52:$B$58,0)+0,7))+DATOS!$C$24)))),INDEX(TABLAS!$B$52:$B$58,MIN(MATCH(DATOS!$C$21,TABLAS!$B$52:$B$58,0)+0,7)),IF(AND(BA34&gt;=0,CEILING(BA34/INDEX(TABLAS!$D$52:$D$58,MIN(MATCH(DATOS!$C$21,TABLAS!$B$52:$B$58,0)+1,7)),1)&lt;=MIN(DATOS!$C$22,INT((DATOS!$C$25+DATOS!$C$24)/(INDEX(TABLAS!$C$52:$C$58,MIN(MATCH(DATOS!$C$21,TABLAS!$B$52:$B$58,0)+1,7))+DATOS!$C$24)))),INDEX(TABLAS!$B$52:$B$58,MIN(MATCH(DATOS!$C$21,TABLAS!$B$52:$B$58,0)+1,7)),IF(AND(BA34&gt;=0,CEILING(BA34/INDEX(TABLAS!$D$52:$D$58,MIN(MATCH(DATOS!$C$21,TABLAS!$B$52:$B$58,0)+2,7)),1)&lt;=MIN(DATOS!$C$22,INT((DATOS!$C$25+DATOS!$C$24)/(INDEX(TABLAS!$C$52:$C$58,MIN(MATCH(DATOS!$C$21,TABLAS!$B$52:$B$58,0)+2,7))+DATOS!$C$24)))),INDEX(TABLAS!$B$52:$B$58,MIN(MATCH(DATOS!$C$21,TABLAS!$B$52:$B$58,0)+2,7)),IF(AND(BA34&gt;=0,CEILING(BA34/INDEX(TABLAS!$D$52:$D$58,MIN(MATCH(DATOS!$C$21,TABLAS!$B$52:$B$58,0)+3,7)),1)&lt;=MIN(DATOS!$C$22,INT((DATOS!$C$25+DATOS!$C$24)/(INDEX(TABLAS!$C$52:$C$58,MIN(MATCH(DATOS!$C$21,TABLAS!$B$52:$B$58,0)+3,7))+DATOS!$C$24)))),INDEX(TABLAS!$B$52:$B$58,MIN(MATCH(DATOS!$C$21,TABLAS!$B$52:$B$58,0)+3,7)),IF(AND(BA34&gt;=0,CEILING(BA34/INDEX(TABLAS!$D$52:$D$58,MIN(MATCH(DATOS!$C$21,TABLAS!$B$52:$B$58,0)+4,7)),1)&lt;=MIN(DATOS!$C$22,INT((DATOS!$C$25+DATOS!$C$24)/(INDEX(TABLAS!$C$52:$C$58,MIN(MATCH(DATOS!$C$21,TABLAS!$B$52:$B$58,0)+4,7))+DATOS!$C$24)))),INDEX(TABLAS!$B$52:$B$58,MIN(MATCH(DATOS!$C$21,TABLAS!$B$52:$B$58,0)+4,7)),INDEX(TABLAS!$B$52:$B$58,7))))))</f>
        <v>3</v>
      </c>
      <c r="BC34" s="55">
        <f>IF(D34="HUECO",0,IF(BA34&lt;0,0,MAX(1,CEILING(BA34/INDEX(TABLAS!$D$52:$D$58,MATCH(BB34,TABLAS!$B$52:$B$58,0)),1))))</f>
        <v>1</v>
      </c>
      <c r="BD34" s="34">
        <f>IF(BC34=0,0,DATOS!$C$45*BC34*INDEX(TABLAS!$D$52:$D$58,MATCH(BB34,TABLAS!$B$52:$B$58,0))*DATOS!$C$32*((DATOS!$C$15-DATOS!$C$18-INDEX(TABLAS!$C$52:$C$58,MATCH(DATOS!$C$19,TABLAS!$B$52:$B$58,0))-INDEX(TABLAS!$C$52:$C$58,MATCH(BB34,TABLAS!$B$52:$B$58,0))/2)-BC34*INDEX(TABLAS!$D$52:$D$58,MATCH(BB34,TABLAS!$B$52:$B$58,0))*DATOS!$C$32/(DATOS!$C$38*DATOS!$C$13)/2)/1E5)</f>
        <v>0.568518826235294</v>
      </c>
      <c r="BE34" s="59">
        <f>IF(BA34&lt;0,9.99,IF(BD34&gt;0,AK34/BD34,0))</f>
        <v>0.0407777971423252</v>
      </c>
      <c r="BF34" s="34">
        <f>IF(D34="PERIMETRAL",MAX(0,(J34/2-DATOS!$C$66/100))*(0.95-0.5*L34)*R34*IF(AND(S34&gt;0,S34&lt;4),DATOS!$C$50,1)*DATOS!$C$16/100/1000,IF(D34="VOLADO",(R34*J34+DATOS!$C$43*AG34)*DATOS!$C$16/100/1000,0))</f>
        <v>0.116248101762449</v>
      </c>
      <c r="BG34" s="34">
        <f>IF(D34="HUECO",0,DATOS!$C$46*IF((AS34*INDEX(TABLAS!$D$52:$D$58,MATCH(AR34,TABLAS!$B$52:$B$58,0))/(DATOS!$C$13*DATOS!$C$67))&lt;0.015,0.2+20*(AS34*INDEX(TABLAS!$D$52:$D$58,MATCH(AR34,TABLAS!$B$52:$B$58,0))/(DATOS!$C$13*DATOS!$C$67)),0.5)*SQRT(DATOS!$C$31)*DATOS!$C$13*DATOS!$C$67*DATOS!$C$49/1000)</f>
        <v>0.687439634849853</v>
      </c>
      <c r="BH34" s="49" t="str">
        <f>IF(D34="HUECO","—",IF(BF34&lt;=BG34,"CUMPLE","MACIZAR "&amp;MAX(1,CEILING(IF(D34="VOLADO",J34,J34/2)*(1-BG34/BF34)*100/DATOS!$C$16,1))&amp;" hilera(s)"))</f>
        <v>CUMPLE</v>
      </c>
      <c r="BI34" s="41">
        <f>IF(D34="PERIMETRAL",(2*(H34+I34)+0.25*(H34*((APOYOS!$G$129="DISCONTINUO")+(APOYOS!$G$130="DISCONTINUO"))+I34*((APOYOS!$G$131="DISCONTINUO")+(APOYOS!$G$132="DISCONTINUO"))))*(J34+MIN(K34,2*J34))/(J34+K34)*100/250*IF(OR(DATOS!$C$47&gt;2520,Q34&gt;380),0.032*(DATOS!$C$47*Q34)^0.25,1),IF(D34="VOLADO",J34*100/8,0))</f>
        <v>2.62905681622923</v>
      </c>
      <c r="BJ34" s="41">
        <f>IF(D34="VOLADO",DATOS!$C$15,DATOS!$C$68)</f>
        <v>13.6082564120244</v>
      </c>
      <c r="BK34" s="50" t="str">
        <f>IF(D34="HUECO","—",IF(BJ34&gt;=BI34,"CUMPLE","NO CUMPLE"))</f>
        <v>CUMPLE</v>
      </c>
      <c r="BL34" s="50" t="str">
        <f>IF(D34="PERIMETRAL",IF(DATOS!$C$16/100&lt;=J34/6,"SÍ","NO: a1 &lt; 6·s"),"—")</f>
        <v>NO: a1 &lt; 6·s</v>
      </c>
      <c r="BM34" s="55">
        <f>MAX(0,INT((F34*100-DATOS!$C$17+DATOS!$C$13)/DATOS!$C$16))</f>
        <v>4</v>
      </c>
      <c r="BN34" s="55">
        <f>MAX(0,INT((G34*100-DATOS!$C$17+DATOS!$C$13)/DATOS!$C$16))</f>
        <v>1</v>
      </c>
      <c r="BO34" s="49" t="str">
        <f>IF(COUNTIFS(TRIB!$C$6:$C$255,B34,TRIB!$K$6:$K$255,"NO CUMPLE*")+COUNTIFS(TRIB!$C$6:$C$255,B34,TRIB!$K$6:$K$255,"SIN APOYO*")&gt;0,"VER PRINCIPALES",IF((APOYOS!$F$129="LIBRE")+(APOYOS!$F$130="LIBRE")+(APOYOS!$F$131="LIBRE")+(APOYOS!$F$132="LIBRE")&gt;0,"REVISAR: borde libre","OK"))</f>
        <v>OK</v>
      </c>
      <c r="BP34" s="60" t="str">
        <f>IF(D34="HUECO","HUECO — marco de nervaduras principales",IF(AND(MAX(AP34,AU34,AZ34,BE34)&lt;=1,NOT(OR(AN34&gt;MIN(DATOS!$C$22,INT((DATOS!$C$25+DATOS!$C$24)/(INDEX(TABLAS!$C$52:$C$58,MATCH(AM34,TABLAS!$B$52:$B$58,0))+DATOS!$C$24))),AS34&gt;MIN(DATOS!$C$22,INT((DATOS!$C$25+DATOS!$C$24)/(INDEX(TABLAS!$C$52:$C$58,MATCH(AR34,TABLAS!$B$52:$B$58,0))+DATOS!$C$24))),AX34&gt;MIN(DATOS!$C$22,INT((DATOS!$C$25+DATOS!$C$24)/(INDEX(TABLAS!$C$52:$C$58,MATCH(AW34,TABLAS!$B$52:$B$58,0))+DATOS!$C$24))),BC34&gt;MIN(DATOS!$C$22,INT((DATOS!$C$25+DATOS!$C$24)/(INDEX(TABLAS!$C$52:$C$58,MATCH(BB34,TABLAS!$B$52:$B$58,0))+DATOS!$C$24))))),BK34="CUMPLE"),IF(BO34="OK",IF(BH34="CUMPLE","CUMPLE","CUMPLE — "&amp;BH34),IF(BO34="VER PRINCIPALES","VER PRINCIPALES","REVISAR APOYOS")),"NO CUMPLE: "&amp;IF(MAX(AP34,AU34,AZ34,BE34)&gt;1,"flexión ","")&amp;IF(OR(AN34&gt;MIN(DATOS!$C$22,INT((DATOS!$C$25+DATOS!$C$24)/(INDEX(TABLAS!$C$52:$C$58,MATCH(AM34,TABLAS!$B$52:$B$58,0))+DATOS!$C$24))),AS34&gt;MIN(DATOS!$C$22,INT((DATOS!$C$25+DATOS!$C$24)/(INDEX(TABLAS!$C$52:$C$58,MATCH(AR34,TABLAS!$B$52:$B$58,0))+DATOS!$C$24))),AX34&gt;MIN(DATOS!$C$22,INT((DATOS!$C$25+DATOS!$C$24)/(INDEX(TABLAS!$C$52:$C$58,MATCH(AW34,TABLAS!$B$52:$B$58,0))+DATOS!$C$24))),BC34&gt;MIN(DATOS!$C$22,INT((DATOS!$C$25+DATOS!$C$24)/(INDEX(TABLAS!$C$52:$C$58,MATCH(BB34,TABLAS!$B$52:$B$58,0))+DATOS!$C$24)))),"no caben ","")&amp;IF(BK34&lt;&gt;"CUMPLE","peralte","")))</f>
        <v>CUMPLE</v>
      </c>
      <c r="BQ34" s="61" t="inlineStr">
        <is>
          <t>—</t>
        </is>
      </c>
    </row>
    <row r="35" ht="30" customHeight="1">
      <c r="B35" s="49" t="inlineStr">
        <is>
          <t>F80027 N+6.00</t>
        </is>
      </c>
      <c r="C35" s="50" t="inlineStr">
        <is>
          <t>N+6.00</t>
        </is>
      </c>
      <c r="D35" s="51" t="inlineStr">
        <is>
          <t>PERIMETRAL</t>
        </is>
      </c>
      <c r="E35" s="51" t="inlineStr">
        <is>
          <t>AZOTEA</t>
        </is>
      </c>
      <c r="F35" s="52" t="n">
        <v>3.029</v>
      </c>
      <c r="G35" s="52" t="n">
        <v>1.151</v>
      </c>
      <c r="H35" s="53" t="n">
        <v>3.029</v>
      </c>
      <c r="I35" s="53" t="n">
        <v>1.151</v>
      </c>
      <c r="J35" s="34">
        <f>MIN(H35,I35)</f>
        <v>1.151</v>
      </c>
      <c r="K35" s="34">
        <f>MAX(H35,I35)</f>
        <v>3.029</v>
      </c>
      <c r="L35" s="34">
        <f>IF(K35&gt;0,J35/K35,0)</f>
        <v>0.379993397160779</v>
      </c>
      <c r="M35" s="50" t="str">
        <f>IF(H35&lt;=I35,"X","Y")</f>
        <v>Y</v>
      </c>
      <c r="N35" s="54" t="n">
        <v>295</v>
      </c>
      <c r="O35" s="55">
        <f>IF(E35="HABITACIÓN",DATOS!$C$76,DATOS!$C$78)</f>
        <v>100</v>
      </c>
      <c r="P35" s="55">
        <f>DATOS!$C$58</f>
        <v>253.673469387755</v>
      </c>
      <c r="Q35" s="55">
        <f>P35+N35+O35</f>
        <v>648.673469387755</v>
      </c>
      <c r="R35" s="56">
        <f>DATOS!$C$43*(P35+N35)+DATOS!$C$44*O35</f>
        <v>863.275510204082</v>
      </c>
      <c r="S35" s="55">
        <f>(APOYOS!$G$133="DISCONTINUO")+(APOYOS!$G$134="DISCONTINUO")+(APOYOS!$G$135="DISCONTINUO")+(APOYOS!$G$136="DISCONTINUO")</f>
        <v>2</v>
      </c>
      <c r="T35" s="55">
        <f>IF(M35="X",(APOYOS!$G$133="DISCONTINUO")+(APOYOS!$G$134="DISCONTINUO"),(APOYOS!$G$135="DISCONTINUO")+(APOYOS!$G$136="DISCONTINUO"))</f>
        <v>1</v>
      </c>
      <c r="U35" s="55">
        <f>S35-T35</f>
        <v>1</v>
      </c>
      <c r="V35" s="50" t="str">
        <f>IF(S35=0,"INTERIOR",IF(S35=1,IF(T35=1,"BORDE-CORTO","BORDE-LARGO"),IF(S35=2,IF(T35=1,"ESQUINA",IF(T35=2,"EXTREMO-LARGO","EXTREMO-CORTO")),IF(S35=3,IF(T35=2,"EXTREMO-LARGO","EXTREMO-CORTO"),"AISLADO"))))</f>
        <v>ESQUINA</v>
      </c>
      <c r="W35" s="51" t="inlineStr">
        <is>
          <t>AUTO</t>
        </is>
      </c>
      <c r="X35" s="57" t="str">
        <f>IF(W35="AUTO",V35,W35)</f>
        <v>ESQUINA</v>
      </c>
      <c r="Y35" s="55">
        <f>MATCH(L35,TABLAS!$D$5:$J$5,1)</f>
        <v>1</v>
      </c>
      <c r="Z35" s="41">
        <f>IF(Y35&gt;=7,0,(L35-INDEX(TABLAS!$D$5:$J$5,Y35))/(INDEX(TABLAS!$D$5:$J$5,Y35+1)-INDEX(TABLAS!$D$5:$J$5,Y35)))</f>
        <v>0.759986794321558</v>
      </c>
      <c r="AA35" s="55">
        <f>INDEX(TABLAS!$D$6:$J$47,MATCH(X35&amp;"|NIC",TABLAS!$B$6:$B$47,0),Y35)+Z35*(INDEX(TABLAS!$D$6:$J$47,MATCH(X35&amp;"|NIC",TABLAS!$B$6:$B$47,0),MIN(Y35+1,7))-INDEX(TABLAS!$D$6:$J$47,MATCH(X35&amp;"|NIC",TABLAS!$B$6:$B$47,0),Y35))</f>
        <v>708.88610102344</v>
      </c>
      <c r="AB35" s="55">
        <f>INDEX(TABLAS!$D$6:$J$47,MATCH(X35&amp;"|NIL",TABLAS!$B$6:$B$47,0),Y35)+Z35*(INDEX(TABLAS!$D$6:$J$47,MATCH(X35&amp;"|NIL",TABLAS!$B$6:$B$47,0),MIN(Y35+1,7))-INDEX(TABLAS!$D$6:$J$47,MATCH(X35&amp;"|NIL",TABLAS!$B$6:$B$47,0),Y35))</f>
        <v>505.001650709805</v>
      </c>
      <c r="AC35" s="55">
        <f>INDEX(TABLAS!$D$6:$J$47,MATCH(X35&amp;"|NDC",TABLAS!$B$6:$B$47,0),Y35)+Z35*(INDEX(TABLAS!$D$6:$J$47,MATCH(X35&amp;"|NDC",TABLAS!$B$6:$B$47,0),MIN(Y35+1,7))-INDEX(TABLAS!$D$6:$J$47,MATCH(X35&amp;"|NDC",TABLAS!$B$6:$B$47,0),Y35))</f>
        <v>431.36381644107</v>
      </c>
      <c r="AD35" s="55">
        <f>INDEX(TABLAS!$D$6:$J$47,MATCH(X35&amp;"|NDL",TABLAS!$B$6:$B$47,0),Y35)+Z35*(INDEX(TABLAS!$D$6:$J$47,MATCH(X35&amp;"|NDL",TABLAS!$B$6:$B$47,0),MIN(Y35+1,7))-INDEX(TABLAS!$D$6:$J$47,MATCH(X35&amp;"|NDL",TABLAS!$B$6:$B$47,0),Y35))</f>
        <v>274.320897986134</v>
      </c>
      <c r="AE35" s="55">
        <f>INDEX(TABLAS!$D$6:$J$47,MATCH(X35&amp;"|PC",TABLAS!$B$6:$B$47,0),Y35)+Z35*(INDEX(TABLAS!$D$6:$J$47,MATCH(X35&amp;"|PC",TABLAS!$B$6:$B$47,0),MIN(Y35+1,7))-INDEX(TABLAS!$D$6:$J$47,MATCH(X35&amp;"|PC",TABLAS!$B$6:$B$47,0),Y35))</f>
        <v>452.325189831628</v>
      </c>
      <c r="AF35" s="55">
        <f>INDEX(TABLAS!$D$6:$J$47,MATCH(X35&amp;"|PL",TABLAS!$B$6:$B$47,0),Y35)+Z35*(INDEX(TABLAS!$D$6:$J$47,MATCH(X35&amp;"|PL",TABLAS!$B$6:$B$47,0),MIN(Y35+1,7))-INDEX(TABLAS!$D$6:$J$47,MATCH(X35&amp;"|PL",TABLAS!$B$6:$B$47,0),Y35))</f>
        <v>161.360515021459</v>
      </c>
      <c r="AG35" s="58" t="n">
        <v>0</v>
      </c>
      <c r="AH35" s="34">
        <f>IF(D35="PERIMETRAL",AE35*R35*J35^2*1E-4*DATOS!$C$16/100/1000,0)</f>
        <v>0.0362116973710994</v>
      </c>
      <c r="AI35" s="34">
        <f>IF(D35="PERIMETRAL",MAX(AA35,AC35)*R35*J35^2*1E-4*DATOS!$C$16/100/1000,IF(D35="VOLADO",(R35*J35^2/2+DATOS!$C$43*AG35*J35)*DATOS!$C$16/100/1000,0))</f>
        <v>0.0567511373186949</v>
      </c>
      <c r="AJ35" s="34">
        <f>IF(D35="PERIMETRAL",AF35*R35*J35^2*1E-4*DATOS!$C$16/100/1000,0)</f>
        <v>0.0129180029522054</v>
      </c>
      <c r="AK35" s="34">
        <f>IF(D35="PERIMETRAL",MAX(AB35,AD35)*R35*J35^2*1E-4*DATOS!$C$16/100/1000,0)</f>
        <v>0.0404288051130122</v>
      </c>
      <c r="AL35" s="41">
        <f>IF(D35="HUECO",0,IF(AH35&lt;=0,DATOS!$C$71*DATOS!$C$13*DATOS!$C$66,IF((1-2*AH35*1E5/(DATOS!$C$45*DATOS!$C$16*DATOS!$C$66^2*DATOS!$C$38))&lt;0,-1,MAX(DATOS!$C$71*DATOS!$C$13*DATOS!$C$66,(1-SQRT((1-2*AH35*1E5/(DATOS!$C$45*DATOS!$C$16*DATOS!$C$66^2*DATOS!$C$38))))*DATOS!$C$38*DATOS!$C$16*DATOS!$C$66/DATOS!$C$32))))</f>
        <v>0.576720388273208</v>
      </c>
      <c r="AM35" s="39">
        <f>IF(AND(AL35&gt;=0,CEILING(AL35/INDEX(TABLAS!$D$52:$D$58,MIN(MATCH(DATOS!$C$20,TABLAS!$B$52:$B$58,0)+0,7)),1)&lt;=MIN(DATOS!$C$22,INT((DATOS!$C$25+DATOS!$C$24)/(INDEX(TABLAS!$C$52:$C$58,MIN(MATCH(DATOS!$C$20,TABLAS!$B$52:$B$58,0)+0,7))+DATOS!$C$24)))),INDEX(TABLAS!$B$52:$B$58,MIN(MATCH(DATOS!$C$20,TABLAS!$B$52:$B$58,0)+0,7)),IF(AND(AL35&gt;=0,CEILING(AL35/INDEX(TABLAS!$D$52:$D$58,MIN(MATCH(DATOS!$C$20,TABLAS!$B$52:$B$58,0)+1,7)),1)&lt;=MIN(DATOS!$C$22,INT((DATOS!$C$25+DATOS!$C$24)/(INDEX(TABLAS!$C$52:$C$58,MIN(MATCH(DATOS!$C$20,TABLAS!$B$52:$B$58,0)+1,7))+DATOS!$C$24)))),INDEX(TABLAS!$B$52:$B$58,MIN(MATCH(DATOS!$C$20,TABLAS!$B$52:$B$58,0)+1,7)),IF(AND(AL35&gt;=0,CEILING(AL35/INDEX(TABLAS!$D$52:$D$58,MIN(MATCH(DATOS!$C$20,TABLAS!$B$52:$B$58,0)+2,7)),1)&lt;=MIN(DATOS!$C$22,INT((DATOS!$C$25+DATOS!$C$24)/(INDEX(TABLAS!$C$52:$C$58,MIN(MATCH(DATOS!$C$20,TABLAS!$B$52:$B$58,0)+2,7))+DATOS!$C$24)))),INDEX(TABLAS!$B$52:$B$58,MIN(MATCH(DATOS!$C$20,TABLAS!$B$52:$B$58,0)+2,7)),IF(AND(AL35&gt;=0,CEILING(AL35/INDEX(TABLAS!$D$52:$D$58,MIN(MATCH(DATOS!$C$20,TABLAS!$B$52:$B$58,0)+3,7)),1)&lt;=MIN(DATOS!$C$22,INT((DATOS!$C$25+DATOS!$C$24)/(INDEX(TABLAS!$C$52:$C$58,MIN(MATCH(DATOS!$C$20,TABLAS!$B$52:$B$58,0)+3,7))+DATOS!$C$24)))),INDEX(TABLAS!$B$52:$B$58,MIN(MATCH(DATOS!$C$20,TABLAS!$B$52:$B$58,0)+3,7)),IF(AND(AL35&gt;=0,CEILING(AL35/INDEX(TABLAS!$D$52:$D$58,MIN(MATCH(DATOS!$C$20,TABLAS!$B$52:$B$58,0)+4,7)),1)&lt;=MIN(DATOS!$C$22,INT((DATOS!$C$25+DATOS!$C$24)/(INDEX(TABLAS!$C$52:$C$58,MIN(MATCH(DATOS!$C$20,TABLAS!$B$52:$B$58,0)+4,7))+DATOS!$C$24)))),INDEX(TABLAS!$B$52:$B$58,MIN(MATCH(DATOS!$C$20,TABLAS!$B$52:$B$58,0)+4,7)),INDEX(TABLAS!$B$52:$B$58,7))))))</f>
        <v>3</v>
      </c>
      <c r="AN35" s="55">
        <f>IF(D35="HUECO",0,IF(AL35&lt;0,0,MAX(DATOS!$C$23,CEILING(AL35/INDEX(TABLAS!$D$52:$D$58,MATCH(AM35,TABLAS!$B$52:$B$58,0)),1))))</f>
        <v>1</v>
      </c>
      <c r="AO35" s="34">
        <f>IF(AN35=0,0,DATOS!$C$45*AN35*INDEX(TABLAS!$D$52:$D$58,MATCH(AM35,TABLAS!$B$52:$B$58,0))*DATOS!$C$32*((DATOS!$C$15-DATOS!$C$18-INDEX(TABLAS!$C$52:$C$58,MATCH(DATOS!$C$19,TABLAS!$B$52:$B$58,0))-INDEX(TABLAS!$C$52:$C$58,MATCH(AM35,TABLAS!$B$52:$B$58,0))/2)-AN35*INDEX(TABLAS!$D$52:$D$58,MATCH(AM35,TABLAS!$B$52:$B$58,0))*DATOS!$C$32/(DATOS!$C$38*DATOS!$C$16)/2)/1E5)</f>
        <v>0.584659515176471</v>
      </c>
      <c r="AP35" s="59">
        <f>IF(AL35&lt;0,9.99,IF(AO35&gt;0,AH35/AO35,0))</f>
        <v>0.0619363859325363</v>
      </c>
      <c r="AQ35" s="41">
        <f>IF(D35="HUECO",0,IF(AI35&lt;=0,DATOS!$C$71*DATOS!$C$13*DATOS!$C$67,IF((1-2*AI35*1E5/(DATOS!$C$45*DATOS!$C$13*DATOS!$C$67^2*DATOS!$C$38))&lt;0,-1,IF((1-SQRT((1-2*AI35*1E5/(DATOS!$C$45*DATOS!$C$13*DATOS!$C$67^2*DATOS!$C$38))))*DATOS!$C$38*DATOS!$C$13*DATOS!$C$67/DATOS!$C$32&gt;DATOS!$C$70*DATOS!$C$13*DATOS!$C$67,-1,MAX(DATOS!$C$71*DATOS!$C$13*DATOS!$C$67,(1-SQRT((1-2*AI35*1E5/(DATOS!$C$45*DATOS!$C$13*DATOS!$C$67^2*DATOS!$C$38))))*DATOS!$C$38*DATOS!$C$13*DATOS!$C$67/DATOS!$C$32)))))</f>
        <v>0.576720388273208</v>
      </c>
      <c r="AR35" s="39">
        <f>IF(AND(AQ35&gt;=0,CEILING(AQ35/INDEX(TABLAS!$D$52:$D$58,MIN(MATCH(DATOS!$C$21,TABLAS!$B$52:$B$58,0)+0,7)),1)&lt;=MIN(DATOS!$C$22,INT((DATOS!$C$25+DATOS!$C$24)/(INDEX(TABLAS!$C$52:$C$58,MIN(MATCH(DATOS!$C$21,TABLAS!$B$52:$B$58,0)+0,7))+DATOS!$C$24)))),INDEX(TABLAS!$B$52:$B$58,MIN(MATCH(DATOS!$C$21,TABLAS!$B$52:$B$58,0)+0,7)),IF(AND(AQ35&gt;=0,CEILING(AQ35/INDEX(TABLAS!$D$52:$D$58,MIN(MATCH(DATOS!$C$21,TABLAS!$B$52:$B$58,0)+1,7)),1)&lt;=MIN(DATOS!$C$22,INT((DATOS!$C$25+DATOS!$C$24)/(INDEX(TABLAS!$C$52:$C$58,MIN(MATCH(DATOS!$C$21,TABLAS!$B$52:$B$58,0)+1,7))+DATOS!$C$24)))),INDEX(TABLAS!$B$52:$B$58,MIN(MATCH(DATOS!$C$21,TABLAS!$B$52:$B$58,0)+1,7)),IF(AND(AQ35&gt;=0,CEILING(AQ35/INDEX(TABLAS!$D$52:$D$58,MIN(MATCH(DATOS!$C$21,TABLAS!$B$52:$B$58,0)+2,7)),1)&lt;=MIN(DATOS!$C$22,INT((DATOS!$C$25+DATOS!$C$24)/(INDEX(TABLAS!$C$52:$C$58,MIN(MATCH(DATOS!$C$21,TABLAS!$B$52:$B$58,0)+2,7))+DATOS!$C$24)))),INDEX(TABLAS!$B$52:$B$58,MIN(MATCH(DATOS!$C$21,TABLAS!$B$52:$B$58,0)+2,7)),IF(AND(AQ35&gt;=0,CEILING(AQ35/INDEX(TABLAS!$D$52:$D$58,MIN(MATCH(DATOS!$C$21,TABLAS!$B$52:$B$58,0)+3,7)),1)&lt;=MIN(DATOS!$C$22,INT((DATOS!$C$25+DATOS!$C$24)/(INDEX(TABLAS!$C$52:$C$58,MIN(MATCH(DATOS!$C$21,TABLAS!$B$52:$B$58,0)+3,7))+DATOS!$C$24)))),INDEX(TABLAS!$B$52:$B$58,MIN(MATCH(DATOS!$C$21,TABLAS!$B$52:$B$58,0)+3,7)),IF(AND(AQ35&gt;=0,CEILING(AQ35/INDEX(TABLAS!$D$52:$D$58,MIN(MATCH(DATOS!$C$21,TABLAS!$B$52:$B$58,0)+4,7)),1)&lt;=MIN(DATOS!$C$22,INT((DATOS!$C$25+DATOS!$C$24)/(INDEX(TABLAS!$C$52:$C$58,MIN(MATCH(DATOS!$C$21,TABLAS!$B$52:$B$58,0)+4,7))+DATOS!$C$24)))),INDEX(TABLAS!$B$52:$B$58,MIN(MATCH(DATOS!$C$21,TABLAS!$B$52:$B$58,0)+4,7)),INDEX(TABLAS!$B$52:$B$58,7))))))</f>
        <v>3</v>
      </c>
      <c r="AS35" s="55">
        <f>IF(D35="HUECO",0,IF(AQ35&lt;0,0,MAX(1,CEILING(AQ35/INDEX(TABLAS!$D$52:$D$58,MATCH(AR35,TABLAS!$B$52:$B$58,0)),1))))</f>
        <v>1</v>
      </c>
      <c r="AT35" s="34">
        <f>IF(AS35=0,0,DATOS!$C$45*AS35*INDEX(TABLAS!$D$52:$D$58,MATCH(AR35,TABLAS!$B$52:$B$58,0))*DATOS!$C$32*((DATOS!$C$15-DATOS!$C$18-INDEX(TABLAS!$C$52:$C$58,MATCH(DATOS!$C$19,TABLAS!$B$52:$B$58,0))-INDEX(TABLAS!$C$52:$C$58,MATCH(AR35,TABLAS!$B$52:$B$58,0))/2)-AS35*INDEX(TABLAS!$D$52:$D$58,MATCH(AR35,TABLAS!$B$52:$B$58,0))*DATOS!$C$32/(DATOS!$C$38*DATOS!$C$13)/2)/1E5)</f>
        <v>0.568518826235294</v>
      </c>
      <c r="AU35" s="59">
        <f>IF(AQ35&lt;0,9.99,IF(AT35&gt;0,AI35/AT35,0))</f>
        <v>0.0998227933707989</v>
      </c>
      <c r="AV35" s="41">
        <f>IF(D35="HUECO",0,IF(AJ35&lt;=0,DATOS!$C$71*DATOS!$C$13*DATOS!$C$66,IF((1-2*AJ35*1E5/(DATOS!$C$45*DATOS!$C$16*DATOS!$C$66^2*DATOS!$C$38))&lt;0,-1,MAX(DATOS!$C$71*DATOS!$C$13*DATOS!$C$66,(1-SQRT((1-2*AJ35*1E5/(DATOS!$C$45*DATOS!$C$16*DATOS!$C$66^2*DATOS!$C$38))))*DATOS!$C$38*DATOS!$C$16*DATOS!$C$66/DATOS!$C$32))))</f>
        <v>0.576720388273208</v>
      </c>
      <c r="AW35" s="39">
        <f>IF(AND(AV35&gt;=0,CEILING(AV35/INDEX(TABLAS!$D$52:$D$58,MIN(MATCH(DATOS!$C$20,TABLAS!$B$52:$B$58,0)+0,7)),1)&lt;=MIN(DATOS!$C$22,INT((DATOS!$C$25+DATOS!$C$24)/(INDEX(TABLAS!$C$52:$C$58,MIN(MATCH(DATOS!$C$20,TABLAS!$B$52:$B$58,0)+0,7))+DATOS!$C$24)))),INDEX(TABLAS!$B$52:$B$58,MIN(MATCH(DATOS!$C$20,TABLAS!$B$52:$B$58,0)+0,7)),IF(AND(AV35&gt;=0,CEILING(AV35/INDEX(TABLAS!$D$52:$D$58,MIN(MATCH(DATOS!$C$20,TABLAS!$B$52:$B$58,0)+1,7)),1)&lt;=MIN(DATOS!$C$22,INT((DATOS!$C$25+DATOS!$C$24)/(INDEX(TABLAS!$C$52:$C$58,MIN(MATCH(DATOS!$C$20,TABLAS!$B$52:$B$58,0)+1,7))+DATOS!$C$24)))),INDEX(TABLAS!$B$52:$B$58,MIN(MATCH(DATOS!$C$20,TABLAS!$B$52:$B$58,0)+1,7)),IF(AND(AV35&gt;=0,CEILING(AV35/INDEX(TABLAS!$D$52:$D$58,MIN(MATCH(DATOS!$C$20,TABLAS!$B$52:$B$58,0)+2,7)),1)&lt;=MIN(DATOS!$C$22,INT((DATOS!$C$25+DATOS!$C$24)/(INDEX(TABLAS!$C$52:$C$58,MIN(MATCH(DATOS!$C$20,TABLAS!$B$52:$B$58,0)+2,7))+DATOS!$C$24)))),INDEX(TABLAS!$B$52:$B$58,MIN(MATCH(DATOS!$C$20,TABLAS!$B$52:$B$58,0)+2,7)),IF(AND(AV35&gt;=0,CEILING(AV35/INDEX(TABLAS!$D$52:$D$58,MIN(MATCH(DATOS!$C$20,TABLAS!$B$52:$B$58,0)+3,7)),1)&lt;=MIN(DATOS!$C$22,INT((DATOS!$C$25+DATOS!$C$24)/(INDEX(TABLAS!$C$52:$C$58,MIN(MATCH(DATOS!$C$20,TABLAS!$B$52:$B$58,0)+3,7))+DATOS!$C$24)))),INDEX(TABLAS!$B$52:$B$58,MIN(MATCH(DATOS!$C$20,TABLAS!$B$52:$B$58,0)+3,7)),IF(AND(AV35&gt;=0,CEILING(AV35/INDEX(TABLAS!$D$52:$D$58,MIN(MATCH(DATOS!$C$20,TABLAS!$B$52:$B$58,0)+4,7)),1)&lt;=MIN(DATOS!$C$22,INT((DATOS!$C$25+DATOS!$C$24)/(INDEX(TABLAS!$C$52:$C$58,MIN(MATCH(DATOS!$C$20,TABLAS!$B$52:$B$58,0)+4,7))+DATOS!$C$24)))),INDEX(TABLAS!$B$52:$B$58,MIN(MATCH(DATOS!$C$20,TABLAS!$B$52:$B$58,0)+4,7)),INDEX(TABLAS!$B$52:$B$58,7))))))</f>
        <v>3</v>
      </c>
      <c r="AX35" s="55">
        <f>IF(D35="HUECO",0,IF(AV35&lt;0,0,MAX(DATOS!$C$23,CEILING(AV35/INDEX(TABLAS!$D$52:$D$58,MATCH(AW35,TABLAS!$B$52:$B$58,0)),1))))</f>
        <v>1</v>
      </c>
      <c r="AY35" s="34">
        <f>IF(AX35=0,0,DATOS!$C$45*AX35*INDEX(TABLAS!$D$52:$D$58,MATCH(AW35,TABLAS!$B$52:$B$58,0))*DATOS!$C$32*((DATOS!$C$15-DATOS!$C$18-INDEX(TABLAS!$C$52:$C$58,MATCH(DATOS!$C$19,TABLAS!$B$52:$B$58,0))-INDEX(TABLAS!$C$52:$C$58,MATCH(AW35,TABLAS!$B$52:$B$58,0))/2)-AX35*INDEX(TABLAS!$D$52:$D$58,MATCH(AW35,TABLAS!$B$52:$B$58,0))*DATOS!$C$32/(DATOS!$C$38*DATOS!$C$16)/2)/1E5)</f>
        <v>0.584659515176471</v>
      </c>
      <c r="AZ35" s="59">
        <f>IF(AV35&lt;0,9.99,IF(AY35&gt;0,AJ35/AY35,0))</f>
        <v>0.0220949161296148</v>
      </c>
      <c r="BA35" s="41">
        <f>IF(D35="HUECO",0,IF(AK35&lt;=0,DATOS!$C$71*DATOS!$C$13*DATOS!$C$67,IF((1-2*AK35*1E5/(DATOS!$C$45*DATOS!$C$13*DATOS!$C$67^2*DATOS!$C$38))&lt;0,-1,IF((1-SQRT((1-2*AK35*1E5/(DATOS!$C$45*DATOS!$C$13*DATOS!$C$67^2*DATOS!$C$38))))*DATOS!$C$38*DATOS!$C$13*DATOS!$C$67/DATOS!$C$32&gt;DATOS!$C$70*DATOS!$C$13*DATOS!$C$67,-1,MAX(DATOS!$C$71*DATOS!$C$13*DATOS!$C$67,(1-SQRT((1-2*AK35*1E5/(DATOS!$C$45*DATOS!$C$13*DATOS!$C$67^2*DATOS!$C$38))))*DATOS!$C$38*DATOS!$C$13*DATOS!$C$67/DATOS!$C$32)))))</f>
        <v>0.576720388273208</v>
      </c>
      <c r="BB35" s="39">
        <f>IF(AND(BA35&gt;=0,CEILING(BA35/INDEX(TABLAS!$D$52:$D$58,MIN(MATCH(DATOS!$C$21,TABLAS!$B$52:$B$58,0)+0,7)),1)&lt;=MIN(DATOS!$C$22,INT((DATOS!$C$25+DATOS!$C$24)/(INDEX(TABLAS!$C$52:$C$58,MIN(MATCH(DATOS!$C$21,TABLAS!$B$52:$B$58,0)+0,7))+DATOS!$C$24)))),INDEX(TABLAS!$B$52:$B$58,MIN(MATCH(DATOS!$C$21,TABLAS!$B$52:$B$58,0)+0,7)),IF(AND(BA35&gt;=0,CEILING(BA35/INDEX(TABLAS!$D$52:$D$58,MIN(MATCH(DATOS!$C$21,TABLAS!$B$52:$B$58,0)+1,7)),1)&lt;=MIN(DATOS!$C$22,INT((DATOS!$C$25+DATOS!$C$24)/(INDEX(TABLAS!$C$52:$C$58,MIN(MATCH(DATOS!$C$21,TABLAS!$B$52:$B$58,0)+1,7))+DATOS!$C$24)))),INDEX(TABLAS!$B$52:$B$58,MIN(MATCH(DATOS!$C$21,TABLAS!$B$52:$B$58,0)+1,7)),IF(AND(BA35&gt;=0,CEILING(BA35/INDEX(TABLAS!$D$52:$D$58,MIN(MATCH(DATOS!$C$21,TABLAS!$B$52:$B$58,0)+2,7)),1)&lt;=MIN(DATOS!$C$22,INT((DATOS!$C$25+DATOS!$C$24)/(INDEX(TABLAS!$C$52:$C$58,MIN(MATCH(DATOS!$C$21,TABLAS!$B$52:$B$58,0)+2,7))+DATOS!$C$24)))),INDEX(TABLAS!$B$52:$B$58,MIN(MATCH(DATOS!$C$21,TABLAS!$B$52:$B$58,0)+2,7)),IF(AND(BA35&gt;=0,CEILING(BA35/INDEX(TABLAS!$D$52:$D$58,MIN(MATCH(DATOS!$C$21,TABLAS!$B$52:$B$58,0)+3,7)),1)&lt;=MIN(DATOS!$C$22,INT((DATOS!$C$25+DATOS!$C$24)/(INDEX(TABLAS!$C$52:$C$58,MIN(MATCH(DATOS!$C$21,TABLAS!$B$52:$B$58,0)+3,7))+DATOS!$C$24)))),INDEX(TABLAS!$B$52:$B$58,MIN(MATCH(DATOS!$C$21,TABLAS!$B$52:$B$58,0)+3,7)),IF(AND(BA35&gt;=0,CEILING(BA35/INDEX(TABLAS!$D$52:$D$58,MIN(MATCH(DATOS!$C$21,TABLAS!$B$52:$B$58,0)+4,7)),1)&lt;=MIN(DATOS!$C$22,INT((DATOS!$C$25+DATOS!$C$24)/(INDEX(TABLAS!$C$52:$C$58,MIN(MATCH(DATOS!$C$21,TABLAS!$B$52:$B$58,0)+4,7))+DATOS!$C$24)))),INDEX(TABLAS!$B$52:$B$58,MIN(MATCH(DATOS!$C$21,TABLAS!$B$52:$B$58,0)+4,7)),INDEX(TABLAS!$B$52:$B$58,7))))))</f>
        <v>3</v>
      </c>
      <c r="BC35" s="55">
        <f>IF(D35="HUECO",0,IF(BA35&lt;0,0,MAX(1,CEILING(BA35/INDEX(TABLAS!$D$52:$D$58,MATCH(BB35,TABLAS!$B$52:$B$58,0)),1))))</f>
        <v>1</v>
      </c>
      <c r="BD35" s="34">
        <f>IF(BC35=0,0,DATOS!$C$45*BC35*INDEX(TABLAS!$D$52:$D$58,MATCH(BB35,TABLAS!$B$52:$B$58,0))*DATOS!$C$32*((DATOS!$C$15-DATOS!$C$18-INDEX(TABLAS!$C$52:$C$58,MATCH(DATOS!$C$19,TABLAS!$B$52:$B$58,0))-INDEX(TABLAS!$C$52:$C$58,MATCH(BB35,TABLAS!$B$52:$B$58,0))/2)-BC35*INDEX(TABLAS!$D$52:$D$58,MATCH(BB35,TABLAS!$B$52:$B$58,0))*DATOS!$C$32/(DATOS!$C$38*DATOS!$C$13)/2)/1E5)</f>
        <v>0.568518826235294</v>
      </c>
      <c r="BE35" s="59">
        <f>IF(BA35&lt;0,9.99,IF(BD35&gt;0,AK35/BD35,0))</f>
        <v>0.0711125177344257</v>
      </c>
      <c r="BF35" s="34">
        <f>IF(D35="PERIMETRAL",MAX(0,(J35/2-DATOS!$C$66/100))*(0.95-0.5*L35)*R35*IF(AND(S35&gt;0,S35&lt;4),DATOS!$C$50,1)*DATOS!$C$16/100/1000,IF(D35="VOLADO",(R35*J35+DATOS!$C$43*AG35)*DATOS!$C$16/100/1000,0))</f>
        <v>0.188366213769225</v>
      </c>
      <c r="BG35" s="34">
        <f>IF(D35="HUECO",0,DATOS!$C$46*IF((AS35*INDEX(TABLAS!$D$52:$D$58,MATCH(AR35,TABLAS!$B$52:$B$58,0))/(DATOS!$C$13*DATOS!$C$67))&lt;0.015,0.2+20*(AS35*INDEX(TABLAS!$D$52:$D$58,MATCH(AR35,TABLAS!$B$52:$B$58,0))/(DATOS!$C$13*DATOS!$C$67)),0.5)*SQRT(DATOS!$C$31)*DATOS!$C$13*DATOS!$C$67*DATOS!$C$49/1000)</f>
        <v>0.687439634849853</v>
      </c>
      <c r="BH35" s="49" t="str">
        <f>IF(D35="HUECO","—",IF(BF35&lt;=BG35,"CUMPLE","MACIZAR "&amp;MAX(1,CEILING(IF(D35="VOLADO",J35,J35/2)*(1-BG35/BF35)*100/DATOS!$C$16,1))&amp;" hilera(s)"))</f>
        <v>CUMPLE</v>
      </c>
      <c r="BI35" s="41">
        <f>IF(D35="PERIMETRAL",(2*(H35+I35)+0.25*(H35*((APOYOS!$G$133="DISCONTINUO")+(APOYOS!$G$134="DISCONTINUO"))+I35*((APOYOS!$G$135="DISCONTINUO")+(APOYOS!$G$136="DISCONTINUO"))))*(J35+MIN(K35,2*J35))/(J35+K35)*100/250*IF(OR(DATOS!$C$47&gt;2520,Q35&gt;380),0.032*(DATOS!$C$47*Q35)^0.25,1),IF(D35="VOLADO",J35*100/8,0))</f>
        <v>3.55586885485293</v>
      </c>
      <c r="BJ35" s="41">
        <f>IF(D35="VOLADO",DATOS!$C$15,DATOS!$C$68)</f>
        <v>13.6082564120244</v>
      </c>
      <c r="BK35" s="50" t="str">
        <f>IF(D35="HUECO","—",IF(BJ35&gt;=BI35,"CUMPLE","NO CUMPLE"))</f>
        <v>CUMPLE</v>
      </c>
      <c r="BL35" s="50" t="str">
        <f>IF(D35="PERIMETRAL",IF(DATOS!$C$16/100&lt;=J35/6,"SÍ","NO: a1 &lt; 6·s"),"—")</f>
        <v>NO: a1 &lt; 6·s</v>
      </c>
      <c r="BM35" s="55">
        <f>MAX(0,INT((F35*100-DATOS!$C$17+DATOS!$C$13)/DATOS!$C$16))</f>
        <v>4</v>
      </c>
      <c r="BN35" s="55">
        <f>MAX(0,INT((G35*100-DATOS!$C$17+DATOS!$C$13)/DATOS!$C$16))</f>
        <v>1</v>
      </c>
      <c r="BO35" s="49" t="str">
        <f>IF(COUNTIFS(TRIB!$C$6:$C$255,B35,TRIB!$K$6:$K$255,"NO CUMPLE*")+COUNTIFS(TRIB!$C$6:$C$255,B35,TRIB!$K$6:$K$255,"SIN APOYO*")&gt;0,"VER PRINCIPALES",IF((APOYOS!$F$133="LIBRE")+(APOYOS!$F$134="LIBRE")+(APOYOS!$F$135="LIBRE")+(APOYOS!$F$136="LIBRE")&gt;0,"REVISAR: borde libre","OK"))</f>
        <v>OK</v>
      </c>
      <c r="BP35" s="60" t="str">
        <f>IF(D35="HUECO","HUECO — marco de nervaduras principales",IF(AND(MAX(AP35,AU35,AZ35,BE35)&lt;=1,NOT(OR(AN35&gt;MIN(DATOS!$C$22,INT((DATOS!$C$25+DATOS!$C$24)/(INDEX(TABLAS!$C$52:$C$58,MATCH(AM35,TABLAS!$B$52:$B$58,0))+DATOS!$C$24))),AS35&gt;MIN(DATOS!$C$22,INT((DATOS!$C$25+DATOS!$C$24)/(INDEX(TABLAS!$C$52:$C$58,MATCH(AR35,TABLAS!$B$52:$B$58,0))+DATOS!$C$24))),AX35&gt;MIN(DATOS!$C$22,INT((DATOS!$C$25+DATOS!$C$24)/(INDEX(TABLAS!$C$52:$C$58,MATCH(AW35,TABLAS!$B$52:$B$58,0))+DATOS!$C$24))),BC35&gt;MIN(DATOS!$C$22,INT((DATOS!$C$25+DATOS!$C$24)/(INDEX(TABLAS!$C$52:$C$58,MATCH(BB35,TABLAS!$B$52:$B$58,0))+DATOS!$C$24))))),BK35="CUMPLE"),IF(BO35="OK",IF(BH35="CUMPLE","CUMPLE","CUMPLE — "&amp;BH35),IF(BO35="VER PRINCIPALES","VER PRINCIPALES","REVISAR APOYOS")),"NO CUMPLE: "&amp;IF(MAX(AP35,AU35,AZ35,BE35)&gt;1,"flexión ","")&amp;IF(OR(AN35&gt;MIN(DATOS!$C$22,INT((DATOS!$C$25+DATOS!$C$24)/(INDEX(TABLAS!$C$52:$C$58,MATCH(AM35,TABLAS!$B$52:$B$58,0))+DATOS!$C$24))),AS35&gt;MIN(DATOS!$C$22,INT((DATOS!$C$25+DATOS!$C$24)/(INDEX(TABLAS!$C$52:$C$58,MATCH(AR35,TABLAS!$B$52:$B$58,0))+DATOS!$C$24))),AX35&gt;MIN(DATOS!$C$22,INT((DATOS!$C$25+DATOS!$C$24)/(INDEX(TABLAS!$C$52:$C$58,MATCH(AW35,TABLAS!$B$52:$B$58,0))+DATOS!$C$24))),BC35&gt;MIN(DATOS!$C$22,INT((DATOS!$C$25+DATOS!$C$24)/(INDEX(TABLAS!$C$52:$C$58,MATCH(BB35,TABLAS!$B$52:$B$58,0))+DATOS!$C$24)))),"no caben ","")&amp;IF(BK35&lt;&gt;"CUMPLE","peralte","")))</f>
        <v>CUMPLE</v>
      </c>
      <c r="BQ35" s="61" t="inlineStr">
        <is>
          <t>—</t>
        </is>
      </c>
    </row>
    <row r="36" ht="30" customHeight="1">
      <c r="B36" s="49" t="inlineStr">
        <is>
          <t>F80028 N+6.00</t>
        </is>
      </c>
      <c r="C36" s="50" t="inlineStr">
        <is>
          <t>N+6.00</t>
        </is>
      </c>
      <c r="D36" s="51" t="inlineStr">
        <is>
          <t>HUECO</t>
        </is>
      </c>
      <c r="E36" s="51" t="inlineStr">
        <is>
          <t>AZOTEA</t>
        </is>
      </c>
      <c r="F36" s="52" t="n">
        <v>3.028</v>
      </c>
      <c r="G36" s="52" t="n">
        <v>0.749</v>
      </c>
      <c r="H36" s="53" t="n">
        <v>3.028</v>
      </c>
      <c r="I36" s="53" t="n">
        <v>0.749</v>
      </c>
      <c r="J36" s="34">
        <f>MIN(H36,I36)</f>
        <v>0.749</v>
      </c>
      <c r="K36" s="34">
        <f>MAX(H36,I36)</f>
        <v>3.028</v>
      </c>
      <c r="L36" s="34">
        <f>IF(K36&gt;0,J36/K36,0)</f>
        <v>0.247357992073976</v>
      </c>
      <c r="M36" s="50" t="str">
        <f>IF(H36&lt;=I36,"X","Y")</f>
        <v>Y</v>
      </c>
      <c r="N36" s="54" t="n">
        <v>295</v>
      </c>
      <c r="O36" s="55">
        <f>IF(E36="HABITACIÓN",DATOS!$C$76,DATOS!$C$78)</f>
        <v>100</v>
      </c>
      <c r="P36" s="55">
        <f>DATOS!$C$58</f>
        <v>253.673469387755</v>
      </c>
      <c r="Q36" s="55">
        <f>P36+N36+O36</f>
        <v>648.673469387755</v>
      </c>
      <c r="R36" s="56">
        <f>DATOS!$C$43*(P36+N36)+DATOS!$C$44*O36</f>
        <v>863.275510204082</v>
      </c>
      <c r="S36" s="55">
        <f>(APOYOS!$G$137="DISCONTINUO")+(APOYOS!$G$138="DISCONTINUO")+(APOYOS!$G$139="DISCONTINUO")+(APOYOS!$G$140="DISCONTINUO")</f>
        <v>1</v>
      </c>
      <c r="T36" s="55">
        <f>IF(M36="X",(APOYOS!$G$137="DISCONTINUO")+(APOYOS!$G$138="DISCONTINUO"),(APOYOS!$G$139="DISCONTINUO")+(APOYOS!$G$140="DISCONTINUO"))</f>
        <v>1</v>
      </c>
      <c r="U36" s="55">
        <f>S36-T36</f>
        <v>0</v>
      </c>
      <c r="V36" s="50" t="str">
        <f>IF(S36=0,"INTERIOR",IF(S36=1,IF(T36=1,"BORDE-CORTO","BORDE-LARGO"),IF(S36=2,IF(T36=1,"ESQUINA",IF(T36=2,"EXTREMO-LARGO","EXTREMO-CORTO")),IF(S36=3,IF(T36=2,"EXTREMO-LARGO","EXTREMO-CORTO"),"AISLADO"))))</f>
        <v>BORDE-CORTO</v>
      </c>
      <c r="W36" s="51" t="inlineStr">
        <is>
          <t>AUTO</t>
        </is>
      </c>
      <c r="X36" s="57" t="str">
        <f>IF(W36="AUTO",V36,W36)</f>
        <v>BORDE-CORTO</v>
      </c>
      <c r="Y36" s="55">
        <f>MATCH(L36,TABLAS!$D$5:$J$5,1)</f>
        <v>1</v>
      </c>
      <c r="Z36" s="41">
        <f>IF(Y36&gt;=7,0,(L36-INDEX(TABLAS!$D$5:$J$5,Y36))/(INDEX(TABLAS!$D$5:$J$5,Y36+1)-INDEX(TABLAS!$D$5:$J$5,Y36)))</f>
        <v>0.494715984147952</v>
      </c>
      <c r="AA36" s="55">
        <f>INDEX(TABLAS!$D$6:$J$47,MATCH(X36&amp;"|NIC",TABLAS!$B$6:$B$47,0),Y36)+Z36*(INDEX(TABLAS!$D$6:$J$47,MATCH(X36&amp;"|NIC",TABLAS!$B$6:$B$47,0),MIN(Y36+1,7))-INDEX(TABLAS!$D$6:$J$47,MATCH(X36&amp;"|NIC",TABLAS!$B$6:$B$47,0),Y36))</f>
        <v>785.272126816381</v>
      </c>
      <c r="AB36" s="55">
        <f>INDEX(TABLAS!$D$6:$J$47,MATCH(X36&amp;"|NIL",TABLAS!$B$6:$B$47,0),Y36)+Z36*(INDEX(TABLAS!$D$6:$J$47,MATCH(X36&amp;"|NIL",TABLAS!$B$6:$B$47,0),MIN(Y36+1,7))-INDEX(TABLAS!$D$6:$J$47,MATCH(X36&amp;"|NIL",TABLAS!$B$6:$B$47,0),Y36))</f>
        <v>463.065389696169</v>
      </c>
      <c r="AC36" s="55">
        <f>INDEX(TABLAS!$D$6:$J$47,MATCH(X36&amp;"|NDC",TABLAS!$B$6:$B$47,0),Y36)+Z36*(INDEX(TABLAS!$D$6:$J$47,MATCH(X36&amp;"|NDC",TABLAS!$B$6:$B$47,0),MIN(Y36+1,7))-INDEX(TABLAS!$D$6:$J$47,MATCH(X36&amp;"|NDC",TABLAS!$B$6:$B$47,0),Y36))</f>
        <v>0</v>
      </c>
      <c r="AD36" s="55">
        <f>INDEX(TABLAS!$D$6:$J$47,MATCH(X36&amp;"|NDL",TABLAS!$B$6:$B$47,0),Y36)+Z36*(INDEX(TABLAS!$D$6:$J$47,MATCH(X36&amp;"|NDL",TABLAS!$B$6:$B$47,0),MIN(Y36+1,7))-INDEX(TABLAS!$D$6:$J$47,MATCH(X36&amp;"|NDL",TABLAS!$B$6:$B$47,0),Y36))</f>
        <v>292.359313077939</v>
      </c>
      <c r="AE36" s="55">
        <f>INDEX(TABLAS!$D$6:$J$47,MATCH(X36&amp;"|PC",TABLAS!$B$6:$B$47,0),Y36)+Z36*(INDEX(TABLAS!$D$6:$J$47,MATCH(X36&amp;"|PC",TABLAS!$B$6:$B$47,0),MIN(Y36+1,7))-INDEX(TABLAS!$D$6:$J$47,MATCH(X36&amp;"|PC",TABLAS!$B$6:$B$47,0),Y36))</f>
        <v>481.090488771466</v>
      </c>
      <c r="AF36" s="55">
        <f>INDEX(TABLAS!$D$6:$J$47,MATCH(X36&amp;"|PL",TABLAS!$B$6:$B$47,0),Y36)+Z36*(INDEX(TABLAS!$D$6:$J$47,MATCH(X36&amp;"|PL",TABLAS!$B$6:$B$47,0),MIN(Y36+1,7))-INDEX(TABLAS!$D$6:$J$47,MATCH(X36&amp;"|PL",TABLAS!$B$6:$B$47,0),Y36))</f>
        <v>160.695508586526</v>
      </c>
      <c r="AG36" s="58" t="n">
        <v>0</v>
      </c>
      <c r="AH36" s="34">
        <f>IF(D36="PERIMETRAL",AE36*R36*J36^2*1E-4*DATOS!$C$16/100/1000,0)</f>
        <v>0</v>
      </c>
      <c r="AI36" s="34">
        <f>IF(D36="PERIMETRAL",MAX(AA36,AC36)*R36*J36^2*1E-4*DATOS!$C$16/100/1000,IF(D36="VOLADO",(R36*J36^2/2+DATOS!$C$43*AG36*J36)*DATOS!$C$16/100/1000,0))</f>
        <v>0</v>
      </c>
      <c r="AJ36" s="34">
        <f>IF(D36="PERIMETRAL",AF36*R36*J36^2*1E-4*DATOS!$C$16/100/1000,0)</f>
        <v>0</v>
      </c>
      <c r="AK36" s="34">
        <f>IF(D36="PERIMETRAL",MAX(AB36,AD36)*R36*J36^2*1E-4*DATOS!$C$16/100/1000,0)</f>
        <v>0</v>
      </c>
      <c r="AL36" s="41">
        <f>IF(D36="HUECO",0,IF(AH36&lt;=0,DATOS!$C$71*DATOS!$C$13*DATOS!$C$66,IF((1-2*AH36*1E5/(DATOS!$C$45*DATOS!$C$16*DATOS!$C$66^2*DATOS!$C$38))&lt;0,-1,MAX(DATOS!$C$71*DATOS!$C$13*DATOS!$C$66,(1-SQRT((1-2*AH36*1E5/(DATOS!$C$45*DATOS!$C$16*DATOS!$C$66^2*DATOS!$C$38))))*DATOS!$C$38*DATOS!$C$16*DATOS!$C$66/DATOS!$C$32))))</f>
        <v>0</v>
      </c>
      <c r="AM36" s="39">
        <f>IF(AND(AL36&gt;=0,CEILING(AL36/INDEX(TABLAS!$D$52:$D$58,MIN(MATCH(DATOS!$C$20,TABLAS!$B$52:$B$58,0)+0,7)),1)&lt;=MIN(DATOS!$C$22,INT((DATOS!$C$25+DATOS!$C$24)/(INDEX(TABLAS!$C$52:$C$58,MIN(MATCH(DATOS!$C$20,TABLAS!$B$52:$B$58,0)+0,7))+DATOS!$C$24)))),INDEX(TABLAS!$B$52:$B$58,MIN(MATCH(DATOS!$C$20,TABLAS!$B$52:$B$58,0)+0,7)),IF(AND(AL36&gt;=0,CEILING(AL36/INDEX(TABLAS!$D$52:$D$58,MIN(MATCH(DATOS!$C$20,TABLAS!$B$52:$B$58,0)+1,7)),1)&lt;=MIN(DATOS!$C$22,INT((DATOS!$C$25+DATOS!$C$24)/(INDEX(TABLAS!$C$52:$C$58,MIN(MATCH(DATOS!$C$20,TABLAS!$B$52:$B$58,0)+1,7))+DATOS!$C$24)))),INDEX(TABLAS!$B$52:$B$58,MIN(MATCH(DATOS!$C$20,TABLAS!$B$52:$B$58,0)+1,7)),IF(AND(AL36&gt;=0,CEILING(AL36/INDEX(TABLAS!$D$52:$D$58,MIN(MATCH(DATOS!$C$20,TABLAS!$B$52:$B$58,0)+2,7)),1)&lt;=MIN(DATOS!$C$22,INT((DATOS!$C$25+DATOS!$C$24)/(INDEX(TABLAS!$C$52:$C$58,MIN(MATCH(DATOS!$C$20,TABLAS!$B$52:$B$58,0)+2,7))+DATOS!$C$24)))),INDEX(TABLAS!$B$52:$B$58,MIN(MATCH(DATOS!$C$20,TABLAS!$B$52:$B$58,0)+2,7)),IF(AND(AL36&gt;=0,CEILING(AL36/INDEX(TABLAS!$D$52:$D$58,MIN(MATCH(DATOS!$C$20,TABLAS!$B$52:$B$58,0)+3,7)),1)&lt;=MIN(DATOS!$C$22,INT((DATOS!$C$25+DATOS!$C$24)/(INDEX(TABLAS!$C$52:$C$58,MIN(MATCH(DATOS!$C$20,TABLAS!$B$52:$B$58,0)+3,7))+DATOS!$C$24)))),INDEX(TABLAS!$B$52:$B$58,MIN(MATCH(DATOS!$C$20,TABLAS!$B$52:$B$58,0)+3,7)),IF(AND(AL36&gt;=0,CEILING(AL36/INDEX(TABLAS!$D$52:$D$58,MIN(MATCH(DATOS!$C$20,TABLAS!$B$52:$B$58,0)+4,7)),1)&lt;=MIN(DATOS!$C$22,INT((DATOS!$C$25+DATOS!$C$24)/(INDEX(TABLAS!$C$52:$C$58,MIN(MATCH(DATOS!$C$20,TABLAS!$B$52:$B$58,0)+4,7))+DATOS!$C$24)))),INDEX(TABLAS!$B$52:$B$58,MIN(MATCH(DATOS!$C$20,TABLAS!$B$52:$B$58,0)+4,7)),INDEX(TABLAS!$B$52:$B$58,7))))))</f>
        <v>3</v>
      </c>
      <c r="AN36" s="55">
        <f>IF(D36="HUECO",0,IF(AL36&lt;0,0,MAX(DATOS!$C$23,CEILING(AL36/INDEX(TABLAS!$D$52:$D$58,MATCH(AM36,TABLAS!$B$52:$B$58,0)),1))))</f>
        <v>0</v>
      </c>
      <c r="AO36" s="34">
        <f>IF(AN36=0,0,DATOS!$C$45*AN36*INDEX(TABLAS!$D$52:$D$58,MATCH(AM36,TABLAS!$B$52:$B$58,0))*DATOS!$C$32*((DATOS!$C$15-DATOS!$C$18-INDEX(TABLAS!$C$52:$C$58,MATCH(DATOS!$C$19,TABLAS!$B$52:$B$58,0))-INDEX(TABLAS!$C$52:$C$58,MATCH(AM36,TABLAS!$B$52:$B$58,0))/2)-AN36*INDEX(TABLAS!$D$52:$D$58,MATCH(AM36,TABLAS!$B$52:$B$58,0))*DATOS!$C$32/(DATOS!$C$38*DATOS!$C$16)/2)/1E5)</f>
        <v>0</v>
      </c>
      <c r="AP36" s="59">
        <f>IF(AL36&lt;0,9.99,IF(AO36&gt;0,AH36/AO36,0))</f>
        <v>0</v>
      </c>
      <c r="AQ36" s="41">
        <f>IF(D36="HUECO",0,IF(AI36&lt;=0,DATOS!$C$71*DATOS!$C$13*DATOS!$C$67,IF((1-2*AI36*1E5/(DATOS!$C$45*DATOS!$C$13*DATOS!$C$67^2*DATOS!$C$38))&lt;0,-1,IF((1-SQRT((1-2*AI36*1E5/(DATOS!$C$45*DATOS!$C$13*DATOS!$C$67^2*DATOS!$C$38))))*DATOS!$C$38*DATOS!$C$13*DATOS!$C$67/DATOS!$C$32&gt;DATOS!$C$70*DATOS!$C$13*DATOS!$C$67,-1,MAX(DATOS!$C$71*DATOS!$C$13*DATOS!$C$67,(1-SQRT((1-2*AI36*1E5/(DATOS!$C$45*DATOS!$C$13*DATOS!$C$67^2*DATOS!$C$38))))*DATOS!$C$38*DATOS!$C$13*DATOS!$C$67/DATOS!$C$32)))))</f>
        <v>0</v>
      </c>
      <c r="AR36" s="39">
        <f>IF(AND(AQ36&gt;=0,CEILING(AQ36/INDEX(TABLAS!$D$52:$D$58,MIN(MATCH(DATOS!$C$21,TABLAS!$B$52:$B$58,0)+0,7)),1)&lt;=MIN(DATOS!$C$22,INT((DATOS!$C$25+DATOS!$C$24)/(INDEX(TABLAS!$C$52:$C$58,MIN(MATCH(DATOS!$C$21,TABLAS!$B$52:$B$58,0)+0,7))+DATOS!$C$24)))),INDEX(TABLAS!$B$52:$B$58,MIN(MATCH(DATOS!$C$21,TABLAS!$B$52:$B$58,0)+0,7)),IF(AND(AQ36&gt;=0,CEILING(AQ36/INDEX(TABLAS!$D$52:$D$58,MIN(MATCH(DATOS!$C$21,TABLAS!$B$52:$B$58,0)+1,7)),1)&lt;=MIN(DATOS!$C$22,INT((DATOS!$C$25+DATOS!$C$24)/(INDEX(TABLAS!$C$52:$C$58,MIN(MATCH(DATOS!$C$21,TABLAS!$B$52:$B$58,0)+1,7))+DATOS!$C$24)))),INDEX(TABLAS!$B$52:$B$58,MIN(MATCH(DATOS!$C$21,TABLAS!$B$52:$B$58,0)+1,7)),IF(AND(AQ36&gt;=0,CEILING(AQ36/INDEX(TABLAS!$D$52:$D$58,MIN(MATCH(DATOS!$C$21,TABLAS!$B$52:$B$58,0)+2,7)),1)&lt;=MIN(DATOS!$C$22,INT((DATOS!$C$25+DATOS!$C$24)/(INDEX(TABLAS!$C$52:$C$58,MIN(MATCH(DATOS!$C$21,TABLAS!$B$52:$B$58,0)+2,7))+DATOS!$C$24)))),INDEX(TABLAS!$B$52:$B$58,MIN(MATCH(DATOS!$C$21,TABLAS!$B$52:$B$58,0)+2,7)),IF(AND(AQ36&gt;=0,CEILING(AQ36/INDEX(TABLAS!$D$52:$D$58,MIN(MATCH(DATOS!$C$21,TABLAS!$B$52:$B$58,0)+3,7)),1)&lt;=MIN(DATOS!$C$22,INT((DATOS!$C$25+DATOS!$C$24)/(INDEX(TABLAS!$C$52:$C$58,MIN(MATCH(DATOS!$C$21,TABLAS!$B$52:$B$58,0)+3,7))+DATOS!$C$24)))),INDEX(TABLAS!$B$52:$B$58,MIN(MATCH(DATOS!$C$21,TABLAS!$B$52:$B$58,0)+3,7)),IF(AND(AQ36&gt;=0,CEILING(AQ36/INDEX(TABLAS!$D$52:$D$58,MIN(MATCH(DATOS!$C$21,TABLAS!$B$52:$B$58,0)+4,7)),1)&lt;=MIN(DATOS!$C$22,INT((DATOS!$C$25+DATOS!$C$24)/(INDEX(TABLAS!$C$52:$C$58,MIN(MATCH(DATOS!$C$21,TABLAS!$B$52:$B$58,0)+4,7))+DATOS!$C$24)))),INDEX(TABLAS!$B$52:$B$58,MIN(MATCH(DATOS!$C$21,TABLAS!$B$52:$B$58,0)+4,7)),INDEX(TABLAS!$B$52:$B$58,7))))))</f>
        <v>3</v>
      </c>
      <c r="AS36" s="55">
        <f>IF(D36="HUECO",0,IF(AQ36&lt;0,0,MAX(1,CEILING(AQ36/INDEX(TABLAS!$D$52:$D$58,MATCH(AR36,TABLAS!$B$52:$B$58,0)),1))))</f>
        <v>0</v>
      </c>
      <c r="AT36" s="34">
        <f>IF(AS36=0,0,DATOS!$C$45*AS36*INDEX(TABLAS!$D$52:$D$58,MATCH(AR36,TABLAS!$B$52:$B$58,0))*DATOS!$C$32*((DATOS!$C$15-DATOS!$C$18-INDEX(TABLAS!$C$52:$C$58,MATCH(DATOS!$C$19,TABLAS!$B$52:$B$58,0))-INDEX(TABLAS!$C$52:$C$58,MATCH(AR36,TABLAS!$B$52:$B$58,0))/2)-AS36*INDEX(TABLAS!$D$52:$D$58,MATCH(AR36,TABLAS!$B$52:$B$58,0))*DATOS!$C$32/(DATOS!$C$38*DATOS!$C$13)/2)/1E5)</f>
        <v>0</v>
      </c>
      <c r="AU36" s="59">
        <f>IF(AQ36&lt;0,9.99,IF(AT36&gt;0,AI36/AT36,0))</f>
        <v>0</v>
      </c>
      <c r="AV36" s="41">
        <f>IF(D36="HUECO",0,IF(AJ36&lt;=0,DATOS!$C$71*DATOS!$C$13*DATOS!$C$66,IF((1-2*AJ36*1E5/(DATOS!$C$45*DATOS!$C$16*DATOS!$C$66^2*DATOS!$C$38))&lt;0,-1,MAX(DATOS!$C$71*DATOS!$C$13*DATOS!$C$66,(1-SQRT((1-2*AJ36*1E5/(DATOS!$C$45*DATOS!$C$16*DATOS!$C$66^2*DATOS!$C$38))))*DATOS!$C$38*DATOS!$C$16*DATOS!$C$66/DATOS!$C$32))))</f>
        <v>0</v>
      </c>
      <c r="AW36" s="39">
        <f>IF(AND(AV36&gt;=0,CEILING(AV36/INDEX(TABLAS!$D$52:$D$58,MIN(MATCH(DATOS!$C$20,TABLAS!$B$52:$B$58,0)+0,7)),1)&lt;=MIN(DATOS!$C$22,INT((DATOS!$C$25+DATOS!$C$24)/(INDEX(TABLAS!$C$52:$C$58,MIN(MATCH(DATOS!$C$20,TABLAS!$B$52:$B$58,0)+0,7))+DATOS!$C$24)))),INDEX(TABLAS!$B$52:$B$58,MIN(MATCH(DATOS!$C$20,TABLAS!$B$52:$B$58,0)+0,7)),IF(AND(AV36&gt;=0,CEILING(AV36/INDEX(TABLAS!$D$52:$D$58,MIN(MATCH(DATOS!$C$20,TABLAS!$B$52:$B$58,0)+1,7)),1)&lt;=MIN(DATOS!$C$22,INT((DATOS!$C$25+DATOS!$C$24)/(INDEX(TABLAS!$C$52:$C$58,MIN(MATCH(DATOS!$C$20,TABLAS!$B$52:$B$58,0)+1,7))+DATOS!$C$24)))),INDEX(TABLAS!$B$52:$B$58,MIN(MATCH(DATOS!$C$20,TABLAS!$B$52:$B$58,0)+1,7)),IF(AND(AV36&gt;=0,CEILING(AV36/INDEX(TABLAS!$D$52:$D$58,MIN(MATCH(DATOS!$C$20,TABLAS!$B$52:$B$58,0)+2,7)),1)&lt;=MIN(DATOS!$C$22,INT((DATOS!$C$25+DATOS!$C$24)/(INDEX(TABLAS!$C$52:$C$58,MIN(MATCH(DATOS!$C$20,TABLAS!$B$52:$B$58,0)+2,7))+DATOS!$C$24)))),INDEX(TABLAS!$B$52:$B$58,MIN(MATCH(DATOS!$C$20,TABLAS!$B$52:$B$58,0)+2,7)),IF(AND(AV36&gt;=0,CEILING(AV36/INDEX(TABLAS!$D$52:$D$58,MIN(MATCH(DATOS!$C$20,TABLAS!$B$52:$B$58,0)+3,7)),1)&lt;=MIN(DATOS!$C$22,INT((DATOS!$C$25+DATOS!$C$24)/(INDEX(TABLAS!$C$52:$C$58,MIN(MATCH(DATOS!$C$20,TABLAS!$B$52:$B$58,0)+3,7))+DATOS!$C$24)))),INDEX(TABLAS!$B$52:$B$58,MIN(MATCH(DATOS!$C$20,TABLAS!$B$52:$B$58,0)+3,7)),IF(AND(AV36&gt;=0,CEILING(AV36/INDEX(TABLAS!$D$52:$D$58,MIN(MATCH(DATOS!$C$20,TABLAS!$B$52:$B$58,0)+4,7)),1)&lt;=MIN(DATOS!$C$22,INT((DATOS!$C$25+DATOS!$C$24)/(INDEX(TABLAS!$C$52:$C$58,MIN(MATCH(DATOS!$C$20,TABLAS!$B$52:$B$58,0)+4,7))+DATOS!$C$24)))),INDEX(TABLAS!$B$52:$B$58,MIN(MATCH(DATOS!$C$20,TABLAS!$B$52:$B$58,0)+4,7)),INDEX(TABLAS!$B$52:$B$58,7))))))</f>
        <v>3</v>
      </c>
      <c r="AX36" s="55">
        <f>IF(D36="HUECO",0,IF(AV36&lt;0,0,MAX(DATOS!$C$23,CEILING(AV36/INDEX(TABLAS!$D$52:$D$58,MATCH(AW36,TABLAS!$B$52:$B$58,0)),1))))</f>
        <v>0</v>
      </c>
      <c r="AY36" s="34">
        <f>IF(AX36=0,0,DATOS!$C$45*AX36*INDEX(TABLAS!$D$52:$D$58,MATCH(AW36,TABLAS!$B$52:$B$58,0))*DATOS!$C$32*((DATOS!$C$15-DATOS!$C$18-INDEX(TABLAS!$C$52:$C$58,MATCH(DATOS!$C$19,TABLAS!$B$52:$B$58,0))-INDEX(TABLAS!$C$52:$C$58,MATCH(AW36,TABLAS!$B$52:$B$58,0))/2)-AX36*INDEX(TABLAS!$D$52:$D$58,MATCH(AW36,TABLAS!$B$52:$B$58,0))*DATOS!$C$32/(DATOS!$C$38*DATOS!$C$16)/2)/1E5)</f>
        <v>0</v>
      </c>
      <c r="AZ36" s="59">
        <f>IF(AV36&lt;0,9.99,IF(AY36&gt;0,AJ36/AY36,0))</f>
        <v>0</v>
      </c>
      <c r="BA36" s="41">
        <f>IF(D36="HUECO",0,IF(AK36&lt;=0,DATOS!$C$71*DATOS!$C$13*DATOS!$C$67,IF((1-2*AK36*1E5/(DATOS!$C$45*DATOS!$C$13*DATOS!$C$67^2*DATOS!$C$38))&lt;0,-1,IF((1-SQRT((1-2*AK36*1E5/(DATOS!$C$45*DATOS!$C$13*DATOS!$C$67^2*DATOS!$C$38))))*DATOS!$C$38*DATOS!$C$13*DATOS!$C$67/DATOS!$C$32&gt;DATOS!$C$70*DATOS!$C$13*DATOS!$C$67,-1,MAX(DATOS!$C$71*DATOS!$C$13*DATOS!$C$67,(1-SQRT((1-2*AK36*1E5/(DATOS!$C$45*DATOS!$C$13*DATOS!$C$67^2*DATOS!$C$38))))*DATOS!$C$38*DATOS!$C$13*DATOS!$C$67/DATOS!$C$32)))))</f>
        <v>0</v>
      </c>
      <c r="BB36" s="39">
        <f>IF(AND(BA36&gt;=0,CEILING(BA36/INDEX(TABLAS!$D$52:$D$58,MIN(MATCH(DATOS!$C$21,TABLAS!$B$52:$B$58,0)+0,7)),1)&lt;=MIN(DATOS!$C$22,INT((DATOS!$C$25+DATOS!$C$24)/(INDEX(TABLAS!$C$52:$C$58,MIN(MATCH(DATOS!$C$21,TABLAS!$B$52:$B$58,0)+0,7))+DATOS!$C$24)))),INDEX(TABLAS!$B$52:$B$58,MIN(MATCH(DATOS!$C$21,TABLAS!$B$52:$B$58,0)+0,7)),IF(AND(BA36&gt;=0,CEILING(BA36/INDEX(TABLAS!$D$52:$D$58,MIN(MATCH(DATOS!$C$21,TABLAS!$B$52:$B$58,0)+1,7)),1)&lt;=MIN(DATOS!$C$22,INT((DATOS!$C$25+DATOS!$C$24)/(INDEX(TABLAS!$C$52:$C$58,MIN(MATCH(DATOS!$C$21,TABLAS!$B$52:$B$58,0)+1,7))+DATOS!$C$24)))),INDEX(TABLAS!$B$52:$B$58,MIN(MATCH(DATOS!$C$21,TABLAS!$B$52:$B$58,0)+1,7)),IF(AND(BA36&gt;=0,CEILING(BA36/INDEX(TABLAS!$D$52:$D$58,MIN(MATCH(DATOS!$C$21,TABLAS!$B$52:$B$58,0)+2,7)),1)&lt;=MIN(DATOS!$C$22,INT((DATOS!$C$25+DATOS!$C$24)/(INDEX(TABLAS!$C$52:$C$58,MIN(MATCH(DATOS!$C$21,TABLAS!$B$52:$B$58,0)+2,7))+DATOS!$C$24)))),INDEX(TABLAS!$B$52:$B$58,MIN(MATCH(DATOS!$C$21,TABLAS!$B$52:$B$58,0)+2,7)),IF(AND(BA36&gt;=0,CEILING(BA36/INDEX(TABLAS!$D$52:$D$58,MIN(MATCH(DATOS!$C$21,TABLAS!$B$52:$B$58,0)+3,7)),1)&lt;=MIN(DATOS!$C$22,INT((DATOS!$C$25+DATOS!$C$24)/(INDEX(TABLAS!$C$52:$C$58,MIN(MATCH(DATOS!$C$21,TABLAS!$B$52:$B$58,0)+3,7))+DATOS!$C$24)))),INDEX(TABLAS!$B$52:$B$58,MIN(MATCH(DATOS!$C$21,TABLAS!$B$52:$B$58,0)+3,7)),IF(AND(BA36&gt;=0,CEILING(BA36/INDEX(TABLAS!$D$52:$D$58,MIN(MATCH(DATOS!$C$21,TABLAS!$B$52:$B$58,0)+4,7)),1)&lt;=MIN(DATOS!$C$22,INT((DATOS!$C$25+DATOS!$C$24)/(INDEX(TABLAS!$C$52:$C$58,MIN(MATCH(DATOS!$C$21,TABLAS!$B$52:$B$58,0)+4,7))+DATOS!$C$24)))),INDEX(TABLAS!$B$52:$B$58,MIN(MATCH(DATOS!$C$21,TABLAS!$B$52:$B$58,0)+4,7)),INDEX(TABLAS!$B$52:$B$58,7))))))</f>
        <v>3</v>
      </c>
      <c r="BC36" s="55">
        <f>IF(D36="HUECO",0,IF(BA36&lt;0,0,MAX(1,CEILING(BA36/INDEX(TABLAS!$D$52:$D$58,MATCH(BB36,TABLAS!$B$52:$B$58,0)),1))))</f>
        <v>0</v>
      </c>
      <c r="BD36" s="34">
        <f>IF(BC36=0,0,DATOS!$C$45*BC36*INDEX(TABLAS!$D$52:$D$58,MATCH(BB36,TABLAS!$B$52:$B$58,0))*DATOS!$C$32*((DATOS!$C$15-DATOS!$C$18-INDEX(TABLAS!$C$52:$C$58,MATCH(DATOS!$C$19,TABLAS!$B$52:$B$58,0))-INDEX(TABLAS!$C$52:$C$58,MATCH(BB36,TABLAS!$B$52:$B$58,0))/2)-BC36*INDEX(TABLAS!$D$52:$D$58,MATCH(BB36,TABLAS!$B$52:$B$58,0))*DATOS!$C$32/(DATOS!$C$38*DATOS!$C$13)/2)/1E5)</f>
        <v>0</v>
      </c>
      <c r="BE36" s="59">
        <f>IF(BA36&lt;0,9.99,IF(BD36&gt;0,AK36/BD36,0))</f>
        <v>0</v>
      </c>
      <c r="BF36" s="34">
        <f>IF(D36="PERIMETRAL",MAX(0,(J36/2-DATOS!$C$66/100))*(0.95-0.5*L36)*R36*IF(AND(S36&gt;0,S36&lt;4),DATOS!$C$50,1)*DATOS!$C$16/100/1000,IF(D36="VOLADO",(R36*J36+DATOS!$C$43*AG36)*DATOS!$C$16/100/1000,0))</f>
        <v>0</v>
      </c>
      <c r="BG36" s="34">
        <f>IF(D36="HUECO",0,DATOS!$C$46*IF((AS36*INDEX(TABLAS!$D$52:$D$58,MATCH(AR36,TABLAS!$B$52:$B$58,0))/(DATOS!$C$13*DATOS!$C$67))&lt;0.015,0.2+20*(AS36*INDEX(TABLAS!$D$52:$D$58,MATCH(AR36,TABLAS!$B$52:$B$58,0))/(DATOS!$C$13*DATOS!$C$67)),0.5)*SQRT(DATOS!$C$31)*DATOS!$C$13*DATOS!$C$67*DATOS!$C$49/1000)</f>
        <v>0</v>
      </c>
      <c r="BH36" s="49" t="str">
        <f>IF(D36="HUECO","—",IF(BF36&lt;=BG36,"CUMPLE","MACIZAR "&amp;MAX(1,CEILING(IF(D36="VOLADO",J36,J36/2)*(1-BG36/BF36)*100/DATOS!$C$16,1))&amp;" hilera(s)"))</f>
        <v>—</v>
      </c>
      <c r="BI36" s="41">
        <f>IF(D36="PERIMETRAL",(2*(H36+I36)+0.25*(H36*((APOYOS!$G$137="DISCONTINUO")+(APOYOS!$G$138="DISCONTINUO"))+I36*((APOYOS!$G$139="DISCONTINUO")+(APOYOS!$G$140="DISCONTINUO"))))*(J36+MIN(K36,2*J36))/(J36+K36)*100/250*IF(OR(DATOS!$C$47&gt;2520,Q36&gt;380),0.032*(DATOS!$C$47*Q36)^0.25,1),IF(D36="VOLADO",J36*100/8,0))</f>
        <v>0</v>
      </c>
      <c r="BJ36" s="41">
        <f>IF(D36="VOLADO",DATOS!$C$15,DATOS!$C$68)</f>
        <v>13.6082564120244</v>
      </c>
      <c r="BK36" s="50" t="str">
        <f>IF(D36="HUECO","—",IF(BJ36&gt;=BI36,"CUMPLE","NO CUMPLE"))</f>
        <v>—</v>
      </c>
      <c r="BL36" s="50" t="str">
        <f>IF(D36="PERIMETRAL",IF(DATOS!$C$16/100&lt;=J36/6,"SÍ","NO: a1 &lt; 6·s"),"—")</f>
        <v>—</v>
      </c>
      <c r="BM36" s="55">
        <f>MAX(0,INT((F36*100-DATOS!$C$17+DATOS!$C$13)/DATOS!$C$16))</f>
        <v>4</v>
      </c>
      <c r="BN36" s="55">
        <f>MAX(0,INT((G36*100-DATOS!$C$17+DATOS!$C$13)/DATOS!$C$16))</f>
        <v>0</v>
      </c>
      <c r="BO36" s="49" t="str">
        <f>IF(COUNTIFS(TRIB!$C$6:$C$255,B36,TRIB!$K$6:$K$255,"NO CUMPLE*")+COUNTIFS(TRIB!$C$6:$C$255,B36,TRIB!$K$6:$K$255,"SIN APOYO*")&gt;0,"VER PRINCIPALES",IF((APOYOS!$F$137="LIBRE")+(APOYOS!$F$138="LIBRE")+(APOYOS!$F$139="LIBRE")+(APOYOS!$F$140="LIBRE")&gt;0,"REVISAR: borde libre","OK"))</f>
        <v>OK</v>
      </c>
      <c r="BP36" s="60" t="str">
        <f>IF(D36="HUECO","HUECO — marco de nervaduras principales",IF(AND(MAX(AP36,AU36,AZ36,BE36)&lt;=1,NOT(OR(AN36&gt;MIN(DATOS!$C$22,INT((DATOS!$C$25+DATOS!$C$24)/(INDEX(TABLAS!$C$52:$C$58,MATCH(AM36,TABLAS!$B$52:$B$58,0))+DATOS!$C$24))),AS36&gt;MIN(DATOS!$C$22,INT((DATOS!$C$25+DATOS!$C$24)/(INDEX(TABLAS!$C$52:$C$58,MATCH(AR36,TABLAS!$B$52:$B$58,0))+DATOS!$C$24))),AX36&gt;MIN(DATOS!$C$22,INT((DATOS!$C$25+DATOS!$C$24)/(INDEX(TABLAS!$C$52:$C$58,MATCH(AW36,TABLAS!$B$52:$B$58,0))+DATOS!$C$24))),BC36&gt;MIN(DATOS!$C$22,INT((DATOS!$C$25+DATOS!$C$24)/(INDEX(TABLAS!$C$52:$C$58,MATCH(BB36,TABLAS!$B$52:$B$58,0))+DATOS!$C$24))))),BK36="CUMPLE"),IF(BO36="OK",IF(BH36="CUMPLE","CUMPLE","CUMPLE — "&amp;BH36),IF(BO36="VER PRINCIPALES","VER PRINCIPALES","REVISAR APOYOS")),"NO CUMPLE: "&amp;IF(MAX(AP36,AU36,AZ36,BE36)&gt;1,"flexión ","")&amp;IF(OR(AN36&gt;MIN(DATOS!$C$22,INT((DATOS!$C$25+DATOS!$C$24)/(INDEX(TABLAS!$C$52:$C$58,MATCH(AM36,TABLAS!$B$52:$B$58,0))+DATOS!$C$24))),AS36&gt;MIN(DATOS!$C$22,INT((DATOS!$C$25+DATOS!$C$24)/(INDEX(TABLAS!$C$52:$C$58,MATCH(AR36,TABLAS!$B$52:$B$58,0))+DATOS!$C$24))),AX36&gt;MIN(DATOS!$C$22,INT((DATOS!$C$25+DATOS!$C$24)/(INDEX(TABLAS!$C$52:$C$58,MATCH(AW36,TABLAS!$B$52:$B$58,0))+DATOS!$C$24))),BC36&gt;MIN(DATOS!$C$22,INT((DATOS!$C$25+DATOS!$C$24)/(INDEX(TABLAS!$C$52:$C$58,MATCH(BB36,TABLAS!$B$52:$B$58,0))+DATOS!$C$24)))),"no caben ","")&amp;IF(BK36&lt;&gt;"CUMPLE","peralte","")))</f>
        <v>HUECO — marco de nervaduras principales</v>
      </c>
      <c r="BQ36" s="61" t="inlineStr">
        <is>
          <t>Tragaluz de 0.30 m: casi todo el tablero es hueco (quedan 0.60 m² de losa). No cabe un casetón en el claro corto: el tablero se cuela MACIZO.</t>
        </is>
      </c>
    </row>
    <row r="37" ht="30" customHeight="1">
      <c r="B37" s="49" t="inlineStr">
        <is>
          <t>F80029 N+6.00</t>
        </is>
      </c>
      <c r="C37" s="50" t="inlineStr">
        <is>
          <t>N+6.00</t>
        </is>
      </c>
      <c r="D37" s="51" t="inlineStr">
        <is>
          <t>HUECO</t>
        </is>
      </c>
      <c r="E37" s="51" t="inlineStr">
        <is>
          <t>AZOTEA</t>
        </is>
      </c>
      <c r="F37" s="52" t="n">
        <v>3.029</v>
      </c>
      <c r="G37" s="52" t="n">
        <v>0.449</v>
      </c>
      <c r="H37" s="53" t="n">
        <v>3.029</v>
      </c>
      <c r="I37" s="53" t="n">
        <v>0.449</v>
      </c>
      <c r="J37" s="34">
        <f>MIN(H37,I37)</f>
        <v>0.449</v>
      </c>
      <c r="K37" s="34">
        <f>MAX(H37,I37)</f>
        <v>3.029</v>
      </c>
      <c r="L37" s="34">
        <f>IF(K37&gt;0,J37/K37,0)</f>
        <v>0.148233740508419</v>
      </c>
      <c r="M37" s="50" t="str">
        <f>IF(H37&lt;=I37,"X","Y")</f>
        <v>Y</v>
      </c>
      <c r="N37" s="54" t="n">
        <v>295</v>
      </c>
      <c r="O37" s="55">
        <f>IF(E37="HABITACIÓN",DATOS!$C$76,DATOS!$C$78)</f>
        <v>100</v>
      </c>
      <c r="P37" s="55">
        <f>DATOS!$C$58</f>
        <v>253.673469387755</v>
      </c>
      <c r="Q37" s="55">
        <f>P37+N37+O37</f>
        <v>648.673469387755</v>
      </c>
      <c r="R37" s="56">
        <f>DATOS!$C$43*(P37+N37)+DATOS!$C$44*O37</f>
        <v>863.275510204082</v>
      </c>
      <c r="S37" s="55">
        <f>(APOYOS!$G$141="DISCONTINUO")+(APOYOS!$G$142="DISCONTINUO")+(APOYOS!$G$143="DISCONTINUO")+(APOYOS!$G$144="DISCONTINUO")</f>
        <v>1</v>
      </c>
      <c r="T37" s="55">
        <f>IF(M37="X",(APOYOS!$G$141="DISCONTINUO")+(APOYOS!$G$142="DISCONTINUO"),(APOYOS!$G$143="DISCONTINUO")+(APOYOS!$G$144="DISCONTINUO"))</f>
        <v>1</v>
      </c>
      <c r="U37" s="55">
        <f>S37-T37</f>
        <v>0</v>
      </c>
      <c r="V37" s="50" t="str">
        <f>IF(S37=0,"INTERIOR",IF(S37=1,IF(T37=1,"BORDE-CORTO","BORDE-LARGO"),IF(S37=2,IF(T37=1,"ESQUINA",IF(T37=2,"EXTREMO-LARGO","EXTREMO-CORTO")),IF(S37=3,IF(T37=2,"EXTREMO-LARGO","EXTREMO-CORTO"),"AISLADO"))))</f>
        <v>BORDE-CORTO</v>
      </c>
      <c r="W37" s="51" t="inlineStr">
        <is>
          <t>AUTO</t>
        </is>
      </c>
      <c r="X37" s="57" t="str">
        <f>IF(W37="AUTO",V37,W37)</f>
        <v>BORDE-CORTO</v>
      </c>
      <c r="Y37" s="55">
        <f>MATCH(L37,TABLAS!$D$5:$J$5,1)</f>
        <v>1</v>
      </c>
      <c r="Z37" s="41">
        <f>IF(Y37&gt;=7,0,(L37-INDEX(TABLAS!$D$5:$J$5,Y37))/(INDEX(TABLAS!$D$5:$J$5,Y37+1)-INDEX(TABLAS!$D$5:$J$5,Y37)))</f>
        <v>0.296467481016837</v>
      </c>
      <c r="AA37" s="55">
        <f>INDEX(TABLAS!$D$6:$J$47,MATCH(X37&amp;"|NIC",TABLAS!$B$6:$B$47,0),Y37)+Z37*(INDEX(TABLAS!$D$6:$J$47,MATCH(X37&amp;"|NIC",TABLAS!$B$6:$B$47,0),MIN(Y37+1,7))-INDEX(TABLAS!$D$6:$J$47,MATCH(X37&amp;"|NIC",TABLAS!$B$6:$B$47,0),Y37))</f>
        <v>870.51898316276</v>
      </c>
      <c r="AB37" s="55">
        <f>INDEX(TABLAS!$D$6:$J$47,MATCH(X37&amp;"|NIL",TABLAS!$B$6:$B$47,0),Y37)+Z37*(INDEX(TABLAS!$D$6:$J$47,MATCH(X37&amp;"|NIL",TABLAS!$B$6:$B$47,0),MIN(Y37+1,7))-INDEX(TABLAS!$D$6:$J$47,MATCH(X37&amp;"|NIL",TABLAS!$B$6:$B$47,0),Y37))</f>
        <v>484.277979531198</v>
      </c>
      <c r="AC37" s="55">
        <f>INDEX(TABLAS!$D$6:$J$47,MATCH(X37&amp;"|NDC",TABLAS!$B$6:$B$47,0),Y37)+Z37*(INDEX(TABLAS!$D$6:$J$47,MATCH(X37&amp;"|NDC",TABLAS!$B$6:$B$47,0),MIN(Y37+1,7))-INDEX(TABLAS!$D$6:$J$47,MATCH(X37&amp;"|NDC",TABLAS!$B$6:$B$47,0),Y37))</f>
        <v>0</v>
      </c>
      <c r="AD37" s="55">
        <f>INDEX(TABLAS!$D$6:$J$47,MATCH(X37&amp;"|NDL",TABLAS!$B$6:$B$47,0),Y37)+Z37*(INDEX(TABLAS!$D$6:$J$47,MATCH(X37&amp;"|NDL",TABLAS!$B$6:$B$47,0),MIN(Y37+1,7))-INDEX(TABLAS!$D$6:$J$47,MATCH(X37&amp;"|NDL",TABLAS!$B$6:$B$47,0),Y37))</f>
        <v>305.840211290855</v>
      </c>
      <c r="AE37" s="55">
        <f>INDEX(TABLAS!$D$6:$J$47,MATCH(X37&amp;"|PC",TABLAS!$B$6:$B$47,0),Y37)+Z37*(INDEX(TABLAS!$D$6:$J$47,MATCH(X37&amp;"|PC",TABLAS!$B$6:$B$47,0),MIN(Y37+1,7))-INDEX(TABLAS!$D$6:$J$47,MATCH(X37&amp;"|PC",TABLAS!$B$6:$B$47,0),Y37))</f>
        <v>540.763288213932</v>
      </c>
      <c r="AF37" s="55">
        <f>INDEX(TABLAS!$D$6:$J$47,MATCH(X37&amp;"|PL",TABLAS!$B$6:$B$47,0),Y37)+Z37*(INDEX(TABLAS!$D$6:$J$47,MATCH(X37&amp;"|PL",TABLAS!$B$6:$B$47,0),MIN(Y37+1,7))-INDEX(TABLAS!$D$6:$J$47,MATCH(X37&amp;"|PL",TABLAS!$B$6:$B$47,0),Y37))</f>
        <v>168.030703202377</v>
      </c>
      <c r="AG37" s="58" t="n">
        <v>0</v>
      </c>
      <c r="AH37" s="34">
        <f>IF(D37="PERIMETRAL",AE37*R37*J37^2*1E-4*DATOS!$C$16/100/1000,0)</f>
        <v>0</v>
      </c>
      <c r="AI37" s="34">
        <f>IF(D37="PERIMETRAL",MAX(AA37,AC37)*R37*J37^2*1E-4*DATOS!$C$16/100/1000,IF(D37="VOLADO",(R37*J37^2/2+DATOS!$C$43*AG37*J37)*DATOS!$C$16/100/1000,0))</f>
        <v>0</v>
      </c>
      <c r="AJ37" s="34">
        <f>IF(D37="PERIMETRAL",AF37*R37*J37^2*1E-4*DATOS!$C$16/100/1000,0)</f>
        <v>0</v>
      </c>
      <c r="AK37" s="34">
        <f>IF(D37="PERIMETRAL",MAX(AB37,AD37)*R37*J37^2*1E-4*DATOS!$C$16/100/1000,0)</f>
        <v>0</v>
      </c>
      <c r="AL37" s="41">
        <f>IF(D37="HUECO",0,IF(AH37&lt;=0,DATOS!$C$71*DATOS!$C$13*DATOS!$C$66,IF((1-2*AH37*1E5/(DATOS!$C$45*DATOS!$C$16*DATOS!$C$66^2*DATOS!$C$38))&lt;0,-1,MAX(DATOS!$C$71*DATOS!$C$13*DATOS!$C$66,(1-SQRT((1-2*AH37*1E5/(DATOS!$C$45*DATOS!$C$16*DATOS!$C$66^2*DATOS!$C$38))))*DATOS!$C$38*DATOS!$C$16*DATOS!$C$66/DATOS!$C$32))))</f>
        <v>0</v>
      </c>
      <c r="AM37" s="39">
        <f>IF(AND(AL37&gt;=0,CEILING(AL37/INDEX(TABLAS!$D$52:$D$58,MIN(MATCH(DATOS!$C$20,TABLAS!$B$52:$B$58,0)+0,7)),1)&lt;=MIN(DATOS!$C$22,INT((DATOS!$C$25+DATOS!$C$24)/(INDEX(TABLAS!$C$52:$C$58,MIN(MATCH(DATOS!$C$20,TABLAS!$B$52:$B$58,0)+0,7))+DATOS!$C$24)))),INDEX(TABLAS!$B$52:$B$58,MIN(MATCH(DATOS!$C$20,TABLAS!$B$52:$B$58,0)+0,7)),IF(AND(AL37&gt;=0,CEILING(AL37/INDEX(TABLAS!$D$52:$D$58,MIN(MATCH(DATOS!$C$20,TABLAS!$B$52:$B$58,0)+1,7)),1)&lt;=MIN(DATOS!$C$22,INT((DATOS!$C$25+DATOS!$C$24)/(INDEX(TABLAS!$C$52:$C$58,MIN(MATCH(DATOS!$C$20,TABLAS!$B$52:$B$58,0)+1,7))+DATOS!$C$24)))),INDEX(TABLAS!$B$52:$B$58,MIN(MATCH(DATOS!$C$20,TABLAS!$B$52:$B$58,0)+1,7)),IF(AND(AL37&gt;=0,CEILING(AL37/INDEX(TABLAS!$D$52:$D$58,MIN(MATCH(DATOS!$C$20,TABLAS!$B$52:$B$58,0)+2,7)),1)&lt;=MIN(DATOS!$C$22,INT((DATOS!$C$25+DATOS!$C$24)/(INDEX(TABLAS!$C$52:$C$58,MIN(MATCH(DATOS!$C$20,TABLAS!$B$52:$B$58,0)+2,7))+DATOS!$C$24)))),INDEX(TABLAS!$B$52:$B$58,MIN(MATCH(DATOS!$C$20,TABLAS!$B$52:$B$58,0)+2,7)),IF(AND(AL37&gt;=0,CEILING(AL37/INDEX(TABLAS!$D$52:$D$58,MIN(MATCH(DATOS!$C$20,TABLAS!$B$52:$B$58,0)+3,7)),1)&lt;=MIN(DATOS!$C$22,INT((DATOS!$C$25+DATOS!$C$24)/(INDEX(TABLAS!$C$52:$C$58,MIN(MATCH(DATOS!$C$20,TABLAS!$B$52:$B$58,0)+3,7))+DATOS!$C$24)))),INDEX(TABLAS!$B$52:$B$58,MIN(MATCH(DATOS!$C$20,TABLAS!$B$52:$B$58,0)+3,7)),IF(AND(AL37&gt;=0,CEILING(AL37/INDEX(TABLAS!$D$52:$D$58,MIN(MATCH(DATOS!$C$20,TABLAS!$B$52:$B$58,0)+4,7)),1)&lt;=MIN(DATOS!$C$22,INT((DATOS!$C$25+DATOS!$C$24)/(INDEX(TABLAS!$C$52:$C$58,MIN(MATCH(DATOS!$C$20,TABLAS!$B$52:$B$58,0)+4,7))+DATOS!$C$24)))),INDEX(TABLAS!$B$52:$B$58,MIN(MATCH(DATOS!$C$20,TABLAS!$B$52:$B$58,0)+4,7)),INDEX(TABLAS!$B$52:$B$58,7))))))</f>
        <v>3</v>
      </c>
      <c r="AN37" s="55">
        <f>IF(D37="HUECO",0,IF(AL37&lt;0,0,MAX(DATOS!$C$23,CEILING(AL37/INDEX(TABLAS!$D$52:$D$58,MATCH(AM37,TABLAS!$B$52:$B$58,0)),1))))</f>
        <v>0</v>
      </c>
      <c r="AO37" s="34">
        <f>IF(AN37=0,0,DATOS!$C$45*AN37*INDEX(TABLAS!$D$52:$D$58,MATCH(AM37,TABLAS!$B$52:$B$58,0))*DATOS!$C$32*((DATOS!$C$15-DATOS!$C$18-INDEX(TABLAS!$C$52:$C$58,MATCH(DATOS!$C$19,TABLAS!$B$52:$B$58,0))-INDEX(TABLAS!$C$52:$C$58,MATCH(AM37,TABLAS!$B$52:$B$58,0))/2)-AN37*INDEX(TABLAS!$D$52:$D$58,MATCH(AM37,TABLAS!$B$52:$B$58,0))*DATOS!$C$32/(DATOS!$C$38*DATOS!$C$16)/2)/1E5)</f>
        <v>0</v>
      </c>
      <c r="AP37" s="59">
        <f>IF(AL37&lt;0,9.99,IF(AO37&gt;0,AH37/AO37,0))</f>
        <v>0</v>
      </c>
      <c r="AQ37" s="41">
        <f>IF(D37="HUECO",0,IF(AI37&lt;=0,DATOS!$C$71*DATOS!$C$13*DATOS!$C$67,IF((1-2*AI37*1E5/(DATOS!$C$45*DATOS!$C$13*DATOS!$C$67^2*DATOS!$C$38))&lt;0,-1,IF((1-SQRT((1-2*AI37*1E5/(DATOS!$C$45*DATOS!$C$13*DATOS!$C$67^2*DATOS!$C$38))))*DATOS!$C$38*DATOS!$C$13*DATOS!$C$67/DATOS!$C$32&gt;DATOS!$C$70*DATOS!$C$13*DATOS!$C$67,-1,MAX(DATOS!$C$71*DATOS!$C$13*DATOS!$C$67,(1-SQRT((1-2*AI37*1E5/(DATOS!$C$45*DATOS!$C$13*DATOS!$C$67^2*DATOS!$C$38))))*DATOS!$C$38*DATOS!$C$13*DATOS!$C$67/DATOS!$C$32)))))</f>
        <v>0</v>
      </c>
      <c r="AR37" s="39">
        <f>IF(AND(AQ37&gt;=0,CEILING(AQ37/INDEX(TABLAS!$D$52:$D$58,MIN(MATCH(DATOS!$C$21,TABLAS!$B$52:$B$58,0)+0,7)),1)&lt;=MIN(DATOS!$C$22,INT((DATOS!$C$25+DATOS!$C$24)/(INDEX(TABLAS!$C$52:$C$58,MIN(MATCH(DATOS!$C$21,TABLAS!$B$52:$B$58,0)+0,7))+DATOS!$C$24)))),INDEX(TABLAS!$B$52:$B$58,MIN(MATCH(DATOS!$C$21,TABLAS!$B$52:$B$58,0)+0,7)),IF(AND(AQ37&gt;=0,CEILING(AQ37/INDEX(TABLAS!$D$52:$D$58,MIN(MATCH(DATOS!$C$21,TABLAS!$B$52:$B$58,0)+1,7)),1)&lt;=MIN(DATOS!$C$22,INT((DATOS!$C$25+DATOS!$C$24)/(INDEX(TABLAS!$C$52:$C$58,MIN(MATCH(DATOS!$C$21,TABLAS!$B$52:$B$58,0)+1,7))+DATOS!$C$24)))),INDEX(TABLAS!$B$52:$B$58,MIN(MATCH(DATOS!$C$21,TABLAS!$B$52:$B$58,0)+1,7)),IF(AND(AQ37&gt;=0,CEILING(AQ37/INDEX(TABLAS!$D$52:$D$58,MIN(MATCH(DATOS!$C$21,TABLAS!$B$52:$B$58,0)+2,7)),1)&lt;=MIN(DATOS!$C$22,INT((DATOS!$C$25+DATOS!$C$24)/(INDEX(TABLAS!$C$52:$C$58,MIN(MATCH(DATOS!$C$21,TABLAS!$B$52:$B$58,0)+2,7))+DATOS!$C$24)))),INDEX(TABLAS!$B$52:$B$58,MIN(MATCH(DATOS!$C$21,TABLAS!$B$52:$B$58,0)+2,7)),IF(AND(AQ37&gt;=0,CEILING(AQ37/INDEX(TABLAS!$D$52:$D$58,MIN(MATCH(DATOS!$C$21,TABLAS!$B$52:$B$58,0)+3,7)),1)&lt;=MIN(DATOS!$C$22,INT((DATOS!$C$25+DATOS!$C$24)/(INDEX(TABLAS!$C$52:$C$58,MIN(MATCH(DATOS!$C$21,TABLAS!$B$52:$B$58,0)+3,7))+DATOS!$C$24)))),INDEX(TABLAS!$B$52:$B$58,MIN(MATCH(DATOS!$C$21,TABLAS!$B$52:$B$58,0)+3,7)),IF(AND(AQ37&gt;=0,CEILING(AQ37/INDEX(TABLAS!$D$52:$D$58,MIN(MATCH(DATOS!$C$21,TABLAS!$B$52:$B$58,0)+4,7)),1)&lt;=MIN(DATOS!$C$22,INT((DATOS!$C$25+DATOS!$C$24)/(INDEX(TABLAS!$C$52:$C$58,MIN(MATCH(DATOS!$C$21,TABLAS!$B$52:$B$58,0)+4,7))+DATOS!$C$24)))),INDEX(TABLAS!$B$52:$B$58,MIN(MATCH(DATOS!$C$21,TABLAS!$B$52:$B$58,0)+4,7)),INDEX(TABLAS!$B$52:$B$58,7))))))</f>
        <v>3</v>
      </c>
      <c r="AS37" s="55">
        <f>IF(D37="HUECO",0,IF(AQ37&lt;0,0,MAX(1,CEILING(AQ37/INDEX(TABLAS!$D$52:$D$58,MATCH(AR37,TABLAS!$B$52:$B$58,0)),1))))</f>
        <v>0</v>
      </c>
      <c r="AT37" s="34">
        <f>IF(AS37=0,0,DATOS!$C$45*AS37*INDEX(TABLAS!$D$52:$D$58,MATCH(AR37,TABLAS!$B$52:$B$58,0))*DATOS!$C$32*((DATOS!$C$15-DATOS!$C$18-INDEX(TABLAS!$C$52:$C$58,MATCH(DATOS!$C$19,TABLAS!$B$52:$B$58,0))-INDEX(TABLAS!$C$52:$C$58,MATCH(AR37,TABLAS!$B$52:$B$58,0))/2)-AS37*INDEX(TABLAS!$D$52:$D$58,MATCH(AR37,TABLAS!$B$52:$B$58,0))*DATOS!$C$32/(DATOS!$C$38*DATOS!$C$13)/2)/1E5)</f>
        <v>0</v>
      </c>
      <c r="AU37" s="59">
        <f>IF(AQ37&lt;0,9.99,IF(AT37&gt;0,AI37/AT37,0))</f>
        <v>0</v>
      </c>
      <c r="AV37" s="41">
        <f>IF(D37="HUECO",0,IF(AJ37&lt;=0,DATOS!$C$71*DATOS!$C$13*DATOS!$C$66,IF((1-2*AJ37*1E5/(DATOS!$C$45*DATOS!$C$16*DATOS!$C$66^2*DATOS!$C$38))&lt;0,-1,MAX(DATOS!$C$71*DATOS!$C$13*DATOS!$C$66,(1-SQRT((1-2*AJ37*1E5/(DATOS!$C$45*DATOS!$C$16*DATOS!$C$66^2*DATOS!$C$38))))*DATOS!$C$38*DATOS!$C$16*DATOS!$C$66/DATOS!$C$32))))</f>
        <v>0</v>
      </c>
      <c r="AW37" s="39">
        <f>IF(AND(AV37&gt;=0,CEILING(AV37/INDEX(TABLAS!$D$52:$D$58,MIN(MATCH(DATOS!$C$20,TABLAS!$B$52:$B$58,0)+0,7)),1)&lt;=MIN(DATOS!$C$22,INT((DATOS!$C$25+DATOS!$C$24)/(INDEX(TABLAS!$C$52:$C$58,MIN(MATCH(DATOS!$C$20,TABLAS!$B$52:$B$58,0)+0,7))+DATOS!$C$24)))),INDEX(TABLAS!$B$52:$B$58,MIN(MATCH(DATOS!$C$20,TABLAS!$B$52:$B$58,0)+0,7)),IF(AND(AV37&gt;=0,CEILING(AV37/INDEX(TABLAS!$D$52:$D$58,MIN(MATCH(DATOS!$C$20,TABLAS!$B$52:$B$58,0)+1,7)),1)&lt;=MIN(DATOS!$C$22,INT((DATOS!$C$25+DATOS!$C$24)/(INDEX(TABLAS!$C$52:$C$58,MIN(MATCH(DATOS!$C$20,TABLAS!$B$52:$B$58,0)+1,7))+DATOS!$C$24)))),INDEX(TABLAS!$B$52:$B$58,MIN(MATCH(DATOS!$C$20,TABLAS!$B$52:$B$58,0)+1,7)),IF(AND(AV37&gt;=0,CEILING(AV37/INDEX(TABLAS!$D$52:$D$58,MIN(MATCH(DATOS!$C$20,TABLAS!$B$52:$B$58,0)+2,7)),1)&lt;=MIN(DATOS!$C$22,INT((DATOS!$C$25+DATOS!$C$24)/(INDEX(TABLAS!$C$52:$C$58,MIN(MATCH(DATOS!$C$20,TABLAS!$B$52:$B$58,0)+2,7))+DATOS!$C$24)))),INDEX(TABLAS!$B$52:$B$58,MIN(MATCH(DATOS!$C$20,TABLAS!$B$52:$B$58,0)+2,7)),IF(AND(AV37&gt;=0,CEILING(AV37/INDEX(TABLAS!$D$52:$D$58,MIN(MATCH(DATOS!$C$20,TABLAS!$B$52:$B$58,0)+3,7)),1)&lt;=MIN(DATOS!$C$22,INT((DATOS!$C$25+DATOS!$C$24)/(INDEX(TABLAS!$C$52:$C$58,MIN(MATCH(DATOS!$C$20,TABLAS!$B$52:$B$58,0)+3,7))+DATOS!$C$24)))),INDEX(TABLAS!$B$52:$B$58,MIN(MATCH(DATOS!$C$20,TABLAS!$B$52:$B$58,0)+3,7)),IF(AND(AV37&gt;=0,CEILING(AV37/INDEX(TABLAS!$D$52:$D$58,MIN(MATCH(DATOS!$C$20,TABLAS!$B$52:$B$58,0)+4,7)),1)&lt;=MIN(DATOS!$C$22,INT((DATOS!$C$25+DATOS!$C$24)/(INDEX(TABLAS!$C$52:$C$58,MIN(MATCH(DATOS!$C$20,TABLAS!$B$52:$B$58,0)+4,7))+DATOS!$C$24)))),INDEX(TABLAS!$B$52:$B$58,MIN(MATCH(DATOS!$C$20,TABLAS!$B$52:$B$58,0)+4,7)),INDEX(TABLAS!$B$52:$B$58,7))))))</f>
        <v>3</v>
      </c>
      <c r="AX37" s="55">
        <f>IF(D37="HUECO",0,IF(AV37&lt;0,0,MAX(DATOS!$C$23,CEILING(AV37/INDEX(TABLAS!$D$52:$D$58,MATCH(AW37,TABLAS!$B$52:$B$58,0)),1))))</f>
        <v>0</v>
      </c>
      <c r="AY37" s="34">
        <f>IF(AX37=0,0,DATOS!$C$45*AX37*INDEX(TABLAS!$D$52:$D$58,MATCH(AW37,TABLAS!$B$52:$B$58,0))*DATOS!$C$32*((DATOS!$C$15-DATOS!$C$18-INDEX(TABLAS!$C$52:$C$58,MATCH(DATOS!$C$19,TABLAS!$B$52:$B$58,0))-INDEX(TABLAS!$C$52:$C$58,MATCH(AW37,TABLAS!$B$52:$B$58,0))/2)-AX37*INDEX(TABLAS!$D$52:$D$58,MATCH(AW37,TABLAS!$B$52:$B$58,0))*DATOS!$C$32/(DATOS!$C$38*DATOS!$C$16)/2)/1E5)</f>
        <v>0</v>
      </c>
      <c r="AZ37" s="59">
        <f>IF(AV37&lt;0,9.99,IF(AY37&gt;0,AJ37/AY37,0))</f>
        <v>0</v>
      </c>
      <c r="BA37" s="41">
        <f>IF(D37="HUECO",0,IF(AK37&lt;=0,DATOS!$C$71*DATOS!$C$13*DATOS!$C$67,IF((1-2*AK37*1E5/(DATOS!$C$45*DATOS!$C$13*DATOS!$C$67^2*DATOS!$C$38))&lt;0,-1,IF((1-SQRT((1-2*AK37*1E5/(DATOS!$C$45*DATOS!$C$13*DATOS!$C$67^2*DATOS!$C$38))))*DATOS!$C$38*DATOS!$C$13*DATOS!$C$67/DATOS!$C$32&gt;DATOS!$C$70*DATOS!$C$13*DATOS!$C$67,-1,MAX(DATOS!$C$71*DATOS!$C$13*DATOS!$C$67,(1-SQRT((1-2*AK37*1E5/(DATOS!$C$45*DATOS!$C$13*DATOS!$C$67^2*DATOS!$C$38))))*DATOS!$C$38*DATOS!$C$13*DATOS!$C$67/DATOS!$C$32)))))</f>
        <v>0</v>
      </c>
      <c r="BB37" s="39">
        <f>IF(AND(BA37&gt;=0,CEILING(BA37/INDEX(TABLAS!$D$52:$D$58,MIN(MATCH(DATOS!$C$21,TABLAS!$B$52:$B$58,0)+0,7)),1)&lt;=MIN(DATOS!$C$22,INT((DATOS!$C$25+DATOS!$C$24)/(INDEX(TABLAS!$C$52:$C$58,MIN(MATCH(DATOS!$C$21,TABLAS!$B$52:$B$58,0)+0,7))+DATOS!$C$24)))),INDEX(TABLAS!$B$52:$B$58,MIN(MATCH(DATOS!$C$21,TABLAS!$B$52:$B$58,0)+0,7)),IF(AND(BA37&gt;=0,CEILING(BA37/INDEX(TABLAS!$D$52:$D$58,MIN(MATCH(DATOS!$C$21,TABLAS!$B$52:$B$58,0)+1,7)),1)&lt;=MIN(DATOS!$C$22,INT((DATOS!$C$25+DATOS!$C$24)/(INDEX(TABLAS!$C$52:$C$58,MIN(MATCH(DATOS!$C$21,TABLAS!$B$52:$B$58,0)+1,7))+DATOS!$C$24)))),INDEX(TABLAS!$B$52:$B$58,MIN(MATCH(DATOS!$C$21,TABLAS!$B$52:$B$58,0)+1,7)),IF(AND(BA37&gt;=0,CEILING(BA37/INDEX(TABLAS!$D$52:$D$58,MIN(MATCH(DATOS!$C$21,TABLAS!$B$52:$B$58,0)+2,7)),1)&lt;=MIN(DATOS!$C$22,INT((DATOS!$C$25+DATOS!$C$24)/(INDEX(TABLAS!$C$52:$C$58,MIN(MATCH(DATOS!$C$21,TABLAS!$B$52:$B$58,0)+2,7))+DATOS!$C$24)))),INDEX(TABLAS!$B$52:$B$58,MIN(MATCH(DATOS!$C$21,TABLAS!$B$52:$B$58,0)+2,7)),IF(AND(BA37&gt;=0,CEILING(BA37/INDEX(TABLAS!$D$52:$D$58,MIN(MATCH(DATOS!$C$21,TABLAS!$B$52:$B$58,0)+3,7)),1)&lt;=MIN(DATOS!$C$22,INT((DATOS!$C$25+DATOS!$C$24)/(INDEX(TABLAS!$C$52:$C$58,MIN(MATCH(DATOS!$C$21,TABLAS!$B$52:$B$58,0)+3,7))+DATOS!$C$24)))),INDEX(TABLAS!$B$52:$B$58,MIN(MATCH(DATOS!$C$21,TABLAS!$B$52:$B$58,0)+3,7)),IF(AND(BA37&gt;=0,CEILING(BA37/INDEX(TABLAS!$D$52:$D$58,MIN(MATCH(DATOS!$C$21,TABLAS!$B$52:$B$58,0)+4,7)),1)&lt;=MIN(DATOS!$C$22,INT((DATOS!$C$25+DATOS!$C$24)/(INDEX(TABLAS!$C$52:$C$58,MIN(MATCH(DATOS!$C$21,TABLAS!$B$52:$B$58,0)+4,7))+DATOS!$C$24)))),INDEX(TABLAS!$B$52:$B$58,MIN(MATCH(DATOS!$C$21,TABLAS!$B$52:$B$58,0)+4,7)),INDEX(TABLAS!$B$52:$B$58,7))))))</f>
        <v>3</v>
      </c>
      <c r="BC37" s="55">
        <f>IF(D37="HUECO",0,IF(BA37&lt;0,0,MAX(1,CEILING(BA37/INDEX(TABLAS!$D$52:$D$58,MATCH(BB37,TABLAS!$B$52:$B$58,0)),1))))</f>
        <v>0</v>
      </c>
      <c r="BD37" s="34">
        <f>IF(BC37=0,0,DATOS!$C$45*BC37*INDEX(TABLAS!$D$52:$D$58,MATCH(BB37,TABLAS!$B$52:$B$58,0))*DATOS!$C$32*((DATOS!$C$15-DATOS!$C$18-INDEX(TABLAS!$C$52:$C$58,MATCH(DATOS!$C$19,TABLAS!$B$52:$B$58,0))-INDEX(TABLAS!$C$52:$C$58,MATCH(BB37,TABLAS!$B$52:$B$58,0))/2)-BC37*INDEX(TABLAS!$D$52:$D$58,MATCH(BB37,TABLAS!$B$52:$B$58,0))*DATOS!$C$32/(DATOS!$C$38*DATOS!$C$13)/2)/1E5)</f>
        <v>0</v>
      </c>
      <c r="BE37" s="59">
        <f>IF(BA37&lt;0,9.99,IF(BD37&gt;0,AK37/BD37,0))</f>
        <v>0</v>
      </c>
      <c r="BF37" s="34">
        <f>IF(D37="PERIMETRAL",MAX(0,(J37/2-DATOS!$C$66/100))*(0.95-0.5*L37)*R37*IF(AND(S37&gt;0,S37&lt;4),DATOS!$C$50,1)*DATOS!$C$16/100/1000,IF(D37="VOLADO",(R37*J37+DATOS!$C$43*AG37)*DATOS!$C$16/100/1000,0))</f>
        <v>0</v>
      </c>
      <c r="BG37" s="34">
        <f>IF(D37="HUECO",0,DATOS!$C$46*IF((AS37*INDEX(TABLAS!$D$52:$D$58,MATCH(AR37,TABLAS!$B$52:$B$58,0))/(DATOS!$C$13*DATOS!$C$67))&lt;0.015,0.2+20*(AS37*INDEX(TABLAS!$D$52:$D$58,MATCH(AR37,TABLAS!$B$52:$B$58,0))/(DATOS!$C$13*DATOS!$C$67)),0.5)*SQRT(DATOS!$C$31)*DATOS!$C$13*DATOS!$C$67*DATOS!$C$49/1000)</f>
        <v>0</v>
      </c>
      <c r="BH37" s="49" t="str">
        <f>IF(D37="HUECO","—",IF(BF37&lt;=BG37,"CUMPLE","MACIZAR "&amp;MAX(1,CEILING(IF(D37="VOLADO",J37,J37/2)*(1-BG37/BF37)*100/DATOS!$C$16,1))&amp;" hilera(s)"))</f>
        <v>—</v>
      </c>
      <c r="BI37" s="41">
        <f>IF(D37="PERIMETRAL",(2*(H37+I37)+0.25*(H37*((APOYOS!$G$141="DISCONTINUO")+(APOYOS!$G$142="DISCONTINUO"))+I37*((APOYOS!$G$143="DISCONTINUO")+(APOYOS!$G$144="DISCONTINUO"))))*(J37+MIN(K37,2*J37))/(J37+K37)*100/250*IF(OR(DATOS!$C$47&gt;2520,Q37&gt;380),0.032*(DATOS!$C$47*Q37)^0.25,1),IF(D37="VOLADO",J37*100/8,0))</f>
        <v>0</v>
      </c>
      <c r="BJ37" s="41">
        <f>IF(D37="VOLADO",DATOS!$C$15,DATOS!$C$68)</f>
        <v>13.6082564120244</v>
      </c>
      <c r="BK37" s="50" t="str">
        <f>IF(D37="HUECO","—",IF(BJ37&gt;=BI37,"CUMPLE","NO CUMPLE"))</f>
        <v>—</v>
      </c>
      <c r="BL37" s="50" t="str">
        <f>IF(D37="PERIMETRAL",IF(DATOS!$C$16/100&lt;=J37/6,"SÍ","NO: a1 &lt; 6·s"),"—")</f>
        <v>—</v>
      </c>
      <c r="BM37" s="55">
        <f>MAX(0,INT((F37*100-DATOS!$C$17+DATOS!$C$13)/DATOS!$C$16))</f>
        <v>4</v>
      </c>
      <c r="BN37" s="55">
        <f>MAX(0,INT((G37*100-DATOS!$C$17+DATOS!$C$13)/DATOS!$C$16))</f>
        <v>0</v>
      </c>
      <c r="BO37" s="49" t="str">
        <f>IF(COUNTIFS(TRIB!$C$6:$C$255,B37,TRIB!$K$6:$K$255,"NO CUMPLE*")+COUNTIFS(TRIB!$C$6:$C$255,B37,TRIB!$K$6:$K$255,"SIN APOYO*")&gt;0,"VER PRINCIPALES",IF((APOYOS!$F$141="LIBRE")+(APOYOS!$F$142="LIBRE")+(APOYOS!$F$143="LIBRE")+(APOYOS!$F$144="LIBRE")&gt;0,"REVISAR: borde libre","OK"))</f>
        <v>OK</v>
      </c>
      <c r="BP37" s="60" t="str">
        <f>IF(D37="HUECO","HUECO — marco de nervaduras principales",IF(AND(MAX(AP37,AU37,AZ37,BE37)&lt;=1,NOT(OR(AN37&gt;MIN(DATOS!$C$22,INT((DATOS!$C$25+DATOS!$C$24)/(INDEX(TABLAS!$C$52:$C$58,MATCH(AM37,TABLAS!$B$52:$B$58,0))+DATOS!$C$24))),AS37&gt;MIN(DATOS!$C$22,INT((DATOS!$C$25+DATOS!$C$24)/(INDEX(TABLAS!$C$52:$C$58,MATCH(AR37,TABLAS!$B$52:$B$58,0))+DATOS!$C$24))),AX37&gt;MIN(DATOS!$C$22,INT((DATOS!$C$25+DATOS!$C$24)/(INDEX(TABLAS!$C$52:$C$58,MATCH(AW37,TABLAS!$B$52:$B$58,0))+DATOS!$C$24))),BC37&gt;MIN(DATOS!$C$22,INT((DATOS!$C$25+DATOS!$C$24)/(INDEX(TABLAS!$C$52:$C$58,MATCH(BB37,TABLAS!$B$52:$B$58,0))+DATOS!$C$24))))),BK37="CUMPLE"),IF(BO37="OK",IF(BH37="CUMPLE","CUMPLE","CUMPLE — "&amp;BH37),IF(BO37="VER PRINCIPALES","VER PRINCIPALES","REVISAR APOYOS")),"NO CUMPLE: "&amp;IF(MAX(AP37,AU37,AZ37,BE37)&gt;1,"flexión ","")&amp;IF(OR(AN37&gt;MIN(DATOS!$C$22,INT((DATOS!$C$25+DATOS!$C$24)/(INDEX(TABLAS!$C$52:$C$58,MATCH(AM37,TABLAS!$B$52:$B$58,0))+DATOS!$C$24))),AS37&gt;MIN(DATOS!$C$22,INT((DATOS!$C$25+DATOS!$C$24)/(INDEX(TABLAS!$C$52:$C$58,MATCH(AR37,TABLAS!$B$52:$B$58,0))+DATOS!$C$24))),AX37&gt;MIN(DATOS!$C$22,INT((DATOS!$C$25+DATOS!$C$24)/(INDEX(TABLAS!$C$52:$C$58,MATCH(AW37,TABLAS!$B$52:$B$58,0))+DATOS!$C$24))),BC37&gt;MIN(DATOS!$C$22,INT((DATOS!$C$25+DATOS!$C$24)/(INDEX(TABLAS!$C$52:$C$58,MATCH(BB37,TABLAS!$B$52:$B$58,0))+DATOS!$C$24)))),"no caben ","")&amp;IF(BK37&lt;&gt;"CUMPLE","peralte","")))</f>
        <v>HUECO — marco de nervaduras principales</v>
      </c>
      <c r="BQ37" s="61" t="inlineStr">
        <is>
          <t>Tragaluz de 0.30 m: casi todo el tablero es hueco (quedan 0.53 m² de losa). No cabe un casetón en el claro corto: el tablero se cuela MACIZO.</t>
        </is>
      </c>
    </row>
    <row r="38" ht="30" customHeight="1">
      <c r="B38" s="49" t="inlineStr">
        <is>
          <t>F80030 N+6.00</t>
        </is>
      </c>
      <c r="C38" s="50" t="inlineStr">
        <is>
          <t>N+6.00</t>
        </is>
      </c>
      <c r="D38" s="51" t="inlineStr">
        <is>
          <t>PERIMETRAL</t>
        </is>
      </c>
      <c r="E38" s="51" t="inlineStr">
        <is>
          <t>AZOTEA</t>
        </is>
      </c>
      <c r="F38" s="52" t="n">
        <v>4.426</v>
      </c>
      <c r="G38" s="52" t="n">
        <v>4</v>
      </c>
      <c r="H38" s="53" t="n">
        <v>4.426</v>
      </c>
      <c r="I38" s="53" t="n">
        <v>4</v>
      </c>
      <c r="J38" s="34">
        <f>MIN(H38,I38)</f>
        <v>4</v>
      </c>
      <c r="K38" s="34">
        <f>MAX(H38,I38)</f>
        <v>4.426</v>
      </c>
      <c r="L38" s="34">
        <f>IF(K38&gt;0,J38/K38,0)</f>
        <v>0.903750564844103</v>
      </c>
      <c r="M38" s="50" t="str">
        <f>IF(H38&lt;=I38,"X","Y")</f>
        <v>Y</v>
      </c>
      <c r="N38" s="54" t="n">
        <v>310</v>
      </c>
      <c r="O38" s="55">
        <f>IF(E38="HABITACIÓN",DATOS!$C$76,DATOS!$C$78)</f>
        <v>100</v>
      </c>
      <c r="P38" s="55">
        <f>DATOS!$C$58</f>
        <v>253.673469387755</v>
      </c>
      <c r="Q38" s="55">
        <f>P38+N38+O38</f>
        <v>663.673469387755</v>
      </c>
      <c r="R38" s="56">
        <f>DATOS!$C$43*(P38+N38)+DATOS!$C$44*O38</f>
        <v>882.775510204082</v>
      </c>
      <c r="S38" s="55">
        <f>(APOYOS!$G$145="DISCONTINUO")+(APOYOS!$G$146="DISCONTINUO")+(APOYOS!$G$147="DISCONTINUO")+(APOYOS!$G$148="DISCONTINUO")</f>
        <v>3</v>
      </c>
      <c r="T38" s="55">
        <f>IF(M38="X",(APOYOS!$G$145="DISCONTINUO")+(APOYOS!$G$146="DISCONTINUO"),(APOYOS!$G$147="DISCONTINUO")+(APOYOS!$G$148="DISCONTINUO"))</f>
        <v>1</v>
      </c>
      <c r="U38" s="55">
        <f>S38-T38</f>
        <v>2</v>
      </c>
      <c r="V38" s="50" t="str">
        <f>IF(S38=0,"INTERIOR",IF(S38=1,IF(T38=1,"BORDE-CORTO","BORDE-LARGO"),IF(S38=2,IF(T38=1,"ESQUINA",IF(T38=2,"EXTREMO-LARGO","EXTREMO-CORTO")),IF(S38=3,IF(T38=2,"EXTREMO-LARGO","EXTREMO-CORTO"),"AISLADO"))))</f>
        <v>EXTREMO-CORTO</v>
      </c>
      <c r="W38" s="51" t="inlineStr">
        <is>
          <t>AUTO</t>
        </is>
      </c>
      <c r="X38" s="57" t="str">
        <f>IF(W38="AUTO",V38,W38)</f>
        <v>EXTREMO-CORTO</v>
      </c>
      <c r="Y38" s="55">
        <f>MATCH(L38,TABLAS!$D$5:$J$5,1)</f>
        <v>6</v>
      </c>
      <c r="Z38" s="41">
        <f>IF(Y38&gt;=7,0,(L38-INDEX(TABLAS!$D$5:$J$5,Y38))/(INDEX(TABLAS!$D$5:$J$5,Y38+1)-INDEX(TABLAS!$D$5:$J$5,Y38)))</f>
        <v>0.0375056484410297</v>
      </c>
      <c r="AA38" s="55">
        <f>INDEX(TABLAS!$D$6:$J$47,MATCH(X38&amp;"|NIC",TABLAS!$B$6:$B$47,0),Y38)+Z38*(INDEX(TABLAS!$D$6:$J$47,MATCH(X38&amp;"|NIC",TABLAS!$B$6:$B$47,0),MIN(Y38+1,7))-INDEX(TABLAS!$D$6:$J$47,MATCH(X38&amp;"|NIC",TABLAS!$B$6:$B$47,0),Y38))</f>
        <v>0</v>
      </c>
      <c r="AB38" s="55">
        <f>INDEX(TABLAS!$D$6:$J$47,MATCH(X38&amp;"|NIL",TABLAS!$B$6:$B$47,0),Y38)+Z38*(INDEX(TABLAS!$D$6:$J$47,MATCH(X38&amp;"|NIL",TABLAS!$B$6:$B$47,0),MIN(Y38+1,7))-INDEX(TABLAS!$D$6:$J$47,MATCH(X38&amp;"|NIL",TABLAS!$B$6:$B$47,0),Y38))</f>
        <v>570</v>
      </c>
      <c r="AC38" s="55">
        <f>INDEX(TABLAS!$D$6:$J$47,MATCH(X38&amp;"|NDC",TABLAS!$B$6:$B$47,0),Y38)+Z38*(INDEX(TABLAS!$D$6:$J$47,MATCH(X38&amp;"|NDC",TABLAS!$B$6:$B$47,0),MIN(Y38+1,7))-INDEX(TABLAS!$D$6:$J$47,MATCH(X38&amp;"|NDC",TABLAS!$B$6:$B$47,0),Y38))</f>
        <v>268.124717577949</v>
      </c>
      <c r="AD38" s="55">
        <f>INDEX(TABLAS!$D$6:$J$47,MATCH(X38&amp;"|NDL",TABLAS!$B$6:$B$47,0),Y38)+Z38*(INDEX(TABLAS!$D$6:$J$47,MATCH(X38&amp;"|NDL",TABLAS!$B$6:$B$47,0),MIN(Y38+1,7))-INDEX(TABLAS!$D$6:$J$47,MATCH(X38&amp;"|NDL",TABLAS!$B$6:$B$47,0),Y38))</f>
        <v>220</v>
      </c>
      <c r="AE38" s="55">
        <f>INDEX(TABLAS!$D$6:$J$47,MATCH(X38&amp;"|PC",TABLAS!$B$6:$B$47,0),Y38)+Z38*(INDEX(TABLAS!$D$6:$J$47,MATCH(X38&amp;"|PC",TABLAS!$B$6:$B$47,0),MIN(Y38+1,7))-INDEX(TABLAS!$D$6:$J$47,MATCH(X38&amp;"|PC",TABLAS!$B$6:$B$47,0),Y38))</f>
        <v>535.874378671487</v>
      </c>
      <c r="AF38" s="55">
        <f>INDEX(TABLAS!$D$6:$J$47,MATCH(X38&amp;"|PL",TABLAS!$B$6:$B$47,0),Y38)+Z38*(INDEX(TABLAS!$D$6:$J$47,MATCH(X38&amp;"|PL",TABLAS!$B$6:$B$47,0),MIN(Y38+1,7))-INDEX(TABLAS!$D$6:$J$47,MATCH(X38&amp;"|PL",TABLAS!$B$6:$B$47,0),Y38))</f>
        <v>430</v>
      </c>
      <c r="AG38" s="58" t="n">
        <v>0</v>
      </c>
      <c r="AH38" s="34">
        <f>IF(D38="PERIMETRAL",AE38*R38*J38^2*1E-4*DATOS!$C$16/100/1000,0)</f>
        <v>0.529823591401459</v>
      </c>
      <c r="AI38" s="34">
        <f>IF(D38="PERIMETRAL",MAX(AA38,AC38)*R38*J38^2*1E-4*DATOS!$C$16/100/1000,IF(D38="VOLADO",(R38*J38^2/2+DATOS!$C$43*AG38*J38)*DATOS!$C$16/100/1000,0))</f>
        <v>0.265097206481183</v>
      </c>
      <c r="AJ38" s="34">
        <f>IF(D38="PERIMETRAL",AF38*R38*J38^2*1E-4*DATOS!$C$16/100/1000,0)</f>
        <v>0.425144685714286</v>
      </c>
      <c r="AK38" s="34">
        <f>IF(D38="PERIMETRAL",MAX(AB38,AD38)*R38*J38^2*1E-4*DATOS!$C$16/100/1000,0)</f>
        <v>0.563563885714286</v>
      </c>
      <c r="AL38" s="41">
        <f>IF(D38="HUECO",0,IF(AH38&lt;=0,DATOS!$C$71*DATOS!$C$13*DATOS!$C$66,IF((1-2*AH38*1E5/(DATOS!$C$45*DATOS!$C$16*DATOS!$C$66^2*DATOS!$C$38))&lt;0,-1,MAX(DATOS!$C$71*DATOS!$C$13*DATOS!$C$66,(1-SQRT((1-2*AH38*1E5/(DATOS!$C$45*DATOS!$C$16*DATOS!$C$66^2*DATOS!$C$38))))*DATOS!$C$38*DATOS!$C$16*DATOS!$C$66/DATOS!$C$32))))</f>
        <v>0.643129537025716</v>
      </c>
      <c r="AM38" s="39">
        <f>IF(AND(AL38&gt;=0,CEILING(AL38/INDEX(TABLAS!$D$52:$D$58,MIN(MATCH(DATOS!$C$20,TABLAS!$B$52:$B$58,0)+0,7)),1)&lt;=MIN(DATOS!$C$22,INT((DATOS!$C$25+DATOS!$C$24)/(INDEX(TABLAS!$C$52:$C$58,MIN(MATCH(DATOS!$C$20,TABLAS!$B$52:$B$58,0)+0,7))+DATOS!$C$24)))),INDEX(TABLAS!$B$52:$B$58,MIN(MATCH(DATOS!$C$20,TABLAS!$B$52:$B$58,0)+0,7)),IF(AND(AL38&gt;=0,CEILING(AL38/INDEX(TABLAS!$D$52:$D$58,MIN(MATCH(DATOS!$C$20,TABLAS!$B$52:$B$58,0)+1,7)),1)&lt;=MIN(DATOS!$C$22,INT((DATOS!$C$25+DATOS!$C$24)/(INDEX(TABLAS!$C$52:$C$58,MIN(MATCH(DATOS!$C$20,TABLAS!$B$52:$B$58,0)+1,7))+DATOS!$C$24)))),INDEX(TABLAS!$B$52:$B$58,MIN(MATCH(DATOS!$C$20,TABLAS!$B$52:$B$58,0)+1,7)),IF(AND(AL38&gt;=0,CEILING(AL38/INDEX(TABLAS!$D$52:$D$58,MIN(MATCH(DATOS!$C$20,TABLAS!$B$52:$B$58,0)+2,7)),1)&lt;=MIN(DATOS!$C$22,INT((DATOS!$C$25+DATOS!$C$24)/(INDEX(TABLAS!$C$52:$C$58,MIN(MATCH(DATOS!$C$20,TABLAS!$B$52:$B$58,0)+2,7))+DATOS!$C$24)))),INDEX(TABLAS!$B$52:$B$58,MIN(MATCH(DATOS!$C$20,TABLAS!$B$52:$B$58,0)+2,7)),IF(AND(AL38&gt;=0,CEILING(AL38/INDEX(TABLAS!$D$52:$D$58,MIN(MATCH(DATOS!$C$20,TABLAS!$B$52:$B$58,0)+3,7)),1)&lt;=MIN(DATOS!$C$22,INT((DATOS!$C$25+DATOS!$C$24)/(INDEX(TABLAS!$C$52:$C$58,MIN(MATCH(DATOS!$C$20,TABLAS!$B$52:$B$58,0)+3,7))+DATOS!$C$24)))),INDEX(TABLAS!$B$52:$B$58,MIN(MATCH(DATOS!$C$20,TABLAS!$B$52:$B$58,0)+3,7)),IF(AND(AL38&gt;=0,CEILING(AL38/INDEX(TABLAS!$D$52:$D$58,MIN(MATCH(DATOS!$C$20,TABLAS!$B$52:$B$58,0)+4,7)),1)&lt;=MIN(DATOS!$C$22,INT((DATOS!$C$25+DATOS!$C$24)/(INDEX(TABLAS!$C$52:$C$58,MIN(MATCH(DATOS!$C$20,TABLAS!$B$52:$B$58,0)+4,7))+DATOS!$C$24)))),INDEX(TABLAS!$B$52:$B$58,MIN(MATCH(DATOS!$C$20,TABLAS!$B$52:$B$58,0)+4,7)),INDEX(TABLAS!$B$52:$B$58,7))))))</f>
        <v>3</v>
      </c>
      <c r="AN38" s="55">
        <f>IF(D38="HUECO",0,IF(AL38&lt;0,0,MAX(DATOS!$C$23,CEILING(AL38/INDEX(TABLAS!$D$52:$D$58,MATCH(AM38,TABLAS!$B$52:$B$58,0)),1))))</f>
        <v>1</v>
      </c>
      <c r="AO38" s="34">
        <f>IF(AN38=0,0,DATOS!$C$45*AN38*INDEX(TABLAS!$D$52:$D$58,MATCH(AM38,TABLAS!$B$52:$B$58,0))*DATOS!$C$32*((DATOS!$C$15-DATOS!$C$18-INDEX(TABLAS!$C$52:$C$58,MATCH(DATOS!$C$19,TABLAS!$B$52:$B$58,0))-INDEX(TABLAS!$C$52:$C$58,MATCH(AM38,TABLAS!$B$52:$B$58,0))/2)-AN38*INDEX(TABLAS!$D$52:$D$58,MATCH(AM38,TABLAS!$B$52:$B$58,0))*DATOS!$C$32/(DATOS!$C$38*DATOS!$C$16)/2)/1E5)</f>
        <v>0.584659515176471</v>
      </c>
      <c r="AP38" s="59">
        <f>IF(AL38&lt;0,9.99,IF(AO38&gt;0,AH38/AO38,0))</f>
        <v>0.906208789301137</v>
      </c>
      <c r="AQ38" s="41">
        <f>IF(D38="HUECO",0,IF(AI38&lt;=0,DATOS!$C$71*DATOS!$C$13*DATOS!$C$67,IF((1-2*AI38*1E5/(DATOS!$C$45*DATOS!$C$13*DATOS!$C$67^2*DATOS!$C$38))&lt;0,-1,IF((1-SQRT((1-2*AI38*1E5/(DATOS!$C$45*DATOS!$C$13*DATOS!$C$67^2*DATOS!$C$38))))*DATOS!$C$38*DATOS!$C$13*DATOS!$C$67/DATOS!$C$32&gt;DATOS!$C$70*DATOS!$C$13*DATOS!$C$67,-1,MAX(DATOS!$C$71*DATOS!$C$13*DATOS!$C$67,(1-SQRT((1-2*AI38*1E5/(DATOS!$C$45*DATOS!$C$13*DATOS!$C$67^2*DATOS!$C$38))))*DATOS!$C$38*DATOS!$C$13*DATOS!$C$67/DATOS!$C$32)))))</f>
        <v>0.576720388273208</v>
      </c>
      <c r="AR38" s="39">
        <f>IF(AND(AQ38&gt;=0,CEILING(AQ38/INDEX(TABLAS!$D$52:$D$58,MIN(MATCH(DATOS!$C$21,TABLAS!$B$52:$B$58,0)+0,7)),1)&lt;=MIN(DATOS!$C$22,INT((DATOS!$C$25+DATOS!$C$24)/(INDEX(TABLAS!$C$52:$C$58,MIN(MATCH(DATOS!$C$21,TABLAS!$B$52:$B$58,0)+0,7))+DATOS!$C$24)))),INDEX(TABLAS!$B$52:$B$58,MIN(MATCH(DATOS!$C$21,TABLAS!$B$52:$B$58,0)+0,7)),IF(AND(AQ38&gt;=0,CEILING(AQ38/INDEX(TABLAS!$D$52:$D$58,MIN(MATCH(DATOS!$C$21,TABLAS!$B$52:$B$58,0)+1,7)),1)&lt;=MIN(DATOS!$C$22,INT((DATOS!$C$25+DATOS!$C$24)/(INDEX(TABLAS!$C$52:$C$58,MIN(MATCH(DATOS!$C$21,TABLAS!$B$52:$B$58,0)+1,7))+DATOS!$C$24)))),INDEX(TABLAS!$B$52:$B$58,MIN(MATCH(DATOS!$C$21,TABLAS!$B$52:$B$58,0)+1,7)),IF(AND(AQ38&gt;=0,CEILING(AQ38/INDEX(TABLAS!$D$52:$D$58,MIN(MATCH(DATOS!$C$21,TABLAS!$B$52:$B$58,0)+2,7)),1)&lt;=MIN(DATOS!$C$22,INT((DATOS!$C$25+DATOS!$C$24)/(INDEX(TABLAS!$C$52:$C$58,MIN(MATCH(DATOS!$C$21,TABLAS!$B$52:$B$58,0)+2,7))+DATOS!$C$24)))),INDEX(TABLAS!$B$52:$B$58,MIN(MATCH(DATOS!$C$21,TABLAS!$B$52:$B$58,0)+2,7)),IF(AND(AQ38&gt;=0,CEILING(AQ38/INDEX(TABLAS!$D$52:$D$58,MIN(MATCH(DATOS!$C$21,TABLAS!$B$52:$B$58,0)+3,7)),1)&lt;=MIN(DATOS!$C$22,INT((DATOS!$C$25+DATOS!$C$24)/(INDEX(TABLAS!$C$52:$C$58,MIN(MATCH(DATOS!$C$21,TABLAS!$B$52:$B$58,0)+3,7))+DATOS!$C$24)))),INDEX(TABLAS!$B$52:$B$58,MIN(MATCH(DATOS!$C$21,TABLAS!$B$52:$B$58,0)+3,7)),IF(AND(AQ38&gt;=0,CEILING(AQ38/INDEX(TABLAS!$D$52:$D$58,MIN(MATCH(DATOS!$C$21,TABLAS!$B$52:$B$58,0)+4,7)),1)&lt;=MIN(DATOS!$C$22,INT((DATOS!$C$25+DATOS!$C$24)/(INDEX(TABLAS!$C$52:$C$58,MIN(MATCH(DATOS!$C$21,TABLAS!$B$52:$B$58,0)+4,7))+DATOS!$C$24)))),INDEX(TABLAS!$B$52:$B$58,MIN(MATCH(DATOS!$C$21,TABLAS!$B$52:$B$58,0)+4,7)),INDEX(TABLAS!$B$52:$B$58,7))))))</f>
        <v>3</v>
      </c>
      <c r="AS38" s="55">
        <f>IF(D38="HUECO",0,IF(AQ38&lt;0,0,MAX(1,CEILING(AQ38/INDEX(TABLAS!$D$52:$D$58,MATCH(AR38,TABLAS!$B$52:$B$58,0)),1))))</f>
        <v>1</v>
      </c>
      <c r="AT38" s="34">
        <f>IF(AS38=0,0,DATOS!$C$45*AS38*INDEX(TABLAS!$D$52:$D$58,MATCH(AR38,TABLAS!$B$52:$B$58,0))*DATOS!$C$32*((DATOS!$C$15-DATOS!$C$18-INDEX(TABLAS!$C$52:$C$58,MATCH(DATOS!$C$19,TABLAS!$B$52:$B$58,0))-INDEX(TABLAS!$C$52:$C$58,MATCH(AR38,TABLAS!$B$52:$B$58,0))/2)-AS38*INDEX(TABLAS!$D$52:$D$58,MATCH(AR38,TABLAS!$B$52:$B$58,0))*DATOS!$C$32/(DATOS!$C$38*DATOS!$C$13)/2)/1E5)</f>
        <v>0.568518826235294</v>
      </c>
      <c r="AU38" s="59">
        <f>IF(AQ38&lt;0,9.99,IF(AT38&gt;0,AI38/AT38,0))</f>
        <v>0.466294508198865</v>
      </c>
      <c r="AV38" s="41">
        <f>IF(D38="HUECO",0,IF(AJ38&lt;=0,DATOS!$C$71*DATOS!$C$13*DATOS!$C$66,IF((1-2*AJ38*1E5/(DATOS!$C$45*DATOS!$C$16*DATOS!$C$66^2*DATOS!$C$38))&lt;0,-1,MAX(DATOS!$C$71*DATOS!$C$13*DATOS!$C$66,(1-SQRT((1-2*AJ38*1E5/(DATOS!$C$45*DATOS!$C$16*DATOS!$C$66^2*DATOS!$C$38))))*DATOS!$C$38*DATOS!$C$16*DATOS!$C$66/DATOS!$C$32))))</f>
        <v>0.576720388273208</v>
      </c>
      <c r="AW38" s="39">
        <f>IF(AND(AV38&gt;=0,CEILING(AV38/INDEX(TABLAS!$D$52:$D$58,MIN(MATCH(DATOS!$C$20,TABLAS!$B$52:$B$58,0)+0,7)),1)&lt;=MIN(DATOS!$C$22,INT((DATOS!$C$25+DATOS!$C$24)/(INDEX(TABLAS!$C$52:$C$58,MIN(MATCH(DATOS!$C$20,TABLAS!$B$52:$B$58,0)+0,7))+DATOS!$C$24)))),INDEX(TABLAS!$B$52:$B$58,MIN(MATCH(DATOS!$C$20,TABLAS!$B$52:$B$58,0)+0,7)),IF(AND(AV38&gt;=0,CEILING(AV38/INDEX(TABLAS!$D$52:$D$58,MIN(MATCH(DATOS!$C$20,TABLAS!$B$52:$B$58,0)+1,7)),1)&lt;=MIN(DATOS!$C$22,INT((DATOS!$C$25+DATOS!$C$24)/(INDEX(TABLAS!$C$52:$C$58,MIN(MATCH(DATOS!$C$20,TABLAS!$B$52:$B$58,0)+1,7))+DATOS!$C$24)))),INDEX(TABLAS!$B$52:$B$58,MIN(MATCH(DATOS!$C$20,TABLAS!$B$52:$B$58,0)+1,7)),IF(AND(AV38&gt;=0,CEILING(AV38/INDEX(TABLAS!$D$52:$D$58,MIN(MATCH(DATOS!$C$20,TABLAS!$B$52:$B$58,0)+2,7)),1)&lt;=MIN(DATOS!$C$22,INT((DATOS!$C$25+DATOS!$C$24)/(INDEX(TABLAS!$C$52:$C$58,MIN(MATCH(DATOS!$C$20,TABLAS!$B$52:$B$58,0)+2,7))+DATOS!$C$24)))),INDEX(TABLAS!$B$52:$B$58,MIN(MATCH(DATOS!$C$20,TABLAS!$B$52:$B$58,0)+2,7)),IF(AND(AV38&gt;=0,CEILING(AV38/INDEX(TABLAS!$D$52:$D$58,MIN(MATCH(DATOS!$C$20,TABLAS!$B$52:$B$58,0)+3,7)),1)&lt;=MIN(DATOS!$C$22,INT((DATOS!$C$25+DATOS!$C$24)/(INDEX(TABLAS!$C$52:$C$58,MIN(MATCH(DATOS!$C$20,TABLAS!$B$52:$B$58,0)+3,7))+DATOS!$C$24)))),INDEX(TABLAS!$B$52:$B$58,MIN(MATCH(DATOS!$C$20,TABLAS!$B$52:$B$58,0)+3,7)),IF(AND(AV38&gt;=0,CEILING(AV38/INDEX(TABLAS!$D$52:$D$58,MIN(MATCH(DATOS!$C$20,TABLAS!$B$52:$B$58,0)+4,7)),1)&lt;=MIN(DATOS!$C$22,INT((DATOS!$C$25+DATOS!$C$24)/(INDEX(TABLAS!$C$52:$C$58,MIN(MATCH(DATOS!$C$20,TABLAS!$B$52:$B$58,0)+4,7))+DATOS!$C$24)))),INDEX(TABLAS!$B$52:$B$58,MIN(MATCH(DATOS!$C$20,TABLAS!$B$52:$B$58,0)+4,7)),INDEX(TABLAS!$B$52:$B$58,7))))))</f>
        <v>3</v>
      </c>
      <c r="AX38" s="55">
        <f>IF(D38="HUECO",0,IF(AV38&lt;0,0,MAX(DATOS!$C$23,CEILING(AV38/INDEX(TABLAS!$D$52:$D$58,MATCH(AW38,TABLAS!$B$52:$B$58,0)),1))))</f>
        <v>1</v>
      </c>
      <c r="AY38" s="34">
        <f>IF(AX38=0,0,DATOS!$C$45*AX38*INDEX(TABLAS!$D$52:$D$58,MATCH(AW38,TABLAS!$B$52:$B$58,0))*DATOS!$C$32*((DATOS!$C$15-DATOS!$C$18-INDEX(TABLAS!$C$52:$C$58,MATCH(DATOS!$C$19,TABLAS!$B$52:$B$58,0))-INDEX(TABLAS!$C$52:$C$58,MATCH(AW38,TABLAS!$B$52:$B$58,0))/2)-AX38*INDEX(TABLAS!$D$52:$D$58,MATCH(AW38,TABLAS!$B$52:$B$58,0))*DATOS!$C$32/(DATOS!$C$38*DATOS!$C$16)/2)/1E5)</f>
        <v>0.584659515176471</v>
      </c>
      <c r="AZ38" s="59">
        <f>IF(AV38&lt;0,9.99,IF(AY38&gt;0,AJ38/AY38,0))</f>
        <v>0.727166281704938</v>
      </c>
      <c r="BA38" s="41">
        <f>IF(D38="HUECO",0,IF(AK38&lt;=0,DATOS!$C$71*DATOS!$C$13*DATOS!$C$67,IF((1-2*AK38*1E5/(DATOS!$C$45*DATOS!$C$13*DATOS!$C$67^2*DATOS!$C$38))&lt;0,-1,IF((1-SQRT((1-2*AK38*1E5/(DATOS!$C$45*DATOS!$C$13*DATOS!$C$67^2*DATOS!$C$38))))*DATOS!$C$38*DATOS!$C$13*DATOS!$C$67/DATOS!$C$32&gt;DATOS!$C$70*DATOS!$C$13*DATOS!$C$67,-1,MAX(DATOS!$C$71*DATOS!$C$13*DATOS!$C$67,(1-SQRT((1-2*AK38*1E5/(DATOS!$C$45*DATOS!$C$13*DATOS!$C$67^2*DATOS!$C$38))))*DATOS!$C$38*DATOS!$C$13*DATOS!$C$67/DATOS!$C$32)))))</f>
        <v>0.703601967039294</v>
      </c>
      <c r="BB38" s="39">
        <f>IF(AND(BA38&gt;=0,CEILING(BA38/INDEX(TABLAS!$D$52:$D$58,MIN(MATCH(DATOS!$C$21,TABLAS!$B$52:$B$58,0)+0,7)),1)&lt;=MIN(DATOS!$C$22,INT((DATOS!$C$25+DATOS!$C$24)/(INDEX(TABLAS!$C$52:$C$58,MIN(MATCH(DATOS!$C$21,TABLAS!$B$52:$B$58,0)+0,7))+DATOS!$C$24)))),INDEX(TABLAS!$B$52:$B$58,MIN(MATCH(DATOS!$C$21,TABLAS!$B$52:$B$58,0)+0,7)),IF(AND(BA38&gt;=0,CEILING(BA38/INDEX(TABLAS!$D$52:$D$58,MIN(MATCH(DATOS!$C$21,TABLAS!$B$52:$B$58,0)+1,7)),1)&lt;=MIN(DATOS!$C$22,INT((DATOS!$C$25+DATOS!$C$24)/(INDEX(TABLAS!$C$52:$C$58,MIN(MATCH(DATOS!$C$21,TABLAS!$B$52:$B$58,0)+1,7))+DATOS!$C$24)))),INDEX(TABLAS!$B$52:$B$58,MIN(MATCH(DATOS!$C$21,TABLAS!$B$52:$B$58,0)+1,7)),IF(AND(BA38&gt;=0,CEILING(BA38/INDEX(TABLAS!$D$52:$D$58,MIN(MATCH(DATOS!$C$21,TABLAS!$B$52:$B$58,0)+2,7)),1)&lt;=MIN(DATOS!$C$22,INT((DATOS!$C$25+DATOS!$C$24)/(INDEX(TABLAS!$C$52:$C$58,MIN(MATCH(DATOS!$C$21,TABLAS!$B$52:$B$58,0)+2,7))+DATOS!$C$24)))),INDEX(TABLAS!$B$52:$B$58,MIN(MATCH(DATOS!$C$21,TABLAS!$B$52:$B$58,0)+2,7)),IF(AND(BA38&gt;=0,CEILING(BA38/INDEX(TABLAS!$D$52:$D$58,MIN(MATCH(DATOS!$C$21,TABLAS!$B$52:$B$58,0)+3,7)),1)&lt;=MIN(DATOS!$C$22,INT((DATOS!$C$25+DATOS!$C$24)/(INDEX(TABLAS!$C$52:$C$58,MIN(MATCH(DATOS!$C$21,TABLAS!$B$52:$B$58,0)+3,7))+DATOS!$C$24)))),INDEX(TABLAS!$B$52:$B$58,MIN(MATCH(DATOS!$C$21,TABLAS!$B$52:$B$58,0)+3,7)),IF(AND(BA38&gt;=0,CEILING(BA38/INDEX(TABLAS!$D$52:$D$58,MIN(MATCH(DATOS!$C$21,TABLAS!$B$52:$B$58,0)+4,7)),1)&lt;=MIN(DATOS!$C$22,INT((DATOS!$C$25+DATOS!$C$24)/(INDEX(TABLAS!$C$52:$C$58,MIN(MATCH(DATOS!$C$21,TABLAS!$B$52:$B$58,0)+4,7))+DATOS!$C$24)))),INDEX(TABLAS!$B$52:$B$58,MIN(MATCH(DATOS!$C$21,TABLAS!$B$52:$B$58,0)+4,7)),INDEX(TABLAS!$B$52:$B$58,7))))))</f>
        <v>3</v>
      </c>
      <c r="BC38" s="55">
        <f>IF(D38="HUECO",0,IF(BA38&lt;0,0,MAX(1,CEILING(BA38/INDEX(TABLAS!$D$52:$D$58,MATCH(BB38,TABLAS!$B$52:$B$58,0)),1))))</f>
        <v>1</v>
      </c>
      <c r="BD38" s="34">
        <f>IF(BC38=0,0,DATOS!$C$45*BC38*INDEX(TABLAS!$D$52:$D$58,MATCH(BB38,TABLAS!$B$52:$B$58,0))*DATOS!$C$32*((DATOS!$C$15-DATOS!$C$18-INDEX(TABLAS!$C$52:$C$58,MATCH(DATOS!$C$19,TABLAS!$B$52:$B$58,0))-INDEX(TABLAS!$C$52:$C$58,MATCH(BB38,TABLAS!$B$52:$B$58,0))/2)-BC38*INDEX(TABLAS!$D$52:$D$58,MATCH(BB38,TABLAS!$B$52:$B$58,0))*DATOS!$C$32/(DATOS!$C$38*DATOS!$C$13)/2)/1E5)</f>
        <v>0.568518826235294</v>
      </c>
      <c r="BE38" s="59">
        <f>IF(BA38&lt;0,9.99,IF(BD38&gt;0,AK38/BD38,0))</f>
        <v>0.991284474159247</v>
      </c>
      <c r="BF38" s="34">
        <f>IF(D38="PERIMETRAL",MAX(0,(J38/2-DATOS!$C$66/100))*(0.95-0.5*L38)*R38*IF(AND(S38&gt;0,S38&lt;4),DATOS!$C$50,1)*DATOS!$C$16/100/1000,IF(D38="VOLADO",(R38*J38+DATOS!$C$43*AG38)*DATOS!$C$16/100/1000,0))</f>
        <v>0.630499497291595</v>
      </c>
      <c r="BG38" s="34">
        <f>IF(D38="HUECO",0,DATOS!$C$46*IF((AS38*INDEX(TABLAS!$D$52:$D$58,MATCH(AR38,TABLAS!$B$52:$B$58,0))/(DATOS!$C$13*DATOS!$C$67))&lt;0.015,0.2+20*(AS38*INDEX(TABLAS!$D$52:$D$58,MATCH(AR38,TABLAS!$B$52:$B$58,0))/(DATOS!$C$13*DATOS!$C$67)),0.5)*SQRT(DATOS!$C$31)*DATOS!$C$13*DATOS!$C$67*DATOS!$C$49/1000)</f>
        <v>0.687439634849853</v>
      </c>
      <c r="BH38" s="49" t="str">
        <f>IF(D38="HUECO","—",IF(BF38&lt;=BG38,"CUMPLE","MACIZAR "&amp;MAX(1,CEILING(IF(D38="VOLADO",J38,J38/2)*(1-BG38/BF38)*100/DATOS!$C$16,1))&amp;" hilera(s)"))</f>
        <v>CUMPLE</v>
      </c>
      <c r="BI38" s="41">
        <f>IF(D38="PERIMETRAL",(2*(H38+I38)+0.25*(H38*((APOYOS!$G$145="DISCONTINUO")+(APOYOS!$G$146="DISCONTINUO"))+I38*((APOYOS!$G$147="DISCONTINUO")+(APOYOS!$G$148="DISCONTINUO"))))*(J38+MIN(K38,2*J38))/(J38+K38)*100/250*IF(OR(DATOS!$C$47&gt;2520,Q38&gt;380),0.032*(DATOS!$C$47*Q38)^0.25,1),IF(D38="VOLADO",J38*100/8,0))</f>
        <v>9.23608419284313</v>
      </c>
      <c r="BJ38" s="41">
        <f>IF(D38="VOLADO",DATOS!$C$15,DATOS!$C$68)</f>
        <v>13.6082564120244</v>
      </c>
      <c r="BK38" s="50" t="str">
        <f>IF(D38="HUECO","—",IF(BJ38&gt;=BI38,"CUMPLE","NO CUMPLE"))</f>
        <v>CUMPLE</v>
      </c>
      <c r="BL38" s="50" t="str">
        <f>IF(D38="PERIMETRAL",IF(DATOS!$C$16/100&lt;=J38/6,"SÍ","NO: a1 &lt; 6·s"),"—")</f>
        <v>NO: a1 &lt; 6·s</v>
      </c>
      <c r="BM38" s="55">
        <f>MAX(0,INT((F38*100-DATOS!$C$17+DATOS!$C$13)/DATOS!$C$16))</f>
        <v>6</v>
      </c>
      <c r="BN38" s="55">
        <f>MAX(0,INT((G38*100-DATOS!$C$17+DATOS!$C$13)/DATOS!$C$16))</f>
        <v>5</v>
      </c>
      <c r="BO38" s="49" t="str">
        <f>IF(COUNTIFS(TRIB!$C$6:$C$255,B38,TRIB!$K$6:$K$255,"NO CUMPLE*")+COUNTIFS(TRIB!$C$6:$C$255,B38,TRIB!$K$6:$K$255,"SIN APOYO*")&gt;0,"VER PRINCIPALES",IF((APOYOS!$F$145="LIBRE")+(APOYOS!$F$146="LIBRE")+(APOYOS!$F$147="LIBRE")+(APOYOS!$F$148="LIBRE")&gt;0,"REVISAR: borde libre","OK"))</f>
        <v>OK</v>
      </c>
      <c r="BP38" s="60" t="str">
        <f>IF(D38="HUECO","HUECO — marco de nervaduras principales",IF(AND(MAX(AP38,AU38,AZ38,BE38)&lt;=1,NOT(OR(AN38&gt;MIN(DATOS!$C$22,INT((DATOS!$C$25+DATOS!$C$24)/(INDEX(TABLAS!$C$52:$C$58,MATCH(AM38,TABLAS!$B$52:$B$58,0))+DATOS!$C$24))),AS38&gt;MIN(DATOS!$C$22,INT((DATOS!$C$25+DATOS!$C$24)/(INDEX(TABLAS!$C$52:$C$58,MATCH(AR38,TABLAS!$B$52:$B$58,0))+DATOS!$C$24))),AX38&gt;MIN(DATOS!$C$22,INT((DATOS!$C$25+DATOS!$C$24)/(INDEX(TABLAS!$C$52:$C$58,MATCH(AW38,TABLAS!$B$52:$B$58,0))+DATOS!$C$24))),BC38&gt;MIN(DATOS!$C$22,INT((DATOS!$C$25+DATOS!$C$24)/(INDEX(TABLAS!$C$52:$C$58,MATCH(BB38,TABLAS!$B$52:$B$58,0))+DATOS!$C$24))))),BK38="CUMPLE"),IF(BO38="OK",IF(BH38="CUMPLE","CUMPLE","CUMPLE — "&amp;BH38),IF(BO38="VER PRINCIPALES","VER PRINCIPALES","REVISAR APOYOS")),"NO CUMPLE: "&amp;IF(MAX(AP38,AU38,AZ38,BE38)&gt;1,"flexión ","")&amp;IF(OR(AN38&gt;MIN(DATOS!$C$22,INT((DATOS!$C$25+DATOS!$C$24)/(INDEX(TABLAS!$C$52:$C$58,MATCH(AM38,TABLAS!$B$52:$B$58,0))+DATOS!$C$24))),AS38&gt;MIN(DATOS!$C$22,INT((DATOS!$C$25+DATOS!$C$24)/(INDEX(TABLAS!$C$52:$C$58,MATCH(AR38,TABLAS!$B$52:$B$58,0))+DATOS!$C$24))),AX38&gt;MIN(DATOS!$C$22,INT((DATOS!$C$25+DATOS!$C$24)/(INDEX(TABLAS!$C$52:$C$58,MATCH(AW38,TABLAS!$B$52:$B$58,0))+DATOS!$C$24))),BC38&gt;MIN(DATOS!$C$22,INT((DATOS!$C$25+DATOS!$C$24)/(INDEX(TABLAS!$C$52:$C$58,MATCH(BB38,TABLAS!$B$52:$B$58,0))+DATOS!$C$24)))),"no caben ","")&amp;IF(BK38&lt;&gt;"CUMPLE","peralte","")))</f>
        <v>CUMPLE</v>
      </c>
      <c r="BQ38" s="61" t="inlineStr">
        <is>
          <t>—</t>
        </is>
      </c>
    </row>
    <row r="39" ht="30" customHeight="1">
      <c r="B39" s="49" t="inlineStr">
        <is>
          <t>F80031 N+6.00</t>
        </is>
      </c>
      <c r="C39" s="50" t="inlineStr">
        <is>
          <t>N+6.00</t>
        </is>
      </c>
      <c r="D39" s="51" t="inlineStr">
        <is>
          <t>PERIMETRAL</t>
        </is>
      </c>
      <c r="E39" s="51" t="inlineStr">
        <is>
          <t>AZOTEA</t>
        </is>
      </c>
      <c r="F39" s="52" t="n">
        <v>4.424</v>
      </c>
      <c r="G39" s="52" t="n">
        <v>4</v>
      </c>
      <c r="H39" s="53" t="n">
        <v>4.424</v>
      </c>
      <c r="I39" s="53" t="n">
        <v>4</v>
      </c>
      <c r="J39" s="34">
        <f>MIN(H39,I39)</f>
        <v>4</v>
      </c>
      <c r="K39" s="34">
        <f>MAX(H39,I39)</f>
        <v>4.424</v>
      </c>
      <c r="L39" s="34">
        <f>IF(K39&gt;0,J39/K39,0)</f>
        <v>0.904159132007233</v>
      </c>
      <c r="M39" s="50" t="str">
        <f>IF(H39&lt;=I39,"X","Y")</f>
        <v>Y</v>
      </c>
      <c r="N39" s="54" t="n">
        <v>310</v>
      </c>
      <c r="O39" s="55">
        <f>IF(E39="HABITACIÓN",DATOS!$C$76,DATOS!$C$78)</f>
        <v>100</v>
      </c>
      <c r="P39" s="55">
        <f>DATOS!$C$58</f>
        <v>253.673469387755</v>
      </c>
      <c r="Q39" s="55">
        <f>P39+N39+O39</f>
        <v>663.673469387755</v>
      </c>
      <c r="R39" s="56">
        <f>DATOS!$C$43*(P39+N39)+DATOS!$C$44*O39</f>
        <v>882.775510204082</v>
      </c>
      <c r="S39" s="55">
        <f>(APOYOS!$G$149="DISCONTINUO")+(APOYOS!$G$150="DISCONTINUO")+(APOYOS!$G$151="DISCONTINUO")+(APOYOS!$G$152="DISCONTINUO")</f>
        <v>3</v>
      </c>
      <c r="T39" s="55">
        <f>IF(M39="X",(APOYOS!$G$149="DISCONTINUO")+(APOYOS!$G$150="DISCONTINUO"),(APOYOS!$G$151="DISCONTINUO")+(APOYOS!$G$152="DISCONTINUO"))</f>
        <v>1</v>
      </c>
      <c r="U39" s="55">
        <f>S39-T39</f>
        <v>2</v>
      </c>
      <c r="V39" s="50" t="str">
        <f>IF(S39=0,"INTERIOR",IF(S39=1,IF(T39=1,"BORDE-CORTO","BORDE-LARGO"),IF(S39=2,IF(T39=1,"ESQUINA",IF(T39=2,"EXTREMO-LARGO","EXTREMO-CORTO")),IF(S39=3,IF(T39=2,"EXTREMO-LARGO","EXTREMO-CORTO"),"AISLADO"))))</f>
        <v>EXTREMO-CORTO</v>
      </c>
      <c r="W39" s="51" t="inlineStr">
        <is>
          <t>AUTO</t>
        </is>
      </c>
      <c r="X39" s="57" t="str">
        <f>IF(W39="AUTO",V39,W39)</f>
        <v>EXTREMO-CORTO</v>
      </c>
      <c r="Y39" s="55">
        <f>MATCH(L39,TABLAS!$D$5:$J$5,1)</f>
        <v>6</v>
      </c>
      <c r="Z39" s="41">
        <f>IF(Y39&gt;=7,0,(L39-INDEX(TABLAS!$D$5:$J$5,Y39))/(INDEX(TABLAS!$D$5:$J$5,Y39+1)-INDEX(TABLAS!$D$5:$J$5,Y39)))</f>
        <v>0.0415913200723317</v>
      </c>
      <c r="AA39" s="55">
        <f>INDEX(TABLAS!$D$6:$J$47,MATCH(X39&amp;"|NIC",TABLAS!$B$6:$B$47,0),Y39)+Z39*(INDEX(TABLAS!$D$6:$J$47,MATCH(X39&amp;"|NIC",TABLAS!$B$6:$B$47,0),MIN(Y39+1,7))-INDEX(TABLAS!$D$6:$J$47,MATCH(X39&amp;"|NIC",TABLAS!$B$6:$B$47,0),Y39))</f>
        <v>0</v>
      </c>
      <c r="AB39" s="55">
        <f>INDEX(TABLAS!$D$6:$J$47,MATCH(X39&amp;"|NIL",TABLAS!$B$6:$B$47,0),Y39)+Z39*(INDEX(TABLAS!$D$6:$J$47,MATCH(X39&amp;"|NIL",TABLAS!$B$6:$B$47,0),MIN(Y39+1,7))-INDEX(TABLAS!$D$6:$J$47,MATCH(X39&amp;"|NIL",TABLAS!$B$6:$B$47,0),Y39))</f>
        <v>570</v>
      </c>
      <c r="AC39" s="55">
        <f>INDEX(TABLAS!$D$6:$J$47,MATCH(X39&amp;"|NDC",TABLAS!$B$6:$B$47,0),Y39)+Z39*(INDEX(TABLAS!$D$6:$J$47,MATCH(X39&amp;"|NDC",TABLAS!$B$6:$B$47,0),MIN(Y39+1,7))-INDEX(TABLAS!$D$6:$J$47,MATCH(X39&amp;"|NDC",TABLAS!$B$6:$B$47,0),Y39))</f>
        <v>267.920433996383</v>
      </c>
      <c r="AD39" s="55">
        <f>INDEX(TABLAS!$D$6:$J$47,MATCH(X39&amp;"|NDL",TABLAS!$B$6:$B$47,0),Y39)+Z39*(INDEX(TABLAS!$D$6:$J$47,MATCH(X39&amp;"|NDL",TABLAS!$B$6:$B$47,0),MIN(Y39+1,7))-INDEX(TABLAS!$D$6:$J$47,MATCH(X39&amp;"|NDL",TABLAS!$B$6:$B$47,0),Y39))</f>
        <v>220</v>
      </c>
      <c r="AE39" s="55">
        <f>INDEX(TABLAS!$D$6:$J$47,MATCH(X39&amp;"|PC",TABLAS!$B$6:$B$47,0),Y39)+Z39*(INDEX(TABLAS!$D$6:$J$47,MATCH(X39&amp;"|PC",TABLAS!$B$6:$B$47,0),MIN(Y39+1,7))-INDEX(TABLAS!$D$6:$J$47,MATCH(X39&amp;"|PC",TABLAS!$B$6:$B$47,0),Y39))</f>
        <v>535.424954792044</v>
      </c>
      <c r="AF39" s="55">
        <f>INDEX(TABLAS!$D$6:$J$47,MATCH(X39&amp;"|PL",TABLAS!$B$6:$B$47,0),Y39)+Z39*(INDEX(TABLAS!$D$6:$J$47,MATCH(X39&amp;"|PL",TABLAS!$B$6:$B$47,0),MIN(Y39+1,7))-INDEX(TABLAS!$D$6:$J$47,MATCH(X39&amp;"|PL",TABLAS!$B$6:$B$47,0),Y39))</f>
        <v>430</v>
      </c>
      <c r="AG39" s="58" t="n">
        <v>0</v>
      </c>
      <c r="AH39" s="34">
        <f>IF(D39="PERIMETRAL",AE39*R39*J39^2*1E-4*DATOS!$C$16/100/1000,0)</f>
        <v>0.529379242159649</v>
      </c>
      <c r="AI39" s="34">
        <f>IF(D39="PERIMETRAL",MAX(AA39,AC39)*R39*J39^2*1E-4*DATOS!$C$16/100/1000,IF(D39="VOLADO",(R39*J39^2/2+DATOS!$C$43*AG39*J39)*DATOS!$C$16/100/1000,0))</f>
        <v>0.264895229553087</v>
      </c>
      <c r="AJ39" s="34">
        <f>IF(D39="PERIMETRAL",AF39*R39*J39^2*1E-4*DATOS!$C$16/100/1000,0)</f>
        <v>0.425144685714286</v>
      </c>
      <c r="AK39" s="34">
        <f>IF(D39="PERIMETRAL",MAX(AB39,AD39)*R39*J39^2*1E-4*DATOS!$C$16/100/1000,0)</f>
        <v>0.563563885714286</v>
      </c>
      <c r="AL39" s="41">
        <f>IF(D39="HUECO",0,IF(AH39&lt;=0,DATOS!$C$71*DATOS!$C$13*DATOS!$C$66,IF((1-2*AH39*1E5/(DATOS!$C$45*DATOS!$C$16*DATOS!$C$66^2*DATOS!$C$38))&lt;0,-1,MAX(DATOS!$C$71*DATOS!$C$13*DATOS!$C$66,(1-SQRT((1-2*AH39*1E5/(DATOS!$C$45*DATOS!$C$16*DATOS!$C$66^2*DATOS!$C$38))))*DATOS!$C$38*DATOS!$C$16*DATOS!$C$66/DATOS!$C$32))))</f>
        <v>0.642587906504557</v>
      </c>
      <c r="AM39" s="39">
        <f>IF(AND(AL39&gt;=0,CEILING(AL39/INDEX(TABLAS!$D$52:$D$58,MIN(MATCH(DATOS!$C$20,TABLAS!$B$52:$B$58,0)+0,7)),1)&lt;=MIN(DATOS!$C$22,INT((DATOS!$C$25+DATOS!$C$24)/(INDEX(TABLAS!$C$52:$C$58,MIN(MATCH(DATOS!$C$20,TABLAS!$B$52:$B$58,0)+0,7))+DATOS!$C$24)))),INDEX(TABLAS!$B$52:$B$58,MIN(MATCH(DATOS!$C$20,TABLAS!$B$52:$B$58,0)+0,7)),IF(AND(AL39&gt;=0,CEILING(AL39/INDEX(TABLAS!$D$52:$D$58,MIN(MATCH(DATOS!$C$20,TABLAS!$B$52:$B$58,0)+1,7)),1)&lt;=MIN(DATOS!$C$22,INT((DATOS!$C$25+DATOS!$C$24)/(INDEX(TABLAS!$C$52:$C$58,MIN(MATCH(DATOS!$C$20,TABLAS!$B$52:$B$58,0)+1,7))+DATOS!$C$24)))),INDEX(TABLAS!$B$52:$B$58,MIN(MATCH(DATOS!$C$20,TABLAS!$B$52:$B$58,0)+1,7)),IF(AND(AL39&gt;=0,CEILING(AL39/INDEX(TABLAS!$D$52:$D$58,MIN(MATCH(DATOS!$C$20,TABLAS!$B$52:$B$58,0)+2,7)),1)&lt;=MIN(DATOS!$C$22,INT((DATOS!$C$25+DATOS!$C$24)/(INDEX(TABLAS!$C$52:$C$58,MIN(MATCH(DATOS!$C$20,TABLAS!$B$52:$B$58,0)+2,7))+DATOS!$C$24)))),INDEX(TABLAS!$B$52:$B$58,MIN(MATCH(DATOS!$C$20,TABLAS!$B$52:$B$58,0)+2,7)),IF(AND(AL39&gt;=0,CEILING(AL39/INDEX(TABLAS!$D$52:$D$58,MIN(MATCH(DATOS!$C$20,TABLAS!$B$52:$B$58,0)+3,7)),1)&lt;=MIN(DATOS!$C$22,INT((DATOS!$C$25+DATOS!$C$24)/(INDEX(TABLAS!$C$52:$C$58,MIN(MATCH(DATOS!$C$20,TABLAS!$B$52:$B$58,0)+3,7))+DATOS!$C$24)))),INDEX(TABLAS!$B$52:$B$58,MIN(MATCH(DATOS!$C$20,TABLAS!$B$52:$B$58,0)+3,7)),IF(AND(AL39&gt;=0,CEILING(AL39/INDEX(TABLAS!$D$52:$D$58,MIN(MATCH(DATOS!$C$20,TABLAS!$B$52:$B$58,0)+4,7)),1)&lt;=MIN(DATOS!$C$22,INT((DATOS!$C$25+DATOS!$C$24)/(INDEX(TABLAS!$C$52:$C$58,MIN(MATCH(DATOS!$C$20,TABLAS!$B$52:$B$58,0)+4,7))+DATOS!$C$24)))),INDEX(TABLAS!$B$52:$B$58,MIN(MATCH(DATOS!$C$20,TABLAS!$B$52:$B$58,0)+4,7)),INDEX(TABLAS!$B$52:$B$58,7))))))</f>
        <v>3</v>
      </c>
      <c r="AN39" s="55">
        <f>IF(D39="HUECO",0,IF(AL39&lt;0,0,MAX(DATOS!$C$23,CEILING(AL39/INDEX(TABLAS!$D$52:$D$58,MATCH(AM39,TABLAS!$B$52:$B$58,0)),1))))</f>
        <v>1</v>
      </c>
      <c r="AO39" s="34">
        <f>IF(AN39=0,0,DATOS!$C$45*AN39*INDEX(TABLAS!$D$52:$D$58,MATCH(AM39,TABLAS!$B$52:$B$58,0))*DATOS!$C$32*((DATOS!$C$15-DATOS!$C$18-INDEX(TABLAS!$C$52:$C$58,MATCH(DATOS!$C$19,TABLAS!$B$52:$B$58,0))-INDEX(TABLAS!$C$52:$C$58,MATCH(AM39,TABLAS!$B$52:$B$58,0))/2)-AN39*INDEX(TABLAS!$D$52:$D$58,MATCH(AM39,TABLAS!$B$52:$B$58,0))*DATOS!$C$32/(DATOS!$C$38*DATOS!$C$16)/2)/1E5)</f>
        <v>0.584659515176471</v>
      </c>
      <c r="AP39" s="59">
        <f>IF(AL39&lt;0,9.99,IF(AO39&gt;0,AH39/AO39,0))</f>
        <v>0.905448775600383</v>
      </c>
      <c r="AQ39" s="41">
        <f>IF(D39="HUECO",0,IF(AI39&lt;=0,DATOS!$C$71*DATOS!$C$13*DATOS!$C$67,IF((1-2*AI39*1E5/(DATOS!$C$45*DATOS!$C$13*DATOS!$C$67^2*DATOS!$C$38))&lt;0,-1,IF((1-SQRT((1-2*AI39*1E5/(DATOS!$C$45*DATOS!$C$13*DATOS!$C$67^2*DATOS!$C$38))))*DATOS!$C$38*DATOS!$C$13*DATOS!$C$67/DATOS!$C$32&gt;DATOS!$C$70*DATOS!$C$13*DATOS!$C$67,-1,MAX(DATOS!$C$71*DATOS!$C$13*DATOS!$C$67,(1-SQRT((1-2*AI39*1E5/(DATOS!$C$45*DATOS!$C$13*DATOS!$C$67^2*DATOS!$C$38))))*DATOS!$C$38*DATOS!$C$13*DATOS!$C$67/DATOS!$C$32)))))</f>
        <v>0.576720388273208</v>
      </c>
      <c r="AR39" s="39">
        <f>IF(AND(AQ39&gt;=0,CEILING(AQ39/INDEX(TABLAS!$D$52:$D$58,MIN(MATCH(DATOS!$C$21,TABLAS!$B$52:$B$58,0)+0,7)),1)&lt;=MIN(DATOS!$C$22,INT((DATOS!$C$25+DATOS!$C$24)/(INDEX(TABLAS!$C$52:$C$58,MIN(MATCH(DATOS!$C$21,TABLAS!$B$52:$B$58,0)+0,7))+DATOS!$C$24)))),INDEX(TABLAS!$B$52:$B$58,MIN(MATCH(DATOS!$C$21,TABLAS!$B$52:$B$58,0)+0,7)),IF(AND(AQ39&gt;=0,CEILING(AQ39/INDEX(TABLAS!$D$52:$D$58,MIN(MATCH(DATOS!$C$21,TABLAS!$B$52:$B$58,0)+1,7)),1)&lt;=MIN(DATOS!$C$22,INT((DATOS!$C$25+DATOS!$C$24)/(INDEX(TABLAS!$C$52:$C$58,MIN(MATCH(DATOS!$C$21,TABLAS!$B$52:$B$58,0)+1,7))+DATOS!$C$24)))),INDEX(TABLAS!$B$52:$B$58,MIN(MATCH(DATOS!$C$21,TABLAS!$B$52:$B$58,0)+1,7)),IF(AND(AQ39&gt;=0,CEILING(AQ39/INDEX(TABLAS!$D$52:$D$58,MIN(MATCH(DATOS!$C$21,TABLAS!$B$52:$B$58,0)+2,7)),1)&lt;=MIN(DATOS!$C$22,INT((DATOS!$C$25+DATOS!$C$24)/(INDEX(TABLAS!$C$52:$C$58,MIN(MATCH(DATOS!$C$21,TABLAS!$B$52:$B$58,0)+2,7))+DATOS!$C$24)))),INDEX(TABLAS!$B$52:$B$58,MIN(MATCH(DATOS!$C$21,TABLAS!$B$52:$B$58,0)+2,7)),IF(AND(AQ39&gt;=0,CEILING(AQ39/INDEX(TABLAS!$D$52:$D$58,MIN(MATCH(DATOS!$C$21,TABLAS!$B$52:$B$58,0)+3,7)),1)&lt;=MIN(DATOS!$C$22,INT((DATOS!$C$25+DATOS!$C$24)/(INDEX(TABLAS!$C$52:$C$58,MIN(MATCH(DATOS!$C$21,TABLAS!$B$52:$B$58,0)+3,7))+DATOS!$C$24)))),INDEX(TABLAS!$B$52:$B$58,MIN(MATCH(DATOS!$C$21,TABLAS!$B$52:$B$58,0)+3,7)),IF(AND(AQ39&gt;=0,CEILING(AQ39/INDEX(TABLAS!$D$52:$D$58,MIN(MATCH(DATOS!$C$21,TABLAS!$B$52:$B$58,0)+4,7)),1)&lt;=MIN(DATOS!$C$22,INT((DATOS!$C$25+DATOS!$C$24)/(INDEX(TABLAS!$C$52:$C$58,MIN(MATCH(DATOS!$C$21,TABLAS!$B$52:$B$58,0)+4,7))+DATOS!$C$24)))),INDEX(TABLAS!$B$52:$B$58,MIN(MATCH(DATOS!$C$21,TABLAS!$B$52:$B$58,0)+4,7)),INDEX(TABLAS!$B$52:$B$58,7))))))</f>
        <v>3</v>
      </c>
      <c r="AS39" s="55">
        <f>IF(D39="HUECO",0,IF(AQ39&lt;0,0,MAX(1,CEILING(AQ39/INDEX(TABLAS!$D$52:$D$58,MATCH(AR39,TABLAS!$B$52:$B$58,0)),1))))</f>
        <v>1</v>
      </c>
      <c r="AT39" s="34">
        <f>IF(AS39=0,0,DATOS!$C$45*AS39*INDEX(TABLAS!$D$52:$D$58,MATCH(AR39,TABLAS!$B$52:$B$58,0))*DATOS!$C$32*((DATOS!$C$15-DATOS!$C$18-INDEX(TABLAS!$C$52:$C$58,MATCH(DATOS!$C$19,TABLAS!$B$52:$B$58,0))-INDEX(TABLAS!$C$52:$C$58,MATCH(AR39,TABLAS!$B$52:$B$58,0))/2)-AS39*INDEX(TABLAS!$D$52:$D$58,MATCH(AR39,TABLAS!$B$52:$B$58,0))*DATOS!$C$32/(DATOS!$C$38*DATOS!$C$13)/2)/1E5)</f>
        <v>0.568518826235294</v>
      </c>
      <c r="AU39" s="59">
        <f>IF(AQ39&lt;0,9.99,IF(AT39&gt;0,AI39/AT39,0))</f>
        <v>0.465939239527407</v>
      </c>
      <c r="AV39" s="41">
        <f>IF(D39="HUECO",0,IF(AJ39&lt;=0,DATOS!$C$71*DATOS!$C$13*DATOS!$C$66,IF((1-2*AJ39*1E5/(DATOS!$C$45*DATOS!$C$16*DATOS!$C$66^2*DATOS!$C$38))&lt;0,-1,MAX(DATOS!$C$71*DATOS!$C$13*DATOS!$C$66,(1-SQRT((1-2*AJ39*1E5/(DATOS!$C$45*DATOS!$C$16*DATOS!$C$66^2*DATOS!$C$38))))*DATOS!$C$38*DATOS!$C$16*DATOS!$C$66/DATOS!$C$32))))</f>
        <v>0.576720388273208</v>
      </c>
      <c r="AW39" s="39">
        <f>IF(AND(AV39&gt;=0,CEILING(AV39/INDEX(TABLAS!$D$52:$D$58,MIN(MATCH(DATOS!$C$20,TABLAS!$B$52:$B$58,0)+0,7)),1)&lt;=MIN(DATOS!$C$22,INT((DATOS!$C$25+DATOS!$C$24)/(INDEX(TABLAS!$C$52:$C$58,MIN(MATCH(DATOS!$C$20,TABLAS!$B$52:$B$58,0)+0,7))+DATOS!$C$24)))),INDEX(TABLAS!$B$52:$B$58,MIN(MATCH(DATOS!$C$20,TABLAS!$B$52:$B$58,0)+0,7)),IF(AND(AV39&gt;=0,CEILING(AV39/INDEX(TABLAS!$D$52:$D$58,MIN(MATCH(DATOS!$C$20,TABLAS!$B$52:$B$58,0)+1,7)),1)&lt;=MIN(DATOS!$C$22,INT((DATOS!$C$25+DATOS!$C$24)/(INDEX(TABLAS!$C$52:$C$58,MIN(MATCH(DATOS!$C$20,TABLAS!$B$52:$B$58,0)+1,7))+DATOS!$C$24)))),INDEX(TABLAS!$B$52:$B$58,MIN(MATCH(DATOS!$C$20,TABLAS!$B$52:$B$58,0)+1,7)),IF(AND(AV39&gt;=0,CEILING(AV39/INDEX(TABLAS!$D$52:$D$58,MIN(MATCH(DATOS!$C$20,TABLAS!$B$52:$B$58,0)+2,7)),1)&lt;=MIN(DATOS!$C$22,INT((DATOS!$C$25+DATOS!$C$24)/(INDEX(TABLAS!$C$52:$C$58,MIN(MATCH(DATOS!$C$20,TABLAS!$B$52:$B$58,0)+2,7))+DATOS!$C$24)))),INDEX(TABLAS!$B$52:$B$58,MIN(MATCH(DATOS!$C$20,TABLAS!$B$52:$B$58,0)+2,7)),IF(AND(AV39&gt;=0,CEILING(AV39/INDEX(TABLAS!$D$52:$D$58,MIN(MATCH(DATOS!$C$20,TABLAS!$B$52:$B$58,0)+3,7)),1)&lt;=MIN(DATOS!$C$22,INT((DATOS!$C$25+DATOS!$C$24)/(INDEX(TABLAS!$C$52:$C$58,MIN(MATCH(DATOS!$C$20,TABLAS!$B$52:$B$58,0)+3,7))+DATOS!$C$24)))),INDEX(TABLAS!$B$52:$B$58,MIN(MATCH(DATOS!$C$20,TABLAS!$B$52:$B$58,0)+3,7)),IF(AND(AV39&gt;=0,CEILING(AV39/INDEX(TABLAS!$D$52:$D$58,MIN(MATCH(DATOS!$C$20,TABLAS!$B$52:$B$58,0)+4,7)),1)&lt;=MIN(DATOS!$C$22,INT((DATOS!$C$25+DATOS!$C$24)/(INDEX(TABLAS!$C$52:$C$58,MIN(MATCH(DATOS!$C$20,TABLAS!$B$52:$B$58,0)+4,7))+DATOS!$C$24)))),INDEX(TABLAS!$B$52:$B$58,MIN(MATCH(DATOS!$C$20,TABLAS!$B$52:$B$58,0)+4,7)),INDEX(TABLAS!$B$52:$B$58,7))))))</f>
        <v>3</v>
      </c>
      <c r="AX39" s="55">
        <f>IF(D39="HUECO",0,IF(AV39&lt;0,0,MAX(DATOS!$C$23,CEILING(AV39/INDEX(TABLAS!$D$52:$D$58,MATCH(AW39,TABLAS!$B$52:$B$58,0)),1))))</f>
        <v>1</v>
      </c>
      <c r="AY39" s="34">
        <f>IF(AX39=0,0,DATOS!$C$45*AX39*INDEX(TABLAS!$D$52:$D$58,MATCH(AW39,TABLAS!$B$52:$B$58,0))*DATOS!$C$32*((DATOS!$C$15-DATOS!$C$18-INDEX(TABLAS!$C$52:$C$58,MATCH(DATOS!$C$19,TABLAS!$B$52:$B$58,0))-INDEX(TABLAS!$C$52:$C$58,MATCH(AW39,TABLAS!$B$52:$B$58,0))/2)-AX39*INDEX(TABLAS!$D$52:$D$58,MATCH(AW39,TABLAS!$B$52:$B$58,0))*DATOS!$C$32/(DATOS!$C$38*DATOS!$C$16)/2)/1E5)</f>
        <v>0.584659515176471</v>
      </c>
      <c r="AZ39" s="59">
        <f>IF(AV39&lt;0,9.99,IF(AY39&gt;0,AJ39/AY39,0))</f>
        <v>0.727166281704938</v>
      </c>
      <c r="BA39" s="41">
        <f>IF(D39="HUECO",0,IF(AK39&lt;=0,DATOS!$C$71*DATOS!$C$13*DATOS!$C$67,IF((1-2*AK39*1E5/(DATOS!$C$45*DATOS!$C$13*DATOS!$C$67^2*DATOS!$C$38))&lt;0,-1,IF((1-SQRT((1-2*AK39*1E5/(DATOS!$C$45*DATOS!$C$13*DATOS!$C$67^2*DATOS!$C$38))))*DATOS!$C$38*DATOS!$C$13*DATOS!$C$67/DATOS!$C$32&gt;DATOS!$C$70*DATOS!$C$13*DATOS!$C$67,-1,MAX(DATOS!$C$71*DATOS!$C$13*DATOS!$C$67,(1-SQRT((1-2*AK39*1E5/(DATOS!$C$45*DATOS!$C$13*DATOS!$C$67^2*DATOS!$C$38))))*DATOS!$C$38*DATOS!$C$13*DATOS!$C$67/DATOS!$C$32)))))</f>
        <v>0.703601967039294</v>
      </c>
      <c r="BB39" s="39">
        <f>IF(AND(BA39&gt;=0,CEILING(BA39/INDEX(TABLAS!$D$52:$D$58,MIN(MATCH(DATOS!$C$21,TABLAS!$B$52:$B$58,0)+0,7)),1)&lt;=MIN(DATOS!$C$22,INT((DATOS!$C$25+DATOS!$C$24)/(INDEX(TABLAS!$C$52:$C$58,MIN(MATCH(DATOS!$C$21,TABLAS!$B$52:$B$58,0)+0,7))+DATOS!$C$24)))),INDEX(TABLAS!$B$52:$B$58,MIN(MATCH(DATOS!$C$21,TABLAS!$B$52:$B$58,0)+0,7)),IF(AND(BA39&gt;=0,CEILING(BA39/INDEX(TABLAS!$D$52:$D$58,MIN(MATCH(DATOS!$C$21,TABLAS!$B$52:$B$58,0)+1,7)),1)&lt;=MIN(DATOS!$C$22,INT((DATOS!$C$25+DATOS!$C$24)/(INDEX(TABLAS!$C$52:$C$58,MIN(MATCH(DATOS!$C$21,TABLAS!$B$52:$B$58,0)+1,7))+DATOS!$C$24)))),INDEX(TABLAS!$B$52:$B$58,MIN(MATCH(DATOS!$C$21,TABLAS!$B$52:$B$58,0)+1,7)),IF(AND(BA39&gt;=0,CEILING(BA39/INDEX(TABLAS!$D$52:$D$58,MIN(MATCH(DATOS!$C$21,TABLAS!$B$52:$B$58,0)+2,7)),1)&lt;=MIN(DATOS!$C$22,INT((DATOS!$C$25+DATOS!$C$24)/(INDEX(TABLAS!$C$52:$C$58,MIN(MATCH(DATOS!$C$21,TABLAS!$B$52:$B$58,0)+2,7))+DATOS!$C$24)))),INDEX(TABLAS!$B$52:$B$58,MIN(MATCH(DATOS!$C$21,TABLAS!$B$52:$B$58,0)+2,7)),IF(AND(BA39&gt;=0,CEILING(BA39/INDEX(TABLAS!$D$52:$D$58,MIN(MATCH(DATOS!$C$21,TABLAS!$B$52:$B$58,0)+3,7)),1)&lt;=MIN(DATOS!$C$22,INT((DATOS!$C$25+DATOS!$C$24)/(INDEX(TABLAS!$C$52:$C$58,MIN(MATCH(DATOS!$C$21,TABLAS!$B$52:$B$58,0)+3,7))+DATOS!$C$24)))),INDEX(TABLAS!$B$52:$B$58,MIN(MATCH(DATOS!$C$21,TABLAS!$B$52:$B$58,0)+3,7)),IF(AND(BA39&gt;=0,CEILING(BA39/INDEX(TABLAS!$D$52:$D$58,MIN(MATCH(DATOS!$C$21,TABLAS!$B$52:$B$58,0)+4,7)),1)&lt;=MIN(DATOS!$C$22,INT((DATOS!$C$25+DATOS!$C$24)/(INDEX(TABLAS!$C$52:$C$58,MIN(MATCH(DATOS!$C$21,TABLAS!$B$52:$B$58,0)+4,7))+DATOS!$C$24)))),INDEX(TABLAS!$B$52:$B$58,MIN(MATCH(DATOS!$C$21,TABLAS!$B$52:$B$58,0)+4,7)),INDEX(TABLAS!$B$52:$B$58,7))))))</f>
        <v>3</v>
      </c>
      <c r="BC39" s="55">
        <f>IF(D39="HUECO",0,IF(BA39&lt;0,0,MAX(1,CEILING(BA39/INDEX(TABLAS!$D$52:$D$58,MATCH(BB39,TABLAS!$B$52:$B$58,0)),1))))</f>
        <v>1</v>
      </c>
      <c r="BD39" s="34">
        <f>IF(BC39=0,0,DATOS!$C$45*BC39*INDEX(TABLAS!$D$52:$D$58,MATCH(BB39,TABLAS!$B$52:$B$58,0))*DATOS!$C$32*((DATOS!$C$15-DATOS!$C$18-INDEX(TABLAS!$C$52:$C$58,MATCH(DATOS!$C$19,TABLAS!$B$52:$B$58,0))-INDEX(TABLAS!$C$52:$C$58,MATCH(BB39,TABLAS!$B$52:$B$58,0))/2)-BC39*INDEX(TABLAS!$D$52:$D$58,MATCH(BB39,TABLAS!$B$52:$B$58,0))*DATOS!$C$32/(DATOS!$C$38*DATOS!$C$13)/2)/1E5)</f>
        <v>0.568518826235294</v>
      </c>
      <c r="BE39" s="59">
        <f>IF(BA39&lt;0,9.99,IF(BD39&gt;0,AK39/BD39,0))</f>
        <v>0.991284474159247</v>
      </c>
      <c r="BF39" s="34">
        <f>IF(D39="PERIMETRAL",MAX(0,(J39/2-DATOS!$C$66/100))*(0.95-0.5*L39)*R39*IF(AND(S39&gt;0,S39&lt;4),DATOS!$C$50,1)*DATOS!$C$16/100/1000,IF(D39="VOLADO",(R39*J39+DATOS!$C$43*AG39)*DATOS!$C$16/100/1000,0))</f>
        <v>0.630240926112658</v>
      </c>
      <c r="BG39" s="34">
        <f>IF(D39="HUECO",0,DATOS!$C$46*IF((AS39*INDEX(TABLAS!$D$52:$D$58,MATCH(AR39,TABLAS!$B$52:$B$58,0))/(DATOS!$C$13*DATOS!$C$67))&lt;0.015,0.2+20*(AS39*INDEX(TABLAS!$D$52:$D$58,MATCH(AR39,TABLAS!$B$52:$B$58,0))/(DATOS!$C$13*DATOS!$C$67)),0.5)*SQRT(DATOS!$C$31)*DATOS!$C$13*DATOS!$C$67*DATOS!$C$49/1000)</f>
        <v>0.687439634849853</v>
      </c>
      <c r="BH39" s="49" t="str">
        <f>IF(D39="HUECO","—",IF(BF39&lt;=BG39,"CUMPLE","MACIZAR "&amp;MAX(1,CEILING(IF(D39="VOLADO",J39,J39/2)*(1-BG39/BF39)*100/DATOS!$C$16,1))&amp;" hilera(s)"))</f>
        <v>CUMPLE</v>
      </c>
      <c r="BI39" s="41">
        <f>IF(D39="PERIMETRAL",(2*(H39+I39)+0.25*(H39*((APOYOS!$G$149="DISCONTINUO")+(APOYOS!$G$150="DISCONTINUO"))+I39*((APOYOS!$G$151="DISCONTINUO")+(APOYOS!$G$152="DISCONTINUO"))))*(J39+MIN(K39,2*J39))/(J39+K39)*100/250*IF(OR(DATOS!$C$47&gt;2520,Q39&gt;380),0.032*(DATOS!$C$47*Q39)^0.25,1),IF(D39="VOLADO",J39*100/8,0))</f>
        <v>9.23378265180329</v>
      </c>
      <c r="BJ39" s="41">
        <f>IF(D39="VOLADO",DATOS!$C$15,DATOS!$C$68)</f>
        <v>13.6082564120244</v>
      </c>
      <c r="BK39" s="50" t="str">
        <f>IF(D39="HUECO","—",IF(BJ39&gt;=BI39,"CUMPLE","NO CUMPLE"))</f>
        <v>CUMPLE</v>
      </c>
      <c r="BL39" s="50" t="str">
        <f>IF(D39="PERIMETRAL",IF(DATOS!$C$16/100&lt;=J39/6,"SÍ","NO: a1 &lt; 6·s"),"—")</f>
        <v>NO: a1 &lt; 6·s</v>
      </c>
      <c r="BM39" s="55">
        <f>MAX(0,INT((F39*100-DATOS!$C$17+DATOS!$C$13)/DATOS!$C$16))</f>
        <v>6</v>
      </c>
      <c r="BN39" s="55">
        <f>MAX(0,INT((G39*100-DATOS!$C$17+DATOS!$C$13)/DATOS!$C$16))</f>
        <v>5</v>
      </c>
      <c r="BO39" s="49" t="str">
        <f>IF(COUNTIFS(TRIB!$C$6:$C$255,B39,TRIB!$K$6:$K$255,"NO CUMPLE*")+COUNTIFS(TRIB!$C$6:$C$255,B39,TRIB!$K$6:$K$255,"SIN APOYO*")&gt;0,"VER PRINCIPALES",IF((APOYOS!$F$149="LIBRE")+(APOYOS!$F$150="LIBRE")+(APOYOS!$F$151="LIBRE")+(APOYOS!$F$152="LIBRE")&gt;0,"REVISAR: borde libre","OK"))</f>
        <v>OK</v>
      </c>
      <c r="BP39" s="60" t="str">
        <f>IF(D39="HUECO","HUECO — marco de nervaduras principales",IF(AND(MAX(AP39,AU39,AZ39,BE39)&lt;=1,NOT(OR(AN39&gt;MIN(DATOS!$C$22,INT((DATOS!$C$25+DATOS!$C$24)/(INDEX(TABLAS!$C$52:$C$58,MATCH(AM39,TABLAS!$B$52:$B$58,0))+DATOS!$C$24))),AS39&gt;MIN(DATOS!$C$22,INT((DATOS!$C$25+DATOS!$C$24)/(INDEX(TABLAS!$C$52:$C$58,MATCH(AR39,TABLAS!$B$52:$B$58,0))+DATOS!$C$24))),AX39&gt;MIN(DATOS!$C$22,INT((DATOS!$C$25+DATOS!$C$24)/(INDEX(TABLAS!$C$52:$C$58,MATCH(AW39,TABLAS!$B$52:$B$58,0))+DATOS!$C$24))),BC39&gt;MIN(DATOS!$C$22,INT((DATOS!$C$25+DATOS!$C$24)/(INDEX(TABLAS!$C$52:$C$58,MATCH(BB39,TABLAS!$B$52:$B$58,0))+DATOS!$C$24))))),BK39="CUMPLE"),IF(BO39="OK",IF(BH39="CUMPLE","CUMPLE","CUMPLE — "&amp;BH39),IF(BO39="VER PRINCIPALES","VER PRINCIPALES","REVISAR APOYOS")),"NO CUMPLE: "&amp;IF(MAX(AP39,AU39,AZ39,BE39)&gt;1,"flexión ","")&amp;IF(OR(AN39&gt;MIN(DATOS!$C$22,INT((DATOS!$C$25+DATOS!$C$24)/(INDEX(TABLAS!$C$52:$C$58,MATCH(AM39,TABLAS!$B$52:$B$58,0))+DATOS!$C$24))),AS39&gt;MIN(DATOS!$C$22,INT((DATOS!$C$25+DATOS!$C$24)/(INDEX(TABLAS!$C$52:$C$58,MATCH(AR39,TABLAS!$B$52:$B$58,0))+DATOS!$C$24))),AX39&gt;MIN(DATOS!$C$22,INT((DATOS!$C$25+DATOS!$C$24)/(INDEX(TABLAS!$C$52:$C$58,MATCH(AW39,TABLAS!$B$52:$B$58,0))+DATOS!$C$24))),BC39&gt;MIN(DATOS!$C$22,INT((DATOS!$C$25+DATOS!$C$24)/(INDEX(TABLAS!$C$52:$C$58,MATCH(BB39,TABLAS!$B$52:$B$58,0))+DATOS!$C$24)))),"no caben ","")&amp;IF(BK39&lt;&gt;"CUMPLE","peralte","")))</f>
        <v>CUMPLE</v>
      </c>
      <c r="BQ39" s="61" t="inlineStr">
        <is>
          <t>—</t>
        </is>
      </c>
    </row>
    <row r="40" ht="30" customHeight="1">
      <c r="B40" s="49" t="inlineStr">
        <is>
          <t>F80032 N+6.00</t>
        </is>
      </c>
      <c r="C40" s="50" t="inlineStr">
        <is>
          <t>N+6.00</t>
        </is>
      </c>
      <c r="D40" s="51" t="inlineStr">
        <is>
          <t>PERIMETRAL</t>
        </is>
      </c>
      <c r="E40" s="51" t="inlineStr">
        <is>
          <t>AZOTEA</t>
        </is>
      </c>
      <c r="F40" s="52" t="n">
        <v>2.894</v>
      </c>
      <c r="G40" s="52" t="n">
        <v>11.5</v>
      </c>
      <c r="H40" s="53" t="n">
        <v>1.995</v>
      </c>
      <c r="I40" s="53" t="n">
        <v>3.425</v>
      </c>
      <c r="J40" s="34">
        <f>MIN(H40,I40)</f>
        <v>1.995</v>
      </c>
      <c r="K40" s="34">
        <f>MAX(H40,I40)</f>
        <v>3.425</v>
      </c>
      <c r="L40" s="34">
        <f>IF(K40&gt;0,J40/K40,0)</f>
        <v>0.582481751824818</v>
      </c>
      <c r="M40" s="50" t="str">
        <f>IF(H40&lt;=I40,"X","Y")</f>
        <v>X</v>
      </c>
      <c r="N40" s="54" t="n">
        <v>315</v>
      </c>
      <c r="O40" s="55">
        <f>IF(E40="HABITACIÓN",DATOS!$C$76,DATOS!$C$78)</f>
        <v>100</v>
      </c>
      <c r="P40" s="55">
        <f>DATOS!$C$58</f>
        <v>253.673469387755</v>
      </c>
      <c r="Q40" s="55">
        <f>P40+N40+O40</f>
        <v>668.673469387755</v>
      </c>
      <c r="R40" s="56">
        <f>DATOS!$C$43*(P40+N40)+DATOS!$C$44*O40</f>
        <v>889.275510204082</v>
      </c>
      <c r="S40" s="55">
        <f>(APOYOS!$G$153="DISCONTINUO")+(APOYOS!$G$154="DISCONTINUO")+(APOYOS!$G$155="DISCONTINUO")+(APOYOS!$G$156="DISCONTINUO")</f>
        <v>1</v>
      </c>
      <c r="T40" s="55">
        <f>IF(M40="X",(APOYOS!$G$153="DISCONTINUO")+(APOYOS!$G$154="DISCONTINUO"),(APOYOS!$G$155="DISCONTINUO")+(APOYOS!$G$156="DISCONTINUO"))</f>
        <v>1</v>
      </c>
      <c r="U40" s="55">
        <f>S40-T40</f>
        <v>0</v>
      </c>
      <c r="V40" s="50" t="str">
        <f>IF(S40=0,"INTERIOR",IF(S40=1,IF(T40=1,"BORDE-CORTO","BORDE-LARGO"),IF(S40=2,IF(T40=1,"ESQUINA",IF(T40=2,"EXTREMO-LARGO","EXTREMO-CORTO")),IF(S40=3,IF(T40=2,"EXTREMO-LARGO","EXTREMO-CORTO"),"AISLADO"))))</f>
        <v>BORDE-CORTO</v>
      </c>
      <c r="W40" s="51" t="inlineStr">
        <is>
          <t>AUTO</t>
        </is>
      </c>
      <c r="X40" s="57" t="str">
        <f>IF(W40="AUTO",V40,W40)</f>
        <v>BORDE-CORTO</v>
      </c>
      <c r="Y40" s="55">
        <f>MATCH(L40,TABLAS!$D$5:$J$5,1)</f>
        <v>2</v>
      </c>
      <c r="Z40" s="41">
        <f>IF(Y40&gt;=7,0,(L40-INDEX(TABLAS!$D$5:$J$5,Y40))/(INDEX(TABLAS!$D$5:$J$5,Y40+1)-INDEX(TABLAS!$D$5:$J$5,Y40)))</f>
        <v>0.824817518248176</v>
      </c>
      <c r="AA40" s="55">
        <f>INDEX(TABLAS!$D$6:$J$47,MATCH(X40&amp;"|NIC",TABLAS!$B$6:$B$47,0),Y40)+Z40*(INDEX(TABLAS!$D$6:$J$47,MATCH(X40&amp;"|NIC",TABLAS!$B$6:$B$47,0),MIN(Y40+1,7))-INDEX(TABLAS!$D$6:$J$47,MATCH(X40&amp;"|NIC",TABLAS!$B$6:$B$47,0),Y40))</f>
        <v>516.861313868613</v>
      </c>
      <c r="AB40" s="55">
        <f>INDEX(TABLAS!$D$6:$J$47,MATCH(X40&amp;"|NIL",TABLAS!$B$6:$B$47,0),Y40)+Z40*(INDEX(TABLAS!$D$6:$J$47,MATCH(X40&amp;"|NIL",TABLAS!$B$6:$B$47,0),MIN(Y40+1,7))-INDEX(TABLAS!$D$6:$J$47,MATCH(X40&amp;"|NIL",TABLAS!$B$6:$B$47,0),Y40))</f>
        <v>394.153284671533</v>
      </c>
      <c r="AC40" s="55">
        <f>INDEX(TABLAS!$D$6:$J$47,MATCH(X40&amp;"|NDC",TABLAS!$B$6:$B$47,0),Y40)+Z40*(INDEX(TABLAS!$D$6:$J$47,MATCH(X40&amp;"|NDC",TABLAS!$B$6:$B$47,0),MIN(Y40+1,7))-INDEX(TABLAS!$D$6:$J$47,MATCH(X40&amp;"|NDC",TABLAS!$B$6:$B$47,0),Y40))</f>
        <v>0</v>
      </c>
      <c r="AD40" s="55">
        <f>INDEX(TABLAS!$D$6:$J$47,MATCH(X40&amp;"|NDL",TABLAS!$B$6:$B$47,0),Y40)+Z40*(INDEX(TABLAS!$D$6:$J$47,MATCH(X40&amp;"|NDL",TABLAS!$B$6:$B$47,0),MIN(Y40+1,7))-INDEX(TABLAS!$D$6:$J$47,MATCH(X40&amp;"|NDL",TABLAS!$B$6:$B$47,0),Y40))</f>
        <v>249.751824817518</v>
      </c>
      <c r="AE40" s="55">
        <f>INDEX(TABLAS!$D$6:$J$47,MATCH(X40&amp;"|PC",TABLAS!$B$6:$B$47,0),Y40)+Z40*(INDEX(TABLAS!$D$6:$J$47,MATCH(X40&amp;"|PC",TABLAS!$B$6:$B$47,0),MIN(Y40+1,7))-INDEX(TABLAS!$D$6:$J$47,MATCH(X40&amp;"|PC",TABLAS!$B$6:$B$47,0),Y40))</f>
        <v>298.481751824818</v>
      </c>
      <c r="AF40" s="55">
        <f>INDEX(TABLAS!$D$6:$J$47,MATCH(X40&amp;"|PL",TABLAS!$B$6:$B$47,0),Y40)+Z40*(INDEX(TABLAS!$D$6:$J$47,MATCH(X40&amp;"|PL",TABLAS!$B$6:$B$47,0),MIN(Y40+1,7))-INDEX(TABLAS!$D$6:$J$47,MATCH(X40&amp;"|PL",TABLAS!$B$6:$B$47,0),Y40))</f>
        <v>137.875912408759</v>
      </c>
      <c r="AG40" s="58" t="n">
        <v>0</v>
      </c>
      <c r="AH40" s="34">
        <f>IF(D40="PERIMETRAL",AE40*R40*J40^2*1E-4*DATOS!$C$16/100/1000,0)</f>
        <v>0.0739499623892737</v>
      </c>
      <c r="AI40" s="34">
        <f>IF(D40="PERIMETRAL",MAX(AA40,AC40)*R40*J40^2*1E-4*DATOS!$C$16/100/1000,IF(D40="VOLADO",(R40*J40^2/2+DATOS!$C$43*AG40*J40)*DATOS!$C$16/100/1000,0))</f>
        <v>0.12805430981083</v>
      </c>
      <c r="AJ40" s="34">
        <f>IF(D40="PERIMETRAL",AF40*R40*J40^2*1E-4*DATOS!$C$16/100/1000,0)</f>
        <v>0.0341592692842363</v>
      </c>
      <c r="AK40" s="34">
        <f>IF(D40="PERIMETRAL",MAX(AB40,AD40)*R40*J40^2*1E-4*DATOS!$C$16/100/1000,0)</f>
        <v>0.0976529399163257</v>
      </c>
      <c r="AL40" s="41">
        <f>IF(D40="HUECO",0,IF(AH40&lt;=0,DATOS!$C$71*DATOS!$C$13*DATOS!$C$66,IF((1-2*AH40*1E5/(DATOS!$C$45*DATOS!$C$16*DATOS!$C$66^2*DATOS!$C$38))&lt;0,-1,MAX(DATOS!$C$71*DATOS!$C$13*DATOS!$C$66,(1-SQRT((1-2*AH40*1E5/(DATOS!$C$45*DATOS!$C$16*DATOS!$C$66^2*DATOS!$C$38))))*DATOS!$C$38*DATOS!$C$16*DATOS!$C$66/DATOS!$C$32))))</f>
        <v>0.576720388273208</v>
      </c>
      <c r="AM40" s="39">
        <f>IF(AND(AL40&gt;=0,CEILING(AL40/INDEX(TABLAS!$D$52:$D$58,MIN(MATCH(DATOS!$C$20,TABLAS!$B$52:$B$58,0)+0,7)),1)&lt;=MIN(DATOS!$C$22,INT((DATOS!$C$25+DATOS!$C$24)/(INDEX(TABLAS!$C$52:$C$58,MIN(MATCH(DATOS!$C$20,TABLAS!$B$52:$B$58,0)+0,7))+DATOS!$C$24)))),INDEX(TABLAS!$B$52:$B$58,MIN(MATCH(DATOS!$C$20,TABLAS!$B$52:$B$58,0)+0,7)),IF(AND(AL40&gt;=0,CEILING(AL40/INDEX(TABLAS!$D$52:$D$58,MIN(MATCH(DATOS!$C$20,TABLAS!$B$52:$B$58,0)+1,7)),1)&lt;=MIN(DATOS!$C$22,INT((DATOS!$C$25+DATOS!$C$24)/(INDEX(TABLAS!$C$52:$C$58,MIN(MATCH(DATOS!$C$20,TABLAS!$B$52:$B$58,0)+1,7))+DATOS!$C$24)))),INDEX(TABLAS!$B$52:$B$58,MIN(MATCH(DATOS!$C$20,TABLAS!$B$52:$B$58,0)+1,7)),IF(AND(AL40&gt;=0,CEILING(AL40/INDEX(TABLAS!$D$52:$D$58,MIN(MATCH(DATOS!$C$20,TABLAS!$B$52:$B$58,0)+2,7)),1)&lt;=MIN(DATOS!$C$22,INT((DATOS!$C$25+DATOS!$C$24)/(INDEX(TABLAS!$C$52:$C$58,MIN(MATCH(DATOS!$C$20,TABLAS!$B$52:$B$58,0)+2,7))+DATOS!$C$24)))),INDEX(TABLAS!$B$52:$B$58,MIN(MATCH(DATOS!$C$20,TABLAS!$B$52:$B$58,0)+2,7)),IF(AND(AL40&gt;=0,CEILING(AL40/INDEX(TABLAS!$D$52:$D$58,MIN(MATCH(DATOS!$C$20,TABLAS!$B$52:$B$58,0)+3,7)),1)&lt;=MIN(DATOS!$C$22,INT((DATOS!$C$25+DATOS!$C$24)/(INDEX(TABLAS!$C$52:$C$58,MIN(MATCH(DATOS!$C$20,TABLAS!$B$52:$B$58,0)+3,7))+DATOS!$C$24)))),INDEX(TABLAS!$B$52:$B$58,MIN(MATCH(DATOS!$C$20,TABLAS!$B$52:$B$58,0)+3,7)),IF(AND(AL40&gt;=0,CEILING(AL40/INDEX(TABLAS!$D$52:$D$58,MIN(MATCH(DATOS!$C$20,TABLAS!$B$52:$B$58,0)+4,7)),1)&lt;=MIN(DATOS!$C$22,INT((DATOS!$C$25+DATOS!$C$24)/(INDEX(TABLAS!$C$52:$C$58,MIN(MATCH(DATOS!$C$20,TABLAS!$B$52:$B$58,0)+4,7))+DATOS!$C$24)))),INDEX(TABLAS!$B$52:$B$58,MIN(MATCH(DATOS!$C$20,TABLAS!$B$52:$B$58,0)+4,7)),INDEX(TABLAS!$B$52:$B$58,7))))))</f>
        <v>3</v>
      </c>
      <c r="AN40" s="55">
        <f>IF(D40="HUECO",0,IF(AL40&lt;0,0,MAX(DATOS!$C$23,CEILING(AL40/INDEX(TABLAS!$D$52:$D$58,MATCH(AM40,TABLAS!$B$52:$B$58,0)),1))))</f>
        <v>1</v>
      </c>
      <c r="AO40" s="34">
        <f>IF(AN40=0,0,DATOS!$C$45*AN40*INDEX(TABLAS!$D$52:$D$58,MATCH(AM40,TABLAS!$B$52:$B$58,0))*DATOS!$C$32*((DATOS!$C$15-DATOS!$C$18-INDEX(TABLAS!$C$52:$C$58,MATCH(DATOS!$C$19,TABLAS!$B$52:$B$58,0))-INDEX(TABLAS!$C$52:$C$58,MATCH(AM40,TABLAS!$B$52:$B$58,0))/2)-AN40*INDEX(TABLAS!$D$52:$D$58,MATCH(AM40,TABLAS!$B$52:$B$58,0))*DATOS!$C$32/(DATOS!$C$38*DATOS!$C$16)/2)/1E5)</f>
        <v>0.584659515176471</v>
      </c>
      <c r="AP40" s="59">
        <f>IF(AL40&lt;0,9.99,IF(AO40&gt;0,AH40/AO40,0))</f>
        <v>0.126483808900216</v>
      </c>
      <c r="AQ40" s="41">
        <f>IF(D40="HUECO",0,IF(AI40&lt;=0,DATOS!$C$71*DATOS!$C$13*DATOS!$C$67,IF((1-2*AI40*1E5/(DATOS!$C$45*DATOS!$C$13*DATOS!$C$67^2*DATOS!$C$38))&lt;0,-1,IF((1-SQRT((1-2*AI40*1E5/(DATOS!$C$45*DATOS!$C$13*DATOS!$C$67^2*DATOS!$C$38))))*DATOS!$C$38*DATOS!$C$13*DATOS!$C$67/DATOS!$C$32&gt;DATOS!$C$70*DATOS!$C$13*DATOS!$C$67,-1,MAX(DATOS!$C$71*DATOS!$C$13*DATOS!$C$67,(1-SQRT((1-2*AI40*1E5/(DATOS!$C$45*DATOS!$C$13*DATOS!$C$67^2*DATOS!$C$38))))*DATOS!$C$38*DATOS!$C$13*DATOS!$C$67/DATOS!$C$32)))))</f>
        <v>0.576720388273208</v>
      </c>
      <c r="AR40" s="39">
        <f>IF(AND(AQ40&gt;=0,CEILING(AQ40/INDEX(TABLAS!$D$52:$D$58,MIN(MATCH(DATOS!$C$21,TABLAS!$B$52:$B$58,0)+0,7)),1)&lt;=MIN(DATOS!$C$22,INT((DATOS!$C$25+DATOS!$C$24)/(INDEX(TABLAS!$C$52:$C$58,MIN(MATCH(DATOS!$C$21,TABLAS!$B$52:$B$58,0)+0,7))+DATOS!$C$24)))),INDEX(TABLAS!$B$52:$B$58,MIN(MATCH(DATOS!$C$21,TABLAS!$B$52:$B$58,0)+0,7)),IF(AND(AQ40&gt;=0,CEILING(AQ40/INDEX(TABLAS!$D$52:$D$58,MIN(MATCH(DATOS!$C$21,TABLAS!$B$52:$B$58,0)+1,7)),1)&lt;=MIN(DATOS!$C$22,INT((DATOS!$C$25+DATOS!$C$24)/(INDEX(TABLAS!$C$52:$C$58,MIN(MATCH(DATOS!$C$21,TABLAS!$B$52:$B$58,0)+1,7))+DATOS!$C$24)))),INDEX(TABLAS!$B$52:$B$58,MIN(MATCH(DATOS!$C$21,TABLAS!$B$52:$B$58,0)+1,7)),IF(AND(AQ40&gt;=0,CEILING(AQ40/INDEX(TABLAS!$D$52:$D$58,MIN(MATCH(DATOS!$C$21,TABLAS!$B$52:$B$58,0)+2,7)),1)&lt;=MIN(DATOS!$C$22,INT((DATOS!$C$25+DATOS!$C$24)/(INDEX(TABLAS!$C$52:$C$58,MIN(MATCH(DATOS!$C$21,TABLAS!$B$52:$B$58,0)+2,7))+DATOS!$C$24)))),INDEX(TABLAS!$B$52:$B$58,MIN(MATCH(DATOS!$C$21,TABLAS!$B$52:$B$58,0)+2,7)),IF(AND(AQ40&gt;=0,CEILING(AQ40/INDEX(TABLAS!$D$52:$D$58,MIN(MATCH(DATOS!$C$21,TABLAS!$B$52:$B$58,0)+3,7)),1)&lt;=MIN(DATOS!$C$22,INT((DATOS!$C$25+DATOS!$C$24)/(INDEX(TABLAS!$C$52:$C$58,MIN(MATCH(DATOS!$C$21,TABLAS!$B$52:$B$58,0)+3,7))+DATOS!$C$24)))),INDEX(TABLAS!$B$52:$B$58,MIN(MATCH(DATOS!$C$21,TABLAS!$B$52:$B$58,0)+3,7)),IF(AND(AQ40&gt;=0,CEILING(AQ40/INDEX(TABLAS!$D$52:$D$58,MIN(MATCH(DATOS!$C$21,TABLAS!$B$52:$B$58,0)+4,7)),1)&lt;=MIN(DATOS!$C$22,INT((DATOS!$C$25+DATOS!$C$24)/(INDEX(TABLAS!$C$52:$C$58,MIN(MATCH(DATOS!$C$21,TABLAS!$B$52:$B$58,0)+4,7))+DATOS!$C$24)))),INDEX(TABLAS!$B$52:$B$58,MIN(MATCH(DATOS!$C$21,TABLAS!$B$52:$B$58,0)+4,7)),INDEX(TABLAS!$B$52:$B$58,7))))))</f>
        <v>3</v>
      </c>
      <c r="AS40" s="55">
        <f>IF(D40="HUECO",0,IF(AQ40&lt;0,0,MAX(1,CEILING(AQ40/INDEX(TABLAS!$D$52:$D$58,MATCH(AR40,TABLAS!$B$52:$B$58,0)),1))))</f>
        <v>1</v>
      </c>
      <c r="AT40" s="34">
        <f>IF(AS40=0,0,DATOS!$C$45*AS40*INDEX(TABLAS!$D$52:$D$58,MATCH(AR40,TABLAS!$B$52:$B$58,0))*DATOS!$C$32*((DATOS!$C$15-DATOS!$C$18-INDEX(TABLAS!$C$52:$C$58,MATCH(DATOS!$C$19,TABLAS!$B$52:$B$58,0))-INDEX(TABLAS!$C$52:$C$58,MATCH(AR40,TABLAS!$B$52:$B$58,0))/2)-AS40*INDEX(TABLAS!$D$52:$D$58,MATCH(AR40,TABLAS!$B$52:$B$58,0))*DATOS!$C$32/(DATOS!$C$38*DATOS!$C$13)/2)/1E5)</f>
        <v>0.568518826235294</v>
      </c>
      <c r="AU40" s="59">
        <f>IF(AQ40&lt;0,9.99,IF(AT40&gt;0,AI40/AT40,0))</f>
        <v>0.225241986547394</v>
      </c>
      <c r="AV40" s="41">
        <f>IF(D40="HUECO",0,IF(AJ40&lt;=0,DATOS!$C$71*DATOS!$C$13*DATOS!$C$66,IF((1-2*AJ40*1E5/(DATOS!$C$45*DATOS!$C$16*DATOS!$C$66^2*DATOS!$C$38))&lt;0,-1,MAX(DATOS!$C$71*DATOS!$C$13*DATOS!$C$66,(1-SQRT((1-2*AJ40*1E5/(DATOS!$C$45*DATOS!$C$16*DATOS!$C$66^2*DATOS!$C$38))))*DATOS!$C$38*DATOS!$C$16*DATOS!$C$66/DATOS!$C$32))))</f>
        <v>0.576720388273208</v>
      </c>
      <c r="AW40" s="39">
        <f>IF(AND(AV40&gt;=0,CEILING(AV40/INDEX(TABLAS!$D$52:$D$58,MIN(MATCH(DATOS!$C$20,TABLAS!$B$52:$B$58,0)+0,7)),1)&lt;=MIN(DATOS!$C$22,INT((DATOS!$C$25+DATOS!$C$24)/(INDEX(TABLAS!$C$52:$C$58,MIN(MATCH(DATOS!$C$20,TABLAS!$B$52:$B$58,0)+0,7))+DATOS!$C$24)))),INDEX(TABLAS!$B$52:$B$58,MIN(MATCH(DATOS!$C$20,TABLAS!$B$52:$B$58,0)+0,7)),IF(AND(AV40&gt;=0,CEILING(AV40/INDEX(TABLAS!$D$52:$D$58,MIN(MATCH(DATOS!$C$20,TABLAS!$B$52:$B$58,0)+1,7)),1)&lt;=MIN(DATOS!$C$22,INT((DATOS!$C$25+DATOS!$C$24)/(INDEX(TABLAS!$C$52:$C$58,MIN(MATCH(DATOS!$C$20,TABLAS!$B$52:$B$58,0)+1,7))+DATOS!$C$24)))),INDEX(TABLAS!$B$52:$B$58,MIN(MATCH(DATOS!$C$20,TABLAS!$B$52:$B$58,0)+1,7)),IF(AND(AV40&gt;=0,CEILING(AV40/INDEX(TABLAS!$D$52:$D$58,MIN(MATCH(DATOS!$C$20,TABLAS!$B$52:$B$58,0)+2,7)),1)&lt;=MIN(DATOS!$C$22,INT((DATOS!$C$25+DATOS!$C$24)/(INDEX(TABLAS!$C$52:$C$58,MIN(MATCH(DATOS!$C$20,TABLAS!$B$52:$B$58,0)+2,7))+DATOS!$C$24)))),INDEX(TABLAS!$B$52:$B$58,MIN(MATCH(DATOS!$C$20,TABLAS!$B$52:$B$58,0)+2,7)),IF(AND(AV40&gt;=0,CEILING(AV40/INDEX(TABLAS!$D$52:$D$58,MIN(MATCH(DATOS!$C$20,TABLAS!$B$52:$B$58,0)+3,7)),1)&lt;=MIN(DATOS!$C$22,INT((DATOS!$C$25+DATOS!$C$24)/(INDEX(TABLAS!$C$52:$C$58,MIN(MATCH(DATOS!$C$20,TABLAS!$B$52:$B$58,0)+3,7))+DATOS!$C$24)))),INDEX(TABLAS!$B$52:$B$58,MIN(MATCH(DATOS!$C$20,TABLAS!$B$52:$B$58,0)+3,7)),IF(AND(AV40&gt;=0,CEILING(AV40/INDEX(TABLAS!$D$52:$D$58,MIN(MATCH(DATOS!$C$20,TABLAS!$B$52:$B$58,0)+4,7)),1)&lt;=MIN(DATOS!$C$22,INT((DATOS!$C$25+DATOS!$C$24)/(INDEX(TABLAS!$C$52:$C$58,MIN(MATCH(DATOS!$C$20,TABLAS!$B$52:$B$58,0)+4,7))+DATOS!$C$24)))),INDEX(TABLAS!$B$52:$B$58,MIN(MATCH(DATOS!$C$20,TABLAS!$B$52:$B$58,0)+4,7)),INDEX(TABLAS!$B$52:$B$58,7))))))</f>
        <v>3</v>
      </c>
      <c r="AX40" s="55">
        <f>IF(D40="HUECO",0,IF(AV40&lt;0,0,MAX(DATOS!$C$23,CEILING(AV40/INDEX(TABLAS!$D$52:$D$58,MATCH(AW40,TABLAS!$B$52:$B$58,0)),1))))</f>
        <v>1</v>
      </c>
      <c r="AY40" s="34">
        <f>IF(AX40=0,0,DATOS!$C$45*AX40*INDEX(TABLAS!$D$52:$D$58,MATCH(AW40,TABLAS!$B$52:$B$58,0))*DATOS!$C$32*((DATOS!$C$15-DATOS!$C$18-INDEX(TABLAS!$C$52:$C$58,MATCH(DATOS!$C$19,TABLAS!$B$52:$B$58,0))-INDEX(TABLAS!$C$52:$C$58,MATCH(AW40,TABLAS!$B$52:$B$58,0))/2)-AX40*INDEX(TABLAS!$D$52:$D$58,MATCH(AW40,TABLAS!$B$52:$B$58,0))*DATOS!$C$32/(DATOS!$C$38*DATOS!$C$16)/2)/1E5)</f>
        <v>0.584659515176471</v>
      </c>
      <c r="AZ40" s="59">
        <f>IF(AV40&lt;0,9.99,IF(AY40&gt;0,AJ40/AY40,0))</f>
        <v>0.0584259186715295</v>
      </c>
      <c r="BA40" s="41">
        <f>IF(D40="HUECO",0,IF(AK40&lt;=0,DATOS!$C$71*DATOS!$C$13*DATOS!$C$67,IF((1-2*AK40*1E5/(DATOS!$C$45*DATOS!$C$13*DATOS!$C$67^2*DATOS!$C$38))&lt;0,-1,IF((1-SQRT((1-2*AK40*1E5/(DATOS!$C$45*DATOS!$C$13*DATOS!$C$67^2*DATOS!$C$38))))*DATOS!$C$38*DATOS!$C$13*DATOS!$C$67/DATOS!$C$32&gt;DATOS!$C$70*DATOS!$C$13*DATOS!$C$67,-1,MAX(DATOS!$C$71*DATOS!$C$13*DATOS!$C$67,(1-SQRT((1-2*AK40*1E5/(DATOS!$C$45*DATOS!$C$13*DATOS!$C$67^2*DATOS!$C$38))))*DATOS!$C$38*DATOS!$C$13*DATOS!$C$67/DATOS!$C$32)))))</f>
        <v>0.576720388273208</v>
      </c>
      <c r="BB40" s="39">
        <f>IF(AND(BA40&gt;=0,CEILING(BA40/INDEX(TABLAS!$D$52:$D$58,MIN(MATCH(DATOS!$C$21,TABLAS!$B$52:$B$58,0)+0,7)),1)&lt;=MIN(DATOS!$C$22,INT((DATOS!$C$25+DATOS!$C$24)/(INDEX(TABLAS!$C$52:$C$58,MIN(MATCH(DATOS!$C$21,TABLAS!$B$52:$B$58,0)+0,7))+DATOS!$C$24)))),INDEX(TABLAS!$B$52:$B$58,MIN(MATCH(DATOS!$C$21,TABLAS!$B$52:$B$58,0)+0,7)),IF(AND(BA40&gt;=0,CEILING(BA40/INDEX(TABLAS!$D$52:$D$58,MIN(MATCH(DATOS!$C$21,TABLAS!$B$52:$B$58,0)+1,7)),1)&lt;=MIN(DATOS!$C$22,INT((DATOS!$C$25+DATOS!$C$24)/(INDEX(TABLAS!$C$52:$C$58,MIN(MATCH(DATOS!$C$21,TABLAS!$B$52:$B$58,0)+1,7))+DATOS!$C$24)))),INDEX(TABLAS!$B$52:$B$58,MIN(MATCH(DATOS!$C$21,TABLAS!$B$52:$B$58,0)+1,7)),IF(AND(BA40&gt;=0,CEILING(BA40/INDEX(TABLAS!$D$52:$D$58,MIN(MATCH(DATOS!$C$21,TABLAS!$B$52:$B$58,0)+2,7)),1)&lt;=MIN(DATOS!$C$22,INT((DATOS!$C$25+DATOS!$C$24)/(INDEX(TABLAS!$C$52:$C$58,MIN(MATCH(DATOS!$C$21,TABLAS!$B$52:$B$58,0)+2,7))+DATOS!$C$24)))),INDEX(TABLAS!$B$52:$B$58,MIN(MATCH(DATOS!$C$21,TABLAS!$B$52:$B$58,0)+2,7)),IF(AND(BA40&gt;=0,CEILING(BA40/INDEX(TABLAS!$D$52:$D$58,MIN(MATCH(DATOS!$C$21,TABLAS!$B$52:$B$58,0)+3,7)),1)&lt;=MIN(DATOS!$C$22,INT((DATOS!$C$25+DATOS!$C$24)/(INDEX(TABLAS!$C$52:$C$58,MIN(MATCH(DATOS!$C$21,TABLAS!$B$52:$B$58,0)+3,7))+DATOS!$C$24)))),INDEX(TABLAS!$B$52:$B$58,MIN(MATCH(DATOS!$C$21,TABLAS!$B$52:$B$58,0)+3,7)),IF(AND(BA40&gt;=0,CEILING(BA40/INDEX(TABLAS!$D$52:$D$58,MIN(MATCH(DATOS!$C$21,TABLAS!$B$52:$B$58,0)+4,7)),1)&lt;=MIN(DATOS!$C$22,INT((DATOS!$C$25+DATOS!$C$24)/(INDEX(TABLAS!$C$52:$C$58,MIN(MATCH(DATOS!$C$21,TABLAS!$B$52:$B$58,0)+4,7))+DATOS!$C$24)))),INDEX(TABLAS!$B$52:$B$58,MIN(MATCH(DATOS!$C$21,TABLAS!$B$52:$B$58,0)+4,7)),INDEX(TABLAS!$B$52:$B$58,7))))))</f>
        <v>3</v>
      </c>
      <c r="BC40" s="55">
        <f>IF(D40="HUECO",0,IF(BA40&lt;0,0,MAX(1,CEILING(BA40/INDEX(TABLAS!$D$52:$D$58,MATCH(BB40,TABLAS!$B$52:$B$58,0)),1))))</f>
        <v>1</v>
      </c>
      <c r="BD40" s="34">
        <f>IF(BC40=0,0,DATOS!$C$45*BC40*INDEX(TABLAS!$D$52:$D$58,MATCH(BB40,TABLAS!$B$52:$B$58,0))*DATOS!$C$32*((DATOS!$C$15-DATOS!$C$18-INDEX(TABLAS!$C$52:$C$58,MATCH(DATOS!$C$19,TABLAS!$B$52:$B$58,0))-INDEX(TABLAS!$C$52:$C$58,MATCH(BB40,TABLAS!$B$52:$B$58,0))/2)-BC40*INDEX(TABLAS!$D$52:$D$58,MATCH(BB40,TABLAS!$B$52:$B$58,0))*DATOS!$C$32/(DATOS!$C$38*DATOS!$C$13)/2)/1E5)</f>
        <v>0.568518826235294</v>
      </c>
      <c r="BE40" s="59">
        <f>IF(BA40&lt;0,9.99,IF(BD40&gt;0,AK40/BD40,0))</f>
        <v>0.17176729320114</v>
      </c>
      <c r="BF40" s="34">
        <f>IF(D40="PERIMETRAL",MAX(0,(J40/2-DATOS!$C$66/100))*(0.95-0.5*L40)*R40*IF(AND(S40&gt;0,S40&lt;4),DATOS!$C$50,1)*DATOS!$C$16/100/1000,IF(D40="VOLADO",(R40*J40+DATOS!$C$43*AG40)*DATOS!$C$16/100/1000,0))</f>
        <v>0.36719870774345</v>
      </c>
      <c r="BG40" s="34">
        <f>IF(D40="HUECO",0,DATOS!$C$46*IF((AS40*INDEX(TABLAS!$D$52:$D$58,MATCH(AR40,TABLAS!$B$52:$B$58,0))/(DATOS!$C$13*DATOS!$C$67))&lt;0.015,0.2+20*(AS40*INDEX(TABLAS!$D$52:$D$58,MATCH(AR40,TABLAS!$B$52:$B$58,0))/(DATOS!$C$13*DATOS!$C$67)),0.5)*SQRT(DATOS!$C$31)*DATOS!$C$13*DATOS!$C$67*DATOS!$C$49/1000)</f>
        <v>0.687439634849853</v>
      </c>
      <c r="BH40" s="49" t="str">
        <f>IF(D40="HUECO","—",IF(BF40&lt;=BG40,"CUMPLE","MACIZAR "&amp;MAX(1,CEILING(IF(D40="VOLADO",J40,J40/2)*(1-BG40/BF40)*100/DATOS!$C$16,1))&amp;" hilera(s)"))</f>
        <v>CUMPLE</v>
      </c>
      <c r="BI40" s="41">
        <f>IF(D40="PERIMETRAL",(2*(H40+I40)+0.25*(H40*((APOYOS!$G$153="DISCONTINUO")+(APOYOS!$G$154="DISCONTINUO"))+I40*((APOYOS!$G$155="DISCONTINUO")+(APOYOS!$G$156="DISCONTINUO"))))*(J40+MIN(K40,2*J40))/(J40+K40)*100/250*IF(OR(DATOS!$C$47&gt;2520,Q40&gt;380),0.032*(DATOS!$C$47*Q40)^0.25,1),IF(D40="VOLADO",J40*100/8,0))</f>
        <v>5.22912240265715</v>
      </c>
      <c r="BJ40" s="41">
        <f>IF(D40="VOLADO",DATOS!$C$15,DATOS!$C$68)</f>
        <v>13.6082564120244</v>
      </c>
      <c r="BK40" s="50" t="str">
        <f>IF(D40="HUECO","—",IF(BJ40&gt;=BI40,"CUMPLE","NO CUMPLE"))</f>
        <v>CUMPLE</v>
      </c>
      <c r="BL40" s="50" t="str">
        <f>IF(D40="PERIMETRAL",IF(DATOS!$C$16/100&lt;=J40/6,"SÍ","NO: a1 &lt; 6·s"),"—")</f>
        <v>NO: a1 &lt; 6·s</v>
      </c>
      <c r="BM40" s="55">
        <f>MAX(0,INT((F40*100-DATOS!$C$17+DATOS!$C$13)/DATOS!$C$16))</f>
        <v>4</v>
      </c>
      <c r="BN40" s="55">
        <f>MAX(0,INT((G40*100-DATOS!$C$17+DATOS!$C$13)/DATOS!$C$16))</f>
        <v>16</v>
      </c>
      <c r="BO40" s="49" t="str">
        <f>IF(COUNTIFS(TRIB!$C$6:$C$255,B40,TRIB!$K$6:$K$255,"NO CUMPLE*")+COUNTIFS(TRIB!$C$6:$C$255,B40,TRIB!$K$6:$K$255,"SIN APOYO*")&gt;0,"VER PRINCIPALES",IF((APOYOS!$F$153="LIBRE")+(APOYOS!$F$154="LIBRE")+(APOYOS!$F$155="LIBRE")+(APOYOS!$F$156="LIBRE")&gt;0,"REVISAR: borde libre","OK"))</f>
        <v>OK</v>
      </c>
      <c r="BP40" s="60" t="str">
        <f>IF(D40="HUECO","HUECO — marco de nervaduras principales",IF(AND(MAX(AP40,AU40,AZ40,BE40)&lt;=1,NOT(OR(AN40&gt;MIN(DATOS!$C$22,INT((DATOS!$C$25+DATOS!$C$24)/(INDEX(TABLAS!$C$52:$C$58,MATCH(AM40,TABLAS!$B$52:$B$58,0))+DATOS!$C$24))),AS40&gt;MIN(DATOS!$C$22,INT((DATOS!$C$25+DATOS!$C$24)/(INDEX(TABLAS!$C$52:$C$58,MATCH(AR40,TABLAS!$B$52:$B$58,0))+DATOS!$C$24))),AX40&gt;MIN(DATOS!$C$22,INT((DATOS!$C$25+DATOS!$C$24)/(INDEX(TABLAS!$C$52:$C$58,MATCH(AW40,TABLAS!$B$52:$B$58,0))+DATOS!$C$24))),BC40&gt;MIN(DATOS!$C$22,INT((DATOS!$C$25+DATOS!$C$24)/(INDEX(TABLAS!$C$52:$C$58,MATCH(BB40,TABLAS!$B$52:$B$58,0))+DATOS!$C$24))))),BK40="CUMPLE"),IF(BO40="OK",IF(BH40="CUMPLE","CUMPLE","CUMPLE — "&amp;BH40),IF(BO40="VER PRINCIPALES","VER PRINCIPALES","REVISAR APOYOS")),"NO CUMPLE: "&amp;IF(MAX(AP40,AU40,AZ40,BE40)&gt;1,"flexión ","")&amp;IF(OR(AN40&gt;MIN(DATOS!$C$22,INT((DATOS!$C$25+DATOS!$C$24)/(INDEX(TABLAS!$C$52:$C$58,MATCH(AM40,TABLAS!$B$52:$B$58,0))+DATOS!$C$24))),AS40&gt;MIN(DATOS!$C$22,INT((DATOS!$C$25+DATOS!$C$24)/(INDEX(TABLAS!$C$52:$C$58,MATCH(AR40,TABLAS!$B$52:$B$58,0))+DATOS!$C$24))),AX40&gt;MIN(DATOS!$C$22,INT((DATOS!$C$25+DATOS!$C$24)/(INDEX(TABLAS!$C$52:$C$58,MATCH(AW40,TABLAS!$B$52:$B$58,0))+DATOS!$C$24))),BC40&gt;MIN(DATOS!$C$22,INT((DATOS!$C$25+DATOS!$C$24)/(INDEX(TABLAS!$C$52:$C$58,MATCH(BB40,TABLAS!$B$52:$B$58,0))+DATOS!$C$24)))),"no caben ","")&amp;IF(BK40&lt;&gt;"CUMPLE","peralte","")))</f>
        <v>CUMPLE</v>
      </c>
      <c r="BQ40" s="61" t="inlineStr">
        <is>
          <t>Parte x 3.427–5.422, y 14.021–17.446: la de mayor claro corto. El resto es pasillo de 1.10–1.60 m. En el E2K está como «Slab1» (maciza 20 cm, 4000 psi): corregir a LR-25.</t>
        </is>
      </c>
    </row>
  </sheetData>
  <mergeCells count="16">
    <mergeCell ref="F6:L6"/>
    <mergeCell ref="BL6:BQ6"/>
    <mergeCell ref="S6:X6"/>
    <mergeCell ref="B1:BQ1"/>
    <mergeCell ref="AG6:AK6"/>
    <mergeCell ref="AV6:AZ6"/>
    <mergeCell ref="BF6:BH6"/>
    <mergeCell ref="BI6:BK6"/>
    <mergeCell ref="AL6:AP6"/>
    <mergeCell ref="B6:E6"/>
    <mergeCell ref="BA6:BE6"/>
    <mergeCell ref="N6:R6"/>
    <mergeCell ref="AQ6:AU6"/>
    <mergeCell ref="Y6:AF6"/>
    <mergeCell ref="B3:BQ3"/>
    <mergeCell ref="B2:BQ2"/>
  </mergeCells>
  <conditionalFormatting sqref="B9:BP40">
    <cfRule type="expression" priority="1" dxfId="0" stopIfTrue="1">
      <formula>OR(ISNUMBER(FIND("NO CUMPLE",B9)),ISNUMBER(FIND("REVISAR",B9)),ISNUMBER(FIND("NO CABE",B9)),ISNUMBER(FIND("FUERA",B9)),ISNUMBER(FIND("SIN APOYO",B9)),ISNUMBER(FIND("INSUFICIENTE",B9)))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dataValidations count="96">
    <dataValidation sqref="D9" showDropDown="0" showInputMessage="0" showErrorMessage="0" allowBlank="0" errorTitle="Valor no válido" error="Escoge un valor de la lista" type="list">
      <formula1>=TABLAS!$C$72:$C$74</formula1>
    </dataValidation>
    <dataValidation sqref="E9" showDropDown="0" showInputMessage="0" showErrorMessage="0" allowBlank="0" errorTitle="Valor no válido" error="Escoge un valor de la lista" type="list">
      <formula1>=TABLAS!$D$72:$D$73</formula1>
    </dataValidation>
    <dataValidation sqref="W9" showDropDown="0" showInputMessage="0" showErrorMessage="0" allowBlank="0" errorTitle="Valor no válido" error="Escoge un valor de la lista" type="list">
      <formula1>=TABLAS!$B$72:$B$79</formula1>
    </dataValidation>
    <dataValidation sqref="D10" showDropDown="0" showInputMessage="0" showErrorMessage="0" allowBlank="0" errorTitle="Valor no válido" error="Escoge un valor de la lista" type="list">
      <formula1>=TABLAS!$C$72:$C$74</formula1>
    </dataValidation>
    <dataValidation sqref="E10" showDropDown="0" showInputMessage="0" showErrorMessage="0" allowBlank="0" errorTitle="Valor no válido" error="Escoge un valor de la lista" type="list">
      <formula1>=TABLAS!$D$72:$D$73</formula1>
    </dataValidation>
    <dataValidation sqref="W10" showDropDown="0" showInputMessage="0" showErrorMessage="0" allowBlank="0" errorTitle="Valor no válido" error="Escoge un valor de la lista" type="list">
      <formula1>=TABLAS!$B$72:$B$79</formula1>
    </dataValidation>
    <dataValidation sqref="D11" showDropDown="0" showInputMessage="0" showErrorMessage="0" allowBlank="0" errorTitle="Valor no válido" error="Escoge un valor de la lista" type="list">
      <formula1>=TABLAS!$C$72:$C$74</formula1>
    </dataValidation>
    <dataValidation sqref="E11" showDropDown="0" showInputMessage="0" showErrorMessage="0" allowBlank="0" errorTitle="Valor no válido" error="Escoge un valor de la lista" type="list">
      <formula1>=TABLAS!$D$72:$D$73</formula1>
    </dataValidation>
    <dataValidation sqref="W11" showDropDown="0" showInputMessage="0" showErrorMessage="0" allowBlank="0" errorTitle="Valor no válido" error="Escoge un valor de la lista" type="list">
      <formula1>=TABLAS!$B$72:$B$79</formula1>
    </dataValidation>
    <dataValidation sqref="D12" showDropDown="0" showInputMessage="0" showErrorMessage="0" allowBlank="0" errorTitle="Valor no válido" error="Escoge un valor de la lista" type="list">
      <formula1>=TABLAS!$C$72:$C$74</formula1>
    </dataValidation>
    <dataValidation sqref="E12" showDropDown="0" showInputMessage="0" showErrorMessage="0" allowBlank="0" errorTitle="Valor no válido" error="Escoge un valor de la lista" type="list">
      <formula1>=TABLAS!$D$72:$D$73</formula1>
    </dataValidation>
    <dataValidation sqref="W12" showDropDown="0" showInputMessage="0" showErrorMessage="0" allowBlank="0" errorTitle="Valor no válido" error="Escoge un valor de la lista" type="list">
      <formula1>=TABLAS!$B$72:$B$79</formula1>
    </dataValidation>
    <dataValidation sqref="D13" showDropDown="0" showInputMessage="0" showErrorMessage="0" allowBlank="0" errorTitle="Valor no válido" error="Escoge un valor de la lista" type="list">
      <formula1>=TABLAS!$C$72:$C$74</formula1>
    </dataValidation>
    <dataValidation sqref="E13" showDropDown="0" showInputMessage="0" showErrorMessage="0" allowBlank="0" errorTitle="Valor no válido" error="Escoge un valor de la lista" type="list">
      <formula1>=TABLAS!$D$72:$D$73</formula1>
    </dataValidation>
    <dataValidation sqref="W13" showDropDown="0" showInputMessage="0" showErrorMessage="0" allowBlank="0" errorTitle="Valor no válido" error="Escoge un valor de la lista" type="list">
      <formula1>=TABLAS!$B$72:$B$79</formula1>
    </dataValidation>
    <dataValidation sqref="D14" showDropDown="0" showInputMessage="0" showErrorMessage="0" allowBlank="0" errorTitle="Valor no válido" error="Escoge un valor de la lista" type="list">
      <formula1>=TABLAS!$C$72:$C$74</formula1>
    </dataValidation>
    <dataValidation sqref="E14" showDropDown="0" showInputMessage="0" showErrorMessage="0" allowBlank="0" errorTitle="Valor no válido" error="Escoge un valor de la lista" type="list">
      <formula1>=TABLAS!$D$72:$D$73</formula1>
    </dataValidation>
    <dataValidation sqref="W14" showDropDown="0" showInputMessage="0" showErrorMessage="0" allowBlank="0" errorTitle="Valor no válido" error="Escoge un valor de la lista" type="list">
      <formula1>=TABLAS!$B$72:$B$79</formula1>
    </dataValidation>
    <dataValidation sqref="D15" showDropDown="0" showInputMessage="0" showErrorMessage="0" allowBlank="0" errorTitle="Valor no válido" error="Escoge un valor de la lista" type="list">
      <formula1>=TABLAS!$C$72:$C$74</formula1>
    </dataValidation>
    <dataValidation sqref="E15" showDropDown="0" showInputMessage="0" showErrorMessage="0" allowBlank="0" errorTitle="Valor no válido" error="Escoge un valor de la lista" type="list">
      <formula1>=TABLAS!$D$72:$D$73</formula1>
    </dataValidation>
    <dataValidation sqref="W15" showDropDown="0" showInputMessage="0" showErrorMessage="0" allowBlank="0" errorTitle="Valor no válido" error="Escoge un valor de la lista" type="list">
      <formula1>=TABLAS!$B$72:$B$79</formula1>
    </dataValidation>
    <dataValidation sqref="D16" showDropDown="0" showInputMessage="0" showErrorMessage="0" allowBlank="0" errorTitle="Valor no válido" error="Escoge un valor de la lista" type="list">
      <formula1>=TABLAS!$C$72:$C$74</formula1>
    </dataValidation>
    <dataValidation sqref="E16" showDropDown="0" showInputMessage="0" showErrorMessage="0" allowBlank="0" errorTitle="Valor no válido" error="Escoge un valor de la lista" type="list">
      <formula1>=TABLAS!$D$72:$D$73</formula1>
    </dataValidation>
    <dataValidation sqref="W16" showDropDown="0" showInputMessage="0" showErrorMessage="0" allowBlank="0" errorTitle="Valor no válido" error="Escoge un valor de la lista" type="list">
      <formula1>=TABLAS!$B$72:$B$79</formula1>
    </dataValidation>
    <dataValidation sqref="D17" showDropDown="0" showInputMessage="0" showErrorMessage="0" allowBlank="0" errorTitle="Valor no válido" error="Escoge un valor de la lista" type="list">
      <formula1>=TABLAS!$C$72:$C$74</formula1>
    </dataValidation>
    <dataValidation sqref="E17" showDropDown="0" showInputMessage="0" showErrorMessage="0" allowBlank="0" errorTitle="Valor no válido" error="Escoge un valor de la lista" type="list">
      <formula1>=TABLAS!$D$72:$D$73</formula1>
    </dataValidation>
    <dataValidation sqref="W17" showDropDown="0" showInputMessage="0" showErrorMessage="0" allowBlank="0" errorTitle="Valor no válido" error="Escoge un valor de la lista" type="list">
      <formula1>=TABLAS!$B$72:$B$79</formula1>
    </dataValidation>
    <dataValidation sqref="D18" showDropDown="0" showInputMessage="0" showErrorMessage="0" allowBlank="0" errorTitle="Valor no válido" error="Escoge un valor de la lista" type="list">
      <formula1>=TABLAS!$C$72:$C$74</formula1>
    </dataValidation>
    <dataValidation sqref="E18" showDropDown="0" showInputMessage="0" showErrorMessage="0" allowBlank="0" errorTitle="Valor no válido" error="Escoge un valor de la lista" type="list">
      <formula1>=TABLAS!$D$72:$D$73</formula1>
    </dataValidation>
    <dataValidation sqref="W18" showDropDown="0" showInputMessage="0" showErrorMessage="0" allowBlank="0" errorTitle="Valor no válido" error="Escoge un valor de la lista" type="list">
      <formula1>=TABLAS!$B$72:$B$79</formula1>
    </dataValidation>
    <dataValidation sqref="D19" showDropDown="0" showInputMessage="0" showErrorMessage="0" allowBlank="0" errorTitle="Valor no válido" error="Escoge un valor de la lista" type="list">
      <formula1>=TABLAS!$C$72:$C$74</formula1>
    </dataValidation>
    <dataValidation sqref="E19" showDropDown="0" showInputMessage="0" showErrorMessage="0" allowBlank="0" errorTitle="Valor no válido" error="Escoge un valor de la lista" type="list">
      <formula1>=TABLAS!$D$72:$D$73</formula1>
    </dataValidation>
    <dataValidation sqref="W19" showDropDown="0" showInputMessage="0" showErrorMessage="0" allowBlank="0" errorTitle="Valor no válido" error="Escoge un valor de la lista" type="list">
      <formula1>=TABLAS!$B$72:$B$79</formula1>
    </dataValidation>
    <dataValidation sqref="D20" showDropDown="0" showInputMessage="0" showErrorMessage="0" allowBlank="0" errorTitle="Valor no válido" error="Escoge un valor de la lista" type="list">
      <formula1>=TABLAS!$C$72:$C$74</formula1>
    </dataValidation>
    <dataValidation sqref="E20" showDropDown="0" showInputMessage="0" showErrorMessage="0" allowBlank="0" errorTitle="Valor no válido" error="Escoge un valor de la lista" type="list">
      <formula1>=TABLAS!$D$72:$D$73</formula1>
    </dataValidation>
    <dataValidation sqref="W20" showDropDown="0" showInputMessage="0" showErrorMessage="0" allowBlank="0" errorTitle="Valor no válido" error="Escoge un valor de la lista" type="list">
      <formula1>=TABLAS!$B$72:$B$79</formula1>
    </dataValidation>
    <dataValidation sqref="D21" showDropDown="0" showInputMessage="0" showErrorMessage="0" allowBlank="0" errorTitle="Valor no válido" error="Escoge un valor de la lista" type="list">
      <formula1>=TABLAS!$C$72:$C$74</formula1>
    </dataValidation>
    <dataValidation sqref="E21" showDropDown="0" showInputMessage="0" showErrorMessage="0" allowBlank="0" errorTitle="Valor no válido" error="Escoge un valor de la lista" type="list">
      <formula1>=TABLAS!$D$72:$D$73</formula1>
    </dataValidation>
    <dataValidation sqref="W21" showDropDown="0" showInputMessage="0" showErrorMessage="0" allowBlank="0" errorTitle="Valor no válido" error="Escoge un valor de la lista" type="list">
      <formula1>=TABLAS!$B$72:$B$79</formula1>
    </dataValidation>
    <dataValidation sqref="D22" showDropDown="0" showInputMessage="0" showErrorMessage="0" allowBlank="0" errorTitle="Valor no válido" error="Escoge un valor de la lista" type="list">
      <formula1>=TABLAS!$C$72:$C$74</formula1>
    </dataValidation>
    <dataValidation sqref="E22" showDropDown="0" showInputMessage="0" showErrorMessage="0" allowBlank="0" errorTitle="Valor no válido" error="Escoge un valor de la lista" type="list">
      <formula1>=TABLAS!$D$72:$D$73</formula1>
    </dataValidation>
    <dataValidation sqref="W22" showDropDown="0" showInputMessage="0" showErrorMessage="0" allowBlank="0" errorTitle="Valor no válido" error="Escoge un valor de la lista" type="list">
      <formula1>=TABLAS!$B$72:$B$79</formula1>
    </dataValidation>
    <dataValidation sqref="D23" showDropDown="0" showInputMessage="0" showErrorMessage="0" allowBlank="0" errorTitle="Valor no válido" error="Escoge un valor de la lista" type="list">
      <formula1>=TABLAS!$C$72:$C$74</formula1>
    </dataValidation>
    <dataValidation sqref="E23" showDropDown="0" showInputMessage="0" showErrorMessage="0" allowBlank="0" errorTitle="Valor no válido" error="Escoge un valor de la lista" type="list">
      <formula1>=TABLAS!$D$72:$D$73</formula1>
    </dataValidation>
    <dataValidation sqref="W23" showDropDown="0" showInputMessage="0" showErrorMessage="0" allowBlank="0" errorTitle="Valor no válido" error="Escoge un valor de la lista" type="list">
      <formula1>=TABLAS!$B$72:$B$79</formula1>
    </dataValidation>
    <dataValidation sqref="D24" showDropDown="0" showInputMessage="0" showErrorMessage="0" allowBlank="0" errorTitle="Valor no válido" error="Escoge un valor de la lista" type="list">
      <formula1>=TABLAS!$C$72:$C$74</formula1>
    </dataValidation>
    <dataValidation sqref="E24" showDropDown="0" showInputMessage="0" showErrorMessage="0" allowBlank="0" errorTitle="Valor no válido" error="Escoge un valor de la lista" type="list">
      <formula1>=TABLAS!$D$72:$D$73</formula1>
    </dataValidation>
    <dataValidation sqref="W24" showDropDown="0" showInputMessage="0" showErrorMessage="0" allowBlank="0" errorTitle="Valor no válido" error="Escoge un valor de la lista" type="list">
      <formula1>=TABLAS!$B$72:$B$79</formula1>
    </dataValidation>
    <dataValidation sqref="D25" showDropDown="0" showInputMessage="0" showErrorMessage="0" allowBlank="0" errorTitle="Valor no válido" error="Escoge un valor de la lista" type="list">
      <formula1>=TABLAS!$C$72:$C$74</formula1>
    </dataValidation>
    <dataValidation sqref="E25" showDropDown="0" showInputMessage="0" showErrorMessage="0" allowBlank="0" errorTitle="Valor no válido" error="Escoge un valor de la lista" type="list">
      <formula1>=TABLAS!$D$72:$D$73</formula1>
    </dataValidation>
    <dataValidation sqref="W25" showDropDown="0" showInputMessage="0" showErrorMessage="0" allowBlank="0" errorTitle="Valor no válido" error="Escoge un valor de la lista" type="list">
      <formula1>=TABLAS!$B$72:$B$79</formula1>
    </dataValidation>
    <dataValidation sqref="D26" showDropDown="0" showInputMessage="0" showErrorMessage="0" allowBlank="0" errorTitle="Valor no válido" error="Escoge un valor de la lista" type="list">
      <formula1>=TABLAS!$C$72:$C$74</formula1>
    </dataValidation>
    <dataValidation sqref="E26" showDropDown="0" showInputMessage="0" showErrorMessage="0" allowBlank="0" errorTitle="Valor no válido" error="Escoge un valor de la lista" type="list">
      <formula1>=TABLAS!$D$72:$D$73</formula1>
    </dataValidation>
    <dataValidation sqref="W26" showDropDown="0" showInputMessage="0" showErrorMessage="0" allowBlank="0" errorTitle="Valor no válido" error="Escoge un valor de la lista" type="list">
      <formula1>=TABLAS!$B$72:$B$79</formula1>
    </dataValidation>
    <dataValidation sqref="D27" showDropDown="0" showInputMessage="0" showErrorMessage="0" allowBlank="0" errorTitle="Valor no válido" error="Escoge un valor de la lista" type="list">
      <formula1>=TABLAS!$C$72:$C$74</formula1>
    </dataValidation>
    <dataValidation sqref="E27" showDropDown="0" showInputMessage="0" showErrorMessage="0" allowBlank="0" errorTitle="Valor no válido" error="Escoge un valor de la lista" type="list">
      <formula1>=TABLAS!$D$72:$D$73</formula1>
    </dataValidation>
    <dataValidation sqref="W27" showDropDown="0" showInputMessage="0" showErrorMessage="0" allowBlank="0" errorTitle="Valor no válido" error="Escoge un valor de la lista" type="list">
      <formula1>=TABLAS!$B$72:$B$79</formula1>
    </dataValidation>
    <dataValidation sqref="D28" showDropDown="0" showInputMessage="0" showErrorMessage="0" allowBlank="0" errorTitle="Valor no válido" error="Escoge un valor de la lista" type="list">
      <formula1>=TABLAS!$C$72:$C$74</formula1>
    </dataValidation>
    <dataValidation sqref="E28" showDropDown="0" showInputMessage="0" showErrorMessage="0" allowBlank="0" errorTitle="Valor no válido" error="Escoge un valor de la lista" type="list">
      <formula1>=TABLAS!$D$72:$D$73</formula1>
    </dataValidation>
    <dataValidation sqref="W28" showDropDown="0" showInputMessage="0" showErrorMessage="0" allowBlank="0" errorTitle="Valor no válido" error="Escoge un valor de la lista" type="list">
      <formula1>=TABLAS!$B$72:$B$79</formula1>
    </dataValidation>
    <dataValidation sqref="D29" showDropDown="0" showInputMessage="0" showErrorMessage="0" allowBlank="0" errorTitle="Valor no válido" error="Escoge un valor de la lista" type="list">
      <formula1>=TABLAS!$C$72:$C$74</formula1>
    </dataValidation>
    <dataValidation sqref="E29" showDropDown="0" showInputMessage="0" showErrorMessage="0" allowBlank="0" errorTitle="Valor no válido" error="Escoge un valor de la lista" type="list">
      <formula1>=TABLAS!$D$72:$D$73</formula1>
    </dataValidation>
    <dataValidation sqref="W29" showDropDown="0" showInputMessage="0" showErrorMessage="0" allowBlank="0" errorTitle="Valor no válido" error="Escoge un valor de la lista" type="list">
      <formula1>=TABLAS!$B$72:$B$79</formula1>
    </dataValidation>
    <dataValidation sqref="D30" showDropDown="0" showInputMessage="0" showErrorMessage="0" allowBlank="0" errorTitle="Valor no válido" error="Escoge un valor de la lista" type="list">
      <formula1>=TABLAS!$C$72:$C$74</formula1>
    </dataValidation>
    <dataValidation sqref="E30" showDropDown="0" showInputMessage="0" showErrorMessage="0" allowBlank="0" errorTitle="Valor no válido" error="Escoge un valor de la lista" type="list">
      <formula1>=TABLAS!$D$72:$D$73</formula1>
    </dataValidation>
    <dataValidation sqref="W30" showDropDown="0" showInputMessage="0" showErrorMessage="0" allowBlank="0" errorTitle="Valor no válido" error="Escoge un valor de la lista" type="list">
      <formula1>=TABLAS!$B$72:$B$79</formula1>
    </dataValidation>
    <dataValidation sqref="D31" showDropDown="0" showInputMessage="0" showErrorMessage="0" allowBlank="0" errorTitle="Valor no válido" error="Escoge un valor de la lista" type="list">
      <formula1>=TABLAS!$C$72:$C$74</formula1>
    </dataValidation>
    <dataValidation sqref="E31" showDropDown="0" showInputMessage="0" showErrorMessage="0" allowBlank="0" errorTitle="Valor no válido" error="Escoge un valor de la lista" type="list">
      <formula1>=TABLAS!$D$72:$D$73</formula1>
    </dataValidation>
    <dataValidation sqref="W31" showDropDown="0" showInputMessage="0" showErrorMessage="0" allowBlank="0" errorTitle="Valor no válido" error="Escoge un valor de la lista" type="list">
      <formula1>=TABLAS!$B$72:$B$79</formula1>
    </dataValidation>
    <dataValidation sqref="D32" showDropDown="0" showInputMessage="0" showErrorMessage="0" allowBlank="0" errorTitle="Valor no válido" error="Escoge un valor de la lista" type="list">
      <formula1>=TABLAS!$C$72:$C$74</formula1>
    </dataValidation>
    <dataValidation sqref="E32" showDropDown="0" showInputMessage="0" showErrorMessage="0" allowBlank="0" errorTitle="Valor no válido" error="Escoge un valor de la lista" type="list">
      <formula1>=TABLAS!$D$72:$D$73</formula1>
    </dataValidation>
    <dataValidation sqref="W32" showDropDown="0" showInputMessage="0" showErrorMessage="0" allowBlank="0" errorTitle="Valor no válido" error="Escoge un valor de la lista" type="list">
      <formula1>=TABLAS!$B$72:$B$79</formula1>
    </dataValidation>
    <dataValidation sqref="D33" showDropDown="0" showInputMessage="0" showErrorMessage="0" allowBlank="0" errorTitle="Valor no válido" error="Escoge un valor de la lista" type="list">
      <formula1>=TABLAS!$C$72:$C$74</formula1>
    </dataValidation>
    <dataValidation sqref="E33" showDropDown="0" showInputMessage="0" showErrorMessage="0" allowBlank="0" errorTitle="Valor no válido" error="Escoge un valor de la lista" type="list">
      <formula1>=TABLAS!$D$72:$D$73</formula1>
    </dataValidation>
    <dataValidation sqref="W33" showDropDown="0" showInputMessage="0" showErrorMessage="0" allowBlank="0" errorTitle="Valor no válido" error="Escoge un valor de la lista" type="list">
      <formula1>=TABLAS!$B$72:$B$79</formula1>
    </dataValidation>
    <dataValidation sqref="D34" showDropDown="0" showInputMessage="0" showErrorMessage="0" allowBlank="0" errorTitle="Valor no válido" error="Escoge un valor de la lista" type="list">
      <formula1>=TABLAS!$C$72:$C$74</formula1>
    </dataValidation>
    <dataValidation sqref="E34" showDropDown="0" showInputMessage="0" showErrorMessage="0" allowBlank="0" errorTitle="Valor no válido" error="Escoge un valor de la lista" type="list">
      <formula1>=TABLAS!$D$72:$D$73</formula1>
    </dataValidation>
    <dataValidation sqref="W34" showDropDown="0" showInputMessage="0" showErrorMessage="0" allowBlank="0" errorTitle="Valor no válido" error="Escoge un valor de la lista" type="list">
      <formula1>=TABLAS!$B$72:$B$79</formula1>
    </dataValidation>
    <dataValidation sqref="D35" showDropDown="0" showInputMessage="0" showErrorMessage="0" allowBlank="0" errorTitle="Valor no válido" error="Escoge un valor de la lista" type="list">
      <formula1>=TABLAS!$C$72:$C$74</formula1>
    </dataValidation>
    <dataValidation sqref="E35" showDropDown="0" showInputMessage="0" showErrorMessage="0" allowBlank="0" errorTitle="Valor no válido" error="Escoge un valor de la lista" type="list">
      <formula1>=TABLAS!$D$72:$D$73</formula1>
    </dataValidation>
    <dataValidation sqref="W35" showDropDown="0" showInputMessage="0" showErrorMessage="0" allowBlank="0" errorTitle="Valor no válido" error="Escoge un valor de la lista" type="list">
      <formula1>=TABLAS!$B$72:$B$79</formula1>
    </dataValidation>
    <dataValidation sqref="D36" showDropDown="0" showInputMessage="0" showErrorMessage="0" allowBlank="0" errorTitle="Valor no válido" error="Escoge un valor de la lista" type="list">
      <formula1>=TABLAS!$C$72:$C$74</formula1>
    </dataValidation>
    <dataValidation sqref="E36" showDropDown="0" showInputMessage="0" showErrorMessage="0" allowBlank="0" errorTitle="Valor no válido" error="Escoge un valor de la lista" type="list">
      <formula1>=TABLAS!$D$72:$D$73</formula1>
    </dataValidation>
    <dataValidation sqref="W36" showDropDown="0" showInputMessage="0" showErrorMessage="0" allowBlank="0" errorTitle="Valor no válido" error="Escoge un valor de la lista" type="list">
      <formula1>=TABLAS!$B$72:$B$79</formula1>
    </dataValidation>
    <dataValidation sqref="D37" showDropDown="0" showInputMessage="0" showErrorMessage="0" allowBlank="0" errorTitle="Valor no válido" error="Escoge un valor de la lista" type="list">
      <formula1>=TABLAS!$C$72:$C$74</formula1>
    </dataValidation>
    <dataValidation sqref="E37" showDropDown="0" showInputMessage="0" showErrorMessage="0" allowBlank="0" errorTitle="Valor no válido" error="Escoge un valor de la lista" type="list">
      <formula1>=TABLAS!$D$72:$D$73</formula1>
    </dataValidation>
    <dataValidation sqref="W37" showDropDown="0" showInputMessage="0" showErrorMessage="0" allowBlank="0" errorTitle="Valor no válido" error="Escoge un valor de la lista" type="list">
      <formula1>=TABLAS!$B$72:$B$79</formula1>
    </dataValidation>
    <dataValidation sqref="D38" showDropDown="0" showInputMessage="0" showErrorMessage="0" allowBlank="0" errorTitle="Valor no válido" error="Escoge un valor de la lista" type="list">
      <formula1>=TABLAS!$C$72:$C$74</formula1>
    </dataValidation>
    <dataValidation sqref="E38" showDropDown="0" showInputMessage="0" showErrorMessage="0" allowBlank="0" errorTitle="Valor no válido" error="Escoge un valor de la lista" type="list">
      <formula1>=TABLAS!$D$72:$D$73</formula1>
    </dataValidation>
    <dataValidation sqref="W38" showDropDown="0" showInputMessage="0" showErrorMessage="0" allowBlank="0" errorTitle="Valor no válido" error="Escoge un valor de la lista" type="list">
      <formula1>=TABLAS!$B$72:$B$79</formula1>
    </dataValidation>
    <dataValidation sqref="D39" showDropDown="0" showInputMessage="0" showErrorMessage="0" allowBlank="0" errorTitle="Valor no válido" error="Escoge un valor de la lista" type="list">
      <formula1>=TABLAS!$C$72:$C$74</formula1>
    </dataValidation>
    <dataValidation sqref="E39" showDropDown="0" showInputMessage="0" showErrorMessage="0" allowBlank="0" errorTitle="Valor no válido" error="Escoge un valor de la lista" type="list">
      <formula1>=TABLAS!$D$72:$D$73</formula1>
    </dataValidation>
    <dataValidation sqref="W39" showDropDown="0" showInputMessage="0" showErrorMessage="0" allowBlank="0" errorTitle="Valor no válido" error="Escoge un valor de la lista" type="list">
      <formula1>=TABLAS!$B$72:$B$79</formula1>
    </dataValidation>
    <dataValidation sqref="D40" showDropDown="0" showInputMessage="0" showErrorMessage="0" allowBlank="0" errorTitle="Valor no válido" error="Escoge un valor de la lista" type="list">
      <formula1>=TABLAS!$C$72:$C$74</formula1>
    </dataValidation>
    <dataValidation sqref="E40" showDropDown="0" showInputMessage="0" showErrorMessage="0" allowBlank="0" errorTitle="Valor no válido" error="Escoge un valor de la lista" type="list">
      <formula1>=TABLAS!$D$72:$D$73</formula1>
    </dataValidation>
    <dataValidation sqref="W40" showDropDown="0" showInputMessage="0" showErrorMessage="0" allowBlank="0" errorTitle="Valor no válido" error="Escoge un valor de la lista" type="list">
      <formula1>=TABLAS!$B$72:$B$79</formula1>
    </dataValidation>
  </dataValidations>
  <pageMargins left="0.75" right="0.75" top="1" bottom="1" header="0.5" footer="0.5"/>
  <pageSetup orientation="landscape" paperSize="1" fitToHeight="0" fitToWidth="1"/>
</worksheet>
</file>

<file path=xl/worksheets/sheet5.xml><?xml version="1.0" encoding="utf-8"?>
<worksheet xmlns="http://schemas.openxmlformats.org/spreadsheetml/2006/main">
  <sheetPr>
    <outlinePr summaryBelow="1" summaryRight="1"/>
    <pageSetUpPr fitToPage="1"/>
  </sheetPr>
  <dimension ref="B1:F141"/>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NERVADURA — DISEÑO PASO A PASO DE UN TABLERO</t>
        </is>
      </c>
    </row>
    <row r="2" ht="30" customHeight="1">
      <c r="B2" s="2" t="inlineStr">
        <is>
          <t>Escoge el tablero en la celda amarilla. La hoja vuelve a hacer, con la fórmula a la vista, lo mismo que hace TABLEROS en un renglón; al final compara los dos resultados.</t>
        </is>
      </c>
    </row>
    <row r="3" ht="6" customHeight="1"/>
    <row r="4" ht="21" customHeight="1">
      <c r="B4" s="5" t="inlineStr">
        <is>
          <t>0. TABLERO</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Tablero a revisar (y a dibujar en CROQUIS)</t>
        </is>
      </c>
      <c r="C6" s="18" t="inlineStr">
        <is>
          <t>F80016 N+3.00</t>
        </is>
      </c>
      <c r="D6" s="11" t="inlineStr">
        <is>
          <t>—</t>
        </is>
      </c>
      <c r="E6" s="12" t="inlineStr">
        <is>
          <t>SELECTOR. Lista de TABLEROS columna B.</t>
        </is>
      </c>
      <c r="F6" s="13" t="inlineStr">
        <is>
          <t>—</t>
        </is>
      </c>
    </row>
    <row r="7" ht="19.5" customHeight="1">
      <c r="B7" s="9" t="inlineStr">
        <is>
          <t>Renglón en TABLEROS</t>
        </is>
      </c>
      <c r="C7" s="23">
        <f>MATCH(NERVADURA!$C$6,TABLEROS!$B$9:$B$40,0)</f>
        <v>15</v>
      </c>
      <c r="D7" s="11" t="inlineStr">
        <is>
          <t>—</t>
        </is>
      </c>
      <c r="E7" s="12" t="inlineStr">
        <is>
          <t>Auxiliar.</t>
        </is>
      </c>
      <c r="F7" s="13" t="inlineStr">
        <is>
          <t>—</t>
        </is>
      </c>
    </row>
    <row r="8" ht="6" customHeight="1"/>
    <row r="9" ht="21" customHeight="1">
      <c r="B9" s="5" t="inlineStr">
        <is>
          <t>1. GEOMETRÍA Y CARGAS</t>
        </is>
      </c>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Modo</t>
        </is>
      </c>
      <c r="C11" s="62" t="str">
        <f>INDEX(TABLEROS!$D$9:$D$40,NERVADURA!$C$7)</f>
        <v>PERIMETRAL</v>
      </c>
      <c r="D11" s="11" t="inlineStr">
        <is>
          <t>—</t>
        </is>
      </c>
      <c r="E11" s="12" t="inlineStr">
        <is>
          <t>PERIMETRAL = apoyado en sus cuatro bordes; VOLADO; HUECO.</t>
        </is>
      </c>
      <c r="F11" s="13" t="inlineStr">
        <is>
          <t>APOYOS / TABLEROS</t>
        </is>
      </c>
    </row>
    <row r="12" ht="19.5" customHeight="1">
      <c r="B12" s="9" t="inlineStr">
        <is>
          <t>Nivel</t>
        </is>
      </c>
      <c r="C12" s="43" t="str">
        <f>INDEX(TABLEROS!$C$9:$C$40,NERVADURA!$C$7)</f>
        <v>N+3.00</v>
      </c>
      <c r="D12" s="11" t="inlineStr">
        <is>
          <t>—</t>
        </is>
      </c>
      <c r="E12" s="12" t="inlineStr">
        <is>
          <t>—</t>
        </is>
      </c>
      <c r="F12" s="13" t="inlineStr">
        <is>
          <t>001_EST_CROCHA_R3.2.e2k</t>
        </is>
      </c>
    </row>
    <row r="13" ht="30" customHeight="1">
      <c r="B13" s="9" t="inlineStr">
        <is>
          <t>a_x — claro en X usado</t>
        </is>
      </c>
      <c r="C13" s="63">
        <f>INDEX(TABLEROS!$H$9:$H$40,NERVADURA!$C$7)</f>
        <v>4.426</v>
      </c>
      <c r="D13" s="11" t="inlineStr">
        <is>
          <t>m</t>
        </is>
      </c>
      <c r="E13" s="12" t="inlineStr">
        <is>
          <t>De TABLEROS (para irregulares es el rectángulo representativo).</t>
        </is>
      </c>
      <c r="F13" s="13" t="inlineStr">
        <is>
          <t>AREAS_TRIBUTARIAS_R3.2.dxf · TRIB_TABLERO</t>
        </is>
      </c>
    </row>
    <row r="14" ht="19.5" customHeight="1">
      <c r="B14" s="9" t="inlineStr">
        <is>
          <t>a_y — claro en Y usado</t>
        </is>
      </c>
      <c r="C14" s="63">
        <f>INDEX(TABLEROS!$I$9:$I$40,NERVADURA!$C$7)</f>
        <v>4</v>
      </c>
      <c r="D14" s="11" t="inlineStr">
        <is>
          <t>m</t>
        </is>
      </c>
      <c r="E14" s="12" t="inlineStr">
        <is>
          <t>—</t>
        </is>
      </c>
      <c r="F14" s="13" t="inlineStr">
        <is>
          <t>AREAS_TRIBUTARIAS_R3.2.dxf</t>
        </is>
      </c>
    </row>
    <row r="15" ht="19.5" customHeight="1">
      <c r="B15" s="9" t="inlineStr">
        <is>
          <t>a1 — claro corto</t>
        </is>
      </c>
      <c r="C15" s="29">
        <f>MIN(NERVADURA!$C$13,NERVADURA!$C$14)</f>
        <v>4</v>
      </c>
      <c r="D15" s="11" t="inlineStr">
        <is>
          <t>m</t>
        </is>
      </c>
      <c r="E15" s="12" t="inlineStr">
        <is>
          <t>CALCULADA.</t>
        </is>
      </c>
      <c r="F15" s="13" t="inlineStr">
        <is>
          <t>—</t>
        </is>
      </c>
    </row>
    <row r="16" ht="19.5" customHeight="1">
      <c r="B16" s="9" t="inlineStr">
        <is>
          <t>a2 — claro largo</t>
        </is>
      </c>
      <c r="C16" s="63">
        <f>MAX(NERVADURA!$C$13,NERVADURA!$C$14)</f>
        <v>4.426</v>
      </c>
      <c r="D16" s="11" t="inlineStr">
        <is>
          <t>m</t>
        </is>
      </c>
      <c r="E16" s="12" t="inlineStr">
        <is>
          <t>CALCULADA.</t>
        </is>
      </c>
      <c r="F16" s="13" t="inlineStr">
        <is>
          <t>—</t>
        </is>
      </c>
    </row>
    <row r="17" ht="19.5" customHeight="1">
      <c r="B17" s="9" t="inlineStr">
        <is>
          <t>m = a1/a2</t>
        </is>
      </c>
      <c r="C17" s="63">
        <f>NERVADURA!$C$15/NERVADURA!$C$16</f>
        <v>0.903750564844103</v>
      </c>
      <c r="D17" s="11" t="inlineStr">
        <is>
          <t>—</t>
        </is>
      </c>
      <c r="E17" s="12" t="inlineStr">
        <is>
          <t>CALCULADA.</t>
        </is>
      </c>
      <c r="F17" s="13" t="inlineStr">
        <is>
          <t>—</t>
        </is>
      </c>
    </row>
    <row r="18" ht="30" customHeight="1">
      <c r="B18" s="9" t="inlineStr">
        <is>
          <t>Dirección del claro corto (ahí trabajan las nervaduras que más cargan)</t>
        </is>
      </c>
      <c r="C18" s="62" t="str">
        <f>IF(NERVADURA!$C$13&lt;=NERVADURA!$C$14,"‖ X","‖ Y")</f>
        <v>‖ Y</v>
      </c>
      <c r="D18" s="11" t="inlineStr">
        <is>
          <t>—</t>
        </is>
      </c>
      <c r="E18" s="12" t="inlineStr">
        <is>
          <t>Las nervaduras paralelas al claro corto son las PRINCIPALES de trabajo del tablero.</t>
        </is>
      </c>
      <c r="F18" s="13" t="inlineStr">
        <is>
          <t>—</t>
        </is>
      </c>
    </row>
    <row r="19" ht="19.5" customHeight="1">
      <c r="B19" s="9" t="inlineStr">
        <is>
          <t>SCM — sobrecarga muerta</t>
        </is>
      </c>
      <c r="C19" s="23">
        <f>INDEX(TABLEROS!$N$9:$N$40,NERVADURA!$C$7)</f>
        <v>160</v>
      </c>
      <c r="D19" s="11" t="inlineStr">
        <is>
          <t>kg/m²</t>
        </is>
      </c>
      <c r="E19" s="12" t="inlineStr">
        <is>
          <t>Del E2K, tablero por tablero.</t>
        </is>
      </c>
      <c r="F19" s="13" t="inlineStr">
        <is>
          <t>001_EST_CROCHA_R3.2.e2k · AREALOAD "Sobrecarga"</t>
        </is>
      </c>
    </row>
    <row r="20" ht="30" customHeight="1">
      <c r="B20" s="9" t="inlineStr">
        <is>
          <t>W_m — carga viva</t>
        </is>
      </c>
      <c r="C20" s="23">
        <f>INDEX(TABLEROS!$O$9:$O$40,NERVADURA!$C$7)</f>
        <v>190</v>
      </c>
      <c r="D20" s="11" t="inlineStr">
        <is>
          <t>kg/m²</t>
        </is>
      </c>
      <c r="E20" s="12" t="inlineStr">
        <is>
          <t>Según el destino del tablero.</t>
        </is>
      </c>
      <c r="F20" s="13" t="inlineStr">
        <is>
          <t>NTC-Criterios y Acciones 2023 (CDMX) · tabla de cargas vivas</t>
        </is>
      </c>
    </row>
    <row r="21" ht="19.5" customHeight="1">
      <c r="B21" s="9" t="inlineStr">
        <is>
          <t>PP — peso propio</t>
        </is>
      </c>
      <c r="C21" s="22">
        <f>DATOS!$C$58</f>
        <v>253.673469387755</v>
      </c>
      <c r="D21" s="11" t="inlineStr">
        <is>
          <t>kg/m²</t>
        </is>
      </c>
      <c r="E21" s="12" t="inlineStr">
        <is>
          <t>DATOS sección 4.</t>
        </is>
      </c>
      <c r="F21" s="13" t="inlineStr">
        <is>
          <t>—</t>
        </is>
      </c>
    </row>
    <row r="22" ht="19.5" customHeight="1">
      <c r="B22" s="9" t="inlineStr">
        <is>
          <t>w — carga de servicio</t>
        </is>
      </c>
      <c r="C22" s="23">
        <f>NERVADURA!$C$21+NERVADURA!$C$19+NERVADURA!$C$20</f>
        <v>603.673469387755</v>
      </c>
      <c r="D22" s="11" t="inlineStr">
        <is>
          <t>kg/m²</t>
        </is>
      </c>
      <c r="E22" s="12" t="inlineStr">
        <is>
          <t>PP + SCM + W_m.</t>
        </is>
      </c>
      <c r="F22" s="13" t="inlineStr">
        <is>
          <t>—</t>
        </is>
      </c>
    </row>
    <row r="23" ht="19.5" customHeight="1">
      <c r="B23" s="9" t="inlineStr">
        <is>
          <t>w_u — carga última</t>
        </is>
      </c>
      <c r="C23" s="14">
        <f>DATOS!$C$43*(NERVADURA!$C$21+NERVADURA!$C$19)+DATOS!$C$44*NERVADURA!$C$20</f>
        <v>822.775510204082</v>
      </c>
      <c r="D23" s="11" t="inlineStr">
        <is>
          <t>kg/m²</t>
        </is>
      </c>
      <c r="E23" s="12" t="inlineStr">
        <is>
          <t>1.3·(PP + SCM) + 1.5·W_m.</t>
        </is>
      </c>
      <c r="F23" s="13" t="inlineStr">
        <is>
          <t>NTC-Criterios y Acciones 2023 (CDMX) · combinaciones</t>
        </is>
      </c>
    </row>
    <row r="24" ht="6" customHeight="1"/>
    <row r="25" ht="21" customHeight="1">
      <c r="B25" s="5" t="inlineStr">
        <is>
          <t>2. CASO Y COEFICIENTES</t>
        </is>
      </c>
    </row>
    <row r="26" ht="30" customHeight="1">
      <c r="B26" s="8" t="inlineStr">
        <is>
          <t>Concepto</t>
        </is>
      </c>
      <c r="C26" s="8" t="inlineStr">
        <is>
          <t>Valor</t>
        </is>
      </c>
      <c r="D26" s="8" t="inlineStr">
        <is>
          <t>Unidad</t>
        </is>
      </c>
      <c r="E26" s="8" t="inlineStr">
        <is>
          <t>Cómo se calcula / de dónde sale</t>
        </is>
      </c>
      <c r="F26" s="8" t="inlineStr">
        <is>
          <t>Referencia</t>
        </is>
      </c>
    </row>
    <row r="27" ht="19.5" customHeight="1">
      <c r="B27" s="9" t="inlineStr">
        <is>
          <t>Bordes discontinuos (de APOYOS)</t>
        </is>
      </c>
      <c r="C27" s="23">
        <f>INDEX(TABLEROS!$S$9:$S$40,NERVADURA!$C$7)</f>
        <v>1</v>
      </c>
      <c r="D27" s="11" t="inlineStr">
        <is>
          <t>—</t>
        </is>
      </c>
      <c r="E27" s="12" t="inlineStr">
        <is>
          <t>Cuenta de bordes con «DISCONTINUO» en APOYOS sección C.</t>
        </is>
      </c>
      <c r="F27" s="13" t="inlineStr">
        <is>
          <t>APOYOS</t>
        </is>
      </c>
    </row>
    <row r="28" ht="30" customHeight="1">
      <c r="B28" s="9" t="inlineStr">
        <is>
          <t>Caso de la tabla</t>
        </is>
      </c>
      <c r="C28" s="62" t="str">
        <f>INDEX(TABLEROS!$X$9:$X$40,NERVADURA!$C$7)</f>
        <v>BORDE-CORTO</v>
      </c>
      <c r="D28" s="11" t="inlineStr">
        <is>
          <t>—</t>
        </is>
      </c>
      <c r="E28" s="12" t="inlineStr">
        <is>
          <t>Automático según cuántos bordes discontinuos son cortos o largos; se puede forzar en TABLEROS.</t>
        </is>
      </c>
      <c r="F28" s="13" t="inlineStr">
        <is>
          <t>NTC-Concreto 2023 (CDMX) · tabla de coeficientes</t>
        </is>
      </c>
    </row>
    <row r="29" ht="19.5" customHeight="1">
      <c r="B29" s="9" t="inlineStr">
        <is>
          <t>Coef. M⁻ en bordes continuos, claro corto</t>
        </is>
      </c>
      <c r="C29" s="23">
        <f>INDEX(TABLEROS!$AA$9:$AA$40,NERVADURA!$C$7)</f>
        <v>355.424762765477</v>
      </c>
      <c r="D29" s="11" t="inlineStr">
        <is>
          <t>×10⁻⁴</t>
        </is>
      </c>
      <c r="E29" s="12" t="inlineStr">
        <is>
          <t>Interpolado en m.</t>
        </is>
      </c>
      <c r="F29" s="13" t="inlineStr">
        <is>
          <t>TABLAS sección A</t>
        </is>
      </c>
    </row>
    <row r="30" ht="19.5" customHeight="1">
      <c r="B30" s="9" t="inlineStr">
        <is>
          <t>Coef. M⁻ en bordes discontinuos, claro corto</t>
        </is>
      </c>
      <c r="C30" s="23">
        <f>INDEX(TABLEROS!$AC$9:$AC$40,NERVADURA!$C$7)</f>
        <v>0</v>
      </c>
      <c r="D30" s="11" t="inlineStr">
        <is>
          <t>×10⁻⁴</t>
        </is>
      </c>
      <c r="E30" s="12" t="inlineStr">
        <is>
          <t>Interpolado en m.</t>
        </is>
      </c>
      <c r="F30" s="13" t="inlineStr">
        <is>
          <t>TABLAS sección A</t>
        </is>
      </c>
    </row>
    <row r="31" ht="19.5" customHeight="1">
      <c r="B31" s="9" t="inlineStr">
        <is>
          <t>Coef. M⁺ claro corto</t>
        </is>
      </c>
      <c r="C31" s="23">
        <f>INDEX(TABLEROS!$AE$9:$AE$40,NERVADURA!$C$7)</f>
        <v>165.724807953005</v>
      </c>
      <c r="D31" s="11" t="inlineStr">
        <is>
          <t>×10⁻⁴</t>
        </is>
      </c>
      <c r="E31" s="12" t="inlineStr">
        <is>
          <t>Interpolado en m.</t>
        </is>
      </c>
      <c r="F31" s="13" t="inlineStr">
        <is>
          <t>TABLAS sección A</t>
        </is>
      </c>
    </row>
    <row r="32" ht="19.5" customHeight="1">
      <c r="B32" s="9" t="inlineStr">
        <is>
          <t>Coef. M⁻ en bordes continuos, claro largo</t>
        </is>
      </c>
      <c r="C32" s="23">
        <f>INDEX(TABLEROS!$AB$9:$AB$40,NERVADURA!$C$7)</f>
        <v>324.91233619521</v>
      </c>
      <c r="D32" s="11" t="inlineStr">
        <is>
          <t>×10⁻⁴</t>
        </is>
      </c>
      <c r="E32" s="12" t="inlineStr">
        <is>
          <t>Interpolado en m.</t>
        </is>
      </c>
      <c r="F32" s="13" t="inlineStr">
        <is>
          <t>TABLAS sección A</t>
        </is>
      </c>
    </row>
    <row r="33" ht="19.5" customHeight="1">
      <c r="B33" s="9" t="inlineStr">
        <is>
          <t>Coef. M⁻ en bordes discontinuos, claro largo</t>
        </is>
      </c>
      <c r="C33" s="23">
        <f>INDEX(TABLEROS!$AD$9:$AD$40,NERVADURA!$C$7)</f>
        <v>205.399909624944</v>
      </c>
      <c r="D33" s="11" t="inlineStr">
        <is>
          <t>×10⁻⁴</t>
        </is>
      </c>
      <c r="E33" s="12" t="inlineStr">
        <is>
          <t>Interpolado en m.</t>
        </is>
      </c>
      <c r="F33" s="13" t="inlineStr">
        <is>
          <t>TABLAS sección A</t>
        </is>
      </c>
    </row>
    <row r="34" ht="19.5" customHeight="1">
      <c r="B34" s="9" t="inlineStr">
        <is>
          <t>Coef. M⁺ claro largo</t>
        </is>
      </c>
      <c r="C34" s="23">
        <f>INDEX(TABLEROS!$AF$9:$AF$40,NERVADURA!$C$7)</f>
        <v>129</v>
      </c>
      <c r="D34" s="11" t="inlineStr">
        <is>
          <t>×10⁻⁴</t>
        </is>
      </c>
      <c r="E34" s="12" t="inlineStr">
        <is>
          <t>Interpolado en m.</t>
        </is>
      </c>
      <c r="F34" s="13" t="inlineStr">
        <is>
          <t>TABLAS sección A</t>
        </is>
      </c>
    </row>
    <row r="35" ht="19.5" customHeight="1">
      <c r="B35" s="9" t="inlineStr">
        <is>
          <t>Carga en la orilla del volado (servicio)</t>
        </is>
      </c>
      <c r="C35" s="22">
        <f>INDEX(TABLEROS!$AG$9:$AG$40,NERVADURA!$C$7)</f>
        <v>0</v>
      </c>
      <c r="D35" s="11" t="inlineStr">
        <is>
          <t>kg/m</t>
        </is>
      </c>
      <c r="E35" s="12" t="inlineStr">
        <is>
          <t>Sólo para volados: barandal del E2K.</t>
        </is>
      </c>
      <c r="F35" s="13" t="inlineStr">
        <is>
          <t>001_EST_CROCHA_R3.2.e2k · FRAME OBJECT LOADS</t>
        </is>
      </c>
    </row>
    <row r="36" ht="6" customHeight="1"/>
    <row r="37" ht="21" customHeight="1">
      <c r="B37" s="5" t="inlineStr">
        <is>
          <t>3. MOMENTOS POR NERVADURA</t>
        </is>
      </c>
    </row>
    <row r="38" ht="30" customHeight="1">
      <c r="B38" s="6" t="inlineStr">
        <is>
          <t>Por metro: M = coef × 10⁻⁴ × w_u × a1². Por nervadura: × s. En volado: M = (w_u·a1²/2 + 1.3·P·a1)·s.</t>
        </is>
      </c>
      <c r="C38" s="7" t="n"/>
      <c r="D38" s="7" t="n"/>
      <c r="E38" s="7" t="n"/>
      <c r="F38" s="7" t="n"/>
    </row>
    <row r="39" ht="30" customHeight="1">
      <c r="B39" s="8" t="inlineStr">
        <is>
          <t>Concepto</t>
        </is>
      </c>
      <c r="C39" s="8" t="inlineStr">
        <is>
          <t>Valor</t>
        </is>
      </c>
      <c r="D39" s="8" t="inlineStr">
        <is>
          <t>Unidad</t>
        </is>
      </c>
      <c r="E39" s="8" t="inlineStr">
        <is>
          <t>Cómo se calcula / de dónde sale</t>
        </is>
      </c>
      <c r="F39" s="8" t="inlineStr">
        <is>
          <t>Referencia</t>
        </is>
      </c>
    </row>
    <row r="40" ht="30" customHeight="1">
      <c r="B40" s="9" t="inlineStr">
        <is>
          <t>M⁺ claro corto</t>
        </is>
      </c>
      <c r="C40" s="29">
        <f>IF(NERVADURA!$C$11="PERIMETRAL",NERVADURA!$C$31*NERVADURA!$C$23*NERVADURA!$C$15^2*1E-4*DATOS!$C$16/100/1000,0)</f>
        <v>0.152716831027048</v>
      </c>
      <c r="D40" s="11" t="inlineStr">
        <is>
          <t>t·m</t>
        </is>
      </c>
      <c r="E40" s="12" t="inlineStr">
        <is>
          <t>Coef. M⁺ corto × 10⁻⁴ × w_u × a1² × s.</t>
        </is>
      </c>
      <c r="F40" s="13" t="inlineStr">
        <is>
          <t>NTC-Concreto 2023 (CDMX) · losas apoyadas en su perímetro</t>
        </is>
      </c>
    </row>
    <row r="41" ht="30" customHeight="1">
      <c r="B41" s="9" t="inlineStr">
        <is>
          <t>M⁻ claro corto (bastones)</t>
        </is>
      </c>
      <c r="C41" s="29">
        <f>IF(NERVADURA!$C$11="PERIMETRAL",MAX(NERVADURA!$C$29,NERVADURA!$C$30)*NERVADURA!$C$23*NERVADURA!$C$15^2*1E-4*DATOS!$C$16/100/1000,IF(NERVADURA!$C$11="VOLADO",(NERVADURA!$C$23*NERVADURA!$C$15^2/2+DATOS!$C$43*NERVADURA!$C$35*NERVADURA!$C$15)*DATOS!$C$16/100/1000,0))</f>
        <v>0.327526965386353</v>
      </c>
      <c r="D41" s="11" t="inlineStr">
        <is>
          <t>t·m</t>
        </is>
      </c>
      <c r="E41" s="12" t="inlineStr">
        <is>
          <t>El mayor entre borde continuo y discontinuo; en volado, el momento del empotramiento.</t>
        </is>
      </c>
      <c r="F41" s="13" t="inlineStr">
        <is>
          <t>NTC-Concreto 2023 (CDMX)</t>
        </is>
      </c>
    </row>
    <row r="42" ht="19.5" customHeight="1">
      <c r="B42" s="9" t="inlineStr">
        <is>
          <t>M⁺ claro largo</t>
        </is>
      </c>
      <c r="C42" s="29">
        <f>IF(NERVADURA!$C$11="PERIMETRAL",NERVADURA!$C$34*NERVADURA!$C$23*NERVADURA!$C$15^2*1E-4*DATOS!$C$16/100/1000,0)</f>
        <v>0.118874605714286</v>
      </c>
      <c r="D42" s="11" t="inlineStr">
        <is>
          <t>t·m</t>
        </is>
      </c>
      <c r="E42" s="12" t="inlineStr">
        <is>
          <t>Mismo procedimiento.</t>
        </is>
      </c>
      <c r="F42" s="13" t="inlineStr">
        <is>
          <t>NTC-Concreto 2023 (CDMX)</t>
        </is>
      </c>
    </row>
    <row r="43" ht="19.5" customHeight="1">
      <c r="B43" s="9" t="inlineStr">
        <is>
          <t>M⁻ claro largo (bastones)</t>
        </is>
      </c>
      <c r="C43" s="29">
        <f>IF(NERVADURA!$C$11="PERIMETRAL",MAX(NERVADURA!$C$32,NERVADURA!$C$33)*NERVADURA!$C$23*NERVADURA!$C$15^2*1E-4*DATOS!$C$16/100/1000,0)</f>
        <v>0.299409502766768</v>
      </c>
      <c r="D43" s="11" t="inlineStr">
        <is>
          <t>t·m</t>
        </is>
      </c>
      <c r="E43" s="12" t="inlineStr">
        <is>
          <t>Mismo procedimiento.</t>
        </is>
      </c>
      <c r="F43" s="13" t="inlineStr">
        <is>
          <t>NTC-Concreto 2023 (CDMX)</t>
        </is>
      </c>
    </row>
    <row r="44" ht="6" customHeight="1"/>
    <row r="45" ht="21" customHeight="1">
      <c r="B45" s="5" t="inlineStr">
        <is>
          <t>4. LECHO INFERIOR — CLARO CORTO</t>
        </is>
      </c>
    </row>
    <row r="46" ht="30" customHeight="1">
      <c r="B46" s="8" t="inlineStr">
        <is>
          <t>Concepto</t>
        </is>
      </c>
      <c r="C46" s="8" t="inlineStr">
        <is>
          <t>Valor</t>
        </is>
      </c>
      <c r="D46" s="8" t="inlineStr">
        <is>
          <t>Unidad</t>
        </is>
      </c>
      <c r="E46" s="8" t="inlineStr">
        <is>
          <t>Cómo se calcula / de dónde sale</t>
        </is>
      </c>
      <c r="F46" s="8" t="inlineStr">
        <is>
          <t>Referencia</t>
        </is>
      </c>
    </row>
    <row r="47" ht="19.5" customHeight="1">
      <c r="B47" s="9" t="inlineStr">
        <is>
          <t>b — ancho que trabaja a compresión</t>
        </is>
      </c>
      <c r="C47" s="23">
        <f>DATOS!$C$16</f>
        <v>70</v>
      </c>
      <c r="D47" s="11" t="inlineStr">
        <is>
          <t>cm</t>
        </is>
      </c>
      <c r="E47" s="12" t="inlineStr">
        <is>
          <t>Arriba comprime el patín: sección T con b = s.</t>
        </is>
      </c>
      <c r="F47" s="13" t="inlineStr">
        <is>
          <t>Geometría</t>
        </is>
      </c>
    </row>
    <row r="48" ht="19.5" customHeight="1">
      <c r="B48" s="9" t="inlineStr">
        <is>
          <t>d — peralte efectivo</t>
        </is>
      </c>
      <c r="C48" s="17">
        <f>DATOS!$C$66</f>
        <v>21.885</v>
      </c>
      <c r="D48" s="11" t="inlineStr">
        <is>
          <t>cm</t>
        </is>
      </c>
      <c r="E48" s="12" t="inlineStr">
        <is>
          <t>DATOS sección 4.</t>
        </is>
      </c>
      <c r="F48" s="13" t="inlineStr">
        <is>
          <t>—</t>
        </is>
      </c>
    </row>
    <row r="49" ht="19.5" customHeight="1">
      <c r="B49" s="9" t="inlineStr">
        <is>
          <t>As mín = 0.7·√f'c/fy · b_w · d</t>
        </is>
      </c>
      <c r="C49" s="17">
        <f>DATOS!$C$71*DATOS!$C$13*DATOS!$C$66</f>
        <v>0.576720388273208</v>
      </c>
      <c r="D49" s="11" t="inlineStr">
        <is>
          <t>cm²</t>
        </is>
      </c>
      <c r="E49" s="12" t="inlineStr">
        <is>
          <t>Siempre sobre b_w.</t>
        </is>
      </c>
      <c r="F49" s="13" t="inlineStr">
        <is>
          <t>NTC-Concreto 2023 (CDMX) · refuerzo mínimo</t>
        </is>
      </c>
    </row>
    <row r="50" ht="43.5" customHeight="1">
      <c r="B50" s="9" t="inlineStr">
        <is>
          <t>As requerida</t>
        </is>
      </c>
      <c r="C50" s="27">
        <f>IF(NERVADURA!$C$40&lt;=0,DATOS!$C$71*DATOS!$C$13*DATOS!$C$66,IF((1-2*NERVADURA!$C$40*1E5/(DATOS!$C$45*DATOS!$C$16*DATOS!$C$66^2*DATOS!$C$38))&lt;0,-1,MAX(DATOS!$C$71*DATOS!$C$13*DATOS!$C$66,(1-SQRT((1-2*NERVADURA!$C$40*1E5/(DATOS!$C$45*DATOS!$C$16*DATOS!$C$66^2*DATOS!$C$38))))*DATOS!$C$38*DATOS!$C$16*DATOS!$C$66/DATOS!$C$32)))</f>
        <v>0.576720388273208</v>
      </c>
      <c r="D50" s="11" t="inlineStr">
        <is>
          <t>cm²</t>
        </is>
      </c>
      <c r="E50" s="12" t="inlineStr">
        <is>
          <t>q = 1 − √(1 − 2Mu/(F_R·b·d²·f''c)); As = q·f''c·b·d/fy; nunca menos que el mínimo. −1 = la sección no alcanza.</t>
        </is>
      </c>
      <c r="F50" s="13" t="inlineStr">
        <is>
          <t>NTC-Concreto 2023 (CDMX) · flexión, sección rectangular · Naim — CASA HABITACIÓN, MEMORIA DE CÁLCULO (sep-2024) (mismo procedimiento)</t>
        </is>
      </c>
    </row>
    <row r="51" ht="19.5" customHeight="1">
      <c r="B51" s="9" t="inlineStr">
        <is>
          <t>Varilla que se usa</t>
        </is>
      </c>
      <c r="C51" s="64">
        <f>INDEX(TABLEROS!$AM$9:$AM$40,NERVADURA!$C$7)</f>
        <v>3</v>
      </c>
      <c r="D51" s="11" t="inlineStr">
        <is>
          <t>No.</t>
        </is>
      </c>
      <c r="E51" s="12" t="inlineStr">
        <is>
          <t>La preferida de DATOS o la siguiente que quepa (TABLEROS).</t>
        </is>
      </c>
      <c r="F51" s="13" t="inlineStr">
        <is>
          <t>TABLEROS</t>
        </is>
      </c>
    </row>
    <row r="52" ht="19.5" customHeight="1">
      <c r="B52" s="9" t="inlineStr">
        <is>
          <t>Número de varillas</t>
        </is>
      </c>
      <c r="C52" s="14">
        <f>INDEX(TABLEROS!$AN$9:$AN$40,NERVADURA!$C$7)</f>
        <v>1</v>
      </c>
      <c r="D52" s="11" t="inlineStr">
        <is>
          <t>pzas</t>
        </is>
      </c>
      <c r="E52" s="12" t="inlineStr">
        <is>
          <t>CEILING(As / a_b).</t>
        </is>
      </c>
      <c r="F52" s="13" t="inlineStr">
        <is>
          <t>TABLEROS</t>
        </is>
      </c>
    </row>
    <row r="53" ht="19.5" customHeight="1">
      <c r="B53" s="9" t="inlineStr">
        <is>
          <t>d real con la varilla escogida</t>
        </is>
      </c>
      <c r="C53" s="17">
        <f>DATOS!$C$15-DATOS!$C$18-INDEX(TABLAS!$C$52:$C$58,MATCH(DATOS!$C$19,TABLAS!$B$52:$B$58,0))-INDEX(TABLAS!$C$52:$C$58,MATCH(NERVADURA!$C$51,TABLAS!$B$52:$B$58,0))/2</f>
        <v>21.885</v>
      </c>
      <c r="D53" s="11" t="inlineStr">
        <is>
          <t>cm</t>
        </is>
      </c>
      <c r="E53" s="12" t="inlineStr">
        <is>
          <t>h − r − estribo − db/2 de la varilla que quedó.</t>
        </is>
      </c>
      <c r="F53" s="13" t="inlineStr">
        <is>
          <t>Geometría</t>
        </is>
      </c>
    </row>
    <row r="54" ht="30" customHeight="1">
      <c r="B54" s="9" t="inlineStr">
        <is>
          <t>M_R — momento resistente</t>
        </is>
      </c>
      <c r="C54" s="63">
        <f>DATOS!$C$45*NERVADURA!$C$52*INDEX(TABLAS!$D$52:$D$58,MATCH(NERVADURA!$C$51,TABLAS!$B$52:$B$58,0))*DATOS!$C$32*(NERVADURA!$C$53-NERVADURA!$C$52*INDEX(TABLAS!$D$52:$D$58,MATCH(NERVADURA!$C$51,TABLAS!$B$52:$B$58,0))*DATOS!$C$32/(DATOS!$C$38*DATOS!$C$16)/2)/1E5</f>
        <v>0.584659515176471</v>
      </c>
      <c r="D54" s="11" t="inlineStr">
        <is>
          <t>t·m</t>
        </is>
      </c>
      <c r="E54" s="12" t="inlineStr">
        <is>
          <t>F_R·As·fy·(d − a/2), a = As·fy/(f''c·b).</t>
        </is>
      </c>
      <c r="F54" s="13" t="inlineStr">
        <is>
          <t>NTC-Concreto 2023 (CDMX) · Naim — CASA HABITACIÓN, MEMORIA DE CÁLCULO (sep-2024) pág. 13</t>
        </is>
      </c>
    </row>
    <row r="55" ht="19.5" customHeight="1">
      <c r="B55" s="9" t="inlineStr">
        <is>
          <t>Mu / M_R</t>
        </is>
      </c>
      <c r="C55" s="27">
        <f>IF(NERVADURA!$C$50&lt;0,9.99,IF(NERVADURA!$C$54&gt;0,NERVADURA!$C$40/NERVADURA!$C$54,0))</f>
        <v>0.261206440779387</v>
      </c>
      <c r="D55" s="11" t="inlineStr">
        <is>
          <t>—</t>
        </is>
      </c>
      <c r="E55" s="12" t="inlineStr">
        <is>
          <t>Debe ser ≤ 1. 9.99 = la sección no alcanza.</t>
        </is>
      </c>
      <c r="F55" s="13" t="inlineStr">
        <is>
          <t>—</t>
        </is>
      </c>
    </row>
    <row r="56" ht="19.5" customHeight="1">
      <c r="B56" s="9" t="inlineStr">
        <is>
          <t>¿Caben en la nervadura?</t>
        </is>
      </c>
      <c r="C56" s="43" t="str">
        <f>IF(NERVADURA!$C$52=0,"—",IF(NERVADURA!$C$52*INDEX(TABLAS!$C$52:$C$58,MATCH(NERVADURA!$C$51,TABLAS!$B$52:$B$58,0))+(NERVADURA!$C$52-1)*DATOS!$C$24&lt;=DATOS!$C$25+0.01,"CUMPLE","NO CABE"))</f>
        <v>CUMPLE</v>
      </c>
      <c r="D56" s="11" t="inlineStr">
        <is>
          <t>—</t>
        </is>
      </c>
      <c r="E56" s="12" t="inlineStr">
        <is>
          <t>n·db + (n−1)·s_libre ≤ b_w − 2r − 2·estribo.</t>
        </is>
      </c>
      <c r="F56" s="13" t="inlineStr">
        <is>
          <t>ACI 318-19 §25.2.1</t>
        </is>
      </c>
    </row>
    <row r="57" ht="30" customHeight="1">
      <c r="B57" s="9" t="inlineStr">
        <is>
          <t>Estado</t>
        </is>
      </c>
      <c r="C57" s="62" t="str">
        <f>IF(NERVADURA!$C$55&lt;=1,"CUMPLE","NO CUMPLE")</f>
        <v>CUMPLE</v>
      </c>
      <c r="D57" s="11" t="inlineStr">
        <is>
          <t>—</t>
        </is>
      </c>
      <c r="E57" s="12" t="inlineStr">
        <is>
          <t>—</t>
        </is>
      </c>
      <c r="F57" s="13" t="inlineStr">
        <is>
          <t>—</t>
        </is>
      </c>
    </row>
    <row r="58" ht="6" customHeight="1"/>
    <row r="59" ht="21" customHeight="1">
      <c r="B59" s="5" t="inlineStr">
        <is>
          <t>5. BASTONES SUPERIORES — CLARO CORTO</t>
        </is>
      </c>
    </row>
    <row r="60" ht="30" customHeight="1">
      <c r="B60" s="8" t="inlineStr">
        <is>
          <t>Concepto</t>
        </is>
      </c>
      <c r="C60" s="8" t="inlineStr">
        <is>
          <t>Valor</t>
        </is>
      </c>
      <c r="D60" s="8" t="inlineStr">
        <is>
          <t>Unidad</t>
        </is>
      </c>
      <c r="E60" s="8" t="inlineStr">
        <is>
          <t>Cómo se calcula / de dónde sale</t>
        </is>
      </c>
      <c r="F60" s="8" t="inlineStr">
        <is>
          <t>Referencia</t>
        </is>
      </c>
    </row>
    <row r="61" ht="30" customHeight="1">
      <c r="B61" s="9" t="inlineStr">
        <is>
          <t>b — ancho que trabaja a compresión</t>
        </is>
      </c>
      <c r="C61" s="23">
        <f>DATOS!$C$13</f>
        <v>10</v>
      </c>
      <c r="D61" s="11" t="inlineStr">
        <is>
          <t>cm</t>
        </is>
      </c>
      <c r="E61" s="12" t="inlineStr">
        <is>
          <t>Abajo comprime la nervadura (b_w); arriba comprime el patín (s).</t>
        </is>
      </c>
      <c r="F61" s="13" t="inlineStr">
        <is>
          <t>Geometría</t>
        </is>
      </c>
    </row>
    <row r="62" ht="19.5" customHeight="1">
      <c r="B62" s="9" t="inlineStr">
        <is>
          <t>d — peralte efectivo</t>
        </is>
      </c>
      <c r="C62" s="17">
        <f>DATOS!$C$67</f>
        <v>21.885</v>
      </c>
      <c r="D62" s="11" t="inlineStr">
        <is>
          <t>cm</t>
        </is>
      </c>
      <c r="E62" s="12" t="inlineStr">
        <is>
          <t>DATOS sección 4.</t>
        </is>
      </c>
      <c r="F62" s="13" t="inlineStr">
        <is>
          <t>—</t>
        </is>
      </c>
    </row>
    <row r="63" ht="19.5" customHeight="1">
      <c r="B63" s="9" t="inlineStr">
        <is>
          <t>As mín = 0.7·√f'c/fy · b_w · d</t>
        </is>
      </c>
      <c r="C63" s="17">
        <f>DATOS!$C$71*DATOS!$C$13*DATOS!$C$67</f>
        <v>0.576720388273208</v>
      </c>
      <c r="D63" s="11" t="inlineStr">
        <is>
          <t>cm²</t>
        </is>
      </c>
      <c r="E63" s="12" t="inlineStr">
        <is>
          <t>Siempre sobre b_w.</t>
        </is>
      </c>
      <c r="F63" s="13" t="inlineStr">
        <is>
          <t>NTC-Concreto 2023 (CDMX) · refuerzo mínimo</t>
        </is>
      </c>
    </row>
    <row r="64" ht="43.5" customHeight="1">
      <c r="B64" s="9" t="inlineStr">
        <is>
          <t>As requerida</t>
        </is>
      </c>
      <c r="C64" s="27">
        <f>IF(NERVADURA!$C$41&lt;=0,DATOS!$C$71*DATOS!$C$13*DATOS!$C$67,IF((1-2*NERVADURA!$C$41*1E5/(DATOS!$C$45*DATOS!$C$13*DATOS!$C$67^2*DATOS!$C$38))&lt;0,-1,IF((1-SQRT((1-2*NERVADURA!$C$41*1E5/(DATOS!$C$45*DATOS!$C$13*DATOS!$C$67^2*DATOS!$C$38))))*DATOS!$C$38*DATOS!$C$13*DATOS!$C$67/DATOS!$C$32&gt;DATOS!$C$70*DATOS!$C$13*DATOS!$C$67,-1,MAX(DATOS!$C$71*DATOS!$C$13*DATOS!$C$67,(1-SQRT((1-2*NERVADURA!$C$41*1E5/(DATOS!$C$45*DATOS!$C$13*DATOS!$C$67^2*DATOS!$C$38))))*DATOS!$C$38*DATOS!$C$13*DATOS!$C$67/DATOS!$C$32))))</f>
        <v>0.576720388273208</v>
      </c>
      <c r="D64" s="11" t="inlineStr">
        <is>
          <t>cm²</t>
        </is>
      </c>
      <c r="E64" s="12" t="inlineStr">
        <is>
          <t>q = 1 − √(1 − 2Mu/(F_R·b·d²·f''c)); As = q·f''c·b·d/fy; nunca menos que el mínimo. −1 = la sección no alcanza.</t>
        </is>
      </c>
      <c r="F64" s="13" t="inlineStr">
        <is>
          <t>NTC-Concreto 2023 (CDMX) · flexión, sección rectangular · Naim — CASA HABITACIÓN, MEMORIA DE CÁLCULO (sep-2024) (mismo procedimiento)</t>
        </is>
      </c>
    </row>
    <row r="65" ht="19.5" customHeight="1">
      <c r="B65" s="9" t="inlineStr">
        <is>
          <t>Varilla que se usa</t>
        </is>
      </c>
      <c r="C65" s="64">
        <f>INDEX(TABLEROS!$AR$9:$AR$40,NERVADURA!$C$7)</f>
        <v>3</v>
      </c>
      <c r="D65" s="11" t="inlineStr">
        <is>
          <t>No.</t>
        </is>
      </c>
      <c r="E65" s="12" t="inlineStr">
        <is>
          <t>La preferida de DATOS o la siguiente que quepa (TABLEROS).</t>
        </is>
      </c>
      <c r="F65" s="13" t="inlineStr">
        <is>
          <t>TABLEROS</t>
        </is>
      </c>
    </row>
    <row r="66" ht="19.5" customHeight="1">
      <c r="B66" s="9" t="inlineStr">
        <is>
          <t>Número de varillas</t>
        </is>
      </c>
      <c r="C66" s="14">
        <f>INDEX(TABLEROS!$AS$9:$AS$40,NERVADURA!$C$7)</f>
        <v>1</v>
      </c>
      <c r="D66" s="11" t="inlineStr">
        <is>
          <t>pzas</t>
        </is>
      </c>
      <c r="E66" s="12" t="inlineStr">
        <is>
          <t>CEILING(As / a_b).</t>
        </is>
      </c>
      <c r="F66" s="13" t="inlineStr">
        <is>
          <t>TABLEROS</t>
        </is>
      </c>
    </row>
    <row r="67" ht="19.5" customHeight="1">
      <c r="B67" s="9" t="inlineStr">
        <is>
          <t>d real con la varilla escogida</t>
        </is>
      </c>
      <c r="C67" s="17">
        <f>DATOS!$C$15-DATOS!$C$18-INDEX(TABLAS!$C$52:$C$58,MATCH(DATOS!$C$19,TABLAS!$B$52:$B$58,0))-INDEX(TABLAS!$C$52:$C$58,MATCH(NERVADURA!$C$65,TABLAS!$B$52:$B$58,0))/2</f>
        <v>21.885</v>
      </c>
      <c r="D67" s="11" t="inlineStr">
        <is>
          <t>cm</t>
        </is>
      </c>
      <c r="E67" s="12" t="inlineStr">
        <is>
          <t>h − r − estribo − db/2 de la varilla que quedó.</t>
        </is>
      </c>
      <c r="F67" s="13" t="inlineStr">
        <is>
          <t>Geometría</t>
        </is>
      </c>
    </row>
    <row r="68" ht="30" customHeight="1">
      <c r="B68" s="9" t="inlineStr">
        <is>
          <t>M_R — momento resistente</t>
        </is>
      </c>
      <c r="C68" s="63">
        <f>DATOS!$C$45*NERVADURA!$C$66*INDEX(TABLAS!$D$52:$D$58,MATCH(NERVADURA!$C$65,TABLAS!$B$52:$B$58,0))*DATOS!$C$32*(NERVADURA!$C$67-NERVADURA!$C$66*INDEX(TABLAS!$D$52:$D$58,MATCH(NERVADURA!$C$65,TABLAS!$B$52:$B$58,0))*DATOS!$C$32/(DATOS!$C$38*DATOS!$C$13)/2)/1E5</f>
        <v>0.568518826235294</v>
      </c>
      <c r="D68" s="11" t="inlineStr">
        <is>
          <t>t·m</t>
        </is>
      </c>
      <c r="E68" s="12" t="inlineStr">
        <is>
          <t>F_R·As·fy·(d − a/2), a = As·fy/(f''c·b).</t>
        </is>
      </c>
      <c r="F68" s="13" t="inlineStr">
        <is>
          <t>NTC-Concreto 2023 (CDMX) · Naim — CASA HABITACIÓN, MEMORIA DE CÁLCULO (sep-2024) pág. 13</t>
        </is>
      </c>
    </row>
    <row r="69" ht="19.5" customHeight="1">
      <c r="B69" s="9" t="inlineStr">
        <is>
          <t>Mu / M_R</t>
        </is>
      </c>
      <c r="C69" s="27">
        <f>IF(NERVADURA!$C$64&lt;0,9.99,IF(NERVADURA!$C$68&gt;0,NERVADURA!$C$41/NERVADURA!$C$68,0))</f>
        <v>0.576105751071116</v>
      </c>
      <c r="D69" s="11" t="inlineStr">
        <is>
          <t>—</t>
        </is>
      </c>
      <c r="E69" s="12" t="inlineStr">
        <is>
          <t>Debe ser ≤ 1. 9.99 = la sección no alcanza.</t>
        </is>
      </c>
      <c r="F69" s="13" t="inlineStr">
        <is>
          <t>—</t>
        </is>
      </c>
    </row>
    <row r="70" ht="19.5" customHeight="1">
      <c r="B70" s="9" t="inlineStr">
        <is>
          <t>¿Caben en la nervadura?</t>
        </is>
      </c>
      <c r="C70" s="43" t="str">
        <f>IF(NERVADURA!$C$66=0,"—",IF(NERVADURA!$C$66*INDEX(TABLAS!$C$52:$C$58,MATCH(NERVADURA!$C$65,TABLAS!$B$52:$B$58,0))+(NERVADURA!$C$66-1)*DATOS!$C$24&lt;=DATOS!$C$25+0.01,"CUMPLE","NO CABE"))</f>
        <v>CUMPLE</v>
      </c>
      <c r="D70" s="11" t="inlineStr">
        <is>
          <t>—</t>
        </is>
      </c>
      <c r="E70" s="12" t="inlineStr">
        <is>
          <t>n·db + (n−1)·s_libre ≤ b_w − 2r − 2·estribo.</t>
        </is>
      </c>
      <c r="F70" s="13" t="inlineStr">
        <is>
          <t>ACI 318-19 §25.2.1</t>
        </is>
      </c>
    </row>
    <row r="71" ht="30" customHeight="1">
      <c r="B71" s="9" t="inlineStr">
        <is>
          <t>Estado</t>
        </is>
      </c>
      <c r="C71" s="62" t="str">
        <f>IF(NERVADURA!$C$69&lt;=1,"CUMPLE","NO CUMPLE")</f>
        <v>CUMPLE</v>
      </c>
      <c r="D71" s="11" t="inlineStr">
        <is>
          <t>—</t>
        </is>
      </c>
      <c r="E71" s="12" t="inlineStr">
        <is>
          <t>—</t>
        </is>
      </c>
      <c r="F71" s="13" t="inlineStr">
        <is>
          <t>—</t>
        </is>
      </c>
    </row>
    <row r="72" ht="6" customHeight="1"/>
    <row r="73" ht="21" customHeight="1">
      <c r="B73" s="5" t="inlineStr">
        <is>
          <t>6. LECHO INFERIOR — CLARO LARGO</t>
        </is>
      </c>
    </row>
    <row r="74" ht="30" customHeight="1">
      <c r="B74" s="8" t="inlineStr">
        <is>
          <t>Concepto</t>
        </is>
      </c>
      <c r="C74" s="8" t="inlineStr">
        <is>
          <t>Valor</t>
        </is>
      </c>
      <c r="D74" s="8" t="inlineStr">
        <is>
          <t>Unidad</t>
        </is>
      </c>
      <c r="E74" s="8" t="inlineStr">
        <is>
          <t>Cómo se calcula / de dónde sale</t>
        </is>
      </c>
      <c r="F74" s="8" t="inlineStr">
        <is>
          <t>Referencia</t>
        </is>
      </c>
    </row>
    <row r="75" ht="19.5" customHeight="1">
      <c r="B75" s="9" t="inlineStr">
        <is>
          <t>b — ancho que trabaja a compresión</t>
        </is>
      </c>
      <c r="C75" s="23">
        <f>DATOS!$C$16</f>
        <v>70</v>
      </c>
      <c r="D75" s="11" t="inlineStr">
        <is>
          <t>cm</t>
        </is>
      </c>
      <c r="E75" s="12" t="inlineStr">
        <is>
          <t>Arriba comprime el patín: sección T con b = s.</t>
        </is>
      </c>
      <c r="F75" s="13" t="inlineStr">
        <is>
          <t>Geometría</t>
        </is>
      </c>
    </row>
    <row r="76" ht="19.5" customHeight="1">
      <c r="B76" s="9" t="inlineStr">
        <is>
          <t>d — peralte efectivo</t>
        </is>
      </c>
      <c r="C76" s="17">
        <f>DATOS!$C$66</f>
        <v>21.885</v>
      </c>
      <c r="D76" s="11" t="inlineStr">
        <is>
          <t>cm</t>
        </is>
      </c>
      <c r="E76" s="12" t="inlineStr">
        <is>
          <t>DATOS sección 4.</t>
        </is>
      </c>
      <c r="F76" s="13" t="inlineStr">
        <is>
          <t>—</t>
        </is>
      </c>
    </row>
    <row r="77" ht="19.5" customHeight="1">
      <c r="B77" s="9" t="inlineStr">
        <is>
          <t>As mín = 0.7·√f'c/fy · b_w · d</t>
        </is>
      </c>
      <c r="C77" s="17">
        <f>DATOS!$C$71*DATOS!$C$13*DATOS!$C$66</f>
        <v>0.576720388273208</v>
      </c>
      <c r="D77" s="11" t="inlineStr">
        <is>
          <t>cm²</t>
        </is>
      </c>
      <c r="E77" s="12" t="inlineStr">
        <is>
          <t>Siempre sobre b_w.</t>
        </is>
      </c>
      <c r="F77" s="13" t="inlineStr">
        <is>
          <t>NTC-Concreto 2023 (CDMX) · refuerzo mínimo</t>
        </is>
      </c>
    </row>
    <row r="78" ht="43.5" customHeight="1">
      <c r="B78" s="9" t="inlineStr">
        <is>
          <t>As requerida</t>
        </is>
      </c>
      <c r="C78" s="27">
        <f>IF(NERVADURA!$C$42&lt;=0,DATOS!$C$71*DATOS!$C$13*DATOS!$C$66,IF((1-2*NERVADURA!$C$42*1E5/(DATOS!$C$45*DATOS!$C$16*DATOS!$C$66^2*DATOS!$C$38))&lt;0,-1,MAX(DATOS!$C$71*DATOS!$C$13*DATOS!$C$66,(1-SQRT((1-2*NERVADURA!$C$42*1E5/(DATOS!$C$45*DATOS!$C$16*DATOS!$C$66^2*DATOS!$C$38))))*DATOS!$C$38*DATOS!$C$16*DATOS!$C$66/DATOS!$C$32)))</f>
        <v>0.576720388273208</v>
      </c>
      <c r="D78" s="11" t="inlineStr">
        <is>
          <t>cm²</t>
        </is>
      </c>
      <c r="E78" s="12" t="inlineStr">
        <is>
          <t>q = 1 − √(1 − 2Mu/(F_R·b·d²·f''c)); As = q·f''c·b·d/fy; nunca menos que el mínimo. −1 = la sección no alcanza.</t>
        </is>
      </c>
      <c r="F78" s="13" t="inlineStr">
        <is>
          <t>NTC-Concreto 2023 (CDMX) · flexión, sección rectangular · Naim — CASA HABITACIÓN, MEMORIA DE CÁLCULO (sep-2024) (mismo procedimiento)</t>
        </is>
      </c>
    </row>
    <row r="79" ht="19.5" customHeight="1">
      <c r="B79" s="9" t="inlineStr">
        <is>
          <t>Varilla que se usa</t>
        </is>
      </c>
      <c r="C79" s="64">
        <f>INDEX(TABLEROS!$AW$9:$AW$40,NERVADURA!$C$7)</f>
        <v>3</v>
      </c>
      <c r="D79" s="11" t="inlineStr">
        <is>
          <t>No.</t>
        </is>
      </c>
      <c r="E79" s="12" t="inlineStr">
        <is>
          <t>La preferida de DATOS o la siguiente que quepa (TABLEROS).</t>
        </is>
      </c>
      <c r="F79" s="13" t="inlineStr">
        <is>
          <t>TABLEROS</t>
        </is>
      </c>
    </row>
    <row r="80" ht="19.5" customHeight="1">
      <c r="B80" s="9" t="inlineStr">
        <is>
          <t>Número de varillas</t>
        </is>
      </c>
      <c r="C80" s="14">
        <f>INDEX(TABLEROS!$AX$9:$AX$40,NERVADURA!$C$7)</f>
        <v>1</v>
      </c>
      <c r="D80" s="11" t="inlineStr">
        <is>
          <t>pzas</t>
        </is>
      </c>
      <c r="E80" s="12" t="inlineStr">
        <is>
          <t>CEILING(As / a_b).</t>
        </is>
      </c>
      <c r="F80" s="13" t="inlineStr">
        <is>
          <t>TABLEROS</t>
        </is>
      </c>
    </row>
    <row r="81" ht="19.5" customHeight="1">
      <c r="B81" s="9" t="inlineStr">
        <is>
          <t>d real con la varilla escogida</t>
        </is>
      </c>
      <c r="C81" s="17">
        <f>DATOS!$C$15-DATOS!$C$18-INDEX(TABLAS!$C$52:$C$58,MATCH(DATOS!$C$19,TABLAS!$B$52:$B$58,0))-INDEX(TABLAS!$C$52:$C$58,MATCH(NERVADURA!$C$79,TABLAS!$B$52:$B$58,0))/2</f>
        <v>21.885</v>
      </c>
      <c r="D81" s="11" t="inlineStr">
        <is>
          <t>cm</t>
        </is>
      </c>
      <c r="E81" s="12" t="inlineStr">
        <is>
          <t>h − r − estribo − db/2 de la varilla que quedó.</t>
        </is>
      </c>
      <c r="F81" s="13" t="inlineStr">
        <is>
          <t>Geometría</t>
        </is>
      </c>
    </row>
    <row r="82" ht="30" customHeight="1">
      <c r="B82" s="9" t="inlineStr">
        <is>
          <t>M_R — momento resistente</t>
        </is>
      </c>
      <c r="C82" s="63">
        <f>DATOS!$C$45*NERVADURA!$C$80*INDEX(TABLAS!$D$52:$D$58,MATCH(NERVADURA!$C$79,TABLAS!$B$52:$B$58,0))*DATOS!$C$32*(NERVADURA!$C$81-NERVADURA!$C$80*INDEX(TABLAS!$D$52:$D$58,MATCH(NERVADURA!$C$79,TABLAS!$B$52:$B$58,0))*DATOS!$C$32/(DATOS!$C$38*DATOS!$C$16)/2)/1E5</f>
        <v>0.584659515176471</v>
      </c>
      <c r="D82" s="11" t="inlineStr">
        <is>
          <t>t·m</t>
        </is>
      </c>
      <c r="E82" s="12" t="inlineStr">
        <is>
          <t>F_R·As·fy·(d − a/2), a = As·fy/(f''c·b).</t>
        </is>
      </c>
      <c r="F82" s="13" t="inlineStr">
        <is>
          <t>NTC-Concreto 2023 (CDMX) · Naim — CASA HABITACIÓN, MEMORIA DE CÁLCULO (sep-2024) pág. 13</t>
        </is>
      </c>
    </row>
    <row r="83" ht="19.5" customHeight="1">
      <c r="B83" s="9" t="inlineStr">
        <is>
          <t>Mu / M_R</t>
        </is>
      </c>
      <c r="C83" s="27">
        <f>IF(NERVADURA!$C$78&lt;0,9.99,IF(NERVADURA!$C$82&gt;0,NERVADURA!$C$42/NERVADURA!$C$82,0))</f>
        <v>0.203322793230185</v>
      </c>
      <c r="D83" s="11" t="inlineStr">
        <is>
          <t>—</t>
        </is>
      </c>
      <c r="E83" s="12" t="inlineStr">
        <is>
          <t>Debe ser ≤ 1. 9.99 = la sección no alcanza.</t>
        </is>
      </c>
      <c r="F83" s="13" t="inlineStr">
        <is>
          <t>—</t>
        </is>
      </c>
    </row>
    <row r="84" ht="19.5" customHeight="1">
      <c r="B84" s="9" t="inlineStr">
        <is>
          <t>¿Caben en la nervadura?</t>
        </is>
      </c>
      <c r="C84" s="43" t="str">
        <f>IF(NERVADURA!$C$80=0,"—",IF(NERVADURA!$C$80*INDEX(TABLAS!$C$52:$C$58,MATCH(NERVADURA!$C$79,TABLAS!$B$52:$B$58,0))+(NERVADURA!$C$80-1)*DATOS!$C$24&lt;=DATOS!$C$25+0.01,"CUMPLE","NO CABE"))</f>
        <v>CUMPLE</v>
      </c>
      <c r="D84" s="11" t="inlineStr">
        <is>
          <t>—</t>
        </is>
      </c>
      <c r="E84" s="12" t="inlineStr">
        <is>
          <t>n·db + (n−1)·s_libre ≤ b_w − 2r − 2·estribo.</t>
        </is>
      </c>
      <c r="F84" s="13" t="inlineStr">
        <is>
          <t>ACI 318-19 §25.2.1</t>
        </is>
      </c>
    </row>
    <row r="85" ht="30" customHeight="1">
      <c r="B85" s="9" t="inlineStr">
        <is>
          <t>Estado</t>
        </is>
      </c>
      <c r="C85" s="62" t="str">
        <f>IF(NERVADURA!$C$83&lt;=1,"CUMPLE","NO CUMPLE")</f>
        <v>CUMPLE</v>
      </c>
      <c r="D85" s="11" t="inlineStr">
        <is>
          <t>—</t>
        </is>
      </c>
      <c r="E85" s="12" t="inlineStr">
        <is>
          <t>—</t>
        </is>
      </c>
      <c r="F85" s="13" t="inlineStr">
        <is>
          <t>—</t>
        </is>
      </c>
    </row>
    <row r="86" ht="6" customHeight="1"/>
    <row r="87" ht="21" customHeight="1">
      <c r="B87" s="5" t="inlineStr">
        <is>
          <t>7. BASTONES SUPERIORES — CLARO LARGO</t>
        </is>
      </c>
    </row>
    <row r="88" ht="30" customHeight="1">
      <c r="B88" s="8" t="inlineStr">
        <is>
          <t>Concepto</t>
        </is>
      </c>
      <c r="C88" s="8" t="inlineStr">
        <is>
          <t>Valor</t>
        </is>
      </c>
      <c r="D88" s="8" t="inlineStr">
        <is>
          <t>Unidad</t>
        </is>
      </c>
      <c r="E88" s="8" t="inlineStr">
        <is>
          <t>Cómo se calcula / de dónde sale</t>
        </is>
      </c>
      <c r="F88" s="8" t="inlineStr">
        <is>
          <t>Referencia</t>
        </is>
      </c>
    </row>
    <row r="89" ht="30" customHeight="1">
      <c r="B89" s="9" t="inlineStr">
        <is>
          <t>b — ancho que trabaja a compresión</t>
        </is>
      </c>
      <c r="C89" s="23">
        <f>DATOS!$C$13</f>
        <v>10</v>
      </c>
      <c r="D89" s="11" t="inlineStr">
        <is>
          <t>cm</t>
        </is>
      </c>
      <c r="E89" s="12" t="inlineStr">
        <is>
          <t>Abajo comprime la nervadura (b_w); arriba comprime el patín (s).</t>
        </is>
      </c>
      <c r="F89" s="13" t="inlineStr">
        <is>
          <t>Geometría</t>
        </is>
      </c>
    </row>
    <row r="90" ht="19.5" customHeight="1">
      <c r="B90" s="9" t="inlineStr">
        <is>
          <t>d — peralte efectivo</t>
        </is>
      </c>
      <c r="C90" s="17">
        <f>DATOS!$C$67</f>
        <v>21.885</v>
      </c>
      <c r="D90" s="11" t="inlineStr">
        <is>
          <t>cm</t>
        </is>
      </c>
      <c r="E90" s="12" t="inlineStr">
        <is>
          <t>DATOS sección 4.</t>
        </is>
      </c>
      <c r="F90" s="13" t="inlineStr">
        <is>
          <t>—</t>
        </is>
      </c>
    </row>
    <row r="91" ht="19.5" customHeight="1">
      <c r="B91" s="9" t="inlineStr">
        <is>
          <t>As mín = 0.7·√f'c/fy · b_w · d</t>
        </is>
      </c>
      <c r="C91" s="17">
        <f>DATOS!$C$71*DATOS!$C$13*DATOS!$C$67</f>
        <v>0.576720388273208</v>
      </c>
      <c r="D91" s="11" t="inlineStr">
        <is>
          <t>cm²</t>
        </is>
      </c>
      <c r="E91" s="12" t="inlineStr">
        <is>
          <t>Siempre sobre b_w.</t>
        </is>
      </c>
      <c r="F91" s="13" t="inlineStr">
        <is>
          <t>NTC-Concreto 2023 (CDMX) · refuerzo mínimo</t>
        </is>
      </c>
    </row>
    <row r="92" ht="43.5" customHeight="1">
      <c r="B92" s="9" t="inlineStr">
        <is>
          <t>As requerida</t>
        </is>
      </c>
      <c r="C92" s="27">
        <f>IF(NERVADURA!$C$43&lt;=0,DATOS!$C$71*DATOS!$C$13*DATOS!$C$67,IF((1-2*NERVADURA!$C$43*1E5/(DATOS!$C$45*DATOS!$C$13*DATOS!$C$67^2*DATOS!$C$38))&lt;0,-1,IF((1-SQRT((1-2*NERVADURA!$C$43*1E5/(DATOS!$C$45*DATOS!$C$13*DATOS!$C$67^2*DATOS!$C$38))))*DATOS!$C$38*DATOS!$C$13*DATOS!$C$67/DATOS!$C$32&gt;DATOS!$C$70*DATOS!$C$13*DATOS!$C$67,-1,MAX(DATOS!$C$71*DATOS!$C$13*DATOS!$C$67,(1-SQRT((1-2*NERVADURA!$C$43*1E5/(DATOS!$C$45*DATOS!$C$13*DATOS!$C$67^2*DATOS!$C$38))))*DATOS!$C$38*DATOS!$C$13*DATOS!$C$67/DATOS!$C$32))))</f>
        <v>0.576720388273208</v>
      </c>
      <c r="D92" s="11" t="inlineStr">
        <is>
          <t>cm²</t>
        </is>
      </c>
      <c r="E92" s="12" t="inlineStr">
        <is>
          <t>q = 1 − √(1 − 2Mu/(F_R·b·d²·f''c)); As = q·f''c·b·d/fy; nunca menos que el mínimo. −1 = la sección no alcanza.</t>
        </is>
      </c>
      <c r="F92" s="13" t="inlineStr">
        <is>
          <t>NTC-Concreto 2023 (CDMX) · flexión, sección rectangular · Naim — CASA HABITACIÓN, MEMORIA DE CÁLCULO (sep-2024) (mismo procedimiento)</t>
        </is>
      </c>
    </row>
    <row r="93" ht="19.5" customHeight="1">
      <c r="B93" s="9" t="inlineStr">
        <is>
          <t>Varilla que se usa</t>
        </is>
      </c>
      <c r="C93" s="64">
        <f>INDEX(TABLEROS!$BB$9:$BB$40,NERVADURA!$C$7)</f>
        <v>3</v>
      </c>
      <c r="D93" s="11" t="inlineStr">
        <is>
          <t>No.</t>
        </is>
      </c>
      <c r="E93" s="12" t="inlineStr">
        <is>
          <t>La preferida de DATOS o la siguiente que quepa (TABLEROS).</t>
        </is>
      </c>
      <c r="F93" s="13" t="inlineStr">
        <is>
          <t>TABLEROS</t>
        </is>
      </c>
    </row>
    <row r="94" ht="19.5" customHeight="1">
      <c r="B94" s="9" t="inlineStr">
        <is>
          <t>Número de varillas</t>
        </is>
      </c>
      <c r="C94" s="14">
        <f>INDEX(TABLEROS!$BC$9:$BC$40,NERVADURA!$C$7)</f>
        <v>1</v>
      </c>
      <c r="D94" s="11" t="inlineStr">
        <is>
          <t>pzas</t>
        </is>
      </c>
      <c r="E94" s="12" t="inlineStr">
        <is>
          <t>CEILING(As / a_b).</t>
        </is>
      </c>
      <c r="F94" s="13" t="inlineStr">
        <is>
          <t>TABLEROS</t>
        </is>
      </c>
    </row>
    <row r="95" ht="19.5" customHeight="1">
      <c r="B95" s="9" t="inlineStr">
        <is>
          <t>d real con la varilla escogida</t>
        </is>
      </c>
      <c r="C95" s="17">
        <f>DATOS!$C$15-DATOS!$C$18-INDEX(TABLAS!$C$52:$C$58,MATCH(DATOS!$C$19,TABLAS!$B$52:$B$58,0))-INDEX(TABLAS!$C$52:$C$58,MATCH(NERVADURA!$C$93,TABLAS!$B$52:$B$58,0))/2</f>
        <v>21.885</v>
      </c>
      <c r="D95" s="11" t="inlineStr">
        <is>
          <t>cm</t>
        </is>
      </c>
      <c r="E95" s="12" t="inlineStr">
        <is>
          <t>h − r − estribo − db/2 de la varilla que quedó.</t>
        </is>
      </c>
      <c r="F95" s="13" t="inlineStr">
        <is>
          <t>Geometría</t>
        </is>
      </c>
    </row>
    <row r="96" ht="30" customHeight="1">
      <c r="B96" s="9" t="inlineStr">
        <is>
          <t>M_R — momento resistente</t>
        </is>
      </c>
      <c r="C96" s="63">
        <f>DATOS!$C$45*NERVADURA!$C$94*INDEX(TABLAS!$D$52:$D$58,MATCH(NERVADURA!$C$93,TABLAS!$B$52:$B$58,0))*DATOS!$C$32*(NERVADURA!$C$95-NERVADURA!$C$94*INDEX(TABLAS!$D$52:$D$58,MATCH(NERVADURA!$C$93,TABLAS!$B$52:$B$58,0))*DATOS!$C$32/(DATOS!$C$38*DATOS!$C$13)/2)/1E5</f>
        <v>0.568518826235294</v>
      </c>
      <c r="D96" s="11" t="inlineStr">
        <is>
          <t>t·m</t>
        </is>
      </c>
      <c r="E96" s="12" t="inlineStr">
        <is>
          <t>F_R·As·fy·(d − a/2), a = As·fy/(f''c·b).</t>
        </is>
      </c>
      <c r="F96" s="13" t="inlineStr">
        <is>
          <t>NTC-Concreto 2023 (CDMX) · Naim — CASA HABITACIÓN, MEMORIA DE CÁLCULO (sep-2024) pág. 13</t>
        </is>
      </c>
    </row>
    <row r="97" ht="19.5" customHeight="1">
      <c r="B97" s="9" t="inlineStr">
        <is>
          <t>Mu / M_R</t>
        </is>
      </c>
      <c r="C97" s="27">
        <f>IF(NERVADURA!$C$92&lt;0,9.99,IF(NERVADURA!$C$96&gt;0,NERVADURA!$C$43/NERVADURA!$C$96,0))</f>
        <v>0.526648351734355</v>
      </c>
      <c r="D97" s="11" t="inlineStr">
        <is>
          <t>—</t>
        </is>
      </c>
      <c r="E97" s="12" t="inlineStr">
        <is>
          <t>Debe ser ≤ 1. 9.99 = la sección no alcanza.</t>
        </is>
      </c>
      <c r="F97" s="13" t="inlineStr">
        <is>
          <t>—</t>
        </is>
      </c>
    </row>
    <row r="98" ht="19.5" customHeight="1">
      <c r="B98" s="9" t="inlineStr">
        <is>
          <t>¿Caben en la nervadura?</t>
        </is>
      </c>
      <c r="C98" s="43" t="str">
        <f>IF(NERVADURA!$C$94=0,"—",IF(NERVADURA!$C$94*INDEX(TABLAS!$C$52:$C$58,MATCH(NERVADURA!$C$93,TABLAS!$B$52:$B$58,0))+(NERVADURA!$C$94-1)*DATOS!$C$24&lt;=DATOS!$C$25+0.01,"CUMPLE","NO CABE"))</f>
        <v>CUMPLE</v>
      </c>
      <c r="D98" s="11" t="inlineStr">
        <is>
          <t>—</t>
        </is>
      </c>
      <c r="E98" s="12" t="inlineStr">
        <is>
          <t>n·db + (n−1)·s_libre ≤ b_w − 2r − 2·estribo.</t>
        </is>
      </c>
      <c r="F98" s="13" t="inlineStr">
        <is>
          <t>ACI 318-19 §25.2.1</t>
        </is>
      </c>
    </row>
    <row r="99" ht="30" customHeight="1">
      <c r="B99" s="9" t="inlineStr">
        <is>
          <t>Estado</t>
        </is>
      </c>
      <c r="C99" s="62" t="str">
        <f>IF(NERVADURA!$C$97&lt;=1,"CUMPLE","NO CUMPLE")</f>
        <v>CUMPLE</v>
      </c>
      <c r="D99" s="11" t="inlineStr">
        <is>
          <t>—</t>
        </is>
      </c>
      <c r="E99" s="12" t="inlineStr">
        <is>
          <t>—</t>
        </is>
      </c>
      <c r="F99" s="13" t="inlineStr">
        <is>
          <t>—</t>
        </is>
      </c>
    </row>
    <row r="100" ht="6" customHeight="1"/>
    <row r="101" ht="21" customHeight="1">
      <c r="B101" s="5" t="inlineStr">
        <is>
          <t>8. CORTANTE EN LA NERVADURA</t>
        </is>
      </c>
    </row>
    <row r="102" ht="30" customHeight="1">
      <c r="B102" s="6" t="inlineStr">
        <is>
          <t>V por metro = (a1/2 − d)·(0.95 − 0.5·m)·w_u, × 1.15 si hay bordes continuos y discontinuos; por nervadura × s. V_cR de la nervadura de 10 cm con el acero de los bastones.</t>
        </is>
      </c>
      <c r="C102" s="7" t="n"/>
      <c r="D102" s="7" t="n"/>
      <c r="E102" s="7" t="n"/>
      <c r="F102" s="7" t="n"/>
    </row>
    <row r="103" ht="30" customHeight="1">
      <c r="B103" s="8" t="inlineStr">
        <is>
          <t>Concepto</t>
        </is>
      </c>
      <c r="C103" s="8" t="inlineStr">
        <is>
          <t>Valor</t>
        </is>
      </c>
      <c r="D103" s="8" t="inlineStr">
        <is>
          <t>Unidad</t>
        </is>
      </c>
      <c r="E103" s="8" t="inlineStr">
        <is>
          <t>Cómo se calcula / de dónde sale</t>
        </is>
      </c>
      <c r="F103" s="8" t="inlineStr">
        <is>
          <t>Referencia</t>
        </is>
      </c>
    </row>
    <row r="104" ht="30" customHeight="1">
      <c r="B104" s="9" t="inlineStr">
        <is>
          <t>V_u por nervadura</t>
        </is>
      </c>
      <c r="C104" s="29">
        <f>INDEX(TABLEROS!$BF$9:$BF$40,NERVADURA!$C$7)</f>
        <v>0.587646054485111</v>
      </c>
      <c r="D104" s="11" t="inlineStr">
        <is>
          <t>t</t>
        </is>
      </c>
      <c r="E104" s="12" t="inlineStr">
        <is>
          <t>Ver fórmula arriba; en volado V = (w_u·a1 + 1.3·P)·s.</t>
        </is>
      </c>
      <c r="F104" s="13" t="inlineStr">
        <is>
          <t>NTC-Concreto 2023 (CDMX) · losas apoyadas en su perímetro, revisión por cortante</t>
        </is>
      </c>
    </row>
    <row r="105" ht="19.5" customHeight="1">
      <c r="B105" s="9" t="inlineStr">
        <is>
          <t>p — cuantía de los bastones</t>
        </is>
      </c>
      <c r="C105" s="24">
        <f>NERVADURA!$C$66*INDEX(TABLAS!$D$52:$D$58,MATCH(NERVADURA!$C$65,TABLAS!$B$52:$B$58,0))/(DATOS!$C$13*DATOS!$C$67)</f>
        <v>0.00324423120859036</v>
      </c>
      <c r="D105" s="11" t="inlineStr">
        <is>
          <t>—</t>
        </is>
      </c>
      <c r="E105" s="12" t="inlineStr">
        <is>
          <t>As_sup / (b_w·d).</t>
        </is>
      </c>
      <c r="F105" s="13" t="inlineStr">
        <is>
          <t>—</t>
        </is>
      </c>
    </row>
    <row r="106" ht="43.5" customHeight="1">
      <c r="B106" s="9" t="inlineStr">
        <is>
          <t>V_cR — cortante que toma el concreto</t>
        </is>
      </c>
      <c r="C106" s="29">
        <f>DATOS!$C$46*IF(NERVADURA!$C$105&lt;0.015,0.2+20*NERVADURA!$C$105,0.5)*SQRT(DATOS!$C$31)*DATOS!$C$13*DATOS!$C$67*DATOS!$C$49/1000</f>
        <v>0.687439634849853</v>
      </c>
      <c r="D106" s="11" t="inlineStr">
        <is>
          <t>t</t>
        </is>
      </c>
      <c r="E106" s="12" t="inlineStr">
        <is>
          <t>F_R·(0.2 + 20p)·√f'c·b·d si p &lt; 0.015; si no 0.5·F_R·√f'c·b·d.</t>
        </is>
      </c>
      <c r="F106" s="13" t="inlineStr">
        <is>
          <t>NTC-Concreto 2023 (CDMX) · fuerza cortante que toma el concreto · comprobado con Naim — CASA HABITACIÓN, MEMORIA DE CÁLCULO (sep-2024) pág. 13</t>
        </is>
      </c>
    </row>
    <row r="107" ht="30" customHeight="1">
      <c r="B107" s="9" t="inlineStr">
        <is>
          <t>Estado</t>
        </is>
      </c>
      <c r="C107" s="62" t="str">
        <f>INDEX(TABLEROS!$BH$9:$BH$40,NERVADURA!$C$7)</f>
        <v>CUMPLE</v>
      </c>
      <c r="D107" s="11" t="inlineStr">
        <is>
          <t>—</t>
        </is>
      </c>
      <c r="E107" s="12" t="inlineStr">
        <is>
          <t>Si no pasa, se quita la(s) primera(s) hilera(s) de casetones junto al apoyo (macizo).</t>
        </is>
      </c>
      <c r="F107" s="13" t="inlineStr">
        <is>
          <t>—</t>
        </is>
      </c>
    </row>
    <row r="108" ht="6" customHeight="1"/>
    <row r="109" ht="21" customHeight="1">
      <c r="B109" s="5" t="inlineStr">
        <is>
          <t>9. PERALTE MÍNIMO</t>
        </is>
      </c>
    </row>
    <row r="110" ht="42" customHeight="1">
      <c r="B110" s="6" t="inlineStr">
        <is>
          <t>Perímetro con los lados discontinuos aumentados 25% (losa monolítica con sus apoyos), entre 250, × 0.032·⁴√(fs·w) si w &gt; 380 kg/m² o fs &gt; 2,520 kg/cm². Se compara contra el d equivalente (misma inercia que la nervada), que es más chico que el real.</t>
        </is>
      </c>
      <c r="C110" s="7" t="n"/>
      <c r="D110" s="7" t="n"/>
      <c r="E110" s="7" t="n"/>
      <c r="F110" s="7" t="n"/>
    </row>
    <row r="111" ht="30" customHeight="1">
      <c r="B111" s="8" t="inlineStr">
        <is>
          <t>Concepto</t>
        </is>
      </c>
      <c r="C111" s="8" t="inlineStr">
        <is>
          <t>Valor</t>
        </is>
      </c>
      <c r="D111" s="8" t="inlineStr">
        <is>
          <t>Unidad</t>
        </is>
      </c>
      <c r="E111" s="8" t="inlineStr">
        <is>
          <t>Cómo se calcula / de dónde sale</t>
        </is>
      </c>
      <c r="F111" s="8" t="inlineStr">
        <is>
          <t>Referencia</t>
        </is>
      </c>
    </row>
    <row r="112" ht="43.5" customHeight="1">
      <c r="B112" s="9" t="inlineStr">
        <is>
          <t>d mínimo (o h mínimo si es volado)</t>
        </is>
      </c>
      <c r="C112" s="27">
        <f>INDEX(TABLEROS!$BI$9:$BI$40,NERVADURA!$C$7)</f>
        <v>8.02504553686247</v>
      </c>
      <c r="D112" s="11" t="inlineStr">
        <is>
          <t>cm</t>
        </is>
      </c>
      <c r="E112" s="12" t="inlineStr">
        <is>
          <t>Ver arriba. En volado: h ≥ L/8.</t>
        </is>
      </c>
      <c r="F112" s="13" t="inlineStr">
        <is>
          <t>NTC-Concreto 2023 (CDMX) · peralte mínimo de losas apoyadas en su perímetro · ACI 318-19 Tabla 9.3.1.1 para el volado</t>
        </is>
      </c>
    </row>
    <row r="113" ht="19.5" customHeight="1">
      <c r="B113" s="9" t="inlineStr">
        <is>
          <t>d que se tiene (d_eq) o h si es volado</t>
        </is>
      </c>
      <c r="C113" s="17">
        <f>INDEX(TABLEROS!$BJ$9:$BJ$40,NERVADURA!$C$7)</f>
        <v>13.6082564120244</v>
      </c>
      <c r="D113" s="11" t="inlineStr">
        <is>
          <t>cm</t>
        </is>
      </c>
      <c r="E113" s="12" t="inlineStr">
        <is>
          <t>DATOS sección 4.</t>
        </is>
      </c>
      <c r="F113" s="13" t="inlineStr">
        <is>
          <t>—</t>
        </is>
      </c>
    </row>
    <row r="114" ht="30" customHeight="1">
      <c r="B114" s="9" t="inlineStr">
        <is>
          <t>Estado</t>
        </is>
      </c>
      <c r="C114" s="62" t="str">
        <f>INDEX(TABLEROS!$BK$9:$BK$40,NERVADURA!$C$7)</f>
        <v>CUMPLE</v>
      </c>
      <c r="D114" s="11" t="inlineStr">
        <is>
          <t>—</t>
        </is>
      </c>
      <c r="E114" s="12" t="inlineStr">
        <is>
          <t>—</t>
        </is>
      </c>
      <c r="F114" s="13" t="inlineStr">
        <is>
          <t>—</t>
        </is>
      </c>
    </row>
    <row r="115" ht="6" customHeight="1"/>
    <row r="116" ht="21" customHeight="1">
      <c r="B116" s="5" t="inlineStr">
        <is>
          <t>10. ACOMODO DE CASETONES Y REVISIONES DE GEOMETRÍA</t>
        </is>
      </c>
    </row>
    <row r="117" ht="30" customHeight="1">
      <c r="B117" s="8" t="inlineStr">
        <is>
          <t>Concepto</t>
        </is>
      </c>
      <c r="C117" s="8" t="inlineStr">
        <is>
          <t>Valor</t>
        </is>
      </c>
      <c r="D117" s="8" t="inlineStr">
        <is>
          <t>Unidad</t>
        </is>
      </c>
      <c r="E117" s="8" t="inlineStr">
        <is>
          <t>Cómo se calcula / de dónde sale</t>
        </is>
      </c>
      <c r="F117" s="8" t="inlineStr">
        <is>
          <t>Referencia</t>
        </is>
      </c>
    </row>
    <row r="118" ht="30" customHeight="1">
      <c r="B118" s="9" t="inlineStr">
        <is>
          <t>Casetones en X</t>
        </is>
      </c>
      <c r="C118" s="14">
        <f>MAX(0,INT((NERVADURA!$C$13*100-DATOS!$C$17+DATOS!$C$13)/DATOS!$C$16))</f>
        <v>6</v>
      </c>
      <c r="D118" s="11" t="inlineStr">
        <is>
          <t>pzas</t>
        </is>
      </c>
      <c r="E118" s="12" t="inlineStr">
        <is>
          <t>INT((a_x − b_p + b_w)/s). Lo que sobra se reparte como macizo en las dos orillas.</t>
        </is>
      </c>
      <c r="F118" s="13" t="inlineStr">
        <is>
          <t>Geometría</t>
        </is>
      </c>
    </row>
    <row r="119" ht="19.5" customHeight="1">
      <c r="B119" s="9" t="inlineStr">
        <is>
          <t>Macizo en cada orilla X</t>
        </is>
      </c>
      <c r="C119" s="22">
        <f>IF(NERVADURA!$C$118&gt;0,(NERVADURA!$C$13*100-DATOS!$C$17-(NERVADURA!$C$118*DATOS!$C$11+(NERVADURA!$C$118-1)*DATOS!$C$13))/2,NERVADURA!$C$13*100/2)</f>
        <v>8.80000000000001</v>
      </c>
      <c r="D119" s="11" t="inlineStr">
        <is>
          <t>cm</t>
        </is>
      </c>
      <c r="E119" s="12" t="inlineStr">
        <is>
          <t>Del paño de la nervadura principal al primer casetón.</t>
        </is>
      </c>
      <c r="F119" s="13" t="inlineStr">
        <is>
          <t>Geometría</t>
        </is>
      </c>
    </row>
    <row r="120" ht="19.5" customHeight="1">
      <c r="B120" s="9" t="inlineStr">
        <is>
          <t>Casetones en Y</t>
        </is>
      </c>
      <c r="C120" s="14">
        <f>MAX(0,INT((NERVADURA!$C$14*100-DATOS!$C$17+DATOS!$C$13)/DATOS!$C$16))</f>
        <v>5</v>
      </c>
      <c r="D120" s="11" t="inlineStr">
        <is>
          <t>pzas</t>
        </is>
      </c>
      <c r="E120" s="12" t="inlineStr">
        <is>
          <t>Mismo cálculo.</t>
        </is>
      </c>
      <c r="F120" s="13" t="inlineStr">
        <is>
          <t>Geometría</t>
        </is>
      </c>
    </row>
    <row r="121" ht="19.5" customHeight="1">
      <c r="B121" s="9" t="inlineStr">
        <is>
          <t>Macizo en cada orilla Y</t>
        </is>
      </c>
      <c r="C121" s="22">
        <f>IF(NERVADURA!$C$120&gt;0,(NERVADURA!$C$14*100-DATOS!$C$17-(NERVADURA!$C$120*DATOS!$C$11+(NERVADURA!$C$120-1)*DATOS!$C$13))/2,NERVADURA!$C$14*100/2)</f>
        <v>22.5</v>
      </c>
      <c r="D121" s="11" t="inlineStr">
        <is>
          <t>cm</t>
        </is>
      </c>
      <c r="E121" s="12" t="inlineStr">
        <is>
          <t>Mismo cálculo.</t>
        </is>
      </c>
      <c r="F121" s="13" t="inlineStr">
        <is>
          <t>Geometría</t>
        </is>
      </c>
    </row>
    <row r="122" ht="19.5" customHeight="1">
      <c r="B122" s="9" t="inlineStr">
        <is>
          <t>Nervaduras secundarias ‖ X (entre casetones)</t>
        </is>
      </c>
      <c r="C122" s="23">
        <f>MAX(0,NERVADURA!$C$120-1)</f>
        <v>4</v>
      </c>
      <c r="D122" s="11" t="inlineStr">
        <is>
          <t>pzas</t>
        </is>
      </c>
      <c r="E122" s="12" t="inlineStr">
        <is>
          <t>Una entre cada par de hileras de casetones.</t>
        </is>
      </c>
      <c r="F122" s="13" t="inlineStr">
        <is>
          <t>Geometría</t>
        </is>
      </c>
    </row>
    <row r="123" ht="19.5" customHeight="1">
      <c r="B123" s="9" t="inlineStr">
        <is>
          <t>Nervaduras secundarias ‖ Y</t>
        </is>
      </c>
      <c r="C123" s="23">
        <f>MAX(0,NERVADURA!$C$118-1)</f>
        <v>5</v>
      </c>
      <c r="D123" s="11" t="inlineStr">
        <is>
          <t>pzas</t>
        </is>
      </c>
      <c r="E123" s="12" t="inlineStr">
        <is>
          <t>Mismo criterio.</t>
        </is>
      </c>
      <c r="F123" s="13" t="inlineStr">
        <is>
          <t>Geometría</t>
        </is>
      </c>
    </row>
    <row r="124" ht="43.5" customHeight="1">
      <c r="B124" s="9" t="inlineStr">
        <is>
          <t>s ≤ a1/6 para tratarla como losa maciza</t>
        </is>
      </c>
      <c r="C124" s="43" t="str">
        <f>INDEX(TABLEROS!$BL$9:$BL$40,NERVADURA!$C$7)</f>
        <v>NO: a1 &lt; 6·s</v>
      </c>
      <c r="D124" s="11" t="inlineStr">
        <is>
          <t>—</t>
        </is>
      </c>
      <c r="E124" s="12" t="inlineStr">
        <is>
          <t>Si no se cumple, el método de coeficientes es aproximado; en estos tableros chicos manda el acero mínimo con holgura (ver Mu/M_R).</t>
        </is>
      </c>
      <c r="F124" s="13" t="inlineStr">
        <is>
          <t>NTC-Concreto 2023 (CDMX) · losas encasetonadas</t>
        </is>
      </c>
    </row>
    <row r="125" ht="19.5" customHeight="1">
      <c r="B125" s="9" t="inlineStr">
        <is>
          <t>b_w ≥ 10 cm</t>
        </is>
      </c>
      <c r="C125" s="43" t="str">
        <f>IF(DATOS!$C$13&gt;=10,"CUMPLE","NO CUMPLE")</f>
        <v>CUMPLE</v>
      </c>
      <c r="D125" s="11" t="inlineStr">
        <is>
          <t>—</t>
        </is>
      </c>
      <c r="E125" s="12" t="inlineStr">
        <is>
          <t>Ancho mínimo de nervadura.</t>
        </is>
      </c>
      <c r="F125" s="13" t="inlineStr">
        <is>
          <t>ACI 318-19 §8.8.1.2 (referencia)</t>
        </is>
      </c>
    </row>
    <row r="126" ht="19.5" customHeight="1">
      <c r="B126" s="9" t="inlineStr">
        <is>
          <t>h_c ≤ 3.5·b_w</t>
        </is>
      </c>
      <c r="C126" s="43" t="str">
        <f>IF(DATOS!$C$12&lt;=3.5*DATOS!$C$13,"CUMPLE","NO CUMPLE")</f>
        <v>CUMPLE</v>
      </c>
      <c r="D126" s="11" t="inlineStr">
        <is>
          <t>—</t>
        </is>
      </c>
      <c r="E126" s="12" t="inlineStr">
        <is>
          <t>Peralte de la nervadura bajo la capa.</t>
        </is>
      </c>
      <c r="F126" s="13" t="inlineStr">
        <is>
          <t>ACI 318-19 §8.8.1.3 (referencia)</t>
        </is>
      </c>
    </row>
    <row r="127" ht="19.5" customHeight="1">
      <c r="B127" s="9" t="inlineStr">
        <is>
          <t>Separación libre entre nervaduras ≤ 75 cm</t>
        </is>
      </c>
      <c r="C127" s="43" t="str">
        <f>IF(DATOS!$C$11&lt;=75,"CUMPLE","NO CUMPLE")</f>
        <v>CUMPLE</v>
      </c>
      <c r="D127" s="11" t="inlineStr">
        <is>
          <t>—</t>
        </is>
      </c>
      <c r="E127" s="12" t="inlineStr">
        <is>
          <t>—</t>
        </is>
      </c>
      <c r="F127" s="13" t="inlineStr">
        <is>
          <t>ACI 318-19 §8.8.1.4 (referencia)</t>
        </is>
      </c>
    </row>
    <row r="128" ht="19.5" customHeight="1">
      <c r="B128" s="9" t="inlineStr">
        <is>
          <t>t ≥ máx(5 cm, a_c/12)</t>
        </is>
      </c>
      <c r="C128" s="43" t="str">
        <f>IF(DATOS!$C$14&gt;=MAX(5,DATOS!$C$11/12),"CUMPLE","NO CUMPLE")</f>
        <v>CUMPLE</v>
      </c>
      <c r="D128" s="11" t="inlineStr">
        <is>
          <t>—</t>
        </is>
      </c>
      <c r="E128" s="12" t="inlineStr">
        <is>
          <t>Espesor de la capa de compresión.</t>
        </is>
      </c>
      <c r="F128" s="13" t="inlineStr">
        <is>
          <t>ACI 318-19 §8.8.2 (referencia)</t>
        </is>
      </c>
    </row>
    <row r="129" ht="6" customHeight="1"/>
    <row r="130" ht="21" customHeight="1">
      <c r="B130" s="5" t="inlineStr">
        <is>
          <t>11. MALLA DE LA CAPA DE COMPRESIÓN (CAMBIOS VOLUMÉTRICOS)</t>
        </is>
      </c>
    </row>
    <row r="131" ht="30" customHeight="1">
      <c r="B131" s="8" t="inlineStr">
        <is>
          <t>Concepto</t>
        </is>
      </c>
      <c r="C131" s="8" t="inlineStr">
        <is>
          <t>Valor</t>
        </is>
      </c>
      <c r="D131" s="8" t="inlineStr">
        <is>
          <t>Unidad</t>
        </is>
      </c>
      <c r="E131" s="8" t="inlineStr">
        <is>
          <t>Cómo se calcula / de dónde sale</t>
        </is>
      </c>
      <c r="F131" s="8" t="inlineStr">
        <is>
          <t>Referencia</t>
        </is>
      </c>
    </row>
    <row r="132" ht="30" customHeight="1">
      <c r="B132" s="9" t="inlineStr">
        <is>
          <t>a_s1 requerida = 660·x1 / (fy·(x1 + 100))</t>
        </is>
      </c>
      <c r="C132" s="63">
        <f>660*DATOS!$C$14/(DATOS!$C$33*(DATOS!$C$14+100))*100*IF(AND(NERVADURA!$C$12="N+6.00",DATOS!$C$27="SÍ"),1.5,1)</f>
        <v>0.628571428571429</v>
      </c>
      <c r="D132" s="11" t="inlineStr">
        <is>
          <t>cm²/m</t>
        </is>
      </c>
      <c r="E132" s="12" t="inlineStr">
        <is>
          <t>x1 = espesor de la capa (cm); × 1.5 si queda expuesta a la intemperie.</t>
        </is>
      </c>
      <c r="F132" s="13" t="inlineStr">
        <is>
          <t>NTC-Concreto 2023 (CDMX) · refuerzo por cambios volumétricos</t>
        </is>
      </c>
    </row>
    <row r="133" ht="19.5" customHeight="1">
      <c r="B133" s="9" t="inlineStr">
        <is>
          <t>As de la malla escogida</t>
        </is>
      </c>
      <c r="C133" s="63">
        <f>INDEX(TABLAS!$D$63:$D$66,MATCH(DATOS!$C$26,TABLAS!$B$63:$B$66,0))</f>
        <v>0.606307798724058</v>
      </c>
      <c r="D133" s="11" t="inlineStr">
        <is>
          <t>cm²/m</t>
        </is>
      </c>
      <c r="E133" s="12" t="inlineStr">
        <is>
          <t>TABLAS sección C.</t>
        </is>
      </c>
      <c r="F133" s="13" t="inlineStr">
        <is>
          <t>TABLAS</t>
        </is>
      </c>
    </row>
    <row r="134" ht="30" customHeight="1">
      <c r="B134" s="9" t="inlineStr">
        <is>
          <t>Estado</t>
        </is>
      </c>
      <c r="C134" s="62" t="str">
        <f>IF(NERVADURA!$C$133&gt;=NERVADURA!$C$132,"CUMPLE","NO CUMPLE — sube a 6x6-8/8")</f>
        <v>NO CUMPLE — sube a 6x6-8/8</v>
      </c>
      <c r="D134" s="11" t="inlineStr">
        <is>
          <t>—</t>
        </is>
      </c>
      <c r="E134" s="12" t="inlineStr">
        <is>
          <t>La 6x6-10/10 queda 3% corta con esta fórmula; muchas memorias la aceptan. Decide tú.</t>
        </is>
      </c>
      <c r="F134" s="13" t="inlineStr">
        <is>
          <t>Naim — CASA HABITACIÓN, PLANOS EST-01 a EST-06 (usa 6x6-10/10)</t>
        </is>
      </c>
    </row>
    <row r="135" ht="6" customHeight="1"/>
    <row r="136" ht="21" customHeight="1">
      <c r="B136" s="5" t="inlineStr">
        <is>
          <t>12. COMPROBACIÓN CONTRA TABLEROS</t>
        </is>
      </c>
    </row>
    <row r="137" ht="30" customHeight="1">
      <c r="B137" s="8" t="inlineStr">
        <is>
          <t>Concepto</t>
        </is>
      </c>
      <c r="C137" s="8" t="inlineStr">
        <is>
          <t>Valor</t>
        </is>
      </c>
      <c r="D137" s="8" t="inlineStr">
        <is>
          <t>Unidad</t>
        </is>
      </c>
      <c r="E137" s="8" t="inlineStr">
        <is>
          <t>Cómo se calcula / de dónde sale</t>
        </is>
      </c>
      <c r="F137" s="8" t="inlineStr">
        <is>
          <t>Referencia</t>
        </is>
      </c>
    </row>
    <row r="138" ht="19.5" customHeight="1">
      <c r="B138" s="9" t="inlineStr">
        <is>
          <t>Mu/M_R inferior corto (aquí / TABLEROS)</t>
        </is>
      </c>
      <c r="C138" s="43" t="str">
        <f>TEXT(NERVADURA!$C$55,"0.000")&amp;" / "&amp;TEXT(INDEX(TABLEROS!$AP$9:$AP$40,NERVADURA!$C$7),"0.000")</f>
        <v>0.261 / 0.261</v>
      </c>
      <c r="D138" s="11" t="inlineStr">
        <is>
          <t>—</t>
        </is>
      </c>
      <c r="E138" s="12" t="inlineStr">
        <is>
          <t>Deben coincidir.</t>
        </is>
      </c>
      <c r="F138" s="13" t="inlineStr">
        <is>
          <t>—</t>
        </is>
      </c>
    </row>
    <row r="139" ht="19.5" customHeight="1">
      <c r="B139" s="9" t="inlineStr">
        <is>
          <t>Mu/M_R bastones corto (aquí / TABLEROS)</t>
        </is>
      </c>
      <c r="C139" s="43" t="str">
        <f>TEXT(NERVADURA!$C$69,"0.000")&amp;" / "&amp;TEXT(INDEX(TABLEROS!$AU$9:$AU$40,NERVADURA!$C$7),"0.000")</f>
        <v>0.576 / 0.576</v>
      </c>
      <c r="D139" s="11" t="inlineStr">
        <is>
          <t>—</t>
        </is>
      </c>
      <c r="E139" s="12" t="inlineStr">
        <is>
          <t>Deben coincidir.</t>
        </is>
      </c>
      <c r="F139" s="13" t="inlineStr">
        <is>
          <t>—</t>
        </is>
      </c>
    </row>
    <row r="140" ht="30" customHeight="1">
      <c r="B140" s="9" t="inlineStr">
        <is>
          <t>¿Coinciden?</t>
        </is>
      </c>
      <c r="C140" s="62" t="str">
        <f>IF(AND(ABS(NERVADURA!$C$55-INDEX(TABLEROS!$AP$9:$AP$40,NERVADURA!$C$7))&lt;0.0005,ABS(NERVADURA!$C$69-INDEX(TABLEROS!$AU$9:$AU$40,NERVADURA!$C$7))&lt;0.0005,ABS(NERVADURA!$C$83-INDEX(TABLEROS!$AZ$9:$AZ$40,NERVADURA!$C$7))&lt;0.0005,ABS(NERVADURA!$C$97-INDEX(TABLEROS!$BE$9:$BE$40,NERVADURA!$C$7))&lt;0.0005),"CUMPLE — coinciden","REVISAR")</f>
        <v>CUMPLE — coinciden</v>
      </c>
      <c r="D140" s="11" t="inlineStr">
        <is>
          <t>—</t>
        </is>
      </c>
      <c r="E140" s="12" t="inlineStr">
        <is>
          <t>Control interno de la hoja.</t>
        </is>
      </c>
      <c r="F140" s="13" t="inlineStr">
        <is>
          <t>—</t>
        </is>
      </c>
    </row>
    <row r="141" ht="30" customHeight="1">
      <c r="B141" s="9" t="inlineStr">
        <is>
          <t>ESTADO DEL TABLERO (TABLEROS)</t>
        </is>
      </c>
      <c r="C141" s="62" t="str">
        <f>INDEX(TABLEROS!$BP$9:$BP$40,NERVADURA!$C$7)</f>
        <v>VER PRINCIPALES</v>
      </c>
      <c r="D141" s="11" t="inlineStr">
        <is>
          <t>—</t>
        </is>
      </c>
      <c r="E141" s="12" t="inlineStr">
        <is>
          <t>—</t>
        </is>
      </c>
      <c r="F141" s="13" t="inlineStr">
        <is>
          <t>—</t>
        </is>
      </c>
    </row>
  </sheetData>
  <mergeCells count="18">
    <mergeCell ref="B4:F4"/>
    <mergeCell ref="B130:F130"/>
    <mergeCell ref="B73:F73"/>
    <mergeCell ref="B109:F109"/>
    <mergeCell ref="B87:F87"/>
    <mergeCell ref="B38:F38"/>
    <mergeCell ref="B2:F2"/>
    <mergeCell ref="B116:F116"/>
    <mergeCell ref="B25:F25"/>
    <mergeCell ref="B59:F59"/>
    <mergeCell ref="B37:F37"/>
    <mergeCell ref="B136:F136"/>
    <mergeCell ref="B45:F45"/>
    <mergeCell ref="B1:F1"/>
    <mergeCell ref="B101:F101"/>
    <mergeCell ref="B102:F102"/>
    <mergeCell ref="B110:F110"/>
    <mergeCell ref="B9:F9"/>
  </mergeCells>
  <conditionalFormatting sqref="C1:F142">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6" showDropDown="0" showInputMessage="0" showErrorMessage="0" allowBlank="0" errorTitle="Valor no válido" error="Escoge un valor de la lista" type="list">
      <formula1>=TABLEROS!$B$9:$B$40</formula1>
    </dataValidation>
  </dataValidations>
  <pageMargins left="0.75" right="0.75" top="1" bottom="1" header="0.5" footer="0.5"/>
  <pageSetup orientation="landscape" paperSize="1" fitToHeight="0" fitToWidth="1"/>
</worksheet>
</file>

<file path=xl/worksheets/sheet6.xml><?xml version="1.0" encoding="utf-8"?>
<worksheet xmlns="http://schemas.openxmlformats.org/spreadsheetml/2006/main">
  <sheetPr>
    <outlinePr summaryBelow="1" summaryRight="1"/>
    <pageSetUpPr fitToPage="1"/>
  </sheetPr>
  <dimension ref="B1:AZ42"/>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7" customWidth="1" min="2" max="2"/>
    <col width="7.5" customWidth="1" min="3" max="3"/>
    <col width="16" customWidth="1" min="4" max="4"/>
    <col width="13" customWidth="1" min="5" max="5"/>
    <col width="13" customWidth="1" min="6" max="6"/>
    <col width="6.5" customWidth="1" min="7" max="7"/>
    <col width="10.5" customWidth="1" min="8" max="8"/>
    <col width="10.5" customWidth="1" min="9" max="9"/>
    <col width="7" customWidth="1" min="10" max="10"/>
    <col width="7" customWidth="1" min="11" max="11"/>
    <col width="13" customWidth="1" min="12" max="12"/>
    <col width="6.5" customWidth="1" min="13" max="13"/>
    <col width="6" customWidth="1" min="14" max="14"/>
    <col width="6" customWidth="1" min="15" max="15"/>
    <col width="7" customWidth="1" min="16" max="16"/>
    <col width="7" customWidth="1" min="17" max="17"/>
    <col width="7" customWidth="1" min="18" max="18"/>
    <col width="7" customWidth="1" min="19" max="19"/>
    <col width="7.5" customWidth="1" min="20" max="20"/>
    <col width="7.5" customWidth="1" min="21" max="21"/>
    <col width="7" customWidth="1" min="22" max="22"/>
    <col width="7" customWidth="1" min="23" max="23"/>
    <col width="7.5" customWidth="1" min="24" max="24"/>
    <col width="7.5" customWidth="1" min="25" max="25"/>
    <col width="7.5" customWidth="1" min="26" max="26"/>
    <col width="7.5" customWidth="1" min="27" max="27"/>
    <col width="7" customWidth="1" min="28" max="28"/>
    <col width="7" customWidth="1" min="29" max="29"/>
    <col width="7" customWidth="1" min="30" max="30"/>
    <col width="7" customWidth="1" min="31" max="31"/>
    <col width="7" customWidth="1" min="32" max="32"/>
    <col width="6" customWidth="1" min="33" max="33"/>
    <col width="7" customWidth="1" min="34" max="34"/>
    <col width="5.5" customWidth="1" min="35" max="35"/>
    <col width="5" customWidth="1" min="36" max="36"/>
    <col width="7" customWidth="1" min="37" max="37"/>
    <col width="7" customWidth="1" min="38" max="38"/>
    <col width="7" customWidth="1" min="39" max="39"/>
    <col width="5.5" customWidth="1" min="40" max="40"/>
    <col width="5" customWidth="1" min="41" max="41"/>
    <col width="7" customWidth="1" min="42" max="42"/>
    <col width="7" customWidth="1" min="43" max="43"/>
    <col width="7" customWidth="1" min="44" max="44"/>
    <col width="7" customWidth="1" min="45" max="45"/>
    <col width="16" customWidth="1" min="46" max="46"/>
    <col width="8" customWidth="1" min="47" max="47"/>
    <col width="8" customWidth="1" min="48" max="48"/>
    <col width="8" customWidth="1" min="49" max="49"/>
    <col width="30" customWidth="1" min="50" max="50"/>
    <col width="50" customWidth="1" min="51" max="51"/>
    <col width="7" customWidth="1" min="52" max="52"/>
  </cols>
  <sheetData>
    <row r="1" ht="26" customHeight="1">
      <c r="B1" s="65" t="inlineStr">
        <is>
          <t>PRINCIPALES — NERVADURAS PRINCIPALES SIN MURO ABAJO (TRABAJAN COMO TRABE)</t>
        </is>
      </c>
    </row>
    <row r="2" ht="42" customHeight="1">
      <c r="B2" s="45" t="inlineStr">
        <is>
          <t>Cada renglón es un tramo de dala del modelo que NO tiene muro abajo, entre dos apoyos. Carga = áreas tributarias del DXF × w_u del tablero + muro de planta alta encima + cargas lineales del E2K + peso extra de la nervadura + reacciones de otras principales que se le apoyan (hoja TRANSFER). Apoyada: M⁺ = wL²/8 + ΣPab/L, M⁻ = 0.667·M⁺. Volado: M⁻ = wL²/2 + ΣP·brazo.</t>
        </is>
      </c>
    </row>
    <row r="3" ht="30" customHeight="1">
      <c r="B3" s="46" t="inlineStr">
        <is>
          <t>Los extremos marcados con castillo (C1…C8) dependen de lo que decidas en APOYOS sección B. «h requerido» es el peralte mínimo para que el tramo pase en flexión y en deflexión con el ancho b capturado: si es mayor que 25 cm, esa principal tiene que ir peraltada (descolgada) o llevar otro apoyo.</t>
        </is>
      </c>
    </row>
    <row r="6">
      <c r="B6" s="47" t="inlineStr">
        <is>
          <t>TRAMO Y APOYOS</t>
        </is>
      </c>
      <c r="N6" s="47" t="inlineStr">
        <is>
          <t>SECCIÓN</t>
        </is>
      </c>
      <c r="P6" s="47" t="inlineStr">
        <is>
          <t>CARGA REPARTIDA ÚLTIMA</t>
        </is>
      </c>
      <c r="Y6" s="47" t="inlineStr">
        <is>
          <t>CARGAS PUNTUALES Y REACCIONES</t>
        </is>
      </c>
      <c r="AD6" s="47" t="inlineStr">
        <is>
          <t>ELEMENTOS MECÁNICOS ÚLTIMOS</t>
        </is>
      </c>
      <c r="AG6" s="47" t="inlineStr">
        <is>
          <t>FLEXIÓN</t>
        </is>
      </c>
      <c r="AR6" s="47" t="inlineStr">
        <is>
          <t>CORTANTE</t>
        </is>
      </c>
      <c r="AU6" s="47" t="inlineStr">
        <is>
          <t>PERALTE Y ESTADO</t>
        </is>
      </c>
    </row>
    <row r="7" ht="42" customHeight="1">
      <c r="B7" s="8" t="inlineStr">
        <is>
          <t>Tramo</t>
        </is>
      </c>
      <c r="C7" s="8" t="inlineStr">
        <is>
          <t>Nivel</t>
        </is>
      </c>
      <c r="D7" s="8" t="inlineStr">
        <is>
          <t>Eje / línea</t>
        </is>
      </c>
      <c r="E7" s="8" t="inlineStr">
        <is>
          <t>De (x, y)</t>
        </is>
      </c>
      <c r="F7" s="8" t="inlineStr">
        <is>
          <t>A (x, y)</t>
        </is>
      </c>
      <c r="G7" s="8" t="inlineStr">
        <is>
          <t>L</t>
        </is>
      </c>
      <c r="H7" s="8" t="inlineStr">
        <is>
          <t>Extremo i</t>
        </is>
      </c>
      <c r="I7" s="8" t="inlineStr">
        <is>
          <t>Extremo j</t>
        </is>
      </c>
      <c r="J7" s="8" t="inlineStr">
        <is>
          <t>Castillo en i</t>
        </is>
      </c>
      <c r="K7" s="8" t="inlineStr">
        <is>
          <t>Castillo en j</t>
        </is>
      </c>
      <c r="L7" s="8" t="inlineStr">
        <is>
          <t>Condición</t>
        </is>
      </c>
      <c r="M7" s="8" t="inlineStr">
        <is>
          <t>Raíz del volado</t>
        </is>
      </c>
      <c r="N7" s="8" t="inlineStr">
        <is>
          <t>b</t>
        </is>
      </c>
      <c r="O7" s="8" t="inlineStr">
        <is>
          <t>h</t>
        </is>
      </c>
      <c r="P7" s="8" t="inlineStr">
        <is>
          <t>Área trib.</t>
        </is>
      </c>
      <c r="Q7" s="8" t="inlineStr">
        <is>
          <t>w losa</t>
        </is>
      </c>
      <c r="R7" s="8" t="inlineStr">
        <is>
          <t>Muro encima</t>
        </is>
      </c>
      <c r="S7" s="8" t="inlineStr">
        <is>
          <t>w muro</t>
        </is>
      </c>
      <c r="T7" s="8" t="inlineStr">
        <is>
          <t>SCM lineal E2K</t>
        </is>
      </c>
      <c r="U7" s="8" t="inlineStr">
        <is>
          <t>CV lineal E2K</t>
        </is>
      </c>
      <c r="V7" s="8" t="inlineStr">
        <is>
          <t>w lineal</t>
        </is>
      </c>
      <c r="W7" s="8" t="inlineStr">
        <is>
          <t>w peso extra</t>
        </is>
      </c>
      <c r="X7" s="8" t="inlineStr">
        <is>
          <t>w total</t>
        </is>
      </c>
      <c r="Y7" s="8" t="inlineStr">
        <is>
          <t>ΣP recibidas</t>
        </is>
      </c>
      <c r="Z7" s="8" t="inlineStr">
        <is>
          <t>ΣM por P</t>
        </is>
      </c>
      <c r="AA7" s="8" t="inlineStr">
        <is>
          <t>ΣV por P</t>
        </is>
      </c>
      <c r="AB7" s="8" t="inlineStr">
        <is>
          <t>R_i</t>
        </is>
      </c>
      <c r="AC7" s="8" t="inlineStr">
        <is>
          <t>R_j</t>
        </is>
      </c>
      <c r="AD7" s="8" t="inlineStr">
        <is>
          <t>Mu⁺</t>
        </is>
      </c>
      <c r="AE7" s="8" t="inlineStr">
        <is>
          <t>Mu⁻</t>
        </is>
      </c>
      <c r="AF7" s="8" t="inlineStr">
        <is>
          <t>Vu</t>
        </is>
      </c>
      <c r="AG7" s="8" t="inlineStr">
        <is>
          <t>d</t>
        </is>
      </c>
      <c r="AH7" s="8" t="inlineStr">
        <is>
          <t>As⁺ req.</t>
        </is>
      </c>
      <c r="AI7" s="8" t="inlineStr">
        <is>
          <t>Var.</t>
        </is>
      </c>
      <c r="AJ7" s="8" t="inlineStr">
        <is>
          <t>Pzas</t>
        </is>
      </c>
      <c r="AK7" s="8" t="inlineStr">
        <is>
          <t>M_R⁺</t>
        </is>
      </c>
      <c r="AL7" s="8" t="inlineStr">
        <is>
          <t>Mu⁺/M_R</t>
        </is>
      </c>
      <c r="AM7" s="8" t="inlineStr">
        <is>
          <t>As⁻ req.</t>
        </is>
      </c>
      <c r="AN7" s="8" t="inlineStr">
        <is>
          <t>Var.</t>
        </is>
      </c>
      <c r="AO7" s="8" t="inlineStr">
        <is>
          <t>Pzas</t>
        </is>
      </c>
      <c r="AP7" s="8" t="inlineStr">
        <is>
          <t>M_R⁻</t>
        </is>
      </c>
      <c r="AQ7" s="8" t="inlineStr">
        <is>
          <t>Mu⁻/M_R</t>
        </is>
      </c>
      <c r="AR7" s="8" t="inlineStr">
        <is>
          <t>V_cR</t>
        </is>
      </c>
      <c r="AS7" s="8" t="inlineStr">
        <is>
          <t>Sep. estribo</t>
        </is>
      </c>
      <c r="AT7" s="8" t="inlineStr">
        <is>
          <t>Cortante</t>
        </is>
      </c>
      <c r="AU7" s="8" t="inlineStr">
        <is>
          <t>h mín. deflexión</t>
        </is>
      </c>
      <c r="AV7" s="8" t="inlineStr">
        <is>
          <t>h req. flexión</t>
        </is>
      </c>
      <c r="AW7" s="8" t="inlineStr">
        <is>
          <t>h requerido</t>
        </is>
      </c>
      <c r="AX7" s="8" t="inlineStr">
        <is>
          <t>ESTADO</t>
        </is>
      </c>
      <c r="AY7" s="8" t="inlineStr">
        <is>
          <t>Nota</t>
        </is>
      </c>
      <c r="AZ7" s="8" t="inlineStr">
        <is>
          <t>Ancho libre para varillas</t>
        </is>
      </c>
    </row>
    <row r="8">
      <c r="B8" s="48" t="inlineStr"/>
      <c r="C8" s="48" t="inlineStr"/>
      <c r="D8" s="48" t="inlineStr"/>
      <c r="E8" s="48" t="inlineStr"/>
      <c r="F8" s="48" t="inlineStr"/>
      <c r="G8" s="48" t="inlineStr">
        <is>
          <t>m</t>
        </is>
      </c>
      <c r="H8" s="48" t="inlineStr"/>
      <c r="I8" s="48" t="inlineStr"/>
      <c r="J8" s="48" t="inlineStr"/>
      <c r="K8" s="48" t="inlineStr"/>
      <c r="L8" s="48" t="inlineStr"/>
      <c r="M8" s="48" t="inlineStr"/>
      <c r="N8" s="48" t="inlineStr">
        <is>
          <t>cm</t>
        </is>
      </c>
      <c r="O8" s="48" t="inlineStr">
        <is>
          <t>cm</t>
        </is>
      </c>
      <c r="P8" s="48" t="inlineStr">
        <is>
          <t>m²</t>
        </is>
      </c>
      <c r="Q8" s="48" t="inlineStr">
        <is>
          <t>t/m</t>
        </is>
      </c>
      <c r="R8" s="48" t="inlineStr">
        <is>
          <t>m</t>
        </is>
      </c>
      <c r="S8" s="48" t="inlineStr">
        <is>
          <t>t/m</t>
        </is>
      </c>
      <c r="T8" s="48" t="inlineStr">
        <is>
          <t>kg/m</t>
        </is>
      </c>
      <c r="U8" s="48" t="inlineStr">
        <is>
          <t>kg/m</t>
        </is>
      </c>
      <c r="V8" s="48" t="inlineStr">
        <is>
          <t>t/m</t>
        </is>
      </c>
      <c r="W8" s="48" t="inlineStr">
        <is>
          <t>t/m</t>
        </is>
      </c>
      <c r="X8" s="48" t="inlineStr">
        <is>
          <t>t/m</t>
        </is>
      </c>
      <c r="Y8" s="48" t="inlineStr">
        <is>
          <t>t</t>
        </is>
      </c>
      <c r="Z8" s="48" t="inlineStr">
        <is>
          <t>t·m</t>
        </is>
      </c>
      <c r="AA8" s="48" t="inlineStr">
        <is>
          <t>t</t>
        </is>
      </c>
      <c r="AB8" s="48" t="inlineStr">
        <is>
          <t>t</t>
        </is>
      </c>
      <c r="AC8" s="48" t="inlineStr">
        <is>
          <t>t</t>
        </is>
      </c>
      <c r="AD8" s="48" t="inlineStr">
        <is>
          <t>t·m</t>
        </is>
      </c>
      <c r="AE8" s="48" t="inlineStr">
        <is>
          <t>t·m</t>
        </is>
      </c>
      <c r="AF8" s="48" t="inlineStr">
        <is>
          <t>t</t>
        </is>
      </c>
      <c r="AG8" s="48" t="inlineStr">
        <is>
          <t>cm</t>
        </is>
      </c>
      <c r="AH8" s="48" t="inlineStr">
        <is>
          <t>cm²</t>
        </is>
      </c>
      <c r="AI8" s="48" t="inlineStr"/>
      <c r="AJ8" s="48" t="inlineStr"/>
      <c r="AK8" s="48" t="inlineStr">
        <is>
          <t>t·m</t>
        </is>
      </c>
      <c r="AL8" s="48" t="inlineStr"/>
      <c r="AM8" s="48" t="inlineStr">
        <is>
          <t>cm²</t>
        </is>
      </c>
      <c r="AN8" s="48" t="inlineStr"/>
      <c r="AO8" s="48" t="inlineStr"/>
      <c r="AP8" s="48" t="inlineStr">
        <is>
          <t>t·m</t>
        </is>
      </c>
      <c r="AQ8" s="48" t="inlineStr"/>
      <c r="AR8" s="48" t="inlineStr">
        <is>
          <t>t</t>
        </is>
      </c>
      <c r="AS8" s="48" t="inlineStr">
        <is>
          <t>cm</t>
        </is>
      </c>
      <c r="AT8" s="48" t="inlineStr"/>
      <c r="AU8" s="48" t="inlineStr">
        <is>
          <t>cm</t>
        </is>
      </c>
      <c r="AV8" s="48" t="inlineStr">
        <is>
          <t>cm</t>
        </is>
      </c>
      <c r="AW8" s="48" t="inlineStr">
        <is>
          <t>cm</t>
        </is>
      </c>
      <c r="AX8" s="48" t="inlineStr"/>
      <c r="AY8" s="48" t="inlineStr"/>
      <c r="AZ8" s="48" t="inlineStr">
        <is>
          <t>cm</t>
        </is>
      </c>
    </row>
    <row r="9" ht="30" customHeight="1">
      <c r="B9" s="57" t="inlineStr">
        <is>
          <t>NP-01</t>
        </is>
      </c>
      <c r="C9" s="50" t="inlineStr">
        <is>
          <t>N+3.00</t>
        </is>
      </c>
      <c r="D9" s="49" t="inlineStr">
        <is>
          <t>Eje 2 (y = 1.919)</t>
        </is>
      </c>
      <c r="E9" s="50" t="inlineStr">
        <is>
          <t>(0.000, 1.919)</t>
        </is>
      </c>
      <c r="F9" s="50" t="inlineStr">
        <is>
          <t>(4.327, 1.919)</t>
        </is>
      </c>
      <c r="G9" s="53" t="n">
        <v>4.327</v>
      </c>
      <c r="H9" s="50" t="inlineStr">
        <is>
          <t>FIRME</t>
        </is>
      </c>
      <c r="I9" s="50" t="str">
        <f>IF(APOYOS!$C$17="SÍ","FIRME","LIBRE")</f>
        <v>FIRME</v>
      </c>
      <c r="J9" s="50" t="inlineStr">
        <is>
          <t>—</t>
        </is>
      </c>
      <c r="K9" s="50" t="inlineStr">
        <is>
          <t>C1</t>
        </is>
      </c>
      <c r="L9" s="57" t="str">
        <f>IF(AND(OR(H9="FIRME",H9="NERVADURA",H9="PUNTA"),OR(I9="FIRME",I9="NERVADURA",I9="PUNTA")),"APOYADA",IF(OR(OR(H9="FIRME",H9="NERVADURA",H9="PUNTA"),OR(I9="FIRME",I9="NERVADURA",I9="PUNTA")),"VOLADO","SIN APOYO"))</f>
        <v>APOYADA</v>
      </c>
      <c r="M9" s="50" t="str">
        <f>IF(L9="VOLADO",IF(OR(H9="FIRME",H9="NERVADURA",H9="PUNTA"),"i","j"),"—")</f>
        <v>—</v>
      </c>
      <c r="N9" s="54">
        <f>DATOS!$C$17</f>
        <v>15</v>
      </c>
      <c r="O9" s="54">
        <f>DATOS!$C$15</f>
        <v>25</v>
      </c>
      <c r="P9" s="41">
        <f>SUMIFS(TRIB!$E$6:$E$255,TRIB!$B$6:$B$255,B9)</f>
        <v>1.9168</v>
      </c>
      <c r="Q9" s="34">
        <f>SUMIFS(TRIB!$G$6:$G$255,TRIB!$B$6:$B$255,B9)/G9</f>
        <v>0.378874993750678</v>
      </c>
      <c r="R9" s="66" t="n">
        <v>4.327</v>
      </c>
      <c r="S9" s="34">
        <f>DATOS!$C$43*R9*DATOS!$C$89/G9</f>
        <v>1.233375</v>
      </c>
      <c r="T9" s="58" t="n">
        <v>0</v>
      </c>
      <c r="U9" s="58" t="n">
        <v>0</v>
      </c>
      <c r="V9" s="34">
        <f>(DATOS!$C$43*T9+DATOS!$C$44*U9)/1000</f>
        <v>0</v>
      </c>
      <c r="W9" s="34">
        <f>DATOS!$C$43*(N9/100*O9/100*DATOS!$C$35-N9/100*DATOS!$C$58/1000)</f>
        <v>0.0694836734693878</v>
      </c>
      <c r="X9" s="67">
        <f>Q9+S9+V9+W9</f>
        <v>1.68173366722007</v>
      </c>
      <c r="Y9" s="34">
        <f>0</f>
        <v>0</v>
      </c>
      <c r="Z9" s="34">
        <f>0</f>
        <v>0</v>
      </c>
      <c r="AA9" s="34">
        <f>0</f>
        <v>0</v>
      </c>
      <c r="AB9" s="34">
        <f>IF(L9="APOYADA",X9*G9/2+0,IF(AND(L9="VOLADO",M9="i"),X9*G9+Y9,0))</f>
        <v>3.63843078903061</v>
      </c>
      <c r="AC9" s="34">
        <f>IF(L9="APOYADA",X9*G9/2+0,IF(AND(L9="VOLADO",M9="j"),X9*G9+Y9,0))</f>
        <v>3.63843078903061</v>
      </c>
      <c r="AD9" s="67">
        <f>IF(L9="APOYADA",X9*G9^2/8+Z9,0)</f>
        <v>3.93587250603386</v>
      </c>
      <c r="AE9" s="67">
        <f>IF(L9="APOYADA",DATOS!$C$52*AD9,IF(L9="VOLADO",X9*G9^2/2+Z9,0))</f>
        <v>2.62522696152459</v>
      </c>
      <c r="AF9" s="67">
        <f>IF(L9="APOYADA",X9*G9/2+AA9,IF(L9="VOLADO",X9*G9+AA9,0))</f>
        <v>3.63843078903061</v>
      </c>
      <c r="AG9" s="41">
        <f>O9-DATOS!$C$18-INDEX(TABLAS!$C$52:$C$58,MATCH(DATOS!$C$95,TABLAS!$B$52:$B$58,0))-INDEX(TABLAS!$C$52:$C$58,MATCH(DATOS!$C$94,TABLAS!$B$52:$B$58,0))/2</f>
        <v>21.575</v>
      </c>
      <c r="AH9" s="41">
        <f>IF(OR(L9="BORDE DE VOLADO",L9="SIN APOYO"),0,IF(AD9&lt;=0,DATOS!$C$71*N9*AG9,IF((1-2*AD9*1E5/(DATOS!$C$45*N9*AG9^2*DATOS!$C$38))&lt;0,-1,IF((1-SQRT((1-2*AD9*1E5/(DATOS!$C$45*N9*AG9^2*DATOS!$C$38))))*DATOS!$C$38*N9*AG9/DATOS!$C$32&gt;DATOS!$C$70*N9*AG9,-1,MAX(DATOS!$C$71*N9*AG9,(1-SQRT((1-2*AD9*1E5/(DATOS!$C$45*N9*AG9^2*DATOS!$C$38))))*DATOS!$C$38*N9*AG9/DATOS!$C$32)))))</f>
        <v>5.88296843949419</v>
      </c>
      <c r="AI9" s="39">
        <f>IF(AH9&lt;0,0,IF(AND(AH9&gt;=0,CEILING(AH9/INDEX(TABLAS!$D$52:$D$58,MIN(MATCH(DATOS!$C$94,TABLAS!$B$52:$B$58,0)+0,7)),1)&lt;=MIN(99,INT((AZ9+DATOS!$C$24)/(INDEX(TABLAS!$C$52:$C$58,MIN(MATCH(DATOS!$C$94,TABLAS!$B$52:$B$58,0)+0,7))+DATOS!$C$24)))),INDEX(TABLAS!$B$52:$B$58,MIN(MATCH(DATOS!$C$94,TABLAS!$B$52:$B$58,0)+0,7)),IF(AND(AH9&gt;=0,CEILING(AH9/INDEX(TABLAS!$D$52:$D$58,MIN(MATCH(DATOS!$C$94,TABLAS!$B$52:$B$58,0)+1,7)),1)&lt;=MIN(99,INT((AZ9+DATOS!$C$24)/(INDEX(TABLAS!$C$52:$C$58,MIN(MATCH(DATOS!$C$94,TABLAS!$B$52:$B$58,0)+1,7))+DATOS!$C$24)))),INDEX(TABLAS!$B$52:$B$58,MIN(MATCH(DATOS!$C$94,TABLAS!$B$52:$B$58,0)+1,7)),IF(AND(AH9&gt;=0,CEILING(AH9/INDEX(TABLAS!$D$52:$D$58,MIN(MATCH(DATOS!$C$94,TABLAS!$B$52:$B$58,0)+2,7)),1)&lt;=MIN(99,INT((AZ9+DATOS!$C$24)/(INDEX(TABLAS!$C$52:$C$58,MIN(MATCH(DATOS!$C$94,TABLAS!$B$52:$B$58,0)+2,7))+DATOS!$C$24)))),INDEX(TABLAS!$B$52:$B$58,MIN(MATCH(DATOS!$C$94,TABLAS!$B$52:$B$58,0)+2,7)),IF(AND(AH9&gt;=0,CEILING(AH9/INDEX(TABLAS!$D$52:$D$58,MIN(MATCH(DATOS!$C$94,TABLAS!$B$52:$B$58,0)+3,7)),1)&lt;=MIN(99,INT((AZ9+DATOS!$C$24)/(INDEX(TABLAS!$C$52:$C$58,MIN(MATCH(DATOS!$C$94,TABLAS!$B$52:$B$58,0)+3,7))+DATOS!$C$24)))),INDEX(TABLAS!$B$52:$B$58,MIN(MATCH(DATOS!$C$94,TABLAS!$B$52:$B$58,0)+3,7)),IF(AND(AH9&gt;=0,CEILING(AH9/INDEX(TABLAS!$D$52:$D$58,MIN(MATCH(DATOS!$C$94,TABLAS!$B$52:$B$58,0)+4,7)),1)&lt;=MIN(99,INT((AZ9+DATOS!$C$24)/(INDEX(TABLAS!$C$52:$C$58,MIN(MATCH(DATOS!$C$94,TABLAS!$B$52:$B$58,0)+4,7))+DATOS!$C$24)))),INDEX(TABLAS!$B$52:$B$58,MIN(MATCH(DATOS!$C$94,TABLAS!$B$52:$B$58,0)+4,7)),INDEX(TABLAS!$B$52:$B$58,7)))))))</f>
        <v>8</v>
      </c>
      <c r="AJ9" s="55">
        <f>IF(AH9&lt;=0,0,MAX(DATOS!$C$96,CEILING(AH9/INDEX(TABLAS!$D$52:$D$58,MATCH(IF(AI9=0,8,AI9),TABLAS!$B$52:$B$58,0)),1)))</f>
        <v>2</v>
      </c>
      <c r="AK9" s="34">
        <f>IF(AJ9=0,0,DATOS!$C$45*AJ9*INDEX(TABLAS!$D$52:$D$58,MATCH(AI9,TABLAS!$B$52:$B$58,0))*DATOS!$C$32*((O9-DATOS!$C$18-INDEX(TABLAS!$C$52:$C$58,MATCH(DATOS!$C$95,TABLAS!$B$52:$B$58,0))-INDEX(TABLAS!$C$52:$C$58,MATCH(AI9,TABLAS!$B$52:$B$58,0))/2)-AJ9*INDEX(TABLAS!$D$52:$D$58,MATCH(AI9,TABLAS!$B$52:$B$58,0))*DATOS!$C$32/(DATOS!$C$38*N9)/2)/1E5)</f>
        <v>5.46556354729412</v>
      </c>
      <c r="AL9" s="59">
        <f>IF(AH9&lt;0,9.99,IF(AK9&gt;0,AD9/AK9,0))</f>
        <v>0.720121991442663</v>
      </c>
      <c r="AM9" s="41">
        <f>IF(OR(L9="BORDE DE VOLADO",L9="SIN APOYO"),0,IF(AE9&lt;=0,DATOS!$C$71*N9*AG9,IF((1-2*AE9*1E5/(DATOS!$C$45*N9*AG9^2*DATOS!$C$38))&lt;0,-1,IF((1-SQRT((1-2*AE9*1E5/(DATOS!$C$45*N9*AG9^2*DATOS!$C$38))))*DATOS!$C$38*N9*AG9/DATOS!$C$32&gt;DATOS!$C$70*N9*AG9,-1,MAX(DATOS!$C$71*N9*AG9,(1-SQRT((1-2*AE9*1E5/(DATOS!$C$45*N9*AG9^2*DATOS!$C$38))))*DATOS!$C$38*N9*AG9/DATOS!$C$32)))))</f>
        <v>3.61895487170425</v>
      </c>
      <c r="AN9" s="39">
        <f>IF(AM9&lt;0,0,IF(AND(AM9&gt;=0,CEILING(AM9/INDEX(TABLAS!$D$52:$D$58,MIN(MATCH(DATOS!$C$94,TABLAS!$B$52:$B$58,0)+0,7)),1)&lt;=MIN(99,INT((AZ9+DATOS!$C$24)/(INDEX(TABLAS!$C$52:$C$58,MIN(MATCH(DATOS!$C$94,TABLAS!$B$52:$B$58,0)+0,7))+DATOS!$C$24)))),INDEX(TABLAS!$B$52:$B$58,MIN(MATCH(DATOS!$C$94,TABLAS!$B$52:$B$58,0)+0,7)),IF(AND(AM9&gt;=0,CEILING(AM9/INDEX(TABLAS!$D$52:$D$58,MIN(MATCH(DATOS!$C$94,TABLAS!$B$52:$B$58,0)+1,7)),1)&lt;=MIN(99,INT((AZ9+DATOS!$C$24)/(INDEX(TABLAS!$C$52:$C$58,MIN(MATCH(DATOS!$C$94,TABLAS!$B$52:$B$58,0)+1,7))+DATOS!$C$24)))),INDEX(TABLAS!$B$52:$B$58,MIN(MATCH(DATOS!$C$94,TABLAS!$B$52:$B$58,0)+1,7)),IF(AND(AM9&gt;=0,CEILING(AM9/INDEX(TABLAS!$D$52:$D$58,MIN(MATCH(DATOS!$C$94,TABLAS!$B$52:$B$58,0)+2,7)),1)&lt;=MIN(99,INT((AZ9+DATOS!$C$24)/(INDEX(TABLAS!$C$52:$C$58,MIN(MATCH(DATOS!$C$94,TABLAS!$B$52:$B$58,0)+2,7))+DATOS!$C$24)))),INDEX(TABLAS!$B$52:$B$58,MIN(MATCH(DATOS!$C$94,TABLAS!$B$52:$B$58,0)+2,7)),IF(AND(AM9&gt;=0,CEILING(AM9/INDEX(TABLAS!$D$52:$D$58,MIN(MATCH(DATOS!$C$94,TABLAS!$B$52:$B$58,0)+3,7)),1)&lt;=MIN(99,INT((AZ9+DATOS!$C$24)/(INDEX(TABLAS!$C$52:$C$58,MIN(MATCH(DATOS!$C$94,TABLAS!$B$52:$B$58,0)+3,7))+DATOS!$C$24)))),INDEX(TABLAS!$B$52:$B$58,MIN(MATCH(DATOS!$C$94,TABLAS!$B$52:$B$58,0)+3,7)),IF(AND(AM9&gt;=0,CEILING(AM9/INDEX(TABLAS!$D$52:$D$58,MIN(MATCH(DATOS!$C$94,TABLAS!$B$52:$B$58,0)+4,7)),1)&lt;=MIN(99,INT((AZ9+DATOS!$C$24)/(INDEX(TABLAS!$C$52:$C$58,MIN(MATCH(DATOS!$C$94,TABLAS!$B$52:$B$58,0)+4,7))+DATOS!$C$24)))),INDEX(TABLAS!$B$52:$B$58,MIN(MATCH(DATOS!$C$94,TABLAS!$B$52:$B$58,0)+4,7)),INDEX(TABLAS!$B$52:$B$58,7)))))))</f>
        <v>4</v>
      </c>
      <c r="AO9" s="55">
        <f>IF(AM9&lt;=0,0,MAX(DATOS!$C$96,CEILING(AM9/INDEX(TABLAS!$D$52:$D$58,MATCH(IF(AN9=0,8,AN9),TABLAS!$B$52:$B$58,0)),1)))</f>
        <v>3</v>
      </c>
      <c r="AP9" s="34">
        <f>IF(AO9=0,0,DATOS!$C$45*AO9*INDEX(TABLAS!$D$52:$D$58,MATCH(AN9,TABLAS!$B$52:$B$58,0))*DATOS!$C$32*((O9-DATOS!$C$18-INDEX(TABLAS!$C$52:$C$58,MATCH(DATOS!$C$95,TABLAS!$B$52:$B$58,0))-INDEX(TABLAS!$C$52:$C$58,MATCH(AN9,TABLAS!$B$52:$B$58,0))/2)-AO9*INDEX(TABLAS!$D$52:$D$58,MATCH(AN9,TABLAS!$B$52:$B$58,0))*DATOS!$C$32/(DATOS!$C$38*N9)/2)/1E5)</f>
        <v>2.74568622670588</v>
      </c>
      <c r="AQ9" s="59">
        <f>IF(AM9&lt;0,9.99,IF(AP9&gt;0,AE9/AP9,0))</f>
        <v>0.956127810960463</v>
      </c>
      <c r="AR9" s="34">
        <f>IF(AO9=0,0,DATOS!$C$46*IF((AO9*INDEX(TABLAS!$D$52:$D$58,MATCH(AN9,TABLAS!$B$52:$B$58,0))/(N9*AG9))&lt;0.015,0.2+20*(AO9*INDEX(TABLAS!$D$52:$D$58,MATCH(AN9,TABLAS!$B$52:$B$58,0))/(N9*AG9)),0.5)*SQRT(DATOS!$C$31)*N9*AG9/1000)</f>
        <v>1.67116492222211</v>
      </c>
      <c r="AS9" s="68">
        <f>IF(AF9=0,0,INT(MIN(IF(AF9&gt;AR9,DATOS!$C$46*2*INDEX(TABLAS!$D$52:$D$58,MATCH(DATOS!$C$95,TABLAS!$B$52:$B$58,0))*DATOS!$C$32*AG9/((AF9-AR9)*1000),999),AG9/2,DATOS!$C$97,2*INDEX(TABLAS!$D$52:$D$58,MATCH(DATOS!$C$95,TABLAS!$B$52:$B$58,0))*DATOS!$C$32/(MAX(0.2*SQRT(DATOS!$C$31),3.5)*N9))/2.5)*2.5)</f>
        <v>10</v>
      </c>
      <c r="AT9" s="49" t="str">
        <f>IF(AF9=0,"—",IF(AF9&gt;AR9+DATOS!$C$46*2.12*SQRT(DATOS!$C$31)*N9*AG9/1000,"SECCIÓN INSUFICIENTE","E No. "&amp;TEXT(DATOS!$C$95,"0.0")&amp;" @ "&amp;TEXT(AS9,"0.0")&amp;" cm"))</f>
        <v>E No. 2.5 @ 10.0 cm</v>
      </c>
      <c r="AU9" s="68">
        <f>IF(L9="APOYADA",G9*100/16,IF(L9="VOLADO",G9*100/8,0))</f>
        <v>27.04375</v>
      </c>
      <c r="AV9" s="68">
        <f>SQRT(MAX(AD9,AE9)*1E5/(DATOS!$C$45*N9*DATOS!$C$38*(DATOS!$C$70*DATOS!$C$32/DATOS!$C$38)*(1-(DATOS!$C$70*DATOS!$C$32/DATOS!$C$38)/2)))+(O9-AG9)</f>
        <v>24.6450713999598</v>
      </c>
      <c r="AW9" s="56">
        <f>IF(OR(L9="BORDE DE VOLADO",L9="SIN APOYO"),0,CEILING(MAX(AU9,AV9,DATOS!$C$15),5))</f>
        <v>30</v>
      </c>
      <c r="AX9" s="69" t="str">
        <f>IF(L9="BORDE DE VOLADO","BORDE DE VOLADO — armado de orilla",IF(L9="SIN APOYO","SIN APOYO — REVISAR",IF(AND(AL9&lt;=1,AQ9&lt;=1,IF(AJ9=0,TRUE,AJ9&lt;=INT((AZ9+DATOS!$C$24)/(INDEX(TABLAS!$C$52:$C$58,MATCH(MAX(AI9,2),TABLAS!$B$52:$B$58,0))+DATOS!$C$24))),IF(AO9=0,TRUE,AO9&lt;=INT((AZ9+DATOS!$C$24)/(INDEX(TABLAS!$C$52:$C$58,MATCH(MAX(AN9,2),TABLAS!$B$52:$B$58,0))+DATOS!$C$24))),AT9&lt;&gt;"SECCIÓN INSUFICIENTE",O9&gt;=AU9),"CUMPLE"&amp;IF(L9="VOLADO"," (en VOLADO)",""),"NO CUMPLE: "&amp;IF(OR(AH9&lt;0,AM9&lt;0),"sección insuficiente en flexión ",IF(OR(AL9&gt;1,AQ9&gt;1),"flexión ",""))&amp;IF(NOT(AND(IF(AJ9=0,TRUE,AJ9&lt;=INT((AZ9+DATOS!$C$24)/(INDEX(TABLAS!$C$52:$C$58,MATCH(MAX(AI9,2),TABLAS!$B$52:$B$58,0))+DATOS!$C$24))),IF(AO9=0,TRUE,AO9&lt;=INT((AZ9+DATOS!$C$24)/(INDEX(TABLAS!$C$52:$C$58,MATCH(MAX(AN9,2),TABLAS!$B$52:$B$58,0))+DATOS!$C$24))))),"no caben ","")&amp;IF(AT9="SECCIÓN INSUFICIENTE","cortante ","")&amp;IF(O9&lt;AU9,"deflexión ","")&amp;"→ h ≥ "&amp;TEXT(AW9,"0")&amp;" cm")))</f>
        <v>NO CUMPLE: deflexión → h ≥ 30 cm</v>
      </c>
      <c r="AY9" s="61" t="inlineStr">
        <is>
          <t>Extremo j en castillo propuesto C1. Muro de planta alta encima (4.33 m).</t>
        </is>
      </c>
      <c r="AZ9" s="41">
        <f>N9-2*DATOS!$C$18-2*INDEX(TABLAS!$C$52:$C$58,MATCH(DATOS!$C$95,TABLAS!$B$52:$B$58,0))</f>
        <v>9.42</v>
      </c>
    </row>
    <row r="10" ht="30" customHeight="1">
      <c r="B10" s="57" t="inlineStr">
        <is>
          <t>NP-02</t>
        </is>
      </c>
      <c r="C10" s="50" t="inlineStr">
        <is>
          <t>N+3.00</t>
        </is>
      </c>
      <c r="D10" s="49" t="inlineStr">
        <is>
          <t>Eje 3 (y = 2.921)</t>
        </is>
      </c>
      <c r="E10" s="50" t="inlineStr">
        <is>
          <t>(0.000, 2.921)</t>
        </is>
      </c>
      <c r="F10" s="50" t="inlineStr">
        <is>
          <t>(4.327, 2.921)</t>
        </is>
      </c>
      <c r="G10" s="53" t="n">
        <v>4.327</v>
      </c>
      <c r="H10" s="50" t="inlineStr">
        <is>
          <t>FIRME</t>
        </is>
      </c>
      <c r="I10" s="50" t="str">
        <f>IF(APOYOS!$C$18="SÍ","FIRME","LIBRE")</f>
        <v>FIRME</v>
      </c>
      <c r="J10" s="50" t="inlineStr">
        <is>
          <t>—</t>
        </is>
      </c>
      <c r="K10" s="50" t="inlineStr">
        <is>
          <t>C2</t>
        </is>
      </c>
      <c r="L10" s="57" t="str">
        <f>IF(AND(OR(H10="FIRME",H10="NERVADURA",H10="PUNTA"),OR(I10="FIRME",I10="NERVADURA",I10="PUNTA")),"APOYADA",IF(OR(OR(H10="FIRME",H10="NERVADURA",H10="PUNTA"),OR(I10="FIRME",I10="NERVADURA",I10="PUNTA")),"VOLADO","SIN APOYO"))</f>
        <v>APOYADA</v>
      </c>
      <c r="M10" s="50" t="str">
        <f>IF(L10="VOLADO",IF(OR(H10="FIRME",H10="NERVADURA",H10="PUNTA"),"i","j"),"—")</f>
        <v>—</v>
      </c>
      <c r="N10" s="54">
        <f>DATOS!$C$17</f>
        <v>15</v>
      </c>
      <c r="O10" s="54">
        <f>DATOS!$C$15</f>
        <v>25</v>
      </c>
      <c r="P10" s="41">
        <f>SUMIFS(TRIB!$E$6:$E$255,TRIB!$B$6:$B$255,B10)</f>
        <v>5.7111</v>
      </c>
      <c r="Q10" s="34">
        <f>SUMIFS(TRIB!$G$6:$G$255,TRIB!$B$6:$B$255,B10)/G10</f>
        <v>1.10035803474151</v>
      </c>
      <c r="R10" s="66" t="n">
        <v>4.327</v>
      </c>
      <c r="S10" s="34">
        <f>DATOS!$C$43*R10*DATOS!$C$89/G10</f>
        <v>1.233375</v>
      </c>
      <c r="T10" s="58" t="n">
        <v>0</v>
      </c>
      <c r="U10" s="58" t="n">
        <v>0</v>
      </c>
      <c r="V10" s="34">
        <f>(DATOS!$C$43*T10+DATOS!$C$44*U10)/1000</f>
        <v>0</v>
      </c>
      <c r="W10" s="34">
        <f>DATOS!$C$43*(N10/100*O10/100*DATOS!$C$35-N10/100*DATOS!$C$58/1000)</f>
        <v>0.0694836734693878</v>
      </c>
      <c r="X10" s="67">
        <f>Q10+S10+V10+W10</f>
        <v>2.4032167082109</v>
      </c>
      <c r="Y10" s="34">
        <f>0</f>
        <v>0</v>
      </c>
      <c r="Z10" s="34">
        <f>0</f>
        <v>0</v>
      </c>
      <c r="AA10" s="34">
        <f>0</f>
        <v>0</v>
      </c>
      <c r="AB10" s="34">
        <f>IF(L10="APOYADA",X10*G10/2+0,IF(AND(L10="VOLADO",M10="i"),X10*G10+Y10,0))</f>
        <v>5.19935934821428</v>
      </c>
      <c r="AC10" s="34">
        <f>IF(L10="APOYADA",X10*G10/2+0,IF(AND(L10="VOLADO",M10="j"),X10*G10+Y10,0))</f>
        <v>5.19935934821428</v>
      </c>
      <c r="AD10" s="67">
        <f>IF(L10="APOYADA",X10*G10^2/8+Z10,0)</f>
        <v>5.6244069749308</v>
      </c>
      <c r="AE10" s="67">
        <f>IF(L10="APOYADA",DATOS!$C$52*AD10,IF(L10="VOLADO",X10*G10^2/2+Z10,0))</f>
        <v>3.75147945227885</v>
      </c>
      <c r="AF10" s="67">
        <f>IF(L10="APOYADA",X10*G10/2+AA10,IF(L10="VOLADO",X10*G10+AA10,0))</f>
        <v>5.19935934821428</v>
      </c>
      <c r="AG10" s="41">
        <f>O10-DATOS!$C$18-INDEX(TABLAS!$C$52:$C$58,MATCH(DATOS!$C$95,TABLAS!$B$52:$B$58,0))-INDEX(TABLAS!$C$52:$C$58,MATCH(DATOS!$C$94,TABLAS!$B$52:$B$58,0))/2</f>
        <v>21.575</v>
      </c>
      <c r="AH10" s="41">
        <f>IF(OR(L10="BORDE DE VOLADO",L10="SIN APOYO"),0,IF(AD10&lt;=0,DATOS!$C$71*N10*AG10,IF((1-2*AD10*1E5/(DATOS!$C$45*N10*AG10^2*DATOS!$C$38))&lt;0,-1,IF((1-SQRT((1-2*AD10*1E5/(DATOS!$C$45*N10*AG10^2*DATOS!$C$38))))*DATOS!$C$38*N10*AG10/DATOS!$C$32&gt;DATOS!$C$70*N10*AG10,-1,MAX(DATOS!$C$71*N10*AG10,(1-SQRT((1-2*AD10*1E5/(DATOS!$C$45*N10*AG10^2*DATOS!$C$38))))*DATOS!$C$38*N10*AG10/DATOS!$C$32)))))</f>
        <v>-1</v>
      </c>
      <c r="AI10" s="39">
        <f>IF(AH10&lt;0,0,IF(AND(AH10&gt;=0,CEILING(AH10/INDEX(TABLAS!$D$52:$D$58,MIN(MATCH(DATOS!$C$94,TABLAS!$B$52:$B$58,0)+0,7)),1)&lt;=MIN(99,INT((AZ10+DATOS!$C$24)/(INDEX(TABLAS!$C$52:$C$58,MIN(MATCH(DATOS!$C$94,TABLAS!$B$52:$B$58,0)+0,7))+DATOS!$C$24)))),INDEX(TABLAS!$B$52:$B$58,MIN(MATCH(DATOS!$C$94,TABLAS!$B$52:$B$58,0)+0,7)),IF(AND(AH10&gt;=0,CEILING(AH10/INDEX(TABLAS!$D$52:$D$58,MIN(MATCH(DATOS!$C$94,TABLAS!$B$52:$B$58,0)+1,7)),1)&lt;=MIN(99,INT((AZ10+DATOS!$C$24)/(INDEX(TABLAS!$C$52:$C$58,MIN(MATCH(DATOS!$C$94,TABLAS!$B$52:$B$58,0)+1,7))+DATOS!$C$24)))),INDEX(TABLAS!$B$52:$B$58,MIN(MATCH(DATOS!$C$94,TABLAS!$B$52:$B$58,0)+1,7)),IF(AND(AH10&gt;=0,CEILING(AH10/INDEX(TABLAS!$D$52:$D$58,MIN(MATCH(DATOS!$C$94,TABLAS!$B$52:$B$58,0)+2,7)),1)&lt;=MIN(99,INT((AZ10+DATOS!$C$24)/(INDEX(TABLAS!$C$52:$C$58,MIN(MATCH(DATOS!$C$94,TABLAS!$B$52:$B$58,0)+2,7))+DATOS!$C$24)))),INDEX(TABLAS!$B$52:$B$58,MIN(MATCH(DATOS!$C$94,TABLAS!$B$52:$B$58,0)+2,7)),IF(AND(AH10&gt;=0,CEILING(AH10/INDEX(TABLAS!$D$52:$D$58,MIN(MATCH(DATOS!$C$94,TABLAS!$B$52:$B$58,0)+3,7)),1)&lt;=MIN(99,INT((AZ10+DATOS!$C$24)/(INDEX(TABLAS!$C$52:$C$58,MIN(MATCH(DATOS!$C$94,TABLAS!$B$52:$B$58,0)+3,7))+DATOS!$C$24)))),INDEX(TABLAS!$B$52:$B$58,MIN(MATCH(DATOS!$C$94,TABLAS!$B$52:$B$58,0)+3,7)),IF(AND(AH10&gt;=0,CEILING(AH10/INDEX(TABLAS!$D$52:$D$58,MIN(MATCH(DATOS!$C$94,TABLAS!$B$52:$B$58,0)+4,7)),1)&lt;=MIN(99,INT((AZ10+DATOS!$C$24)/(INDEX(TABLAS!$C$52:$C$58,MIN(MATCH(DATOS!$C$94,TABLAS!$B$52:$B$58,0)+4,7))+DATOS!$C$24)))),INDEX(TABLAS!$B$52:$B$58,MIN(MATCH(DATOS!$C$94,TABLAS!$B$52:$B$58,0)+4,7)),INDEX(TABLAS!$B$52:$B$58,7)))))))</f>
        <v>0</v>
      </c>
      <c r="AJ10" s="55">
        <f>IF(AH10&lt;=0,0,MAX(DATOS!$C$96,CEILING(AH10/INDEX(TABLAS!$D$52:$D$58,MATCH(IF(AI10=0,8,AI10),TABLAS!$B$52:$B$58,0)),1)))</f>
        <v>0</v>
      </c>
      <c r="AK10" s="34">
        <f>IF(AJ10=0,0,DATOS!$C$45*AJ10*INDEX(TABLAS!$D$52:$D$58,MATCH(AI10,TABLAS!$B$52:$B$58,0))*DATOS!$C$32*((O10-DATOS!$C$18-INDEX(TABLAS!$C$52:$C$58,MATCH(DATOS!$C$95,TABLAS!$B$52:$B$58,0))-INDEX(TABLAS!$C$52:$C$58,MATCH(AI10,TABLAS!$B$52:$B$58,0))/2)-AJ10*INDEX(TABLAS!$D$52:$D$58,MATCH(AI10,TABLAS!$B$52:$B$58,0))*DATOS!$C$32/(DATOS!$C$38*N10)/2)/1E5)</f>
        <v>0</v>
      </c>
      <c r="AL10" s="59">
        <f>IF(AH10&lt;0,9.99,IF(AK10&gt;0,AD10/AK10,0))</f>
        <v>9.99</v>
      </c>
      <c r="AM10" s="41">
        <f>IF(OR(L10="BORDE DE VOLADO",L10="SIN APOYO"),0,IF(AE10&lt;=0,DATOS!$C$71*N10*AG10,IF((1-2*AE10*1E5/(DATOS!$C$45*N10*AG10^2*DATOS!$C$38))&lt;0,-1,IF((1-SQRT((1-2*AE10*1E5/(DATOS!$C$45*N10*AG10^2*DATOS!$C$38))))*DATOS!$C$38*N10*AG10/DATOS!$C$32&gt;DATOS!$C$70*N10*AG10,-1,MAX(DATOS!$C$71*N10*AG10,(1-SQRT((1-2*AE10*1E5/(DATOS!$C$45*N10*AG10^2*DATOS!$C$38))))*DATOS!$C$38*N10*AG10/DATOS!$C$32)))))</f>
        <v>5.53582128743846</v>
      </c>
      <c r="AN10" s="39">
        <f>IF(AM10&lt;0,0,IF(AND(AM10&gt;=0,CEILING(AM10/INDEX(TABLAS!$D$52:$D$58,MIN(MATCH(DATOS!$C$94,TABLAS!$B$52:$B$58,0)+0,7)),1)&lt;=MIN(99,INT((AZ10+DATOS!$C$24)/(INDEX(TABLAS!$C$52:$C$58,MIN(MATCH(DATOS!$C$94,TABLAS!$B$52:$B$58,0)+0,7))+DATOS!$C$24)))),INDEX(TABLAS!$B$52:$B$58,MIN(MATCH(DATOS!$C$94,TABLAS!$B$52:$B$58,0)+0,7)),IF(AND(AM10&gt;=0,CEILING(AM10/INDEX(TABLAS!$D$52:$D$58,MIN(MATCH(DATOS!$C$94,TABLAS!$B$52:$B$58,0)+1,7)),1)&lt;=MIN(99,INT((AZ10+DATOS!$C$24)/(INDEX(TABLAS!$C$52:$C$58,MIN(MATCH(DATOS!$C$94,TABLAS!$B$52:$B$58,0)+1,7))+DATOS!$C$24)))),INDEX(TABLAS!$B$52:$B$58,MIN(MATCH(DATOS!$C$94,TABLAS!$B$52:$B$58,0)+1,7)),IF(AND(AM10&gt;=0,CEILING(AM10/INDEX(TABLAS!$D$52:$D$58,MIN(MATCH(DATOS!$C$94,TABLAS!$B$52:$B$58,0)+2,7)),1)&lt;=MIN(99,INT((AZ10+DATOS!$C$24)/(INDEX(TABLAS!$C$52:$C$58,MIN(MATCH(DATOS!$C$94,TABLAS!$B$52:$B$58,0)+2,7))+DATOS!$C$24)))),INDEX(TABLAS!$B$52:$B$58,MIN(MATCH(DATOS!$C$94,TABLAS!$B$52:$B$58,0)+2,7)),IF(AND(AM10&gt;=0,CEILING(AM10/INDEX(TABLAS!$D$52:$D$58,MIN(MATCH(DATOS!$C$94,TABLAS!$B$52:$B$58,0)+3,7)),1)&lt;=MIN(99,INT((AZ10+DATOS!$C$24)/(INDEX(TABLAS!$C$52:$C$58,MIN(MATCH(DATOS!$C$94,TABLAS!$B$52:$B$58,0)+3,7))+DATOS!$C$24)))),INDEX(TABLAS!$B$52:$B$58,MIN(MATCH(DATOS!$C$94,TABLAS!$B$52:$B$58,0)+3,7)),IF(AND(AM10&gt;=0,CEILING(AM10/INDEX(TABLAS!$D$52:$D$58,MIN(MATCH(DATOS!$C$94,TABLAS!$B$52:$B$58,0)+4,7)),1)&lt;=MIN(99,INT((AZ10+DATOS!$C$24)/(INDEX(TABLAS!$C$52:$C$58,MIN(MATCH(DATOS!$C$94,TABLAS!$B$52:$B$58,0)+4,7))+DATOS!$C$24)))),INDEX(TABLAS!$B$52:$B$58,MIN(MATCH(DATOS!$C$94,TABLAS!$B$52:$B$58,0)+4,7)),INDEX(TABLAS!$B$52:$B$58,7)))))))</f>
        <v>6</v>
      </c>
      <c r="AO10" s="55">
        <f>IF(AM10&lt;=0,0,MAX(DATOS!$C$96,CEILING(AM10/INDEX(TABLAS!$D$52:$D$58,MATCH(IF(AN10=0,8,AN10),TABLAS!$B$52:$B$58,0)),1)))</f>
        <v>2</v>
      </c>
      <c r="AP10" s="34">
        <f>IF(AO10=0,0,DATOS!$C$45*AO10*INDEX(TABLAS!$D$52:$D$58,MATCH(AN10,TABLAS!$B$52:$B$58,0))*DATOS!$C$32*((O10-DATOS!$C$18-INDEX(TABLAS!$C$52:$C$58,MATCH(DATOS!$C$95,TABLAS!$B$52:$B$58,0))-INDEX(TABLAS!$C$52:$C$58,MATCH(AN10,TABLAS!$B$52:$B$58,0))/2)-AO10*INDEX(TABLAS!$D$52:$D$58,MATCH(AN10,TABLAS!$B$52:$B$58,0))*DATOS!$C$32/(DATOS!$C$38*N10)/2)/1E5)</f>
        <v>3.77048662941177</v>
      </c>
      <c r="AQ10" s="59">
        <f>IF(AM10&lt;0,9.99,IF(AP10&gt;0,AE10/AP10,0))</f>
        <v>0.994958959147434</v>
      </c>
      <c r="AR10" s="34">
        <f>IF(AO10=0,0,DATOS!$C$46*IF((AO10*INDEX(TABLAS!$D$52:$D$58,MATCH(AN10,TABLAS!$B$52:$B$58,0))/(N10*AG10))&lt;0.015,0.2+20*(AO10*INDEX(TABLAS!$D$52:$D$58,MATCH(AN10,TABLAS!$B$52:$B$58,0))/(N10*AG10)),0.5)*SQRT(DATOS!$C$31)*N10*AG10/1000)</f>
        <v>1.91886020207248</v>
      </c>
      <c r="AS10" s="68">
        <f>IF(AF10=0,0,INT(MIN(IF(AF10&gt;AR10,DATOS!$C$46*2*INDEX(TABLAS!$D$52:$D$58,MATCH(DATOS!$C$95,TABLAS!$B$52:$B$58,0))*DATOS!$C$32*AG10/((AF10-AR10)*1000),999),AG10/2,DATOS!$C$97,2*INDEX(TABLAS!$D$52:$D$58,MATCH(DATOS!$C$95,TABLAS!$B$52:$B$58,0))*DATOS!$C$32/(MAX(0.2*SQRT(DATOS!$C$31),3.5)*N10))/2.5)*2.5)</f>
        <v>10</v>
      </c>
      <c r="AT10" s="49" t="str">
        <f>IF(AF10=0,"—",IF(AF10&gt;AR10+DATOS!$C$46*2.12*SQRT(DATOS!$C$31)*N10*AG10/1000,"SECCIÓN INSUFICIENTE","E No. "&amp;TEXT(DATOS!$C$95,"0.0")&amp;" @ "&amp;TEXT(AS10,"0.0")&amp;" cm"))</f>
        <v>E No. 2.5 @ 10.0 cm</v>
      </c>
      <c r="AU10" s="68">
        <f>IF(L10="APOYADA",G10*100/16,IF(L10="VOLADO",G10*100/8,0))</f>
        <v>27.04375</v>
      </c>
      <c r="AV10" s="68">
        <f>SQRT(MAX(AD10,AE10)*1E5/(DATOS!$C$45*N10*DATOS!$C$38*(DATOS!$C$70*DATOS!$C$32/DATOS!$C$38)*(1-(DATOS!$C$70*DATOS!$C$32/DATOS!$C$38)/2)))+(O10-AG10)</f>
        <v>28.7917424167961</v>
      </c>
      <c r="AW10" s="56">
        <f>IF(OR(L10="BORDE DE VOLADO",L10="SIN APOYO"),0,CEILING(MAX(AU10,AV10,DATOS!$C$15),5))</f>
        <v>30</v>
      </c>
      <c r="AX10" s="69" t="str">
        <f>IF(L10="BORDE DE VOLADO","BORDE DE VOLADO — armado de orilla",IF(L10="SIN APOYO","SIN APOYO — REVISAR",IF(AND(AL10&lt;=1,AQ10&lt;=1,IF(AJ10=0,TRUE,AJ10&lt;=INT((AZ10+DATOS!$C$24)/(INDEX(TABLAS!$C$52:$C$58,MATCH(MAX(AI10,2),TABLAS!$B$52:$B$58,0))+DATOS!$C$24))),IF(AO10=0,TRUE,AO10&lt;=INT((AZ10+DATOS!$C$24)/(INDEX(TABLAS!$C$52:$C$58,MATCH(MAX(AN10,2),TABLAS!$B$52:$B$58,0))+DATOS!$C$24))),AT10&lt;&gt;"SECCIÓN INSUFICIENTE",O10&gt;=AU10),"CUMPLE"&amp;IF(L10="VOLADO"," (en VOLADO)",""),"NO CUMPLE: "&amp;IF(OR(AH10&lt;0,AM10&lt;0),"sección insuficiente en flexión ",IF(OR(AL10&gt;1,AQ10&gt;1),"flexión ",""))&amp;IF(NOT(AND(IF(AJ10=0,TRUE,AJ10&lt;=INT((AZ10+DATOS!$C$24)/(INDEX(TABLAS!$C$52:$C$58,MATCH(MAX(AI10,2),TABLAS!$B$52:$B$58,0))+DATOS!$C$24))),IF(AO10=0,TRUE,AO10&lt;=INT((AZ10+DATOS!$C$24)/(INDEX(TABLAS!$C$52:$C$58,MATCH(MAX(AN10,2),TABLAS!$B$52:$B$58,0))+DATOS!$C$24))))),"no caben ","")&amp;IF(AT10="SECCIÓN INSUFICIENTE","cortante ","")&amp;IF(O10&lt;AU10,"deflexión ","")&amp;"→ h ≥ "&amp;TEXT(AW10,"0")&amp;" cm")))</f>
        <v>NO CUMPLE: sección insuficiente en flexión deflexión → h ≥ 30 cm</v>
      </c>
      <c r="AY10" s="61" t="inlineStr">
        <is>
          <t>Extremo j en castillo propuesto C2. Muro de planta alta encima (4.33 m).</t>
        </is>
      </c>
      <c r="AZ10" s="41">
        <f>N10-2*DATOS!$C$18-2*INDEX(TABLAS!$C$52:$C$58,MATCH(DATOS!$C$95,TABLAS!$B$52:$B$58,0))</f>
        <v>9.42</v>
      </c>
    </row>
    <row r="11" ht="30" customHeight="1">
      <c r="B11" s="57" t="inlineStr">
        <is>
          <t>NP-03</t>
        </is>
      </c>
      <c r="C11" s="50" t="inlineStr">
        <is>
          <t>N+3.00</t>
        </is>
      </c>
      <c r="D11" s="49" t="inlineStr">
        <is>
          <t>Eje 3 (y = 2.921)</t>
        </is>
      </c>
      <c r="E11" s="50" t="inlineStr">
        <is>
          <t>(4.327, 2.921)</t>
        </is>
      </c>
      <c r="F11" s="50" t="inlineStr">
        <is>
          <t>(5.923, 2.921)</t>
        </is>
      </c>
      <c r="G11" s="53" t="n">
        <v>1.596</v>
      </c>
      <c r="H11" s="50" t="str">
        <f>IF(APOYOS!$C$18="SÍ","FIRME","LIBRE")</f>
        <v>FIRME</v>
      </c>
      <c r="I11" s="50" t="str">
        <f>IF(APOYOS!$C$19="SÍ","FIRME","LIBRE")</f>
        <v>FIRME</v>
      </c>
      <c r="J11" s="50" t="inlineStr">
        <is>
          <t>C2</t>
        </is>
      </c>
      <c r="K11" s="50" t="inlineStr">
        <is>
          <t>C3</t>
        </is>
      </c>
      <c r="L11" s="57" t="str">
        <f>IF(AND(OR(H11="FIRME",H11="NERVADURA",H11="PUNTA"),OR(I11="FIRME",I11="NERVADURA",I11="PUNTA")),"APOYADA",IF(OR(OR(H11="FIRME",H11="NERVADURA",H11="PUNTA"),OR(I11="FIRME",I11="NERVADURA",I11="PUNTA")),"VOLADO","SIN APOYO"))</f>
        <v>APOYADA</v>
      </c>
      <c r="M11" s="50" t="str">
        <f>IF(L11="VOLADO",IF(OR(H11="FIRME",H11="NERVADURA",H11="PUNTA"),"i","j"),"—")</f>
        <v>—</v>
      </c>
      <c r="N11" s="54">
        <f>DATOS!$C$17</f>
        <v>15</v>
      </c>
      <c r="O11" s="54">
        <f>DATOS!$C$15</f>
        <v>25</v>
      </c>
      <c r="P11" s="41">
        <f>SUMIFS(TRIB!$E$6:$E$255,TRIB!$B$6:$B$255,B11)</f>
        <v>0.6368</v>
      </c>
      <c r="Q11" s="34">
        <f>SUMIFS(TRIB!$G$6:$G$255,TRIB!$B$6:$B$255,B11)/G11</f>
        <v>0.364594138407243</v>
      </c>
      <c r="R11" s="66" t="n">
        <v>1.596</v>
      </c>
      <c r="S11" s="34">
        <f>DATOS!$C$43*R11*DATOS!$C$89/G11</f>
        <v>1.233375</v>
      </c>
      <c r="T11" s="58" t="n">
        <v>0</v>
      </c>
      <c r="U11" s="58" t="n">
        <v>0</v>
      </c>
      <c r="V11" s="34">
        <f>(DATOS!$C$43*T11+DATOS!$C$44*U11)/1000</f>
        <v>0</v>
      </c>
      <c r="W11" s="34">
        <f>DATOS!$C$43*(N11/100*O11/100*DATOS!$C$35-N11/100*DATOS!$C$58/1000)</f>
        <v>0.0694836734693878</v>
      </c>
      <c r="X11" s="67">
        <f>Q11+S11+V11+W11</f>
        <v>1.66745281187663</v>
      </c>
      <c r="Y11" s="34">
        <f>0</f>
        <v>0</v>
      </c>
      <c r="Z11" s="34">
        <f>0</f>
        <v>0</v>
      </c>
      <c r="AA11" s="34">
        <f>0</f>
        <v>0</v>
      </c>
      <c r="AB11" s="34">
        <f>IF(L11="APOYADA",X11*G11/2+0,IF(AND(L11="VOLADO",M11="i"),X11*G11+Y11,0))</f>
        <v>1.33062734387755</v>
      </c>
      <c r="AC11" s="34">
        <f>IF(L11="APOYADA",X11*G11/2+0,IF(AND(L11="VOLADO",M11="j"),X11*G11+Y11,0))</f>
        <v>1.33062734387755</v>
      </c>
      <c r="AD11" s="67">
        <f>IF(L11="APOYADA",X11*G11^2/8+Z11,0)</f>
        <v>0.530920310207143</v>
      </c>
      <c r="AE11" s="67">
        <f>IF(L11="APOYADA",DATOS!$C$52*AD11,IF(L11="VOLADO",X11*G11^2/2+Z11,0))</f>
        <v>0.354123846908164</v>
      </c>
      <c r="AF11" s="67">
        <f>IF(L11="APOYADA",X11*G11/2+AA11,IF(L11="VOLADO",X11*G11+AA11,0))</f>
        <v>1.33062734387755</v>
      </c>
      <c r="AG11" s="41">
        <f>O11-DATOS!$C$18-INDEX(TABLAS!$C$52:$C$58,MATCH(DATOS!$C$95,TABLAS!$B$52:$B$58,0))-INDEX(TABLAS!$C$52:$C$58,MATCH(DATOS!$C$94,TABLAS!$B$52:$B$58,0))/2</f>
        <v>21.575</v>
      </c>
      <c r="AH11" s="41">
        <f>IF(OR(L11="BORDE DE VOLADO",L11="SIN APOYO"),0,IF(AD11&lt;=0,DATOS!$C$71*N11*AG11,IF((1-2*AD11*1E5/(DATOS!$C$45*N11*AG11^2*DATOS!$C$38))&lt;0,-1,IF((1-SQRT((1-2*AD11*1E5/(DATOS!$C$45*N11*AG11^2*DATOS!$C$38))))*DATOS!$C$38*N11*AG11/DATOS!$C$32&gt;DATOS!$C$70*N11*AG11,-1,MAX(DATOS!$C$71*N11*AG11,(1-SQRT((1-2*AD11*1E5/(DATOS!$C$45*N11*AG11^2*DATOS!$C$38))))*DATOS!$C$38*N11*AG11/DATOS!$C$32)))))</f>
        <v>0.85282675647666</v>
      </c>
      <c r="AI11" s="39">
        <f>IF(AH11&lt;0,0,IF(AND(AH11&gt;=0,CEILING(AH11/INDEX(TABLAS!$D$52:$D$58,MIN(MATCH(DATOS!$C$94,TABLAS!$B$52:$B$58,0)+0,7)),1)&lt;=MIN(99,INT((AZ11+DATOS!$C$24)/(INDEX(TABLAS!$C$52:$C$58,MIN(MATCH(DATOS!$C$94,TABLAS!$B$52:$B$58,0)+0,7))+DATOS!$C$24)))),INDEX(TABLAS!$B$52:$B$58,MIN(MATCH(DATOS!$C$94,TABLAS!$B$52:$B$58,0)+0,7)),IF(AND(AH11&gt;=0,CEILING(AH11/INDEX(TABLAS!$D$52:$D$58,MIN(MATCH(DATOS!$C$94,TABLAS!$B$52:$B$58,0)+1,7)),1)&lt;=MIN(99,INT((AZ11+DATOS!$C$24)/(INDEX(TABLAS!$C$52:$C$58,MIN(MATCH(DATOS!$C$94,TABLAS!$B$52:$B$58,0)+1,7))+DATOS!$C$24)))),INDEX(TABLAS!$B$52:$B$58,MIN(MATCH(DATOS!$C$94,TABLAS!$B$52:$B$58,0)+1,7)),IF(AND(AH11&gt;=0,CEILING(AH11/INDEX(TABLAS!$D$52:$D$58,MIN(MATCH(DATOS!$C$94,TABLAS!$B$52:$B$58,0)+2,7)),1)&lt;=MIN(99,INT((AZ11+DATOS!$C$24)/(INDEX(TABLAS!$C$52:$C$58,MIN(MATCH(DATOS!$C$94,TABLAS!$B$52:$B$58,0)+2,7))+DATOS!$C$24)))),INDEX(TABLAS!$B$52:$B$58,MIN(MATCH(DATOS!$C$94,TABLAS!$B$52:$B$58,0)+2,7)),IF(AND(AH11&gt;=0,CEILING(AH11/INDEX(TABLAS!$D$52:$D$58,MIN(MATCH(DATOS!$C$94,TABLAS!$B$52:$B$58,0)+3,7)),1)&lt;=MIN(99,INT((AZ11+DATOS!$C$24)/(INDEX(TABLAS!$C$52:$C$58,MIN(MATCH(DATOS!$C$94,TABLAS!$B$52:$B$58,0)+3,7))+DATOS!$C$24)))),INDEX(TABLAS!$B$52:$B$58,MIN(MATCH(DATOS!$C$94,TABLAS!$B$52:$B$58,0)+3,7)),IF(AND(AH11&gt;=0,CEILING(AH11/INDEX(TABLAS!$D$52:$D$58,MIN(MATCH(DATOS!$C$94,TABLAS!$B$52:$B$58,0)+4,7)),1)&lt;=MIN(99,INT((AZ11+DATOS!$C$24)/(INDEX(TABLAS!$C$52:$C$58,MIN(MATCH(DATOS!$C$94,TABLAS!$B$52:$B$58,0)+4,7))+DATOS!$C$24)))),INDEX(TABLAS!$B$52:$B$58,MIN(MATCH(DATOS!$C$94,TABLAS!$B$52:$B$58,0)+4,7)),INDEX(TABLAS!$B$52:$B$58,7)))))))</f>
        <v>4</v>
      </c>
      <c r="AJ11" s="55">
        <f>IF(AH11&lt;=0,0,MAX(DATOS!$C$96,CEILING(AH11/INDEX(TABLAS!$D$52:$D$58,MATCH(IF(AI11=0,8,AI11),TABLAS!$B$52:$B$58,0)),1)))</f>
        <v>2</v>
      </c>
      <c r="AK11" s="34">
        <f>IF(AJ11=0,0,DATOS!$C$45*AJ11*INDEX(TABLAS!$D$52:$D$58,MATCH(AI11,TABLAS!$B$52:$B$58,0))*DATOS!$C$32*((O11-DATOS!$C$18-INDEX(TABLAS!$C$52:$C$58,MATCH(DATOS!$C$95,TABLAS!$B$52:$B$58,0))-INDEX(TABLAS!$C$52:$C$58,MATCH(AI11,TABLAS!$B$52:$B$58,0))/2)-AJ11*INDEX(TABLAS!$D$52:$D$58,MATCH(AI11,TABLAS!$B$52:$B$58,0))*DATOS!$C$32/(DATOS!$C$38*N11)/2)/1E5)</f>
        <v>1.91079128964706</v>
      </c>
      <c r="AL11" s="59">
        <f>IF(AH11&lt;0,9.99,IF(AK11&gt;0,AD11/AK11,0))</f>
        <v>0.277853637434787</v>
      </c>
      <c r="AM11" s="41">
        <f>IF(OR(L11="BORDE DE VOLADO",L11="SIN APOYO"),0,IF(AE11&lt;=0,DATOS!$C$71*N11*AG11,IF((1-2*AE11*1E5/(DATOS!$C$45*N11*AG11^2*DATOS!$C$38))&lt;0,-1,IF((1-SQRT((1-2*AE11*1E5/(DATOS!$C$45*N11*AG11^2*DATOS!$C$38))))*DATOS!$C$38*N11*AG11/DATOS!$C$32&gt;DATOS!$C$70*N11*AG11,-1,MAX(DATOS!$C$71*N11*AG11,(1-SQRT((1-2*AE11*1E5/(DATOS!$C$45*N11*AG11^2*DATOS!$C$38))))*DATOS!$C$38*N11*AG11/DATOS!$C$32)))))</f>
        <v>0.85282675647666</v>
      </c>
      <c r="AN11" s="39">
        <f>IF(AM11&lt;0,0,IF(AND(AM11&gt;=0,CEILING(AM11/INDEX(TABLAS!$D$52:$D$58,MIN(MATCH(DATOS!$C$94,TABLAS!$B$52:$B$58,0)+0,7)),1)&lt;=MIN(99,INT((AZ11+DATOS!$C$24)/(INDEX(TABLAS!$C$52:$C$58,MIN(MATCH(DATOS!$C$94,TABLAS!$B$52:$B$58,0)+0,7))+DATOS!$C$24)))),INDEX(TABLAS!$B$52:$B$58,MIN(MATCH(DATOS!$C$94,TABLAS!$B$52:$B$58,0)+0,7)),IF(AND(AM11&gt;=0,CEILING(AM11/INDEX(TABLAS!$D$52:$D$58,MIN(MATCH(DATOS!$C$94,TABLAS!$B$52:$B$58,0)+1,7)),1)&lt;=MIN(99,INT((AZ11+DATOS!$C$24)/(INDEX(TABLAS!$C$52:$C$58,MIN(MATCH(DATOS!$C$94,TABLAS!$B$52:$B$58,0)+1,7))+DATOS!$C$24)))),INDEX(TABLAS!$B$52:$B$58,MIN(MATCH(DATOS!$C$94,TABLAS!$B$52:$B$58,0)+1,7)),IF(AND(AM11&gt;=0,CEILING(AM11/INDEX(TABLAS!$D$52:$D$58,MIN(MATCH(DATOS!$C$94,TABLAS!$B$52:$B$58,0)+2,7)),1)&lt;=MIN(99,INT((AZ11+DATOS!$C$24)/(INDEX(TABLAS!$C$52:$C$58,MIN(MATCH(DATOS!$C$94,TABLAS!$B$52:$B$58,0)+2,7))+DATOS!$C$24)))),INDEX(TABLAS!$B$52:$B$58,MIN(MATCH(DATOS!$C$94,TABLAS!$B$52:$B$58,0)+2,7)),IF(AND(AM11&gt;=0,CEILING(AM11/INDEX(TABLAS!$D$52:$D$58,MIN(MATCH(DATOS!$C$94,TABLAS!$B$52:$B$58,0)+3,7)),1)&lt;=MIN(99,INT((AZ11+DATOS!$C$24)/(INDEX(TABLAS!$C$52:$C$58,MIN(MATCH(DATOS!$C$94,TABLAS!$B$52:$B$58,0)+3,7))+DATOS!$C$24)))),INDEX(TABLAS!$B$52:$B$58,MIN(MATCH(DATOS!$C$94,TABLAS!$B$52:$B$58,0)+3,7)),IF(AND(AM11&gt;=0,CEILING(AM11/INDEX(TABLAS!$D$52:$D$58,MIN(MATCH(DATOS!$C$94,TABLAS!$B$52:$B$58,0)+4,7)),1)&lt;=MIN(99,INT((AZ11+DATOS!$C$24)/(INDEX(TABLAS!$C$52:$C$58,MIN(MATCH(DATOS!$C$94,TABLAS!$B$52:$B$58,0)+4,7))+DATOS!$C$24)))),INDEX(TABLAS!$B$52:$B$58,MIN(MATCH(DATOS!$C$94,TABLAS!$B$52:$B$58,0)+4,7)),INDEX(TABLAS!$B$52:$B$58,7)))))))</f>
        <v>4</v>
      </c>
      <c r="AO11" s="55">
        <f>IF(AM11&lt;=0,0,MAX(DATOS!$C$96,CEILING(AM11/INDEX(TABLAS!$D$52:$D$58,MATCH(IF(AN11=0,8,AN11),TABLAS!$B$52:$B$58,0)),1)))</f>
        <v>2</v>
      </c>
      <c r="AP11" s="34">
        <f>IF(AO11=0,0,DATOS!$C$45*AO11*INDEX(TABLAS!$D$52:$D$58,MATCH(AN11,TABLAS!$B$52:$B$58,0))*DATOS!$C$32*((O11-DATOS!$C$18-INDEX(TABLAS!$C$52:$C$58,MATCH(DATOS!$C$95,TABLAS!$B$52:$B$58,0))-INDEX(TABLAS!$C$52:$C$58,MATCH(AN11,TABLAS!$B$52:$B$58,0))/2)-AO11*INDEX(TABLAS!$D$52:$D$58,MATCH(AN11,TABLAS!$B$52:$B$58,0))*DATOS!$C$32/(DATOS!$C$38*N11)/2)/1E5)</f>
        <v>1.91079128964706</v>
      </c>
      <c r="AQ11" s="59">
        <f>IF(AM11&lt;0,9.99,IF(AP11&gt;0,AE11/AP11,0))</f>
        <v>0.185328376169003</v>
      </c>
      <c r="AR11" s="34">
        <f>IF(AO11=0,0,DATOS!$C$46*IF((AO11*INDEX(TABLAS!$D$52:$D$58,MATCH(AN11,TABLAS!$B$52:$B$58,0))/(N11*AG11))&lt;0.015,0.2+20*(AO11*INDEX(TABLAS!$D$52:$D$58,MATCH(AN11,TABLAS!$B$52:$B$58,0))/(N11*AG11)),0.5)*SQRT(DATOS!$C$31)*N11*AG11/1000)</f>
        <v>1.36995797509107</v>
      </c>
      <c r="AS11" s="68">
        <f>IF(AF11=0,0,INT(MIN(IF(AF11&gt;AR11,DATOS!$C$46*2*INDEX(TABLAS!$D$52:$D$58,MATCH(DATOS!$C$95,TABLAS!$B$52:$B$58,0))*DATOS!$C$32*AG11/((AF11-AR11)*1000),999),AG11/2,DATOS!$C$97,2*INDEX(TABLAS!$D$52:$D$58,MATCH(DATOS!$C$95,TABLAS!$B$52:$B$58,0))*DATOS!$C$32/(MAX(0.2*SQRT(DATOS!$C$31),3.5)*N11))/2.5)*2.5)</f>
        <v>10</v>
      </c>
      <c r="AT11" s="49" t="str">
        <f>IF(AF11=0,"—",IF(AF11&gt;AR11+DATOS!$C$46*2.12*SQRT(DATOS!$C$31)*N11*AG11/1000,"SECCIÓN INSUFICIENTE","E No. "&amp;TEXT(DATOS!$C$95,"0.0")&amp;" @ "&amp;TEXT(AS11,"0.0")&amp;" cm"))</f>
        <v>E No. 2.5 @ 10.0 cm</v>
      </c>
      <c r="AU11" s="68">
        <f>IF(L11="APOYADA",G11*100/16,IF(L11="VOLADO",G11*100/8,0))</f>
        <v>9.975</v>
      </c>
      <c r="AV11" s="68">
        <f>SQRT(MAX(AD11,AE11)*1E5/(DATOS!$C$45*N11*DATOS!$C$38*(DATOS!$C$70*DATOS!$C$32/DATOS!$C$38)*(1-(DATOS!$C$70*DATOS!$C$32/DATOS!$C$38)/2)))+(O11-AG11)</f>
        <v>11.2186518154115</v>
      </c>
      <c r="AW11" s="56">
        <f>IF(OR(L11="BORDE DE VOLADO",L11="SIN APOYO"),0,CEILING(MAX(AU11,AV11,DATOS!$C$15),5))</f>
        <v>25</v>
      </c>
      <c r="AX11" s="69" t="str">
        <f>IF(L11="BORDE DE VOLADO","BORDE DE VOLADO — armado de orilla",IF(L11="SIN APOYO","SIN APOYO — REVISAR",IF(AND(AL11&lt;=1,AQ11&lt;=1,IF(AJ11=0,TRUE,AJ11&lt;=INT((AZ11+DATOS!$C$24)/(INDEX(TABLAS!$C$52:$C$58,MATCH(MAX(AI11,2),TABLAS!$B$52:$B$58,0))+DATOS!$C$24))),IF(AO11=0,TRUE,AO11&lt;=INT((AZ11+DATOS!$C$24)/(INDEX(TABLAS!$C$52:$C$58,MATCH(MAX(AN11,2),TABLAS!$B$52:$B$58,0))+DATOS!$C$24))),AT11&lt;&gt;"SECCIÓN INSUFICIENTE",O11&gt;=AU11),"CUMPLE"&amp;IF(L11="VOLADO"," (en VOLADO)",""),"NO CUMPLE: "&amp;IF(OR(AH11&lt;0,AM11&lt;0),"sección insuficiente en flexión ",IF(OR(AL11&gt;1,AQ11&gt;1),"flexión ",""))&amp;IF(NOT(AND(IF(AJ11=0,TRUE,AJ11&lt;=INT((AZ11+DATOS!$C$24)/(INDEX(TABLAS!$C$52:$C$58,MATCH(MAX(AI11,2),TABLAS!$B$52:$B$58,0))+DATOS!$C$24))),IF(AO11=0,TRUE,AO11&lt;=INT((AZ11+DATOS!$C$24)/(INDEX(TABLAS!$C$52:$C$58,MATCH(MAX(AN11,2),TABLAS!$B$52:$B$58,0))+DATOS!$C$24))))),"no caben ","")&amp;IF(AT11="SECCIÓN INSUFICIENTE","cortante ","")&amp;IF(O11&lt;AU11,"deflexión ","")&amp;"→ h ≥ "&amp;TEXT(AW11,"0")&amp;" cm")))</f>
        <v>CUMPLE</v>
      </c>
      <c r="AY11" s="61" t="inlineStr">
        <is>
          <t>Extremo i en castillo propuesto C2. Extremo j en castillo propuesto C3. Muro de planta alta encima (1.60 m).</t>
        </is>
      </c>
      <c r="AZ11" s="41">
        <f>N11-2*DATOS!$C$18-2*INDEX(TABLAS!$C$52:$C$58,MATCH(DATOS!$C$95,TABLAS!$B$52:$B$58,0))</f>
        <v>9.42</v>
      </c>
    </row>
    <row r="12" ht="30" customHeight="1">
      <c r="B12" s="57" t="inlineStr">
        <is>
          <t>NP-04</t>
        </is>
      </c>
      <c r="C12" s="50" t="inlineStr">
        <is>
          <t>N+3.00</t>
        </is>
      </c>
      <c r="D12" s="49" t="inlineStr">
        <is>
          <t>Eje 6 (y = 6.948)</t>
        </is>
      </c>
      <c r="E12" s="50" t="inlineStr">
        <is>
          <t>(2.925, 6.948)</t>
        </is>
      </c>
      <c r="F12" s="50" t="inlineStr">
        <is>
          <t>(4.327, 6.948)</t>
        </is>
      </c>
      <c r="G12" s="53" t="n">
        <v>1.402</v>
      </c>
      <c r="H12" s="50" t="inlineStr">
        <is>
          <t>FIRME</t>
        </is>
      </c>
      <c r="I12" s="50" t="inlineStr">
        <is>
          <t>NERVADURA</t>
        </is>
      </c>
      <c r="J12" s="50" t="inlineStr">
        <is>
          <t>—</t>
        </is>
      </c>
      <c r="K12" s="50" t="inlineStr">
        <is>
          <t>—</t>
        </is>
      </c>
      <c r="L12" s="57" t="str">
        <f>IF(AND(OR(H12="FIRME",H12="NERVADURA",H12="PUNTA"),OR(I12="FIRME",I12="NERVADURA",I12="PUNTA")),"APOYADA",IF(OR(OR(H12="FIRME",H12="NERVADURA",H12="PUNTA"),OR(I12="FIRME",I12="NERVADURA",I12="PUNTA")),"VOLADO","SIN APOYO"))</f>
        <v>APOYADA</v>
      </c>
      <c r="M12" s="50" t="str">
        <f>IF(L12="VOLADO",IF(OR(H12="FIRME",H12="NERVADURA",H12="PUNTA"),"i","j"),"—")</f>
        <v>—</v>
      </c>
      <c r="N12" s="54">
        <f>DATOS!$C$17</f>
        <v>15</v>
      </c>
      <c r="O12" s="54">
        <f>DATOS!$C$15</f>
        <v>25</v>
      </c>
      <c r="P12" s="41">
        <f>SUMIFS(TRIB!$E$6:$E$255,TRIB!$B$6:$B$255,B12)</f>
        <v>0.9919</v>
      </c>
      <c r="Q12" s="34">
        <f>SUMIFS(TRIB!$G$6:$G$255,TRIB!$B$6:$B$255,B12)/G12</f>
        <v>0.58210487059303</v>
      </c>
      <c r="R12" s="66" t="n">
        <v>0</v>
      </c>
      <c r="S12" s="34">
        <f>DATOS!$C$43*R12*DATOS!$C$89/G12</f>
        <v>0</v>
      </c>
      <c r="T12" s="58" t="n">
        <v>0</v>
      </c>
      <c r="U12" s="58" t="n">
        <v>0</v>
      </c>
      <c r="V12" s="34">
        <f>(DATOS!$C$43*T12+DATOS!$C$44*U12)/1000</f>
        <v>0</v>
      </c>
      <c r="W12" s="34">
        <f>DATOS!$C$43*(N12/100*O12/100*DATOS!$C$35-N12/100*DATOS!$C$58/1000)</f>
        <v>0.0694836734693878</v>
      </c>
      <c r="X12" s="67">
        <f>Q12+S12+V12+W12</f>
        <v>0.651588544062418</v>
      </c>
      <c r="Y12" s="34">
        <f>0</f>
        <v>0</v>
      </c>
      <c r="Z12" s="34">
        <f>0</f>
        <v>0</v>
      </c>
      <c r="AA12" s="34">
        <f>0</f>
        <v>0</v>
      </c>
      <c r="AB12" s="34">
        <f>IF(L12="APOYADA",X12*G12/2+0,IF(AND(L12="VOLADO",M12="i"),X12*G12+Y12,0))</f>
        <v>0.456763569387755</v>
      </c>
      <c r="AC12" s="34">
        <f>IF(L12="APOYADA",X12*G12/2+0,IF(AND(L12="VOLADO",M12="j"),X12*G12+Y12,0))</f>
        <v>0.456763569387755</v>
      </c>
      <c r="AD12" s="67">
        <f>IF(L12="APOYADA",X12*G12^2/8+Z12,0)</f>
        <v>0.160095631070408</v>
      </c>
      <c r="AE12" s="67">
        <f>IF(L12="APOYADA",DATOS!$C$52*AD12,IF(L12="VOLADO",X12*G12^2/2+Z12,0))</f>
        <v>0.106783785923962</v>
      </c>
      <c r="AF12" s="67">
        <f>IF(L12="APOYADA",X12*G12/2+AA12,IF(L12="VOLADO",X12*G12+AA12,0))</f>
        <v>0.456763569387755</v>
      </c>
      <c r="AG12" s="41">
        <f>O12-DATOS!$C$18-INDEX(TABLAS!$C$52:$C$58,MATCH(DATOS!$C$95,TABLAS!$B$52:$B$58,0))-INDEX(TABLAS!$C$52:$C$58,MATCH(DATOS!$C$94,TABLAS!$B$52:$B$58,0))/2</f>
        <v>21.575</v>
      </c>
      <c r="AH12" s="41">
        <f>IF(OR(L12="BORDE DE VOLADO",L12="SIN APOYO"),0,IF(AD12&lt;=0,DATOS!$C$71*N12*AG12,IF((1-2*AD12*1E5/(DATOS!$C$45*N12*AG12^2*DATOS!$C$38))&lt;0,-1,IF((1-SQRT((1-2*AD12*1E5/(DATOS!$C$45*N12*AG12^2*DATOS!$C$38))))*DATOS!$C$38*N12*AG12/DATOS!$C$32&gt;DATOS!$C$70*N12*AG12,-1,MAX(DATOS!$C$71*N12*AG12,(1-SQRT((1-2*AD12*1E5/(DATOS!$C$45*N12*AG12^2*DATOS!$C$38))))*DATOS!$C$38*N12*AG12/DATOS!$C$32)))))</f>
        <v>0.85282675647666</v>
      </c>
      <c r="AI12" s="39">
        <f>IF(AH12&lt;0,0,IF(AND(AH12&gt;=0,CEILING(AH12/INDEX(TABLAS!$D$52:$D$58,MIN(MATCH(DATOS!$C$94,TABLAS!$B$52:$B$58,0)+0,7)),1)&lt;=MIN(99,INT((AZ12+DATOS!$C$24)/(INDEX(TABLAS!$C$52:$C$58,MIN(MATCH(DATOS!$C$94,TABLAS!$B$52:$B$58,0)+0,7))+DATOS!$C$24)))),INDEX(TABLAS!$B$52:$B$58,MIN(MATCH(DATOS!$C$94,TABLAS!$B$52:$B$58,0)+0,7)),IF(AND(AH12&gt;=0,CEILING(AH12/INDEX(TABLAS!$D$52:$D$58,MIN(MATCH(DATOS!$C$94,TABLAS!$B$52:$B$58,0)+1,7)),1)&lt;=MIN(99,INT((AZ12+DATOS!$C$24)/(INDEX(TABLAS!$C$52:$C$58,MIN(MATCH(DATOS!$C$94,TABLAS!$B$52:$B$58,0)+1,7))+DATOS!$C$24)))),INDEX(TABLAS!$B$52:$B$58,MIN(MATCH(DATOS!$C$94,TABLAS!$B$52:$B$58,0)+1,7)),IF(AND(AH12&gt;=0,CEILING(AH12/INDEX(TABLAS!$D$52:$D$58,MIN(MATCH(DATOS!$C$94,TABLAS!$B$52:$B$58,0)+2,7)),1)&lt;=MIN(99,INT((AZ12+DATOS!$C$24)/(INDEX(TABLAS!$C$52:$C$58,MIN(MATCH(DATOS!$C$94,TABLAS!$B$52:$B$58,0)+2,7))+DATOS!$C$24)))),INDEX(TABLAS!$B$52:$B$58,MIN(MATCH(DATOS!$C$94,TABLAS!$B$52:$B$58,0)+2,7)),IF(AND(AH12&gt;=0,CEILING(AH12/INDEX(TABLAS!$D$52:$D$58,MIN(MATCH(DATOS!$C$94,TABLAS!$B$52:$B$58,0)+3,7)),1)&lt;=MIN(99,INT((AZ12+DATOS!$C$24)/(INDEX(TABLAS!$C$52:$C$58,MIN(MATCH(DATOS!$C$94,TABLAS!$B$52:$B$58,0)+3,7))+DATOS!$C$24)))),INDEX(TABLAS!$B$52:$B$58,MIN(MATCH(DATOS!$C$94,TABLAS!$B$52:$B$58,0)+3,7)),IF(AND(AH12&gt;=0,CEILING(AH12/INDEX(TABLAS!$D$52:$D$58,MIN(MATCH(DATOS!$C$94,TABLAS!$B$52:$B$58,0)+4,7)),1)&lt;=MIN(99,INT((AZ12+DATOS!$C$24)/(INDEX(TABLAS!$C$52:$C$58,MIN(MATCH(DATOS!$C$94,TABLAS!$B$52:$B$58,0)+4,7))+DATOS!$C$24)))),INDEX(TABLAS!$B$52:$B$58,MIN(MATCH(DATOS!$C$94,TABLAS!$B$52:$B$58,0)+4,7)),INDEX(TABLAS!$B$52:$B$58,7)))))))</f>
        <v>4</v>
      </c>
      <c r="AJ12" s="55">
        <f>IF(AH12&lt;=0,0,MAX(DATOS!$C$96,CEILING(AH12/INDEX(TABLAS!$D$52:$D$58,MATCH(IF(AI12=0,8,AI12),TABLAS!$B$52:$B$58,0)),1)))</f>
        <v>2</v>
      </c>
      <c r="AK12" s="34">
        <f>IF(AJ12=0,0,DATOS!$C$45*AJ12*INDEX(TABLAS!$D$52:$D$58,MATCH(AI12,TABLAS!$B$52:$B$58,0))*DATOS!$C$32*((O12-DATOS!$C$18-INDEX(TABLAS!$C$52:$C$58,MATCH(DATOS!$C$95,TABLAS!$B$52:$B$58,0))-INDEX(TABLAS!$C$52:$C$58,MATCH(AI12,TABLAS!$B$52:$B$58,0))/2)-AJ12*INDEX(TABLAS!$D$52:$D$58,MATCH(AI12,TABLAS!$B$52:$B$58,0))*DATOS!$C$32/(DATOS!$C$38*N12)/2)/1E5)</f>
        <v>1.91079128964706</v>
      </c>
      <c r="AL12" s="59">
        <f>IF(AH12&lt;0,9.99,IF(AK12&gt;0,AD12/AK12,0))</f>
        <v>0.08378499103373</v>
      </c>
      <c r="AM12" s="41">
        <f>IF(OR(L12="BORDE DE VOLADO",L12="SIN APOYO"),0,IF(AE12&lt;=0,DATOS!$C$71*N12*AG12,IF((1-2*AE12*1E5/(DATOS!$C$45*N12*AG12^2*DATOS!$C$38))&lt;0,-1,IF((1-SQRT((1-2*AE12*1E5/(DATOS!$C$45*N12*AG12^2*DATOS!$C$38))))*DATOS!$C$38*N12*AG12/DATOS!$C$32&gt;DATOS!$C$70*N12*AG12,-1,MAX(DATOS!$C$71*N12*AG12,(1-SQRT((1-2*AE12*1E5/(DATOS!$C$45*N12*AG12^2*DATOS!$C$38))))*DATOS!$C$38*N12*AG12/DATOS!$C$32)))))</f>
        <v>0.85282675647666</v>
      </c>
      <c r="AN12" s="39">
        <f>IF(AM12&lt;0,0,IF(AND(AM12&gt;=0,CEILING(AM12/INDEX(TABLAS!$D$52:$D$58,MIN(MATCH(DATOS!$C$94,TABLAS!$B$52:$B$58,0)+0,7)),1)&lt;=MIN(99,INT((AZ12+DATOS!$C$24)/(INDEX(TABLAS!$C$52:$C$58,MIN(MATCH(DATOS!$C$94,TABLAS!$B$52:$B$58,0)+0,7))+DATOS!$C$24)))),INDEX(TABLAS!$B$52:$B$58,MIN(MATCH(DATOS!$C$94,TABLAS!$B$52:$B$58,0)+0,7)),IF(AND(AM12&gt;=0,CEILING(AM12/INDEX(TABLAS!$D$52:$D$58,MIN(MATCH(DATOS!$C$94,TABLAS!$B$52:$B$58,0)+1,7)),1)&lt;=MIN(99,INT((AZ12+DATOS!$C$24)/(INDEX(TABLAS!$C$52:$C$58,MIN(MATCH(DATOS!$C$94,TABLAS!$B$52:$B$58,0)+1,7))+DATOS!$C$24)))),INDEX(TABLAS!$B$52:$B$58,MIN(MATCH(DATOS!$C$94,TABLAS!$B$52:$B$58,0)+1,7)),IF(AND(AM12&gt;=0,CEILING(AM12/INDEX(TABLAS!$D$52:$D$58,MIN(MATCH(DATOS!$C$94,TABLAS!$B$52:$B$58,0)+2,7)),1)&lt;=MIN(99,INT((AZ12+DATOS!$C$24)/(INDEX(TABLAS!$C$52:$C$58,MIN(MATCH(DATOS!$C$94,TABLAS!$B$52:$B$58,0)+2,7))+DATOS!$C$24)))),INDEX(TABLAS!$B$52:$B$58,MIN(MATCH(DATOS!$C$94,TABLAS!$B$52:$B$58,0)+2,7)),IF(AND(AM12&gt;=0,CEILING(AM12/INDEX(TABLAS!$D$52:$D$58,MIN(MATCH(DATOS!$C$94,TABLAS!$B$52:$B$58,0)+3,7)),1)&lt;=MIN(99,INT((AZ12+DATOS!$C$24)/(INDEX(TABLAS!$C$52:$C$58,MIN(MATCH(DATOS!$C$94,TABLAS!$B$52:$B$58,0)+3,7))+DATOS!$C$24)))),INDEX(TABLAS!$B$52:$B$58,MIN(MATCH(DATOS!$C$94,TABLAS!$B$52:$B$58,0)+3,7)),IF(AND(AM12&gt;=0,CEILING(AM12/INDEX(TABLAS!$D$52:$D$58,MIN(MATCH(DATOS!$C$94,TABLAS!$B$52:$B$58,0)+4,7)),1)&lt;=MIN(99,INT((AZ12+DATOS!$C$24)/(INDEX(TABLAS!$C$52:$C$58,MIN(MATCH(DATOS!$C$94,TABLAS!$B$52:$B$58,0)+4,7))+DATOS!$C$24)))),INDEX(TABLAS!$B$52:$B$58,MIN(MATCH(DATOS!$C$94,TABLAS!$B$52:$B$58,0)+4,7)),INDEX(TABLAS!$B$52:$B$58,7)))))))</f>
        <v>4</v>
      </c>
      <c r="AO12" s="55">
        <f>IF(AM12&lt;=0,0,MAX(DATOS!$C$96,CEILING(AM12/INDEX(TABLAS!$D$52:$D$58,MATCH(IF(AN12=0,8,AN12),TABLAS!$B$52:$B$58,0)),1)))</f>
        <v>2</v>
      </c>
      <c r="AP12" s="34">
        <f>IF(AO12=0,0,DATOS!$C$45*AO12*INDEX(TABLAS!$D$52:$D$58,MATCH(AN12,TABLAS!$B$52:$B$58,0))*DATOS!$C$32*((O12-DATOS!$C$18-INDEX(TABLAS!$C$52:$C$58,MATCH(DATOS!$C$95,TABLAS!$B$52:$B$58,0))-INDEX(TABLAS!$C$52:$C$58,MATCH(AN12,TABLAS!$B$52:$B$58,0))/2)-AO12*INDEX(TABLAS!$D$52:$D$58,MATCH(AN12,TABLAS!$B$52:$B$58,0))*DATOS!$C$32/(DATOS!$C$38*N12)/2)/1E5)</f>
        <v>1.91079128964706</v>
      </c>
      <c r="AQ12" s="59">
        <f>IF(AM12&lt;0,9.99,IF(AP12&gt;0,AE12/AP12,0))</f>
        <v>0.0558845890194979</v>
      </c>
      <c r="AR12" s="34">
        <f>IF(AO12=0,0,DATOS!$C$46*IF((AO12*INDEX(TABLAS!$D$52:$D$58,MATCH(AN12,TABLAS!$B$52:$B$58,0))/(N12*AG12))&lt;0.015,0.2+20*(AO12*INDEX(TABLAS!$D$52:$D$58,MATCH(AN12,TABLAS!$B$52:$B$58,0))/(N12*AG12)),0.5)*SQRT(DATOS!$C$31)*N12*AG12/1000)</f>
        <v>1.36995797509107</v>
      </c>
      <c r="AS12" s="68">
        <f>IF(AF12=0,0,INT(MIN(IF(AF12&gt;AR12,DATOS!$C$46*2*INDEX(TABLAS!$D$52:$D$58,MATCH(DATOS!$C$95,TABLAS!$B$52:$B$58,0))*DATOS!$C$32*AG12/((AF12-AR12)*1000),999),AG12/2,DATOS!$C$97,2*INDEX(TABLAS!$D$52:$D$58,MATCH(DATOS!$C$95,TABLAS!$B$52:$B$58,0))*DATOS!$C$32/(MAX(0.2*SQRT(DATOS!$C$31),3.5)*N12))/2.5)*2.5)</f>
        <v>10</v>
      </c>
      <c r="AT12" s="49" t="str">
        <f>IF(AF12=0,"—",IF(AF12&gt;AR12+DATOS!$C$46*2.12*SQRT(DATOS!$C$31)*N12*AG12/1000,"SECCIÓN INSUFICIENTE","E No. "&amp;TEXT(DATOS!$C$95,"0.0")&amp;" @ "&amp;TEXT(AS12,"0.0")&amp;" cm"))</f>
        <v>E No. 2.5 @ 10.0 cm</v>
      </c>
      <c r="AU12" s="68">
        <f>IF(L12="APOYADA",G12*100/16,IF(L12="VOLADO",G12*100/8,0))</f>
        <v>8.7625</v>
      </c>
      <c r="AV12" s="68">
        <f>SQRT(MAX(AD12,AE12)*1E5/(DATOS!$C$45*N12*DATOS!$C$38*(DATOS!$C$70*DATOS!$C$32/DATOS!$C$38)*(1-(DATOS!$C$70*DATOS!$C$32/DATOS!$C$38)/2)))+(O12-AG12)</f>
        <v>7.70472703385222</v>
      </c>
      <c r="AW12" s="56">
        <f>IF(OR(L12="BORDE DE VOLADO",L12="SIN APOYO"),0,CEILING(MAX(AU12,AV12,DATOS!$C$15),5))</f>
        <v>25</v>
      </c>
      <c r="AX12" s="69" t="str">
        <f>IF(L12="BORDE DE VOLADO","BORDE DE VOLADO — armado de orilla",IF(L12="SIN APOYO","SIN APOYO — REVISAR",IF(AND(AL12&lt;=1,AQ12&lt;=1,IF(AJ12=0,TRUE,AJ12&lt;=INT((AZ12+DATOS!$C$24)/(INDEX(TABLAS!$C$52:$C$58,MATCH(MAX(AI12,2),TABLAS!$B$52:$B$58,0))+DATOS!$C$24))),IF(AO12=0,TRUE,AO12&lt;=INT((AZ12+DATOS!$C$24)/(INDEX(TABLAS!$C$52:$C$58,MATCH(MAX(AN12,2),TABLAS!$B$52:$B$58,0))+DATOS!$C$24))),AT12&lt;&gt;"SECCIÓN INSUFICIENTE",O12&gt;=AU12),"CUMPLE"&amp;IF(L12="VOLADO"," (en VOLADO)",""),"NO CUMPLE: "&amp;IF(OR(AH12&lt;0,AM12&lt;0),"sección insuficiente en flexión ",IF(OR(AL12&gt;1,AQ12&gt;1),"flexión ",""))&amp;IF(NOT(AND(IF(AJ12=0,TRUE,AJ12&lt;=INT((AZ12+DATOS!$C$24)/(INDEX(TABLAS!$C$52:$C$58,MATCH(MAX(AI12,2),TABLAS!$B$52:$B$58,0))+DATOS!$C$24))),IF(AO12=0,TRUE,AO12&lt;=INT((AZ12+DATOS!$C$24)/(INDEX(TABLAS!$C$52:$C$58,MATCH(MAX(AN12,2),TABLAS!$B$52:$B$58,0))+DATOS!$C$24))))),"no caben ","")&amp;IF(AT12="SECCIÓN INSUFICIENTE","cortante ","")&amp;IF(O12&lt;AU12,"deflexión ","")&amp;"→ h ≥ "&amp;TEXT(AW12,"0")&amp;" cm")))</f>
        <v>CUMPLE</v>
      </c>
      <c r="AY12" s="61" t="inlineStr">
        <is>
          <t>Extremo j se apoya en NP-22.</t>
        </is>
      </c>
      <c r="AZ12" s="41">
        <f>N12-2*DATOS!$C$18-2*INDEX(TABLAS!$C$52:$C$58,MATCH(DATOS!$C$95,TABLAS!$B$52:$B$58,0))</f>
        <v>9.42</v>
      </c>
    </row>
    <row r="13" ht="30" customHeight="1">
      <c r="B13" s="57" t="inlineStr">
        <is>
          <t>NP-05</t>
        </is>
      </c>
      <c r="C13" s="50" t="inlineStr">
        <is>
          <t>N+3.00</t>
        </is>
      </c>
      <c r="D13" s="49" t="inlineStr">
        <is>
          <t>Eje 6 (y = 6.948)</t>
        </is>
      </c>
      <c r="E13" s="50" t="inlineStr">
        <is>
          <t>(5.460, 6.948)</t>
        </is>
      </c>
      <c r="F13" s="50" t="inlineStr">
        <is>
          <t>(5.923, 6.948)</t>
        </is>
      </c>
      <c r="G13" s="53" t="n">
        <v>0.463</v>
      </c>
      <c r="H13" s="50" t="inlineStr">
        <is>
          <t>LIBRE</t>
        </is>
      </c>
      <c r="I13" s="50" t="inlineStr">
        <is>
          <t>FIRME</t>
        </is>
      </c>
      <c r="J13" s="50" t="inlineStr">
        <is>
          <t>—</t>
        </is>
      </c>
      <c r="K13" s="50" t="inlineStr">
        <is>
          <t>—</t>
        </is>
      </c>
      <c r="L13" s="57" t="str">
        <f>IF(AND(OR(H13="FIRME",H13="NERVADURA",H13="PUNTA"),OR(I13="FIRME",I13="NERVADURA",I13="PUNTA")),"APOYADA",IF(OR(OR(H13="FIRME",H13="NERVADURA",H13="PUNTA"),OR(I13="FIRME",I13="NERVADURA",I13="PUNTA")),"VOLADO","SIN APOYO"))</f>
        <v>VOLADO</v>
      </c>
      <c r="M13" s="50" t="str">
        <f>IF(L13="VOLADO",IF(OR(H13="FIRME",H13="NERVADURA",H13="PUNTA"),"i","j"),"—")</f>
        <v>j</v>
      </c>
      <c r="N13" s="54">
        <f>DATOS!$C$17</f>
        <v>15</v>
      </c>
      <c r="O13" s="54">
        <f>DATOS!$C$15</f>
        <v>25</v>
      </c>
      <c r="P13" s="41">
        <f>SUMIFS(TRIB!$E$6:$E$255,TRIB!$B$6:$B$255,B13)</f>
        <v>0.1072</v>
      </c>
      <c r="Q13" s="34">
        <f>SUMIFS(TRIB!$G$6:$G$255,TRIB!$B$6:$B$255,B13)/G13</f>
        <v>0.190500074932781</v>
      </c>
      <c r="R13" s="66" t="n">
        <v>0</v>
      </c>
      <c r="S13" s="34">
        <f>DATOS!$C$43*R13*DATOS!$C$89/G13</f>
        <v>0</v>
      </c>
      <c r="T13" s="58" t="n">
        <v>50</v>
      </c>
      <c r="U13" s="58" t="n">
        <v>0</v>
      </c>
      <c r="V13" s="34">
        <f>(DATOS!$C$43*T13+DATOS!$C$44*U13)/1000</f>
        <v>0.065</v>
      </c>
      <c r="W13" s="34">
        <f>DATOS!$C$43*(N13/100*O13/100*DATOS!$C$35-N13/100*DATOS!$C$58/1000)</f>
        <v>0.0694836734693878</v>
      </c>
      <c r="X13" s="67">
        <f>Q13+S13+V13+W13</f>
        <v>0.324983748402169</v>
      </c>
      <c r="Y13" s="34">
        <f>TRANSFER!$F$13</f>
        <v>0.589185973469388</v>
      </c>
      <c r="Z13" s="34">
        <f>TRANSFER!$H$13</f>
        <v>0.272793105716327</v>
      </c>
      <c r="AA13" s="34">
        <f>TRANSFER!$I$13</f>
        <v>0.589185973469388</v>
      </c>
      <c r="AB13" s="34">
        <f>IF(L13="APOYADA",X13*G13/2+TRANSFER!$J$13,IF(AND(L13="VOLADO",M13="i"),X13*G13+Y13,0))</f>
        <v>0</v>
      </c>
      <c r="AC13" s="34">
        <f>IF(L13="APOYADA",X13*G13/2+TRANSFER!$K$13,IF(AND(L13="VOLADO",M13="j"),X13*G13+Y13,0))</f>
        <v>0.739653448979592</v>
      </c>
      <c r="AD13" s="67">
        <f>IF(L13="APOYADA",X13*G13^2/8+Z13,0)</f>
        <v>0</v>
      </c>
      <c r="AE13" s="67">
        <f>IF(L13="APOYADA",DATOS!$C$52*AD13,IF(L13="VOLADO",X13*G13^2/2+Z13,0))</f>
        <v>0.307626326296939</v>
      </c>
      <c r="AF13" s="67">
        <f>IF(L13="APOYADA",X13*G13/2+AA13,IF(L13="VOLADO",X13*G13+AA13,0))</f>
        <v>0.739653448979592</v>
      </c>
      <c r="AG13" s="41">
        <f>O13-DATOS!$C$18-INDEX(TABLAS!$C$52:$C$58,MATCH(DATOS!$C$95,TABLAS!$B$52:$B$58,0))-INDEX(TABLAS!$C$52:$C$58,MATCH(DATOS!$C$94,TABLAS!$B$52:$B$58,0))/2</f>
        <v>21.575</v>
      </c>
      <c r="AH13" s="41">
        <f>IF(OR(L13="BORDE DE VOLADO",L13="SIN APOYO"),0,IF(AD13&lt;=0,DATOS!$C$71*N13*AG13,IF((1-2*AD13*1E5/(DATOS!$C$45*N13*AG13^2*DATOS!$C$38))&lt;0,-1,IF((1-SQRT((1-2*AD13*1E5/(DATOS!$C$45*N13*AG13^2*DATOS!$C$38))))*DATOS!$C$38*N13*AG13/DATOS!$C$32&gt;DATOS!$C$70*N13*AG13,-1,MAX(DATOS!$C$71*N13*AG13,(1-SQRT((1-2*AD13*1E5/(DATOS!$C$45*N13*AG13^2*DATOS!$C$38))))*DATOS!$C$38*N13*AG13/DATOS!$C$32)))))</f>
        <v>0.85282675647666</v>
      </c>
      <c r="AI13" s="39">
        <f>IF(AH13&lt;0,0,IF(AND(AH13&gt;=0,CEILING(AH13/INDEX(TABLAS!$D$52:$D$58,MIN(MATCH(DATOS!$C$94,TABLAS!$B$52:$B$58,0)+0,7)),1)&lt;=MIN(99,INT((AZ13+DATOS!$C$24)/(INDEX(TABLAS!$C$52:$C$58,MIN(MATCH(DATOS!$C$94,TABLAS!$B$52:$B$58,0)+0,7))+DATOS!$C$24)))),INDEX(TABLAS!$B$52:$B$58,MIN(MATCH(DATOS!$C$94,TABLAS!$B$52:$B$58,0)+0,7)),IF(AND(AH13&gt;=0,CEILING(AH13/INDEX(TABLAS!$D$52:$D$58,MIN(MATCH(DATOS!$C$94,TABLAS!$B$52:$B$58,0)+1,7)),1)&lt;=MIN(99,INT((AZ13+DATOS!$C$24)/(INDEX(TABLAS!$C$52:$C$58,MIN(MATCH(DATOS!$C$94,TABLAS!$B$52:$B$58,0)+1,7))+DATOS!$C$24)))),INDEX(TABLAS!$B$52:$B$58,MIN(MATCH(DATOS!$C$94,TABLAS!$B$52:$B$58,0)+1,7)),IF(AND(AH13&gt;=0,CEILING(AH13/INDEX(TABLAS!$D$52:$D$58,MIN(MATCH(DATOS!$C$94,TABLAS!$B$52:$B$58,0)+2,7)),1)&lt;=MIN(99,INT((AZ13+DATOS!$C$24)/(INDEX(TABLAS!$C$52:$C$58,MIN(MATCH(DATOS!$C$94,TABLAS!$B$52:$B$58,0)+2,7))+DATOS!$C$24)))),INDEX(TABLAS!$B$52:$B$58,MIN(MATCH(DATOS!$C$94,TABLAS!$B$52:$B$58,0)+2,7)),IF(AND(AH13&gt;=0,CEILING(AH13/INDEX(TABLAS!$D$52:$D$58,MIN(MATCH(DATOS!$C$94,TABLAS!$B$52:$B$58,0)+3,7)),1)&lt;=MIN(99,INT((AZ13+DATOS!$C$24)/(INDEX(TABLAS!$C$52:$C$58,MIN(MATCH(DATOS!$C$94,TABLAS!$B$52:$B$58,0)+3,7))+DATOS!$C$24)))),INDEX(TABLAS!$B$52:$B$58,MIN(MATCH(DATOS!$C$94,TABLAS!$B$52:$B$58,0)+3,7)),IF(AND(AH13&gt;=0,CEILING(AH13/INDEX(TABLAS!$D$52:$D$58,MIN(MATCH(DATOS!$C$94,TABLAS!$B$52:$B$58,0)+4,7)),1)&lt;=MIN(99,INT((AZ13+DATOS!$C$24)/(INDEX(TABLAS!$C$52:$C$58,MIN(MATCH(DATOS!$C$94,TABLAS!$B$52:$B$58,0)+4,7))+DATOS!$C$24)))),INDEX(TABLAS!$B$52:$B$58,MIN(MATCH(DATOS!$C$94,TABLAS!$B$52:$B$58,0)+4,7)),INDEX(TABLAS!$B$52:$B$58,7)))))))</f>
        <v>4</v>
      </c>
      <c r="AJ13" s="55">
        <f>IF(AH13&lt;=0,0,MAX(DATOS!$C$96,CEILING(AH13/INDEX(TABLAS!$D$52:$D$58,MATCH(IF(AI13=0,8,AI13),TABLAS!$B$52:$B$58,0)),1)))</f>
        <v>2</v>
      </c>
      <c r="AK13" s="34">
        <f>IF(AJ13=0,0,DATOS!$C$45*AJ13*INDEX(TABLAS!$D$52:$D$58,MATCH(AI13,TABLAS!$B$52:$B$58,0))*DATOS!$C$32*((O13-DATOS!$C$18-INDEX(TABLAS!$C$52:$C$58,MATCH(DATOS!$C$95,TABLAS!$B$52:$B$58,0))-INDEX(TABLAS!$C$52:$C$58,MATCH(AI13,TABLAS!$B$52:$B$58,0))/2)-AJ13*INDEX(TABLAS!$D$52:$D$58,MATCH(AI13,TABLAS!$B$52:$B$58,0))*DATOS!$C$32/(DATOS!$C$38*N13)/2)/1E5)</f>
        <v>1.91079128964706</v>
      </c>
      <c r="AL13" s="59">
        <f>IF(AH13&lt;0,9.99,IF(AK13&gt;0,AD13/AK13,0))</f>
        <v>0</v>
      </c>
      <c r="AM13" s="41">
        <f>IF(OR(L13="BORDE DE VOLADO",L13="SIN APOYO"),0,IF(AE13&lt;=0,DATOS!$C$71*N13*AG13,IF((1-2*AE13*1E5/(DATOS!$C$45*N13*AG13^2*DATOS!$C$38))&lt;0,-1,IF((1-SQRT((1-2*AE13*1E5/(DATOS!$C$45*N13*AG13^2*DATOS!$C$38))))*DATOS!$C$38*N13*AG13/DATOS!$C$32&gt;DATOS!$C$70*N13*AG13,-1,MAX(DATOS!$C$71*N13*AG13,(1-SQRT((1-2*AE13*1E5/(DATOS!$C$45*N13*AG13^2*DATOS!$C$38))))*DATOS!$C$38*N13*AG13/DATOS!$C$32)))))</f>
        <v>0.85282675647666</v>
      </c>
      <c r="AN13" s="39">
        <f>IF(AM13&lt;0,0,IF(AND(AM13&gt;=0,CEILING(AM13/INDEX(TABLAS!$D$52:$D$58,MIN(MATCH(DATOS!$C$94,TABLAS!$B$52:$B$58,0)+0,7)),1)&lt;=MIN(99,INT((AZ13+DATOS!$C$24)/(INDEX(TABLAS!$C$52:$C$58,MIN(MATCH(DATOS!$C$94,TABLAS!$B$52:$B$58,0)+0,7))+DATOS!$C$24)))),INDEX(TABLAS!$B$52:$B$58,MIN(MATCH(DATOS!$C$94,TABLAS!$B$52:$B$58,0)+0,7)),IF(AND(AM13&gt;=0,CEILING(AM13/INDEX(TABLAS!$D$52:$D$58,MIN(MATCH(DATOS!$C$94,TABLAS!$B$52:$B$58,0)+1,7)),1)&lt;=MIN(99,INT((AZ13+DATOS!$C$24)/(INDEX(TABLAS!$C$52:$C$58,MIN(MATCH(DATOS!$C$94,TABLAS!$B$52:$B$58,0)+1,7))+DATOS!$C$24)))),INDEX(TABLAS!$B$52:$B$58,MIN(MATCH(DATOS!$C$94,TABLAS!$B$52:$B$58,0)+1,7)),IF(AND(AM13&gt;=0,CEILING(AM13/INDEX(TABLAS!$D$52:$D$58,MIN(MATCH(DATOS!$C$94,TABLAS!$B$52:$B$58,0)+2,7)),1)&lt;=MIN(99,INT((AZ13+DATOS!$C$24)/(INDEX(TABLAS!$C$52:$C$58,MIN(MATCH(DATOS!$C$94,TABLAS!$B$52:$B$58,0)+2,7))+DATOS!$C$24)))),INDEX(TABLAS!$B$52:$B$58,MIN(MATCH(DATOS!$C$94,TABLAS!$B$52:$B$58,0)+2,7)),IF(AND(AM13&gt;=0,CEILING(AM13/INDEX(TABLAS!$D$52:$D$58,MIN(MATCH(DATOS!$C$94,TABLAS!$B$52:$B$58,0)+3,7)),1)&lt;=MIN(99,INT((AZ13+DATOS!$C$24)/(INDEX(TABLAS!$C$52:$C$58,MIN(MATCH(DATOS!$C$94,TABLAS!$B$52:$B$58,0)+3,7))+DATOS!$C$24)))),INDEX(TABLAS!$B$52:$B$58,MIN(MATCH(DATOS!$C$94,TABLAS!$B$52:$B$58,0)+3,7)),IF(AND(AM13&gt;=0,CEILING(AM13/INDEX(TABLAS!$D$52:$D$58,MIN(MATCH(DATOS!$C$94,TABLAS!$B$52:$B$58,0)+4,7)),1)&lt;=MIN(99,INT((AZ13+DATOS!$C$24)/(INDEX(TABLAS!$C$52:$C$58,MIN(MATCH(DATOS!$C$94,TABLAS!$B$52:$B$58,0)+4,7))+DATOS!$C$24)))),INDEX(TABLAS!$B$52:$B$58,MIN(MATCH(DATOS!$C$94,TABLAS!$B$52:$B$58,0)+4,7)),INDEX(TABLAS!$B$52:$B$58,7)))))))</f>
        <v>4</v>
      </c>
      <c r="AO13" s="55">
        <f>IF(AM13&lt;=0,0,MAX(DATOS!$C$96,CEILING(AM13/INDEX(TABLAS!$D$52:$D$58,MATCH(IF(AN13=0,8,AN13),TABLAS!$B$52:$B$58,0)),1)))</f>
        <v>2</v>
      </c>
      <c r="AP13" s="34">
        <f>IF(AO13=0,0,DATOS!$C$45*AO13*INDEX(TABLAS!$D$52:$D$58,MATCH(AN13,TABLAS!$B$52:$B$58,0))*DATOS!$C$32*((O13-DATOS!$C$18-INDEX(TABLAS!$C$52:$C$58,MATCH(DATOS!$C$95,TABLAS!$B$52:$B$58,0))-INDEX(TABLAS!$C$52:$C$58,MATCH(AN13,TABLAS!$B$52:$B$58,0))/2)-AO13*INDEX(TABLAS!$D$52:$D$58,MATCH(AN13,TABLAS!$B$52:$B$58,0))*DATOS!$C$32/(DATOS!$C$38*N13)/2)/1E5)</f>
        <v>1.91079128964706</v>
      </c>
      <c r="AQ13" s="59">
        <f>IF(AM13&lt;0,9.99,IF(AP13&gt;0,AE13/AP13,0))</f>
        <v>0.16099420588931</v>
      </c>
      <c r="AR13" s="34">
        <f>IF(AO13=0,0,DATOS!$C$46*IF((AO13*INDEX(TABLAS!$D$52:$D$58,MATCH(AN13,TABLAS!$B$52:$B$58,0))/(N13*AG13))&lt;0.015,0.2+20*(AO13*INDEX(TABLAS!$D$52:$D$58,MATCH(AN13,TABLAS!$B$52:$B$58,0))/(N13*AG13)),0.5)*SQRT(DATOS!$C$31)*N13*AG13/1000)</f>
        <v>1.36995797509107</v>
      </c>
      <c r="AS13" s="68">
        <f>IF(AF13=0,0,INT(MIN(IF(AF13&gt;AR13,DATOS!$C$46*2*INDEX(TABLAS!$D$52:$D$58,MATCH(DATOS!$C$95,TABLAS!$B$52:$B$58,0))*DATOS!$C$32*AG13/((AF13-AR13)*1000),999),AG13/2,DATOS!$C$97,2*INDEX(TABLAS!$D$52:$D$58,MATCH(DATOS!$C$95,TABLAS!$B$52:$B$58,0))*DATOS!$C$32/(MAX(0.2*SQRT(DATOS!$C$31),3.5)*N13))/2.5)*2.5)</f>
        <v>10</v>
      </c>
      <c r="AT13" s="49" t="str">
        <f>IF(AF13=0,"—",IF(AF13&gt;AR13+DATOS!$C$46*2.12*SQRT(DATOS!$C$31)*N13*AG13/1000,"SECCIÓN INSUFICIENTE","E No. "&amp;TEXT(DATOS!$C$95,"0.0")&amp;" @ "&amp;TEXT(AS13,"0.0")&amp;" cm"))</f>
        <v>E No. 2.5 @ 10.0 cm</v>
      </c>
      <c r="AU13" s="68">
        <f>IF(L13="APOYADA",G13*100/16,IF(L13="VOLADO",G13*100/8,0))</f>
        <v>5.7875</v>
      </c>
      <c r="AV13" s="68">
        <f>SQRT(MAX(AD13,AE13)*1E5/(DATOS!$C$45*N13*DATOS!$C$38*(DATOS!$C$70*DATOS!$C$32/DATOS!$C$38)*(1-(DATOS!$C$70*DATOS!$C$32/DATOS!$C$38)/2)))+(O13-AG13)</f>
        <v>9.35750454258741</v>
      </c>
      <c r="AW13" s="56">
        <f>IF(OR(L13="BORDE DE VOLADO",L13="SIN APOYO"),0,CEILING(MAX(AU13,AV13,DATOS!$C$15),5))</f>
        <v>25</v>
      </c>
      <c r="AX13" s="69" t="str">
        <f>IF(L13="BORDE DE VOLADO","BORDE DE VOLADO — armado de orilla",IF(L13="SIN APOYO","SIN APOYO — REVISAR",IF(AND(AL13&lt;=1,AQ13&lt;=1,IF(AJ13=0,TRUE,AJ13&lt;=INT((AZ13+DATOS!$C$24)/(INDEX(TABLAS!$C$52:$C$58,MATCH(MAX(AI13,2),TABLAS!$B$52:$B$58,0))+DATOS!$C$24))),IF(AO13=0,TRUE,AO13&lt;=INT((AZ13+DATOS!$C$24)/(INDEX(TABLAS!$C$52:$C$58,MATCH(MAX(AN13,2),TABLAS!$B$52:$B$58,0))+DATOS!$C$24))),AT13&lt;&gt;"SECCIÓN INSUFICIENTE",O13&gt;=AU13),"CUMPLE"&amp;IF(L13="VOLADO"," (en VOLADO)",""),"NO CUMPLE: "&amp;IF(OR(AH13&lt;0,AM13&lt;0),"sección insuficiente en flexión ",IF(OR(AL13&gt;1,AQ13&gt;1),"flexión ",""))&amp;IF(NOT(AND(IF(AJ13=0,TRUE,AJ13&lt;=INT((AZ13+DATOS!$C$24)/(INDEX(TABLAS!$C$52:$C$58,MATCH(MAX(AI13,2),TABLAS!$B$52:$B$58,0))+DATOS!$C$24))),IF(AO13=0,TRUE,AO13&lt;=INT((AZ13+DATOS!$C$24)/(INDEX(TABLAS!$C$52:$C$58,MATCH(MAX(AN13,2),TABLAS!$B$52:$B$58,0))+DATOS!$C$24))))),"no caben ","")&amp;IF(AT13="SECCIÓN INSUFICIENTE","cortante ","")&amp;IF(O13&lt;AU13,"deflexión ","")&amp;"→ h ≥ "&amp;TEXT(AW13,"0")&amp;" cm")))</f>
        <v>CUMPLE (en VOLADO)</v>
      </c>
      <c r="AY13" s="61" t="inlineStr">
        <is>
          <t>Recibe a NP-25.</t>
        </is>
      </c>
      <c r="AZ13" s="41">
        <f>N13-2*DATOS!$C$18-2*INDEX(TABLAS!$C$52:$C$58,MATCH(DATOS!$C$95,TABLAS!$B$52:$B$58,0))</f>
        <v>9.42</v>
      </c>
    </row>
    <row r="14" ht="30" customHeight="1">
      <c r="B14" s="57" t="inlineStr">
        <is>
          <t>NP-06</t>
        </is>
      </c>
      <c r="C14" s="50" t="inlineStr">
        <is>
          <t>N+3.00</t>
        </is>
      </c>
      <c r="D14" s="49" t="inlineStr">
        <is>
          <t>Eje 7 (y = 7.871)</t>
        </is>
      </c>
      <c r="E14" s="50" t="inlineStr">
        <is>
          <t>(0.000, 7.871)</t>
        </is>
      </c>
      <c r="F14" s="50" t="inlineStr">
        <is>
          <t>(4.327, 7.871)</t>
        </is>
      </c>
      <c r="G14" s="53" t="n">
        <v>4.327</v>
      </c>
      <c r="H14" s="50" t="inlineStr">
        <is>
          <t>FIRME</t>
        </is>
      </c>
      <c r="I14" s="50" t="str">
        <f>IF(APOYOS!$C$20="SÍ","FIRME","LIBRE")</f>
        <v>FIRME</v>
      </c>
      <c r="J14" s="50" t="inlineStr">
        <is>
          <t>—</t>
        </is>
      </c>
      <c r="K14" s="50" t="inlineStr">
        <is>
          <t>C4</t>
        </is>
      </c>
      <c r="L14" s="57" t="str">
        <f>IF(AND(OR(H14="FIRME",H14="NERVADURA",H14="PUNTA"),OR(I14="FIRME",I14="NERVADURA",I14="PUNTA")),"APOYADA",IF(OR(OR(H14="FIRME",H14="NERVADURA",H14="PUNTA"),OR(I14="FIRME",I14="NERVADURA",I14="PUNTA")),"VOLADO","SIN APOYO"))</f>
        <v>APOYADA</v>
      </c>
      <c r="M14" s="50" t="str">
        <f>IF(L14="VOLADO",IF(OR(H14="FIRME",H14="NERVADURA",H14="PUNTA"),"i","j"),"—")</f>
        <v>—</v>
      </c>
      <c r="N14" s="54">
        <f>DATOS!$C$17</f>
        <v>15</v>
      </c>
      <c r="O14" s="54">
        <f>DATOS!$C$15</f>
        <v>25</v>
      </c>
      <c r="P14" s="41">
        <f>SUMIFS(TRIB!$E$6:$E$255,TRIB!$B$6:$B$255,B14)</f>
        <v>1.7839</v>
      </c>
      <c r="Q14" s="34">
        <f>SUMIFS(TRIB!$G$6:$G$255,TRIB!$B$6:$B$255,B14)/G14</f>
        <v>0.339207125642029</v>
      </c>
      <c r="R14" s="66" t="n">
        <v>4.327</v>
      </c>
      <c r="S14" s="34">
        <f>DATOS!$C$43*R14*DATOS!$C$89/G14</f>
        <v>1.233375</v>
      </c>
      <c r="T14" s="58" t="n">
        <v>0</v>
      </c>
      <c r="U14" s="58" t="n">
        <v>0</v>
      </c>
      <c r="V14" s="34">
        <f>(DATOS!$C$43*T14+DATOS!$C$44*U14)/1000</f>
        <v>0</v>
      </c>
      <c r="W14" s="34">
        <f>DATOS!$C$43*(N14/100*O14/100*DATOS!$C$35-N14/100*DATOS!$C$58/1000)</f>
        <v>0.0694836734693878</v>
      </c>
      <c r="X14" s="67">
        <f>Q14+S14+V14+W14</f>
        <v>1.64206579911142</v>
      </c>
      <c r="Y14" s="34">
        <f>0</f>
        <v>0</v>
      </c>
      <c r="Z14" s="34">
        <f>0</f>
        <v>0</v>
      </c>
      <c r="AA14" s="34">
        <f>0</f>
        <v>0</v>
      </c>
      <c r="AB14" s="34">
        <f>IF(L14="APOYADA",X14*G14/2+0,IF(AND(L14="VOLADO",M14="i"),X14*G14+Y14,0))</f>
        <v>3.55260935637755</v>
      </c>
      <c r="AC14" s="34">
        <f>IF(L14="APOYADA",X14*G14/2+0,IF(AND(L14="VOLADO",M14="j"),X14*G14+Y14,0))</f>
        <v>3.55260935637755</v>
      </c>
      <c r="AD14" s="67">
        <f>IF(L14="APOYADA",X14*G14^2/8+Z14,0)</f>
        <v>3.84303517126142</v>
      </c>
      <c r="AE14" s="67">
        <f>IF(L14="APOYADA",DATOS!$C$52*AD14,IF(L14="VOLADO",X14*G14^2/2+Z14,0))</f>
        <v>2.56330445923136</v>
      </c>
      <c r="AF14" s="67">
        <f>IF(L14="APOYADA",X14*G14/2+AA14,IF(L14="VOLADO",X14*G14+AA14,0))</f>
        <v>3.55260935637755</v>
      </c>
      <c r="AG14" s="41">
        <f>O14-DATOS!$C$18-INDEX(TABLAS!$C$52:$C$58,MATCH(DATOS!$C$95,TABLAS!$B$52:$B$58,0))-INDEX(TABLAS!$C$52:$C$58,MATCH(DATOS!$C$94,TABLAS!$B$52:$B$58,0))/2</f>
        <v>21.575</v>
      </c>
      <c r="AH14" s="41">
        <f>IF(OR(L14="BORDE DE VOLADO",L14="SIN APOYO"),0,IF(AD14&lt;=0,DATOS!$C$71*N14*AG14,IF((1-2*AD14*1E5/(DATOS!$C$45*N14*AG14^2*DATOS!$C$38))&lt;0,-1,IF((1-SQRT((1-2*AD14*1E5/(DATOS!$C$45*N14*AG14^2*DATOS!$C$38))))*DATOS!$C$38*N14*AG14/DATOS!$C$32&gt;DATOS!$C$70*N14*AG14,-1,MAX(DATOS!$C$71*N14*AG14,(1-SQRT((1-2*AD14*1E5/(DATOS!$C$45*N14*AG14^2*DATOS!$C$38))))*DATOS!$C$38*N14*AG14/DATOS!$C$32)))))</f>
        <v>5.70677624112497</v>
      </c>
      <c r="AI14" s="39">
        <f>IF(AH14&lt;0,0,IF(AND(AH14&gt;=0,CEILING(AH14/INDEX(TABLAS!$D$52:$D$58,MIN(MATCH(DATOS!$C$94,TABLAS!$B$52:$B$58,0)+0,7)),1)&lt;=MIN(99,INT((AZ14+DATOS!$C$24)/(INDEX(TABLAS!$C$52:$C$58,MIN(MATCH(DATOS!$C$94,TABLAS!$B$52:$B$58,0)+0,7))+DATOS!$C$24)))),INDEX(TABLAS!$B$52:$B$58,MIN(MATCH(DATOS!$C$94,TABLAS!$B$52:$B$58,0)+0,7)),IF(AND(AH14&gt;=0,CEILING(AH14/INDEX(TABLAS!$D$52:$D$58,MIN(MATCH(DATOS!$C$94,TABLAS!$B$52:$B$58,0)+1,7)),1)&lt;=MIN(99,INT((AZ14+DATOS!$C$24)/(INDEX(TABLAS!$C$52:$C$58,MIN(MATCH(DATOS!$C$94,TABLAS!$B$52:$B$58,0)+1,7))+DATOS!$C$24)))),INDEX(TABLAS!$B$52:$B$58,MIN(MATCH(DATOS!$C$94,TABLAS!$B$52:$B$58,0)+1,7)),IF(AND(AH14&gt;=0,CEILING(AH14/INDEX(TABLAS!$D$52:$D$58,MIN(MATCH(DATOS!$C$94,TABLAS!$B$52:$B$58,0)+2,7)),1)&lt;=MIN(99,INT((AZ14+DATOS!$C$24)/(INDEX(TABLAS!$C$52:$C$58,MIN(MATCH(DATOS!$C$94,TABLAS!$B$52:$B$58,0)+2,7))+DATOS!$C$24)))),INDEX(TABLAS!$B$52:$B$58,MIN(MATCH(DATOS!$C$94,TABLAS!$B$52:$B$58,0)+2,7)),IF(AND(AH14&gt;=0,CEILING(AH14/INDEX(TABLAS!$D$52:$D$58,MIN(MATCH(DATOS!$C$94,TABLAS!$B$52:$B$58,0)+3,7)),1)&lt;=MIN(99,INT((AZ14+DATOS!$C$24)/(INDEX(TABLAS!$C$52:$C$58,MIN(MATCH(DATOS!$C$94,TABLAS!$B$52:$B$58,0)+3,7))+DATOS!$C$24)))),INDEX(TABLAS!$B$52:$B$58,MIN(MATCH(DATOS!$C$94,TABLAS!$B$52:$B$58,0)+3,7)),IF(AND(AH14&gt;=0,CEILING(AH14/INDEX(TABLAS!$D$52:$D$58,MIN(MATCH(DATOS!$C$94,TABLAS!$B$52:$B$58,0)+4,7)),1)&lt;=MIN(99,INT((AZ14+DATOS!$C$24)/(INDEX(TABLAS!$C$52:$C$58,MIN(MATCH(DATOS!$C$94,TABLAS!$B$52:$B$58,0)+4,7))+DATOS!$C$24)))),INDEX(TABLAS!$B$52:$B$58,MIN(MATCH(DATOS!$C$94,TABLAS!$B$52:$B$58,0)+4,7)),INDEX(TABLAS!$B$52:$B$58,7)))))))</f>
        <v>8</v>
      </c>
      <c r="AJ14" s="55">
        <f>IF(AH14&lt;=0,0,MAX(DATOS!$C$96,CEILING(AH14/INDEX(TABLAS!$D$52:$D$58,MATCH(IF(AI14=0,8,AI14),TABLAS!$B$52:$B$58,0)),1)))</f>
        <v>2</v>
      </c>
      <c r="AK14" s="34">
        <f>IF(AJ14=0,0,DATOS!$C$45*AJ14*INDEX(TABLAS!$D$52:$D$58,MATCH(AI14,TABLAS!$B$52:$B$58,0))*DATOS!$C$32*((O14-DATOS!$C$18-INDEX(TABLAS!$C$52:$C$58,MATCH(DATOS!$C$95,TABLAS!$B$52:$B$58,0))-INDEX(TABLAS!$C$52:$C$58,MATCH(AI14,TABLAS!$B$52:$B$58,0))/2)-AJ14*INDEX(TABLAS!$D$52:$D$58,MATCH(AI14,TABLAS!$B$52:$B$58,0))*DATOS!$C$32/(DATOS!$C$38*N14)/2)/1E5)</f>
        <v>5.46556354729412</v>
      </c>
      <c r="AL14" s="59">
        <f>IF(AH14&lt;0,9.99,IF(AK14&gt;0,AD14/AK14,0))</f>
        <v>0.703136124574751</v>
      </c>
      <c r="AM14" s="41">
        <f>IF(OR(L14="BORDE DE VOLADO",L14="SIN APOYO"),0,IF(AE14&lt;=0,DATOS!$C$71*N14*AG14,IF((1-2*AE14*1E5/(DATOS!$C$45*N14*AG14^2*DATOS!$C$38))&lt;0,-1,IF((1-SQRT((1-2*AE14*1E5/(DATOS!$C$45*N14*AG14^2*DATOS!$C$38))))*DATOS!$C$38*N14*AG14/DATOS!$C$32&gt;DATOS!$C$70*N14*AG14,-1,MAX(DATOS!$C$71*N14*AG14,(1-SQRT((1-2*AE14*1E5/(DATOS!$C$45*N14*AG14^2*DATOS!$C$38))))*DATOS!$C$38*N14*AG14/DATOS!$C$32)))))</f>
        <v>3.52185256061254</v>
      </c>
      <c r="AN14" s="39">
        <f>IF(AM14&lt;0,0,IF(AND(AM14&gt;=0,CEILING(AM14/INDEX(TABLAS!$D$52:$D$58,MIN(MATCH(DATOS!$C$94,TABLAS!$B$52:$B$58,0)+0,7)),1)&lt;=MIN(99,INT((AZ14+DATOS!$C$24)/(INDEX(TABLAS!$C$52:$C$58,MIN(MATCH(DATOS!$C$94,TABLAS!$B$52:$B$58,0)+0,7))+DATOS!$C$24)))),INDEX(TABLAS!$B$52:$B$58,MIN(MATCH(DATOS!$C$94,TABLAS!$B$52:$B$58,0)+0,7)),IF(AND(AM14&gt;=0,CEILING(AM14/INDEX(TABLAS!$D$52:$D$58,MIN(MATCH(DATOS!$C$94,TABLAS!$B$52:$B$58,0)+1,7)),1)&lt;=MIN(99,INT((AZ14+DATOS!$C$24)/(INDEX(TABLAS!$C$52:$C$58,MIN(MATCH(DATOS!$C$94,TABLAS!$B$52:$B$58,0)+1,7))+DATOS!$C$24)))),INDEX(TABLAS!$B$52:$B$58,MIN(MATCH(DATOS!$C$94,TABLAS!$B$52:$B$58,0)+1,7)),IF(AND(AM14&gt;=0,CEILING(AM14/INDEX(TABLAS!$D$52:$D$58,MIN(MATCH(DATOS!$C$94,TABLAS!$B$52:$B$58,0)+2,7)),1)&lt;=MIN(99,INT((AZ14+DATOS!$C$24)/(INDEX(TABLAS!$C$52:$C$58,MIN(MATCH(DATOS!$C$94,TABLAS!$B$52:$B$58,0)+2,7))+DATOS!$C$24)))),INDEX(TABLAS!$B$52:$B$58,MIN(MATCH(DATOS!$C$94,TABLAS!$B$52:$B$58,0)+2,7)),IF(AND(AM14&gt;=0,CEILING(AM14/INDEX(TABLAS!$D$52:$D$58,MIN(MATCH(DATOS!$C$94,TABLAS!$B$52:$B$58,0)+3,7)),1)&lt;=MIN(99,INT((AZ14+DATOS!$C$24)/(INDEX(TABLAS!$C$52:$C$58,MIN(MATCH(DATOS!$C$94,TABLAS!$B$52:$B$58,0)+3,7))+DATOS!$C$24)))),INDEX(TABLAS!$B$52:$B$58,MIN(MATCH(DATOS!$C$94,TABLAS!$B$52:$B$58,0)+3,7)),IF(AND(AM14&gt;=0,CEILING(AM14/INDEX(TABLAS!$D$52:$D$58,MIN(MATCH(DATOS!$C$94,TABLAS!$B$52:$B$58,0)+4,7)),1)&lt;=MIN(99,INT((AZ14+DATOS!$C$24)/(INDEX(TABLAS!$C$52:$C$58,MIN(MATCH(DATOS!$C$94,TABLAS!$B$52:$B$58,0)+4,7))+DATOS!$C$24)))),INDEX(TABLAS!$B$52:$B$58,MIN(MATCH(DATOS!$C$94,TABLAS!$B$52:$B$58,0)+4,7)),INDEX(TABLAS!$B$52:$B$58,7)))))))</f>
        <v>4</v>
      </c>
      <c r="AO14" s="55">
        <f>IF(AM14&lt;=0,0,MAX(DATOS!$C$96,CEILING(AM14/INDEX(TABLAS!$D$52:$D$58,MATCH(IF(AN14=0,8,AN14),TABLAS!$B$52:$B$58,0)),1)))</f>
        <v>3</v>
      </c>
      <c r="AP14" s="34">
        <f>IF(AO14=0,0,DATOS!$C$45*AO14*INDEX(TABLAS!$D$52:$D$58,MATCH(AN14,TABLAS!$B$52:$B$58,0))*DATOS!$C$32*((O14-DATOS!$C$18-INDEX(TABLAS!$C$52:$C$58,MATCH(DATOS!$C$95,TABLAS!$B$52:$B$58,0))-INDEX(TABLAS!$C$52:$C$58,MATCH(AN14,TABLAS!$B$52:$B$58,0))/2)-AO14*INDEX(TABLAS!$D$52:$D$58,MATCH(AN14,TABLAS!$B$52:$B$58,0))*DATOS!$C$32/(DATOS!$C$38*N14)/2)/1E5)</f>
        <v>2.74568622670588</v>
      </c>
      <c r="AQ14" s="59">
        <f>IF(AM14&lt;0,9.99,IF(AP14&gt;0,AE14/AP14,0))</f>
        <v>0.933575160300334</v>
      </c>
      <c r="AR14" s="34">
        <f>IF(AO14=0,0,DATOS!$C$46*IF((AO14*INDEX(TABLAS!$D$52:$D$58,MATCH(AN14,TABLAS!$B$52:$B$58,0))/(N14*AG14))&lt;0.015,0.2+20*(AO14*INDEX(TABLAS!$D$52:$D$58,MATCH(AN14,TABLAS!$B$52:$B$58,0))/(N14*AG14)),0.5)*SQRT(DATOS!$C$31)*N14*AG14/1000)</f>
        <v>1.67116492222211</v>
      </c>
      <c r="AS14" s="68">
        <f>IF(AF14=0,0,INT(MIN(IF(AF14&gt;AR14,DATOS!$C$46*2*INDEX(TABLAS!$D$52:$D$58,MATCH(DATOS!$C$95,TABLAS!$B$52:$B$58,0))*DATOS!$C$32*AG14/((AF14-AR14)*1000),999),AG14/2,DATOS!$C$97,2*INDEX(TABLAS!$D$52:$D$58,MATCH(DATOS!$C$95,TABLAS!$B$52:$B$58,0))*DATOS!$C$32/(MAX(0.2*SQRT(DATOS!$C$31),3.5)*N14))/2.5)*2.5)</f>
        <v>10</v>
      </c>
      <c r="AT14" s="49" t="str">
        <f>IF(AF14=0,"—",IF(AF14&gt;AR14+DATOS!$C$46*2.12*SQRT(DATOS!$C$31)*N14*AG14/1000,"SECCIÓN INSUFICIENTE","E No. "&amp;TEXT(DATOS!$C$95,"0.0")&amp;" @ "&amp;TEXT(AS14,"0.0")&amp;" cm"))</f>
        <v>E No. 2.5 @ 10.0 cm</v>
      </c>
      <c r="AU14" s="68">
        <f>IF(L14="APOYADA",G14*100/16,IF(L14="VOLADO",G14*100/8,0))</f>
        <v>27.04375</v>
      </c>
      <c r="AV14" s="68">
        <f>SQRT(MAX(AD14,AE14)*1E5/(DATOS!$C$45*N14*DATOS!$C$38*(DATOS!$C$70*DATOS!$C$32/DATOS!$C$38)*(1-(DATOS!$C$70*DATOS!$C$32/DATOS!$C$38)/2)))+(O14-AG14)</f>
        <v>24.3933138983691</v>
      </c>
      <c r="AW14" s="56">
        <f>IF(OR(L14="BORDE DE VOLADO",L14="SIN APOYO"),0,CEILING(MAX(AU14,AV14,DATOS!$C$15),5))</f>
        <v>30</v>
      </c>
      <c r="AX14" s="69" t="str">
        <f>IF(L14="BORDE DE VOLADO","BORDE DE VOLADO — armado de orilla",IF(L14="SIN APOYO","SIN APOYO — REVISAR",IF(AND(AL14&lt;=1,AQ14&lt;=1,IF(AJ14=0,TRUE,AJ14&lt;=INT((AZ14+DATOS!$C$24)/(INDEX(TABLAS!$C$52:$C$58,MATCH(MAX(AI14,2),TABLAS!$B$52:$B$58,0))+DATOS!$C$24))),IF(AO14=0,TRUE,AO14&lt;=INT((AZ14+DATOS!$C$24)/(INDEX(TABLAS!$C$52:$C$58,MATCH(MAX(AN14,2),TABLAS!$B$52:$B$58,0))+DATOS!$C$24))),AT14&lt;&gt;"SECCIÓN INSUFICIENTE",O14&gt;=AU14),"CUMPLE"&amp;IF(L14="VOLADO"," (en VOLADO)",""),"NO CUMPLE: "&amp;IF(OR(AH14&lt;0,AM14&lt;0),"sección insuficiente en flexión ",IF(OR(AL14&gt;1,AQ14&gt;1),"flexión ",""))&amp;IF(NOT(AND(IF(AJ14=0,TRUE,AJ14&lt;=INT((AZ14+DATOS!$C$24)/(INDEX(TABLAS!$C$52:$C$58,MATCH(MAX(AI14,2),TABLAS!$B$52:$B$58,0))+DATOS!$C$24))),IF(AO14=0,TRUE,AO14&lt;=INT((AZ14+DATOS!$C$24)/(INDEX(TABLAS!$C$52:$C$58,MATCH(MAX(AN14,2),TABLAS!$B$52:$B$58,0))+DATOS!$C$24))))),"no caben ","")&amp;IF(AT14="SECCIÓN INSUFICIENTE","cortante ","")&amp;IF(O14&lt;AU14,"deflexión ","")&amp;"→ h ≥ "&amp;TEXT(AW14,"0")&amp;" cm")))</f>
        <v>NO CUMPLE: deflexión → h ≥ 30 cm</v>
      </c>
      <c r="AY14" s="61" t="inlineStr">
        <is>
          <t>Extremo j en castillo propuesto C4. Muro de planta alta encima (4.33 m).</t>
        </is>
      </c>
      <c r="AZ14" s="41">
        <f>N14-2*DATOS!$C$18-2*INDEX(TABLAS!$C$52:$C$58,MATCH(DATOS!$C$95,TABLAS!$B$52:$B$58,0))</f>
        <v>9.42</v>
      </c>
    </row>
    <row r="15" ht="30" customHeight="1">
      <c r="B15" s="57" t="inlineStr">
        <is>
          <t>NP-07</t>
        </is>
      </c>
      <c r="C15" s="50" t="inlineStr">
        <is>
          <t>N+3.00</t>
        </is>
      </c>
      <c r="D15" s="49" t="inlineStr">
        <is>
          <t>y = 8.910</t>
        </is>
      </c>
      <c r="E15" s="50" t="inlineStr">
        <is>
          <t>(5.441, 8.910)</t>
        </is>
      </c>
      <c r="F15" s="50" t="inlineStr">
        <is>
          <t>(7.350, 8.910)</t>
        </is>
      </c>
      <c r="G15" s="53" t="n">
        <v>1.909</v>
      </c>
      <c r="H15" s="50" t="str">
        <f>IF(APOYOS!$C$23="SÍ","FIRME","LIBRE")</f>
        <v>FIRME</v>
      </c>
      <c r="I15" s="50" t="inlineStr">
        <is>
          <t>LIBRE</t>
        </is>
      </c>
      <c r="J15" s="50" t="inlineStr">
        <is>
          <t>C7</t>
        </is>
      </c>
      <c r="K15" s="50" t="inlineStr">
        <is>
          <t>—</t>
        </is>
      </c>
      <c r="L15" s="57" t="str">
        <f>IF(AND(OR(H15="FIRME",H15="NERVADURA",H15="PUNTA"),OR(I15="FIRME",I15="NERVADURA",I15="PUNTA")),"APOYADA",IF(OR(OR(H15="FIRME",H15="NERVADURA",H15="PUNTA"),OR(I15="FIRME",I15="NERVADURA",I15="PUNTA")),"VOLADO","SIN APOYO"))</f>
        <v>VOLADO</v>
      </c>
      <c r="M15" s="50" t="str">
        <f>IF(L15="VOLADO",IF(OR(H15="FIRME",H15="NERVADURA",H15="PUNTA"),"i","j"),"—")</f>
        <v>i</v>
      </c>
      <c r="N15" s="54">
        <f>DATOS!$C$17</f>
        <v>15</v>
      </c>
      <c r="O15" s="54">
        <f>DATOS!$C$15</f>
        <v>25</v>
      </c>
      <c r="P15" s="41">
        <f>SUMIFS(TRIB!$E$6:$E$255,TRIB!$B$6:$B$255,B15)</f>
        <v>0.8476</v>
      </c>
      <c r="Q15" s="34">
        <f>SUMIFS(TRIB!$G$6:$G$255,TRIB!$B$6:$B$255,B15)/G15</f>
        <v>0.3653140505233</v>
      </c>
      <c r="R15" s="66" t="n">
        <v>0</v>
      </c>
      <c r="S15" s="34">
        <f>DATOS!$C$43*R15*DATOS!$C$89/G15</f>
        <v>0</v>
      </c>
      <c r="T15" s="58" t="n">
        <v>189.4</v>
      </c>
      <c r="U15" s="58" t="n">
        <v>34.1</v>
      </c>
      <c r="V15" s="34">
        <f>(DATOS!$C$43*T15+DATOS!$C$44*U15)/1000</f>
        <v>0.29737</v>
      </c>
      <c r="W15" s="34">
        <f>DATOS!$C$43*(N15/100*O15/100*DATOS!$C$35-N15/100*DATOS!$C$58/1000)</f>
        <v>0.0694836734693878</v>
      </c>
      <c r="X15" s="67">
        <f>Q15+S15+V15+W15</f>
        <v>0.732167723992688</v>
      </c>
      <c r="Y15" s="34">
        <f>0</f>
        <v>0</v>
      </c>
      <c r="Z15" s="34">
        <f>0</f>
        <v>0</v>
      </c>
      <c r="AA15" s="34">
        <f>0</f>
        <v>0</v>
      </c>
      <c r="AB15" s="34">
        <f>IF(L15="APOYADA",X15*G15/2+0,IF(AND(L15="VOLADO",M15="i"),X15*G15+Y15,0))</f>
        <v>1.39770818510204</v>
      </c>
      <c r="AC15" s="34">
        <f>IF(L15="APOYADA",X15*G15/2+0,IF(AND(L15="VOLADO",M15="j"),X15*G15+Y15,0))</f>
        <v>0</v>
      </c>
      <c r="AD15" s="67">
        <f>IF(L15="APOYADA",X15*G15^2/8+Z15,0)</f>
        <v>0</v>
      </c>
      <c r="AE15" s="67">
        <f>IF(L15="APOYADA",DATOS!$C$52*AD15,IF(L15="VOLADO",X15*G15^2/2+Z15,0))</f>
        <v>1.3341124626799</v>
      </c>
      <c r="AF15" s="67">
        <f>IF(L15="APOYADA",X15*G15/2+AA15,IF(L15="VOLADO",X15*G15+AA15,0))</f>
        <v>1.39770818510204</v>
      </c>
      <c r="AG15" s="41">
        <f>O15-DATOS!$C$18-INDEX(TABLAS!$C$52:$C$58,MATCH(DATOS!$C$95,TABLAS!$B$52:$B$58,0))-INDEX(TABLAS!$C$52:$C$58,MATCH(DATOS!$C$94,TABLAS!$B$52:$B$58,0))/2</f>
        <v>21.575</v>
      </c>
      <c r="AH15" s="41">
        <f>IF(OR(L15="BORDE DE VOLADO",L15="SIN APOYO"),0,IF(AD15&lt;=0,DATOS!$C$71*N15*AG15,IF((1-2*AD15*1E5/(DATOS!$C$45*N15*AG15^2*DATOS!$C$38))&lt;0,-1,IF((1-SQRT((1-2*AD15*1E5/(DATOS!$C$45*N15*AG15^2*DATOS!$C$38))))*DATOS!$C$38*N15*AG15/DATOS!$C$32&gt;DATOS!$C$70*N15*AG15,-1,MAX(DATOS!$C$71*N15*AG15,(1-SQRT((1-2*AD15*1E5/(DATOS!$C$45*N15*AG15^2*DATOS!$C$38))))*DATOS!$C$38*N15*AG15/DATOS!$C$32)))))</f>
        <v>0.85282675647666</v>
      </c>
      <c r="AI15" s="39">
        <f>IF(AH15&lt;0,0,IF(AND(AH15&gt;=0,CEILING(AH15/INDEX(TABLAS!$D$52:$D$58,MIN(MATCH(DATOS!$C$94,TABLAS!$B$52:$B$58,0)+0,7)),1)&lt;=MIN(99,INT((AZ15+DATOS!$C$24)/(INDEX(TABLAS!$C$52:$C$58,MIN(MATCH(DATOS!$C$94,TABLAS!$B$52:$B$58,0)+0,7))+DATOS!$C$24)))),INDEX(TABLAS!$B$52:$B$58,MIN(MATCH(DATOS!$C$94,TABLAS!$B$52:$B$58,0)+0,7)),IF(AND(AH15&gt;=0,CEILING(AH15/INDEX(TABLAS!$D$52:$D$58,MIN(MATCH(DATOS!$C$94,TABLAS!$B$52:$B$58,0)+1,7)),1)&lt;=MIN(99,INT((AZ15+DATOS!$C$24)/(INDEX(TABLAS!$C$52:$C$58,MIN(MATCH(DATOS!$C$94,TABLAS!$B$52:$B$58,0)+1,7))+DATOS!$C$24)))),INDEX(TABLAS!$B$52:$B$58,MIN(MATCH(DATOS!$C$94,TABLAS!$B$52:$B$58,0)+1,7)),IF(AND(AH15&gt;=0,CEILING(AH15/INDEX(TABLAS!$D$52:$D$58,MIN(MATCH(DATOS!$C$94,TABLAS!$B$52:$B$58,0)+2,7)),1)&lt;=MIN(99,INT((AZ15+DATOS!$C$24)/(INDEX(TABLAS!$C$52:$C$58,MIN(MATCH(DATOS!$C$94,TABLAS!$B$52:$B$58,0)+2,7))+DATOS!$C$24)))),INDEX(TABLAS!$B$52:$B$58,MIN(MATCH(DATOS!$C$94,TABLAS!$B$52:$B$58,0)+2,7)),IF(AND(AH15&gt;=0,CEILING(AH15/INDEX(TABLAS!$D$52:$D$58,MIN(MATCH(DATOS!$C$94,TABLAS!$B$52:$B$58,0)+3,7)),1)&lt;=MIN(99,INT((AZ15+DATOS!$C$24)/(INDEX(TABLAS!$C$52:$C$58,MIN(MATCH(DATOS!$C$94,TABLAS!$B$52:$B$58,0)+3,7))+DATOS!$C$24)))),INDEX(TABLAS!$B$52:$B$58,MIN(MATCH(DATOS!$C$94,TABLAS!$B$52:$B$58,0)+3,7)),IF(AND(AH15&gt;=0,CEILING(AH15/INDEX(TABLAS!$D$52:$D$58,MIN(MATCH(DATOS!$C$94,TABLAS!$B$52:$B$58,0)+4,7)),1)&lt;=MIN(99,INT((AZ15+DATOS!$C$24)/(INDEX(TABLAS!$C$52:$C$58,MIN(MATCH(DATOS!$C$94,TABLAS!$B$52:$B$58,0)+4,7))+DATOS!$C$24)))),INDEX(TABLAS!$B$52:$B$58,MIN(MATCH(DATOS!$C$94,TABLAS!$B$52:$B$58,0)+4,7)),INDEX(TABLAS!$B$52:$B$58,7)))))))</f>
        <v>4</v>
      </c>
      <c r="AJ15" s="55">
        <f>IF(AH15&lt;=0,0,MAX(DATOS!$C$96,CEILING(AH15/INDEX(TABLAS!$D$52:$D$58,MATCH(IF(AI15=0,8,AI15),TABLAS!$B$52:$B$58,0)),1)))</f>
        <v>2</v>
      </c>
      <c r="AK15" s="34">
        <f>IF(AJ15=0,0,DATOS!$C$45*AJ15*INDEX(TABLAS!$D$52:$D$58,MATCH(AI15,TABLAS!$B$52:$B$58,0))*DATOS!$C$32*((O15-DATOS!$C$18-INDEX(TABLAS!$C$52:$C$58,MATCH(DATOS!$C$95,TABLAS!$B$52:$B$58,0))-INDEX(TABLAS!$C$52:$C$58,MATCH(AI15,TABLAS!$B$52:$B$58,0))/2)-AJ15*INDEX(TABLAS!$D$52:$D$58,MATCH(AI15,TABLAS!$B$52:$B$58,0))*DATOS!$C$32/(DATOS!$C$38*N15)/2)/1E5)</f>
        <v>1.91079128964706</v>
      </c>
      <c r="AL15" s="59">
        <f>IF(AH15&lt;0,9.99,IF(AK15&gt;0,AD15/AK15,0))</f>
        <v>0</v>
      </c>
      <c r="AM15" s="41">
        <f>IF(OR(L15="BORDE DE VOLADO",L15="SIN APOYO"),0,IF(AE15&lt;=0,DATOS!$C$71*N15*AG15,IF((1-2*AE15*1E5/(DATOS!$C$45*N15*AG15^2*DATOS!$C$38))&lt;0,-1,IF((1-SQRT((1-2*AE15*1E5/(DATOS!$C$45*N15*AG15^2*DATOS!$C$38))))*DATOS!$C$38*N15*AG15/DATOS!$C$32&gt;DATOS!$C$70*N15*AG15,-1,MAX(DATOS!$C$71*N15*AG15,(1-SQRT((1-2*AE15*1E5/(DATOS!$C$45*N15*AG15^2*DATOS!$C$38))))*DATOS!$C$38*N15*AG15/DATOS!$C$32)))))</f>
        <v>1.72694382104787</v>
      </c>
      <c r="AN15" s="39">
        <f>IF(AM15&lt;0,0,IF(AND(AM15&gt;=0,CEILING(AM15/INDEX(TABLAS!$D$52:$D$58,MIN(MATCH(DATOS!$C$94,TABLAS!$B$52:$B$58,0)+0,7)),1)&lt;=MIN(99,INT((AZ15+DATOS!$C$24)/(INDEX(TABLAS!$C$52:$C$58,MIN(MATCH(DATOS!$C$94,TABLAS!$B$52:$B$58,0)+0,7))+DATOS!$C$24)))),INDEX(TABLAS!$B$52:$B$58,MIN(MATCH(DATOS!$C$94,TABLAS!$B$52:$B$58,0)+0,7)),IF(AND(AM15&gt;=0,CEILING(AM15/INDEX(TABLAS!$D$52:$D$58,MIN(MATCH(DATOS!$C$94,TABLAS!$B$52:$B$58,0)+1,7)),1)&lt;=MIN(99,INT((AZ15+DATOS!$C$24)/(INDEX(TABLAS!$C$52:$C$58,MIN(MATCH(DATOS!$C$94,TABLAS!$B$52:$B$58,0)+1,7))+DATOS!$C$24)))),INDEX(TABLAS!$B$52:$B$58,MIN(MATCH(DATOS!$C$94,TABLAS!$B$52:$B$58,0)+1,7)),IF(AND(AM15&gt;=0,CEILING(AM15/INDEX(TABLAS!$D$52:$D$58,MIN(MATCH(DATOS!$C$94,TABLAS!$B$52:$B$58,0)+2,7)),1)&lt;=MIN(99,INT((AZ15+DATOS!$C$24)/(INDEX(TABLAS!$C$52:$C$58,MIN(MATCH(DATOS!$C$94,TABLAS!$B$52:$B$58,0)+2,7))+DATOS!$C$24)))),INDEX(TABLAS!$B$52:$B$58,MIN(MATCH(DATOS!$C$94,TABLAS!$B$52:$B$58,0)+2,7)),IF(AND(AM15&gt;=0,CEILING(AM15/INDEX(TABLAS!$D$52:$D$58,MIN(MATCH(DATOS!$C$94,TABLAS!$B$52:$B$58,0)+3,7)),1)&lt;=MIN(99,INT((AZ15+DATOS!$C$24)/(INDEX(TABLAS!$C$52:$C$58,MIN(MATCH(DATOS!$C$94,TABLAS!$B$52:$B$58,0)+3,7))+DATOS!$C$24)))),INDEX(TABLAS!$B$52:$B$58,MIN(MATCH(DATOS!$C$94,TABLAS!$B$52:$B$58,0)+3,7)),IF(AND(AM15&gt;=0,CEILING(AM15/INDEX(TABLAS!$D$52:$D$58,MIN(MATCH(DATOS!$C$94,TABLAS!$B$52:$B$58,0)+4,7)),1)&lt;=MIN(99,INT((AZ15+DATOS!$C$24)/(INDEX(TABLAS!$C$52:$C$58,MIN(MATCH(DATOS!$C$94,TABLAS!$B$52:$B$58,0)+4,7))+DATOS!$C$24)))),INDEX(TABLAS!$B$52:$B$58,MIN(MATCH(DATOS!$C$94,TABLAS!$B$52:$B$58,0)+4,7)),INDEX(TABLAS!$B$52:$B$58,7)))))))</f>
        <v>4</v>
      </c>
      <c r="AO15" s="55">
        <f>IF(AM15&lt;=0,0,MAX(DATOS!$C$96,CEILING(AM15/INDEX(TABLAS!$D$52:$D$58,MATCH(IF(AN15=0,8,AN15),TABLAS!$B$52:$B$58,0)),1)))</f>
        <v>2</v>
      </c>
      <c r="AP15" s="34">
        <f>IF(AO15=0,0,DATOS!$C$45*AO15*INDEX(TABLAS!$D$52:$D$58,MATCH(AN15,TABLAS!$B$52:$B$58,0))*DATOS!$C$32*((O15-DATOS!$C$18-INDEX(TABLAS!$C$52:$C$58,MATCH(DATOS!$C$95,TABLAS!$B$52:$B$58,0))-INDEX(TABLAS!$C$52:$C$58,MATCH(AN15,TABLAS!$B$52:$B$58,0))/2)-AO15*INDEX(TABLAS!$D$52:$D$58,MATCH(AN15,TABLAS!$B$52:$B$58,0))*DATOS!$C$32/(DATOS!$C$38*N15)/2)/1E5)</f>
        <v>1.91079128964706</v>
      </c>
      <c r="AQ15" s="59">
        <f>IF(AM15&lt;0,9.99,IF(AP15&gt;0,AE15/AP15,0))</f>
        <v>0.698198945069674</v>
      </c>
      <c r="AR15" s="34">
        <f>IF(AO15=0,0,DATOS!$C$46*IF((AO15*INDEX(TABLAS!$D$52:$D$58,MATCH(AN15,TABLAS!$B$52:$B$58,0))/(N15*AG15))&lt;0.015,0.2+20*(AO15*INDEX(TABLAS!$D$52:$D$58,MATCH(AN15,TABLAS!$B$52:$B$58,0))/(N15*AG15)),0.5)*SQRT(DATOS!$C$31)*N15*AG15/1000)</f>
        <v>1.36995797509107</v>
      </c>
      <c r="AS15" s="68">
        <f>IF(AF15=0,0,INT(MIN(IF(AF15&gt;AR15,DATOS!$C$46*2*INDEX(TABLAS!$D$52:$D$58,MATCH(DATOS!$C$95,TABLAS!$B$52:$B$58,0))*DATOS!$C$32*AG15/((AF15-AR15)*1000),999),AG15/2,DATOS!$C$97,2*INDEX(TABLAS!$D$52:$D$58,MATCH(DATOS!$C$95,TABLAS!$B$52:$B$58,0))*DATOS!$C$32/(MAX(0.2*SQRT(DATOS!$C$31),3.5)*N15))/2.5)*2.5)</f>
        <v>10</v>
      </c>
      <c r="AT15" s="49" t="str">
        <f>IF(AF15=0,"—",IF(AF15&gt;AR15+DATOS!$C$46*2.12*SQRT(DATOS!$C$31)*N15*AG15/1000,"SECCIÓN INSUFICIENTE","E No. "&amp;TEXT(DATOS!$C$95,"0.0")&amp;" @ "&amp;TEXT(AS15,"0.0")&amp;" cm"))</f>
        <v>E No. 2.5 @ 10.0 cm</v>
      </c>
      <c r="AU15" s="68">
        <f>IF(L15="APOYADA",G15*100/16,IF(L15="VOLADO",G15*100/8,0))</f>
        <v>23.8625</v>
      </c>
      <c r="AV15" s="68">
        <f>SQRT(MAX(AD15,AE15)*1E5/(DATOS!$C$45*N15*DATOS!$C$38*(DATOS!$C$70*DATOS!$C$32/DATOS!$C$38)*(1-(DATOS!$C$70*DATOS!$C$32/DATOS!$C$38)/2)))+(O15-AG15)</f>
        <v>15.7794253753182</v>
      </c>
      <c r="AW15" s="56">
        <f>IF(OR(L15="BORDE DE VOLADO",L15="SIN APOYO"),0,CEILING(MAX(AU15,AV15,DATOS!$C$15),5))</f>
        <v>25</v>
      </c>
      <c r="AX15" s="69" t="str">
        <f>IF(L15="BORDE DE VOLADO","BORDE DE VOLADO — armado de orilla",IF(L15="SIN APOYO","SIN APOYO — REVISAR",IF(AND(AL15&lt;=1,AQ15&lt;=1,IF(AJ15=0,TRUE,AJ15&lt;=INT((AZ15+DATOS!$C$24)/(INDEX(TABLAS!$C$52:$C$58,MATCH(MAX(AI15,2),TABLAS!$B$52:$B$58,0))+DATOS!$C$24))),IF(AO15=0,TRUE,AO15&lt;=INT((AZ15+DATOS!$C$24)/(INDEX(TABLAS!$C$52:$C$58,MATCH(MAX(AN15,2),TABLAS!$B$52:$B$58,0))+DATOS!$C$24))),AT15&lt;&gt;"SECCIÓN INSUFICIENTE",O15&gt;=AU15),"CUMPLE"&amp;IF(L15="VOLADO"," (en VOLADO)",""),"NO CUMPLE: "&amp;IF(OR(AH15&lt;0,AM15&lt;0),"sección insuficiente en flexión ",IF(OR(AL15&gt;1,AQ15&gt;1),"flexión ",""))&amp;IF(NOT(AND(IF(AJ15=0,TRUE,AJ15&lt;=INT((AZ15+DATOS!$C$24)/(INDEX(TABLAS!$C$52:$C$58,MATCH(MAX(AI15,2),TABLAS!$B$52:$B$58,0))+DATOS!$C$24))),IF(AO15=0,TRUE,AO15&lt;=INT((AZ15+DATOS!$C$24)/(INDEX(TABLAS!$C$52:$C$58,MATCH(MAX(AN15,2),TABLAS!$B$52:$B$58,0))+DATOS!$C$24))))),"no caben ","")&amp;IF(AT15="SECCIÓN INSUFICIENTE","cortante ","")&amp;IF(O15&lt;AU15,"deflexión ","")&amp;"→ h ≥ "&amp;TEXT(AW15,"0")&amp;" cm")))</f>
        <v>CUMPLE (en VOLADO)</v>
      </c>
      <c r="AY15" s="61" t="inlineStr">
        <is>
          <t>Extremo i en castillo propuesto C7. Llegada de la escalera: revisar junto con el diseño de la escalera.</t>
        </is>
      </c>
      <c r="AZ15" s="41">
        <f>N15-2*DATOS!$C$18-2*INDEX(TABLAS!$C$52:$C$58,MATCH(DATOS!$C$95,TABLAS!$B$52:$B$58,0))</f>
        <v>9.42</v>
      </c>
    </row>
    <row r="16" ht="30" customHeight="1">
      <c r="B16" s="57" t="inlineStr">
        <is>
          <t>NP-08</t>
        </is>
      </c>
      <c r="C16" s="50" t="inlineStr">
        <is>
          <t>N+3.00</t>
        </is>
      </c>
      <c r="D16" s="49" t="inlineStr">
        <is>
          <t>Eje 8 (y = 9.950)</t>
        </is>
      </c>
      <c r="E16" s="50" t="inlineStr">
        <is>
          <t>(5.422, 9.950)</t>
        </is>
      </c>
      <c r="F16" s="50" t="inlineStr">
        <is>
          <t>(8.144, 9.950)</t>
        </is>
      </c>
      <c r="G16" s="53" t="n">
        <v>2.722</v>
      </c>
      <c r="H16" s="50" t="str">
        <f>IF(APOYOS!$C$22="SÍ","FIRME","LIBRE")</f>
        <v>FIRME</v>
      </c>
      <c r="I16" s="50" t="inlineStr">
        <is>
          <t>FIRME</t>
        </is>
      </c>
      <c r="J16" s="50" t="inlineStr">
        <is>
          <t>C6</t>
        </is>
      </c>
      <c r="K16" s="50" t="inlineStr">
        <is>
          <t>—</t>
        </is>
      </c>
      <c r="L16" s="57" t="str">
        <f>IF(AND(OR(H16="FIRME",H16="NERVADURA",H16="PUNTA"),OR(I16="FIRME",I16="NERVADURA",I16="PUNTA")),"APOYADA",IF(OR(OR(H16="FIRME",H16="NERVADURA",H16="PUNTA"),OR(I16="FIRME",I16="NERVADURA",I16="PUNTA")),"VOLADO","SIN APOYO"))</f>
        <v>APOYADA</v>
      </c>
      <c r="M16" s="50" t="str">
        <f>IF(L16="VOLADO",IF(OR(H16="FIRME",H16="NERVADURA",H16="PUNTA"),"i","j"),"—")</f>
        <v>—</v>
      </c>
      <c r="N16" s="54">
        <f>DATOS!$C$17</f>
        <v>15</v>
      </c>
      <c r="O16" s="54">
        <f>DATOS!$C$15</f>
        <v>25</v>
      </c>
      <c r="P16" s="41">
        <f>SUMIFS(TRIB!$E$6:$E$255,TRIB!$B$6:$B$255,B16)</f>
        <v>3.5757</v>
      </c>
      <c r="Q16" s="34">
        <f>SUMIFS(TRIB!$G$6:$G$255,TRIB!$B$6:$B$255,B16)/G16</f>
        <v>1.10008306092459</v>
      </c>
      <c r="R16" s="66" t="n">
        <v>2.722</v>
      </c>
      <c r="S16" s="34">
        <f>DATOS!$C$43*R16*DATOS!$C$89/G16</f>
        <v>1.233375</v>
      </c>
      <c r="T16" s="58" t="n">
        <v>0</v>
      </c>
      <c r="U16" s="58" t="n">
        <v>0</v>
      </c>
      <c r="V16" s="34">
        <f>(DATOS!$C$43*T16+DATOS!$C$44*U16)/1000</f>
        <v>0</v>
      </c>
      <c r="W16" s="34">
        <f>DATOS!$C$43*(N16/100*O16/100*DATOS!$C$35-N16/100*DATOS!$C$58/1000)</f>
        <v>0.0694836734693878</v>
      </c>
      <c r="X16" s="67">
        <f>Q16+S16+V16+W16</f>
        <v>2.40294173439398</v>
      </c>
      <c r="Y16" s="34">
        <f>TRANSFER!$F$15</f>
        <v>4.04602151836735</v>
      </c>
      <c r="Z16" s="34">
        <f>TRANSFER!$H$15</f>
        <v>2.27545158449865</v>
      </c>
      <c r="AA16" s="34">
        <f>TRANSFER!$I$15</f>
        <v>2.86580804093029</v>
      </c>
      <c r="AB16" s="34">
        <f>IF(L16="APOYADA",X16*G16/2+TRANSFER!$J$15,IF(AND(L16="VOLADO",M16="i"),X16*G16+Y16,0))</f>
        <v>4.45061717794726</v>
      </c>
      <c r="AC16" s="34">
        <f>IF(L16="APOYADA",X16*G16/2+TRANSFER!$K$15,IF(AND(L16="VOLADO",M16="j"),X16*G16+Y16,0))</f>
        <v>6.13621174144049</v>
      </c>
      <c r="AD16" s="67">
        <f>IF(L16="APOYADA",X16*G16^2/8+Z16,0)</f>
        <v>4.50096130269584</v>
      </c>
      <c r="AE16" s="67">
        <f>IF(L16="APOYADA",DATOS!$C$52*AD16,IF(L16="VOLADO",X16*G16^2/2+Z16,0))</f>
        <v>3.00214118889813</v>
      </c>
      <c r="AF16" s="67">
        <f>IF(L16="APOYADA",X16*G16/2+AA16,IF(L16="VOLADO",X16*G16+AA16,0))</f>
        <v>6.13621174144049</v>
      </c>
      <c r="AG16" s="41">
        <f>O16-DATOS!$C$18-INDEX(TABLAS!$C$52:$C$58,MATCH(DATOS!$C$95,TABLAS!$B$52:$B$58,0))-INDEX(TABLAS!$C$52:$C$58,MATCH(DATOS!$C$94,TABLAS!$B$52:$B$58,0))/2</f>
        <v>21.575</v>
      </c>
      <c r="AH16" s="41">
        <f>IF(OR(L16="BORDE DE VOLADO",L16="SIN APOYO"),0,IF(AD16&lt;=0,DATOS!$C$71*N16*AG16,IF((1-2*AD16*1E5/(DATOS!$C$45*N16*AG16^2*DATOS!$C$38))&lt;0,-1,IF((1-SQRT((1-2*AD16*1E5/(DATOS!$C$45*N16*AG16^2*DATOS!$C$38))))*DATOS!$C$38*N16*AG16/DATOS!$C$32&gt;DATOS!$C$70*N16*AG16,-1,MAX(DATOS!$C$71*N16*AG16,(1-SQRT((1-2*AD16*1E5/(DATOS!$C$45*N16*AG16^2*DATOS!$C$38))))*DATOS!$C$38*N16*AG16/DATOS!$C$32)))))</f>
        <v>-1</v>
      </c>
      <c r="AI16" s="39">
        <f>IF(AH16&lt;0,0,IF(AND(AH16&gt;=0,CEILING(AH16/INDEX(TABLAS!$D$52:$D$58,MIN(MATCH(DATOS!$C$94,TABLAS!$B$52:$B$58,0)+0,7)),1)&lt;=MIN(99,INT((AZ16+DATOS!$C$24)/(INDEX(TABLAS!$C$52:$C$58,MIN(MATCH(DATOS!$C$94,TABLAS!$B$52:$B$58,0)+0,7))+DATOS!$C$24)))),INDEX(TABLAS!$B$52:$B$58,MIN(MATCH(DATOS!$C$94,TABLAS!$B$52:$B$58,0)+0,7)),IF(AND(AH16&gt;=0,CEILING(AH16/INDEX(TABLAS!$D$52:$D$58,MIN(MATCH(DATOS!$C$94,TABLAS!$B$52:$B$58,0)+1,7)),1)&lt;=MIN(99,INT((AZ16+DATOS!$C$24)/(INDEX(TABLAS!$C$52:$C$58,MIN(MATCH(DATOS!$C$94,TABLAS!$B$52:$B$58,0)+1,7))+DATOS!$C$24)))),INDEX(TABLAS!$B$52:$B$58,MIN(MATCH(DATOS!$C$94,TABLAS!$B$52:$B$58,0)+1,7)),IF(AND(AH16&gt;=0,CEILING(AH16/INDEX(TABLAS!$D$52:$D$58,MIN(MATCH(DATOS!$C$94,TABLAS!$B$52:$B$58,0)+2,7)),1)&lt;=MIN(99,INT((AZ16+DATOS!$C$24)/(INDEX(TABLAS!$C$52:$C$58,MIN(MATCH(DATOS!$C$94,TABLAS!$B$52:$B$58,0)+2,7))+DATOS!$C$24)))),INDEX(TABLAS!$B$52:$B$58,MIN(MATCH(DATOS!$C$94,TABLAS!$B$52:$B$58,0)+2,7)),IF(AND(AH16&gt;=0,CEILING(AH16/INDEX(TABLAS!$D$52:$D$58,MIN(MATCH(DATOS!$C$94,TABLAS!$B$52:$B$58,0)+3,7)),1)&lt;=MIN(99,INT((AZ16+DATOS!$C$24)/(INDEX(TABLAS!$C$52:$C$58,MIN(MATCH(DATOS!$C$94,TABLAS!$B$52:$B$58,0)+3,7))+DATOS!$C$24)))),INDEX(TABLAS!$B$52:$B$58,MIN(MATCH(DATOS!$C$94,TABLAS!$B$52:$B$58,0)+3,7)),IF(AND(AH16&gt;=0,CEILING(AH16/INDEX(TABLAS!$D$52:$D$58,MIN(MATCH(DATOS!$C$94,TABLAS!$B$52:$B$58,0)+4,7)),1)&lt;=MIN(99,INT((AZ16+DATOS!$C$24)/(INDEX(TABLAS!$C$52:$C$58,MIN(MATCH(DATOS!$C$94,TABLAS!$B$52:$B$58,0)+4,7))+DATOS!$C$24)))),INDEX(TABLAS!$B$52:$B$58,MIN(MATCH(DATOS!$C$94,TABLAS!$B$52:$B$58,0)+4,7)),INDEX(TABLAS!$B$52:$B$58,7)))))))</f>
        <v>0</v>
      </c>
      <c r="AJ16" s="55">
        <f>IF(AH16&lt;=0,0,MAX(DATOS!$C$96,CEILING(AH16/INDEX(TABLAS!$D$52:$D$58,MATCH(IF(AI16=0,8,AI16),TABLAS!$B$52:$B$58,0)),1)))</f>
        <v>0</v>
      </c>
      <c r="AK16" s="34">
        <f>IF(AJ16=0,0,DATOS!$C$45*AJ16*INDEX(TABLAS!$D$52:$D$58,MATCH(AI16,TABLAS!$B$52:$B$58,0))*DATOS!$C$32*((O16-DATOS!$C$18-INDEX(TABLAS!$C$52:$C$58,MATCH(DATOS!$C$95,TABLAS!$B$52:$B$58,0))-INDEX(TABLAS!$C$52:$C$58,MATCH(AI16,TABLAS!$B$52:$B$58,0))/2)-AJ16*INDEX(TABLAS!$D$52:$D$58,MATCH(AI16,TABLAS!$B$52:$B$58,0))*DATOS!$C$32/(DATOS!$C$38*N16)/2)/1E5)</f>
        <v>0</v>
      </c>
      <c r="AL16" s="59">
        <f>IF(AH16&lt;0,9.99,IF(AK16&gt;0,AD16/AK16,0))</f>
        <v>9.99</v>
      </c>
      <c r="AM16" s="41">
        <f>IF(OR(L16="BORDE DE VOLADO",L16="SIN APOYO"),0,IF(AE16&lt;=0,DATOS!$C$71*N16*AG16,IF((1-2*AE16*1E5/(DATOS!$C$45*N16*AG16^2*DATOS!$C$38))&lt;0,-1,IF((1-SQRT((1-2*AE16*1E5/(DATOS!$C$45*N16*AG16^2*DATOS!$C$38))))*DATOS!$C$38*N16*AG16/DATOS!$C$32&gt;DATOS!$C$70*N16*AG16,-1,MAX(DATOS!$C$71*N16*AG16,(1-SQRT((1-2*AE16*1E5/(DATOS!$C$45*N16*AG16^2*DATOS!$C$38))))*DATOS!$C$38*N16*AG16/DATOS!$C$32)))))</f>
        <v>4.22673434673068</v>
      </c>
      <c r="AN16" s="39">
        <f>IF(AM16&lt;0,0,IF(AND(AM16&gt;=0,CEILING(AM16/INDEX(TABLAS!$D$52:$D$58,MIN(MATCH(DATOS!$C$94,TABLAS!$B$52:$B$58,0)+0,7)),1)&lt;=MIN(99,INT((AZ16+DATOS!$C$24)/(INDEX(TABLAS!$C$52:$C$58,MIN(MATCH(DATOS!$C$94,TABLAS!$B$52:$B$58,0)+0,7))+DATOS!$C$24)))),INDEX(TABLAS!$B$52:$B$58,MIN(MATCH(DATOS!$C$94,TABLAS!$B$52:$B$58,0)+0,7)),IF(AND(AM16&gt;=0,CEILING(AM16/INDEX(TABLAS!$D$52:$D$58,MIN(MATCH(DATOS!$C$94,TABLAS!$B$52:$B$58,0)+1,7)),1)&lt;=MIN(99,INT((AZ16+DATOS!$C$24)/(INDEX(TABLAS!$C$52:$C$58,MIN(MATCH(DATOS!$C$94,TABLAS!$B$52:$B$58,0)+1,7))+DATOS!$C$24)))),INDEX(TABLAS!$B$52:$B$58,MIN(MATCH(DATOS!$C$94,TABLAS!$B$52:$B$58,0)+1,7)),IF(AND(AM16&gt;=0,CEILING(AM16/INDEX(TABLAS!$D$52:$D$58,MIN(MATCH(DATOS!$C$94,TABLAS!$B$52:$B$58,0)+2,7)),1)&lt;=MIN(99,INT((AZ16+DATOS!$C$24)/(INDEX(TABLAS!$C$52:$C$58,MIN(MATCH(DATOS!$C$94,TABLAS!$B$52:$B$58,0)+2,7))+DATOS!$C$24)))),INDEX(TABLAS!$B$52:$B$58,MIN(MATCH(DATOS!$C$94,TABLAS!$B$52:$B$58,0)+2,7)),IF(AND(AM16&gt;=0,CEILING(AM16/INDEX(TABLAS!$D$52:$D$58,MIN(MATCH(DATOS!$C$94,TABLAS!$B$52:$B$58,0)+3,7)),1)&lt;=MIN(99,INT((AZ16+DATOS!$C$24)/(INDEX(TABLAS!$C$52:$C$58,MIN(MATCH(DATOS!$C$94,TABLAS!$B$52:$B$58,0)+3,7))+DATOS!$C$24)))),INDEX(TABLAS!$B$52:$B$58,MIN(MATCH(DATOS!$C$94,TABLAS!$B$52:$B$58,0)+3,7)),IF(AND(AM16&gt;=0,CEILING(AM16/INDEX(TABLAS!$D$52:$D$58,MIN(MATCH(DATOS!$C$94,TABLAS!$B$52:$B$58,0)+4,7)),1)&lt;=MIN(99,INT((AZ16+DATOS!$C$24)/(INDEX(TABLAS!$C$52:$C$58,MIN(MATCH(DATOS!$C$94,TABLAS!$B$52:$B$58,0)+4,7))+DATOS!$C$24)))),INDEX(TABLAS!$B$52:$B$58,MIN(MATCH(DATOS!$C$94,TABLAS!$B$52:$B$58,0)+4,7)),INDEX(TABLAS!$B$52:$B$58,7)))))))</f>
        <v>6</v>
      </c>
      <c r="AO16" s="55">
        <f>IF(AM16&lt;=0,0,MAX(DATOS!$C$96,CEILING(AM16/INDEX(TABLAS!$D$52:$D$58,MATCH(IF(AN16=0,8,AN16),TABLAS!$B$52:$B$58,0)),1)))</f>
        <v>2</v>
      </c>
      <c r="AP16" s="34">
        <f>IF(AO16=0,0,DATOS!$C$45*AO16*INDEX(TABLAS!$D$52:$D$58,MATCH(AN16,TABLAS!$B$52:$B$58,0))*DATOS!$C$32*((O16-DATOS!$C$18-INDEX(TABLAS!$C$52:$C$58,MATCH(DATOS!$C$95,TABLAS!$B$52:$B$58,0))-INDEX(TABLAS!$C$52:$C$58,MATCH(AN16,TABLAS!$B$52:$B$58,0))/2)-AO16*INDEX(TABLAS!$D$52:$D$58,MATCH(AN16,TABLAS!$B$52:$B$58,0))*DATOS!$C$32/(DATOS!$C$38*N16)/2)/1E5)</f>
        <v>3.77048662941177</v>
      </c>
      <c r="AQ16" s="59">
        <f>IF(AM16&lt;0,9.99,IF(AP16&gt;0,AE16/AP16,0))</f>
        <v>0.796221147021145</v>
      </c>
      <c r="AR16" s="34">
        <f>IF(AO16=0,0,DATOS!$C$46*IF((AO16*INDEX(TABLAS!$D$52:$D$58,MATCH(AN16,TABLAS!$B$52:$B$58,0))/(N16*AG16))&lt;0.015,0.2+20*(AO16*INDEX(TABLAS!$D$52:$D$58,MATCH(AN16,TABLAS!$B$52:$B$58,0))/(N16*AG16)),0.5)*SQRT(DATOS!$C$31)*N16*AG16/1000)</f>
        <v>1.91886020207248</v>
      </c>
      <c r="AS16" s="68">
        <f>IF(AF16=0,0,INT(MIN(IF(AF16&gt;AR16,DATOS!$C$46*2*INDEX(TABLAS!$D$52:$D$58,MATCH(DATOS!$C$95,TABLAS!$B$52:$B$58,0))*DATOS!$C$32*AG16/((AF16-AR16)*1000),999),AG16/2,DATOS!$C$97,2*INDEX(TABLAS!$D$52:$D$58,MATCH(DATOS!$C$95,TABLAS!$B$52:$B$58,0))*DATOS!$C$32/(MAX(0.2*SQRT(DATOS!$C$31),3.5)*N16))/2.5)*2.5)</f>
        <v>10</v>
      </c>
      <c r="AT16" s="49" t="str">
        <f>IF(AF16=0,"—",IF(AF16&gt;AR16+DATOS!$C$46*2.12*SQRT(DATOS!$C$31)*N16*AG16/1000,"SECCIÓN INSUFICIENTE","E No. "&amp;TEXT(DATOS!$C$95,"0.0")&amp;" @ "&amp;TEXT(AS16,"0.0")&amp;" cm"))</f>
        <v>E No. 2.5 @ 10.0 cm</v>
      </c>
      <c r="AU16" s="68">
        <f>IF(L16="APOYADA",G16*100/16,IF(L16="VOLADO",G16*100/8,0))</f>
        <v>17.0125</v>
      </c>
      <c r="AV16" s="68">
        <f>SQRT(MAX(AD16,AE16)*1E5/(DATOS!$C$45*N16*DATOS!$C$38*(DATOS!$C$70*DATOS!$C$32/DATOS!$C$38)*(1-(DATOS!$C$70*DATOS!$C$32/DATOS!$C$38)/2)))+(O16-AG16)</f>
        <v>26.1173236674511</v>
      </c>
      <c r="AW16" s="56">
        <f>IF(OR(L16="BORDE DE VOLADO",L16="SIN APOYO"),0,CEILING(MAX(AU16,AV16,DATOS!$C$15),5))</f>
        <v>30</v>
      </c>
      <c r="AX16" s="69" t="str">
        <f>IF(L16="BORDE DE VOLADO","BORDE DE VOLADO — armado de orilla",IF(L16="SIN APOYO","SIN APOYO — REVISAR",IF(AND(AL16&lt;=1,AQ16&lt;=1,IF(AJ16=0,TRUE,AJ16&lt;=INT((AZ16+DATOS!$C$24)/(INDEX(TABLAS!$C$52:$C$58,MATCH(MAX(AI16,2),TABLAS!$B$52:$B$58,0))+DATOS!$C$24))),IF(AO16=0,TRUE,AO16&lt;=INT((AZ16+DATOS!$C$24)/(INDEX(TABLAS!$C$52:$C$58,MATCH(MAX(AN16,2),TABLAS!$B$52:$B$58,0))+DATOS!$C$24))),AT16&lt;&gt;"SECCIÓN INSUFICIENTE",O16&gt;=AU16),"CUMPLE"&amp;IF(L16="VOLADO"," (en VOLADO)",""),"NO CUMPLE: "&amp;IF(OR(AH16&lt;0,AM16&lt;0),"sección insuficiente en flexión ",IF(OR(AL16&gt;1,AQ16&gt;1),"flexión ",""))&amp;IF(NOT(AND(IF(AJ16=0,TRUE,AJ16&lt;=INT((AZ16+DATOS!$C$24)/(INDEX(TABLAS!$C$52:$C$58,MATCH(MAX(AI16,2),TABLAS!$B$52:$B$58,0))+DATOS!$C$24))),IF(AO16=0,TRUE,AO16&lt;=INT((AZ16+DATOS!$C$24)/(INDEX(TABLAS!$C$52:$C$58,MATCH(MAX(AN16,2),TABLAS!$B$52:$B$58,0))+DATOS!$C$24))))),"no caben ","")&amp;IF(AT16="SECCIÓN INSUFICIENTE","cortante ","")&amp;IF(O16&lt;AU16,"deflexión ","")&amp;"→ h ≥ "&amp;TEXT(AW16,"0")&amp;" cm")))</f>
        <v>NO CUMPLE: sección insuficiente en flexión → h ≥ 30 cm</v>
      </c>
      <c r="AY16" s="61" t="inlineStr">
        <is>
          <t>Extremo i en castillo propuesto C6. Recibe a NP-30. Muro de planta alta encima (2.72 m).</t>
        </is>
      </c>
      <c r="AZ16" s="41">
        <f>N16-2*DATOS!$C$18-2*INDEX(TABLAS!$C$52:$C$58,MATCH(DATOS!$C$95,TABLAS!$B$52:$B$58,0))</f>
        <v>9.42</v>
      </c>
    </row>
    <row r="17" ht="30" customHeight="1">
      <c r="B17" s="57" t="inlineStr">
        <is>
          <t>NP-09</t>
        </is>
      </c>
      <c r="C17" s="50" t="inlineStr">
        <is>
          <t>N+3.00</t>
        </is>
      </c>
      <c r="D17" s="49" t="inlineStr">
        <is>
          <t>y = 14.021</t>
        </is>
      </c>
      <c r="E17" s="50" t="inlineStr">
        <is>
          <t>(-2.000, 14.021)</t>
        </is>
      </c>
      <c r="F17" s="50" t="inlineStr">
        <is>
          <t>(0.000, 14.021)</t>
        </is>
      </c>
      <c r="G17" s="53" t="n">
        <v>2</v>
      </c>
      <c r="H17" s="50" t="inlineStr">
        <is>
          <t>LIBRE</t>
        </is>
      </c>
      <c r="I17" s="50" t="inlineStr">
        <is>
          <t>FIRME</t>
        </is>
      </c>
      <c r="J17" s="50" t="inlineStr">
        <is>
          <t>—</t>
        </is>
      </c>
      <c r="K17" s="50" t="inlineStr">
        <is>
          <t>—</t>
        </is>
      </c>
      <c r="L17" s="50" t="inlineStr">
        <is>
          <t>BORDE DE VOLADO</t>
        </is>
      </c>
      <c r="M17" s="50" t="str">
        <f>IF(L17="VOLADO",IF(OR(H17="FIRME",H17="NERVADURA",H17="PUNTA"),"i","j"),"—")</f>
        <v>—</v>
      </c>
      <c r="N17" s="54">
        <f>DATOS!$C$17</f>
        <v>15</v>
      </c>
      <c r="O17" s="54">
        <f>DATOS!$C$15</f>
        <v>25</v>
      </c>
      <c r="P17" s="41">
        <f>SUMIFS(TRIB!$E$6:$E$255,TRIB!$B$6:$B$255,B17)</f>
        <v>0</v>
      </c>
      <c r="Q17" s="34">
        <f>SUMIFS(TRIB!$G$6:$G$255,TRIB!$B$6:$B$255,B17)/G17</f>
        <v>0</v>
      </c>
      <c r="R17" s="66" t="n">
        <v>0</v>
      </c>
      <c r="S17" s="34">
        <f>DATOS!$C$43*R17*DATOS!$C$89/G17</f>
        <v>0</v>
      </c>
      <c r="T17" s="58" t="n">
        <v>333.7</v>
      </c>
      <c r="U17" s="58" t="n">
        <v>0</v>
      </c>
      <c r="V17" s="34">
        <f>(DATOS!$C$43*T17+DATOS!$C$44*U17)/1000</f>
        <v>0.43381</v>
      </c>
      <c r="W17" s="34">
        <f>DATOS!$C$43*(N17/100*O17/100*DATOS!$C$35-N17/100*DATOS!$C$58/1000)</f>
        <v>0.0694836734693878</v>
      </c>
      <c r="X17" s="67">
        <f>Q17+S17+V17+W17</f>
        <v>0.503293673469388</v>
      </c>
      <c r="Y17" s="34">
        <f>0</f>
        <v>0</v>
      </c>
      <c r="Z17" s="34">
        <f>0</f>
        <v>0</v>
      </c>
      <c r="AA17" s="34">
        <f>0</f>
        <v>0</v>
      </c>
      <c r="AB17" s="34">
        <f>IF(L17="APOYADA",X17*G17/2+0,IF(AND(L17="VOLADO",M17="i"),X17*G17+Y17,0))</f>
        <v>0</v>
      </c>
      <c r="AC17" s="34">
        <f>IF(L17="APOYADA",X17*G17/2+0,IF(AND(L17="VOLADO",M17="j"),X17*G17+Y17,0))</f>
        <v>0</v>
      </c>
      <c r="AD17" s="67">
        <f>IF(L17="APOYADA",X17*G17^2/8+Z17,0)</f>
        <v>0</v>
      </c>
      <c r="AE17" s="67">
        <f>IF(L17="APOYADA",DATOS!$C$52*AD17,IF(L17="VOLADO",X17*G17^2/2+Z17,0))</f>
        <v>0</v>
      </c>
      <c r="AF17" s="67">
        <f>IF(L17="APOYADA",X17*G17/2+AA17,IF(L17="VOLADO",X17*G17+AA17,0))</f>
        <v>0</v>
      </c>
      <c r="AG17" s="41">
        <f>O17-DATOS!$C$18-INDEX(TABLAS!$C$52:$C$58,MATCH(DATOS!$C$95,TABLAS!$B$52:$B$58,0))-INDEX(TABLAS!$C$52:$C$58,MATCH(DATOS!$C$94,TABLAS!$B$52:$B$58,0))/2</f>
        <v>21.575</v>
      </c>
      <c r="AH17" s="41">
        <f>IF(OR(L17="BORDE DE VOLADO",L17="SIN APOYO"),0,IF(AD17&lt;=0,DATOS!$C$71*N17*AG17,IF((1-2*AD17*1E5/(DATOS!$C$45*N17*AG17^2*DATOS!$C$38))&lt;0,-1,IF((1-SQRT((1-2*AD17*1E5/(DATOS!$C$45*N17*AG17^2*DATOS!$C$38))))*DATOS!$C$38*N17*AG17/DATOS!$C$32&gt;DATOS!$C$70*N17*AG17,-1,MAX(DATOS!$C$71*N17*AG17,(1-SQRT((1-2*AD17*1E5/(DATOS!$C$45*N17*AG17^2*DATOS!$C$38))))*DATOS!$C$38*N17*AG17/DATOS!$C$32)))))</f>
        <v>0</v>
      </c>
      <c r="AI17" s="39">
        <f>IF(AH17&lt;0,0,IF(AND(AH17&gt;=0,CEILING(AH17/INDEX(TABLAS!$D$52:$D$58,MIN(MATCH(DATOS!$C$94,TABLAS!$B$52:$B$58,0)+0,7)),1)&lt;=MIN(99,INT((AZ17+DATOS!$C$24)/(INDEX(TABLAS!$C$52:$C$58,MIN(MATCH(DATOS!$C$94,TABLAS!$B$52:$B$58,0)+0,7))+DATOS!$C$24)))),INDEX(TABLAS!$B$52:$B$58,MIN(MATCH(DATOS!$C$94,TABLAS!$B$52:$B$58,0)+0,7)),IF(AND(AH17&gt;=0,CEILING(AH17/INDEX(TABLAS!$D$52:$D$58,MIN(MATCH(DATOS!$C$94,TABLAS!$B$52:$B$58,0)+1,7)),1)&lt;=MIN(99,INT((AZ17+DATOS!$C$24)/(INDEX(TABLAS!$C$52:$C$58,MIN(MATCH(DATOS!$C$94,TABLAS!$B$52:$B$58,0)+1,7))+DATOS!$C$24)))),INDEX(TABLAS!$B$52:$B$58,MIN(MATCH(DATOS!$C$94,TABLAS!$B$52:$B$58,0)+1,7)),IF(AND(AH17&gt;=0,CEILING(AH17/INDEX(TABLAS!$D$52:$D$58,MIN(MATCH(DATOS!$C$94,TABLAS!$B$52:$B$58,0)+2,7)),1)&lt;=MIN(99,INT((AZ17+DATOS!$C$24)/(INDEX(TABLAS!$C$52:$C$58,MIN(MATCH(DATOS!$C$94,TABLAS!$B$52:$B$58,0)+2,7))+DATOS!$C$24)))),INDEX(TABLAS!$B$52:$B$58,MIN(MATCH(DATOS!$C$94,TABLAS!$B$52:$B$58,0)+2,7)),IF(AND(AH17&gt;=0,CEILING(AH17/INDEX(TABLAS!$D$52:$D$58,MIN(MATCH(DATOS!$C$94,TABLAS!$B$52:$B$58,0)+3,7)),1)&lt;=MIN(99,INT((AZ17+DATOS!$C$24)/(INDEX(TABLAS!$C$52:$C$58,MIN(MATCH(DATOS!$C$94,TABLAS!$B$52:$B$58,0)+3,7))+DATOS!$C$24)))),INDEX(TABLAS!$B$52:$B$58,MIN(MATCH(DATOS!$C$94,TABLAS!$B$52:$B$58,0)+3,7)),IF(AND(AH17&gt;=0,CEILING(AH17/INDEX(TABLAS!$D$52:$D$58,MIN(MATCH(DATOS!$C$94,TABLAS!$B$52:$B$58,0)+4,7)),1)&lt;=MIN(99,INT((AZ17+DATOS!$C$24)/(INDEX(TABLAS!$C$52:$C$58,MIN(MATCH(DATOS!$C$94,TABLAS!$B$52:$B$58,0)+4,7))+DATOS!$C$24)))),INDEX(TABLAS!$B$52:$B$58,MIN(MATCH(DATOS!$C$94,TABLAS!$B$52:$B$58,0)+4,7)),INDEX(TABLAS!$B$52:$B$58,7)))))))</f>
        <v>4</v>
      </c>
      <c r="AJ17" s="55">
        <f>IF(AH17&lt;=0,0,MAX(DATOS!$C$96,CEILING(AH17/INDEX(TABLAS!$D$52:$D$58,MATCH(IF(AI17=0,8,AI17),TABLAS!$B$52:$B$58,0)),1)))</f>
        <v>0</v>
      </c>
      <c r="AK17" s="34">
        <f>IF(AJ17=0,0,DATOS!$C$45*AJ17*INDEX(TABLAS!$D$52:$D$58,MATCH(AI17,TABLAS!$B$52:$B$58,0))*DATOS!$C$32*((O17-DATOS!$C$18-INDEX(TABLAS!$C$52:$C$58,MATCH(DATOS!$C$95,TABLAS!$B$52:$B$58,0))-INDEX(TABLAS!$C$52:$C$58,MATCH(AI17,TABLAS!$B$52:$B$58,0))/2)-AJ17*INDEX(TABLAS!$D$52:$D$58,MATCH(AI17,TABLAS!$B$52:$B$58,0))*DATOS!$C$32/(DATOS!$C$38*N17)/2)/1E5)</f>
        <v>0</v>
      </c>
      <c r="AL17" s="59">
        <f>IF(AH17&lt;0,9.99,IF(AK17&gt;0,AD17/AK17,0))</f>
        <v>0</v>
      </c>
      <c r="AM17" s="41">
        <f>IF(OR(L17="BORDE DE VOLADO",L17="SIN APOYO"),0,IF(AE17&lt;=0,DATOS!$C$71*N17*AG17,IF((1-2*AE17*1E5/(DATOS!$C$45*N17*AG17^2*DATOS!$C$38))&lt;0,-1,IF((1-SQRT((1-2*AE17*1E5/(DATOS!$C$45*N17*AG17^2*DATOS!$C$38))))*DATOS!$C$38*N17*AG17/DATOS!$C$32&gt;DATOS!$C$70*N17*AG17,-1,MAX(DATOS!$C$71*N17*AG17,(1-SQRT((1-2*AE17*1E5/(DATOS!$C$45*N17*AG17^2*DATOS!$C$38))))*DATOS!$C$38*N17*AG17/DATOS!$C$32)))))</f>
        <v>0</v>
      </c>
      <c r="AN17" s="39">
        <f>IF(AM17&lt;0,0,IF(AND(AM17&gt;=0,CEILING(AM17/INDEX(TABLAS!$D$52:$D$58,MIN(MATCH(DATOS!$C$94,TABLAS!$B$52:$B$58,0)+0,7)),1)&lt;=MIN(99,INT((AZ17+DATOS!$C$24)/(INDEX(TABLAS!$C$52:$C$58,MIN(MATCH(DATOS!$C$94,TABLAS!$B$52:$B$58,0)+0,7))+DATOS!$C$24)))),INDEX(TABLAS!$B$52:$B$58,MIN(MATCH(DATOS!$C$94,TABLAS!$B$52:$B$58,0)+0,7)),IF(AND(AM17&gt;=0,CEILING(AM17/INDEX(TABLAS!$D$52:$D$58,MIN(MATCH(DATOS!$C$94,TABLAS!$B$52:$B$58,0)+1,7)),1)&lt;=MIN(99,INT((AZ17+DATOS!$C$24)/(INDEX(TABLAS!$C$52:$C$58,MIN(MATCH(DATOS!$C$94,TABLAS!$B$52:$B$58,0)+1,7))+DATOS!$C$24)))),INDEX(TABLAS!$B$52:$B$58,MIN(MATCH(DATOS!$C$94,TABLAS!$B$52:$B$58,0)+1,7)),IF(AND(AM17&gt;=0,CEILING(AM17/INDEX(TABLAS!$D$52:$D$58,MIN(MATCH(DATOS!$C$94,TABLAS!$B$52:$B$58,0)+2,7)),1)&lt;=MIN(99,INT((AZ17+DATOS!$C$24)/(INDEX(TABLAS!$C$52:$C$58,MIN(MATCH(DATOS!$C$94,TABLAS!$B$52:$B$58,0)+2,7))+DATOS!$C$24)))),INDEX(TABLAS!$B$52:$B$58,MIN(MATCH(DATOS!$C$94,TABLAS!$B$52:$B$58,0)+2,7)),IF(AND(AM17&gt;=0,CEILING(AM17/INDEX(TABLAS!$D$52:$D$58,MIN(MATCH(DATOS!$C$94,TABLAS!$B$52:$B$58,0)+3,7)),1)&lt;=MIN(99,INT((AZ17+DATOS!$C$24)/(INDEX(TABLAS!$C$52:$C$58,MIN(MATCH(DATOS!$C$94,TABLAS!$B$52:$B$58,0)+3,7))+DATOS!$C$24)))),INDEX(TABLAS!$B$52:$B$58,MIN(MATCH(DATOS!$C$94,TABLAS!$B$52:$B$58,0)+3,7)),IF(AND(AM17&gt;=0,CEILING(AM17/INDEX(TABLAS!$D$52:$D$58,MIN(MATCH(DATOS!$C$94,TABLAS!$B$52:$B$58,0)+4,7)),1)&lt;=MIN(99,INT((AZ17+DATOS!$C$24)/(INDEX(TABLAS!$C$52:$C$58,MIN(MATCH(DATOS!$C$94,TABLAS!$B$52:$B$58,0)+4,7))+DATOS!$C$24)))),INDEX(TABLAS!$B$52:$B$58,MIN(MATCH(DATOS!$C$94,TABLAS!$B$52:$B$58,0)+4,7)),INDEX(TABLAS!$B$52:$B$58,7)))))))</f>
        <v>4</v>
      </c>
      <c r="AO17" s="55">
        <f>IF(AM17&lt;=0,0,MAX(DATOS!$C$96,CEILING(AM17/INDEX(TABLAS!$D$52:$D$58,MATCH(IF(AN17=0,8,AN17),TABLAS!$B$52:$B$58,0)),1)))</f>
        <v>0</v>
      </c>
      <c r="AP17" s="34">
        <f>IF(AO17=0,0,DATOS!$C$45*AO17*INDEX(TABLAS!$D$52:$D$58,MATCH(AN17,TABLAS!$B$52:$B$58,0))*DATOS!$C$32*((O17-DATOS!$C$18-INDEX(TABLAS!$C$52:$C$58,MATCH(DATOS!$C$95,TABLAS!$B$52:$B$58,0))-INDEX(TABLAS!$C$52:$C$58,MATCH(AN17,TABLAS!$B$52:$B$58,0))/2)-AO17*INDEX(TABLAS!$D$52:$D$58,MATCH(AN17,TABLAS!$B$52:$B$58,0))*DATOS!$C$32/(DATOS!$C$38*N17)/2)/1E5)</f>
        <v>0</v>
      </c>
      <c r="AQ17" s="59">
        <f>IF(AM17&lt;0,9.99,IF(AP17&gt;0,AE17/AP17,0))</f>
        <v>0</v>
      </c>
      <c r="AR17" s="34">
        <f>IF(AO17=0,0,DATOS!$C$46*IF((AO17*INDEX(TABLAS!$D$52:$D$58,MATCH(AN17,TABLAS!$B$52:$B$58,0))/(N17*AG17))&lt;0.015,0.2+20*(AO17*INDEX(TABLAS!$D$52:$D$58,MATCH(AN17,TABLAS!$B$52:$B$58,0))/(N17*AG17)),0.5)*SQRT(DATOS!$C$31)*N17*AG17/1000)</f>
        <v>0</v>
      </c>
      <c r="AS17" s="68">
        <f>IF(AF17=0,0,INT(MIN(IF(AF17&gt;AR17,DATOS!$C$46*2*INDEX(TABLAS!$D$52:$D$58,MATCH(DATOS!$C$95,TABLAS!$B$52:$B$58,0))*DATOS!$C$32*AG17/((AF17-AR17)*1000),999),AG17/2,DATOS!$C$97,2*INDEX(TABLAS!$D$52:$D$58,MATCH(DATOS!$C$95,TABLAS!$B$52:$B$58,0))*DATOS!$C$32/(MAX(0.2*SQRT(DATOS!$C$31),3.5)*N17))/2.5)*2.5)</f>
        <v>0</v>
      </c>
      <c r="AT17" s="49" t="str">
        <f>IF(AF17=0,"—",IF(AF17&gt;AR17+DATOS!$C$46*2.12*SQRT(DATOS!$C$31)*N17*AG17/1000,"SECCIÓN INSUFICIENTE","E No. "&amp;TEXT(DATOS!$C$95,"0.0")&amp;" @ "&amp;TEXT(AS17,"0.0")&amp;" cm"))</f>
        <v>—</v>
      </c>
      <c r="AU17" s="68">
        <f>IF(L17="APOYADA",G17*100/16,IF(L17="VOLADO",G17*100/8,0))</f>
        <v>0</v>
      </c>
      <c r="AV17" s="68">
        <f>SQRT(MAX(AD17,AE17)*1E5/(DATOS!$C$45*N17*DATOS!$C$38*(DATOS!$C$70*DATOS!$C$32/DATOS!$C$38)*(1-(DATOS!$C$70*DATOS!$C$32/DATOS!$C$38)/2)))+(O17-AG17)</f>
        <v>3.425</v>
      </c>
      <c r="AW17" s="56">
        <f>IF(OR(L17="BORDE DE VOLADO",L17="SIN APOYO"),0,CEILING(MAX(AU17,AV17,DATOS!$C$15),5))</f>
        <v>0</v>
      </c>
      <c r="AX17" s="69" t="str">
        <f>IF(L17="BORDE DE VOLADO","BORDE DE VOLADO — armado de orilla",IF(L17="SIN APOYO","SIN APOYO — REVISAR",IF(AND(AL17&lt;=1,AQ17&lt;=1,IF(AJ17=0,TRUE,AJ17&lt;=INT((AZ17+DATOS!$C$24)/(INDEX(TABLAS!$C$52:$C$58,MATCH(MAX(AI17,2),TABLAS!$B$52:$B$58,0))+DATOS!$C$24))),IF(AO17=0,TRUE,AO17&lt;=INT((AZ17+DATOS!$C$24)/(INDEX(TABLAS!$C$52:$C$58,MATCH(MAX(AN17,2),TABLAS!$B$52:$B$58,0))+DATOS!$C$24))),AT17&lt;&gt;"SECCIÓN INSUFICIENTE",O17&gt;=AU17),"CUMPLE"&amp;IF(L17="VOLADO"," (en VOLADO)",""),"NO CUMPLE: "&amp;IF(OR(AH17&lt;0,AM17&lt;0),"sección insuficiente en flexión ",IF(OR(AL17&gt;1,AQ17&gt;1),"flexión ",""))&amp;IF(NOT(AND(IF(AJ17=0,TRUE,AJ17&lt;=INT((AZ17+DATOS!$C$24)/(INDEX(TABLAS!$C$52:$C$58,MATCH(MAX(AI17,2),TABLAS!$B$52:$B$58,0))+DATOS!$C$24))),IF(AO17=0,TRUE,AO17&lt;=INT((AZ17+DATOS!$C$24)/(INDEX(TABLAS!$C$52:$C$58,MATCH(MAX(AN17,2),TABLAS!$B$52:$B$58,0))+DATOS!$C$24))))),"no caben ","")&amp;IF(AT17="SECCIÓN INSUFICIENTE","cortante ","")&amp;IF(O17&lt;AU17,"deflexión ","")&amp;"→ h ≥ "&amp;TEXT(AW17,"0")&amp;" cm")))</f>
        <v>BORDE DE VOLADO — armado de orilla</v>
      </c>
      <c r="AY17" s="61" t="inlineStr">
        <is>
          <t>Orilla libre de tablero en volado: lleva el armado de la orilla, no trabaja como trabe.</t>
        </is>
      </c>
      <c r="AZ17" s="41">
        <f>N17-2*DATOS!$C$18-2*INDEX(TABLAS!$C$52:$C$58,MATCH(DATOS!$C$95,TABLAS!$B$52:$B$58,0))</f>
        <v>9.42</v>
      </c>
    </row>
    <row r="18" ht="30" customHeight="1">
      <c r="B18" s="57" t="inlineStr">
        <is>
          <t>NP-10</t>
        </is>
      </c>
      <c r="C18" s="50" t="inlineStr">
        <is>
          <t>N+3.00</t>
        </is>
      </c>
      <c r="D18" s="49" t="inlineStr">
        <is>
          <t>y = 14.021</t>
        </is>
      </c>
      <c r="E18" s="50" t="inlineStr">
        <is>
          <t>(0.000, 14.021)</t>
        </is>
      </c>
      <c r="F18" s="50" t="inlineStr">
        <is>
          <t>(4.327, 14.021)</t>
        </is>
      </c>
      <c r="G18" s="53" t="n">
        <v>4.327</v>
      </c>
      <c r="H18" s="50" t="inlineStr">
        <is>
          <t>FIRME</t>
        </is>
      </c>
      <c r="I18" s="50" t="str">
        <f>IF(APOYOS!$C$21="SÍ","FIRME","LIBRE")</f>
        <v>FIRME</v>
      </c>
      <c r="J18" s="50" t="inlineStr">
        <is>
          <t>—</t>
        </is>
      </c>
      <c r="K18" s="50" t="inlineStr">
        <is>
          <t>C5</t>
        </is>
      </c>
      <c r="L18" s="57" t="str">
        <f>IF(AND(OR(H18="FIRME",H18="NERVADURA",H18="PUNTA"),OR(I18="FIRME",I18="NERVADURA",I18="PUNTA")),"APOYADA",IF(OR(OR(H18="FIRME",H18="NERVADURA",H18="PUNTA"),OR(I18="FIRME",I18="NERVADURA",I18="PUNTA")),"VOLADO","SIN APOYO"))</f>
        <v>APOYADA</v>
      </c>
      <c r="M18" s="50" t="str">
        <f>IF(L18="VOLADO",IF(OR(H18="FIRME",H18="NERVADURA",H18="PUNTA"),"i","j"),"—")</f>
        <v>—</v>
      </c>
      <c r="N18" s="54">
        <f>DATOS!$C$17</f>
        <v>15</v>
      </c>
      <c r="O18" s="54">
        <f>DATOS!$C$15</f>
        <v>25</v>
      </c>
      <c r="P18" s="41">
        <f>SUMIFS(TRIB!$E$6:$E$255,TRIB!$B$6:$B$255,B18)</f>
        <v>2.6995</v>
      </c>
      <c r="Q18" s="34">
        <f>SUMIFS(TRIB!$G$6:$G$255,TRIB!$B$6:$B$255,B18)/G18</f>
        <v>0.568456318418285</v>
      </c>
      <c r="R18" s="66" t="n">
        <v>4.247</v>
      </c>
      <c r="S18" s="34">
        <f>DATOS!$C$43*R18*DATOS!$C$89/G18</f>
        <v>1.21057167205916</v>
      </c>
      <c r="T18" s="58" t="n">
        <v>0</v>
      </c>
      <c r="U18" s="58" t="n">
        <v>0</v>
      </c>
      <c r="V18" s="34">
        <f>(DATOS!$C$43*T18+DATOS!$C$44*U18)/1000</f>
        <v>0</v>
      </c>
      <c r="W18" s="34">
        <f>DATOS!$C$43*(N18/100*O18/100*DATOS!$C$35-N18/100*DATOS!$C$58/1000)</f>
        <v>0.0694836734693878</v>
      </c>
      <c r="X18" s="67">
        <f>Q18+S18+V18+W18</f>
        <v>1.84851166394684</v>
      </c>
      <c r="Y18" s="34">
        <f>TRANSFER!$F$11</f>
        <v>2.1162312252551</v>
      </c>
      <c r="Z18" s="34">
        <f>TRANSFER!$H$11</f>
        <v>1.50845666005415</v>
      </c>
      <c r="AA18" s="34">
        <f>TRANSFER!$I$11</f>
        <v>1.67606295561572</v>
      </c>
      <c r="AB18" s="34">
        <f>IF(L18="APOYADA",X18*G18/2+TRANSFER!$J$11,IF(AND(L18="VOLADO",M18="i"),X18*G18+Y18,0))</f>
        <v>4.43942325458836</v>
      </c>
      <c r="AC18" s="34">
        <f>IF(L18="APOYADA",X18*G18/2+TRANSFER!$K$11,IF(AND(L18="VOLADO",M18="j"),X18*G18+Y18,0))</f>
        <v>5.6753179405647</v>
      </c>
      <c r="AD18" s="67">
        <f>IF(L18="APOYADA",X18*G18^2/8+Z18,0)</f>
        <v>5.83465074002271</v>
      </c>
      <c r="AE18" s="67">
        <f>IF(L18="APOYADA",DATOS!$C$52*AD18,IF(L18="VOLADO",X18*G18^2/2+Z18,0))</f>
        <v>3.89171204359515</v>
      </c>
      <c r="AF18" s="67">
        <f>IF(L18="APOYADA",X18*G18/2+AA18,IF(L18="VOLADO",X18*G18+AA18,0))</f>
        <v>5.6753179405647</v>
      </c>
      <c r="AG18" s="41">
        <f>O18-DATOS!$C$18-INDEX(TABLAS!$C$52:$C$58,MATCH(DATOS!$C$95,TABLAS!$B$52:$B$58,0))-INDEX(TABLAS!$C$52:$C$58,MATCH(DATOS!$C$94,TABLAS!$B$52:$B$58,0))/2</f>
        <v>21.575</v>
      </c>
      <c r="AH18" s="41">
        <f>IF(OR(L18="BORDE DE VOLADO",L18="SIN APOYO"),0,IF(AD18&lt;=0,DATOS!$C$71*N18*AG18,IF((1-2*AD18*1E5/(DATOS!$C$45*N18*AG18^2*DATOS!$C$38))&lt;0,-1,IF((1-SQRT((1-2*AD18*1E5/(DATOS!$C$45*N18*AG18^2*DATOS!$C$38))))*DATOS!$C$38*N18*AG18/DATOS!$C$32&gt;DATOS!$C$70*N18*AG18,-1,MAX(DATOS!$C$71*N18*AG18,(1-SQRT((1-2*AD18*1E5/(DATOS!$C$45*N18*AG18^2*DATOS!$C$38))))*DATOS!$C$38*N18*AG18/DATOS!$C$32)))))</f>
        <v>-1</v>
      </c>
      <c r="AI18" s="39">
        <f>IF(AH18&lt;0,0,IF(AND(AH18&gt;=0,CEILING(AH18/INDEX(TABLAS!$D$52:$D$58,MIN(MATCH(DATOS!$C$94,TABLAS!$B$52:$B$58,0)+0,7)),1)&lt;=MIN(99,INT((AZ18+DATOS!$C$24)/(INDEX(TABLAS!$C$52:$C$58,MIN(MATCH(DATOS!$C$94,TABLAS!$B$52:$B$58,0)+0,7))+DATOS!$C$24)))),INDEX(TABLAS!$B$52:$B$58,MIN(MATCH(DATOS!$C$94,TABLAS!$B$52:$B$58,0)+0,7)),IF(AND(AH18&gt;=0,CEILING(AH18/INDEX(TABLAS!$D$52:$D$58,MIN(MATCH(DATOS!$C$94,TABLAS!$B$52:$B$58,0)+1,7)),1)&lt;=MIN(99,INT((AZ18+DATOS!$C$24)/(INDEX(TABLAS!$C$52:$C$58,MIN(MATCH(DATOS!$C$94,TABLAS!$B$52:$B$58,0)+1,7))+DATOS!$C$24)))),INDEX(TABLAS!$B$52:$B$58,MIN(MATCH(DATOS!$C$94,TABLAS!$B$52:$B$58,0)+1,7)),IF(AND(AH18&gt;=0,CEILING(AH18/INDEX(TABLAS!$D$52:$D$58,MIN(MATCH(DATOS!$C$94,TABLAS!$B$52:$B$58,0)+2,7)),1)&lt;=MIN(99,INT((AZ18+DATOS!$C$24)/(INDEX(TABLAS!$C$52:$C$58,MIN(MATCH(DATOS!$C$94,TABLAS!$B$52:$B$58,0)+2,7))+DATOS!$C$24)))),INDEX(TABLAS!$B$52:$B$58,MIN(MATCH(DATOS!$C$94,TABLAS!$B$52:$B$58,0)+2,7)),IF(AND(AH18&gt;=0,CEILING(AH18/INDEX(TABLAS!$D$52:$D$58,MIN(MATCH(DATOS!$C$94,TABLAS!$B$52:$B$58,0)+3,7)),1)&lt;=MIN(99,INT((AZ18+DATOS!$C$24)/(INDEX(TABLAS!$C$52:$C$58,MIN(MATCH(DATOS!$C$94,TABLAS!$B$52:$B$58,0)+3,7))+DATOS!$C$24)))),INDEX(TABLAS!$B$52:$B$58,MIN(MATCH(DATOS!$C$94,TABLAS!$B$52:$B$58,0)+3,7)),IF(AND(AH18&gt;=0,CEILING(AH18/INDEX(TABLAS!$D$52:$D$58,MIN(MATCH(DATOS!$C$94,TABLAS!$B$52:$B$58,0)+4,7)),1)&lt;=MIN(99,INT((AZ18+DATOS!$C$24)/(INDEX(TABLAS!$C$52:$C$58,MIN(MATCH(DATOS!$C$94,TABLAS!$B$52:$B$58,0)+4,7))+DATOS!$C$24)))),INDEX(TABLAS!$B$52:$B$58,MIN(MATCH(DATOS!$C$94,TABLAS!$B$52:$B$58,0)+4,7)),INDEX(TABLAS!$B$52:$B$58,7)))))))</f>
        <v>0</v>
      </c>
      <c r="AJ18" s="55">
        <f>IF(AH18&lt;=0,0,MAX(DATOS!$C$96,CEILING(AH18/INDEX(TABLAS!$D$52:$D$58,MATCH(IF(AI18=0,8,AI18),TABLAS!$B$52:$B$58,0)),1)))</f>
        <v>0</v>
      </c>
      <c r="AK18" s="34">
        <f>IF(AJ18=0,0,DATOS!$C$45*AJ18*INDEX(TABLAS!$D$52:$D$58,MATCH(AI18,TABLAS!$B$52:$B$58,0))*DATOS!$C$32*((O18-DATOS!$C$18-INDEX(TABLAS!$C$52:$C$58,MATCH(DATOS!$C$95,TABLAS!$B$52:$B$58,0))-INDEX(TABLAS!$C$52:$C$58,MATCH(AI18,TABLAS!$B$52:$B$58,0))/2)-AJ18*INDEX(TABLAS!$D$52:$D$58,MATCH(AI18,TABLAS!$B$52:$B$58,0))*DATOS!$C$32/(DATOS!$C$38*N18)/2)/1E5)</f>
        <v>0</v>
      </c>
      <c r="AL18" s="59">
        <f>IF(AH18&lt;0,9.99,IF(AK18&gt;0,AD18/AK18,0))</f>
        <v>9.99</v>
      </c>
      <c r="AM18" s="41">
        <f>IF(OR(L18="BORDE DE VOLADO",L18="SIN APOYO"),0,IF(AE18&lt;=0,DATOS!$C$71*N18*AG18,IF((1-2*AE18*1E5/(DATOS!$C$45*N18*AG18^2*DATOS!$C$38))&lt;0,-1,IF((1-SQRT((1-2*AE18*1E5/(DATOS!$C$45*N18*AG18^2*DATOS!$C$38))))*DATOS!$C$38*N18*AG18/DATOS!$C$32&gt;DATOS!$C$70*N18*AG18,-1,MAX(DATOS!$C$71*N18*AG18,(1-SQRT((1-2*AE18*1E5/(DATOS!$C$45*N18*AG18^2*DATOS!$C$38))))*DATOS!$C$38*N18*AG18/DATOS!$C$32)))))</f>
        <v>5.7987920141458</v>
      </c>
      <c r="AN18" s="39">
        <f>IF(AM18&lt;0,0,IF(AND(AM18&gt;=0,CEILING(AM18/INDEX(TABLAS!$D$52:$D$58,MIN(MATCH(DATOS!$C$94,TABLAS!$B$52:$B$58,0)+0,7)),1)&lt;=MIN(99,INT((AZ18+DATOS!$C$24)/(INDEX(TABLAS!$C$52:$C$58,MIN(MATCH(DATOS!$C$94,TABLAS!$B$52:$B$58,0)+0,7))+DATOS!$C$24)))),INDEX(TABLAS!$B$52:$B$58,MIN(MATCH(DATOS!$C$94,TABLAS!$B$52:$B$58,0)+0,7)),IF(AND(AM18&gt;=0,CEILING(AM18/INDEX(TABLAS!$D$52:$D$58,MIN(MATCH(DATOS!$C$94,TABLAS!$B$52:$B$58,0)+1,7)),1)&lt;=MIN(99,INT((AZ18+DATOS!$C$24)/(INDEX(TABLAS!$C$52:$C$58,MIN(MATCH(DATOS!$C$94,TABLAS!$B$52:$B$58,0)+1,7))+DATOS!$C$24)))),INDEX(TABLAS!$B$52:$B$58,MIN(MATCH(DATOS!$C$94,TABLAS!$B$52:$B$58,0)+1,7)),IF(AND(AM18&gt;=0,CEILING(AM18/INDEX(TABLAS!$D$52:$D$58,MIN(MATCH(DATOS!$C$94,TABLAS!$B$52:$B$58,0)+2,7)),1)&lt;=MIN(99,INT((AZ18+DATOS!$C$24)/(INDEX(TABLAS!$C$52:$C$58,MIN(MATCH(DATOS!$C$94,TABLAS!$B$52:$B$58,0)+2,7))+DATOS!$C$24)))),INDEX(TABLAS!$B$52:$B$58,MIN(MATCH(DATOS!$C$94,TABLAS!$B$52:$B$58,0)+2,7)),IF(AND(AM18&gt;=0,CEILING(AM18/INDEX(TABLAS!$D$52:$D$58,MIN(MATCH(DATOS!$C$94,TABLAS!$B$52:$B$58,0)+3,7)),1)&lt;=MIN(99,INT((AZ18+DATOS!$C$24)/(INDEX(TABLAS!$C$52:$C$58,MIN(MATCH(DATOS!$C$94,TABLAS!$B$52:$B$58,0)+3,7))+DATOS!$C$24)))),INDEX(TABLAS!$B$52:$B$58,MIN(MATCH(DATOS!$C$94,TABLAS!$B$52:$B$58,0)+3,7)),IF(AND(AM18&gt;=0,CEILING(AM18/INDEX(TABLAS!$D$52:$D$58,MIN(MATCH(DATOS!$C$94,TABLAS!$B$52:$B$58,0)+4,7)),1)&lt;=MIN(99,INT((AZ18+DATOS!$C$24)/(INDEX(TABLAS!$C$52:$C$58,MIN(MATCH(DATOS!$C$94,TABLAS!$B$52:$B$58,0)+4,7))+DATOS!$C$24)))),INDEX(TABLAS!$B$52:$B$58,MIN(MATCH(DATOS!$C$94,TABLAS!$B$52:$B$58,0)+4,7)),INDEX(TABLAS!$B$52:$B$58,7)))))))</f>
        <v>8</v>
      </c>
      <c r="AO18" s="55">
        <f>IF(AM18&lt;=0,0,MAX(DATOS!$C$96,CEILING(AM18/INDEX(TABLAS!$D$52:$D$58,MATCH(IF(AN18=0,8,AN18),TABLAS!$B$52:$B$58,0)),1)))</f>
        <v>2</v>
      </c>
      <c r="AP18" s="34">
        <f>IF(AO18=0,0,DATOS!$C$45*AO18*INDEX(TABLAS!$D$52:$D$58,MATCH(AN18,TABLAS!$B$52:$B$58,0))*DATOS!$C$32*((O18-DATOS!$C$18-INDEX(TABLAS!$C$52:$C$58,MATCH(DATOS!$C$95,TABLAS!$B$52:$B$58,0))-INDEX(TABLAS!$C$52:$C$58,MATCH(AN18,TABLAS!$B$52:$B$58,0))/2)-AO18*INDEX(TABLAS!$D$52:$D$58,MATCH(AN18,TABLAS!$B$52:$B$58,0))*DATOS!$C$32/(DATOS!$C$38*N18)/2)/1E5)</f>
        <v>5.46556354729412</v>
      </c>
      <c r="AQ18" s="59">
        <f>IF(AM18&lt;0,9.99,IF(AP18&gt;0,AE18/AP18,0))</f>
        <v>0.712042227653148</v>
      </c>
      <c r="AR18" s="34">
        <f>IF(AO18=0,0,DATOS!$C$46*IF((AO18*INDEX(TABLAS!$D$52:$D$58,MATCH(AN18,TABLAS!$B$52:$B$58,0))/(N18*AG18))&lt;0.015,0.2+20*(AO18*INDEX(TABLAS!$D$52:$D$58,MATCH(AN18,TABLAS!$B$52:$B$58,0))/(N18*AG18)),0.5)*SQRT(DATOS!$C$31)*N18*AG18/1000)</f>
        <v>1.91886020207248</v>
      </c>
      <c r="AS18" s="68">
        <f>IF(AF18=0,0,INT(MIN(IF(AF18&gt;AR18,DATOS!$C$46*2*INDEX(TABLAS!$D$52:$D$58,MATCH(DATOS!$C$95,TABLAS!$B$52:$B$58,0))*DATOS!$C$32*AG18/((AF18-AR18)*1000),999),AG18/2,DATOS!$C$97,2*INDEX(TABLAS!$D$52:$D$58,MATCH(DATOS!$C$95,TABLAS!$B$52:$B$58,0))*DATOS!$C$32/(MAX(0.2*SQRT(DATOS!$C$31),3.5)*N18))/2.5)*2.5)</f>
        <v>10</v>
      </c>
      <c r="AT18" s="49" t="str">
        <f>IF(AF18=0,"—",IF(AF18&gt;AR18+DATOS!$C$46*2.12*SQRT(DATOS!$C$31)*N18*AG18/1000,"SECCIÓN INSUFICIENTE","E No. "&amp;TEXT(DATOS!$C$95,"0.0")&amp;" @ "&amp;TEXT(AS18,"0.0")&amp;" cm"))</f>
        <v>E No. 2.5 @ 10.0 cm</v>
      </c>
      <c r="AU18" s="68">
        <f>IF(L18="APOYADA",G18*100/16,IF(L18="VOLADO",G18*100/8,0))</f>
        <v>27.04375</v>
      </c>
      <c r="AV18" s="68">
        <f>SQRT(MAX(AD18,AE18)*1E5/(DATOS!$C$45*N18*DATOS!$C$38*(DATOS!$C$70*DATOS!$C$32/DATOS!$C$38)*(1-(DATOS!$C$70*DATOS!$C$32/DATOS!$C$38)/2)))+(O18-AG18)</f>
        <v>29.2615048470992</v>
      </c>
      <c r="AW18" s="56">
        <f>IF(OR(L18="BORDE DE VOLADO",L18="SIN APOYO"),0,CEILING(MAX(AU18,AV18,DATOS!$C$15),5))</f>
        <v>30</v>
      </c>
      <c r="AX18" s="69" t="str">
        <f>IF(L18="BORDE DE VOLADO","BORDE DE VOLADO — armado de orilla",IF(L18="SIN APOYO","SIN APOYO — REVISAR",IF(AND(AL18&lt;=1,AQ18&lt;=1,IF(AJ18=0,TRUE,AJ18&lt;=INT((AZ18+DATOS!$C$24)/(INDEX(TABLAS!$C$52:$C$58,MATCH(MAX(AI18,2),TABLAS!$B$52:$B$58,0))+DATOS!$C$24))),IF(AO18=0,TRUE,AO18&lt;=INT((AZ18+DATOS!$C$24)/(INDEX(TABLAS!$C$52:$C$58,MATCH(MAX(AN18,2),TABLAS!$B$52:$B$58,0))+DATOS!$C$24))),AT18&lt;&gt;"SECCIÓN INSUFICIENTE",O18&gt;=AU18),"CUMPLE"&amp;IF(L18="VOLADO"," (en VOLADO)",""),"NO CUMPLE: "&amp;IF(OR(AH18&lt;0,AM18&lt;0),"sección insuficiente en flexión ",IF(OR(AL18&gt;1,AQ18&gt;1),"flexión ",""))&amp;IF(NOT(AND(IF(AJ18=0,TRUE,AJ18&lt;=INT((AZ18+DATOS!$C$24)/(INDEX(TABLAS!$C$52:$C$58,MATCH(MAX(AI18,2),TABLAS!$B$52:$B$58,0))+DATOS!$C$24))),IF(AO18=0,TRUE,AO18&lt;=INT((AZ18+DATOS!$C$24)/(INDEX(TABLAS!$C$52:$C$58,MATCH(MAX(AN18,2),TABLAS!$B$52:$B$58,0))+DATOS!$C$24))))),"no caben ","")&amp;IF(AT18="SECCIÓN INSUFICIENTE","cortante ","")&amp;IF(O18&lt;AU18,"deflexión ","")&amp;"→ h ≥ "&amp;TEXT(AW18,"0")&amp;" cm")))</f>
        <v>NO CUMPLE: sección insuficiente en flexión deflexión → h ≥ 30 cm</v>
      </c>
      <c r="AY18" s="61" t="inlineStr">
        <is>
          <t>Extremo j en castillo propuesto C5. Recibe a NP-19. Muro de planta alta encima (4.25 m).</t>
        </is>
      </c>
      <c r="AZ18" s="41">
        <f>N18-2*DATOS!$C$18-2*INDEX(TABLAS!$C$52:$C$58,MATCH(DATOS!$C$95,TABLAS!$B$52:$B$58,0))</f>
        <v>9.42</v>
      </c>
    </row>
    <row r="19" ht="30" customHeight="1">
      <c r="B19" s="57" t="inlineStr">
        <is>
          <t>NP-11</t>
        </is>
      </c>
      <c r="C19" s="50" t="inlineStr">
        <is>
          <t>N+3.00</t>
        </is>
      </c>
      <c r="D19" s="49" t="inlineStr">
        <is>
          <t>y = 14.247</t>
        </is>
      </c>
      <c r="E19" s="50" t="inlineStr">
        <is>
          <t>(5.441, 14.247)</t>
        </is>
      </c>
      <c r="F19" s="50" t="inlineStr">
        <is>
          <t>(8.850, 14.247)</t>
        </is>
      </c>
      <c r="G19" s="53" t="n">
        <v>3.409</v>
      </c>
      <c r="H19" s="50" t="inlineStr">
        <is>
          <t>NERVADURA</t>
        </is>
      </c>
      <c r="I19" s="50" t="inlineStr">
        <is>
          <t>FIRME</t>
        </is>
      </c>
      <c r="J19" s="50" t="inlineStr">
        <is>
          <t>—</t>
        </is>
      </c>
      <c r="K19" s="50" t="inlineStr">
        <is>
          <t>—</t>
        </is>
      </c>
      <c r="L19" s="57" t="str">
        <f>IF(AND(OR(H19="FIRME",H19="NERVADURA",H19="PUNTA"),OR(I19="FIRME",I19="NERVADURA",I19="PUNTA")),"APOYADA",IF(OR(OR(H19="FIRME",H19="NERVADURA",H19="PUNTA"),OR(I19="FIRME",I19="NERVADURA",I19="PUNTA")),"VOLADO","SIN APOYO"))</f>
        <v>APOYADA</v>
      </c>
      <c r="M19" s="50" t="str">
        <f>IF(L19="VOLADO",IF(OR(H19="FIRME",H19="NERVADURA",H19="PUNTA"),"i","j"),"—")</f>
        <v>—</v>
      </c>
      <c r="N19" s="54">
        <f>DATOS!$C$17</f>
        <v>15</v>
      </c>
      <c r="O19" s="54">
        <f>DATOS!$C$15</f>
        <v>25</v>
      </c>
      <c r="P19" s="41">
        <f>SUMIFS(TRIB!$E$6:$E$255,TRIB!$B$6:$B$255,B19)</f>
        <v>0</v>
      </c>
      <c r="Q19" s="34">
        <f>SUMIFS(TRIB!$G$6:$G$255,TRIB!$B$6:$B$255,B19)/G19</f>
        <v>0</v>
      </c>
      <c r="R19" s="66" t="n">
        <v>2.603</v>
      </c>
      <c r="S19" s="34">
        <f>DATOS!$C$43*R19*DATOS!$C$89/G19</f>
        <v>0.941764483719566</v>
      </c>
      <c r="T19" s="58" t="n">
        <v>0</v>
      </c>
      <c r="U19" s="58" t="n">
        <v>0</v>
      </c>
      <c r="V19" s="34">
        <f>(DATOS!$C$43*T19+DATOS!$C$44*U19)/1000</f>
        <v>0</v>
      </c>
      <c r="W19" s="34">
        <f>DATOS!$C$43*(N19/100*O19/100*DATOS!$C$35-N19/100*DATOS!$C$58/1000)</f>
        <v>0.0694836734693878</v>
      </c>
      <c r="X19" s="67">
        <f>Q19+S19+V19+W19</f>
        <v>1.01124815718895</v>
      </c>
      <c r="Y19" s="34">
        <f>0</f>
        <v>0</v>
      </c>
      <c r="Z19" s="34">
        <f>0</f>
        <v>0</v>
      </c>
      <c r="AA19" s="34">
        <f>0</f>
        <v>0</v>
      </c>
      <c r="AB19" s="34">
        <f>IF(L19="APOYADA",X19*G19/2+0,IF(AND(L19="VOLADO",M19="i"),X19*G19+Y19,0))</f>
        <v>1.72367248392857</v>
      </c>
      <c r="AC19" s="34">
        <f>IF(L19="APOYADA",X19*G19/2+0,IF(AND(L19="VOLADO",M19="j"),X19*G19+Y19,0))</f>
        <v>1.72367248392857</v>
      </c>
      <c r="AD19" s="67">
        <f>IF(L19="APOYADA",X19*G19^2/8+Z19,0)</f>
        <v>1.46899987442813</v>
      </c>
      <c r="AE19" s="67">
        <f>IF(L19="APOYADA",DATOS!$C$52*AD19,IF(L19="VOLADO",X19*G19^2/2+Z19,0))</f>
        <v>0.979822916243559</v>
      </c>
      <c r="AF19" s="67">
        <f>IF(L19="APOYADA",X19*G19/2+AA19,IF(L19="VOLADO",X19*G19+AA19,0))</f>
        <v>1.72367248392857</v>
      </c>
      <c r="AG19" s="41">
        <f>O19-DATOS!$C$18-INDEX(TABLAS!$C$52:$C$58,MATCH(DATOS!$C$95,TABLAS!$B$52:$B$58,0))-INDEX(TABLAS!$C$52:$C$58,MATCH(DATOS!$C$94,TABLAS!$B$52:$B$58,0))/2</f>
        <v>21.575</v>
      </c>
      <c r="AH19" s="41">
        <f>IF(OR(L19="BORDE DE VOLADO",L19="SIN APOYO"),0,IF(AD19&lt;=0,DATOS!$C$71*N19*AG19,IF((1-2*AD19*1E5/(DATOS!$C$45*N19*AG19^2*DATOS!$C$38))&lt;0,-1,IF((1-SQRT((1-2*AD19*1E5/(DATOS!$C$45*N19*AG19^2*DATOS!$C$38))))*DATOS!$C$38*N19*AG19/DATOS!$C$32&gt;DATOS!$C$70*N19*AG19,-1,MAX(DATOS!$C$71*N19*AG19,(1-SQRT((1-2*AD19*1E5/(DATOS!$C$45*N19*AG19^2*DATOS!$C$38))))*DATOS!$C$38*N19*AG19/DATOS!$C$32)))))</f>
        <v>1.91302444091463</v>
      </c>
      <c r="AI19" s="39">
        <f>IF(AH19&lt;0,0,IF(AND(AH19&gt;=0,CEILING(AH19/INDEX(TABLAS!$D$52:$D$58,MIN(MATCH(DATOS!$C$94,TABLAS!$B$52:$B$58,0)+0,7)),1)&lt;=MIN(99,INT((AZ19+DATOS!$C$24)/(INDEX(TABLAS!$C$52:$C$58,MIN(MATCH(DATOS!$C$94,TABLAS!$B$52:$B$58,0)+0,7))+DATOS!$C$24)))),INDEX(TABLAS!$B$52:$B$58,MIN(MATCH(DATOS!$C$94,TABLAS!$B$52:$B$58,0)+0,7)),IF(AND(AH19&gt;=0,CEILING(AH19/INDEX(TABLAS!$D$52:$D$58,MIN(MATCH(DATOS!$C$94,TABLAS!$B$52:$B$58,0)+1,7)),1)&lt;=MIN(99,INT((AZ19+DATOS!$C$24)/(INDEX(TABLAS!$C$52:$C$58,MIN(MATCH(DATOS!$C$94,TABLAS!$B$52:$B$58,0)+1,7))+DATOS!$C$24)))),INDEX(TABLAS!$B$52:$B$58,MIN(MATCH(DATOS!$C$94,TABLAS!$B$52:$B$58,0)+1,7)),IF(AND(AH19&gt;=0,CEILING(AH19/INDEX(TABLAS!$D$52:$D$58,MIN(MATCH(DATOS!$C$94,TABLAS!$B$52:$B$58,0)+2,7)),1)&lt;=MIN(99,INT((AZ19+DATOS!$C$24)/(INDEX(TABLAS!$C$52:$C$58,MIN(MATCH(DATOS!$C$94,TABLAS!$B$52:$B$58,0)+2,7))+DATOS!$C$24)))),INDEX(TABLAS!$B$52:$B$58,MIN(MATCH(DATOS!$C$94,TABLAS!$B$52:$B$58,0)+2,7)),IF(AND(AH19&gt;=0,CEILING(AH19/INDEX(TABLAS!$D$52:$D$58,MIN(MATCH(DATOS!$C$94,TABLAS!$B$52:$B$58,0)+3,7)),1)&lt;=MIN(99,INT((AZ19+DATOS!$C$24)/(INDEX(TABLAS!$C$52:$C$58,MIN(MATCH(DATOS!$C$94,TABLAS!$B$52:$B$58,0)+3,7))+DATOS!$C$24)))),INDEX(TABLAS!$B$52:$B$58,MIN(MATCH(DATOS!$C$94,TABLAS!$B$52:$B$58,0)+3,7)),IF(AND(AH19&gt;=0,CEILING(AH19/INDEX(TABLAS!$D$52:$D$58,MIN(MATCH(DATOS!$C$94,TABLAS!$B$52:$B$58,0)+4,7)),1)&lt;=MIN(99,INT((AZ19+DATOS!$C$24)/(INDEX(TABLAS!$C$52:$C$58,MIN(MATCH(DATOS!$C$94,TABLAS!$B$52:$B$58,0)+4,7))+DATOS!$C$24)))),INDEX(TABLAS!$B$52:$B$58,MIN(MATCH(DATOS!$C$94,TABLAS!$B$52:$B$58,0)+4,7)),INDEX(TABLAS!$B$52:$B$58,7)))))))</f>
        <v>4</v>
      </c>
      <c r="AJ19" s="55">
        <f>IF(AH19&lt;=0,0,MAX(DATOS!$C$96,CEILING(AH19/INDEX(TABLAS!$D$52:$D$58,MATCH(IF(AI19=0,8,AI19),TABLAS!$B$52:$B$58,0)),1)))</f>
        <v>2</v>
      </c>
      <c r="AK19" s="34">
        <f>IF(AJ19=0,0,DATOS!$C$45*AJ19*INDEX(TABLAS!$D$52:$D$58,MATCH(AI19,TABLAS!$B$52:$B$58,0))*DATOS!$C$32*((O19-DATOS!$C$18-INDEX(TABLAS!$C$52:$C$58,MATCH(DATOS!$C$95,TABLAS!$B$52:$B$58,0))-INDEX(TABLAS!$C$52:$C$58,MATCH(AI19,TABLAS!$B$52:$B$58,0))/2)-AJ19*INDEX(TABLAS!$D$52:$D$58,MATCH(AI19,TABLAS!$B$52:$B$58,0))*DATOS!$C$32/(DATOS!$C$38*N19)/2)/1E5)</f>
        <v>1.91079128964706</v>
      </c>
      <c r="AL19" s="59">
        <f>IF(AH19&lt;0,9.99,IF(AK19&gt;0,AD19/AK19,0))</f>
        <v>0.76879138103014</v>
      </c>
      <c r="AM19" s="41">
        <f>IF(OR(L19="BORDE DE VOLADO",L19="SIN APOYO"),0,IF(AE19&lt;=0,DATOS!$C$71*N19*AG19,IF((1-2*AE19*1E5/(DATOS!$C$45*N19*AG19^2*DATOS!$C$38))&lt;0,-1,IF((1-SQRT((1-2*AE19*1E5/(DATOS!$C$45*N19*AG19^2*DATOS!$C$38))))*DATOS!$C$38*N19*AG19/DATOS!$C$32&gt;DATOS!$C$70*N19*AG19,-1,MAX(DATOS!$C$71*N19*AG19,(1-SQRT((1-2*AE19*1E5/(DATOS!$C$45*N19*AG19^2*DATOS!$C$38))))*DATOS!$C$38*N19*AG19/DATOS!$C$32)))))</f>
        <v>1.24909190209988</v>
      </c>
      <c r="AN19" s="39">
        <f>IF(AM19&lt;0,0,IF(AND(AM19&gt;=0,CEILING(AM19/INDEX(TABLAS!$D$52:$D$58,MIN(MATCH(DATOS!$C$94,TABLAS!$B$52:$B$58,0)+0,7)),1)&lt;=MIN(99,INT((AZ19+DATOS!$C$24)/(INDEX(TABLAS!$C$52:$C$58,MIN(MATCH(DATOS!$C$94,TABLAS!$B$52:$B$58,0)+0,7))+DATOS!$C$24)))),INDEX(TABLAS!$B$52:$B$58,MIN(MATCH(DATOS!$C$94,TABLAS!$B$52:$B$58,0)+0,7)),IF(AND(AM19&gt;=0,CEILING(AM19/INDEX(TABLAS!$D$52:$D$58,MIN(MATCH(DATOS!$C$94,TABLAS!$B$52:$B$58,0)+1,7)),1)&lt;=MIN(99,INT((AZ19+DATOS!$C$24)/(INDEX(TABLAS!$C$52:$C$58,MIN(MATCH(DATOS!$C$94,TABLAS!$B$52:$B$58,0)+1,7))+DATOS!$C$24)))),INDEX(TABLAS!$B$52:$B$58,MIN(MATCH(DATOS!$C$94,TABLAS!$B$52:$B$58,0)+1,7)),IF(AND(AM19&gt;=0,CEILING(AM19/INDEX(TABLAS!$D$52:$D$58,MIN(MATCH(DATOS!$C$94,TABLAS!$B$52:$B$58,0)+2,7)),1)&lt;=MIN(99,INT((AZ19+DATOS!$C$24)/(INDEX(TABLAS!$C$52:$C$58,MIN(MATCH(DATOS!$C$94,TABLAS!$B$52:$B$58,0)+2,7))+DATOS!$C$24)))),INDEX(TABLAS!$B$52:$B$58,MIN(MATCH(DATOS!$C$94,TABLAS!$B$52:$B$58,0)+2,7)),IF(AND(AM19&gt;=0,CEILING(AM19/INDEX(TABLAS!$D$52:$D$58,MIN(MATCH(DATOS!$C$94,TABLAS!$B$52:$B$58,0)+3,7)),1)&lt;=MIN(99,INT((AZ19+DATOS!$C$24)/(INDEX(TABLAS!$C$52:$C$58,MIN(MATCH(DATOS!$C$94,TABLAS!$B$52:$B$58,0)+3,7))+DATOS!$C$24)))),INDEX(TABLAS!$B$52:$B$58,MIN(MATCH(DATOS!$C$94,TABLAS!$B$52:$B$58,0)+3,7)),IF(AND(AM19&gt;=0,CEILING(AM19/INDEX(TABLAS!$D$52:$D$58,MIN(MATCH(DATOS!$C$94,TABLAS!$B$52:$B$58,0)+4,7)),1)&lt;=MIN(99,INT((AZ19+DATOS!$C$24)/(INDEX(TABLAS!$C$52:$C$58,MIN(MATCH(DATOS!$C$94,TABLAS!$B$52:$B$58,0)+4,7))+DATOS!$C$24)))),INDEX(TABLAS!$B$52:$B$58,MIN(MATCH(DATOS!$C$94,TABLAS!$B$52:$B$58,0)+4,7)),INDEX(TABLAS!$B$52:$B$58,7)))))))</f>
        <v>4</v>
      </c>
      <c r="AO19" s="55">
        <f>IF(AM19&lt;=0,0,MAX(DATOS!$C$96,CEILING(AM19/INDEX(TABLAS!$D$52:$D$58,MATCH(IF(AN19=0,8,AN19),TABLAS!$B$52:$B$58,0)),1)))</f>
        <v>2</v>
      </c>
      <c r="AP19" s="34">
        <f>IF(AO19=0,0,DATOS!$C$45*AO19*INDEX(TABLAS!$D$52:$D$58,MATCH(AN19,TABLAS!$B$52:$B$58,0))*DATOS!$C$32*((O19-DATOS!$C$18-INDEX(TABLAS!$C$52:$C$58,MATCH(DATOS!$C$95,TABLAS!$B$52:$B$58,0))-INDEX(TABLAS!$C$52:$C$58,MATCH(AN19,TABLAS!$B$52:$B$58,0))/2)-AO19*INDEX(TABLAS!$D$52:$D$58,MATCH(AN19,TABLAS!$B$52:$B$58,0))*DATOS!$C$32/(DATOS!$C$38*N19)/2)/1E5)</f>
        <v>1.91079128964706</v>
      </c>
      <c r="AQ19" s="59">
        <f>IF(AM19&lt;0,9.99,IF(AP19&gt;0,AE19/AP19,0))</f>
        <v>0.512783851147104</v>
      </c>
      <c r="AR19" s="34">
        <f>IF(AO19=0,0,DATOS!$C$46*IF((AO19*INDEX(TABLAS!$D$52:$D$58,MATCH(AN19,TABLAS!$B$52:$B$58,0))/(N19*AG19))&lt;0.015,0.2+20*(AO19*INDEX(TABLAS!$D$52:$D$58,MATCH(AN19,TABLAS!$B$52:$B$58,0))/(N19*AG19)),0.5)*SQRT(DATOS!$C$31)*N19*AG19/1000)</f>
        <v>1.36995797509107</v>
      </c>
      <c r="AS19" s="68">
        <f>IF(AF19=0,0,INT(MIN(IF(AF19&gt;AR19,DATOS!$C$46*2*INDEX(TABLAS!$D$52:$D$58,MATCH(DATOS!$C$95,TABLAS!$B$52:$B$58,0))*DATOS!$C$32*AG19/((AF19-AR19)*1000),999),AG19/2,DATOS!$C$97,2*INDEX(TABLAS!$D$52:$D$58,MATCH(DATOS!$C$95,TABLAS!$B$52:$B$58,0))*DATOS!$C$32/(MAX(0.2*SQRT(DATOS!$C$31),3.5)*N19))/2.5)*2.5)</f>
        <v>10</v>
      </c>
      <c r="AT19" s="49" t="str">
        <f>IF(AF19=0,"—",IF(AF19&gt;AR19+DATOS!$C$46*2.12*SQRT(DATOS!$C$31)*N19*AG19/1000,"SECCIÓN INSUFICIENTE","E No. "&amp;TEXT(DATOS!$C$95,"0.0")&amp;" @ "&amp;TEXT(AS19,"0.0")&amp;" cm"))</f>
        <v>E No. 2.5 @ 10.0 cm</v>
      </c>
      <c r="AU19" s="68">
        <f>IF(L19="APOYADA",G19*100/16,IF(L19="VOLADO",G19*100/8,0))</f>
        <v>21.30625</v>
      </c>
      <c r="AV19" s="68">
        <f>SQRT(MAX(AD19,AE19)*1E5/(DATOS!$C$45*N19*DATOS!$C$38*(DATOS!$C$70*DATOS!$C$32/DATOS!$C$38)*(1-(DATOS!$C$70*DATOS!$C$32/DATOS!$C$38)/2)))+(O19-AG19)</f>
        <v>16.3889458760825</v>
      </c>
      <c r="AW19" s="56">
        <f>IF(OR(L19="BORDE DE VOLADO",L19="SIN APOYO"),0,CEILING(MAX(AU19,AV19,DATOS!$C$15),5))</f>
        <v>25</v>
      </c>
      <c r="AX19" s="69" t="str">
        <f>IF(L19="BORDE DE VOLADO","BORDE DE VOLADO — armado de orilla",IF(L19="SIN APOYO","SIN APOYO — REVISAR",IF(AND(AL19&lt;=1,AQ19&lt;=1,IF(AJ19=0,TRUE,AJ19&lt;=INT((AZ19+DATOS!$C$24)/(INDEX(TABLAS!$C$52:$C$58,MATCH(MAX(AI19,2),TABLAS!$B$52:$B$58,0))+DATOS!$C$24))),IF(AO19=0,TRUE,AO19&lt;=INT((AZ19+DATOS!$C$24)/(INDEX(TABLAS!$C$52:$C$58,MATCH(MAX(AN19,2),TABLAS!$B$52:$B$58,0))+DATOS!$C$24))),AT19&lt;&gt;"SECCIÓN INSUFICIENTE",O19&gt;=AU19),"CUMPLE"&amp;IF(L19="VOLADO"," (en VOLADO)",""),"NO CUMPLE: "&amp;IF(OR(AH19&lt;0,AM19&lt;0),"sección insuficiente en flexión ",IF(OR(AL19&gt;1,AQ19&gt;1),"flexión ",""))&amp;IF(NOT(AND(IF(AJ19=0,TRUE,AJ19&lt;=INT((AZ19+DATOS!$C$24)/(INDEX(TABLAS!$C$52:$C$58,MATCH(MAX(AI19,2),TABLAS!$B$52:$B$58,0))+DATOS!$C$24))),IF(AO19=0,TRUE,AO19&lt;=INT((AZ19+DATOS!$C$24)/(INDEX(TABLAS!$C$52:$C$58,MATCH(MAX(AN19,2),TABLAS!$B$52:$B$58,0))+DATOS!$C$24))))),"no caben ","")&amp;IF(AT19="SECCIÓN INSUFICIENTE","cortante ","")&amp;IF(O19&lt;AU19,"deflexión ","")&amp;"→ h ≥ "&amp;TEXT(AW19,"0")&amp;" cm")))</f>
        <v>CUMPLE</v>
      </c>
      <c r="AY19" s="61" t="inlineStr">
        <is>
          <t>Extremo i se apoya en NP-26. Muro de planta alta encima (2.60 m). PROPUESTO: la dala bajo el muro de y = 14.247 se prolonga hasta la nervadura del eje F (x = 5.44); en el modelo remata suelta dentro de F80009.</t>
        </is>
      </c>
      <c r="AZ19" s="41">
        <f>N19-2*DATOS!$C$18-2*INDEX(TABLAS!$C$52:$C$58,MATCH(DATOS!$C$95,TABLAS!$B$52:$B$58,0))</f>
        <v>9.42</v>
      </c>
    </row>
    <row r="20" ht="30" customHeight="1">
      <c r="B20" s="57" t="inlineStr">
        <is>
          <t>NP-12</t>
        </is>
      </c>
      <c r="C20" s="50" t="inlineStr">
        <is>
          <t>N+3.00</t>
        </is>
      </c>
      <c r="D20" s="49" t="inlineStr">
        <is>
          <t>y = 15.846</t>
        </is>
      </c>
      <c r="E20" s="50" t="inlineStr">
        <is>
          <t>(0.000, 15.846)</t>
        </is>
      </c>
      <c r="F20" s="50" t="inlineStr">
        <is>
          <t>(3.427, 15.846)</t>
        </is>
      </c>
      <c r="G20" s="53" t="n">
        <v>3.427</v>
      </c>
      <c r="H20" s="50" t="inlineStr">
        <is>
          <t>FIRME</t>
        </is>
      </c>
      <c r="I20" s="50" t="str">
        <f>IF(APOYOS!$C$24="SÍ","FIRME","LIBRE")</f>
        <v>FIRME</v>
      </c>
      <c r="J20" s="50" t="inlineStr">
        <is>
          <t>—</t>
        </is>
      </c>
      <c r="K20" s="50" t="inlineStr">
        <is>
          <t>C8</t>
        </is>
      </c>
      <c r="L20" s="57" t="str">
        <f>IF(AND(OR(H20="FIRME",H20="NERVADURA",H20="PUNTA"),OR(I20="FIRME",I20="NERVADURA",I20="PUNTA")),"APOYADA",IF(OR(OR(H20="FIRME",H20="NERVADURA",H20="PUNTA"),OR(I20="FIRME",I20="NERVADURA",I20="PUNTA")),"VOLADO","SIN APOYO"))</f>
        <v>APOYADA</v>
      </c>
      <c r="M20" s="50" t="str">
        <f>IF(L20="VOLADO",IF(OR(H20="FIRME",H20="NERVADURA",H20="PUNTA"),"i","j"),"—")</f>
        <v>—</v>
      </c>
      <c r="N20" s="54">
        <f>DATOS!$C$17</f>
        <v>15</v>
      </c>
      <c r="O20" s="54">
        <f>DATOS!$C$15</f>
        <v>25</v>
      </c>
      <c r="P20" s="41">
        <f>SUMIFS(TRIB!$E$6:$E$255,TRIB!$B$6:$B$255,B20)</f>
        <v>4.1569</v>
      </c>
      <c r="Q20" s="34">
        <f>SUMIFS(TRIB!$G$6:$G$255,TRIB!$B$6:$B$255,B20)/G20</f>
        <v>1.11499699981539</v>
      </c>
      <c r="R20" s="66" t="n">
        <v>3.427</v>
      </c>
      <c r="S20" s="34">
        <f>DATOS!$C$43*R20*DATOS!$C$89/G20</f>
        <v>1.233375</v>
      </c>
      <c r="T20" s="58" t="n">
        <v>0</v>
      </c>
      <c r="U20" s="58" t="n">
        <v>0</v>
      </c>
      <c r="V20" s="34">
        <f>(DATOS!$C$43*T20+DATOS!$C$44*U20)/1000</f>
        <v>0</v>
      </c>
      <c r="W20" s="34">
        <f>DATOS!$C$43*(N20/100*O20/100*DATOS!$C$35-N20/100*DATOS!$C$58/1000)</f>
        <v>0.0694836734693878</v>
      </c>
      <c r="X20" s="67">
        <f>Q20+S20+V20+W20</f>
        <v>2.41785567328478</v>
      </c>
      <c r="Y20" s="34">
        <f>TRANSFER!$F$9</f>
        <v>1.74122848163265</v>
      </c>
      <c r="Z20" s="34">
        <f>TRANSFER!$H$9</f>
        <v>0.612525260053806</v>
      </c>
      <c r="AA20" s="34">
        <f>TRANSFER!$I$9</f>
        <v>1.53900819108996</v>
      </c>
      <c r="AB20" s="34">
        <f>IF(L20="APOYADA",X20*G20/2+TRANSFER!$J$9,IF(AND(L20="VOLADO",M20="i"),X20*G20+Y20,0))</f>
        <v>4.34521598671616</v>
      </c>
      <c r="AC20" s="34">
        <f>IF(L20="APOYADA",X20*G20/2+TRANSFER!$K$9,IF(AND(L20="VOLADO",M20="j"),X20*G20+Y20,0))</f>
        <v>5.68200388726343</v>
      </c>
      <c r="AD20" s="67">
        <f>IF(L20="APOYADA",X20*G20^2/8+Z20,0)</f>
        <v>4.16203682275043</v>
      </c>
      <c r="AE20" s="67">
        <f>IF(L20="APOYADA",DATOS!$C$52*AD20,IF(L20="VOLADO",X20*G20^2/2+Z20,0))</f>
        <v>2.77607856077454</v>
      </c>
      <c r="AF20" s="67">
        <f>IF(L20="APOYADA",X20*G20/2+AA20,IF(L20="VOLADO",X20*G20+AA20,0))</f>
        <v>5.68200388726343</v>
      </c>
      <c r="AG20" s="41">
        <f>O20-DATOS!$C$18-INDEX(TABLAS!$C$52:$C$58,MATCH(DATOS!$C$95,TABLAS!$B$52:$B$58,0))-INDEX(TABLAS!$C$52:$C$58,MATCH(DATOS!$C$94,TABLAS!$B$52:$B$58,0))/2</f>
        <v>21.575</v>
      </c>
      <c r="AH20" s="41">
        <f>IF(OR(L20="BORDE DE VOLADO",L20="SIN APOYO"),0,IF(AD20&lt;=0,DATOS!$C$71*N20*AG20,IF((1-2*AD20*1E5/(DATOS!$C$45*N20*AG20^2*DATOS!$C$38))&lt;0,-1,IF((1-SQRT((1-2*AD20*1E5/(DATOS!$C$45*N20*AG20^2*DATOS!$C$38))))*DATOS!$C$38*N20*AG20/DATOS!$C$32&gt;DATOS!$C$70*N20*AG20,-1,MAX(DATOS!$C$71*N20*AG20,(1-SQRT((1-2*AD20*1E5/(DATOS!$C$45*N20*AG20^2*DATOS!$C$38))))*DATOS!$C$38*N20*AG20/DATOS!$C$32)))))</f>
        <v>-1</v>
      </c>
      <c r="AI20" s="39">
        <f>IF(AH20&lt;0,0,IF(AND(AH20&gt;=0,CEILING(AH20/INDEX(TABLAS!$D$52:$D$58,MIN(MATCH(DATOS!$C$94,TABLAS!$B$52:$B$58,0)+0,7)),1)&lt;=MIN(99,INT((AZ20+DATOS!$C$24)/(INDEX(TABLAS!$C$52:$C$58,MIN(MATCH(DATOS!$C$94,TABLAS!$B$52:$B$58,0)+0,7))+DATOS!$C$24)))),INDEX(TABLAS!$B$52:$B$58,MIN(MATCH(DATOS!$C$94,TABLAS!$B$52:$B$58,0)+0,7)),IF(AND(AH20&gt;=0,CEILING(AH20/INDEX(TABLAS!$D$52:$D$58,MIN(MATCH(DATOS!$C$94,TABLAS!$B$52:$B$58,0)+1,7)),1)&lt;=MIN(99,INT((AZ20+DATOS!$C$24)/(INDEX(TABLAS!$C$52:$C$58,MIN(MATCH(DATOS!$C$94,TABLAS!$B$52:$B$58,0)+1,7))+DATOS!$C$24)))),INDEX(TABLAS!$B$52:$B$58,MIN(MATCH(DATOS!$C$94,TABLAS!$B$52:$B$58,0)+1,7)),IF(AND(AH20&gt;=0,CEILING(AH20/INDEX(TABLAS!$D$52:$D$58,MIN(MATCH(DATOS!$C$94,TABLAS!$B$52:$B$58,0)+2,7)),1)&lt;=MIN(99,INT((AZ20+DATOS!$C$24)/(INDEX(TABLAS!$C$52:$C$58,MIN(MATCH(DATOS!$C$94,TABLAS!$B$52:$B$58,0)+2,7))+DATOS!$C$24)))),INDEX(TABLAS!$B$52:$B$58,MIN(MATCH(DATOS!$C$94,TABLAS!$B$52:$B$58,0)+2,7)),IF(AND(AH20&gt;=0,CEILING(AH20/INDEX(TABLAS!$D$52:$D$58,MIN(MATCH(DATOS!$C$94,TABLAS!$B$52:$B$58,0)+3,7)),1)&lt;=MIN(99,INT((AZ20+DATOS!$C$24)/(INDEX(TABLAS!$C$52:$C$58,MIN(MATCH(DATOS!$C$94,TABLAS!$B$52:$B$58,0)+3,7))+DATOS!$C$24)))),INDEX(TABLAS!$B$52:$B$58,MIN(MATCH(DATOS!$C$94,TABLAS!$B$52:$B$58,0)+3,7)),IF(AND(AH20&gt;=0,CEILING(AH20/INDEX(TABLAS!$D$52:$D$58,MIN(MATCH(DATOS!$C$94,TABLAS!$B$52:$B$58,0)+4,7)),1)&lt;=MIN(99,INT((AZ20+DATOS!$C$24)/(INDEX(TABLAS!$C$52:$C$58,MIN(MATCH(DATOS!$C$94,TABLAS!$B$52:$B$58,0)+4,7))+DATOS!$C$24)))),INDEX(TABLAS!$B$52:$B$58,MIN(MATCH(DATOS!$C$94,TABLAS!$B$52:$B$58,0)+4,7)),INDEX(TABLAS!$B$52:$B$58,7)))))))</f>
        <v>0</v>
      </c>
      <c r="AJ20" s="55">
        <f>IF(AH20&lt;=0,0,MAX(DATOS!$C$96,CEILING(AH20/INDEX(TABLAS!$D$52:$D$58,MATCH(IF(AI20=0,8,AI20),TABLAS!$B$52:$B$58,0)),1)))</f>
        <v>0</v>
      </c>
      <c r="AK20" s="34">
        <f>IF(AJ20=0,0,DATOS!$C$45*AJ20*INDEX(TABLAS!$D$52:$D$58,MATCH(AI20,TABLAS!$B$52:$B$58,0))*DATOS!$C$32*((O20-DATOS!$C$18-INDEX(TABLAS!$C$52:$C$58,MATCH(DATOS!$C$95,TABLAS!$B$52:$B$58,0))-INDEX(TABLAS!$C$52:$C$58,MATCH(AI20,TABLAS!$B$52:$B$58,0))/2)-AJ20*INDEX(TABLAS!$D$52:$D$58,MATCH(AI20,TABLAS!$B$52:$B$58,0))*DATOS!$C$32/(DATOS!$C$38*N20)/2)/1E5)</f>
        <v>0</v>
      </c>
      <c r="AL20" s="59">
        <f>IF(AH20&lt;0,9.99,IF(AK20&gt;0,AD20/AK20,0))</f>
        <v>9.99</v>
      </c>
      <c r="AM20" s="41">
        <f>IF(OR(L20="BORDE DE VOLADO",L20="SIN APOYO"),0,IF(AE20&lt;=0,DATOS!$C$71*N20*AG20,IF((1-2*AE20*1E5/(DATOS!$C$45*N20*AG20^2*DATOS!$C$38))&lt;0,-1,IF((1-SQRT((1-2*AE20*1E5/(DATOS!$C$45*N20*AG20^2*DATOS!$C$38))))*DATOS!$C$38*N20*AG20/DATOS!$C$32&gt;DATOS!$C$70*N20*AG20,-1,MAX(DATOS!$C$71*N20*AG20,(1-SQRT((1-2*AE20*1E5/(DATOS!$C$45*N20*AG20^2*DATOS!$C$38))))*DATOS!$C$38*N20*AG20/DATOS!$C$32)))))</f>
        <v>3.85866212912707</v>
      </c>
      <c r="AN20" s="39">
        <f>IF(AM20&lt;0,0,IF(AND(AM20&gt;=0,CEILING(AM20/INDEX(TABLAS!$D$52:$D$58,MIN(MATCH(DATOS!$C$94,TABLAS!$B$52:$B$58,0)+0,7)),1)&lt;=MIN(99,INT((AZ20+DATOS!$C$24)/(INDEX(TABLAS!$C$52:$C$58,MIN(MATCH(DATOS!$C$94,TABLAS!$B$52:$B$58,0)+0,7))+DATOS!$C$24)))),INDEX(TABLAS!$B$52:$B$58,MIN(MATCH(DATOS!$C$94,TABLAS!$B$52:$B$58,0)+0,7)),IF(AND(AM20&gt;=0,CEILING(AM20/INDEX(TABLAS!$D$52:$D$58,MIN(MATCH(DATOS!$C$94,TABLAS!$B$52:$B$58,0)+1,7)),1)&lt;=MIN(99,INT((AZ20+DATOS!$C$24)/(INDEX(TABLAS!$C$52:$C$58,MIN(MATCH(DATOS!$C$94,TABLAS!$B$52:$B$58,0)+1,7))+DATOS!$C$24)))),INDEX(TABLAS!$B$52:$B$58,MIN(MATCH(DATOS!$C$94,TABLAS!$B$52:$B$58,0)+1,7)),IF(AND(AM20&gt;=0,CEILING(AM20/INDEX(TABLAS!$D$52:$D$58,MIN(MATCH(DATOS!$C$94,TABLAS!$B$52:$B$58,0)+2,7)),1)&lt;=MIN(99,INT((AZ20+DATOS!$C$24)/(INDEX(TABLAS!$C$52:$C$58,MIN(MATCH(DATOS!$C$94,TABLAS!$B$52:$B$58,0)+2,7))+DATOS!$C$24)))),INDEX(TABLAS!$B$52:$B$58,MIN(MATCH(DATOS!$C$94,TABLAS!$B$52:$B$58,0)+2,7)),IF(AND(AM20&gt;=0,CEILING(AM20/INDEX(TABLAS!$D$52:$D$58,MIN(MATCH(DATOS!$C$94,TABLAS!$B$52:$B$58,0)+3,7)),1)&lt;=MIN(99,INT((AZ20+DATOS!$C$24)/(INDEX(TABLAS!$C$52:$C$58,MIN(MATCH(DATOS!$C$94,TABLAS!$B$52:$B$58,0)+3,7))+DATOS!$C$24)))),INDEX(TABLAS!$B$52:$B$58,MIN(MATCH(DATOS!$C$94,TABLAS!$B$52:$B$58,0)+3,7)),IF(AND(AM20&gt;=0,CEILING(AM20/INDEX(TABLAS!$D$52:$D$58,MIN(MATCH(DATOS!$C$94,TABLAS!$B$52:$B$58,0)+4,7)),1)&lt;=MIN(99,INT((AZ20+DATOS!$C$24)/(INDEX(TABLAS!$C$52:$C$58,MIN(MATCH(DATOS!$C$94,TABLAS!$B$52:$B$58,0)+4,7))+DATOS!$C$24)))),INDEX(TABLAS!$B$52:$B$58,MIN(MATCH(DATOS!$C$94,TABLAS!$B$52:$B$58,0)+4,7)),INDEX(TABLAS!$B$52:$B$58,7)))))))</f>
        <v>5</v>
      </c>
      <c r="AO20" s="55">
        <f>IF(AM20&lt;=0,0,MAX(DATOS!$C$96,CEILING(AM20/INDEX(TABLAS!$D$52:$D$58,MATCH(IF(AN20=0,8,AN20),TABLAS!$B$52:$B$58,0)),1)))</f>
        <v>2</v>
      </c>
      <c r="AP20" s="34">
        <f>IF(AO20=0,0,DATOS!$C$45*AO20*INDEX(TABLAS!$D$52:$D$58,MATCH(AN20,TABLAS!$B$52:$B$58,0))*DATOS!$C$32*((O20-DATOS!$C$18-INDEX(TABLAS!$C$52:$C$58,MATCH(DATOS!$C$95,TABLAS!$B$52:$B$58,0))-INDEX(TABLAS!$C$52:$C$58,MATCH(AN20,TABLAS!$B$52:$B$58,0))/2)-AO20*INDEX(TABLAS!$D$52:$D$58,MATCH(AN20,TABLAS!$B$52:$B$58,0))*DATOS!$C$32/(DATOS!$C$38*N20)/2)/1E5)</f>
        <v>2.81504133317647</v>
      </c>
      <c r="AQ20" s="59">
        <f>IF(AM20&lt;0,9.99,IF(AP20&gt;0,AE20/AP20,0))</f>
        <v>0.986159076265509</v>
      </c>
      <c r="AR20" s="34">
        <f>IF(AO20=0,0,DATOS!$C$46*IF((AO20*INDEX(TABLAS!$D$52:$D$58,MATCH(AN20,TABLAS!$B$52:$B$58,0))/(N20*AG20))&lt;0.015,0.2+20*(AO20*INDEX(TABLAS!$D$52:$D$58,MATCH(AN20,TABLAS!$B$52:$B$58,0))/(N20*AG20)),0.5)*SQRT(DATOS!$C$31)*N20*AG20/1000)</f>
        <v>1.706740545899</v>
      </c>
      <c r="AS20" s="68">
        <f>IF(AF20=0,0,INT(MIN(IF(AF20&gt;AR20,DATOS!$C$46*2*INDEX(TABLAS!$D$52:$D$58,MATCH(DATOS!$C$95,TABLAS!$B$52:$B$58,0))*DATOS!$C$32*AG20/((AF20-AR20)*1000),999),AG20/2,DATOS!$C$97,2*INDEX(TABLAS!$D$52:$D$58,MATCH(DATOS!$C$95,TABLAS!$B$52:$B$58,0))*DATOS!$C$32/(MAX(0.2*SQRT(DATOS!$C$31),3.5)*N20))/2.5)*2.5)</f>
        <v>10</v>
      </c>
      <c r="AT20" s="49" t="str">
        <f>IF(AF20=0,"—",IF(AF20&gt;AR20+DATOS!$C$46*2.12*SQRT(DATOS!$C$31)*N20*AG20/1000,"SECCIÓN INSUFICIENTE","E No. "&amp;TEXT(DATOS!$C$95,"0.0")&amp;" @ "&amp;TEXT(AS20,"0.0")&amp;" cm"))</f>
        <v>E No. 2.5 @ 10.0 cm</v>
      </c>
      <c r="AU20" s="68">
        <f>IF(L20="APOYADA",G20*100/16,IF(L20="VOLADO",G20*100/8,0))</f>
        <v>21.41875</v>
      </c>
      <c r="AV20" s="68">
        <f>SQRT(MAX(AD20,AE20)*1E5/(DATOS!$C$45*N20*DATOS!$C$38*(DATOS!$C$70*DATOS!$C$32/DATOS!$C$38)*(1-(DATOS!$C$70*DATOS!$C$32/DATOS!$C$38)/2)))+(O20-AG20)</f>
        <v>25.2462331206052</v>
      </c>
      <c r="AW20" s="56">
        <f>IF(OR(L20="BORDE DE VOLADO",L20="SIN APOYO"),0,CEILING(MAX(AU20,AV20,DATOS!$C$15),5))</f>
        <v>30</v>
      </c>
      <c r="AX20" s="69" t="str">
        <f>IF(L20="BORDE DE VOLADO","BORDE DE VOLADO — armado de orilla",IF(L20="SIN APOYO","SIN APOYO — REVISAR",IF(AND(AL20&lt;=1,AQ20&lt;=1,IF(AJ20=0,TRUE,AJ20&lt;=INT((AZ20+DATOS!$C$24)/(INDEX(TABLAS!$C$52:$C$58,MATCH(MAX(AI20,2),TABLAS!$B$52:$B$58,0))+DATOS!$C$24))),IF(AO20=0,TRUE,AO20&lt;=INT((AZ20+DATOS!$C$24)/(INDEX(TABLAS!$C$52:$C$58,MATCH(MAX(AN20,2),TABLAS!$B$52:$B$58,0))+DATOS!$C$24))),AT20&lt;&gt;"SECCIÓN INSUFICIENTE",O20&gt;=AU20),"CUMPLE"&amp;IF(L20="VOLADO"," (en VOLADO)",""),"NO CUMPLE: "&amp;IF(OR(AH20&lt;0,AM20&lt;0),"sección insuficiente en flexión ",IF(OR(AL20&gt;1,AQ20&gt;1),"flexión ",""))&amp;IF(NOT(AND(IF(AJ20=0,TRUE,AJ20&lt;=INT((AZ20+DATOS!$C$24)/(INDEX(TABLAS!$C$52:$C$58,MATCH(MAX(AI20,2),TABLAS!$B$52:$B$58,0))+DATOS!$C$24))),IF(AO20=0,TRUE,AO20&lt;=INT((AZ20+DATOS!$C$24)/(INDEX(TABLAS!$C$52:$C$58,MATCH(MAX(AN20,2),TABLAS!$B$52:$B$58,0))+DATOS!$C$24))))),"no caben ","")&amp;IF(AT20="SECCIÓN INSUFICIENTE","cortante ","")&amp;IF(O20&lt;AU20,"deflexión ","")&amp;"→ h ≥ "&amp;TEXT(AW20,"0")&amp;" cm")))</f>
        <v>NO CUMPLE: sección insuficiente en flexión → h ≥ 30 cm</v>
      </c>
      <c r="AY20" s="61" t="inlineStr">
        <is>
          <t>Extremo j en castillo propuesto C8. Recibe a NP-18. Muro de planta alta encima (3.43 m).</t>
        </is>
      </c>
      <c r="AZ20" s="41">
        <f>N20-2*DATOS!$C$18-2*INDEX(TABLAS!$C$52:$C$58,MATCH(DATOS!$C$95,TABLAS!$B$52:$B$58,0))</f>
        <v>9.42</v>
      </c>
    </row>
    <row r="21" ht="30" customHeight="1">
      <c r="B21" s="57" t="inlineStr">
        <is>
          <t>NP-13</t>
        </is>
      </c>
      <c r="C21" s="50" t="inlineStr">
        <is>
          <t>N+3.00</t>
        </is>
      </c>
      <c r="D21" s="49" t="inlineStr">
        <is>
          <t>y = 15.846</t>
        </is>
      </c>
      <c r="E21" s="50" t="inlineStr">
        <is>
          <t>(5.422, 15.846)</t>
        </is>
      </c>
      <c r="F21" s="50" t="inlineStr">
        <is>
          <t>(8.850, 15.846)</t>
        </is>
      </c>
      <c r="G21" s="53" t="n">
        <v>3.428</v>
      </c>
      <c r="H21" s="50" t="inlineStr">
        <is>
          <t>PUNTA</t>
        </is>
      </c>
      <c r="I21" s="50" t="inlineStr">
        <is>
          <t>FIRME</t>
        </is>
      </c>
      <c r="J21" s="50" t="inlineStr">
        <is>
          <t>—</t>
        </is>
      </c>
      <c r="K21" s="50" t="inlineStr">
        <is>
          <t>—</t>
        </is>
      </c>
      <c r="L21" s="57" t="str">
        <f>IF(AND(OR(H21="FIRME",H21="NERVADURA",H21="PUNTA"),OR(I21="FIRME",I21="NERVADURA",I21="PUNTA")),"APOYADA",IF(OR(OR(H21="FIRME",H21="NERVADURA",H21="PUNTA"),OR(I21="FIRME",I21="NERVADURA",I21="PUNTA")),"VOLADO","SIN APOYO"))</f>
        <v>APOYADA</v>
      </c>
      <c r="M21" s="50" t="str">
        <f>IF(L21="VOLADO",IF(OR(H21="FIRME",H21="NERVADURA",H21="PUNTA"),"i","j"),"—")</f>
        <v>—</v>
      </c>
      <c r="N21" s="54">
        <f>DATOS!$C$17</f>
        <v>15</v>
      </c>
      <c r="O21" s="54">
        <f>DATOS!$C$15</f>
        <v>25</v>
      </c>
      <c r="P21" s="41">
        <f>SUMIFS(TRIB!$E$6:$E$255,TRIB!$B$6:$B$255,B21)</f>
        <v>2.5065</v>
      </c>
      <c r="Q21" s="34">
        <f>SUMIFS(TRIB!$G$6:$G$255,TRIB!$B$6:$B$255,B21)/G21</f>
        <v>0.666014678041578</v>
      </c>
      <c r="R21" s="66" t="n">
        <v>3.428</v>
      </c>
      <c r="S21" s="34">
        <f>DATOS!$C$43*R21*DATOS!$C$89/G21</f>
        <v>1.233375</v>
      </c>
      <c r="T21" s="58" t="n">
        <v>0</v>
      </c>
      <c r="U21" s="58" t="n">
        <v>0</v>
      </c>
      <c r="V21" s="34">
        <f>(DATOS!$C$43*T21+DATOS!$C$44*U21)/1000</f>
        <v>0</v>
      </c>
      <c r="W21" s="34">
        <f>DATOS!$C$43*(N21/100*O21/100*DATOS!$C$35-N21/100*DATOS!$C$58/1000)</f>
        <v>0.0694836734693878</v>
      </c>
      <c r="X21" s="67">
        <f>Q21+S21+V21+W21</f>
        <v>1.96887335151097</v>
      </c>
      <c r="Y21" s="34">
        <f>TRANSFER!$F$14</f>
        <v>1.55511666122449</v>
      </c>
      <c r="Z21" s="34">
        <f>TRANSFER!$H$14</f>
        <v>0.549462456264616</v>
      </c>
      <c r="AA21" s="34">
        <f>TRANSFER!$I$14</f>
        <v>1.37365614066154</v>
      </c>
      <c r="AB21" s="34">
        <f>IF(L21="APOYADA",X21*G21/2+TRANSFER!$J$14,IF(AND(L21="VOLADO",M21="i"),X21*G21+Y21,0))</f>
        <v>4.74830506515134</v>
      </c>
      <c r="AC21" s="34">
        <f>IF(L21="APOYADA",X21*G21/2+TRANSFER!$K$14,IF(AND(L21="VOLADO",M21="j"),X21*G21+Y21,0))</f>
        <v>3.55610944505275</v>
      </c>
      <c r="AD21" s="67">
        <f>IF(L21="APOYADA",X21*G21^2/8+Z21,0)</f>
        <v>3.44153658455237</v>
      </c>
      <c r="AE21" s="67">
        <f>IF(L21="APOYADA",DATOS!$C$52*AD21,IF(L21="VOLADO",X21*G21^2/2+Z21,0))</f>
        <v>2.29550490189643</v>
      </c>
      <c r="AF21" s="67">
        <f>IF(L21="APOYADA",X21*G21/2+AA21,IF(L21="VOLADO",X21*G21+AA21,0))</f>
        <v>4.74830506515134</v>
      </c>
      <c r="AG21" s="41">
        <f>O21-DATOS!$C$18-INDEX(TABLAS!$C$52:$C$58,MATCH(DATOS!$C$95,TABLAS!$B$52:$B$58,0))-INDEX(TABLAS!$C$52:$C$58,MATCH(DATOS!$C$94,TABLAS!$B$52:$B$58,0))/2</f>
        <v>21.575</v>
      </c>
      <c r="AH21" s="41">
        <f>IF(OR(L21="BORDE DE VOLADO",L21="SIN APOYO"),0,IF(AD21&lt;=0,DATOS!$C$71*N21*AG21,IF((1-2*AD21*1E5/(DATOS!$C$45*N21*AG21^2*DATOS!$C$38))&lt;0,-1,IF((1-SQRT((1-2*AD21*1E5/(DATOS!$C$45*N21*AG21^2*DATOS!$C$38))))*DATOS!$C$38*N21*AG21/DATOS!$C$32&gt;DATOS!$C$70*N21*AG21,-1,MAX(DATOS!$C$71*N21*AG21,(1-SQRT((1-2*AD21*1E5/(DATOS!$C$45*N21*AG21^2*DATOS!$C$38))))*DATOS!$C$38*N21*AG21/DATOS!$C$32)))))</f>
        <v>4.97610596797977</v>
      </c>
      <c r="AI21" s="39">
        <f>IF(AH21&lt;0,0,IF(AND(AH21&gt;=0,CEILING(AH21/INDEX(TABLAS!$D$52:$D$58,MIN(MATCH(DATOS!$C$94,TABLAS!$B$52:$B$58,0)+0,7)),1)&lt;=MIN(99,INT((AZ21+DATOS!$C$24)/(INDEX(TABLAS!$C$52:$C$58,MIN(MATCH(DATOS!$C$94,TABLAS!$B$52:$B$58,0)+0,7))+DATOS!$C$24)))),INDEX(TABLAS!$B$52:$B$58,MIN(MATCH(DATOS!$C$94,TABLAS!$B$52:$B$58,0)+0,7)),IF(AND(AH21&gt;=0,CEILING(AH21/INDEX(TABLAS!$D$52:$D$58,MIN(MATCH(DATOS!$C$94,TABLAS!$B$52:$B$58,0)+1,7)),1)&lt;=MIN(99,INT((AZ21+DATOS!$C$24)/(INDEX(TABLAS!$C$52:$C$58,MIN(MATCH(DATOS!$C$94,TABLAS!$B$52:$B$58,0)+1,7))+DATOS!$C$24)))),INDEX(TABLAS!$B$52:$B$58,MIN(MATCH(DATOS!$C$94,TABLAS!$B$52:$B$58,0)+1,7)),IF(AND(AH21&gt;=0,CEILING(AH21/INDEX(TABLAS!$D$52:$D$58,MIN(MATCH(DATOS!$C$94,TABLAS!$B$52:$B$58,0)+2,7)),1)&lt;=MIN(99,INT((AZ21+DATOS!$C$24)/(INDEX(TABLAS!$C$52:$C$58,MIN(MATCH(DATOS!$C$94,TABLAS!$B$52:$B$58,0)+2,7))+DATOS!$C$24)))),INDEX(TABLAS!$B$52:$B$58,MIN(MATCH(DATOS!$C$94,TABLAS!$B$52:$B$58,0)+2,7)),IF(AND(AH21&gt;=0,CEILING(AH21/INDEX(TABLAS!$D$52:$D$58,MIN(MATCH(DATOS!$C$94,TABLAS!$B$52:$B$58,0)+3,7)),1)&lt;=MIN(99,INT((AZ21+DATOS!$C$24)/(INDEX(TABLAS!$C$52:$C$58,MIN(MATCH(DATOS!$C$94,TABLAS!$B$52:$B$58,0)+3,7))+DATOS!$C$24)))),INDEX(TABLAS!$B$52:$B$58,MIN(MATCH(DATOS!$C$94,TABLAS!$B$52:$B$58,0)+3,7)),IF(AND(AH21&gt;=0,CEILING(AH21/INDEX(TABLAS!$D$52:$D$58,MIN(MATCH(DATOS!$C$94,TABLAS!$B$52:$B$58,0)+4,7)),1)&lt;=MIN(99,INT((AZ21+DATOS!$C$24)/(INDEX(TABLAS!$C$52:$C$58,MIN(MATCH(DATOS!$C$94,TABLAS!$B$52:$B$58,0)+4,7))+DATOS!$C$24)))),INDEX(TABLAS!$B$52:$B$58,MIN(MATCH(DATOS!$C$94,TABLAS!$B$52:$B$58,0)+4,7)),INDEX(TABLAS!$B$52:$B$58,7)))))))</f>
        <v>6</v>
      </c>
      <c r="AJ21" s="55">
        <f>IF(AH21&lt;=0,0,MAX(DATOS!$C$96,CEILING(AH21/INDEX(TABLAS!$D$52:$D$58,MATCH(IF(AI21=0,8,AI21),TABLAS!$B$52:$B$58,0)),1)))</f>
        <v>2</v>
      </c>
      <c r="AK21" s="34">
        <f>IF(AJ21=0,0,DATOS!$C$45*AJ21*INDEX(TABLAS!$D$52:$D$58,MATCH(AI21,TABLAS!$B$52:$B$58,0))*DATOS!$C$32*((O21-DATOS!$C$18-INDEX(TABLAS!$C$52:$C$58,MATCH(DATOS!$C$95,TABLAS!$B$52:$B$58,0))-INDEX(TABLAS!$C$52:$C$58,MATCH(AI21,TABLAS!$B$52:$B$58,0))/2)-AJ21*INDEX(TABLAS!$D$52:$D$58,MATCH(AI21,TABLAS!$B$52:$B$58,0))*DATOS!$C$32/(DATOS!$C$38*N21)/2)/1E5)</f>
        <v>3.77048662941177</v>
      </c>
      <c r="AL21" s="59">
        <f>IF(AH21&lt;0,9.99,IF(AK21&gt;0,AD21/AK21,0))</f>
        <v>0.912756607517605</v>
      </c>
      <c r="AM21" s="41">
        <f>IF(OR(L21="BORDE DE VOLADO",L21="SIN APOYO"),0,IF(AE21&lt;=0,DATOS!$C$71*N21*AG21,IF((1-2*AE21*1E5/(DATOS!$C$45*N21*AG21^2*DATOS!$C$38))&lt;0,-1,IF((1-SQRT((1-2*AE21*1E5/(DATOS!$C$45*N21*AG21^2*DATOS!$C$38))))*DATOS!$C$38*N21*AG21/DATOS!$C$32&gt;DATOS!$C$70*N21*AG21,-1,MAX(DATOS!$C$71*N21*AG21,(1-SQRT((1-2*AE21*1E5/(DATOS!$C$45*N21*AG21^2*DATOS!$C$38))))*DATOS!$C$38*N21*AG21/DATOS!$C$32)))))</f>
        <v>3.11009154665491</v>
      </c>
      <c r="AN21" s="39">
        <f>IF(AM21&lt;0,0,IF(AND(AM21&gt;=0,CEILING(AM21/INDEX(TABLAS!$D$52:$D$58,MIN(MATCH(DATOS!$C$94,TABLAS!$B$52:$B$58,0)+0,7)),1)&lt;=MIN(99,INT((AZ21+DATOS!$C$24)/(INDEX(TABLAS!$C$52:$C$58,MIN(MATCH(DATOS!$C$94,TABLAS!$B$52:$B$58,0)+0,7))+DATOS!$C$24)))),INDEX(TABLAS!$B$52:$B$58,MIN(MATCH(DATOS!$C$94,TABLAS!$B$52:$B$58,0)+0,7)),IF(AND(AM21&gt;=0,CEILING(AM21/INDEX(TABLAS!$D$52:$D$58,MIN(MATCH(DATOS!$C$94,TABLAS!$B$52:$B$58,0)+1,7)),1)&lt;=MIN(99,INT((AZ21+DATOS!$C$24)/(INDEX(TABLAS!$C$52:$C$58,MIN(MATCH(DATOS!$C$94,TABLAS!$B$52:$B$58,0)+1,7))+DATOS!$C$24)))),INDEX(TABLAS!$B$52:$B$58,MIN(MATCH(DATOS!$C$94,TABLAS!$B$52:$B$58,0)+1,7)),IF(AND(AM21&gt;=0,CEILING(AM21/INDEX(TABLAS!$D$52:$D$58,MIN(MATCH(DATOS!$C$94,TABLAS!$B$52:$B$58,0)+2,7)),1)&lt;=MIN(99,INT((AZ21+DATOS!$C$24)/(INDEX(TABLAS!$C$52:$C$58,MIN(MATCH(DATOS!$C$94,TABLAS!$B$52:$B$58,0)+2,7))+DATOS!$C$24)))),INDEX(TABLAS!$B$52:$B$58,MIN(MATCH(DATOS!$C$94,TABLAS!$B$52:$B$58,0)+2,7)),IF(AND(AM21&gt;=0,CEILING(AM21/INDEX(TABLAS!$D$52:$D$58,MIN(MATCH(DATOS!$C$94,TABLAS!$B$52:$B$58,0)+3,7)),1)&lt;=MIN(99,INT((AZ21+DATOS!$C$24)/(INDEX(TABLAS!$C$52:$C$58,MIN(MATCH(DATOS!$C$94,TABLAS!$B$52:$B$58,0)+3,7))+DATOS!$C$24)))),INDEX(TABLAS!$B$52:$B$58,MIN(MATCH(DATOS!$C$94,TABLAS!$B$52:$B$58,0)+3,7)),IF(AND(AM21&gt;=0,CEILING(AM21/INDEX(TABLAS!$D$52:$D$58,MIN(MATCH(DATOS!$C$94,TABLAS!$B$52:$B$58,0)+4,7)),1)&lt;=MIN(99,INT((AZ21+DATOS!$C$24)/(INDEX(TABLAS!$C$52:$C$58,MIN(MATCH(DATOS!$C$94,TABLAS!$B$52:$B$58,0)+4,7))+DATOS!$C$24)))),INDEX(TABLAS!$B$52:$B$58,MIN(MATCH(DATOS!$C$94,TABLAS!$B$52:$B$58,0)+4,7)),INDEX(TABLAS!$B$52:$B$58,7)))))))</f>
        <v>4</v>
      </c>
      <c r="AO21" s="55">
        <f>IF(AM21&lt;=0,0,MAX(DATOS!$C$96,CEILING(AM21/INDEX(TABLAS!$D$52:$D$58,MATCH(IF(AN21=0,8,AN21),TABLAS!$B$52:$B$58,0)),1)))</f>
        <v>3</v>
      </c>
      <c r="AP21" s="34">
        <f>IF(AO21=0,0,DATOS!$C$45*AO21*INDEX(TABLAS!$D$52:$D$58,MATCH(AN21,TABLAS!$B$52:$B$58,0))*DATOS!$C$32*((O21-DATOS!$C$18-INDEX(TABLAS!$C$52:$C$58,MATCH(DATOS!$C$95,TABLAS!$B$52:$B$58,0))-INDEX(TABLAS!$C$52:$C$58,MATCH(AN21,TABLAS!$B$52:$B$58,0))/2)-AO21*INDEX(TABLAS!$D$52:$D$58,MATCH(AN21,TABLAS!$B$52:$B$58,0))*DATOS!$C$32/(DATOS!$C$38*N21)/2)/1E5)</f>
        <v>2.74568622670588</v>
      </c>
      <c r="AQ21" s="59">
        <f>IF(AM21&lt;0,9.99,IF(AP21&gt;0,AE21/AP21,0))</f>
        <v>0.836040505855779</v>
      </c>
      <c r="AR21" s="34">
        <f>IF(AO21=0,0,DATOS!$C$46*IF((AO21*INDEX(TABLAS!$D$52:$D$58,MATCH(AN21,TABLAS!$B$52:$B$58,0))/(N21*AG21))&lt;0.015,0.2+20*(AO21*INDEX(TABLAS!$D$52:$D$58,MATCH(AN21,TABLAS!$B$52:$B$58,0))/(N21*AG21)),0.5)*SQRT(DATOS!$C$31)*N21*AG21/1000)</f>
        <v>1.67116492222211</v>
      </c>
      <c r="AS21" s="68">
        <f>IF(AF21=0,0,INT(MIN(IF(AF21&gt;AR21,DATOS!$C$46*2*INDEX(TABLAS!$D$52:$D$58,MATCH(DATOS!$C$95,TABLAS!$B$52:$B$58,0))*DATOS!$C$32*AG21/((AF21-AR21)*1000),999),AG21/2,DATOS!$C$97,2*INDEX(TABLAS!$D$52:$D$58,MATCH(DATOS!$C$95,TABLAS!$B$52:$B$58,0))*DATOS!$C$32/(MAX(0.2*SQRT(DATOS!$C$31),3.5)*N21))/2.5)*2.5)</f>
        <v>10</v>
      </c>
      <c r="AT21" s="49" t="str">
        <f>IF(AF21=0,"—",IF(AF21&gt;AR21+DATOS!$C$46*2.12*SQRT(DATOS!$C$31)*N21*AG21/1000,"SECCIÓN INSUFICIENTE","E No. "&amp;TEXT(DATOS!$C$95,"0.0")&amp;" @ "&amp;TEXT(AS21,"0.0")&amp;" cm"))</f>
        <v>E No. 2.5 @ 10.0 cm</v>
      </c>
      <c r="AU21" s="68">
        <f>IF(L21="APOYADA",G21*100/16,IF(L21="VOLADO",G21*100/8,0))</f>
        <v>21.425</v>
      </c>
      <c r="AV21" s="68">
        <f>SQRT(MAX(AD21,AE21)*1E5/(DATOS!$C$45*N21*DATOS!$C$38*(DATOS!$C$70*DATOS!$C$32/DATOS!$C$38)*(1-(DATOS!$C$70*DATOS!$C$32/DATOS!$C$38)/2)))+(O21-AG21)</f>
        <v>23.2677803585906</v>
      </c>
      <c r="AW21" s="56">
        <f>IF(OR(L21="BORDE DE VOLADO",L21="SIN APOYO"),0,CEILING(MAX(AU21,AV21,DATOS!$C$15),5))</f>
        <v>25</v>
      </c>
      <c r="AX21" s="69" t="str">
        <f>IF(L21="BORDE DE VOLADO","BORDE DE VOLADO — armado de orilla",IF(L21="SIN APOYO","SIN APOYO — REVISAR",IF(AND(AL21&lt;=1,AQ21&lt;=1,IF(AJ21=0,TRUE,AJ21&lt;=INT((AZ21+DATOS!$C$24)/(INDEX(TABLAS!$C$52:$C$58,MATCH(MAX(AI21,2),TABLAS!$B$52:$B$58,0))+DATOS!$C$24))),IF(AO21=0,TRUE,AO21&lt;=INT((AZ21+DATOS!$C$24)/(INDEX(TABLAS!$C$52:$C$58,MATCH(MAX(AN21,2),TABLAS!$B$52:$B$58,0))+DATOS!$C$24))),AT21&lt;&gt;"SECCIÓN INSUFICIENTE",O21&gt;=AU21),"CUMPLE"&amp;IF(L21="VOLADO"," (en VOLADO)",""),"NO CUMPLE: "&amp;IF(OR(AH21&lt;0,AM21&lt;0),"sección insuficiente en flexión ",IF(OR(AL21&gt;1,AQ21&gt;1),"flexión ",""))&amp;IF(NOT(AND(IF(AJ21=0,TRUE,AJ21&lt;=INT((AZ21+DATOS!$C$24)/(INDEX(TABLAS!$C$52:$C$58,MATCH(MAX(AI21,2),TABLAS!$B$52:$B$58,0))+DATOS!$C$24))),IF(AO21=0,TRUE,AO21&lt;=INT((AZ21+DATOS!$C$24)/(INDEX(TABLAS!$C$52:$C$58,MATCH(MAX(AN21,2),TABLAS!$B$52:$B$58,0))+DATOS!$C$24))))),"no caben ","")&amp;IF(AT21="SECCIÓN INSUFICIENTE","cortante ","")&amp;IF(O21&lt;AU21,"deflexión ","")&amp;"→ h ≥ "&amp;TEXT(AW21,"0")&amp;" cm")))</f>
        <v>CUMPLE</v>
      </c>
      <c r="AY21" s="61" t="inlineStr">
        <is>
          <t>Extremo i se apoya en la punta del volado corto NP-27. Recibe a NP-28. Muro de planta alta encima (3.43 m).</t>
        </is>
      </c>
      <c r="AZ21" s="41">
        <f>N21-2*DATOS!$C$18-2*INDEX(TABLAS!$C$52:$C$58,MATCH(DATOS!$C$95,TABLAS!$B$52:$B$58,0))</f>
        <v>9.42</v>
      </c>
    </row>
    <row r="22" ht="30" customHeight="1">
      <c r="B22" s="57" t="inlineStr">
        <is>
          <t>NP-14</t>
        </is>
      </c>
      <c r="C22" s="50" t="inlineStr">
        <is>
          <t>N+3.00</t>
        </is>
      </c>
      <c r="D22" s="49" t="inlineStr">
        <is>
          <t>Eje 12 (y = 17.446)</t>
        </is>
      </c>
      <c r="E22" s="50" t="inlineStr">
        <is>
          <t>(-2.000, 17.446)</t>
        </is>
      </c>
      <c r="F22" s="50" t="inlineStr">
        <is>
          <t>(0.000, 17.446)</t>
        </is>
      </c>
      <c r="G22" s="53" t="n">
        <v>2</v>
      </c>
      <c r="H22" s="50" t="inlineStr">
        <is>
          <t>LIBRE</t>
        </is>
      </c>
      <c r="I22" s="50" t="inlineStr">
        <is>
          <t>FIRME</t>
        </is>
      </c>
      <c r="J22" s="50" t="inlineStr">
        <is>
          <t>—</t>
        </is>
      </c>
      <c r="K22" s="50" t="inlineStr">
        <is>
          <t>—</t>
        </is>
      </c>
      <c r="L22" s="50" t="inlineStr">
        <is>
          <t>BORDE DE VOLADO</t>
        </is>
      </c>
      <c r="M22" s="50" t="str">
        <f>IF(L22="VOLADO",IF(OR(H22="FIRME",H22="NERVADURA",H22="PUNTA"),"i","j"),"—")</f>
        <v>—</v>
      </c>
      <c r="N22" s="54">
        <f>DATOS!$C$17</f>
        <v>15</v>
      </c>
      <c r="O22" s="54">
        <f>DATOS!$C$15</f>
        <v>25</v>
      </c>
      <c r="P22" s="41">
        <f>SUMIFS(TRIB!$E$6:$E$255,TRIB!$B$6:$B$255,B22)</f>
        <v>0</v>
      </c>
      <c r="Q22" s="34">
        <f>SUMIFS(TRIB!$G$6:$G$255,TRIB!$B$6:$B$255,B22)/G22</f>
        <v>0</v>
      </c>
      <c r="R22" s="66" t="n">
        <v>0</v>
      </c>
      <c r="S22" s="34">
        <f>DATOS!$C$43*R22*DATOS!$C$89/G22</f>
        <v>0</v>
      </c>
      <c r="T22" s="58" t="n">
        <v>333.7</v>
      </c>
      <c r="U22" s="58" t="n">
        <v>0</v>
      </c>
      <c r="V22" s="34">
        <f>(DATOS!$C$43*T22+DATOS!$C$44*U22)/1000</f>
        <v>0.43381</v>
      </c>
      <c r="W22" s="34">
        <f>DATOS!$C$43*(N22/100*O22/100*DATOS!$C$35-N22/100*DATOS!$C$58/1000)</f>
        <v>0.0694836734693878</v>
      </c>
      <c r="X22" s="67">
        <f>Q22+S22+V22+W22</f>
        <v>0.503293673469388</v>
      </c>
      <c r="Y22" s="34">
        <f>0</f>
        <v>0</v>
      </c>
      <c r="Z22" s="34">
        <f>0</f>
        <v>0</v>
      </c>
      <c r="AA22" s="34">
        <f>0</f>
        <v>0</v>
      </c>
      <c r="AB22" s="34">
        <f>IF(L22="APOYADA",X22*G22/2+0,IF(AND(L22="VOLADO",M22="i"),X22*G22+Y22,0))</f>
        <v>0</v>
      </c>
      <c r="AC22" s="34">
        <f>IF(L22="APOYADA",X22*G22/2+0,IF(AND(L22="VOLADO",M22="j"),X22*G22+Y22,0))</f>
        <v>0</v>
      </c>
      <c r="AD22" s="67">
        <f>IF(L22="APOYADA",X22*G22^2/8+Z22,0)</f>
        <v>0</v>
      </c>
      <c r="AE22" s="67">
        <f>IF(L22="APOYADA",DATOS!$C$52*AD22,IF(L22="VOLADO",X22*G22^2/2+Z22,0))</f>
        <v>0</v>
      </c>
      <c r="AF22" s="67">
        <f>IF(L22="APOYADA",X22*G22/2+AA22,IF(L22="VOLADO",X22*G22+AA22,0))</f>
        <v>0</v>
      </c>
      <c r="AG22" s="41">
        <f>O22-DATOS!$C$18-INDEX(TABLAS!$C$52:$C$58,MATCH(DATOS!$C$95,TABLAS!$B$52:$B$58,0))-INDEX(TABLAS!$C$52:$C$58,MATCH(DATOS!$C$94,TABLAS!$B$52:$B$58,0))/2</f>
        <v>21.575</v>
      </c>
      <c r="AH22" s="41">
        <f>IF(OR(L22="BORDE DE VOLADO",L22="SIN APOYO"),0,IF(AD22&lt;=0,DATOS!$C$71*N22*AG22,IF((1-2*AD22*1E5/(DATOS!$C$45*N22*AG22^2*DATOS!$C$38))&lt;0,-1,IF((1-SQRT((1-2*AD22*1E5/(DATOS!$C$45*N22*AG22^2*DATOS!$C$38))))*DATOS!$C$38*N22*AG22/DATOS!$C$32&gt;DATOS!$C$70*N22*AG22,-1,MAX(DATOS!$C$71*N22*AG22,(1-SQRT((1-2*AD22*1E5/(DATOS!$C$45*N22*AG22^2*DATOS!$C$38))))*DATOS!$C$38*N22*AG22/DATOS!$C$32)))))</f>
        <v>0</v>
      </c>
      <c r="AI22" s="39">
        <f>IF(AH22&lt;0,0,IF(AND(AH22&gt;=0,CEILING(AH22/INDEX(TABLAS!$D$52:$D$58,MIN(MATCH(DATOS!$C$94,TABLAS!$B$52:$B$58,0)+0,7)),1)&lt;=MIN(99,INT((AZ22+DATOS!$C$24)/(INDEX(TABLAS!$C$52:$C$58,MIN(MATCH(DATOS!$C$94,TABLAS!$B$52:$B$58,0)+0,7))+DATOS!$C$24)))),INDEX(TABLAS!$B$52:$B$58,MIN(MATCH(DATOS!$C$94,TABLAS!$B$52:$B$58,0)+0,7)),IF(AND(AH22&gt;=0,CEILING(AH22/INDEX(TABLAS!$D$52:$D$58,MIN(MATCH(DATOS!$C$94,TABLAS!$B$52:$B$58,0)+1,7)),1)&lt;=MIN(99,INT((AZ22+DATOS!$C$24)/(INDEX(TABLAS!$C$52:$C$58,MIN(MATCH(DATOS!$C$94,TABLAS!$B$52:$B$58,0)+1,7))+DATOS!$C$24)))),INDEX(TABLAS!$B$52:$B$58,MIN(MATCH(DATOS!$C$94,TABLAS!$B$52:$B$58,0)+1,7)),IF(AND(AH22&gt;=0,CEILING(AH22/INDEX(TABLAS!$D$52:$D$58,MIN(MATCH(DATOS!$C$94,TABLAS!$B$52:$B$58,0)+2,7)),1)&lt;=MIN(99,INT((AZ22+DATOS!$C$24)/(INDEX(TABLAS!$C$52:$C$58,MIN(MATCH(DATOS!$C$94,TABLAS!$B$52:$B$58,0)+2,7))+DATOS!$C$24)))),INDEX(TABLAS!$B$52:$B$58,MIN(MATCH(DATOS!$C$94,TABLAS!$B$52:$B$58,0)+2,7)),IF(AND(AH22&gt;=0,CEILING(AH22/INDEX(TABLAS!$D$52:$D$58,MIN(MATCH(DATOS!$C$94,TABLAS!$B$52:$B$58,0)+3,7)),1)&lt;=MIN(99,INT((AZ22+DATOS!$C$24)/(INDEX(TABLAS!$C$52:$C$58,MIN(MATCH(DATOS!$C$94,TABLAS!$B$52:$B$58,0)+3,7))+DATOS!$C$24)))),INDEX(TABLAS!$B$52:$B$58,MIN(MATCH(DATOS!$C$94,TABLAS!$B$52:$B$58,0)+3,7)),IF(AND(AH22&gt;=0,CEILING(AH22/INDEX(TABLAS!$D$52:$D$58,MIN(MATCH(DATOS!$C$94,TABLAS!$B$52:$B$58,0)+4,7)),1)&lt;=MIN(99,INT((AZ22+DATOS!$C$24)/(INDEX(TABLAS!$C$52:$C$58,MIN(MATCH(DATOS!$C$94,TABLAS!$B$52:$B$58,0)+4,7))+DATOS!$C$24)))),INDEX(TABLAS!$B$52:$B$58,MIN(MATCH(DATOS!$C$94,TABLAS!$B$52:$B$58,0)+4,7)),INDEX(TABLAS!$B$52:$B$58,7)))))))</f>
        <v>4</v>
      </c>
      <c r="AJ22" s="55">
        <f>IF(AH22&lt;=0,0,MAX(DATOS!$C$96,CEILING(AH22/INDEX(TABLAS!$D$52:$D$58,MATCH(IF(AI22=0,8,AI22),TABLAS!$B$52:$B$58,0)),1)))</f>
        <v>0</v>
      </c>
      <c r="AK22" s="34">
        <f>IF(AJ22=0,0,DATOS!$C$45*AJ22*INDEX(TABLAS!$D$52:$D$58,MATCH(AI22,TABLAS!$B$52:$B$58,0))*DATOS!$C$32*((O22-DATOS!$C$18-INDEX(TABLAS!$C$52:$C$58,MATCH(DATOS!$C$95,TABLAS!$B$52:$B$58,0))-INDEX(TABLAS!$C$52:$C$58,MATCH(AI22,TABLAS!$B$52:$B$58,0))/2)-AJ22*INDEX(TABLAS!$D$52:$D$58,MATCH(AI22,TABLAS!$B$52:$B$58,0))*DATOS!$C$32/(DATOS!$C$38*N22)/2)/1E5)</f>
        <v>0</v>
      </c>
      <c r="AL22" s="59">
        <f>IF(AH22&lt;0,9.99,IF(AK22&gt;0,AD22/AK22,0))</f>
        <v>0</v>
      </c>
      <c r="AM22" s="41">
        <f>IF(OR(L22="BORDE DE VOLADO",L22="SIN APOYO"),0,IF(AE22&lt;=0,DATOS!$C$71*N22*AG22,IF((1-2*AE22*1E5/(DATOS!$C$45*N22*AG22^2*DATOS!$C$38))&lt;0,-1,IF((1-SQRT((1-2*AE22*1E5/(DATOS!$C$45*N22*AG22^2*DATOS!$C$38))))*DATOS!$C$38*N22*AG22/DATOS!$C$32&gt;DATOS!$C$70*N22*AG22,-1,MAX(DATOS!$C$71*N22*AG22,(1-SQRT((1-2*AE22*1E5/(DATOS!$C$45*N22*AG22^2*DATOS!$C$38))))*DATOS!$C$38*N22*AG22/DATOS!$C$32)))))</f>
        <v>0</v>
      </c>
      <c r="AN22" s="39">
        <f>IF(AM22&lt;0,0,IF(AND(AM22&gt;=0,CEILING(AM22/INDEX(TABLAS!$D$52:$D$58,MIN(MATCH(DATOS!$C$94,TABLAS!$B$52:$B$58,0)+0,7)),1)&lt;=MIN(99,INT((AZ22+DATOS!$C$24)/(INDEX(TABLAS!$C$52:$C$58,MIN(MATCH(DATOS!$C$94,TABLAS!$B$52:$B$58,0)+0,7))+DATOS!$C$24)))),INDEX(TABLAS!$B$52:$B$58,MIN(MATCH(DATOS!$C$94,TABLAS!$B$52:$B$58,0)+0,7)),IF(AND(AM22&gt;=0,CEILING(AM22/INDEX(TABLAS!$D$52:$D$58,MIN(MATCH(DATOS!$C$94,TABLAS!$B$52:$B$58,0)+1,7)),1)&lt;=MIN(99,INT((AZ22+DATOS!$C$24)/(INDEX(TABLAS!$C$52:$C$58,MIN(MATCH(DATOS!$C$94,TABLAS!$B$52:$B$58,0)+1,7))+DATOS!$C$24)))),INDEX(TABLAS!$B$52:$B$58,MIN(MATCH(DATOS!$C$94,TABLAS!$B$52:$B$58,0)+1,7)),IF(AND(AM22&gt;=0,CEILING(AM22/INDEX(TABLAS!$D$52:$D$58,MIN(MATCH(DATOS!$C$94,TABLAS!$B$52:$B$58,0)+2,7)),1)&lt;=MIN(99,INT((AZ22+DATOS!$C$24)/(INDEX(TABLAS!$C$52:$C$58,MIN(MATCH(DATOS!$C$94,TABLAS!$B$52:$B$58,0)+2,7))+DATOS!$C$24)))),INDEX(TABLAS!$B$52:$B$58,MIN(MATCH(DATOS!$C$94,TABLAS!$B$52:$B$58,0)+2,7)),IF(AND(AM22&gt;=0,CEILING(AM22/INDEX(TABLAS!$D$52:$D$58,MIN(MATCH(DATOS!$C$94,TABLAS!$B$52:$B$58,0)+3,7)),1)&lt;=MIN(99,INT((AZ22+DATOS!$C$24)/(INDEX(TABLAS!$C$52:$C$58,MIN(MATCH(DATOS!$C$94,TABLAS!$B$52:$B$58,0)+3,7))+DATOS!$C$24)))),INDEX(TABLAS!$B$52:$B$58,MIN(MATCH(DATOS!$C$94,TABLAS!$B$52:$B$58,0)+3,7)),IF(AND(AM22&gt;=0,CEILING(AM22/INDEX(TABLAS!$D$52:$D$58,MIN(MATCH(DATOS!$C$94,TABLAS!$B$52:$B$58,0)+4,7)),1)&lt;=MIN(99,INT((AZ22+DATOS!$C$24)/(INDEX(TABLAS!$C$52:$C$58,MIN(MATCH(DATOS!$C$94,TABLAS!$B$52:$B$58,0)+4,7))+DATOS!$C$24)))),INDEX(TABLAS!$B$52:$B$58,MIN(MATCH(DATOS!$C$94,TABLAS!$B$52:$B$58,0)+4,7)),INDEX(TABLAS!$B$52:$B$58,7)))))))</f>
        <v>4</v>
      </c>
      <c r="AO22" s="55">
        <f>IF(AM22&lt;=0,0,MAX(DATOS!$C$96,CEILING(AM22/INDEX(TABLAS!$D$52:$D$58,MATCH(IF(AN22=0,8,AN22),TABLAS!$B$52:$B$58,0)),1)))</f>
        <v>0</v>
      </c>
      <c r="AP22" s="34">
        <f>IF(AO22=0,0,DATOS!$C$45*AO22*INDEX(TABLAS!$D$52:$D$58,MATCH(AN22,TABLAS!$B$52:$B$58,0))*DATOS!$C$32*((O22-DATOS!$C$18-INDEX(TABLAS!$C$52:$C$58,MATCH(DATOS!$C$95,TABLAS!$B$52:$B$58,0))-INDEX(TABLAS!$C$52:$C$58,MATCH(AN22,TABLAS!$B$52:$B$58,0))/2)-AO22*INDEX(TABLAS!$D$52:$D$58,MATCH(AN22,TABLAS!$B$52:$B$58,0))*DATOS!$C$32/(DATOS!$C$38*N22)/2)/1E5)</f>
        <v>0</v>
      </c>
      <c r="AQ22" s="59">
        <f>IF(AM22&lt;0,9.99,IF(AP22&gt;0,AE22/AP22,0))</f>
        <v>0</v>
      </c>
      <c r="AR22" s="34">
        <f>IF(AO22=0,0,DATOS!$C$46*IF((AO22*INDEX(TABLAS!$D$52:$D$58,MATCH(AN22,TABLAS!$B$52:$B$58,0))/(N22*AG22))&lt;0.015,0.2+20*(AO22*INDEX(TABLAS!$D$52:$D$58,MATCH(AN22,TABLAS!$B$52:$B$58,0))/(N22*AG22)),0.5)*SQRT(DATOS!$C$31)*N22*AG22/1000)</f>
        <v>0</v>
      </c>
      <c r="AS22" s="68">
        <f>IF(AF22=0,0,INT(MIN(IF(AF22&gt;AR22,DATOS!$C$46*2*INDEX(TABLAS!$D$52:$D$58,MATCH(DATOS!$C$95,TABLAS!$B$52:$B$58,0))*DATOS!$C$32*AG22/((AF22-AR22)*1000),999),AG22/2,DATOS!$C$97,2*INDEX(TABLAS!$D$52:$D$58,MATCH(DATOS!$C$95,TABLAS!$B$52:$B$58,0))*DATOS!$C$32/(MAX(0.2*SQRT(DATOS!$C$31),3.5)*N22))/2.5)*2.5)</f>
        <v>0</v>
      </c>
      <c r="AT22" s="49" t="str">
        <f>IF(AF22=0,"—",IF(AF22&gt;AR22+DATOS!$C$46*2.12*SQRT(DATOS!$C$31)*N22*AG22/1000,"SECCIÓN INSUFICIENTE","E No. "&amp;TEXT(DATOS!$C$95,"0.0")&amp;" @ "&amp;TEXT(AS22,"0.0")&amp;" cm"))</f>
        <v>—</v>
      </c>
      <c r="AU22" s="68">
        <f>IF(L22="APOYADA",G22*100/16,IF(L22="VOLADO",G22*100/8,0))</f>
        <v>0</v>
      </c>
      <c r="AV22" s="68">
        <f>SQRT(MAX(AD22,AE22)*1E5/(DATOS!$C$45*N22*DATOS!$C$38*(DATOS!$C$70*DATOS!$C$32/DATOS!$C$38)*(1-(DATOS!$C$70*DATOS!$C$32/DATOS!$C$38)/2)))+(O22-AG22)</f>
        <v>3.425</v>
      </c>
      <c r="AW22" s="56">
        <f>IF(OR(L22="BORDE DE VOLADO",L22="SIN APOYO"),0,CEILING(MAX(AU22,AV22,DATOS!$C$15),5))</f>
        <v>0</v>
      </c>
      <c r="AX22" s="69" t="str">
        <f>IF(L22="BORDE DE VOLADO","BORDE DE VOLADO — armado de orilla",IF(L22="SIN APOYO","SIN APOYO — REVISAR",IF(AND(AL22&lt;=1,AQ22&lt;=1,IF(AJ22=0,TRUE,AJ22&lt;=INT((AZ22+DATOS!$C$24)/(INDEX(TABLAS!$C$52:$C$58,MATCH(MAX(AI22,2),TABLAS!$B$52:$B$58,0))+DATOS!$C$24))),IF(AO22=0,TRUE,AO22&lt;=INT((AZ22+DATOS!$C$24)/(INDEX(TABLAS!$C$52:$C$58,MATCH(MAX(AN22,2),TABLAS!$B$52:$B$58,0))+DATOS!$C$24))),AT22&lt;&gt;"SECCIÓN INSUFICIENTE",O22&gt;=AU22),"CUMPLE"&amp;IF(L22="VOLADO"," (en VOLADO)",""),"NO CUMPLE: "&amp;IF(OR(AH22&lt;0,AM22&lt;0),"sección insuficiente en flexión ",IF(OR(AL22&gt;1,AQ22&gt;1),"flexión ",""))&amp;IF(NOT(AND(IF(AJ22=0,TRUE,AJ22&lt;=INT((AZ22+DATOS!$C$24)/(INDEX(TABLAS!$C$52:$C$58,MATCH(MAX(AI22,2),TABLAS!$B$52:$B$58,0))+DATOS!$C$24))),IF(AO22=0,TRUE,AO22&lt;=INT((AZ22+DATOS!$C$24)/(INDEX(TABLAS!$C$52:$C$58,MATCH(MAX(AN22,2),TABLAS!$B$52:$B$58,0))+DATOS!$C$24))))),"no caben ","")&amp;IF(AT22="SECCIÓN INSUFICIENTE","cortante ","")&amp;IF(O22&lt;AU22,"deflexión ","")&amp;"→ h ≥ "&amp;TEXT(AW22,"0")&amp;" cm")))</f>
        <v>BORDE DE VOLADO — armado de orilla</v>
      </c>
      <c r="AY22" s="61" t="inlineStr">
        <is>
          <t>Orilla libre de tablero en volado: lleva el armado de la orilla, no trabaja como trabe.</t>
        </is>
      </c>
      <c r="AZ22" s="41">
        <f>N22-2*DATOS!$C$18-2*INDEX(TABLAS!$C$52:$C$58,MATCH(DATOS!$C$95,TABLAS!$B$52:$B$58,0))</f>
        <v>9.42</v>
      </c>
    </row>
    <row r="23" ht="30" customHeight="1">
      <c r="B23" s="57" t="inlineStr">
        <is>
          <t>NP-15</t>
        </is>
      </c>
      <c r="C23" s="50" t="inlineStr">
        <is>
          <t>N+3.00</t>
        </is>
      </c>
      <c r="D23" s="49" t="inlineStr">
        <is>
          <t>Eje 12 (y = 17.446)</t>
        </is>
      </c>
      <c r="E23" s="50" t="inlineStr">
        <is>
          <t>(0.000, 17.446)</t>
        </is>
      </c>
      <c r="F23" s="50" t="inlineStr">
        <is>
          <t>(4.925, 17.446)</t>
        </is>
      </c>
      <c r="G23" s="53" t="n">
        <v>4.925</v>
      </c>
      <c r="H23" s="50" t="inlineStr">
        <is>
          <t>FIRME</t>
        </is>
      </c>
      <c r="I23" s="50" t="inlineStr">
        <is>
          <t>FIRME</t>
        </is>
      </c>
      <c r="J23" s="50" t="inlineStr">
        <is>
          <t>—</t>
        </is>
      </c>
      <c r="K23" s="50" t="inlineStr">
        <is>
          <t>—</t>
        </is>
      </c>
      <c r="L23" s="57" t="str">
        <f>IF(AND(OR(H23="FIRME",H23="NERVADURA",H23="PUNTA"),OR(I23="FIRME",I23="NERVADURA",I23="PUNTA")),"APOYADA",IF(OR(OR(H23="FIRME",H23="NERVADURA",H23="PUNTA"),OR(I23="FIRME",I23="NERVADURA",I23="PUNTA")),"VOLADO","SIN APOYO"))</f>
        <v>APOYADA</v>
      </c>
      <c r="M23" s="50" t="str">
        <f>IF(L23="VOLADO",IF(OR(H23="FIRME",H23="NERVADURA",H23="PUNTA"),"i","j"),"—")</f>
        <v>—</v>
      </c>
      <c r="N23" s="54">
        <f>DATOS!$C$17</f>
        <v>15</v>
      </c>
      <c r="O23" s="54">
        <f>DATOS!$C$15</f>
        <v>25</v>
      </c>
      <c r="P23" s="41">
        <f>SUMIFS(TRIB!$E$6:$E$255,TRIB!$B$6:$B$255,B23)</f>
        <v>7.5962</v>
      </c>
      <c r="Q23" s="34">
        <f>SUMIFS(TRIB!$G$6:$G$255,TRIB!$B$6:$B$255,B23)/G23</f>
        <v>1.30197736662178</v>
      </c>
      <c r="R23" s="66" t="n">
        <v>4.925</v>
      </c>
      <c r="S23" s="34">
        <f>DATOS!$C$43*R23*DATOS!$C$89/G23</f>
        <v>1.233375</v>
      </c>
      <c r="T23" s="58" t="n">
        <v>0</v>
      </c>
      <c r="U23" s="58" t="n">
        <v>0</v>
      </c>
      <c r="V23" s="34">
        <f>(DATOS!$C$43*T23+DATOS!$C$44*U23)/1000</f>
        <v>0</v>
      </c>
      <c r="W23" s="34">
        <f>DATOS!$C$43*(N23/100*O23/100*DATOS!$C$35-N23/100*DATOS!$C$58/1000)</f>
        <v>0.0694836734693878</v>
      </c>
      <c r="X23" s="67">
        <f>Q23+S23+V23+W23</f>
        <v>2.60483604009116</v>
      </c>
      <c r="Y23" s="34">
        <f>TRANSFER!$F$10+TRANSFER!$F$12</f>
        <v>6.37743237142857</v>
      </c>
      <c r="Z23" s="34">
        <f>TRANSFER!$H$10+TRANSFER!$H$12</f>
        <v>4.10949171168787</v>
      </c>
      <c r="AA23" s="34">
        <f>TRANSFER!$I$10+TRANSFER!$I$12</f>
        <v>5.23736436286336</v>
      </c>
      <c r="AB23" s="34">
        <f>IF(L23="APOYADA",X23*G23/2+TRANSFER!$J$10+TRANSFER!$J$12,IF(AND(L23="VOLADO",M23="i"),X23*G23+Y23,0))</f>
        <v>7.5544767572897</v>
      </c>
      <c r="AC23" s="34">
        <f>IF(L23="APOYADA",X23*G23/2+TRANSFER!$K$10+TRANSFER!$K$12,IF(AND(L23="VOLADO",M23="j"),X23*G23+Y23,0))</f>
        <v>11.6517731115878</v>
      </c>
      <c r="AD23" s="67">
        <f>IF(L23="APOYADA",X23*G23^2/8+Z23,0)</f>
        <v>12.0072324835549</v>
      </c>
      <c r="AE23" s="67">
        <f>IF(L23="APOYADA",DATOS!$C$52*AD23,IF(L23="VOLADO",X23*G23^2/2+Z23,0))</f>
        <v>8.00882406653112</v>
      </c>
      <c r="AF23" s="67">
        <f>IF(L23="APOYADA",X23*G23/2+AA23,IF(L23="VOLADO",X23*G23+AA23,0))</f>
        <v>11.6517731115878</v>
      </c>
      <c r="AG23" s="41">
        <f>O23-DATOS!$C$18-INDEX(TABLAS!$C$52:$C$58,MATCH(DATOS!$C$95,TABLAS!$B$52:$B$58,0))-INDEX(TABLAS!$C$52:$C$58,MATCH(DATOS!$C$94,TABLAS!$B$52:$B$58,0))/2</f>
        <v>21.575</v>
      </c>
      <c r="AH23" s="41">
        <f>IF(OR(L23="BORDE DE VOLADO",L23="SIN APOYO"),0,IF(AD23&lt;=0,DATOS!$C$71*N23*AG23,IF((1-2*AD23*1E5/(DATOS!$C$45*N23*AG23^2*DATOS!$C$38))&lt;0,-1,IF((1-SQRT((1-2*AD23*1E5/(DATOS!$C$45*N23*AG23^2*DATOS!$C$38))))*DATOS!$C$38*N23*AG23/DATOS!$C$32&gt;DATOS!$C$70*N23*AG23,-1,MAX(DATOS!$C$71*N23*AG23,(1-SQRT((1-2*AD23*1E5/(DATOS!$C$45*N23*AG23^2*DATOS!$C$38))))*DATOS!$C$38*N23*AG23/DATOS!$C$32)))))</f>
        <v>-1</v>
      </c>
      <c r="AI23" s="39">
        <f>IF(AH23&lt;0,0,IF(AND(AH23&gt;=0,CEILING(AH23/INDEX(TABLAS!$D$52:$D$58,MIN(MATCH(DATOS!$C$94,TABLAS!$B$52:$B$58,0)+0,7)),1)&lt;=MIN(99,INT((AZ23+DATOS!$C$24)/(INDEX(TABLAS!$C$52:$C$58,MIN(MATCH(DATOS!$C$94,TABLAS!$B$52:$B$58,0)+0,7))+DATOS!$C$24)))),INDEX(TABLAS!$B$52:$B$58,MIN(MATCH(DATOS!$C$94,TABLAS!$B$52:$B$58,0)+0,7)),IF(AND(AH23&gt;=0,CEILING(AH23/INDEX(TABLAS!$D$52:$D$58,MIN(MATCH(DATOS!$C$94,TABLAS!$B$52:$B$58,0)+1,7)),1)&lt;=MIN(99,INT((AZ23+DATOS!$C$24)/(INDEX(TABLAS!$C$52:$C$58,MIN(MATCH(DATOS!$C$94,TABLAS!$B$52:$B$58,0)+1,7))+DATOS!$C$24)))),INDEX(TABLAS!$B$52:$B$58,MIN(MATCH(DATOS!$C$94,TABLAS!$B$52:$B$58,0)+1,7)),IF(AND(AH23&gt;=0,CEILING(AH23/INDEX(TABLAS!$D$52:$D$58,MIN(MATCH(DATOS!$C$94,TABLAS!$B$52:$B$58,0)+2,7)),1)&lt;=MIN(99,INT((AZ23+DATOS!$C$24)/(INDEX(TABLAS!$C$52:$C$58,MIN(MATCH(DATOS!$C$94,TABLAS!$B$52:$B$58,0)+2,7))+DATOS!$C$24)))),INDEX(TABLAS!$B$52:$B$58,MIN(MATCH(DATOS!$C$94,TABLAS!$B$52:$B$58,0)+2,7)),IF(AND(AH23&gt;=0,CEILING(AH23/INDEX(TABLAS!$D$52:$D$58,MIN(MATCH(DATOS!$C$94,TABLAS!$B$52:$B$58,0)+3,7)),1)&lt;=MIN(99,INT((AZ23+DATOS!$C$24)/(INDEX(TABLAS!$C$52:$C$58,MIN(MATCH(DATOS!$C$94,TABLAS!$B$52:$B$58,0)+3,7))+DATOS!$C$24)))),INDEX(TABLAS!$B$52:$B$58,MIN(MATCH(DATOS!$C$94,TABLAS!$B$52:$B$58,0)+3,7)),IF(AND(AH23&gt;=0,CEILING(AH23/INDEX(TABLAS!$D$52:$D$58,MIN(MATCH(DATOS!$C$94,TABLAS!$B$52:$B$58,0)+4,7)),1)&lt;=MIN(99,INT((AZ23+DATOS!$C$24)/(INDEX(TABLAS!$C$52:$C$58,MIN(MATCH(DATOS!$C$94,TABLAS!$B$52:$B$58,0)+4,7))+DATOS!$C$24)))),INDEX(TABLAS!$B$52:$B$58,MIN(MATCH(DATOS!$C$94,TABLAS!$B$52:$B$58,0)+4,7)),INDEX(TABLAS!$B$52:$B$58,7)))))))</f>
        <v>0</v>
      </c>
      <c r="AJ23" s="55">
        <f>IF(AH23&lt;=0,0,MAX(DATOS!$C$96,CEILING(AH23/INDEX(TABLAS!$D$52:$D$58,MATCH(IF(AI23=0,8,AI23),TABLAS!$B$52:$B$58,0)),1)))</f>
        <v>0</v>
      </c>
      <c r="AK23" s="34">
        <f>IF(AJ23=0,0,DATOS!$C$45*AJ23*INDEX(TABLAS!$D$52:$D$58,MATCH(AI23,TABLAS!$B$52:$B$58,0))*DATOS!$C$32*((O23-DATOS!$C$18-INDEX(TABLAS!$C$52:$C$58,MATCH(DATOS!$C$95,TABLAS!$B$52:$B$58,0))-INDEX(TABLAS!$C$52:$C$58,MATCH(AI23,TABLAS!$B$52:$B$58,0))/2)-AJ23*INDEX(TABLAS!$D$52:$D$58,MATCH(AI23,TABLAS!$B$52:$B$58,0))*DATOS!$C$32/(DATOS!$C$38*N23)/2)/1E5)</f>
        <v>0</v>
      </c>
      <c r="AL23" s="59">
        <f>IF(AH23&lt;0,9.99,IF(AK23&gt;0,AD23/AK23,0))</f>
        <v>9.99</v>
      </c>
      <c r="AM23" s="41">
        <f>IF(OR(L23="BORDE DE VOLADO",L23="SIN APOYO"),0,IF(AE23&lt;=0,DATOS!$C$71*N23*AG23,IF((1-2*AE23*1E5/(DATOS!$C$45*N23*AG23^2*DATOS!$C$38))&lt;0,-1,IF((1-SQRT((1-2*AE23*1E5/(DATOS!$C$45*N23*AG23^2*DATOS!$C$38))))*DATOS!$C$38*N23*AG23/DATOS!$C$32&gt;DATOS!$C$70*N23*AG23,-1,MAX(DATOS!$C$71*N23*AG23,(1-SQRT((1-2*AE23*1E5/(DATOS!$C$45*N23*AG23^2*DATOS!$C$38))))*DATOS!$C$38*N23*AG23/DATOS!$C$32)))))</f>
        <v>-1</v>
      </c>
      <c r="AN23" s="39">
        <f>IF(AM23&lt;0,0,IF(AND(AM23&gt;=0,CEILING(AM23/INDEX(TABLAS!$D$52:$D$58,MIN(MATCH(DATOS!$C$94,TABLAS!$B$52:$B$58,0)+0,7)),1)&lt;=MIN(99,INT((AZ23+DATOS!$C$24)/(INDEX(TABLAS!$C$52:$C$58,MIN(MATCH(DATOS!$C$94,TABLAS!$B$52:$B$58,0)+0,7))+DATOS!$C$24)))),INDEX(TABLAS!$B$52:$B$58,MIN(MATCH(DATOS!$C$94,TABLAS!$B$52:$B$58,0)+0,7)),IF(AND(AM23&gt;=0,CEILING(AM23/INDEX(TABLAS!$D$52:$D$58,MIN(MATCH(DATOS!$C$94,TABLAS!$B$52:$B$58,0)+1,7)),1)&lt;=MIN(99,INT((AZ23+DATOS!$C$24)/(INDEX(TABLAS!$C$52:$C$58,MIN(MATCH(DATOS!$C$94,TABLAS!$B$52:$B$58,0)+1,7))+DATOS!$C$24)))),INDEX(TABLAS!$B$52:$B$58,MIN(MATCH(DATOS!$C$94,TABLAS!$B$52:$B$58,0)+1,7)),IF(AND(AM23&gt;=0,CEILING(AM23/INDEX(TABLAS!$D$52:$D$58,MIN(MATCH(DATOS!$C$94,TABLAS!$B$52:$B$58,0)+2,7)),1)&lt;=MIN(99,INT((AZ23+DATOS!$C$24)/(INDEX(TABLAS!$C$52:$C$58,MIN(MATCH(DATOS!$C$94,TABLAS!$B$52:$B$58,0)+2,7))+DATOS!$C$24)))),INDEX(TABLAS!$B$52:$B$58,MIN(MATCH(DATOS!$C$94,TABLAS!$B$52:$B$58,0)+2,7)),IF(AND(AM23&gt;=0,CEILING(AM23/INDEX(TABLAS!$D$52:$D$58,MIN(MATCH(DATOS!$C$94,TABLAS!$B$52:$B$58,0)+3,7)),1)&lt;=MIN(99,INT((AZ23+DATOS!$C$24)/(INDEX(TABLAS!$C$52:$C$58,MIN(MATCH(DATOS!$C$94,TABLAS!$B$52:$B$58,0)+3,7))+DATOS!$C$24)))),INDEX(TABLAS!$B$52:$B$58,MIN(MATCH(DATOS!$C$94,TABLAS!$B$52:$B$58,0)+3,7)),IF(AND(AM23&gt;=0,CEILING(AM23/INDEX(TABLAS!$D$52:$D$58,MIN(MATCH(DATOS!$C$94,TABLAS!$B$52:$B$58,0)+4,7)),1)&lt;=MIN(99,INT((AZ23+DATOS!$C$24)/(INDEX(TABLAS!$C$52:$C$58,MIN(MATCH(DATOS!$C$94,TABLAS!$B$52:$B$58,0)+4,7))+DATOS!$C$24)))),INDEX(TABLAS!$B$52:$B$58,MIN(MATCH(DATOS!$C$94,TABLAS!$B$52:$B$58,0)+4,7)),INDEX(TABLAS!$B$52:$B$58,7)))))))</f>
        <v>0</v>
      </c>
      <c r="AO23" s="55">
        <f>IF(AM23&lt;=0,0,MAX(DATOS!$C$96,CEILING(AM23/INDEX(TABLAS!$D$52:$D$58,MATCH(IF(AN23=0,8,AN23),TABLAS!$B$52:$B$58,0)),1)))</f>
        <v>0</v>
      </c>
      <c r="AP23" s="34">
        <f>IF(AO23=0,0,DATOS!$C$45*AO23*INDEX(TABLAS!$D$52:$D$58,MATCH(AN23,TABLAS!$B$52:$B$58,0))*DATOS!$C$32*((O23-DATOS!$C$18-INDEX(TABLAS!$C$52:$C$58,MATCH(DATOS!$C$95,TABLAS!$B$52:$B$58,0))-INDEX(TABLAS!$C$52:$C$58,MATCH(AN23,TABLAS!$B$52:$B$58,0))/2)-AO23*INDEX(TABLAS!$D$52:$D$58,MATCH(AN23,TABLAS!$B$52:$B$58,0))*DATOS!$C$32/(DATOS!$C$38*N23)/2)/1E5)</f>
        <v>0</v>
      </c>
      <c r="AQ23" s="59">
        <f>IF(AM23&lt;0,9.99,IF(AP23&gt;0,AE23/AP23,0))</f>
        <v>9.99</v>
      </c>
      <c r="AR23" s="34">
        <f>IF(AO23=0,0,DATOS!$C$46*IF((AO23*INDEX(TABLAS!$D$52:$D$58,MATCH(AN23,TABLAS!$B$52:$B$58,0))/(N23*AG23))&lt;0.015,0.2+20*(AO23*INDEX(TABLAS!$D$52:$D$58,MATCH(AN23,TABLAS!$B$52:$B$58,0))/(N23*AG23)),0.5)*SQRT(DATOS!$C$31)*N23*AG23/1000)</f>
        <v>0</v>
      </c>
      <c r="AS23" s="68">
        <f>IF(AF23=0,0,INT(MIN(IF(AF23&gt;AR23,DATOS!$C$46*2*INDEX(TABLAS!$D$52:$D$58,MATCH(DATOS!$C$95,TABLAS!$B$52:$B$58,0))*DATOS!$C$32*AG23/((AF23-AR23)*1000),999),AG23/2,DATOS!$C$97,2*INDEX(TABLAS!$D$52:$D$58,MATCH(DATOS!$C$95,TABLAS!$B$52:$B$58,0))*DATOS!$C$32/(MAX(0.2*SQRT(DATOS!$C$31),3.5)*N23))/2.5)*2.5)</f>
        <v>5</v>
      </c>
      <c r="AT23" s="49" t="str">
        <f>IF(AF23=0,"—",IF(AF23&gt;AR23+DATOS!$C$46*2.12*SQRT(DATOS!$C$31)*N23*AG23/1000,"SECCIÓN INSUFICIENTE","E No. "&amp;TEXT(DATOS!$C$95,"0.0")&amp;" @ "&amp;TEXT(AS23,"0.0")&amp;" cm"))</f>
        <v>SECCIÓN INSUFICIENTE</v>
      </c>
      <c r="AU23" s="68">
        <f>IF(L23="APOYADA",G23*100/16,IF(L23="VOLADO",G23*100/8,0))</f>
        <v>30.78125</v>
      </c>
      <c r="AV23" s="68">
        <f>SQRT(MAX(AD23,AE23)*1E5/(DATOS!$C$45*N23*DATOS!$C$38*(DATOS!$C$70*DATOS!$C$32/DATOS!$C$38)*(1-(DATOS!$C$70*DATOS!$C$32/DATOS!$C$38)/2)))+(O23-AG23)</f>
        <v>40.4886161656961</v>
      </c>
      <c r="AW23" s="56">
        <f>IF(OR(L23="BORDE DE VOLADO",L23="SIN APOYO"),0,CEILING(MAX(AU23,AV23,DATOS!$C$15),5))</f>
        <v>45</v>
      </c>
      <c r="AX23" s="69" t="str">
        <f>IF(L23="BORDE DE VOLADO","BORDE DE VOLADO — armado de orilla",IF(L23="SIN APOYO","SIN APOYO — REVISAR",IF(AND(AL23&lt;=1,AQ23&lt;=1,IF(AJ23=0,TRUE,AJ23&lt;=INT((AZ23+DATOS!$C$24)/(INDEX(TABLAS!$C$52:$C$58,MATCH(MAX(AI23,2),TABLAS!$B$52:$B$58,0))+DATOS!$C$24))),IF(AO23=0,TRUE,AO23&lt;=INT((AZ23+DATOS!$C$24)/(INDEX(TABLAS!$C$52:$C$58,MATCH(MAX(AN23,2),TABLAS!$B$52:$B$58,0))+DATOS!$C$24))),AT23&lt;&gt;"SECCIÓN INSUFICIENTE",O23&gt;=AU23),"CUMPLE"&amp;IF(L23="VOLADO"," (en VOLADO)",""),"NO CUMPLE: "&amp;IF(OR(AH23&lt;0,AM23&lt;0),"sección insuficiente en flexión ",IF(OR(AL23&gt;1,AQ23&gt;1),"flexión ",""))&amp;IF(NOT(AND(IF(AJ23=0,TRUE,AJ23&lt;=INT((AZ23+DATOS!$C$24)/(INDEX(TABLAS!$C$52:$C$58,MATCH(MAX(AI23,2),TABLAS!$B$52:$B$58,0))+DATOS!$C$24))),IF(AO23=0,TRUE,AO23&lt;=INT((AZ23+DATOS!$C$24)/(INDEX(TABLAS!$C$52:$C$58,MATCH(MAX(AN23,2),TABLAS!$B$52:$B$58,0))+DATOS!$C$24))))),"no caben ","")&amp;IF(AT23="SECCIÓN INSUFICIENTE","cortante ","")&amp;IF(O23&lt;AU23,"deflexión ","")&amp;"→ h ≥ "&amp;TEXT(AW23,"0")&amp;" cm")))</f>
        <v>NO CUMPLE: sección insuficiente en flexión cortante deflexión → h ≥ 45 cm</v>
      </c>
      <c r="AY23" s="61" t="inlineStr">
        <is>
          <t>Recibe a NP-18, NP-24. Muro de planta alta encima (4.92 m).</t>
        </is>
      </c>
      <c r="AZ23" s="41">
        <f>N23-2*DATOS!$C$18-2*INDEX(TABLAS!$C$52:$C$58,MATCH(DATOS!$C$95,TABLAS!$B$52:$B$58,0))</f>
        <v>9.42</v>
      </c>
    </row>
    <row r="24" ht="30" customHeight="1">
      <c r="B24" s="57" t="inlineStr">
        <is>
          <t>NP-16</t>
        </is>
      </c>
      <c r="C24" s="50" t="inlineStr">
        <is>
          <t>N+3.00</t>
        </is>
      </c>
      <c r="D24" s="49" t="inlineStr">
        <is>
          <t>y = 23.446</t>
        </is>
      </c>
      <c r="E24" s="50" t="inlineStr">
        <is>
          <t>(0.000, 23.446)</t>
        </is>
      </c>
      <c r="F24" s="50" t="inlineStr">
        <is>
          <t>(7.250, 23.446)</t>
        </is>
      </c>
      <c r="G24" s="53" t="n">
        <v>7.25</v>
      </c>
      <c r="H24" s="50" t="inlineStr">
        <is>
          <t>FIRME</t>
        </is>
      </c>
      <c r="I24" s="50" t="inlineStr">
        <is>
          <t>FIRME</t>
        </is>
      </c>
      <c r="J24" s="50" t="inlineStr">
        <is>
          <t>—</t>
        </is>
      </c>
      <c r="K24" s="50" t="inlineStr">
        <is>
          <t>—</t>
        </is>
      </c>
      <c r="L24" s="50" t="inlineStr">
        <is>
          <t>BORDE DE VOLADO</t>
        </is>
      </c>
      <c r="M24" s="50" t="str">
        <f>IF(L24="VOLADO",IF(OR(H24="FIRME",H24="NERVADURA",H24="PUNTA"),"i","j"),"—")</f>
        <v>—</v>
      </c>
      <c r="N24" s="54">
        <f>DATOS!$C$17</f>
        <v>15</v>
      </c>
      <c r="O24" s="54">
        <f>DATOS!$C$15</f>
        <v>25</v>
      </c>
      <c r="P24" s="41">
        <f>SUMIFS(TRIB!$E$6:$E$255,TRIB!$B$6:$B$255,B24)</f>
        <v>6.25</v>
      </c>
      <c r="Q24" s="34">
        <f>SUMIFS(TRIB!$G$6:$G$255,TRIB!$B$6:$B$255,B24)/G24</f>
        <v>0.765323715693174</v>
      </c>
      <c r="R24" s="66" t="n">
        <v>0</v>
      </c>
      <c r="S24" s="34">
        <f>DATOS!$C$43*R24*DATOS!$C$89/G24</f>
        <v>0</v>
      </c>
      <c r="T24" s="58" t="n">
        <v>333.7</v>
      </c>
      <c r="U24" s="58" t="n">
        <v>0</v>
      </c>
      <c r="V24" s="34">
        <f>(DATOS!$C$43*T24+DATOS!$C$44*U24)/1000</f>
        <v>0.43381</v>
      </c>
      <c r="W24" s="34">
        <f>DATOS!$C$43*(N24/100*O24/100*DATOS!$C$35-N24/100*DATOS!$C$58/1000)</f>
        <v>0.0694836734693878</v>
      </c>
      <c r="X24" s="67">
        <f>Q24+S24+V24+W24</f>
        <v>1.26861738916256</v>
      </c>
      <c r="Y24" s="34">
        <f>0</f>
        <v>0</v>
      </c>
      <c r="Z24" s="34">
        <f>0</f>
        <v>0</v>
      </c>
      <c r="AA24" s="34">
        <f>0</f>
        <v>0</v>
      </c>
      <c r="AB24" s="34">
        <f>IF(L24="APOYADA",X24*G24/2+0,IF(AND(L24="VOLADO",M24="i"),X24*G24+Y24,0))</f>
        <v>0</v>
      </c>
      <c r="AC24" s="34">
        <f>IF(L24="APOYADA",X24*G24/2+0,IF(AND(L24="VOLADO",M24="j"),X24*G24+Y24,0))</f>
        <v>0</v>
      </c>
      <c r="AD24" s="67">
        <f>IF(L24="APOYADA",X24*G24^2/8+Z24,0)</f>
        <v>0</v>
      </c>
      <c r="AE24" s="67">
        <f>IF(L24="APOYADA",DATOS!$C$52*AD24,IF(L24="VOLADO",X24*G24^2/2+Z24,0))</f>
        <v>0</v>
      </c>
      <c r="AF24" s="67">
        <f>IF(L24="APOYADA",X24*G24/2+AA24,IF(L24="VOLADO",X24*G24+AA24,0))</f>
        <v>0</v>
      </c>
      <c r="AG24" s="41">
        <f>O24-DATOS!$C$18-INDEX(TABLAS!$C$52:$C$58,MATCH(DATOS!$C$95,TABLAS!$B$52:$B$58,0))-INDEX(TABLAS!$C$52:$C$58,MATCH(DATOS!$C$94,TABLAS!$B$52:$B$58,0))/2</f>
        <v>21.575</v>
      </c>
      <c r="AH24" s="41">
        <f>IF(OR(L24="BORDE DE VOLADO",L24="SIN APOYO"),0,IF(AD24&lt;=0,DATOS!$C$71*N24*AG24,IF((1-2*AD24*1E5/(DATOS!$C$45*N24*AG24^2*DATOS!$C$38))&lt;0,-1,IF((1-SQRT((1-2*AD24*1E5/(DATOS!$C$45*N24*AG24^2*DATOS!$C$38))))*DATOS!$C$38*N24*AG24/DATOS!$C$32&gt;DATOS!$C$70*N24*AG24,-1,MAX(DATOS!$C$71*N24*AG24,(1-SQRT((1-2*AD24*1E5/(DATOS!$C$45*N24*AG24^2*DATOS!$C$38))))*DATOS!$C$38*N24*AG24/DATOS!$C$32)))))</f>
        <v>0</v>
      </c>
      <c r="AI24" s="39">
        <f>IF(AH24&lt;0,0,IF(AND(AH24&gt;=0,CEILING(AH24/INDEX(TABLAS!$D$52:$D$58,MIN(MATCH(DATOS!$C$94,TABLAS!$B$52:$B$58,0)+0,7)),1)&lt;=MIN(99,INT((AZ24+DATOS!$C$24)/(INDEX(TABLAS!$C$52:$C$58,MIN(MATCH(DATOS!$C$94,TABLAS!$B$52:$B$58,0)+0,7))+DATOS!$C$24)))),INDEX(TABLAS!$B$52:$B$58,MIN(MATCH(DATOS!$C$94,TABLAS!$B$52:$B$58,0)+0,7)),IF(AND(AH24&gt;=0,CEILING(AH24/INDEX(TABLAS!$D$52:$D$58,MIN(MATCH(DATOS!$C$94,TABLAS!$B$52:$B$58,0)+1,7)),1)&lt;=MIN(99,INT((AZ24+DATOS!$C$24)/(INDEX(TABLAS!$C$52:$C$58,MIN(MATCH(DATOS!$C$94,TABLAS!$B$52:$B$58,0)+1,7))+DATOS!$C$24)))),INDEX(TABLAS!$B$52:$B$58,MIN(MATCH(DATOS!$C$94,TABLAS!$B$52:$B$58,0)+1,7)),IF(AND(AH24&gt;=0,CEILING(AH24/INDEX(TABLAS!$D$52:$D$58,MIN(MATCH(DATOS!$C$94,TABLAS!$B$52:$B$58,0)+2,7)),1)&lt;=MIN(99,INT((AZ24+DATOS!$C$24)/(INDEX(TABLAS!$C$52:$C$58,MIN(MATCH(DATOS!$C$94,TABLAS!$B$52:$B$58,0)+2,7))+DATOS!$C$24)))),INDEX(TABLAS!$B$52:$B$58,MIN(MATCH(DATOS!$C$94,TABLAS!$B$52:$B$58,0)+2,7)),IF(AND(AH24&gt;=0,CEILING(AH24/INDEX(TABLAS!$D$52:$D$58,MIN(MATCH(DATOS!$C$94,TABLAS!$B$52:$B$58,0)+3,7)),1)&lt;=MIN(99,INT((AZ24+DATOS!$C$24)/(INDEX(TABLAS!$C$52:$C$58,MIN(MATCH(DATOS!$C$94,TABLAS!$B$52:$B$58,0)+3,7))+DATOS!$C$24)))),INDEX(TABLAS!$B$52:$B$58,MIN(MATCH(DATOS!$C$94,TABLAS!$B$52:$B$58,0)+3,7)),IF(AND(AH24&gt;=0,CEILING(AH24/INDEX(TABLAS!$D$52:$D$58,MIN(MATCH(DATOS!$C$94,TABLAS!$B$52:$B$58,0)+4,7)),1)&lt;=MIN(99,INT((AZ24+DATOS!$C$24)/(INDEX(TABLAS!$C$52:$C$58,MIN(MATCH(DATOS!$C$94,TABLAS!$B$52:$B$58,0)+4,7))+DATOS!$C$24)))),INDEX(TABLAS!$B$52:$B$58,MIN(MATCH(DATOS!$C$94,TABLAS!$B$52:$B$58,0)+4,7)),INDEX(TABLAS!$B$52:$B$58,7)))))))</f>
        <v>4</v>
      </c>
      <c r="AJ24" s="55">
        <f>IF(AH24&lt;=0,0,MAX(DATOS!$C$96,CEILING(AH24/INDEX(TABLAS!$D$52:$D$58,MATCH(IF(AI24=0,8,AI24),TABLAS!$B$52:$B$58,0)),1)))</f>
        <v>0</v>
      </c>
      <c r="AK24" s="34">
        <f>IF(AJ24=0,0,DATOS!$C$45*AJ24*INDEX(TABLAS!$D$52:$D$58,MATCH(AI24,TABLAS!$B$52:$B$58,0))*DATOS!$C$32*((O24-DATOS!$C$18-INDEX(TABLAS!$C$52:$C$58,MATCH(DATOS!$C$95,TABLAS!$B$52:$B$58,0))-INDEX(TABLAS!$C$52:$C$58,MATCH(AI24,TABLAS!$B$52:$B$58,0))/2)-AJ24*INDEX(TABLAS!$D$52:$D$58,MATCH(AI24,TABLAS!$B$52:$B$58,0))*DATOS!$C$32/(DATOS!$C$38*N24)/2)/1E5)</f>
        <v>0</v>
      </c>
      <c r="AL24" s="59">
        <f>IF(AH24&lt;0,9.99,IF(AK24&gt;0,AD24/AK24,0))</f>
        <v>0</v>
      </c>
      <c r="AM24" s="41">
        <f>IF(OR(L24="BORDE DE VOLADO",L24="SIN APOYO"),0,IF(AE24&lt;=0,DATOS!$C$71*N24*AG24,IF((1-2*AE24*1E5/(DATOS!$C$45*N24*AG24^2*DATOS!$C$38))&lt;0,-1,IF((1-SQRT((1-2*AE24*1E5/(DATOS!$C$45*N24*AG24^2*DATOS!$C$38))))*DATOS!$C$38*N24*AG24/DATOS!$C$32&gt;DATOS!$C$70*N24*AG24,-1,MAX(DATOS!$C$71*N24*AG24,(1-SQRT((1-2*AE24*1E5/(DATOS!$C$45*N24*AG24^2*DATOS!$C$38))))*DATOS!$C$38*N24*AG24/DATOS!$C$32)))))</f>
        <v>0</v>
      </c>
      <c r="AN24" s="39">
        <f>IF(AM24&lt;0,0,IF(AND(AM24&gt;=0,CEILING(AM24/INDEX(TABLAS!$D$52:$D$58,MIN(MATCH(DATOS!$C$94,TABLAS!$B$52:$B$58,0)+0,7)),1)&lt;=MIN(99,INT((AZ24+DATOS!$C$24)/(INDEX(TABLAS!$C$52:$C$58,MIN(MATCH(DATOS!$C$94,TABLAS!$B$52:$B$58,0)+0,7))+DATOS!$C$24)))),INDEX(TABLAS!$B$52:$B$58,MIN(MATCH(DATOS!$C$94,TABLAS!$B$52:$B$58,0)+0,7)),IF(AND(AM24&gt;=0,CEILING(AM24/INDEX(TABLAS!$D$52:$D$58,MIN(MATCH(DATOS!$C$94,TABLAS!$B$52:$B$58,0)+1,7)),1)&lt;=MIN(99,INT((AZ24+DATOS!$C$24)/(INDEX(TABLAS!$C$52:$C$58,MIN(MATCH(DATOS!$C$94,TABLAS!$B$52:$B$58,0)+1,7))+DATOS!$C$24)))),INDEX(TABLAS!$B$52:$B$58,MIN(MATCH(DATOS!$C$94,TABLAS!$B$52:$B$58,0)+1,7)),IF(AND(AM24&gt;=0,CEILING(AM24/INDEX(TABLAS!$D$52:$D$58,MIN(MATCH(DATOS!$C$94,TABLAS!$B$52:$B$58,0)+2,7)),1)&lt;=MIN(99,INT((AZ24+DATOS!$C$24)/(INDEX(TABLAS!$C$52:$C$58,MIN(MATCH(DATOS!$C$94,TABLAS!$B$52:$B$58,0)+2,7))+DATOS!$C$24)))),INDEX(TABLAS!$B$52:$B$58,MIN(MATCH(DATOS!$C$94,TABLAS!$B$52:$B$58,0)+2,7)),IF(AND(AM24&gt;=0,CEILING(AM24/INDEX(TABLAS!$D$52:$D$58,MIN(MATCH(DATOS!$C$94,TABLAS!$B$52:$B$58,0)+3,7)),1)&lt;=MIN(99,INT((AZ24+DATOS!$C$24)/(INDEX(TABLAS!$C$52:$C$58,MIN(MATCH(DATOS!$C$94,TABLAS!$B$52:$B$58,0)+3,7))+DATOS!$C$24)))),INDEX(TABLAS!$B$52:$B$58,MIN(MATCH(DATOS!$C$94,TABLAS!$B$52:$B$58,0)+3,7)),IF(AND(AM24&gt;=0,CEILING(AM24/INDEX(TABLAS!$D$52:$D$58,MIN(MATCH(DATOS!$C$94,TABLAS!$B$52:$B$58,0)+4,7)),1)&lt;=MIN(99,INT((AZ24+DATOS!$C$24)/(INDEX(TABLAS!$C$52:$C$58,MIN(MATCH(DATOS!$C$94,TABLAS!$B$52:$B$58,0)+4,7))+DATOS!$C$24)))),INDEX(TABLAS!$B$52:$B$58,MIN(MATCH(DATOS!$C$94,TABLAS!$B$52:$B$58,0)+4,7)),INDEX(TABLAS!$B$52:$B$58,7)))))))</f>
        <v>4</v>
      </c>
      <c r="AO24" s="55">
        <f>IF(AM24&lt;=0,0,MAX(DATOS!$C$96,CEILING(AM24/INDEX(TABLAS!$D$52:$D$58,MATCH(IF(AN24=0,8,AN24),TABLAS!$B$52:$B$58,0)),1)))</f>
        <v>0</v>
      </c>
      <c r="AP24" s="34">
        <f>IF(AO24=0,0,DATOS!$C$45*AO24*INDEX(TABLAS!$D$52:$D$58,MATCH(AN24,TABLAS!$B$52:$B$58,0))*DATOS!$C$32*((O24-DATOS!$C$18-INDEX(TABLAS!$C$52:$C$58,MATCH(DATOS!$C$95,TABLAS!$B$52:$B$58,0))-INDEX(TABLAS!$C$52:$C$58,MATCH(AN24,TABLAS!$B$52:$B$58,0))/2)-AO24*INDEX(TABLAS!$D$52:$D$58,MATCH(AN24,TABLAS!$B$52:$B$58,0))*DATOS!$C$32/(DATOS!$C$38*N24)/2)/1E5)</f>
        <v>0</v>
      </c>
      <c r="AQ24" s="59">
        <f>IF(AM24&lt;0,9.99,IF(AP24&gt;0,AE24/AP24,0))</f>
        <v>0</v>
      </c>
      <c r="AR24" s="34">
        <f>IF(AO24=0,0,DATOS!$C$46*IF((AO24*INDEX(TABLAS!$D$52:$D$58,MATCH(AN24,TABLAS!$B$52:$B$58,0))/(N24*AG24))&lt;0.015,0.2+20*(AO24*INDEX(TABLAS!$D$52:$D$58,MATCH(AN24,TABLAS!$B$52:$B$58,0))/(N24*AG24)),0.5)*SQRT(DATOS!$C$31)*N24*AG24/1000)</f>
        <v>0</v>
      </c>
      <c r="AS24" s="68">
        <f>IF(AF24=0,0,INT(MIN(IF(AF24&gt;AR24,DATOS!$C$46*2*INDEX(TABLAS!$D$52:$D$58,MATCH(DATOS!$C$95,TABLAS!$B$52:$B$58,0))*DATOS!$C$32*AG24/((AF24-AR24)*1000),999),AG24/2,DATOS!$C$97,2*INDEX(TABLAS!$D$52:$D$58,MATCH(DATOS!$C$95,TABLAS!$B$52:$B$58,0))*DATOS!$C$32/(MAX(0.2*SQRT(DATOS!$C$31),3.5)*N24))/2.5)*2.5)</f>
        <v>0</v>
      </c>
      <c r="AT24" s="49" t="str">
        <f>IF(AF24=0,"—",IF(AF24&gt;AR24+DATOS!$C$46*2.12*SQRT(DATOS!$C$31)*N24*AG24/1000,"SECCIÓN INSUFICIENTE","E No. "&amp;TEXT(DATOS!$C$95,"0.0")&amp;" @ "&amp;TEXT(AS24,"0.0")&amp;" cm"))</f>
        <v>—</v>
      </c>
      <c r="AU24" s="68">
        <f>IF(L24="APOYADA",G24*100/16,IF(L24="VOLADO",G24*100/8,0))</f>
        <v>0</v>
      </c>
      <c r="AV24" s="68">
        <f>SQRT(MAX(AD24,AE24)*1E5/(DATOS!$C$45*N24*DATOS!$C$38*(DATOS!$C$70*DATOS!$C$32/DATOS!$C$38)*(1-(DATOS!$C$70*DATOS!$C$32/DATOS!$C$38)/2)))+(O24-AG24)</f>
        <v>3.425</v>
      </c>
      <c r="AW24" s="56">
        <f>IF(OR(L24="BORDE DE VOLADO",L24="SIN APOYO"),0,CEILING(MAX(AU24,AV24,DATOS!$C$15),5))</f>
        <v>0</v>
      </c>
      <c r="AX24" s="69" t="str">
        <f>IF(L24="BORDE DE VOLADO","BORDE DE VOLADO — armado de orilla",IF(L24="SIN APOYO","SIN APOYO — REVISAR",IF(AND(AL24&lt;=1,AQ24&lt;=1,IF(AJ24=0,TRUE,AJ24&lt;=INT((AZ24+DATOS!$C$24)/(INDEX(TABLAS!$C$52:$C$58,MATCH(MAX(AI24,2),TABLAS!$B$52:$B$58,0))+DATOS!$C$24))),IF(AO24=0,TRUE,AO24&lt;=INT((AZ24+DATOS!$C$24)/(INDEX(TABLAS!$C$52:$C$58,MATCH(MAX(AN24,2),TABLAS!$B$52:$B$58,0))+DATOS!$C$24))),AT24&lt;&gt;"SECCIÓN INSUFICIENTE",O24&gt;=AU24),"CUMPLE"&amp;IF(L24="VOLADO"," (en VOLADO)",""),"NO CUMPLE: "&amp;IF(OR(AH24&lt;0,AM24&lt;0),"sección insuficiente en flexión ",IF(OR(AL24&gt;1,AQ24&gt;1),"flexión ",""))&amp;IF(NOT(AND(IF(AJ24=0,TRUE,AJ24&lt;=INT((AZ24+DATOS!$C$24)/(INDEX(TABLAS!$C$52:$C$58,MATCH(MAX(AI24,2),TABLAS!$B$52:$B$58,0))+DATOS!$C$24))),IF(AO24=0,TRUE,AO24&lt;=INT((AZ24+DATOS!$C$24)/(INDEX(TABLAS!$C$52:$C$58,MATCH(MAX(AN24,2),TABLAS!$B$52:$B$58,0))+DATOS!$C$24))))),"no caben ","")&amp;IF(AT24="SECCIÓN INSUFICIENTE","cortante ","")&amp;IF(O24&lt;AU24,"deflexión ","")&amp;"→ h ≥ "&amp;TEXT(AW24,"0")&amp;" cm")))</f>
        <v>BORDE DE VOLADO — armado de orilla</v>
      </c>
      <c r="AY24" s="61" t="inlineStr">
        <is>
          <t>Orilla libre de tablero en volado: lleva el armado de la orilla, no trabaja como trabe.</t>
        </is>
      </c>
      <c r="AZ24" s="41">
        <f>N24-2*DATOS!$C$18-2*INDEX(TABLAS!$C$52:$C$58,MATCH(DATOS!$C$95,TABLAS!$B$52:$B$58,0))</f>
        <v>9.42</v>
      </c>
    </row>
    <row r="25" ht="30" customHeight="1">
      <c r="B25" s="57" t="inlineStr">
        <is>
          <t>NP-17</t>
        </is>
      </c>
      <c r="C25" s="50" t="inlineStr">
        <is>
          <t>N+3.00</t>
        </is>
      </c>
      <c r="D25" s="49" t="inlineStr">
        <is>
          <t>x = -2.000</t>
        </is>
      </c>
      <c r="E25" s="50" t="inlineStr">
        <is>
          <t>(-2.000, 14.021)</t>
        </is>
      </c>
      <c r="F25" s="50" t="inlineStr">
        <is>
          <t>(-2.000, 17.446)</t>
        </is>
      </c>
      <c r="G25" s="53" t="n">
        <v>3.425</v>
      </c>
      <c r="H25" s="50" t="inlineStr">
        <is>
          <t>LIBRE</t>
        </is>
      </c>
      <c r="I25" s="50" t="inlineStr">
        <is>
          <t>LIBRE</t>
        </is>
      </c>
      <c r="J25" s="50" t="inlineStr">
        <is>
          <t>—</t>
        </is>
      </c>
      <c r="K25" s="50" t="inlineStr">
        <is>
          <t>—</t>
        </is>
      </c>
      <c r="L25" s="50" t="inlineStr">
        <is>
          <t>BORDE DE VOLADO</t>
        </is>
      </c>
      <c r="M25" s="50" t="str">
        <f>IF(L25="VOLADO",IF(OR(H25="FIRME",H25="NERVADURA",H25="PUNTA"),"i","j"),"—")</f>
        <v>—</v>
      </c>
      <c r="N25" s="54">
        <f>DATOS!$C$17</f>
        <v>15</v>
      </c>
      <c r="O25" s="54">
        <f>DATOS!$C$15</f>
        <v>25</v>
      </c>
      <c r="P25" s="41">
        <f>SUMIFS(TRIB!$E$6:$E$255,TRIB!$B$6:$B$255,B25)</f>
        <v>0</v>
      </c>
      <c r="Q25" s="34">
        <f>SUMIFS(TRIB!$G$6:$G$255,TRIB!$B$6:$B$255,B25)/G25</f>
        <v>0</v>
      </c>
      <c r="R25" s="66" t="n">
        <v>0</v>
      </c>
      <c r="S25" s="34">
        <f>DATOS!$C$43*R25*DATOS!$C$89/G25</f>
        <v>0</v>
      </c>
      <c r="T25" s="58" t="n">
        <v>333.7</v>
      </c>
      <c r="U25" s="58" t="n">
        <v>0</v>
      </c>
      <c r="V25" s="34">
        <f>(DATOS!$C$43*T25+DATOS!$C$44*U25)/1000</f>
        <v>0.43381</v>
      </c>
      <c r="W25" s="34">
        <f>DATOS!$C$43*(N25/100*O25/100*DATOS!$C$35-N25/100*DATOS!$C$58/1000)</f>
        <v>0.0694836734693878</v>
      </c>
      <c r="X25" s="67">
        <f>Q25+S25+V25+W25</f>
        <v>0.503293673469388</v>
      </c>
      <c r="Y25" s="34">
        <f>0</f>
        <v>0</v>
      </c>
      <c r="Z25" s="34">
        <f>0</f>
        <v>0</v>
      </c>
      <c r="AA25" s="34">
        <f>0</f>
        <v>0</v>
      </c>
      <c r="AB25" s="34">
        <f>IF(L25="APOYADA",X25*G25/2+0,IF(AND(L25="VOLADO",M25="i"),X25*G25+Y25,0))</f>
        <v>0</v>
      </c>
      <c r="AC25" s="34">
        <f>IF(L25="APOYADA",X25*G25/2+0,IF(AND(L25="VOLADO",M25="j"),X25*G25+Y25,0))</f>
        <v>0</v>
      </c>
      <c r="AD25" s="67">
        <f>IF(L25="APOYADA",X25*G25^2/8+Z25,0)</f>
        <v>0</v>
      </c>
      <c r="AE25" s="67">
        <f>IF(L25="APOYADA",DATOS!$C$52*AD25,IF(L25="VOLADO",X25*G25^2/2+Z25,0))</f>
        <v>0</v>
      </c>
      <c r="AF25" s="67">
        <f>IF(L25="APOYADA",X25*G25/2+AA25,IF(L25="VOLADO",X25*G25+AA25,0))</f>
        <v>0</v>
      </c>
      <c r="AG25" s="41">
        <f>O25-DATOS!$C$18-INDEX(TABLAS!$C$52:$C$58,MATCH(DATOS!$C$95,TABLAS!$B$52:$B$58,0))-INDEX(TABLAS!$C$52:$C$58,MATCH(DATOS!$C$94,TABLAS!$B$52:$B$58,0))/2</f>
        <v>21.575</v>
      </c>
      <c r="AH25" s="41">
        <f>IF(OR(L25="BORDE DE VOLADO",L25="SIN APOYO"),0,IF(AD25&lt;=0,DATOS!$C$71*N25*AG25,IF((1-2*AD25*1E5/(DATOS!$C$45*N25*AG25^2*DATOS!$C$38))&lt;0,-1,IF((1-SQRT((1-2*AD25*1E5/(DATOS!$C$45*N25*AG25^2*DATOS!$C$38))))*DATOS!$C$38*N25*AG25/DATOS!$C$32&gt;DATOS!$C$70*N25*AG25,-1,MAX(DATOS!$C$71*N25*AG25,(1-SQRT((1-2*AD25*1E5/(DATOS!$C$45*N25*AG25^2*DATOS!$C$38))))*DATOS!$C$38*N25*AG25/DATOS!$C$32)))))</f>
        <v>0</v>
      </c>
      <c r="AI25" s="39">
        <f>IF(AH25&lt;0,0,IF(AND(AH25&gt;=0,CEILING(AH25/INDEX(TABLAS!$D$52:$D$58,MIN(MATCH(DATOS!$C$94,TABLAS!$B$52:$B$58,0)+0,7)),1)&lt;=MIN(99,INT((AZ25+DATOS!$C$24)/(INDEX(TABLAS!$C$52:$C$58,MIN(MATCH(DATOS!$C$94,TABLAS!$B$52:$B$58,0)+0,7))+DATOS!$C$24)))),INDEX(TABLAS!$B$52:$B$58,MIN(MATCH(DATOS!$C$94,TABLAS!$B$52:$B$58,0)+0,7)),IF(AND(AH25&gt;=0,CEILING(AH25/INDEX(TABLAS!$D$52:$D$58,MIN(MATCH(DATOS!$C$94,TABLAS!$B$52:$B$58,0)+1,7)),1)&lt;=MIN(99,INT((AZ25+DATOS!$C$24)/(INDEX(TABLAS!$C$52:$C$58,MIN(MATCH(DATOS!$C$94,TABLAS!$B$52:$B$58,0)+1,7))+DATOS!$C$24)))),INDEX(TABLAS!$B$52:$B$58,MIN(MATCH(DATOS!$C$94,TABLAS!$B$52:$B$58,0)+1,7)),IF(AND(AH25&gt;=0,CEILING(AH25/INDEX(TABLAS!$D$52:$D$58,MIN(MATCH(DATOS!$C$94,TABLAS!$B$52:$B$58,0)+2,7)),1)&lt;=MIN(99,INT((AZ25+DATOS!$C$24)/(INDEX(TABLAS!$C$52:$C$58,MIN(MATCH(DATOS!$C$94,TABLAS!$B$52:$B$58,0)+2,7))+DATOS!$C$24)))),INDEX(TABLAS!$B$52:$B$58,MIN(MATCH(DATOS!$C$94,TABLAS!$B$52:$B$58,0)+2,7)),IF(AND(AH25&gt;=0,CEILING(AH25/INDEX(TABLAS!$D$52:$D$58,MIN(MATCH(DATOS!$C$94,TABLAS!$B$52:$B$58,0)+3,7)),1)&lt;=MIN(99,INT((AZ25+DATOS!$C$24)/(INDEX(TABLAS!$C$52:$C$58,MIN(MATCH(DATOS!$C$94,TABLAS!$B$52:$B$58,0)+3,7))+DATOS!$C$24)))),INDEX(TABLAS!$B$52:$B$58,MIN(MATCH(DATOS!$C$94,TABLAS!$B$52:$B$58,0)+3,7)),IF(AND(AH25&gt;=0,CEILING(AH25/INDEX(TABLAS!$D$52:$D$58,MIN(MATCH(DATOS!$C$94,TABLAS!$B$52:$B$58,0)+4,7)),1)&lt;=MIN(99,INT((AZ25+DATOS!$C$24)/(INDEX(TABLAS!$C$52:$C$58,MIN(MATCH(DATOS!$C$94,TABLAS!$B$52:$B$58,0)+4,7))+DATOS!$C$24)))),INDEX(TABLAS!$B$52:$B$58,MIN(MATCH(DATOS!$C$94,TABLAS!$B$52:$B$58,0)+4,7)),INDEX(TABLAS!$B$52:$B$58,7)))))))</f>
        <v>4</v>
      </c>
      <c r="AJ25" s="55">
        <f>IF(AH25&lt;=0,0,MAX(DATOS!$C$96,CEILING(AH25/INDEX(TABLAS!$D$52:$D$58,MATCH(IF(AI25=0,8,AI25),TABLAS!$B$52:$B$58,0)),1)))</f>
        <v>0</v>
      </c>
      <c r="AK25" s="34">
        <f>IF(AJ25=0,0,DATOS!$C$45*AJ25*INDEX(TABLAS!$D$52:$D$58,MATCH(AI25,TABLAS!$B$52:$B$58,0))*DATOS!$C$32*((O25-DATOS!$C$18-INDEX(TABLAS!$C$52:$C$58,MATCH(DATOS!$C$95,TABLAS!$B$52:$B$58,0))-INDEX(TABLAS!$C$52:$C$58,MATCH(AI25,TABLAS!$B$52:$B$58,0))/2)-AJ25*INDEX(TABLAS!$D$52:$D$58,MATCH(AI25,TABLAS!$B$52:$B$58,0))*DATOS!$C$32/(DATOS!$C$38*N25)/2)/1E5)</f>
        <v>0</v>
      </c>
      <c r="AL25" s="59">
        <f>IF(AH25&lt;0,9.99,IF(AK25&gt;0,AD25/AK25,0))</f>
        <v>0</v>
      </c>
      <c r="AM25" s="41">
        <f>IF(OR(L25="BORDE DE VOLADO",L25="SIN APOYO"),0,IF(AE25&lt;=0,DATOS!$C$71*N25*AG25,IF((1-2*AE25*1E5/(DATOS!$C$45*N25*AG25^2*DATOS!$C$38))&lt;0,-1,IF((1-SQRT((1-2*AE25*1E5/(DATOS!$C$45*N25*AG25^2*DATOS!$C$38))))*DATOS!$C$38*N25*AG25/DATOS!$C$32&gt;DATOS!$C$70*N25*AG25,-1,MAX(DATOS!$C$71*N25*AG25,(1-SQRT((1-2*AE25*1E5/(DATOS!$C$45*N25*AG25^2*DATOS!$C$38))))*DATOS!$C$38*N25*AG25/DATOS!$C$32)))))</f>
        <v>0</v>
      </c>
      <c r="AN25" s="39">
        <f>IF(AM25&lt;0,0,IF(AND(AM25&gt;=0,CEILING(AM25/INDEX(TABLAS!$D$52:$D$58,MIN(MATCH(DATOS!$C$94,TABLAS!$B$52:$B$58,0)+0,7)),1)&lt;=MIN(99,INT((AZ25+DATOS!$C$24)/(INDEX(TABLAS!$C$52:$C$58,MIN(MATCH(DATOS!$C$94,TABLAS!$B$52:$B$58,0)+0,7))+DATOS!$C$24)))),INDEX(TABLAS!$B$52:$B$58,MIN(MATCH(DATOS!$C$94,TABLAS!$B$52:$B$58,0)+0,7)),IF(AND(AM25&gt;=0,CEILING(AM25/INDEX(TABLAS!$D$52:$D$58,MIN(MATCH(DATOS!$C$94,TABLAS!$B$52:$B$58,0)+1,7)),1)&lt;=MIN(99,INT((AZ25+DATOS!$C$24)/(INDEX(TABLAS!$C$52:$C$58,MIN(MATCH(DATOS!$C$94,TABLAS!$B$52:$B$58,0)+1,7))+DATOS!$C$24)))),INDEX(TABLAS!$B$52:$B$58,MIN(MATCH(DATOS!$C$94,TABLAS!$B$52:$B$58,0)+1,7)),IF(AND(AM25&gt;=0,CEILING(AM25/INDEX(TABLAS!$D$52:$D$58,MIN(MATCH(DATOS!$C$94,TABLAS!$B$52:$B$58,0)+2,7)),1)&lt;=MIN(99,INT((AZ25+DATOS!$C$24)/(INDEX(TABLAS!$C$52:$C$58,MIN(MATCH(DATOS!$C$94,TABLAS!$B$52:$B$58,0)+2,7))+DATOS!$C$24)))),INDEX(TABLAS!$B$52:$B$58,MIN(MATCH(DATOS!$C$94,TABLAS!$B$52:$B$58,0)+2,7)),IF(AND(AM25&gt;=0,CEILING(AM25/INDEX(TABLAS!$D$52:$D$58,MIN(MATCH(DATOS!$C$94,TABLAS!$B$52:$B$58,0)+3,7)),1)&lt;=MIN(99,INT((AZ25+DATOS!$C$24)/(INDEX(TABLAS!$C$52:$C$58,MIN(MATCH(DATOS!$C$94,TABLAS!$B$52:$B$58,0)+3,7))+DATOS!$C$24)))),INDEX(TABLAS!$B$52:$B$58,MIN(MATCH(DATOS!$C$94,TABLAS!$B$52:$B$58,0)+3,7)),IF(AND(AM25&gt;=0,CEILING(AM25/INDEX(TABLAS!$D$52:$D$58,MIN(MATCH(DATOS!$C$94,TABLAS!$B$52:$B$58,0)+4,7)),1)&lt;=MIN(99,INT((AZ25+DATOS!$C$24)/(INDEX(TABLAS!$C$52:$C$58,MIN(MATCH(DATOS!$C$94,TABLAS!$B$52:$B$58,0)+4,7))+DATOS!$C$24)))),INDEX(TABLAS!$B$52:$B$58,MIN(MATCH(DATOS!$C$94,TABLAS!$B$52:$B$58,0)+4,7)),INDEX(TABLAS!$B$52:$B$58,7)))))))</f>
        <v>4</v>
      </c>
      <c r="AO25" s="55">
        <f>IF(AM25&lt;=0,0,MAX(DATOS!$C$96,CEILING(AM25/INDEX(TABLAS!$D$52:$D$58,MATCH(IF(AN25=0,8,AN25),TABLAS!$B$52:$B$58,0)),1)))</f>
        <v>0</v>
      </c>
      <c r="AP25" s="34">
        <f>IF(AO25=0,0,DATOS!$C$45*AO25*INDEX(TABLAS!$D$52:$D$58,MATCH(AN25,TABLAS!$B$52:$B$58,0))*DATOS!$C$32*((O25-DATOS!$C$18-INDEX(TABLAS!$C$52:$C$58,MATCH(DATOS!$C$95,TABLAS!$B$52:$B$58,0))-INDEX(TABLAS!$C$52:$C$58,MATCH(AN25,TABLAS!$B$52:$B$58,0))/2)-AO25*INDEX(TABLAS!$D$52:$D$58,MATCH(AN25,TABLAS!$B$52:$B$58,0))*DATOS!$C$32/(DATOS!$C$38*N25)/2)/1E5)</f>
        <v>0</v>
      </c>
      <c r="AQ25" s="59">
        <f>IF(AM25&lt;0,9.99,IF(AP25&gt;0,AE25/AP25,0))</f>
        <v>0</v>
      </c>
      <c r="AR25" s="34">
        <f>IF(AO25=0,0,DATOS!$C$46*IF((AO25*INDEX(TABLAS!$D$52:$D$58,MATCH(AN25,TABLAS!$B$52:$B$58,0))/(N25*AG25))&lt;0.015,0.2+20*(AO25*INDEX(TABLAS!$D$52:$D$58,MATCH(AN25,TABLAS!$B$52:$B$58,0))/(N25*AG25)),0.5)*SQRT(DATOS!$C$31)*N25*AG25/1000)</f>
        <v>0</v>
      </c>
      <c r="AS25" s="68">
        <f>IF(AF25=0,0,INT(MIN(IF(AF25&gt;AR25,DATOS!$C$46*2*INDEX(TABLAS!$D$52:$D$58,MATCH(DATOS!$C$95,TABLAS!$B$52:$B$58,0))*DATOS!$C$32*AG25/((AF25-AR25)*1000),999),AG25/2,DATOS!$C$97,2*INDEX(TABLAS!$D$52:$D$58,MATCH(DATOS!$C$95,TABLAS!$B$52:$B$58,0))*DATOS!$C$32/(MAX(0.2*SQRT(DATOS!$C$31),3.5)*N25))/2.5)*2.5)</f>
        <v>0</v>
      </c>
      <c r="AT25" s="49" t="str">
        <f>IF(AF25=0,"—",IF(AF25&gt;AR25+DATOS!$C$46*2.12*SQRT(DATOS!$C$31)*N25*AG25/1000,"SECCIÓN INSUFICIENTE","E No. "&amp;TEXT(DATOS!$C$95,"0.0")&amp;" @ "&amp;TEXT(AS25,"0.0")&amp;" cm"))</f>
        <v>—</v>
      </c>
      <c r="AU25" s="68">
        <f>IF(L25="APOYADA",G25*100/16,IF(L25="VOLADO",G25*100/8,0))</f>
        <v>0</v>
      </c>
      <c r="AV25" s="68">
        <f>SQRT(MAX(AD25,AE25)*1E5/(DATOS!$C$45*N25*DATOS!$C$38*(DATOS!$C$70*DATOS!$C$32/DATOS!$C$38)*(1-(DATOS!$C$70*DATOS!$C$32/DATOS!$C$38)/2)))+(O25-AG25)</f>
        <v>3.425</v>
      </c>
      <c r="AW25" s="56">
        <f>IF(OR(L25="BORDE DE VOLADO",L25="SIN APOYO"),0,CEILING(MAX(AU25,AV25,DATOS!$C$15),5))</f>
        <v>0</v>
      </c>
      <c r="AX25" s="69" t="str">
        <f>IF(L25="BORDE DE VOLADO","BORDE DE VOLADO — armado de orilla",IF(L25="SIN APOYO","SIN APOYO — REVISAR",IF(AND(AL25&lt;=1,AQ25&lt;=1,IF(AJ25=0,TRUE,AJ25&lt;=INT((AZ25+DATOS!$C$24)/(INDEX(TABLAS!$C$52:$C$58,MATCH(MAX(AI25,2),TABLAS!$B$52:$B$58,0))+DATOS!$C$24))),IF(AO25=0,TRUE,AO25&lt;=INT((AZ25+DATOS!$C$24)/(INDEX(TABLAS!$C$52:$C$58,MATCH(MAX(AN25,2),TABLAS!$B$52:$B$58,0))+DATOS!$C$24))),AT25&lt;&gt;"SECCIÓN INSUFICIENTE",O25&gt;=AU25),"CUMPLE"&amp;IF(L25="VOLADO"," (en VOLADO)",""),"NO CUMPLE: "&amp;IF(OR(AH25&lt;0,AM25&lt;0),"sección insuficiente en flexión ",IF(OR(AL25&gt;1,AQ25&gt;1),"flexión ",""))&amp;IF(NOT(AND(IF(AJ25=0,TRUE,AJ25&lt;=INT((AZ25+DATOS!$C$24)/(INDEX(TABLAS!$C$52:$C$58,MATCH(MAX(AI25,2),TABLAS!$B$52:$B$58,0))+DATOS!$C$24))),IF(AO25=0,TRUE,AO25&lt;=INT((AZ25+DATOS!$C$24)/(INDEX(TABLAS!$C$52:$C$58,MATCH(MAX(AN25,2),TABLAS!$B$52:$B$58,0))+DATOS!$C$24))))),"no caben ","")&amp;IF(AT25="SECCIÓN INSUFICIENTE","cortante ","")&amp;IF(O25&lt;AU25,"deflexión ","")&amp;"→ h ≥ "&amp;TEXT(AW25,"0")&amp;" cm")))</f>
        <v>BORDE DE VOLADO — armado de orilla</v>
      </c>
      <c r="AY25" s="61" t="inlineStr">
        <is>
          <t>Orilla libre de tablero en volado: lleva el armado de la orilla, no trabaja como trabe.</t>
        </is>
      </c>
      <c r="AZ25" s="41">
        <f>N25-2*DATOS!$C$18-2*INDEX(TABLAS!$C$52:$C$58,MATCH(DATOS!$C$95,TABLAS!$B$52:$B$58,0))</f>
        <v>9.42</v>
      </c>
    </row>
    <row r="26" ht="30" customHeight="1">
      <c r="B26" s="57" t="inlineStr">
        <is>
          <t>NP-18</t>
        </is>
      </c>
      <c r="C26" s="50" t="inlineStr">
        <is>
          <t>N+3.00</t>
        </is>
      </c>
      <c r="D26" s="49" t="inlineStr">
        <is>
          <t>x = 3.029</t>
        </is>
      </c>
      <c r="E26" s="50" t="inlineStr">
        <is>
          <t>(3.029, 15.846)</t>
        </is>
      </c>
      <c r="F26" s="50" t="inlineStr">
        <is>
          <t>(3.029, 17.446)</t>
        </is>
      </c>
      <c r="G26" s="53" t="n">
        <v>1.6</v>
      </c>
      <c r="H26" s="50" t="inlineStr">
        <is>
          <t>NERVADURA</t>
        </is>
      </c>
      <c r="I26" s="50" t="inlineStr">
        <is>
          <t>NERVADURA</t>
        </is>
      </c>
      <c r="J26" s="50" t="inlineStr">
        <is>
          <t>—</t>
        </is>
      </c>
      <c r="K26" s="50" t="inlineStr">
        <is>
          <t>—</t>
        </is>
      </c>
      <c r="L26" s="57" t="str">
        <f>IF(AND(OR(H26="FIRME",H26="NERVADURA",H26="PUNTA"),OR(I26="FIRME",I26="NERVADURA",I26="PUNTA")),"APOYADA",IF(OR(OR(H26="FIRME",H26="NERVADURA",H26="PUNTA"),OR(I26="FIRME",I26="NERVADURA",I26="PUNTA")),"VOLADO","SIN APOYO"))</f>
        <v>APOYADA</v>
      </c>
      <c r="M26" s="50" t="str">
        <f>IF(L26="VOLADO",IF(OR(H26="FIRME",H26="NERVADURA",H26="PUNTA"),"i","j"),"—")</f>
        <v>—</v>
      </c>
      <c r="N26" s="54">
        <f>DATOS!$C$17</f>
        <v>15</v>
      </c>
      <c r="O26" s="54">
        <f>DATOS!$C$15</f>
        <v>25</v>
      </c>
      <c r="P26" s="41">
        <f>SUMIFS(TRIB!$E$6:$E$255,TRIB!$B$6:$B$255,B26)</f>
        <v>1.6282</v>
      </c>
      <c r="Q26" s="34">
        <f>SUMIFS(TRIB!$G$6:$G$255,TRIB!$B$6:$B$255,B26)/G26</f>
        <v>0.873676928571429</v>
      </c>
      <c r="R26" s="66" t="n">
        <v>1.6</v>
      </c>
      <c r="S26" s="34">
        <f>DATOS!$C$43*R26*DATOS!$C$89/G26</f>
        <v>1.233375</v>
      </c>
      <c r="T26" s="58" t="n">
        <v>0</v>
      </c>
      <c r="U26" s="58" t="n">
        <v>0</v>
      </c>
      <c r="V26" s="34">
        <f>(DATOS!$C$43*T26+DATOS!$C$44*U26)/1000</f>
        <v>0</v>
      </c>
      <c r="W26" s="34">
        <f>DATOS!$C$43*(N26/100*O26/100*DATOS!$C$35-N26/100*DATOS!$C$58/1000)</f>
        <v>0.0694836734693878</v>
      </c>
      <c r="X26" s="67">
        <f>Q26+S26+V26+W26</f>
        <v>2.17653560204082</v>
      </c>
      <c r="Y26" s="34">
        <f>0</f>
        <v>0</v>
      </c>
      <c r="Z26" s="34">
        <f>0</f>
        <v>0</v>
      </c>
      <c r="AA26" s="34">
        <f>0</f>
        <v>0</v>
      </c>
      <c r="AB26" s="34">
        <f>IF(L26="APOYADA",X26*G26/2+0,IF(AND(L26="VOLADO",M26="i"),X26*G26+Y26,0))</f>
        <v>1.74122848163265</v>
      </c>
      <c r="AC26" s="34">
        <f>IF(L26="APOYADA",X26*G26/2+0,IF(AND(L26="VOLADO",M26="j"),X26*G26+Y26,0))</f>
        <v>1.74122848163265</v>
      </c>
      <c r="AD26" s="67">
        <f>IF(L26="APOYADA",X26*G26^2/8+Z26,0)</f>
        <v>0.696491392653061</v>
      </c>
      <c r="AE26" s="67">
        <f>IF(L26="APOYADA",DATOS!$C$52*AD26,IF(L26="VOLADO",X26*G26^2/2+Z26,0))</f>
        <v>0.464559758899592</v>
      </c>
      <c r="AF26" s="67">
        <f>IF(L26="APOYADA",X26*G26/2+AA26,IF(L26="VOLADO",X26*G26+AA26,0))</f>
        <v>1.74122848163265</v>
      </c>
      <c r="AG26" s="41">
        <f>O26-DATOS!$C$18-INDEX(TABLAS!$C$52:$C$58,MATCH(DATOS!$C$95,TABLAS!$B$52:$B$58,0))-INDEX(TABLAS!$C$52:$C$58,MATCH(DATOS!$C$94,TABLAS!$B$52:$B$58,0))/2</f>
        <v>21.575</v>
      </c>
      <c r="AH26" s="41">
        <f>IF(OR(L26="BORDE DE VOLADO",L26="SIN APOYO"),0,IF(AD26&lt;=0,DATOS!$C$71*N26*AG26,IF((1-2*AD26*1E5/(DATOS!$C$45*N26*AG26^2*DATOS!$C$38))&lt;0,-1,IF((1-SQRT((1-2*AD26*1E5/(DATOS!$C$45*N26*AG26^2*DATOS!$C$38))))*DATOS!$C$38*N26*AG26/DATOS!$C$32&gt;DATOS!$C$70*N26*AG26,-1,MAX(DATOS!$C$71*N26*AG26,(1-SQRT((1-2*AD26*1E5/(DATOS!$C$45*N26*AG26^2*DATOS!$C$38))))*DATOS!$C$38*N26*AG26/DATOS!$C$32)))))</f>
        <v>0.877545740034761</v>
      </c>
      <c r="AI26" s="39">
        <f>IF(AH26&lt;0,0,IF(AND(AH26&gt;=0,CEILING(AH26/INDEX(TABLAS!$D$52:$D$58,MIN(MATCH(DATOS!$C$94,TABLAS!$B$52:$B$58,0)+0,7)),1)&lt;=MIN(99,INT((AZ26+DATOS!$C$24)/(INDEX(TABLAS!$C$52:$C$58,MIN(MATCH(DATOS!$C$94,TABLAS!$B$52:$B$58,0)+0,7))+DATOS!$C$24)))),INDEX(TABLAS!$B$52:$B$58,MIN(MATCH(DATOS!$C$94,TABLAS!$B$52:$B$58,0)+0,7)),IF(AND(AH26&gt;=0,CEILING(AH26/INDEX(TABLAS!$D$52:$D$58,MIN(MATCH(DATOS!$C$94,TABLAS!$B$52:$B$58,0)+1,7)),1)&lt;=MIN(99,INT((AZ26+DATOS!$C$24)/(INDEX(TABLAS!$C$52:$C$58,MIN(MATCH(DATOS!$C$94,TABLAS!$B$52:$B$58,0)+1,7))+DATOS!$C$24)))),INDEX(TABLAS!$B$52:$B$58,MIN(MATCH(DATOS!$C$94,TABLAS!$B$52:$B$58,0)+1,7)),IF(AND(AH26&gt;=0,CEILING(AH26/INDEX(TABLAS!$D$52:$D$58,MIN(MATCH(DATOS!$C$94,TABLAS!$B$52:$B$58,0)+2,7)),1)&lt;=MIN(99,INT((AZ26+DATOS!$C$24)/(INDEX(TABLAS!$C$52:$C$58,MIN(MATCH(DATOS!$C$94,TABLAS!$B$52:$B$58,0)+2,7))+DATOS!$C$24)))),INDEX(TABLAS!$B$52:$B$58,MIN(MATCH(DATOS!$C$94,TABLAS!$B$52:$B$58,0)+2,7)),IF(AND(AH26&gt;=0,CEILING(AH26/INDEX(TABLAS!$D$52:$D$58,MIN(MATCH(DATOS!$C$94,TABLAS!$B$52:$B$58,0)+3,7)),1)&lt;=MIN(99,INT((AZ26+DATOS!$C$24)/(INDEX(TABLAS!$C$52:$C$58,MIN(MATCH(DATOS!$C$94,TABLAS!$B$52:$B$58,0)+3,7))+DATOS!$C$24)))),INDEX(TABLAS!$B$52:$B$58,MIN(MATCH(DATOS!$C$94,TABLAS!$B$52:$B$58,0)+3,7)),IF(AND(AH26&gt;=0,CEILING(AH26/INDEX(TABLAS!$D$52:$D$58,MIN(MATCH(DATOS!$C$94,TABLAS!$B$52:$B$58,0)+4,7)),1)&lt;=MIN(99,INT((AZ26+DATOS!$C$24)/(INDEX(TABLAS!$C$52:$C$58,MIN(MATCH(DATOS!$C$94,TABLAS!$B$52:$B$58,0)+4,7))+DATOS!$C$24)))),INDEX(TABLAS!$B$52:$B$58,MIN(MATCH(DATOS!$C$94,TABLAS!$B$52:$B$58,0)+4,7)),INDEX(TABLAS!$B$52:$B$58,7)))))))</f>
        <v>4</v>
      </c>
      <c r="AJ26" s="55">
        <f>IF(AH26&lt;=0,0,MAX(DATOS!$C$96,CEILING(AH26/INDEX(TABLAS!$D$52:$D$58,MATCH(IF(AI26=0,8,AI26),TABLAS!$B$52:$B$58,0)),1)))</f>
        <v>2</v>
      </c>
      <c r="AK26" s="34">
        <f>IF(AJ26=0,0,DATOS!$C$45*AJ26*INDEX(TABLAS!$D$52:$D$58,MATCH(AI26,TABLAS!$B$52:$B$58,0))*DATOS!$C$32*((O26-DATOS!$C$18-INDEX(TABLAS!$C$52:$C$58,MATCH(DATOS!$C$95,TABLAS!$B$52:$B$58,0))-INDEX(TABLAS!$C$52:$C$58,MATCH(AI26,TABLAS!$B$52:$B$58,0))/2)-AJ26*INDEX(TABLAS!$D$52:$D$58,MATCH(AI26,TABLAS!$B$52:$B$58,0))*DATOS!$C$32/(DATOS!$C$38*N26)/2)/1E5)</f>
        <v>1.91079128964706</v>
      </c>
      <c r="AL26" s="59">
        <f>IF(AH26&lt;0,9.99,IF(AK26&gt;0,AD26/AK26,0))</f>
        <v>0.364504169778642</v>
      </c>
      <c r="AM26" s="41">
        <f>IF(OR(L26="BORDE DE VOLADO",L26="SIN APOYO"),0,IF(AE26&lt;=0,DATOS!$C$71*N26*AG26,IF((1-2*AE26*1E5/(DATOS!$C$45*N26*AG26^2*DATOS!$C$38))&lt;0,-1,IF((1-SQRT((1-2*AE26*1E5/(DATOS!$C$45*N26*AG26^2*DATOS!$C$38))))*DATOS!$C$38*N26*AG26/DATOS!$C$32&gt;DATOS!$C$70*N26*AG26,-1,MAX(DATOS!$C$71*N26*AG26,(1-SQRT((1-2*AE26*1E5/(DATOS!$C$45*N26*AG26^2*DATOS!$C$38))))*DATOS!$C$38*N26*AG26/DATOS!$C$32)))))</f>
        <v>0.85282675647666</v>
      </c>
      <c r="AN26" s="39">
        <f>IF(AM26&lt;0,0,IF(AND(AM26&gt;=0,CEILING(AM26/INDEX(TABLAS!$D$52:$D$58,MIN(MATCH(DATOS!$C$94,TABLAS!$B$52:$B$58,0)+0,7)),1)&lt;=MIN(99,INT((AZ26+DATOS!$C$24)/(INDEX(TABLAS!$C$52:$C$58,MIN(MATCH(DATOS!$C$94,TABLAS!$B$52:$B$58,0)+0,7))+DATOS!$C$24)))),INDEX(TABLAS!$B$52:$B$58,MIN(MATCH(DATOS!$C$94,TABLAS!$B$52:$B$58,0)+0,7)),IF(AND(AM26&gt;=0,CEILING(AM26/INDEX(TABLAS!$D$52:$D$58,MIN(MATCH(DATOS!$C$94,TABLAS!$B$52:$B$58,0)+1,7)),1)&lt;=MIN(99,INT((AZ26+DATOS!$C$24)/(INDEX(TABLAS!$C$52:$C$58,MIN(MATCH(DATOS!$C$94,TABLAS!$B$52:$B$58,0)+1,7))+DATOS!$C$24)))),INDEX(TABLAS!$B$52:$B$58,MIN(MATCH(DATOS!$C$94,TABLAS!$B$52:$B$58,0)+1,7)),IF(AND(AM26&gt;=0,CEILING(AM26/INDEX(TABLAS!$D$52:$D$58,MIN(MATCH(DATOS!$C$94,TABLAS!$B$52:$B$58,0)+2,7)),1)&lt;=MIN(99,INT((AZ26+DATOS!$C$24)/(INDEX(TABLAS!$C$52:$C$58,MIN(MATCH(DATOS!$C$94,TABLAS!$B$52:$B$58,0)+2,7))+DATOS!$C$24)))),INDEX(TABLAS!$B$52:$B$58,MIN(MATCH(DATOS!$C$94,TABLAS!$B$52:$B$58,0)+2,7)),IF(AND(AM26&gt;=0,CEILING(AM26/INDEX(TABLAS!$D$52:$D$58,MIN(MATCH(DATOS!$C$94,TABLAS!$B$52:$B$58,0)+3,7)),1)&lt;=MIN(99,INT((AZ26+DATOS!$C$24)/(INDEX(TABLAS!$C$52:$C$58,MIN(MATCH(DATOS!$C$94,TABLAS!$B$52:$B$58,0)+3,7))+DATOS!$C$24)))),INDEX(TABLAS!$B$52:$B$58,MIN(MATCH(DATOS!$C$94,TABLAS!$B$52:$B$58,0)+3,7)),IF(AND(AM26&gt;=0,CEILING(AM26/INDEX(TABLAS!$D$52:$D$58,MIN(MATCH(DATOS!$C$94,TABLAS!$B$52:$B$58,0)+4,7)),1)&lt;=MIN(99,INT((AZ26+DATOS!$C$24)/(INDEX(TABLAS!$C$52:$C$58,MIN(MATCH(DATOS!$C$94,TABLAS!$B$52:$B$58,0)+4,7))+DATOS!$C$24)))),INDEX(TABLAS!$B$52:$B$58,MIN(MATCH(DATOS!$C$94,TABLAS!$B$52:$B$58,0)+4,7)),INDEX(TABLAS!$B$52:$B$58,7)))))))</f>
        <v>4</v>
      </c>
      <c r="AO26" s="55">
        <f>IF(AM26&lt;=0,0,MAX(DATOS!$C$96,CEILING(AM26/INDEX(TABLAS!$D$52:$D$58,MATCH(IF(AN26=0,8,AN26),TABLAS!$B$52:$B$58,0)),1)))</f>
        <v>2</v>
      </c>
      <c r="AP26" s="34">
        <f>IF(AO26=0,0,DATOS!$C$45*AO26*INDEX(TABLAS!$D$52:$D$58,MATCH(AN26,TABLAS!$B$52:$B$58,0))*DATOS!$C$32*((O26-DATOS!$C$18-INDEX(TABLAS!$C$52:$C$58,MATCH(DATOS!$C$95,TABLAS!$B$52:$B$58,0))-INDEX(TABLAS!$C$52:$C$58,MATCH(AN26,TABLAS!$B$52:$B$58,0))/2)-AO26*INDEX(TABLAS!$D$52:$D$58,MATCH(AN26,TABLAS!$B$52:$B$58,0))*DATOS!$C$32/(DATOS!$C$38*N26)/2)/1E5)</f>
        <v>1.91079128964706</v>
      </c>
      <c r="AQ26" s="59">
        <f>IF(AM26&lt;0,9.99,IF(AP26&gt;0,AE26/AP26,0))</f>
        <v>0.243124281242354</v>
      </c>
      <c r="AR26" s="34">
        <f>IF(AO26=0,0,DATOS!$C$46*IF((AO26*INDEX(TABLAS!$D$52:$D$58,MATCH(AN26,TABLAS!$B$52:$B$58,0))/(N26*AG26))&lt;0.015,0.2+20*(AO26*INDEX(TABLAS!$D$52:$D$58,MATCH(AN26,TABLAS!$B$52:$B$58,0))/(N26*AG26)),0.5)*SQRT(DATOS!$C$31)*N26*AG26/1000)</f>
        <v>1.36995797509107</v>
      </c>
      <c r="AS26" s="68">
        <f>IF(AF26=0,0,INT(MIN(IF(AF26&gt;AR26,DATOS!$C$46*2*INDEX(TABLAS!$D$52:$D$58,MATCH(DATOS!$C$95,TABLAS!$B$52:$B$58,0))*DATOS!$C$32*AG26/((AF26-AR26)*1000),999),AG26/2,DATOS!$C$97,2*INDEX(TABLAS!$D$52:$D$58,MATCH(DATOS!$C$95,TABLAS!$B$52:$B$58,0))*DATOS!$C$32/(MAX(0.2*SQRT(DATOS!$C$31),3.5)*N26))/2.5)*2.5)</f>
        <v>10</v>
      </c>
      <c r="AT26" s="49" t="str">
        <f>IF(AF26=0,"—",IF(AF26&gt;AR26+DATOS!$C$46*2.12*SQRT(DATOS!$C$31)*N26*AG26/1000,"SECCIÓN INSUFICIENTE","E No. "&amp;TEXT(DATOS!$C$95,"0.0")&amp;" @ "&amp;TEXT(AS26,"0.0")&amp;" cm"))</f>
        <v>E No. 2.5 @ 10.0 cm</v>
      </c>
      <c r="AU26" s="68">
        <f>IF(L26="APOYADA",G26*100/16,IF(L26="VOLADO",G26*100/8,0))</f>
        <v>10</v>
      </c>
      <c r="AV26" s="68">
        <f>SQRT(MAX(AD26,AE26)*1E5/(DATOS!$C$45*N26*DATOS!$C$38*(DATOS!$C$70*DATOS!$C$32/DATOS!$C$38)*(1-(DATOS!$C$70*DATOS!$C$32/DATOS!$C$38)/2)))+(O26-AG26)</f>
        <v>12.351561609001</v>
      </c>
      <c r="AW26" s="56">
        <f>IF(OR(L26="BORDE DE VOLADO",L26="SIN APOYO"),0,CEILING(MAX(AU26,AV26,DATOS!$C$15),5))</f>
        <v>25</v>
      </c>
      <c r="AX26" s="69" t="str">
        <f>IF(L26="BORDE DE VOLADO","BORDE DE VOLADO — armado de orilla",IF(L26="SIN APOYO","SIN APOYO — REVISAR",IF(AND(AL26&lt;=1,AQ26&lt;=1,IF(AJ26=0,TRUE,AJ26&lt;=INT((AZ26+DATOS!$C$24)/(INDEX(TABLAS!$C$52:$C$58,MATCH(MAX(AI26,2),TABLAS!$B$52:$B$58,0))+DATOS!$C$24))),IF(AO26=0,TRUE,AO26&lt;=INT((AZ26+DATOS!$C$24)/(INDEX(TABLAS!$C$52:$C$58,MATCH(MAX(AN26,2),TABLAS!$B$52:$B$58,0))+DATOS!$C$24))),AT26&lt;&gt;"SECCIÓN INSUFICIENTE",O26&gt;=AU26),"CUMPLE"&amp;IF(L26="VOLADO"," (en VOLADO)",""),"NO CUMPLE: "&amp;IF(OR(AH26&lt;0,AM26&lt;0),"sección insuficiente en flexión ",IF(OR(AL26&gt;1,AQ26&gt;1),"flexión ",""))&amp;IF(NOT(AND(IF(AJ26=0,TRUE,AJ26&lt;=INT((AZ26+DATOS!$C$24)/(INDEX(TABLAS!$C$52:$C$58,MATCH(MAX(AI26,2),TABLAS!$B$52:$B$58,0))+DATOS!$C$24))),IF(AO26=0,TRUE,AO26&lt;=INT((AZ26+DATOS!$C$24)/(INDEX(TABLAS!$C$52:$C$58,MATCH(MAX(AN26,2),TABLAS!$B$52:$B$58,0))+DATOS!$C$24))))),"no caben ","")&amp;IF(AT26="SECCIÓN INSUFICIENTE","cortante ","")&amp;IF(O26&lt;AU26,"deflexión ","")&amp;"→ h ≥ "&amp;TEXT(AW26,"0")&amp;" cm")))</f>
        <v>CUMPLE</v>
      </c>
      <c r="AY26" s="61" t="inlineStr">
        <is>
          <t>Extremo i se apoya en NP-12. Extremo j se apoya en NP-15. Muro de planta alta encima (1.60 m).</t>
        </is>
      </c>
      <c r="AZ26" s="41">
        <f>N26-2*DATOS!$C$18-2*INDEX(TABLAS!$C$52:$C$58,MATCH(DATOS!$C$95,TABLAS!$B$52:$B$58,0))</f>
        <v>9.42</v>
      </c>
    </row>
    <row r="27" ht="30" customHeight="1">
      <c r="B27" s="57" t="inlineStr">
        <is>
          <t>NP-19</t>
        </is>
      </c>
      <c r="C27" s="50" t="inlineStr">
        <is>
          <t>N+3.00</t>
        </is>
      </c>
      <c r="D27" s="49" t="inlineStr">
        <is>
          <t>Eje C (x = 3.427)</t>
        </is>
      </c>
      <c r="E27" s="50" t="inlineStr">
        <is>
          <t>(3.427, 14.021)</t>
        </is>
      </c>
      <c r="F27" s="50" t="inlineStr">
        <is>
          <t>(3.427, 15.846)</t>
        </is>
      </c>
      <c r="G27" s="53" t="n">
        <v>1.825</v>
      </c>
      <c r="H27" s="50" t="inlineStr">
        <is>
          <t>NERVADURA</t>
        </is>
      </c>
      <c r="I27" s="50" t="str">
        <f>IF(APOYOS!$C$24="SÍ","FIRME","LIBRE")</f>
        <v>FIRME</v>
      </c>
      <c r="J27" s="50" t="inlineStr">
        <is>
          <t>—</t>
        </is>
      </c>
      <c r="K27" s="50" t="inlineStr">
        <is>
          <t>C8</t>
        </is>
      </c>
      <c r="L27" s="57" t="str">
        <f>IF(AND(OR(H27="FIRME",H27="NERVADURA",H27="PUNTA"),OR(I27="FIRME",I27="NERVADURA",I27="PUNTA")),"APOYADA",IF(OR(OR(H27="FIRME",H27="NERVADURA",H27="PUNTA"),OR(I27="FIRME",I27="NERVADURA",I27="PUNTA")),"VOLADO","SIN APOYO"))</f>
        <v>APOYADA</v>
      </c>
      <c r="M27" s="50" t="str">
        <f>IF(L27="VOLADO",IF(OR(H27="FIRME",H27="NERVADURA",H27="PUNTA"),"i","j"),"—")</f>
        <v>—</v>
      </c>
      <c r="N27" s="54">
        <f>DATOS!$C$17</f>
        <v>15</v>
      </c>
      <c r="O27" s="54">
        <f>DATOS!$C$15</f>
        <v>25</v>
      </c>
      <c r="P27" s="41">
        <f>SUMIFS(TRIB!$E$6:$E$255,TRIB!$B$6:$B$255,B27)</f>
        <v>2.149</v>
      </c>
      <c r="Q27" s="34">
        <f>SUMIFS(TRIB!$G$6:$G$255,TRIB!$B$6:$B$255,B27)/G27</f>
        <v>1.01629883365949</v>
      </c>
      <c r="R27" s="66" t="n">
        <v>1.825</v>
      </c>
      <c r="S27" s="34">
        <f>DATOS!$C$43*R27*DATOS!$C$89/G27</f>
        <v>1.233375</v>
      </c>
      <c r="T27" s="58" t="n">
        <v>0</v>
      </c>
      <c r="U27" s="58" t="n">
        <v>0</v>
      </c>
      <c r="V27" s="34">
        <f>(DATOS!$C$43*T27+DATOS!$C$44*U27)/1000</f>
        <v>0</v>
      </c>
      <c r="W27" s="34">
        <f>DATOS!$C$43*(N27/100*O27/100*DATOS!$C$35-N27/100*DATOS!$C$58/1000)</f>
        <v>0.0694836734693878</v>
      </c>
      <c r="X27" s="67">
        <f>Q27+S27+V27+W27</f>
        <v>2.31915750712888</v>
      </c>
      <c r="Y27" s="34">
        <f>0</f>
        <v>0</v>
      </c>
      <c r="Z27" s="34">
        <f>0</f>
        <v>0</v>
      </c>
      <c r="AA27" s="34">
        <f>0</f>
        <v>0</v>
      </c>
      <c r="AB27" s="34">
        <f>IF(L27="APOYADA",X27*G27/2+0,IF(AND(L27="VOLADO",M27="i"),X27*G27+Y27,0))</f>
        <v>2.1162312252551</v>
      </c>
      <c r="AC27" s="34">
        <f>IF(L27="APOYADA",X27*G27/2+0,IF(AND(L27="VOLADO",M27="j"),X27*G27+Y27,0))</f>
        <v>2.1162312252551</v>
      </c>
      <c r="AD27" s="67">
        <f>IF(L27="APOYADA",X27*G27^2/8+Z27,0)</f>
        <v>0.96553049652264</v>
      </c>
      <c r="AE27" s="67">
        <f>IF(L27="APOYADA",DATOS!$C$52*AD27,IF(L27="VOLADO",X27*G27^2/2+Z27,0))</f>
        <v>0.644008841180601</v>
      </c>
      <c r="AF27" s="67">
        <f>IF(L27="APOYADA",X27*G27/2+AA27,IF(L27="VOLADO",X27*G27+AA27,0))</f>
        <v>2.1162312252551</v>
      </c>
      <c r="AG27" s="41">
        <f>O27-DATOS!$C$18-INDEX(TABLAS!$C$52:$C$58,MATCH(DATOS!$C$95,TABLAS!$B$52:$B$58,0))-INDEX(TABLAS!$C$52:$C$58,MATCH(DATOS!$C$94,TABLAS!$B$52:$B$58,0))/2</f>
        <v>21.575</v>
      </c>
      <c r="AH27" s="41">
        <f>IF(OR(L27="BORDE DE VOLADO",L27="SIN APOYO"),0,IF(AD27&lt;=0,DATOS!$C$71*N27*AG27,IF((1-2*AD27*1E5/(DATOS!$C$45*N27*AG27^2*DATOS!$C$38))&lt;0,-1,IF((1-SQRT((1-2*AD27*1E5/(DATOS!$C$45*N27*AG27^2*DATOS!$C$38))))*DATOS!$C$38*N27*AG27/DATOS!$C$32&gt;DATOS!$C$70*N27*AG27,-1,MAX(DATOS!$C$71*N27*AG27,(1-SQRT((1-2*AD27*1E5/(DATOS!$C$45*N27*AG27^2*DATOS!$C$38))))*DATOS!$C$38*N27*AG27/DATOS!$C$32)))))</f>
        <v>1.23013124782174</v>
      </c>
      <c r="AI27" s="39">
        <f>IF(AH27&lt;0,0,IF(AND(AH27&gt;=0,CEILING(AH27/INDEX(TABLAS!$D$52:$D$58,MIN(MATCH(DATOS!$C$94,TABLAS!$B$52:$B$58,0)+0,7)),1)&lt;=MIN(99,INT((AZ27+DATOS!$C$24)/(INDEX(TABLAS!$C$52:$C$58,MIN(MATCH(DATOS!$C$94,TABLAS!$B$52:$B$58,0)+0,7))+DATOS!$C$24)))),INDEX(TABLAS!$B$52:$B$58,MIN(MATCH(DATOS!$C$94,TABLAS!$B$52:$B$58,0)+0,7)),IF(AND(AH27&gt;=0,CEILING(AH27/INDEX(TABLAS!$D$52:$D$58,MIN(MATCH(DATOS!$C$94,TABLAS!$B$52:$B$58,0)+1,7)),1)&lt;=MIN(99,INT((AZ27+DATOS!$C$24)/(INDEX(TABLAS!$C$52:$C$58,MIN(MATCH(DATOS!$C$94,TABLAS!$B$52:$B$58,0)+1,7))+DATOS!$C$24)))),INDEX(TABLAS!$B$52:$B$58,MIN(MATCH(DATOS!$C$94,TABLAS!$B$52:$B$58,0)+1,7)),IF(AND(AH27&gt;=0,CEILING(AH27/INDEX(TABLAS!$D$52:$D$58,MIN(MATCH(DATOS!$C$94,TABLAS!$B$52:$B$58,0)+2,7)),1)&lt;=MIN(99,INT((AZ27+DATOS!$C$24)/(INDEX(TABLAS!$C$52:$C$58,MIN(MATCH(DATOS!$C$94,TABLAS!$B$52:$B$58,0)+2,7))+DATOS!$C$24)))),INDEX(TABLAS!$B$52:$B$58,MIN(MATCH(DATOS!$C$94,TABLAS!$B$52:$B$58,0)+2,7)),IF(AND(AH27&gt;=0,CEILING(AH27/INDEX(TABLAS!$D$52:$D$58,MIN(MATCH(DATOS!$C$94,TABLAS!$B$52:$B$58,0)+3,7)),1)&lt;=MIN(99,INT((AZ27+DATOS!$C$24)/(INDEX(TABLAS!$C$52:$C$58,MIN(MATCH(DATOS!$C$94,TABLAS!$B$52:$B$58,0)+3,7))+DATOS!$C$24)))),INDEX(TABLAS!$B$52:$B$58,MIN(MATCH(DATOS!$C$94,TABLAS!$B$52:$B$58,0)+3,7)),IF(AND(AH27&gt;=0,CEILING(AH27/INDEX(TABLAS!$D$52:$D$58,MIN(MATCH(DATOS!$C$94,TABLAS!$B$52:$B$58,0)+4,7)),1)&lt;=MIN(99,INT((AZ27+DATOS!$C$24)/(INDEX(TABLAS!$C$52:$C$58,MIN(MATCH(DATOS!$C$94,TABLAS!$B$52:$B$58,0)+4,7))+DATOS!$C$24)))),INDEX(TABLAS!$B$52:$B$58,MIN(MATCH(DATOS!$C$94,TABLAS!$B$52:$B$58,0)+4,7)),INDEX(TABLAS!$B$52:$B$58,7)))))))</f>
        <v>4</v>
      </c>
      <c r="AJ27" s="55">
        <f>IF(AH27&lt;=0,0,MAX(DATOS!$C$96,CEILING(AH27/INDEX(TABLAS!$D$52:$D$58,MATCH(IF(AI27=0,8,AI27),TABLAS!$B$52:$B$58,0)),1)))</f>
        <v>2</v>
      </c>
      <c r="AK27" s="34">
        <f>IF(AJ27=0,0,DATOS!$C$45*AJ27*INDEX(TABLAS!$D$52:$D$58,MATCH(AI27,TABLAS!$B$52:$B$58,0))*DATOS!$C$32*((O27-DATOS!$C$18-INDEX(TABLAS!$C$52:$C$58,MATCH(DATOS!$C$95,TABLAS!$B$52:$B$58,0))-INDEX(TABLAS!$C$52:$C$58,MATCH(AI27,TABLAS!$B$52:$B$58,0))/2)-AJ27*INDEX(TABLAS!$D$52:$D$58,MATCH(AI27,TABLAS!$B$52:$B$58,0))*DATOS!$C$32/(DATOS!$C$38*N27)/2)/1E5)</f>
        <v>1.91079128964706</v>
      </c>
      <c r="AL27" s="59">
        <f>IF(AH27&lt;0,9.99,IF(AK27&gt;0,AD27/AK27,0))</f>
        <v>0.505304007692532</v>
      </c>
      <c r="AM27" s="41">
        <f>IF(OR(L27="BORDE DE VOLADO",L27="SIN APOYO"),0,IF(AE27&lt;=0,DATOS!$C$71*N27*AG27,IF((1-2*AE27*1E5/(DATOS!$C$45*N27*AG27^2*DATOS!$C$38))&lt;0,-1,IF((1-SQRT((1-2*AE27*1E5/(DATOS!$C$45*N27*AG27^2*DATOS!$C$38))))*DATOS!$C$38*N27*AG27/DATOS!$C$32&gt;DATOS!$C$70*N27*AG27,-1,MAX(DATOS!$C$71*N27*AG27,(1-SQRT((1-2*AE27*1E5/(DATOS!$C$45*N27*AG27^2*DATOS!$C$38))))*DATOS!$C$38*N27*AG27/DATOS!$C$32)))))</f>
        <v>0.85282675647666</v>
      </c>
      <c r="AN27" s="39">
        <f>IF(AM27&lt;0,0,IF(AND(AM27&gt;=0,CEILING(AM27/INDEX(TABLAS!$D$52:$D$58,MIN(MATCH(DATOS!$C$94,TABLAS!$B$52:$B$58,0)+0,7)),1)&lt;=MIN(99,INT((AZ27+DATOS!$C$24)/(INDEX(TABLAS!$C$52:$C$58,MIN(MATCH(DATOS!$C$94,TABLAS!$B$52:$B$58,0)+0,7))+DATOS!$C$24)))),INDEX(TABLAS!$B$52:$B$58,MIN(MATCH(DATOS!$C$94,TABLAS!$B$52:$B$58,0)+0,7)),IF(AND(AM27&gt;=0,CEILING(AM27/INDEX(TABLAS!$D$52:$D$58,MIN(MATCH(DATOS!$C$94,TABLAS!$B$52:$B$58,0)+1,7)),1)&lt;=MIN(99,INT((AZ27+DATOS!$C$24)/(INDEX(TABLAS!$C$52:$C$58,MIN(MATCH(DATOS!$C$94,TABLAS!$B$52:$B$58,0)+1,7))+DATOS!$C$24)))),INDEX(TABLAS!$B$52:$B$58,MIN(MATCH(DATOS!$C$94,TABLAS!$B$52:$B$58,0)+1,7)),IF(AND(AM27&gt;=0,CEILING(AM27/INDEX(TABLAS!$D$52:$D$58,MIN(MATCH(DATOS!$C$94,TABLAS!$B$52:$B$58,0)+2,7)),1)&lt;=MIN(99,INT((AZ27+DATOS!$C$24)/(INDEX(TABLAS!$C$52:$C$58,MIN(MATCH(DATOS!$C$94,TABLAS!$B$52:$B$58,0)+2,7))+DATOS!$C$24)))),INDEX(TABLAS!$B$52:$B$58,MIN(MATCH(DATOS!$C$94,TABLAS!$B$52:$B$58,0)+2,7)),IF(AND(AM27&gt;=0,CEILING(AM27/INDEX(TABLAS!$D$52:$D$58,MIN(MATCH(DATOS!$C$94,TABLAS!$B$52:$B$58,0)+3,7)),1)&lt;=MIN(99,INT((AZ27+DATOS!$C$24)/(INDEX(TABLAS!$C$52:$C$58,MIN(MATCH(DATOS!$C$94,TABLAS!$B$52:$B$58,0)+3,7))+DATOS!$C$24)))),INDEX(TABLAS!$B$52:$B$58,MIN(MATCH(DATOS!$C$94,TABLAS!$B$52:$B$58,0)+3,7)),IF(AND(AM27&gt;=0,CEILING(AM27/INDEX(TABLAS!$D$52:$D$58,MIN(MATCH(DATOS!$C$94,TABLAS!$B$52:$B$58,0)+4,7)),1)&lt;=MIN(99,INT((AZ27+DATOS!$C$24)/(INDEX(TABLAS!$C$52:$C$58,MIN(MATCH(DATOS!$C$94,TABLAS!$B$52:$B$58,0)+4,7))+DATOS!$C$24)))),INDEX(TABLAS!$B$52:$B$58,MIN(MATCH(DATOS!$C$94,TABLAS!$B$52:$B$58,0)+4,7)),INDEX(TABLAS!$B$52:$B$58,7)))))))</f>
        <v>4</v>
      </c>
      <c r="AO27" s="55">
        <f>IF(AM27&lt;=0,0,MAX(DATOS!$C$96,CEILING(AM27/INDEX(TABLAS!$D$52:$D$58,MATCH(IF(AN27=0,8,AN27),TABLAS!$B$52:$B$58,0)),1)))</f>
        <v>2</v>
      </c>
      <c r="AP27" s="34">
        <f>IF(AO27=0,0,DATOS!$C$45*AO27*INDEX(TABLAS!$D$52:$D$58,MATCH(AN27,TABLAS!$B$52:$B$58,0))*DATOS!$C$32*((O27-DATOS!$C$18-INDEX(TABLAS!$C$52:$C$58,MATCH(DATOS!$C$95,TABLAS!$B$52:$B$58,0))-INDEX(TABLAS!$C$52:$C$58,MATCH(AN27,TABLAS!$B$52:$B$58,0))/2)-AO27*INDEX(TABLAS!$D$52:$D$58,MATCH(AN27,TABLAS!$B$52:$B$58,0))*DATOS!$C$32/(DATOS!$C$38*N27)/2)/1E5)</f>
        <v>1.91079128964706</v>
      </c>
      <c r="AQ27" s="59">
        <f>IF(AM27&lt;0,9.99,IF(AP27&gt;0,AE27/AP27,0))</f>
        <v>0.337037773130919</v>
      </c>
      <c r="AR27" s="34">
        <f>IF(AO27=0,0,DATOS!$C$46*IF((AO27*INDEX(TABLAS!$D$52:$D$58,MATCH(AN27,TABLAS!$B$52:$B$58,0))/(N27*AG27))&lt;0.015,0.2+20*(AO27*INDEX(TABLAS!$D$52:$D$58,MATCH(AN27,TABLAS!$B$52:$B$58,0))/(N27*AG27)),0.5)*SQRT(DATOS!$C$31)*N27*AG27/1000)</f>
        <v>1.36995797509107</v>
      </c>
      <c r="AS27" s="68">
        <f>IF(AF27=0,0,INT(MIN(IF(AF27&gt;AR27,DATOS!$C$46*2*INDEX(TABLAS!$D$52:$D$58,MATCH(DATOS!$C$95,TABLAS!$B$52:$B$58,0))*DATOS!$C$32*AG27/((AF27-AR27)*1000),999),AG27/2,DATOS!$C$97,2*INDEX(TABLAS!$D$52:$D$58,MATCH(DATOS!$C$95,TABLAS!$B$52:$B$58,0))*DATOS!$C$32/(MAX(0.2*SQRT(DATOS!$C$31),3.5)*N27))/2.5)*2.5)</f>
        <v>10</v>
      </c>
      <c r="AT27" s="49" t="str">
        <f>IF(AF27=0,"—",IF(AF27&gt;AR27+DATOS!$C$46*2.12*SQRT(DATOS!$C$31)*N27*AG27/1000,"SECCIÓN INSUFICIENTE","E No. "&amp;TEXT(DATOS!$C$95,"0.0")&amp;" @ "&amp;TEXT(AS27,"0.0")&amp;" cm"))</f>
        <v>E No. 2.5 @ 10.0 cm</v>
      </c>
      <c r="AU27" s="68">
        <f>IF(L27="APOYADA",G27*100/16,IF(L27="VOLADO",G27*100/8,0))</f>
        <v>11.40625</v>
      </c>
      <c r="AV27" s="68">
        <f>SQRT(MAX(AD27,AE27)*1E5/(DATOS!$C$45*N27*DATOS!$C$38*(DATOS!$C$70*DATOS!$C$32/DATOS!$C$38)*(1-(DATOS!$C$70*DATOS!$C$32/DATOS!$C$38)/2)))+(O27-AG27)</f>
        <v>13.9351600044565</v>
      </c>
      <c r="AW27" s="56">
        <f>IF(OR(L27="BORDE DE VOLADO",L27="SIN APOYO"),0,CEILING(MAX(AU27,AV27,DATOS!$C$15),5))</f>
        <v>25</v>
      </c>
      <c r="AX27" s="69" t="str">
        <f>IF(L27="BORDE DE VOLADO","BORDE DE VOLADO — armado de orilla",IF(L27="SIN APOYO","SIN APOYO — REVISAR",IF(AND(AL27&lt;=1,AQ27&lt;=1,IF(AJ27=0,TRUE,AJ27&lt;=INT((AZ27+DATOS!$C$24)/(INDEX(TABLAS!$C$52:$C$58,MATCH(MAX(AI27,2),TABLAS!$B$52:$B$58,0))+DATOS!$C$24))),IF(AO27=0,TRUE,AO27&lt;=INT((AZ27+DATOS!$C$24)/(INDEX(TABLAS!$C$52:$C$58,MATCH(MAX(AN27,2),TABLAS!$B$52:$B$58,0))+DATOS!$C$24))),AT27&lt;&gt;"SECCIÓN INSUFICIENTE",O27&gt;=AU27),"CUMPLE"&amp;IF(L27="VOLADO"," (en VOLADO)",""),"NO CUMPLE: "&amp;IF(OR(AH27&lt;0,AM27&lt;0),"sección insuficiente en flexión ",IF(OR(AL27&gt;1,AQ27&gt;1),"flexión ",""))&amp;IF(NOT(AND(IF(AJ27=0,TRUE,AJ27&lt;=INT((AZ27+DATOS!$C$24)/(INDEX(TABLAS!$C$52:$C$58,MATCH(MAX(AI27,2),TABLAS!$B$52:$B$58,0))+DATOS!$C$24))),IF(AO27=0,TRUE,AO27&lt;=INT((AZ27+DATOS!$C$24)/(INDEX(TABLAS!$C$52:$C$58,MATCH(MAX(AN27,2),TABLAS!$B$52:$B$58,0))+DATOS!$C$24))))),"no caben ","")&amp;IF(AT27="SECCIÓN INSUFICIENTE","cortante ","")&amp;IF(O27&lt;AU27,"deflexión ","")&amp;"→ h ≥ "&amp;TEXT(AW27,"0")&amp;" cm")))</f>
        <v>CUMPLE</v>
      </c>
      <c r="AY27" s="61" t="inlineStr">
        <is>
          <t>Extremo i se apoya en NP-10. Extremo j en castillo propuesto C8. Muro de planta alta encima (1.82 m).</t>
        </is>
      </c>
      <c r="AZ27" s="41">
        <f>N27-2*DATOS!$C$18-2*INDEX(TABLAS!$C$52:$C$58,MATCH(DATOS!$C$95,TABLAS!$B$52:$B$58,0))</f>
        <v>9.42</v>
      </c>
    </row>
    <row r="28" ht="30" customHeight="1">
      <c r="B28" s="57" t="inlineStr">
        <is>
          <t>NP-20</t>
        </is>
      </c>
      <c r="C28" s="50" t="inlineStr">
        <is>
          <t>N+3.00</t>
        </is>
      </c>
      <c r="D28" s="49" t="inlineStr">
        <is>
          <t>x = 4.327</t>
        </is>
      </c>
      <c r="E28" s="50" t="inlineStr">
        <is>
          <t>(4.327, 1.919)</t>
        </is>
      </c>
      <c r="F28" s="50" t="inlineStr">
        <is>
          <t>(4.327, 2.921)</t>
        </is>
      </c>
      <c r="G28" s="53" t="n">
        <v>1.002</v>
      </c>
      <c r="H28" s="50" t="str">
        <f>IF(APOYOS!$C$17="SÍ","FIRME","LIBRE")</f>
        <v>FIRME</v>
      </c>
      <c r="I28" s="50" t="str">
        <f>IF(APOYOS!$C$18="SÍ","FIRME","LIBRE")</f>
        <v>FIRME</v>
      </c>
      <c r="J28" s="50" t="inlineStr">
        <is>
          <t>C1</t>
        </is>
      </c>
      <c r="K28" s="50" t="inlineStr">
        <is>
          <t>C2</t>
        </is>
      </c>
      <c r="L28" s="57" t="str">
        <f>IF(AND(OR(H28="FIRME",H28="NERVADURA",H28="PUNTA"),OR(I28="FIRME",I28="NERVADURA",I28="PUNTA")),"APOYADA",IF(OR(OR(H28="FIRME",H28="NERVADURA",H28="PUNTA"),OR(I28="FIRME",I28="NERVADURA",I28="PUNTA")),"VOLADO","SIN APOYO"))</f>
        <v>APOYADA</v>
      </c>
      <c r="M28" s="50" t="str">
        <f>IF(L28="VOLADO",IF(OR(H28="FIRME",H28="NERVADURA",H28="PUNTA"),"i","j"),"—")</f>
        <v>—</v>
      </c>
      <c r="N28" s="54">
        <f>DATOS!$C$17</f>
        <v>15</v>
      </c>
      <c r="O28" s="54">
        <f>DATOS!$C$15</f>
        <v>25</v>
      </c>
      <c r="P28" s="41">
        <f>SUMIFS(TRIB!$E$6:$E$255,TRIB!$B$6:$B$255,B28)</f>
        <v>0.251</v>
      </c>
      <c r="Q28" s="34">
        <f>SUMIFS(TRIB!$G$6:$G$255,TRIB!$B$6:$B$255,B28)/G28</f>
        <v>0.214245661737749</v>
      </c>
      <c r="R28" s="66" t="n">
        <v>1.002</v>
      </c>
      <c r="S28" s="34">
        <f>DATOS!$C$43*R28*DATOS!$C$89/G28</f>
        <v>1.233375</v>
      </c>
      <c r="T28" s="58" t="n">
        <v>294</v>
      </c>
      <c r="U28" s="58" t="n">
        <v>0</v>
      </c>
      <c r="V28" s="34">
        <f>(DATOS!$C$43*T28+DATOS!$C$44*U28)/1000</f>
        <v>0.3822</v>
      </c>
      <c r="W28" s="34">
        <f>DATOS!$C$43*(N28/100*O28/100*DATOS!$C$35-N28/100*DATOS!$C$58/1000)</f>
        <v>0.0694836734693878</v>
      </c>
      <c r="X28" s="67">
        <f>Q28+S28+V28+W28</f>
        <v>1.89930433520714</v>
      </c>
      <c r="Y28" s="34">
        <f>0</f>
        <v>0</v>
      </c>
      <c r="Z28" s="34">
        <f>0</f>
        <v>0</v>
      </c>
      <c r="AA28" s="34">
        <f>0</f>
        <v>0</v>
      </c>
      <c r="AB28" s="34">
        <f>IF(L28="APOYADA",X28*G28/2+0,IF(AND(L28="VOLADO",M28="i"),X28*G28+Y28,0))</f>
        <v>0.951551471938775</v>
      </c>
      <c r="AC28" s="34">
        <f>IF(L28="APOYADA",X28*G28/2+0,IF(AND(L28="VOLADO",M28="j"),X28*G28+Y28,0))</f>
        <v>0.951551471938775</v>
      </c>
      <c r="AD28" s="67">
        <f>IF(L28="APOYADA",X28*G28^2/8+Z28,0)</f>
        <v>0.238363643720663</v>
      </c>
      <c r="AE28" s="67">
        <f>IF(L28="APOYADA",DATOS!$C$52*AD28,IF(L28="VOLADO",X28*G28^2/2+Z28,0))</f>
        <v>0.158988550361682</v>
      </c>
      <c r="AF28" s="67">
        <f>IF(L28="APOYADA",X28*G28/2+AA28,IF(L28="VOLADO",X28*G28+AA28,0))</f>
        <v>0.951551471938775</v>
      </c>
      <c r="AG28" s="41">
        <f>O28-DATOS!$C$18-INDEX(TABLAS!$C$52:$C$58,MATCH(DATOS!$C$95,TABLAS!$B$52:$B$58,0))-INDEX(TABLAS!$C$52:$C$58,MATCH(DATOS!$C$94,TABLAS!$B$52:$B$58,0))/2</f>
        <v>21.575</v>
      </c>
      <c r="AH28" s="41">
        <f>IF(OR(L28="BORDE DE VOLADO",L28="SIN APOYO"),0,IF(AD28&lt;=0,DATOS!$C$71*N28*AG28,IF((1-2*AD28*1E5/(DATOS!$C$45*N28*AG28^2*DATOS!$C$38))&lt;0,-1,IF((1-SQRT((1-2*AD28*1E5/(DATOS!$C$45*N28*AG28^2*DATOS!$C$38))))*DATOS!$C$38*N28*AG28/DATOS!$C$32&gt;DATOS!$C$70*N28*AG28,-1,MAX(DATOS!$C$71*N28*AG28,(1-SQRT((1-2*AD28*1E5/(DATOS!$C$45*N28*AG28^2*DATOS!$C$38))))*DATOS!$C$38*N28*AG28/DATOS!$C$32)))))</f>
        <v>0.85282675647666</v>
      </c>
      <c r="AI28" s="39">
        <f>IF(AH28&lt;0,0,IF(AND(AH28&gt;=0,CEILING(AH28/INDEX(TABLAS!$D$52:$D$58,MIN(MATCH(DATOS!$C$94,TABLAS!$B$52:$B$58,0)+0,7)),1)&lt;=MIN(99,INT((AZ28+DATOS!$C$24)/(INDEX(TABLAS!$C$52:$C$58,MIN(MATCH(DATOS!$C$94,TABLAS!$B$52:$B$58,0)+0,7))+DATOS!$C$24)))),INDEX(TABLAS!$B$52:$B$58,MIN(MATCH(DATOS!$C$94,TABLAS!$B$52:$B$58,0)+0,7)),IF(AND(AH28&gt;=0,CEILING(AH28/INDEX(TABLAS!$D$52:$D$58,MIN(MATCH(DATOS!$C$94,TABLAS!$B$52:$B$58,0)+1,7)),1)&lt;=MIN(99,INT((AZ28+DATOS!$C$24)/(INDEX(TABLAS!$C$52:$C$58,MIN(MATCH(DATOS!$C$94,TABLAS!$B$52:$B$58,0)+1,7))+DATOS!$C$24)))),INDEX(TABLAS!$B$52:$B$58,MIN(MATCH(DATOS!$C$94,TABLAS!$B$52:$B$58,0)+1,7)),IF(AND(AH28&gt;=0,CEILING(AH28/INDEX(TABLAS!$D$52:$D$58,MIN(MATCH(DATOS!$C$94,TABLAS!$B$52:$B$58,0)+2,7)),1)&lt;=MIN(99,INT((AZ28+DATOS!$C$24)/(INDEX(TABLAS!$C$52:$C$58,MIN(MATCH(DATOS!$C$94,TABLAS!$B$52:$B$58,0)+2,7))+DATOS!$C$24)))),INDEX(TABLAS!$B$52:$B$58,MIN(MATCH(DATOS!$C$94,TABLAS!$B$52:$B$58,0)+2,7)),IF(AND(AH28&gt;=0,CEILING(AH28/INDEX(TABLAS!$D$52:$D$58,MIN(MATCH(DATOS!$C$94,TABLAS!$B$52:$B$58,0)+3,7)),1)&lt;=MIN(99,INT((AZ28+DATOS!$C$24)/(INDEX(TABLAS!$C$52:$C$58,MIN(MATCH(DATOS!$C$94,TABLAS!$B$52:$B$58,0)+3,7))+DATOS!$C$24)))),INDEX(TABLAS!$B$52:$B$58,MIN(MATCH(DATOS!$C$94,TABLAS!$B$52:$B$58,0)+3,7)),IF(AND(AH28&gt;=0,CEILING(AH28/INDEX(TABLAS!$D$52:$D$58,MIN(MATCH(DATOS!$C$94,TABLAS!$B$52:$B$58,0)+4,7)),1)&lt;=MIN(99,INT((AZ28+DATOS!$C$24)/(INDEX(TABLAS!$C$52:$C$58,MIN(MATCH(DATOS!$C$94,TABLAS!$B$52:$B$58,0)+4,7))+DATOS!$C$24)))),INDEX(TABLAS!$B$52:$B$58,MIN(MATCH(DATOS!$C$94,TABLAS!$B$52:$B$58,0)+4,7)),INDEX(TABLAS!$B$52:$B$58,7)))))))</f>
        <v>4</v>
      </c>
      <c r="AJ28" s="55">
        <f>IF(AH28&lt;=0,0,MAX(DATOS!$C$96,CEILING(AH28/INDEX(TABLAS!$D$52:$D$58,MATCH(IF(AI28=0,8,AI28),TABLAS!$B$52:$B$58,0)),1)))</f>
        <v>2</v>
      </c>
      <c r="AK28" s="34">
        <f>IF(AJ28=0,0,DATOS!$C$45*AJ28*INDEX(TABLAS!$D$52:$D$58,MATCH(AI28,TABLAS!$B$52:$B$58,0))*DATOS!$C$32*((O28-DATOS!$C$18-INDEX(TABLAS!$C$52:$C$58,MATCH(DATOS!$C$95,TABLAS!$B$52:$B$58,0))-INDEX(TABLAS!$C$52:$C$58,MATCH(AI28,TABLAS!$B$52:$B$58,0))/2)-AJ28*INDEX(TABLAS!$D$52:$D$58,MATCH(AI28,TABLAS!$B$52:$B$58,0))*DATOS!$C$32/(DATOS!$C$38*N28)/2)/1E5)</f>
        <v>1.91079128964706</v>
      </c>
      <c r="AL28" s="59">
        <f>IF(AH28&lt;0,9.99,IF(AK28&gt;0,AD28/AK28,0))</f>
        <v>0.12474603846697</v>
      </c>
      <c r="AM28" s="41">
        <f>IF(OR(L28="BORDE DE VOLADO",L28="SIN APOYO"),0,IF(AE28&lt;=0,DATOS!$C$71*N28*AG28,IF((1-2*AE28*1E5/(DATOS!$C$45*N28*AG28^2*DATOS!$C$38))&lt;0,-1,IF((1-SQRT((1-2*AE28*1E5/(DATOS!$C$45*N28*AG28^2*DATOS!$C$38))))*DATOS!$C$38*N28*AG28/DATOS!$C$32&gt;DATOS!$C$70*N28*AG28,-1,MAX(DATOS!$C$71*N28*AG28,(1-SQRT((1-2*AE28*1E5/(DATOS!$C$45*N28*AG28^2*DATOS!$C$38))))*DATOS!$C$38*N28*AG28/DATOS!$C$32)))))</f>
        <v>0.85282675647666</v>
      </c>
      <c r="AN28" s="39">
        <f>IF(AM28&lt;0,0,IF(AND(AM28&gt;=0,CEILING(AM28/INDEX(TABLAS!$D$52:$D$58,MIN(MATCH(DATOS!$C$94,TABLAS!$B$52:$B$58,0)+0,7)),1)&lt;=MIN(99,INT((AZ28+DATOS!$C$24)/(INDEX(TABLAS!$C$52:$C$58,MIN(MATCH(DATOS!$C$94,TABLAS!$B$52:$B$58,0)+0,7))+DATOS!$C$24)))),INDEX(TABLAS!$B$52:$B$58,MIN(MATCH(DATOS!$C$94,TABLAS!$B$52:$B$58,0)+0,7)),IF(AND(AM28&gt;=0,CEILING(AM28/INDEX(TABLAS!$D$52:$D$58,MIN(MATCH(DATOS!$C$94,TABLAS!$B$52:$B$58,0)+1,7)),1)&lt;=MIN(99,INT((AZ28+DATOS!$C$24)/(INDEX(TABLAS!$C$52:$C$58,MIN(MATCH(DATOS!$C$94,TABLAS!$B$52:$B$58,0)+1,7))+DATOS!$C$24)))),INDEX(TABLAS!$B$52:$B$58,MIN(MATCH(DATOS!$C$94,TABLAS!$B$52:$B$58,0)+1,7)),IF(AND(AM28&gt;=0,CEILING(AM28/INDEX(TABLAS!$D$52:$D$58,MIN(MATCH(DATOS!$C$94,TABLAS!$B$52:$B$58,0)+2,7)),1)&lt;=MIN(99,INT((AZ28+DATOS!$C$24)/(INDEX(TABLAS!$C$52:$C$58,MIN(MATCH(DATOS!$C$94,TABLAS!$B$52:$B$58,0)+2,7))+DATOS!$C$24)))),INDEX(TABLAS!$B$52:$B$58,MIN(MATCH(DATOS!$C$94,TABLAS!$B$52:$B$58,0)+2,7)),IF(AND(AM28&gt;=0,CEILING(AM28/INDEX(TABLAS!$D$52:$D$58,MIN(MATCH(DATOS!$C$94,TABLAS!$B$52:$B$58,0)+3,7)),1)&lt;=MIN(99,INT((AZ28+DATOS!$C$24)/(INDEX(TABLAS!$C$52:$C$58,MIN(MATCH(DATOS!$C$94,TABLAS!$B$52:$B$58,0)+3,7))+DATOS!$C$24)))),INDEX(TABLAS!$B$52:$B$58,MIN(MATCH(DATOS!$C$94,TABLAS!$B$52:$B$58,0)+3,7)),IF(AND(AM28&gt;=0,CEILING(AM28/INDEX(TABLAS!$D$52:$D$58,MIN(MATCH(DATOS!$C$94,TABLAS!$B$52:$B$58,0)+4,7)),1)&lt;=MIN(99,INT((AZ28+DATOS!$C$24)/(INDEX(TABLAS!$C$52:$C$58,MIN(MATCH(DATOS!$C$94,TABLAS!$B$52:$B$58,0)+4,7))+DATOS!$C$24)))),INDEX(TABLAS!$B$52:$B$58,MIN(MATCH(DATOS!$C$94,TABLAS!$B$52:$B$58,0)+4,7)),INDEX(TABLAS!$B$52:$B$58,7)))))))</f>
        <v>4</v>
      </c>
      <c r="AO28" s="55">
        <f>IF(AM28&lt;=0,0,MAX(DATOS!$C$96,CEILING(AM28/INDEX(TABLAS!$D$52:$D$58,MATCH(IF(AN28=0,8,AN28),TABLAS!$B$52:$B$58,0)),1)))</f>
        <v>2</v>
      </c>
      <c r="AP28" s="34">
        <f>IF(AO28=0,0,DATOS!$C$45*AO28*INDEX(TABLAS!$D$52:$D$58,MATCH(AN28,TABLAS!$B$52:$B$58,0))*DATOS!$C$32*((O28-DATOS!$C$18-INDEX(TABLAS!$C$52:$C$58,MATCH(DATOS!$C$95,TABLAS!$B$52:$B$58,0))-INDEX(TABLAS!$C$52:$C$58,MATCH(AN28,TABLAS!$B$52:$B$58,0))/2)-AO28*INDEX(TABLAS!$D$52:$D$58,MATCH(AN28,TABLAS!$B$52:$B$58,0))*DATOS!$C$32/(DATOS!$C$38*N28)/2)/1E5)</f>
        <v>1.91079128964706</v>
      </c>
      <c r="AQ28" s="59">
        <f>IF(AM28&lt;0,9.99,IF(AP28&gt;0,AE28/AP28,0))</f>
        <v>0.083205607657469</v>
      </c>
      <c r="AR28" s="34">
        <f>IF(AO28=0,0,DATOS!$C$46*IF((AO28*INDEX(TABLAS!$D$52:$D$58,MATCH(AN28,TABLAS!$B$52:$B$58,0))/(N28*AG28))&lt;0.015,0.2+20*(AO28*INDEX(TABLAS!$D$52:$D$58,MATCH(AN28,TABLAS!$B$52:$B$58,0))/(N28*AG28)),0.5)*SQRT(DATOS!$C$31)*N28*AG28/1000)</f>
        <v>1.36995797509107</v>
      </c>
      <c r="AS28" s="68">
        <f>IF(AF28=0,0,INT(MIN(IF(AF28&gt;AR28,DATOS!$C$46*2*INDEX(TABLAS!$D$52:$D$58,MATCH(DATOS!$C$95,TABLAS!$B$52:$B$58,0))*DATOS!$C$32*AG28/((AF28-AR28)*1000),999),AG28/2,DATOS!$C$97,2*INDEX(TABLAS!$D$52:$D$58,MATCH(DATOS!$C$95,TABLAS!$B$52:$B$58,0))*DATOS!$C$32/(MAX(0.2*SQRT(DATOS!$C$31),3.5)*N28))/2.5)*2.5)</f>
        <v>10</v>
      </c>
      <c r="AT28" s="49" t="str">
        <f>IF(AF28=0,"—",IF(AF28&gt;AR28+DATOS!$C$46*2.12*SQRT(DATOS!$C$31)*N28*AG28/1000,"SECCIÓN INSUFICIENTE","E No. "&amp;TEXT(DATOS!$C$95,"0.0")&amp;" @ "&amp;TEXT(AS28,"0.0")&amp;" cm"))</f>
        <v>E No. 2.5 @ 10.0 cm</v>
      </c>
      <c r="AU28" s="68">
        <f>IF(L28="APOYADA",G28*100/16,IF(L28="VOLADO",G28*100/8,0))</f>
        <v>6.2625</v>
      </c>
      <c r="AV28" s="68">
        <f>SQRT(MAX(AD28,AE28)*1E5/(DATOS!$C$45*N28*DATOS!$C$38*(DATOS!$C$70*DATOS!$C$32/DATOS!$C$38)*(1-(DATOS!$C$70*DATOS!$C$32/DATOS!$C$38)/2)))+(O28-AG28)</f>
        <v>8.64711387166524</v>
      </c>
      <c r="AW28" s="56">
        <f>IF(OR(L28="BORDE DE VOLADO",L28="SIN APOYO"),0,CEILING(MAX(AU28,AV28,DATOS!$C$15),5))</f>
        <v>25</v>
      </c>
      <c r="AX28" s="69" t="str">
        <f>IF(L28="BORDE DE VOLADO","BORDE DE VOLADO — armado de orilla",IF(L28="SIN APOYO","SIN APOYO — REVISAR",IF(AND(AL28&lt;=1,AQ28&lt;=1,IF(AJ28=0,TRUE,AJ28&lt;=INT((AZ28+DATOS!$C$24)/(INDEX(TABLAS!$C$52:$C$58,MATCH(MAX(AI28,2),TABLAS!$B$52:$B$58,0))+DATOS!$C$24))),IF(AO28=0,TRUE,AO28&lt;=INT((AZ28+DATOS!$C$24)/(INDEX(TABLAS!$C$52:$C$58,MATCH(MAX(AN28,2),TABLAS!$B$52:$B$58,0))+DATOS!$C$24))),AT28&lt;&gt;"SECCIÓN INSUFICIENTE",O28&gt;=AU28),"CUMPLE"&amp;IF(L28="VOLADO"," (en VOLADO)",""),"NO CUMPLE: "&amp;IF(OR(AH28&lt;0,AM28&lt;0),"sección insuficiente en flexión ",IF(OR(AL28&gt;1,AQ28&gt;1),"flexión ",""))&amp;IF(NOT(AND(IF(AJ28=0,TRUE,AJ28&lt;=INT((AZ28+DATOS!$C$24)/(INDEX(TABLAS!$C$52:$C$58,MATCH(MAX(AI28,2),TABLAS!$B$52:$B$58,0))+DATOS!$C$24))),IF(AO28=0,TRUE,AO28&lt;=INT((AZ28+DATOS!$C$24)/(INDEX(TABLAS!$C$52:$C$58,MATCH(MAX(AN28,2),TABLAS!$B$52:$B$58,0))+DATOS!$C$24))))),"no caben ","")&amp;IF(AT28="SECCIÓN INSUFICIENTE","cortante ","")&amp;IF(O28&lt;AU28,"deflexión ","")&amp;"→ h ≥ "&amp;TEXT(AW28,"0")&amp;" cm")))</f>
        <v>CUMPLE</v>
      </c>
      <c r="AY28" s="61" t="inlineStr">
        <is>
          <t>Extremo i en castillo propuesto C1. Extremo j en castillo propuesto C2. Muro de planta alta encima (1.00 m).</t>
        </is>
      </c>
      <c r="AZ28" s="41">
        <f>N28-2*DATOS!$C$18-2*INDEX(TABLAS!$C$52:$C$58,MATCH(DATOS!$C$95,TABLAS!$B$52:$B$58,0))</f>
        <v>9.42</v>
      </c>
    </row>
    <row r="29" ht="30" customHeight="1">
      <c r="B29" s="57" t="inlineStr">
        <is>
          <t>NP-21</t>
        </is>
      </c>
      <c r="C29" s="50" t="inlineStr">
        <is>
          <t>N+3.00</t>
        </is>
      </c>
      <c r="D29" s="49" t="inlineStr">
        <is>
          <t>x = 4.327</t>
        </is>
      </c>
      <c r="E29" s="50" t="inlineStr">
        <is>
          <t>(4.327, 2.921)</t>
        </is>
      </c>
      <c r="F29" s="50" t="inlineStr">
        <is>
          <t>(4.327, 5.946)</t>
        </is>
      </c>
      <c r="G29" s="53" t="n">
        <v>3.025</v>
      </c>
      <c r="H29" s="50" t="str">
        <f>IF(APOYOS!$C$18="SÍ","FIRME","LIBRE")</f>
        <v>FIRME</v>
      </c>
      <c r="I29" s="50" t="inlineStr">
        <is>
          <t>FIRME</t>
        </is>
      </c>
      <c r="J29" s="50" t="inlineStr">
        <is>
          <t>C2</t>
        </is>
      </c>
      <c r="K29" s="50" t="inlineStr">
        <is>
          <t>—</t>
        </is>
      </c>
      <c r="L29" s="57" t="str">
        <f>IF(AND(OR(H29="FIRME",H29="NERVADURA",H29="PUNTA"),OR(I29="FIRME",I29="NERVADURA",I29="PUNTA")),"APOYADA",IF(OR(OR(H29="FIRME",H29="NERVADURA",H29="PUNTA"),OR(I29="FIRME",I29="NERVADURA",I29="PUNTA")),"VOLADO","SIN APOYO"))</f>
        <v>APOYADA</v>
      </c>
      <c r="M29" s="50" t="str">
        <f>IF(L29="VOLADO",IF(OR(H29="FIRME",H29="NERVADURA",H29="PUNTA"),"i","j"),"—")</f>
        <v>—</v>
      </c>
      <c r="N29" s="54">
        <f>DATOS!$C$17</f>
        <v>15</v>
      </c>
      <c r="O29" s="54">
        <f>DATOS!$C$15</f>
        <v>25</v>
      </c>
      <c r="P29" s="41">
        <f>SUMIFS(TRIB!$E$6:$E$255,TRIB!$B$6:$B$255,B29)</f>
        <v>4.0525</v>
      </c>
      <c r="Q29" s="34">
        <f>SUMIFS(TRIB!$G$6:$G$255,TRIB!$B$6:$B$255,B29)/G29</f>
        <v>1.15570705953786</v>
      </c>
      <c r="R29" s="66" t="n">
        <v>3.025</v>
      </c>
      <c r="S29" s="34">
        <f>DATOS!$C$43*R29*DATOS!$C$89/G29</f>
        <v>1.233375</v>
      </c>
      <c r="T29" s="58" t="n">
        <v>0</v>
      </c>
      <c r="U29" s="58" t="n">
        <v>0</v>
      </c>
      <c r="V29" s="34">
        <f>(DATOS!$C$43*T29+DATOS!$C$44*U29)/1000</f>
        <v>0</v>
      </c>
      <c r="W29" s="34">
        <f>DATOS!$C$43*(N29/100*O29/100*DATOS!$C$35-N29/100*DATOS!$C$58/1000)</f>
        <v>0.0694836734693878</v>
      </c>
      <c r="X29" s="67">
        <f>Q29+S29+V29+W29</f>
        <v>2.45856573300725</v>
      </c>
      <c r="Y29" s="34">
        <f>0</f>
        <v>0</v>
      </c>
      <c r="Z29" s="34">
        <f>0</f>
        <v>0</v>
      </c>
      <c r="AA29" s="34">
        <f>0</f>
        <v>0</v>
      </c>
      <c r="AB29" s="34">
        <f>IF(L29="APOYADA",X29*G29/2+0,IF(AND(L29="VOLADO",M29="i"),X29*G29+Y29,0))</f>
        <v>3.71858067117347</v>
      </c>
      <c r="AC29" s="34">
        <f>IF(L29="APOYADA",X29*G29/2+0,IF(AND(L29="VOLADO",M29="j"),X29*G29+Y29,0))</f>
        <v>3.71858067117347</v>
      </c>
      <c r="AD29" s="67">
        <f>IF(L29="APOYADA",X29*G29^2/8+Z29,0)</f>
        <v>2.81217663257494</v>
      </c>
      <c r="AE29" s="67">
        <f>IF(L29="APOYADA",DATOS!$C$52*AD29,IF(L29="VOLADO",X29*G29^2/2+Z29,0))</f>
        <v>1.87572181392748</v>
      </c>
      <c r="AF29" s="67">
        <f>IF(L29="APOYADA",X29*G29/2+AA29,IF(L29="VOLADO",X29*G29+AA29,0))</f>
        <v>3.71858067117347</v>
      </c>
      <c r="AG29" s="41">
        <f>O29-DATOS!$C$18-INDEX(TABLAS!$C$52:$C$58,MATCH(DATOS!$C$95,TABLAS!$B$52:$B$58,0))-INDEX(TABLAS!$C$52:$C$58,MATCH(DATOS!$C$94,TABLAS!$B$52:$B$58,0))/2</f>
        <v>21.575</v>
      </c>
      <c r="AH29" s="41">
        <f>IF(OR(L29="BORDE DE VOLADO",L29="SIN APOYO"),0,IF(AD29&lt;=0,DATOS!$C$71*N29*AG29,IF((1-2*AD29*1E5/(DATOS!$C$45*N29*AG29^2*DATOS!$C$38))&lt;0,-1,IF((1-SQRT((1-2*AD29*1E5/(DATOS!$C$45*N29*AG29^2*DATOS!$C$38))))*DATOS!$C$38*N29*AG29/DATOS!$C$32&gt;DATOS!$C$70*N29*AG29,-1,MAX(DATOS!$C$71*N29*AG29,(1-SQRT((1-2*AD29*1E5/(DATOS!$C$45*N29*AG29^2*DATOS!$C$38))))*DATOS!$C$38*N29*AG29/DATOS!$C$32)))))</f>
        <v>3.91670686514057</v>
      </c>
      <c r="AI29" s="39">
        <f>IF(AH29&lt;0,0,IF(AND(AH29&gt;=0,CEILING(AH29/INDEX(TABLAS!$D$52:$D$58,MIN(MATCH(DATOS!$C$94,TABLAS!$B$52:$B$58,0)+0,7)),1)&lt;=MIN(99,INT((AZ29+DATOS!$C$24)/(INDEX(TABLAS!$C$52:$C$58,MIN(MATCH(DATOS!$C$94,TABLAS!$B$52:$B$58,0)+0,7))+DATOS!$C$24)))),INDEX(TABLAS!$B$52:$B$58,MIN(MATCH(DATOS!$C$94,TABLAS!$B$52:$B$58,0)+0,7)),IF(AND(AH29&gt;=0,CEILING(AH29/INDEX(TABLAS!$D$52:$D$58,MIN(MATCH(DATOS!$C$94,TABLAS!$B$52:$B$58,0)+1,7)),1)&lt;=MIN(99,INT((AZ29+DATOS!$C$24)/(INDEX(TABLAS!$C$52:$C$58,MIN(MATCH(DATOS!$C$94,TABLAS!$B$52:$B$58,0)+1,7))+DATOS!$C$24)))),INDEX(TABLAS!$B$52:$B$58,MIN(MATCH(DATOS!$C$94,TABLAS!$B$52:$B$58,0)+1,7)),IF(AND(AH29&gt;=0,CEILING(AH29/INDEX(TABLAS!$D$52:$D$58,MIN(MATCH(DATOS!$C$94,TABLAS!$B$52:$B$58,0)+2,7)),1)&lt;=MIN(99,INT((AZ29+DATOS!$C$24)/(INDEX(TABLAS!$C$52:$C$58,MIN(MATCH(DATOS!$C$94,TABLAS!$B$52:$B$58,0)+2,7))+DATOS!$C$24)))),INDEX(TABLAS!$B$52:$B$58,MIN(MATCH(DATOS!$C$94,TABLAS!$B$52:$B$58,0)+2,7)),IF(AND(AH29&gt;=0,CEILING(AH29/INDEX(TABLAS!$D$52:$D$58,MIN(MATCH(DATOS!$C$94,TABLAS!$B$52:$B$58,0)+3,7)),1)&lt;=MIN(99,INT((AZ29+DATOS!$C$24)/(INDEX(TABLAS!$C$52:$C$58,MIN(MATCH(DATOS!$C$94,TABLAS!$B$52:$B$58,0)+3,7))+DATOS!$C$24)))),INDEX(TABLAS!$B$52:$B$58,MIN(MATCH(DATOS!$C$94,TABLAS!$B$52:$B$58,0)+3,7)),IF(AND(AH29&gt;=0,CEILING(AH29/INDEX(TABLAS!$D$52:$D$58,MIN(MATCH(DATOS!$C$94,TABLAS!$B$52:$B$58,0)+4,7)),1)&lt;=MIN(99,INT((AZ29+DATOS!$C$24)/(INDEX(TABLAS!$C$52:$C$58,MIN(MATCH(DATOS!$C$94,TABLAS!$B$52:$B$58,0)+4,7))+DATOS!$C$24)))),INDEX(TABLAS!$B$52:$B$58,MIN(MATCH(DATOS!$C$94,TABLAS!$B$52:$B$58,0)+4,7)),INDEX(TABLAS!$B$52:$B$58,7)))))))</f>
        <v>5</v>
      </c>
      <c r="AJ29" s="55">
        <f>IF(AH29&lt;=0,0,MAX(DATOS!$C$96,CEILING(AH29/INDEX(TABLAS!$D$52:$D$58,MATCH(IF(AI29=0,8,AI29),TABLAS!$B$52:$B$58,0)),1)))</f>
        <v>2</v>
      </c>
      <c r="AK29" s="34">
        <f>IF(AJ29=0,0,DATOS!$C$45*AJ29*INDEX(TABLAS!$D$52:$D$58,MATCH(AI29,TABLAS!$B$52:$B$58,0))*DATOS!$C$32*((O29-DATOS!$C$18-INDEX(TABLAS!$C$52:$C$58,MATCH(DATOS!$C$95,TABLAS!$B$52:$B$58,0))-INDEX(TABLAS!$C$52:$C$58,MATCH(AI29,TABLAS!$B$52:$B$58,0))/2)-AJ29*INDEX(TABLAS!$D$52:$D$58,MATCH(AI29,TABLAS!$B$52:$B$58,0))*DATOS!$C$32/(DATOS!$C$38*N29)/2)/1E5)</f>
        <v>2.81504133317647</v>
      </c>
      <c r="AL29" s="59">
        <f>IF(AH29&lt;0,9.99,IF(AK29&gt;0,AD29/AK29,0))</f>
        <v>0.998982359311115</v>
      </c>
      <c r="AM29" s="41">
        <f>IF(OR(L29="BORDE DE VOLADO",L29="SIN APOYO"),0,IF(AE29&lt;=0,DATOS!$C$71*N29*AG29,IF((1-2*AE29*1E5/(DATOS!$C$45*N29*AG29^2*DATOS!$C$38))&lt;0,-1,IF((1-SQRT((1-2*AE29*1E5/(DATOS!$C$45*N29*AG29^2*DATOS!$C$38))))*DATOS!$C$38*N29*AG29/DATOS!$C$32&gt;DATOS!$C$70*N29*AG29,-1,MAX(DATOS!$C$71*N29*AG29,(1-SQRT((1-2*AE29*1E5/(DATOS!$C$45*N29*AG29^2*DATOS!$C$38))))*DATOS!$C$38*N29*AG29/DATOS!$C$32)))))</f>
        <v>2.48919604501725</v>
      </c>
      <c r="AN29" s="39">
        <f>IF(AM29&lt;0,0,IF(AND(AM29&gt;=0,CEILING(AM29/INDEX(TABLAS!$D$52:$D$58,MIN(MATCH(DATOS!$C$94,TABLAS!$B$52:$B$58,0)+0,7)),1)&lt;=MIN(99,INT((AZ29+DATOS!$C$24)/(INDEX(TABLAS!$C$52:$C$58,MIN(MATCH(DATOS!$C$94,TABLAS!$B$52:$B$58,0)+0,7))+DATOS!$C$24)))),INDEX(TABLAS!$B$52:$B$58,MIN(MATCH(DATOS!$C$94,TABLAS!$B$52:$B$58,0)+0,7)),IF(AND(AM29&gt;=0,CEILING(AM29/INDEX(TABLAS!$D$52:$D$58,MIN(MATCH(DATOS!$C$94,TABLAS!$B$52:$B$58,0)+1,7)),1)&lt;=MIN(99,INT((AZ29+DATOS!$C$24)/(INDEX(TABLAS!$C$52:$C$58,MIN(MATCH(DATOS!$C$94,TABLAS!$B$52:$B$58,0)+1,7))+DATOS!$C$24)))),INDEX(TABLAS!$B$52:$B$58,MIN(MATCH(DATOS!$C$94,TABLAS!$B$52:$B$58,0)+1,7)),IF(AND(AM29&gt;=0,CEILING(AM29/INDEX(TABLAS!$D$52:$D$58,MIN(MATCH(DATOS!$C$94,TABLAS!$B$52:$B$58,0)+2,7)),1)&lt;=MIN(99,INT((AZ29+DATOS!$C$24)/(INDEX(TABLAS!$C$52:$C$58,MIN(MATCH(DATOS!$C$94,TABLAS!$B$52:$B$58,0)+2,7))+DATOS!$C$24)))),INDEX(TABLAS!$B$52:$B$58,MIN(MATCH(DATOS!$C$94,TABLAS!$B$52:$B$58,0)+2,7)),IF(AND(AM29&gt;=0,CEILING(AM29/INDEX(TABLAS!$D$52:$D$58,MIN(MATCH(DATOS!$C$94,TABLAS!$B$52:$B$58,0)+3,7)),1)&lt;=MIN(99,INT((AZ29+DATOS!$C$24)/(INDEX(TABLAS!$C$52:$C$58,MIN(MATCH(DATOS!$C$94,TABLAS!$B$52:$B$58,0)+3,7))+DATOS!$C$24)))),INDEX(TABLAS!$B$52:$B$58,MIN(MATCH(DATOS!$C$94,TABLAS!$B$52:$B$58,0)+3,7)),IF(AND(AM29&gt;=0,CEILING(AM29/INDEX(TABLAS!$D$52:$D$58,MIN(MATCH(DATOS!$C$94,TABLAS!$B$52:$B$58,0)+4,7)),1)&lt;=MIN(99,INT((AZ29+DATOS!$C$24)/(INDEX(TABLAS!$C$52:$C$58,MIN(MATCH(DATOS!$C$94,TABLAS!$B$52:$B$58,0)+4,7))+DATOS!$C$24)))),INDEX(TABLAS!$B$52:$B$58,MIN(MATCH(DATOS!$C$94,TABLAS!$B$52:$B$58,0)+4,7)),INDEX(TABLAS!$B$52:$B$58,7)))))))</f>
        <v>4</v>
      </c>
      <c r="AO29" s="55">
        <f>IF(AM29&lt;=0,0,MAX(DATOS!$C$96,CEILING(AM29/INDEX(TABLAS!$D$52:$D$58,MATCH(IF(AN29=0,8,AN29),TABLAS!$B$52:$B$58,0)),1)))</f>
        <v>2</v>
      </c>
      <c r="AP29" s="34">
        <f>IF(AO29=0,0,DATOS!$C$45*AO29*INDEX(TABLAS!$D$52:$D$58,MATCH(AN29,TABLAS!$B$52:$B$58,0))*DATOS!$C$32*((O29-DATOS!$C$18-INDEX(TABLAS!$C$52:$C$58,MATCH(DATOS!$C$95,TABLAS!$B$52:$B$58,0))-INDEX(TABLAS!$C$52:$C$58,MATCH(AN29,TABLAS!$B$52:$B$58,0))/2)-AO29*INDEX(TABLAS!$D$52:$D$58,MATCH(AN29,TABLAS!$B$52:$B$58,0))*DATOS!$C$32/(DATOS!$C$38*N29)/2)/1E5)</f>
        <v>1.91079128964706</v>
      </c>
      <c r="AQ29" s="59">
        <f>IF(AM29&lt;0,9.99,IF(AP29&gt;0,AE29/AP29,0))</f>
        <v>0.981646621528166</v>
      </c>
      <c r="AR29" s="34">
        <f>IF(AO29=0,0,DATOS!$C$46*IF((AO29*INDEX(TABLAS!$D$52:$D$58,MATCH(AN29,TABLAS!$B$52:$B$58,0))/(N29*AG29))&lt;0.015,0.2+20*(AO29*INDEX(TABLAS!$D$52:$D$58,MATCH(AN29,TABLAS!$B$52:$B$58,0))/(N29*AG29)),0.5)*SQRT(DATOS!$C$31)*N29*AG29/1000)</f>
        <v>1.36995797509107</v>
      </c>
      <c r="AS29" s="68">
        <f>IF(AF29=0,0,INT(MIN(IF(AF29&gt;AR29,DATOS!$C$46*2*INDEX(TABLAS!$D$52:$D$58,MATCH(DATOS!$C$95,TABLAS!$B$52:$B$58,0))*DATOS!$C$32*AG29/((AF29-AR29)*1000),999),AG29/2,DATOS!$C$97,2*INDEX(TABLAS!$D$52:$D$58,MATCH(DATOS!$C$95,TABLAS!$B$52:$B$58,0))*DATOS!$C$32/(MAX(0.2*SQRT(DATOS!$C$31),3.5)*N29))/2.5)*2.5)</f>
        <v>10</v>
      </c>
      <c r="AT29" s="49" t="str">
        <f>IF(AF29=0,"—",IF(AF29&gt;AR29+DATOS!$C$46*2.12*SQRT(DATOS!$C$31)*N29*AG29/1000,"SECCIÓN INSUFICIENTE","E No. "&amp;TEXT(DATOS!$C$95,"0.0")&amp;" @ "&amp;TEXT(AS29,"0.0")&amp;" cm"))</f>
        <v>E No. 2.5 @ 10.0 cm</v>
      </c>
      <c r="AU29" s="68">
        <f>IF(L29="APOYADA",G29*100/16,IF(L29="VOLADO",G29*100/8,0))</f>
        <v>18.90625</v>
      </c>
      <c r="AV29" s="68">
        <f>SQRT(MAX(AD29,AE29)*1E5/(DATOS!$C$45*N29*DATOS!$C$38*(DATOS!$C$70*DATOS!$C$32/DATOS!$C$38)*(1-(DATOS!$C$70*DATOS!$C$32/DATOS!$C$38)/2)))+(O29-AG29)</f>
        <v>21.3619099354417</v>
      </c>
      <c r="AW29" s="56">
        <f>IF(OR(L29="BORDE DE VOLADO",L29="SIN APOYO"),0,CEILING(MAX(AU29,AV29,DATOS!$C$15),5))</f>
        <v>25</v>
      </c>
      <c r="AX29" s="69" t="str">
        <f>IF(L29="BORDE DE VOLADO","BORDE DE VOLADO — armado de orilla",IF(L29="SIN APOYO","SIN APOYO — REVISAR",IF(AND(AL29&lt;=1,AQ29&lt;=1,IF(AJ29=0,TRUE,AJ29&lt;=INT((AZ29+DATOS!$C$24)/(INDEX(TABLAS!$C$52:$C$58,MATCH(MAX(AI29,2),TABLAS!$B$52:$B$58,0))+DATOS!$C$24))),IF(AO29=0,TRUE,AO29&lt;=INT((AZ29+DATOS!$C$24)/(INDEX(TABLAS!$C$52:$C$58,MATCH(MAX(AN29,2),TABLAS!$B$52:$B$58,0))+DATOS!$C$24))),AT29&lt;&gt;"SECCIÓN INSUFICIENTE",O29&gt;=AU29),"CUMPLE"&amp;IF(L29="VOLADO"," (en VOLADO)",""),"NO CUMPLE: "&amp;IF(OR(AH29&lt;0,AM29&lt;0),"sección insuficiente en flexión ",IF(OR(AL29&gt;1,AQ29&gt;1),"flexión ",""))&amp;IF(NOT(AND(IF(AJ29=0,TRUE,AJ29&lt;=INT((AZ29+DATOS!$C$24)/(INDEX(TABLAS!$C$52:$C$58,MATCH(MAX(AI29,2),TABLAS!$B$52:$B$58,0))+DATOS!$C$24))),IF(AO29=0,TRUE,AO29&lt;=INT((AZ29+DATOS!$C$24)/(INDEX(TABLAS!$C$52:$C$58,MATCH(MAX(AN29,2),TABLAS!$B$52:$B$58,0))+DATOS!$C$24))))),"no caben ","")&amp;IF(AT29="SECCIÓN INSUFICIENTE","cortante ","")&amp;IF(O29&lt;AU29,"deflexión ","")&amp;"→ h ≥ "&amp;TEXT(AW29,"0")&amp;" cm")))</f>
        <v>CUMPLE</v>
      </c>
      <c r="AY29" s="61" t="inlineStr">
        <is>
          <t>Extremo i en castillo propuesto C2. Muro de planta alta encima (3.02 m).</t>
        </is>
      </c>
      <c r="AZ29" s="41">
        <f>N29-2*DATOS!$C$18-2*INDEX(TABLAS!$C$52:$C$58,MATCH(DATOS!$C$95,TABLAS!$B$52:$B$58,0))</f>
        <v>9.42</v>
      </c>
    </row>
    <row r="30" ht="30" customHeight="1">
      <c r="B30" s="57" t="inlineStr">
        <is>
          <t>NP-22</t>
        </is>
      </c>
      <c r="C30" s="50" t="inlineStr">
        <is>
          <t>N+3.00</t>
        </is>
      </c>
      <c r="D30" s="49" t="inlineStr">
        <is>
          <t>x = 4.327</t>
        </is>
      </c>
      <c r="E30" s="50" t="inlineStr">
        <is>
          <t>(4.327, 5.946)</t>
        </is>
      </c>
      <c r="F30" s="50" t="inlineStr">
        <is>
          <t>(4.327, 7.871)</t>
        </is>
      </c>
      <c r="G30" s="53" t="n">
        <v>1.925</v>
      </c>
      <c r="H30" s="50" t="inlineStr">
        <is>
          <t>FIRME</t>
        </is>
      </c>
      <c r="I30" s="50" t="str">
        <f>IF(APOYOS!$C$20="SÍ","FIRME","LIBRE")</f>
        <v>FIRME</v>
      </c>
      <c r="J30" s="50" t="inlineStr">
        <is>
          <t>—</t>
        </is>
      </c>
      <c r="K30" s="50" t="inlineStr">
        <is>
          <t>C4</t>
        </is>
      </c>
      <c r="L30" s="57" t="str">
        <f>IF(AND(OR(H30="FIRME",H30="NERVADURA",H30="PUNTA"),OR(I30="FIRME",I30="NERVADURA",I30="PUNTA")),"APOYADA",IF(OR(OR(H30="FIRME",H30="NERVADURA",H30="PUNTA"),OR(I30="FIRME",I30="NERVADURA",I30="PUNTA")),"VOLADO","SIN APOYO"))</f>
        <v>APOYADA</v>
      </c>
      <c r="M30" s="50" t="str">
        <f>IF(L30="VOLADO",IF(OR(H30="FIRME",H30="NERVADURA",H30="PUNTA"),"i","j"),"—")</f>
        <v>—</v>
      </c>
      <c r="N30" s="54">
        <f>DATOS!$C$17</f>
        <v>15</v>
      </c>
      <c r="O30" s="54">
        <f>DATOS!$C$15</f>
        <v>25</v>
      </c>
      <c r="P30" s="41">
        <f>SUMIFS(TRIB!$E$6:$E$255,TRIB!$B$6:$B$255,B30)</f>
        <v>1.4681</v>
      </c>
      <c r="Q30" s="34">
        <f>SUMIFS(TRIB!$G$6:$G$255,TRIB!$B$6:$B$255,B30)/G30</f>
        <v>0.627489208587331</v>
      </c>
      <c r="R30" s="66" t="n">
        <v>1.925</v>
      </c>
      <c r="S30" s="34">
        <f>DATOS!$C$43*R30*DATOS!$C$89/G30</f>
        <v>1.233375</v>
      </c>
      <c r="T30" s="58" t="n">
        <v>0</v>
      </c>
      <c r="U30" s="58" t="n">
        <v>0</v>
      </c>
      <c r="V30" s="34">
        <f>(DATOS!$C$43*T30+DATOS!$C$44*U30)/1000</f>
        <v>0</v>
      </c>
      <c r="W30" s="34">
        <f>DATOS!$C$43*(N30/100*O30/100*DATOS!$C$35-N30/100*DATOS!$C$58/1000)</f>
        <v>0.0694836734693878</v>
      </c>
      <c r="X30" s="67">
        <f>Q30+S30+V30+W30</f>
        <v>1.93034788205672</v>
      </c>
      <c r="Y30" s="34">
        <f>TRANSFER!$F$6</f>
        <v>0.456763569387755</v>
      </c>
      <c r="Z30" s="34">
        <f>TRANSFER!$H$6</f>
        <v>0.219447251996877</v>
      </c>
      <c r="AA30" s="34">
        <f>TRANSFER!$I$6</f>
        <v>0.237754335857938</v>
      </c>
      <c r="AB30" s="34">
        <f>IF(L30="APOYADA",X30*G30/2+TRANSFER!$J$6,IF(AND(L30="VOLADO",M30="i"),X30*G30+Y30,0))</f>
        <v>2.07696907000941</v>
      </c>
      <c r="AC30" s="34">
        <f>IF(L30="APOYADA",X30*G30/2+TRANSFER!$K$6,IF(AND(L30="VOLADO",M30="j"),X30*G30+Y30,0))</f>
        <v>2.09571417233753</v>
      </c>
      <c r="AD30" s="67">
        <f>IF(L30="APOYADA",X30*G30^2/8+Z30,0)</f>
        <v>1.11359042330268</v>
      </c>
      <c r="AE30" s="67">
        <f>IF(L30="APOYADA",DATOS!$C$52*AD30,IF(L30="VOLADO",X30*G30^2/2+Z30,0))</f>
        <v>0.742764812342888</v>
      </c>
      <c r="AF30" s="67">
        <f>IF(L30="APOYADA",X30*G30/2+AA30,IF(L30="VOLADO",X30*G30+AA30,0))</f>
        <v>2.09571417233753</v>
      </c>
      <c r="AG30" s="41">
        <f>O30-DATOS!$C$18-INDEX(TABLAS!$C$52:$C$58,MATCH(DATOS!$C$95,TABLAS!$B$52:$B$58,0))-INDEX(TABLAS!$C$52:$C$58,MATCH(DATOS!$C$94,TABLAS!$B$52:$B$58,0))/2</f>
        <v>21.575</v>
      </c>
      <c r="AH30" s="41">
        <f>IF(OR(L30="BORDE DE VOLADO",L30="SIN APOYO"),0,IF(AD30&lt;=0,DATOS!$C$71*N30*AG30,IF((1-2*AD30*1E5/(DATOS!$C$45*N30*AG30^2*DATOS!$C$38))&lt;0,-1,IF((1-SQRT((1-2*AD30*1E5/(DATOS!$C$45*N30*AG30^2*DATOS!$C$38))))*DATOS!$C$38*N30*AG30/DATOS!$C$32&gt;DATOS!$C$70*N30*AG30,-1,MAX(DATOS!$C$71*N30*AG30,(1-SQRT((1-2*AD30*1E5/(DATOS!$C$45*N30*AG30^2*DATOS!$C$38))))*DATOS!$C$38*N30*AG30/DATOS!$C$32)))))</f>
        <v>1.42771698951451</v>
      </c>
      <c r="AI30" s="39">
        <f>IF(AH30&lt;0,0,IF(AND(AH30&gt;=0,CEILING(AH30/INDEX(TABLAS!$D$52:$D$58,MIN(MATCH(DATOS!$C$94,TABLAS!$B$52:$B$58,0)+0,7)),1)&lt;=MIN(99,INT((AZ30+DATOS!$C$24)/(INDEX(TABLAS!$C$52:$C$58,MIN(MATCH(DATOS!$C$94,TABLAS!$B$52:$B$58,0)+0,7))+DATOS!$C$24)))),INDEX(TABLAS!$B$52:$B$58,MIN(MATCH(DATOS!$C$94,TABLAS!$B$52:$B$58,0)+0,7)),IF(AND(AH30&gt;=0,CEILING(AH30/INDEX(TABLAS!$D$52:$D$58,MIN(MATCH(DATOS!$C$94,TABLAS!$B$52:$B$58,0)+1,7)),1)&lt;=MIN(99,INT((AZ30+DATOS!$C$24)/(INDEX(TABLAS!$C$52:$C$58,MIN(MATCH(DATOS!$C$94,TABLAS!$B$52:$B$58,0)+1,7))+DATOS!$C$24)))),INDEX(TABLAS!$B$52:$B$58,MIN(MATCH(DATOS!$C$94,TABLAS!$B$52:$B$58,0)+1,7)),IF(AND(AH30&gt;=0,CEILING(AH30/INDEX(TABLAS!$D$52:$D$58,MIN(MATCH(DATOS!$C$94,TABLAS!$B$52:$B$58,0)+2,7)),1)&lt;=MIN(99,INT((AZ30+DATOS!$C$24)/(INDEX(TABLAS!$C$52:$C$58,MIN(MATCH(DATOS!$C$94,TABLAS!$B$52:$B$58,0)+2,7))+DATOS!$C$24)))),INDEX(TABLAS!$B$52:$B$58,MIN(MATCH(DATOS!$C$94,TABLAS!$B$52:$B$58,0)+2,7)),IF(AND(AH30&gt;=0,CEILING(AH30/INDEX(TABLAS!$D$52:$D$58,MIN(MATCH(DATOS!$C$94,TABLAS!$B$52:$B$58,0)+3,7)),1)&lt;=MIN(99,INT((AZ30+DATOS!$C$24)/(INDEX(TABLAS!$C$52:$C$58,MIN(MATCH(DATOS!$C$94,TABLAS!$B$52:$B$58,0)+3,7))+DATOS!$C$24)))),INDEX(TABLAS!$B$52:$B$58,MIN(MATCH(DATOS!$C$94,TABLAS!$B$52:$B$58,0)+3,7)),IF(AND(AH30&gt;=0,CEILING(AH30/INDEX(TABLAS!$D$52:$D$58,MIN(MATCH(DATOS!$C$94,TABLAS!$B$52:$B$58,0)+4,7)),1)&lt;=MIN(99,INT((AZ30+DATOS!$C$24)/(INDEX(TABLAS!$C$52:$C$58,MIN(MATCH(DATOS!$C$94,TABLAS!$B$52:$B$58,0)+4,7))+DATOS!$C$24)))),INDEX(TABLAS!$B$52:$B$58,MIN(MATCH(DATOS!$C$94,TABLAS!$B$52:$B$58,0)+4,7)),INDEX(TABLAS!$B$52:$B$58,7)))))))</f>
        <v>4</v>
      </c>
      <c r="AJ30" s="55">
        <f>IF(AH30&lt;=0,0,MAX(DATOS!$C$96,CEILING(AH30/INDEX(TABLAS!$D$52:$D$58,MATCH(IF(AI30=0,8,AI30),TABLAS!$B$52:$B$58,0)),1)))</f>
        <v>2</v>
      </c>
      <c r="AK30" s="34">
        <f>IF(AJ30=0,0,DATOS!$C$45*AJ30*INDEX(TABLAS!$D$52:$D$58,MATCH(AI30,TABLAS!$B$52:$B$58,0))*DATOS!$C$32*((O30-DATOS!$C$18-INDEX(TABLAS!$C$52:$C$58,MATCH(DATOS!$C$95,TABLAS!$B$52:$B$58,0))-INDEX(TABLAS!$C$52:$C$58,MATCH(AI30,TABLAS!$B$52:$B$58,0))/2)-AJ30*INDEX(TABLAS!$D$52:$D$58,MATCH(AI30,TABLAS!$B$52:$B$58,0))*DATOS!$C$32/(DATOS!$C$38*N30)/2)/1E5)</f>
        <v>1.91079128964706</v>
      </c>
      <c r="AL30" s="59">
        <f>IF(AH30&lt;0,9.99,IF(AK30&gt;0,AD30/AK30,0))</f>
        <v>0.582790192385884</v>
      </c>
      <c r="AM30" s="41">
        <f>IF(OR(L30="BORDE DE VOLADO",L30="SIN APOYO"),0,IF(AE30&lt;=0,DATOS!$C$71*N30*AG30,IF((1-2*AE30*1E5/(DATOS!$C$45*N30*AG30^2*DATOS!$C$38))&lt;0,-1,IF((1-SQRT((1-2*AE30*1E5/(DATOS!$C$45*N30*AG30^2*DATOS!$C$38))))*DATOS!$C$38*N30*AG30/DATOS!$C$32&gt;DATOS!$C$70*N30*AG30,-1,MAX(DATOS!$C$71*N30*AG30,(1-SQRT((1-2*AE30*1E5/(DATOS!$C$45*N30*AG30^2*DATOS!$C$38))))*DATOS!$C$38*N30*AG30/DATOS!$C$32)))))</f>
        <v>0.93761526158771</v>
      </c>
      <c r="AN30" s="39">
        <f>IF(AM30&lt;0,0,IF(AND(AM30&gt;=0,CEILING(AM30/INDEX(TABLAS!$D$52:$D$58,MIN(MATCH(DATOS!$C$94,TABLAS!$B$52:$B$58,0)+0,7)),1)&lt;=MIN(99,INT((AZ30+DATOS!$C$24)/(INDEX(TABLAS!$C$52:$C$58,MIN(MATCH(DATOS!$C$94,TABLAS!$B$52:$B$58,0)+0,7))+DATOS!$C$24)))),INDEX(TABLAS!$B$52:$B$58,MIN(MATCH(DATOS!$C$94,TABLAS!$B$52:$B$58,0)+0,7)),IF(AND(AM30&gt;=0,CEILING(AM30/INDEX(TABLAS!$D$52:$D$58,MIN(MATCH(DATOS!$C$94,TABLAS!$B$52:$B$58,0)+1,7)),1)&lt;=MIN(99,INT((AZ30+DATOS!$C$24)/(INDEX(TABLAS!$C$52:$C$58,MIN(MATCH(DATOS!$C$94,TABLAS!$B$52:$B$58,0)+1,7))+DATOS!$C$24)))),INDEX(TABLAS!$B$52:$B$58,MIN(MATCH(DATOS!$C$94,TABLAS!$B$52:$B$58,0)+1,7)),IF(AND(AM30&gt;=0,CEILING(AM30/INDEX(TABLAS!$D$52:$D$58,MIN(MATCH(DATOS!$C$94,TABLAS!$B$52:$B$58,0)+2,7)),1)&lt;=MIN(99,INT((AZ30+DATOS!$C$24)/(INDEX(TABLAS!$C$52:$C$58,MIN(MATCH(DATOS!$C$94,TABLAS!$B$52:$B$58,0)+2,7))+DATOS!$C$24)))),INDEX(TABLAS!$B$52:$B$58,MIN(MATCH(DATOS!$C$94,TABLAS!$B$52:$B$58,0)+2,7)),IF(AND(AM30&gt;=0,CEILING(AM30/INDEX(TABLAS!$D$52:$D$58,MIN(MATCH(DATOS!$C$94,TABLAS!$B$52:$B$58,0)+3,7)),1)&lt;=MIN(99,INT((AZ30+DATOS!$C$24)/(INDEX(TABLAS!$C$52:$C$58,MIN(MATCH(DATOS!$C$94,TABLAS!$B$52:$B$58,0)+3,7))+DATOS!$C$24)))),INDEX(TABLAS!$B$52:$B$58,MIN(MATCH(DATOS!$C$94,TABLAS!$B$52:$B$58,0)+3,7)),IF(AND(AM30&gt;=0,CEILING(AM30/INDEX(TABLAS!$D$52:$D$58,MIN(MATCH(DATOS!$C$94,TABLAS!$B$52:$B$58,0)+4,7)),1)&lt;=MIN(99,INT((AZ30+DATOS!$C$24)/(INDEX(TABLAS!$C$52:$C$58,MIN(MATCH(DATOS!$C$94,TABLAS!$B$52:$B$58,0)+4,7))+DATOS!$C$24)))),INDEX(TABLAS!$B$52:$B$58,MIN(MATCH(DATOS!$C$94,TABLAS!$B$52:$B$58,0)+4,7)),INDEX(TABLAS!$B$52:$B$58,7)))))))</f>
        <v>4</v>
      </c>
      <c r="AO30" s="55">
        <f>IF(AM30&lt;=0,0,MAX(DATOS!$C$96,CEILING(AM30/INDEX(TABLAS!$D$52:$D$58,MATCH(IF(AN30=0,8,AN30),TABLAS!$B$52:$B$58,0)),1)))</f>
        <v>2</v>
      </c>
      <c r="AP30" s="34">
        <f>IF(AO30=0,0,DATOS!$C$45*AO30*INDEX(TABLAS!$D$52:$D$58,MATCH(AN30,TABLAS!$B$52:$B$58,0))*DATOS!$C$32*((O30-DATOS!$C$18-INDEX(TABLAS!$C$52:$C$58,MATCH(DATOS!$C$95,TABLAS!$B$52:$B$58,0))-INDEX(TABLAS!$C$52:$C$58,MATCH(AN30,TABLAS!$B$52:$B$58,0))/2)-AO30*INDEX(TABLAS!$D$52:$D$58,MATCH(AN30,TABLAS!$B$52:$B$58,0))*DATOS!$C$32/(DATOS!$C$38*N30)/2)/1E5)</f>
        <v>1.91079128964706</v>
      </c>
      <c r="AQ30" s="59">
        <f>IF(AM30&lt;0,9.99,IF(AP30&gt;0,AE30/AP30,0))</f>
        <v>0.388721058321385</v>
      </c>
      <c r="AR30" s="34">
        <f>IF(AO30=0,0,DATOS!$C$46*IF((AO30*INDEX(TABLAS!$D$52:$D$58,MATCH(AN30,TABLAS!$B$52:$B$58,0))/(N30*AG30))&lt;0.015,0.2+20*(AO30*INDEX(TABLAS!$D$52:$D$58,MATCH(AN30,TABLAS!$B$52:$B$58,0))/(N30*AG30)),0.5)*SQRT(DATOS!$C$31)*N30*AG30/1000)</f>
        <v>1.36995797509107</v>
      </c>
      <c r="AS30" s="68">
        <f>IF(AF30=0,0,INT(MIN(IF(AF30&gt;AR30,DATOS!$C$46*2*INDEX(TABLAS!$D$52:$D$58,MATCH(DATOS!$C$95,TABLAS!$B$52:$B$58,0))*DATOS!$C$32*AG30/((AF30-AR30)*1000),999),AG30/2,DATOS!$C$97,2*INDEX(TABLAS!$D$52:$D$58,MATCH(DATOS!$C$95,TABLAS!$B$52:$B$58,0))*DATOS!$C$32/(MAX(0.2*SQRT(DATOS!$C$31),3.5)*N30))/2.5)*2.5)</f>
        <v>10</v>
      </c>
      <c r="AT30" s="49" t="str">
        <f>IF(AF30=0,"—",IF(AF30&gt;AR30+DATOS!$C$46*2.12*SQRT(DATOS!$C$31)*N30*AG30/1000,"SECCIÓN INSUFICIENTE","E No. "&amp;TEXT(DATOS!$C$95,"0.0")&amp;" @ "&amp;TEXT(AS30,"0.0")&amp;" cm"))</f>
        <v>E No. 2.5 @ 10.0 cm</v>
      </c>
      <c r="AU30" s="68">
        <f>IF(L30="APOYADA",G30*100/16,IF(L30="VOLADO",G30*100/8,0))</f>
        <v>12.03125</v>
      </c>
      <c r="AV30" s="68">
        <f>SQRT(MAX(AD30,AE30)*1E5/(DATOS!$C$45*N30*DATOS!$C$38*(DATOS!$C$70*DATOS!$C$32/DATOS!$C$38)*(1-(DATOS!$C$70*DATOS!$C$32/DATOS!$C$38)/2)))+(O30-AG30)</f>
        <v>14.712274152151</v>
      </c>
      <c r="AW30" s="56">
        <f>IF(OR(L30="BORDE DE VOLADO",L30="SIN APOYO"),0,CEILING(MAX(AU30,AV30,DATOS!$C$15),5))</f>
        <v>25</v>
      </c>
      <c r="AX30" s="69" t="str">
        <f>IF(L30="BORDE DE VOLADO","BORDE DE VOLADO — armado de orilla",IF(L30="SIN APOYO","SIN APOYO — REVISAR",IF(AND(AL30&lt;=1,AQ30&lt;=1,IF(AJ30=0,TRUE,AJ30&lt;=INT((AZ30+DATOS!$C$24)/(INDEX(TABLAS!$C$52:$C$58,MATCH(MAX(AI30,2),TABLAS!$B$52:$B$58,0))+DATOS!$C$24))),IF(AO30=0,TRUE,AO30&lt;=INT((AZ30+DATOS!$C$24)/(INDEX(TABLAS!$C$52:$C$58,MATCH(MAX(AN30,2),TABLAS!$B$52:$B$58,0))+DATOS!$C$24))),AT30&lt;&gt;"SECCIÓN INSUFICIENTE",O30&gt;=AU30),"CUMPLE"&amp;IF(L30="VOLADO"," (en VOLADO)",""),"NO CUMPLE: "&amp;IF(OR(AH30&lt;0,AM30&lt;0),"sección insuficiente en flexión ",IF(OR(AL30&gt;1,AQ30&gt;1),"flexión ",""))&amp;IF(NOT(AND(IF(AJ30=0,TRUE,AJ30&lt;=INT((AZ30+DATOS!$C$24)/(INDEX(TABLAS!$C$52:$C$58,MATCH(MAX(AI30,2),TABLAS!$B$52:$B$58,0))+DATOS!$C$24))),IF(AO30=0,TRUE,AO30&lt;=INT((AZ30+DATOS!$C$24)/(INDEX(TABLAS!$C$52:$C$58,MATCH(MAX(AN30,2),TABLAS!$B$52:$B$58,0))+DATOS!$C$24))))),"no caben ","")&amp;IF(AT30="SECCIÓN INSUFICIENTE","cortante ","")&amp;IF(O30&lt;AU30,"deflexión ","")&amp;"→ h ≥ "&amp;TEXT(AW30,"0")&amp;" cm")))</f>
        <v>CUMPLE</v>
      </c>
      <c r="AY30" s="61" t="inlineStr">
        <is>
          <t>Extremo j en castillo propuesto C4. Recibe a NP-04. Muro de planta alta encima (1.93 m).</t>
        </is>
      </c>
      <c r="AZ30" s="41">
        <f>N30-2*DATOS!$C$18-2*INDEX(TABLAS!$C$52:$C$58,MATCH(DATOS!$C$95,TABLAS!$B$52:$B$58,0))</f>
        <v>9.42</v>
      </c>
    </row>
    <row r="31" ht="30" customHeight="1">
      <c r="B31" s="57" t="inlineStr">
        <is>
          <t>NP-23</t>
        </is>
      </c>
      <c r="C31" s="50" t="inlineStr">
        <is>
          <t>N+3.00</t>
        </is>
      </c>
      <c r="D31" s="49" t="inlineStr">
        <is>
          <t>x = 4.327</t>
        </is>
      </c>
      <c r="E31" s="50" t="inlineStr">
        <is>
          <t>(4.327, 7.871)</t>
        </is>
      </c>
      <c r="F31" s="50" t="inlineStr">
        <is>
          <t>(4.327, 14.021)</t>
        </is>
      </c>
      <c r="G31" s="53" t="n">
        <v>6.15</v>
      </c>
      <c r="H31" s="50" t="str">
        <f>IF(APOYOS!$C$20="SÍ","FIRME","LIBRE")</f>
        <v>FIRME</v>
      </c>
      <c r="I31" s="50" t="str">
        <f>IF(APOYOS!$C$21="SÍ","FIRME","LIBRE")</f>
        <v>FIRME</v>
      </c>
      <c r="J31" s="50" t="inlineStr">
        <is>
          <t>C4</t>
        </is>
      </c>
      <c r="K31" s="50" t="inlineStr">
        <is>
          <t>C5</t>
        </is>
      </c>
      <c r="L31" s="57" t="str">
        <f>IF(AND(OR(H31="FIRME",H31="NERVADURA",H31="PUNTA"),OR(I31="FIRME",I31="NERVADURA",I31="PUNTA")),"APOYADA",IF(OR(OR(H31="FIRME",H31="NERVADURA",H31="PUNTA"),OR(I31="FIRME",I31="NERVADURA",I31="PUNTA")),"VOLADO","SIN APOYO"))</f>
        <v>APOYADA</v>
      </c>
      <c r="M31" s="50" t="str">
        <f>IF(L31="VOLADO",IF(OR(H31="FIRME",H31="NERVADURA",H31="PUNTA"),"i","j"),"—")</f>
        <v>—</v>
      </c>
      <c r="N31" s="54">
        <f>DATOS!$C$17</f>
        <v>15</v>
      </c>
      <c r="O31" s="54">
        <f>DATOS!$C$15</f>
        <v>25</v>
      </c>
      <c r="P31" s="41">
        <f>SUMIFS(TRIB!$E$6:$E$255,TRIB!$B$6:$B$255,B31)</f>
        <v>3.9563</v>
      </c>
      <c r="Q31" s="34">
        <f>SUMIFS(TRIB!$G$6:$G$255,TRIB!$B$6:$B$255,B31)/G31</f>
        <v>0.529292154637465</v>
      </c>
      <c r="R31" s="66" t="n">
        <v>0</v>
      </c>
      <c r="S31" s="34">
        <f>DATOS!$C$43*R31*DATOS!$C$89/G31</f>
        <v>0</v>
      </c>
      <c r="T31" s="58" t="n">
        <v>50</v>
      </c>
      <c r="U31" s="58" t="n">
        <v>0</v>
      </c>
      <c r="V31" s="34">
        <f>(DATOS!$C$43*T31+DATOS!$C$44*U31)/1000</f>
        <v>0.065</v>
      </c>
      <c r="W31" s="34">
        <f>DATOS!$C$43*(N31/100*O31/100*DATOS!$C$35-N31/100*DATOS!$C$58/1000)</f>
        <v>0.0694836734693878</v>
      </c>
      <c r="X31" s="67">
        <f>Q31+S31+V31+W31</f>
        <v>0.663775828106852</v>
      </c>
      <c r="Y31" s="34">
        <f>0</f>
        <v>0</v>
      </c>
      <c r="Z31" s="34">
        <f>0</f>
        <v>0</v>
      </c>
      <c r="AA31" s="34">
        <f>0</f>
        <v>0</v>
      </c>
      <c r="AB31" s="34">
        <f>IF(L31="APOYADA",X31*G31/2+0,IF(AND(L31="VOLADO",M31="i"),X31*G31+Y31,0))</f>
        <v>2.04111067142857</v>
      </c>
      <c r="AC31" s="34">
        <f>IF(L31="APOYADA",X31*G31/2+0,IF(AND(L31="VOLADO",M31="j"),X31*G31+Y31,0))</f>
        <v>2.04111067142857</v>
      </c>
      <c r="AD31" s="67">
        <f>IF(L31="APOYADA",X31*G31^2/8+Z31,0)</f>
        <v>3.13820765732143</v>
      </c>
      <c r="AE31" s="67">
        <f>IF(L31="APOYADA",DATOS!$C$52*AD31,IF(L31="VOLADO",X31*G31^2/2+Z31,0))</f>
        <v>2.09318450743339</v>
      </c>
      <c r="AF31" s="67">
        <f>IF(L31="APOYADA",X31*G31/2+AA31,IF(L31="VOLADO",X31*G31+AA31,0))</f>
        <v>2.04111067142857</v>
      </c>
      <c r="AG31" s="41">
        <f>O31-DATOS!$C$18-INDEX(TABLAS!$C$52:$C$58,MATCH(DATOS!$C$95,TABLAS!$B$52:$B$58,0))-INDEX(TABLAS!$C$52:$C$58,MATCH(DATOS!$C$94,TABLAS!$B$52:$B$58,0))/2</f>
        <v>21.575</v>
      </c>
      <c r="AH31" s="41">
        <f>IF(OR(L31="BORDE DE VOLADO",L31="SIN APOYO"),0,IF(AD31&lt;=0,DATOS!$C$71*N31*AG31,IF((1-2*AD31*1E5/(DATOS!$C$45*N31*AG31^2*DATOS!$C$38))&lt;0,-1,IF((1-SQRT((1-2*AD31*1E5/(DATOS!$C$45*N31*AG31^2*DATOS!$C$38))))*DATOS!$C$38*N31*AG31/DATOS!$C$32&gt;DATOS!$C$70*N31*AG31,-1,MAX(DATOS!$C$71*N31*AG31,(1-SQRT((1-2*AD31*1E5/(DATOS!$C$45*N31*AG31^2*DATOS!$C$38))))*DATOS!$C$38*N31*AG31/DATOS!$C$32)))))</f>
        <v>4.45375387017334</v>
      </c>
      <c r="AI31" s="39">
        <f>IF(AH31&lt;0,0,IF(AND(AH31&gt;=0,CEILING(AH31/INDEX(TABLAS!$D$52:$D$58,MIN(MATCH(DATOS!$C$94,TABLAS!$B$52:$B$58,0)+0,7)),1)&lt;=MIN(99,INT((AZ31+DATOS!$C$24)/(INDEX(TABLAS!$C$52:$C$58,MIN(MATCH(DATOS!$C$94,TABLAS!$B$52:$B$58,0)+0,7))+DATOS!$C$24)))),INDEX(TABLAS!$B$52:$B$58,MIN(MATCH(DATOS!$C$94,TABLAS!$B$52:$B$58,0)+0,7)),IF(AND(AH31&gt;=0,CEILING(AH31/INDEX(TABLAS!$D$52:$D$58,MIN(MATCH(DATOS!$C$94,TABLAS!$B$52:$B$58,0)+1,7)),1)&lt;=MIN(99,INT((AZ31+DATOS!$C$24)/(INDEX(TABLAS!$C$52:$C$58,MIN(MATCH(DATOS!$C$94,TABLAS!$B$52:$B$58,0)+1,7))+DATOS!$C$24)))),INDEX(TABLAS!$B$52:$B$58,MIN(MATCH(DATOS!$C$94,TABLAS!$B$52:$B$58,0)+1,7)),IF(AND(AH31&gt;=0,CEILING(AH31/INDEX(TABLAS!$D$52:$D$58,MIN(MATCH(DATOS!$C$94,TABLAS!$B$52:$B$58,0)+2,7)),1)&lt;=MIN(99,INT((AZ31+DATOS!$C$24)/(INDEX(TABLAS!$C$52:$C$58,MIN(MATCH(DATOS!$C$94,TABLAS!$B$52:$B$58,0)+2,7))+DATOS!$C$24)))),INDEX(TABLAS!$B$52:$B$58,MIN(MATCH(DATOS!$C$94,TABLAS!$B$52:$B$58,0)+2,7)),IF(AND(AH31&gt;=0,CEILING(AH31/INDEX(TABLAS!$D$52:$D$58,MIN(MATCH(DATOS!$C$94,TABLAS!$B$52:$B$58,0)+3,7)),1)&lt;=MIN(99,INT((AZ31+DATOS!$C$24)/(INDEX(TABLAS!$C$52:$C$58,MIN(MATCH(DATOS!$C$94,TABLAS!$B$52:$B$58,0)+3,7))+DATOS!$C$24)))),INDEX(TABLAS!$B$52:$B$58,MIN(MATCH(DATOS!$C$94,TABLAS!$B$52:$B$58,0)+3,7)),IF(AND(AH31&gt;=0,CEILING(AH31/INDEX(TABLAS!$D$52:$D$58,MIN(MATCH(DATOS!$C$94,TABLAS!$B$52:$B$58,0)+4,7)),1)&lt;=MIN(99,INT((AZ31+DATOS!$C$24)/(INDEX(TABLAS!$C$52:$C$58,MIN(MATCH(DATOS!$C$94,TABLAS!$B$52:$B$58,0)+4,7))+DATOS!$C$24)))),INDEX(TABLAS!$B$52:$B$58,MIN(MATCH(DATOS!$C$94,TABLAS!$B$52:$B$58,0)+4,7)),INDEX(TABLAS!$B$52:$B$58,7)))))))</f>
        <v>6</v>
      </c>
      <c r="AJ31" s="55">
        <f>IF(AH31&lt;=0,0,MAX(DATOS!$C$96,CEILING(AH31/INDEX(TABLAS!$D$52:$D$58,MATCH(IF(AI31=0,8,AI31),TABLAS!$B$52:$B$58,0)),1)))</f>
        <v>2</v>
      </c>
      <c r="AK31" s="34">
        <f>IF(AJ31=0,0,DATOS!$C$45*AJ31*INDEX(TABLAS!$D$52:$D$58,MATCH(AI31,TABLAS!$B$52:$B$58,0))*DATOS!$C$32*((O31-DATOS!$C$18-INDEX(TABLAS!$C$52:$C$58,MATCH(DATOS!$C$95,TABLAS!$B$52:$B$58,0))-INDEX(TABLAS!$C$52:$C$58,MATCH(AI31,TABLAS!$B$52:$B$58,0))/2)-AJ31*INDEX(TABLAS!$D$52:$D$58,MATCH(AI31,TABLAS!$B$52:$B$58,0))*DATOS!$C$32/(DATOS!$C$38*N31)/2)/1E5)</f>
        <v>3.77048662941177</v>
      </c>
      <c r="AL31" s="59">
        <f>IF(AH31&lt;0,9.99,IF(AK31&gt;0,AD31/AK31,0))</f>
        <v>0.832308390339265</v>
      </c>
      <c r="AM31" s="41">
        <f>IF(OR(L31="BORDE DE VOLADO",L31="SIN APOYO"),0,IF(AE31&lt;=0,DATOS!$C$71*N31*AG31,IF((1-2*AE31*1E5/(DATOS!$C$45*N31*AG31^2*DATOS!$C$38))&lt;0,-1,IF((1-SQRT((1-2*AE31*1E5/(DATOS!$C$45*N31*AG31^2*DATOS!$C$38))))*DATOS!$C$38*N31*AG31/DATOS!$C$32&gt;DATOS!$C$70*N31*AG31,-1,MAX(DATOS!$C$71*N31*AG31,(1-SQRT((1-2*AE31*1E5/(DATOS!$C$45*N31*AG31^2*DATOS!$C$38))))*DATOS!$C$38*N31*AG31/DATOS!$C$32)))))</f>
        <v>2.80729431105537</v>
      </c>
      <c r="AN31" s="39">
        <f>IF(AM31&lt;0,0,IF(AND(AM31&gt;=0,CEILING(AM31/INDEX(TABLAS!$D$52:$D$58,MIN(MATCH(DATOS!$C$94,TABLAS!$B$52:$B$58,0)+0,7)),1)&lt;=MIN(99,INT((AZ31+DATOS!$C$24)/(INDEX(TABLAS!$C$52:$C$58,MIN(MATCH(DATOS!$C$94,TABLAS!$B$52:$B$58,0)+0,7))+DATOS!$C$24)))),INDEX(TABLAS!$B$52:$B$58,MIN(MATCH(DATOS!$C$94,TABLAS!$B$52:$B$58,0)+0,7)),IF(AND(AM31&gt;=0,CEILING(AM31/INDEX(TABLAS!$D$52:$D$58,MIN(MATCH(DATOS!$C$94,TABLAS!$B$52:$B$58,0)+1,7)),1)&lt;=MIN(99,INT((AZ31+DATOS!$C$24)/(INDEX(TABLAS!$C$52:$C$58,MIN(MATCH(DATOS!$C$94,TABLAS!$B$52:$B$58,0)+1,7))+DATOS!$C$24)))),INDEX(TABLAS!$B$52:$B$58,MIN(MATCH(DATOS!$C$94,TABLAS!$B$52:$B$58,0)+1,7)),IF(AND(AM31&gt;=0,CEILING(AM31/INDEX(TABLAS!$D$52:$D$58,MIN(MATCH(DATOS!$C$94,TABLAS!$B$52:$B$58,0)+2,7)),1)&lt;=MIN(99,INT((AZ31+DATOS!$C$24)/(INDEX(TABLAS!$C$52:$C$58,MIN(MATCH(DATOS!$C$94,TABLAS!$B$52:$B$58,0)+2,7))+DATOS!$C$24)))),INDEX(TABLAS!$B$52:$B$58,MIN(MATCH(DATOS!$C$94,TABLAS!$B$52:$B$58,0)+2,7)),IF(AND(AM31&gt;=0,CEILING(AM31/INDEX(TABLAS!$D$52:$D$58,MIN(MATCH(DATOS!$C$94,TABLAS!$B$52:$B$58,0)+3,7)),1)&lt;=MIN(99,INT((AZ31+DATOS!$C$24)/(INDEX(TABLAS!$C$52:$C$58,MIN(MATCH(DATOS!$C$94,TABLAS!$B$52:$B$58,0)+3,7))+DATOS!$C$24)))),INDEX(TABLAS!$B$52:$B$58,MIN(MATCH(DATOS!$C$94,TABLAS!$B$52:$B$58,0)+3,7)),IF(AND(AM31&gt;=0,CEILING(AM31/INDEX(TABLAS!$D$52:$D$58,MIN(MATCH(DATOS!$C$94,TABLAS!$B$52:$B$58,0)+4,7)),1)&lt;=MIN(99,INT((AZ31+DATOS!$C$24)/(INDEX(TABLAS!$C$52:$C$58,MIN(MATCH(DATOS!$C$94,TABLAS!$B$52:$B$58,0)+4,7))+DATOS!$C$24)))),INDEX(TABLAS!$B$52:$B$58,MIN(MATCH(DATOS!$C$94,TABLAS!$B$52:$B$58,0)+4,7)),INDEX(TABLAS!$B$52:$B$58,7)))))))</f>
        <v>4</v>
      </c>
      <c r="AO31" s="55">
        <f>IF(AM31&lt;=0,0,MAX(DATOS!$C$96,CEILING(AM31/INDEX(TABLAS!$D$52:$D$58,MATCH(IF(AN31=0,8,AN31),TABLAS!$B$52:$B$58,0)),1)))</f>
        <v>3</v>
      </c>
      <c r="AP31" s="34">
        <f>IF(AO31=0,0,DATOS!$C$45*AO31*INDEX(TABLAS!$D$52:$D$58,MATCH(AN31,TABLAS!$B$52:$B$58,0))*DATOS!$C$32*((O31-DATOS!$C$18-INDEX(TABLAS!$C$52:$C$58,MATCH(DATOS!$C$95,TABLAS!$B$52:$B$58,0))-INDEX(TABLAS!$C$52:$C$58,MATCH(AN31,TABLAS!$B$52:$B$58,0))/2)-AO31*INDEX(TABLAS!$D$52:$D$58,MATCH(AN31,TABLAS!$B$52:$B$58,0))*DATOS!$C$32/(DATOS!$C$38*N31)/2)/1E5)</f>
        <v>2.74568622670588</v>
      </c>
      <c r="AQ31" s="59">
        <f>IF(AM31&lt;0,9.99,IF(AP31&gt;0,AE31/AP31,0))</f>
        <v>0.762353865155479</v>
      </c>
      <c r="AR31" s="34">
        <f>IF(AO31=0,0,DATOS!$C$46*IF((AO31*INDEX(TABLAS!$D$52:$D$58,MATCH(AN31,TABLAS!$B$52:$B$58,0))/(N31*AG31))&lt;0.015,0.2+20*(AO31*INDEX(TABLAS!$D$52:$D$58,MATCH(AN31,TABLAS!$B$52:$B$58,0))/(N31*AG31)),0.5)*SQRT(DATOS!$C$31)*N31*AG31/1000)</f>
        <v>1.67116492222211</v>
      </c>
      <c r="AS31" s="68">
        <f>IF(AF31=0,0,INT(MIN(IF(AF31&gt;AR31,DATOS!$C$46*2*INDEX(TABLAS!$D$52:$D$58,MATCH(DATOS!$C$95,TABLAS!$B$52:$B$58,0))*DATOS!$C$32*AG31/((AF31-AR31)*1000),999),AG31/2,DATOS!$C$97,2*INDEX(TABLAS!$D$52:$D$58,MATCH(DATOS!$C$95,TABLAS!$B$52:$B$58,0))*DATOS!$C$32/(MAX(0.2*SQRT(DATOS!$C$31),3.5)*N31))/2.5)*2.5)</f>
        <v>10</v>
      </c>
      <c r="AT31" s="49" t="str">
        <f>IF(AF31=0,"—",IF(AF31&gt;AR31+DATOS!$C$46*2.12*SQRT(DATOS!$C$31)*N31*AG31/1000,"SECCIÓN INSUFICIENTE","E No. "&amp;TEXT(DATOS!$C$95,"0.0")&amp;" @ "&amp;TEXT(AS31,"0.0")&amp;" cm"))</f>
        <v>E No. 2.5 @ 10.0 cm</v>
      </c>
      <c r="AU31" s="68">
        <f>IF(L31="APOYADA",G31*100/16,IF(L31="VOLADO",G31*100/8,0))</f>
        <v>38.4375</v>
      </c>
      <c r="AV31" s="68">
        <f>SQRT(MAX(AD31,AE31)*1E5/(DATOS!$C$45*N31*DATOS!$C$38*(DATOS!$C$70*DATOS!$C$32/DATOS!$C$38)*(1-(DATOS!$C$70*DATOS!$C$32/DATOS!$C$38)/2)))+(O31-AG31)</f>
        <v>22.3731654736476</v>
      </c>
      <c r="AW31" s="56">
        <f>IF(OR(L31="BORDE DE VOLADO",L31="SIN APOYO"),0,CEILING(MAX(AU31,AV31,DATOS!$C$15),5))</f>
        <v>40</v>
      </c>
      <c r="AX31" s="69" t="str">
        <f>IF(L31="BORDE DE VOLADO","BORDE DE VOLADO — armado de orilla",IF(L31="SIN APOYO","SIN APOYO — REVISAR",IF(AND(AL31&lt;=1,AQ31&lt;=1,IF(AJ31=0,TRUE,AJ31&lt;=INT((AZ31+DATOS!$C$24)/(INDEX(TABLAS!$C$52:$C$58,MATCH(MAX(AI31,2),TABLAS!$B$52:$B$58,0))+DATOS!$C$24))),IF(AO31=0,TRUE,AO31&lt;=INT((AZ31+DATOS!$C$24)/(INDEX(TABLAS!$C$52:$C$58,MATCH(MAX(AN31,2),TABLAS!$B$52:$B$58,0))+DATOS!$C$24))),AT31&lt;&gt;"SECCIÓN INSUFICIENTE",O31&gt;=AU31),"CUMPLE"&amp;IF(L31="VOLADO"," (en VOLADO)",""),"NO CUMPLE: "&amp;IF(OR(AH31&lt;0,AM31&lt;0),"sección insuficiente en flexión ",IF(OR(AL31&gt;1,AQ31&gt;1),"flexión ",""))&amp;IF(NOT(AND(IF(AJ31=0,TRUE,AJ31&lt;=INT((AZ31+DATOS!$C$24)/(INDEX(TABLAS!$C$52:$C$58,MATCH(MAX(AI31,2),TABLAS!$B$52:$B$58,0))+DATOS!$C$24))),IF(AO31=0,TRUE,AO31&lt;=INT((AZ31+DATOS!$C$24)/(INDEX(TABLAS!$C$52:$C$58,MATCH(MAX(AN31,2),TABLAS!$B$52:$B$58,0))+DATOS!$C$24))))),"no caben ","")&amp;IF(AT31="SECCIÓN INSUFICIENTE","cortante ","")&amp;IF(O31&lt;AU31,"deflexión ","")&amp;"→ h ≥ "&amp;TEXT(AW31,"0")&amp;" cm")))</f>
        <v>NO CUMPLE: deflexión → h ≥ 40 cm</v>
      </c>
      <c r="AY31" s="61" t="inlineStr">
        <is>
          <t>Extremo i en castillo propuesto C4. Extremo j en castillo propuesto C5.</t>
        </is>
      </c>
      <c r="AZ31" s="41">
        <f>N31-2*DATOS!$C$18-2*INDEX(TABLAS!$C$52:$C$58,MATCH(DATOS!$C$95,TABLAS!$B$52:$B$58,0))</f>
        <v>9.42</v>
      </c>
    </row>
    <row r="32" ht="30" customHeight="1">
      <c r="B32" s="57" t="inlineStr">
        <is>
          <t>NP-24</t>
        </is>
      </c>
      <c r="C32" s="50" t="inlineStr">
        <is>
          <t>N+3.00</t>
        </is>
      </c>
      <c r="D32" s="49" t="inlineStr">
        <is>
          <t>Eje D (x = 4.426)</t>
        </is>
      </c>
      <c r="E32" s="50" t="inlineStr">
        <is>
          <t>(4.426, 17.446)</t>
        </is>
      </c>
      <c r="F32" s="50" t="inlineStr">
        <is>
          <t>(4.426, 21.446)</t>
        </is>
      </c>
      <c r="G32" s="53" t="n">
        <v>4</v>
      </c>
      <c r="H32" s="50" t="inlineStr">
        <is>
          <t>NERVADURA</t>
        </is>
      </c>
      <c r="I32" s="50" t="inlineStr">
        <is>
          <t>FIRME</t>
        </is>
      </c>
      <c r="J32" s="50" t="inlineStr">
        <is>
          <t>—</t>
        </is>
      </c>
      <c r="K32" s="50" t="inlineStr">
        <is>
          <t>—</t>
        </is>
      </c>
      <c r="L32" s="57" t="str">
        <f>IF(AND(OR(H32="FIRME",H32="NERVADURA",H32="PUNTA"),OR(I32="FIRME",I32="NERVADURA",I32="PUNTA")),"APOYADA",IF(OR(OR(H32="FIRME",H32="NERVADURA",H32="PUNTA"),OR(I32="FIRME",I32="NERVADURA",I32="PUNTA")),"VOLADO","SIN APOYO"))</f>
        <v>APOYADA</v>
      </c>
      <c r="M32" s="50" t="str">
        <f>IF(L32="VOLADO",IF(OR(H32="FIRME",H32="NERVADURA",H32="PUNTA"),"i","j"),"—")</f>
        <v>—</v>
      </c>
      <c r="N32" s="54">
        <f>DATOS!$C$17</f>
        <v>15</v>
      </c>
      <c r="O32" s="54">
        <f>DATOS!$C$15</f>
        <v>25</v>
      </c>
      <c r="P32" s="41">
        <f>SUMIFS(TRIB!$E$6:$E$255,TRIB!$B$6:$B$255,B32)</f>
        <v>4.9357</v>
      </c>
      <c r="Q32" s="34">
        <f>SUMIFS(TRIB!$G$6:$G$255,TRIB!$B$6:$B$255,B32)/G32</f>
        <v>1.01524327142857</v>
      </c>
      <c r="R32" s="66" t="n">
        <v>4</v>
      </c>
      <c r="S32" s="34">
        <f>DATOS!$C$43*R32*DATOS!$C$89/G32</f>
        <v>1.233375</v>
      </c>
      <c r="T32" s="58" t="n">
        <v>0</v>
      </c>
      <c r="U32" s="58" t="n">
        <v>0</v>
      </c>
      <c r="V32" s="34">
        <f>(DATOS!$C$43*T32+DATOS!$C$44*U32)/1000</f>
        <v>0</v>
      </c>
      <c r="W32" s="34">
        <f>DATOS!$C$43*(N32/100*O32/100*DATOS!$C$35-N32/100*DATOS!$C$58/1000)</f>
        <v>0.0694836734693878</v>
      </c>
      <c r="X32" s="67">
        <f>Q32+S32+V32+W32</f>
        <v>2.31810194489796</v>
      </c>
      <c r="Y32" s="34">
        <f>0</f>
        <v>0</v>
      </c>
      <c r="Z32" s="34">
        <f>0</f>
        <v>0</v>
      </c>
      <c r="AA32" s="34">
        <f>0</f>
        <v>0</v>
      </c>
      <c r="AB32" s="34">
        <f>IF(L32="APOYADA",X32*G32/2+0,IF(AND(L32="VOLADO",M32="i"),X32*G32+Y32,0))</f>
        <v>4.63620388979592</v>
      </c>
      <c r="AC32" s="34">
        <f>IF(L32="APOYADA",X32*G32/2+0,IF(AND(L32="VOLADO",M32="j"),X32*G32+Y32,0))</f>
        <v>4.63620388979592</v>
      </c>
      <c r="AD32" s="67">
        <f>IF(L32="APOYADA",X32*G32^2/8+Z32,0)</f>
        <v>4.63620388979592</v>
      </c>
      <c r="AE32" s="67">
        <f>IF(L32="APOYADA",DATOS!$C$52*AD32,IF(L32="VOLADO",X32*G32^2/2+Z32,0))</f>
        <v>3.09234799449388</v>
      </c>
      <c r="AF32" s="67">
        <f>IF(L32="APOYADA",X32*G32/2+AA32,IF(L32="VOLADO",X32*G32+AA32,0))</f>
        <v>4.63620388979592</v>
      </c>
      <c r="AG32" s="41">
        <f>O32-DATOS!$C$18-INDEX(TABLAS!$C$52:$C$58,MATCH(DATOS!$C$95,TABLAS!$B$52:$B$58,0))-INDEX(TABLAS!$C$52:$C$58,MATCH(DATOS!$C$94,TABLAS!$B$52:$B$58,0))/2</f>
        <v>21.575</v>
      </c>
      <c r="AH32" s="41">
        <f>IF(OR(L32="BORDE DE VOLADO",L32="SIN APOYO"),0,IF(AD32&lt;=0,DATOS!$C$71*N32*AG32,IF((1-2*AD32*1E5/(DATOS!$C$45*N32*AG32^2*DATOS!$C$38))&lt;0,-1,IF((1-SQRT((1-2*AD32*1E5/(DATOS!$C$45*N32*AG32^2*DATOS!$C$38))))*DATOS!$C$38*N32*AG32/DATOS!$C$32&gt;DATOS!$C$70*N32*AG32,-1,MAX(DATOS!$C$71*N32*AG32,(1-SQRT((1-2*AD32*1E5/(DATOS!$C$45*N32*AG32^2*DATOS!$C$38))))*DATOS!$C$38*N32*AG32/DATOS!$C$32)))))</f>
        <v>-1</v>
      </c>
      <c r="AI32" s="39">
        <f>IF(AH32&lt;0,0,IF(AND(AH32&gt;=0,CEILING(AH32/INDEX(TABLAS!$D$52:$D$58,MIN(MATCH(DATOS!$C$94,TABLAS!$B$52:$B$58,0)+0,7)),1)&lt;=MIN(99,INT((AZ32+DATOS!$C$24)/(INDEX(TABLAS!$C$52:$C$58,MIN(MATCH(DATOS!$C$94,TABLAS!$B$52:$B$58,0)+0,7))+DATOS!$C$24)))),INDEX(TABLAS!$B$52:$B$58,MIN(MATCH(DATOS!$C$94,TABLAS!$B$52:$B$58,0)+0,7)),IF(AND(AH32&gt;=0,CEILING(AH32/INDEX(TABLAS!$D$52:$D$58,MIN(MATCH(DATOS!$C$94,TABLAS!$B$52:$B$58,0)+1,7)),1)&lt;=MIN(99,INT((AZ32+DATOS!$C$24)/(INDEX(TABLAS!$C$52:$C$58,MIN(MATCH(DATOS!$C$94,TABLAS!$B$52:$B$58,0)+1,7))+DATOS!$C$24)))),INDEX(TABLAS!$B$52:$B$58,MIN(MATCH(DATOS!$C$94,TABLAS!$B$52:$B$58,0)+1,7)),IF(AND(AH32&gt;=0,CEILING(AH32/INDEX(TABLAS!$D$52:$D$58,MIN(MATCH(DATOS!$C$94,TABLAS!$B$52:$B$58,0)+2,7)),1)&lt;=MIN(99,INT((AZ32+DATOS!$C$24)/(INDEX(TABLAS!$C$52:$C$58,MIN(MATCH(DATOS!$C$94,TABLAS!$B$52:$B$58,0)+2,7))+DATOS!$C$24)))),INDEX(TABLAS!$B$52:$B$58,MIN(MATCH(DATOS!$C$94,TABLAS!$B$52:$B$58,0)+2,7)),IF(AND(AH32&gt;=0,CEILING(AH32/INDEX(TABLAS!$D$52:$D$58,MIN(MATCH(DATOS!$C$94,TABLAS!$B$52:$B$58,0)+3,7)),1)&lt;=MIN(99,INT((AZ32+DATOS!$C$24)/(INDEX(TABLAS!$C$52:$C$58,MIN(MATCH(DATOS!$C$94,TABLAS!$B$52:$B$58,0)+3,7))+DATOS!$C$24)))),INDEX(TABLAS!$B$52:$B$58,MIN(MATCH(DATOS!$C$94,TABLAS!$B$52:$B$58,0)+3,7)),IF(AND(AH32&gt;=0,CEILING(AH32/INDEX(TABLAS!$D$52:$D$58,MIN(MATCH(DATOS!$C$94,TABLAS!$B$52:$B$58,0)+4,7)),1)&lt;=MIN(99,INT((AZ32+DATOS!$C$24)/(INDEX(TABLAS!$C$52:$C$58,MIN(MATCH(DATOS!$C$94,TABLAS!$B$52:$B$58,0)+4,7))+DATOS!$C$24)))),INDEX(TABLAS!$B$52:$B$58,MIN(MATCH(DATOS!$C$94,TABLAS!$B$52:$B$58,0)+4,7)),INDEX(TABLAS!$B$52:$B$58,7)))))))</f>
        <v>0</v>
      </c>
      <c r="AJ32" s="55">
        <f>IF(AH32&lt;=0,0,MAX(DATOS!$C$96,CEILING(AH32/INDEX(TABLAS!$D$52:$D$58,MATCH(IF(AI32=0,8,AI32),TABLAS!$B$52:$B$58,0)),1)))</f>
        <v>0</v>
      </c>
      <c r="AK32" s="34">
        <f>IF(AJ32=0,0,DATOS!$C$45*AJ32*INDEX(TABLAS!$D$52:$D$58,MATCH(AI32,TABLAS!$B$52:$B$58,0))*DATOS!$C$32*((O32-DATOS!$C$18-INDEX(TABLAS!$C$52:$C$58,MATCH(DATOS!$C$95,TABLAS!$B$52:$B$58,0))-INDEX(TABLAS!$C$52:$C$58,MATCH(AI32,TABLAS!$B$52:$B$58,0))/2)-AJ32*INDEX(TABLAS!$D$52:$D$58,MATCH(AI32,TABLAS!$B$52:$B$58,0))*DATOS!$C$32/(DATOS!$C$38*N32)/2)/1E5)</f>
        <v>0</v>
      </c>
      <c r="AL32" s="59">
        <f>IF(AH32&lt;0,9.99,IF(AK32&gt;0,AD32/AK32,0))</f>
        <v>9.99</v>
      </c>
      <c r="AM32" s="41">
        <f>IF(OR(L32="BORDE DE VOLADO",L32="SIN APOYO"),0,IF(AE32&lt;=0,DATOS!$C$71*N32*AG32,IF((1-2*AE32*1E5/(DATOS!$C$45*N32*AG32^2*DATOS!$C$38))&lt;0,-1,IF((1-SQRT((1-2*AE32*1E5/(DATOS!$C$45*N32*AG32^2*DATOS!$C$38))))*DATOS!$C$38*N32*AG32/DATOS!$C$32&gt;DATOS!$C$70*N32*AG32,-1,MAX(DATOS!$C$71*N32*AG32,(1-SQRT((1-2*AE32*1E5/(DATOS!$C$45*N32*AG32^2*DATOS!$C$38))))*DATOS!$C$38*N32*AG32/DATOS!$C$32)))))</f>
        <v>4.37675955992184</v>
      </c>
      <c r="AN32" s="39">
        <f>IF(AM32&lt;0,0,IF(AND(AM32&gt;=0,CEILING(AM32/INDEX(TABLAS!$D$52:$D$58,MIN(MATCH(DATOS!$C$94,TABLAS!$B$52:$B$58,0)+0,7)),1)&lt;=MIN(99,INT((AZ32+DATOS!$C$24)/(INDEX(TABLAS!$C$52:$C$58,MIN(MATCH(DATOS!$C$94,TABLAS!$B$52:$B$58,0)+0,7))+DATOS!$C$24)))),INDEX(TABLAS!$B$52:$B$58,MIN(MATCH(DATOS!$C$94,TABLAS!$B$52:$B$58,0)+0,7)),IF(AND(AM32&gt;=0,CEILING(AM32/INDEX(TABLAS!$D$52:$D$58,MIN(MATCH(DATOS!$C$94,TABLAS!$B$52:$B$58,0)+1,7)),1)&lt;=MIN(99,INT((AZ32+DATOS!$C$24)/(INDEX(TABLAS!$C$52:$C$58,MIN(MATCH(DATOS!$C$94,TABLAS!$B$52:$B$58,0)+1,7))+DATOS!$C$24)))),INDEX(TABLAS!$B$52:$B$58,MIN(MATCH(DATOS!$C$94,TABLAS!$B$52:$B$58,0)+1,7)),IF(AND(AM32&gt;=0,CEILING(AM32/INDEX(TABLAS!$D$52:$D$58,MIN(MATCH(DATOS!$C$94,TABLAS!$B$52:$B$58,0)+2,7)),1)&lt;=MIN(99,INT((AZ32+DATOS!$C$24)/(INDEX(TABLAS!$C$52:$C$58,MIN(MATCH(DATOS!$C$94,TABLAS!$B$52:$B$58,0)+2,7))+DATOS!$C$24)))),INDEX(TABLAS!$B$52:$B$58,MIN(MATCH(DATOS!$C$94,TABLAS!$B$52:$B$58,0)+2,7)),IF(AND(AM32&gt;=0,CEILING(AM32/INDEX(TABLAS!$D$52:$D$58,MIN(MATCH(DATOS!$C$94,TABLAS!$B$52:$B$58,0)+3,7)),1)&lt;=MIN(99,INT((AZ32+DATOS!$C$24)/(INDEX(TABLAS!$C$52:$C$58,MIN(MATCH(DATOS!$C$94,TABLAS!$B$52:$B$58,0)+3,7))+DATOS!$C$24)))),INDEX(TABLAS!$B$52:$B$58,MIN(MATCH(DATOS!$C$94,TABLAS!$B$52:$B$58,0)+3,7)),IF(AND(AM32&gt;=0,CEILING(AM32/INDEX(TABLAS!$D$52:$D$58,MIN(MATCH(DATOS!$C$94,TABLAS!$B$52:$B$58,0)+4,7)),1)&lt;=MIN(99,INT((AZ32+DATOS!$C$24)/(INDEX(TABLAS!$C$52:$C$58,MIN(MATCH(DATOS!$C$94,TABLAS!$B$52:$B$58,0)+4,7))+DATOS!$C$24)))),INDEX(TABLAS!$B$52:$B$58,MIN(MATCH(DATOS!$C$94,TABLAS!$B$52:$B$58,0)+4,7)),INDEX(TABLAS!$B$52:$B$58,7)))))))</f>
        <v>6</v>
      </c>
      <c r="AO32" s="55">
        <f>IF(AM32&lt;=0,0,MAX(DATOS!$C$96,CEILING(AM32/INDEX(TABLAS!$D$52:$D$58,MATCH(IF(AN32=0,8,AN32),TABLAS!$B$52:$B$58,0)),1)))</f>
        <v>2</v>
      </c>
      <c r="AP32" s="34">
        <f>IF(AO32=0,0,DATOS!$C$45*AO32*INDEX(TABLAS!$D$52:$D$58,MATCH(AN32,TABLAS!$B$52:$B$58,0))*DATOS!$C$32*((O32-DATOS!$C$18-INDEX(TABLAS!$C$52:$C$58,MATCH(DATOS!$C$95,TABLAS!$B$52:$B$58,0))-INDEX(TABLAS!$C$52:$C$58,MATCH(AN32,TABLAS!$B$52:$B$58,0))/2)-AO32*INDEX(TABLAS!$D$52:$D$58,MATCH(AN32,TABLAS!$B$52:$B$58,0))*DATOS!$C$32/(DATOS!$C$38*N32)/2)/1E5)</f>
        <v>3.77048662941177</v>
      </c>
      <c r="AQ32" s="59">
        <f>IF(AM32&lt;0,9.99,IF(AP32&gt;0,AE32/AP32,0))</f>
        <v>0.820145593508262</v>
      </c>
      <c r="AR32" s="34">
        <f>IF(AO32=0,0,DATOS!$C$46*IF((AO32*INDEX(TABLAS!$D$52:$D$58,MATCH(AN32,TABLAS!$B$52:$B$58,0))/(N32*AG32))&lt;0.015,0.2+20*(AO32*INDEX(TABLAS!$D$52:$D$58,MATCH(AN32,TABLAS!$B$52:$B$58,0))/(N32*AG32)),0.5)*SQRT(DATOS!$C$31)*N32*AG32/1000)</f>
        <v>1.91886020207248</v>
      </c>
      <c r="AS32" s="68">
        <f>IF(AF32=0,0,INT(MIN(IF(AF32&gt;AR32,DATOS!$C$46*2*INDEX(TABLAS!$D$52:$D$58,MATCH(DATOS!$C$95,TABLAS!$B$52:$B$58,0))*DATOS!$C$32*AG32/((AF32-AR32)*1000),999),AG32/2,DATOS!$C$97,2*INDEX(TABLAS!$D$52:$D$58,MATCH(DATOS!$C$95,TABLAS!$B$52:$B$58,0))*DATOS!$C$32/(MAX(0.2*SQRT(DATOS!$C$31),3.5)*N32))/2.5)*2.5)</f>
        <v>10</v>
      </c>
      <c r="AT32" s="49" t="str">
        <f>IF(AF32=0,"—",IF(AF32&gt;AR32+DATOS!$C$46*2.12*SQRT(DATOS!$C$31)*N32*AG32/1000,"SECCIÓN INSUFICIENTE","E No. "&amp;TEXT(DATOS!$C$95,"0.0")&amp;" @ "&amp;TEXT(AS32,"0.0")&amp;" cm"))</f>
        <v>E No. 2.5 @ 10.0 cm</v>
      </c>
      <c r="AU32" s="68">
        <f>IF(L32="APOYADA",G32*100/16,IF(L32="VOLADO",G32*100/8,0))</f>
        <v>25</v>
      </c>
      <c r="AV32" s="68">
        <f>SQRT(MAX(AD32,AE32)*1E5/(DATOS!$C$45*N32*DATOS!$C$38*(DATOS!$C$70*DATOS!$C$32/DATOS!$C$38)*(1-(DATOS!$C$70*DATOS!$C$32/DATOS!$C$38)/2)))+(O32-AG32)</f>
        <v>26.4557241376458</v>
      </c>
      <c r="AW32" s="56">
        <f>IF(OR(L32="BORDE DE VOLADO",L32="SIN APOYO"),0,CEILING(MAX(AU32,AV32,DATOS!$C$15),5))</f>
        <v>30</v>
      </c>
      <c r="AX32" s="69" t="str">
        <f>IF(L32="BORDE DE VOLADO","BORDE DE VOLADO — armado de orilla",IF(L32="SIN APOYO","SIN APOYO — REVISAR",IF(AND(AL32&lt;=1,AQ32&lt;=1,IF(AJ32=0,TRUE,AJ32&lt;=INT((AZ32+DATOS!$C$24)/(INDEX(TABLAS!$C$52:$C$58,MATCH(MAX(AI32,2),TABLAS!$B$52:$B$58,0))+DATOS!$C$24))),IF(AO32=0,TRUE,AO32&lt;=INT((AZ32+DATOS!$C$24)/(INDEX(TABLAS!$C$52:$C$58,MATCH(MAX(AN32,2),TABLAS!$B$52:$B$58,0))+DATOS!$C$24))),AT32&lt;&gt;"SECCIÓN INSUFICIENTE",O32&gt;=AU32),"CUMPLE"&amp;IF(L32="VOLADO"," (en VOLADO)",""),"NO CUMPLE: "&amp;IF(OR(AH32&lt;0,AM32&lt;0),"sección insuficiente en flexión ",IF(OR(AL32&gt;1,AQ32&gt;1),"flexión ",""))&amp;IF(NOT(AND(IF(AJ32=0,TRUE,AJ32&lt;=INT((AZ32+DATOS!$C$24)/(INDEX(TABLAS!$C$52:$C$58,MATCH(MAX(AI32,2),TABLAS!$B$52:$B$58,0))+DATOS!$C$24))),IF(AO32=0,TRUE,AO32&lt;=INT((AZ32+DATOS!$C$24)/(INDEX(TABLAS!$C$52:$C$58,MATCH(MAX(AN32,2),TABLAS!$B$52:$B$58,0))+DATOS!$C$24))))),"no caben ","")&amp;IF(AT32="SECCIÓN INSUFICIENTE","cortante ","")&amp;IF(O32&lt;AU32,"deflexión ","")&amp;"→ h ≥ "&amp;TEXT(AW32,"0")&amp;" cm")))</f>
        <v>NO CUMPLE: sección insuficiente en flexión → h ≥ 30 cm</v>
      </c>
      <c r="AY32" s="61" t="inlineStr">
        <is>
          <t>Extremo i se apoya en NP-15. Muro de planta alta encima (4.00 m).</t>
        </is>
      </c>
      <c r="AZ32" s="41">
        <f>N32-2*DATOS!$C$18-2*INDEX(TABLAS!$C$52:$C$58,MATCH(DATOS!$C$95,TABLAS!$B$52:$B$58,0))</f>
        <v>9.42</v>
      </c>
    </row>
    <row r="33" ht="30" customHeight="1">
      <c r="B33" s="57" t="inlineStr">
        <is>
          <t>NP-25</t>
        </is>
      </c>
      <c r="C33" s="50" t="inlineStr">
        <is>
          <t>N+3.00</t>
        </is>
      </c>
      <c r="D33" s="49" t="inlineStr">
        <is>
          <t>Eje F (x = 5.441)</t>
        </is>
      </c>
      <c r="E33" s="50" t="inlineStr">
        <is>
          <t>(5.441, 6.948)</t>
        </is>
      </c>
      <c r="F33" s="50" t="inlineStr">
        <is>
          <t>(5.441, 8.910)</t>
        </is>
      </c>
      <c r="G33" s="53" t="n">
        <v>1.962</v>
      </c>
      <c r="H33" s="50" t="inlineStr">
        <is>
          <t>PUNTA</t>
        </is>
      </c>
      <c r="I33" s="50" t="str">
        <f>IF(APOYOS!$C$23="SÍ","FIRME","LIBRE")</f>
        <v>FIRME</v>
      </c>
      <c r="J33" s="50" t="inlineStr">
        <is>
          <t>—</t>
        </is>
      </c>
      <c r="K33" s="50" t="inlineStr">
        <is>
          <t>C7</t>
        </is>
      </c>
      <c r="L33" s="57" t="str">
        <f>IF(AND(OR(H33="FIRME",H33="NERVADURA",H33="PUNTA"),OR(I33="FIRME",I33="NERVADURA",I33="PUNTA")),"APOYADA",IF(OR(OR(H33="FIRME",H33="NERVADURA",H33="PUNTA"),OR(I33="FIRME",I33="NERVADURA",I33="PUNTA")),"VOLADO","SIN APOYO"))</f>
        <v>APOYADA</v>
      </c>
      <c r="M33" s="50" t="str">
        <f>IF(L33="VOLADO",IF(OR(H33="FIRME",H33="NERVADURA",H33="PUNTA"),"i","j"),"—")</f>
        <v>—</v>
      </c>
      <c r="N33" s="54">
        <f>DATOS!$C$17</f>
        <v>15</v>
      </c>
      <c r="O33" s="54">
        <f>DATOS!$C$15</f>
        <v>25</v>
      </c>
      <c r="P33" s="41">
        <f>SUMIFS(TRIB!$E$6:$E$255,TRIB!$B$6:$B$255,B33)</f>
        <v>1.1115</v>
      </c>
      <c r="Q33" s="34">
        <f>SUMIFS(TRIB!$G$6:$G$255,TRIB!$B$6:$B$255,B33)/G33</f>
        <v>0.466113649129377</v>
      </c>
      <c r="R33" s="66" t="n">
        <v>0</v>
      </c>
      <c r="S33" s="34">
        <f>DATOS!$C$43*R33*DATOS!$C$89/G33</f>
        <v>0</v>
      </c>
      <c r="T33" s="58" t="n">
        <v>50</v>
      </c>
      <c r="U33" s="58" t="n">
        <v>0</v>
      </c>
      <c r="V33" s="34">
        <f>(DATOS!$C$43*T33+DATOS!$C$44*U33)/1000</f>
        <v>0.065</v>
      </c>
      <c r="W33" s="34">
        <f>DATOS!$C$43*(N33/100*O33/100*DATOS!$C$35-N33/100*DATOS!$C$58/1000)</f>
        <v>0.0694836734693878</v>
      </c>
      <c r="X33" s="67">
        <f>Q33+S33+V33+W33</f>
        <v>0.600597322598764</v>
      </c>
      <c r="Y33" s="34">
        <f>0</f>
        <v>0</v>
      </c>
      <c r="Z33" s="34">
        <f>0</f>
        <v>0</v>
      </c>
      <c r="AA33" s="34">
        <f>0</f>
        <v>0</v>
      </c>
      <c r="AB33" s="34">
        <f>IF(L33="APOYADA",X33*G33/2+0,IF(AND(L33="VOLADO",M33="i"),X33*G33+Y33,0))</f>
        <v>0.589185973469388</v>
      </c>
      <c r="AC33" s="34">
        <f>IF(L33="APOYADA",X33*G33/2+0,IF(AND(L33="VOLADO",M33="j"),X33*G33+Y33,0))</f>
        <v>0.589185973469388</v>
      </c>
      <c r="AD33" s="67">
        <f>IF(L33="APOYADA",X33*G33^2/8+Z33,0)</f>
        <v>0.288995719986735</v>
      </c>
      <c r="AE33" s="67">
        <f>IF(L33="APOYADA",DATOS!$C$52*AD33,IF(L33="VOLADO",X33*G33^2/2+Z33,0))</f>
        <v>0.192760145231152</v>
      </c>
      <c r="AF33" s="67">
        <f>IF(L33="APOYADA",X33*G33/2+AA33,IF(L33="VOLADO",X33*G33+AA33,0))</f>
        <v>0.589185973469388</v>
      </c>
      <c r="AG33" s="41">
        <f>O33-DATOS!$C$18-INDEX(TABLAS!$C$52:$C$58,MATCH(DATOS!$C$95,TABLAS!$B$52:$B$58,0))-INDEX(TABLAS!$C$52:$C$58,MATCH(DATOS!$C$94,TABLAS!$B$52:$B$58,0))/2</f>
        <v>21.575</v>
      </c>
      <c r="AH33" s="41">
        <f>IF(OR(L33="BORDE DE VOLADO",L33="SIN APOYO"),0,IF(AD33&lt;=0,DATOS!$C$71*N33*AG33,IF((1-2*AD33*1E5/(DATOS!$C$45*N33*AG33^2*DATOS!$C$38))&lt;0,-1,IF((1-SQRT((1-2*AD33*1E5/(DATOS!$C$45*N33*AG33^2*DATOS!$C$38))))*DATOS!$C$38*N33*AG33/DATOS!$C$32&gt;DATOS!$C$70*N33*AG33,-1,MAX(DATOS!$C$71*N33*AG33,(1-SQRT((1-2*AD33*1E5/(DATOS!$C$45*N33*AG33^2*DATOS!$C$38))))*DATOS!$C$38*N33*AG33/DATOS!$C$32)))))</f>
        <v>0.85282675647666</v>
      </c>
      <c r="AI33" s="39">
        <f>IF(AH33&lt;0,0,IF(AND(AH33&gt;=0,CEILING(AH33/INDEX(TABLAS!$D$52:$D$58,MIN(MATCH(DATOS!$C$94,TABLAS!$B$52:$B$58,0)+0,7)),1)&lt;=MIN(99,INT((AZ33+DATOS!$C$24)/(INDEX(TABLAS!$C$52:$C$58,MIN(MATCH(DATOS!$C$94,TABLAS!$B$52:$B$58,0)+0,7))+DATOS!$C$24)))),INDEX(TABLAS!$B$52:$B$58,MIN(MATCH(DATOS!$C$94,TABLAS!$B$52:$B$58,0)+0,7)),IF(AND(AH33&gt;=0,CEILING(AH33/INDEX(TABLAS!$D$52:$D$58,MIN(MATCH(DATOS!$C$94,TABLAS!$B$52:$B$58,0)+1,7)),1)&lt;=MIN(99,INT((AZ33+DATOS!$C$24)/(INDEX(TABLAS!$C$52:$C$58,MIN(MATCH(DATOS!$C$94,TABLAS!$B$52:$B$58,0)+1,7))+DATOS!$C$24)))),INDEX(TABLAS!$B$52:$B$58,MIN(MATCH(DATOS!$C$94,TABLAS!$B$52:$B$58,0)+1,7)),IF(AND(AH33&gt;=0,CEILING(AH33/INDEX(TABLAS!$D$52:$D$58,MIN(MATCH(DATOS!$C$94,TABLAS!$B$52:$B$58,0)+2,7)),1)&lt;=MIN(99,INT((AZ33+DATOS!$C$24)/(INDEX(TABLAS!$C$52:$C$58,MIN(MATCH(DATOS!$C$94,TABLAS!$B$52:$B$58,0)+2,7))+DATOS!$C$24)))),INDEX(TABLAS!$B$52:$B$58,MIN(MATCH(DATOS!$C$94,TABLAS!$B$52:$B$58,0)+2,7)),IF(AND(AH33&gt;=0,CEILING(AH33/INDEX(TABLAS!$D$52:$D$58,MIN(MATCH(DATOS!$C$94,TABLAS!$B$52:$B$58,0)+3,7)),1)&lt;=MIN(99,INT((AZ33+DATOS!$C$24)/(INDEX(TABLAS!$C$52:$C$58,MIN(MATCH(DATOS!$C$94,TABLAS!$B$52:$B$58,0)+3,7))+DATOS!$C$24)))),INDEX(TABLAS!$B$52:$B$58,MIN(MATCH(DATOS!$C$94,TABLAS!$B$52:$B$58,0)+3,7)),IF(AND(AH33&gt;=0,CEILING(AH33/INDEX(TABLAS!$D$52:$D$58,MIN(MATCH(DATOS!$C$94,TABLAS!$B$52:$B$58,0)+4,7)),1)&lt;=MIN(99,INT((AZ33+DATOS!$C$24)/(INDEX(TABLAS!$C$52:$C$58,MIN(MATCH(DATOS!$C$94,TABLAS!$B$52:$B$58,0)+4,7))+DATOS!$C$24)))),INDEX(TABLAS!$B$52:$B$58,MIN(MATCH(DATOS!$C$94,TABLAS!$B$52:$B$58,0)+4,7)),INDEX(TABLAS!$B$52:$B$58,7)))))))</f>
        <v>4</v>
      </c>
      <c r="AJ33" s="55">
        <f>IF(AH33&lt;=0,0,MAX(DATOS!$C$96,CEILING(AH33/INDEX(TABLAS!$D$52:$D$58,MATCH(IF(AI33=0,8,AI33),TABLAS!$B$52:$B$58,0)),1)))</f>
        <v>2</v>
      </c>
      <c r="AK33" s="34">
        <f>IF(AJ33=0,0,DATOS!$C$45*AJ33*INDEX(TABLAS!$D$52:$D$58,MATCH(AI33,TABLAS!$B$52:$B$58,0))*DATOS!$C$32*((O33-DATOS!$C$18-INDEX(TABLAS!$C$52:$C$58,MATCH(DATOS!$C$95,TABLAS!$B$52:$B$58,0))-INDEX(TABLAS!$C$52:$C$58,MATCH(AI33,TABLAS!$B$52:$B$58,0))/2)-AJ33*INDEX(TABLAS!$D$52:$D$58,MATCH(AI33,TABLAS!$B$52:$B$58,0))*DATOS!$C$32/(DATOS!$C$38*N33)/2)/1E5)</f>
        <v>1.91079128964706</v>
      </c>
      <c r="AL33" s="59">
        <f>IF(AH33&lt;0,9.99,IF(AK33&gt;0,AD33/AK33,0))</f>
        <v>0.151244001138458</v>
      </c>
      <c r="AM33" s="41">
        <f>IF(OR(L33="BORDE DE VOLADO",L33="SIN APOYO"),0,IF(AE33&lt;=0,DATOS!$C$71*N33*AG33,IF((1-2*AE33*1E5/(DATOS!$C$45*N33*AG33^2*DATOS!$C$38))&lt;0,-1,IF((1-SQRT((1-2*AE33*1E5/(DATOS!$C$45*N33*AG33^2*DATOS!$C$38))))*DATOS!$C$38*N33*AG33/DATOS!$C$32&gt;DATOS!$C$70*N33*AG33,-1,MAX(DATOS!$C$71*N33*AG33,(1-SQRT((1-2*AE33*1E5/(DATOS!$C$45*N33*AG33^2*DATOS!$C$38))))*DATOS!$C$38*N33*AG33/DATOS!$C$32)))))</f>
        <v>0.85282675647666</v>
      </c>
      <c r="AN33" s="39">
        <f>IF(AM33&lt;0,0,IF(AND(AM33&gt;=0,CEILING(AM33/INDEX(TABLAS!$D$52:$D$58,MIN(MATCH(DATOS!$C$94,TABLAS!$B$52:$B$58,0)+0,7)),1)&lt;=MIN(99,INT((AZ33+DATOS!$C$24)/(INDEX(TABLAS!$C$52:$C$58,MIN(MATCH(DATOS!$C$94,TABLAS!$B$52:$B$58,0)+0,7))+DATOS!$C$24)))),INDEX(TABLAS!$B$52:$B$58,MIN(MATCH(DATOS!$C$94,TABLAS!$B$52:$B$58,0)+0,7)),IF(AND(AM33&gt;=0,CEILING(AM33/INDEX(TABLAS!$D$52:$D$58,MIN(MATCH(DATOS!$C$94,TABLAS!$B$52:$B$58,0)+1,7)),1)&lt;=MIN(99,INT((AZ33+DATOS!$C$24)/(INDEX(TABLAS!$C$52:$C$58,MIN(MATCH(DATOS!$C$94,TABLAS!$B$52:$B$58,0)+1,7))+DATOS!$C$24)))),INDEX(TABLAS!$B$52:$B$58,MIN(MATCH(DATOS!$C$94,TABLAS!$B$52:$B$58,0)+1,7)),IF(AND(AM33&gt;=0,CEILING(AM33/INDEX(TABLAS!$D$52:$D$58,MIN(MATCH(DATOS!$C$94,TABLAS!$B$52:$B$58,0)+2,7)),1)&lt;=MIN(99,INT((AZ33+DATOS!$C$24)/(INDEX(TABLAS!$C$52:$C$58,MIN(MATCH(DATOS!$C$94,TABLAS!$B$52:$B$58,0)+2,7))+DATOS!$C$24)))),INDEX(TABLAS!$B$52:$B$58,MIN(MATCH(DATOS!$C$94,TABLAS!$B$52:$B$58,0)+2,7)),IF(AND(AM33&gt;=0,CEILING(AM33/INDEX(TABLAS!$D$52:$D$58,MIN(MATCH(DATOS!$C$94,TABLAS!$B$52:$B$58,0)+3,7)),1)&lt;=MIN(99,INT((AZ33+DATOS!$C$24)/(INDEX(TABLAS!$C$52:$C$58,MIN(MATCH(DATOS!$C$94,TABLAS!$B$52:$B$58,0)+3,7))+DATOS!$C$24)))),INDEX(TABLAS!$B$52:$B$58,MIN(MATCH(DATOS!$C$94,TABLAS!$B$52:$B$58,0)+3,7)),IF(AND(AM33&gt;=0,CEILING(AM33/INDEX(TABLAS!$D$52:$D$58,MIN(MATCH(DATOS!$C$94,TABLAS!$B$52:$B$58,0)+4,7)),1)&lt;=MIN(99,INT((AZ33+DATOS!$C$24)/(INDEX(TABLAS!$C$52:$C$58,MIN(MATCH(DATOS!$C$94,TABLAS!$B$52:$B$58,0)+4,7))+DATOS!$C$24)))),INDEX(TABLAS!$B$52:$B$58,MIN(MATCH(DATOS!$C$94,TABLAS!$B$52:$B$58,0)+4,7)),INDEX(TABLAS!$B$52:$B$58,7)))))))</f>
        <v>4</v>
      </c>
      <c r="AO33" s="55">
        <f>IF(AM33&lt;=0,0,MAX(DATOS!$C$96,CEILING(AM33/INDEX(TABLAS!$D$52:$D$58,MATCH(IF(AN33=0,8,AN33),TABLAS!$B$52:$B$58,0)),1)))</f>
        <v>2</v>
      </c>
      <c r="AP33" s="34">
        <f>IF(AO33=0,0,DATOS!$C$45*AO33*INDEX(TABLAS!$D$52:$D$58,MATCH(AN33,TABLAS!$B$52:$B$58,0))*DATOS!$C$32*((O33-DATOS!$C$18-INDEX(TABLAS!$C$52:$C$58,MATCH(DATOS!$C$95,TABLAS!$B$52:$B$58,0))-INDEX(TABLAS!$C$52:$C$58,MATCH(AN33,TABLAS!$B$52:$B$58,0))/2)-AO33*INDEX(TABLAS!$D$52:$D$58,MATCH(AN33,TABLAS!$B$52:$B$58,0))*DATOS!$C$32/(DATOS!$C$38*N33)/2)/1E5)</f>
        <v>1.91079128964706</v>
      </c>
      <c r="AQ33" s="59">
        <f>IF(AM33&lt;0,9.99,IF(AP33&gt;0,AE33/AP33,0))</f>
        <v>0.100879748759351</v>
      </c>
      <c r="AR33" s="34">
        <f>IF(AO33=0,0,DATOS!$C$46*IF((AO33*INDEX(TABLAS!$D$52:$D$58,MATCH(AN33,TABLAS!$B$52:$B$58,0))/(N33*AG33))&lt;0.015,0.2+20*(AO33*INDEX(TABLAS!$D$52:$D$58,MATCH(AN33,TABLAS!$B$52:$B$58,0))/(N33*AG33)),0.5)*SQRT(DATOS!$C$31)*N33*AG33/1000)</f>
        <v>1.36995797509107</v>
      </c>
      <c r="AS33" s="68">
        <f>IF(AF33=0,0,INT(MIN(IF(AF33&gt;AR33,DATOS!$C$46*2*INDEX(TABLAS!$D$52:$D$58,MATCH(DATOS!$C$95,TABLAS!$B$52:$B$58,0))*DATOS!$C$32*AG33/((AF33-AR33)*1000),999),AG33/2,DATOS!$C$97,2*INDEX(TABLAS!$D$52:$D$58,MATCH(DATOS!$C$95,TABLAS!$B$52:$B$58,0))*DATOS!$C$32/(MAX(0.2*SQRT(DATOS!$C$31),3.5)*N33))/2.5)*2.5)</f>
        <v>10</v>
      </c>
      <c r="AT33" s="49" t="str">
        <f>IF(AF33=0,"—",IF(AF33&gt;AR33+DATOS!$C$46*2.12*SQRT(DATOS!$C$31)*N33*AG33/1000,"SECCIÓN INSUFICIENTE","E No. "&amp;TEXT(DATOS!$C$95,"0.0")&amp;" @ "&amp;TEXT(AS33,"0.0")&amp;" cm"))</f>
        <v>E No. 2.5 @ 10.0 cm</v>
      </c>
      <c r="AU33" s="68">
        <f>IF(L33="APOYADA",G33*100/16,IF(L33="VOLADO",G33*100/8,0))</f>
        <v>12.2625</v>
      </c>
      <c r="AV33" s="68">
        <f>SQRT(MAX(AD33,AE33)*1E5/(DATOS!$C$45*N33*DATOS!$C$38*(DATOS!$C$70*DATOS!$C$32/DATOS!$C$38)*(1-(DATOS!$C$70*DATOS!$C$32/DATOS!$C$38)/2)))+(O33-AG33)</f>
        <v>9.17505548379724</v>
      </c>
      <c r="AW33" s="56">
        <f>IF(OR(L33="BORDE DE VOLADO",L33="SIN APOYO"),0,CEILING(MAX(AU33,AV33,DATOS!$C$15),5))</f>
        <v>25</v>
      </c>
      <c r="AX33" s="69" t="str">
        <f>IF(L33="BORDE DE VOLADO","BORDE DE VOLADO — armado de orilla",IF(L33="SIN APOYO","SIN APOYO — REVISAR",IF(AND(AL33&lt;=1,AQ33&lt;=1,IF(AJ33=0,TRUE,AJ33&lt;=INT((AZ33+DATOS!$C$24)/(INDEX(TABLAS!$C$52:$C$58,MATCH(MAX(AI33,2),TABLAS!$B$52:$B$58,0))+DATOS!$C$24))),IF(AO33=0,TRUE,AO33&lt;=INT((AZ33+DATOS!$C$24)/(INDEX(TABLAS!$C$52:$C$58,MATCH(MAX(AN33,2),TABLAS!$B$52:$B$58,0))+DATOS!$C$24))),AT33&lt;&gt;"SECCIÓN INSUFICIENTE",O33&gt;=AU33),"CUMPLE"&amp;IF(L33="VOLADO"," (en VOLADO)",""),"NO CUMPLE: "&amp;IF(OR(AH33&lt;0,AM33&lt;0),"sección insuficiente en flexión ",IF(OR(AL33&gt;1,AQ33&gt;1),"flexión ",""))&amp;IF(NOT(AND(IF(AJ33=0,TRUE,AJ33&lt;=INT((AZ33+DATOS!$C$24)/(INDEX(TABLAS!$C$52:$C$58,MATCH(MAX(AI33,2),TABLAS!$B$52:$B$58,0))+DATOS!$C$24))),IF(AO33=0,TRUE,AO33&lt;=INT((AZ33+DATOS!$C$24)/(INDEX(TABLAS!$C$52:$C$58,MATCH(MAX(AN33,2),TABLAS!$B$52:$B$58,0))+DATOS!$C$24))))),"no caben ","")&amp;IF(AT33="SECCIÓN INSUFICIENTE","cortante ","")&amp;IF(O33&lt;AU33,"deflexión ","")&amp;"→ h ≥ "&amp;TEXT(AW33,"0")&amp;" cm")))</f>
        <v>CUMPLE</v>
      </c>
      <c r="AY33" s="61" t="inlineStr">
        <is>
          <t>Extremo i se apoya en la punta del volado corto NP-05. Extremo j en castillo propuesto C7.</t>
        </is>
      </c>
      <c r="AZ33" s="41">
        <f>N33-2*DATOS!$C$18-2*INDEX(TABLAS!$C$52:$C$58,MATCH(DATOS!$C$95,TABLAS!$B$52:$B$58,0))</f>
        <v>9.42</v>
      </c>
    </row>
    <row r="34" ht="30" customHeight="1">
      <c r="B34" s="57" t="inlineStr">
        <is>
          <t>NP-26</t>
        </is>
      </c>
      <c r="C34" s="50" t="inlineStr">
        <is>
          <t>N+3.00</t>
        </is>
      </c>
      <c r="D34" s="49" t="inlineStr">
        <is>
          <t>Eje F (x = 5.441)</t>
        </is>
      </c>
      <c r="E34" s="50" t="inlineStr">
        <is>
          <t>(5.441, 9.950)</t>
        </is>
      </c>
      <c r="F34" s="50" t="inlineStr">
        <is>
          <t>(5.441, 15.447)</t>
        </is>
      </c>
      <c r="G34" s="53" t="n">
        <v>5.497</v>
      </c>
      <c r="H34" s="50" t="str">
        <f>IF(APOYOS!$C$22="SÍ","FIRME","LIBRE")</f>
        <v>FIRME</v>
      </c>
      <c r="I34" s="50" t="inlineStr">
        <is>
          <t>FIRME</t>
        </is>
      </c>
      <c r="J34" s="50" t="inlineStr">
        <is>
          <t>C6</t>
        </is>
      </c>
      <c r="K34" s="50" t="inlineStr">
        <is>
          <t>—</t>
        </is>
      </c>
      <c r="L34" s="57" t="str">
        <f>IF(AND(OR(H34="FIRME",H34="NERVADURA",H34="PUNTA"),OR(I34="FIRME",I34="NERVADURA",I34="PUNTA")),"APOYADA",IF(OR(OR(H34="FIRME",H34="NERVADURA",H34="PUNTA"),OR(I34="FIRME",I34="NERVADURA",I34="PUNTA")),"VOLADO","SIN APOYO"))</f>
        <v>APOYADA</v>
      </c>
      <c r="M34" s="50" t="str">
        <f>IF(L34="VOLADO",IF(OR(H34="FIRME",H34="NERVADURA",H34="PUNTA"),"i","j"),"—")</f>
        <v>—</v>
      </c>
      <c r="N34" s="54">
        <f>DATOS!$C$17</f>
        <v>15</v>
      </c>
      <c r="O34" s="54">
        <f>DATOS!$C$15</f>
        <v>25</v>
      </c>
      <c r="P34" s="41">
        <f>SUMIFS(TRIB!$E$6:$E$255,TRIB!$B$6:$B$255,B34)</f>
        <v>10.0119</v>
      </c>
      <c r="Q34" s="34">
        <f>SUMIFS(TRIB!$G$6:$G$255,TRIB!$B$6:$B$255,B34)/G34</f>
        <v>1.52155468084632</v>
      </c>
      <c r="R34" s="66" t="n">
        <v>5.497</v>
      </c>
      <c r="S34" s="34">
        <f>DATOS!$C$43*R34*DATOS!$C$89/G34</f>
        <v>1.233375</v>
      </c>
      <c r="T34" s="58" t="n">
        <v>0</v>
      </c>
      <c r="U34" s="58" t="n">
        <v>0</v>
      </c>
      <c r="V34" s="34">
        <f>(DATOS!$C$43*T34+DATOS!$C$44*U34)/1000</f>
        <v>0</v>
      </c>
      <c r="W34" s="34">
        <f>DATOS!$C$43*(N34/100*O34/100*DATOS!$C$35-N34/100*DATOS!$C$58/1000)</f>
        <v>0.0694836734693878</v>
      </c>
      <c r="X34" s="67">
        <f>Q34+S34+V34+W34</f>
        <v>2.82441335431571</v>
      </c>
      <c r="Y34" s="34">
        <f>TRANSFER!$F$7</f>
        <v>1.72367248392857</v>
      </c>
      <c r="Z34" s="34">
        <f>TRANSFER!$H$7</f>
        <v>1.61687189305608</v>
      </c>
      <c r="AA34" s="34">
        <f>TRANSFER!$I$7</f>
        <v>1.3473932442134</v>
      </c>
      <c r="AB34" s="34">
        <f>IF(L34="APOYADA",X34*G34/2+TRANSFER!$J$7,IF(AND(L34="VOLADO",M34="i"),X34*G34+Y34,0))</f>
        <v>8.1391793440519</v>
      </c>
      <c r="AC34" s="34">
        <f>IF(L34="APOYADA",X34*G34/2+TRANSFER!$K$7,IF(AND(L34="VOLADO",M34="j"),X34*G34+Y34,0))</f>
        <v>9.11029334855014</v>
      </c>
      <c r="AD34" s="67">
        <f>IF(L34="APOYADA",X34*G34^2/8+Z34,0)</f>
        <v>12.2850373614408</v>
      </c>
      <c r="AE34" s="67">
        <f>IF(L34="APOYADA",DATOS!$C$52*AD34,IF(L34="VOLADO",X34*G34^2/2+Z34,0))</f>
        <v>8.19411992008104</v>
      </c>
      <c r="AF34" s="67">
        <f>IF(L34="APOYADA",X34*G34/2+AA34,IF(L34="VOLADO",X34*G34+AA34,0))</f>
        <v>9.11029334855014</v>
      </c>
      <c r="AG34" s="41">
        <f>O34-DATOS!$C$18-INDEX(TABLAS!$C$52:$C$58,MATCH(DATOS!$C$95,TABLAS!$B$52:$B$58,0))-INDEX(TABLAS!$C$52:$C$58,MATCH(DATOS!$C$94,TABLAS!$B$52:$B$58,0))/2</f>
        <v>21.575</v>
      </c>
      <c r="AH34" s="41">
        <f>IF(OR(L34="BORDE DE VOLADO",L34="SIN APOYO"),0,IF(AD34&lt;=0,DATOS!$C$71*N34*AG34,IF((1-2*AD34*1E5/(DATOS!$C$45*N34*AG34^2*DATOS!$C$38))&lt;0,-1,IF((1-SQRT((1-2*AD34*1E5/(DATOS!$C$45*N34*AG34^2*DATOS!$C$38))))*DATOS!$C$38*N34*AG34/DATOS!$C$32&gt;DATOS!$C$70*N34*AG34,-1,MAX(DATOS!$C$71*N34*AG34,(1-SQRT((1-2*AD34*1E5/(DATOS!$C$45*N34*AG34^2*DATOS!$C$38))))*DATOS!$C$38*N34*AG34/DATOS!$C$32)))))</f>
        <v>-1</v>
      </c>
      <c r="AI34" s="39">
        <f>IF(AH34&lt;0,0,IF(AND(AH34&gt;=0,CEILING(AH34/INDEX(TABLAS!$D$52:$D$58,MIN(MATCH(DATOS!$C$94,TABLAS!$B$52:$B$58,0)+0,7)),1)&lt;=MIN(99,INT((AZ34+DATOS!$C$24)/(INDEX(TABLAS!$C$52:$C$58,MIN(MATCH(DATOS!$C$94,TABLAS!$B$52:$B$58,0)+0,7))+DATOS!$C$24)))),INDEX(TABLAS!$B$52:$B$58,MIN(MATCH(DATOS!$C$94,TABLAS!$B$52:$B$58,0)+0,7)),IF(AND(AH34&gt;=0,CEILING(AH34/INDEX(TABLAS!$D$52:$D$58,MIN(MATCH(DATOS!$C$94,TABLAS!$B$52:$B$58,0)+1,7)),1)&lt;=MIN(99,INT((AZ34+DATOS!$C$24)/(INDEX(TABLAS!$C$52:$C$58,MIN(MATCH(DATOS!$C$94,TABLAS!$B$52:$B$58,0)+1,7))+DATOS!$C$24)))),INDEX(TABLAS!$B$52:$B$58,MIN(MATCH(DATOS!$C$94,TABLAS!$B$52:$B$58,0)+1,7)),IF(AND(AH34&gt;=0,CEILING(AH34/INDEX(TABLAS!$D$52:$D$58,MIN(MATCH(DATOS!$C$94,TABLAS!$B$52:$B$58,0)+2,7)),1)&lt;=MIN(99,INT((AZ34+DATOS!$C$24)/(INDEX(TABLAS!$C$52:$C$58,MIN(MATCH(DATOS!$C$94,TABLAS!$B$52:$B$58,0)+2,7))+DATOS!$C$24)))),INDEX(TABLAS!$B$52:$B$58,MIN(MATCH(DATOS!$C$94,TABLAS!$B$52:$B$58,0)+2,7)),IF(AND(AH34&gt;=0,CEILING(AH34/INDEX(TABLAS!$D$52:$D$58,MIN(MATCH(DATOS!$C$94,TABLAS!$B$52:$B$58,0)+3,7)),1)&lt;=MIN(99,INT((AZ34+DATOS!$C$24)/(INDEX(TABLAS!$C$52:$C$58,MIN(MATCH(DATOS!$C$94,TABLAS!$B$52:$B$58,0)+3,7))+DATOS!$C$24)))),INDEX(TABLAS!$B$52:$B$58,MIN(MATCH(DATOS!$C$94,TABLAS!$B$52:$B$58,0)+3,7)),IF(AND(AH34&gt;=0,CEILING(AH34/INDEX(TABLAS!$D$52:$D$58,MIN(MATCH(DATOS!$C$94,TABLAS!$B$52:$B$58,0)+4,7)),1)&lt;=MIN(99,INT((AZ34+DATOS!$C$24)/(INDEX(TABLAS!$C$52:$C$58,MIN(MATCH(DATOS!$C$94,TABLAS!$B$52:$B$58,0)+4,7))+DATOS!$C$24)))),INDEX(TABLAS!$B$52:$B$58,MIN(MATCH(DATOS!$C$94,TABLAS!$B$52:$B$58,0)+4,7)),INDEX(TABLAS!$B$52:$B$58,7)))))))</f>
        <v>0</v>
      </c>
      <c r="AJ34" s="55">
        <f>IF(AH34&lt;=0,0,MAX(DATOS!$C$96,CEILING(AH34/INDEX(TABLAS!$D$52:$D$58,MATCH(IF(AI34=0,8,AI34),TABLAS!$B$52:$B$58,0)),1)))</f>
        <v>0</v>
      </c>
      <c r="AK34" s="34">
        <f>IF(AJ34=0,0,DATOS!$C$45*AJ34*INDEX(TABLAS!$D$52:$D$58,MATCH(AI34,TABLAS!$B$52:$B$58,0))*DATOS!$C$32*((O34-DATOS!$C$18-INDEX(TABLAS!$C$52:$C$58,MATCH(DATOS!$C$95,TABLAS!$B$52:$B$58,0))-INDEX(TABLAS!$C$52:$C$58,MATCH(AI34,TABLAS!$B$52:$B$58,0))/2)-AJ34*INDEX(TABLAS!$D$52:$D$58,MATCH(AI34,TABLAS!$B$52:$B$58,0))*DATOS!$C$32/(DATOS!$C$38*N34)/2)/1E5)</f>
        <v>0</v>
      </c>
      <c r="AL34" s="59">
        <f>IF(AH34&lt;0,9.99,IF(AK34&gt;0,AD34/AK34,0))</f>
        <v>9.99</v>
      </c>
      <c r="AM34" s="41">
        <f>IF(OR(L34="BORDE DE VOLADO",L34="SIN APOYO"),0,IF(AE34&lt;=0,DATOS!$C$71*N34*AG34,IF((1-2*AE34*1E5/(DATOS!$C$45*N34*AG34^2*DATOS!$C$38))&lt;0,-1,IF((1-SQRT((1-2*AE34*1E5/(DATOS!$C$45*N34*AG34^2*DATOS!$C$38))))*DATOS!$C$38*N34*AG34/DATOS!$C$32&gt;DATOS!$C$70*N34*AG34,-1,MAX(DATOS!$C$71*N34*AG34,(1-SQRT((1-2*AE34*1E5/(DATOS!$C$45*N34*AG34^2*DATOS!$C$38))))*DATOS!$C$38*N34*AG34/DATOS!$C$32)))))</f>
        <v>-1</v>
      </c>
      <c r="AN34" s="39">
        <f>IF(AM34&lt;0,0,IF(AND(AM34&gt;=0,CEILING(AM34/INDEX(TABLAS!$D$52:$D$58,MIN(MATCH(DATOS!$C$94,TABLAS!$B$52:$B$58,0)+0,7)),1)&lt;=MIN(99,INT((AZ34+DATOS!$C$24)/(INDEX(TABLAS!$C$52:$C$58,MIN(MATCH(DATOS!$C$94,TABLAS!$B$52:$B$58,0)+0,7))+DATOS!$C$24)))),INDEX(TABLAS!$B$52:$B$58,MIN(MATCH(DATOS!$C$94,TABLAS!$B$52:$B$58,0)+0,7)),IF(AND(AM34&gt;=0,CEILING(AM34/INDEX(TABLAS!$D$52:$D$58,MIN(MATCH(DATOS!$C$94,TABLAS!$B$52:$B$58,0)+1,7)),1)&lt;=MIN(99,INT((AZ34+DATOS!$C$24)/(INDEX(TABLAS!$C$52:$C$58,MIN(MATCH(DATOS!$C$94,TABLAS!$B$52:$B$58,0)+1,7))+DATOS!$C$24)))),INDEX(TABLAS!$B$52:$B$58,MIN(MATCH(DATOS!$C$94,TABLAS!$B$52:$B$58,0)+1,7)),IF(AND(AM34&gt;=0,CEILING(AM34/INDEX(TABLAS!$D$52:$D$58,MIN(MATCH(DATOS!$C$94,TABLAS!$B$52:$B$58,0)+2,7)),1)&lt;=MIN(99,INT((AZ34+DATOS!$C$24)/(INDEX(TABLAS!$C$52:$C$58,MIN(MATCH(DATOS!$C$94,TABLAS!$B$52:$B$58,0)+2,7))+DATOS!$C$24)))),INDEX(TABLAS!$B$52:$B$58,MIN(MATCH(DATOS!$C$94,TABLAS!$B$52:$B$58,0)+2,7)),IF(AND(AM34&gt;=0,CEILING(AM34/INDEX(TABLAS!$D$52:$D$58,MIN(MATCH(DATOS!$C$94,TABLAS!$B$52:$B$58,0)+3,7)),1)&lt;=MIN(99,INT((AZ34+DATOS!$C$24)/(INDEX(TABLAS!$C$52:$C$58,MIN(MATCH(DATOS!$C$94,TABLAS!$B$52:$B$58,0)+3,7))+DATOS!$C$24)))),INDEX(TABLAS!$B$52:$B$58,MIN(MATCH(DATOS!$C$94,TABLAS!$B$52:$B$58,0)+3,7)),IF(AND(AM34&gt;=0,CEILING(AM34/INDEX(TABLAS!$D$52:$D$58,MIN(MATCH(DATOS!$C$94,TABLAS!$B$52:$B$58,0)+4,7)),1)&lt;=MIN(99,INT((AZ34+DATOS!$C$24)/(INDEX(TABLAS!$C$52:$C$58,MIN(MATCH(DATOS!$C$94,TABLAS!$B$52:$B$58,0)+4,7))+DATOS!$C$24)))),INDEX(TABLAS!$B$52:$B$58,MIN(MATCH(DATOS!$C$94,TABLAS!$B$52:$B$58,0)+4,7)),INDEX(TABLAS!$B$52:$B$58,7)))))))</f>
        <v>0</v>
      </c>
      <c r="AO34" s="55">
        <f>IF(AM34&lt;=0,0,MAX(DATOS!$C$96,CEILING(AM34/INDEX(TABLAS!$D$52:$D$58,MATCH(IF(AN34=0,8,AN34),TABLAS!$B$52:$B$58,0)),1)))</f>
        <v>0</v>
      </c>
      <c r="AP34" s="34">
        <f>IF(AO34=0,0,DATOS!$C$45*AO34*INDEX(TABLAS!$D$52:$D$58,MATCH(AN34,TABLAS!$B$52:$B$58,0))*DATOS!$C$32*((O34-DATOS!$C$18-INDEX(TABLAS!$C$52:$C$58,MATCH(DATOS!$C$95,TABLAS!$B$52:$B$58,0))-INDEX(TABLAS!$C$52:$C$58,MATCH(AN34,TABLAS!$B$52:$B$58,0))/2)-AO34*INDEX(TABLAS!$D$52:$D$58,MATCH(AN34,TABLAS!$B$52:$B$58,0))*DATOS!$C$32/(DATOS!$C$38*N34)/2)/1E5)</f>
        <v>0</v>
      </c>
      <c r="AQ34" s="59">
        <f>IF(AM34&lt;0,9.99,IF(AP34&gt;0,AE34/AP34,0))</f>
        <v>9.99</v>
      </c>
      <c r="AR34" s="34">
        <f>IF(AO34=0,0,DATOS!$C$46*IF((AO34*INDEX(TABLAS!$D$52:$D$58,MATCH(AN34,TABLAS!$B$52:$B$58,0))/(N34*AG34))&lt;0.015,0.2+20*(AO34*INDEX(TABLAS!$D$52:$D$58,MATCH(AN34,TABLAS!$B$52:$B$58,0))/(N34*AG34)),0.5)*SQRT(DATOS!$C$31)*N34*AG34/1000)</f>
        <v>0</v>
      </c>
      <c r="AS34" s="68">
        <f>IF(AF34=0,0,INT(MIN(IF(AF34&gt;AR34,DATOS!$C$46*2*INDEX(TABLAS!$D$52:$D$58,MATCH(DATOS!$C$95,TABLAS!$B$52:$B$58,0))*DATOS!$C$32*AG34/((AF34-AR34)*1000),999),AG34/2,DATOS!$C$97,2*INDEX(TABLAS!$D$52:$D$58,MATCH(DATOS!$C$95,TABLAS!$B$52:$B$58,0))*DATOS!$C$32/(MAX(0.2*SQRT(DATOS!$C$31),3.5)*N34))/2.5)*2.5)</f>
        <v>5</v>
      </c>
      <c r="AT34" s="49" t="str">
        <f>IF(AF34=0,"—",IF(AF34&gt;AR34+DATOS!$C$46*2.12*SQRT(DATOS!$C$31)*N34*AG34/1000,"SECCIÓN INSUFICIENTE","E No. "&amp;TEXT(DATOS!$C$95,"0.0")&amp;" @ "&amp;TEXT(AS34,"0.0")&amp;" cm"))</f>
        <v>SECCIÓN INSUFICIENTE</v>
      </c>
      <c r="AU34" s="68">
        <f>IF(L34="APOYADA",G34*100/16,IF(L34="VOLADO",G34*100/8,0))</f>
        <v>34.35625</v>
      </c>
      <c r="AV34" s="68">
        <f>SQRT(MAX(AD34,AE34)*1E5/(DATOS!$C$45*N34*DATOS!$C$38*(DATOS!$C$70*DATOS!$C$32/DATOS!$C$38)*(1-(DATOS!$C$70*DATOS!$C$32/DATOS!$C$38)/2)))+(O34-AG34)</f>
        <v>40.9149249197622</v>
      </c>
      <c r="AW34" s="56">
        <f>IF(OR(L34="BORDE DE VOLADO",L34="SIN APOYO"),0,CEILING(MAX(AU34,AV34,DATOS!$C$15),5))</f>
        <v>45</v>
      </c>
      <c r="AX34" s="69" t="str">
        <f>IF(L34="BORDE DE VOLADO","BORDE DE VOLADO — armado de orilla",IF(L34="SIN APOYO","SIN APOYO — REVISAR",IF(AND(AL34&lt;=1,AQ34&lt;=1,IF(AJ34=0,TRUE,AJ34&lt;=INT((AZ34+DATOS!$C$24)/(INDEX(TABLAS!$C$52:$C$58,MATCH(MAX(AI34,2),TABLAS!$B$52:$B$58,0))+DATOS!$C$24))),IF(AO34=0,TRUE,AO34&lt;=INT((AZ34+DATOS!$C$24)/(INDEX(TABLAS!$C$52:$C$58,MATCH(MAX(AN34,2),TABLAS!$B$52:$B$58,0))+DATOS!$C$24))),AT34&lt;&gt;"SECCIÓN INSUFICIENTE",O34&gt;=AU34),"CUMPLE"&amp;IF(L34="VOLADO"," (en VOLADO)",""),"NO CUMPLE: "&amp;IF(OR(AH34&lt;0,AM34&lt;0),"sección insuficiente en flexión ",IF(OR(AL34&gt;1,AQ34&gt;1),"flexión ",""))&amp;IF(NOT(AND(IF(AJ34=0,TRUE,AJ34&lt;=INT((AZ34+DATOS!$C$24)/(INDEX(TABLAS!$C$52:$C$58,MATCH(MAX(AI34,2),TABLAS!$B$52:$B$58,0))+DATOS!$C$24))),IF(AO34=0,TRUE,AO34&lt;=INT((AZ34+DATOS!$C$24)/(INDEX(TABLAS!$C$52:$C$58,MATCH(MAX(AN34,2),TABLAS!$B$52:$B$58,0))+DATOS!$C$24))))),"no caben ","")&amp;IF(AT34="SECCIÓN INSUFICIENTE","cortante ","")&amp;IF(O34&lt;AU34,"deflexión ","")&amp;"→ h ≥ "&amp;TEXT(AW34,"0")&amp;" cm")))</f>
        <v>NO CUMPLE: sección insuficiente en flexión cortante deflexión → h ≥ 45 cm</v>
      </c>
      <c r="AY34" s="61" t="inlineStr">
        <is>
          <t>Extremo i en castillo propuesto C6. Recibe a NP-11. Muro de planta alta encima (5.50 m).</t>
        </is>
      </c>
      <c r="AZ34" s="41">
        <f>N34-2*DATOS!$C$18-2*INDEX(TABLAS!$C$52:$C$58,MATCH(DATOS!$C$95,TABLAS!$B$52:$B$58,0))</f>
        <v>9.42</v>
      </c>
    </row>
    <row r="35" ht="30" customHeight="1">
      <c r="B35" s="57" t="inlineStr">
        <is>
          <t>NP-27</t>
        </is>
      </c>
      <c r="C35" s="50" t="inlineStr">
        <is>
          <t>N+3.00</t>
        </is>
      </c>
      <c r="D35" s="49" t="inlineStr">
        <is>
          <t>Eje F (x = 5.441)</t>
        </is>
      </c>
      <c r="E35" s="50" t="inlineStr">
        <is>
          <t>(5.441, 15.447)</t>
        </is>
      </c>
      <c r="F35" s="50" t="inlineStr">
        <is>
          <t>(5.441, 15.846)</t>
        </is>
      </c>
      <c r="G35" s="53" t="n">
        <v>0.399</v>
      </c>
      <c r="H35" s="50" t="inlineStr">
        <is>
          <t>FIRME</t>
        </is>
      </c>
      <c r="I35" s="50" t="inlineStr">
        <is>
          <t>LIBRE</t>
        </is>
      </c>
      <c r="J35" s="50" t="inlineStr">
        <is>
          <t>—</t>
        </is>
      </c>
      <c r="K35" s="50" t="inlineStr">
        <is>
          <t>—</t>
        </is>
      </c>
      <c r="L35" s="57" t="str">
        <f>IF(AND(OR(H35="FIRME",H35="NERVADURA",H35="PUNTA"),OR(I35="FIRME",I35="NERVADURA",I35="PUNTA")),"APOYADA",IF(OR(OR(H35="FIRME",H35="NERVADURA",H35="PUNTA"),OR(I35="FIRME",I35="NERVADURA",I35="PUNTA")),"VOLADO","SIN APOYO"))</f>
        <v>VOLADO</v>
      </c>
      <c r="M35" s="50" t="str">
        <f>IF(L35="VOLADO",IF(OR(H35="FIRME",H35="NERVADURA",H35="PUNTA"),"i","j"),"—")</f>
        <v>i</v>
      </c>
      <c r="N35" s="54">
        <f>DATOS!$C$17</f>
        <v>15</v>
      </c>
      <c r="O35" s="54">
        <f>DATOS!$C$15</f>
        <v>25</v>
      </c>
      <c r="P35" s="41">
        <f>SUMIFS(TRIB!$E$6:$E$255,TRIB!$B$6:$B$255,B35)</f>
        <v>0.1081</v>
      </c>
      <c r="Q35" s="34">
        <f>SUMIFS(TRIB!$G$6:$G$255,TRIB!$B$6:$B$255,B35)/G35</f>
        <v>0.231989555521457</v>
      </c>
      <c r="R35" s="66" t="n">
        <v>0.399</v>
      </c>
      <c r="S35" s="34">
        <f>DATOS!$C$43*R35*DATOS!$C$89/G35</f>
        <v>1.233375</v>
      </c>
      <c r="T35" s="58" t="n">
        <v>0</v>
      </c>
      <c r="U35" s="58" t="n">
        <v>0</v>
      </c>
      <c r="V35" s="34">
        <f>(DATOS!$C$43*T35+DATOS!$C$44*U35)/1000</f>
        <v>0</v>
      </c>
      <c r="W35" s="34">
        <f>DATOS!$C$43*(N35/100*O35/100*DATOS!$C$35-N35/100*DATOS!$C$58/1000)</f>
        <v>0.0694836734693878</v>
      </c>
      <c r="X35" s="67">
        <f>Q35+S35+V35+W35</f>
        <v>1.53484822899084</v>
      </c>
      <c r="Y35" s="34">
        <f>TRANSFER!$F$8</f>
        <v>4.74830506515134</v>
      </c>
      <c r="Z35" s="34">
        <f>TRANSFER!$H$8</f>
        <v>1.89457372099538</v>
      </c>
      <c r="AA35" s="34">
        <f>TRANSFER!$I$8</f>
        <v>4.74830506515134</v>
      </c>
      <c r="AB35" s="34">
        <f>IF(L35="APOYADA",X35*G35/2+TRANSFER!$J$8,IF(AND(L35="VOLADO",M35="i"),X35*G35+Y35,0))</f>
        <v>5.36070950851868</v>
      </c>
      <c r="AC35" s="34">
        <f>IF(L35="APOYADA",X35*G35/2+TRANSFER!$K$8,IF(AND(L35="VOLADO",M35="j"),X35*G35+Y35,0))</f>
        <v>0</v>
      </c>
      <c r="AD35" s="67">
        <f>IF(L35="APOYADA",X35*G35^2/8+Z35,0)</f>
        <v>0</v>
      </c>
      <c r="AE35" s="67">
        <f>IF(L35="APOYADA",DATOS!$C$52*AD35,IF(L35="VOLADO",X35*G35^2/2+Z35,0))</f>
        <v>2.01674840744717</v>
      </c>
      <c r="AF35" s="67">
        <f>IF(L35="APOYADA",X35*G35/2+AA35,IF(L35="VOLADO",X35*G35+AA35,0))</f>
        <v>5.36070950851868</v>
      </c>
      <c r="AG35" s="41">
        <f>O35-DATOS!$C$18-INDEX(TABLAS!$C$52:$C$58,MATCH(DATOS!$C$95,TABLAS!$B$52:$B$58,0))-INDEX(TABLAS!$C$52:$C$58,MATCH(DATOS!$C$94,TABLAS!$B$52:$B$58,0))/2</f>
        <v>21.575</v>
      </c>
      <c r="AH35" s="41">
        <f>IF(OR(L35="BORDE DE VOLADO",L35="SIN APOYO"),0,IF(AD35&lt;=0,DATOS!$C$71*N35*AG35,IF((1-2*AD35*1E5/(DATOS!$C$45*N35*AG35^2*DATOS!$C$38))&lt;0,-1,IF((1-SQRT((1-2*AD35*1E5/(DATOS!$C$45*N35*AG35^2*DATOS!$C$38))))*DATOS!$C$38*N35*AG35/DATOS!$C$32&gt;DATOS!$C$70*N35*AG35,-1,MAX(DATOS!$C$71*N35*AG35,(1-SQRT((1-2*AD35*1E5/(DATOS!$C$45*N35*AG35^2*DATOS!$C$38))))*DATOS!$C$38*N35*AG35/DATOS!$C$32)))))</f>
        <v>0.85282675647666</v>
      </c>
      <c r="AI35" s="39">
        <f>IF(AH35&lt;0,0,IF(AND(AH35&gt;=0,CEILING(AH35/INDEX(TABLAS!$D$52:$D$58,MIN(MATCH(DATOS!$C$94,TABLAS!$B$52:$B$58,0)+0,7)),1)&lt;=MIN(99,INT((AZ35+DATOS!$C$24)/(INDEX(TABLAS!$C$52:$C$58,MIN(MATCH(DATOS!$C$94,TABLAS!$B$52:$B$58,0)+0,7))+DATOS!$C$24)))),INDEX(TABLAS!$B$52:$B$58,MIN(MATCH(DATOS!$C$94,TABLAS!$B$52:$B$58,0)+0,7)),IF(AND(AH35&gt;=0,CEILING(AH35/INDEX(TABLAS!$D$52:$D$58,MIN(MATCH(DATOS!$C$94,TABLAS!$B$52:$B$58,0)+1,7)),1)&lt;=MIN(99,INT((AZ35+DATOS!$C$24)/(INDEX(TABLAS!$C$52:$C$58,MIN(MATCH(DATOS!$C$94,TABLAS!$B$52:$B$58,0)+1,7))+DATOS!$C$24)))),INDEX(TABLAS!$B$52:$B$58,MIN(MATCH(DATOS!$C$94,TABLAS!$B$52:$B$58,0)+1,7)),IF(AND(AH35&gt;=0,CEILING(AH35/INDEX(TABLAS!$D$52:$D$58,MIN(MATCH(DATOS!$C$94,TABLAS!$B$52:$B$58,0)+2,7)),1)&lt;=MIN(99,INT((AZ35+DATOS!$C$24)/(INDEX(TABLAS!$C$52:$C$58,MIN(MATCH(DATOS!$C$94,TABLAS!$B$52:$B$58,0)+2,7))+DATOS!$C$24)))),INDEX(TABLAS!$B$52:$B$58,MIN(MATCH(DATOS!$C$94,TABLAS!$B$52:$B$58,0)+2,7)),IF(AND(AH35&gt;=0,CEILING(AH35/INDEX(TABLAS!$D$52:$D$58,MIN(MATCH(DATOS!$C$94,TABLAS!$B$52:$B$58,0)+3,7)),1)&lt;=MIN(99,INT((AZ35+DATOS!$C$24)/(INDEX(TABLAS!$C$52:$C$58,MIN(MATCH(DATOS!$C$94,TABLAS!$B$52:$B$58,0)+3,7))+DATOS!$C$24)))),INDEX(TABLAS!$B$52:$B$58,MIN(MATCH(DATOS!$C$94,TABLAS!$B$52:$B$58,0)+3,7)),IF(AND(AH35&gt;=0,CEILING(AH35/INDEX(TABLAS!$D$52:$D$58,MIN(MATCH(DATOS!$C$94,TABLAS!$B$52:$B$58,0)+4,7)),1)&lt;=MIN(99,INT((AZ35+DATOS!$C$24)/(INDEX(TABLAS!$C$52:$C$58,MIN(MATCH(DATOS!$C$94,TABLAS!$B$52:$B$58,0)+4,7))+DATOS!$C$24)))),INDEX(TABLAS!$B$52:$B$58,MIN(MATCH(DATOS!$C$94,TABLAS!$B$52:$B$58,0)+4,7)),INDEX(TABLAS!$B$52:$B$58,7)))))))</f>
        <v>4</v>
      </c>
      <c r="AJ35" s="55">
        <f>IF(AH35&lt;=0,0,MAX(DATOS!$C$96,CEILING(AH35/INDEX(TABLAS!$D$52:$D$58,MATCH(IF(AI35=0,8,AI35),TABLAS!$B$52:$B$58,0)),1)))</f>
        <v>2</v>
      </c>
      <c r="AK35" s="34">
        <f>IF(AJ35=0,0,DATOS!$C$45*AJ35*INDEX(TABLAS!$D$52:$D$58,MATCH(AI35,TABLAS!$B$52:$B$58,0))*DATOS!$C$32*((O35-DATOS!$C$18-INDEX(TABLAS!$C$52:$C$58,MATCH(DATOS!$C$95,TABLAS!$B$52:$B$58,0))-INDEX(TABLAS!$C$52:$C$58,MATCH(AI35,TABLAS!$B$52:$B$58,0))/2)-AJ35*INDEX(TABLAS!$D$52:$D$58,MATCH(AI35,TABLAS!$B$52:$B$58,0))*DATOS!$C$32/(DATOS!$C$38*N35)/2)/1E5)</f>
        <v>1.91079128964706</v>
      </c>
      <c r="AL35" s="59">
        <f>IF(AH35&lt;0,9.99,IF(AK35&gt;0,AD35/AK35,0))</f>
        <v>0</v>
      </c>
      <c r="AM35" s="41">
        <f>IF(OR(L35="BORDE DE VOLADO",L35="SIN APOYO"),0,IF(AE35&lt;=0,DATOS!$C$71*N35*AG35,IF((1-2*AE35*1E5/(DATOS!$C$45*N35*AG35^2*DATOS!$C$38))&lt;0,-1,IF((1-SQRT((1-2*AE35*1E5/(DATOS!$C$45*N35*AG35^2*DATOS!$C$38))))*DATOS!$C$38*N35*AG35/DATOS!$C$32&gt;DATOS!$C$70*N35*AG35,-1,MAX(DATOS!$C$71*N35*AG35,(1-SQRT((1-2*AE35*1E5/(DATOS!$C$45*N35*AG35^2*DATOS!$C$38))))*DATOS!$C$38*N35*AG35/DATOS!$C$32)))))</f>
        <v>2.69464265978471</v>
      </c>
      <c r="AN35" s="39">
        <f>IF(AM35&lt;0,0,IF(AND(AM35&gt;=0,CEILING(AM35/INDEX(TABLAS!$D$52:$D$58,MIN(MATCH(DATOS!$C$94,TABLAS!$B$52:$B$58,0)+0,7)),1)&lt;=MIN(99,INT((AZ35+DATOS!$C$24)/(INDEX(TABLAS!$C$52:$C$58,MIN(MATCH(DATOS!$C$94,TABLAS!$B$52:$B$58,0)+0,7))+DATOS!$C$24)))),INDEX(TABLAS!$B$52:$B$58,MIN(MATCH(DATOS!$C$94,TABLAS!$B$52:$B$58,0)+0,7)),IF(AND(AM35&gt;=0,CEILING(AM35/INDEX(TABLAS!$D$52:$D$58,MIN(MATCH(DATOS!$C$94,TABLAS!$B$52:$B$58,0)+1,7)),1)&lt;=MIN(99,INT((AZ35+DATOS!$C$24)/(INDEX(TABLAS!$C$52:$C$58,MIN(MATCH(DATOS!$C$94,TABLAS!$B$52:$B$58,0)+1,7))+DATOS!$C$24)))),INDEX(TABLAS!$B$52:$B$58,MIN(MATCH(DATOS!$C$94,TABLAS!$B$52:$B$58,0)+1,7)),IF(AND(AM35&gt;=0,CEILING(AM35/INDEX(TABLAS!$D$52:$D$58,MIN(MATCH(DATOS!$C$94,TABLAS!$B$52:$B$58,0)+2,7)),1)&lt;=MIN(99,INT((AZ35+DATOS!$C$24)/(INDEX(TABLAS!$C$52:$C$58,MIN(MATCH(DATOS!$C$94,TABLAS!$B$52:$B$58,0)+2,7))+DATOS!$C$24)))),INDEX(TABLAS!$B$52:$B$58,MIN(MATCH(DATOS!$C$94,TABLAS!$B$52:$B$58,0)+2,7)),IF(AND(AM35&gt;=0,CEILING(AM35/INDEX(TABLAS!$D$52:$D$58,MIN(MATCH(DATOS!$C$94,TABLAS!$B$52:$B$58,0)+3,7)),1)&lt;=MIN(99,INT((AZ35+DATOS!$C$24)/(INDEX(TABLAS!$C$52:$C$58,MIN(MATCH(DATOS!$C$94,TABLAS!$B$52:$B$58,0)+3,7))+DATOS!$C$24)))),INDEX(TABLAS!$B$52:$B$58,MIN(MATCH(DATOS!$C$94,TABLAS!$B$52:$B$58,0)+3,7)),IF(AND(AM35&gt;=0,CEILING(AM35/INDEX(TABLAS!$D$52:$D$58,MIN(MATCH(DATOS!$C$94,TABLAS!$B$52:$B$58,0)+4,7)),1)&lt;=MIN(99,INT((AZ35+DATOS!$C$24)/(INDEX(TABLAS!$C$52:$C$58,MIN(MATCH(DATOS!$C$94,TABLAS!$B$52:$B$58,0)+4,7))+DATOS!$C$24)))),INDEX(TABLAS!$B$52:$B$58,MIN(MATCH(DATOS!$C$94,TABLAS!$B$52:$B$58,0)+4,7)),INDEX(TABLAS!$B$52:$B$58,7)))))))</f>
        <v>4</v>
      </c>
      <c r="AO35" s="55">
        <f>IF(AM35&lt;=0,0,MAX(DATOS!$C$96,CEILING(AM35/INDEX(TABLAS!$D$52:$D$58,MATCH(IF(AN35=0,8,AN35),TABLAS!$B$52:$B$58,0)),1)))</f>
        <v>3</v>
      </c>
      <c r="AP35" s="34">
        <f>IF(AO35=0,0,DATOS!$C$45*AO35*INDEX(TABLAS!$D$52:$D$58,MATCH(AN35,TABLAS!$B$52:$B$58,0))*DATOS!$C$32*((O35-DATOS!$C$18-INDEX(TABLAS!$C$52:$C$58,MATCH(DATOS!$C$95,TABLAS!$B$52:$B$58,0))-INDEX(TABLAS!$C$52:$C$58,MATCH(AN35,TABLAS!$B$52:$B$58,0))/2)-AO35*INDEX(TABLAS!$D$52:$D$58,MATCH(AN35,TABLAS!$B$52:$B$58,0))*DATOS!$C$32/(DATOS!$C$38*N35)/2)/1E5)</f>
        <v>2.74568622670588</v>
      </c>
      <c r="AQ35" s="59">
        <f>IF(AM35&lt;0,9.99,IF(AP35&gt;0,AE35/AP35,0))</f>
        <v>0.734515250807354</v>
      </c>
      <c r="AR35" s="34">
        <f>IF(AO35=0,0,DATOS!$C$46*IF((AO35*INDEX(TABLAS!$D$52:$D$58,MATCH(AN35,TABLAS!$B$52:$B$58,0))/(N35*AG35))&lt;0.015,0.2+20*(AO35*INDEX(TABLAS!$D$52:$D$58,MATCH(AN35,TABLAS!$B$52:$B$58,0))/(N35*AG35)),0.5)*SQRT(DATOS!$C$31)*N35*AG35/1000)</f>
        <v>1.67116492222211</v>
      </c>
      <c r="AS35" s="68">
        <f>IF(AF35=0,0,INT(MIN(IF(AF35&gt;AR35,DATOS!$C$46*2*INDEX(TABLAS!$D$52:$D$58,MATCH(DATOS!$C$95,TABLAS!$B$52:$B$58,0))*DATOS!$C$32*AG35/((AF35-AR35)*1000),999),AG35/2,DATOS!$C$97,2*INDEX(TABLAS!$D$52:$D$58,MATCH(DATOS!$C$95,TABLAS!$B$52:$B$58,0))*DATOS!$C$32/(MAX(0.2*SQRT(DATOS!$C$31),3.5)*N35))/2.5)*2.5)</f>
        <v>10</v>
      </c>
      <c r="AT35" s="49" t="str">
        <f>IF(AF35=0,"—",IF(AF35&gt;AR35+DATOS!$C$46*2.12*SQRT(DATOS!$C$31)*N35*AG35/1000,"SECCIÓN INSUFICIENTE","E No. "&amp;TEXT(DATOS!$C$95,"0.0")&amp;" @ "&amp;TEXT(AS35,"0.0")&amp;" cm"))</f>
        <v>E No. 2.5 @ 10.0 cm</v>
      </c>
      <c r="AU35" s="68">
        <f>IF(L35="APOYADA",G35*100/16,IF(L35="VOLADO",G35*100/8,0))</f>
        <v>4.9875</v>
      </c>
      <c r="AV35" s="68">
        <f>SQRT(MAX(AD35,AE35)*1E5/(DATOS!$C$45*N35*DATOS!$C$38*(DATOS!$C$70*DATOS!$C$32/DATOS!$C$38)*(1-(DATOS!$C$70*DATOS!$C$32/DATOS!$C$38)/2)))+(O35-AG35)</f>
        <v>18.6148047406984</v>
      </c>
      <c r="AW35" s="56">
        <f>IF(OR(L35="BORDE DE VOLADO",L35="SIN APOYO"),0,CEILING(MAX(AU35,AV35,DATOS!$C$15),5))</f>
        <v>25</v>
      </c>
      <c r="AX35" s="69" t="str">
        <f>IF(L35="BORDE DE VOLADO","BORDE DE VOLADO — armado de orilla",IF(L35="SIN APOYO","SIN APOYO — REVISAR",IF(AND(AL35&lt;=1,AQ35&lt;=1,IF(AJ35=0,TRUE,AJ35&lt;=INT((AZ35+DATOS!$C$24)/(INDEX(TABLAS!$C$52:$C$58,MATCH(MAX(AI35,2),TABLAS!$B$52:$B$58,0))+DATOS!$C$24))),IF(AO35=0,TRUE,AO35&lt;=INT((AZ35+DATOS!$C$24)/(INDEX(TABLAS!$C$52:$C$58,MATCH(MAX(AN35,2),TABLAS!$B$52:$B$58,0))+DATOS!$C$24))),AT35&lt;&gt;"SECCIÓN INSUFICIENTE",O35&gt;=AU35),"CUMPLE"&amp;IF(L35="VOLADO"," (en VOLADO)",""),"NO CUMPLE: "&amp;IF(OR(AH35&lt;0,AM35&lt;0),"sección insuficiente en flexión ",IF(OR(AL35&gt;1,AQ35&gt;1),"flexión ",""))&amp;IF(NOT(AND(IF(AJ35=0,TRUE,AJ35&lt;=INT((AZ35+DATOS!$C$24)/(INDEX(TABLAS!$C$52:$C$58,MATCH(MAX(AI35,2),TABLAS!$B$52:$B$58,0))+DATOS!$C$24))),IF(AO35=0,TRUE,AO35&lt;=INT((AZ35+DATOS!$C$24)/(INDEX(TABLAS!$C$52:$C$58,MATCH(MAX(AN35,2),TABLAS!$B$52:$B$58,0))+DATOS!$C$24))))),"no caben ","")&amp;IF(AT35="SECCIÓN INSUFICIENTE","cortante ","")&amp;IF(O35&lt;AU35,"deflexión ","")&amp;"→ h ≥ "&amp;TEXT(AW35,"0")&amp;" cm")))</f>
        <v>CUMPLE (en VOLADO)</v>
      </c>
      <c r="AY35" s="61" t="inlineStr">
        <is>
          <t>Recibe a NP-13. Muro de planta alta encima (0.40 m).</t>
        </is>
      </c>
      <c r="AZ35" s="41">
        <f>N35-2*DATOS!$C$18-2*INDEX(TABLAS!$C$52:$C$58,MATCH(DATOS!$C$95,TABLAS!$B$52:$B$58,0))</f>
        <v>9.42</v>
      </c>
    </row>
    <row r="36" ht="30" customHeight="1">
      <c r="B36" s="57" t="inlineStr">
        <is>
          <t>NP-28</t>
        </is>
      </c>
      <c r="C36" s="50" t="inlineStr">
        <is>
          <t>N+3.00</t>
        </is>
      </c>
      <c r="D36" s="49" t="inlineStr">
        <is>
          <t>x = 5.822</t>
        </is>
      </c>
      <c r="E36" s="50" t="inlineStr">
        <is>
          <t>(5.822, 15.846)</t>
        </is>
      </c>
      <c r="F36" s="50" t="inlineStr">
        <is>
          <t>(5.822, 17.446)</t>
        </is>
      </c>
      <c r="G36" s="53" t="n">
        <v>1.6</v>
      </c>
      <c r="H36" s="50" t="inlineStr">
        <is>
          <t>NERVADURA</t>
        </is>
      </c>
      <c r="I36" s="50" t="inlineStr">
        <is>
          <t>FIRME</t>
        </is>
      </c>
      <c r="J36" s="50" t="inlineStr">
        <is>
          <t>—</t>
        </is>
      </c>
      <c r="K36" s="50" t="inlineStr">
        <is>
          <t>—</t>
        </is>
      </c>
      <c r="L36" s="57" t="str">
        <f>IF(AND(OR(H36="FIRME",H36="NERVADURA",H36="PUNTA"),OR(I36="FIRME",I36="NERVADURA",I36="PUNTA")),"APOYADA",IF(OR(OR(H36="FIRME",H36="NERVADURA",H36="PUNTA"),OR(I36="FIRME",I36="NERVADURA",I36="PUNTA")),"VOLADO","SIN APOYO"))</f>
        <v>APOYADA</v>
      </c>
      <c r="M36" s="50" t="str">
        <f>IF(L36="VOLADO",IF(OR(H36="FIRME",H36="NERVADURA",H36="PUNTA"),"i","j"),"—")</f>
        <v>—</v>
      </c>
      <c r="N36" s="54">
        <f>DATOS!$C$17</f>
        <v>15</v>
      </c>
      <c r="O36" s="54">
        <f>DATOS!$C$15</f>
        <v>25</v>
      </c>
      <c r="P36" s="41">
        <f>SUMIFS(TRIB!$E$6:$E$255,TRIB!$B$6:$B$255,B36)</f>
        <v>1.1758</v>
      </c>
      <c r="Q36" s="34">
        <f>SUMIFS(TRIB!$G$6:$G$255,TRIB!$B$6:$B$255,B36)/G36</f>
        <v>0.641037153061224</v>
      </c>
      <c r="R36" s="66" t="n">
        <v>1.6</v>
      </c>
      <c r="S36" s="34">
        <f>DATOS!$C$43*R36*DATOS!$C$89/G36</f>
        <v>1.233375</v>
      </c>
      <c r="T36" s="58" t="n">
        <v>0</v>
      </c>
      <c r="U36" s="58" t="n">
        <v>0</v>
      </c>
      <c r="V36" s="34">
        <f>(DATOS!$C$43*T36+DATOS!$C$44*U36)/1000</f>
        <v>0</v>
      </c>
      <c r="W36" s="34">
        <f>DATOS!$C$43*(N36/100*O36/100*DATOS!$C$35-N36/100*DATOS!$C$58/1000)</f>
        <v>0.0694836734693878</v>
      </c>
      <c r="X36" s="67">
        <f>Q36+S36+V36+W36</f>
        <v>1.94389582653061</v>
      </c>
      <c r="Y36" s="34">
        <f>0</f>
        <v>0</v>
      </c>
      <c r="Z36" s="34">
        <f>0</f>
        <v>0</v>
      </c>
      <c r="AA36" s="34">
        <f>0</f>
        <v>0</v>
      </c>
      <c r="AB36" s="34">
        <f>IF(L36="APOYADA",X36*G36/2+0,IF(AND(L36="VOLADO",M36="i"),X36*G36+Y36,0))</f>
        <v>1.55511666122449</v>
      </c>
      <c r="AC36" s="34">
        <f>IF(L36="APOYADA",X36*G36/2+0,IF(AND(L36="VOLADO",M36="j"),X36*G36+Y36,0))</f>
        <v>1.55511666122449</v>
      </c>
      <c r="AD36" s="67">
        <f>IF(L36="APOYADA",X36*G36^2/8+Z36,0)</f>
        <v>0.622046664489796</v>
      </c>
      <c r="AE36" s="67">
        <f>IF(L36="APOYADA",DATOS!$C$52*AD36,IF(L36="VOLADO",X36*G36^2/2+Z36,0))</f>
        <v>0.414905125214694</v>
      </c>
      <c r="AF36" s="67">
        <f>IF(L36="APOYADA",X36*G36/2+AA36,IF(L36="VOLADO",X36*G36+AA36,0))</f>
        <v>1.55511666122449</v>
      </c>
      <c r="AG36" s="41">
        <f>O36-DATOS!$C$18-INDEX(TABLAS!$C$52:$C$58,MATCH(DATOS!$C$95,TABLAS!$B$52:$B$58,0))-INDEX(TABLAS!$C$52:$C$58,MATCH(DATOS!$C$94,TABLAS!$B$52:$B$58,0))/2</f>
        <v>21.575</v>
      </c>
      <c r="AH36" s="41">
        <f>IF(OR(L36="BORDE DE VOLADO",L36="SIN APOYO"),0,IF(AD36&lt;=0,DATOS!$C$71*N36*AG36,IF((1-2*AD36*1E5/(DATOS!$C$45*N36*AG36^2*DATOS!$C$38))&lt;0,-1,IF((1-SQRT((1-2*AD36*1E5/(DATOS!$C$45*N36*AG36^2*DATOS!$C$38))))*DATOS!$C$38*N36*AG36/DATOS!$C$32&gt;DATOS!$C$70*N36*AG36,-1,MAX(DATOS!$C$71*N36*AG36,(1-SQRT((1-2*AD36*1E5/(DATOS!$C$45*N36*AG36^2*DATOS!$C$38))))*DATOS!$C$38*N36*AG36/DATOS!$C$32)))))</f>
        <v>0.85282675647666</v>
      </c>
      <c r="AI36" s="39">
        <f>IF(AH36&lt;0,0,IF(AND(AH36&gt;=0,CEILING(AH36/INDEX(TABLAS!$D$52:$D$58,MIN(MATCH(DATOS!$C$94,TABLAS!$B$52:$B$58,0)+0,7)),1)&lt;=MIN(99,INT((AZ36+DATOS!$C$24)/(INDEX(TABLAS!$C$52:$C$58,MIN(MATCH(DATOS!$C$94,TABLAS!$B$52:$B$58,0)+0,7))+DATOS!$C$24)))),INDEX(TABLAS!$B$52:$B$58,MIN(MATCH(DATOS!$C$94,TABLAS!$B$52:$B$58,0)+0,7)),IF(AND(AH36&gt;=0,CEILING(AH36/INDEX(TABLAS!$D$52:$D$58,MIN(MATCH(DATOS!$C$94,TABLAS!$B$52:$B$58,0)+1,7)),1)&lt;=MIN(99,INT((AZ36+DATOS!$C$24)/(INDEX(TABLAS!$C$52:$C$58,MIN(MATCH(DATOS!$C$94,TABLAS!$B$52:$B$58,0)+1,7))+DATOS!$C$24)))),INDEX(TABLAS!$B$52:$B$58,MIN(MATCH(DATOS!$C$94,TABLAS!$B$52:$B$58,0)+1,7)),IF(AND(AH36&gt;=0,CEILING(AH36/INDEX(TABLAS!$D$52:$D$58,MIN(MATCH(DATOS!$C$94,TABLAS!$B$52:$B$58,0)+2,7)),1)&lt;=MIN(99,INT((AZ36+DATOS!$C$24)/(INDEX(TABLAS!$C$52:$C$58,MIN(MATCH(DATOS!$C$94,TABLAS!$B$52:$B$58,0)+2,7))+DATOS!$C$24)))),INDEX(TABLAS!$B$52:$B$58,MIN(MATCH(DATOS!$C$94,TABLAS!$B$52:$B$58,0)+2,7)),IF(AND(AH36&gt;=0,CEILING(AH36/INDEX(TABLAS!$D$52:$D$58,MIN(MATCH(DATOS!$C$94,TABLAS!$B$52:$B$58,0)+3,7)),1)&lt;=MIN(99,INT((AZ36+DATOS!$C$24)/(INDEX(TABLAS!$C$52:$C$58,MIN(MATCH(DATOS!$C$94,TABLAS!$B$52:$B$58,0)+3,7))+DATOS!$C$24)))),INDEX(TABLAS!$B$52:$B$58,MIN(MATCH(DATOS!$C$94,TABLAS!$B$52:$B$58,0)+3,7)),IF(AND(AH36&gt;=0,CEILING(AH36/INDEX(TABLAS!$D$52:$D$58,MIN(MATCH(DATOS!$C$94,TABLAS!$B$52:$B$58,0)+4,7)),1)&lt;=MIN(99,INT((AZ36+DATOS!$C$24)/(INDEX(TABLAS!$C$52:$C$58,MIN(MATCH(DATOS!$C$94,TABLAS!$B$52:$B$58,0)+4,7))+DATOS!$C$24)))),INDEX(TABLAS!$B$52:$B$58,MIN(MATCH(DATOS!$C$94,TABLAS!$B$52:$B$58,0)+4,7)),INDEX(TABLAS!$B$52:$B$58,7)))))))</f>
        <v>4</v>
      </c>
      <c r="AJ36" s="55">
        <f>IF(AH36&lt;=0,0,MAX(DATOS!$C$96,CEILING(AH36/INDEX(TABLAS!$D$52:$D$58,MATCH(IF(AI36=0,8,AI36),TABLAS!$B$52:$B$58,0)),1)))</f>
        <v>2</v>
      </c>
      <c r="AK36" s="34">
        <f>IF(AJ36=0,0,DATOS!$C$45*AJ36*INDEX(TABLAS!$D$52:$D$58,MATCH(AI36,TABLAS!$B$52:$B$58,0))*DATOS!$C$32*((O36-DATOS!$C$18-INDEX(TABLAS!$C$52:$C$58,MATCH(DATOS!$C$95,TABLAS!$B$52:$B$58,0))-INDEX(TABLAS!$C$52:$C$58,MATCH(AI36,TABLAS!$B$52:$B$58,0))/2)-AJ36*INDEX(TABLAS!$D$52:$D$58,MATCH(AI36,TABLAS!$B$52:$B$58,0))*DATOS!$C$32/(DATOS!$C$38*N36)/2)/1E5)</f>
        <v>1.91079128964706</v>
      </c>
      <c r="AL36" s="59">
        <f>IF(AH36&lt;0,9.99,IF(AK36&gt;0,AD36/AK36,0))</f>
        <v>0.325544013027553</v>
      </c>
      <c r="AM36" s="41">
        <f>IF(OR(L36="BORDE DE VOLADO",L36="SIN APOYO"),0,IF(AE36&lt;=0,DATOS!$C$71*N36*AG36,IF((1-2*AE36*1E5/(DATOS!$C$45*N36*AG36^2*DATOS!$C$38))&lt;0,-1,IF((1-SQRT((1-2*AE36*1E5/(DATOS!$C$45*N36*AG36^2*DATOS!$C$38))))*DATOS!$C$38*N36*AG36/DATOS!$C$32&gt;DATOS!$C$70*N36*AG36,-1,MAX(DATOS!$C$71*N36*AG36,(1-SQRT((1-2*AE36*1E5/(DATOS!$C$45*N36*AG36^2*DATOS!$C$38))))*DATOS!$C$38*N36*AG36/DATOS!$C$32)))))</f>
        <v>0.85282675647666</v>
      </c>
      <c r="AN36" s="39">
        <f>IF(AM36&lt;0,0,IF(AND(AM36&gt;=0,CEILING(AM36/INDEX(TABLAS!$D$52:$D$58,MIN(MATCH(DATOS!$C$94,TABLAS!$B$52:$B$58,0)+0,7)),1)&lt;=MIN(99,INT((AZ36+DATOS!$C$24)/(INDEX(TABLAS!$C$52:$C$58,MIN(MATCH(DATOS!$C$94,TABLAS!$B$52:$B$58,0)+0,7))+DATOS!$C$24)))),INDEX(TABLAS!$B$52:$B$58,MIN(MATCH(DATOS!$C$94,TABLAS!$B$52:$B$58,0)+0,7)),IF(AND(AM36&gt;=0,CEILING(AM36/INDEX(TABLAS!$D$52:$D$58,MIN(MATCH(DATOS!$C$94,TABLAS!$B$52:$B$58,0)+1,7)),1)&lt;=MIN(99,INT((AZ36+DATOS!$C$24)/(INDEX(TABLAS!$C$52:$C$58,MIN(MATCH(DATOS!$C$94,TABLAS!$B$52:$B$58,0)+1,7))+DATOS!$C$24)))),INDEX(TABLAS!$B$52:$B$58,MIN(MATCH(DATOS!$C$94,TABLAS!$B$52:$B$58,0)+1,7)),IF(AND(AM36&gt;=0,CEILING(AM36/INDEX(TABLAS!$D$52:$D$58,MIN(MATCH(DATOS!$C$94,TABLAS!$B$52:$B$58,0)+2,7)),1)&lt;=MIN(99,INT((AZ36+DATOS!$C$24)/(INDEX(TABLAS!$C$52:$C$58,MIN(MATCH(DATOS!$C$94,TABLAS!$B$52:$B$58,0)+2,7))+DATOS!$C$24)))),INDEX(TABLAS!$B$52:$B$58,MIN(MATCH(DATOS!$C$94,TABLAS!$B$52:$B$58,0)+2,7)),IF(AND(AM36&gt;=0,CEILING(AM36/INDEX(TABLAS!$D$52:$D$58,MIN(MATCH(DATOS!$C$94,TABLAS!$B$52:$B$58,0)+3,7)),1)&lt;=MIN(99,INT((AZ36+DATOS!$C$24)/(INDEX(TABLAS!$C$52:$C$58,MIN(MATCH(DATOS!$C$94,TABLAS!$B$52:$B$58,0)+3,7))+DATOS!$C$24)))),INDEX(TABLAS!$B$52:$B$58,MIN(MATCH(DATOS!$C$94,TABLAS!$B$52:$B$58,0)+3,7)),IF(AND(AM36&gt;=0,CEILING(AM36/INDEX(TABLAS!$D$52:$D$58,MIN(MATCH(DATOS!$C$94,TABLAS!$B$52:$B$58,0)+4,7)),1)&lt;=MIN(99,INT((AZ36+DATOS!$C$24)/(INDEX(TABLAS!$C$52:$C$58,MIN(MATCH(DATOS!$C$94,TABLAS!$B$52:$B$58,0)+4,7))+DATOS!$C$24)))),INDEX(TABLAS!$B$52:$B$58,MIN(MATCH(DATOS!$C$94,TABLAS!$B$52:$B$58,0)+4,7)),INDEX(TABLAS!$B$52:$B$58,7)))))))</f>
        <v>4</v>
      </c>
      <c r="AO36" s="55">
        <f>IF(AM36&lt;=0,0,MAX(DATOS!$C$96,CEILING(AM36/INDEX(TABLAS!$D$52:$D$58,MATCH(IF(AN36=0,8,AN36),TABLAS!$B$52:$B$58,0)),1)))</f>
        <v>2</v>
      </c>
      <c r="AP36" s="34">
        <f>IF(AO36=0,0,DATOS!$C$45*AO36*INDEX(TABLAS!$D$52:$D$58,MATCH(AN36,TABLAS!$B$52:$B$58,0))*DATOS!$C$32*((O36-DATOS!$C$18-INDEX(TABLAS!$C$52:$C$58,MATCH(DATOS!$C$95,TABLAS!$B$52:$B$58,0))-INDEX(TABLAS!$C$52:$C$58,MATCH(AN36,TABLAS!$B$52:$B$58,0))/2)-AO36*INDEX(TABLAS!$D$52:$D$58,MATCH(AN36,TABLAS!$B$52:$B$58,0))*DATOS!$C$32/(DATOS!$C$38*N36)/2)/1E5)</f>
        <v>1.91079128964706</v>
      </c>
      <c r="AQ36" s="59">
        <f>IF(AM36&lt;0,9.99,IF(AP36&gt;0,AE36/AP36,0))</f>
        <v>0.217137856689378</v>
      </c>
      <c r="AR36" s="34">
        <f>IF(AO36=0,0,DATOS!$C$46*IF((AO36*INDEX(TABLAS!$D$52:$D$58,MATCH(AN36,TABLAS!$B$52:$B$58,0))/(N36*AG36))&lt;0.015,0.2+20*(AO36*INDEX(TABLAS!$D$52:$D$58,MATCH(AN36,TABLAS!$B$52:$B$58,0))/(N36*AG36)),0.5)*SQRT(DATOS!$C$31)*N36*AG36/1000)</f>
        <v>1.36995797509107</v>
      </c>
      <c r="AS36" s="68">
        <f>IF(AF36=0,0,INT(MIN(IF(AF36&gt;AR36,DATOS!$C$46*2*INDEX(TABLAS!$D$52:$D$58,MATCH(DATOS!$C$95,TABLAS!$B$52:$B$58,0))*DATOS!$C$32*AG36/((AF36-AR36)*1000),999),AG36/2,DATOS!$C$97,2*INDEX(TABLAS!$D$52:$D$58,MATCH(DATOS!$C$95,TABLAS!$B$52:$B$58,0))*DATOS!$C$32/(MAX(0.2*SQRT(DATOS!$C$31),3.5)*N36))/2.5)*2.5)</f>
        <v>10</v>
      </c>
      <c r="AT36" s="49" t="str">
        <f>IF(AF36=0,"—",IF(AF36&gt;AR36+DATOS!$C$46*2.12*SQRT(DATOS!$C$31)*N36*AG36/1000,"SECCIÓN INSUFICIENTE","E No. "&amp;TEXT(DATOS!$C$95,"0.0")&amp;" @ "&amp;TEXT(AS36,"0.0")&amp;" cm"))</f>
        <v>E No. 2.5 @ 10.0 cm</v>
      </c>
      <c r="AU36" s="68">
        <f>IF(L36="APOYADA",G36*100/16,IF(L36="VOLADO",G36*100/8,0))</f>
        <v>10</v>
      </c>
      <c r="AV36" s="68">
        <f>SQRT(MAX(AD36,AE36)*1E5/(DATOS!$C$45*N36*DATOS!$C$38*(DATOS!$C$70*DATOS!$C$32/DATOS!$C$38)*(1-(DATOS!$C$70*DATOS!$C$32/DATOS!$C$38)/2)))+(O36-AG36)</f>
        <v>11.8610241183759</v>
      </c>
      <c r="AW36" s="56">
        <f>IF(OR(L36="BORDE DE VOLADO",L36="SIN APOYO"),0,CEILING(MAX(AU36,AV36,DATOS!$C$15),5))</f>
        <v>25</v>
      </c>
      <c r="AX36" s="69" t="str">
        <f>IF(L36="BORDE DE VOLADO","BORDE DE VOLADO — armado de orilla",IF(L36="SIN APOYO","SIN APOYO — REVISAR",IF(AND(AL36&lt;=1,AQ36&lt;=1,IF(AJ36=0,TRUE,AJ36&lt;=INT((AZ36+DATOS!$C$24)/(INDEX(TABLAS!$C$52:$C$58,MATCH(MAX(AI36,2),TABLAS!$B$52:$B$58,0))+DATOS!$C$24))),IF(AO36=0,TRUE,AO36&lt;=INT((AZ36+DATOS!$C$24)/(INDEX(TABLAS!$C$52:$C$58,MATCH(MAX(AN36,2),TABLAS!$B$52:$B$58,0))+DATOS!$C$24))),AT36&lt;&gt;"SECCIÓN INSUFICIENTE",O36&gt;=AU36),"CUMPLE"&amp;IF(L36="VOLADO"," (en VOLADO)",""),"NO CUMPLE: "&amp;IF(OR(AH36&lt;0,AM36&lt;0),"sección insuficiente en flexión ",IF(OR(AL36&gt;1,AQ36&gt;1),"flexión ",""))&amp;IF(NOT(AND(IF(AJ36=0,TRUE,AJ36&lt;=INT((AZ36+DATOS!$C$24)/(INDEX(TABLAS!$C$52:$C$58,MATCH(MAX(AI36,2),TABLAS!$B$52:$B$58,0))+DATOS!$C$24))),IF(AO36=0,TRUE,AO36&lt;=INT((AZ36+DATOS!$C$24)/(INDEX(TABLAS!$C$52:$C$58,MATCH(MAX(AN36,2),TABLAS!$B$52:$B$58,0))+DATOS!$C$24))))),"no caben ","")&amp;IF(AT36="SECCIÓN INSUFICIENTE","cortante ","")&amp;IF(O36&lt;AU36,"deflexión ","")&amp;"→ h ≥ "&amp;TEXT(AW36,"0")&amp;" cm")))</f>
        <v>CUMPLE</v>
      </c>
      <c r="AY36" s="61" t="inlineStr">
        <is>
          <t>Extremo i se apoya en NP-13. Muro de planta alta encima (1.60 m).</t>
        </is>
      </c>
      <c r="AZ36" s="41">
        <f>N36-2*DATOS!$C$18-2*INDEX(TABLAS!$C$52:$C$58,MATCH(DATOS!$C$95,TABLAS!$B$52:$B$58,0))</f>
        <v>9.42</v>
      </c>
    </row>
    <row r="37" ht="30" customHeight="1">
      <c r="B37" s="57" t="inlineStr">
        <is>
          <t>NP-29</t>
        </is>
      </c>
      <c r="C37" s="50" t="inlineStr">
        <is>
          <t>N+3.00</t>
        </is>
      </c>
      <c r="D37" s="49" t="inlineStr">
        <is>
          <t>Eje G (x = 5.923)</t>
        </is>
      </c>
      <c r="E37" s="50" t="inlineStr">
        <is>
          <t>(5.923, 2.921)</t>
        </is>
      </c>
      <c r="F37" s="50" t="inlineStr">
        <is>
          <t>(5.923, 5.946)</t>
        </is>
      </c>
      <c r="G37" s="53" t="n">
        <v>3.025</v>
      </c>
      <c r="H37" s="50" t="str">
        <f>IF(APOYOS!$C$19="SÍ","FIRME","LIBRE")</f>
        <v>FIRME</v>
      </c>
      <c r="I37" s="50" t="inlineStr">
        <is>
          <t>FIRME</t>
        </is>
      </c>
      <c r="J37" s="50" t="inlineStr">
        <is>
          <t>C3</t>
        </is>
      </c>
      <c r="K37" s="50" t="inlineStr">
        <is>
          <t>—</t>
        </is>
      </c>
      <c r="L37" s="57" t="str">
        <f>IF(AND(OR(H37="FIRME",H37="NERVADURA",H37="PUNTA"),OR(I37="FIRME",I37="NERVADURA",I37="PUNTA")),"APOYADA",IF(OR(OR(H37="FIRME",H37="NERVADURA",H37="PUNTA"),OR(I37="FIRME",I37="NERVADURA",I37="PUNTA")),"VOLADO","SIN APOYO"))</f>
        <v>APOYADA</v>
      </c>
      <c r="M37" s="50" t="str">
        <f>IF(L37="VOLADO",IF(OR(H37="FIRME",H37="NERVADURA",H37="PUNTA"),"i","j"),"—")</f>
        <v>—</v>
      </c>
      <c r="N37" s="54">
        <f>DATOS!$C$17</f>
        <v>15</v>
      </c>
      <c r="O37" s="54">
        <f>DATOS!$C$15</f>
        <v>25</v>
      </c>
      <c r="P37" s="41">
        <f>SUMIFS(TRIB!$E$6:$E$255,TRIB!$B$6:$B$255,B37)</f>
        <v>1.7771</v>
      </c>
      <c r="Q37" s="34">
        <f>SUMIFS(TRIB!$G$6:$G$255,TRIB!$B$6:$B$255,B37)/G37</f>
        <v>0.536816680721876</v>
      </c>
      <c r="R37" s="66" t="n">
        <v>3.025</v>
      </c>
      <c r="S37" s="34">
        <f>DATOS!$C$43*R37*DATOS!$C$89/G37</f>
        <v>1.233375</v>
      </c>
      <c r="T37" s="58" t="n">
        <v>0</v>
      </c>
      <c r="U37" s="58" t="n">
        <v>0</v>
      </c>
      <c r="V37" s="34">
        <f>(DATOS!$C$43*T37+DATOS!$C$44*U37)/1000</f>
        <v>0</v>
      </c>
      <c r="W37" s="34">
        <f>DATOS!$C$43*(N37/100*O37/100*DATOS!$C$35-N37/100*DATOS!$C$58/1000)</f>
        <v>0.0694836734693878</v>
      </c>
      <c r="X37" s="67">
        <f>Q37+S37+V37+W37</f>
        <v>1.83967535419126</v>
      </c>
      <c r="Y37" s="34">
        <f>0</f>
        <v>0</v>
      </c>
      <c r="Z37" s="34">
        <f>0</f>
        <v>0</v>
      </c>
      <c r="AA37" s="34">
        <f>0</f>
        <v>0</v>
      </c>
      <c r="AB37" s="34">
        <f>IF(L37="APOYADA",X37*G37/2+0,IF(AND(L37="VOLADO",M37="i"),X37*G37+Y37,0))</f>
        <v>2.78250897321429</v>
      </c>
      <c r="AC37" s="34">
        <f>IF(L37="APOYADA",X37*G37/2+0,IF(AND(L37="VOLADO",M37="j"),X37*G37+Y37,0))</f>
        <v>2.78250897321429</v>
      </c>
      <c r="AD37" s="67">
        <f>IF(L37="APOYADA",X37*G37^2/8+Z37,0)</f>
        <v>2.1042724109933</v>
      </c>
      <c r="AE37" s="67">
        <f>IF(L37="APOYADA",DATOS!$C$52*AD37,IF(L37="VOLADO",X37*G37^2/2+Z37,0))</f>
        <v>1.40354969813253</v>
      </c>
      <c r="AF37" s="67">
        <f>IF(L37="APOYADA",X37*G37/2+AA37,IF(L37="VOLADO",X37*G37+AA37,0))</f>
        <v>2.78250897321429</v>
      </c>
      <c r="AG37" s="41">
        <f>O37-DATOS!$C$18-INDEX(TABLAS!$C$52:$C$58,MATCH(DATOS!$C$95,TABLAS!$B$52:$B$58,0))-INDEX(TABLAS!$C$52:$C$58,MATCH(DATOS!$C$94,TABLAS!$B$52:$B$58,0))/2</f>
        <v>21.575</v>
      </c>
      <c r="AH37" s="41">
        <f>IF(OR(L37="BORDE DE VOLADO",L37="SIN APOYO"),0,IF(AD37&lt;=0,DATOS!$C$71*N37*AG37,IF((1-2*AD37*1E5/(DATOS!$C$45*N37*AG37^2*DATOS!$C$38))&lt;0,-1,IF((1-SQRT((1-2*AD37*1E5/(DATOS!$C$45*N37*AG37^2*DATOS!$C$38))))*DATOS!$C$38*N37*AG37/DATOS!$C$32&gt;DATOS!$C$70*N37*AG37,-1,MAX(DATOS!$C$71*N37*AG37,(1-SQRT((1-2*AD37*1E5/(DATOS!$C$45*N37*AG37^2*DATOS!$C$38))))*DATOS!$C$38*N37*AG37/DATOS!$C$32)))))</f>
        <v>2.82371346368784</v>
      </c>
      <c r="AI37" s="39">
        <f>IF(AH37&lt;0,0,IF(AND(AH37&gt;=0,CEILING(AH37/INDEX(TABLAS!$D$52:$D$58,MIN(MATCH(DATOS!$C$94,TABLAS!$B$52:$B$58,0)+0,7)),1)&lt;=MIN(99,INT((AZ37+DATOS!$C$24)/(INDEX(TABLAS!$C$52:$C$58,MIN(MATCH(DATOS!$C$94,TABLAS!$B$52:$B$58,0)+0,7))+DATOS!$C$24)))),INDEX(TABLAS!$B$52:$B$58,MIN(MATCH(DATOS!$C$94,TABLAS!$B$52:$B$58,0)+0,7)),IF(AND(AH37&gt;=0,CEILING(AH37/INDEX(TABLAS!$D$52:$D$58,MIN(MATCH(DATOS!$C$94,TABLAS!$B$52:$B$58,0)+1,7)),1)&lt;=MIN(99,INT((AZ37+DATOS!$C$24)/(INDEX(TABLAS!$C$52:$C$58,MIN(MATCH(DATOS!$C$94,TABLAS!$B$52:$B$58,0)+1,7))+DATOS!$C$24)))),INDEX(TABLAS!$B$52:$B$58,MIN(MATCH(DATOS!$C$94,TABLAS!$B$52:$B$58,0)+1,7)),IF(AND(AH37&gt;=0,CEILING(AH37/INDEX(TABLAS!$D$52:$D$58,MIN(MATCH(DATOS!$C$94,TABLAS!$B$52:$B$58,0)+2,7)),1)&lt;=MIN(99,INT((AZ37+DATOS!$C$24)/(INDEX(TABLAS!$C$52:$C$58,MIN(MATCH(DATOS!$C$94,TABLAS!$B$52:$B$58,0)+2,7))+DATOS!$C$24)))),INDEX(TABLAS!$B$52:$B$58,MIN(MATCH(DATOS!$C$94,TABLAS!$B$52:$B$58,0)+2,7)),IF(AND(AH37&gt;=0,CEILING(AH37/INDEX(TABLAS!$D$52:$D$58,MIN(MATCH(DATOS!$C$94,TABLAS!$B$52:$B$58,0)+3,7)),1)&lt;=MIN(99,INT((AZ37+DATOS!$C$24)/(INDEX(TABLAS!$C$52:$C$58,MIN(MATCH(DATOS!$C$94,TABLAS!$B$52:$B$58,0)+3,7))+DATOS!$C$24)))),INDEX(TABLAS!$B$52:$B$58,MIN(MATCH(DATOS!$C$94,TABLAS!$B$52:$B$58,0)+3,7)),IF(AND(AH37&gt;=0,CEILING(AH37/INDEX(TABLAS!$D$52:$D$58,MIN(MATCH(DATOS!$C$94,TABLAS!$B$52:$B$58,0)+4,7)),1)&lt;=MIN(99,INT((AZ37+DATOS!$C$24)/(INDEX(TABLAS!$C$52:$C$58,MIN(MATCH(DATOS!$C$94,TABLAS!$B$52:$B$58,0)+4,7))+DATOS!$C$24)))),INDEX(TABLAS!$B$52:$B$58,MIN(MATCH(DATOS!$C$94,TABLAS!$B$52:$B$58,0)+4,7)),INDEX(TABLAS!$B$52:$B$58,7)))))))</f>
        <v>4</v>
      </c>
      <c r="AJ37" s="55">
        <f>IF(AH37&lt;=0,0,MAX(DATOS!$C$96,CEILING(AH37/INDEX(TABLAS!$D$52:$D$58,MATCH(IF(AI37=0,8,AI37),TABLAS!$B$52:$B$58,0)),1)))</f>
        <v>3</v>
      </c>
      <c r="AK37" s="34">
        <f>IF(AJ37=0,0,DATOS!$C$45*AJ37*INDEX(TABLAS!$D$52:$D$58,MATCH(AI37,TABLAS!$B$52:$B$58,0))*DATOS!$C$32*((O37-DATOS!$C$18-INDEX(TABLAS!$C$52:$C$58,MATCH(DATOS!$C$95,TABLAS!$B$52:$B$58,0))-INDEX(TABLAS!$C$52:$C$58,MATCH(AI37,TABLAS!$B$52:$B$58,0))/2)-AJ37*INDEX(TABLAS!$D$52:$D$58,MATCH(AI37,TABLAS!$B$52:$B$58,0))*DATOS!$C$32/(DATOS!$C$38*N37)/2)/1E5)</f>
        <v>2.74568622670588</v>
      </c>
      <c r="AL37" s="59">
        <f>IF(AH37&lt;0,9.99,IF(AK37&gt;0,AD37/AK37,0))</f>
        <v>0.766392164744145</v>
      </c>
      <c r="AM37" s="41">
        <f>IF(OR(L37="BORDE DE VOLADO",L37="SIN APOYO"),0,IF(AE37&lt;=0,DATOS!$C$71*N37*AG37,IF((1-2*AE37*1E5/(DATOS!$C$45*N37*AG37^2*DATOS!$C$38))&lt;0,-1,IF((1-SQRT((1-2*AE37*1E5/(DATOS!$C$45*N37*AG37^2*DATOS!$C$38))))*DATOS!$C$38*N37*AG37/DATOS!$C$32&gt;DATOS!$C$70*N37*AG37,-1,MAX(DATOS!$C$71*N37*AG37,(1-SQRT((1-2*AE37*1E5/(DATOS!$C$45*N37*AG37^2*DATOS!$C$38))))*DATOS!$C$38*N37*AG37/DATOS!$C$32)))))</f>
        <v>1.82243706802571</v>
      </c>
      <c r="AN37" s="39">
        <f>IF(AM37&lt;0,0,IF(AND(AM37&gt;=0,CEILING(AM37/INDEX(TABLAS!$D$52:$D$58,MIN(MATCH(DATOS!$C$94,TABLAS!$B$52:$B$58,0)+0,7)),1)&lt;=MIN(99,INT((AZ37+DATOS!$C$24)/(INDEX(TABLAS!$C$52:$C$58,MIN(MATCH(DATOS!$C$94,TABLAS!$B$52:$B$58,0)+0,7))+DATOS!$C$24)))),INDEX(TABLAS!$B$52:$B$58,MIN(MATCH(DATOS!$C$94,TABLAS!$B$52:$B$58,0)+0,7)),IF(AND(AM37&gt;=0,CEILING(AM37/INDEX(TABLAS!$D$52:$D$58,MIN(MATCH(DATOS!$C$94,TABLAS!$B$52:$B$58,0)+1,7)),1)&lt;=MIN(99,INT((AZ37+DATOS!$C$24)/(INDEX(TABLAS!$C$52:$C$58,MIN(MATCH(DATOS!$C$94,TABLAS!$B$52:$B$58,0)+1,7))+DATOS!$C$24)))),INDEX(TABLAS!$B$52:$B$58,MIN(MATCH(DATOS!$C$94,TABLAS!$B$52:$B$58,0)+1,7)),IF(AND(AM37&gt;=0,CEILING(AM37/INDEX(TABLAS!$D$52:$D$58,MIN(MATCH(DATOS!$C$94,TABLAS!$B$52:$B$58,0)+2,7)),1)&lt;=MIN(99,INT((AZ37+DATOS!$C$24)/(INDEX(TABLAS!$C$52:$C$58,MIN(MATCH(DATOS!$C$94,TABLAS!$B$52:$B$58,0)+2,7))+DATOS!$C$24)))),INDEX(TABLAS!$B$52:$B$58,MIN(MATCH(DATOS!$C$94,TABLAS!$B$52:$B$58,0)+2,7)),IF(AND(AM37&gt;=0,CEILING(AM37/INDEX(TABLAS!$D$52:$D$58,MIN(MATCH(DATOS!$C$94,TABLAS!$B$52:$B$58,0)+3,7)),1)&lt;=MIN(99,INT((AZ37+DATOS!$C$24)/(INDEX(TABLAS!$C$52:$C$58,MIN(MATCH(DATOS!$C$94,TABLAS!$B$52:$B$58,0)+3,7))+DATOS!$C$24)))),INDEX(TABLAS!$B$52:$B$58,MIN(MATCH(DATOS!$C$94,TABLAS!$B$52:$B$58,0)+3,7)),IF(AND(AM37&gt;=0,CEILING(AM37/INDEX(TABLAS!$D$52:$D$58,MIN(MATCH(DATOS!$C$94,TABLAS!$B$52:$B$58,0)+4,7)),1)&lt;=MIN(99,INT((AZ37+DATOS!$C$24)/(INDEX(TABLAS!$C$52:$C$58,MIN(MATCH(DATOS!$C$94,TABLAS!$B$52:$B$58,0)+4,7))+DATOS!$C$24)))),INDEX(TABLAS!$B$52:$B$58,MIN(MATCH(DATOS!$C$94,TABLAS!$B$52:$B$58,0)+4,7)),INDEX(TABLAS!$B$52:$B$58,7)))))))</f>
        <v>4</v>
      </c>
      <c r="AO37" s="55">
        <f>IF(AM37&lt;=0,0,MAX(DATOS!$C$96,CEILING(AM37/INDEX(TABLAS!$D$52:$D$58,MATCH(IF(AN37=0,8,AN37),TABLAS!$B$52:$B$58,0)),1)))</f>
        <v>2</v>
      </c>
      <c r="AP37" s="34">
        <f>IF(AO37=0,0,DATOS!$C$45*AO37*INDEX(TABLAS!$D$52:$D$58,MATCH(AN37,TABLAS!$B$52:$B$58,0))*DATOS!$C$32*((O37-DATOS!$C$18-INDEX(TABLAS!$C$52:$C$58,MATCH(DATOS!$C$95,TABLAS!$B$52:$B$58,0))-INDEX(TABLAS!$C$52:$C$58,MATCH(AN37,TABLAS!$B$52:$B$58,0))/2)-AO37*INDEX(TABLAS!$D$52:$D$58,MATCH(AN37,TABLAS!$B$52:$B$58,0))*DATOS!$C$32/(DATOS!$C$38*N37)/2)/1E5)</f>
        <v>1.91079128964706</v>
      </c>
      <c r="AQ37" s="59">
        <f>IF(AM37&lt;0,9.99,IF(AP37&gt;0,AE37/AP37,0))</f>
        <v>0.734538463586875</v>
      </c>
      <c r="AR37" s="34">
        <f>IF(AO37=0,0,DATOS!$C$46*IF((AO37*INDEX(TABLAS!$D$52:$D$58,MATCH(AN37,TABLAS!$B$52:$B$58,0))/(N37*AG37))&lt;0.015,0.2+20*(AO37*INDEX(TABLAS!$D$52:$D$58,MATCH(AN37,TABLAS!$B$52:$B$58,0))/(N37*AG37)),0.5)*SQRT(DATOS!$C$31)*N37*AG37/1000)</f>
        <v>1.36995797509107</v>
      </c>
      <c r="AS37" s="68">
        <f>IF(AF37=0,0,INT(MIN(IF(AF37&gt;AR37,DATOS!$C$46*2*INDEX(TABLAS!$D$52:$D$58,MATCH(DATOS!$C$95,TABLAS!$B$52:$B$58,0))*DATOS!$C$32*AG37/((AF37-AR37)*1000),999),AG37/2,DATOS!$C$97,2*INDEX(TABLAS!$D$52:$D$58,MATCH(DATOS!$C$95,TABLAS!$B$52:$B$58,0))*DATOS!$C$32/(MAX(0.2*SQRT(DATOS!$C$31),3.5)*N37))/2.5)*2.5)</f>
        <v>10</v>
      </c>
      <c r="AT37" s="49" t="str">
        <f>IF(AF37=0,"—",IF(AF37&gt;AR37+DATOS!$C$46*2.12*SQRT(DATOS!$C$31)*N37*AG37/1000,"SECCIÓN INSUFICIENTE","E No. "&amp;TEXT(DATOS!$C$95,"0.0")&amp;" @ "&amp;TEXT(AS37,"0.0")&amp;" cm"))</f>
        <v>E No. 2.5 @ 10.0 cm</v>
      </c>
      <c r="AU37" s="68">
        <f>IF(L37="APOYADA",G37*100/16,IF(L37="VOLADO",G37*100/8,0))</f>
        <v>18.90625</v>
      </c>
      <c r="AV37" s="68">
        <f>SQRT(MAX(AD37,AE37)*1E5/(DATOS!$C$45*N37*DATOS!$C$38*(DATOS!$C$70*DATOS!$C$32/DATOS!$C$38)*(1-(DATOS!$C$70*DATOS!$C$32/DATOS!$C$38)/2)))+(O37-AG37)</f>
        <v>18.9409120958718</v>
      </c>
      <c r="AW37" s="56">
        <f>IF(OR(L37="BORDE DE VOLADO",L37="SIN APOYO"),0,CEILING(MAX(AU37,AV37,DATOS!$C$15),5))</f>
        <v>25</v>
      </c>
      <c r="AX37" s="69" t="str">
        <f>IF(L37="BORDE DE VOLADO","BORDE DE VOLADO — armado de orilla",IF(L37="SIN APOYO","SIN APOYO — REVISAR",IF(AND(AL37&lt;=1,AQ37&lt;=1,IF(AJ37=0,TRUE,AJ37&lt;=INT((AZ37+DATOS!$C$24)/(INDEX(TABLAS!$C$52:$C$58,MATCH(MAX(AI37,2),TABLAS!$B$52:$B$58,0))+DATOS!$C$24))),IF(AO37=0,TRUE,AO37&lt;=INT((AZ37+DATOS!$C$24)/(INDEX(TABLAS!$C$52:$C$58,MATCH(MAX(AN37,2),TABLAS!$B$52:$B$58,0))+DATOS!$C$24))),AT37&lt;&gt;"SECCIÓN INSUFICIENTE",O37&gt;=AU37),"CUMPLE"&amp;IF(L37="VOLADO"," (en VOLADO)",""),"NO CUMPLE: "&amp;IF(OR(AH37&lt;0,AM37&lt;0),"sección insuficiente en flexión ",IF(OR(AL37&gt;1,AQ37&gt;1),"flexión ",""))&amp;IF(NOT(AND(IF(AJ37=0,TRUE,AJ37&lt;=INT((AZ37+DATOS!$C$24)/(INDEX(TABLAS!$C$52:$C$58,MATCH(MAX(AI37,2),TABLAS!$B$52:$B$58,0))+DATOS!$C$24))),IF(AO37=0,TRUE,AO37&lt;=INT((AZ37+DATOS!$C$24)/(INDEX(TABLAS!$C$52:$C$58,MATCH(MAX(AN37,2),TABLAS!$B$52:$B$58,0))+DATOS!$C$24))))),"no caben ","")&amp;IF(AT37="SECCIÓN INSUFICIENTE","cortante ","")&amp;IF(O37&lt;AU37,"deflexión ","")&amp;"→ h ≥ "&amp;TEXT(AW37,"0")&amp;" cm")))</f>
        <v>CUMPLE</v>
      </c>
      <c r="AY37" s="61" t="inlineStr">
        <is>
          <t>Extremo i en castillo propuesto C3. Muro de planta alta encima (3.02 m).</t>
        </is>
      </c>
      <c r="AZ37" s="41">
        <f>N37-2*DATOS!$C$18-2*INDEX(TABLAS!$C$52:$C$58,MATCH(DATOS!$C$95,TABLAS!$B$52:$B$58,0))</f>
        <v>9.42</v>
      </c>
    </row>
    <row r="38" ht="30" customHeight="1">
      <c r="B38" s="57" t="inlineStr">
        <is>
          <t>NP-30</t>
        </is>
      </c>
      <c r="C38" s="50" t="inlineStr">
        <is>
          <t>N+3.00</t>
        </is>
      </c>
      <c r="D38" s="49" t="inlineStr">
        <is>
          <t>x = 7.350</t>
        </is>
      </c>
      <c r="E38" s="50" t="inlineStr">
        <is>
          <t>(7.350, 8.910)</t>
        </is>
      </c>
      <c r="F38" s="50" t="inlineStr">
        <is>
          <t>(7.350, 9.950)</t>
        </is>
      </c>
      <c r="G38" s="53" t="n">
        <v>1.04</v>
      </c>
      <c r="H38" s="50" t="inlineStr">
        <is>
          <t>LIBRE</t>
        </is>
      </c>
      <c r="I38" s="50" t="inlineStr">
        <is>
          <t>NERVADURA</t>
        </is>
      </c>
      <c r="J38" s="50" t="inlineStr">
        <is>
          <t>—</t>
        </is>
      </c>
      <c r="K38" s="50" t="inlineStr">
        <is>
          <t>—</t>
        </is>
      </c>
      <c r="L38" s="57" t="str">
        <f>IF(AND(OR(H38="FIRME",H38="NERVADURA",H38="PUNTA"),OR(I38="FIRME",I38="NERVADURA",I38="PUNTA")),"APOYADA",IF(OR(OR(H38="FIRME",H38="NERVADURA",H38="PUNTA"),OR(I38="FIRME",I38="NERVADURA",I38="PUNTA")),"VOLADO","SIN APOYO"))</f>
        <v>VOLADO</v>
      </c>
      <c r="M38" s="50" t="str">
        <f>IF(L38="VOLADO",IF(OR(H38="FIRME",H38="NERVADURA",H38="PUNTA"),"i","j"),"—")</f>
        <v>j</v>
      </c>
      <c r="N38" s="54">
        <f>DATOS!$C$17</f>
        <v>15</v>
      </c>
      <c r="O38" s="54">
        <f>DATOS!$C$15</f>
        <v>25</v>
      </c>
      <c r="P38" s="41">
        <f>SUMIFS(TRIB!$E$6:$E$255,TRIB!$B$6:$B$255,B38)</f>
        <v>0.2704</v>
      </c>
      <c r="Q38" s="34">
        <f>SUMIFS(TRIB!$G$6:$G$255,TRIB!$B$6:$B$255,B38)/G38</f>
        <v>0.213921632653061</v>
      </c>
      <c r="R38" s="66" t="n">
        <v>0</v>
      </c>
      <c r="S38" s="34">
        <f>DATOS!$C$43*R38*DATOS!$C$89/G38</f>
        <v>0</v>
      </c>
      <c r="T38" s="58" t="n">
        <v>2290</v>
      </c>
      <c r="U38" s="58" t="n">
        <v>420</v>
      </c>
      <c r="V38" s="34">
        <f>(DATOS!$C$43*T38+DATOS!$C$44*U38)/1000</f>
        <v>3.607</v>
      </c>
      <c r="W38" s="34">
        <f>DATOS!$C$43*(N38/100*O38/100*DATOS!$C$35-N38/100*DATOS!$C$58/1000)</f>
        <v>0.0694836734693878</v>
      </c>
      <c r="X38" s="67">
        <f>Q38+S38+V38+W38</f>
        <v>3.89040530612245</v>
      </c>
      <c r="Y38" s="34">
        <f>0</f>
        <v>0</v>
      </c>
      <c r="Z38" s="34">
        <f>0</f>
        <v>0</v>
      </c>
      <c r="AA38" s="34">
        <f>0</f>
        <v>0</v>
      </c>
      <c r="AB38" s="34">
        <f>IF(L38="APOYADA",X38*G38/2+0,IF(AND(L38="VOLADO",M38="i"),X38*G38+Y38,0))</f>
        <v>0</v>
      </c>
      <c r="AC38" s="34">
        <f>IF(L38="APOYADA",X38*G38/2+0,IF(AND(L38="VOLADO",M38="j"),X38*G38+Y38,0))</f>
        <v>4.04602151836735</v>
      </c>
      <c r="AD38" s="67">
        <f>IF(L38="APOYADA",X38*G38^2/8+Z38,0)</f>
        <v>0</v>
      </c>
      <c r="AE38" s="67">
        <f>IF(L38="APOYADA",DATOS!$C$52*AD38,IF(L38="VOLADO",X38*G38^2/2+Z38,0))</f>
        <v>2.10393118955102</v>
      </c>
      <c r="AF38" s="67">
        <f>IF(L38="APOYADA",X38*G38/2+AA38,IF(L38="VOLADO",X38*G38+AA38,0))</f>
        <v>4.04602151836735</v>
      </c>
      <c r="AG38" s="41">
        <f>O38-DATOS!$C$18-INDEX(TABLAS!$C$52:$C$58,MATCH(DATOS!$C$95,TABLAS!$B$52:$B$58,0))-INDEX(TABLAS!$C$52:$C$58,MATCH(DATOS!$C$94,TABLAS!$B$52:$B$58,0))/2</f>
        <v>21.575</v>
      </c>
      <c r="AH38" s="41">
        <f>IF(OR(L38="BORDE DE VOLADO",L38="SIN APOYO"),0,IF(AD38&lt;=0,DATOS!$C$71*N38*AG38,IF((1-2*AD38*1E5/(DATOS!$C$45*N38*AG38^2*DATOS!$C$38))&lt;0,-1,IF((1-SQRT((1-2*AD38*1E5/(DATOS!$C$45*N38*AG38^2*DATOS!$C$38))))*DATOS!$C$38*N38*AG38/DATOS!$C$32&gt;DATOS!$C$70*N38*AG38,-1,MAX(DATOS!$C$71*N38*AG38,(1-SQRT((1-2*AD38*1E5/(DATOS!$C$45*N38*AG38^2*DATOS!$C$38))))*DATOS!$C$38*N38*AG38/DATOS!$C$32)))))</f>
        <v>0.85282675647666</v>
      </c>
      <c r="AI38" s="39">
        <f>IF(AH38&lt;0,0,IF(AND(AH38&gt;=0,CEILING(AH38/INDEX(TABLAS!$D$52:$D$58,MIN(MATCH(DATOS!$C$94,TABLAS!$B$52:$B$58,0)+0,7)),1)&lt;=MIN(99,INT((AZ38+DATOS!$C$24)/(INDEX(TABLAS!$C$52:$C$58,MIN(MATCH(DATOS!$C$94,TABLAS!$B$52:$B$58,0)+0,7))+DATOS!$C$24)))),INDEX(TABLAS!$B$52:$B$58,MIN(MATCH(DATOS!$C$94,TABLAS!$B$52:$B$58,0)+0,7)),IF(AND(AH38&gt;=0,CEILING(AH38/INDEX(TABLAS!$D$52:$D$58,MIN(MATCH(DATOS!$C$94,TABLAS!$B$52:$B$58,0)+1,7)),1)&lt;=MIN(99,INT((AZ38+DATOS!$C$24)/(INDEX(TABLAS!$C$52:$C$58,MIN(MATCH(DATOS!$C$94,TABLAS!$B$52:$B$58,0)+1,7))+DATOS!$C$24)))),INDEX(TABLAS!$B$52:$B$58,MIN(MATCH(DATOS!$C$94,TABLAS!$B$52:$B$58,0)+1,7)),IF(AND(AH38&gt;=0,CEILING(AH38/INDEX(TABLAS!$D$52:$D$58,MIN(MATCH(DATOS!$C$94,TABLAS!$B$52:$B$58,0)+2,7)),1)&lt;=MIN(99,INT((AZ38+DATOS!$C$24)/(INDEX(TABLAS!$C$52:$C$58,MIN(MATCH(DATOS!$C$94,TABLAS!$B$52:$B$58,0)+2,7))+DATOS!$C$24)))),INDEX(TABLAS!$B$52:$B$58,MIN(MATCH(DATOS!$C$94,TABLAS!$B$52:$B$58,0)+2,7)),IF(AND(AH38&gt;=0,CEILING(AH38/INDEX(TABLAS!$D$52:$D$58,MIN(MATCH(DATOS!$C$94,TABLAS!$B$52:$B$58,0)+3,7)),1)&lt;=MIN(99,INT((AZ38+DATOS!$C$24)/(INDEX(TABLAS!$C$52:$C$58,MIN(MATCH(DATOS!$C$94,TABLAS!$B$52:$B$58,0)+3,7))+DATOS!$C$24)))),INDEX(TABLAS!$B$52:$B$58,MIN(MATCH(DATOS!$C$94,TABLAS!$B$52:$B$58,0)+3,7)),IF(AND(AH38&gt;=0,CEILING(AH38/INDEX(TABLAS!$D$52:$D$58,MIN(MATCH(DATOS!$C$94,TABLAS!$B$52:$B$58,0)+4,7)),1)&lt;=MIN(99,INT((AZ38+DATOS!$C$24)/(INDEX(TABLAS!$C$52:$C$58,MIN(MATCH(DATOS!$C$94,TABLAS!$B$52:$B$58,0)+4,7))+DATOS!$C$24)))),INDEX(TABLAS!$B$52:$B$58,MIN(MATCH(DATOS!$C$94,TABLAS!$B$52:$B$58,0)+4,7)),INDEX(TABLAS!$B$52:$B$58,7)))))))</f>
        <v>4</v>
      </c>
      <c r="AJ38" s="55">
        <f>IF(AH38&lt;=0,0,MAX(DATOS!$C$96,CEILING(AH38/INDEX(TABLAS!$D$52:$D$58,MATCH(IF(AI38=0,8,AI38),TABLAS!$B$52:$B$58,0)),1)))</f>
        <v>2</v>
      </c>
      <c r="AK38" s="34">
        <f>IF(AJ38=0,0,DATOS!$C$45*AJ38*INDEX(TABLAS!$D$52:$D$58,MATCH(AI38,TABLAS!$B$52:$B$58,0))*DATOS!$C$32*((O38-DATOS!$C$18-INDEX(TABLAS!$C$52:$C$58,MATCH(DATOS!$C$95,TABLAS!$B$52:$B$58,0))-INDEX(TABLAS!$C$52:$C$58,MATCH(AI38,TABLAS!$B$52:$B$58,0))/2)-AJ38*INDEX(TABLAS!$D$52:$D$58,MATCH(AI38,TABLAS!$B$52:$B$58,0))*DATOS!$C$32/(DATOS!$C$38*N38)/2)/1E5)</f>
        <v>1.91079128964706</v>
      </c>
      <c r="AL38" s="59">
        <f>IF(AH38&lt;0,9.99,IF(AK38&gt;0,AD38/AK38,0))</f>
        <v>0</v>
      </c>
      <c r="AM38" s="41">
        <f>IF(OR(L38="BORDE DE VOLADO",L38="SIN APOYO"),0,IF(AE38&lt;=0,DATOS!$C$71*N38*AG38,IF((1-2*AE38*1E5/(DATOS!$C$45*N38*AG38^2*DATOS!$C$38))&lt;0,-1,IF((1-SQRT((1-2*AE38*1E5/(DATOS!$C$45*N38*AG38^2*DATOS!$C$38))))*DATOS!$C$38*N38*AG38/DATOS!$C$32&gt;DATOS!$C$70*N38*AG38,-1,MAX(DATOS!$C$71*N38*AG38,(1-SQRT((1-2*AE38*1E5/(DATOS!$C$45*N38*AG38^2*DATOS!$C$38))))*DATOS!$C$38*N38*AG38/DATOS!$C$32)))))</f>
        <v>2.82320788057833</v>
      </c>
      <c r="AN38" s="39">
        <f>IF(AM38&lt;0,0,IF(AND(AM38&gt;=0,CEILING(AM38/INDEX(TABLAS!$D$52:$D$58,MIN(MATCH(DATOS!$C$94,TABLAS!$B$52:$B$58,0)+0,7)),1)&lt;=MIN(99,INT((AZ38+DATOS!$C$24)/(INDEX(TABLAS!$C$52:$C$58,MIN(MATCH(DATOS!$C$94,TABLAS!$B$52:$B$58,0)+0,7))+DATOS!$C$24)))),INDEX(TABLAS!$B$52:$B$58,MIN(MATCH(DATOS!$C$94,TABLAS!$B$52:$B$58,0)+0,7)),IF(AND(AM38&gt;=0,CEILING(AM38/INDEX(TABLAS!$D$52:$D$58,MIN(MATCH(DATOS!$C$94,TABLAS!$B$52:$B$58,0)+1,7)),1)&lt;=MIN(99,INT((AZ38+DATOS!$C$24)/(INDEX(TABLAS!$C$52:$C$58,MIN(MATCH(DATOS!$C$94,TABLAS!$B$52:$B$58,0)+1,7))+DATOS!$C$24)))),INDEX(TABLAS!$B$52:$B$58,MIN(MATCH(DATOS!$C$94,TABLAS!$B$52:$B$58,0)+1,7)),IF(AND(AM38&gt;=0,CEILING(AM38/INDEX(TABLAS!$D$52:$D$58,MIN(MATCH(DATOS!$C$94,TABLAS!$B$52:$B$58,0)+2,7)),1)&lt;=MIN(99,INT((AZ38+DATOS!$C$24)/(INDEX(TABLAS!$C$52:$C$58,MIN(MATCH(DATOS!$C$94,TABLAS!$B$52:$B$58,0)+2,7))+DATOS!$C$24)))),INDEX(TABLAS!$B$52:$B$58,MIN(MATCH(DATOS!$C$94,TABLAS!$B$52:$B$58,0)+2,7)),IF(AND(AM38&gt;=0,CEILING(AM38/INDEX(TABLAS!$D$52:$D$58,MIN(MATCH(DATOS!$C$94,TABLAS!$B$52:$B$58,0)+3,7)),1)&lt;=MIN(99,INT((AZ38+DATOS!$C$24)/(INDEX(TABLAS!$C$52:$C$58,MIN(MATCH(DATOS!$C$94,TABLAS!$B$52:$B$58,0)+3,7))+DATOS!$C$24)))),INDEX(TABLAS!$B$52:$B$58,MIN(MATCH(DATOS!$C$94,TABLAS!$B$52:$B$58,0)+3,7)),IF(AND(AM38&gt;=0,CEILING(AM38/INDEX(TABLAS!$D$52:$D$58,MIN(MATCH(DATOS!$C$94,TABLAS!$B$52:$B$58,0)+4,7)),1)&lt;=MIN(99,INT((AZ38+DATOS!$C$24)/(INDEX(TABLAS!$C$52:$C$58,MIN(MATCH(DATOS!$C$94,TABLAS!$B$52:$B$58,0)+4,7))+DATOS!$C$24)))),INDEX(TABLAS!$B$52:$B$58,MIN(MATCH(DATOS!$C$94,TABLAS!$B$52:$B$58,0)+4,7)),INDEX(TABLAS!$B$52:$B$58,7)))))))</f>
        <v>4</v>
      </c>
      <c r="AO38" s="55">
        <f>IF(AM38&lt;=0,0,MAX(DATOS!$C$96,CEILING(AM38/INDEX(TABLAS!$D$52:$D$58,MATCH(IF(AN38=0,8,AN38),TABLAS!$B$52:$B$58,0)),1)))</f>
        <v>3</v>
      </c>
      <c r="AP38" s="34">
        <f>IF(AO38=0,0,DATOS!$C$45*AO38*INDEX(TABLAS!$D$52:$D$58,MATCH(AN38,TABLAS!$B$52:$B$58,0))*DATOS!$C$32*((O38-DATOS!$C$18-INDEX(TABLAS!$C$52:$C$58,MATCH(DATOS!$C$95,TABLAS!$B$52:$B$58,0))-INDEX(TABLAS!$C$52:$C$58,MATCH(AN38,TABLAS!$B$52:$B$58,0))/2)-AO38*INDEX(TABLAS!$D$52:$D$58,MATCH(AN38,TABLAS!$B$52:$B$58,0))*DATOS!$C$32/(DATOS!$C$38*N38)/2)/1E5)</f>
        <v>2.74568622670588</v>
      </c>
      <c r="AQ38" s="59">
        <f>IF(AM38&lt;0,9.99,IF(AP38&gt;0,AE38/AP38,0))</f>
        <v>0.766267889275606</v>
      </c>
      <c r="AR38" s="34">
        <f>IF(AO38=0,0,DATOS!$C$46*IF((AO38*INDEX(TABLAS!$D$52:$D$58,MATCH(AN38,TABLAS!$B$52:$B$58,0))/(N38*AG38))&lt;0.015,0.2+20*(AO38*INDEX(TABLAS!$D$52:$D$58,MATCH(AN38,TABLAS!$B$52:$B$58,0))/(N38*AG38)),0.5)*SQRT(DATOS!$C$31)*N38*AG38/1000)</f>
        <v>1.67116492222211</v>
      </c>
      <c r="AS38" s="68">
        <f>IF(AF38=0,0,INT(MIN(IF(AF38&gt;AR38,DATOS!$C$46*2*INDEX(TABLAS!$D$52:$D$58,MATCH(DATOS!$C$95,TABLAS!$B$52:$B$58,0))*DATOS!$C$32*AG38/((AF38-AR38)*1000),999),AG38/2,DATOS!$C$97,2*INDEX(TABLAS!$D$52:$D$58,MATCH(DATOS!$C$95,TABLAS!$B$52:$B$58,0))*DATOS!$C$32/(MAX(0.2*SQRT(DATOS!$C$31),3.5)*N38))/2.5)*2.5)</f>
        <v>10</v>
      </c>
      <c r="AT38" s="49" t="str">
        <f>IF(AF38=0,"—",IF(AF38&gt;AR38+DATOS!$C$46*2.12*SQRT(DATOS!$C$31)*N38*AG38/1000,"SECCIÓN INSUFICIENTE","E No. "&amp;TEXT(DATOS!$C$95,"0.0")&amp;" @ "&amp;TEXT(AS38,"0.0")&amp;" cm"))</f>
        <v>E No. 2.5 @ 10.0 cm</v>
      </c>
      <c r="AU38" s="68">
        <f>IF(L38="APOYADA",G38*100/16,IF(L38="VOLADO",G38*100/8,0))</f>
        <v>13</v>
      </c>
      <c r="AV38" s="68">
        <f>SQRT(MAX(AD38,AE38)*1E5/(DATOS!$C$45*N38*DATOS!$C$38*(DATOS!$C$70*DATOS!$C$32/DATOS!$C$38)*(1-(DATOS!$C$70*DATOS!$C$32/DATOS!$C$38)/2)))+(O38-AG38)</f>
        <v>18.939654041895</v>
      </c>
      <c r="AW38" s="56">
        <f>IF(OR(L38="BORDE DE VOLADO",L38="SIN APOYO"),0,CEILING(MAX(AU38,AV38,DATOS!$C$15),5))</f>
        <v>25</v>
      </c>
      <c r="AX38" s="69" t="str">
        <f>IF(L38="BORDE DE VOLADO","BORDE DE VOLADO — armado de orilla",IF(L38="SIN APOYO","SIN APOYO — REVISAR",IF(AND(AL38&lt;=1,AQ38&lt;=1,IF(AJ38=0,TRUE,AJ38&lt;=INT((AZ38+DATOS!$C$24)/(INDEX(TABLAS!$C$52:$C$58,MATCH(MAX(AI38,2),TABLAS!$B$52:$B$58,0))+DATOS!$C$24))),IF(AO38=0,TRUE,AO38&lt;=INT((AZ38+DATOS!$C$24)/(INDEX(TABLAS!$C$52:$C$58,MATCH(MAX(AN38,2),TABLAS!$B$52:$B$58,0))+DATOS!$C$24))),AT38&lt;&gt;"SECCIÓN INSUFICIENTE",O38&gt;=AU38),"CUMPLE"&amp;IF(L38="VOLADO"," (en VOLADO)",""),"NO CUMPLE: "&amp;IF(OR(AH38&lt;0,AM38&lt;0),"sección insuficiente en flexión ",IF(OR(AL38&gt;1,AQ38&gt;1),"flexión ",""))&amp;IF(NOT(AND(IF(AJ38=0,TRUE,AJ38&lt;=INT((AZ38+DATOS!$C$24)/(INDEX(TABLAS!$C$52:$C$58,MATCH(MAX(AI38,2),TABLAS!$B$52:$B$58,0))+DATOS!$C$24))),IF(AO38=0,TRUE,AO38&lt;=INT((AZ38+DATOS!$C$24)/(INDEX(TABLAS!$C$52:$C$58,MATCH(MAX(AN38,2),TABLAS!$B$52:$B$58,0))+DATOS!$C$24))))),"no caben ","")&amp;IF(AT38="SECCIÓN INSUFICIENTE","cortante ","")&amp;IF(O38&lt;AU38,"deflexión ","")&amp;"→ h ≥ "&amp;TEXT(AW38,"0")&amp;" cm")))</f>
        <v>CUMPLE (en VOLADO)</v>
      </c>
      <c r="AY38" s="61" t="inlineStr">
        <is>
          <t>Extremo j se apoya en NP-08. Llegada de la escalera: revisar junto con el diseño de la escalera.</t>
        </is>
      </c>
      <c r="AZ38" s="41">
        <f>N38-2*DATOS!$C$18-2*INDEX(TABLAS!$C$52:$C$58,MATCH(DATOS!$C$95,TABLAS!$B$52:$B$58,0))</f>
        <v>9.42</v>
      </c>
    </row>
    <row r="39" ht="30" customHeight="1">
      <c r="B39" s="57" t="inlineStr">
        <is>
          <t>NP-31</t>
        </is>
      </c>
      <c r="C39" s="50" t="inlineStr">
        <is>
          <t>N+6.00</t>
        </is>
      </c>
      <c r="D39" s="49" t="inlineStr">
        <is>
          <t>y = 16.697</t>
        </is>
      </c>
      <c r="E39" s="50" t="inlineStr">
        <is>
          <t>(5.822, 16.697)</t>
        </is>
      </c>
      <c r="F39" s="50" t="inlineStr">
        <is>
          <t>(8.850, 16.697)</t>
        </is>
      </c>
      <c r="G39" s="53" t="n">
        <v>3.028</v>
      </c>
      <c r="H39" s="50" t="inlineStr">
        <is>
          <t>FIRME</t>
        </is>
      </c>
      <c r="I39" s="50" t="inlineStr">
        <is>
          <t>FIRME</t>
        </is>
      </c>
      <c r="J39" s="50" t="inlineStr">
        <is>
          <t>—</t>
        </is>
      </c>
      <c r="K39" s="50" t="inlineStr">
        <is>
          <t>—</t>
        </is>
      </c>
      <c r="L39" s="57" t="str">
        <f>IF(AND(OR(H39="FIRME",H39="NERVADURA",H39="PUNTA"),OR(I39="FIRME",I39="NERVADURA",I39="PUNTA")),"APOYADA",IF(OR(OR(H39="FIRME",H39="NERVADURA",H39="PUNTA"),OR(I39="FIRME",I39="NERVADURA",I39="PUNTA")),"VOLADO","SIN APOYO"))</f>
        <v>APOYADA</v>
      </c>
      <c r="M39" s="50" t="str">
        <f>IF(L39="VOLADO",IF(OR(H39="FIRME",H39="NERVADURA",H39="PUNTA"),"i","j"),"—")</f>
        <v>—</v>
      </c>
      <c r="N39" s="54">
        <f>DATOS!$C$17</f>
        <v>15</v>
      </c>
      <c r="O39" s="54">
        <f>DATOS!$C$15</f>
        <v>25</v>
      </c>
      <c r="P39" s="41">
        <f>SUMIFS(TRIB!$E$6:$E$255,TRIB!$B$6:$B$255,B39)</f>
        <v>1.334</v>
      </c>
      <c r="Q39" s="34">
        <f>SUMIFS(TRIB!$G$6:$G$255,TRIB!$B$6:$B$255,B39)/G39</f>
        <v>0.380320188445259</v>
      </c>
      <c r="R39" s="66" t="n">
        <v>0</v>
      </c>
      <c r="S39" s="34">
        <f>DATOS!$C$43*R39*DATOS!$C$89/G39</f>
        <v>0</v>
      </c>
      <c r="T39" s="58" t="n">
        <v>0</v>
      </c>
      <c r="U39" s="58" t="n">
        <v>0</v>
      </c>
      <c r="V39" s="34">
        <f>(DATOS!$C$43*T39+DATOS!$C$44*U39)/1000</f>
        <v>0</v>
      </c>
      <c r="W39" s="34">
        <f>DATOS!$C$43*(N39/100*O39/100*DATOS!$C$35-N39/100*DATOS!$C$58/1000)</f>
        <v>0.0694836734693878</v>
      </c>
      <c r="X39" s="67">
        <f>Q39+S39+V39+W39</f>
        <v>0.449803861914647</v>
      </c>
      <c r="Y39" s="34">
        <f>0</f>
        <v>0</v>
      </c>
      <c r="Z39" s="34">
        <f>0</f>
        <v>0</v>
      </c>
      <c r="AA39" s="34">
        <f>0</f>
        <v>0</v>
      </c>
      <c r="AB39" s="34">
        <f>IF(L39="APOYADA",X39*G39/2+0,IF(AND(L39="VOLADO",M39="i"),X39*G39+Y39,0))</f>
        <v>0.681003046938775</v>
      </c>
      <c r="AC39" s="34">
        <f>IF(L39="APOYADA",X39*G39/2+0,IF(AND(L39="VOLADO",M39="j"),X39*G39+Y39,0))</f>
        <v>0.681003046938775</v>
      </c>
      <c r="AD39" s="67">
        <f>IF(L39="APOYADA",X39*G39^2/8+Z39,0)</f>
        <v>0.515519306532653</v>
      </c>
      <c r="AE39" s="67">
        <f>IF(L39="APOYADA",DATOS!$C$52*AD39,IF(L39="VOLADO",X39*G39^2/2+Z39,0))</f>
        <v>0.34385137745728</v>
      </c>
      <c r="AF39" s="67">
        <f>IF(L39="APOYADA",X39*G39/2+AA39,IF(L39="VOLADO",X39*G39+AA39,0))</f>
        <v>0.681003046938775</v>
      </c>
      <c r="AG39" s="41">
        <f>O39-DATOS!$C$18-INDEX(TABLAS!$C$52:$C$58,MATCH(DATOS!$C$95,TABLAS!$B$52:$B$58,0))-INDEX(TABLAS!$C$52:$C$58,MATCH(DATOS!$C$94,TABLAS!$B$52:$B$58,0))/2</f>
        <v>21.575</v>
      </c>
      <c r="AH39" s="41">
        <f>IF(OR(L39="BORDE DE VOLADO",L39="SIN APOYO"),0,IF(AD39&lt;=0,DATOS!$C$71*N39*AG39,IF((1-2*AD39*1E5/(DATOS!$C$45*N39*AG39^2*DATOS!$C$38))&lt;0,-1,IF((1-SQRT((1-2*AD39*1E5/(DATOS!$C$45*N39*AG39^2*DATOS!$C$38))))*DATOS!$C$38*N39*AG39/DATOS!$C$32&gt;DATOS!$C$70*N39*AG39,-1,MAX(DATOS!$C$71*N39*AG39,(1-SQRT((1-2*AD39*1E5/(DATOS!$C$45*N39*AG39^2*DATOS!$C$38))))*DATOS!$C$38*N39*AG39/DATOS!$C$32)))))</f>
        <v>0.85282675647666</v>
      </c>
      <c r="AI39" s="39">
        <f>IF(AH39&lt;0,0,IF(AND(AH39&gt;=0,CEILING(AH39/INDEX(TABLAS!$D$52:$D$58,MIN(MATCH(DATOS!$C$94,TABLAS!$B$52:$B$58,0)+0,7)),1)&lt;=MIN(99,INT((AZ39+DATOS!$C$24)/(INDEX(TABLAS!$C$52:$C$58,MIN(MATCH(DATOS!$C$94,TABLAS!$B$52:$B$58,0)+0,7))+DATOS!$C$24)))),INDEX(TABLAS!$B$52:$B$58,MIN(MATCH(DATOS!$C$94,TABLAS!$B$52:$B$58,0)+0,7)),IF(AND(AH39&gt;=0,CEILING(AH39/INDEX(TABLAS!$D$52:$D$58,MIN(MATCH(DATOS!$C$94,TABLAS!$B$52:$B$58,0)+1,7)),1)&lt;=MIN(99,INT((AZ39+DATOS!$C$24)/(INDEX(TABLAS!$C$52:$C$58,MIN(MATCH(DATOS!$C$94,TABLAS!$B$52:$B$58,0)+1,7))+DATOS!$C$24)))),INDEX(TABLAS!$B$52:$B$58,MIN(MATCH(DATOS!$C$94,TABLAS!$B$52:$B$58,0)+1,7)),IF(AND(AH39&gt;=0,CEILING(AH39/INDEX(TABLAS!$D$52:$D$58,MIN(MATCH(DATOS!$C$94,TABLAS!$B$52:$B$58,0)+2,7)),1)&lt;=MIN(99,INT((AZ39+DATOS!$C$24)/(INDEX(TABLAS!$C$52:$C$58,MIN(MATCH(DATOS!$C$94,TABLAS!$B$52:$B$58,0)+2,7))+DATOS!$C$24)))),INDEX(TABLAS!$B$52:$B$58,MIN(MATCH(DATOS!$C$94,TABLAS!$B$52:$B$58,0)+2,7)),IF(AND(AH39&gt;=0,CEILING(AH39/INDEX(TABLAS!$D$52:$D$58,MIN(MATCH(DATOS!$C$94,TABLAS!$B$52:$B$58,0)+3,7)),1)&lt;=MIN(99,INT((AZ39+DATOS!$C$24)/(INDEX(TABLAS!$C$52:$C$58,MIN(MATCH(DATOS!$C$94,TABLAS!$B$52:$B$58,0)+3,7))+DATOS!$C$24)))),INDEX(TABLAS!$B$52:$B$58,MIN(MATCH(DATOS!$C$94,TABLAS!$B$52:$B$58,0)+3,7)),IF(AND(AH39&gt;=0,CEILING(AH39/INDEX(TABLAS!$D$52:$D$58,MIN(MATCH(DATOS!$C$94,TABLAS!$B$52:$B$58,0)+4,7)),1)&lt;=MIN(99,INT((AZ39+DATOS!$C$24)/(INDEX(TABLAS!$C$52:$C$58,MIN(MATCH(DATOS!$C$94,TABLAS!$B$52:$B$58,0)+4,7))+DATOS!$C$24)))),INDEX(TABLAS!$B$52:$B$58,MIN(MATCH(DATOS!$C$94,TABLAS!$B$52:$B$58,0)+4,7)),INDEX(TABLAS!$B$52:$B$58,7)))))))</f>
        <v>4</v>
      </c>
      <c r="AJ39" s="55">
        <f>IF(AH39&lt;=0,0,MAX(DATOS!$C$96,CEILING(AH39/INDEX(TABLAS!$D$52:$D$58,MATCH(IF(AI39=0,8,AI39),TABLAS!$B$52:$B$58,0)),1)))</f>
        <v>2</v>
      </c>
      <c r="AK39" s="34">
        <f>IF(AJ39=0,0,DATOS!$C$45*AJ39*INDEX(TABLAS!$D$52:$D$58,MATCH(AI39,TABLAS!$B$52:$B$58,0))*DATOS!$C$32*((O39-DATOS!$C$18-INDEX(TABLAS!$C$52:$C$58,MATCH(DATOS!$C$95,TABLAS!$B$52:$B$58,0))-INDEX(TABLAS!$C$52:$C$58,MATCH(AI39,TABLAS!$B$52:$B$58,0))/2)-AJ39*INDEX(TABLAS!$D$52:$D$58,MATCH(AI39,TABLAS!$B$52:$B$58,0))*DATOS!$C$32/(DATOS!$C$38*N39)/2)/1E5)</f>
        <v>1.91079128964706</v>
      </c>
      <c r="AL39" s="59">
        <f>IF(AH39&lt;0,9.99,IF(AK39&gt;0,AD39/AK39,0))</f>
        <v>0.269793623890694</v>
      </c>
      <c r="AM39" s="41">
        <f>IF(OR(L39="BORDE DE VOLADO",L39="SIN APOYO"),0,IF(AE39&lt;=0,DATOS!$C$71*N39*AG39,IF((1-2*AE39*1E5/(DATOS!$C$45*N39*AG39^2*DATOS!$C$38))&lt;0,-1,IF((1-SQRT((1-2*AE39*1E5/(DATOS!$C$45*N39*AG39^2*DATOS!$C$38))))*DATOS!$C$38*N39*AG39/DATOS!$C$32&gt;DATOS!$C$70*N39*AG39,-1,MAX(DATOS!$C$71*N39*AG39,(1-SQRT((1-2*AE39*1E5/(DATOS!$C$45*N39*AG39^2*DATOS!$C$38))))*DATOS!$C$38*N39*AG39/DATOS!$C$32)))))</f>
        <v>0.85282675647666</v>
      </c>
      <c r="AN39" s="39">
        <f>IF(AM39&lt;0,0,IF(AND(AM39&gt;=0,CEILING(AM39/INDEX(TABLAS!$D$52:$D$58,MIN(MATCH(DATOS!$C$94,TABLAS!$B$52:$B$58,0)+0,7)),1)&lt;=MIN(99,INT((AZ39+DATOS!$C$24)/(INDEX(TABLAS!$C$52:$C$58,MIN(MATCH(DATOS!$C$94,TABLAS!$B$52:$B$58,0)+0,7))+DATOS!$C$24)))),INDEX(TABLAS!$B$52:$B$58,MIN(MATCH(DATOS!$C$94,TABLAS!$B$52:$B$58,0)+0,7)),IF(AND(AM39&gt;=0,CEILING(AM39/INDEX(TABLAS!$D$52:$D$58,MIN(MATCH(DATOS!$C$94,TABLAS!$B$52:$B$58,0)+1,7)),1)&lt;=MIN(99,INT((AZ39+DATOS!$C$24)/(INDEX(TABLAS!$C$52:$C$58,MIN(MATCH(DATOS!$C$94,TABLAS!$B$52:$B$58,0)+1,7))+DATOS!$C$24)))),INDEX(TABLAS!$B$52:$B$58,MIN(MATCH(DATOS!$C$94,TABLAS!$B$52:$B$58,0)+1,7)),IF(AND(AM39&gt;=0,CEILING(AM39/INDEX(TABLAS!$D$52:$D$58,MIN(MATCH(DATOS!$C$94,TABLAS!$B$52:$B$58,0)+2,7)),1)&lt;=MIN(99,INT((AZ39+DATOS!$C$24)/(INDEX(TABLAS!$C$52:$C$58,MIN(MATCH(DATOS!$C$94,TABLAS!$B$52:$B$58,0)+2,7))+DATOS!$C$24)))),INDEX(TABLAS!$B$52:$B$58,MIN(MATCH(DATOS!$C$94,TABLAS!$B$52:$B$58,0)+2,7)),IF(AND(AM39&gt;=0,CEILING(AM39/INDEX(TABLAS!$D$52:$D$58,MIN(MATCH(DATOS!$C$94,TABLAS!$B$52:$B$58,0)+3,7)),1)&lt;=MIN(99,INT((AZ39+DATOS!$C$24)/(INDEX(TABLAS!$C$52:$C$58,MIN(MATCH(DATOS!$C$94,TABLAS!$B$52:$B$58,0)+3,7))+DATOS!$C$24)))),INDEX(TABLAS!$B$52:$B$58,MIN(MATCH(DATOS!$C$94,TABLAS!$B$52:$B$58,0)+3,7)),IF(AND(AM39&gt;=0,CEILING(AM39/INDEX(TABLAS!$D$52:$D$58,MIN(MATCH(DATOS!$C$94,TABLAS!$B$52:$B$58,0)+4,7)),1)&lt;=MIN(99,INT((AZ39+DATOS!$C$24)/(INDEX(TABLAS!$C$52:$C$58,MIN(MATCH(DATOS!$C$94,TABLAS!$B$52:$B$58,0)+4,7))+DATOS!$C$24)))),INDEX(TABLAS!$B$52:$B$58,MIN(MATCH(DATOS!$C$94,TABLAS!$B$52:$B$58,0)+4,7)),INDEX(TABLAS!$B$52:$B$58,7)))))))</f>
        <v>4</v>
      </c>
      <c r="AO39" s="55">
        <f>IF(AM39&lt;=0,0,MAX(DATOS!$C$96,CEILING(AM39/INDEX(TABLAS!$D$52:$D$58,MATCH(IF(AN39=0,8,AN39),TABLAS!$B$52:$B$58,0)),1)))</f>
        <v>2</v>
      </c>
      <c r="AP39" s="34">
        <f>IF(AO39=0,0,DATOS!$C$45*AO39*INDEX(TABLAS!$D$52:$D$58,MATCH(AN39,TABLAS!$B$52:$B$58,0))*DATOS!$C$32*((O39-DATOS!$C$18-INDEX(TABLAS!$C$52:$C$58,MATCH(DATOS!$C$95,TABLAS!$B$52:$B$58,0))-INDEX(TABLAS!$C$52:$C$58,MATCH(AN39,TABLAS!$B$52:$B$58,0))/2)-AO39*INDEX(TABLAS!$D$52:$D$58,MATCH(AN39,TABLAS!$B$52:$B$58,0))*DATOS!$C$32/(DATOS!$C$38*N39)/2)/1E5)</f>
        <v>1.91079128964706</v>
      </c>
      <c r="AQ39" s="59">
        <f>IF(AM39&lt;0,9.99,IF(AP39&gt;0,AE39/AP39,0))</f>
        <v>0.179952347135093</v>
      </c>
      <c r="AR39" s="34">
        <f>IF(AO39=0,0,DATOS!$C$46*IF((AO39*INDEX(TABLAS!$D$52:$D$58,MATCH(AN39,TABLAS!$B$52:$B$58,0))/(N39*AG39))&lt;0.015,0.2+20*(AO39*INDEX(TABLAS!$D$52:$D$58,MATCH(AN39,TABLAS!$B$52:$B$58,0))/(N39*AG39)),0.5)*SQRT(DATOS!$C$31)*N39*AG39/1000)</f>
        <v>1.36995797509107</v>
      </c>
      <c r="AS39" s="68">
        <f>IF(AF39=0,0,INT(MIN(IF(AF39&gt;AR39,DATOS!$C$46*2*INDEX(TABLAS!$D$52:$D$58,MATCH(DATOS!$C$95,TABLAS!$B$52:$B$58,0))*DATOS!$C$32*AG39/((AF39-AR39)*1000),999),AG39/2,DATOS!$C$97,2*INDEX(TABLAS!$D$52:$D$58,MATCH(DATOS!$C$95,TABLAS!$B$52:$B$58,0))*DATOS!$C$32/(MAX(0.2*SQRT(DATOS!$C$31),3.5)*N39))/2.5)*2.5)</f>
        <v>10</v>
      </c>
      <c r="AT39" s="49" t="str">
        <f>IF(AF39=0,"—",IF(AF39&gt;AR39+DATOS!$C$46*2.12*SQRT(DATOS!$C$31)*N39*AG39/1000,"SECCIÓN INSUFICIENTE","E No. "&amp;TEXT(DATOS!$C$95,"0.0")&amp;" @ "&amp;TEXT(AS39,"0.0")&amp;" cm"))</f>
        <v>E No. 2.5 @ 10.0 cm</v>
      </c>
      <c r="AU39" s="68">
        <f>IF(L39="APOYADA",G39*100/16,IF(L39="VOLADO",G39*100/8,0))</f>
        <v>18.925</v>
      </c>
      <c r="AV39" s="68">
        <f>SQRT(MAX(AD39,AE39)*1E5/(DATOS!$C$45*N39*DATOS!$C$38*(DATOS!$C$70*DATOS!$C$32/DATOS!$C$38)*(1-(DATOS!$C$70*DATOS!$C$32/DATOS!$C$38)/2)))+(O39-AG39)</f>
        <v>11.1047803184986</v>
      </c>
      <c r="AW39" s="56">
        <f>IF(OR(L39="BORDE DE VOLADO",L39="SIN APOYO"),0,CEILING(MAX(AU39,AV39,DATOS!$C$15),5))</f>
        <v>25</v>
      </c>
      <c r="AX39" s="69" t="str">
        <f>IF(L39="BORDE DE VOLADO","BORDE DE VOLADO — armado de orilla",IF(L39="SIN APOYO","SIN APOYO — REVISAR",IF(AND(AL39&lt;=1,AQ39&lt;=1,IF(AJ39=0,TRUE,AJ39&lt;=INT((AZ39+DATOS!$C$24)/(INDEX(TABLAS!$C$52:$C$58,MATCH(MAX(AI39,2),TABLAS!$B$52:$B$58,0))+DATOS!$C$24))),IF(AO39=0,TRUE,AO39&lt;=INT((AZ39+DATOS!$C$24)/(INDEX(TABLAS!$C$52:$C$58,MATCH(MAX(AN39,2),TABLAS!$B$52:$B$58,0))+DATOS!$C$24))),AT39&lt;&gt;"SECCIÓN INSUFICIENTE",O39&gt;=AU39),"CUMPLE"&amp;IF(L39="VOLADO"," (en VOLADO)",""),"NO CUMPLE: "&amp;IF(OR(AH39&lt;0,AM39&lt;0),"sección insuficiente en flexión ",IF(OR(AL39&gt;1,AQ39&gt;1),"flexión ",""))&amp;IF(NOT(AND(IF(AJ39=0,TRUE,AJ39&lt;=INT((AZ39+DATOS!$C$24)/(INDEX(TABLAS!$C$52:$C$58,MATCH(MAX(AI39,2),TABLAS!$B$52:$B$58,0))+DATOS!$C$24))),IF(AO39=0,TRUE,AO39&lt;=INT((AZ39+DATOS!$C$24)/(INDEX(TABLAS!$C$52:$C$58,MATCH(MAX(AN39,2),TABLAS!$B$52:$B$58,0))+DATOS!$C$24))))),"no caben ","")&amp;IF(AT39="SECCIÓN INSUFICIENTE","cortante ","")&amp;IF(O39&lt;AU39,"deflexión ","")&amp;"→ h ≥ "&amp;TEXT(AW39,"0")&amp;" cm")))</f>
        <v>CUMPLE</v>
      </c>
      <c r="AY39" s="61" t="inlineStr">
        <is>
          <t>—</t>
        </is>
      </c>
      <c r="AZ39" s="41">
        <f>N39-2*DATOS!$C$18-2*INDEX(TABLAS!$C$52:$C$58,MATCH(DATOS!$C$95,TABLAS!$B$52:$B$58,0))</f>
        <v>9.42</v>
      </c>
    </row>
    <row r="40" ht="30" customHeight="1">
      <c r="B40" s="57" t="inlineStr">
        <is>
          <t>NP-32</t>
        </is>
      </c>
      <c r="C40" s="50" t="inlineStr">
        <is>
          <t>N+6.00</t>
        </is>
      </c>
      <c r="D40" s="49" t="inlineStr">
        <is>
          <t>y = 16.997</t>
        </is>
      </c>
      <c r="E40" s="50" t="inlineStr">
        <is>
          <t>(0.000, 16.997)</t>
        </is>
      </c>
      <c r="F40" s="50" t="inlineStr">
        <is>
          <t>(3.029, 16.997)</t>
        </is>
      </c>
      <c r="G40" s="53" t="n">
        <v>3.029</v>
      </c>
      <c r="H40" s="50" t="inlineStr">
        <is>
          <t>FIRME</t>
        </is>
      </c>
      <c r="I40" s="50" t="inlineStr">
        <is>
          <t>FIRME</t>
        </is>
      </c>
      <c r="J40" s="50" t="inlineStr">
        <is>
          <t>—</t>
        </is>
      </c>
      <c r="K40" s="50" t="inlineStr">
        <is>
          <t>—</t>
        </is>
      </c>
      <c r="L40" s="57" t="str">
        <f>IF(AND(OR(H40="FIRME",H40="NERVADURA",H40="PUNTA"),OR(I40="FIRME",I40="NERVADURA",I40="PUNTA")),"APOYADA",IF(OR(OR(H40="FIRME",H40="NERVADURA",H40="PUNTA"),OR(I40="FIRME",I40="NERVADURA",I40="PUNTA")),"VOLADO","SIN APOYO"))</f>
        <v>APOYADA</v>
      </c>
      <c r="M40" s="50" t="str">
        <f>IF(L40="VOLADO",IF(OR(H40="FIRME",H40="NERVADURA",H40="PUNTA"),"i","j"),"—")</f>
        <v>—</v>
      </c>
      <c r="N40" s="54">
        <f>DATOS!$C$17</f>
        <v>15</v>
      </c>
      <c r="O40" s="54">
        <f>DATOS!$C$15</f>
        <v>25</v>
      </c>
      <c r="P40" s="41">
        <f>SUMIFS(TRIB!$E$6:$E$255,TRIB!$B$6:$B$255,B40)</f>
        <v>1.6389</v>
      </c>
      <c r="Q40" s="34">
        <f>SUMIFS(TRIB!$G$6:$G$255,TRIB!$B$6:$B$255,B40)/G40</f>
        <v>0.467092186752549</v>
      </c>
      <c r="R40" s="66" t="n">
        <v>0</v>
      </c>
      <c r="S40" s="34">
        <f>DATOS!$C$43*R40*DATOS!$C$89/G40</f>
        <v>0</v>
      </c>
      <c r="T40" s="58" t="n">
        <v>0</v>
      </c>
      <c r="U40" s="58" t="n">
        <v>0</v>
      </c>
      <c r="V40" s="34">
        <f>(DATOS!$C$43*T40+DATOS!$C$44*U40)/1000</f>
        <v>0</v>
      </c>
      <c r="W40" s="34">
        <f>DATOS!$C$43*(N40/100*O40/100*DATOS!$C$35-N40/100*DATOS!$C$58/1000)</f>
        <v>0.0694836734693878</v>
      </c>
      <c r="X40" s="67">
        <f>Q40+S40+V40+W40</f>
        <v>0.536575860221936</v>
      </c>
      <c r="Y40" s="34">
        <f>0</f>
        <v>0</v>
      </c>
      <c r="Z40" s="34">
        <f>0</f>
        <v>0</v>
      </c>
      <c r="AA40" s="34">
        <f>0</f>
        <v>0</v>
      </c>
      <c r="AB40" s="34">
        <f>IF(L40="APOYADA",X40*G40/2+0,IF(AND(L40="VOLADO",M40="i"),X40*G40+Y40,0))</f>
        <v>0.812644140306122</v>
      </c>
      <c r="AC40" s="34">
        <f>IF(L40="APOYADA",X40*G40/2+0,IF(AND(L40="VOLADO",M40="j"),X40*G40+Y40,0))</f>
        <v>0.812644140306122</v>
      </c>
      <c r="AD40" s="67">
        <f>IF(L40="APOYADA",X40*G40^2/8+Z40,0)</f>
        <v>0.615374775246811</v>
      </c>
      <c r="AE40" s="67">
        <f>IF(L40="APOYADA",DATOS!$C$52*AD40,IF(L40="VOLADO",X40*G40^2/2+Z40,0))</f>
        <v>0.410454975089623</v>
      </c>
      <c r="AF40" s="67">
        <f>IF(L40="APOYADA",X40*G40/2+AA40,IF(L40="VOLADO",X40*G40+AA40,0))</f>
        <v>0.812644140306122</v>
      </c>
      <c r="AG40" s="41">
        <f>O40-DATOS!$C$18-INDEX(TABLAS!$C$52:$C$58,MATCH(DATOS!$C$95,TABLAS!$B$52:$B$58,0))-INDEX(TABLAS!$C$52:$C$58,MATCH(DATOS!$C$94,TABLAS!$B$52:$B$58,0))/2</f>
        <v>21.575</v>
      </c>
      <c r="AH40" s="41">
        <f>IF(OR(L40="BORDE DE VOLADO",L40="SIN APOYO"),0,IF(AD40&lt;=0,DATOS!$C$71*N40*AG40,IF((1-2*AD40*1E5/(DATOS!$C$45*N40*AG40^2*DATOS!$C$38))&lt;0,-1,IF((1-SQRT((1-2*AD40*1E5/(DATOS!$C$45*N40*AG40^2*DATOS!$C$38))))*DATOS!$C$38*N40*AG40/DATOS!$C$32&gt;DATOS!$C$70*N40*AG40,-1,MAX(DATOS!$C$71*N40*AG40,(1-SQRT((1-2*AD40*1E5/(DATOS!$C$45*N40*AG40^2*DATOS!$C$38))))*DATOS!$C$38*N40*AG40/DATOS!$C$32)))))</f>
        <v>0.85282675647666</v>
      </c>
      <c r="AI40" s="39">
        <f>IF(AH40&lt;0,0,IF(AND(AH40&gt;=0,CEILING(AH40/INDEX(TABLAS!$D$52:$D$58,MIN(MATCH(DATOS!$C$94,TABLAS!$B$52:$B$58,0)+0,7)),1)&lt;=MIN(99,INT((AZ40+DATOS!$C$24)/(INDEX(TABLAS!$C$52:$C$58,MIN(MATCH(DATOS!$C$94,TABLAS!$B$52:$B$58,0)+0,7))+DATOS!$C$24)))),INDEX(TABLAS!$B$52:$B$58,MIN(MATCH(DATOS!$C$94,TABLAS!$B$52:$B$58,0)+0,7)),IF(AND(AH40&gt;=0,CEILING(AH40/INDEX(TABLAS!$D$52:$D$58,MIN(MATCH(DATOS!$C$94,TABLAS!$B$52:$B$58,0)+1,7)),1)&lt;=MIN(99,INT((AZ40+DATOS!$C$24)/(INDEX(TABLAS!$C$52:$C$58,MIN(MATCH(DATOS!$C$94,TABLAS!$B$52:$B$58,0)+1,7))+DATOS!$C$24)))),INDEX(TABLAS!$B$52:$B$58,MIN(MATCH(DATOS!$C$94,TABLAS!$B$52:$B$58,0)+1,7)),IF(AND(AH40&gt;=0,CEILING(AH40/INDEX(TABLAS!$D$52:$D$58,MIN(MATCH(DATOS!$C$94,TABLAS!$B$52:$B$58,0)+2,7)),1)&lt;=MIN(99,INT((AZ40+DATOS!$C$24)/(INDEX(TABLAS!$C$52:$C$58,MIN(MATCH(DATOS!$C$94,TABLAS!$B$52:$B$58,0)+2,7))+DATOS!$C$24)))),INDEX(TABLAS!$B$52:$B$58,MIN(MATCH(DATOS!$C$94,TABLAS!$B$52:$B$58,0)+2,7)),IF(AND(AH40&gt;=0,CEILING(AH40/INDEX(TABLAS!$D$52:$D$58,MIN(MATCH(DATOS!$C$94,TABLAS!$B$52:$B$58,0)+3,7)),1)&lt;=MIN(99,INT((AZ40+DATOS!$C$24)/(INDEX(TABLAS!$C$52:$C$58,MIN(MATCH(DATOS!$C$94,TABLAS!$B$52:$B$58,0)+3,7))+DATOS!$C$24)))),INDEX(TABLAS!$B$52:$B$58,MIN(MATCH(DATOS!$C$94,TABLAS!$B$52:$B$58,0)+3,7)),IF(AND(AH40&gt;=0,CEILING(AH40/INDEX(TABLAS!$D$52:$D$58,MIN(MATCH(DATOS!$C$94,TABLAS!$B$52:$B$58,0)+4,7)),1)&lt;=MIN(99,INT((AZ40+DATOS!$C$24)/(INDEX(TABLAS!$C$52:$C$58,MIN(MATCH(DATOS!$C$94,TABLAS!$B$52:$B$58,0)+4,7))+DATOS!$C$24)))),INDEX(TABLAS!$B$52:$B$58,MIN(MATCH(DATOS!$C$94,TABLAS!$B$52:$B$58,0)+4,7)),INDEX(TABLAS!$B$52:$B$58,7)))))))</f>
        <v>4</v>
      </c>
      <c r="AJ40" s="55">
        <f>IF(AH40&lt;=0,0,MAX(DATOS!$C$96,CEILING(AH40/INDEX(TABLAS!$D$52:$D$58,MATCH(IF(AI40=0,8,AI40),TABLAS!$B$52:$B$58,0)),1)))</f>
        <v>2</v>
      </c>
      <c r="AK40" s="34">
        <f>IF(AJ40=0,0,DATOS!$C$45*AJ40*INDEX(TABLAS!$D$52:$D$58,MATCH(AI40,TABLAS!$B$52:$B$58,0))*DATOS!$C$32*((O40-DATOS!$C$18-INDEX(TABLAS!$C$52:$C$58,MATCH(DATOS!$C$95,TABLAS!$B$52:$B$58,0))-INDEX(TABLAS!$C$52:$C$58,MATCH(AI40,TABLAS!$B$52:$B$58,0))/2)-AJ40*INDEX(TABLAS!$D$52:$D$58,MATCH(AI40,TABLAS!$B$52:$B$58,0))*DATOS!$C$32/(DATOS!$C$38*N40)/2)/1E5)</f>
        <v>1.91079128964706</v>
      </c>
      <c r="AL40" s="59">
        <f>IF(AH40&lt;0,9.99,IF(AK40&gt;0,AD40/AK40,0))</f>
        <v>0.322052323862371</v>
      </c>
      <c r="AM40" s="41">
        <f>IF(OR(L40="BORDE DE VOLADO",L40="SIN APOYO"),0,IF(AE40&lt;=0,DATOS!$C$71*N40*AG40,IF((1-2*AE40*1E5/(DATOS!$C$45*N40*AG40^2*DATOS!$C$38))&lt;0,-1,IF((1-SQRT((1-2*AE40*1E5/(DATOS!$C$45*N40*AG40^2*DATOS!$C$38))))*DATOS!$C$38*N40*AG40/DATOS!$C$32&gt;DATOS!$C$70*N40*AG40,-1,MAX(DATOS!$C$71*N40*AG40,(1-SQRT((1-2*AE40*1E5/(DATOS!$C$45*N40*AG40^2*DATOS!$C$38))))*DATOS!$C$38*N40*AG40/DATOS!$C$32)))))</f>
        <v>0.85282675647666</v>
      </c>
      <c r="AN40" s="39">
        <f>IF(AM40&lt;0,0,IF(AND(AM40&gt;=0,CEILING(AM40/INDEX(TABLAS!$D$52:$D$58,MIN(MATCH(DATOS!$C$94,TABLAS!$B$52:$B$58,0)+0,7)),1)&lt;=MIN(99,INT((AZ40+DATOS!$C$24)/(INDEX(TABLAS!$C$52:$C$58,MIN(MATCH(DATOS!$C$94,TABLAS!$B$52:$B$58,0)+0,7))+DATOS!$C$24)))),INDEX(TABLAS!$B$52:$B$58,MIN(MATCH(DATOS!$C$94,TABLAS!$B$52:$B$58,0)+0,7)),IF(AND(AM40&gt;=0,CEILING(AM40/INDEX(TABLAS!$D$52:$D$58,MIN(MATCH(DATOS!$C$94,TABLAS!$B$52:$B$58,0)+1,7)),1)&lt;=MIN(99,INT((AZ40+DATOS!$C$24)/(INDEX(TABLAS!$C$52:$C$58,MIN(MATCH(DATOS!$C$94,TABLAS!$B$52:$B$58,0)+1,7))+DATOS!$C$24)))),INDEX(TABLAS!$B$52:$B$58,MIN(MATCH(DATOS!$C$94,TABLAS!$B$52:$B$58,0)+1,7)),IF(AND(AM40&gt;=0,CEILING(AM40/INDEX(TABLAS!$D$52:$D$58,MIN(MATCH(DATOS!$C$94,TABLAS!$B$52:$B$58,0)+2,7)),1)&lt;=MIN(99,INT((AZ40+DATOS!$C$24)/(INDEX(TABLAS!$C$52:$C$58,MIN(MATCH(DATOS!$C$94,TABLAS!$B$52:$B$58,0)+2,7))+DATOS!$C$24)))),INDEX(TABLAS!$B$52:$B$58,MIN(MATCH(DATOS!$C$94,TABLAS!$B$52:$B$58,0)+2,7)),IF(AND(AM40&gt;=0,CEILING(AM40/INDEX(TABLAS!$D$52:$D$58,MIN(MATCH(DATOS!$C$94,TABLAS!$B$52:$B$58,0)+3,7)),1)&lt;=MIN(99,INT((AZ40+DATOS!$C$24)/(INDEX(TABLAS!$C$52:$C$58,MIN(MATCH(DATOS!$C$94,TABLAS!$B$52:$B$58,0)+3,7))+DATOS!$C$24)))),INDEX(TABLAS!$B$52:$B$58,MIN(MATCH(DATOS!$C$94,TABLAS!$B$52:$B$58,0)+3,7)),IF(AND(AM40&gt;=0,CEILING(AM40/INDEX(TABLAS!$D$52:$D$58,MIN(MATCH(DATOS!$C$94,TABLAS!$B$52:$B$58,0)+4,7)),1)&lt;=MIN(99,INT((AZ40+DATOS!$C$24)/(INDEX(TABLAS!$C$52:$C$58,MIN(MATCH(DATOS!$C$94,TABLAS!$B$52:$B$58,0)+4,7))+DATOS!$C$24)))),INDEX(TABLAS!$B$52:$B$58,MIN(MATCH(DATOS!$C$94,TABLAS!$B$52:$B$58,0)+4,7)),INDEX(TABLAS!$B$52:$B$58,7)))))))</f>
        <v>4</v>
      </c>
      <c r="AO40" s="55">
        <f>IF(AM40&lt;=0,0,MAX(DATOS!$C$96,CEILING(AM40/INDEX(TABLAS!$D$52:$D$58,MATCH(IF(AN40=0,8,AN40),TABLAS!$B$52:$B$58,0)),1)))</f>
        <v>2</v>
      </c>
      <c r="AP40" s="34">
        <f>IF(AO40=0,0,DATOS!$C$45*AO40*INDEX(TABLAS!$D$52:$D$58,MATCH(AN40,TABLAS!$B$52:$B$58,0))*DATOS!$C$32*((O40-DATOS!$C$18-INDEX(TABLAS!$C$52:$C$58,MATCH(DATOS!$C$95,TABLAS!$B$52:$B$58,0))-INDEX(TABLAS!$C$52:$C$58,MATCH(AN40,TABLAS!$B$52:$B$58,0))/2)-AO40*INDEX(TABLAS!$D$52:$D$58,MATCH(AN40,TABLAS!$B$52:$B$58,0))*DATOS!$C$32/(DATOS!$C$38*N40)/2)/1E5)</f>
        <v>1.91079128964706</v>
      </c>
      <c r="AQ40" s="59">
        <f>IF(AM40&lt;0,9.99,IF(AP40&gt;0,AE40/AP40,0))</f>
        <v>0.214808900016201</v>
      </c>
      <c r="AR40" s="34">
        <f>IF(AO40=0,0,DATOS!$C$46*IF((AO40*INDEX(TABLAS!$D$52:$D$58,MATCH(AN40,TABLAS!$B$52:$B$58,0))/(N40*AG40))&lt;0.015,0.2+20*(AO40*INDEX(TABLAS!$D$52:$D$58,MATCH(AN40,TABLAS!$B$52:$B$58,0))/(N40*AG40)),0.5)*SQRT(DATOS!$C$31)*N40*AG40/1000)</f>
        <v>1.36995797509107</v>
      </c>
      <c r="AS40" s="68">
        <f>IF(AF40=0,0,INT(MIN(IF(AF40&gt;AR40,DATOS!$C$46*2*INDEX(TABLAS!$D$52:$D$58,MATCH(DATOS!$C$95,TABLAS!$B$52:$B$58,0))*DATOS!$C$32*AG40/((AF40-AR40)*1000),999),AG40/2,DATOS!$C$97,2*INDEX(TABLAS!$D$52:$D$58,MATCH(DATOS!$C$95,TABLAS!$B$52:$B$58,0))*DATOS!$C$32/(MAX(0.2*SQRT(DATOS!$C$31),3.5)*N40))/2.5)*2.5)</f>
        <v>10</v>
      </c>
      <c r="AT40" s="49" t="str">
        <f>IF(AF40=0,"—",IF(AF40&gt;AR40+DATOS!$C$46*2.12*SQRT(DATOS!$C$31)*N40*AG40/1000,"SECCIÓN INSUFICIENTE","E No. "&amp;TEXT(DATOS!$C$95,"0.0")&amp;" @ "&amp;TEXT(AS40,"0.0")&amp;" cm"))</f>
        <v>E No. 2.5 @ 10.0 cm</v>
      </c>
      <c r="AU40" s="68">
        <f>IF(L40="APOYADA",G40*100/16,IF(L40="VOLADO",G40*100/8,0))</f>
        <v>18.93125</v>
      </c>
      <c r="AV40" s="68">
        <f>SQRT(MAX(AD40,AE40)*1E5/(DATOS!$C$45*N40*DATOS!$C$38*(DATOS!$C$70*DATOS!$C$32/DATOS!$C$38)*(1-(DATOS!$C$70*DATOS!$C$32/DATOS!$C$38)/2)))+(O40-AG40)</f>
        <v>11.8156609980379</v>
      </c>
      <c r="AW40" s="56">
        <f>IF(OR(L40="BORDE DE VOLADO",L40="SIN APOYO"),0,CEILING(MAX(AU40,AV40,DATOS!$C$15),5))</f>
        <v>25</v>
      </c>
      <c r="AX40" s="69" t="str">
        <f>IF(L40="BORDE DE VOLADO","BORDE DE VOLADO — armado de orilla",IF(L40="SIN APOYO","SIN APOYO — REVISAR",IF(AND(AL40&lt;=1,AQ40&lt;=1,IF(AJ40=0,TRUE,AJ40&lt;=INT((AZ40+DATOS!$C$24)/(INDEX(TABLAS!$C$52:$C$58,MATCH(MAX(AI40,2),TABLAS!$B$52:$B$58,0))+DATOS!$C$24))),IF(AO40=0,TRUE,AO40&lt;=INT((AZ40+DATOS!$C$24)/(INDEX(TABLAS!$C$52:$C$58,MATCH(MAX(AN40,2),TABLAS!$B$52:$B$58,0))+DATOS!$C$24))),AT40&lt;&gt;"SECCIÓN INSUFICIENTE",O40&gt;=AU40),"CUMPLE"&amp;IF(L40="VOLADO"," (en VOLADO)",""),"NO CUMPLE: "&amp;IF(OR(AH40&lt;0,AM40&lt;0),"sección insuficiente en flexión ",IF(OR(AL40&gt;1,AQ40&gt;1),"flexión ",""))&amp;IF(NOT(AND(IF(AJ40=0,TRUE,AJ40&lt;=INT((AZ40+DATOS!$C$24)/(INDEX(TABLAS!$C$52:$C$58,MATCH(MAX(AI40,2),TABLAS!$B$52:$B$58,0))+DATOS!$C$24))),IF(AO40=0,TRUE,AO40&lt;=INT((AZ40+DATOS!$C$24)/(INDEX(TABLAS!$C$52:$C$58,MATCH(MAX(AN40,2),TABLAS!$B$52:$B$58,0))+DATOS!$C$24))))),"no caben ","")&amp;IF(AT40="SECCIÓN INSUFICIENTE","cortante ","")&amp;IF(O40&lt;AU40,"deflexión ","")&amp;"→ h ≥ "&amp;TEXT(AW40,"0")&amp;" cm")))</f>
        <v>CUMPLE</v>
      </c>
      <c r="AY40" s="61" t="inlineStr">
        <is>
          <t>—</t>
        </is>
      </c>
      <c r="AZ40" s="41">
        <f>N40-2*DATOS!$C$18-2*INDEX(TABLAS!$C$52:$C$58,MATCH(DATOS!$C$95,TABLAS!$B$52:$B$58,0))</f>
        <v>9.42</v>
      </c>
    </row>
    <row r="41" ht="30" customHeight="1">
      <c r="B41" s="57" t="inlineStr">
        <is>
          <t>NP-33</t>
        </is>
      </c>
      <c r="C41" s="50" t="inlineStr">
        <is>
          <t>N+6.00</t>
        </is>
      </c>
      <c r="D41" s="49" t="inlineStr">
        <is>
          <t>Eje A (x = 0.000)</t>
        </is>
      </c>
      <c r="E41" s="50" t="inlineStr">
        <is>
          <t>(0.000, 14.021)</t>
        </is>
      </c>
      <c r="F41" s="50" t="inlineStr">
        <is>
          <t>(0.000, 15.846)</t>
        </is>
      </c>
      <c r="G41" s="53" t="n">
        <v>1.825</v>
      </c>
      <c r="H41" s="50" t="inlineStr">
        <is>
          <t>FIRME</t>
        </is>
      </c>
      <c r="I41" s="50" t="inlineStr">
        <is>
          <t>FIRME</t>
        </is>
      </c>
      <c r="J41" s="50" t="inlineStr">
        <is>
          <t>—</t>
        </is>
      </c>
      <c r="K41" s="50" t="inlineStr">
        <is>
          <t>—</t>
        </is>
      </c>
      <c r="L41" s="57" t="str">
        <f>IF(AND(OR(H41="FIRME",H41="NERVADURA",H41="PUNTA"),OR(I41="FIRME",I41="NERVADURA",I41="PUNTA")),"APOYADA",IF(OR(OR(H41="FIRME",H41="NERVADURA",H41="PUNTA"),OR(I41="FIRME",I41="NERVADURA",I41="PUNTA")),"VOLADO","SIN APOYO"))</f>
        <v>APOYADA</v>
      </c>
      <c r="M41" s="50" t="str">
        <f>IF(L41="VOLADO",IF(OR(H41="FIRME",H41="NERVADURA",H41="PUNTA"),"i","j"),"—")</f>
        <v>—</v>
      </c>
      <c r="N41" s="54">
        <f>DATOS!$C$17</f>
        <v>15</v>
      </c>
      <c r="O41" s="54">
        <f>DATOS!$C$15</f>
        <v>25</v>
      </c>
      <c r="P41" s="41">
        <f>SUMIFS(TRIB!$E$6:$E$255,TRIB!$B$6:$B$255,B41)</f>
        <v>0.8327</v>
      </c>
      <c r="Q41" s="34">
        <f>SUMIFS(TRIB!$G$6:$G$255,TRIB!$B$6:$B$255,B41)/G41</f>
        <v>0.396855927313391</v>
      </c>
      <c r="R41" s="66" t="n">
        <v>0</v>
      </c>
      <c r="S41" s="34">
        <f>DATOS!$C$43*R41*DATOS!$C$89/G41</f>
        <v>0</v>
      </c>
      <c r="T41" s="58" t="n">
        <v>101</v>
      </c>
      <c r="U41" s="58" t="n">
        <v>0</v>
      </c>
      <c r="V41" s="34">
        <f>(DATOS!$C$43*T41+DATOS!$C$44*U41)/1000</f>
        <v>0.1313</v>
      </c>
      <c r="W41" s="34">
        <f>DATOS!$C$43*(N41/100*O41/100*DATOS!$C$35-N41/100*DATOS!$C$58/1000)</f>
        <v>0.0694836734693878</v>
      </c>
      <c r="X41" s="67">
        <f>Q41+S41+V41+W41</f>
        <v>0.597639600782779</v>
      </c>
      <c r="Y41" s="34">
        <f>0</f>
        <v>0</v>
      </c>
      <c r="Z41" s="34">
        <f>0</f>
        <v>0</v>
      </c>
      <c r="AA41" s="34">
        <f>0</f>
        <v>0</v>
      </c>
      <c r="AB41" s="34">
        <f>IF(L41="APOYADA",X41*G41/2+0,IF(AND(L41="VOLADO",M41="i"),X41*G41+Y41,0))</f>
        <v>0.545346135714286</v>
      </c>
      <c r="AC41" s="34">
        <f>IF(L41="APOYADA",X41*G41/2+0,IF(AND(L41="VOLADO",M41="j"),X41*G41+Y41,0))</f>
        <v>0.545346135714286</v>
      </c>
      <c r="AD41" s="67">
        <f>IF(L41="APOYADA",X41*G41^2/8+Z41,0)</f>
        <v>0.248814174419643</v>
      </c>
      <c r="AE41" s="67">
        <f>IF(L41="APOYADA",DATOS!$C$52*AD41,IF(L41="VOLADO",X41*G41^2/2+Z41,0))</f>
        <v>0.165959054337902</v>
      </c>
      <c r="AF41" s="67">
        <f>IF(L41="APOYADA",X41*G41/2+AA41,IF(L41="VOLADO",X41*G41+AA41,0))</f>
        <v>0.545346135714286</v>
      </c>
      <c r="AG41" s="41">
        <f>O41-DATOS!$C$18-INDEX(TABLAS!$C$52:$C$58,MATCH(DATOS!$C$95,TABLAS!$B$52:$B$58,0))-INDEX(TABLAS!$C$52:$C$58,MATCH(DATOS!$C$94,TABLAS!$B$52:$B$58,0))/2</f>
        <v>21.575</v>
      </c>
      <c r="AH41" s="41">
        <f>IF(OR(L41="BORDE DE VOLADO",L41="SIN APOYO"),0,IF(AD41&lt;=0,DATOS!$C$71*N41*AG41,IF((1-2*AD41*1E5/(DATOS!$C$45*N41*AG41^2*DATOS!$C$38))&lt;0,-1,IF((1-SQRT((1-2*AD41*1E5/(DATOS!$C$45*N41*AG41^2*DATOS!$C$38))))*DATOS!$C$38*N41*AG41/DATOS!$C$32&gt;DATOS!$C$70*N41*AG41,-1,MAX(DATOS!$C$71*N41*AG41,(1-SQRT((1-2*AD41*1E5/(DATOS!$C$45*N41*AG41^2*DATOS!$C$38))))*DATOS!$C$38*N41*AG41/DATOS!$C$32)))))</f>
        <v>0.85282675647666</v>
      </c>
      <c r="AI41" s="39">
        <f>IF(AH41&lt;0,0,IF(AND(AH41&gt;=0,CEILING(AH41/INDEX(TABLAS!$D$52:$D$58,MIN(MATCH(DATOS!$C$94,TABLAS!$B$52:$B$58,0)+0,7)),1)&lt;=MIN(99,INT((AZ41+DATOS!$C$24)/(INDEX(TABLAS!$C$52:$C$58,MIN(MATCH(DATOS!$C$94,TABLAS!$B$52:$B$58,0)+0,7))+DATOS!$C$24)))),INDEX(TABLAS!$B$52:$B$58,MIN(MATCH(DATOS!$C$94,TABLAS!$B$52:$B$58,0)+0,7)),IF(AND(AH41&gt;=0,CEILING(AH41/INDEX(TABLAS!$D$52:$D$58,MIN(MATCH(DATOS!$C$94,TABLAS!$B$52:$B$58,0)+1,7)),1)&lt;=MIN(99,INT((AZ41+DATOS!$C$24)/(INDEX(TABLAS!$C$52:$C$58,MIN(MATCH(DATOS!$C$94,TABLAS!$B$52:$B$58,0)+1,7))+DATOS!$C$24)))),INDEX(TABLAS!$B$52:$B$58,MIN(MATCH(DATOS!$C$94,TABLAS!$B$52:$B$58,0)+1,7)),IF(AND(AH41&gt;=0,CEILING(AH41/INDEX(TABLAS!$D$52:$D$58,MIN(MATCH(DATOS!$C$94,TABLAS!$B$52:$B$58,0)+2,7)),1)&lt;=MIN(99,INT((AZ41+DATOS!$C$24)/(INDEX(TABLAS!$C$52:$C$58,MIN(MATCH(DATOS!$C$94,TABLAS!$B$52:$B$58,0)+2,7))+DATOS!$C$24)))),INDEX(TABLAS!$B$52:$B$58,MIN(MATCH(DATOS!$C$94,TABLAS!$B$52:$B$58,0)+2,7)),IF(AND(AH41&gt;=0,CEILING(AH41/INDEX(TABLAS!$D$52:$D$58,MIN(MATCH(DATOS!$C$94,TABLAS!$B$52:$B$58,0)+3,7)),1)&lt;=MIN(99,INT((AZ41+DATOS!$C$24)/(INDEX(TABLAS!$C$52:$C$58,MIN(MATCH(DATOS!$C$94,TABLAS!$B$52:$B$58,0)+3,7))+DATOS!$C$24)))),INDEX(TABLAS!$B$52:$B$58,MIN(MATCH(DATOS!$C$94,TABLAS!$B$52:$B$58,0)+3,7)),IF(AND(AH41&gt;=0,CEILING(AH41/INDEX(TABLAS!$D$52:$D$58,MIN(MATCH(DATOS!$C$94,TABLAS!$B$52:$B$58,0)+4,7)),1)&lt;=MIN(99,INT((AZ41+DATOS!$C$24)/(INDEX(TABLAS!$C$52:$C$58,MIN(MATCH(DATOS!$C$94,TABLAS!$B$52:$B$58,0)+4,7))+DATOS!$C$24)))),INDEX(TABLAS!$B$52:$B$58,MIN(MATCH(DATOS!$C$94,TABLAS!$B$52:$B$58,0)+4,7)),INDEX(TABLAS!$B$52:$B$58,7)))))))</f>
        <v>4</v>
      </c>
      <c r="AJ41" s="55">
        <f>IF(AH41&lt;=0,0,MAX(DATOS!$C$96,CEILING(AH41/INDEX(TABLAS!$D$52:$D$58,MATCH(IF(AI41=0,8,AI41),TABLAS!$B$52:$B$58,0)),1)))</f>
        <v>2</v>
      </c>
      <c r="AK41" s="34">
        <f>IF(AJ41=0,0,DATOS!$C$45*AJ41*INDEX(TABLAS!$D$52:$D$58,MATCH(AI41,TABLAS!$B$52:$B$58,0))*DATOS!$C$32*((O41-DATOS!$C$18-INDEX(TABLAS!$C$52:$C$58,MATCH(DATOS!$C$95,TABLAS!$B$52:$B$58,0))-INDEX(TABLAS!$C$52:$C$58,MATCH(AI41,TABLAS!$B$52:$B$58,0))/2)-AJ41*INDEX(TABLAS!$D$52:$D$58,MATCH(AI41,TABLAS!$B$52:$B$58,0))*DATOS!$C$32/(DATOS!$C$38*N41)/2)/1E5)</f>
        <v>1.91079128964706</v>
      </c>
      <c r="AL41" s="59">
        <f>IF(AH41&lt;0,9.99,IF(AK41&gt;0,AD41/AK41,0))</f>
        <v>0.130215254678914</v>
      </c>
      <c r="AM41" s="41">
        <f>IF(OR(L41="BORDE DE VOLADO",L41="SIN APOYO"),0,IF(AE41&lt;=0,DATOS!$C$71*N41*AG41,IF((1-2*AE41*1E5/(DATOS!$C$45*N41*AG41^2*DATOS!$C$38))&lt;0,-1,IF((1-SQRT((1-2*AE41*1E5/(DATOS!$C$45*N41*AG41^2*DATOS!$C$38))))*DATOS!$C$38*N41*AG41/DATOS!$C$32&gt;DATOS!$C$70*N41*AG41,-1,MAX(DATOS!$C$71*N41*AG41,(1-SQRT((1-2*AE41*1E5/(DATOS!$C$45*N41*AG41^2*DATOS!$C$38))))*DATOS!$C$38*N41*AG41/DATOS!$C$32)))))</f>
        <v>0.85282675647666</v>
      </c>
      <c r="AN41" s="39">
        <f>IF(AM41&lt;0,0,IF(AND(AM41&gt;=0,CEILING(AM41/INDEX(TABLAS!$D$52:$D$58,MIN(MATCH(DATOS!$C$94,TABLAS!$B$52:$B$58,0)+0,7)),1)&lt;=MIN(99,INT((AZ41+DATOS!$C$24)/(INDEX(TABLAS!$C$52:$C$58,MIN(MATCH(DATOS!$C$94,TABLAS!$B$52:$B$58,0)+0,7))+DATOS!$C$24)))),INDEX(TABLAS!$B$52:$B$58,MIN(MATCH(DATOS!$C$94,TABLAS!$B$52:$B$58,0)+0,7)),IF(AND(AM41&gt;=0,CEILING(AM41/INDEX(TABLAS!$D$52:$D$58,MIN(MATCH(DATOS!$C$94,TABLAS!$B$52:$B$58,0)+1,7)),1)&lt;=MIN(99,INT((AZ41+DATOS!$C$24)/(INDEX(TABLAS!$C$52:$C$58,MIN(MATCH(DATOS!$C$94,TABLAS!$B$52:$B$58,0)+1,7))+DATOS!$C$24)))),INDEX(TABLAS!$B$52:$B$58,MIN(MATCH(DATOS!$C$94,TABLAS!$B$52:$B$58,0)+1,7)),IF(AND(AM41&gt;=0,CEILING(AM41/INDEX(TABLAS!$D$52:$D$58,MIN(MATCH(DATOS!$C$94,TABLAS!$B$52:$B$58,0)+2,7)),1)&lt;=MIN(99,INT((AZ41+DATOS!$C$24)/(INDEX(TABLAS!$C$52:$C$58,MIN(MATCH(DATOS!$C$94,TABLAS!$B$52:$B$58,0)+2,7))+DATOS!$C$24)))),INDEX(TABLAS!$B$52:$B$58,MIN(MATCH(DATOS!$C$94,TABLAS!$B$52:$B$58,0)+2,7)),IF(AND(AM41&gt;=0,CEILING(AM41/INDEX(TABLAS!$D$52:$D$58,MIN(MATCH(DATOS!$C$94,TABLAS!$B$52:$B$58,0)+3,7)),1)&lt;=MIN(99,INT((AZ41+DATOS!$C$24)/(INDEX(TABLAS!$C$52:$C$58,MIN(MATCH(DATOS!$C$94,TABLAS!$B$52:$B$58,0)+3,7))+DATOS!$C$24)))),INDEX(TABLAS!$B$52:$B$58,MIN(MATCH(DATOS!$C$94,TABLAS!$B$52:$B$58,0)+3,7)),IF(AND(AM41&gt;=0,CEILING(AM41/INDEX(TABLAS!$D$52:$D$58,MIN(MATCH(DATOS!$C$94,TABLAS!$B$52:$B$58,0)+4,7)),1)&lt;=MIN(99,INT((AZ41+DATOS!$C$24)/(INDEX(TABLAS!$C$52:$C$58,MIN(MATCH(DATOS!$C$94,TABLAS!$B$52:$B$58,0)+4,7))+DATOS!$C$24)))),INDEX(TABLAS!$B$52:$B$58,MIN(MATCH(DATOS!$C$94,TABLAS!$B$52:$B$58,0)+4,7)),INDEX(TABLAS!$B$52:$B$58,7)))))))</f>
        <v>4</v>
      </c>
      <c r="AO41" s="55">
        <f>IF(AM41&lt;=0,0,MAX(DATOS!$C$96,CEILING(AM41/INDEX(TABLAS!$D$52:$D$58,MATCH(IF(AN41=0,8,AN41),TABLAS!$B$52:$B$58,0)),1)))</f>
        <v>2</v>
      </c>
      <c r="AP41" s="34">
        <f>IF(AO41=0,0,DATOS!$C$45*AO41*INDEX(TABLAS!$D$52:$D$58,MATCH(AN41,TABLAS!$B$52:$B$58,0))*DATOS!$C$32*((O41-DATOS!$C$18-INDEX(TABLAS!$C$52:$C$58,MATCH(DATOS!$C$95,TABLAS!$B$52:$B$58,0))-INDEX(TABLAS!$C$52:$C$58,MATCH(AN41,TABLAS!$B$52:$B$58,0))/2)-AO41*INDEX(TABLAS!$D$52:$D$58,MATCH(AN41,TABLAS!$B$52:$B$58,0))*DATOS!$C$32/(DATOS!$C$38*N41)/2)/1E5)</f>
        <v>1.91079128964706</v>
      </c>
      <c r="AQ41" s="59">
        <f>IF(AM41&lt;0,9.99,IF(AP41&gt;0,AE41/AP41,0))</f>
        <v>0.0868535748708358</v>
      </c>
      <c r="AR41" s="34">
        <f>IF(AO41=0,0,DATOS!$C$46*IF((AO41*INDEX(TABLAS!$D$52:$D$58,MATCH(AN41,TABLAS!$B$52:$B$58,0))/(N41*AG41))&lt;0.015,0.2+20*(AO41*INDEX(TABLAS!$D$52:$D$58,MATCH(AN41,TABLAS!$B$52:$B$58,0))/(N41*AG41)),0.5)*SQRT(DATOS!$C$31)*N41*AG41/1000)</f>
        <v>1.36995797509107</v>
      </c>
      <c r="AS41" s="68">
        <f>IF(AF41=0,0,INT(MIN(IF(AF41&gt;AR41,DATOS!$C$46*2*INDEX(TABLAS!$D$52:$D$58,MATCH(DATOS!$C$95,TABLAS!$B$52:$B$58,0))*DATOS!$C$32*AG41/((AF41-AR41)*1000),999),AG41/2,DATOS!$C$97,2*INDEX(TABLAS!$D$52:$D$58,MATCH(DATOS!$C$95,TABLAS!$B$52:$B$58,0))*DATOS!$C$32/(MAX(0.2*SQRT(DATOS!$C$31),3.5)*N41))/2.5)*2.5)</f>
        <v>10</v>
      </c>
      <c r="AT41" s="49" t="str">
        <f>IF(AF41=0,"—",IF(AF41&gt;AR41+DATOS!$C$46*2.12*SQRT(DATOS!$C$31)*N41*AG41/1000,"SECCIÓN INSUFICIENTE","E No. "&amp;TEXT(DATOS!$C$95,"0.0")&amp;" @ "&amp;TEXT(AS41,"0.0")&amp;" cm"))</f>
        <v>E No. 2.5 @ 10.0 cm</v>
      </c>
      <c r="AU41" s="68">
        <f>IF(L41="APOYADA",G41*100/16,IF(L41="VOLADO",G41*100/8,0))</f>
        <v>11.40625</v>
      </c>
      <c r="AV41" s="68">
        <f>SQRT(MAX(AD41,AE41)*1E5/(DATOS!$C$45*N41*DATOS!$C$38*(DATOS!$C$70*DATOS!$C$32/DATOS!$C$38)*(1-(DATOS!$C$70*DATOS!$C$32/DATOS!$C$38)/2)))+(O41-AG41)</f>
        <v>8.76036196760528</v>
      </c>
      <c r="AW41" s="56">
        <f>IF(OR(L41="BORDE DE VOLADO",L41="SIN APOYO"),0,CEILING(MAX(AU41,AV41,DATOS!$C$15),5))</f>
        <v>25</v>
      </c>
      <c r="AX41" s="69" t="str">
        <f>IF(L41="BORDE DE VOLADO","BORDE DE VOLADO — armado de orilla",IF(L41="SIN APOYO","SIN APOYO — REVISAR",IF(AND(AL41&lt;=1,AQ41&lt;=1,IF(AJ41=0,TRUE,AJ41&lt;=INT((AZ41+DATOS!$C$24)/(INDEX(TABLAS!$C$52:$C$58,MATCH(MAX(AI41,2),TABLAS!$B$52:$B$58,0))+DATOS!$C$24))),IF(AO41=0,TRUE,AO41&lt;=INT((AZ41+DATOS!$C$24)/(INDEX(TABLAS!$C$52:$C$58,MATCH(MAX(AN41,2),TABLAS!$B$52:$B$58,0))+DATOS!$C$24))),AT41&lt;&gt;"SECCIÓN INSUFICIENTE",O41&gt;=AU41),"CUMPLE"&amp;IF(L41="VOLADO"," (en VOLADO)",""),"NO CUMPLE: "&amp;IF(OR(AH41&lt;0,AM41&lt;0),"sección insuficiente en flexión ",IF(OR(AL41&gt;1,AQ41&gt;1),"flexión ",""))&amp;IF(NOT(AND(IF(AJ41=0,TRUE,AJ41&lt;=INT((AZ41+DATOS!$C$24)/(INDEX(TABLAS!$C$52:$C$58,MATCH(MAX(AI41,2),TABLAS!$B$52:$B$58,0))+DATOS!$C$24))),IF(AO41=0,TRUE,AO41&lt;=INT((AZ41+DATOS!$C$24)/(INDEX(TABLAS!$C$52:$C$58,MATCH(MAX(AN41,2),TABLAS!$B$52:$B$58,0))+DATOS!$C$24))))),"no caben ","")&amp;IF(AT41="SECCIÓN INSUFICIENTE","cortante ","")&amp;IF(O41&lt;AU41,"deflexión ","")&amp;"→ h ≥ "&amp;TEXT(AW41,"0")&amp;" cm")))</f>
        <v>CUMPLE</v>
      </c>
      <c r="AY41" s="61" t="inlineStr">
        <is>
          <t>—</t>
        </is>
      </c>
      <c r="AZ41" s="41">
        <f>N41-2*DATOS!$C$18-2*INDEX(TABLAS!$C$52:$C$58,MATCH(DATOS!$C$95,TABLAS!$B$52:$B$58,0))</f>
        <v>9.42</v>
      </c>
    </row>
    <row r="42" ht="30" customHeight="1">
      <c r="B42" s="57" t="inlineStr">
        <is>
          <t>NP-34</t>
        </is>
      </c>
      <c r="C42" s="50" t="inlineStr">
        <is>
          <t>N+6.00</t>
        </is>
      </c>
      <c r="D42" s="49" t="inlineStr">
        <is>
          <t>Eje G (x = 5.923)</t>
        </is>
      </c>
      <c r="E42" s="50" t="inlineStr">
        <is>
          <t>(5.923, 6.948)</t>
        </is>
      </c>
      <c r="F42" s="50" t="inlineStr">
        <is>
          <t>(5.923, 9.950)</t>
        </is>
      </c>
      <c r="G42" s="53" t="n">
        <v>3.002</v>
      </c>
      <c r="H42" s="50" t="inlineStr">
        <is>
          <t>FIRME</t>
        </is>
      </c>
      <c r="I42" s="50" t="inlineStr">
        <is>
          <t>FIRME</t>
        </is>
      </c>
      <c r="J42" s="50" t="inlineStr">
        <is>
          <t>—</t>
        </is>
      </c>
      <c r="K42" s="50" t="inlineStr">
        <is>
          <t>—</t>
        </is>
      </c>
      <c r="L42" s="57" t="str">
        <f>IF(AND(OR(H42="FIRME",H42="NERVADURA",H42="PUNTA"),OR(I42="FIRME",I42="NERVADURA",I42="PUNTA")),"APOYADA",IF(OR(OR(H42="FIRME",H42="NERVADURA",H42="PUNTA"),OR(I42="FIRME",I42="NERVADURA",I42="PUNTA")),"VOLADO","SIN APOYO"))</f>
        <v>APOYADA</v>
      </c>
      <c r="M42" s="50" t="str">
        <f>IF(L42="VOLADO",IF(OR(H42="FIRME",H42="NERVADURA",H42="PUNTA"),"i","j"),"—")</f>
        <v>—</v>
      </c>
      <c r="N42" s="54">
        <f>DATOS!$C$17</f>
        <v>15</v>
      </c>
      <c r="O42" s="54">
        <f>DATOS!$C$15</f>
        <v>25</v>
      </c>
      <c r="P42" s="41">
        <f>SUMIFS(TRIB!$E$6:$E$255,TRIB!$B$6:$B$255,B42)</f>
        <v>2.2701</v>
      </c>
      <c r="Q42" s="34">
        <f>SUMIFS(TRIB!$G$6:$G$255,TRIB!$B$6:$B$255,B42)/G42</f>
        <v>0.672466467593033</v>
      </c>
      <c r="R42" s="66" t="n">
        <v>0</v>
      </c>
      <c r="S42" s="34">
        <f>DATOS!$C$43*R42*DATOS!$C$89/G42</f>
        <v>0</v>
      </c>
      <c r="T42" s="58" t="n">
        <v>101</v>
      </c>
      <c r="U42" s="58" t="n">
        <v>0</v>
      </c>
      <c r="V42" s="34">
        <f>(DATOS!$C$43*T42+DATOS!$C$44*U42)/1000</f>
        <v>0.1313</v>
      </c>
      <c r="W42" s="34">
        <f>DATOS!$C$43*(N42/100*O42/100*DATOS!$C$35-N42/100*DATOS!$C$58/1000)</f>
        <v>0.0694836734693878</v>
      </c>
      <c r="X42" s="67">
        <f>Q42+S42+V42+W42</f>
        <v>0.873250141062421</v>
      </c>
      <c r="Y42" s="34">
        <f>0</f>
        <v>0</v>
      </c>
      <c r="Z42" s="34">
        <f>0</f>
        <v>0</v>
      </c>
      <c r="AA42" s="34">
        <f>0</f>
        <v>0</v>
      </c>
      <c r="AB42" s="34">
        <f>IF(L42="APOYADA",X42*G42/2+0,IF(AND(L42="VOLADO",M42="i"),X42*G42+Y42,0))</f>
        <v>1.31074846173469</v>
      </c>
      <c r="AC42" s="34">
        <f>IF(L42="APOYADA",X42*G42/2+0,IF(AND(L42="VOLADO",M42="j"),X42*G42+Y42,0))</f>
        <v>1.31074846173469</v>
      </c>
      <c r="AD42" s="67">
        <f>IF(L42="APOYADA",X42*G42^2/8+Z42,0)</f>
        <v>0.983716720531888</v>
      </c>
      <c r="AE42" s="67">
        <f>IF(L42="APOYADA",DATOS!$C$52*AD42,IF(L42="VOLADO",X42*G42^2/2+Z42,0))</f>
        <v>0.656139052594769</v>
      </c>
      <c r="AF42" s="67">
        <f>IF(L42="APOYADA",X42*G42/2+AA42,IF(L42="VOLADO",X42*G42+AA42,0))</f>
        <v>1.31074846173469</v>
      </c>
      <c r="AG42" s="41">
        <f>O42-DATOS!$C$18-INDEX(TABLAS!$C$52:$C$58,MATCH(DATOS!$C$95,TABLAS!$B$52:$B$58,0))-INDEX(TABLAS!$C$52:$C$58,MATCH(DATOS!$C$94,TABLAS!$B$52:$B$58,0))/2</f>
        <v>21.575</v>
      </c>
      <c r="AH42" s="41">
        <f>IF(OR(L42="BORDE DE VOLADO",L42="SIN APOYO"),0,IF(AD42&lt;=0,DATOS!$C$71*N42*AG42,IF((1-2*AD42*1E5/(DATOS!$C$45*N42*AG42^2*DATOS!$C$38))&lt;0,-1,IF((1-SQRT((1-2*AD42*1E5/(DATOS!$C$45*N42*AG42^2*DATOS!$C$38))))*DATOS!$C$38*N42*AG42/DATOS!$C$32&gt;DATOS!$C$70*N42*AG42,-1,MAX(DATOS!$C$71*N42*AG42,(1-SQRT((1-2*AD42*1E5/(DATOS!$C$45*N42*AG42^2*DATOS!$C$38))))*DATOS!$C$38*N42*AG42/DATOS!$C$32)))))</f>
        <v>1.25426163421086</v>
      </c>
      <c r="AI42" s="39">
        <f>IF(AH42&lt;0,0,IF(AND(AH42&gt;=0,CEILING(AH42/INDEX(TABLAS!$D$52:$D$58,MIN(MATCH(DATOS!$C$94,TABLAS!$B$52:$B$58,0)+0,7)),1)&lt;=MIN(99,INT((AZ42+DATOS!$C$24)/(INDEX(TABLAS!$C$52:$C$58,MIN(MATCH(DATOS!$C$94,TABLAS!$B$52:$B$58,0)+0,7))+DATOS!$C$24)))),INDEX(TABLAS!$B$52:$B$58,MIN(MATCH(DATOS!$C$94,TABLAS!$B$52:$B$58,0)+0,7)),IF(AND(AH42&gt;=0,CEILING(AH42/INDEX(TABLAS!$D$52:$D$58,MIN(MATCH(DATOS!$C$94,TABLAS!$B$52:$B$58,0)+1,7)),1)&lt;=MIN(99,INT((AZ42+DATOS!$C$24)/(INDEX(TABLAS!$C$52:$C$58,MIN(MATCH(DATOS!$C$94,TABLAS!$B$52:$B$58,0)+1,7))+DATOS!$C$24)))),INDEX(TABLAS!$B$52:$B$58,MIN(MATCH(DATOS!$C$94,TABLAS!$B$52:$B$58,0)+1,7)),IF(AND(AH42&gt;=0,CEILING(AH42/INDEX(TABLAS!$D$52:$D$58,MIN(MATCH(DATOS!$C$94,TABLAS!$B$52:$B$58,0)+2,7)),1)&lt;=MIN(99,INT((AZ42+DATOS!$C$24)/(INDEX(TABLAS!$C$52:$C$58,MIN(MATCH(DATOS!$C$94,TABLAS!$B$52:$B$58,0)+2,7))+DATOS!$C$24)))),INDEX(TABLAS!$B$52:$B$58,MIN(MATCH(DATOS!$C$94,TABLAS!$B$52:$B$58,0)+2,7)),IF(AND(AH42&gt;=0,CEILING(AH42/INDEX(TABLAS!$D$52:$D$58,MIN(MATCH(DATOS!$C$94,TABLAS!$B$52:$B$58,0)+3,7)),1)&lt;=MIN(99,INT((AZ42+DATOS!$C$24)/(INDEX(TABLAS!$C$52:$C$58,MIN(MATCH(DATOS!$C$94,TABLAS!$B$52:$B$58,0)+3,7))+DATOS!$C$24)))),INDEX(TABLAS!$B$52:$B$58,MIN(MATCH(DATOS!$C$94,TABLAS!$B$52:$B$58,0)+3,7)),IF(AND(AH42&gt;=0,CEILING(AH42/INDEX(TABLAS!$D$52:$D$58,MIN(MATCH(DATOS!$C$94,TABLAS!$B$52:$B$58,0)+4,7)),1)&lt;=MIN(99,INT((AZ42+DATOS!$C$24)/(INDEX(TABLAS!$C$52:$C$58,MIN(MATCH(DATOS!$C$94,TABLAS!$B$52:$B$58,0)+4,7))+DATOS!$C$24)))),INDEX(TABLAS!$B$52:$B$58,MIN(MATCH(DATOS!$C$94,TABLAS!$B$52:$B$58,0)+4,7)),INDEX(TABLAS!$B$52:$B$58,7)))))))</f>
        <v>4</v>
      </c>
      <c r="AJ42" s="55">
        <f>IF(AH42&lt;=0,0,MAX(DATOS!$C$96,CEILING(AH42/INDEX(TABLAS!$D$52:$D$58,MATCH(IF(AI42=0,8,AI42),TABLAS!$B$52:$B$58,0)),1)))</f>
        <v>2</v>
      </c>
      <c r="AK42" s="34">
        <f>IF(AJ42=0,0,DATOS!$C$45*AJ42*INDEX(TABLAS!$D$52:$D$58,MATCH(AI42,TABLAS!$B$52:$B$58,0))*DATOS!$C$32*((O42-DATOS!$C$18-INDEX(TABLAS!$C$52:$C$58,MATCH(DATOS!$C$95,TABLAS!$B$52:$B$58,0))-INDEX(TABLAS!$C$52:$C$58,MATCH(AI42,TABLAS!$B$52:$B$58,0))/2)-AJ42*INDEX(TABLAS!$D$52:$D$58,MATCH(AI42,TABLAS!$B$52:$B$58,0))*DATOS!$C$32/(DATOS!$C$38*N42)/2)/1E5)</f>
        <v>1.91079128964706</v>
      </c>
      <c r="AL42" s="59">
        <f>IF(AH42&lt;0,9.99,IF(AK42&gt;0,AD42/AK42,0))</f>
        <v>0.514821647901477</v>
      </c>
      <c r="AM42" s="41">
        <f>IF(OR(L42="BORDE DE VOLADO",L42="SIN APOYO"),0,IF(AE42&lt;=0,DATOS!$C$71*N42*AG42,IF((1-2*AE42*1E5/(DATOS!$C$45*N42*AG42^2*DATOS!$C$38))&lt;0,-1,IF((1-SQRT((1-2*AE42*1E5/(DATOS!$C$45*N42*AG42^2*DATOS!$C$38))))*DATOS!$C$38*N42*AG42/DATOS!$C$32&gt;DATOS!$C$70*N42*AG42,-1,MAX(DATOS!$C$71*N42*AG42,(1-SQRT((1-2*AE42*1E5/(DATOS!$C$45*N42*AG42^2*DATOS!$C$38))))*DATOS!$C$38*N42*AG42/DATOS!$C$32)))))</f>
        <v>0.85282675647666</v>
      </c>
      <c r="AN42" s="39">
        <f>IF(AM42&lt;0,0,IF(AND(AM42&gt;=0,CEILING(AM42/INDEX(TABLAS!$D$52:$D$58,MIN(MATCH(DATOS!$C$94,TABLAS!$B$52:$B$58,0)+0,7)),1)&lt;=MIN(99,INT((AZ42+DATOS!$C$24)/(INDEX(TABLAS!$C$52:$C$58,MIN(MATCH(DATOS!$C$94,TABLAS!$B$52:$B$58,0)+0,7))+DATOS!$C$24)))),INDEX(TABLAS!$B$52:$B$58,MIN(MATCH(DATOS!$C$94,TABLAS!$B$52:$B$58,0)+0,7)),IF(AND(AM42&gt;=0,CEILING(AM42/INDEX(TABLAS!$D$52:$D$58,MIN(MATCH(DATOS!$C$94,TABLAS!$B$52:$B$58,0)+1,7)),1)&lt;=MIN(99,INT((AZ42+DATOS!$C$24)/(INDEX(TABLAS!$C$52:$C$58,MIN(MATCH(DATOS!$C$94,TABLAS!$B$52:$B$58,0)+1,7))+DATOS!$C$24)))),INDEX(TABLAS!$B$52:$B$58,MIN(MATCH(DATOS!$C$94,TABLAS!$B$52:$B$58,0)+1,7)),IF(AND(AM42&gt;=0,CEILING(AM42/INDEX(TABLAS!$D$52:$D$58,MIN(MATCH(DATOS!$C$94,TABLAS!$B$52:$B$58,0)+2,7)),1)&lt;=MIN(99,INT((AZ42+DATOS!$C$24)/(INDEX(TABLAS!$C$52:$C$58,MIN(MATCH(DATOS!$C$94,TABLAS!$B$52:$B$58,0)+2,7))+DATOS!$C$24)))),INDEX(TABLAS!$B$52:$B$58,MIN(MATCH(DATOS!$C$94,TABLAS!$B$52:$B$58,0)+2,7)),IF(AND(AM42&gt;=0,CEILING(AM42/INDEX(TABLAS!$D$52:$D$58,MIN(MATCH(DATOS!$C$94,TABLAS!$B$52:$B$58,0)+3,7)),1)&lt;=MIN(99,INT((AZ42+DATOS!$C$24)/(INDEX(TABLAS!$C$52:$C$58,MIN(MATCH(DATOS!$C$94,TABLAS!$B$52:$B$58,0)+3,7))+DATOS!$C$24)))),INDEX(TABLAS!$B$52:$B$58,MIN(MATCH(DATOS!$C$94,TABLAS!$B$52:$B$58,0)+3,7)),IF(AND(AM42&gt;=0,CEILING(AM42/INDEX(TABLAS!$D$52:$D$58,MIN(MATCH(DATOS!$C$94,TABLAS!$B$52:$B$58,0)+4,7)),1)&lt;=MIN(99,INT((AZ42+DATOS!$C$24)/(INDEX(TABLAS!$C$52:$C$58,MIN(MATCH(DATOS!$C$94,TABLAS!$B$52:$B$58,0)+4,7))+DATOS!$C$24)))),INDEX(TABLAS!$B$52:$B$58,MIN(MATCH(DATOS!$C$94,TABLAS!$B$52:$B$58,0)+4,7)),INDEX(TABLAS!$B$52:$B$58,7)))))))</f>
        <v>4</v>
      </c>
      <c r="AO42" s="55">
        <f>IF(AM42&lt;=0,0,MAX(DATOS!$C$96,CEILING(AM42/INDEX(TABLAS!$D$52:$D$58,MATCH(IF(AN42=0,8,AN42),TABLAS!$B$52:$B$58,0)),1)))</f>
        <v>2</v>
      </c>
      <c r="AP42" s="34">
        <f>IF(AO42=0,0,DATOS!$C$45*AO42*INDEX(TABLAS!$D$52:$D$58,MATCH(AN42,TABLAS!$B$52:$B$58,0))*DATOS!$C$32*((O42-DATOS!$C$18-INDEX(TABLAS!$C$52:$C$58,MATCH(DATOS!$C$95,TABLAS!$B$52:$B$58,0))-INDEX(TABLAS!$C$52:$C$58,MATCH(AN42,TABLAS!$B$52:$B$58,0))/2)-AO42*INDEX(TABLAS!$D$52:$D$58,MATCH(AN42,TABLAS!$B$52:$B$58,0))*DATOS!$C$32/(DATOS!$C$38*N42)/2)/1E5)</f>
        <v>1.91079128964706</v>
      </c>
      <c r="AQ42" s="59">
        <f>IF(AM42&lt;0,9.99,IF(AP42&gt;0,AE42/AP42,0))</f>
        <v>0.343386039150285</v>
      </c>
      <c r="AR42" s="34">
        <f>IF(AO42=0,0,DATOS!$C$46*IF((AO42*INDEX(TABLAS!$D$52:$D$58,MATCH(AN42,TABLAS!$B$52:$B$58,0))/(N42*AG42))&lt;0.015,0.2+20*(AO42*INDEX(TABLAS!$D$52:$D$58,MATCH(AN42,TABLAS!$B$52:$B$58,0))/(N42*AG42)),0.5)*SQRT(DATOS!$C$31)*N42*AG42/1000)</f>
        <v>1.36995797509107</v>
      </c>
      <c r="AS42" s="68">
        <f>IF(AF42=0,0,INT(MIN(IF(AF42&gt;AR42,DATOS!$C$46*2*INDEX(TABLAS!$D$52:$D$58,MATCH(DATOS!$C$95,TABLAS!$B$52:$B$58,0))*DATOS!$C$32*AG42/((AF42-AR42)*1000),999),AG42/2,DATOS!$C$97,2*INDEX(TABLAS!$D$52:$D$58,MATCH(DATOS!$C$95,TABLAS!$B$52:$B$58,0))*DATOS!$C$32/(MAX(0.2*SQRT(DATOS!$C$31),3.5)*N42))/2.5)*2.5)</f>
        <v>10</v>
      </c>
      <c r="AT42" s="49" t="str">
        <f>IF(AF42=0,"—",IF(AF42&gt;AR42+DATOS!$C$46*2.12*SQRT(DATOS!$C$31)*N42*AG42/1000,"SECCIÓN INSUFICIENTE","E No. "&amp;TEXT(DATOS!$C$95,"0.0")&amp;" @ "&amp;TEXT(AS42,"0.0")&amp;" cm"))</f>
        <v>E No. 2.5 @ 10.0 cm</v>
      </c>
      <c r="AU42" s="68">
        <f>IF(L42="APOYADA",G42*100/16,IF(L42="VOLADO",G42*100/8,0))</f>
        <v>18.7625</v>
      </c>
      <c r="AV42" s="68">
        <f>SQRT(MAX(AD42,AE42)*1E5/(DATOS!$C$45*N42*DATOS!$C$38*(DATOS!$C$70*DATOS!$C$32/DATOS!$C$38)*(1-(DATOS!$C$70*DATOS!$C$32/DATOS!$C$38)/2)))+(O42-AG42)</f>
        <v>14.0336801698972</v>
      </c>
      <c r="AW42" s="56">
        <f>IF(OR(L42="BORDE DE VOLADO",L42="SIN APOYO"),0,CEILING(MAX(AU42,AV42,DATOS!$C$15),5))</f>
        <v>25</v>
      </c>
      <c r="AX42" s="69" t="str">
        <f>IF(L42="BORDE DE VOLADO","BORDE DE VOLADO — armado de orilla",IF(L42="SIN APOYO","SIN APOYO — REVISAR",IF(AND(AL42&lt;=1,AQ42&lt;=1,IF(AJ42=0,TRUE,AJ42&lt;=INT((AZ42+DATOS!$C$24)/(INDEX(TABLAS!$C$52:$C$58,MATCH(MAX(AI42,2),TABLAS!$B$52:$B$58,0))+DATOS!$C$24))),IF(AO42=0,TRUE,AO42&lt;=INT((AZ42+DATOS!$C$24)/(INDEX(TABLAS!$C$52:$C$58,MATCH(MAX(AN42,2),TABLAS!$B$52:$B$58,0))+DATOS!$C$24))),AT42&lt;&gt;"SECCIÓN INSUFICIENTE",O42&gt;=AU42),"CUMPLE"&amp;IF(L42="VOLADO"," (en VOLADO)",""),"NO CUMPLE: "&amp;IF(OR(AH42&lt;0,AM42&lt;0),"sección insuficiente en flexión ",IF(OR(AL42&gt;1,AQ42&gt;1),"flexión ",""))&amp;IF(NOT(AND(IF(AJ42=0,TRUE,AJ42&lt;=INT((AZ42+DATOS!$C$24)/(INDEX(TABLAS!$C$52:$C$58,MATCH(MAX(AI42,2),TABLAS!$B$52:$B$58,0))+DATOS!$C$24))),IF(AO42=0,TRUE,AO42&lt;=INT((AZ42+DATOS!$C$24)/(INDEX(TABLAS!$C$52:$C$58,MATCH(MAX(AN42,2),TABLAS!$B$52:$B$58,0))+DATOS!$C$24))))),"no caben ","")&amp;IF(AT42="SECCIÓN INSUFICIENTE","cortante ","")&amp;IF(O42&lt;AU42,"deflexión ","")&amp;"→ h ≥ "&amp;TEXT(AW42,"0")&amp;" cm")))</f>
        <v>CUMPLE</v>
      </c>
      <c r="AY42" s="61" t="inlineStr">
        <is>
          <t>—</t>
        </is>
      </c>
      <c r="AZ42" s="41">
        <f>N42-2*DATOS!$C$18-2*INDEX(TABLAS!$C$52:$C$58,MATCH(DATOS!$C$95,TABLAS!$B$52:$B$58,0))</f>
        <v>9.42</v>
      </c>
    </row>
  </sheetData>
  <mergeCells count="11">
    <mergeCell ref="B3:AZ3"/>
    <mergeCell ref="B2:AZ2"/>
    <mergeCell ref="B6:M6"/>
    <mergeCell ref="P6:X6"/>
    <mergeCell ref="AR6:AT6"/>
    <mergeCell ref="AD6:AF6"/>
    <mergeCell ref="N6:O6"/>
    <mergeCell ref="AU6:AZ6"/>
    <mergeCell ref="Y6:AC6"/>
    <mergeCell ref="B1:AZ1"/>
    <mergeCell ref="AG6:AQ6"/>
  </mergeCells>
  <conditionalFormatting sqref="B9:AX42">
    <cfRule type="expression" priority="1" dxfId="0" stopIfTrue="1">
      <formula>OR(ISNUMBER(FIND("NO CUMPLE",B9)),ISNUMBER(FIND("REVISAR",B9)),ISNUMBER(FIND("NO CABE",B9)),ISNUMBER(FIND("FUERA",B9)),ISNUMBER(FIND("SIN APOYO",B9)),ISNUMBER(FIND("INSUFICIENTE",B9)))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pageMargins left="0.75" right="0.75" top="1" bottom="1" header="0.5" footer="0.5"/>
  <pageSetup orientation="landscape" paperSize="1" fitToHeight="0" fitToWidth="1"/>
</worksheet>
</file>

<file path=xl/worksheets/sheet7.xml><?xml version="1.0" encoding="utf-8"?>
<worksheet xmlns="http://schemas.openxmlformats.org/spreadsheetml/2006/main">
  <sheetPr>
    <outlinePr summaryBelow="1" summaryRight="1"/>
    <pageSetUpPr fitToPage="1"/>
  </sheetPr>
  <dimension ref="B1:I205"/>
  <sheetViews>
    <sheetView showGridLines="0" workbookViewId="0">
      <selection activeCell="A1" sqref="A1"/>
    </sheetView>
  </sheetViews>
  <sheetFormatPr baseColWidth="8" defaultRowHeight="15"/>
  <cols>
    <col width="1.78" customWidth="1" min="1" max="1"/>
    <col width="22" customWidth="1" min="2" max="2"/>
    <col width="9" customWidth="1" min="3" max="3"/>
    <col width="22" customWidth="1" min="4" max="4"/>
    <col width="9" customWidth="1" min="5" max="5"/>
    <col width="10" customWidth="1" min="6" max="6"/>
    <col width="11" customWidth="1" min="7" max="7"/>
    <col width="11" customWidth="1" min="8" max="8"/>
    <col width="40" customWidth="1" min="9" max="9"/>
  </cols>
  <sheetData>
    <row r="1" ht="26" customHeight="1">
      <c r="B1" s="1" t="inlineStr">
        <is>
          <t>MUROS — LO QUE LA LOSA LE ENTREGA A LOS MUROS Y A LOS CASTILLOS</t>
        </is>
      </c>
    </row>
    <row r="2" ht="30" customHeight="1">
      <c r="B2" s="2" t="inlineStr">
        <is>
          <t>Para la revisión de muros con la NTC-Mampostería 2023: carga lineal de la losa sobre cada tramo de dala que sí tiene muro abajo, y reacciones concentradas de las nervaduras principales en sus apoyos.</t>
        </is>
      </c>
    </row>
    <row r="3" ht="6" customHeight="1"/>
    <row r="4" ht="21" customHeight="1">
      <c r="B4" s="5" t="inlineStr">
        <is>
          <t>A. CARGA LINEAL DE LOSA SOBRE MUROS (por tramo de dala sobre muro)</t>
        </is>
      </c>
    </row>
    <row r="5" ht="30" customHeight="1">
      <c r="B5" s="6" t="inlineStr">
        <is>
          <t>Sólo la losa (áreas tributarias del DXF). No incluye el peso del propio muro, ni el muro de arriba, ni las cargas lineales del E2K: eso se suma en la revisión del muro.</t>
        </is>
      </c>
      <c r="C5" s="7" t="n"/>
      <c r="D5" s="7" t="n"/>
      <c r="E5" s="7" t="n"/>
      <c r="F5" s="7" t="n"/>
      <c r="G5" s="7" t="n"/>
      <c r="H5" s="7" t="n"/>
      <c r="I5" s="7" t="n"/>
    </row>
    <row r="6">
      <c r="B6" s="8" t="inlineStr">
        <is>
          <t>Tramo · eje</t>
        </is>
      </c>
      <c r="C6" s="8" t="inlineStr">
        <is>
          <t>Nivel</t>
        </is>
      </c>
      <c r="D6" s="8" t="inlineStr">
        <is>
          <t>De – a</t>
        </is>
      </c>
      <c r="E6" s="8" t="inlineStr">
        <is>
          <t>L (m)</t>
        </is>
      </c>
      <c r="F6" s="8" t="inlineStr">
        <is>
          <t>Área trib. (m²)</t>
        </is>
      </c>
      <c r="G6" s="8" t="inlineStr">
        <is>
          <t>w servicio (t/m)</t>
        </is>
      </c>
      <c r="H6" s="8" t="inlineStr">
        <is>
          <t>w última (t/m)</t>
        </is>
      </c>
      <c r="I6" s="8" t="inlineStr">
        <is>
          <t>Nota</t>
        </is>
      </c>
    </row>
    <row r="7">
      <c r="B7" s="35" t="inlineStr">
        <is>
          <t>DM-01 · Eje 4 (y = 5.346)</t>
        </is>
      </c>
      <c r="C7" s="39" t="inlineStr">
        <is>
          <t>N+3.00</t>
        </is>
      </c>
      <c r="D7" s="42" t="inlineStr">
        <is>
          <t>(0.00, 5.35) – (1.07, 5.35)</t>
        </is>
      </c>
      <c r="E7" s="34" t="n">
        <v>1.075</v>
      </c>
      <c r="F7" s="41">
        <f>SUMIFS(TRIB!$E$6:$E$255,TRIB!$B$6:$B$255,"DM-01")</f>
        <v>1.1181</v>
      </c>
      <c r="G7" s="34">
        <f>SUMIFS(TRIB!$I$6:$I$255,TRIB!$B$6:$B$255,"DM-01")/E7</f>
        <v>0.627876563834836</v>
      </c>
      <c r="H7" s="67">
        <f>SUMIFS(TRIB!$G$6:$G$255,TRIB!$B$6:$B$255,"DM-01")/E7</f>
        <v>0.855763067869008</v>
      </c>
      <c r="I7" s="42" t="inlineStr">
        <is>
          <t>Muro del entrepiso de abajo (planta baja)</t>
        </is>
      </c>
    </row>
    <row r="8">
      <c r="B8" s="35" t="inlineStr">
        <is>
          <t>DM-02 · Eje 4 (y = 5.346)</t>
        </is>
      </c>
      <c r="C8" s="39" t="inlineStr">
        <is>
          <t>N+3.00</t>
        </is>
      </c>
      <c r="D8" s="42" t="inlineStr">
        <is>
          <t>(1.07, 5.35) – (2.92, 5.35)</t>
        </is>
      </c>
      <c r="E8" s="34" t="n">
        <v>1.85</v>
      </c>
      <c r="F8" s="41">
        <f>SUMIFS(TRIB!$E$6:$E$255,TRIB!$B$6:$B$255,"DM-02")</f>
        <v>3.3947</v>
      </c>
      <c r="G8" s="34">
        <f>SUMIFS(TRIB!$I$6:$I$255,TRIB!$B$6:$B$255,"DM-02")/E8</f>
        <v>1.10772450082736</v>
      </c>
      <c r="H8" s="67">
        <f>SUMIFS(TRIB!$G$6:$G$255,TRIB!$B$6:$B$255,"DM-02")/E8</f>
        <v>1.50977082404854</v>
      </c>
      <c r="I8" s="42" t="inlineStr">
        <is>
          <t>Muro del entrepiso de abajo (planta baja)</t>
        </is>
      </c>
    </row>
    <row r="9">
      <c r="B9" s="35" t="inlineStr">
        <is>
          <t>DM-03 · Eje 5 (y = 5.946)</t>
        </is>
      </c>
      <c r="C9" s="39" t="inlineStr">
        <is>
          <t>N+3.00</t>
        </is>
      </c>
      <c r="D9" s="42" t="inlineStr">
        <is>
          <t>(2.92, 5.95) – (3.65, 5.95)</t>
        </is>
      </c>
      <c r="E9" s="34" t="n">
        <v>0.723</v>
      </c>
      <c r="F9" s="41">
        <f>SUMIFS(TRIB!$E$6:$E$255,TRIB!$B$6:$B$255,"DM-03")</f>
        <v>0.809</v>
      </c>
      <c r="G9" s="34">
        <f>SUMIFS(TRIB!$I$6:$I$255,TRIB!$B$6:$B$255,"DM-03")/E9</f>
        <v>0.675479718858498</v>
      </c>
      <c r="H9" s="67">
        <f>SUMIFS(TRIB!$G$6:$G$255,TRIB!$B$6:$B$255,"DM-03")/E9</f>
        <v>0.920643689841082</v>
      </c>
      <c r="I9" s="42" t="inlineStr">
        <is>
          <t>Muro del entrepiso de abajo (planta baja)</t>
        </is>
      </c>
    </row>
    <row r="10">
      <c r="B10" s="35" t="inlineStr">
        <is>
          <t>DM-04 · Eje 5 (y = 5.946)</t>
        </is>
      </c>
      <c r="C10" s="39" t="inlineStr">
        <is>
          <t>N+3.00</t>
        </is>
      </c>
      <c r="D10" s="42" t="inlineStr">
        <is>
          <t>(3.65, 5.95) – (5.30, 5.95)</t>
        </is>
      </c>
      <c r="E10" s="34" t="n">
        <v>1.65</v>
      </c>
      <c r="F10" s="41">
        <f>SUMIFS(TRIB!$E$6:$E$255,TRIB!$B$6:$B$255,"DM-04")</f>
        <v>1.3282</v>
      </c>
      <c r="G10" s="34">
        <f>SUMIFS(TRIB!$I$6:$I$255,TRIB!$B$6:$B$255,"DM-04")/E10</f>
        <v>0.50466915275201</v>
      </c>
      <c r="H10" s="67">
        <f>SUMIFS(TRIB!$G$6:$G$255,TRIB!$B$6:$B$255,"DM-04")/E10</f>
        <v>0.686658747062461</v>
      </c>
      <c r="I10" s="42" t="inlineStr">
        <is>
          <t>Muro del entrepiso de abajo (planta baja)</t>
        </is>
      </c>
    </row>
    <row r="11">
      <c r="B11" s="35" t="inlineStr">
        <is>
          <t>DM-05 · Eje 5 (y = 5.946)</t>
        </is>
      </c>
      <c r="C11" s="39" t="inlineStr">
        <is>
          <t>N+3.00</t>
        </is>
      </c>
      <c r="D11" s="42" t="inlineStr">
        <is>
          <t>(5.30, 5.95) – (5.92, 5.95)</t>
        </is>
      </c>
      <c r="E11" s="34" t="n">
        <v>0.625</v>
      </c>
      <c r="F11" s="41">
        <f>SUMIFS(TRIB!$E$6:$E$255,TRIB!$B$6:$B$255,"DM-05")</f>
        <v>0.3906</v>
      </c>
      <c r="G11" s="34">
        <f>SUMIFS(TRIB!$I$6:$I$255,TRIB!$B$6:$B$255,"DM-05")/E11</f>
        <v>0.399145371428571</v>
      </c>
      <c r="H11" s="67">
        <f>SUMIFS(TRIB!$G$6:$G$255,TRIB!$B$6:$B$255,"DM-05")/E11</f>
        <v>0.542637462857143</v>
      </c>
      <c r="I11" s="42" t="inlineStr">
        <is>
          <t>Muro del entrepiso de abajo (planta baja)</t>
        </is>
      </c>
    </row>
    <row r="12">
      <c r="B12" s="35" t="inlineStr">
        <is>
          <t>DM-06 · Eje 6 (y = 6.948)</t>
        </is>
      </c>
      <c r="C12" s="39" t="inlineStr">
        <is>
          <t>N+3.00</t>
        </is>
      </c>
      <c r="D12" s="42" t="inlineStr">
        <is>
          <t>(0.00, 6.95) – (2.92, 6.95)</t>
        </is>
      </c>
      <c r="E12" s="34" t="n">
        <v>2.925</v>
      </c>
      <c r="F12" s="41">
        <f>SUMIFS(TRIB!$E$6:$E$255,TRIB!$B$6:$B$255,"DM-06")</f>
        <v>2.9447</v>
      </c>
      <c r="G12" s="34">
        <f>SUMIFS(TRIB!$I$6:$I$255,TRIB!$B$6:$B$255,"DM-06")/E12</f>
        <v>0.607739236002093</v>
      </c>
      <c r="H12" s="67">
        <f>SUMIFS(TRIB!$G$6:$G$255,TRIB!$B$6:$B$255,"DM-06")/E12</f>
        <v>0.828316938426653</v>
      </c>
      <c r="I12" s="42" t="inlineStr">
        <is>
          <t>Muro del entrepiso de abajo (planta baja)</t>
        </is>
      </c>
    </row>
    <row r="13">
      <c r="B13" s="35" t="inlineStr">
        <is>
          <t>DM-07 · Eje 6 (y = 6.948)</t>
        </is>
      </c>
      <c r="C13" s="39" t="inlineStr">
        <is>
          <t>N+3.00</t>
        </is>
      </c>
      <c r="D13" s="42" t="inlineStr">
        <is>
          <t>(5.92, 6.95) – (6.27, 6.95)</t>
        </is>
      </c>
      <c r="E13" s="34" t="n">
        <v>0.349</v>
      </c>
      <c r="F13" s="41">
        <f>SUMIFS(TRIB!$E$6:$E$255,TRIB!$B$6:$B$255,"DM-07")</f>
        <v>0</v>
      </c>
      <c r="G13" s="34">
        <f>SUMIFS(TRIB!$I$6:$I$255,TRIB!$B$6:$B$255,"DM-07")/E13</f>
        <v>0</v>
      </c>
      <c r="H13" s="67">
        <f>SUMIFS(TRIB!$G$6:$G$255,TRIB!$B$6:$B$255,"DM-07")/E13</f>
        <v>0</v>
      </c>
      <c r="I13" s="42" t="inlineStr">
        <is>
          <t>Muro del entrepiso de abajo (planta baja)</t>
        </is>
      </c>
    </row>
    <row r="14">
      <c r="B14" s="35" t="inlineStr">
        <is>
          <t>DM-08 · Eje 6 (y = 6.948)</t>
        </is>
      </c>
      <c r="C14" s="39" t="inlineStr">
        <is>
          <t>N+3.00</t>
        </is>
      </c>
      <c r="D14" s="42" t="inlineStr">
        <is>
          <t>(6.27, 6.95) – (8.50, 6.95)</t>
        </is>
      </c>
      <c r="E14" s="34" t="n">
        <v>2.228</v>
      </c>
      <c r="F14" s="41">
        <f>SUMIFS(TRIB!$E$6:$E$255,TRIB!$B$6:$B$255,"DM-08")</f>
        <v>0</v>
      </c>
      <c r="G14" s="34">
        <f>SUMIFS(TRIB!$I$6:$I$255,TRIB!$B$6:$B$255,"DM-08")/E14</f>
        <v>0</v>
      </c>
      <c r="H14" s="67">
        <f>SUMIFS(TRIB!$G$6:$G$255,TRIB!$B$6:$B$255,"DM-08")/E14</f>
        <v>0</v>
      </c>
      <c r="I14" s="42" t="inlineStr">
        <is>
          <t>Muro del entrepiso de abajo (planta baja)</t>
        </is>
      </c>
    </row>
    <row r="15">
      <c r="B15" s="35" t="inlineStr">
        <is>
          <t>DM-09 · Eje 6 (y = 6.948)</t>
        </is>
      </c>
      <c r="C15" s="39" t="inlineStr">
        <is>
          <t>N+3.00</t>
        </is>
      </c>
      <c r="D15" s="42" t="inlineStr">
        <is>
          <t>(8.50, 6.95) – (8.85, 6.95)</t>
        </is>
      </c>
      <c r="E15" s="34" t="n">
        <v>0.35</v>
      </c>
      <c r="F15" s="41">
        <f>SUMIFS(TRIB!$E$6:$E$255,TRIB!$B$6:$B$255,"DM-09")</f>
        <v>0</v>
      </c>
      <c r="G15" s="34">
        <f>SUMIFS(TRIB!$I$6:$I$255,TRIB!$B$6:$B$255,"DM-09")/E15</f>
        <v>0</v>
      </c>
      <c r="H15" s="67">
        <f>SUMIFS(TRIB!$G$6:$G$255,TRIB!$B$6:$B$255,"DM-09")/E15</f>
        <v>0</v>
      </c>
      <c r="I15" s="42" t="inlineStr">
        <is>
          <t>Muro del entrepiso de abajo (planta baja)</t>
        </is>
      </c>
    </row>
    <row r="16">
      <c r="B16" s="35" t="inlineStr">
        <is>
          <t>DM-10 · Eje 8 (y = 9.950)</t>
        </is>
      </c>
      <c r="C16" s="39" t="inlineStr">
        <is>
          <t>N+3.00</t>
        </is>
      </c>
      <c r="D16" s="42" t="inlineStr">
        <is>
          <t>(8.14, 9.95) – (8.85, 9.95)</t>
        </is>
      </c>
      <c r="E16" s="34" t="n">
        <v>0.706</v>
      </c>
      <c r="F16" s="41">
        <f>SUMIFS(TRIB!$E$6:$E$255,TRIB!$B$6:$B$255,"DM-10")</f>
        <v>0.2492</v>
      </c>
      <c r="G16" s="34">
        <f>SUMIFS(TRIB!$I$6:$I$255,TRIB!$B$6:$B$255,"DM-10")/E16</f>
        <v>0.218375961149332</v>
      </c>
      <c r="H16" s="67">
        <f>SUMIFS(TRIB!$G$6:$G$255,TRIB!$B$6:$B$255,"DM-10")/E16</f>
        <v>0.297301780655605</v>
      </c>
      <c r="I16" s="42" t="inlineStr">
        <is>
          <t>Muro del entrepiso de abajo (planta baja)</t>
        </is>
      </c>
    </row>
    <row r="17">
      <c r="B17" s="35" t="inlineStr">
        <is>
          <t>DM-11 · Eje 11 (y = 15.447)</t>
        </is>
      </c>
      <c r="C17" s="39" t="inlineStr">
        <is>
          <t>N+3.00</t>
        </is>
      </c>
      <c r="D17" s="42" t="inlineStr">
        <is>
          <t>(4.92, 15.45) – (6.89, 15.45)</t>
        </is>
      </c>
      <c r="E17" s="34" t="n">
        <v>1.962</v>
      </c>
      <c r="F17" s="41">
        <f>SUMIFS(TRIB!$E$6:$E$255,TRIB!$B$6:$B$255,"DM-11")</f>
        <v>1.5308</v>
      </c>
      <c r="G17" s="34">
        <f>SUMIFS(TRIB!$I$6:$I$255,TRIB!$B$6:$B$255,"DM-11")/E17</f>
        <v>0.488923469387755</v>
      </c>
      <c r="H17" s="67">
        <f>SUMIFS(TRIB!$G$6:$G$255,TRIB!$B$6:$B$255,"DM-11")/E17</f>
        <v>0.665249032120494</v>
      </c>
      <c r="I17" s="42" t="inlineStr">
        <is>
          <t>Muro del entrepiso de abajo (planta baja)</t>
        </is>
      </c>
    </row>
    <row r="18">
      <c r="B18" s="35" t="inlineStr">
        <is>
          <t>DM-12 · Eje 11 (y = 15.447)</t>
        </is>
      </c>
      <c r="C18" s="39" t="inlineStr">
        <is>
          <t>N+3.00</t>
        </is>
      </c>
      <c r="D18" s="42" t="inlineStr">
        <is>
          <t>(6.89, 15.45) – (8.85, 15.45)</t>
        </is>
      </c>
      <c r="E18" s="34" t="n">
        <v>1.963</v>
      </c>
      <c r="F18" s="41">
        <f>SUMIFS(TRIB!$E$6:$E$255,TRIB!$B$6:$B$255,"DM-12")</f>
        <v>2.2364</v>
      </c>
      <c r="G18" s="34">
        <f>SUMIFS(TRIB!$I$6:$I$255,TRIB!$B$6:$B$255,"DM-12")/E18</f>
        <v>0.715254634202127</v>
      </c>
      <c r="H18" s="67">
        <f>SUMIFS(TRIB!$G$6:$G$255,TRIB!$B$6:$B$255,"DM-12")/E18</f>
        <v>0.973123535924813</v>
      </c>
      <c r="I18" s="42" t="inlineStr">
        <is>
          <t>Muro del entrepiso de abajo (planta baja)</t>
        </is>
      </c>
    </row>
    <row r="19">
      <c r="B19" s="35" t="inlineStr">
        <is>
          <t>DM-13 · Eje 12 (y = 17.446)</t>
        </is>
      </c>
      <c r="C19" s="39" t="inlineStr">
        <is>
          <t>N+3.00</t>
        </is>
      </c>
      <c r="D19" s="42" t="inlineStr">
        <is>
          <t>(4.92, 17.45) – (6.89, 17.45)</t>
        </is>
      </c>
      <c r="E19" s="34" t="n">
        <v>1.962</v>
      </c>
      <c r="F19" s="41">
        <f>SUMIFS(TRIB!$E$6:$E$255,TRIB!$B$6:$B$255,"DM-13")</f>
        <v>2.6579</v>
      </c>
      <c r="G19" s="34">
        <f>SUMIFS(TRIB!$I$6:$I$255,TRIB!$B$6:$B$255,"DM-13")/E19</f>
        <v>0.836770496577836</v>
      </c>
      <c r="H19" s="67">
        <f>SUMIFS(TRIB!$G$6:$G$255,TRIB!$B$6:$B$255,"DM-13")/E19</f>
        <v>1.13927983107616</v>
      </c>
      <c r="I19" s="42" t="inlineStr">
        <is>
          <t>Muro del entrepiso de abajo (planta baja)</t>
        </is>
      </c>
    </row>
    <row r="20">
      <c r="B20" s="35" t="inlineStr">
        <is>
          <t>DM-14 · Eje 12 (y = 17.446)</t>
        </is>
      </c>
      <c r="C20" s="39" t="inlineStr">
        <is>
          <t>N+3.00</t>
        </is>
      </c>
      <c r="D20" s="42" t="inlineStr">
        <is>
          <t>(6.89, 17.45) – (8.85, 17.45)</t>
        </is>
      </c>
      <c r="E20" s="34" t="n">
        <v>1.963</v>
      </c>
      <c r="F20" s="41">
        <f>SUMIFS(TRIB!$E$6:$E$255,TRIB!$B$6:$B$255,"DM-14")</f>
        <v>3.1771</v>
      </c>
      <c r="G20" s="34">
        <f>SUMIFS(TRIB!$I$6:$I$255,TRIB!$B$6:$B$255,"DM-14")/E20</f>
        <v>1.02162963810078</v>
      </c>
      <c r="H20" s="67">
        <f>SUMIFS(TRIB!$G$6:$G$255,TRIB!$B$6:$B$255,"DM-14")/E20</f>
        <v>1.38962122948008</v>
      </c>
      <c r="I20" s="42" t="inlineStr">
        <is>
          <t>Muro del entrepiso de abajo (planta baja)</t>
        </is>
      </c>
    </row>
    <row r="21">
      <c r="B21" s="35" t="inlineStr">
        <is>
          <t>DM-15 · Eje 14 (y = 21.446)</t>
        </is>
      </c>
      <c r="C21" s="39" t="inlineStr">
        <is>
          <t>N+3.00</t>
        </is>
      </c>
      <c r="D21" s="42" t="inlineStr">
        <is>
          <t>(-1.60, 21.45) – (0.00, 21.45)</t>
        </is>
      </c>
      <c r="E21" s="34" t="n">
        <v>1.6</v>
      </c>
      <c r="F21" s="41">
        <f>SUMIFS(TRIB!$E$6:$E$255,TRIB!$B$6:$B$255,"DM-15")</f>
        <v>0.64</v>
      </c>
      <c r="G21" s="34">
        <f>SUMIFS(TRIB!$I$6:$I$255,TRIB!$B$6:$B$255,"DM-15")/E21</f>
        <v>0.249469387755102</v>
      </c>
      <c r="H21" s="67">
        <f>SUMIFS(TRIB!$G$6:$G$255,TRIB!$B$6:$B$255,"DM-15")/E21</f>
        <v>0.332310204081633</v>
      </c>
      <c r="I21" s="42" t="inlineStr">
        <is>
          <t>Muro del entrepiso de abajo (planta baja)</t>
        </is>
      </c>
    </row>
    <row r="22">
      <c r="B22" s="35" t="inlineStr">
        <is>
          <t>DM-16 · Eje 14 (y = 21.446)</t>
        </is>
      </c>
      <c r="C22" s="39" t="inlineStr">
        <is>
          <t>N+3.00</t>
        </is>
      </c>
      <c r="D22" s="42" t="inlineStr">
        <is>
          <t>(0.00, 21.45) – (0.35, 21.45)</t>
        </is>
      </c>
      <c r="E22" s="34" t="n">
        <v>0.35</v>
      </c>
      <c r="F22" s="41">
        <f>SUMIFS(TRIB!$E$6:$E$255,TRIB!$B$6:$B$255,"DM-16")</f>
        <v>0.1225</v>
      </c>
      <c r="G22" s="34">
        <f>SUMIFS(TRIB!$I$6:$I$255,TRIB!$B$6:$B$255,"DM-16")/E22</f>
        <v>0.220042857142857</v>
      </c>
      <c r="H22" s="67">
        <f>SUMIFS(TRIB!$G$6:$G$255,TRIB!$B$6:$B$255,"DM-16")/E22</f>
        <v>0.299355714285714</v>
      </c>
      <c r="I22" s="42" t="inlineStr">
        <is>
          <t>Muro del entrepiso de abajo (planta baja)</t>
        </is>
      </c>
    </row>
    <row r="23">
      <c r="B23" s="35" t="inlineStr">
        <is>
          <t>DM-17 · Eje 14 (y = 21.446)</t>
        </is>
      </c>
      <c r="C23" s="39" t="inlineStr">
        <is>
          <t>N+3.00</t>
        </is>
      </c>
      <c r="D23" s="42" t="inlineStr">
        <is>
          <t>(0.35, 21.45) – (4.58, 21.45)</t>
        </is>
      </c>
      <c r="E23" s="34" t="n">
        <v>4.225</v>
      </c>
      <c r="F23" s="41">
        <f>SUMIFS(TRIB!$E$6:$E$255,TRIB!$B$6:$B$255,"DM-17")</f>
        <v>8.8157</v>
      </c>
      <c r="G23" s="34">
        <f>SUMIFS(TRIB!$I$6:$I$255,TRIB!$B$6:$B$255,"DM-17")/E23</f>
        <v>1.30709921990098</v>
      </c>
      <c r="H23" s="67">
        <f>SUMIFS(TRIB!$G$6:$G$255,TRIB!$B$6:$B$255,"DM-17")/E23</f>
        <v>1.77851812196595</v>
      </c>
      <c r="I23" s="42" t="inlineStr">
        <is>
          <t>Muro del entrepiso de abajo (planta baja)</t>
        </is>
      </c>
    </row>
    <row r="24">
      <c r="B24" s="35" t="inlineStr">
        <is>
          <t>DM-18 · Eje 14 (y = 21.446)</t>
        </is>
      </c>
      <c r="C24" s="39" t="inlineStr">
        <is>
          <t>N+3.00</t>
        </is>
      </c>
      <c r="D24" s="42" t="inlineStr">
        <is>
          <t>(4.58, 21.45) – (4.92, 21.45)</t>
        </is>
      </c>
      <c r="E24" s="34" t="n">
        <v>0.35</v>
      </c>
      <c r="F24" s="41">
        <f>SUMIFS(TRIB!$E$6:$E$255,TRIB!$B$6:$B$255,"DM-18")</f>
        <v>0.4011</v>
      </c>
      <c r="G24" s="34">
        <f>SUMIFS(TRIB!$I$6:$I$255,TRIB!$B$6:$B$255,"DM-18")/E24</f>
        <v>0.741809795918367</v>
      </c>
      <c r="H24" s="67">
        <f>SUMIFS(TRIB!$G$6:$G$255,TRIB!$B$6:$B$255,"DM-18")/E24</f>
        <v>1.00790073469388</v>
      </c>
      <c r="I24" s="42" t="inlineStr">
        <is>
          <t>Muro del entrepiso de abajo (planta baja)</t>
        </is>
      </c>
    </row>
    <row r="25">
      <c r="B25" s="35" t="inlineStr">
        <is>
          <t>DM-19 · Eje 14 (y = 21.446)</t>
        </is>
      </c>
      <c r="C25" s="39" t="inlineStr">
        <is>
          <t>N+3.00</t>
        </is>
      </c>
      <c r="D25" s="42" t="inlineStr">
        <is>
          <t>(4.92, 21.45) – (5.28, 21.45)</t>
        </is>
      </c>
      <c r="E25" s="34" t="n">
        <v>0.35</v>
      </c>
      <c r="F25" s="41">
        <f>SUMIFS(TRIB!$E$6:$E$255,TRIB!$B$6:$B$255,"DM-19")</f>
        <v>0.4113</v>
      </c>
      <c r="G25" s="34">
        <f>SUMIFS(TRIB!$I$6:$I$255,TRIB!$B$6:$B$255,"DM-19")/E25</f>
        <v>0.759402565597668</v>
      </c>
      <c r="H25" s="67">
        <f>SUMIFS(TRIB!$G$6:$G$255,TRIB!$B$6:$B$255,"DM-19")/E25</f>
        <v>1.0318787638484</v>
      </c>
      <c r="I25" s="42" t="inlineStr">
        <is>
          <t>Muro del entrepiso de abajo (planta baja)</t>
        </is>
      </c>
    </row>
    <row r="26">
      <c r="B26" s="35" t="inlineStr">
        <is>
          <t>DM-20 · Eje 14 (y = 21.446)</t>
        </is>
      </c>
      <c r="C26" s="39" t="inlineStr">
        <is>
          <t>N+3.00</t>
        </is>
      </c>
      <c r="D26" s="42" t="inlineStr">
        <is>
          <t>(5.28, 21.45) – (7.25, 21.45)</t>
        </is>
      </c>
      <c r="E26" s="34" t="n">
        <v>1.975</v>
      </c>
      <c r="F26" s="41">
        <f>SUMIFS(TRIB!$E$6:$E$255,TRIB!$B$6:$B$255,"DM-20")</f>
        <v>3.9852</v>
      </c>
      <c r="G26" s="34">
        <f>SUMIFS(TRIB!$I$6:$I$255,TRIB!$B$6:$B$255,"DM-20")/E26</f>
        <v>1.25544785326789</v>
      </c>
      <c r="H26" s="67">
        <f>SUMIFS(TRIB!$G$6:$G$255,TRIB!$B$6:$B$255,"DM-20")/E26</f>
        <v>1.70875947507104</v>
      </c>
      <c r="I26" s="42" t="inlineStr">
        <is>
          <t>Muro del entrepiso de abajo (planta baja)</t>
        </is>
      </c>
    </row>
    <row r="27">
      <c r="B27" s="35" t="inlineStr">
        <is>
          <t>DM-21 · Eje 14 (y = 21.446)</t>
        </is>
      </c>
      <c r="C27" s="39" t="inlineStr">
        <is>
          <t>N+3.00</t>
        </is>
      </c>
      <c r="D27" s="42" t="inlineStr">
        <is>
          <t>(7.25, 21.45) – (8.15, 21.45)</t>
        </is>
      </c>
      <c r="E27" s="34" t="n">
        <v>0.896</v>
      </c>
      <c r="F27" s="41">
        <f>SUMIFS(TRIB!$E$6:$E$255,TRIB!$B$6:$B$255,"DM-21")</f>
        <v>1.4244</v>
      </c>
      <c r="G27" s="34">
        <f>SUMIFS(TRIB!$I$6:$I$255,TRIB!$B$6:$B$255,"DM-21")/E27</f>
        <v>0.988131127004373</v>
      </c>
      <c r="H27" s="67">
        <f>SUMIFS(TRIB!$G$6:$G$255,TRIB!$B$6:$B$255,"DM-21")/E27</f>
        <v>1.34498028653426</v>
      </c>
      <c r="I27" s="42" t="inlineStr">
        <is>
          <t>Muro del entrepiso de abajo (planta baja)</t>
        </is>
      </c>
    </row>
    <row r="28">
      <c r="B28" s="35" t="inlineStr">
        <is>
          <t>DM-22 · Eje 14 (y = 21.446)</t>
        </is>
      </c>
      <c r="C28" s="39" t="inlineStr">
        <is>
          <t>N+3.00</t>
        </is>
      </c>
      <c r="D28" s="42" t="inlineStr">
        <is>
          <t>(8.15, 21.45) – (8.85, 21.45)</t>
        </is>
      </c>
      <c r="E28" s="34" t="n">
        <v>0.704</v>
      </c>
      <c r="F28" s="41">
        <f>SUMIFS(TRIB!$E$6:$E$255,TRIB!$B$6:$B$255,"DM-22")</f>
        <v>0.4956</v>
      </c>
      <c r="G28" s="34">
        <f>SUMIFS(TRIB!$I$6:$I$255,TRIB!$B$6:$B$255,"DM-22")/E28</f>
        <v>0.447851663961039</v>
      </c>
      <c r="H28" s="67">
        <f>SUMIFS(TRIB!$G$6:$G$255,TRIB!$B$6:$B$255,"DM-22")/E28</f>
        <v>0.608958299512987</v>
      </c>
      <c r="I28" s="42" t="inlineStr">
        <is>
          <t>Muro del entrepiso de abajo (planta baja)</t>
        </is>
      </c>
    </row>
    <row r="29">
      <c r="B29" s="35" t="inlineStr">
        <is>
          <t>DM-23 · Eje 15 (y = 24.371)</t>
        </is>
      </c>
      <c r="C29" s="39" t="inlineStr">
        <is>
          <t>N+3.00</t>
        </is>
      </c>
      <c r="D29" s="42" t="inlineStr">
        <is>
          <t>(-1.60, 24.37) – (-0.70, 24.37)</t>
        </is>
      </c>
      <c r="E29" s="34" t="n">
        <v>0.898</v>
      </c>
      <c r="F29" s="41">
        <f>SUMIFS(TRIB!$E$6:$E$255,TRIB!$B$6:$B$255,"DM-23")</f>
        <v>0.3936</v>
      </c>
      <c r="G29" s="34">
        <f>SUMIFS(TRIB!$I$6:$I$255,TRIB!$B$6:$B$255,"DM-23")/E29</f>
        <v>0.273360665424299</v>
      </c>
      <c r="H29" s="67">
        <f>SUMIFS(TRIB!$G$6:$G$255,TRIB!$B$6:$B$255,"DM-23")/E29</f>
        <v>0.364135012044907</v>
      </c>
      <c r="I29" s="42" t="inlineStr">
        <is>
          <t>Muro del entrepiso de abajo (planta baja)</t>
        </is>
      </c>
    </row>
    <row r="30">
      <c r="B30" s="35" t="inlineStr">
        <is>
          <t>DM-24 · Eje 15 (y = 24.371)</t>
        </is>
      </c>
      <c r="C30" s="39" t="inlineStr">
        <is>
          <t>N+3.00</t>
        </is>
      </c>
      <c r="D30" s="42" t="inlineStr">
        <is>
          <t>(-0.70, 24.37) – (0.00, 24.37)</t>
        </is>
      </c>
      <c r="E30" s="34" t="n">
        <v>0.702</v>
      </c>
      <c r="F30" s="41">
        <f>SUMIFS(TRIB!$E$6:$E$255,TRIB!$B$6:$B$255,"DM-24")</f>
        <v>0.2464</v>
      </c>
      <c r="G30" s="34">
        <f>SUMIFS(TRIB!$I$6:$I$255,TRIB!$B$6:$B$255,"DM-24")/E30</f>
        <v>0.218907610907611</v>
      </c>
      <c r="H30" s="67">
        <f>SUMIFS(TRIB!$G$6:$G$255,TRIB!$B$6:$B$255,"DM-24")/E30</f>
        <v>0.291599837199837</v>
      </c>
      <c r="I30" s="42" t="inlineStr">
        <is>
          <t>Muro del entrepiso de abajo (planta baja)</t>
        </is>
      </c>
    </row>
    <row r="31">
      <c r="B31" s="35" t="inlineStr">
        <is>
          <t>DM-25 · Eje 15 (y = 24.371)</t>
        </is>
      </c>
      <c r="C31" s="39" t="inlineStr">
        <is>
          <t>N+3.00</t>
        </is>
      </c>
      <c r="D31" s="42" t="inlineStr">
        <is>
          <t>(7.25, 24.37) – (7.48, 24.37)</t>
        </is>
      </c>
      <c r="E31" s="34" t="n">
        <v>0.229</v>
      </c>
      <c r="F31" s="41">
        <f>SUMIFS(TRIB!$E$6:$E$255,TRIB!$B$6:$B$255,"DM-25")</f>
        <v>0.0262</v>
      </c>
      <c r="G31" s="34">
        <f>SUMIFS(TRIB!$I$6:$I$255,TRIB!$B$6:$B$255,"DM-25")/E31</f>
        <v>0.0765032528295161</v>
      </c>
      <c r="H31" s="67">
        <f>SUMIFS(TRIB!$G$6:$G$255,TRIB!$B$6:$B$255,"DM-25")/E31</f>
        <v>0.103801826931646</v>
      </c>
      <c r="I31" s="42" t="inlineStr">
        <is>
          <t>Muro del entrepiso de abajo (planta baja)</t>
        </is>
      </c>
    </row>
    <row r="32">
      <c r="B32" s="35" t="inlineStr">
        <is>
          <t>DM-26 · Eje 15 (y = 24.371)</t>
        </is>
      </c>
      <c r="C32" s="39" t="inlineStr">
        <is>
          <t>N+3.00</t>
        </is>
      </c>
      <c r="D32" s="42" t="inlineStr">
        <is>
          <t>(7.48, 24.37) – (8.70, 24.37)</t>
        </is>
      </c>
      <c r="E32" s="34" t="n">
        <v>1.222</v>
      </c>
      <c r="F32" s="41">
        <f>SUMIFS(TRIB!$E$6:$E$255,TRIB!$B$6:$B$255,"DM-26")</f>
        <v>0.6027</v>
      </c>
      <c r="G32" s="34">
        <f>SUMIFS(TRIB!$I$6:$I$255,TRIB!$B$6:$B$255,"DM-26")/E32</f>
        <v>0.329795008183306</v>
      </c>
      <c r="H32" s="67">
        <f>SUMIFS(TRIB!$G$6:$G$255,TRIB!$B$6:$B$255,"DM-26")/E32</f>
        <v>0.447475409165303</v>
      </c>
      <c r="I32" s="42" t="inlineStr">
        <is>
          <t>Muro del entrepiso de abajo (planta baja)</t>
        </is>
      </c>
    </row>
    <row r="33">
      <c r="B33" s="35" t="inlineStr">
        <is>
          <t>DM-27 · Eje 15 (y = 24.371)</t>
        </is>
      </c>
      <c r="C33" s="39" t="inlineStr">
        <is>
          <t>N+3.00</t>
        </is>
      </c>
      <c r="D33" s="42" t="inlineStr">
        <is>
          <t>(8.70, 24.37) – (8.85, 24.37)</t>
        </is>
      </c>
      <c r="E33" s="34" t="n">
        <v>0.149</v>
      </c>
      <c r="F33" s="41">
        <f>SUMIFS(TRIB!$E$6:$E$255,TRIB!$B$6:$B$255,"DM-27")</f>
        <v>0.0111</v>
      </c>
      <c r="G33" s="34">
        <f>SUMIFS(TRIB!$I$6:$I$255,TRIB!$B$6:$B$255,"DM-27")/E33</f>
        <v>0.0498139295986851</v>
      </c>
      <c r="H33" s="67">
        <f>SUMIFS(TRIB!$G$6:$G$255,TRIB!$B$6:$B$255,"DM-27")/E33</f>
        <v>0.0675889809615121</v>
      </c>
      <c r="I33" s="42" t="inlineStr">
        <is>
          <t>Muro del entrepiso de abajo (planta baja)</t>
        </is>
      </c>
    </row>
    <row r="34">
      <c r="B34" s="35" t="inlineStr">
        <is>
          <t>DM-28 · x = -1.600</t>
        </is>
      </c>
      <c r="C34" s="39" t="inlineStr">
        <is>
          <t>N+3.00</t>
        </is>
      </c>
      <c r="D34" s="42" t="inlineStr">
        <is>
          <t>(-1.60, 21.45) – (-1.60, 22.67)</t>
        </is>
      </c>
      <c r="E34" s="34" t="n">
        <v>1.225</v>
      </c>
      <c r="F34" s="41">
        <f>SUMIFS(TRIB!$E$6:$E$255,TRIB!$B$6:$B$255,"DM-28")</f>
        <v>0.66</v>
      </c>
      <c r="G34" s="34">
        <f>SUMIFS(TRIB!$I$6:$I$255,TRIB!$B$6:$B$255,"DM-28")/E34</f>
        <v>0.336019991670137</v>
      </c>
      <c r="H34" s="67">
        <f>SUMIFS(TRIB!$G$6:$G$255,TRIB!$B$6:$B$255,"DM-28")/E34</f>
        <v>0.44760149937526</v>
      </c>
      <c r="I34" s="42" t="inlineStr">
        <is>
          <t>Muro del entrepiso de abajo (planta baja)</t>
        </is>
      </c>
    </row>
    <row r="35">
      <c r="B35" s="35" t="inlineStr">
        <is>
          <t>DM-29 · x = -1.600</t>
        </is>
      </c>
      <c r="C35" s="39" t="inlineStr">
        <is>
          <t>N+3.00</t>
        </is>
      </c>
      <c r="D35" s="42" t="inlineStr">
        <is>
          <t>(-1.60, 22.67) – (-1.60, 23.67)</t>
        </is>
      </c>
      <c r="E35" s="34" t="n">
        <v>1</v>
      </c>
      <c r="F35" s="41">
        <f>SUMIFS(TRIB!$E$6:$E$255,TRIB!$B$6:$B$255,"DM-29")</f>
        <v>0.795</v>
      </c>
      <c r="G35" s="34">
        <f>SUMIFS(TRIB!$I$6:$I$255,TRIB!$B$6:$B$255,"DM-29")/E35</f>
        <v>0.495820408163265</v>
      </c>
      <c r="H35" s="67">
        <f>SUMIFS(TRIB!$G$6:$G$255,TRIB!$B$6:$B$255,"DM-29")/E35</f>
        <v>0.660466530612245</v>
      </c>
      <c r="I35" s="42" t="inlineStr">
        <is>
          <t>Muro del entrepiso de abajo (planta baja)</t>
        </is>
      </c>
    </row>
    <row r="36">
      <c r="B36" s="35" t="inlineStr">
        <is>
          <t>DM-30 · x = -1.600</t>
        </is>
      </c>
      <c r="C36" s="39" t="inlineStr">
        <is>
          <t>N+3.00</t>
        </is>
      </c>
      <c r="D36" s="42" t="inlineStr">
        <is>
          <t>(-1.60, 23.67) – (-1.60, 24.37)</t>
        </is>
      </c>
      <c r="E36" s="34" t="n">
        <v>0.7</v>
      </c>
      <c r="F36" s="41">
        <f>SUMIFS(TRIB!$E$6:$E$255,TRIB!$B$6:$B$255,"DM-30")</f>
        <v>0.245</v>
      </c>
      <c r="G36" s="34">
        <f>SUMIFS(TRIB!$I$6:$I$255,TRIB!$B$6:$B$255,"DM-30")/E36</f>
        <v>0.218285714285714</v>
      </c>
      <c r="H36" s="67">
        <f>SUMIFS(TRIB!$G$6:$G$255,TRIB!$B$6:$B$255,"DM-30")/E36</f>
        <v>0.290771428571429</v>
      </c>
      <c r="I36" s="42" t="inlineStr">
        <is>
          <t>Muro del entrepiso de abajo (planta baja)</t>
        </is>
      </c>
    </row>
    <row r="37">
      <c r="B37" s="35" t="inlineStr">
        <is>
          <t>DM-31 · Eje A (x = 0.000)</t>
        </is>
      </c>
      <c r="C37" s="39" t="inlineStr">
        <is>
          <t>N+3.00</t>
        </is>
      </c>
      <c r="D37" s="42" t="inlineStr">
        <is>
          <t>(0.00, 0.00) – (0.00, 1.92)</t>
        </is>
      </c>
      <c r="E37" s="34" t="n">
        <v>1.919</v>
      </c>
      <c r="F37" s="41">
        <f>SUMIFS(TRIB!$E$6:$E$255,TRIB!$B$6:$B$255,"DM-31")</f>
        <v>0</v>
      </c>
      <c r="G37" s="34">
        <f>SUMIFS(TRIB!$I$6:$I$255,TRIB!$B$6:$B$255,"DM-31")/E37</f>
        <v>0</v>
      </c>
      <c r="H37" s="67">
        <f>SUMIFS(TRIB!$G$6:$G$255,TRIB!$B$6:$B$255,"DM-31")/E37</f>
        <v>0</v>
      </c>
      <c r="I37" s="42" t="inlineStr">
        <is>
          <t>Muro del entrepiso de abajo (planta baja)</t>
        </is>
      </c>
    </row>
    <row r="38">
      <c r="B38" s="35" t="inlineStr">
        <is>
          <t>DM-32 · Eje A (x = 0.000)</t>
        </is>
      </c>
      <c r="C38" s="39" t="inlineStr">
        <is>
          <t>N+3.00</t>
        </is>
      </c>
      <c r="D38" s="42" t="inlineStr">
        <is>
          <t>(0.00, 1.92) – (0.00, 2.92)</t>
        </is>
      </c>
      <c r="E38" s="34" t="n">
        <v>1.002</v>
      </c>
      <c r="F38" s="41">
        <f>SUMIFS(TRIB!$E$6:$E$255,TRIB!$B$6:$B$255,"DM-32")</f>
        <v>0.251</v>
      </c>
      <c r="G38" s="34">
        <f>SUMIFS(TRIB!$I$6:$I$255,TRIB!$B$6:$B$255,"DM-32")/E38</f>
        <v>0.157482076663001</v>
      </c>
      <c r="H38" s="67">
        <f>SUMIFS(TRIB!$G$6:$G$255,TRIB!$B$6:$B$255,"DM-32")/E38</f>
        <v>0.214245661737749</v>
      </c>
      <c r="I38" s="42" t="inlineStr">
        <is>
          <t>Muro del entrepiso de abajo (planta baja)</t>
        </is>
      </c>
    </row>
    <row r="39">
      <c r="B39" s="35" t="inlineStr">
        <is>
          <t>DM-33 · Eje A (x = 0.000)</t>
        </is>
      </c>
      <c r="C39" s="39" t="inlineStr">
        <is>
          <t>N+3.00</t>
        </is>
      </c>
      <c r="D39" s="42" t="inlineStr">
        <is>
          <t>(0.00, 2.92) – (0.00, 5.35)</t>
        </is>
      </c>
      <c r="E39" s="34" t="n">
        <v>2.425</v>
      </c>
      <c r="F39" s="41">
        <f>SUMIFS(TRIB!$E$6:$E$255,TRIB!$B$6:$B$255,"DM-33")</f>
        <v>1.4702</v>
      </c>
      <c r="G39" s="34">
        <f>SUMIFS(TRIB!$I$6:$I$255,TRIB!$B$6:$B$255,"DM-33")/E39</f>
        <v>0.365987931832527</v>
      </c>
      <c r="H39" s="67">
        <f>SUMIFS(TRIB!$G$6:$G$255,TRIB!$B$6:$B$255,"DM-33")/E39</f>
        <v>0.498822496949295</v>
      </c>
      <c r="I39" s="42" t="inlineStr">
        <is>
          <t>Muro del entrepiso de abajo (planta baja)</t>
        </is>
      </c>
    </row>
    <row r="40">
      <c r="B40" s="35" t="inlineStr">
        <is>
          <t>DM-34 · Eje A (x = 0.000)</t>
        </is>
      </c>
      <c r="C40" s="39" t="inlineStr">
        <is>
          <t>N+3.00</t>
        </is>
      </c>
      <c r="D40" s="42" t="inlineStr">
        <is>
          <t>(0.00, 5.35) – (0.00, 6.95)</t>
        </is>
      </c>
      <c r="E40" s="34" t="n">
        <v>1.602</v>
      </c>
      <c r="F40" s="41">
        <f>SUMIFS(TRIB!$E$6:$E$255,TRIB!$B$6:$B$255,"DM-34")</f>
        <v>0.6416</v>
      </c>
      <c r="G40" s="34">
        <f>SUMIFS(TRIB!$I$6:$I$255,TRIB!$B$6:$B$255,"DM-34")/E40</f>
        <v>0.241770847664909</v>
      </c>
      <c r="H40" s="67">
        <f>SUMIFS(TRIB!$G$6:$G$255,TRIB!$B$6:$B$255,"DM-34")/E40</f>
        <v>0.329521078244032</v>
      </c>
      <c r="I40" s="42" t="inlineStr">
        <is>
          <t>Muro del entrepiso de abajo (planta baja)</t>
        </is>
      </c>
    </row>
    <row r="41">
      <c r="B41" s="35" t="inlineStr">
        <is>
          <t>DM-35 · Eje A (x = 0.000)</t>
        </is>
      </c>
      <c r="C41" s="39" t="inlineStr">
        <is>
          <t>N+3.00</t>
        </is>
      </c>
      <c r="D41" s="42" t="inlineStr">
        <is>
          <t>(0.00, 6.95) – (0.00, 7.87)</t>
        </is>
      </c>
      <c r="E41" s="34" t="n">
        <v>0.923</v>
      </c>
      <c r="F41" s="41">
        <f>SUMIFS(TRIB!$E$6:$E$255,TRIB!$B$6:$B$255,"DM-35")</f>
        <v>0.213</v>
      </c>
      <c r="G41" s="34">
        <f>SUMIFS(TRIB!$I$6:$I$255,TRIB!$B$6:$B$255,"DM-35")/E41</f>
        <v>0.139309262166405</v>
      </c>
      <c r="H41" s="67">
        <f>SUMIFS(TRIB!$G$6:$G$255,TRIB!$B$6:$B$255,"DM-35")/E41</f>
        <v>0.189871271585557</v>
      </c>
      <c r="I41" s="42" t="inlineStr">
        <is>
          <t>Muro del entrepiso de abajo (planta baja)</t>
        </is>
      </c>
    </row>
    <row r="42">
      <c r="B42" s="35" t="inlineStr">
        <is>
          <t>DM-36 · Eje A (x = 0.000)</t>
        </is>
      </c>
      <c r="C42" s="39" t="inlineStr">
        <is>
          <t>N+3.00</t>
        </is>
      </c>
      <c r="D42" s="42" t="inlineStr">
        <is>
          <t>(0.00, 7.87) – (0.00, 9.95)</t>
        </is>
      </c>
      <c r="E42" s="34" t="n">
        <v>2.079</v>
      </c>
      <c r="F42" s="41">
        <f>SUMIFS(TRIB!$E$6:$E$255,TRIB!$B$6:$B$255,"DM-36")</f>
        <v>0</v>
      </c>
      <c r="G42" s="34">
        <f>SUMIFS(TRIB!$I$6:$I$255,TRIB!$B$6:$B$255,"DM-36")/E42</f>
        <v>0</v>
      </c>
      <c r="H42" s="67">
        <f>SUMIFS(TRIB!$G$6:$G$255,TRIB!$B$6:$B$255,"DM-36")/E42</f>
        <v>0</v>
      </c>
      <c r="I42" s="42" t="inlineStr">
        <is>
          <t>Muro del entrepiso de abajo (planta baja)</t>
        </is>
      </c>
    </row>
    <row r="43">
      <c r="B43" s="35" t="inlineStr">
        <is>
          <t>DM-37 · Eje A (x = 0.000)</t>
        </is>
      </c>
      <c r="C43" s="39" t="inlineStr">
        <is>
          <t>N+3.00</t>
        </is>
      </c>
      <c r="D43" s="42" t="inlineStr">
        <is>
          <t>(0.00, 9.95) – (0.00, 11.99)</t>
        </is>
      </c>
      <c r="E43" s="34" t="n">
        <v>2.036</v>
      </c>
      <c r="F43" s="41">
        <f>SUMIFS(TRIB!$E$6:$E$255,TRIB!$B$6:$B$255,"DM-37")</f>
        <v>0</v>
      </c>
      <c r="G43" s="34">
        <f>SUMIFS(TRIB!$I$6:$I$255,TRIB!$B$6:$B$255,"DM-37")/E43</f>
        <v>0</v>
      </c>
      <c r="H43" s="67">
        <f>SUMIFS(TRIB!$G$6:$G$255,TRIB!$B$6:$B$255,"DM-37")/E43</f>
        <v>0</v>
      </c>
      <c r="I43" s="42" t="inlineStr">
        <is>
          <t>Muro del entrepiso de abajo (planta baja)</t>
        </is>
      </c>
    </row>
    <row r="44">
      <c r="B44" s="35" t="inlineStr">
        <is>
          <t>DM-38 · Eje A (x = 0.000)</t>
        </is>
      </c>
      <c r="C44" s="39" t="inlineStr">
        <is>
          <t>N+3.00</t>
        </is>
      </c>
      <c r="D44" s="42" t="inlineStr">
        <is>
          <t>(0.00, 11.99) – (0.00, 14.02)</t>
        </is>
      </c>
      <c r="E44" s="34" t="n">
        <v>2.035</v>
      </c>
      <c r="F44" s="41">
        <f>SUMIFS(TRIB!$E$6:$E$255,TRIB!$B$6:$B$255,"DM-38")</f>
        <v>0</v>
      </c>
      <c r="G44" s="34">
        <f>SUMIFS(TRIB!$I$6:$I$255,TRIB!$B$6:$B$255,"DM-38")/E44</f>
        <v>0</v>
      </c>
      <c r="H44" s="67">
        <f>SUMIFS(TRIB!$G$6:$G$255,TRIB!$B$6:$B$255,"DM-38")/E44</f>
        <v>0</v>
      </c>
      <c r="I44" s="42" t="inlineStr">
        <is>
          <t>Muro del entrepiso de abajo (planta baja)</t>
        </is>
      </c>
    </row>
    <row r="45">
      <c r="B45" s="35" t="inlineStr">
        <is>
          <t>DM-39 · Eje A (x = 0.000)</t>
        </is>
      </c>
      <c r="C45" s="39" t="inlineStr">
        <is>
          <t>N+3.00</t>
        </is>
      </c>
      <c r="D45" s="42" t="inlineStr">
        <is>
          <t>(0.00, 14.02) – (0.00, 15.85)</t>
        </is>
      </c>
      <c r="E45" s="34" t="n">
        <v>1.825</v>
      </c>
      <c r="F45" s="41">
        <f>SUMIFS(TRIB!$E$6:$E$255,TRIB!$B$6:$B$255,"DM-39")</f>
        <v>4.4827</v>
      </c>
      <c r="G45" s="34">
        <f>SUMIFS(TRIB!$I$6:$I$255,TRIB!$B$6:$B$255,"DM-39")/E45</f>
        <v>1.61928934861616</v>
      </c>
      <c r="H45" s="67">
        <f>SUMIFS(TRIB!$G$6:$G$255,TRIB!$B$6:$B$255,"DM-39")/E45</f>
        <v>2.19841456415991</v>
      </c>
      <c r="I45" s="42" t="inlineStr">
        <is>
          <t>Muro del entrepiso de abajo (planta baja)</t>
        </is>
      </c>
    </row>
    <row r="46">
      <c r="B46" s="35" t="inlineStr">
        <is>
          <t>DM-40 · Eje A (x = 0.000)</t>
        </is>
      </c>
      <c r="C46" s="39" t="inlineStr">
        <is>
          <t>N+3.00</t>
        </is>
      </c>
      <c r="D46" s="42" t="inlineStr">
        <is>
          <t>(0.00, 15.85) – (0.00, 17.45)</t>
        </is>
      </c>
      <c r="E46" s="34" t="n">
        <v>1.6</v>
      </c>
      <c r="F46" s="41">
        <f>SUMIFS(TRIB!$E$6:$E$255,TRIB!$B$6:$B$255,"DM-40")</f>
        <v>3.84</v>
      </c>
      <c r="G46" s="34">
        <f>SUMIFS(TRIB!$I$6:$I$255,TRIB!$B$6:$B$255,"DM-40")/E46</f>
        <v>1.57681632653061</v>
      </c>
      <c r="H46" s="67">
        <f>SUMIFS(TRIB!$G$6:$G$255,TRIB!$B$6:$B$255,"DM-40")/E46</f>
        <v>2.1410612244898</v>
      </c>
      <c r="I46" s="42" t="inlineStr">
        <is>
          <t>Muro del entrepiso de abajo (planta baja)</t>
        </is>
      </c>
    </row>
    <row r="47">
      <c r="B47" s="35" t="inlineStr">
        <is>
          <t>DM-41 · Eje A (x = 0.000)</t>
        </is>
      </c>
      <c r="C47" s="39" t="inlineStr">
        <is>
          <t>N+3.00</t>
        </is>
      </c>
      <c r="D47" s="42" t="inlineStr">
        <is>
          <t>(0.00, 17.45) – (0.00, 19.45)</t>
        </is>
      </c>
      <c r="E47" s="34" t="n">
        <v>2.001</v>
      </c>
      <c r="F47" s="41">
        <f>SUMIFS(TRIB!$E$6:$E$255,TRIB!$B$6:$B$255,"DM-41")</f>
        <v>2.002</v>
      </c>
      <c r="G47" s="34">
        <f>SUMIFS(TRIB!$I$6:$I$255,TRIB!$B$6:$B$255,"DM-41")/E47</f>
        <v>0.603975155279503</v>
      </c>
      <c r="H47" s="67">
        <f>SUMIFS(TRIB!$G$6:$G$255,TRIB!$B$6:$B$255,"DM-41")/E47</f>
        <v>0.823186692368102</v>
      </c>
      <c r="I47" s="42" t="inlineStr">
        <is>
          <t>Muro del entrepiso de abajo (planta baja)</t>
        </is>
      </c>
    </row>
    <row r="48">
      <c r="B48" s="35" t="inlineStr">
        <is>
          <t>DM-42 · Eje A (x = 0.000)</t>
        </is>
      </c>
      <c r="C48" s="39" t="inlineStr">
        <is>
          <t>N+3.00</t>
        </is>
      </c>
      <c r="D48" s="42" t="inlineStr">
        <is>
          <t>(0.00, 19.45) – (0.00, 21.45)</t>
        </is>
      </c>
      <c r="E48" s="34" t="n">
        <v>1.999</v>
      </c>
      <c r="F48" s="41">
        <f>SUMIFS(TRIB!$E$6:$E$255,TRIB!$B$6:$B$255,"DM-42")</f>
        <v>1.998</v>
      </c>
      <c r="G48" s="34">
        <f>SUMIFS(TRIB!$I$6:$I$255,TRIB!$B$6:$B$255,"DM-42")/E48</f>
        <v>0.603371481659197</v>
      </c>
      <c r="H48" s="67">
        <f>SUMIFS(TRIB!$G$6:$G$255,TRIB!$B$6:$B$255,"DM-42")/E48</f>
        <v>0.822363916652203</v>
      </c>
      <c r="I48" s="42" t="inlineStr">
        <is>
          <t>Muro del entrepiso de abajo (planta baja)</t>
        </is>
      </c>
    </row>
    <row r="49">
      <c r="B49" s="35" t="inlineStr">
        <is>
          <t>DM-43 · Eje A (x = 0.000)</t>
        </is>
      </c>
      <c r="C49" s="39" t="inlineStr">
        <is>
          <t>N+3.00</t>
        </is>
      </c>
      <c r="D49" s="42" t="inlineStr">
        <is>
          <t>(0.00, 21.45) – (0.00, 24.37)</t>
        </is>
      </c>
      <c r="E49" s="34" t="n">
        <v>2.925</v>
      </c>
      <c r="F49" s="41">
        <f>SUMIFS(TRIB!$E$6:$E$255,TRIB!$B$6:$B$255,"DM-43")</f>
        <v>2.7</v>
      </c>
      <c r="G49" s="34">
        <f>SUMIFS(TRIB!$I$6:$I$255,TRIB!$B$6:$B$255,"DM-43")/E49</f>
        <v>0.585954997383569</v>
      </c>
      <c r="H49" s="67">
        <f>SUMIFS(TRIB!$G$6:$G$255,TRIB!$B$6:$B$255,"DM-43")/E49</f>
        <v>0.786356881214024</v>
      </c>
      <c r="I49" s="42" t="inlineStr">
        <is>
          <t>Muro del entrepiso de abajo (planta baja)</t>
        </is>
      </c>
    </row>
    <row r="50">
      <c r="B50" s="35" t="inlineStr">
        <is>
          <t>DM-44 · Eje B (x = 2.925)</t>
        </is>
      </c>
      <c r="C50" s="39" t="inlineStr">
        <is>
          <t>N+3.00</t>
        </is>
      </c>
      <c r="D50" s="42" t="inlineStr">
        <is>
          <t>(2.92, 5.35) – (2.92, 5.95)</t>
        </is>
      </c>
      <c r="E50" s="34" t="n">
        <v>0.6</v>
      </c>
      <c r="F50" s="41">
        <f>SUMIFS(TRIB!$E$6:$E$255,TRIB!$B$6:$B$255,"DM-44")</f>
        <v>0.36</v>
      </c>
      <c r="G50" s="34">
        <f>SUMIFS(TRIB!$I$6:$I$255,TRIB!$B$6:$B$255,"DM-44")/E50</f>
        <v>0.362204081632653</v>
      </c>
      <c r="H50" s="67">
        <f>SUMIFS(TRIB!$G$6:$G$255,TRIB!$B$6:$B$255,"DM-44")/E50</f>
        <v>0.493665306122449</v>
      </c>
      <c r="I50" s="42" t="inlineStr">
        <is>
          <t>Muro del entrepiso de abajo (planta baja)</t>
        </is>
      </c>
    </row>
    <row r="51">
      <c r="B51" s="35" t="inlineStr">
        <is>
          <t>DM-45 · Eje B (x = 2.925)</t>
        </is>
      </c>
      <c r="C51" s="39" t="inlineStr">
        <is>
          <t>N+3.00</t>
        </is>
      </c>
      <c r="D51" s="42" t="inlineStr">
        <is>
          <t>(2.92, 5.95) – (2.92, 6.05)</t>
        </is>
      </c>
      <c r="E51" s="34" t="n">
        <v>0.1</v>
      </c>
      <c r="F51" s="41">
        <f>SUMIFS(TRIB!$E$6:$E$255,TRIB!$B$6:$B$255,"DM-45")</f>
        <v>0.07</v>
      </c>
      <c r="G51" s="34">
        <f>SUMIFS(TRIB!$I$6:$I$255,TRIB!$B$6:$B$255,"DM-45")/E51</f>
        <v>0.422571428571429</v>
      </c>
      <c r="H51" s="67">
        <f>SUMIFS(TRIB!$G$6:$G$255,TRIB!$B$6:$B$255,"DM-45")/E51</f>
        <v>0.575942857142857</v>
      </c>
      <c r="I51" s="42" t="inlineStr">
        <is>
          <t>Muro del entrepiso de abajo (planta baja)</t>
        </is>
      </c>
    </row>
    <row r="52">
      <c r="B52" s="35" t="inlineStr">
        <is>
          <t>DM-46 · Eje B (x = 2.925)</t>
        </is>
      </c>
      <c r="C52" s="39" t="inlineStr">
        <is>
          <t>N+3.00</t>
        </is>
      </c>
      <c r="D52" s="42" t="inlineStr">
        <is>
          <t>(2.92, 6.05) – (2.92, 6.95)</t>
        </is>
      </c>
      <c r="E52" s="34" t="n">
        <v>0.902</v>
      </c>
      <c r="F52" s="41">
        <f>SUMIFS(TRIB!$E$6:$E$255,TRIB!$B$6:$B$255,"DM-46")</f>
        <v>0.6426</v>
      </c>
      <c r="G52" s="34">
        <f>SUMIFS(TRIB!$I$6:$I$255,TRIB!$B$6:$B$255,"DM-46")/E52</f>
        <v>0.430067152359835</v>
      </c>
      <c r="H52" s="67">
        <f>SUMIFS(TRIB!$G$6:$G$255,TRIB!$B$6:$B$255,"DM-46")/E52</f>
        <v>0.586159138422553</v>
      </c>
      <c r="I52" s="42" t="inlineStr">
        <is>
          <t>Muro del entrepiso de abajo (planta baja)</t>
        </is>
      </c>
    </row>
    <row r="53">
      <c r="B53" s="35" t="inlineStr">
        <is>
          <t>DM-47 · Eje E (x = 4.925)</t>
        </is>
      </c>
      <c r="C53" s="39" t="inlineStr">
        <is>
          <t>N+3.00</t>
        </is>
      </c>
      <c r="D53" s="42" t="inlineStr">
        <is>
          <t>(4.92, 15.45) – (4.92, 16.40)</t>
        </is>
      </c>
      <c r="E53" s="34" t="n">
        <v>0.949</v>
      </c>
      <c r="F53" s="41">
        <f>SUMIFS(TRIB!$E$6:$E$255,TRIB!$B$6:$B$255,"DM-47")</f>
        <v>1.134</v>
      </c>
      <c r="G53" s="34">
        <f>SUMIFS(TRIB!$I$6:$I$255,TRIB!$B$6:$B$255,"DM-47")/E53</f>
        <v>0.721354809573988</v>
      </c>
      <c r="H53" s="67">
        <f>SUMIFS(TRIB!$G$6:$G$255,TRIB!$B$6:$B$255,"DM-47")/E53</f>
        <v>0.983169050127954</v>
      </c>
      <c r="I53" s="42" t="inlineStr">
        <is>
          <t>Muro del entrepiso de abajo (planta baja)</t>
        </is>
      </c>
    </row>
    <row r="54">
      <c r="B54" s="35" t="inlineStr">
        <is>
          <t>DM-48 · Eje E (x = 4.925)</t>
        </is>
      </c>
      <c r="C54" s="39" t="inlineStr">
        <is>
          <t>N+3.00</t>
        </is>
      </c>
      <c r="D54" s="42" t="inlineStr">
        <is>
          <t>(4.92, 16.40) – (4.92, 17.45)</t>
        </is>
      </c>
      <c r="E54" s="34" t="n">
        <v>1.05</v>
      </c>
      <c r="F54" s="41">
        <f>SUMIFS(TRIB!$E$6:$E$255,TRIB!$B$6:$B$255,"DM-48")</f>
        <v>0.9163</v>
      </c>
      <c r="G54" s="34">
        <f>SUMIFS(TRIB!$I$6:$I$255,TRIB!$B$6:$B$255,"DM-48")/E54</f>
        <v>0.526805714285714</v>
      </c>
      <c r="H54" s="67">
        <f>SUMIFS(TRIB!$G$6:$G$255,TRIB!$B$6:$B$255,"DM-48")/E54</f>
        <v>0.718008761904762</v>
      </c>
      <c r="I54" s="42" t="inlineStr">
        <is>
          <t>Muro del entrepiso de abajo (planta baja)</t>
        </is>
      </c>
    </row>
    <row r="55">
      <c r="B55" s="35" t="inlineStr">
        <is>
          <t>DM-49 · Eje E (x = 4.925)</t>
        </is>
      </c>
      <c r="C55" s="39" t="inlineStr">
        <is>
          <t>N+3.00</t>
        </is>
      </c>
      <c r="D55" s="42" t="inlineStr">
        <is>
          <t>(4.92, 17.45) – (4.92, 18.15)</t>
        </is>
      </c>
      <c r="E55" s="34" t="n">
        <v>0.7</v>
      </c>
      <c r="F55" s="41">
        <f>SUMIFS(TRIB!$E$6:$E$255,TRIB!$B$6:$B$255,"DM-49")</f>
        <v>0.3885</v>
      </c>
      <c r="G55" s="34">
        <f>SUMIFS(TRIB!$I$6:$I$255,TRIB!$B$6:$B$255,"DM-49")/E55</f>
        <v>0.335038775510204</v>
      </c>
      <c r="H55" s="67">
        <f>SUMIFS(TRIB!$G$6:$G$255,TRIB!$B$6:$B$255,"DM-49")/E55</f>
        <v>0.456640408163265</v>
      </c>
      <c r="I55" s="42" t="inlineStr">
        <is>
          <t>Muro del entrepiso de abajo (planta baja)</t>
        </is>
      </c>
    </row>
    <row r="56">
      <c r="B56" s="35" t="inlineStr">
        <is>
          <t>DM-50 · Eje E (x = 4.925)</t>
        </is>
      </c>
      <c r="C56" s="39" t="inlineStr">
        <is>
          <t>N+3.00</t>
        </is>
      </c>
      <c r="D56" s="42" t="inlineStr">
        <is>
          <t>(4.92, 18.15) – (4.92, 19.20)</t>
        </is>
      </c>
      <c r="E56" s="34" t="n">
        <v>1.054</v>
      </c>
      <c r="F56" s="41">
        <f>SUMIFS(TRIB!$E$6:$E$255,TRIB!$B$6:$B$255,"DM-50")</f>
        <v>1.5563</v>
      </c>
      <c r="G56" s="34">
        <f>SUMIFS(TRIB!$I$6:$I$255,TRIB!$B$6:$B$255,"DM-50")/E56</f>
        <v>0.891363396971692</v>
      </c>
      <c r="H56" s="67">
        <f>SUMIFS(TRIB!$G$6:$G$255,TRIB!$B$6:$B$255,"DM-50")/E56</f>
        <v>1.21488190372923</v>
      </c>
      <c r="I56" s="42" t="inlineStr">
        <is>
          <t>Muro del entrepiso de abajo (planta baja)</t>
        </is>
      </c>
    </row>
    <row r="57">
      <c r="B57" s="35" t="inlineStr">
        <is>
          <t>DM-51 · Eje E (x = 4.925)</t>
        </is>
      </c>
      <c r="C57" s="39" t="inlineStr">
        <is>
          <t>N+3.00</t>
        </is>
      </c>
      <c r="D57" s="42" t="inlineStr">
        <is>
          <t>(4.92, 19.20) – (4.92, 21.45)</t>
        </is>
      </c>
      <c r="E57" s="34" t="n">
        <v>2.246</v>
      </c>
      <c r="F57" s="41">
        <f>SUMIFS(TRIB!$E$6:$E$255,TRIB!$B$6:$B$255,"DM-51")</f>
        <v>2.9896</v>
      </c>
      <c r="G57" s="34">
        <f>SUMIFS(TRIB!$I$6:$I$255,TRIB!$B$6:$B$255,"DM-51")/E57</f>
        <v>0.803536154978465</v>
      </c>
      <c r="H57" s="67">
        <f>SUMIFS(TRIB!$G$6:$G$255,TRIB!$B$6:$B$255,"DM-51")/E57</f>
        <v>1.09517794537227</v>
      </c>
      <c r="I57" s="42" t="inlineStr">
        <is>
          <t>Muro del entrepiso de abajo (planta baja)</t>
        </is>
      </c>
    </row>
    <row r="58">
      <c r="B58" s="35" t="inlineStr">
        <is>
          <t>DM-52 · Eje G (x = 5.923)</t>
        </is>
      </c>
      <c r="C58" s="39" t="inlineStr">
        <is>
          <t>N+3.00</t>
        </is>
      </c>
      <c r="D58" s="42" t="inlineStr">
        <is>
          <t>(5.92, 5.95) – (5.92, 6.95)</t>
        </is>
      </c>
      <c r="E58" s="34" t="n">
        <v>1.002</v>
      </c>
      <c r="F58" s="41">
        <f>SUMIFS(TRIB!$E$6:$E$255,TRIB!$B$6:$B$255,"DM-52")</f>
        <v>0.374</v>
      </c>
      <c r="G58" s="34">
        <f>SUMIFS(TRIB!$I$6:$I$255,TRIB!$B$6:$B$255,"DM-52")/E58</f>
        <v>0.225323231088843</v>
      </c>
      <c r="H58" s="67">
        <f>SUMIFS(TRIB!$G$6:$G$255,TRIB!$B$6:$B$255,"DM-52")/E58</f>
        <v>0.307103833150026</v>
      </c>
      <c r="I58" s="42" t="inlineStr">
        <is>
          <t>Muro del entrepiso de abajo (planta baja)</t>
        </is>
      </c>
    </row>
    <row r="59">
      <c r="B59" s="35" t="inlineStr">
        <is>
          <t>DM-53 · Eje H (x = 7.250)</t>
        </is>
      </c>
      <c r="C59" s="39" t="inlineStr">
        <is>
          <t>N+3.00</t>
        </is>
      </c>
      <c r="D59" s="42" t="inlineStr">
        <is>
          <t>(7.25, 21.45) – (7.25, 24.37)</t>
        </is>
      </c>
      <c r="E59" s="34" t="n">
        <v>2.925</v>
      </c>
      <c r="F59" s="41">
        <f>SUMIFS(TRIB!$E$6:$E$255,TRIB!$B$6:$B$255,"DM-53")</f>
        <v>2.7</v>
      </c>
      <c r="G59" s="34">
        <f>SUMIFS(TRIB!$I$6:$I$255,TRIB!$B$6:$B$255,"DM-53")/E59</f>
        <v>0.612108843537415</v>
      </c>
      <c r="H59" s="67">
        <f>SUMIFS(TRIB!$G$6:$G$255,TRIB!$B$6:$B$255,"DM-53")/E59</f>
        <v>0.830818419675563</v>
      </c>
      <c r="I59" s="42" t="inlineStr">
        <is>
          <t>Muro del entrepiso de abajo (planta baja)</t>
        </is>
      </c>
    </row>
    <row r="60">
      <c r="B60" s="35" t="inlineStr">
        <is>
          <t>DM-54 · Eje J (x = 8.850)</t>
        </is>
      </c>
      <c r="C60" s="39" t="inlineStr">
        <is>
          <t>N+3.00</t>
        </is>
      </c>
      <c r="D60" s="42" t="inlineStr">
        <is>
          <t>(8.85, 0.00) – (8.85, 2.32)</t>
        </is>
      </c>
      <c r="E60" s="34" t="n">
        <v>2.316</v>
      </c>
      <c r="F60" s="41">
        <f>SUMIFS(TRIB!$E$6:$E$255,TRIB!$B$6:$B$255,"DM-54")</f>
        <v>0</v>
      </c>
      <c r="G60" s="34">
        <f>SUMIFS(TRIB!$I$6:$I$255,TRIB!$B$6:$B$255,"DM-54")/E60</f>
        <v>0</v>
      </c>
      <c r="H60" s="67">
        <f>SUMIFS(TRIB!$G$6:$G$255,TRIB!$B$6:$B$255,"DM-54")/E60</f>
        <v>0</v>
      </c>
      <c r="I60" s="42" t="inlineStr">
        <is>
          <t>Muro del entrepiso de abajo (planta baja)</t>
        </is>
      </c>
    </row>
    <row r="61">
      <c r="B61" s="35" t="inlineStr">
        <is>
          <t>DM-55 · Eje J (x = 8.850)</t>
        </is>
      </c>
      <c r="C61" s="39" t="inlineStr">
        <is>
          <t>N+3.00</t>
        </is>
      </c>
      <c r="D61" s="42" t="inlineStr">
        <is>
          <t>(8.85, 2.32) – (8.85, 4.63)</t>
        </is>
      </c>
      <c r="E61" s="34" t="n">
        <v>2.316</v>
      </c>
      <c r="F61" s="41">
        <f>SUMIFS(TRIB!$E$6:$E$255,TRIB!$B$6:$B$255,"DM-55")</f>
        <v>0</v>
      </c>
      <c r="G61" s="34">
        <f>SUMIFS(TRIB!$I$6:$I$255,TRIB!$B$6:$B$255,"DM-55")/E61</f>
        <v>0</v>
      </c>
      <c r="H61" s="67">
        <f>SUMIFS(TRIB!$G$6:$G$255,TRIB!$B$6:$B$255,"DM-55")/E61</f>
        <v>0</v>
      </c>
      <c r="I61" s="42" t="inlineStr">
        <is>
          <t>Muro del entrepiso de abajo (planta baja)</t>
        </is>
      </c>
    </row>
    <row r="62">
      <c r="B62" s="35" t="inlineStr">
        <is>
          <t>DM-56 · Eje J (x = 8.850)</t>
        </is>
      </c>
      <c r="C62" s="39" t="inlineStr">
        <is>
          <t>N+3.00</t>
        </is>
      </c>
      <c r="D62" s="42" t="inlineStr">
        <is>
          <t>(8.85, 4.63) – (8.85, 6.95)</t>
        </is>
      </c>
      <c r="E62" s="34" t="n">
        <v>2.316</v>
      </c>
      <c r="F62" s="41">
        <f>SUMIFS(TRIB!$E$6:$E$255,TRIB!$B$6:$B$255,"DM-56")</f>
        <v>0</v>
      </c>
      <c r="G62" s="34">
        <f>SUMIFS(TRIB!$I$6:$I$255,TRIB!$B$6:$B$255,"DM-56")/E62</f>
        <v>0</v>
      </c>
      <c r="H62" s="67">
        <f>SUMIFS(TRIB!$G$6:$G$255,TRIB!$B$6:$B$255,"DM-56")/E62</f>
        <v>0</v>
      </c>
      <c r="I62" s="42" t="inlineStr">
        <is>
          <t>Muro del entrepiso de abajo (planta baja)</t>
        </is>
      </c>
    </row>
    <row r="63">
      <c r="B63" s="35" t="inlineStr">
        <is>
          <t>DM-57 · Eje J (x = 8.850)</t>
        </is>
      </c>
      <c r="C63" s="39" t="inlineStr">
        <is>
          <t>N+3.00</t>
        </is>
      </c>
      <c r="D63" s="42" t="inlineStr">
        <is>
          <t>(8.85, 6.95) – (8.85, 8.45)</t>
        </is>
      </c>
      <c r="E63" s="34" t="n">
        <v>1.501</v>
      </c>
      <c r="F63" s="41">
        <f>SUMIFS(TRIB!$E$6:$E$255,TRIB!$B$6:$B$255,"DM-57")</f>
        <v>0</v>
      </c>
      <c r="G63" s="34">
        <f>SUMIFS(TRIB!$I$6:$I$255,TRIB!$B$6:$B$255,"DM-57")/E63</f>
        <v>0</v>
      </c>
      <c r="H63" s="67">
        <f>SUMIFS(TRIB!$G$6:$G$255,TRIB!$B$6:$B$255,"DM-57")/E63</f>
        <v>0</v>
      </c>
      <c r="I63" s="42" t="inlineStr">
        <is>
          <t>Muro del entrepiso de abajo (planta baja)</t>
        </is>
      </c>
    </row>
    <row r="64">
      <c r="B64" s="35" t="inlineStr">
        <is>
          <t>DM-58 · Eje J (x = 8.850)</t>
        </is>
      </c>
      <c r="C64" s="39" t="inlineStr">
        <is>
          <t>N+3.00</t>
        </is>
      </c>
      <c r="D64" s="42" t="inlineStr">
        <is>
          <t>(8.85, 8.45) – (8.85, 9.95)</t>
        </is>
      </c>
      <c r="E64" s="34" t="n">
        <v>1.501</v>
      </c>
      <c r="F64" s="41">
        <f>SUMIFS(TRIB!$E$6:$E$255,TRIB!$B$6:$B$255,"DM-58")</f>
        <v>0</v>
      </c>
      <c r="G64" s="34">
        <f>SUMIFS(TRIB!$I$6:$I$255,TRIB!$B$6:$B$255,"DM-58")/E64</f>
        <v>0</v>
      </c>
      <c r="H64" s="67">
        <f>SUMIFS(TRIB!$G$6:$G$255,TRIB!$B$6:$B$255,"DM-58")/E64</f>
        <v>0</v>
      </c>
      <c r="I64" s="42" t="inlineStr">
        <is>
          <t>Muro del entrepiso de abajo (planta baja)</t>
        </is>
      </c>
    </row>
    <row r="65">
      <c r="B65" s="35" t="inlineStr">
        <is>
          <t>DM-59 · Eje J (x = 8.850)</t>
        </is>
      </c>
      <c r="C65" s="39" t="inlineStr">
        <is>
          <t>N+3.00</t>
        </is>
      </c>
      <c r="D65" s="42" t="inlineStr">
        <is>
          <t>(8.85, 9.95) – (8.85, 12.10)</t>
        </is>
      </c>
      <c r="E65" s="34" t="n">
        <v>2.15</v>
      </c>
      <c r="F65" s="41">
        <f>SUMIFS(TRIB!$E$6:$E$255,TRIB!$B$6:$B$255,"DM-59")</f>
        <v>2.2162</v>
      </c>
      <c r="G65" s="34">
        <f>SUMIFS(TRIB!$I$6:$I$255,TRIB!$B$6:$B$255,"DM-59")/E65</f>
        <v>0.637722857142857</v>
      </c>
      <c r="H65" s="67">
        <f>SUMIFS(TRIB!$G$6:$G$255,TRIB!$B$6:$B$255,"DM-59")/E65</f>
        <v>0.868209760797342</v>
      </c>
      <c r="I65" s="42" t="inlineStr">
        <is>
          <t>Muro del entrepiso de abajo (planta baja)</t>
        </is>
      </c>
    </row>
    <row r="66">
      <c r="B66" s="35" t="inlineStr">
        <is>
          <t>DM-60 · Eje J (x = 8.850)</t>
        </is>
      </c>
      <c r="C66" s="39" t="inlineStr">
        <is>
          <t>N+3.00</t>
        </is>
      </c>
      <c r="D66" s="42" t="inlineStr">
        <is>
          <t>(8.85, 12.10) – (8.85, 14.25)</t>
        </is>
      </c>
      <c r="E66" s="34" t="n">
        <v>2.147</v>
      </c>
      <c r="F66" s="41">
        <f>SUMIFS(TRIB!$E$6:$E$255,TRIB!$B$6:$B$255,"DM-60")</f>
        <v>3.5479</v>
      </c>
      <c r="G66" s="34">
        <f>SUMIFS(TRIB!$I$6:$I$255,TRIB!$B$6:$B$255,"DM-60")/E66</f>
        <v>1.02235286541258</v>
      </c>
      <c r="H66" s="67">
        <f>SUMIFS(TRIB!$G$6:$G$255,TRIB!$B$6:$B$255,"DM-60")/E66</f>
        <v>1.39185341530185</v>
      </c>
      <c r="I66" s="42" t="inlineStr">
        <is>
          <t>Muro del entrepiso de abajo (planta baja)</t>
        </is>
      </c>
    </row>
    <row r="67">
      <c r="B67" s="35" t="inlineStr">
        <is>
          <t>DM-61 · Eje J (x = 8.850)</t>
        </is>
      </c>
      <c r="C67" s="39" t="inlineStr">
        <is>
          <t>N+3.00</t>
        </is>
      </c>
      <c r="D67" s="42" t="inlineStr">
        <is>
          <t>(8.85, 14.25) – (8.85, 15.45)</t>
        </is>
      </c>
      <c r="E67" s="34" t="n">
        <v>1.2</v>
      </c>
      <c r="F67" s="41">
        <f>SUMIFS(TRIB!$E$6:$E$255,TRIB!$B$6:$B$255,"DM-61")</f>
        <v>0.72</v>
      </c>
      <c r="G67" s="34">
        <f>SUMIFS(TRIB!$I$6:$I$255,TRIB!$B$6:$B$255,"DM-61")/E67</f>
        <v>0.371204081632653</v>
      </c>
      <c r="H67" s="67">
        <f>SUMIFS(TRIB!$G$6:$G$255,TRIB!$B$6:$B$255,"DM-61")/E67</f>
        <v>0.505365306122449</v>
      </c>
      <c r="I67" s="42" t="inlineStr">
        <is>
          <t>Muro del entrepiso de abajo (planta baja)</t>
        </is>
      </c>
    </row>
    <row r="68">
      <c r="B68" s="35" t="inlineStr">
        <is>
          <t>DM-62 · Eje J (x = 8.850)</t>
        </is>
      </c>
      <c r="C68" s="39" t="inlineStr">
        <is>
          <t>N+3.00</t>
        </is>
      </c>
      <c r="D68" s="42" t="inlineStr">
        <is>
          <t>(8.85, 15.45) – (8.85, 17.45)</t>
        </is>
      </c>
      <c r="E68" s="34" t="n">
        <v>1.999</v>
      </c>
      <c r="F68" s="41">
        <f>SUMIFS(TRIB!$E$6:$E$255,TRIB!$B$6:$B$255,"DM-62")</f>
        <v>0.6798</v>
      </c>
      <c r="G68" s="34">
        <f>SUMIFS(TRIB!$I$6:$I$255,TRIB!$B$6:$B$255,"DM-62")/E68</f>
        <v>0.22909616032506</v>
      </c>
      <c r="H68" s="67">
        <f>SUMIFS(TRIB!$G$6:$G$255,TRIB!$B$6:$B$255,"DM-62")/E68</f>
        <v>0.310747669753244</v>
      </c>
      <c r="I68" s="42" t="inlineStr">
        <is>
          <t>Muro del entrepiso de abajo (planta baja)</t>
        </is>
      </c>
    </row>
    <row r="69">
      <c r="B69" s="35" t="inlineStr">
        <is>
          <t>DM-63 · Eje J (x = 8.850)</t>
        </is>
      </c>
      <c r="C69" s="39" t="inlineStr">
        <is>
          <t>N+3.00</t>
        </is>
      </c>
      <c r="D69" s="42" t="inlineStr">
        <is>
          <t>(8.85, 17.45) – (8.85, 19.45)</t>
        </is>
      </c>
      <c r="E69" s="34" t="n">
        <v>2</v>
      </c>
      <c r="F69" s="41">
        <f>SUMIFS(TRIB!$E$6:$E$255,TRIB!$B$6:$B$255,"DM-63")</f>
        <v>1.9993</v>
      </c>
      <c r="G69" s="34">
        <f>SUMIFS(TRIB!$I$6:$I$255,TRIB!$B$6:$B$255,"DM-63")/E69</f>
        <v>0.603462183673469</v>
      </c>
      <c r="H69" s="67">
        <f>SUMIFS(TRIB!$G$6:$G$255,TRIB!$B$6:$B$255,"DM-63")/E69</f>
        <v>0.82248753877551</v>
      </c>
      <c r="I69" s="42" t="inlineStr">
        <is>
          <t>Muro del entrepiso de abajo (planta baja)</t>
        </is>
      </c>
    </row>
    <row r="70">
      <c r="B70" s="35" t="inlineStr">
        <is>
          <t>DM-64 · Eje J (x = 8.850)</t>
        </is>
      </c>
      <c r="C70" s="39" t="inlineStr">
        <is>
          <t>N+3.00</t>
        </is>
      </c>
      <c r="D70" s="42" t="inlineStr">
        <is>
          <t>(8.85, 19.45) – (8.85, 21.45)</t>
        </is>
      </c>
      <c r="E70" s="34" t="n">
        <v>2</v>
      </c>
      <c r="F70" s="41">
        <f>SUMIFS(TRIB!$E$6:$E$255,TRIB!$B$6:$B$255,"DM-64")</f>
        <v>1.9993</v>
      </c>
      <c r="G70" s="34">
        <f>SUMIFS(TRIB!$I$6:$I$255,TRIB!$B$6:$B$255,"DM-64")/E70</f>
        <v>0.603462183673469</v>
      </c>
      <c r="H70" s="67">
        <f>SUMIFS(TRIB!$G$6:$G$255,TRIB!$B$6:$B$255,"DM-64")/E70</f>
        <v>0.82248753877551</v>
      </c>
      <c r="I70" s="42" t="inlineStr">
        <is>
          <t>Muro del entrepiso de abajo (planta baja)</t>
        </is>
      </c>
    </row>
    <row r="71">
      <c r="B71" s="35" t="inlineStr">
        <is>
          <t>DM-65 · Eje J (x = 8.850)</t>
        </is>
      </c>
      <c r="C71" s="39" t="inlineStr">
        <is>
          <t>N+3.00</t>
        </is>
      </c>
      <c r="D71" s="42" t="inlineStr">
        <is>
          <t>(8.85, 21.45) – (8.85, 24.37)</t>
        </is>
      </c>
      <c r="E71" s="34" t="n">
        <v>2.925</v>
      </c>
      <c r="F71" s="41">
        <f>SUMIFS(TRIB!$E$6:$E$255,TRIB!$B$6:$B$255,"DM-65")</f>
        <v>1.7</v>
      </c>
      <c r="G71" s="34">
        <f>SUMIFS(TRIB!$I$6:$I$255,TRIB!$B$6:$B$255,"DM-65")/E71</f>
        <v>0.38863073434502</v>
      </c>
      <c r="H71" s="67">
        <f>SUMIFS(TRIB!$G$6:$G$255,TRIB!$B$6:$B$255,"DM-65")/E71</f>
        <v>0.527305424733996</v>
      </c>
      <c r="I71" s="42" t="inlineStr">
        <is>
          <t>Muro del entrepiso de abajo (planta baja)</t>
        </is>
      </c>
    </row>
    <row r="72">
      <c r="B72" s="35" t="inlineStr">
        <is>
          <t>DM-66 · Eje 2 (y = 1.919)</t>
        </is>
      </c>
      <c r="C72" s="39" t="inlineStr">
        <is>
          <t>N+6.00</t>
        </is>
      </c>
      <c r="D72" s="42" t="inlineStr">
        <is>
          <t>(0.00, 1.92) – (4.33, 1.92)</t>
        </is>
      </c>
      <c r="E72" s="34" t="n">
        <v>4.327</v>
      </c>
      <c r="F72" s="41">
        <f>SUMIFS(TRIB!$E$6:$E$255,TRIB!$B$6:$B$255,"DM-66")</f>
        <v>1.9168</v>
      </c>
      <c r="G72" s="34">
        <f>SUMIFS(TRIB!$I$6:$I$255,TRIB!$B$6:$B$255,"DM-66")/E72</f>
        <v>0.276278554685105</v>
      </c>
      <c r="H72" s="67">
        <f>SUMIFS(TRIB!$G$6:$G$255,TRIB!$B$6:$B$255,"DM-66")/E72</f>
        <v>0.368021839140093</v>
      </c>
      <c r="I72" s="42" t="inlineStr">
        <is>
          <t>Muro del primer nivel</t>
        </is>
      </c>
    </row>
    <row r="73">
      <c r="B73" s="35" t="inlineStr">
        <is>
          <t>DM-67 · Eje 3 (y = 2.921)</t>
        </is>
      </c>
      <c r="C73" s="39" t="inlineStr">
        <is>
          <t>N+6.00</t>
        </is>
      </c>
      <c r="D73" s="42" t="inlineStr">
        <is>
          <t>(0.00, 2.92) – (0.93, 2.92)</t>
        </is>
      </c>
      <c r="E73" s="34" t="n">
        <v>0.925</v>
      </c>
      <c r="F73" s="41">
        <f>SUMIFS(TRIB!$E$6:$E$255,TRIB!$B$6:$B$255,"DM-67")</f>
        <v>0.7657</v>
      </c>
      <c r="G73" s="34">
        <f>SUMIFS(TRIB!$I$6:$I$255,TRIB!$B$6:$B$255,"DM-67")/E73</f>
        <v>0.537078676227248</v>
      </c>
      <c r="H73" s="67">
        <f>SUMIFS(TRIB!$G$6:$G$255,TRIB!$B$6:$B$255,"DM-67")/E73</f>
        <v>0.714757954771098</v>
      </c>
      <c r="I73" s="42" t="inlineStr">
        <is>
          <t>Muro del primer nivel</t>
        </is>
      </c>
    </row>
    <row r="74">
      <c r="B74" s="35" t="inlineStr">
        <is>
          <t>DM-68 · Eje 3 (y = 2.921)</t>
        </is>
      </c>
      <c r="C74" s="39" t="inlineStr">
        <is>
          <t>N+6.00</t>
        </is>
      </c>
      <c r="D74" s="42" t="inlineStr">
        <is>
          <t>(0.93, 2.92) – (3.58, 2.92)</t>
        </is>
      </c>
      <c r="E74" s="34" t="n">
        <v>2.65</v>
      </c>
      <c r="F74" s="41">
        <f>SUMIFS(TRIB!$E$6:$E$255,TRIB!$B$6:$B$255,"DM-68")</f>
        <v>5.2979</v>
      </c>
      <c r="G74" s="34">
        <f>SUMIFS(TRIB!$I$6:$I$255,TRIB!$B$6:$B$255,"DM-68")/E74</f>
        <v>1.31427119753562</v>
      </c>
      <c r="H74" s="67">
        <f>SUMIFS(TRIB!$G$6:$G$255,TRIB!$B$6:$B$255,"DM-68")/E74</f>
        <v>1.7485367077397</v>
      </c>
      <c r="I74" s="42" t="inlineStr">
        <is>
          <t>Muro del primer nivel</t>
        </is>
      </c>
    </row>
    <row r="75">
      <c r="B75" s="35" t="inlineStr">
        <is>
          <t>DM-69 · Eje 3 (y = 2.921)</t>
        </is>
      </c>
      <c r="C75" s="39" t="inlineStr">
        <is>
          <t>N+6.00</t>
        </is>
      </c>
      <c r="D75" s="42" t="inlineStr">
        <is>
          <t>(3.58, 2.92) – (4.33, 2.92)</t>
        </is>
      </c>
      <c r="E75" s="34" t="n">
        <v>0.752</v>
      </c>
      <c r="F75" s="41">
        <f>SUMIFS(TRIB!$E$6:$E$255,TRIB!$B$6:$B$255,"DM-69")</f>
        <v>0.5341</v>
      </c>
      <c r="G75" s="34">
        <f>SUMIFS(TRIB!$I$6:$I$255,TRIB!$B$6:$B$255,"DM-69")/E75</f>
        <v>0.459880319148936</v>
      </c>
      <c r="H75" s="67">
        <f>SUMIFS(TRIB!$G$6:$G$255,TRIB!$B$6:$B$255,"DM-69")/E75</f>
        <v>0.61204920212766</v>
      </c>
      <c r="I75" s="42" t="inlineStr">
        <is>
          <t>Muro del primer nivel</t>
        </is>
      </c>
    </row>
    <row r="76">
      <c r="B76" s="35" t="inlineStr">
        <is>
          <t>DM-70 · Eje 3 (y = 2.921)</t>
        </is>
      </c>
      <c r="C76" s="39" t="inlineStr">
        <is>
          <t>N+6.00</t>
        </is>
      </c>
      <c r="D76" s="42" t="inlineStr">
        <is>
          <t>(4.33, 2.92) – (5.92, 2.92)</t>
        </is>
      </c>
      <c r="E76" s="34" t="n">
        <v>1.596</v>
      </c>
      <c r="F76" s="41">
        <f>SUMIFS(TRIB!$E$6:$E$255,TRIB!$B$6:$B$255,"DM-70")</f>
        <v>0.6368</v>
      </c>
      <c r="G76" s="34">
        <f>SUMIFS(TRIB!$I$6:$I$255,TRIB!$B$6:$B$255,"DM-70")/E76</f>
        <v>0.248844151194312</v>
      </c>
      <c r="H76" s="67">
        <f>SUMIFS(TRIB!$G$6:$G$255,TRIB!$B$6:$B$255,"DM-70")/E76</f>
        <v>0.331477346427293</v>
      </c>
      <c r="I76" s="42" t="inlineStr">
        <is>
          <t>Muro del primer nivel</t>
        </is>
      </c>
    </row>
    <row r="77">
      <c r="B77" s="35" t="inlineStr">
        <is>
          <t>DM-71 · Eje 5 (y = 5.946)</t>
        </is>
      </c>
      <c r="C77" s="39" t="inlineStr">
        <is>
          <t>N+6.00</t>
        </is>
      </c>
      <c r="D77" s="42" t="inlineStr">
        <is>
          <t>(4.33, 5.95) – (5.30, 5.95)</t>
        </is>
      </c>
      <c r="E77" s="34" t="n">
        <v>0.971</v>
      </c>
      <c r="F77" s="41">
        <f>SUMIFS(TRIB!$E$6:$E$255,TRIB!$B$6:$B$255,"DM-71")</f>
        <v>0.883</v>
      </c>
      <c r="G77" s="34">
        <f>SUMIFS(TRIB!$I$6:$I$255,TRIB!$B$6:$B$255,"DM-71")/E77</f>
        <v>0.587611919123983</v>
      </c>
      <c r="H77" s="67">
        <f>SUMIFS(TRIB!$G$6:$G$255,TRIB!$B$6:$B$255,"DM-71")/E77</f>
        <v>0.782082930494546</v>
      </c>
      <c r="I77" s="42" t="inlineStr">
        <is>
          <t>Muro del primer nivel</t>
        </is>
      </c>
    </row>
    <row r="78">
      <c r="B78" s="35" t="inlineStr">
        <is>
          <t>DM-72 · Eje 5 (y = 5.946)</t>
        </is>
      </c>
      <c r="C78" s="39" t="inlineStr">
        <is>
          <t>N+6.00</t>
        </is>
      </c>
      <c r="D78" s="42" t="inlineStr">
        <is>
          <t>(5.30, 5.95) – (5.92, 5.95)</t>
        </is>
      </c>
      <c r="E78" s="34" t="n">
        <v>0.625</v>
      </c>
      <c r="F78" s="41">
        <f>SUMIFS(TRIB!$E$6:$E$255,TRIB!$B$6:$B$255,"DM-72")</f>
        <v>0.3906</v>
      </c>
      <c r="G78" s="34">
        <f>SUMIFS(TRIB!$I$6:$I$255,TRIB!$B$6:$B$255,"DM-72")/E78</f>
        <v>0.403832571428571</v>
      </c>
      <c r="H78" s="67">
        <f>SUMIFS(TRIB!$G$6:$G$255,TRIB!$B$6:$B$255,"DM-72")/E78</f>
        <v>0.537481542857143</v>
      </c>
      <c r="I78" s="42" t="inlineStr">
        <is>
          <t>Muro del primer nivel</t>
        </is>
      </c>
    </row>
    <row r="79">
      <c r="B79" s="35" t="inlineStr">
        <is>
          <t>DM-73 · Eje 6 (y = 6.948)</t>
        </is>
      </c>
      <c r="C79" s="39" t="inlineStr">
        <is>
          <t>N+6.00</t>
        </is>
      </c>
      <c r="D79" s="42" t="inlineStr">
        <is>
          <t>(5.92, 6.95) – (6.27, 6.95)</t>
        </is>
      </c>
      <c r="E79" s="34" t="n">
        <v>0.349</v>
      </c>
      <c r="F79" s="41">
        <f>SUMIFS(TRIB!$E$6:$E$255,TRIB!$B$6:$B$255,"DM-73")</f>
        <v>0</v>
      </c>
      <c r="G79" s="34">
        <f>SUMIFS(TRIB!$I$6:$I$255,TRIB!$B$6:$B$255,"DM-73")/E79</f>
        <v>0</v>
      </c>
      <c r="H79" s="67">
        <f>SUMIFS(TRIB!$G$6:$G$255,TRIB!$B$6:$B$255,"DM-73")/E79</f>
        <v>0</v>
      </c>
      <c r="I79" s="42" t="inlineStr">
        <is>
          <t>Muro del primer nivel</t>
        </is>
      </c>
    </row>
    <row r="80">
      <c r="B80" s="35" t="inlineStr">
        <is>
          <t>DM-74 · Eje 6 (y = 6.948)</t>
        </is>
      </c>
      <c r="C80" s="39" t="inlineStr">
        <is>
          <t>N+6.00</t>
        </is>
      </c>
      <c r="D80" s="42" t="inlineStr">
        <is>
          <t>(6.27, 6.95) – (8.50, 6.95)</t>
        </is>
      </c>
      <c r="E80" s="34" t="n">
        <v>2.228</v>
      </c>
      <c r="F80" s="41">
        <f>SUMIFS(TRIB!$E$6:$E$255,TRIB!$B$6:$B$255,"DM-74")</f>
        <v>0</v>
      </c>
      <c r="G80" s="34">
        <f>SUMIFS(TRIB!$I$6:$I$255,TRIB!$B$6:$B$255,"DM-74")/E80</f>
        <v>0</v>
      </c>
      <c r="H80" s="67">
        <f>SUMIFS(TRIB!$G$6:$G$255,TRIB!$B$6:$B$255,"DM-74")/E80</f>
        <v>0</v>
      </c>
      <c r="I80" s="42" t="inlineStr">
        <is>
          <t>Muro del primer nivel</t>
        </is>
      </c>
    </row>
    <row r="81">
      <c r="B81" s="35" t="inlineStr">
        <is>
          <t>DM-75 · Eje 6 (y = 6.948)</t>
        </is>
      </c>
      <c r="C81" s="39" t="inlineStr">
        <is>
          <t>N+6.00</t>
        </is>
      </c>
      <c r="D81" s="42" t="inlineStr">
        <is>
          <t>(8.50, 6.95) – (8.85, 6.95)</t>
        </is>
      </c>
      <c r="E81" s="34" t="n">
        <v>0.35</v>
      </c>
      <c r="F81" s="41">
        <f>SUMIFS(TRIB!$E$6:$E$255,TRIB!$B$6:$B$255,"DM-75")</f>
        <v>0</v>
      </c>
      <c r="G81" s="34">
        <f>SUMIFS(TRIB!$I$6:$I$255,TRIB!$B$6:$B$255,"DM-75")/E81</f>
        <v>0</v>
      </c>
      <c r="H81" s="67">
        <f>SUMIFS(TRIB!$G$6:$G$255,TRIB!$B$6:$B$255,"DM-75")/E81</f>
        <v>0</v>
      </c>
      <c r="I81" s="42" t="inlineStr">
        <is>
          <t>Muro del primer nivel</t>
        </is>
      </c>
    </row>
    <row r="82">
      <c r="B82" s="35" t="inlineStr">
        <is>
          <t>DM-76 · Eje 7 (y = 7.871)</t>
        </is>
      </c>
      <c r="C82" s="39" t="inlineStr">
        <is>
          <t>N+6.00</t>
        </is>
      </c>
      <c r="D82" s="42" t="inlineStr">
        <is>
          <t>(0.00, 7.87) – (2.16, 7.87)</t>
        </is>
      </c>
      <c r="E82" s="34" t="n">
        <v>2.163</v>
      </c>
      <c r="F82" s="41">
        <f>SUMIFS(TRIB!$E$6:$E$255,TRIB!$B$6:$B$255,"DM-76")</f>
        <v>2.3393</v>
      </c>
      <c r="G82" s="34">
        <f>SUMIFS(TRIB!$I$6:$I$255,TRIB!$B$6:$B$255,"DM-76")/E82</f>
        <v>0.723175148839009</v>
      </c>
      <c r="H82" s="67">
        <f>SUMIFS(TRIB!$G$6:$G$255,TRIB!$B$6:$B$255,"DM-76")/E82</f>
        <v>0.961757836810175</v>
      </c>
      <c r="I82" s="42" t="inlineStr">
        <is>
          <t>Muro del primer nivel</t>
        </is>
      </c>
    </row>
    <row r="83">
      <c r="B83" s="35" t="inlineStr">
        <is>
          <t>DM-77 · Eje 7 (y = 7.871)</t>
        </is>
      </c>
      <c r="C83" s="39" t="inlineStr">
        <is>
          <t>N+6.00</t>
        </is>
      </c>
      <c r="D83" s="42" t="inlineStr">
        <is>
          <t>(2.16, 7.87) – (4.33, 7.87)</t>
        </is>
      </c>
      <c r="E83" s="34" t="n">
        <v>2.164</v>
      </c>
      <c r="F83" s="41">
        <f>SUMIFS(TRIB!$E$6:$E$255,TRIB!$B$6:$B$255,"DM-77")</f>
        <v>2.3414</v>
      </c>
      <c r="G83" s="34">
        <f>SUMIFS(TRIB!$I$6:$I$255,TRIB!$B$6:$B$255,"DM-77")/E83</f>
        <v>0.723489861933683</v>
      </c>
      <c r="H83" s="67">
        <f>SUMIFS(TRIB!$G$6:$G$255,TRIB!$B$6:$B$255,"DM-77")/E83</f>
        <v>0.962176376890867</v>
      </c>
      <c r="I83" s="42" t="inlineStr">
        <is>
          <t>Muro del primer nivel</t>
        </is>
      </c>
    </row>
    <row r="84">
      <c r="B84" s="35" t="inlineStr">
        <is>
          <t>DM-78 · Eje 8 (y = 9.950)</t>
        </is>
      </c>
      <c r="C84" s="39" t="inlineStr">
        <is>
          <t>N+6.00</t>
        </is>
      </c>
      <c r="D84" s="42" t="inlineStr">
        <is>
          <t>(5.42, 9.95) – (6.28, 9.95)</t>
        </is>
      </c>
      <c r="E84" s="34" t="n">
        <v>0.858</v>
      </c>
      <c r="F84" s="41">
        <f>SUMIFS(TRIB!$E$6:$E$255,TRIB!$B$6:$B$255,"DM-78")</f>
        <v>0.4936</v>
      </c>
      <c r="G84" s="34">
        <f>SUMIFS(TRIB!$I$6:$I$255,TRIB!$B$6:$B$255,"DM-78")/E84</f>
        <v>0.378246765139622</v>
      </c>
      <c r="H84" s="67">
        <f>SUMIFS(TRIB!$G$6:$G$255,TRIB!$B$6:$B$255,"DM-78")/E84</f>
        <v>0.503226622187336</v>
      </c>
      <c r="I84" s="42" t="inlineStr">
        <is>
          <t>Muro del primer nivel</t>
        </is>
      </c>
    </row>
    <row r="85">
      <c r="B85" s="35" t="inlineStr">
        <is>
          <t>DM-79 · Eje 8 (y = 9.950)</t>
        </is>
      </c>
      <c r="C85" s="39" t="inlineStr">
        <is>
          <t>N+6.00</t>
        </is>
      </c>
      <c r="D85" s="42" t="inlineStr">
        <is>
          <t>(6.28, 9.95) – (7.85, 9.95)</t>
        </is>
      </c>
      <c r="E85" s="34" t="n">
        <v>1.57</v>
      </c>
      <c r="F85" s="41">
        <f>SUMIFS(TRIB!$E$6:$E$255,TRIB!$B$6:$B$255,"DM-79")</f>
        <v>2.0697</v>
      </c>
      <c r="G85" s="34">
        <f>SUMIFS(TRIB!$I$6:$I$255,TRIB!$B$6:$B$255,"DM-79")/E85</f>
        <v>0.861724827765501</v>
      </c>
      <c r="H85" s="67">
        <f>SUMIFS(TRIB!$G$6:$G$255,TRIB!$B$6:$B$255,"DM-79")/E85</f>
        <v>1.14660788119069</v>
      </c>
      <c r="I85" s="42" t="inlineStr">
        <is>
          <t>Muro del primer nivel</t>
        </is>
      </c>
    </row>
    <row r="86">
      <c r="B86" s="35" t="inlineStr">
        <is>
          <t>DM-80 · Eje 8 (y = 9.950)</t>
        </is>
      </c>
      <c r="C86" s="39" t="inlineStr">
        <is>
          <t>N+6.00</t>
        </is>
      </c>
      <c r="D86" s="42" t="inlineStr">
        <is>
          <t>(7.85, 9.95) – (8.14, 9.95)</t>
        </is>
      </c>
      <c r="E86" s="34" t="n">
        <v>0.294</v>
      </c>
      <c r="F86" s="41">
        <f>SUMIFS(TRIB!$E$6:$E$255,TRIB!$B$6:$B$255,"DM-80")</f>
        <v>0.2508</v>
      </c>
      <c r="G86" s="34">
        <f>SUMIFS(TRIB!$I$6:$I$255,TRIB!$B$6:$B$255,"DM-80")/E86</f>
        <v>0.557623490212412</v>
      </c>
      <c r="H86" s="67">
        <f>SUMIFS(TRIB!$G$6:$G$255,TRIB!$B$6:$B$255,"DM-80")/E86</f>
        <v>0.741971761765931</v>
      </c>
      <c r="I86" s="42" t="inlineStr">
        <is>
          <t>Muro del primer nivel</t>
        </is>
      </c>
    </row>
    <row r="87">
      <c r="B87" s="35" t="inlineStr">
        <is>
          <t>DM-81 · Eje 8 (y = 9.950)</t>
        </is>
      </c>
      <c r="C87" s="39" t="inlineStr">
        <is>
          <t>N+6.00</t>
        </is>
      </c>
      <c r="D87" s="42" t="inlineStr">
        <is>
          <t>(8.14, 9.95) – (8.85, 9.95)</t>
        </is>
      </c>
      <c r="E87" s="34" t="n">
        <v>0.706</v>
      </c>
      <c r="F87" s="41">
        <f>SUMIFS(TRIB!$E$6:$E$255,TRIB!$B$6:$B$255,"DM-81")</f>
        <v>0.2492</v>
      </c>
      <c r="G87" s="34">
        <f>SUMIFS(TRIB!$I$6:$I$255,TRIB!$B$6:$B$255,"DM-81")/E87</f>
        <v>0.230730068798058</v>
      </c>
      <c r="H87" s="67">
        <f>SUMIFS(TRIB!$G$6:$G$255,TRIB!$B$6:$B$255,"DM-81")/E87</f>
        <v>0.307008579522461</v>
      </c>
      <c r="I87" s="42" t="inlineStr">
        <is>
          <t>Muro del primer nivel</t>
        </is>
      </c>
    </row>
    <row r="88">
      <c r="B88" s="35" t="inlineStr">
        <is>
          <t>DM-82 · y = 14.021</t>
        </is>
      </c>
      <c r="C88" s="39" t="inlineStr">
        <is>
          <t>N+6.00</t>
        </is>
      </c>
      <c r="D88" s="42" t="inlineStr">
        <is>
          <t>(0.00, 14.02) – (1.71, 14.02)</t>
        </is>
      </c>
      <c r="E88" s="34" t="n">
        <v>1.714</v>
      </c>
      <c r="F88" s="41">
        <f>SUMIFS(TRIB!$E$6:$E$255,TRIB!$B$6:$B$255,"DM-82")</f>
        <v>1.1477</v>
      </c>
      <c r="G88" s="34">
        <f>SUMIFS(TRIB!$I$6:$I$255,TRIB!$B$6:$B$255,"DM-82")/E88</f>
        <v>0.437701890791322</v>
      </c>
      <c r="H88" s="67">
        <f>SUMIFS(TRIB!$G$6:$G$255,TRIB!$B$6:$B$255,"DM-82")/E88</f>
        <v>0.582404523372943</v>
      </c>
      <c r="I88" s="42" t="inlineStr">
        <is>
          <t>Muro del primer nivel</t>
        </is>
      </c>
    </row>
    <row r="89">
      <c r="B89" s="35" t="inlineStr">
        <is>
          <t>DM-83 · y = 14.021</t>
        </is>
      </c>
      <c r="C89" s="39" t="inlineStr">
        <is>
          <t>N+6.00</t>
        </is>
      </c>
      <c r="D89" s="42" t="inlineStr">
        <is>
          <t>(1.71, 14.02) – (3.43, 14.02)</t>
        </is>
      </c>
      <c r="E89" s="34" t="n">
        <v>1.713</v>
      </c>
      <c r="F89" s="41">
        <f>SUMIFS(TRIB!$E$6:$E$255,TRIB!$B$6:$B$255,"DM-83")</f>
        <v>1.1468</v>
      </c>
      <c r="G89" s="34">
        <f>SUMIFS(TRIB!$I$6:$I$255,TRIB!$B$6:$B$255,"DM-83")/E89</f>
        <v>0.43761397238405</v>
      </c>
      <c r="H89" s="67">
        <f>SUMIFS(TRIB!$G$6:$G$255,TRIB!$B$6:$B$255,"DM-83")/E89</f>
        <v>0.582287539464122</v>
      </c>
      <c r="I89" s="42" t="inlineStr">
        <is>
          <t>Muro del primer nivel</t>
        </is>
      </c>
    </row>
    <row r="90">
      <c r="B90" s="35" t="inlineStr">
        <is>
          <t>DM-84 · y = 14.021</t>
        </is>
      </c>
      <c r="C90" s="39" t="inlineStr">
        <is>
          <t>N+6.00</t>
        </is>
      </c>
      <c r="D90" s="42" t="inlineStr">
        <is>
          <t>(3.43, 14.02) – (4.25, 14.02)</t>
        </is>
      </c>
      <c r="E90" s="34" t="n">
        <v>0.82</v>
      </c>
      <c r="F90" s="41">
        <f>SUMIFS(TRIB!$E$6:$E$255,TRIB!$B$6:$B$255,"DM-84")</f>
        <v>0.3362</v>
      </c>
      <c r="G90" s="34">
        <f>SUMIFS(TRIB!$I$6:$I$255,TRIB!$B$6:$B$255,"DM-84")/E90</f>
        <v>0.27415612244898</v>
      </c>
      <c r="H90" s="67">
        <f>SUMIFS(TRIB!$G$6:$G$255,TRIB!$B$6:$B$255,"DM-84")/E90</f>
        <v>0.364602959183673</v>
      </c>
      <c r="I90" s="42" t="inlineStr">
        <is>
          <t>Muro del primer nivel</t>
        </is>
      </c>
    </row>
    <row r="91">
      <c r="B91" s="35" t="inlineStr">
        <is>
          <t>DM-85 · y = 14.247</t>
        </is>
      </c>
      <c r="C91" s="39" t="inlineStr">
        <is>
          <t>N+6.00</t>
        </is>
      </c>
      <c r="D91" s="42" t="inlineStr">
        <is>
          <t>(6.25, 14.25) – (8.85, 14.25)</t>
        </is>
      </c>
      <c r="E91" s="34" t="n">
        <v>2.603</v>
      </c>
      <c r="F91" s="41">
        <f>SUMIFS(TRIB!$E$6:$E$255,TRIB!$B$6:$B$255,"DM-85")</f>
        <v>0</v>
      </c>
      <c r="G91" s="34">
        <f>SUMIFS(TRIB!$I$6:$I$255,TRIB!$B$6:$B$255,"DM-85")/E91</f>
        <v>0</v>
      </c>
      <c r="H91" s="67">
        <f>SUMIFS(TRIB!$G$6:$G$255,TRIB!$B$6:$B$255,"DM-85")/E91</f>
        <v>0</v>
      </c>
      <c r="I91" s="42" t="inlineStr">
        <is>
          <t>Muro del primer nivel</t>
        </is>
      </c>
    </row>
    <row r="92">
      <c r="B92" s="35" t="inlineStr">
        <is>
          <t>DM-86 · y = 15.846</t>
        </is>
      </c>
      <c r="C92" s="39" t="inlineStr">
        <is>
          <t>N+6.00</t>
        </is>
      </c>
      <c r="D92" s="42" t="inlineStr">
        <is>
          <t>(0.00, 15.85) – (1.51, 15.85)</t>
        </is>
      </c>
      <c r="E92" s="34" t="n">
        <v>1.514</v>
      </c>
      <c r="F92" s="41">
        <f>SUMIFS(TRIB!$E$6:$E$255,TRIB!$B$6:$B$255,"DM-86")</f>
        <v>1.6709</v>
      </c>
      <c r="G92" s="34">
        <f>SUMIFS(TRIB!$I$6:$I$255,TRIB!$B$6:$B$255,"DM-86")/E92</f>
        <v>0.719084874504623</v>
      </c>
      <c r="H92" s="67">
        <f>SUMIFS(TRIB!$G$6:$G$255,TRIB!$B$6:$B$255,"DM-86")/E92</f>
        <v>0.956882992073976</v>
      </c>
      <c r="I92" s="42" t="inlineStr">
        <is>
          <t>Muro del primer nivel</t>
        </is>
      </c>
    </row>
    <row r="93">
      <c r="B93" s="35" t="inlineStr">
        <is>
          <t>DM-87 · y = 15.846</t>
        </is>
      </c>
      <c r="C93" s="39" t="inlineStr">
        <is>
          <t>N+6.00</t>
        </is>
      </c>
      <c r="D93" s="42" t="inlineStr">
        <is>
          <t>(1.51, 15.85) – (3.03, 15.85)</t>
        </is>
      </c>
      <c r="E93" s="34" t="n">
        <v>1.515</v>
      </c>
      <c r="F93" s="41">
        <f>SUMIFS(TRIB!$E$6:$E$255,TRIB!$B$6:$B$255,"DM-87")</f>
        <v>1.9564</v>
      </c>
      <c r="G93" s="34">
        <f>SUMIFS(TRIB!$I$6:$I$255,TRIB!$B$6:$B$255,"DM-87")/E93</f>
        <v>0.841792261062841</v>
      </c>
      <c r="H93" s="67">
        <f>SUMIFS(TRIB!$G$6:$G$255,TRIB!$B$6:$B$255,"DM-87")/E93</f>
        <v>1.12015700208796</v>
      </c>
      <c r="I93" s="42" t="inlineStr">
        <is>
          <t>Muro del primer nivel</t>
        </is>
      </c>
    </row>
    <row r="94">
      <c r="B94" s="35" t="inlineStr">
        <is>
          <t>DM-88 · y = 15.846</t>
        </is>
      </c>
      <c r="C94" s="39" t="inlineStr">
        <is>
          <t>N+6.00</t>
        </is>
      </c>
      <c r="D94" s="42" t="inlineStr">
        <is>
          <t>(3.03, 15.85) – (3.43, 15.85)</t>
        </is>
      </c>
      <c r="E94" s="34" t="n">
        <v>0.398</v>
      </c>
      <c r="F94" s="41">
        <f>SUMIFS(TRIB!$E$6:$E$255,TRIB!$B$6:$B$255,"DM-88")</f>
        <v>0.1584</v>
      </c>
      <c r="G94" s="34">
        <f>SUMIFS(TRIB!$I$6:$I$255,TRIB!$B$6:$B$255,"DM-88")/E94</f>
        <v>0.263140395856835</v>
      </c>
      <c r="H94" s="67">
        <f>SUMIFS(TRIB!$G$6:$G$255,TRIB!$B$6:$B$255,"DM-88")/E94</f>
        <v>0.350042313608861</v>
      </c>
      <c r="I94" s="42" t="inlineStr">
        <is>
          <t>Muro del primer nivel</t>
        </is>
      </c>
    </row>
    <row r="95">
      <c r="B95" s="35" t="inlineStr">
        <is>
          <t>DM-89 · y = 15.846</t>
        </is>
      </c>
      <c r="C95" s="39" t="inlineStr">
        <is>
          <t>N+6.00</t>
        </is>
      </c>
      <c r="D95" s="42" t="inlineStr">
        <is>
          <t>(5.42, 15.85) – (5.82, 15.85)</t>
        </is>
      </c>
      <c r="E95" s="34" t="n">
        <v>0.4</v>
      </c>
      <c r="F95" s="41">
        <f>SUMIFS(TRIB!$E$6:$E$255,TRIB!$B$6:$B$255,"DM-89")</f>
        <v>0.16</v>
      </c>
      <c r="G95" s="34">
        <f>SUMIFS(TRIB!$I$6:$I$255,TRIB!$B$6:$B$255,"DM-89")/E95</f>
        <v>0.264469387755102</v>
      </c>
      <c r="H95" s="67">
        <f>SUMIFS(TRIB!$G$6:$G$255,TRIB!$B$6:$B$255,"DM-89")/E95</f>
        <v>0.351810204081633</v>
      </c>
      <c r="I95" s="42" t="inlineStr">
        <is>
          <t>Muro del primer nivel</t>
        </is>
      </c>
    </row>
    <row r="96">
      <c r="B96" s="35" t="inlineStr">
        <is>
          <t>DM-90 · y = 15.846</t>
        </is>
      </c>
      <c r="C96" s="39" t="inlineStr">
        <is>
          <t>N+6.00</t>
        </is>
      </c>
      <c r="D96" s="42" t="inlineStr">
        <is>
          <t>(5.82, 15.85) – (7.34, 15.85)</t>
        </is>
      </c>
      <c r="E96" s="34" t="n">
        <v>1.514</v>
      </c>
      <c r="F96" s="41">
        <f>SUMIFS(TRIB!$E$6:$E$255,TRIB!$B$6:$B$255,"DM-90")</f>
        <v>2.2654</v>
      </c>
      <c r="G96" s="34">
        <f>SUMIFS(TRIB!$I$6:$I$255,TRIB!$B$6:$B$255,"DM-90")/E96</f>
        <v>0.976263789663818</v>
      </c>
      <c r="H96" s="67">
        <f>SUMIFS(TRIB!$G$6:$G$255,TRIB!$B$6:$B$255,"DM-90")/E96</f>
        <v>1.29906895034103</v>
      </c>
      <c r="I96" s="42" t="inlineStr">
        <is>
          <t>Muro del primer nivel</t>
        </is>
      </c>
    </row>
    <row r="97">
      <c r="B97" s="35" t="inlineStr">
        <is>
          <t>DM-91 · y = 15.846</t>
        </is>
      </c>
      <c r="C97" s="39" t="inlineStr">
        <is>
          <t>N+6.00</t>
        </is>
      </c>
      <c r="D97" s="42" t="inlineStr">
        <is>
          <t>(7.34, 15.85) – (8.85, 15.85)</t>
        </is>
      </c>
      <c r="E97" s="34" t="n">
        <v>1.514</v>
      </c>
      <c r="F97" s="41">
        <f>SUMIFS(TRIB!$E$6:$E$255,TRIB!$B$6:$B$255,"DM-91")</f>
        <v>1.6998</v>
      </c>
      <c r="G97" s="34">
        <f>SUMIFS(TRIB!$I$6:$I$255,TRIB!$B$6:$B$255,"DM-91")/E97</f>
        <v>0.732064506780255</v>
      </c>
      <c r="H97" s="67">
        <f>SUMIFS(TRIB!$G$6:$G$255,TRIB!$B$6:$B$255,"DM-91")/E97</f>
        <v>0.974138284177608</v>
      </c>
      <c r="I97" s="42" t="inlineStr">
        <is>
          <t>Muro del primer nivel</t>
        </is>
      </c>
    </row>
    <row r="98">
      <c r="B98" s="35" t="inlineStr">
        <is>
          <t>DM-92 · Eje 12 (y = 17.446)</t>
        </is>
      </c>
      <c r="C98" s="39" t="inlineStr">
        <is>
          <t>N+6.00</t>
        </is>
      </c>
      <c r="D98" s="42" t="inlineStr">
        <is>
          <t>(0.00, 17.45) – (2.13, 17.45)</t>
        </is>
      </c>
      <c r="E98" s="34" t="n">
        <v>2.129</v>
      </c>
      <c r="F98" s="41">
        <f>SUMIFS(TRIB!$E$6:$E$255,TRIB!$B$6:$B$255,"DM-92")</f>
        <v>2.4128</v>
      </c>
      <c r="G98" s="34">
        <f>SUMIFS(TRIB!$I$6:$I$255,TRIB!$B$6:$B$255,"DM-92")/E98</f>
        <v>0.751051830408067</v>
      </c>
      <c r="H98" s="67">
        <f>SUMIFS(TRIB!$G$6:$G$255,TRIB!$B$6:$B$255,"DM-92")/E98</f>
        <v>0.999033419925039</v>
      </c>
      <c r="I98" s="42" t="inlineStr">
        <is>
          <t>Muro del primer nivel</t>
        </is>
      </c>
    </row>
    <row r="99">
      <c r="B99" s="35" t="inlineStr">
        <is>
          <t>DM-93 · Eje 12 (y = 17.446)</t>
        </is>
      </c>
      <c r="C99" s="39" t="inlineStr">
        <is>
          <t>N+6.00</t>
        </is>
      </c>
      <c r="D99" s="42" t="inlineStr">
        <is>
          <t>(2.13, 17.45) – (3.03, 17.45)</t>
        </is>
      </c>
      <c r="E99" s="34" t="n">
        <v>0.9</v>
      </c>
      <c r="F99" s="41">
        <f>SUMIFS(TRIB!$E$6:$E$255,TRIB!$B$6:$B$255,"DM-93")</f>
        <v>1.6875</v>
      </c>
      <c r="G99" s="34">
        <f>SUMIFS(TRIB!$I$6:$I$255,TRIB!$B$6:$B$255,"DM-93")/E99</f>
        <v>1.24323275510204</v>
      </c>
      <c r="H99" s="67">
        <f>SUMIFS(TRIB!$G$6:$G$255,TRIB!$B$6:$B$255,"DM-93")/E99</f>
        <v>1.65370258163265</v>
      </c>
      <c r="I99" s="42" t="inlineStr">
        <is>
          <t>Muro del primer nivel</t>
        </is>
      </c>
    </row>
    <row r="100">
      <c r="B100" s="35" t="inlineStr">
        <is>
          <t>DM-94 · Eje 12 (y = 17.446)</t>
        </is>
      </c>
      <c r="C100" s="39" t="inlineStr">
        <is>
          <t>N+6.00</t>
        </is>
      </c>
      <c r="D100" s="42" t="inlineStr">
        <is>
          <t>(3.03, 17.45) – (3.43, 17.45)</t>
        </is>
      </c>
      <c r="E100" s="34" t="n">
        <v>0.4</v>
      </c>
      <c r="F100" s="41">
        <f>SUMIFS(TRIB!$E$6:$E$255,TRIB!$B$6:$B$255,"DM-94")</f>
        <v>0.5588</v>
      </c>
      <c r="G100" s="34">
        <f>SUMIFS(TRIB!$I$6:$I$255,TRIB!$B$6:$B$255,"DM-94")/E100</f>
        <v>0.928151836734694</v>
      </c>
      <c r="H100" s="67">
        <f>SUMIFS(TRIB!$G$6:$G$255,TRIB!$B$6:$B$255,"DM-94")/E100</f>
        <v>1.2345373877551</v>
      </c>
      <c r="I100" s="42" t="inlineStr">
        <is>
          <t>Muro del primer nivel</t>
        </is>
      </c>
    </row>
    <row r="101">
      <c r="B101" s="35" t="inlineStr">
        <is>
          <t>DM-95 · Eje 12 (y = 17.446)</t>
        </is>
      </c>
      <c r="C101" s="39" t="inlineStr">
        <is>
          <t>N+6.00</t>
        </is>
      </c>
      <c r="D101" s="42" t="inlineStr">
        <is>
          <t>(3.43, 17.45) – (4.43, 17.45)</t>
        </is>
      </c>
      <c r="E101" s="34" t="n">
        <v>0.997</v>
      </c>
      <c r="F101" s="41">
        <f>SUMIFS(TRIB!$E$6:$E$255,TRIB!$B$6:$B$255,"DM-95")</f>
        <v>1.3928</v>
      </c>
      <c r="G101" s="34">
        <f>SUMIFS(TRIB!$I$6:$I$255,TRIB!$B$6:$B$255,"DM-95")/E101</f>
        <v>0.931638323132663</v>
      </c>
      <c r="H101" s="67">
        <f>SUMIFS(TRIB!$G$6:$G$255,TRIB!$B$6:$B$255,"DM-95")/E101</f>
        <v>1.23906963953084</v>
      </c>
      <c r="I101" s="42" t="inlineStr">
        <is>
          <t>Muro del primer nivel</t>
        </is>
      </c>
    </row>
    <row r="102">
      <c r="B102" s="35" t="inlineStr">
        <is>
          <t>DM-96 · Eje 12 (y = 17.446)</t>
        </is>
      </c>
      <c r="C102" s="39" t="inlineStr">
        <is>
          <t>N+6.00</t>
        </is>
      </c>
      <c r="D102" s="42" t="inlineStr">
        <is>
          <t>(4.43, 17.45) – (5.42, 17.45)</t>
        </is>
      </c>
      <c r="E102" s="34" t="n">
        <v>0.996</v>
      </c>
      <c r="F102" s="41">
        <f>SUMIFS(TRIB!$E$6:$E$255,TRIB!$B$6:$B$255,"DM-96")</f>
        <v>1.3904</v>
      </c>
      <c r="G102" s="34">
        <f>SUMIFS(TRIB!$I$6:$I$255,TRIB!$B$6:$B$255,"DM-96")/E102</f>
        <v>0.930967461683469</v>
      </c>
      <c r="H102" s="67">
        <f>SUMIFS(TRIB!$G$6:$G$255,TRIB!$B$6:$B$255,"DM-96")/E102</f>
        <v>1.23817737890337</v>
      </c>
      <c r="I102" s="42" t="inlineStr">
        <is>
          <t>Muro del primer nivel</t>
        </is>
      </c>
    </row>
    <row r="103">
      <c r="B103" s="35" t="inlineStr">
        <is>
          <t>DM-97 · Eje 12 (y = 17.446)</t>
        </is>
      </c>
      <c r="C103" s="39" t="inlineStr">
        <is>
          <t>N+6.00</t>
        </is>
      </c>
      <c r="D103" s="42" t="inlineStr">
        <is>
          <t>(5.42, 17.45) – (5.82, 17.45)</t>
        </is>
      </c>
      <c r="E103" s="34" t="n">
        <v>0.4</v>
      </c>
      <c r="F103" s="41">
        <f>SUMIFS(TRIB!$E$6:$E$255,TRIB!$B$6:$B$255,"DM-97")</f>
        <v>0.5584</v>
      </c>
      <c r="G103" s="34">
        <f>SUMIFS(TRIB!$I$6:$I$255,TRIB!$B$6:$B$255,"DM-97")/E103</f>
        <v>0.927488163265306</v>
      </c>
      <c r="H103" s="67">
        <f>SUMIFS(TRIB!$G$6:$G$255,TRIB!$B$6:$B$255,"DM-97")/E103</f>
        <v>1.2336546122449</v>
      </c>
      <c r="I103" s="42" t="inlineStr">
        <is>
          <t>Muro del primer nivel</t>
        </is>
      </c>
    </row>
    <row r="104">
      <c r="B104" s="35" t="inlineStr">
        <is>
          <t>DM-98 · Eje 12 (y = 17.446)</t>
        </is>
      </c>
      <c r="C104" s="39" t="inlineStr">
        <is>
          <t>N+6.00</t>
        </is>
      </c>
      <c r="D104" s="42" t="inlineStr">
        <is>
          <t>(5.82, 17.45) – (6.72, 17.45)</t>
        </is>
      </c>
      <c r="E104" s="34" t="n">
        <v>0.9</v>
      </c>
      <c r="F104" s="41">
        <f>SUMIFS(TRIB!$E$6:$E$255,TRIB!$B$6:$B$255,"DM-98")</f>
        <v>1.6867</v>
      </c>
      <c r="G104" s="34">
        <f>SUMIFS(TRIB!$I$6:$I$255,TRIB!$B$6:$B$255,"DM-98")/E104</f>
        <v>1.24264615646259</v>
      </c>
      <c r="H104" s="67">
        <f>SUMIFS(TRIB!$G$6:$G$255,TRIB!$B$6:$B$255,"DM-98")/E104</f>
        <v>1.65292222562358</v>
      </c>
      <c r="I104" s="42" t="inlineStr">
        <is>
          <t>Muro del primer nivel</t>
        </is>
      </c>
    </row>
    <row r="105">
      <c r="B105" s="35" t="inlineStr">
        <is>
          <t>DM-99 · Eje 12 (y = 17.446)</t>
        </is>
      </c>
      <c r="C105" s="39" t="inlineStr">
        <is>
          <t>N+6.00</t>
        </is>
      </c>
      <c r="D105" s="42" t="inlineStr">
        <is>
          <t>(6.72, 17.45) – (6.89, 17.45)</t>
        </is>
      </c>
      <c r="E105" s="34" t="n">
        <v>0.165</v>
      </c>
      <c r="F105" s="41">
        <f>SUMIFS(TRIB!$E$6:$E$255,TRIB!$B$6:$B$255,"DM-99")</f>
        <v>0.3415</v>
      </c>
      <c r="G105" s="34">
        <f>SUMIFS(TRIB!$I$6:$I$255,TRIB!$B$6:$B$255,"DM-99")/E105</f>
        <v>1.37249387755102</v>
      </c>
      <c r="H105" s="67">
        <f>SUMIFS(TRIB!$G$6:$G$255,TRIB!$B$6:$B$255,"DM-99")/E105</f>
        <v>1.82563598021027</v>
      </c>
      <c r="I105" s="42" t="inlineStr">
        <is>
          <t>Muro del primer nivel</t>
        </is>
      </c>
    </row>
    <row r="106">
      <c r="B106" s="35" t="inlineStr">
        <is>
          <t>DM-100 · Eje 12 (y = 17.446)</t>
        </is>
      </c>
      <c r="C106" s="39" t="inlineStr">
        <is>
          <t>N+6.00</t>
        </is>
      </c>
      <c r="D106" s="42" t="inlineStr">
        <is>
          <t>(6.89, 17.45) – (8.85, 17.45)</t>
        </is>
      </c>
      <c r="E106" s="34" t="n">
        <v>1.963</v>
      </c>
      <c r="F106" s="41">
        <f>SUMIFS(TRIB!$E$6:$E$255,TRIB!$B$6:$B$255,"DM-100")</f>
        <v>2.0692</v>
      </c>
      <c r="G106" s="34">
        <f>SUMIFS(TRIB!$I$6:$I$255,TRIB!$B$6:$B$255,"DM-100")/E106</f>
        <v>0.698489884287898</v>
      </c>
      <c r="H106" s="67">
        <f>SUMIFS(TRIB!$G$6:$G$255,TRIB!$B$6:$B$255,"DM-100")/E106</f>
        <v>0.929118866894695</v>
      </c>
      <c r="I106" s="42" t="inlineStr">
        <is>
          <t>Muro del primer nivel</t>
        </is>
      </c>
    </row>
    <row r="107">
      <c r="B107" s="35" t="inlineStr">
        <is>
          <t>DM-101 · Eje 14 (y = 21.446)</t>
        </is>
      </c>
      <c r="C107" s="39" t="inlineStr">
        <is>
          <t>N+6.00</t>
        </is>
      </c>
      <c r="D107" s="42" t="inlineStr">
        <is>
          <t>(0.00, 21.45) – (0.93, 21.45)</t>
        </is>
      </c>
      <c r="E107" s="34" t="n">
        <v>0.925</v>
      </c>
      <c r="F107" s="41">
        <f>SUMIFS(TRIB!$E$6:$E$255,TRIB!$B$6:$B$255,"DM-101")</f>
        <v>0.4278</v>
      </c>
      <c r="G107" s="34">
        <f>SUMIFS(TRIB!$I$6:$I$255,TRIB!$B$6:$B$255,"DM-101")/E107</f>
        <v>0.30694001103144</v>
      </c>
      <c r="H107" s="67">
        <f>SUMIFS(TRIB!$G$6:$G$255,TRIB!$B$6:$B$255,"DM-101")/E107</f>
        <v>0.408271744070601</v>
      </c>
      <c r="I107" s="42" t="inlineStr">
        <is>
          <t>Muro del primer nivel</t>
        </is>
      </c>
    </row>
    <row r="108">
      <c r="B108" s="35" t="inlineStr">
        <is>
          <t>DM-102 · Eje 14 (y = 21.446)</t>
        </is>
      </c>
      <c r="C108" s="39" t="inlineStr">
        <is>
          <t>N+6.00</t>
        </is>
      </c>
      <c r="D108" s="42" t="inlineStr">
        <is>
          <t>(0.93, 21.45) – (2.93, 21.45)</t>
        </is>
      </c>
      <c r="E108" s="34" t="n">
        <v>2.002</v>
      </c>
      <c r="F108" s="41">
        <f>SUMIFS(TRIB!$E$6:$E$255,TRIB!$B$6:$B$255,"DM-102")</f>
        <v>3.3007</v>
      </c>
      <c r="G108" s="34">
        <f>SUMIFS(TRIB!$I$6:$I$255,TRIB!$B$6:$B$255,"DM-102")/E108</f>
        <v>1.09419931089319</v>
      </c>
      <c r="H108" s="67">
        <f>SUMIFS(TRIB!$G$6:$G$255,TRIB!$B$6:$B$255,"DM-102")/E108</f>
        <v>1.45543313013517</v>
      </c>
      <c r="I108" s="42" t="inlineStr">
        <is>
          <t>Muro del primer nivel</t>
        </is>
      </c>
    </row>
    <row r="109">
      <c r="B109" s="35" t="inlineStr">
        <is>
          <t>DM-103 · Eje 14 (y = 21.446)</t>
        </is>
      </c>
      <c r="C109" s="39" t="inlineStr">
        <is>
          <t>N+6.00</t>
        </is>
      </c>
      <c r="D109" s="42" t="inlineStr">
        <is>
          <t>(2.93, 21.45) – (4.43, 21.45)</t>
        </is>
      </c>
      <c r="E109" s="34" t="n">
        <v>1.499</v>
      </c>
      <c r="F109" s="41">
        <f>SUMIFS(TRIB!$E$6:$E$255,TRIB!$B$6:$B$255,"DM-103")</f>
        <v>1.1235</v>
      </c>
      <c r="G109" s="34">
        <f>SUMIFS(TRIB!$I$6:$I$255,TRIB!$B$6:$B$255,"DM-103")/E109</f>
        <v>0.497423043934051</v>
      </c>
      <c r="H109" s="67">
        <f>SUMIFS(TRIB!$G$6:$G$255,TRIB!$B$6:$B$255,"DM-103")/E109</f>
        <v>0.661639950443153</v>
      </c>
      <c r="I109" s="42" t="inlineStr">
        <is>
          <t>Muro del primer nivel</t>
        </is>
      </c>
    </row>
    <row r="110">
      <c r="B110" s="35" t="inlineStr">
        <is>
          <t>DM-104 · Eje 14 (y = 21.446)</t>
        </is>
      </c>
      <c r="C110" s="39" t="inlineStr">
        <is>
          <t>N+6.00</t>
        </is>
      </c>
      <c r="D110" s="42" t="inlineStr">
        <is>
          <t>(4.43, 21.45) – (5.92, 21.45)</t>
        </is>
      </c>
      <c r="E110" s="34" t="n">
        <v>1.499</v>
      </c>
      <c r="F110" s="41">
        <f>SUMIFS(TRIB!$E$6:$E$255,TRIB!$B$6:$B$255,"DM-104")</f>
        <v>1.1235</v>
      </c>
      <c r="G110" s="34">
        <f>SUMIFS(TRIB!$I$6:$I$255,TRIB!$B$6:$B$255,"DM-104")/E110</f>
        <v>0.497423043934051</v>
      </c>
      <c r="H110" s="67">
        <f>SUMIFS(TRIB!$G$6:$G$255,TRIB!$B$6:$B$255,"DM-104")/E110</f>
        <v>0.661639950443153</v>
      </c>
      <c r="I110" s="42" t="inlineStr">
        <is>
          <t>Muro del primer nivel</t>
        </is>
      </c>
    </row>
    <row r="111">
      <c r="B111" s="35" t="inlineStr">
        <is>
          <t>DM-105 · Eje 14 (y = 21.446)</t>
        </is>
      </c>
      <c r="C111" s="39" t="inlineStr">
        <is>
          <t>N+6.00</t>
        </is>
      </c>
      <c r="D111" s="42" t="inlineStr">
        <is>
          <t>(5.92, 21.45) – (7.92, 21.45)</t>
        </is>
      </c>
      <c r="E111" s="34" t="n">
        <v>2</v>
      </c>
      <c r="F111" s="41">
        <f>SUMIFS(TRIB!$E$6:$E$255,TRIB!$B$6:$B$255,"DM-105")</f>
        <v>3.2967</v>
      </c>
      <c r="G111" s="34">
        <f>SUMIFS(TRIB!$I$6:$I$255,TRIB!$B$6:$B$255,"DM-105")/E111</f>
        <v>1.09396616326531</v>
      </c>
      <c r="H111" s="67">
        <f>SUMIFS(TRIB!$G$6:$G$255,TRIB!$B$6:$B$255,"DM-105")/E111</f>
        <v>1.4551230122449</v>
      </c>
      <c r="I111" s="42" t="inlineStr">
        <is>
          <t>Muro del primer nivel</t>
        </is>
      </c>
    </row>
    <row r="112">
      <c r="B112" s="35" t="inlineStr">
        <is>
          <t>DM-106 · Eje 14 (y = 21.446)</t>
        </is>
      </c>
      <c r="C112" s="39" t="inlineStr">
        <is>
          <t>N+6.00</t>
        </is>
      </c>
      <c r="D112" s="42" t="inlineStr">
        <is>
          <t>(7.92, 21.45) – (8.85, 21.45)</t>
        </is>
      </c>
      <c r="E112" s="34" t="n">
        <v>0.925</v>
      </c>
      <c r="F112" s="41">
        <f>SUMIFS(TRIB!$E$6:$E$255,TRIB!$B$6:$B$255,"DM-106")</f>
        <v>0.4278</v>
      </c>
      <c r="G112" s="34">
        <f>SUMIFS(TRIB!$I$6:$I$255,TRIB!$B$6:$B$255,"DM-106")/E112</f>
        <v>0.30694001103144</v>
      </c>
      <c r="H112" s="67">
        <f>SUMIFS(TRIB!$G$6:$G$255,TRIB!$B$6:$B$255,"DM-106")/E112</f>
        <v>0.408271744070601</v>
      </c>
      <c r="I112" s="42" t="inlineStr">
        <is>
          <t>Muro del primer nivel</t>
        </is>
      </c>
    </row>
    <row r="113">
      <c r="B113" s="35" t="inlineStr">
        <is>
          <t>DM-107 · Eje A (x = 0.000)</t>
        </is>
      </c>
      <c r="C113" s="39" t="inlineStr">
        <is>
          <t>N+6.00</t>
        </is>
      </c>
      <c r="D113" s="42" t="inlineStr">
        <is>
          <t>(0.00, 1.92) – (0.00, 2.92)</t>
        </is>
      </c>
      <c r="E113" s="34" t="n">
        <v>1.002</v>
      </c>
      <c r="F113" s="41">
        <f>SUMIFS(TRIB!$E$6:$E$255,TRIB!$B$6:$B$255,"DM-107")</f>
        <v>0.251</v>
      </c>
      <c r="G113" s="34">
        <f>SUMIFS(TRIB!$I$6:$I$255,TRIB!$B$6:$B$255,"DM-107")/E113</f>
        <v>0.15622958165302</v>
      </c>
      <c r="H113" s="67">
        <f>SUMIFS(TRIB!$G$6:$G$255,TRIB!$B$6:$B$255,"DM-107")/E113</f>
        <v>0.208108436188847</v>
      </c>
      <c r="I113" s="42" t="inlineStr">
        <is>
          <t>Muro del primer nivel</t>
        </is>
      </c>
    </row>
    <row r="114">
      <c r="B114" s="35" t="inlineStr">
        <is>
          <t>DM-108 · Eje A (x = 0.000)</t>
        </is>
      </c>
      <c r="C114" s="39" t="inlineStr">
        <is>
          <t>N+6.00</t>
        </is>
      </c>
      <c r="D114" s="42" t="inlineStr">
        <is>
          <t>(0.00, 2.92) – (0.00, 5.35)</t>
        </is>
      </c>
      <c r="E114" s="34" t="n">
        <v>2.425</v>
      </c>
      <c r="F114" s="41">
        <f>SUMIFS(TRIB!$E$6:$E$255,TRIB!$B$6:$B$255,"DM-108")</f>
        <v>2.9061</v>
      </c>
      <c r="G114" s="34">
        <f>SUMIFS(TRIB!$I$6:$I$255,TRIB!$B$6:$B$255,"DM-108")/E114</f>
        <v>0.801332770881548</v>
      </c>
      <c r="H114" s="67">
        <f>SUMIFS(TRIB!$G$6:$G$255,TRIB!$B$6:$B$255,"DM-108")/E114</f>
        <v>1.06570043719756</v>
      </c>
      <c r="I114" s="42" t="inlineStr">
        <is>
          <t>Muro del primer nivel</t>
        </is>
      </c>
    </row>
    <row r="115">
      <c r="B115" s="35" t="inlineStr">
        <is>
          <t>DM-109 · Eje A (x = 0.000)</t>
        </is>
      </c>
      <c r="C115" s="39" t="inlineStr">
        <is>
          <t>N+6.00</t>
        </is>
      </c>
      <c r="D115" s="42" t="inlineStr">
        <is>
          <t>(0.00, 5.35) – (0.00, 6.95)</t>
        </is>
      </c>
      <c r="E115" s="34" t="n">
        <v>1.602</v>
      </c>
      <c r="F115" s="41">
        <f>SUMIFS(TRIB!$E$6:$E$255,TRIB!$B$6:$B$255,"DM-109")</f>
        <v>2.6965</v>
      </c>
      <c r="G115" s="34">
        <f>SUMIFS(TRIB!$I$6:$I$255,TRIB!$B$6:$B$255,"DM-109")/E115</f>
        <v>1.12551686030217</v>
      </c>
      <c r="H115" s="67">
        <f>SUMIFS(TRIB!$G$6:$G$255,TRIB!$B$6:$B$255,"DM-109")/E115</f>
        <v>1.49683608818059</v>
      </c>
      <c r="I115" s="42" t="inlineStr">
        <is>
          <t>Muro del primer nivel</t>
        </is>
      </c>
    </row>
    <row r="116">
      <c r="B116" s="35" t="inlineStr">
        <is>
          <t>DM-110 · Eje A (x = 0.000)</t>
        </is>
      </c>
      <c r="C116" s="39" t="inlineStr">
        <is>
          <t>N+6.00</t>
        </is>
      </c>
      <c r="D116" s="42" t="inlineStr">
        <is>
          <t>(0.00, 6.95) – (0.00, 7.87)</t>
        </is>
      </c>
      <c r="E116" s="34" t="n">
        <v>0.923</v>
      </c>
      <c r="F116" s="41">
        <f>SUMIFS(TRIB!$E$6:$E$255,TRIB!$B$6:$B$255,"DM-110")</f>
        <v>0.426</v>
      </c>
      <c r="G116" s="34">
        <f>SUMIFS(TRIB!$I$6:$I$255,TRIB!$B$6:$B$255,"DM-110")/E116</f>
        <v>0.30861852433281</v>
      </c>
      <c r="H116" s="67">
        <f>SUMIFS(TRIB!$G$6:$G$255,TRIB!$B$6:$B$255,"DM-110")/E116</f>
        <v>0.410434850863422</v>
      </c>
      <c r="I116" s="42" t="inlineStr">
        <is>
          <t>Muro del primer nivel</t>
        </is>
      </c>
    </row>
    <row r="117">
      <c r="B117" s="35" t="inlineStr">
        <is>
          <t>DM-111 · Eje A (x = 0.000)</t>
        </is>
      </c>
      <c r="C117" s="39" t="inlineStr">
        <is>
          <t>N+6.00</t>
        </is>
      </c>
      <c r="D117" s="42" t="inlineStr">
        <is>
          <t>(0.00, 7.87) – (0.00, 9.95)</t>
        </is>
      </c>
      <c r="E117" s="34" t="n">
        <v>2.079</v>
      </c>
      <c r="F117" s="41">
        <f>SUMIFS(TRIB!$E$6:$E$255,TRIB!$B$6:$B$255,"DM-111")</f>
        <v>0</v>
      </c>
      <c r="G117" s="34">
        <f>SUMIFS(TRIB!$I$6:$I$255,TRIB!$B$6:$B$255,"DM-111")/E117</f>
        <v>0</v>
      </c>
      <c r="H117" s="67">
        <f>SUMIFS(TRIB!$G$6:$G$255,TRIB!$B$6:$B$255,"DM-111")/E117</f>
        <v>0</v>
      </c>
      <c r="I117" s="42" t="inlineStr">
        <is>
          <t>Muro del primer nivel</t>
        </is>
      </c>
    </row>
    <row r="118">
      <c r="B118" s="35" t="inlineStr">
        <is>
          <t>DM-112 · Eje A (x = 0.000)</t>
        </is>
      </c>
      <c r="C118" s="39" t="inlineStr">
        <is>
          <t>N+6.00</t>
        </is>
      </c>
      <c r="D118" s="42" t="inlineStr">
        <is>
          <t>(0.00, 9.95) – (0.00, 11.99)</t>
        </is>
      </c>
      <c r="E118" s="34" t="n">
        <v>2.036</v>
      </c>
      <c r="F118" s="41">
        <f>SUMIFS(TRIB!$E$6:$E$255,TRIB!$B$6:$B$255,"DM-112")</f>
        <v>0</v>
      </c>
      <c r="G118" s="34">
        <f>SUMIFS(TRIB!$I$6:$I$255,TRIB!$B$6:$B$255,"DM-112")/E118</f>
        <v>0</v>
      </c>
      <c r="H118" s="67">
        <f>SUMIFS(TRIB!$G$6:$G$255,TRIB!$B$6:$B$255,"DM-112")/E118</f>
        <v>0</v>
      </c>
      <c r="I118" s="42" t="inlineStr">
        <is>
          <t>Muro del primer nivel</t>
        </is>
      </c>
    </row>
    <row r="119">
      <c r="B119" s="35" t="inlineStr">
        <is>
          <t>DM-113 · Eje A (x = 0.000)</t>
        </is>
      </c>
      <c r="C119" s="39" t="inlineStr">
        <is>
          <t>N+6.00</t>
        </is>
      </c>
      <c r="D119" s="42" t="inlineStr">
        <is>
          <t>(0.00, 11.99) – (0.00, 14.02)</t>
        </is>
      </c>
      <c r="E119" s="34" t="n">
        <v>2.035</v>
      </c>
      <c r="F119" s="41">
        <f>SUMIFS(TRIB!$E$6:$E$255,TRIB!$B$6:$B$255,"DM-113")</f>
        <v>0</v>
      </c>
      <c r="G119" s="34">
        <f>SUMIFS(TRIB!$I$6:$I$255,TRIB!$B$6:$B$255,"DM-113")/E119</f>
        <v>0</v>
      </c>
      <c r="H119" s="67">
        <f>SUMIFS(TRIB!$G$6:$G$255,TRIB!$B$6:$B$255,"DM-113")/E119</f>
        <v>0</v>
      </c>
      <c r="I119" s="42" t="inlineStr">
        <is>
          <t>Muro del primer nivel</t>
        </is>
      </c>
    </row>
    <row r="120">
      <c r="B120" s="35" t="inlineStr">
        <is>
          <t>DM-114 · Eje A (x = 0.000)</t>
        </is>
      </c>
      <c r="C120" s="39" t="inlineStr">
        <is>
          <t>N+6.00</t>
        </is>
      </c>
      <c r="D120" s="42" t="inlineStr">
        <is>
          <t>(0.00, 15.85) – (0.00, 17.45)</t>
        </is>
      </c>
      <c r="E120" s="34" t="n">
        <v>1.6</v>
      </c>
      <c r="F120" s="41">
        <f>SUMIFS(TRIB!$E$6:$E$255,TRIB!$B$6:$B$255,"DM-114")</f>
        <v>0.3594</v>
      </c>
      <c r="G120" s="34">
        <f>SUMIFS(TRIB!$I$6:$I$255,TRIB!$B$6:$B$255,"DM-114")/E120</f>
        <v>0.145708278061224</v>
      </c>
      <c r="H120" s="67">
        <f>SUMIFS(TRIB!$G$6:$G$255,TRIB!$B$6:$B$255,"DM-114")/E120</f>
        <v>0.193913261479592</v>
      </c>
      <c r="I120" s="42" t="inlineStr">
        <is>
          <t>Muro del primer nivel</t>
        </is>
      </c>
    </row>
    <row r="121">
      <c r="B121" s="35" t="inlineStr">
        <is>
          <t>DM-115 · Eje A (x = 0.000)</t>
        </is>
      </c>
      <c r="C121" s="39" t="inlineStr">
        <is>
          <t>N+6.00</t>
        </is>
      </c>
      <c r="D121" s="42" t="inlineStr">
        <is>
          <t>(0.00, 17.45) – (0.00, 19.45)</t>
        </is>
      </c>
      <c r="E121" s="34" t="n">
        <v>2.001</v>
      </c>
      <c r="F121" s="41">
        <f>SUMIFS(TRIB!$E$6:$E$255,TRIB!$B$6:$B$255,"DM-115")</f>
        <v>2.002</v>
      </c>
      <c r="G121" s="34">
        <f>SUMIFS(TRIB!$I$6:$I$255,TRIB!$B$6:$B$255,"DM-115")/E121</f>
        <v>0.664005140286999</v>
      </c>
      <c r="H121" s="67">
        <f>SUMIFS(TRIB!$G$6:$G$255,TRIB!$B$6:$B$255,"DM-115")/E121</f>
        <v>0.883216677375598</v>
      </c>
      <c r="I121" s="42" t="inlineStr">
        <is>
          <t>Muro del primer nivel</t>
        </is>
      </c>
    </row>
    <row r="122">
      <c r="B122" s="35" t="inlineStr">
        <is>
          <t>DM-116 · Eje A (x = 0.000)</t>
        </is>
      </c>
      <c r="C122" s="39" t="inlineStr">
        <is>
          <t>N+6.00</t>
        </is>
      </c>
      <c r="D122" s="42" t="inlineStr">
        <is>
          <t>(0.00, 19.45) – (0.00, 21.45)</t>
        </is>
      </c>
      <c r="E122" s="34" t="n">
        <v>1.999</v>
      </c>
      <c r="F122" s="41">
        <f>SUMIFS(TRIB!$E$6:$E$255,TRIB!$B$6:$B$255,"DM-116")</f>
        <v>1.998</v>
      </c>
      <c r="G122" s="34">
        <f>SUMIFS(TRIB!$I$6:$I$255,TRIB!$B$6:$B$255,"DM-116")/E122</f>
        <v>0.663341466651693</v>
      </c>
      <c r="H122" s="67">
        <f>SUMIFS(TRIB!$G$6:$G$255,TRIB!$B$6:$B$255,"DM-116")/E122</f>
        <v>0.8823339016447</v>
      </c>
      <c r="I122" s="42" t="inlineStr">
        <is>
          <t>Muro del primer nivel</t>
        </is>
      </c>
    </row>
    <row r="123">
      <c r="B123" s="35" t="inlineStr">
        <is>
          <t>DM-117 · x = 3.029</t>
        </is>
      </c>
      <c r="C123" s="39" t="inlineStr">
        <is>
          <t>N+6.00</t>
        </is>
      </c>
      <c r="D123" s="42" t="inlineStr">
        <is>
          <t>(3.03, 15.85) – (3.03, 17.45)</t>
        </is>
      </c>
      <c r="E123" s="34" t="n">
        <v>1.6</v>
      </c>
      <c r="F123" s="41">
        <f>SUMIFS(TRIB!$E$6:$E$255,TRIB!$B$6:$B$255,"DM-117")</f>
        <v>1.5596</v>
      </c>
      <c r="G123" s="34">
        <f>SUMIFS(TRIB!$I$6:$I$255,TRIB!$B$6:$B$255,"DM-117")/E123</f>
        <v>0.647045714285714</v>
      </c>
      <c r="H123" s="67">
        <f>SUMIFS(TRIB!$G$6:$G$255,TRIB!$B$6:$B$255,"DM-117")/E123</f>
        <v>0.860654428571429</v>
      </c>
      <c r="I123" s="42" t="inlineStr">
        <is>
          <t>Muro del primer nivel</t>
        </is>
      </c>
    </row>
    <row r="124">
      <c r="B124" s="35" t="inlineStr">
        <is>
          <t>DM-118 · Eje C (x = 3.427)</t>
        </is>
      </c>
      <c r="C124" s="39" t="inlineStr">
        <is>
          <t>N+6.00</t>
        </is>
      </c>
      <c r="D124" s="42" t="inlineStr">
        <is>
          <t>(3.43, 14.02) – (3.43, 14.80)</t>
        </is>
      </c>
      <c r="E124" s="34" t="n">
        <v>0.775</v>
      </c>
      <c r="F124" s="41">
        <f>SUMIFS(TRIB!$E$6:$E$255,TRIB!$B$6:$B$255,"DM-118")</f>
        <v>0.6762</v>
      </c>
      <c r="G124" s="34">
        <f>SUMIFS(TRIB!$I$6:$I$255,TRIB!$B$6:$B$255,"DM-118")/E124</f>
        <v>0.577616129032258</v>
      </c>
      <c r="H124" s="67">
        <f>SUMIFS(TRIB!$G$6:$G$255,TRIB!$B$6:$B$255,"DM-118")/E124</f>
        <v>0.768351290322581</v>
      </c>
      <c r="I124" s="42" t="inlineStr">
        <is>
          <t>Muro del primer nivel</t>
        </is>
      </c>
    </row>
    <row r="125">
      <c r="B125" s="35" t="inlineStr">
        <is>
          <t>DM-119 · Eje C (x = 3.427)</t>
        </is>
      </c>
      <c r="C125" s="39" t="inlineStr">
        <is>
          <t>N+6.00</t>
        </is>
      </c>
      <c r="D125" s="42" t="inlineStr">
        <is>
          <t>(3.43, 14.80) – (3.43, 15.85)</t>
        </is>
      </c>
      <c r="E125" s="34" t="n">
        <v>1.05</v>
      </c>
      <c r="F125" s="41">
        <f>SUMIFS(TRIB!$E$6:$E$255,TRIB!$B$6:$B$255,"DM-119")</f>
        <v>1.5719</v>
      </c>
      <c r="G125" s="34">
        <f>SUMIFS(TRIB!$I$6:$I$255,TRIB!$B$6:$B$255,"DM-119")/E125</f>
        <v>0.993431739552964</v>
      </c>
      <c r="H125" s="67">
        <f>SUMIFS(TRIB!$G$6:$G$255,TRIB!$B$6:$B$255,"DM-119")/E125</f>
        <v>1.32140221379981</v>
      </c>
      <c r="I125" s="42" t="inlineStr">
        <is>
          <t>Muro del primer nivel</t>
        </is>
      </c>
    </row>
    <row r="126">
      <c r="B126" s="35" t="inlineStr">
        <is>
          <t>DM-120 · x = 4.327</t>
        </is>
      </c>
      <c r="C126" s="39" t="inlineStr">
        <is>
          <t>N+6.00</t>
        </is>
      </c>
      <c r="D126" s="42" t="inlineStr">
        <is>
          <t>(4.33, 1.92) – (4.33, 2.92)</t>
        </is>
      </c>
      <c r="E126" s="34" t="n">
        <v>1.002</v>
      </c>
      <c r="F126" s="41">
        <f>SUMIFS(TRIB!$E$6:$E$255,TRIB!$B$6:$B$255,"DM-120")</f>
        <v>0.251</v>
      </c>
      <c r="G126" s="34">
        <f>SUMIFS(TRIB!$I$6:$I$255,TRIB!$B$6:$B$255,"DM-120")/E126</f>
        <v>0.15622958165302</v>
      </c>
      <c r="H126" s="67">
        <f>SUMIFS(TRIB!$G$6:$G$255,TRIB!$B$6:$B$255,"DM-120")/E126</f>
        <v>0.208108436188847</v>
      </c>
      <c r="I126" s="42" t="inlineStr">
        <is>
          <t>Muro del primer nivel</t>
        </is>
      </c>
    </row>
    <row r="127">
      <c r="B127" s="35" t="inlineStr">
        <is>
          <t>DM-121 · x = 4.327</t>
        </is>
      </c>
      <c r="C127" s="39" t="inlineStr">
        <is>
          <t>N+6.00</t>
        </is>
      </c>
      <c r="D127" s="42" t="inlineStr">
        <is>
          <t>(4.33, 2.92) – (4.33, 5.05)</t>
        </is>
      </c>
      <c r="E127" s="34" t="n">
        <v>2.125</v>
      </c>
      <c r="F127" s="41">
        <f>SUMIFS(TRIB!$E$6:$E$255,TRIB!$B$6:$B$255,"DM-121")</f>
        <v>3.6351</v>
      </c>
      <c r="G127" s="34">
        <f>SUMIFS(TRIB!$I$6:$I$255,TRIB!$B$6:$B$255,"DM-121")/E127</f>
        <v>1.11469008403361</v>
      </c>
      <c r="H127" s="67">
        <f>SUMIFS(TRIB!$G$6:$G$255,TRIB!$B$6:$B$255,"DM-121")/E127</f>
        <v>1.48330981512605</v>
      </c>
      <c r="I127" s="42" t="inlineStr">
        <is>
          <t>Muro del primer nivel</t>
        </is>
      </c>
    </row>
    <row r="128">
      <c r="B128" s="35" t="inlineStr">
        <is>
          <t>DM-122 · x = 4.327</t>
        </is>
      </c>
      <c r="C128" s="39" t="inlineStr">
        <is>
          <t>N+6.00</t>
        </is>
      </c>
      <c r="D128" s="42" t="inlineStr">
        <is>
          <t>(4.33, 5.05) – (4.33, 5.95)</t>
        </is>
      </c>
      <c r="E128" s="34" t="n">
        <v>0.9</v>
      </c>
      <c r="F128" s="41">
        <f>SUMIFS(TRIB!$E$6:$E$255,TRIB!$B$6:$B$255,"DM-122")</f>
        <v>2.3178</v>
      </c>
      <c r="G128" s="34">
        <f>SUMIFS(TRIB!$I$6:$I$255,TRIB!$B$6:$B$255,"DM-122")/E128</f>
        <v>1.70206707482993</v>
      </c>
      <c r="H128" s="67">
        <f>SUMIFS(TRIB!$G$6:$G$255,TRIB!$B$6:$B$255,"DM-122")/E128</f>
        <v>2.26419386394558</v>
      </c>
      <c r="I128" s="42" t="inlineStr">
        <is>
          <t>Muro del primer nivel</t>
        </is>
      </c>
    </row>
    <row r="129">
      <c r="B129" s="35" t="inlineStr">
        <is>
          <t>DM-123 · x = 4.327</t>
        </is>
      </c>
      <c r="C129" s="39" t="inlineStr">
        <is>
          <t>N+6.00</t>
        </is>
      </c>
      <c r="D129" s="42" t="inlineStr">
        <is>
          <t>(4.33, 5.95) – (4.33, 7.00)</t>
        </is>
      </c>
      <c r="E129" s="34" t="n">
        <v>1.05</v>
      </c>
      <c r="F129" s="41">
        <f>SUMIFS(TRIB!$E$6:$E$255,TRIB!$B$6:$B$255,"DM-123")</f>
        <v>1.9895</v>
      </c>
      <c r="G129" s="34">
        <f>SUMIFS(TRIB!$I$6:$I$255,TRIB!$B$6:$B$255,"DM-123")/E129</f>
        <v>1.26697701652089</v>
      </c>
      <c r="H129" s="67">
        <f>SUMIFS(TRIB!$G$6:$G$255,TRIB!$B$6:$B$255,"DM-123")/E129</f>
        <v>1.6849653595724</v>
      </c>
      <c r="I129" s="42" t="inlineStr">
        <is>
          <t>Muro del primer nivel</t>
        </is>
      </c>
    </row>
    <row r="130">
      <c r="B130" s="35" t="inlineStr">
        <is>
          <t>DM-124 · x = 4.327</t>
        </is>
      </c>
      <c r="C130" s="39" t="inlineStr">
        <is>
          <t>N+6.00</t>
        </is>
      </c>
      <c r="D130" s="42" t="inlineStr">
        <is>
          <t>(4.33, 7.00) – (4.33, 7.87)</t>
        </is>
      </c>
      <c r="E130" s="34" t="n">
        <v>0.875</v>
      </c>
      <c r="F130" s="41">
        <f>SUMIFS(TRIB!$E$6:$E$255,TRIB!$B$6:$B$255,"DM-124")</f>
        <v>1.081</v>
      </c>
      <c r="G130" s="34">
        <f>SUMIFS(TRIB!$I$6:$I$255,TRIB!$B$6:$B$255,"DM-124")/E130</f>
        <v>0.826098309037901</v>
      </c>
      <c r="H130" s="67">
        <f>SUMIFS(TRIB!$G$6:$G$255,TRIB!$B$6:$B$255,"DM-124")/E130</f>
        <v>1.09863637317784</v>
      </c>
      <c r="I130" s="42" t="inlineStr">
        <is>
          <t>Muro del primer nivel</t>
        </is>
      </c>
    </row>
    <row r="131">
      <c r="B131" s="35" t="inlineStr">
        <is>
          <t>DM-125 · Eje D (x = 4.426)</t>
        </is>
      </c>
      <c r="C131" s="39" t="inlineStr">
        <is>
          <t>N+6.00</t>
        </is>
      </c>
      <c r="D131" s="42" t="inlineStr">
        <is>
          <t>(4.43, 17.45) – (4.43, 19.45)</t>
        </is>
      </c>
      <c r="E131" s="34" t="n">
        <v>2.001</v>
      </c>
      <c r="F131" s="41">
        <f>SUMIFS(TRIB!$E$6:$E$255,TRIB!$B$6:$B$255,"DM-125")</f>
        <v>4.004</v>
      </c>
      <c r="G131" s="34">
        <f>SUMIFS(TRIB!$I$6:$I$255,TRIB!$B$6:$B$255,"DM-125")/E131</f>
        <v>1.328010280574</v>
      </c>
      <c r="H131" s="67">
        <f>SUMIFS(TRIB!$G$6:$G$255,TRIB!$B$6:$B$255,"DM-125")/E131</f>
        <v>1.7664333547512</v>
      </c>
      <c r="I131" s="42" t="inlineStr">
        <is>
          <t>Muro del primer nivel</t>
        </is>
      </c>
    </row>
    <row r="132">
      <c r="B132" s="35" t="inlineStr">
        <is>
          <t>DM-126 · Eje D (x = 4.426)</t>
        </is>
      </c>
      <c r="C132" s="39" t="inlineStr">
        <is>
          <t>N+6.00</t>
        </is>
      </c>
      <c r="D132" s="42" t="inlineStr">
        <is>
          <t>(4.43, 19.45) – (4.43, 21.45)</t>
        </is>
      </c>
      <c r="E132" s="34" t="n">
        <v>1.999</v>
      </c>
      <c r="F132" s="41">
        <f>SUMIFS(TRIB!$E$6:$E$255,TRIB!$B$6:$B$255,"DM-126")</f>
        <v>3.996</v>
      </c>
      <c r="G132" s="34">
        <f>SUMIFS(TRIB!$I$6:$I$255,TRIB!$B$6:$B$255,"DM-126")/E132</f>
        <v>1.32668293330339</v>
      </c>
      <c r="H132" s="67">
        <f>SUMIFS(TRIB!$G$6:$G$255,TRIB!$B$6:$B$255,"DM-126")/E132</f>
        <v>1.7646678032894</v>
      </c>
      <c r="I132" s="42" t="inlineStr">
        <is>
          <t>Muro del primer nivel</t>
        </is>
      </c>
    </row>
    <row r="133">
      <c r="B133" s="35" t="inlineStr">
        <is>
          <t>DM-127 · Eje F (x = 5.422)</t>
        </is>
      </c>
      <c r="C133" s="39" t="inlineStr">
        <is>
          <t>N+6.00</t>
        </is>
      </c>
      <c r="D133" s="42" t="inlineStr">
        <is>
          <t>(5.42, 9.95) – (5.42, 11.00)</t>
        </is>
      </c>
      <c r="E133" s="34" t="n">
        <v>1.05</v>
      </c>
      <c r="F133" s="41">
        <f>SUMIFS(TRIB!$E$6:$E$255,TRIB!$B$6:$B$255,"DM-127")</f>
        <v>1.1261</v>
      </c>
      <c r="G133" s="34">
        <f>SUMIFS(TRIB!$I$6:$I$255,TRIB!$B$6:$B$255,"DM-127")/E133</f>
        <v>0.709262089407191</v>
      </c>
      <c r="H133" s="67">
        <f>SUMIFS(TRIB!$G$6:$G$255,TRIB!$B$6:$B$255,"DM-127")/E133</f>
        <v>0.943490240038873</v>
      </c>
      <c r="I133" s="42" t="inlineStr">
        <is>
          <t>Muro del primer nivel</t>
        </is>
      </c>
    </row>
    <row r="134">
      <c r="B134" s="35" t="inlineStr">
        <is>
          <t>DM-128 · Eje F (x = 5.422)</t>
        </is>
      </c>
      <c r="C134" s="39" t="inlineStr">
        <is>
          <t>N+6.00</t>
        </is>
      </c>
      <c r="D134" s="42" t="inlineStr">
        <is>
          <t>(5.42, 11.00) – (5.42, 14.87)</t>
        </is>
      </c>
      <c r="E134" s="34" t="n">
        <v>3.872</v>
      </c>
      <c r="F134" s="41">
        <f>SUMIFS(TRIB!$E$6:$E$255,TRIB!$B$6:$B$255,"DM-128")</f>
        <v>8.6453</v>
      </c>
      <c r="G134" s="34">
        <f>SUMIFS(TRIB!$I$6:$I$255,TRIB!$B$6:$B$255,"DM-128")/E134</f>
        <v>1.46920112213274</v>
      </c>
      <c r="H134" s="67">
        <f>SUMIFS(TRIB!$G$6:$G$255,TRIB!$B$6:$B$255,"DM-128")/E134</f>
        <v>1.95461693397917</v>
      </c>
      <c r="I134" s="42" t="inlineStr">
        <is>
          <t>Muro del primer nivel</t>
        </is>
      </c>
    </row>
    <row r="135">
      <c r="B135" s="35" t="inlineStr">
        <is>
          <t>DM-129 · Eje F (x = 5.422)</t>
        </is>
      </c>
      <c r="C135" s="39" t="inlineStr">
        <is>
          <t>N+6.00</t>
        </is>
      </c>
      <c r="D135" s="42" t="inlineStr">
        <is>
          <t>(5.42, 14.87) – (5.42, 15.85)</t>
        </is>
      </c>
      <c r="E135" s="34" t="n">
        <v>0.974</v>
      </c>
      <c r="F135" s="41">
        <f>SUMIFS(TRIB!$E$6:$E$255,TRIB!$B$6:$B$255,"DM-129")</f>
        <v>1.4459</v>
      </c>
      <c r="G135" s="34">
        <f>SUMIFS(TRIB!$I$6:$I$255,TRIB!$B$6:$B$255,"DM-129")/E135</f>
        <v>0.985339290952521</v>
      </c>
      <c r="H135" s="67">
        <f>SUMIFS(TRIB!$G$6:$G$255,TRIB!$B$6:$B$255,"DM-129")/E135</f>
        <v>1.31063101663663</v>
      </c>
      <c r="I135" s="42" t="inlineStr">
        <is>
          <t>Muro del primer nivel</t>
        </is>
      </c>
    </row>
    <row r="136">
      <c r="B136" s="35" t="inlineStr">
        <is>
          <t>DM-130 · x = 5.822</t>
        </is>
      </c>
      <c r="C136" s="39" t="inlineStr">
        <is>
          <t>N+6.00</t>
        </is>
      </c>
      <c r="D136" s="42" t="inlineStr">
        <is>
          <t>(5.82, 15.85) – (5.82, 17.45)</t>
        </is>
      </c>
      <c r="E136" s="34" t="n">
        <v>1.6</v>
      </c>
      <c r="F136" s="41">
        <f>SUMIFS(TRIB!$E$6:$E$255,TRIB!$B$6:$B$255,"DM-130")</f>
        <v>1.4614</v>
      </c>
      <c r="G136" s="34">
        <f>SUMIFS(TRIB!$I$6:$I$255,TRIB!$B$6:$B$255,"DM-130")/E136</f>
        <v>0.607223380102041</v>
      </c>
      <c r="H136" s="67">
        <f>SUMIFS(TRIB!$G$6:$G$255,TRIB!$B$6:$B$255,"DM-130")/E136</f>
        <v>0.807657894132653</v>
      </c>
      <c r="I136" s="42" t="inlineStr">
        <is>
          <t>Muro del primer nivel</t>
        </is>
      </c>
    </row>
    <row r="137">
      <c r="B137" s="35" t="inlineStr">
        <is>
          <t>DM-131 · Eje G (x = 5.923)</t>
        </is>
      </c>
      <c r="C137" s="39" t="inlineStr">
        <is>
          <t>N+6.00</t>
        </is>
      </c>
      <c r="D137" s="42" t="inlineStr">
        <is>
          <t>(5.92, 2.92) – (5.92, 4.43)</t>
        </is>
      </c>
      <c r="E137" s="34" t="n">
        <v>1.512</v>
      </c>
      <c r="F137" s="41">
        <f>SUMIFS(TRIB!$E$6:$E$255,TRIB!$B$6:$B$255,"DM-131")</f>
        <v>0.8882</v>
      </c>
      <c r="G137" s="34">
        <f>SUMIFS(TRIB!$I$6:$I$255,TRIB!$B$6:$B$255,"DM-131")/E137</f>
        <v>0.366366915019976</v>
      </c>
      <c r="H137" s="67">
        <f>SUMIFS(TRIB!$G$6:$G$255,TRIB!$B$6:$B$255,"DM-131")/E137</f>
        <v>0.488025666774646</v>
      </c>
      <c r="I137" s="42" t="inlineStr">
        <is>
          <t>Muro del primer nivel</t>
        </is>
      </c>
    </row>
    <row r="138">
      <c r="B138" s="35" t="inlineStr">
        <is>
          <t>DM-132 · Eje G (x = 5.923)</t>
        </is>
      </c>
      <c r="C138" s="39" t="inlineStr">
        <is>
          <t>N+6.00</t>
        </is>
      </c>
      <c r="D138" s="42" t="inlineStr">
        <is>
          <t>(5.92, 4.43) – (5.92, 5.95)</t>
        </is>
      </c>
      <c r="E138" s="34" t="n">
        <v>1.513</v>
      </c>
      <c r="F138" s="41">
        <f>SUMIFS(TRIB!$E$6:$E$255,TRIB!$B$6:$B$255,"DM-132")</f>
        <v>0.889</v>
      </c>
      <c r="G138" s="34">
        <f>SUMIFS(TRIB!$I$6:$I$255,TRIB!$B$6:$B$255,"DM-132")/E138</f>
        <v>0.366454536870928</v>
      </c>
      <c r="H138" s="67">
        <f>SUMIFS(TRIB!$G$6:$G$255,TRIB!$B$6:$B$255,"DM-132")/E138</f>
        <v>0.488142385043905</v>
      </c>
      <c r="I138" s="42" t="inlineStr">
        <is>
          <t>Muro del primer nivel</t>
        </is>
      </c>
    </row>
    <row r="139">
      <c r="B139" s="35" t="inlineStr">
        <is>
          <t>DM-133 · Eje G (x = 5.923)</t>
        </is>
      </c>
      <c r="C139" s="39" t="inlineStr">
        <is>
          <t>N+6.00</t>
        </is>
      </c>
      <c r="D139" s="42" t="inlineStr">
        <is>
          <t>(5.92, 5.95) – (5.92, 6.95)</t>
        </is>
      </c>
      <c r="E139" s="34" t="n">
        <v>1.002</v>
      </c>
      <c r="F139" s="41">
        <f>SUMIFS(TRIB!$E$6:$E$255,TRIB!$B$6:$B$255,"DM-133")</f>
        <v>0.4812</v>
      </c>
      <c r="G139" s="34">
        <f>SUMIFS(TRIB!$I$6:$I$255,TRIB!$B$6:$B$255,"DM-133")/E139</f>
        <v>0.321123426616155</v>
      </c>
      <c r="H139" s="67">
        <f>SUMIFS(TRIB!$G$6:$G$255,TRIB!$B$6:$B$255,"DM-133")/E139</f>
        <v>0.427065245020164</v>
      </c>
      <c r="I139" s="42" t="inlineStr">
        <is>
          <t>Muro del primer nivel</t>
        </is>
      </c>
    </row>
    <row r="140">
      <c r="B140" s="35" t="inlineStr">
        <is>
          <t>DM-134 · Eje J (x = 8.850)</t>
        </is>
      </c>
      <c r="C140" s="39" t="inlineStr">
        <is>
          <t>N+6.00</t>
        </is>
      </c>
      <c r="D140" s="42" t="inlineStr">
        <is>
          <t>(8.85, 6.95) – (8.85, 8.45)</t>
        </is>
      </c>
      <c r="E140" s="34" t="n">
        <v>1.501</v>
      </c>
      <c r="F140" s="41">
        <f>SUMIFS(TRIB!$E$6:$E$255,TRIB!$B$6:$B$255,"DM-134")</f>
        <v>0</v>
      </c>
      <c r="G140" s="34">
        <f>SUMIFS(TRIB!$I$6:$I$255,TRIB!$B$6:$B$255,"DM-134")/E140</f>
        <v>0</v>
      </c>
      <c r="H140" s="67">
        <f>SUMIFS(TRIB!$G$6:$G$255,TRIB!$B$6:$B$255,"DM-134")/E140</f>
        <v>0</v>
      </c>
      <c r="I140" s="42" t="inlineStr">
        <is>
          <t>Muro del primer nivel</t>
        </is>
      </c>
    </row>
    <row r="141">
      <c r="B141" s="35" t="inlineStr">
        <is>
          <t>DM-135 · Eje J (x = 8.850)</t>
        </is>
      </c>
      <c r="C141" s="39" t="inlineStr">
        <is>
          <t>N+6.00</t>
        </is>
      </c>
      <c r="D141" s="42" t="inlineStr">
        <is>
          <t>(8.85, 8.45) – (8.85, 9.95)</t>
        </is>
      </c>
      <c r="E141" s="34" t="n">
        <v>1.501</v>
      </c>
      <c r="F141" s="41">
        <f>SUMIFS(TRIB!$E$6:$E$255,TRIB!$B$6:$B$255,"DM-135")</f>
        <v>0</v>
      </c>
      <c r="G141" s="34">
        <f>SUMIFS(TRIB!$I$6:$I$255,TRIB!$B$6:$B$255,"DM-135")/E141</f>
        <v>0</v>
      </c>
      <c r="H141" s="67">
        <f>SUMIFS(TRIB!$G$6:$G$255,TRIB!$B$6:$B$255,"DM-135")/E141</f>
        <v>0</v>
      </c>
      <c r="I141" s="42" t="inlineStr">
        <is>
          <t>Muro del primer nivel</t>
        </is>
      </c>
    </row>
    <row r="142">
      <c r="B142" s="35" t="inlineStr">
        <is>
          <t>DM-136 · Eje J (x = 8.850)</t>
        </is>
      </c>
      <c r="C142" s="39" t="inlineStr">
        <is>
          <t>N+6.00</t>
        </is>
      </c>
      <c r="D142" s="42" t="inlineStr">
        <is>
          <t>(8.85, 9.95) – (8.85, 12.10)</t>
        </is>
      </c>
      <c r="E142" s="34" t="n">
        <v>2.15</v>
      </c>
      <c r="F142" s="41">
        <f>SUMIFS(TRIB!$E$6:$E$255,TRIB!$B$6:$B$255,"DM-136")</f>
        <v>2.2162</v>
      </c>
      <c r="G142" s="34">
        <f>SUMIFS(TRIB!$I$6:$I$255,TRIB!$B$6:$B$255,"DM-136")/E142</f>
        <v>0.673800531561462</v>
      </c>
      <c r="H142" s="67">
        <f>SUMIFS(TRIB!$G$6:$G$255,TRIB!$B$6:$B$255,"DM-136")/E142</f>
        <v>0.896556504983389</v>
      </c>
      <c r="I142" s="42" t="inlineStr">
        <is>
          <t>Muro del primer nivel</t>
        </is>
      </c>
    </row>
    <row r="143">
      <c r="B143" s="35" t="inlineStr">
        <is>
          <t>DM-137 · Eje J (x = 8.850)</t>
        </is>
      </c>
      <c r="C143" s="39" t="inlineStr">
        <is>
          <t>N+6.00</t>
        </is>
      </c>
      <c r="D143" s="42" t="inlineStr">
        <is>
          <t>(8.85, 12.10) – (8.85, 13.78)</t>
        </is>
      </c>
      <c r="E143" s="34" t="n">
        <v>1.679</v>
      </c>
      <c r="F143" s="41">
        <f>SUMIFS(TRIB!$E$6:$E$255,TRIB!$B$6:$B$255,"DM-137")</f>
        <v>2.8778</v>
      </c>
      <c r="G143" s="34">
        <f>SUMIFS(TRIB!$I$6:$I$255,TRIB!$B$6:$B$255,"DM-137")/E143</f>
        <v>1.12039399059207</v>
      </c>
      <c r="H143" s="67">
        <f>SUMIFS(TRIB!$G$6:$G$255,TRIB!$B$6:$B$255,"DM-137")/E143</f>
        <v>1.49079211629857</v>
      </c>
      <c r="I143" s="42" t="inlineStr">
        <is>
          <t>Muro del primer nivel</t>
        </is>
      </c>
    </row>
    <row r="144">
      <c r="B144" s="35" t="inlineStr">
        <is>
          <t>DM-138 · Eje J (x = 8.850)</t>
        </is>
      </c>
      <c r="C144" s="39" t="inlineStr">
        <is>
          <t>N+6.00</t>
        </is>
      </c>
      <c r="D144" s="42" t="inlineStr">
        <is>
          <t>(8.85, 13.78) – (8.85, 14.25)</t>
        </is>
      </c>
      <c r="E144" s="34" t="n">
        <v>0.468</v>
      </c>
      <c r="F144" s="41">
        <f>SUMIFS(TRIB!$E$6:$E$255,TRIB!$B$6:$B$255,"DM-138")</f>
        <v>0.7955</v>
      </c>
      <c r="G144" s="34">
        <f>SUMIFS(TRIB!$I$6:$I$255,TRIB!$B$6:$B$255,"DM-138")/E144</f>
        <v>1.11110522414094</v>
      </c>
      <c r="H144" s="67">
        <f>SUMIFS(TRIB!$G$6:$G$255,TRIB!$B$6:$B$255,"DM-138")/E144</f>
        <v>1.47843251787895</v>
      </c>
      <c r="I144" s="42" t="inlineStr">
        <is>
          <t>Muro del primer nivel</t>
        </is>
      </c>
    </row>
    <row r="145">
      <c r="B145" s="35" t="inlineStr">
        <is>
          <t>DM-139 · Eje J (x = 8.850)</t>
        </is>
      </c>
      <c r="C145" s="39" t="inlineStr">
        <is>
          <t>N+6.00</t>
        </is>
      </c>
      <c r="D145" s="42" t="inlineStr">
        <is>
          <t>(8.85, 14.25) – (8.85, 15.45)</t>
        </is>
      </c>
      <c r="E145" s="34" t="n">
        <v>1.2</v>
      </c>
      <c r="F145" s="41">
        <f>SUMIFS(TRIB!$E$6:$E$255,TRIB!$B$6:$B$255,"DM-139")</f>
        <v>1.1988</v>
      </c>
      <c r="G145" s="34">
        <f>SUMIFS(TRIB!$I$6:$I$255,TRIB!$B$6:$B$255,"DM-139")/E145</f>
        <v>0.653019795918368</v>
      </c>
      <c r="H145" s="67">
        <f>SUMIFS(TRIB!$G$6:$G$255,TRIB!$B$6:$B$255,"DM-139")/E145</f>
        <v>0.868905734693878</v>
      </c>
      <c r="I145" s="42" t="inlineStr">
        <is>
          <t>Muro del primer nivel</t>
        </is>
      </c>
    </row>
    <row r="146">
      <c r="B146" s="35" t="inlineStr">
        <is>
          <t>DM-140 · Eje J (x = 8.850)</t>
        </is>
      </c>
      <c r="C146" s="39" t="inlineStr">
        <is>
          <t>N+6.00</t>
        </is>
      </c>
      <c r="D146" s="42" t="inlineStr">
        <is>
          <t>(8.85, 15.45) – (8.85, 15.85)</t>
        </is>
      </c>
      <c r="E146" s="34" t="n">
        <v>0.399</v>
      </c>
      <c r="F146" s="41">
        <f>SUMIFS(TRIB!$E$6:$E$255,TRIB!$B$6:$B$255,"DM-140")</f>
        <v>0.0796</v>
      </c>
      <c r="G146" s="34">
        <f>SUMIFS(TRIB!$I$6:$I$255,TRIB!$B$6:$B$255,"DM-140")/E146</f>
        <v>0.130407038003171</v>
      </c>
      <c r="H146" s="67">
        <f>SUMIFS(TRIB!$G$6:$G$255,TRIB!$B$6:$B$255,"DM-140")/E146</f>
        <v>0.173519124341466</v>
      </c>
      <c r="I146" s="42" t="inlineStr">
        <is>
          <t>Muro del primer nivel</t>
        </is>
      </c>
    </row>
    <row r="147">
      <c r="B147" s="35" t="inlineStr">
        <is>
          <t>DM-141 · Eje J (x = 8.850)</t>
        </is>
      </c>
      <c r="C147" s="39" t="inlineStr">
        <is>
          <t>N+6.00</t>
        </is>
      </c>
      <c r="D147" s="42" t="inlineStr">
        <is>
          <t>(8.85, 15.85) – (8.85, 17.45)</t>
        </is>
      </c>
      <c r="E147" s="34" t="n">
        <v>1.6</v>
      </c>
      <c r="F147" s="41">
        <f>SUMIFS(TRIB!$E$6:$E$255,TRIB!$B$6:$B$255,"DM-141")</f>
        <v>0.2314</v>
      </c>
      <c r="G147" s="34">
        <f>SUMIFS(TRIB!$I$6:$I$255,TRIB!$B$6:$B$255,"DM-141")/E147</f>
        <v>0.0938144005102041</v>
      </c>
      <c r="H147" s="67">
        <f>SUMIFS(TRIB!$G$6:$G$255,TRIB!$B$6:$B$255,"DM-141")/E147</f>
        <v>0.124851220663265</v>
      </c>
      <c r="I147" s="42" t="inlineStr">
        <is>
          <t>Muro del primer nivel</t>
        </is>
      </c>
    </row>
    <row r="148">
      <c r="B148" s="35" t="inlineStr">
        <is>
          <t>DM-142 · Eje J (x = 8.850)</t>
        </is>
      </c>
      <c r="C148" s="39" t="inlineStr">
        <is>
          <t>N+6.00</t>
        </is>
      </c>
      <c r="D148" s="42" t="inlineStr">
        <is>
          <t>(8.85, 17.45) – (8.85, 19.45)</t>
        </is>
      </c>
      <c r="E148" s="34" t="n">
        <v>2</v>
      </c>
      <c r="F148" s="41">
        <f>SUMIFS(TRIB!$E$6:$E$255,TRIB!$B$6:$B$255,"DM-142")</f>
        <v>2</v>
      </c>
      <c r="G148" s="34">
        <f>SUMIFS(TRIB!$I$6:$I$255,TRIB!$B$6:$B$255,"DM-142")/E148</f>
        <v>0.663673469387755</v>
      </c>
      <c r="H148" s="67">
        <f>SUMIFS(TRIB!$G$6:$G$255,TRIB!$B$6:$B$255,"DM-142")/E148</f>
        <v>0.882775510204082</v>
      </c>
      <c r="I148" s="42" t="inlineStr">
        <is>
          <t>Muro del primer nivel</t>
        </is>
      </c>
    </row>
    <row r="149">
      <c r="B149" s="35" t="inlineStr">
        <is>
          <t>DM-143 · Eje J (x = 8.850)</t>
        </is>
      </c>
      <c r="C149" s="39" t="inlineStr">
        <is>
          <t>N+6.00</t>
        </is>
      </c>
      <c r="D149" s="42" t="inlineStr">
        <is>
          <t>(8.85, 19.45) – (8.85, 21.45)</t>
        </is>
      </c>
      <c r="E149" s="34" t="n">
        <v>2</v>
      </c>
      <c r="F149" s="41">
        <f>SUMIFS(TRIB!$E$6:$E$255,TRIB!$B$6:$B$255,"DM-143")</f>
        <v>2</v>
      </c>
      <c r="G149" s="34">
        <f>SUMIFS(TRIB!$I$6:$I$255,TRIB!$B$6:$B$255,"DM-143")/E149</f>
        <v>0.663673469387755</v>
      </c>
      <c r="H149" s="67">
        <f>SUMIFS(TRIB!$G$6:$G$255,TRIB!$B$6:$B$255,"DM-143")/E149</f>
        <v>0.882775510204082</v>
      </c>
      <c r="I149" s="42" t="inlineStr">
        <is>
          <t>Muro del primer nivel</t>
        </is>
      </c>
    </row>
    <row r="150" ht="6" customHeight="1"/>
    <row r="151" ht="21" customHeight="1">
      <c r="B151" s="5" t="inlineStr">
        <is>
          <t>B. REACCIONES DE LAS NERVADURAS PRINCIPALES EN SUS APOYOS FIRMES</t>
        </is>
      </c>
    </row>
    <row r="152" ht="30" customHeight="1">
      <c r="B152" s="6" t="inlineStr">
        <is>
          <t>Carga concentrada que baja por el castillo o el muro del extremo. Las que caen en un castillo propuesto (C1…C8) son las que ese castillo tiene que llevar a la cimentación.</t>
        </is>
      </c>
      <c r="C152" s="7" t="n"/>
      <c r="D152" s="7" t="n"/>
      <c r="E152" s="7" t="n"/>
      <c r="F152" s="7" t="n"/>
      <c r="G152" s="7" t="n"/>
      <c r="H152" s="7" t="n"/>
      <c r="I152" s="7" t="n"/>
    </row>
    <row r="153">
      <c r="B153" s="8" t="inlineStr">
        <is>
          <t>Tramo · extremo</t>
        </is>
      </c>
      <c r="C153" s="8" t="inlineStr">
        <is>
          <t>Nivel</t>
        </is>
      </c>
      <c r="D153" s="8" t="inlineStr">
        <is>
          <t>Apoyo (x, y)</t>
        </is>
      </c>
      <c r="E153" s="8" t="inlineStr">
        <is>
          <t>Castillo</t>
        </is>
      </c>
      <c r="F153" s="8" t="inlineStr">
        <is>
          <t>Tipo</t>
        </is>
      </c>
      <c r="G153" s="8" t="inlineStr">
        <is>
          <t>R última (t)</t>
        </is>
      </c>
      <c r="H153" s="8" t="inlineStr">
        <is>
          <t>R servicio aprox. (t)</t>
        </is>
      </c>
      <c r="I153" s="8" t="inlineStr">
        <is>
          <t>Nota</t>
        </is>
      </c>
    </row>
    <row r="154">
      <c r="B154" s="35" t="inlineStr">
        <is>
          <t>NP-01 · i</t>
        </is>
      </c>
      <c r="C154" s="39" t="inlineStr">
        <is>
          <t>N+3.00</t>
        </is>
      </c>
      <c r="D154" s="70" t="inlineStr">
        <is>
          <t>(0.000, 1.919)</t>
        </is>
      </c>
      <c r="E154" s="39" t="inlineStr">
        <is>
          <t>—</t>
        </is>
      </c>
      <c r="F154" s="39" t="str">
        <f>PRINCIPALES!$H$9</f>
        <v>FIRME</v>
      </c>
      <c r="G154" s="67">
        <f>PRINCIPALES!$AB$9</f>
        <v>3.63843078903061</v>
      </c>
      <c r="H154" s="34">
        <f>G154/((DATOS!$C$43+DATOS!$C$44)/2)</f>
        <v>2.59887913502187</v>
      </c>
      <c r="I154" s="42" t="inlineStr">
        <is>
          <t>Servicio ≈ R_u / 1.4 (promedio de factores).</t>
        </is>
      </c>
    </row>
    <row r="155">
      <c r="B155" s="35" t="inlineStr">
        <is>
          <t>NP-01 · j</t>
        </is>
      </c>
      <c r="C155" s="39" t="inlineStr">
        <is>
          <t>N+3.00</t>
        </is>
      </c>
      <c r="D155" s="70" t="inlineStr">
        <is>
          <t>(4.327, 1.919)</t>
        </is>
      </c>
      <c r="E155" s="39" t="inlineStr">
        <is>
          <t>C1</t>
        </is>
      </c>
      <c r="F155" s="39" t="str">
        <f>PRINCIPALES!$I$9</f>
        <v>FIRME</v>
      </c>
      <c r="G155" s="67">
        <f>PRINCIPALES!$AC$9</f>
        <v>3.63843078903061</v>
      </c>
      <c r="H155" s="34">
        <f>G155/((DATOS!$C$43+DATOS!$C$44)/2)</f>
        <v>2.59887913502187</v>
      </c>
      <c r="I155" s="42" t="inlineStr">
        <is>
          <t>Servicio ≈ R_u / 1.4 (promedio de factores).</t>
        </is>
      </c>
    </row>
    <row r="156">
      <c r="B156" s="35" t="inlineStr">
        <is>
          <t>NP-02 · i</t>
        </is>
      </c>
      <c r="C156" s="39" t="inlineStr">
        <is>
          <t>N+3.00</t>
        </is>
      </c>
      <c r="D156" s="70" t="inlineStr">
        <is>
          <t>(0.000, 2.921)</t>
        </is>
      </c>
      <c r="E156" s="39" t="inlineStr">
        <is>
          <t>—</t>
        </is>
      </c>
      <c r="F156" s="39" t="str">
        <f>PRINCIPALES!$H$10</f>
        <v>FIRME</v>
      </c>
      <c r="G156" s="67">
        <f>PRINCIPALES!$AB$10</f>
        <v>5.19935934821428</v>
      </c>
      <c r="H156" s="34">
        <f>G156/((DATOS!$C$43+DATOS!$C$44)/2)</f>
        <v>3.71382810586735</v>
      </c>
      <c r="I156" s="42" t="inlineStr">
        <is>
          <t>Servicio ≈ R_u / 1.4 (promedio de factores).</t>
        </is>
      </c>
    </row>
    <row r="157">
      <c r="B157" s="35" t="inlineStr">
        <is>
          <t>NP-02 · j</t>
        </is>
      </c>
      <c r="C157" s="39" t="inlineStr">
        <is>
          <t>N+3.00</t>
        </is>
      </c>
      <c r="D157" s="70" t="inlineStr">
        <is>
          <t>(4.327, 2.921)</t>
        </is>
      </c>
      <c r="E157" s="39" t="inlineStr">
        <is>
          <t>C2</t>
        </is>
      </c>
      <c r="F157" s="39" t="str">
        <f>PRINCIPALES!$I$10</f>
        <v>FIRME</v>
      </c>
      <c r="G157" s="67">
        <f>PRINCIPALES!$AC$10</f>
        <v>5.19935934821428</v>
      </c>
      <c r="H157" s="34">
        <f>G157/((DATOS!$C$43+DATOS!$C$44)/2)</f>
        <v>3.71382810586735</v>
      </c>
      <c r="I157" s="42" t="inlineStr">
        <is>
          <t>Servicio ≈ R_u / 1.4 (promedio de factores).</t>
        </is>
      </c>
    </row>
    <row r="158">
      <c r="B158" s="35" t="inlineStr">
        <is>
          <t>NP-03 · i</t>
        </is>
      </c>
      <c r="C158" s="39" t="inlineStr">
        <is>
          <t>N+3.00</t>
        </is>
      </c>
      <c r="D158" s="70" t="inlineStr">
        <is>
          <t>(4.327, 2.921)</t>
        </is>
      </c>
      <c r="E158" s="39" t="inlineStr">
        <is>
          <t>C2</t>
        </is>
      </c>
      <c r="F158" s="39" t="str">
        <f>PRINCIPALES!$H$11</f>
        <v>FIRME</v>
      </c>
      <c r="G158" s="67">
        <f>PRINCIPALES!$AB$11</f>
        <v>1.33062734387755</v>
      </c>
      <c r="H158" s="34">
        <f>G158/((DATOS!$C$43+DATOS!$C$44)/2)</f>
        <v>0.950448102769679</v>
      </c>
      <c r="I158" s="42" t="inlineStr">
        <is>
          <t>Servicio ≈ R_u / 1.4 (promedio de factores).</t>
        </is>
      </c>
    </row>
    <row r="159">
      <c r="B159" s="35" t="inlineStr">
        <is>
          <t>NP-03 · j</t>
        </is>
      </c>
      <c r="C159" s="39" t="inlineStr">
        <is>
          <t>N+3.00</t>
        </is>
      </c>
      <c r="D159" s="70" t="inlineStr">
        <is>
          <t>(5.923, 2.921)</t>
        </is>
      </c>
      <c r="E159" s="39" t="inlineStr">
        <is>
          <t>C3</t>
        </is>
      </c>
      <c r="F159" s="39" t="str">
        <f>PRINCIPALES!$I$11</f>
        <v>FIRME</v>
      </c>
      <c r="G159" s="67">
        <f>PRINCIPALES!$AC$11</f>
        <v>1.33062734387755</v>
      </c>
      <c r="H159" s="34">
        <f>G159/((DATOS!$C$43+DATOS!$C$44)/2)</f>
        <v>0.950448102769679</v>
      </c>
      <c r="I159" s="42" t="inlineStr">
        <is>
          <t>Servicio ≈ R_u / 1.4 (promedio de factores).</t>
        </is>
      </c>
    </row>
    <row r="160">
      <c r="B160" s="35" t="inlineStr">
        <is>
          <t>NP-04 · i</t>
        </is>
      </c>
      <c r="C160" s="39" t="inlineStr">
        <is>
          <t>N+3.00</t>
        </is>
      </c>
      <c r="D160" s="70" t="inlineStr">
        <is>
          <t>(2.925, 6.948)</t>
        </is>
      </c>
      <c r="E160" s="39" t="inlineStr">
        <is>
          <t>—</t>
        </is>
      </c>
      <c r="F160" s="39" t="str">
        <f>PRINCIPALES!$H$12</f>
        <v>FIRME</v>
      </c>
      <c r="G160" s="67">
        <f>PRINCIPALES!$AB$12</f>
        <v>0.456763569387755</v>
      </c>
      <c r="H160" s="34">
        <f>G160/((DATOS!$C$43+DATOS!$C$44)/2)</f>
        <v>0.326259692419825</v>
      </c>
      <c r="I160" s="42" t="inlineStr">
        <is>
          <t>Servicio ≈ R_u / 1.4 (promedio de factores).</t>
        </is>
      </c>
    </row>
    <row r="161">
      <c r="B161" s="35" t="inlineStr">
        <is>
          <t>NP-05 · j</t>
        </is>
      </c>
      <c r="C161" s="39" t="inlineStr">
        <is>
          <t>N+3.00</t>
        </is>
      </c>
      <c r="D161" s="70" t="inlineStr">
        <is>
          <t>(5.923, 6.948)</t>
        </is>
      </c>
      <c r="E161" s="39" t="inlineStr">
        <is>
          <t>—</t>
        </is>
      </c>
      <c r="F161" s="39" t="str">
        <f>PRINCIPALES!$I$13</f>
        <v>FIRME</v>
      </c>
      <c r="G161" s="67">
        <f>PRINCIPALES!$AC$13</f>
        <v>0.739653448979592</v>
      </c>
      <c r="H161" s="34">
        <f>G161/((DATOS!$C$43+DATOS!$C$44)/2)</f>
        <v>0.52832389212828</v>
      </c>
      <c r="I161" s="42" t="inlineStr">
        <is>
          <t>Servicio ≈ R_u / 1.4 (promedio de factores).</t>
        </is>
      </c>
    </row>
    <row r="162">
      <c r="B162" s="35" t="inlineStr">
        <is>
          <t>NP-06 · i</t>
        </is>
      </c>
      <c r="C162" s="39" t="inlineStr">
        <is>
          <t>N+3.00</t>
        </is>
      </c>
      <c r="D162" s="70" t="inlineStr">
        <is>
          <t>(0.000, 7.871)</t>
        </is>
      </c>
      <c r="E162" s="39" t="inlineStr">
        <is>
          <t>—</t>
        </is>
      </c>
      <c r="F162" s="39" t="str">
        <f>PRINCIPALES!$H$14</f>
        <v>FIRME</v>
      </c>
      <c r="G162" s="67">
        <f>PRINCIPALES!$AB$14</f>
        <v>3.55260935637755</v>
      </c>
      <c r="H162" s="34">
        <f>G162/((DATOS!$C$43+DATOS!$C$44)/2)</f>
        <v>2.53757811169825</v>
      </c>
      <c r="I162" s="42" t="inlineStr">
        <is>
          <t>Servicio ≈ R_u / 1.4 (promedio de factores).</t>
        </is>
      </c>
    </row>
    <row r="163">
      <c r="B163" s="35" t="inlineStr">
        <is>
          <t>NP-06 · j</t>
        </is>
      </c>
      <c r="C163" s="39" t="inlineStr">
        <is>
          <t>N+3.00</t>
        </is>
      </c>
      <c r="D163" s="70" t="inlineStr">
        <is>
          <t>(4.327, 7.871)</t>
        </is>
      </c>
      <c r="E163" s="39" t="inlineStr">
        <is>
          <t>C4</t>
        </is>
      </c>
      <c r="F163" s="39" t="str">
        <f>PRINCIPALES!$I$14</f>
        <v>FIRME</v>
      </c>
      <c r="G163" s="67">
        <f>PRINCIPALES!$AC$14</f>
        <v>3.55260935637755</v>
      </c>
      <c r="H163" s="34">
        <f>G163/((DATOS!$C$43+DATOS!$C$44)/2)</f>
        <v>2.53757811169825</v>
      </c>
      <c r="I163" s="42" t="inlineStr">
        <is>
          <t>Servicio ≈ R_u / 1.4 (promedio de factores).</t>
        </is>
      </c>
    </row>
    <row r="164">
      <c r="B164" s="35" t="inlineStr">
        <is>
          <t>NP-07 · i</t>
        </is>
      </c>
      <c r="C164" s="39" t="inlineStr">
        <is>
          <t>N+3.00</t>
        </is>
      </c>
      <c r="D164" s="70" t="inlineStr">
        <is>
          <t>(5.441, 8.910)</t>
        </is>
      </c>
      <c r="E164" s="39" t="inlineStr">
        <is>
          <t>C7</t>
        </is>
      </c>
      <c r="F164" s="39" t="str">
        <f>PRINCIPALES!$H$15</f>
        <v>FIRME</v>
      </c>
      <c r="G164" s="67">
        <f>PRINCIPALES!$AB$15</f>
        <v>1.39770818510204</v>
      </c>
      <c r="H164" s="34">
        <f>G164/((DATOS!$C$43+DATOS!$C$44)/2)</f>
        <v>0.998362989358601</v>
      </c>
      <c r="I164" s="42" t="inlineStr">
        <is>
          <t>Servicio ≈ R_u / 1.4 (promedio de factores).</t>
        </is>
      </c>
    </row>
    <row r="165">
      <c r="B165" s="35" t="inlineStr">
        <is>
          <t>NP-08 · i</t>
        </is>
      </c>
      <c r="C165" s="39" t="inlineStr">
        <is>
          <t>N+3.00</t>
        </is>
      </c>
      <c r="D165" s="70" t="inlineStr">
        <is>
          <t>(5.422, 9.950)</t>
        </is>
      </c>
      <c r="E165" s="39" t="inlineStr">
        <is>
          <t>C6</t>
        </is>
      </c>
      <c r="F165" s="39" t="str">
        <f>PRINCIPALES!$H$16</f>
        <v>FIRME</v>
      </c>
      <c r="G165" s="67">
        <f>PRINCIPALES!$AB$16</f>
        <v>4.45061717794726</v>
      </c>
      <c r="H165" s="34">
        <f>G165/((DATOS!$C$43+DATOS!$C$44)/2)</f>
        <v>3.17901226996233</v>
      </c>
      <c r="I165" s="42" t="inlineStr">
        <is>
          <t>Servicio ≈ R_u / 1.4 (promedio de factores).</t>
        </is>
      </c>
    </row>
    <row r="166">
      <c r="B166" s="35" t="inlineStr">
        <is>
          <t>NP-08 · j</t>
        </is>
      </c>
      <c r="C166" s="39" t="inlineStr">
        <is>
          <t>N+3.00</t>
        </is>
      </c>
      <c r="D166" s="70" t="inlineStr">
        <is>
          <t>(8.144, 9.950)</t>
        </is>
      </c>
      <c r="E166" s="39" t="inlineStr">
        <is>
          <t>—</t>
        </is>
      </c>
      <c r="F166" s="39" t="str">
        <f>PRINCIPALES!$I$16</f>
        <v>FIRME</v>
      </c>
      <c r="G166" s="67">
        <f>PRINCIPALES!$AC$16</f>
        <v>6.13621174144049</v>
      </c>
      <c r="H166" s="34">
        <f>G166/((DATOS!$C$43+DATOS!$C$44)/2)</f>
        <v>4.38300838674321</v>
      </c>
      <c r="I166" s="42" t="inlineStr">
        <is>
          <t>Servicio ≈ R_u / 1.4 (promedio de factores).</t>
        </is>
      </c>
    </row>
    <row r="167">
      <c r="B167" s="35" t="inlineStr">
        <is>
          <t>NP-09 · j</t>
        </is>
      </c>
      <c r="C167" s="39" t="inlineStr">
        <is>
          <t>N+3.00</t>
        </is>
      </c>
      <c r="D167" s="70" t="inlineStr">
        <is>
          <t>(0.000, 14.021)</t>
        </is>
      </c>
      <c r="E167" s="39" t="inlineStr">
        <is>
          <t>—</t>
        </is>
      </c>
      <c r="F167" s="39" t="str">
        <f>PRINCIPALES!$I$17</f>
        <v>FIRME</v>
      </c>
      <c r="G167" s="67">
        <f>PRINCIPALES!$AC$17</f>
        <v>0</v>
      </c>
      <c r="H167" s="34">
        <f>G167/((DATOS!$C$43+DATOS!$C$44)/2)</f>
        <v>0</v>
      </c>
      <c r="I167" s="42" t="inlineStr">
        <is>
          <t>Servicio ≈ R_u / 1.4 (promedio de factores).</t>
        </is>
      </c>
    </row>
    <row r="168">
      <c r="B168" s="35" t="inlineStr">
        <is>
          <t>NP-10 · i</t>
        </is>
      </c>
      <c r="C168" s="39" t="inlineStr">
        <is>
          <t>N+3.00</t>
        </is>
      </c>
      <c r="D168" s="70" t="inlineStr">
        <is>
          <t>(0.000, 14.021)</t>
        </is>
      </c>
      <c r="E168" s="39" t="inlineStr">
        <is>
          <t>—</t>
        </is>
      </c>
      <c r="F168" s="39" t="str">
        <f>PRINCIPALES!$H$18</f>
        <v>FIRME</v>
      </c>
      <c r="G168" s="67">
        <f>PRINCIPALES!$AB$18</f>
        <v>4.43942325458836</v>
      </c>
      <c r="H168" s="34">
        <f>G168/((DATOS!$C$43+DATOS!$C$44)/2)</f>
        <v>3.17101661042026</v>
      </c>
      <c r="I168" s="42" t="inlineStr">
        <is>
          <t>Servicio ≈ R_u / 1.4 (promedio de factores).</t>
        </is>
      </c>
    </row>
    <row r="169">
      <c r="B169" s="35" t="inlineStr">
        <is>
          <t>NP-10 · j</t>
        </is>
      </c>
      <c r="C169" s="39" t="inlineStr">
        <is>
          <t>N+3.00</t>
        </is>
      </c>
      <c r="D169" s="70" t="inlineStr">
        <is>
          <t>(4.327, 14.021)</t>
        </is>
      </c>
      <c r="E169" s="39" t="inlineStr">
        <is>
          <t>C5</t>
        </is>
      </c>
      <c r="F169" s="39" t="str">
        <f>PRINCIPALES!$I$18</f>
        <v>FIRME</v>
      </c>
      <c r="G169" s="67">
        <f>PRINCIPALES!$AC$18</f>
        <v>5.6753179405647</v>
      </c>
      <c r="H169" s="34">
        <f>G169/((DATOS!$C$43+DATOS!$C$44)/2)</f>
        <v>4.05379852897479</v>
      </c>
      <c r="I169" s="42" t="inlineStr">
        <is>
          <t>Servicio ≈ R_u / 1.4 (promedio de factores).</t>
        </is>
      </c>
    </row>
    <row r="170">
      <c r="B170" s="35" t="inlineStr">
        <is>
          <t>NP-11 · j</t>
        </is>
      </c>
      <c r="C170" s="39" t="inlineStr">
        <is>
          <t>N+3.00</t>
        </is>
      </c>
      <c r="D170" s="70" t="inlineStr">
        <is>
          <t>(8.850, 14.247)</t>
        </is>
      </c>
      <c r="E170" s="39" t="inlineStr">
        <is>
          <t>—</t>
        </is>
      </c>
      <c r="F170" s="39" t="str">
        <f>PRINCIPALES!$I$19</f>
        <v>FIRME</v>
      </c>
      <c r="G170" s="67">
        <f>PRINCIPALES!$AC$19</f>
        <v>1.72367248392857</v>
      </c>
      <c r="H170" s="34">
        <f>G170/((DATOS!$C$43+DATOS!$C$44)/2)</f>
        <v>1.23119463137755</v>
      </c>
      <c r="I170" s="42" t="inlineStr">
        <is>
          <t>Servicio ≈ R_u / 1.4 (promedio de factores).</t>
        </is>
      </c>
    </row>
    <row r="171">
      <c r="B171" s="35" t="inlineStr">
        <is>
          <t>NP-12 · i</t>
        </is>
      </c>
      <c r="C171" s="39" t="inlineStr">
        <is>
          <t>N+3.00</t>
        </is>
      </c>
      <c r="D171" s="70" t="inlineStr">
        <is>
          <t>(0.000, 15.846)</t>
        </is>
      </c>
      <c r="E171" s="39" t="inlineStr">
        <is>
          <t>—</t>
        </is>
      </c>
      <c r="F171" s="39" t="str">
        <f>PRINCIPALES!$H$20</f>
        <v>FIRME</v>
      </c>
      <c r="G171" s="67">
        <f>PRINCIPALES!$AB$20</f>
        <v>4.34521598671616</v>
      </c>
      <c r="H171" s="34">
        <f>G171/((DATOS!$C$43+DATOS!$C$44)/2)</f>
        <v>3.10372570479726</v>
      </c>
      <c r="I171" s="42" t="inlineStr">
        <is>
          <t>Servicio ≈ R_u / 1.4 (promedio de factores).</t>
        </is>
      </c>
    </row>
    <row r="172">
      <c r="B172" s="35" t="inlineStr">
        <is>
          <t>NP-12 · j</t>
        </is>
      </c>
      <c r="C172" s="39" t="inlineStr">
        <is>
          <t>N+3.00</t>
        </is>
      </c>
      <c r="D172" s="70" t="inlineStr">
        <is>
          <t>(3.427, 15.846)</t>
        </is>
      </c>
      <c r="E172" s="39" t="inlineStr">
        <is>
          <t>C8</t>
        </is>
      </c>
      <c r="F172" s="39" t="str">
        <f>PRINCIPALES!$I$20</f>
        <v>FIRME</v>
      </c>
      <c r="G172" s="67">
        <f>PRINCIPALES!$AC$20</f>
        <v>5.68200388726343</v>
      </c>
      <c r="H172" s="34">
        <f>G172/((DATOS!$C$43+DATOS!$C$44)/2)</f>
        <v>4.05857420518817</v>
      </c>
      <c r="I172" s="42" t="inlineStr">
        <is>
          <t>Servicio ≈ R_u / 1.4 (promedio de factores).</t>
        </is>
      </c>
    </row>
    <row r="173">
      <c r="B173" s="35" t="inlineStr">
        <is>
          <t>NP-13 · j</t>
        </is>
      </c>
      <c r="C173" s="39" t="inlineStr">
        <is>
          <t>N+3.00</t>
        </is>
      </c>
      <c r="D173" s="70" t="inlineStr">
        <is>
          <t>(8.850, 15.846)</t>
        </is>
      </c>
      <c r="E173" s="39" t="inlineStr">
        <is>
          <t>—</t>
        </is>
      </c>
      <c r="F173" s="39" t="str">
        <f>PRINCIPALES!$I$21</f>
        <v>FIRME</v>
      </c>
      <c r="G173" s="67">
        <f>PRINCIPALES!$AC$21</f>
        <v>3.55610944505275</v>
      </c>
      <c r="H173" s="34">
        <f>G173/((DATOS!$C$43+DATOS!$C$44)/2)</f>
        <v>2.54007817503768</v>
      </c>
      <c r="I173" s="42" t="inlineStr">
        <is>
          <t>Servicio ≈ R_u / 1.4 (promedio de factores).</t>
        </is>
      </c>
    </row>
    <row r="174">
      <c r="B174" s="35" t="inlineStr">
        <is>
          <t>NP-14 · j</t>
        </is>
      </c>
      <c r="C174" s="39" t="inlineStr">
        <is>
          <t>N+3.00</t>
        </is>
      </c>
      <c r="D174" s="70" t="inlineStr">
        <is>
          <t>(0.000, 17.446)</t>
        </is>
      </c>
      <c r="E174" s="39" t="inlineStr">
        <is>
          <t>—</t>
        </is>
      </c>
      <c r="F174" s="39" t="str">
        <f>PRINCIPALES!$I$22</f>
        <v>FIRME</v>
      </c>
      <c r="G174" s="67">
        <f>PRINCIPALES!$AC$22</f>
        <v>0</v>
      </c>
      <c r="H174" s="34">
        <f>G174/((DATOS!$C$43+DATOS!$C$44)/2)</f>
        <v>0</v>
      </c>
      <c r="I174" s="42" t="inlineStr">
        <is>
          <t>Servicio ≈ R_u / 1.4 (promedio de factores).</t>
        </is>
      </c>
    </row>
    <row r="175">
      <c r="B175" s="35" t="inlineStr">
        <is>
          <t>NP-15 · i</t>
        </is>
      </c>
      <c r="C175" s="39" t="inlineStr">
        <is>
          <t>N+3.00</t>
        </is>
      </c>
      <c r="D175" s="70" t="inlineStr">
        <is>
          <t>(0.000, 17.446)</t>
        </is>
      </c>
      <c r="E175" s="39" t="inlineStr">
        <is>
          <t>—</t>
        </is>
      </c>
      <c r="F175" s="39" t="str">
        <f>PRINCIPALES!$H$23</f>
        <v>FIRME</v>
      </c>
      <c r="G175" s="67">
        <f>PRINCIPALES!$AB$23</f>
        <v>7.5544767572897</v>
      </c>
      <c r="H175" s="34">
        <f>G175/((DATOS!$C$43+DATOS!$C$44)/2)</f>
        <v>5.3960548266355</v>
      </c>
      <c r="I175" s="42" t="inlineStr">
        <is>
          <t>Servicio ≈ R_u / 1.4 (promedio de factores).</t>
        </is>
      </c>
    </row>
    <row r="176">
      <c r="B176" s="35" t="inlineStr">
        <is>
          <t>NP-15 · j</t>
        </is>
      </c>
      <c r="C176" s="39" t="inlineStr">
        <is>
          <t>N+3.00</t>
        </is>
      </c>
      <c r="D176" s="70" t="inlineStr">
        <is>
          <t>(4.925, 17.446)</t>
        </is>
      </c>
      <c r="E176" s="39" t="inlineStr">
        <is>
          <t>—</t>
        </is>
      </c>
      <c r="F176" s="39" t="str">
        <f>PRINCIPALES!$I$23</f>
        <v>FIRME</v>
      </c>
      <c r="G176" s="67">
        <f>PRINCIPALES!$AC$23</f>
        <v>11.6517731115878</v>
      </c>
      <c r="H176" s="34">
        <f>G176/((DATOS!$C$43+DATOS!$C$44)/2)</f>
        <v>8.32269507970561</v>
      </c>
      <c r="I176" s="42" t="inlineStr">
        <is>
          <t>Servicio ≈ R_u / 1.4 (promedio de factores).</t>
        </is>
      </c>
    </row>
    <row r="177">
      <c r="B177" s="35" t="inlineStr">
        <is>
          <t>NP-16 · i</t>
        </is>
      </c>
      <c r="C177" s="39" t="inlineStr">
        <is>
          <t>N+3.00</t>
        </is>
      </c>
      <c r="D177" s="70" t="inlineStr">
        <is>
          <t>(0.000, 23.446)</t>
        </is>
      </c>
      <c r="E177" s="39" t="inlineStr">
        <is>
          <t>—</t>
        </is>
      </c>
      <c r="F177" s="39" t="str">
        <f>PRINCIPALES!$H$24</f>
        <v>FIRME</v>
      </c>
      <c r="G177" s="67">
        <f>PRINCIPALES!$AB$24</f>
        <v>0</v>
      </c>
      <c r="H177" s="34">
        <f>G177/((DATOS!$C$43+DATOS!$C$44)/2)</f>
        <v>0</v>
      </c>
      <c r="I177" s="42" t="inlineStr">
        <is>
          <t>Servicio ≈ R_u / 1.4 (promedio de factores).</t>
        </is>
      </c>
    </row>
    <row r="178">
      <c r="B178" s="35" t="inlineStr">
        <is>
          <t>NP-16 · j</t>
        </is>
      </c>
      <c r="C178" s="39" t="inlineStr">
        <is>
          <t>N+3.00</t>
        </is>
      </c>
      <c r="D178" s="70" t="inlineStr">
        <is>
          <t>(7.250, 23.446)</t>
        </is>
      </c>
      <c r="E178" s="39" t="inlineStr">
        <is>
          <t>—</t>
        </is>
      </c>
      <c r="F178" s="39" t="str">
        <f>PRINCIPALES!$I$24</f>
        <v>FIRME</v>
      </c>
      <c r="G178" s="67">
        <f>PRINCIPALES!$AC$24</f>
        <v>0</v>
      </c>
      <c r="H178" s="34">
        <f>G178/((DATOS!$C$43+DATOS!$C$44)/2)</f>
        <v>0</v>
      </c>
      <c r="I178" s="42" t="inlineStr">
        <is>
          <t>Servicio ≈ R_u / 1.4 (promedio de factores).</t>
        </is>
      </c>
    </row>
    <row r="179">
      <c r="B179" s="35" t="inlineStr">
        <is>
          <t>NP-19 · j</t>
        </is>
      </c>
      <c r="C179" s="39" t="inlineStr">
        <is>
          <t>N+3.00</t>
        </is>
      </c>
      <c r="D179" s="70" t="inlineStr">
        <is>
          <t>(3.427, 15.846)</t>
        </is>
      </c>
      <c r="E179" s="39" t="inlineStr">
        <is>
          <t>C8</t>
        </is>
      </c>
      <c r="F179" s="39" t="str">
        <f>PRINCIPALES!$I$27</f>
        <v>FIRME</v>
      </c>
      <c r="G179" s="67">
        <f>PRINCIPALES!$AC$27</f>
        <v>2.1162312252551</v>
      </c>
      <c r="H179" s="34">
        <f>G179/((DATOS!$C$43+DATOS!$C$44)/2)</f>
        <v>1.51159373232507</v>
      </c>
      <c r="I179" s="42" t="inlineStr">
        <is>
          <t>Servicio ≈ R_u / 1.4 (promedio de factores).</t>
        </is>
      </c>
    </row>
    <row r="180">
      <c r="B180" s="35" t="inlineStr">
        <is>
          <t>NP-20 · i</t>
        </is>
      </c>
      <c r="C180" s="39" t="inlineStr">
        <is>
          <t>N+3.00</t>
        </is>
      </c>
      <c r="D180" s="70" t="inlineStr">
        <is>
          <t>(4.327, 1.919)</t>
        </is>
      </c>
      <c r="E180" s="39" t="inlineStr">
        <is>
          <t>C1</t>
        </is>
      </c>
      <c r="F180" s="39" t="str">
        <f>PRINCIPALES!$H$28</f>
        <v>FIRME</v>
      </c>
      <c r="G180" s="67">
        <f>PRINCIPALES!$AB$28</f>
        <v>0.951551471938775</v>
      </c>
      <c r="H180" s="34">
        <f>G180/((DATOS!$C$43+DATOS!$C$44)/2)</f>
        <v>0.679679622813411</v>
      </c>
      <c r="I180" s="42" t="inlineStr">
        <is>
          <t>Servicio ≈ R_u / 1.4 (promedio de factores).</t>
        </is>
      </c>
    </row>
    <row r="181">
      <c r="B181" s="35" t="inlineStr">
        <is>
          <t>NP-20 · j</t>
        </is>
      </c>
      <c r="C181" s="39" t="inlineStr">
        <is>
          <t>N+3.00</t>
        </is>
      </c>
      <c r="D181" s="70" t="inlineStr">
        <is>
          <t>(4.327, 2.921)</t>
        </is>
      </c>
      <c r="E181" s="39" t="inlineStr">
        <is>
          <t>C2</t>
        </is>
      </c>
      <c r="F181" s="39" t="str">
        <f>PRINCIPALES!$I$28</f>
        <v>FIRME</v>
      </c>
      <c r="G181" s="67">
        <f>PRINCIPALES!$AC$28</f>
        <v>0.951551471938775</v>
      </c>
      <c r="H181" s="34">
        <f>G181/((DATOS!$C$43+DATOS!$C$44)/2)</f>
        <v>0.679679622813411</v>
      </c>
      <c r="I181" s="42" t="inlineStr">
        <is>
          <t>Servicio ≈ R_u / 1.4 (promedio de factores).</t>
        </is>
      </c>
    </row>
    <row r="182">
      <c r="B182" s="35" t="inlineStr">
        <is>
          <t>NP-21 · i</t>
        </is>
      </c>
      <c r="C182" s="39" t="inlineStr">
        <is>
          <t>N+3.00</t>
        </is>
      </c>
      <c r="D182" s="70" t="inlineStr">
        <is>
          <t>(4.327, 2.921)</t>
        </is>
      </c>
      <c r="E182" s="39" t="inlineStr">
        <is>
          <t>C2</t>
        </is>
      </c>
      <c r="F182" s="39" t="str">
        <f>PRINCIPALES!$H$29</f>
        <v>FIRME</v>
      </c>
      <c r="G182" s="67">
        <f>PRINCIPALES!$AB$29</f>
        <v>3.71858067117347</v>
      </c>
      <c r="H182" s="34">
        <f>G182/((DATOS!$C$43+DATOS!$C$44)/2)</f>
        <v>2.65612905083819</v>
      </c>
      <c r="I182" s="42" t="inlineStr">
        <is>
          <t>Servicio ≈ R_u / 1.4 (promedio de factores).</t>
        </is>
      </c>
    </row>
    <row r="183">
      <c r="B183" s="35" t="inlineStr">
        <is>
          <t>NP-21 · j</t>
        </is>
      </c>
      <c r="C183" s="39" t="inlineStr">
        <is>
          <t>N+3.00</t>
        </is>
      </c>
      <c r="D183" s="70" t="inlineStr">
        <is>
          <t>(4.327, 5.946)</t>
        </is>
      </c>
      <c r="E183" s="39" t="inlineStr">
        <is>
          <t>—</t>
        </is>
      </c>
      <c r="F183" s="39" t="str">
        <f>PRINCIPALES!$I$29</f>
        <v>FIRME</v>
      </c>
      <c r="G183" s="67">
        <f>PRINCIPALES!$AC$29</f>
        <v>3.71858067117347</v>
      </c>
      <c r="H183" s="34">
        <f>G183/((DATOS!$C$43+DATOS!$C$44)/2)</f>
        <v>2.65612905083819</v>
      </c>
      <c r="I183" s="42" t="inlineStr">
        <is>
          <t>Servicio ≈ R_u / 1.4 (promedio de factores).</t>
        </is>
      </c>
    </row>
    <row r="184">
      <c r="B184" s="35" t="inlineStr">
        <is>
          <t>NP-22 · i</t>
        </is>
      </c>
      <c r="C184" s="39" t="inlineStr">
        <is>
          <t>N+3.00</t>
        </is>
      </c>
      <c r="D184" s="70" t="inlineStr">
        <is>
          <t>(4.327, 5.946)</t>
        </is>
      </c>
      <c r="E184" s="39" t="inlineStr">
        <is>
          <t>—</t>
        </is>
      </c>
      <c r="F184" s="39" t="str">
        <f>PRINCIPALES!$H$30</f>
        <v>FIRME</v>
      </c>
      <c r="G184" s="67">
        <f>PRINCIPALES!$AB$30</f>
        <v>2.07696907000941</v>
      </c>
      <c r="H184" s="34">
        <f>G184/((DATOS!$C$43+DATOS!$C$44)/2)</f>
        <v>1.48354933572101</v>
      </c>
      <c r="I184" s="42" t="inlineStr">
        <is>
          <t>Servicio ≈ R_u / 1.4 (promedio de factores).</t>
        </is>
      </c>
    </row>
    <row r="185">
      <c r="B185" s="35" t="inlineStr">
        <is>
          <t>NP-22 · j</t>
        </is>
      </c>
      <c r="C185" s="39" t="inlineStr">
        <is>
          <t>N+3.00</t>
        </is>
      </c>
      <c r="D185" s="70" t="inlineStr">
        <is>
          <t>(4.327, 7.871)</t>
        </is>
      </c>
      <c r="E185" s="39" t="inlineStr">
        <is>
          <t>C4</t>
        </is>
      </c>
      <c r="F185" s="39" t="str">
        <f>PRINCIPALES!$I$30</f>
        <v>FIRME</v>
      </c>
      <c r="G185" s="67">
        <f>PRINCIPALES!$AC$30</f>
        <v>2.09571417233753</v>
      </c>
      <c r="H185" s="34">
        <f>G185/((DATOS!$C$43+DATOS!$C$44)/2)</f>
        <v>1.49693869452681</v>
      </c>
      <c r="I185" s="42" t="inlineStr">
        <is>
          <t>Servicio ≈ R_u / 1.4 (promedio de factores).</t>
        </is>
      </c>
    </row>
    <row r="186">
      <c r="B186" s="35" t="inlineStr">
        <is>
          <t>NP-23 · i</t>
        </is>
      </c>
      <c r="C186" s="39" t="inlineStr">
        <is>
          <t>N+3.00</t>
        </is>
      </c>
      <c r="D186" s="70" t="inlineStr">
        <is>
          <t>(4.327, 7.871)</t>
        </is>
      </c>
      <c r="E186" s="39" t="inlineStr">
        <is>
          <t>C4</t>
        </is>
      </c>
      <c r="F186" s="39" t="str">
        <f>PRINCIPALES!$H$31</f>
        <v>FIRME</v>
      </c>
      <c r="G186" s="67">
        <f>PRINCIPALES!$AB$31</f>
        <v>2.04111067142857</v>
      </c>
      <c r="H186" s="34">
        <f>G186/((DATOS!$C$43+DATOS!$C$44)/2)</f>
        <v>1.45793619387755</v>
      </c>
      <c r="I186" s="42" t="inlineStr">
        <is>
          <t>Servicio ≈ R_u / 1.4 (promedio de factores).</t>
        </is>
      </c>
    </row>
    <row r="187">
      <c r="B187" s="35" t="inlineStr">
        <is>
          <t>NP-23 · j</t>
        </is>
      </c>
      <c r="C187" s="39" t="inlineStr">
        <is>
          <t>N+3.00</t>
        </is>
      </c>
      <c r="D187" s="70" t="inlineStr">
        <is>
          <t>(4.327, 14.021)</t>
        </is>
      </c>
      <c r="E187" s="39" t="inlineStr">
        <is>
          <t>C5</t>
        </is>
      </c>
      <c r="F187" s="39" t="str">
        <f>PRINCIPALES!$I$31</f>
        <v>FIRME</v>
      </c>
      <c r="G187" s="67">
        <f>PRINCIPALES!$AC$31</f>
        <v>2.04111067142857</v>
      </c>
      <c r="H187" s="34">
        <f>G187/((DATOS!$C$43+DATOS!$C$44)/2)</f>
        <v>1.45793619387755</v>
      </c>
      <c r="I187" s="42" t="inlineStr">
        <is>
          <t>Servicio ≈ R_u / 1.4 (promedio de factores).</t>
        </is>
      </c>
    </row>
    <row r="188">
      <c r="B188" s="35" t="inlineStr">
        <is>
          <t>NP-24 · j</t>
        </is>
      </c>
      <c r="C188" s="39" t="inlineStr">
        <is>
          <t>N+3.00</t>
        </is>
      </c>
      <c r="D188" s="70" t="inlineStr">
        <is>
          <t>(4.426, 21.446)</t>
        </is>
      </c>
      <c r="E188" s="39" t="inlineStr">
        <is>
          <t>—</t>
        </is>
      </c>
      <c r="F188" s="39" t="str">
        <f>PRINCIPALES!$I$32</f>
        <v>FIRME</v>
      </c>
      <c r="G188" s="67">
        <f>PRINCIPALES!$AC$32</f>
        <v>4.63620388979592</v>
      </c>
      <c r="H188" s="34">
        <f>G188/((DATOS!$C$43+DATOS!$C$44)/2)</f>
        <v>3.31157420699709</v>
      </c>
      <c r="I188" s="42" t="inlineStr">
        <is>
          <t>Servicio ≈ R_u / 1.4 (promedio de factores).</t>
        </is>
      </c>
    </row>
    <row r="189">
      <c r="B189" s="35" t="inlineStr">
        <is>
          <t>NP-25 · j</t>
        </is>
      </c>
      <c r="C189" s="39" t="inlineStr">
        <is>
          <t>N+3.00</t>
        </is>
      </c>
      <c r="D189" s="70" t="inlineStr">
        <is>
          <t>(5.441, 8.910)</t>
        </is>
      </c>
      <c r="E189" s="39" t="inlineStr">
        <is>
          <t>C7</t>
        </is>
      </c>
      <c r="F189" s="39" t="str">
        <f>PRINCIPALES!$I$33</f>
        <v>FIRME</v>
      </c>
      <c r="G189" s="67">
        <f>PRINCIPALES!$AC$33</f>
        <v>0.589185973469388</v>
      </c>
      <c r="H189" s="34">
        <f>G189/((DATOS!$C$43+DATOS!$C$44)/2)</f>
        <v>0.420847123906706</v>
      </c>
      <c r="I189" s="42" t="inlineStr">
        <is>
          <t>Servicio ≈ R_u / 1.4 (promedio de factores).</t>
        </is>
      </c>
    </row>
    <row r="190">
      <c r="B190" s="35" t="inlineStr">
        <is>
          <t>NP-26 · i</t>
        </is>
      </c>
      <c r="C190" s="39" t="inlineStr">
        <is>
          <t>N+3.00</t>
        </is>
      </c>
      <c r="D190" s="70" t="inlineStr">
        <is>
          <t>(5.441, 9.950)</t>
        </is>
      </c>
      <c r="E190" s="39" t="inlineStr">
        <is>
          <t>C6</t>
        </is>
      </c>
      <c r="F190" s="39" t="str">
        <f>PRINCIPALES!$H$34</f>
        <v>FIRME</v>
      </c>
      <c r="G190" s="67">
        <f>PRINCIPALES!$AB$34</f>
        <v>8.1391793440519</v>
      </c>
      <c r="H190" s="34">
        <f>G190/((DATOS!$C$43+DATOS!$C$44)/2)</f>
        <v>5.81369953146564</v>
      </c>
      <c r="I190" s="42" t="inlineStr">
        <is>
          <t>Servicio ≈ R_u / 1.4 (promedio de factores).</t>
        </is>
      </c>
    </row>
    <row r="191">
      <c r="B191" s="35" t="inlineStr">
        <is>
          <t>NP-26 · j</t>
        </is>
      </c>
      <c r="C191" s="39" t="inlineStr">
        <is>
          <t>N+3.00</t>
        </is>
      </c>
      <c r="D191" s="70" t="inlineStr">
        <is>
          <t>(5.441, 15.447)</t>
        </is>
      </c>
      <c r="E191" s="39" t="inlineStr">
        <is>
          <t>—</t>
        </is>
      </c>
      <c r="F191" s="39" t="str">
        <f>PRINCIPALES!$I$34</f>
        <v>FIRME</v>
      </c>
      <c r="G191" s="67">
        <f>PRINCIPALES!$AC$34</f>
        <v>9.11029334855014</v>
      </c>
      <c r="H191" s="34">
        <f>G191/((DATOS!$C$43+DATOS!$C$44)/2)</f>
        <v>6.50735239182153</v>
      </c>
      <c r="I191" s="42" t="inlineStr">
        <is>
          <t>Servicio ≈ R_u / 1.4 (promedio de factores).</t>
        </is>
      </c>
    </row>
    <row r="192">
      <c r="B192" s="35" t="inlineStr">
        <is>
          <t>NP-27 · i</t>
        </is>
      </c>
      <c r="C192" s="39" t="inlineStr">
        <is>
          <t>N+3.00</t>
        </is>
      </c>
      <c r="D192" s="70" t="inlineStr">
        <is>
          <t>(5.441, 15.447)</t>
        </is>
      </c>
      <c r="E192" s="39" t="inlineStr">
        <is>
          <t>—</t>
        </is>
      </c>
      <c r="F192" s="39" t="str">
        <f>PRINCIPALES!$H$35</f>
        <v>FIRME</v>
      </c>
      <c r="G192" s="67">
        <f>PRINCIPALES!$AB$35</f>
        <v>5.36070950851868</v>
      </c>
      <c r="H192" s="34">
        <f>G192/((DATOS!$C$43+DATOS!$C$44)/2)</f>
        <v>3.82907822037049</v>
      </c>
      <c r="I192" s="42" t="inlineStr">
        <is>
          <t>Servicio ≈ R_u / 1.4 (promedio de factores).</t>
        </is>
      </c>
    </row>
    <row r="193">
      <c r="B193" s="35" t="inlineStr">
        <is>
          <t>NP-28 · j</t>
        </is>
      </c>
      <c r="C193" s="39" t="inlineStr">
        <is>
          <t>N+3.00</t>
        </is>
      </c>
      <c r="D193" s="70" t="inlineStr">
        <is>
          <t>(5.822, 17.446)</t>
        </is>
      </c>
      <c r="E193" s="39" t="inlineStr">
        <is>
          <t>—</t>
        </is>
      </c>
      <c r="F193" s="39" t="str">
        <f>PRINCIPALES!$I$36</f>
        <v>FIRME</v>
      </c>
      <c r="G193" s="67">
        <f>PRINCIPALES!$AC$36</f>
        <v>1.55511666122449</v>
      </c>
      <c r="H193" s="34">
        <f>G193/((DATOS!$C$43+DATOS!$C$44)/2)</f>
        <v>1.11079761516035</v>
      </c>
      <c r="I193" s="42" t="inlineStr">
        <is>
          <t>Servicio ≈ R_u / 1.4 (promedio de factores).</t>
        </is>
      </c>
    </row>
    <row r="194">
      <c r="B194" s="35" t="inlineStr">
        <is>
          <t>NP-29 · i</t>
        </is>
      </c>
      <c r="C194" s="39" t="inlineStr">
        <is>
          <t>N+3.00</t>
        </is>
      </c>
      <c r="D194" s="70" t="inlineStr">
        <is>
          <t>(5.923, 2.921)</t>
        </is>
      </c>
      <c r="E194" s="39" t="inlineStr">
        <is>
          <t>C3</t>
        </is>
      </c>
      <c r="F194" s="39" t="str">
        <f>PRINCIPALES!$H$37</f>
        <v>FIRME</v>
      </c>
      <c r="G194" s="67">
        <f>PRINCIPALES!$AB$37</f>
        <v>2.78250897321429</v>
      </c>
      <c r="H194" s="34">
        <f>G194/((DATOS!$C$43+DATOS!$C$44)/2)</f>
        <v>1.98750640943878</v>
      </c>
      <c r="I194" s="42" t="inlineStr">
        <is>
          <t>Servicio ≈ R_u / 1.4 (promedio de factores).</t>
        </is>
      </c>
    </row>
    <row r="195">
      <c r="B195" s="35" t="inlineStr">
        <is>
          <t>NP-29 · j</t>
        </is>
      </c>
      <c r="C195" s="39" t="inlineStr">
        <is>
          <t>N+3.00</t>
        </is>
      </c>
      <c r="D195" s="70" t="inlineStr">
        <is>
          <t>(5.923, 5.946)</t>
        </is>
      </c>
      <c r="E195" s="39" t="inlineStr">
        <is>
          <t>—</t>
        </is>
      </c>
      <c r="F195" s="39" t="str">
        <f>PRINCIPALES!$I$37</f>
        <v>FIRME</v>
      </c>
      <c r="G195" s="67">
        <f>PRINCIPALES!$AC$37</f>
        <v>2.78250897321429</v>
      </c>
      <c r="H195" s="34">
        <f>G195/((DATOS!$C$43+DATOS!$C$44)/2)</f>
        <v>1.98750640943878</v>
      </c>
      <c r="I195" s="42" t="inlineStr">
        <is>
          <t>Servicio ≈ R_u / 1.4 (promedio de factores).</t>
        </is>
      </c>
    </row>
    <row r="196">
      <c r="B196" s="35" t="inlineStr">
        <is>
          <t>NP-31 · i</t>
        </is>
      </c>
      <c r="C196" s="39" t="inlineStr">
        <is>
          <t>N+6.00</t>
        </is>
      </c>
      <c r="D196" s="70" t="inlineStr">
        <is>
          <t>(5.822, 16.697)</t>
        </is>
      </c>
      <c r="E196" s="39" t="inlineStr">
        <is>
          <t>—</t>
        </is>
      </c>
      <c r="F196" s="39" t="str">
        <f>PRINCIPALES!$H$39</f>
        <v>FIRME</v>
      </c>
      <c r="G196" s="67">
        <f>PRINCIPALES!$AB$39</f>
        <v>0.681003046938775</v>
      </c>
      <c r="H196" s="34">
        <f>G196/((DATOS!$C$43+DATOS!$C$44)/2)</f>
        <v>0.486430747813411</v>
      </c>
      <c r="I196" s="42" t="inlineStr">
        <is>
          <t>Servicio ≈ R_u / 1.4 (promedio de factores).</t>
        </is>
      </c>
    </row>
    <row r="197">
      <c r="B197" s="35" t="inlineStr">
        <is>
          <t>NP-31 · j</t>
        </is>
      </c>
      <c r="C197" s="39" t="inlineStr">
        <is>
          <t>N+6.00</t>
        </is>
      </c>
      <c r="D197" s="70" t="inlineStr">
        <is>
          <t>(8.850, 16.697)</t>
        </is>
      </c>
      <c r="E197" s="39" t="inlineStr">
        <is>
          <t>—</t>
        </is>
      </c>
      <c r="F197" s="39" t="str">
        <f>PRINCIPALES!$I$39</f>
        <v>FIRME</v>
      </c>
      <c r="G197" s="67">
        <f>PRINCIPALES!$AC$39</f>
        <v>0.681003046938775</v>
      </c>
      <c r="H197" s="34">
        <f>G197/((DATOS!$C$43+DATOS!$C$44)/2)</f>
        <v>0.486430747813411</v>
      </c>
      <c r="I197" s="42" t="inlineStr">
        <is>
          <t>Servicio ≈ R_u / 1.4 (promedio de factores).</t>
        </is>
      </c>
    </row>
    <row r="198">
      <c r="B198" s="35" t="inlineStr">
        <is>
          <t>NP-32 · i</t>
        </is>
      </c>
      <c r="C198" s="39" t="inlineStr">
        <is>
          <t>N+6.00</t>
        </is>
      </c>
      <c r="D198" s="70" t="inlineStr">
        <is>
          <t>(0.000, 16.997)</t>
        </is>
      </c>
      <c r="E198" s="39" t="inlineStr">
        <is>
          <t>—</t>
        </is>
      </c>
      <c r="F198" s="39" t="str">
        <f>PRINCIPALES!$H$40</f>
        <v>FIRME</v>
      </c>
      <c r="G198" s="67">
        <f>PRINCIPALES!$AB$40</f>
        <v>0.812644140306122</v>
      </c>
      <c r="H198" s="34">
        <f>G198/((DATOS!$C$43+DATOS!$C$44)/2)</f>
        <v>0.580460100218659</v>
      </c>
      <c r="I198" s="42" t="inlineStr">
        <is>
          <t>Servicio ≈ R_u / 1.4 (promedio de factores).</t>
        </is>
      </c>
    </row>
    <row r="199">
      <c r="B199" s="35" t="inlineStr">
        <is>
          <t>NP-32 · j</t>
        </is>
      </c>
      <c r="C199" s="39" t="inlineStr">
        <is>
          <t>N+6.00</t>
        </is>
      </c>
      <c r="D199" s="70" t="inlineStr">
        <is>
          <t>(3.029, 16.997)</t>
        </is>
      </c>
      <c r="E199" s="39" t="inlineStr">
        <is>
          <t>—</t>
        </is>
      </c>
      <c r="F199" s="39" t="str">
        <f>PRINCIPALES!$I$40</f>
        <v>FIRME</v>
      </c>
      <c r="G199" s="67">
        <f>PRINCIPALES!$AC$40</f>
        <v>0.812644140306122</v>
      </c>
      <c r="H199" s="34">
        <f>G199/((DATOS!$C$43+DATOS!$C$44)/2)</f>
        <v>0.580460100218659</v>
      </c>
      <c r="I199" s="42" t="inlineStr">
        <is>
          <t>Servicio ≈ R_u / 1.4 (promedio de factores).</t>
        </is>
      </c>
    </row>
    <row r="200">
      <c r="B200" s="35" t="inlineStr">
        <is>
          <t>NP-33 · i</t>
        </is>
      </c>
      <c r="C200" s="39" t="inlineStr">
        <is>
          <t>N+6.00</t>
        </is>
      </c>
      <c r="D200" s="70" t="inlineStr">
        <is>
          <t>(0.000, 14.021)</t>
        </is>
      </c>
      <c r="E200" s="39" t="inlineStr">
        <is>
          <t>—</t>
        </is>
      </c>
      <c r="F200" s="39" t="str">
        <f>PRINCIPALES!$H$41</f>
        <v>FIRME</v>
      </c>
      <c r="G200" s="67">
        <f>PRINCIPALES!$AB$41</f>
        <v>0.545346135714286</v>
      </c>
      <c r="H200" s="34">
        <f>G200/((DATOS!$C$43+DATOS!$C$44)/2)</f>
        <v>0.389532954081633</v>
      </c>
      <c r="I200" s="42" t="inlineStr">
        <is>
          <t>Servicio ≈ R_u / 1.4 (promedio de factores).</t>
        </is>
      </c>
    </row>
    <row r="201">
      <c r="B201" s="35" t="inlineStr">
        <is>
          <t>NP-33 · j</t>
        </is>
      </c>
      <c r="C201" s="39" t="inlineStr">
        <is>
          <t>N+6.00</t>
        </is>
      </c>
      <c r="D201" s="70" t="inlineStr">
        <is>
          <t>(0.000, 15.846)</t>
        </is>
      </c>
      <c r="E201" s="39" t="inlineStr">
        <is>
          <t>—</t>
        </is>
      </c>
      <c r="F201" s="39" t="str">
        <f>PRINCIPALES!$I$41</f>
        <v>FIRME</v>
      </c>
      <c r="G201" s="67">
        <f>PRINCIPALES!$AC$41</f>
        <v>0.545346135714286</v>
      </c>
      <c r="H201" s="34">
        <f>G201/((DATOS!$C$43+DATOS!$C$44)/2)</f>
        <v>0.389532954081633</v>
      </c>
      <c r="I201" s="42" t="inlineStr">
        <is>
          <t>Servicio ≈ R_u / 1.4 (promedio de factores).</t>
        </is>
      </c>
    </row>
    <row r="202">
      <c r="B202" s="35" t="inlineStr">
        <is>
          <t>NP-34 · i</t>
        </is>
      </c>
      <c r="C202" s="39" t="inlineStr">
        <is>
          <t>N+6.00</t>
        </is>
      </c>
      <c r="D202" s="70" t="inlineStr">
        <is>
          <t>(5.923, 6.948)</t>
        </is>
      </c>
      <c r="E202" s="39" t="inlineStr">
        <is>
          <t>—</t>
        </is>
      </c>
      <c r="F202" s="39" t="str">
        <f>PRINCIPALES!$H$42</f>
        <v>FIRME</v>
      </c>
      <c r="G202" s="67">
        <f>PRINCIPALES!$AB$42</f>
        <v>1.31074846173469</v>
      </c>
      <c r="H202" s="34">
        <f>G202/((DATOS!$C$43+DATOS!$C$44)/2)</f>
        <v>0.936248901239067</v>
      </c>
      <c r="I202" s="42" t="inlineStr">
        <is>
          <t>Servicio ≈ R_u / 1.4 (promedio de factores).</t>
        </is>
      </c>
    </row>
    <row r="203">
      <c r="B203" s="35" t="inlineStr">
        <is>
          <t>NP-34 · j</t>
        </is>
      </c>
      <c r="C203" s="39" t="inlineStr">
        <is>
          <t>N+6.00</t>
        </is>
      </c>
      <c r="D203" s="70" t="inlineStr">
        <is>
          <t>(5.923, 9.950)</t>
        </is>
      </c>
      <c r="E203" s="39" t="inlineStr">
        <is>
          <t>—</t>
        </is>
      </c>
      <c r="F203" s="39" t="str">
        <f>PRINCIPALES!$I$42</f>
        <v>FIRME</v>
      </c>
      <c r="G203" s="67">
        <f>PRINCIPALES!$AC$42</f>
        <v>1.31074846173469</v>
      </c>
      <c r="H203" s="34">
        <f>G203/((DATOS!$C$43+DATOS!$C$44)/2)</f>
        <v>0.936248901239067</v>
      </c>
      <c r="I203" s="42" t="inlineStr">
        <is>
          <t>Servicio ≈ R_u / 1.4 (promedio de factores).</t>
        </is>
      </c>
    </row>
    <row r="204" ht="6" customHeight="1"/>
    <row r="205" ht="30" customHeight="1">
      <c r="B205" s="3" t="inlineStr">
        <is>
          <t>Para el muro: P_u total = (w_losa + peso propio del muro + muro de arriba)·L + reacciones concentradas, y se compara con la resistencia a compresión del muro confinado de la NTC-Mampostería 2023. Eso no está en este libro.</t>
        </is>
      </c>
      <c r="C205" s="4" t="n"/>
      <c r="D205" s="4" t="n"/>
      <c r="E205" s="4" t="n"/>
      <c r="F205" s="4" t="n"/>
      <c r="G205" s="4" t="n"/>
      <c r="H205" s="4" t="n"/>
      <c r="I205" s="4" t="n"/>
    </row>
  </sheetData>
  <mergeCells count="7">
    <mergeCell ref="B152:I152"/>
    <mergeCell ref="B2:I2"/>
    <mergeCell ref="B205:I205"/>
    <mergeCell ref="B151:I151"/>
    <mergeCell ref="B5:I5"/>
    <mergeCell ref="B1:I1"/>
    <mergeCell ref="B4:I4"/>
  </mergeCells>
  <conditionalFormatting sqref="B1:I206">
    <cfRule type="expression" priority="1" dxfId="0" stopIfTrue="1">
      <formula>OR(ISNUMBER(FIND("NO CUMPLE",B1)),ISNUMBER(FIND("REVISAR",B1)),ISNUMBER(FIND("NO CABE",B1)),ISNUMBER(FIND("FUERA",B1)),ISNUMBER(FIND("SIN APOYO",B1)),ISNUMBER(FIND("INSUFICIENTE",B1)))</formula>
    </cfRule>
    <cfRule type="expression" priority="2" dxfId="1" stopIfTrue="1">
      <formula>OR(ISNUMBER(FIND("CUMPLE",B1)),ISNUMBER(FIND("SÍ aplica",B1)),ISNUMBER(FIND("MANDA",B1)))</formula>
    </cfRule>
    <cfRule type="expression" priority="3" dxfId="2" stopIfTrue="1">
      <formula>OR(ISNUMBER(FIND("MACIZAR",B1)),ISNUMBER(FIND("VOLADO",B1)),ISNUMBER(FIND("PROPUESTO",B1)),ISNUMBER(FIND("VER ",B1)))</formula>
    </cfRule>
  </conditionalFormatting>
  <pageMargins left="0.75" right="0.75" top="1" bottom="1" header="0.5" footer="0.5"/>
  <pageSetup orientation="landscape" paperSize="1" fitToHeight="0" fitToWidth="1"/>
</worksheet>
</file>

<file path=xl/worksheets/sheet8.xml><?xml version="1.0" encoding="utf-8"?>
<worksheet xmlns="http://schemas.openxmlformats.org/spreadsheetml/2006/main">
  <sheetPr>
    <outlinePr summaryBelow="1" summaryRight="1"/>
    <pageSetUpPr fitToPage="1"/>
  </sheetPr>
  <dimension ref="B1:F41"/>
  <sheetViews>
    <sheetView showGridLines="0" zoomScale="7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CROQUIS DE LAS NERVADURAS — PLANTAS, TABLERO, CORTES Y ALZADO</t>
        </is>
      </c>
    </row>
    <row r="2" ht="42" customHeight="1">
      <c r="B2" s="2" t="inlineStr">
        <is>
          <t>Seis dibujos: las dos plantas con apoyos, nervaduras principales y vacíos; la planta del tablero escogido con sus casetones y nervaduras; el corte y el alzado de la nervadura secundaria; y el corte de la nervadura principal escogida. Todo sale de las tablas de abajo, que están enlazadas a NERVADURA y PRINCIPALES: se redibuja solo.</t>
        </is>
      </c>
    </row>
    <row r="3" ht="30" customHeight="1">
      <c r="B3" s="3" t="inlineStr">
        <is>
          <t>Para cambiar de tablero usa el selector de la hoja NERVADURA (celda amarilla de arriba). Para cambiar de nervadura principal usa el selector de esta hoja (sección 2). Las coordenadas viven en CROQUIS_DATOS, al final del libro: se generan solas, no se tocan.</t>
        </is>
      </c>
      <c r="C3" s="4" t="n"/>
      <c r="D3" s="4" t="n"/>
      <c r="E3" s="4" t="n"/>
      <c r="F3" s="4" t="n"/>
    </row>
    <row r="4" ht="6" customHeight="1"/>
    <row r="5" ht="21" customHeight="1">
      <c r="B5" s="5" t="inlineStr">
        <is>
          <t>1. TABLERO QUE SE DIBUJA — TODO ENLAZADO</t>
        </is>
      </c>
    </row>
    <row r="6" ht="30" customHeight="1">
      <c r="B6" s="8" t="inlineStr">
        <is>
          <t>Concepto</t>
        </is>
      </c>
      <c r="C6" s="8" t="inlineStr">
        <is>
          <t>Valor</t>
        </is>
      </c>
      <c r="D6" s="8" t="inlineStr">
        <is>
          <t>Unidad</t>
        </is>
      </c>
      <c r="E6" s="8" t="inlineStr">
        <is>
          <t>Cómo se calcula / de dónde sale</t>
        </is>
      </c>
      <c r="F6" s="8" t="inlineStr">
        <is>
          <t>Referencia</t>
        </is>
      </c>
    </row>
    <row r="7" ht="30" customHeight="1">
      <c r="B7" s="9" t="inlineStr">
        <is>
          <t>Tablero</t>
        </is>
      </c>
      <c r="C7" s="62" t="str">
        <f>NERVADURA!$C$6</f>
        <v>F80016 N+3.00</v>
      </c>
      <c r="D7" s="11" t="inlineStr">
        <is>
          <t>—</t>
        </is>
      </c>
      <c r="E7" s="12" t="inlineStr">
        <is>
          <t>Enlazado a NERVADURA.</t>
        </is>
      </c>
      <c r="F7" s="13" t="inlineStr">
        <is>
          <t>NERVADURA</t>
        </is>
      </c>
    </row>
    <row r="8" ht="19.5" customHeight="1">
      <c r="B8" s="9" t="inlineStr">
        <is>
          <t>Nivel</t>
        </is>
      </c>
      <c r="C8" s="43" t="str">
        <f>NERVADURA!$C$12</f>
        <v>N+3.00</v>
      </c>
      <c r="D8" s="11" t="inlineStr">
        <is>
          <t>—</t>
        </is>
      </c>
      <c r="E8" s="12" t="inlineStr">
        <is>
          <t>—</t>
        </is>
      </c>
      <c r="F8" s="13" t="inlineStr">
        <is>
          <t>NERVADURA</t>
        </is>
      </c>
    </row>
    <row r="9" ht="19.5" customHeight="1">
      <c r="B9" s="9" t="inlineStr">
        <is>
          <t>Modo</t>
        </is>
      </c>
      <c r="C9" s="43" t="str">
        <f>NERVADURA!$C$11</f>
        <v>PERIMETRAL</v>
      </c>
      <c r="D9" s="11" t="inlineStr">
        <is>
          <t>—</t>
        </is>
      </c>
      <c r="E9" s="12" t="inlineStr">
        <is>
          <t>—</t>
        </is>
      </c>
      <c r="F9" s="13" t="inlineStr">
        <is>
          <t>NERVADURA</t>
        </is>
      </c>
    </row>
    <row r="10" ht="19.5" customHeight="1">
      <c r="B10" s="9" t="inlineStr">
        <is>
          <t>a_x</t>
        </is>
      </c>
      <c r="C10" s="23">
        <f>NERVADURA!$C$13*100</f>
        <v>442.6</v>
      </c>
      <c r="D10" s="11" t="inlineStr">
        <is>
          <t>cm</t>
        </is>
      </c>
      <c r="E10" s="12" t="inlineStr">
        <is>
          <t>NERVADURA × 100.</t>
        </is>
      </c>
      <c r="F10" s="13" t="inlineStr">
        <is>
          <t>NERVADURA</t>
        </is>
      </c>
    </row>
    <row r="11" ht="19.5" customHeight="1">
      <c r="B11" s="9" t="inlineStr">
        <is>
          <t>a_y</t>
        </is>
      </c>
      <c r="C11" s="23">
        <f>NERVADURA!$C$14*100</f>
        <v>400</v>
      </c>
      <c r="D11" s="11" t="inlineStr">
        <is>
          <t>cm</t>
        </is>
      </c>
      <c r="E11" s="12" t="inlineStr">
        <is>
          <t>NERVADURA × 100.</t>
        </is>
      </c>
      <c r="F11" s="13" t="inlineStr">
        <is>
          <t>NERVADURA</t>
        </is>
      </c>
    </row>
    <row r="12" ht="19.5" customHeight="1">
      <c r="B12" s="9" t="inlineStr">
        <is>
          <t>Claro corto paralelo a</t>
        </is>
      </c>
      <c r="C12" s="43" t="str">
        <f>IF(CROQUIS!$C$10&lt;=CROQUIS!$C$11,"X","Y")</f>
        <v>Y</v>
      </c>
      <c r="D12" s="11" t="inlineStr">
        <is>
          <t>—</t>
        </is>
      </c>
      <c r="E12" s="12" t="inlineStr">
        <is>
          <t>—</t>
        </is>
      </c>
      <c r="F12" s="13" t="inlineStr">
        <is>
          <t>NERVADURA</t>
        </is>
      </c>
    </row>
    <row r="13" ht="19.5" customHeight="1">
      <c r="B13" s="9" t="inlineStr">
        <is>
          <t>Casetones en X / en Y</t>
        </is>
      </c>
      <c r="C13" s="43" t="str">
        <f>NERVADURA!$C$118&amp;" × "&amp;NERVADURA!$C$120</f>
        <v>6 × 5</v>
      </c>
      <c r="D13" s="11" t="inlineStr">
        <is>
          <t>pzas</t>
        </is>
      </c>
      <c r="E13" s="12" t="inlineStr">
        <is>
          <t>—</t>
        </is>
      </c>
      <c r="F13" s="13" t="inlineStr">
        <is>
          <t>NERVADURA sección 8</t>
        </is>
      </c>
    </row>
    <row r="14" ht="19.5" customHeight="1">
      <c r="B14" s="9" t="inlineStr">
        <is>
          <t>Escala del dibujo de planta</t>
        </is>
      </c>
      <c r="C14" s="24">
        <f>82/MAX(CROQUIS!$C$10,CROQUIS!$C$11)</f>
        <v>0.185268865793041</v>
      </c>
      <c r="D14" s="11" t="inlineStr">
        <is>
          <t>u/cm</t>
        </is>
      </c>
      <c r="E14" s="12" t="inlineStr">
        <is>
          <t>El tablero se ajusta a un cuadro de 82 unidades.</t>
        </is>
      </c>
      <c r="F14" s="13" t="inlineStr">
        <is>
          <t>Sólo dibujo</t>
        </is>
      </c>
    </row>
    <row r="15" ht="19.5" customHeight="1">
      <c r="B15" s="9" t="inlineStr">
        <is>
          <t>Origen X del dibujo</t>
        </is>
      </c>
      <c r="C15" s="17">
        <f>12+(82-CROQUIS!$C$10*CROQUIS!$C$14)/2</f>
        <v>12</v>
      </c>
      <c r="D15" s="11" t="inlineStr">
        <is>
          <t>u</t>
        </is>
      </c>
      <c r="E15" s="12" t="inlineStr">
        <is>
          <t>Centra el tablero.</t>
        </is>
      </c>
      <c r="F15" s="13" t="inlineStr">
        <is>
          <t>Sólo dibujo</t>
        </is>
      </c>
    </row>
    <row r="16" ht="19.5" customHeight="1">
      <c r="B16" s="9" t="inlineStr">
        <is>
          <t>Origen Y del dibujo</t>
        </is>
      </c>
      <c r="C16" s="17">
        <f>12+(82-CROQUIS!$C$11*CROQUIS!$C$14)/2</f>
        <v>15.9462268413918</v>
      </c>
      <c r="D16" s="11" t="inlineStr">
        <is>
          <t>u</t>
        </is>
      </c>
      <c r="E16" s="12" t="inlineStr">
        <is>
          <t>Centra el tablero.</t>
        </is>
      </c>
      <c r="F16" s="13" t="inlineStr">
        <is>
          <t>Sólo dibujo</t>
        </is>
      </c>
    </row>
    <row r="17" ht="19.5" customHeight="1">
      <c r="B17" s="9" t="inlineStr">
        <is>
          <t>Inferior ‖ claro corto</t>
        </is>
      </c>
      <c r="C17" s="43" t="str">
        <f>NERVADURA!$C$52&amp;" var. No. "&amp;TEXT(NERVADURA!$C$51,"0.#")</f>
        <v>1 var. No. 3</v>
      </c>
      <c r="D17" s="11" t="inlineStr">
        <is>
          <t>—</t>
        </is>
      </c>
      <c r="E17" s="12" t="inlineStr">
        <is>
          <t>Enlazado a NERVADURA sección 4.</t>
        </is>
      </c>
      <c r="F17" s="13" t="inlineStr">
        <is>
          <t>NERVADURA</t>
        </is>
      </c>
    </row>
    <row r="18" ht="19.5" customHeight="1">
      <c r="B18" s="9" t="inlineStr">
        <is>
          <t>Bastones ‖ claro corto</t>
        </is>
      </c>
      <c r="C18" s="43" t="str">
        <f>NERVADURA!$C$66&amp;" var. No. "&amp;TEXT(NERVADURA!$C$65,"0.#")&amp;", L = "&amp;TEXT(DATOS!$C$51*NERVADURA!$C$15,"0.00")&amp;" m desde el eje del apoyo"</f>
        <v>1 var. No. 3, L = 1.20 m desde el eje del apoyo</v>
      </c>
      <c r="D18" s="11" t="inlineStr">
        <is>
          <t>—</t>
        </is>
      </c>
      <c r="E18" s="12" t="inlineStr">
        <is>
          <t>Largo = fracción de DATOS × a1.</t>
        </is>
      </c>
      <c r="F18" s="13" t="inlineStr">
        <is>
          <t>NERVADURA sección 5 · DATOS</t>
        </is>
      </c>
    </row>
    <row r="19" ht="19.5" customHeight="1">
      <c r="B19" s="9" t="inlineStr">
        <is>
          <t>Inferior ‖ claro largo</t>
        </is>
      </c>
      <c r="C19" s="43" t="str">
        <f>NERVADURA!$C$80&amp;" var. No. "&amp;TEXT(NERVADURA!$C$79,"0.#")</f>
        <v>1 var. No. 3</v>
      </c>
      <c r="D19" s="11" t="inlineStr">
        <is>
          <t>—</t>
        </is>
      </c>
      <c r="E19" s="12" t="inlineStr">
        <is>
          <t>—</t>
        </is>
      </c>
      <c r="F19" s="13" t="inlineStr">
        <is>
          <t>NERVADURA sección 6</t>
        </is>
      </c>
    </row>
    <row r="20" ht="19.5" customHeight="1">
      <c r="B20" s="9" t="inlineStr">
        <is>
          <t>Bastones ‖ claro largo</t>
        </is>
      </c>
      <c r="C20" s="43" t="str">
        <f>NERVADURA!$C$94&amp;" var. No. "&amp;TEXT(NERVADURA!$C$93,"0.#")&amp;", L = "&amp;TEXT(DATOS!$C$51*NERVADURA!$C$16,"0.00")&amp;" m"</f>
        <v>1 var. No. 3, L = 1.33 m</v>
      </c>
      <c r="D20" s="11" t="inlineStr">
        <is>
          <t>—</t>
        </is>
      </c>
      <c r="E20" s="12" t="inlineStr">
        <is>
          <t>—</t>
        </is>
      </c>
      <c r="F20" s="13" t="inlineStr">
        <is>
          <t>NERVADURA sección 7</t>
        </is>
      </c>
    </row>
    <row r="21" ht="6" customHeight="1"/>
    <row r="22" ht="21" customHeight="1">
      <c r="B22" s="5" t="inlineStr">
        <is>
          <t>2. NERVADURA PRINCIPAL QUE SE DIBUJA</t>
        </is>
      </c>
    </row>
    <row r="23" ht="30" customHeight="1">
      <c r="B23" s="8" t="inlineStr">
        <is>
          <t>Concepto</t>
        </is>
      </c>
      <c r="C23" s="8" t="inlineStr">
        <is>
          <t>Valor</t>
        </is>
      </c>
      <c r="D23" s="8" t="inlineStr">
        <is>
          <t>Unidad</t>
        </is>
      </c>
      <c r="E23" s="8" t="inlineStr">
        <is>
          <t>Cómo se calcula / de dónde sale</t>
        </is>
      </c>
      <c r="F23" s="8" t="inlineStr">
        <is>
          <t>Referencia</t>
        </is>
      </c>
    </row>
    <row r="24" ht="19.5" customHeight="1">
      <c r="B24" s="9" t="inlineStr">
        <is>
          <t>Tramo de nervadura principal</t>
        </is>
      </c>
      <c r="C24" s="18" t="inlineStr">
        <is>
          <t>NP-23</t>
        </is>
      </c>
      <c r="D24" s="11" t="inlineStr">
        <is>
          <t>—</t>
        </is>
      </c>
      <c r="E24" s="12" t="inlineStr">
        <is>
          <t>SELECTOR. Lista de PRINCIPALES.</t>
        </is>
      </c>
      <c r="F24" s="13" t="inlineStr">
        <is>
          <t>PRINCIPALES</t>
        </is>
      </c>
    </row>
    <row r="25" ht="19.5" customHeight="1">
      <c r="B25" s="9" t="inlineStr">
        <is>
          <t>Renglón en PRINCIPALES</t>
        </is>
      </c>
      <c r="C25" s="23">
        <f>MATCH(CROQUIS!$C$24,PRINCIPALES!$B$9:$B$42,0)</f>
        <v>23</v>
      </c>
      <c r="D25" s="11" t="inlineStr">
        <is>
          <t>—</t>
        </is>
      </c>
      <c r="E25" s="12" t="inlineStr">
        <is>
          <t>Auxiliar.</t>
        </is>
      </c>
      <c r="F25" s="13" t="inlineStr">
        <is>
          <t>—</t>
        </is>
      </c>
    </row>
    <row r="26" ht="19.5" customHeight="1">
      <c r="B26" s="9" t="inlineStr">
        <is>
          <t>Nivel</t>
        </is>
      </c>
      <c r="C26" s="43" t="str">
        <f>INDEX(PRINCIPALES!$C$9:$C$42,CROQUIS!$C$25)</f>
        <v>N+3.00</v>
      </c>
      <c r="D26" s="11" t="inlineStr">
        <is>
          <t>—</t>
        </is>
      </c>
      <c r="E26" s="12" t="inlineStr">
        <is>
          <t>—</t>
        </is>
      </c>
      <c r="F26" s="13" t="inlineStr">
        <is>
          <t>PRINCIPALES</t>
        </is>
      </c>
    </row>
    <row r="27" ht="19.5" customHeight="1">
      <c r="B27" s="9" t="inlineStr">
        <is>
          <t>Eje</t>
        </is>
      </c>
      <c r="C27" s="43" t="str">
        <f>INDEX(PRINCIPALES!$D$9:$D$42,CROQUIS!$C$25)</f>
        <v>x = 4.327</v>
      </c>
      <c r="D27" s="11" t="inlineStr">
        <is>
          <t>—</t>
        </is>
      </c>
      <c r="E27" s="12" t="inlineStr">
        <is>
          <t>—</t>
        </is>
      </c>
      <c r="F27" s="13" t="inlineStr">
        <is>
          <t>PRINCIPALES</t>
        </is>
      </c>
    </row>
    <row r="28" ht="30" customHeight="1">
      <c r="B28" s="9" t="inlineStr">
        <is>
          <t>Condición</t>
        </is>
      </c>
      <c r="C28" s="62" t="str">
        <f>INDEX(PRINCIPALES!$L$9:$L$42,CROQUIS!$C$25)</f>
        <v>APOYADA</v>
      </c>
      <c r="D28" s="11" t="inlineStr">
        <is>
          <t>—</t>
        </is>
      </c>
      <c r="E28" s="12" t="inlineStr">
        <is>
          <t>—</t>
        </is>
      </c>
      <c r="F28" s="13" t="inlineStr">
        <is>
          <t>PRINCIPALES</t>
        </is>
      </c>
    </row>
    <row r="29" ht="19.5" customHeight="1">
      <c r="B29" s="9" t="inlineStr">
        <is>
          <t>L</t>
        </is>
      </c>
      <c r="C29" s="17">
        <f>INDEX(PRINCIPALES!$G$9:$G$42,CROQUIS!$C$25)</f>
        <v>6.15</v>
      </c>
      <c r="D29" s="11" t="inlineStr">
        <is>
          <t>m</t>
        </is>
      </c>
      <c r="E29" s="12" t="inlineStr">
        <is>
          <t>—</t>
        </is>
      </c>
      <c r="F29" s="13" t="inlineStr">
        <is>
          <t>PRINCIPALES</t>
        </is>
      </c>
    </row>
    <row r="30" ht="19.5" customHeight="1">
      <c r="B30" s="9" t="inlineStr">
        <is>
          <t>b</t>
        </is>
      </c>
      <c r="C30" s="23">
        <f>INDEX(PRINCIPALES!$N$9:$N$42,CROQUIS!$C$25)</f>
        <v>15</v>
      </c>
      <c r="D30" s="11" t="inlineStr">
        <is>
          <t>cm</t>
        </is>
      </c>
      <c r="E30" s="12" t="inlineStr">
        <is>
          <t>—</t>
        </is>
      </c>
      <c r="F30" s="13" t="inlineStr">
        <is>
          <t>PRINCIPALES</t>
        </is>
      </c>
    </row>
    <row r="31" ht="19.5" customHeight="1">
      <c r="B31" s="9" t="inlineStr">
        <is>
          <t>h</t>
        </is>
      </c>
      <c r="C31" s="23">
        <f>INDEX(PRINCIPALES!$O$9:$O$42,CROQUIS!$C$25)</f>
        <v>25</v>
      </c>
      <c r="D31" s="11" t="inlineStr">
        <is>
          <t>cm</t>
        </is>
      </c>
      <c r="E31" s="12" t="inlineStr">
        <is>
          <t>—</t>
        </is>
      </c>
      <c r="F31" s="13" t="inlineStr">
        <is>
          <t>PRINCIPALES</t>
        </is>
      </c>
    </row>
    <row r="32" ht="19.5" customHeight="1">
      <c r="B32" s="9" t="inlineStr">
        <is>
          <t>Varillas inferiores</t>
        </is>
      </c>
      <c r="C32" s="23">
        <f>INDEX(PRINCIPALES!$AJ$9:$AJ$42,CROQUIS!$C$25)</f>
        <v>2</v>
      </c>
      <c r="D32" s="11" t="inlineStr">
        <is>
          <t>pzas</t>
        </is>
      </c>
      <c r="E32" s="12" t="inlineStr">
        <is>
          <t>—</t>
        </is>
      </c>
      <c r="F32" s="13" t="inlineStr">
        <is>
          <t>PRINCIPALES</t>
        </is>
      </c>
    </row>
    <row r="33" ht="19.5" customHeight="1">
      <c r="B33" s="9" t="inlineStr">
        <is>
          <t>No. inferior</t>
        </is>
      </c>
      <c r="C33" s="64">
        <f>INDEX(PRINCIPALES!$AI$9:$AI$42,CROQUIS!$C$25)</f>
        <v>6</v>
      </c>
      <c r="D33" s="11" t="inlineStr">
        <is>
          <t>—</t>
        </is>
      </c>
      <c r="E33" s="12" t="inlineStr">
        <is>
          <t>—</t>
        </is>
      </c>
      <c r="F33" s="13" t="inlineStr">
        <is>
          <t>PRINCIPALES</t>
        </is>
      </c>
    </row>
    <row r="34" ht="19.5" customHeight="1">
      <c r="B34" s="9" t="inlineStr">
        <is>
          <t>Varillas superiores</t>
        </is>
      </c>
      <c r="C34" s="23">
        <f>INDEX(PRINCIPALES!$AO$9:$AO$42,CROQUIS!$C$25)</f>
        <v>3</v>
      </c>
      <c r="D34" s="11" t="inlineStr">
        <is>
          <t>pzas</t>
        </is>
      </c>
      <c r="E34" s="12" t="inlineStr">
        <is>
          <t>—</t>
        </is>
      </c>
      <c r="F34" s="13" t="inlineStr">
        <is>
          <t>PRINCIPALES</t>
        </is>
      </c>
    </row>
    <row r="35" ht="19.5" customHeight="1">
      <c r="B35" s="9" t="inlineStr">
        <is>
          <t>No. superior</t>
        </is>
      </c>
      <c r="C35" s="64">
        <f>INDEX(PRINCIPALES!$AN$9:$AN$42,CROQUIS!$C$25)</f>
        <v>4</v>
      </c>
      <c r="D35" s="11" t="inlineStr">
        <is>
          <t>—</t>
        </is>
      </c>
      <c r="E35" s="12" t="inlineStr">
        <is>
          <t>—</t>
        </is>
      </c>
      <c r="F35" s="13" t="inlineStr">
        <is>
          <t>PRINCIPALES</t>
        </is>
      </c>
    </row>
    <row r="36" ht="19.5" customHeight="1">
      <c r="B36" s="9" t="inlineStr">
        <is>
          <t>Separación de estribos</t>
        </is>
      </c>
      <c r="C36" s="22">
        <f>INDEX(PRINCIPALES!$AS$9:$AS$42,CROQUIS!$C$25)</f>
        <v>10</v>
      </c>
      <c r="D36" s="11" t="inlineStr">
        <is>
          <t>cm</t>
        </is>
      </c>
      <c r="E36" s="12" t="inlineStr">
        <is>
          <t>—</t>
        </is>
      </c>
      <c r="F36" s="13" t="inlineStr">
        <is>
          <t>PRINCIPALES</t>
        </is>
      </c>
    </row>
    <row r="37" ht="30" customHeight="1">
      <c r="B37" s="9" t="inlineStr">
        <is>
          <t>Estado</t>
        </is>
      </c>
      <c r="C37" s="62" t="str">
        <f>INDEX(PRINCIPALES!$AX$9:$AX$42,CROQUIS!$C$25)</f>
        <v>NO CUMPLE: deflexión → h ≥ 40 cm</v>
      </c>
      <c r="D37" s="11" t="inlineStr">
        <is>
          <t>—</t>
        </is>
      </c>
      <c r="E37" s="12" t="inlineStr">
        <is>
          <t>—</t>
        </is>
      </c>
      <c r="F37" s="13" t="inlineStr">
        <is>
          <t>PRINCIPALES</t>
        </is>
      </c>
    </row>
    <row r="38" ht="19.5" customHeight="1">
      <c r="B38" s="9" t="inlineStr">
        <is>
          <t>Paso del achurado de los apoyos</t>
        </is>
      </c>
      <c r="C38" s="10" t="n">
        <v>4</v>
      </c>
      <c r="D38" s="11" t="inlineStr">
        <is>
          <t>u</t>
        </is>
      </c>
      <c r="E38" s="12" t="inlineStr">
        <is>
          <t>CAPTURA. Sólo dibujo.</t>
        </is>
      </c>
      <c r="F38" s="13" t="inlineStr">
        <is>
          <t>Sólo dibujo</t>
        </is>
      </c>
    </row>
    <row r="39" ht="6" customHeight="1"/>
    <row r="40" ht="21" customHeight="1">
      <c r="B40" s="5" t="inlineStr">
        <is>
          <t>3. DIBUJOS</t>
        </is>
      </c>
    </row>
    <row r="41" ht="42" customHeight="1">
      <c r="B41" s="6" t="inlineStr">
        <is>
          <t>Arriba: plantas N+3.00 y N+6.00 (azul = tablero escogido, naranja = nervadura principal escogida, rojo = principales sin muro, gris grueso = muros que cargan, morado = vacíos, rombos rojos = castillos propuestos). Abajo: planta del tablero, corte y alzado de la nervadura secundaria, corte de la principal.</t>
        </is>
      </c>
      <c r="C41" s="7" t="n"/>
      <c r="D41" s="7" t="n"/>
      <c r="E41" s="7" t="n"/>
      <c r="F41" s="7" t="n"/>
    </row>
  </sheetData>
  <mergeCells count="7">
    <mergeCell ref="B2:F2"/>
    <mergeCell ref="B3:F3"/>
    <mergeCell ref="B5:F5"/>
    <mergeCell ref="B22:F22"/>
    <mergeCell ref="B1:F1"/>
    <mergeCell ref="B40:F40"/>
    <mergeCell ref="B41:F41"/>
  </mergeCells>
  <conditionalFormatting sqref="C1:F42">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24" showDropDown="0" showInputMessage="0" showErrorMessage="0" allowBlank="0" errorTitle="Valor no válido" error="Escoge un valor de la lista" type="list">
      <formula1>=PRINCIPALES!$B$9:$B$42</formula1>
    </dataValidation>
  </dataValidations>
  <pageMargins left="0.75" right="0.75" top="1" bottom="1" header="0.5" footer="0.5"/>
  <pageSetup orientation="portrait" paperSize="1" fitToHeight="1"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B1:J90"/>
  <sheetViews>
    <sheetView showGridLines="0" workbookViewId="0">
      <selection activeCell="A1" sqref="A1"/>
    </sheetView>
  </sheetViews>
  <sheetFormatPr baseColWidth="8" defaultRowHeight="15"/>
  <cols>
    <col width="1.78" customWidth="1" min="1" max="1"/>
    <col width="18" customWidth="1" min="2" max="2"/>
    <col width="9" customWidth="1" min="3" max="3"/>
    <col width="10" customWidth="1" min="4" max="4"/>
    <col width="11" customWidth="1" min="5" max="5"/>
    <col width="11" customWidth="1" min="6" max="6"/>
    <col width="12" customWidth="1" min="7" max="7"/>
    <col width="12" customWidth="1" min="8" max="8"/>
    <col width="12" customWidth="1" min="9" max="9"/>
    <col width="40" customWidth="1" min="10" max="10"/>
  </cols>
  <sheetData>
    <row r="1" ht="26" customHeight="1">
      <c r="B1" s="1" t="inlineStr">
        <is>
          <t>CUANTIFICACIÓN — CONCRETO, CASETONES, MALLA Y ACERO DE NERVADURAS</t>
        </is>
      </c>
    </row>
    <row r="2" ht="30" customHeight="1">
      <c r="B2" s="2" t="inlineStr">
        <is>
          <t>Cantidades aproximadas para presupuesto. Los casetones se cuentan con el rectángulo envolvente y se escalan por el área real del tablero; el acero de nervaduras secundarias supone una nervadura por cada hilera de casetones más las de orilla, con el armado de TABLEROS.</t>
        </is>
      </c>
    </row>
    <row r="3" ht="6" customHeight="1"/>
    <row r="4" ht="21" customHeight="1">
      <c r="B4" s="5" t="inlineStr">
        <is>
          <t>1. DATOS DE CUANTIFICACIÓN</t>
        </is>
      </c>
    </row>
    <row r="5" ht="30" customHeight="1">
      <c r="B5" s="8" t="inlineStr">
        <is>
          <t>Concepto</t>
        </is>
      </c>
      <c r="C5" s="8" t="inlineStr">
        <is>
          <t>Valor</t>
        </is>
      </c>
      <c r="D5" s="8" t="inlineStr">
        <is>
          <t>Unidad</t>
        </is>
      </c>
      <c r="E5" s="8" t="inlineStr">
        <is>
          <t>Cómo se usa</t>
        </is>
      </c>
      <c r="F5" s="8" t="inlineStr">
        <is>
          <t>Referencia</t>
        </is>
      </c>
    </row>
    <row r="6">
      <c r="B6" s="35" t="inlineStr">
        <is>
          <t>Desperdicio de concreto</t>
        </is>
      </c>
      <c r="C6" s="66" t="n">
        <v>1.05</v>
      </c>
      <c r="D6" s="39" t="inlineStr">
        <is>
          <t>—</t>
        </is>
      </c>
      <c r="E6" s="35" t="inlineStr">
        <is>
          <t>Multiplica el volumen.</t>
        </is>
      </c>
      <c r="J6" s="71" t="inlineStr">
        <is>
          <t>Práctica de obra</t>
        </is>
      </c>
    </row>
    <row r="7">
      <c r="B7" s="35" t="inlineStr">
        <is>
          <t>Desperdicio de acero</t>
        </is>
      </c>
      <c r="C7" s="66" t="n">
        <v>1.07</v>
      </c>
      <c r="D7" s="39" t="inlineStr">
        <is>
          <t>—</t>
        </is>
      </c>
      <c r="E7" s="35" t="inlineStr">
        <is>
          <t>Multiplica el peso.</t>
        </is>
      </c>
      <c r="J7" s="71" t="inlineStr">
        <is>
          <t>Práctica de obra</t>
        </is>
      </c>
    </row>
    <row r="8">
      <c r="B8" s="35" t="inlineStr">
        <is>
          <t>Traslape / anclaje por extremo de varilla</t>
        </is>
      </c>
      <c r="C8" s="66" t="n">
        <v>0.3</v>
      </c>
      <c r="D8" s="39" t="inlineStr">
        <is>
          <t>m</t>
        </is>
      </c>
      <c r="E8" s="35" t="inlineStr">
        <is>
          <t>Se suma a cada varilla.</t>
        </is>
      </c>
      <c r="J8" s="71" t="inlineStr">
        <is>
          <t>Práctica de obra</t>
        </is>
      </c>
    </row>
    <row r="9" ht="6" customHeight="1"/>
    <row r="10" ht="21" customHeight="1">
      <c r="B10" s="5" t="inlineStr">
        <is>
          <t>2. POR TABLERO</t>
        </is>
      </c>
    </row>
    <row r="11">
      <c r="B11" s="8" t="inlineStr">
        <is>
          <t>Tablero</t>
        </is>
      </c>
      <c r="C11" s="8" t="inlineStr">
        <is>
          <t>Área (m²)</t>
        </is>
      </c>
      <c r="D11" s="8" t="inlineStr">
        <is>
          <t>Casetones (pzas)</t>
        </is>
      </c>
      <c r="E11" s="8" t="inlineStr">
        <is>
          <t>Concreto (m³)</t>
        </is>
      </c>
      <c r="F11" s="8" t="inlineStr">
        <is>
          <t>Malla (m²)</t>
        </is>
      </c>
      <c r="G11" s="8" t="inlineStr">
        <is>
          <t>Acero ‖ corto (kg)</t>
        </is>
      </c>
      <c r="H11" s="8" t="inlineStr">
        <is>
          <t>Acero ‖ largo (kg)</t>
        </is>
      </c>
      <c r="I11" s="8" t="inlineStr">
        <is>
          <t>Acero total (kg)</t>
        </is>
      </c>
      <c r="J11" s="8" t="inlineStr">
        <is>
          <t>Nota</t>
        </is>
      </c>
    </row>
    <row r="12">
      <c r="B12" s="35" t="inlineStr">
        <is>
          <t>F80001 N+3.00</t>
        </is>
      </c>
      <c r="C12" s="72" t="n">
        <v>4.34</v>
      </c>
      <c r="D12" s="55">
        <f>IF(TABLEROS!$D$9="HUECO",0,ROUND(TABLEROS!$BM$9*TABLEROS!$BN$9*C12/(TABLEROS!$F$9*TABLEROS!$G$9),0))</f>
        <v>6</v>
      </c>
      <c r="E12" s="34">
        <f>IF(TABLEROS!$D$9="HUECO",0,C12*DATOS!$C$15/100-D12*(DATOS!$C$11/100)^2*(DATOS!$C$12/100))</f>
        <v>0.653</v>
      </c>
      <c r="F12" s="41">
        <f>IF(TABLEROS!$D$9="HUECO",0,C12)</f>
        <v>4.34</v>
      </c>
      <c r="G12" s="68">
        <f>IF(TABLEROS!$D$9="HUECO",0,(IF(TABLEROS!$M$9="X",TABLEROS!$BN$9,TABLEROS!$BM$9)+1)*(TABLEROS!$AN$9*(TABLEROS!$J$9+2*CUANTIFICACION!$C$8)*INDEX(TABLAS!$E$52:$E$58,MATCH(TABLEROS!$AM$9,TABLAS!$B$52:$B$58,0))+TABLEROS!$AS$9*2*(DATOS!$C$51*TABLEROS!$J$9+CUANTIFICACION!$C$8)*INDEX(TABLAS!$E$52:$E$58,MATCH(TABLEROS!$AR$9,TABLAS!$B$52:$B$58,0))))</f>
        <v>10.9689216</v>
      </c>
      <c r="H12" s="68">
        <f>IF(TABLEROS!$D$9="HUECO",0,(IF(TABLEROS!$M$9="X",TABLEROS!$BM$9,TABLEROS!$BN$9)+1)*(TABLEROS!$AX$9*(TABLEROS!$K$9+2*CUANTIFICACION!$C$8)*INDEX(TABLAS!$E$52:$E$58,MATCH(TABLEROS!$AW$9,TABLAS!$B$52:$B$58,0))+TABLEROS!$BC$9*2*(DATOS!$C$51*TABLEROS!$K$9+CUANTIFICACION!$C$8)*INDEX(TABLAS!$E$52:$E$58,MATCH(TABLEROS!$BB$9,TABLAS!$B$52:$B$58,0))))</f>
        <v>9.0817376</v>
      </c>
      <c r="I12" s="73">
        <f>G12+H12</f>
        <v>20.0506592</v>
      </c>
      <c r="J12" s="42" t="inlineStr">
        <is>
          <t>—</t>
        </is>
      </c>
    </row>
    <row r="13">
      <c r="B13" s="35" t="inlineStr">
        <is>
          <t>F80003 N+3.00</t>
        </is>
      </c>
      <c r="C13" s="72" t="n">
        <v>11.33</v>
      </c>
      <c r="D13" s="55">
        <f>IF(TABLEROS!$D$10="HUECO",0,ROUND(TABLEROS!$BM$10*TABLEROS!$BN$10*C13/(TABLEROS!$F$10*TABLEROS!$G$10),0))</f>
        <v>21</v>
      </c>
      <c r="E13" s="34">
        <f>IF(TABLEROS!$D$10="HUECO",0,C13*DATOS!$C$15/100-D13*(DATOS!$C$11/100)^2*(DATOS!$C$12/100))</f>
        <v>1.3205</v>
      </c>
      <c r="F13" s="41">
        <f>IF(TABLEROS!$D$10="HUECO",0,C13)</f>
        <v>11.33</v>
      </c>
      <c r="G13" s="68">
        <f>IF(TABLEROS!$D$10="HUECO",0,(IF(TABLEROS!$M$10="X",TABLEROS!$BN$10,TABLEROS!$BM$10)+1)*(TABLEROS!$AN$10*(TABLEROS!$J$10+2*CUANTIFICACION!$C$8)*INDEX(TABLAS!$E$52:$E$58,MATCH(TABLEROS!$AM$10,TABLAS!$B$52:$B$58,0))+TABLEROS!$AS$10*2*(DATOS!$C$51*TABLEROS!$J$10+CUANTIFICACION!$C$8)*INDEX(TABLAS!$E$52:$E$58,MATCH(TABLEROS!$AR$10,TABLAS!$B$52:$B$58,0))))</f>
        <v>23.63452</v>
      </c>
      <c r="H13" s="68">
        <f>IF(TABLEROS!$D$10="HUECO",0,(IF(TABLEROS!$M$10="X",TABLEROS!$BM$10,TABLEROS!$BN$10)+1)*(TABLEROS!$AX$10*(TABLEROS!$K$10+2*CUANTIFICACION!$C$8)*INDEX(TABLAS!$E$52:$E$58,MATCH(TABLEROS!$AW$10,TABLAS!$B$52:$B$58,0))+TABLEROS!$BC$10*2*(DATOS!$C$51*TABLEROS!$K$10+CUANTIFICACION!$C$8)*INDEX(TABLAS!$E$52:$E$58,MATCH(TABLEROS!$BB$10,TABLAS!$B$52:$B$58,0))))</f>
        <v>22.704344</v>
      </c>
      <c r="I13" s="73">
        <f>G13+H13</f>
        <v>46.338864</v>
      </c>
      <c r="J13" s="42" t="inlineStr">
        <is>
          <t>Rectángulo representativo</t>
        </is>
      </c>
    </row>
    <row r="14">
      <c r="B14" s="35" t="inlineStr">
        <is>
          <t>F80004 N+3.00</t>
        </is>
      </c>
      <c r="C14" s="72" t="n">
        <v>4.83</v>
      </c>
      <c r="D14" s="55">
        <f>IF(TABLEROS!$D$11="HUECO",0,ROUND(TABLEROS!$BM$11*TABLEROS!$BN$11*C14/(TABLEROS!$F$11*TABLEROS!$G$11),0))</f>
        <v>8</v>
      </c>
      <c r="E14" s="34">
        <f>IF(TABLEROS!$D$11="HUECO",0,C14*DATOS!$C$15/100-D14*(DATOS!$C$11/100)^2*(DATOS!$C$12/100))</f>
        <v>0.6315</v>
      </c>
      <c r="F14" s="41">
        <f>IF(TABLEROS!$D$11="HUECO",0,C14)</f>
        <v>4.83</v>
      </c>
      <c r="G14" s="68">
        <f>IF(TABLEROS!$D$11="HUECO",0,(IF(TABLEROS!$M$11="X",TABLEROS!$BN$11,TABLEROS!$BM$11)+1)*(TABLEROS!$AN$11*(TABLEROS!$J$11+2*CUANTIFICACION!$C$8)*INDEX(TABLAS!$E$52:$E$58,MATCH(TABLEROS!$AM$11,TABLAS!$B$52:$B$58,0))+TABLEROS!$AS$11*2*(DATOS!$C$51*TABLEROS!$J$11+CUANTIFICACION!$C$8)*INDEX(TABLAS!$E$52:$E$58,MATCH(TABLEROS!$AR$11,TABLAS!$B$52:$B$58,0))))</f>
        <v>10.491312</v>
      </c>
      <c r="H14" s="68">
        <f>IF(TABLEROS!$D$11="HUECO",0,(IF(TABLEROS!$M$11="X",TABLEROS!$BM$11,TABLEROS!$BN$11)+1)*(TABLEROS!$AX$11*(TABLEROS!$K$11+2*CUANTIFICACION!$C$8)*INDEX(TABLAS!$E$52:$E$58,MATCH(TABLEROS!$AW$11,TABLAS!$B$52:$B$58,0))+TABLEROS!$BC$11*2*(DATOS!$C$51*TABLEROS!$K$11+CUANTIFICACION!$C$8)*INDEX(TABLAS!$E$52:$E$58,MATCH(TABLEROS!$BB$11,TABLAS!$B$52:$B$58,0))))</f>
        <v>10.12908</v>
      </c>
      <c r="I14" s="73">
        <f>G14+H14</f>
        <v>20.620392</v>
      </c>
      <c r="J14" s="42" t="inlineStr">
        <is>
          <t>—</t>
        </is>
      </c>
    </row>
    <row r="15">
      <c r="B15" s="35" t="inlineStr">
        <is>
          <t>F80005 N+3.00</t>
        </is>
      </c>
      <c r="C15" s="72" t="n">
        <v>4.69</v>
      </c>
      <c r="D15" s="55">
        <f>IF(TABLEROS!$D$12="HUECO",0,ROUND(TABLEROS!$BM$12*TABLEROS!$BN$12*C15/(TABLEROS!$F$12*TABLEROS!$G$12),0))</f>
        <v>8</v>
      </c>
      <c r="E15" s="34">
        <f>IF(TABLEROS!$D$12="HUECO",0,C15*DATOS!$C$15/100-D15*(DATOS!$C$11/100)^2*(DATOS!$C$12/100))</f>
        <v>0.5965</v>
      </c>
      <c r="F15" s="41">
        <f>IF(TABLEROS!$D$12="HUECO",0,C15)</f>
        <v>4.69</v>
      </c>
      <c r="G15" s="68">
        <f>IF(TABLEROS!$D$12="HUECO",0,(IF(TABLEROS!$M$12="X",TABLEROS!$BN$12,TABLEROS!$BM$12)+1)*(TABLEROS!$AN$12*(TABLEROS!$J$12+2*CUANTIFICACION!$C$8)*INDEX(TABLAS!$E$52:$E$58,MATCH(TABLEROS!$AM$12,TABLAS!$B$52:$B$58,0))+TABLEROS!$AS$12*2*(DATOS!$C$51*TABLEROS!$J$12+CUANTIFICACION!$C$8)*INDEX(TABLAS!$E$52:$E$58,MATCH(TABLEROS!$AR$12,TABLAS!$B$52:$B$58,0))))</f>
        <v>10.518144</v>
      </c>
      <c r="H15" s="68">
        <f>IF(TABLEROS!$D$12="HUECO",0,(IF(TABLEROS!$M$12="X",TABLEROS!$BM$12,TABLEROS!$BN$12)+1)*(TABLEROS!$AX$12*(TABLEROS!$K$12+2*CUANTIFICACION!$C$8)*INDEX(TABLAS!$E$52:$E$58,MATCH(TABLEROS!$AW$12,TABLAS!$B$52:$B$58,0))+TABLEROS!$BC$12*2*(DATOS!$C$51*TABLEROS!$K$12+CUANTIFICACION!$C$8)*INDEX(TABLAS!$E$52:$E$58,MATCH(TABLEROS!$BB$12,TABLAS!$B$52:$B$58,0))))</f>
        <v>9.86076</v>
      </c>
      <c r="I15" s="73">
        <f>G15+H15</f>
        <v>20.378904</v>
      </c>
      <c r="J15" s="42" t="inlineStr">
        <is>
          <t>—</t>
        </is>
      </c>
    </row>
    <row r="16">
      <c r="B16" s="35" t="inlineStr">
        <is>
          <t>F80006 N+3.00</t>
        </is>
      </c>
      <c r="C16" s="72" t="n">
        <v>1.4</v>
      </c>
      <c r="D16" s="55">
        <f>IF(TABLEROS!$D$13="HUECO",0,ROUND(TABLEROS!$BM$13*TABLEROS!$BN$13*C16/(TABLEROS!$F$13*TABLEROS!$G$13),0))</f>
        <v>1</v>
      </c>
      <c r="E16" s="34">
        <f>IF(TABLEROS!$D$13="HUECO",0,C16*DATOS!$C$15/100-D16*(DATOS!$C$11/100)^2*(DATOS!$C$12/100))</f>
        <v>0.278</v>
      </c>
      <c r="F16" s="41">
        <f>IF(TABLEROS!$D$13="HUECO",0,C16)</f>
        <v>1.4</v>
      </c>
      <c r="G16" s="68">
        <f>IF(TABLEROS!$D$13="HUECO",0,(IF(TABLEROS!$M$13="X",TABLEROS!$BN$13,TABLEROS!$BM$13)+1)*(TABLEROS!$AN$13*(TABLEROS!$J$13+2*CUANTIFICACION!$C$8)*INDEX(TABLAS!$E$52:$E$58,MATCH(TABLEROS!$AM$13,TABLAS!$B$52:$B$58,0))+TABLEROS!$AS$13*2*(DATOS!$C$51*TABLEROS!$J$13+CUANTIFICACION!$C$8)*INDEX(TABLAS!$E$52:$E$58,MATCH(TABLEROS!$AR$13,TABLAS!$B$52:$B$58,0))))</f>
        <v>3.1339776</v>
      </c>
      <c r="H16" s="68">
        <f>IF(TABLEROS!$D$13="HUECO",0,(IF(TABLEROS!$M$13="X",TABLEROS!$BM$13,TABLEROS!$BN$13)+1)*(TABLEROS!$AX$13*(TABLEROS!$K$13+2*CUANTIFICACION!$C$8)*INDEX(TABLAS!$E$52:$E$58,MATCH(TABLEROS!$AW$13,TABLAS!$B$52:$B$58,0))+TABLEROS!$BC$13*2*(DATOS!$C$51*TABLEROS!$K$13+CUANTIFICACION!$C$8)*INDEX(TABLAS!$E$52:$E$58,MATCH(TABLEROS!$BB$13,TABLAS!$B$52:$B$58,0))))</f>
        <v>3.8494976</v>
      </c>
      <c r="I16" s="73">
        <f>G16+H16</f>
        <v>6.9834752</v>
      </c>
      <c r="J16" s="42" t="inlineStr">
        <is>
          <t>—</t>
        </is>
      </c>
    </row>
    <row r="17">
      <c r="B17" s="35" t="inlineStr">
        <is>
          <t>F80007 N+3.00</t>
        </is>
      </c>
      <c r="C17" s="72" t="n">
        <v>3.99</v>
      </c>
      <c r="D17" s="55">
        <f>IF(TABLEROS!$D$14="HUECO",0,ROUND(TABLEROS!$BM$14*TABLEROS!$BN$14*C17/(TABLEROS!$F$14*TABLEROS!$G$14),0))</f>
        <v>6</v>
      </c>
      <c r="E17" s="34">
        <f>IF(TABLEROS!$D$14="HUECO",0,C17*DATOS!$C$15/100-D17*(DATOS!$C$11/100)^2*(DATOS!$C$12/100))</f>
        <v>0.5655</v>
      </c>
      <c r="F17" s="41">
        <f>IF(TABLEROS!$D$14="HUECO",0,C17)</f>
        <v>3.99</v>
      </c>
      <c r="G17" s="68">
        <f>IF(TABLEROS!$D$14="HUECO",0,(IF(TABLEROS!$M$14="X",TABLEROS!$BN$14,TABLEROS!$BM$14)+1)*(TABLEROS!$AN$14*(TABLEROS!$J$14+2*CUANTIFICACION!$C$8)*INDEX(TABLAS!$E$52:$E$58,MATCH(TABLEROS!$AM$14,TABLAS!$B$52:$B$58,0))+TABLEROS!$AS$14*2*(DATOS!$C$51*TABLEROS!$J$14+CUANTIFICACION!$C$8)*INDEX(TABLAS!$E$52:$E$58,MATCH(TABLEROS!$AR$14,TABLAS!$B$52:$B$58,0))))</f>
        <v>10.4743184</v>
      </c>
      <c r="H17" s="68">
        <f>IF(TABLEROS!$D$14="HUECO",0,(IF(TABLEROS!$M$14="X",TABLEROS!$BM$14,TABLEROS!$BN$14)+1)*(TABLEROS!$AX$14*(TABLEROS!$K$14+2*CUANTIFICACION!$C$8)*INDEX(TABLAS!$E$52:$E$58,MATCH(TABLEROS!$AW$14,TABLAS!$B$52:$B$58,0))+TABLEROS!$BC$14*2*(DATOS!$C$51*TABLEROS!$K$14+CUANTIFICACION!$C$8)*INDEX(TABLAS!$E$52:$E$58,MATCH(TABLEROS!$BB$14,TABLAS!$B$52:$B$58,0))))</f>
        <v>9.0817376</v>
      </c>
      <c r="I17" s="73">
        <f>G17+H17</f>
        <v>19.556056</v>
      </c>
      <c r="J17" s="42" t="inlineStr">
        <is>
          <t>—</t>
        </is>
      </c>
    </row>
    <row r="18">
      <c r="B18" s="35" t="inlineStr">
        <is>
          <t>F80008 N+3.00</t>
        </is>
      </c>
      <c r="C18" s="72" t="n">
        <v>17.9</v>
      </c>
      <c r="D18" s="55">
        <f>IF(TABLEROS!$D$15="HUECO",0,ROUND(TABLEROS!$BM$15*TABLEROS!$BN$15*C18/(TABLEROS!$F$15*TABLEROS!$G$15),0))</f>
        <v>35</v>
      </c>
      <c r="E18" s="34">
        <f>IF(TABLEROS!$D$15="HUECO",0,C18*DATOS!$C$15/100-D18*(DATOS!$C$11/100)^2*(DATOS!$C$12/100))</f>
        <v>1.955</v>
      </c>
      <c r="F18" s="41">
        <f>IF(TABLEROS!$D$15="HUECO",0,C18)</f>
        <v>17.9</v>
      </c>
      <c r="G18" s="68">
        <f>IF(TABLEROS!$D$15="HUECO",0,(IF(TABLEROS!$M$15="X",TABLEROS!$BN$15,TABLEROS!$BM$15)+1)*(TABLEROS!$AN$15*(TABLEROS!$J$15+2*CUANTIFICACION!$C$8)*INDEX(TABLAS!$E$52:$E$58,MATCH(TABLEROS!$AM$15,TABLAS!$B$52:$B$58,0))+TABLEROS!$AS$15*2*(DATOS!$C$51*TABLEROS!$J$15+CUANTIFICACION!$C$8)*INDEX(TABLAS!$E$52:$E$58,MATCH(TABLEROS!$AR$15,TABLAS!$B$52:$B$58,0))))</f>
        <v>41.737176</v>
      </c>
      <c r="H18" s="68">
        <f>IF(TABLEROS!$D$15="HUECO",0,(IF(TABLEROS!$M$15="X",TABLEROS!$BM$15,TABLEROS!$BN$15)+1)*(TABLEROS!$AX$15*(TABLEROS!$K$15+2*CUANTIFICACION!$C$8)*INDEX(TABLAS!$E$52:$E$58,MATCH(TABLEROS!$AW$15,TABLAS!$B$52:$B$58,0))+TABLEROS!$BC$15*2*(DATOS!$C$51*TABLEROS!$K$15+CUANTIFICACION!$C$8)*INDEX(TABLAS!$E$52:$E$58,MATCH(TABLEROS!$BB$15,TABLAS!$B$52:$B$58,0))))</f>
        <v>26.13884</v>
      </c>
      <c r="I18" s="73">
        <f>G18+H18</f>
        <v>67.876016</v>
      </c>
      <c r="J18" s="42" t="inlineStr">
        <is>
          <t>Rectángulo representativo</t>
        </is>
      </c>
    </row>
    <row r="19">
      <c r="B19" s="35" t="inlineStr">
        <is>
          <t>F80009 N+3.00</t>
        </is>
      </c>
      <c r="C19" s="72" t="n">
        <v>18.84</v>
      </c>
      <c r="D19" s="55">
        <f>IF(TABLEROS!$D$16="HUECO",0,ROUND(TABLEROS!$BM$16*TABLEROS!$BN$16*C19/(TABLEROS!$F$16*TABLEROS!$G$16),0))</f>
        <v>28</v>
      </c>
      <c r="E19" s="34">
        <f>IF(TABLEROS!$D$16="HUECO",0,C19*DATOS!$C$15/100-D19*(DATOS!$C$11/100)^2*(DATOS!$C$12/100))</f>
        <v>2.694</v>
      </c>
      <c r="F19" s="41">
        <f>IF(TABLEROS!$D$16="HUECO",0,C19)</f>
        <v>18.84</v>
      </c>
      <c r="G19" s="68">
        <f>IF(TABLEROS!$D$16="HUECO",0,(IF(TABLEROS!$M$16="X",TABLEROS!$BN$16,TABLEROS!$BM$16)+1)*(TABLEROS!$AN$16*(TABLEROS!$J$16+2*CUANTIFICACION!$C$8)*INDEX(TABLAS!$E$52:$E$58,MATCH(TABLEROS!$AM$16,TABLAS!$B$52:$B$58,0))+TABLEROS!$AS$16*2*(DATOS!$C$51*TABLEROS!$J$16+CUANTIFICACION!$C$8)*INDEX(TABLAS!$E$52:$E$58,MATCH(TABLEROS!$AR$16,TABLAS!$B$52:$B$58,0))))</f>
        <v>29.8944256</v>
      </c>
      <c r="H19" s="68">
        <f>IF(TABLEROS!$D$16="HUECO",0,(IF(TABLEROS!$M$16="X",TABLEROS!$BM$16,TABLEROS!$BN$16)+1)*(TABLEROS!$AX$16*(TABLEROS!$K$16+2*CUANTIFICACION!$C$8)*INDEX(TABLAS!$E$52:$E$58,MATCH(TABLEROS!$AW$16,TABLAS!$B$52:$B$58,0))+TABLEROS!$BC$16*2*(DATOS!$C$51*TABLEROS!$K$16+CUANTIFICACION!$C$8)*INDEX(TABLAS!$E$52:$E$58,MATCH(TABLEROS!$BB$16,TABLAS!$B$52:$B$58,0))))</f>
        <v>27.936584</v>
      </c>
      <c r="I19" s="73">
        <f>G19+H19</f>
        <v>57.8310096</v>
      </c>
      <c r="J19" s="42" t="inlineStr">
        <is>
          <t>—</t>
        </is>
      </c>
    </row>
    <row r="20">
      <c r="B20" s="35" t="inlineStr">
        <is>
          <t>F80010 N+3.00</t>
        </is>
      </c>
      <c r="C20" s="72" t="n">
        <v>6.25</v>
      </c>
      <c r="D20" s="55">
        <f>IF(TABLEROS!$D$17="HUECO",0,ROUND(TABLEROS!$BM$17*TABLEROS!$BN$17*C20/(TABLEROS!$F$17*TABLEROS!$G$17),0))</f>
        <v>8</v>
      </c>
      <c r="E20" s="34">
        <f>IF(TABLEROS!$D$17="HUECO",0,C20*DATOS!$C$15/100-D20*(DATOS!$C$11/100)^2*(DATOS!$C$12/100))</f>
        <v>0.9865</v>
      </c>
      <c r="F20" s="41">
        <f>IF(TABLEROS!$D$17="HUECO",0,C20)</f>
        <v>6.25</v>
      </c>
      <c r="G20" s="68">
        <f>IF(TABLEROS!$D$17="HUECO",0,(IF(TABLEROS!$M$17="X",TABLEROS!$BN$17,TABLEROS!$BM$17)+1)*(TABLEROS!$AN$17*(TABLEROS!$J$17+2*CUANTIFICACION!$C$8)*INDEX(TABLAS!$E$52:$E$58,MATCH(TABLEROS!$AM$17,TABLAS!$B$52:$B$58,0))+TABLEROS!$AS$17*2*(DATOS!$C$51*TABLEROS!$J$17+CUANTIFICACION!$C$8)*INDEX(TABLAS!$E$52:$E$58,MATCH(TABLEROS!$AR$17,TABLAS!$B$52:$B$58,0))))</f>
        <v>11.5154</v>
      </c>
      <c r="H20" s="68">
        <f>IF(TABLEROS!$D$17="HUECO",0,(IF(TABLEROS!$M$17="X",TABLEROS!$BM$17,TABLEROS!$BN$17)+1)*(TABLEROS!$AX$17*(TABLEROS!$K$17+2*CUANTIFICACION!$C$8)*INDEX(TABLAS!$E$52:$E$58,MATCH(TABLEROS!$AW$17,TABLAS!$B$52:$B$58,0))+TABLEROS!$BC$17*2*(DATOS!$C$51*TABLEROS!$K$17+CUANTIFICACION!$C$8)*INDEX(TABLAS!$E$52:$E$58,MATCH(TABLEROS!$BB$17,TABLAS!$B$52:$B$58,0))))</f>
        <v>11.2077264</v>
      </c>
      <c r="I20" s="73">
        <f>G20+H20</f>
        <v>22.7231264</v>
      </c>
      <c r="J20" s="42" t="inlineStr">
        <is>
          <t>—</t>
        </is>
      </c>
    </row>
    <row r="21">
      <c r="B21" s="35" t="inlineStr">
        <is>
          <t>F80011 N+3.00</t>
        </is>
      </c>
      <c r="C21" s="72" t="n">
        <v>1.37</v>
      </c>
      <c r="D21" s="55">
        <f>IF(TABLEROS!$D$18="HUECO",0,ROUND(TABLEROS!$BM$18*TABLEROS!$BN$18*C21/(TABLEROS!$F$18*TABLEROS!$G$18),0))</f>
        <v>0</v>
      </c>
      <c r="E21" s="34">
        <f>IF(TABLEROS!$D$18="HUECO",0,C21*DATOS!$C$15/100-D21*(DATOS!$C$11/100)^2*(DATOS!$C$12/100))</f>
        <v>0.3425</v>
      </c>
      <c r="F21" s="41">
        <f>IF(TABLEROS!$D$18="HUECO",0,C21)</f>
        <v>1.37</v>
      </c>
      <c r="G21" s="68">
        <f>IF(TABLEROS!$D$18="HUECO",0,(IF(TABLEROS!$M$18="X",TABLEROS!$BN$18,TABLEROS!$BM$18)+1)*(TABLEROS!$AN$18*(TABLEROS!$J$18+2*CUANTIFICACION!$C$8)*INDEX(TABLAS!$E$52:$E$58,MATCH(TABLEROS!$AM$18,TABLAS!$B$52:$B$58,0))+TABLEROS!$AS$18*2*(DATOS!$C$51*TABLEROS!$J$18+CUANTIFICACION!$C$8)*INDEX(TABLAS!$E$52:$E$58,MATCH(TABLEROS!$AR$18,TABLAS!$B$52:$B$58,0))))</f>
        <v>5.138328</v>
      </c>
      <c r="H21" s="68">
        <f>IF(TABLEROS!$D$18="HUECO",0,(IF(TABLEROS!$M$18="X",TABLEROS!$BM$18,TABLEROS!$BN$18)+1)*(TABLEROS!$AX$18*(TABLEROS!$K$18+2*CUANTIFICACION!$C$8)*INDEX(TABLAS!$E$52:$E$58,MATCH(TABLEROS!$AW$18,TABLAS!$B$52:$B$58,0))+TABLEROS!$BC$18*2*(DATOS!$C$51*TABLEROS!$K$18+CUANTIFICACION!$C$8)*INDEX(TABLAS!$E$52:$E$58,MATCH(TABLEROS!$BB$18,TABLAS!$B$52:$B$58,0))))</f>
        <v>3.7368032</v>
      </c>
      <c r="I21" s="73">
        <f>G21+H21</f>
        <v>8.8751312</v>
      </c>
      <c r="J21" s="42" t="inlineStr">
        <is>
          <t>—</t>
        </is>
      </c>
    </row>
    <row r="22">
      <c r="B22" s="35" t="inlineStr">
        <is>
          <t>F80012 N+3.00</t>
        </is>
      </c>
      <c r="C22" s="72" t="n">
        <v>6.85</v>
      </c>
      <c r="D22" s="55">
        <f>IF(TABLEROS!$D$19="HUECO",0,ROUND(TABLEROS!$BM$19*TABLEROS!$BN$19*C22/(TABLEROS!$F$19*TABLEROS!$G$19),0))</f>
        <v>8</v>
      </c>
      <c r="E22" s="34">
        <f>IF(TABLEROS!$D$19="HUECO",0,C22*DATOS!$C$15/100-D22*(DATOS!$C$11/100)^2*(DATOS!$C$12/100))</f>
        <v>1.1365</v>
      </c>
      <c r="F22" s="41">
        <f>IF(TABLEROS!$D$19="HUECO",0,C22)</f>
        <v>6.85</v>
      </c>
      <c r="G22" s="68">
        <f>IF(TABLEROS!$D$19="HUECO",0,(IF(TABLEROS!$M$19="X",TABLEROS!$BN$19,TABLEROS!$BM$19)+1)*(TABLEROS!$AN$19*(TABLEROS!$J$19+2*CUANTIFICACION!$C$8)*INDEX(TABLAS!$E$52:$E$58,MATCH(TABLEROS!$AM$19,TABLAS!$B$52:$B$58,0))+TABLEROS!$AS$19*2*(DATOS!$C$51*TABLEROS!$J$19+CUANTIFICACION!$C$8)*INDEX(TABLAS!$E$52:$E$58,MATCH(TABLEROS!$AR$19,TABLAS!$B$52:$B$58,0))))</f>
        <v>27.382</v>
      </c>
      <c r="H22" s="68">
        <f>IF(TABLEROS!$D$19="HUECO",0,(IF(TABLEROS!$M$19="X",TABLEROS!$BM$19,TABLEROS!$BN$19)+1)*(TABLEROS!$AX$19*(TABLEROS!$K$19+2*CUANTIFICACION!$C$8)*INDEX(TABLAS!$E$52:$E$58,MATCH(TABLEROS!$AW$19,TABLAS!$B$52:$B$58,0))+TABLEROS!$BC$19*2*(DATOS!$C$51*TABLEROS!$K$19+CUANTIFICACION!$C$8)*INDEX(TABLAS!$E$52:$E$58,MATCH(TABLEROS!$BB$19,TABLAS!$B$52:$B$58,0))))</f>
        <v>11.20236</v>
      </c>
      <c r="I22" s="73">
        <f>G22+H22</f>
        <v>38.58436</v>
      </c>
      <c r="J22" s="42" t="inlineStr">
        <is>
          <t>—</t>
        </is>
      </c>
    </row>
    <row r="23">
      <c r="B23" s="35" t="inlineStr">
        <is>
          <t>F80013 N+3.00</t>
        </is>
      </c>
      <c r="C23" s="72" t="n">
        <v>1.63</v>
      </c>
      <c r="D23" s="55">
        <f>IF(TABLEROS!$D$20="HUECO",0,ROUND(TABLEROS!$BM$20*TABLEROS!$BN$20*C23/(TABLEROS!$F$20*TABLEROS!$G$20),0))</f>
        <v>2</v>
      </c>
      <c r="E23" s="34">
        <f>IF(TABLEROS!$D$20="HUECO",0,C23*DATOS!$C$15/100-D23*(DATOS!$C$11/100)^2*(DATOS!$C$12/100))</f>
        <v>0.2635</v>
      </c>
      <c r="F23" s="41">
        <f>IF(TABLEROS!$D$20="HUECO",0,C23)</f>
        <v>1.63</v>
      </c>
      <c r="G23" s="68">
        <f>IF(TABLEROS!$D$20="HUECO",0,(IF(TABLEROS!$M$20="X",TABLEROS!$BN$20,TABLEROS!$BM$20)+1)*(TABLEROS!$AN$20*(TABLEROS!$J$20+2*CUANTIFICACION!$C$8)*INDEX(TABLAS!$E$52:$E$58,MATCH(TABLEROS!$AM$20,TABLAS!$B$52:$B$58,0))+TABLEROS!$AS$20*2*(DATOS!$C$51*TABLEROS!$J$20+CUANTIFICACION!$C$8)*INDEX(TABLAS!$E$52:$E$58,MATCH(TABLEROS!$AR$20,TABLAS!$B$52:$B$58,0))))</f>
        <v>4.4192304</v>
      </c>
      <c r="H23" s="68">
        <f>IF(TABLEROS!$D$20="HUECO",0,(IF(TABLEROS!$M$20="X",TABLEROS!$BM$20,TABLEROS!$BN$20)+1)*(TABLEROS!$AX$20*(TABLEROS!$K$20+2*CUANTIFICACION!$C$8)*INDEX(TABLAS!$E$52:$E$58,MATCH(TABLEROS!$AW$20,TABLAS!$B$52:$B$58,0))+TABLEROS!$BC$20*2*(DATOS!$C$51*TABLEROS!$K$20+CUANTIFICACION!$C$8)*INDEX(TABLAS!$E$52:$E$58,MATCH(TABLEROS!$BB$20,TABLAS!$B$52:$B$58,0))))</f>
        <v>4.9174112</v>
      </c>
      <c r="I23" s="73">
        <f>G23+H23</f>
        <v>9.3366416</v>
      </c>
      <c r="J23" s="42" t="inlineStr">
        <is>
          <t>Rectángulo representativo</t>
        </is>
      </c>
    </row>
    <row r="24">
      <c r="B24" s="35" t="inlineStr">
        <is>
          <t>F80014 N+3.00</t>
        </is>
      </c>
      <c r="C24" s="72" t="n">
        <v>4.85</v>
      </c>
      <c r="D24" s="55">
        <f>IF(TABLEROS!$D$21="HUECO",0,ROUND(TABLEROS!$BM$21*TABLEROS!$BN$21*C24/(TABLEROS!$F$21*TABLEROS!$G$21),0))</f>
        <v>8</v>
      </c>
      <c r="E24" s="34">
        <f>IF(TABLEROS!$D$21="HUECO",0,C24*DATOS!$C$15/100-D24*(DATOS!$C$11/100)^2*(DATOS!$C$12/100))</f>
        <v>0.6365</v>
      </c>
      <c r="F24" s="41">
        <f>IF(TABLEROS!$D$21="HUECO",0,C24)</f>
        <v>4.85</v>
      </c>
      <c r="G24" s="68">
        <f>IF(TABLEROS!$D$21="HUECO",0,(IF(TABLEROS!$M$21="X",TABLEROS!$BN$21,TABLEROS!$BM$21)+1)*(TABLEROS!$AN$21*(TABLEROS!$J$21+2*CUANTIFICACION!$C$8)*INDEX(TABLAS!$E$52:$E$58,MATCH(TABLEROS!$AM$21,TABLAS!$B$52:$B$58,0))+TABLEROS!$AS$21*2*(DATOS!$C$51*TABLEROS!$J$21+CUANTIFICACION!$C$8)*INDEX(TABLAS!$E$52:$E$58,MATCH(TABLEROS!$AR$21,TABLAS!$B$52:$B$58,0))))</f>
        <v>10.5092</v>
      </c>
      <c r="H24" s="68">
        <f>IF(TABLEROS!$D$21="HUECO",0,(IF(TABLEROS!$M$21="X",TABLEROS!$BM$21,TABLEROS!$BN$21)+1)*(TABLEROS!$AX$21*(TABLEROS!$K$21+2*CUANTIFICACION!$C$8)*INDEX(TABLAS!$E$52:$E$58,MATCH(TABLEROS!$AW$21,TABLAS!$B$52:$B$58,0))+TABLEROS!$BC$21*2*(DATOS!$C$51*TABLEROS!$K$21+CUANTIFICACION!$C$8)*INDEX(TABLAS!$E$52:$E$58,MATCH(TABLEROS!$BB$21,TABLAS!$B$52:$B$58,0))))</f>
        <v>10.1398128</v>
      </c>
      <c r="I24" s="73">
        <f>G24+H24</f>
        <v>20.6490128</v>
      </c>
      <c r="J24" s="42" t="inlineStr">
        <is>
          <t>—</t>
        </is>
      </c>
    </row>
    <row r="25">
      <c r="B25" s="35" t="inlineStr">
        <is>
          <t>F80015 N+3.00</t>
        </is>
      </c>
      <c r="C25" s="72" t="n">
        <v>4.84</v>
      </c>
      <c r="D25" s="55">
        <f>IF(TABLEROS!$D$22="HUECO",0,ROUND(TABLEROS!$BM$22*TABLEROS!$BN$22*C25/(TABLEROS!$F$22*TABLEROS!$G$22),0))</f>
        <v>8</v>
      </c>
      <c r="E25" s="34">
        <f>IF(TABLEROS!$D$22="HUECO",0,C25*DATOS!$C$15/100-D25*(DATOS!$C$11/100)^2*(DATOS!$C$12/100))</f>
        <v>0.634</v>
      </c>
      <c r="F25" s="41">
        <f>IF(TABLEROS!$D$22="HUECO",0,C25)</f>
        <v>4.84</v>
      </c>
      <c r="G25" s="68">
        <f>IF(TABLEROS!$D$22="HUECO",0,(IF(TABLEROS!$M$22="X",TABLEROS!$BN$22,TABLEROS!$BM$22)+1)*(TABLEROS!$AN$22*(TABLEROS!$J$22+2*CUANTIFICACION!$C$8)*INDEX(TABLAS!$E$52:$E$58,MATCH(TABLEROS!$AM$22,TABLAS!$B$52:$B$58,0))+TABLEROS!$AS$22*2*(DATOS!$C$51*TABLEROS!$J$22+CUANTIFICACION!$C$8)*INDEX(TABLAS!$E$52:$E$58,MATCH(TABLEROS!$AR$22,TABLAS!$B$52:$B$58,0))))</f>
        <v>10.5092</v>
      </c>
      <c r="H25" s="68">
        <f>IF(TABLEROS!$D$22="HUECO",0,(IF(TABLEROS!$M$22="X",TABLEROS!$BM$22,TABLEROS!$BN$22)+1)*(TABLEROS!$AX$22*(TABLEROS!$K$22+2*CUANTIFICACION!$C$8)*INDEX(TABLAS!$E$52:$E$58,MATCH(TABLEROS!$AW$22,TABLAS!$B$52:$B$58,0))+TABLEROS!$BC$22*2*(DATOS!$C$51*TABLEROS!$K$22+CUANTIFICACION!$C$8)*INDEX(TABLAS!$E$52:$E$58,MATCH(TABLEROS!$BB$22,TABLAS!$B$52:$B$58,0))))</f>
        <v>10.1371296</v>
      </c>
      <c r="I25" s="73">
        <f>G25+H25</f>
        <v>20.6463296</v>
      </c>
      <c r="J25" s="42" t="inlineStr">
        <is>
          <t>—</t>
        </is>
      </c>
    </row>
    <row r="26">
      <c r="B26" s="35" t="inlineStr">
        <is>
          <t>F80016 N+3.00</t>
        </is>
      </c>
      <c r="C26" s="72" t="n">
        <v>17.7</v>
      </c>
      <c r="D26" s="55">
        <f>IF(TABLEROS!$D$23="HUECO",0,ROUND(TABLEROS!$BM$23*TABLEROS!$BN$23*C26/(TABLEROS!$F$23*TABLEROS!$G$23),0))</f>
        <v>30</v>
      </c>
      <c r="E26" s="34">
        <f>IF(TABLEROS!$D$23="HUECO",0,C26*DATOS!$C$15/100-D26*(DATOS!$C$11/100)^2*(DATOS!$C$12/100))</f>
        <v>2.265</v>
      </c>
      <c r="F26" s="41">
        <f>IF(TABLEROS!$D$23="HUECO",0,C26)</f>
        <v>17.7</v>
      </c>
      <c r="G26" s="68">
        <f>IF(TABLEROS!$D$23="HUECO",0,(IF(TABLEROS!$M$23="X",TABLEROS!$BN$23,TABLEROS!$BM$23)+1)*(TABLEROS!$AN$23*(TABLEROS!$J$23+2*CUANTIFICACION!$C$8)*INDEX(TABLAS!$E$52:$E$58,MATCH(TABLEROS!$AM$23,TABLAS!$B$52:$B$58,0))+TABLEROS!$AS$23*2*(DATOS!$C$51*TABLEROS!$J$23+CUANTIFICACION!$C$8)*INDEX(TABLAS!$E$52:$E$58,MATCH(TABLEROS!$AR$23,TABLAS!$B$52:$B$58,0))))</f>
        <v>29.7388</v>
      </c>
      <c r="H26" s="68">
        <f>IF(TABLEROS!$D$23="HUECO",0,(IF(TABLEROS!$M$23="X",TABLEROS!$BM$23,TABLEROS!$BN$23)+1)*(TABLEROS!$AX$23*(TABLEROS!$K$23+2*CUANTIFICACION!$C$8)*INDEX(TABLAS!$E$52:$E$58,MATCH(TABLEROS!$AW$23,TABLAS!$B$52:$B$58,0))+TABLEROS!$BC$23*2*(DATOS!$C$51*TABLEROS!$K$23+CUANTIFICACION!$C$8)*INDEX(TABLAS!$E$52:$E$58,MATCH(TABLEROS!$BB$23,TABLAS!$B$52:$B$58,0))))</f>
        <v>27.7764864</v>
      </c>
      <c r="I26" s="73">
        <f>G26+H26</f>
        <v>57.5152864</v>
      </c>
      <c r="J26" s="42" t="inlineStr">
        <is>
          <t>—</t>
        </is>
      </c>
    </row>
    <row r="27">
      <c r="B27" s="35" t="inlineStr">
        <is>
          <t>F80017 N+3.00</t>
        </is>
      </c>
      <c r="C27" s="72" t="n">
        <v>2</v>
      </c>
      <c r="D27" s="55">
        <f>IF(TABLEROS!$D$24="HUECO",0,ROUND(TABLEROS!$BM$24*TABLEROS!$BN$24*C27/(TABLEROS!$F$24*TABLEROS!$G$24),0))</f>
        <v>0</v>
      </c>
      <c r="E27" s="34">
        <f>IF(TABLEROS!$D$24="HUECO",0,C27*DATOS!$C$15/100-D27*(DATOS!$C$11/100)^2*(DATOS!$C$12/100))</f>
        <v>0.5</v>
      </c>
      <c r="F27" s="41">
        <f>IF(TABLEROS!$D$24="HUECO",0,C27)</f>
        <v>2</v>
      </c>
      <c r="G27" s="68">
        <f>IF(TABLEROS!$D$24="HUECO",0,(IF(TABLEROS!$M$24="X",TABLEROS!$BN$24,TABLEROS!$BM$24)+1)*(TABLEROS!$AN$24*(TABLEROS!$J$24+2*CUANTIFICACION!$C$8)*INDEX(TABLAS!$E$52:$E$58,MATCH(TABLEROS!$AM$24,TABLAS!$B$52:$B$58,0))+TABLEROS!$AS$24*2*(DATOS!$C$51*TABLEROS!$J$24+CUANTIFICACION!$C$8)*INDEX(TABLAS!$E$52:$E$58,MATCH(TABLEROS!$AR$24,TABLAS!$B$52:$B$58,0))))</f>
        <v>6.7026336</v>
      </c>
      <c r="H27" s="68">
        <f>IF(TABLEROS!$D$24="HUECO",0,(IF(TABLEROS!$M$24="X",TABLEROS!$BM$24,TABLEROS!$BN$24)+1)*(TABLEROS!$AX$24*(TABLEROS!$K$24+2*CUANTIFICACION!$C$8)*INDEX(TABLAS!$E$52:$E$58,MATCH(TABLEROS!$AW$24,TABLAS!$B$52:$B$58,0))+TABLEROS!$BC$24*2*(DATOS!$C$51*TABLEROS!$K$24+CUANTIFICACION!$C$8)*INDEX(TABLAS!$E$52:$E$58,MATCH(TABLEROS!$BB$24,TABLAS!$B$52:$B$58,0))))</f>
        <v>4.2484</v>
      </c>
      <c r="I27" s="73">
        <f>G27+H27</f>
        <v>10.9510336</v>
      </c>
      <c r="J27" s="42" t="inlineStr">
        <is>
          <t>—</t>
        </is>
      </c>
    </row>
    <row r="28">
      <c r="B28" s="35" t="inlineStr">
        <is>
          <t>F80018 N+3.00</t>
        </is>
      </c>
      <c r="C28" s="72" t="n">
        <v>15.7</v>
      </c>
      <c r="D28" s="55">
        <f>IF(TABLEROS!$D$25="HUECO",0,ROUND(TABLEROS!$BM$25*TABLEROS!$BN$25*C28/(TABLEROS!$F$25*TABLEROS!$G$25),0))</f>
        <v>25</v>
      </c>
      <c r="E28" s="34">
        <f>IF(TABLEROS!$D$25="HUECO",0,C28*DATOS!$C$15/100-D28*(DATOS!$C$11/100)^2*(DATOS!$C$12/100))</f>
        <v>2.125</v>
      </c>
      <c r="F28" s="41">
        <f>IF(TABLEROS!$D$25="HUECO",0,C28)</f>
        <v>15.7</v>
      </c>
      <c r="G28" s="68">
        <f>IF(TABLEROS!$D$25="HUECO",0,(IF(TABLEROS!$M$25="X",TABLEROS!$BN$25,TABLEROS!$BM$25)+1)*(TABLEROS!$AN$25*(TABLEROS!$J$25+2*CUANTIFICACION!$C$8)*INDEX(TABLAS!$E$52:$E$58,MATCH(TABLEROS!$AM$25,TABLAS!$B$52:$B$58,0))+TABLEROS!$AS$25*2*(DATOS!$C$51*TABLEROS!$J$25+CUANTIFICACION!$C$8)*INDEX(TABLAS!$E$52:$E$58,MATCH(TABLEROS!$AR$25,TABLAS!$B$52:$B$58,0))))</f>
        <v>25.08792</v>
      </c>
      <c r="H28" s="68">
        <f>IF(TABLEROS!$D$25="HUECO",0,(IF(TABLEROS!$M$25="X",TABLEROS!$BM$25,TABLEROS!$BN$25)+1)*(TABLEROS!$AX$25*(TABLEROS!$K$25+2*CUANTIFICACION!$C$8)*INDEX(TABLAS!$E$52:$E$58,MATCH(TABLEROS!$AW$25,TABLAS!$B$52:$B$58,0))+TABLEROS!$BC$25*2*(DATOS!$C$51*TABLEROS!$K$25+CUANTIFICACION!$C$8)*INDEX(TABLAS!$E$52:$E$58,MATCH(TABLEROS!$BB$25,TABLAS!$B$52:$B$58,0))))</f>
        <v>25.4904</v>
      </c>
      <c r="I28" s="73">
        <f>G28+H28</f>
        <v>50.57832</v>
      </c>
      <c r="J28" s="42" t="inlineStr">
        <is>
          <t>—</t>
        </is>
      </c>
    </row>
    <row r="29">
      <c r="B29" s="35" t="inlineStr">
        <is>
          <t>F80019 N+3.00</t>
        </is>
      </c>
      <c r="C29" s="72" t="n">
        <v>14.5</v>
      </c>
      <c r="D29" s="55">
        <f>IF(TABLEROS!$D$26="HUECO",0,ROUND(TABLEROS!$BM$26*TABLEROS!$BN$26*C29/(TABLEROS!$F$26*TABLEROS!$G$26),0))</f>
        <v>20</v>
      </c>
      <c r="E29" s="34">
        <f>IF(TABLEROS!$D$26="HUECO",0,C29*DATOS!$C$15/100-D29*(DATOS!$C$11/100)^2*(DATOS!$C$12/100))</f>
        <v>2.185</v>
      </c>
      <c r="F29" s="41">
        <f>IF(TABLEROS!$D$26="HUECO",0,C29)</f>
        <v>14.5</v>
      </c>
      <c r="G29" s="68">
        <f>IF(TABLEROS!$D$26="HUECO",0,(IF(TABLEROS!$M$26="X",TABLEROS!$BN$26,TABLEROS!$BM$26)+1)*(TABLEROS!$AN$26*(TABLEROS!$J$26+2*CUANTIFICACION!$C$8)*INDEX(TABLAS!$E$52:$E$58,MATCH(TABLEROS!$AM$26,TABLAS!$B$52:$B$58,0))+TABLEROS!$AS$26*2*(DATOS!$C$51*TABLEROS!$J$26+CUANTIFICACION!$C$8)*INDEX(TABLAS!$E$52:$E$58,MATCH(TABLEROS!$AR$26,TABLAS!$B$52:$B$58,0))))</f>
        <v>60.2404</v>
      </c>
      <c r="H29" s="68">
        <f>IF(TABLEROS!$D$26="HUECO",0,(IF(TABLEROS!$M$26="X",TABLEROS!$BM$26,TABLEROS!$BN$26)+1)*(TABLEROS!$AX$26*(TABLEROS!$K$26+2*CUANTIFICACION!$C$8)*INDEX(TABLAS!$E$52:$E$58,MATCH(TABLEROS!$AW$26,TABLAS!$B$52:$B$58,0))+TABLEROS!$BC$26*2*(DATOS!$C$51*TABLEROS!$K$26+CUANTIFICACION!$C$8)*INDEX(TABLAS!$E$52:$E$58,MATCH(TABLEROS!$BB$26,TABLAS!$B$52:$B$58,0))))</f>
        <v>21.4656</v>
      </c>
      <c r="I29" s="73">
        <f>G29+H29</f>
        <v>81.706</v>
      </c>
      <c r="J29" s="42" t="inlineStr">
        <is>
          <t>—</t>
        </is>
      </c>
    </row>
    <row r="30">
      <c r="B30" s="35" t="inlineStr">
        <is>
          <t>F80020 N+3.00</t>
        </is>
      </c>
      <c r="C30" s="72" t="n">
        <v>4.68</v>
      </c>
      <c r="D30" s="55">
        <f>IF(TABLEROS!$D$27="HUECO",0,ROUND(TABLEROS!$BM$27*TABLEROS!$BN$27*C30/(TABLEROS!$F$27*TABLEROS!$G$27),0))</f>
        <v>8</v>
      </c>
      <c r="E30" s="34">
        <f>IF(TABLEROS!$D$27="HUECO",0,C30*DATOS!$C$15/100-D30*(DATOS!$C$11/100)^2*(DATOS!$C$12/100))</f>
        <v>0.594</v>
      </c>
      <c r="F30" s="41">
        <f>IF(TABLEROS!$D$27="HUECO",0,C30)</f>
        <v>4.68</v>
      </c>
      <c r="G30" s="68">
        <f>IF(TABLEROS!$D$27="HUECO",0,(IF(TABLEROS!$M$27="X",TABLEROS!$BN$27,TABLEROS!$BM$27)+1)*(TABLEROS!$AN$27*(TABLEROS!$J$27+2*CUANTIFICACION!$C$8)*INDEX(TABLAS!$E$52:$E$58,MATCH(TABLEROS!$AM$27,TABLAS!$B$52:$B$58,0))+TABLEROS!$AS$27*2*(DATOS!$C$51*TABLEROS!$J$27+CUANTIFICACION!$C$8)*INDEX(TABLAS!$E$52:$E$58,MATCH(TABLEROS!$AR$27,TABLAS!$B$52:$B$58,0))))</f>
        <v>10.5092</v>
      </c>
      <c r="H30" s="68">
        <f>IF(TABLEROS!$D$27="HUECO",0,(IF(TABLEROS!$M$27="X",TABLEROS!$BM$27,TABLEROS!$BN$27)+1)*(TABLEROS!$AX$27*(TABLEROS!$K$27+2*CUANTIFICACION!$C$8)*INDEX(TABLAS!$E$52:$E$58,MATCH(TABLEROS!$AW$27,TABLAS!$B$52:$B$58,0))+TABLEROS!$BC$27*2*(DATOS!$C$51*TABLEROS!$K$27+CUANTIFICACION!$C$8)*INDEX(TABLAS!$E$52:$E$58,MATCH(TABLEROS!$BB$27,TABLAS!$B$52:$B$58,0))))</f>
        <v>9.86076</v>
      </c>
      <c r="I30" s="73">
        <f>G30+H30</f>
        <v>20.36996</v>
      </c>
      <c r="J30" s="42" t="inlineStr">
        <is>
          <t>—</t>
        </is>
      </c>
    </row>
    <row r="31">
      <c r="B31" s="35" t="inlineStr">
        <is>
          <t>F80021 N+3.00</t>
        </is>
      </c>
      <c r="C31" s="72" t="n">
        <v>4.68</v>
      </c>
      <c r="D31" s="55">
        <f>IF(TABLEROS!$D$28="HUECO",0,ROUND(TABLEROS!$BM$28*TABLEROS!$BN$28*C31/(TABLEROS!$F$28*TABLEROS!$G$28),0))</f>
        <v>8</v>
      </c>
      <c r="E31" s="34">
        <f>IF(TABLEROS!$D$28="HUECO",0,C31*DATOS!$C$15/100-D31*(DATOS!$C$11/100)^2*(DATOS!$C$12/100))</f>
        <v>0.594</v>
      </c>
      <c r="F31" s="41">
        <f>IF(TABLEROS!$D$28="HUECO",0,C31)</f>
        <v>4.68</v>
      </c>
      <c r="G31" s="68">
        <f>IF(TABLEROS!$D$28="HUECO",0,(IF(TABLEROS!$M$28="X",TABLEROS!$BN$28,TABLEROS!$BM$28)+1)*(TABLEROS!$AN$28*(TABLEROS!$J$28+2*CUANTIFICACION!$C$8)*INDEX(TABLAS!$E$52:$E$58,MATCH(TABLEROS!$AM$28,TABLAS!$B$52:$B$58,0))+TABLEROS!$AS$28*2*(DATOS!$C$51*TABLEROS!$J$28+CUANTIFICACION!$C$8)*INDEX(TABLAS!$E$52:$E$58,MATCH(TABLEROS!$AR$28,TABLAS!$B$52:$B$58,0))))</f>
        <v>10.5092</v>
      </c>
      <c r="H31" s="68">
        <f>IF(TABLEROS!$D$28="HUECO",0,(IF(TABLEROS!$M$28="X",TABLEROS!$BM$28,TABLEROS!$BN$28)+1)*(TABLEROS!$AX$28*(TABLEROS!$K$28+2*CUANTIFICACION!$C$8)*INDEX(TABLAS!$E$52:$E$58,MATCH(TABLEROS!$AW$28,TABLAS!$B$52:$B$58,0))+TABLEROS!$BC$28*2*(DATOS!$C$51*TABLEROS!$K$28+CUANTIFICACION!$C$8)*INDEX(TABLAS!$E$52:$E$58,MATCH(TABLEROS!$BB$28,TABLAS!$B$52:$B$58,0))))</f>
        <v>9.86076</v>
      </c>
      <c r="I31" s="73">
        <f>G31+H31</f>
        <v>20.36996</v>
      </c>
      <c r="J31" s="42" t="inlineStr">
        <is>
          <t>—</t>
        </is>
      </c>
    </row>
    <row r="32">
      <c r="B32" s="35" t="inlineStr">
        <is>
          <t>F2 N+6.00</t>
        </is>
      </c>
      <c r="C32" s="72" t="n">
        <v>4.34</v>
      </c>
      <c r="D32" s="55">
        <f>IF(TABLEROS!$D$29="HUECO",0,ROUND(TABLEROS!$BM$29*TABLEROS!$BN$29*C32/(TABLEROS!$F$29*TABLEROS!$G$29),0))</f>
        <v>6</v>
      </c>
      <c r="E32" s="34">
        <f>IF(TABLEROS!$D$29="HUECO",0,C32*DATOS!$C$15/100-D32*(DATOS!$C$11/100)^2*(DATOS!$C$12/100))</f>
        <v>0.653</v>
      </c>
      <c r="F32" s="41">
        <f>IF(TABLEROS!$D$29="HUECO",0,C32)</f>
        <v>4.34</v>
      </c>
      <c r="G32" s="68">
        <f>IF(TABLEROS!$D$29="HUECO",0,(IF(TABLEROS!$M$29="X",TABLEROS!$BN$29,TABLEROS!$BM$29)+1)*(TABLEROS!$AN$29*(TABLEROS!$J$29+2*CUANTIFICACION!$C$8)*INDEX(TABLAS!$E$52:$E$58,MATCH(TABLEROS!$AM$29,TABLAS!$B$52:$B$58,0))+TABLEROS!$AS$29*2*(DATOS!$C$51*TABLEROS!$J$29+CUANTIFICACION!$C$8)*INDEX(TABLAS!$E$52:$E$58,MATCH(TABLEROS!$AR$29,TABLAS!$B$52:$B$58,0))))</f>
        <v>10.9689216</v>
      </c>
      <c r="H32" s="68">
        <f>IF(TABLEROS!$D$29="HUECO",0,(IF(TABLEROS!$M$29="X",TABLEROS!$BM$29,TABLEROS!$BN$29)+1)*(TABLEROS!$AX$29*(TABLEROS!$K$29+2*CUANTIFICACION!$C$8)*INDEX(TABLAS!$E$52:$E$58,MATCH(TABLEROS!$AW$29,TABLAS!$B$52:$B$58,0))+TABLEROS!$BC$29*2*(DATOS!$C$51*TABLEROS!$K$29+CUANTIFICACION!$C$8)*INDEX(TABLAS!$E$52:$E$58,MATCH(TABLEROS!$BB$29,TABLAS!$B$52:$B$58,0))))</f>
        <v>9.0817376</v>
      </c>
      <c r="I32" s="73">
        <f>G32+H32</f>
        <v>20.0506592</v>
      </c>
      <c r="J32" s="42" t="inlineStr">
        <is>
          <t>—</t>
        </is>
      </c>
    </row>
    <row r="33">
      <c r="B33" s="35" t="inlineStr">
        <is>
          <t>F80010 N+6.00</t>
        </is>
      </c>
      <c r="C33" s="72" t="n">
        <v>6.25</v>
      </c>
      <c r="D33" s="55">
        <f>IF(TABLEROS!$D$30="HUECO",0,ROUND(TABLEROS!$BM$30*TABLEROS!$BN$30*C33/(TABLEROS!$F$30*TABLEROS!$G$30),0))</f>
        <v>8</v>
      </c>
      <c r="E33" s="34">
        <f>IF(TABLEROS!$D$30="HUECO",0,C33*DATOS!$C$15/100-D33*(DATOS!$C$11/100)^2*(DATOS!$C$12/100))</f>
        <v>0.9865</v>
      </c>
      <c r="F33" s="41">
        <f>IF(TABLEROS!$D$30="HUECO",0,C33)</f>
        <v>6.25</v>
      </c>
      <c r="G33" s="68">
        <f>IF(TABLEROS!$D$30="HUECO",0,(IF(TABLEROS!$M$30="X",TABLEROS!$BN$30,TABLEROS!$BM$30)+1)*(TABLEROS!$AN$30*(TABLEROS!$J$30+2*CUANTIFICACION!$C$8)*INDEX(TABLAS!$E$52:$E$58,MATCH(TABLEROS!$AM$30,TABLAS!$B$52:$B$58,0))+TABLEROS!$AS$30*2*(DATOS!$C$51*TABLEROS!$J$30+CUANTIFICACION!$C$8)*INDEX(TABLAS!$E$52:$E$58,MATCH(TABLEROS!$AR$30,TABLAS!$B$52:$B$58,0))))</f>
        <v>11.5154</v>
      </c>
      <c r="H33" s="68">
        <f>IF(TABLEROS!$D$30="HUECO",0,(IF(TABLEROS!$M$30="X",TABLEROS!$BM$30,TABLEROS!$BN$30)+1)*(TABLEROS!$AX$30*(TABLEROS!$K$30+2*CUANTIFICACION!$C$8)*INDEX(TABLAS!$E$52:$E$58,MATCH(TABLEROS!$AW$30,TABLAS!$B$52:$B$58,0))+TABLEROS!$BC$30*2*(DATOS!$C$51*TABLEROS!$K$30+CUANTIFICACION!$C$8)*INDEX(TABLAS!$E$52:$E$58,MATCH(TABLEROS!$BB$30,TABLAS!$B$52:$B$58,0))))</f>
        <v>11.2077264</v>
      </c>
      <c r="I33" s="73">
        <f>G33+H33</f>
        <v>22.7231264</v>
      </c>
      <c r="J33" s="42" t="inlineStr">
        <is>
          <t>—</t>
        </is>
      </c>
    </row>
    <row r="34">
      <c r="B34" s="35" t="inlineStr">
        <is>
          <t>F80023 N+6.00</t>
        </is>
      </c>
      <c r="C34" s="72" t="n">
        <v>4.83</v>
      </c>
      <c r="D34" s="55">
        <f>IF(TABLEROS!$D$31="HUECO",0,ROUND(TABLEROS!$BM$31*TABLEROS!$BN$31*C34/(TABLEROS!$F$31*TABLEROS!$G$31),0))</f>
        <v>8</v>
      </c>
      <c r="E34" s="34">
        <f>IF(TABLEROS!$D$31="HUECO",0,C34*DATOS!$C$15/100-D34*(DATOS!$C$11/100)^2*(DATOS!$C$12/100))</f>
        <v>0.6315</v>
      </c>
      <c r="F34" s="41">
        <f>IF(TABLEROS!$D$31="HUECO",0,C34)</f>
        <v>4.83</v>
      </c>
      <c r="G34" s="68">
        <f>IF(TABLEROS!$D$31="HUECO",0,(IF(TABLEROS!$M$31="X",TABLEROS!$BN$31,TABLEROS!$BM$31)+1)*(TABLEROS!$AN$31*(TABLEROS!$J$31+2*CUANTIFICACION!$C$8)*INDEX(TABLAS!$E$52:$E$58,MATCH(TABLEROS!$AM$31,TABLAS!$B$52:$B$58,0))+TABLEROS!$AS$31*2*(DATOS!$C$51*TABLEROS!$J$31+CUANTIFICACION!$C$8)*INDEX(TABLAS!$E$52:$E$58,MATCH(TABLEROS!$AR$31,TABLAS!$B$52:$B$58,0))))</f>
        <v>10.491312</v>
      </c>
      <c r="H34" s="68">
        <f>IF(TABLEROS!$D$31="HUECO",0,(IF(TABLEROS!$M$31="X",TABLEROS!$BM$31,TABLEROS!$BN$31)+1)*(TABLEROS!$AX$31*(TABLEROS!$K$31+2*CUANTIFICACION!$C$8)*INDEX(TABLAS!$E$52:$E$58,MATCH(TABLEROS!$AW$31,TABLAS!$B$52:$B$58,0))+TABLEROS!$BC$31*2*(DATOS!$C$51*TABLEROS!$K$31+CUANTIFICACION!$C$8)*INDEX(TABLAS!$E$52:$E$58,MATCH(TABLEROS!$BB$31,TABLAS!$B$52:$B$58,0))))</f>
        <v>10.12908</v>
      </c>
      <c r="I34" s="73">
        <f>G34+H34</f>
        <v>20.620392</v>
      </c>
      <c r="J34" s="42" t="inlineStr">
        <is>
          <t>—</t>
        </is>
      </c>
    </row>
    <row r="35">
      <c r="B35" s="35" t="inlineStr">
        <is>
          <t>F80024 N+6.00</t>
        </is>
      </c>
      <c r="C35" s="72" t="n">
        <v>21.42</v>
      </c>
      <c r="D35" s="55">
        <f>IF(TABLEROS!$D$32="HUECO",0,ROUND(TABLEROS!$BM$32*TABLEROS!$BN$32*C35/(TABLEROS!$F$32*TABLEROS!$G$32),0))</f>
        <v>42</v>
      </c>
      <c r="E35" s="34">
        <f>IF(TABLEROS!$D$32="HUECO",0,C35*DATOS!$C$15/100-D35*(DATOS!$C$11/100)^2*(DATOS!$C$12/100))</f>
        <v>2.331</v>
      </c>
      <c r="F35" s="41">
        <f>IF(TABLEROS!$D$32="HUECO",0,C35)</f>
        <v>21.42</v>
      </c>
      <c r="G35" s="68">
        <f>IF(TABLEROS!$D$32="HUECO",0,(IF(TABLEROS!$M$32="X",TABLEROS!$BN$32,TABLEROS!$BM$32)+1)*(TABLEROS!$AN$32*(TABLEROS!$J$32+2*CUANTIFICACION!$C$8)*INDEX(TABLAS!$E$52:$E$58,MATCH(TABLEROS!$AM$32,TABLAS!$B$52:$B$58,0))+TABLEROS!$AS$32*2*(DATOS!$C$51*TABLEROS!$J$32+CUANTIFICACION!$C$8)*INDEX(TABLAS!$E$52:$E$58,MATCH(TABLEROS!$AR$32,TABLAS!$B$52:$B$58,0))))</f>
        <v>36.3269504</v>
      </c>
      <c r="H35" s="68">
        <f>IF(TABLEROS!$D$32="HUECO",0,(IF(TABLEROS!$M$32="X",TABLEROS!$BM$32,TABLEROS!$BN$32)+1)*(TABLEROS!$AX$32*(TABLEROS!$K$32+2*CUANTIFICACION!$C$8)*INDEX(TABLAS!$E$52:$E$58,MATCH(TABLEROS!$AW$32,TABLAS!$B$52:$B$58,0))+TABLEROS!$BC$32*2*(DATOS!$C$51*TABLEROS!$K$32+CUANTIFICACION!$C$8)*INDEX(TABLAS!$E$52:$E$58,MATCH(TABLEROS!$BB$32,TABLAS!$B$52:$B$58,0))))</f>
        <v>35.68656</v>
      </c>
      <c r="I35" s="73">
        <f>G35+H35</f>
        <v>72.0135104</v>
      </c>
      <c r="J35" s="42" t="inlineStr">
        <is>
          <t>—</t>
        </is>
      </c>
    </row>
    <row r="36">
      <c r="B36" s="35" t="inlineStr">
        <is>
          <t>F80025 N+6.00</t>
        </is>
      </c>
      <c r="C36" s="72" t="n">
        <v>20.21</v>
      </c>
      <c r="D36" s="55">
        <f>IF(TABLEROS!$D$33="HUECO",0,ROUND(TABLEROS!$BM$33*TABLEROS!$BN$33*C36/(TABLEROS!$F$33*TABLEROS!$G$33),0))</f>
        <v>32</v>
      </c>
      <c r="E36" s="34">
        <f>IF(TABLEROS!$D$33="HUECO",0,C36*DATOS!$C$15/100-D36*(DATOS!$C$11/100)^2*(DATOS!$C$12/100))</f>
        <v>2.7485</v>
      </c>
      <c r="F36" s="41">
        <f>IF(TABLEROS!$D$33="HUECO",0,C36)</f>
        <v>20.21</v>
      </c>
      <c r="G36" s="68">
        <f>IF(TABLEROS!$D$33="HUECO",0,(IF(TABLEROS!$M$33="X",TABLEROS!$BN$33,TABLEROS!$BM$33)+1)*(TABLEROS!$AN$33*(TABLEROS!$J$33+2*CUANTIFICACION!$C$8)*INDEX(TABLAS!$E$52:$E$58,MATCH(TABLEROS!$AM$33,TABLAS!$B$52:$B$58,0))+TABLEROS!$AS$33*2*(DATOS!$C$51*TABLEROS!$J$33+CUANTIFICACION!$C$8)*INDEX(TABLAS!$E$52:$E$58,MATCH(TABLEROS!$AR$33,TABLAS!$B$52:$B$58,0))))</f>
        <v>33.6312288</v>
      </c>
      <c r="H36" s="68">
        <f>IF(TABLEROS!$D$33="HUECO",0,(IF(TABLEROS!$M$33="X",TABLEROS!$BM$33,TABLEROS!$BN$33)+1)*(TABLEROS!$AX$33*(TABLEROS!$K$33+2*CUANTIFICACION!$C$8)*INDEX(TABLAS!$E$52:$E$58,MATCH(TABLEROS!$AW$33,TABLAS!$B$52:$B$58,0))+TABLEROS!$BC$33*2*(DATOS!$C$51*TABLEROS!$K$33+CUANTIFICACION!$C$8)*INDEX(TABLAS!$E$52:$E$58,MATCH(TABLEROS!$BB$33,TABLAS!$B$52:$B$58,0))))</f>
        <v>29.720912</v>
      </c>
      <c r="I36" s="73">
        <f>G36+H36</f>
        <v>63.3521408</v>
      </c>
      <c r="J36" s="42" t="inlineStr">
        <is>
          <t>—</t>
        </is>
      </c>
    </row>
    <row r="37">
      <c r="B37" s="35" t="inlineStr">
        <is>
          <t>F80026 N+6.00</t>
        </is>
      </c>
      <c r="C37" s="72" t="n">
        <v>2.58</v>
      </c>
      <c r="D37" s="55">
        <f>IF(TABLEROS!$D$34="HUECO",0,ROUND(TABLEROS!$BM$34*TABLEROS!$BN$34*C37/(TABLEROS!$F$34*TABLEROS!$G$34),0))</f>
        <v>4</v>
      </c>
      <c r="E37" s="34">
        <f>IF(TABLEROS!$D$34="HUECO",0,C37*DATOS!$C$15/100-D37*(DATOS!$C$11/100)^2*(DATOS!$C$12/100))</f>
        <v>0.357</v>
      </c>
      <c r="F37" s="41">
        <f>IF(TABLEROS!$D$34="HUECO",0,C37)</f>
        <v>2.58</v>
      </c>
      <c r="G37" s="68">
        <f>IF(TABLEROS!$D$34="HUECO",0,(IF(TABLEROS!$M$34="X",TABLEROS!$BN$34,TABLEROS!$BM$34)+1)*(TABLEROS!$AN$34*(TABLEROS!$J$34+2*CUANTIFICACION!$C$8)*INDEX(TABLAS!$E$52:$E$58,MATCH(TABLEROS!$AM$34,TABLAS!$B$52:$B$58,0))+TABLEROS!$AS$34*2*(DATOS!$C$51*TABLEROS!$J$34+CUANTIFICACION!$C$8)*INDEX(TABLAS!$E$52:$E$58,MATCH(TABLEROS!$AR$34,TABLAS!$B$52:$B$58,0))))</f>
        <v>7.159672</v>
      </c>
      <c r="H37" s="68">
        <f>IF(TABLEROS!$D$34="HUECO",0,(IF(TABLEROS!$M$34="X",TABLEROS!$BM$34,TABLEROS!$BN$34)+1)*(TABLEROS!$AX$34*(TABLEROS!$K$34+2*CUANTIFICACION!$C$8)*INDEX(TABLAS!$E$52:$E$58,MATCH(TABLEROS!$AW$34,TABLAS!$B$52:$B$58,0))+TABLEROS!$BC$34*2*(DATOS!$C$51*TABLEROS!$K$34+CUANTIFICACION!$C$8)*INDEX(TABLAS!$E$52:$E$58,MATCH(TABLEROS!$BB$34,TABLAS!$B$52:$B$58,0))))</f>
        <v>6.7580864</v>
      </c>
      <c r="I37" s="73">
        <f>G37+H37</f>
        <v>13.9177584</v>
      </c>
      <c r="J37" s="42" t="inlineStr">
        <is>
          <t>—</t>
        </is>
      </c>
    </row>
    <row r="38">
      <c r="B38" s="35" t="inlineStr">
        <is>
          <t>F80027 N+6.00</t>
        </is>
      </c>
      <c r="C38" s="72" t="n">
        <v>3.49</v>
      </c>
      <c r="D38" s="55">
        <f>IF(TABLEROS!$D$35="HUECO",0,ROUND(TABLEROS!$BM$35*TABLEROS!$BN$35*C38/(TABLEROS!$F$35*TABLEROS!$G$35),0))</f>
        <v>4</v>
      </c>
      <c r="E38" s="34">
        <f>IF(TABLEROS!$D$35="HUECO",0,C38*DATOS!$C$15/100-D38*(DATOS!$C$11/100)^2*(DATOS!$C$12/100))</f>
        <v>0.5845</v>
      </c>
      <c r="F38" s="41">
        <f>IF(TABLEROS!$D$35="HUECO",0,C38)</f>
        <v>3.49</v>
      </c>
      <c r="G38" s="68">
        <f>IF(TABLEROS!$D$35="HUECO",0,(IF(TABLEROS!$M$35="X",TABLEROS!$BN$35,TABLEROS!$BM$35)+1)*(TABLEROS!$AN$35*(TABLEROS!$J$35+2*CUANTIFICACION!$C$8)*INDEX(TABLAS!$E$52:$E$58,MATCH(TABLEROS!$AM$35,TABLAS!$B$52:$B$58,0))+TABLEROS!$AS$35*2*(DATOS!$C$51*TABLEROS!$J$35+CUANTIFICACION!$C$8)*INDEX(TABLAS!$E$52:$E$58,MATCH(TABLEROS!$AR$35,TABLAS!$B$52:$B$58,0))))</f>
        <v>8.501272</v>
      </c>
      <c r="H38" s="68">
        <f>IF(TABLEROS!$D$35="HUECO",0,(IF(TABLEROS!$M$35="X",TABLEROS!$BM$35,TABLEROS!$BN$35)+1)*(TABLEROS!$AX$35*(TABLEROS!$K$35+2*CUANTIFICACION!$C$8)*INDEX(TABLAS!$E$52:$E$58,MATCH(TABLEROS!$AW$35,TABLAS!$B$52:$B$58,0))+TABLEROS!$BC$35*2*(DATOS!$C$51*TABLEROS!$K$35+CUANTIFICACION!$C$8)*INDEX(TABLAS!$E$52:$E$58,MATCH(TABLEROS!$BB$35,TABLAS!$B$52:$B$58,0))))</f>
        <v>6.7598752</v>
      </c>
      <c r="I38" s="73">
        <f>G38+H38</f>
        <v>15.2611472</v>
      </c>
      <c r="J38" s="42" t="inlineStr">
        <is>
          <t>—</t>
        </is>
      </c>
    </row>
    <row r="39">
      <c r="B39" s="35" t="inlineStr">
        <is>
          <t>F80028 N+6.00</t>
        </is>
      </c>
      <c r="C39" s="72" t="n">
        <v>0.6</v>
      </c>
      <c r="D39" s="55">
        <f>IF(TABLEROS!$D$36="HUECO",0,ROUND(TABLEROS!$BM$36*TABLEROS!$BN$36*C39/(TABLEROS!$F$36*TABLEROS!$G$36),0))</f>
        <v>0</v>
      </c>
      <c r="E39" s="34">
        <f>IF(TABLEROS!$D$36="HUECO",0,C39*DATOS!$C$15/100-D39*(DATOS!$C$11/100)^2*(DATOS!$C$12/100))</f>
        <v>0</v>
      </c>
      <c r="F39" s="41">
        <f>IF(TABLEROS!$D$36="HUECO",0,C39)</f>
        <v>0</v>
      </c>
      <c r="G39" s="68">
        <f>IF(TABLEROS!$D$36="HUECO",0,(IF(TABLEROS!$M$36="X",TABLEROS!$BN$36,TABLEROS!$BM$36)+1)*(TABLEROS!$AN$36*(TABLEROS!$J$36+2*CUANTIFICACION!$C$8)*INDEX(TABLAS!$E$52:$E$58,MATCH(TABLEROS!$AM$36,TABLAS!$B$52:$B$58,0))+TABLEROS!$AS$36*2*(DATOS!$C$51*TABLEROS!$J$36+CUANTIFICACION!$C$8)*INDEX(TABLAS!$E$52:$E$58,MATCH(TABLEROS!$AR$36,TABLAS!$B$52:$B$58,0))))</f>
        <v>0</v>
      </c>
      <c r="H39" s="68">
        <f>IF(TABLEROS!$D$36="HUECO",0,(IF(TABLEROS!$M$36="X",TABLEROS!$BM$36,TABLEROS!$BN$36)+1)*(TABLEROS!$AX$36*(TABLEROS!$K$36+2*CUANTIFICACION!$C$8)*INDEX(TABLAS!$E$52:$E$58,MATCH(TABLEROS!$AW$36,TABLAS!$B$52:$B$58,0))+TABLEROS!$BC$36*2*(DATOS!$C$51*TABLEROS!$K$36+CUANTIFICACION!$C$8)*INDEX(TABLAS!$E$52:$E$58,MATCH(TABLEROS!$BB$36,TABLAS!$B$52:$B$58,0))))</f>
        <v>0</v>
      </c>
      <c r="I39" s="73">
        <f>G39+H39</f>
        <v>0</v>
      </c>
      <c r="J39" s="42" t="inlineStr">
        <is>
          <t>—</t>
        </is>
      </c>
    </row>
    <row r="40">
      <c r="B40" s="35" t="inlineStr">
        <is>
          <t>F80029 N+6.00</t>
        </is>
      </c>
      <c r="C40" s="72" t="n">
        <v>0.53</v>
      </c>
      <c r="D40" s="55">
        <f>IF(TABLEROS!$D$37="HUECO",0,ROUND(TABLEROS!$BM$37*TABLEROS!$BN$37*C40/(TABLEROS!$F$37*TABLEROS!$G$37),0))</f>
        <v>0</v>
      </c>
      <c r="E40" s="34">
        <f>IF(TABLEROS!$D$37="HUECO",0,C40*DATOS!$C$15/100-D40*(DATOS!$C$11/100)^2*(DATOS!$C$12/100))</f>
        <v>0</v>
      </c>
      <c r="F40" s="41">
        <f>IF(TABLEROS!$D$37="HUECO",0,C40)</f>
        <v>0</v>
      </c>
      <c r="G40" s="68">
        <f>IF(TABLEROS!$D$37="HUECO",0,(IF(TABLEROS!$M$37="X",TABLEROS!$BN$37,TABLEROS!$BM$37)+1)*(TABLEROS!$AN$37*(TABLEROS!$J$37+2*CUANTIFICACION!$C$8)*INDEX(TABLAS!$E$52:$E$58,MATCH(TABLEROS!$AM$37,TABLAS!$B$52:$B$58,0))+TABLEROS!$AS$37*2*(DATOS!$C$51*TABLEROS!$J$37+CUANTIFICACION!$C$8)*INDEX(TABLAS!$E$52:$E$58,MATCH(TABLEROS!$AR$37,TABLAS!$B$52:$B$58,0))))</f>
        <v>0</v>
      </c>
      <c r="H40" s="68">
        <f>IF(TABLEROS!$D$37="HUECO",0,(IF(TABLEROS!$M$37="X",TABLEROS!$BM$37,TABLEROS!$BN$37)+1)*(TABLEROS!$AX$37*(TABLEROS!$K$37+2*CUANTIFICACION!$C$8)*INDEX(TABLAS!$E$52:$E$58,MATCH(TABLEROS!$AW$37,TABLAS!$B$52:$B$58,0))+TABLEROS!$BC$37*2*(DATOS!$C$51*TABLEROS!$K$37+CUANTIFICACION!$C$8)*INDEX(TABLAS!$E$52:$E$58,MATCH(TABLEROS!$BB$37,TABLAS!$B$52:$B$58,0))))</f>
        <v>0</v>
      </c>
      <c r="I40" s="73">
        <f>G40+H40</f>
        <v>0</v>
      </c>
      <c r="J40" s="42" t="inlineStr">
        <is>
          <t>—</t>
        </is>
      </c>
    </row>
    <row r="41">
      <c r="B41" s="35" t="inlineStr">
        <is>
          <t>F80030 N+6.00</t>
        </is>
      </c>
      <c r="C41" s="72" t="n">
        <v>17.7</v>
      </c>
      <c r="D41" s="55">
        <f>IF(TABLEROS!$D$38="HUECO",0,ROUND(TABLEROS!$BM$38*TABLEROS!$BN$38*C41/(TABLEROS!$F$38*TABLEROS!$G$38),0))</f>
        <v>30</v>
      </c>
      <c r="E41" s="34">
        <f>IF(TABLEROS!$D$38="HUECO",0,C41*DATOS!$C$15/100-D41*(DATOS!$C$11/100)^2*(DATOS!$C$12/100))</f>
        <v>2.265</v>
      </c>
      <c r="F41" s="41">
        <f>IF(TABLEROS!$D$38="HUECO",0,C41)</f>
        <v>17.7</v>
      </c>
      <c r="G41" s="68">
        <f>IF(TABLEROS!$D$38="HUECO",0,(IF(TABLEROS!$M$38="X",TABLEROS!$BN$38,TABLEROS!$BM$38)+1)*(TABLEROS!$AN$38*(TABLEROS!$J$38+2*CUANTIFICACION!$C$8)*INDEX(TABLAS!$E$52:$E$58,MATCH(TABLEROS!$AM$38,TABLAS!$B$52:$B$58,0))+TABLEROS!$AS$38*2*(DATOS!$C$51*TABLEROS!$J$38+CUANTIFICACION!$C$8)*INDEX(TABLAS!$E$52:$E$58,MATCH(TABLEROS!$AR$38,TABLAS!$B$52:$B$58,0))))</f>
        <v>29.7388</v>
      </c>
      <c r="H41" s="68">
        <f>IF(TABLEROS!$D$38="HUECO",0,(IF(TABLEROS!$M$38="X",TABLEROS!$BM$38,TABLEROS!$BN$38)+1)*(TABLEROS!$AX$38*(TABLEROS!$K$38+2*CUANTIFICACION!$C$8)*INDEX(TABLAS!$E$52:$E$58,MATCH(TABLEROS!$AW$38,TABLAS!$B$52:$B$58,0))+TABLEROS!$BC$38*2*(DATOS!$C$51*TABLEROS!$K$38+CUANTIFICACION!$C$8)*INDEX(TABLAS!$E$52:$E$58,MATCH(TABLEROS!$BB$38,TABLAS!$B$52:$B$58,0))))</f>
        <v>27.7764864</v>
      </c>
      <c r="I41" s="73">
        <f>G41+H41</f>
        <v>57.5152864</v>
      </c>
      <c r="J41" s="42" t="inlineStr">
        <is>
          <t>—</t>
        </is>
      </c>
    </row>
    <row r="42">
      <c r="B42" s="35" t="inlineStr">
        <is>
          <t>F80031 N+6.00</t>
        </is>
      </c>
      <c r="C42" s="72" t="n">
        <v>17.7</v>
      </c>
      <c r="D42" s="55">
        <f>IF(TABLEROS!$D$39="HUECO",0,ROUND(TABLEROS!$BM$39*TABLEROS!$BN$39*C42/(TABLEROS!$F$39*TABLEROS!$G$39),0))</f>
        <v>30</v>
      </c>
      <c r="E42" s="34">
        <f>IF(TABLEROS!$D$39="HUECO",0,C42*DATOS!$C$15/100-D42*(DATOS!$C$11/100)^2*(DATOS!$C$12/100))</f>
        <v>2.265</v>
      </c>
      <c r="F42" s="41">
        <f>IF(TABLEROS!$D$39="HUECO",0,C42)</f>
        <v>17.7</v>
      </c>
      <c r="G42" s="68">
        <f>IF(TABLEROS!$D$39="HUECO",0,(IF(TABLEROS!$M$39="X",TABLEROS!$BN$39,TABLEROS!$BM$39)+1)*(TABLEROS!$AN$39*(TABLEROS!$J$39+2*CUANTIFICACION!$C$8)*INDEX(TABLAS!$E$52:$E$58,MATCH(TABLEROS!$AM$39,TABLAS!$B$52:$B$58,0))+TABLEROS!$AS$39*2*(DATOS!$C$51*TABLEROS!$J$39+CUANTIFICACION!$C$8)*INDEX(TABLAS!$E$52:$E$58,MATCH(TABLEROS!$AR$39,TABLAS!$B$52:$B$58,0))))</f>
        <v>29.7388</v>
      </c>
      <c r="H42" s="68">
        <f>IF(TABLEROS!$D$39="HUECO",0,(IF(TABLEROS!$M$39="X",TABLEROS!$BM$39,TABLEROS!$BN$39)+1)*(TABLEROS!$AX$39*(TABLEROS!$K$39+2*CUANTIFICACION!$C$8)*INDEX(TABLAS!$E$52:$E$58,MATCH(TABLEROS!$AW$39,TABLAS!$B$52:$B$58,0))+TABLEROS!$BC$39*2*(DATOS!$C$51*TABLEROS!$K$39+CUANTIFICACION!$C$8)*INDEX(TABLAS!$E$52:$E$58,MATCH(TABLEROS!$BB$39,TABLAS!$B$52:$B$58,0))))</f>
        <v>27.7657536</v>
      </c>
      <c r="I42" s="73">
        <f>G42+H42</f>
        <v>57.5045536</v>
      </c>
      <c r="J42" s="42" t="inlineStr">
        <is>
          <t>—</t>
        </is>
      </c>
    </row>
    <row r="43">
      <c r="B43" s="35" t="inlineStr">
        <is>
          <t>F80032 N+6.00</t>
        </is>
      </c>
      <c r="C43" s="72" t="n">
        <v>18.96</v>
      </c>
      <c r="D43" s="55">
        <f>IF(TABLEROS!$D$40="HUECO",0,ROUND(TABLEROS!$BM$40*TABLEROS!$BN$40*C43/(TABLEROS!$F$40*TABLEROS!$G$40),0))</f>
        <v>36</v>
      </c>
      <c r="E43" s="34">
        <f>IF(TABLEROS!$D$40="HUECO",0,C43*DATOS!$C$15/100-D43*(DATOS!$C$11/100)^2*(DATOS!$C$12/100))</f>
        <v>2.148</v>
      </c>
      <c r="F43" s="41">
        <f>IF(TABLEROS!$D$40="HUECO",0,C43)</f>
        <v>18.96</v>
      </c>
      <c r="G43" s="68">
        <f>IF(TABLEROS!$D$40="HUECO",0,(IF(TABLEROS!$M$40="X",TABLEROS!$BN$40,TABLEROS!$BM$40)+1)*(TABLEROS!$AN$40*(TABLEROS!$J$40+2*CUANTIFICACION!$C$8)*INDEX(TABLAS!$E$52:$E$58,MATCH(TABLEROS!$AM$40,TABLAS!$B$52:$B$58,0))+TABLEROS!$AS$40*2*(DATOS!$C$51*TABLEROS!$J$40+CUANTIFICACION!$C$8)*INDEX(TABLAS!$E$52:$E$58,MATCH(TABLEROS!$AR$40,TABLAS!$B$52:$B$58,0))))</f>
        <v>41.737176</v>
      </c>
      <c r="H43" s="68">
        <f>IF(TABLEROS!$D$40="HUECO",0,(IF(TABLEROS!$M$40="X",TABLEROS!$BM$40,TABLEROS!$BN$40)+1)*(TABLEROS!$AX$40*(TABLEROS!$K$40+2*CUANTIFICACION!$C$8)*INDEX(TABLAS!$E$52:$E$58,MATCH(TABLEROS!$AW$40,TABLAS!$B$52:$B$58,0))+TABLEROS!$BC$40*2*(DATOS!$C$51*TABLEROS!$K$40+CUANTIFICACION!$C$8)*INDEX(TABLAS!$E$52:$E$58,MATCH(TABLEROS!$BB$40,TABLAS!$B$52:$B$58,0))))</f>
        <v>18.6706</v>
      </c>
      <c r="I43" s="73">
        <f>G43+H43</f>
        <v>60.407776</v>
      </c>
      <c r="J43" s="42" t="inlineStr">
        <is>
          <t>Rectángulo representativo</t>
        </is>
      </c>
    </row>
    <row r="44">
      <c r="B44" s="32" t="inlineStr">
        <is>
          <t>TOTAL</t>
        </is>
      </c>
      <c r="C44" s="59">
        <f>SUM(C12:C43)</f>
        <v>270.98</v>
      </c>
      <c r="D44" s="56">
        <f>SUM(D12:D43)</f>
        <v>438</v>
      </c>
      <c r="E44" s="59">
        <f>SUM(E12:E43)</f>
        <v>35.9265</v>
      </c>
      <c r="F44" s="73">
        <f>SUM(F12:F43)</f>
        <v>269.85</v>
      </c>
      <c r="G44" s="56">
        <f>SUM(G12:G43)</f>
        <v>572.92384</v>
      </c>
      <c r="H44" s="56">
        <f>SUM(H12:H43)</f>
        <v>452.383048</v>
      </c>
      <c r="I44" s="56">
        <f>SUM(I12:I43)</f>
        <v>1025.306888</v>
      </c>
    </row>
    <row r="46" ht="21" customHeight="1">
      <c r="B46" s="5" t="inlineStr">
        <is>
          <t>3. NERVADURAS PRINCIPALES</t>
        </is>
      </c>
    </row>
    <row r="47">
      <c r="B47" s="8" t="inlineStr">
        <is>
          <t>Tramo</t>
        </is>
      </c>
      <c r="C47" s="8" t="inlineStr">
        <is>
          <t>L (m)</t>
        </is>
      </c>
      <c r="D47" s="8" t="inlineStr">
        <is>
          <t>b × h (cm)</t>
        </is>
      </c>
      <c r="E47" s="8" t="inlineStr">
        <is>
          <t>Concreto extra (m³)</t>
        </is>
      </c>
      <c r="F47" s="8" t="inlineStr">
        <is>
          <t>Long. (kg)</t>
        </is>
      </c>
      <c r="G47" s="8" t="inlineStr">
        <is>
          <t>Estribos (kg)</t>
        </is>
      </c>
      <c r="H47" s="8" t="inlineStr">
        <is>
          <t>Total (kg)</t>
        </is>
      </c>
      <c r="I47" s="8" t="inlineStr"/>
      <c r="J47" s="8" t="inlineStr">
        <is>
          <t>Nota</t>
        </is>
      </c>
    </row>
    <row r="48">
      <c r="B48" s="39" t="inlineStr">
        <is>
          <t>NP-01</t>
        </is>
      </c>
      <c r="C48" s="41">
        <f>PRINCIPALES!$G$9</f>
        <v>4.327</v>
      </c>
      <c r="D48" s="39" t="str">
        <f>PRINCIPALES!$N$9&amp;" × "&amp;PRINCIPALES!$O$9</f>
        <v>15 × 25</v>
      </c>
      <c r="E48" s="34">
        <f>PRINCIPALES!$G$9*(PRINCIPALES!$N$9/100*PRINCIPALES!$O$9/100-PRINCIPALES!$N$9/100*DATOS!$C$57)</f>
        <v>0.095370612244898</v>
      </c>
      <c r="F48" s="68">
        <f>(PRINCIPALES!$AJ$9*INDEX(TABLAS!$E$52:$E$58,MATCH(MAX(PRINCIPALES!$AI$9,2),TABLAS!$B$52:$B$58,0))+PRINCIPALES!$AO$9*INDEX(TABLAS!$E$52:$E$58,MATCH(MAX(PRINCIPALES!$AN$9,2),TABLAS!$B$52:$B$58,0)))*(PRINCIPALES!$G$9+2*CUANTIFICACION!$C$8)</f>
        <v>53.842256</v>
      </c>
      <c r="G48" s="68">
        <f>IF(PRINCIPALES!$AS$9&gt;0,(INT(PRINCIPALES!$G$9*100/PRINCIPALES!$AS$9)+1)*2*((PRINCIPALES!$N$9-2*DATOS!$C$18)+(PRINCIPALES!$O$9-2*DATOS!$C$18)+10)/100*INDEX(TABLAS!$E$52:$E$58,MATCH(DATOS!$C$95,TABLAS!$B$52:$B$58,0)),0)</f>
        <v>14.19264</v>
      </c>
      <c r="H48" s="73">
        <f>F48+G48</f>
        <v>68.034896</v>
      </c>
      <c r="I48" s="42" t="str">
        <f>PRINCIPALES!$AX$9</f>
        <v>NO CUMPLE: deflexión → h ≥ 30 cm</v>
      </c>
    </row>
    <row r="49">
      <c r="B49" s="39" t="inlineStr">
        <is>
          <t>NP-02</t>
        </is>
      </c>
      <c r="C49" s="41">
        <f>PRINCIPALES!$G$10</f>
        <v>4.327</v>
      </c>
      <c r="D49" s="39" t="str">
        <f>PRINCIPALES!$N$10&amp;" × "&amp;PRINCIPALES!$O$10</f>
        <v>15 × 25</v>
      </c>
      <c r="E49" s="34">
        <f>PRINCIPALES!$G$10*(PRINCIPALES!$N$10/100*PRINCIPALES!$O$10/100-PRINCIPALES!$N$10/100*DATOS!$C$57)</f>
        <v>0.095370612244898</v>
      </c>
      <c r="F49" s="68">
        <f>(PRINCIPALES!$AJ$10*INDEX(TABLAS!$E$52:$E$58,MATCH(MAX(PRINCIPALES!$AI$10,2),TABLAS!$B$52:$B$58,0))+PRINCIPALES!$AO$10*INDEX(TABLAS!$E$52:$E$58,MATCH(MAX(PRINCIPALES!$AN$10,2),TABLAS!$B$52:$B$58,0)))*(PRINCIPALES!$G$10+2*CUANTIFICACION!$C$8)</f>
        <v>22.02369</v>
      </c>
      <c r="G49" s="68">
        <f>IF(PRINCIPALES!$AS$10&gt;0,(INT(PRINCIPALES!$G$10*100/PRINCIPALES!$AS$10)+1)*2*((PRINCIPALES!$N$10-2*DATOS!$C$18)+(PRINCIPALES!$O$10-2*DATOS!$C$18)+10)/100*INDEX(TABLAS!$E$52:$E$58,MATCH(DATOS!$C$95,TABLAS!$B$52:$B$58,0)),0)</f>
        <v>14.19264</v>
      </c>
      <c r="H49" s="73">
        <f>F49+G49</f>
        <v>36.21633</v>
      </c>
      <c r="I49" s="42" t="str">
        <f>PRINCIPALES!$AX$10</f>
        <v>NO CUMPLE: sección insuficiente en flexión deflexión → h ≥ 30 cm</v>
      </c>
    </row>
    <row r="50">
      <c r="B50" s="39" t="inlineStr">
        <is>
          <t>NP-03</t>
        </is>
      </c>
      <c r="C50" s="41">
        <f>PRINCIPALES!$G$11</f>
        <v>1.596</v>
      </c>
      <c r="D50" s="39" t="str">
        <f>PRINCIPALES!$N$11&amp;" × "&amp;PRINCIPALES!$O$11</f>
        <v>15 × 25</v>
      </c>
      <c r="E50" s="34">
        <f>PRINCIPALES!$G$11*(PRINCIPALES!$N$11/100*PRINCIPALES!$O$11/100-PRINCIPALES!$N$11/100*DATOS!$C$57)</f>
        <v>0.0351771428571429</v>
      </c>
      <c r="F50" s="68">
        <f>(PRINCIPALES!$AJ$11*INDEX(TABLAS!$E$52:$E$58,MATCH(MAX(PRINCIPALES!$AI$11,2),TABLAS!$B$52:$B$58,0))+PRINCIPALES!$AO$11*INDEX(TABLAS!$E$52:$E$58,MATCH(MAX(PRINCIPALES!$AN$11,2),TABLAS!$B$52:$B$58,0)))*(PRINCIPALES!$G$11+2*CUANTIFICACION!$C$8)</f>
        <v>8.731296</v>
      </c>
      <c r="G50" s="68">
        <f>IF(PRINCIPALES!$AS$11&gt;0,(INT(PRINCIPALES!$G$11*100/PRINCIPALES!$AS$11)+1)*2*((PRINCIPALES!$N$11-2*DATOS!$C$18)+(PRINCIPALES!$O$11-2*DATOS!$C$18)+10)/100*INDEX(TABLAS!$E$52:$E$58,MATCH(DATOS!$C$95,TABLAS!$B$52:$B$58,0)),0)</f>
        <v>5.16096</v>
      </c>
      <c r="H50" s="73">
        <f>F50+G50</f>
        <v>13.892256</v>
      </c>
      <c r="I50" s="42" t="str">
        <f>PRINCIPALES!$AX$11</f>
        <v>CUMPLE</v>
      </c>
    </row>
    <row r="51">
      <c r="B51" s="39" t="inlineStr">
        <is>
          <t>NP-04</t>
        </is>
      </c>
      <c r="C51" s="41">
        <f>PRINCIPALES!$G$12</f>
        <v>1.402</v>
      </c>
      <c r="D51" s="39" t="str">
        <f>PRINCIPALES!$N$12&amp;" × "&amp;PRINCIPALES!$O$12</f>
        <v>15 × 25</v>
      </c>
      <c r="E51" s="34">
        <f>PRINCIPALES!$G$12*(PRINCIPALES!$N$12/100*PRINCIPALES!$O$12/100-PRINCIPALES!$N$12/100*DATOS!$C$57)</f>
        <v>0.0309012244897959</v>
      </c>
      <c r="F51" s="68">
        <f>(PRINCIPALES!$AJ$12*INDEX(TABLAS!$E$52:$E$58,MATCH(MAX(PRINCIPALES!$AI$12,2),TABLAS!$B$52:$B$58,0))+PRINCIPALES!$AO$12*INDEX(TABLAS!$E$52:$E$58,MATCH(MAX(PRINCIPALES!$AN$12,2),TABLAS!$B$52:$B$58,0)))*(PRINCIPALES!$G$12+2*CUANTIFICACION!$C$8)</f>
        <v>7.959952</v>
      </c>
      <c r="G51" s="68">
        <f>IF(PRINCIPALES!$AS$12&gt;0,(INT(PRINCIPALES!$G$12*100/PRINCIPALES!$AS$12)+1)*2*((PRINCIPALES!$N$12-2*DATOS!$C$18)+(PRINCIPALES!$O$12-2*DATOS!$C$18)+10)/100*INDEX(TABLAS!$E$52:$E$58,MATCH(DATOS!$C$95,TABLAS!$B$52:$B$58,0)),0)</f>
        <v>4.8384</v>
      </c>
      <c r="H51" s="73">
        <f>F51+G51</f>
        <v>12.798352</v>
      </c>
      <c r="I51" s="42" t="str">
        <f>PRINCIPALES!$AX$12</f>
        <v>CUMPLE</v>
      </c>
    </row>
    <row r="52">
      <c r="B52" s="39" t="inlineStr">
        <is>
          <t>NP-05</t>
        </is>
      </c>
      <c r="C52" s="41">
        <f>PRINCIPALES!$G$13</f>
        <v>0.463</v>
      </c>
      <c r="D52" s="39" t="str">
        <f>PRINCIPALES!$N$13&amp;" × "&amp;PRINCIPALES!$O$13</f>
        <v>15 × 25</v>
      </c>
      <c r="E52" s="34">
        <f>PRINCIPALES!$G$13*(PRINCIPALES!$N$13/100*PRINCIPALES!$O$13/100-PRINCIPALES!$N$13/100*DATOS!$C$57)</f>
        <v>0.0102048979591837</v>
      </c>
      <c r="F52" s="68">
        <f>(PRINCIPALES!$AJ$13*INDEX(TABLAS!$E$52:$E$58,MATCH(MAX(PRINCIPALES!$AI$13,2),TABLAS!$B$52:$B$58,0))+PRINCIPALES!$AO$13*INDEX(TABLAS!$E$52:$E$58,MATCH(MAX(PRINCIPALES!$AN$13,2),TABLAS!$B$52:$B$58,0)))*(PRINCIPALES!$G$13+2*CUANTIFICACION!$C$8)</f>
        <v>4.226488</v>
      </c>
      <c r="G52" s="68">
        <f>IF(PRINCIPALES!$AS$13&gt;0,(INT(PRINCIPALES!$G$13*100/PRINCIPALES!$AS$13)+1)*2*((PRINCIPALES!$N$13-2*DATOS!$C$18)+(PRINCIPALES!$O$13-2*DATOS!$C$18)+10)/100*INDEX(TABLAS!$E$52:$E$58,MATCH(DATOS!$C$95,TABLAS!$B$52:$B$58,0)),0)</f>
        <v>1.6128</v>
      </c>
      <c r="H52" s="73">
        <f>F52+G52</f>
        <v>5.839288</v>
      </c>
      <c r="I52" s="42" t="str">
        <f>PRINCIPALES!$AX$13</f>
        <v>CUMPLE (en VOLADO)</v>
      </c>
    </row>
    <row r="53">
      <c r="B53" s="39" t="inlineStr">
        <is>
          <t>NP-06</t>
        </is>
      </c>
      <c r="C53" s="41">
        <f>PRINCIPALES!$G$14</f>
        <v>4.327</v>
      </c>
      <c r="D53" s="39" t="str">
        <f>PRINCIPALES!$N$14&amp;" × "&amp;PRINCIPALES!$O$14</f>
        <v>15 × 25</v>
      </c>
      <c r="E53" s="34">
        <f>PRINCIPALES!$G$14*(PRINCIPALES!$N$14/100*PRINCIPALES!$O$14/100-PRINCIPALES!$N$14/100*DATOS!$C$57)</f>
        <v>0.095370612244898</v>
      </c>
      <c r="F53" s="68">
        <f>(PRINCIPALES!$AJ$14*INDEX(TABLAS!$E$52:$E$58,MATCH(MAX(PRINCIPALES!$AI$14,2),TABLAS!$B$52:$B$58,0))+PRINCIPALES!$AO$14*INDEX(TABLAS!$E$52:$E$58,MATCH(MAX(PRINCIPALES!$AN$14,2),TABLAS!$B$52:$B$58,0)))*(PRINCIPALES!$G$14+2*CUANTIFICACION!$C$8)</f>
        <v>53.842256</v>
      </c>
      <c r="G53" s="68">
        <f>IF(PRINCIPALES!$AS$14&gt;0,(INT(PRINCIPALES!$G$14*100/PRINCIPALES!$AS$14)+1)*2*((PRINCIPALES!$N$14-2*DATOS!$C$18)+(PRINCIPALES!$O$14-2*DATOS!$C$18)+10)/100*INDEX(TABLAS!$E$52:$E$58,MATCH(DATOS!$C$95,TABLAS!$B$52:$B$58,0)),0)</f>
        <v>14.19264</v>
      </c>
      <c r="H53" s="73">
        <f>F53+G53</f>
        <v>68.034896</v>
      </c>
      <c r="I53" s="42" t="str">
        <f>PRINCIPALES!$AX$14</f>
        <v>NO CUMPLE: deflexión → h ≥ 30 cm</v>
      </c>
    </row>
    <row r="54">
      <c r="B54" s="39" t="inlineStr">
        <is>
          <t>NP-07</t>
        </is>
      </c>
      <c r="C54" s="41">
        <f>PRINCIPALES!$G$15</f>
        <v>1.909</v>
      </c>
      <c r="D54" s="39" t="str">
        <f>PRINCIPALES!$N$15&amp;" × "&amp;PRINCIPALES!$O$15</f>
        <v>15 × 25</v>
      </c>
      <c r="E54" s="34">
        <f>PRINCIPALES!$G$15*(PRINCIPALES!$N$15/100*PRINCIPALES!$O$15/100-PRINCIPALES!$N$15/100*DATOS!$C$57)</f>
        <v>0.0420759183673469</v>
      </c>
      <c r="F54" s="68">
        <f>(PRINCIPALES!$AJ$15*INDEX(TABLAS!$E$52:$E$58,MATCH(MAX(PRINCIPALES!$AI$15,2),TABLAS!$B$52:$B$58,0))+PRINCIPALES!$AO$15*INDEX(TABLAS!$E$52:$E$58,MATCH(MAX(PRINCIPALES!$AN$15,2),TABLAS!$B$52:$B$58,0)))*(PRINCIPALES!$G$15+2*CUANTIFICACION!$C$8)</f>
        <v>9.975784</v>
      </c>
      <c r="G54" s="68">
        <f>IF(PRINCIPALES!$AS$15&gt;0,(INT(PRINCIPALES!$G$15*100/PRINCIPALES!$AS$15)+1)*2*((PRINCIPALES!$N$15-2*DATOS!$C$18)+(PRINCIPALES!$O$15-2*DATOS!$C$18)+10)/100*INDEX(TABLAS!$E$52:$E$58,MATCH(DATOS!$C$95,TABLAS!$B$52:$B$58,0)),0)</f>
        <v>6.4512</v>
      </c>
      <c r="H54" s="73">
        <f>F54+G54</f>
        <v>16.426984</v>
      </c>
      <c r="I54" s="42" t="str">
        <f>PRINCIPALES!$AX$15</f>
        <v>CUMPLE (en VOLADO)</v>
      </c>
    </row>
    <row r="55">
      <c r="B55" s="39" t="inlineStr">
        <is>
          <t>NP-08</t>
        </is>
      </c>
      <c r="C55" s="41">
        <f>PRINCIPALES!$G$16</f>
        <v>2.722</v>
      </c>
      <c r="D55" s="39" t="str">
        <f>PRINCIPALES!$N$16&amp;" × "&amp;PRINCIPALES!$O$16</f>
        <v>15 × 25</v>
      </c>
      <c r="E55" s="34">
        <f>PRINCIPALES!$G$16*(PRINCIPALES!$N$16/100*PRINCIPALES!$O$16/100-PRINCIPALES!$N$16/100*DATOS!$C$57)</f>
        <v>0.0599951020408163</v>
      </c>
      <c r="F55" s="68">
        <f>(PRINCIPALES!$AJ$16*INDEX(TABLAS!$E$52:$E$58,MATCH(MAX(PRINCIPALES!$AI$16,2),TABLAS!$B$52:$B$58,0))+PRINCIPALES!$AO$16*INDEX(TABLAS!$E$52:$E$58,MATCH(MAX(PRINCIPALES!$AN$16,2),TABLAS!$B$52:$B$58,0)))*(PRINCIPALES!$G$16+2*CUANTIFICACION!$C$8)</f>
        <v>14.84934</v>
      </c>
      <c r="G55" s="68">
        <f>IF(PRINCIPALES!$AS$16&gt;0,(INT(PRINCIPALES!$G$16*100/PRINCIPALES!$AS$16)+1)*2*((PRINCIPALES!$N$16-2*DATOS!$C$18)+(PRINCIPALES!$O$16-2*DATOS!$C$18)+10)/100*INDEX(TABLAS!$E$52:$E$58,MATCH(DATOS!$C$95,TABLAS!$B$52:$B$58,0)),0)</f>
        <v>9.03168</v>
      </c>
      <c r="H55" s="73">
        <f>F55+G55</f>
        <v>23.88102</v>
      </c>
      <c r="I55" s="42" t="str">
        <f>PRINCIPALES!$AX$16</f>
        <v>NO CUMPLE: sección insuficiente en flexión → h ≥ 30 cm</v>
      </c>
    </row>
    <row r="56">
      <c r="B56" s="39" t="inlineStr">
        <is>
          <t>NP-09</t>
        </is>
      </c>
      <c r="C56" s="41">
        <f>PRINCIPALES!$G$17</f>
        <v>2</v>
      </c>
      <c r="D56" s="39" t="str">
        <f>PRINCIPALES!$N$17&amp;" × "&amp;PRINCIPALES!$O$17</f>
        <v>15 × 25</v>
      </c>
      <c r="E56" s="34">
        <f>PRINCIPALES!$G$17*(PRINCIPALES!$N$17/100*PRINCIPALES!$O$17/100-PRINCIPALES!$N$17/100*DATOS!$C$57)</f>
        <v>0.0440816326530612</v>
      </c>
      <c r="F56" s="68">
        <f>(PRINCIPALES!$AJ$17*INDEX(TABLAS!$E$52:$E$58,MATCH(MAX(PRINCIPALES!$AI$17,2),TABLAS!$B$52:$B$58,0))+PRINCIPALES!$AO$17*INDEX(TABLAS!$E$52:$E$58,MATCH(MAX(PRINCIPALES!$AN$17,2),TABLAS!$B$52:$B$58,0)))*(PRINCIPALES!$G$17+2*CUANTIFICACION!$C$8)</f>
        <v>0</v>
      </c>
      <c r="G56" s="68">
        <f>IF(PRINCIPALES!$AS$17&gt;0,(INT(PRINCIPALES!$G$17*100/PRINCIPALES!$AS$17)+1)*2*((PRINCIPALES!$N$17-2*DATOS!$C$18)+(PRINCIPALES!$O$17-2*DATOS!$C$18)+10)/100*INDEX(TABLAS!$E$52:$E$58,MATCH(DATOS!$C$95,TABLAS!$B$52:$B$58,0)),0)</f>
        <v>0</v>
      </c>
      <c r="H56" s="73">
        <f>F56+G56</f>
        <v>0</v>
      </c>
      <c r="I56" s="42" t="str">
        <f>PRINCIPALES!$AX$17</f>
        <v>BORDE DE VOLADO — armado de orilla</v>
      </c>
    </row>
    <row r="57">
      <c r="B57" s="39" t="inlineStr">
        <is>
          <t>NP-10</t>
        </is>
      </c>
      <c r="C57" s="41">
        <f>PRINCIPALES!$G$18</f>
        <v>4.327</v>
      </c>
      <c r="D57" s="39" t="str">
        <f>PRINCIPALES!$N$18&amp;" × "&amp;PRINCIPALES!$O$18</f>
        <v>15 × 25</v>
      </c>
      <c r="E57" s="34">
        <f>PRINCIPALES!$G$18*(PRINCIPALES!$N$18/100*PRINCIPALES!$O$18/100-PRINCIPALES!$N$18/100*DATOS!$C$57)</f>
        <v>0.095370612244898</v>
      </c>
      <c r="F57" s="68">
        <f>(PRINCIPALES!$AJ$18*INDEX(TABLAS!$E$52:$E$58,MATCH(MAX(PRINCIPALES!$AI$18,2),TABLAS!$B$52:$B$58,0))+PRINCIPALES!$AO$18*INDEX(TABLAS!$E$52:$E$58,MATCH(MAX(PRINCIPALES!$AN$18,2),TABLAS!$B$52:$B$58,0)))*(PRINCIPALES!$G$18+2*CUANTIFICACION!$C$8)</f>
        <v>39.149942</v>
      </c>
      <c r="G57" s="68">
        <f>IF(PRINCIPALES!$AS$18&gt;0,(INT(PRINCIPALES!$G$18*100/PRINCIPALES!$AS$18)+1)*2*((PRINCIPALES!$N$18-2*DATOS!$C$18)+(PRINCIPALES!$O$18-2*DATOS!$C$18)+10)/100*INDEX(TABLAS!$E$52:$E$58,MATCH(DATOS!$C$95,TABLAS!$B$52:$B$58,0)),0)</f>
        <v>14.19264</v>
      </c>
      <c r="H57" s="73">
        <f>F57+G57</f>
        <v>53.342582</v>
      </c>
      <c r="I57" s="42" t="str">
        <f>PRINCIPALES!$AX$18</f>
        <v>NO CUMPLE: sección insuficiente en flexión deflexión → h ≥ 30 cm</v>
      </c>
    </row>
    <row r="58">
      <c r="B58" s="39" t="inlineStr">
        <is>
          <t>NP-11</t>
        </is>
      </c>
      <c r="C58" s="41">
        <f>PRINCIPALES!$G$19</f>
        <v>3.409</v>
      </c>
      <c r="D58" s="39" t="str">
        <f>PRINCIPALES!$N$19&amp;" × "&amp;PRINCIPALES!$O$19</f>
        <v>15 × 25</v>
      </c>
      <c r="E58" s="34">
        <f>PRINCIPALES!$G$19*(PRINCIPALES!$N$19/100*PRINCIPALES!$O$19/100-PRINCIPALES!$N$19/100*DATOS!$C$57)</f>
        <v>0.0751371428571429</v>
      </c>
      <c r="F58" s="68">
        <f>(PRINCIPALES!$AJ$19*INDEX(TABLAS!$E$52:$E$58,MATCH(MAX(PRINCIPALES!$AI$19,2),TABLAS!$B$52:$B$58,0))+PRINCIPALES!$AO$19*INDEX(TABLAS!$E$52:$E$58,MATCH(MAX(PRINCIPALES!$AN$19,2),TABLAS!$B$52:$B$58,0)))*(PRINCIPALES!$G$19+2*CUANTIFICACION!$C$8)</f>
        <v>15.939784</v>
      </c>
      <c r="G58" s="68">
        <f>IF(PRINCIPALES!$AS$19&gt;0,(INT(PRINCIPALES!$G$19*100/PRINCIPALES!$AS$19)+1)*2*((PRINCIPALES!$N$19-2*DATOS!$C$18)+(PRINCIPALES!$O$19-2*DATOS!$C$18)+10)/100*INDEX(TABLAS!$E$52:$E$58,MATCH(DATOS!$C$95,TABLAS!$B$52:$B$58,0)),0)</f>
        <v>11.2896</v>
      </c>
      <c r="H58" s="73">
        <f>F58+G58</f>
        <v>27.229384</v>
      </c>
      <c r="I58" s="42" t="str">
        <f>PRINCIPALES!$AX$19</f>
        <v>CUMPLE</v>
      </c>
    </row>
    <row r="59">
      <c r="B59" s="39" t="inlineStr">
        <is>
          <t>NP-12</t>
        </is>
      </c>
      <c r="C59" s="41">
        <f>PRINCIPALES!$G$20</f>
        <v>3.427</v>
      </c>
      <c r="D59" s="39" t="str">
        <f>PRINCIPALES!$N$20&amp;" × "&amp;PRINCIPALES!$O$20</f>
        <v>15 × 25</v>
      </c>
      <c r="E59" s="34">
        <f>PRINCIPALES!$G$20*(PRINCIPALES!$N$20/100*PRINCIPALES!$O$20/100-PRINCIPALES!$N$20/100*DATOS!$C$57)</f>
        <v>0.0755338775510204</v>
      </c>
      <c r="F59" s="68">
        <f>(PRINCIPALES!$AJ$20*INDEX(TABLAS!$E$52:$E$58,MATCH(MAX(PRINCIPALES!$AI$20,2),TABLAS!$B$52:$B$58,0))+PRINCIPALES!$AO$20*INDEX(TABLAS!$E$52:$E$58,MATCH(MAX(PRINCIPALES!$AN$20,2),TABLAS!$B$52:$B$58,0)))*(PRINCIPALES!$G$20+2*CUANTIFICACION!$C$8)</f>
        <v>12.499808</v>
      </c>
      <c r="G59" s="68">
        <f>IF(PRINCIPALES!$AS$20&gt;0,(INT(PRINCIPALES!$G$20*100/PRINCIPALES!$AS$20)+1)*2*((PRINCIPALES!$N$20-2*DATOS!$C$18)+(PRINCIPALES!$O$20-2*DATOS!$C$18)+10)/100*INDEX(TABLAS!$E$52:$E$58,MATCH(DATOS!$C$95,TABLAS!$B$52:$B$58,0)),0)</f>
        <v>11.2896</v>
      </c>
      <c r="H59" s="73">
        <f>F59+G59</f>
        <v>23.789408</v>
      </c>
      <c r="I59" s="42" t="str">
        <f>PRINCIPALES!$AX$20</f>
        <v>NO CUMPLE: sección insuficiente en flexión → h ≥ 30 cm</v>
      </c>
    </row>
    <row r="60">
      <c r="B60" s="39" t="inlineStr">
        <is>
          <t>NP-13</t>
        </is>
      </c>
      <c r="C60" s="41">
        <f>PRINCIPALES!$G$21</f>
        <v>3.428</v>
      </c>
      <c r="D60" s="39" t="str">
        <f>PRINCIPALES!$N$21&amp;" × "&amp;PRINCIPALES!$O$21</f>
        <v>15 × 25</v>
      </c>
      <c r="E60" s="34">
        <f>PRINCIPALES!$G$21*(PRINCIPALES!$N$21/100*PRINCIPALES!$O$21/100-PRINCIPALES!$N$21/100*DATOS!$C$57)</f>
        <v>0.0755559183673469</v>
      </c>
      <c r="F60" s="68">
        <f>(PRINCIPALES!$AJ$21*INDEX(TABLAS!$E$52:$E$58,MATCH(MAX(PRINCIPALES!$AI$21,2),TABLAS!$B$52:$B$58,0))+PRINCIPALES!$AO$21*INDEX(TABLAS!$E$52:$E$58,MATCH(MAX(PRINCIPALES!$AN$21,2),TABLAS!$B$52:$B$58,0)))*(PRINCIPALES!$G$21+2*CUANTIFICACION!$C$8)</f>
        <v>30.016656</v>
      </c>
      <c r="G60" s="68">
        <f>IF(PRINCIPALES!$AS$21&gt;0,(INT(PRINCIPALES!$G$21*100/PRINCIPALES!$AS$21)+1)*2*((PRINCIPALES!$N$21-2*DATOS!$C$18)+(PRINCIPALES!$O$21-2*DATOS!$C$18)+10)/100*INDEX(TABLAS!$E$52:$E$58,MATCH(DATOS!$C$95,TABLAS!$B$52:$B$58,0)),0)</f>
        <v>11.2896</v>
      </c>
      <c r="H60" s="73">
        <f>F60+G60</f>
        <v>41.306256</v>
      </c>
      <c r="I60" s="42" t="str">
        <f>PRINCIPALES!$AX$21</f>
        <v>CUMPLE</v>
      </c>
    </row>
    <row r="61">
      <c r="B61" s="39" t="inlineStr">
        <is>
          <t>NP-14</t>
        </is>
      </c>
      <c r="C61" s="41">
        <f>PRINCIPALES!$G$22</f>
        <v>2</v>
      </c>
      <c r="D61" s="39" t="str">
        <f>PRINCIPALES!$N$22&amp;" × "&amp;PRINCIPALES!$O$22</f>
        <v>15 × 25</v>
      </c>
      <c r="E61" s="34">
        <f>PRINCIPALES!$G$22*(PRINCIPALES!$N$22/100*PRINCIPALES!$O$22/100-PRINCIPALES!$N$22/100*DATOS!$C$57)</f>
        <v>0.0440816326530612</v>
      </c>
      <c r="F61" s="68">
        <f>(PRINCIPALES!$AJ$22*INDEX(TABLAS!$E$52:$E$58,MATCH(MAX(PRINCIPALES!$AI$22,2),TABLAS!$B$52:$B$58,0))+PRINCIPALES!$AO$22*INDEX(TABLAS!$E$52:$E$58,MATCH(MAX(PRINCIPALES!$AN$22,2),TABLAS!$B$52:$B$58,0)))*(PRINCIPALES!$G$22+2*CUANTIFICACION!$C$8)</f>
        <v>0</v>
      </c>
      <c r="G61" s="68">
        <f>IF(PRINCIPALES!$AS$22&gt;0,(INT(PRINCIPALES!$G$22*100/PRINCIPALES!$AS$22)+1)*2*((PRINCIPALES!$N$22-2*DATOS!$C$18)+(PRINCIPALES!$O$22-2*DATOS!$C$18)+10)/100*INDEX(TABLAS!$E$52:$E$58,MATCH(DATOS!$C$95,TABLAS!$B$52:$B$58,0)),0)</f>
        <v>0</v>
      </c>
      <c r="H61" s="73">
        <f>F61+G61</f>
        <v>0</v>
      </c>
      <c r="I61" s="42" t="str">
        <f>PRINCIPALES!$AX$22</f>
        <v>BORDE DE VOLADO — armado de orilla</v>
      </c>
    </row>
    <row r="62">
      <c r="B62" s="39" t="inlineStr">
        <is>
          <t>NP-15</t>
        </is>
      </c>
      <c r="C62" s="41">
        <f>PRINCIPALES!$G$23</f>
        <v>4.925</v>
      </c>
      <c r="D62" s="39" t="str">
        <f>PRINCIPALES!$N$23&amp;" × "&amp;PRINCIPALES!$O$23</f>
        <v>15 × 25</v>
      </c>
      <c r="E62" s="34">
        <f>PRINCIPALES!$G$23*(PRINCIPALES!$N$23/100*PRINCIPALES!$O$23/100-PRINCIPALES!$N$23/100*DATOS!$C$57)</f>
        <v>0.108551020408163</v>
      </c>
      <c r="F62" s="68">
        <f>(PRINCIPALES!$AJ$23*INDEX(TABLAS!$E$52:$E$58,MATCH(MAX(PRINCIPALES!$AI$23,2),TABLAS!$B$52:$B$58,0))+PRINCIPALES!$AO$23*INDEX(TABLAS!$E$52:$E$58,MATCH(MAX(PRINCIPALES!$AN$23,2),TABLAS!$B$52:$B$58,0)))*(PRINCIPALES!$G$23+2*CUANTIFICACION!$C$8)</f>
        <v>0</v>
      </c>
      <c r="G62" s="68">
        <f>IF(PRINCIPALES!$AS$23&gt;0,(INT(PRINCIPALES!$G$23*100/PRINCIPALES!$AS$23)+1)*2*((PRINCIPALES!$N$23-2*DATOS!$C$18)+(PRINCIPALES!$O$23-2*DATOS!$C$18)+10)/100*INDEX(TABLAS!$E$52:$E$58,MATCH(DATOS!$C$95,TABLAS!$B$52:$B$58,0)),0)</f>
        <v>31.93344</v>
      </c>
      <c r="H62" s="73">
        <f>F62+G62</f>
        <v>31.93344</v>
      </c>
      <c r="I62" s="42" t="str">
        <f>PRINCIPALES!$AX$23</f>
        <v>NO CUMPLE: sección insuficiente en flexión cortante deflexión → h ≥ 45 cm</v>
      </c>
    </row>
    <row r="63">
      <c r="B63" s="39" t="inlineStr">
        <is>
          <t>NP-16</t>
        </is>
      </c>
      <c r="C63" s="41">
        <f>PRINCIPALES!$G$24</f>
        <v>7.25</v>
      </c>
      <c r="D63" s="39" t="str">
        <f>PRINCIPALES!$N$24&amp;" × "&amp;PRINCIPALES!$O$24</f>
        <v>15 × 25</v>
      </c>
      <c r="E63" s="34">
        <f>PRINCIPALES!$G$24*(PRINCIPALES!$N$24/100*PRINCIPALES!$O$24/100-PRINCIPALES!$N$24/100*DATOS!$C$57)</f>
        <v>0.159795918367347</v>
      </c>
      <c r="F63" s="68">
        <f>(PRINCIPALES!$AJ$24*INDEX(TABLAS!$E$52:$E$58,MATCH(MAX(PRINCIPALES!$AI$24,2),TABLAS!$B$52:$B$58,0))+PRINCIPALES!$AO$24*INDEX(TABLAS!$E$52:$E$58,MATCH(MAX(PRINCIPALES!$AN$24,2),TABLAS!$B$52:$B$58,0)))*(PRINCIPALES!$G$24+2*CUANTIFICACION!$C$8)</f>
        <v>0</v>
      </c>
      <c r="G63" s="68">
        <f>IF(PRINCIPALES!$AS$24&gt;0,(INT(PRINCIPALES!$G$24*100/PRINCIPALES!$AS$24)+1)*2*((PRINCIPALES!$N$24-2*DATOS!$C$18)+(PRINCIPALES!$O$24-2*DATOS!$C$18)+10)/100*INDEX(TABLAS!$E$52:$E$58,MATCH(DATOS!$C$95,TABLAS!$B$52:$B$58,0)),0)</f>
        <v>0</v>
      </c>
      <c r="H63" s="73">
        <f>F63+G63</f>
        <v>0</v>
      </c>
      <c r="I63" s="42" t="str">
        <f>PRINCIPALES!$AX$24</f>
        <v>BORDE DE VOLADO — armado de orilla</v>
      </c>
    </row>
    <row r="64">
      <c r="B64" s="39" t="inlineStr">
        <is>
          <t>NP-17</t>
        </is>
      </c>
      <c r="C64" s="41">
        <f>PRINCIPALES!$G$25</f>
        <v>3.425</v>
      </c>
      <c r="D64" s="39" t="str">
        <f>PRINCIPALES!$N$25&amp;" × "&amp;PRINCIPALES!$O$25</f>
        <v>15 × 25</v>
      </c>
      <c r="E64" s="34">
        <f>PRINCIPALES!$G$25*(PRINCIPALES!$N$25/100*PRINCIPALES!$O$25/100-PRINCIPALES!$N$25/100*DATOS!$C$57)</f>
        <v>0.0754897959183673</v>
      </c>
      <c r="F64" s="68">
        <f>(PRINCIPALES!$AJ$25*INDEX(TABLAS!$E$52:$E$58,MATCH(MAX(PRINCIPALES!$AI$25,2),TABLAS!$B$52:$B$58,0))+PRINCIPALES!$AO$25*INDEX(TABLAS!$E$52:$E$58,MATCH(MAX(PRINCIPALES!$AN$25,2),TABLAS!$B$52:$B$58,0)))*(PRINCIPALES!$G$25+2*CUANTIFICACION!$C$8)</f>
        <v>0</v>
      </c>
      <c r="G64" s="68">
        <f>IF(PRINCIPALES!$AS$25&gt;0,(INT(PRINCIPALES!$G$25*100/PRINCIPALES!$AS$25)+1)*2*((PRINCIPALES!$N$25-2*DATOS!$C$18)+(PRINCIPALES!$O$25-2*DATOS!$C$18)+10)/100*INDEX(TABLAS!$E$52:$E$58,MATCH(DATOS!$C$95,TABLAS!$B$52:$B$58,0)),0)</f>
        <v>0</v>
      </c>
      <c r="H64" s="73">
        <f>F64+G64</f>
        <v>0</v>
      </c>
      <c r="I64" s="42" t="str">
        <f>PRINCIPALES!$AX$25</f>
        <v>BORDE DE VOLADO — armado de orilla</v>
      </c>
    </row>
    <row r="65">
      <c r="B65" s="39" t="inlineStr">
        <is>
          <t>NP-18</t>
        </is>
      </c>
      <c r="C65" s="41">
        <f>PRINCIPALES!$G$26</f>
        <v>1.6</v>
      </c>
      <c r="D65" s="39" t="str">
        <f>PRINCIPALES!$N$26&amp;" × "&amp;PRINCIPALES!$O$26</f>
        <v>15 × 25</v>
      </c>
      <c r="E65" s="34">
        <f>PRINCIPALES!$G$26*(PRINCIPALES!$N$26/100*PRINCIPALES!$O$26/100-PRINCIPALES!$N$26/100*DATOS!$C$57)</f>
        <v>0.035265306122449</v>
      </c>
      <c r="F65" s="68">
        <f>(PRINCIPALES!$AJ$26*INDEX(TABLAS!$E$52:$E$58,MATCH(MAX(PRINCIPALES!$AI$26,2),TABLAS!$B$52:$B$58,0))+PRINCIPALES!$AO$26*INDEX(TABLAS!$E$52:$E$58,MATCH(MAX(PRINCIPALES!$AN$26,2),TABLAS!$B$52:$B$58,0)))*(PRINCIPALES!$G$26+2*CUANTIFICACION!$C$8)</f>
        <v>8.7472</v>
      </c>
      <c r="G65" s="68">
        <f>IF(PRINCIPALES!$AS$26&gt;0,(INT(PRINCIPALES!$G$26*100/PRINCIPALES!$AS$26)+1)*2*((PRINCIPALES!$N$26-2*DATOS!$C$18)+(PRINCIPALES!$O$26-2*DATOS!$C$18)+10)/100*INDEX(TABLAS!$E$52:$E$58,MATCH(DATOS!$C$95,TABLAS!$B$52:$B$58,0)),0)</f>
        <v>5.48352</v>
      </c>
      <c r="H65" s="73">
        <f>F65+G65</f>
        <v>14.23072</v>
      </c>
      <c r="I65" s="42" t="str">
        <f>PRINCIPALES!$AX$26</f>
        <v>CUMPLE</v>
      </c>
    </row>
    <row r="66">
      <c r="B66" s="39" t="inlineStr">
        <is>
          <t>NP-19</t>
        </is>
      </c>
      <c r="C66" s="41">
        <f>PRINCIPALES!$G$27</f>
        <v>1.825</v>
      </c>
      <c r="D66" s="39" t="str">
        <f>PRINCIPALES!$N$27&amp;" × "&amp;PRINCIPALES!$O$27</f>
        <v>15 × 25</v>
      </c>
      <c r="E66" s="34">
        <f>PRINCIPALES!$G$27*(PRINCIPALES!$N$27/100*PRINCIPALES!$O$27/100-PRINCIPALES!$N$27/100*DATOS!$C$57)</f>
        <v>0.0402244897959184</v>
      </c>
      <c r="F66" s="68">
        <f>(PRINCIPALES!$AJ$27*INDEX(TABLAS!$E$52:$E$58,MATCH(MAX(PRINCIPALES!$AI$27,2),TABLAS!$B$52:$B$58,0))+PRINCIPALES!$AO$27*INDEX(TABLAS!$E$52:$E$58,MATCH(MAX(PRINCIPALES!$AN$27,2),TABLAS!$B$52:$B$58,0)))*(PRINCIPALES!$G$27+2*CUANTIFICACION!$C$8)</f>
        <v>9.6418</v>
      </c>
      <c r="G66" s="68">
        <f>IF(PRINCIPALES!$AS$27&gt;0,(INT(PRINCIPALES!$G$27*100/PRINCIPALES!$AS$27)+1)*2*((PRINCIPALES!$N$27-2*DATOS!$C$18)+(PRINCIPALES!$O$27-2*DATOS!$C$18)+10)/100*INDEX(TABLAS!$E$52:$E$58,MATCH(DATOS!$C$95,TABLAS!$B$52:$B$58,0)),0)</f>
        <v>6.12864</v>
      </c>
      <c r="H66" s="73">
        <f>F66+G66</f>
        <v>15.77044</v>
      </c>
      <c r="I66" s="42" t="str">
        <f>PRINCIPALES!$AX$27</f>
        <v>CUMPLE</v>
      </c>
    </row>
    <row r="67">
      <c r="B67" s="39" t="inlineStr">
        <is>
          <t>NP-20</t>
        </is>
      </c>
      <c r="C67" s="41">
        <f>PRINCIPALES!$G$28</f>
        <v>1.002</v>
      </c>
      <c r="D67" s="39" t="str">
        <f>PRINCIPALES!$N$28&amp;" × "&amp;PRINCIPALES!$O$28</f>
        <v>15 × 25</v>
      </c>
      <c r="E67" s="34">
        <f>PRINCIPALES!$G$28*(PRINCIPALES!$N$28/100*PRINCIPALES!$O$28/100-PRINCIPALES!$N$28/100*DATOS!$C$57)</f>
        <v>0.0220848979591837</v>
      </c>
      <c r="F67" s="68">
        <f>(PRINCIPALES!$AJ$28*INDEX(TABLAS!$E$52:$E$58,MATCH(MAX(PRINCIPALES!$AI$28,2),TABLAS!$B$52:$B$58,0))+PRINCIPALES!$AO$28*INDEX(TABLAS!$E$52:$E$58,MATCH(MAX(PRINCIPALES!$AN$28,2),TABLAS!$B$52:$B$58,0)))*(PRINCIPALES!$G$28+2*CUANTIFICACION!$C$8)</f>
        <v>6.369552</v>
      </c>
      <c r="G67" s="68">
        <f>IF(PRINCIPALES!$AS$28&gt;0,(INT(PRINCIPALES!$G$28*100/PRINCIPALES!$AS$28)+1)*2*((PRINCIPALES!$N$28-2*DATOS!$C$18)+(PRINCIPALES!$O$28-2*DATOS!$C$18)+10)/100*INDEX(TABLAS!$E$52:$E$58,MATCH(DATOS!$C$95,TABLAS!$B$52:$B$58,0)),0)</f>
        <v>3.54816</v>
      </c>
      <c r="H67" s="73">
        <f>F67+G67</f>
        <v>9.917712</v>
      </c>
      <c r="I67" s="42" t="str">
        <f>PRINCIPALES!$AX$28</f>
        <v>CUMPLE</v>
      </c>
    </row>
    <row r="68">
      <c r="B68" s="39" t="inlineStr">
        <is>
          <t>NP-21</t>
        </is>
      </c>
      <c r="C68" s="41">
        <f>PRINCIPALES!$G$29</f>
        <v>3.025</v>
      </c>
      <c r="D68" s="39" t="str">
        <f>PRINCIPALES!$N$29&amp;" × "&amp;PRINCIPALES!$O$29</f>
        <v>15 × 25</v>
      </c>
      <c r="E68" s="34">
        <f>PRINCIPALES!$G$29*(PRINCIPALES!$N$29/100*PRINCIPALES!$O$29/100-PRINCIPALES!$N$29/100*DATOS!$C$57)</f>
        <v>0.0666734693877551</v>
      </c>
      <c r="F68" s="68">
        <f>(PRINCIPALES!$AJ$29*INDEX(TABLAS!$E$52:$E$58,MATCH(MAX(PRINCIPALES!$AI$29,2),TABLAS!$B$52:$B$58,0))+PRINCIPALES!$AO$29*INDEX(TABLAS!$E$52:$E$58,MATCH(MAX(PRINCIPALES!$AN$29,2),TABLAS!$B$52:$B$58,0)))*(PRINCIPALES!$G$29+2*CUANTIFICACION!$C$8)</f>
        <v>18.4585</v>
      </c>
      <c r="G68" s="68">
        <f>IF(PRINCIPALES!$AS$29&gt;0,(INT(PRINCIPALES!$G$29*100/PRINCIPALES!$AS$29)+1)*2*((PRINCIPALES!$N$29-2*DATOS!$C$18)+(PRINCIPALES!$O$29-2*DATOS!$C$18)+10)/100*INDEX(TABLAS!$E$52:$E$58,MATCH(DATOS!$C$95,TABLAS!$B$52:$B$58,0)),0)</f>
        <v>9.99936</v>
      </c>
      <c r="H68" s="73">
        <f>F68+G68</f>
        <v>28.45786</v>
      </c>
      <c r="I68" s="42" t="str">
        <f>PRINCIPALES!$AX$29</f>
        <v>CUMPLE</v>
      </c>
    </row>
    <row r="69">
      <c r="B69" s="39" t="inlineStr">
        <is>
          <t>NP-22</t>
        </is>
      </c>
      <c r="C69" s="41">
        <f>PRINCIPALES!$G$30</f>
        <v>1.925</v>
      </c>
      <c r="D69" s="39" t="str">
        <f>PRINCIPALES!$N$30&amp;" × "&amp;PRINCIPALES!$O$30</f>
        <v>15 × 25</v>
      </c>
      <c r="E69" s="34">
        <f>PRINCIPALES!$G$30*(PRINCIPALES!$N$30/100*PRINCIPALES!$O$30/100-PRINCIPALES!$N$30/100*DATOS!$C$57)</f>
        <v>0.0424285714285714</v>
      </c>
      <c r="F69" s="68">
        <f>(PRINCIPALES!$AJ$30*INDEX(TABLAS!$E$52:$E$58,MATCH(MAX(PRINCIPALES!$AI$30,2),TABLAS!$B$52:$B$58,0))+PRINCIPALES!$AO$30*INDEX(TABLAS!$E$52:$E$58,MATCH(MAX(PRINCIPALES!$AN$30,2),TABLAS!$B$52:$B$58,0)))*(PRINCIPALES!$G$30+2*CUANTIFICACION!$C$8)</f>
        <v>10.0394</v>
      </c>
      <c r="G69" s="68">
        <f>IF(PRINCIPALES!$AS$30&gt;0,(INT(PRINCIPALES!$G$30*100/PRINCIPALES!$AS$30)+1)*2*((PRINCIPALES!$N$30-2*DATOS!$C$18)+(PRINCIPALES!$O$30-2*DATOS!$C$18)+10)/100*INDEX(TABLAS!$E$52:$E$58,MATCH(DATOS!$C$95,TABLAS!$B$52:$B$58,0)),0)</f>
        <v>6.4512</v>
      </c>
      <c r="H69" s="73">
        <f>F69+G69</f>
        <v>16.4906</v>
      </c>
      <c r="I69" s="42" t="str">
        <f>PRINCIPALES!$AX$30</f>
        <v>CUMPLE</v>
      </c>
    </row>
    <row r="70">
      <c r="B70" s="39" t="inlineStr">
        <is>
          <t>NP-23</t>
        </is>
      </c>
      <c r="C70" s="41">
        <f>PRINCIPALES!$G$31</f>
        <v>6.15</v>
      </c>
      <c r="D70" s="39" t="str">
        <f>PRINCIPALES!$N$31&amp;" × "&amp;PRINCIPALES!$O$31</f>
        <v>15 × 25</v>
      </c>
      <c r="E70" s="34">
        <f>PRINCIPALES!$G$31*(PRINCIPALES!$N$31/100*PRINCIPALES!$O$31/100-PRINCIPALES!$N$31/100*DATOS!$C$57)</f>
        <v>0.135551020408163</v>
      </c>
      <c r="F70" s="68">
        <f>(PRINCIPALES!$AJ$31*INDEX(TABLAS!$E$52:$E$58,MATCH(MAX(PRINCIPALES!$AI$31,2),TABLAS!$B$52:$B$58,0))+PRINCIPALES!$AO$31*INDEX(TABLAS!$E$52:$E$58,MATCH(MAX(PRINCIPALES!$AN$31,2),TABLAS!$B$52:$B$58,0)))*(PRINCIPALES!$G$31+2*CUANTIFICACION!$C$8)</f>
        <v>50.301</v>
      </c>
      <c r="G70" s="68">
        <f>IF(PRINCIPALES!$AS$31&gt;0,(INT(PRINCIPALES!$G$31*100/PRINCIPALES!$AS$31)+1)*2*((PRINCIPALES!$N$31-2*DATOS!$C$18)+(PRINCIPALES!$O$31-2*DATOS!$C$18)+10)/100*INDEX(TABLAS!$E$52:$E$58,MATCH(DATOS!$C$95,TABLAS!$B$52:$B$58,0)),0)</f>
        <v>19.99872</v>
      </c>
      <c r="H70" s="73">
        <f>F70+G70</f>
        <v>70.29972</v>
      </c>
      <c r="I70" s="42" t="str">
        <f>PRINCIPALES!$AX$31</f>
        <v>NO CUMPLE: deflexión → h ≥ 40 cm</v>
      </c>
    </row>
    <row r="71">
      <c r="B71" s="39" t="inlineStr">
        <is>
          <t>NP-24</t>
        </is>
      </c>
      <c r="C71" s="41">
        <f>PRINCIPALES!$G$32</f>
        <v>4</v>
      </c>
      <c r="D71" s="39" t="str">
        <f>PRINCIPALES!$N$32&amp;" × "&amp;PRINCIPALES!$O$32</f>
        <v>15 × 25</v>
      </c>
      <c r="E71" s="34">
        <f>PRINCIPALES!$G$32*(PRINCIPALES!$N$32/100*PRINCIPALES!$O$32/100-PRINCIPALES!$N$32/100*DATOS!$C$57)</f>
        <v>0.0881632653061225</v>
      </c>
      <c r="F71" s="68">
        <f>(PRINCIPALES!$AJ$32*INDEX(TABLAS!$E$52:$E$58,MATCH(MAX(PRINCIPALES!$AI$32,2),TABLAS!$B$52:$B$58,0))+PRINCIPALES!$AO$32*INDEX(TABLAS!$E$52:$E$58,MATCH(MAX(PRINCIPALES!$AN$32,2),TABLAS!$B$52:$B$58,0)))*(PRINCIPALES!$G$32+2*CUANTIFICACION!$C$8)</f>
        <v>20.562</v>
      </c>
      <c r="G71" s="68">
        <f>IF(PRINCIPALES!$AS$32&gt;0,(INT(PRINCIPALES!$G$32*100/PRINCIPALES!$AS$32)+1)*2*((PRINCIPALES!$N$32-2*DATOS!$C$18)+(PRINCIPALES!$O$32-2*DATOS!$C$18)+10)/100*INDEX(TABLAS!$E$52:$E$58,MATCH(DATOS!$C$95,TABLAS!$B$52:$B$58,0)),0)</f>
        <v>13.22496</v>
      </c>
      <c r="H71" s="73">
        <f>F71+G71</f>
        <v>33.78696</v>
      </c>
      <c r="I71" s="42" t="str">
        <f>PRINCIPALES!$AX$32</f>
        <v>NO CUMPLE: sección insuficiente en flexión → h ≥ 30 cm</v>
      </c>
    </row>
    <row r="72">
      <c r="B72" s="39" t="inlineStr">
        <is>
          <t>NP-25</t>
        </is>
      </c>
      <c r="C72" s="41">
        <f>PRINCIPALES!$G$33</f>
        <v>1.962</v>
      </c>
      <c r="D72" s="39" t="str">
        <f>PRINCIPALES!$N$33&amp;" × "&amp;PRINCIPALES!$O$33</f>
        <v>15 × 25</v>
      </c>
      <c r="E72" s="34">
        <f>PRINCIPALES!$G$33*(PRINCIPALES!$N$33/100*PRINCIPALES!$O$33/100-PRINCIPALES!$N$33/100*DATOS!$C$57)</f>
        <v>0.0432440816326531</v>
      </c>
      <c r="F72" s="68">
        <f>(PRINCIPALES!$AJ$33*INDEX(TABLAS!$E$52:$E$58,MATCH(MAX(PRINCIPALES!$AI$33,2),TABLAS!$B$52:$B$58,0))+PRINCIPALES!$AO$33*INDEX(TABLAS!$E$52:$E$58,MATCH(MAX(PRINCIPALES!$AN$33,2),TABLAS!$B$52:$B$58,0)))*(PRINCIPALES!$G$33+2*CUANTIFICACION!$C$8)</f>
        <v>10.186512</v>
      </c>
      <c r="G72" s="68">
        <f>IF(PRINCIPALES!$AS$33&gt;0,(INT(PRINCIPALES!$G$33*100/PRINCIPALES!$AS$33)+1)*2*((PRINCIPALES!$N$33-2*DATOS!$C$18)+(PRINCIPALES!$O$33-2*DATOS!$C$18)+10)/100*INDEX(TABLAS!$E$52:$E$58,MATCH(DATOS!$C$95,TABLAS!$B$52:$B$58,0)),0)</f>
        <v>6.4512</v>
      </c>
      <c r="H72" s="73">
        <f>F72+G72</f>
        <v>16.637712</v>
      </c>
      <c r="I72" s="42" t="str">
        <f>PRINCIPALES!$AX$33</f>
        <v>CUMPLE</v>
      </c>
    </row>
    <row r="73">
      <c r="B73" s="39" t="inlineStr">
        <is>
          <t>NP-26</t>
        </is>
      </c>
      <c r="C73" s="41">
        <f>PRINCIPALES!$G$34</f>
        <v>5.497</v>
      </c>
      <c r="D73" s="39" t="str">
        <f>PRINCIPALES!$N$34&amp;" × "&amp;PRINCIPALES!$O$34</f>
        <v>15 × 25</v>
      </c>
      <c r="E73" s="34">
        <f>PRINCIPALES!$G$34*(PRINCIPALES!$N$34/100*PRINCIPALES!$O$34/100-PRINCIPALES!$N$34/100*DATOS!$C$57)</f>
        <v>0.121158367346939</v>
      </c>
      <c r="F73" s="68">
        <f>(PRINCIPALES!$AJ$34*INDEX(TABLAS!$E$52:$E$58,MATCH(MAX(PRINCIPALES!$AI$34,2),TABLAS!$B$52:$B$58,0))+PRINCIPALES!$AO$34*INDEX(TABLAS!$E$52:$E$58,MATCH(MAX(PRINCIPALES!$AN$34,2),TABLAS!$B$52:$B$58,0)))*(PRINCIPALES!$G$34+2*CUANTIFICACION!$C$8)</f>
        <v>0</v>
      </c>
      <c r="G73" s="68">
        <f>IF(PRINCIPALES!$AS$34&gt;0,(INT(PRINCIPALES!$G$34*100/PRINCIPALES!$AS$34)+1)*2*((PRINCIPALES!$N$34-2*DATOS!$C$18)+(PRINCIPALES!$O$34-2*DATOS!$C$18)+10)/100*INDEX(TABLAS!$E$52:$E$58,MATCH(DATOS!$C$95,TABLAS!$B$52:$B$58,0)),0)</f>
        <v>35.4816</v>
      </c>
      <c r="H73" s="73">
        <f>F73+G73</f>
        <v>35.4816</v>
      </c>
      <c r="I73" s="42" t="str">
        <f>PRINCIPALES!$AX$34</f>
        <v>NO CUMPLE: sección insuficiente en flexión cortante deflexión → h ≥ 45 cm</v>
      </c>
    </row>
    <row r="74">
      <c r="B74" s="39" t="inlineStr">
        <is>
          <t>NP-27</t>
        </is>
      </c>
      <c r="C74" s="41">
        <f>PRINCIPALES!$G$35</f>
        <v>0.399</v>
      </c>
      <c r="D74" s="39" t="str">
        <f>PRINCIPALES!$N$35&amp;" × "&amp;PRINCIPALES!$O$35</f>
        <v>15 × 25</v>
      </c>
      <c r="E74" s="34">
        <f>PRINCIPALES!$G$35*(PRINCIPALES!$N$35/100*PRINCIPALES!$O$35/100-PRINCIPALES!$N$35/100*DATOS!$C$57)</f>
        <v>0.00879428571428572</v>
      </c>
      <c r="F74" s="68">
        <f>(PRINCIPALES!$AJ$35*INDEX(TABLAS!$E$52:$E$58,MATCH(MAX(PRINCIPALES!$AI$35,2),TABLAS!$B$52:$B$58,0))+PRINCIPALES!$AO$35*INDEX(TABLAS!$E$52:$E$58,MATCH(MAX(PRINCIPALES!$AN$35,2),TABLAS!$B$52:$B$58,0)))*(PRINCIPALES!$G$35+2*CUANTIFICACION!$C$8)</f>
        <v>4.96503</v>
      </c>
      <c r="G74" s="68">
        <f>IF(PRINCIPALES!$AS$35&gt;0,(INT(PRINCIPALES!$G$35*100/PRINCIPALES!$AS$35)+1)*2*((PRINCIPALES!$N$35-2*DATOS!$C$18)+(PRINCIPALES!$O$35-2*DATOS!$C$18)+10)/100*INDEX(TABLAS!$E$52:$E$58,MATCH(DATOS!$C$95,TABLAS!$B$52:$B$58,0)),0)</f>
        <v>1.29024</v>
      </c>
      <c r="H74" s="73">
        <f>F74+G74</f>
        <v>6.25527</v>
      </c>
      <c r="I74" s="42" t="str">
        <f>PRINCIPALES!$AX$35</f>
        <v>CUMPLE (en VOLADO)</v>
      </c>
    </row>
    <row r="75">
      <c r="B75" s="39" t="inlineStr">
        <is>
          <t>NP-28</t>
        </is>
      </c>
      <c r="C75" s="41">
        <f>PRINCIPALES!$G$36</f>
        <v>1.6</v>
      </c>
      <c r="D75" s="39" t="str">
        <f>PRINCIPALES!$N$36&amp;" × "&amp;PRINCIPALES!$O$36</f>
        <v>15 × 25</v>
      </c>
      <c r="E75" s="34">
        <f>PRINCIPALES!$G$36*(PRINCIPALES!$N$36/100*PRINCIPALES!$O$36/100-PRINCIPALES!$N$36/100*DATOS!$C$57)</f>
        <v>0.035265306122449</v>
      </c>
      <c r="F75" s="68">
        <f>(PRINCIPALES!$AJ$36*INDEX(TABLAS!$E$52:$E$58,MATCH(MAX(PRINCIPALES!$AI$36,2),TABLAS!$B$52:$B$58,0))+PRINCIPALES!$AO$36*INDEX(TABLAS!$E$52:$E$58,MATCH(MAX(PRINCIPALES!$AN$36,2),TABLAS!$B$52:$B$58,0)))*(PRINCIPALES!$G$36+2*CUANTIFICACION!$C$8)</f>
        <v>8.7472</v>
      </c>
      <c r="G75" s="68">
        <f>IF(PRINCIPALES!$AS$36&gt;0,(INT(PRINCIPALES!$G$36*100/PRINCIPALES!$AS$36)+1)*2*((PRINCIPALES!$N$36-2*DATOS!$C$18)+(PRINCIPALES!$O$36-2*DATOS!$C$18)+10)/100*INDEX(TABLAS!$E$52:$E$58,MATCH(DATOS!$C$95,TABLAS!$B$52:$B$58,0)),0)</f>
        <v>5.48352</v>
      </c>
      <c r="H75" s="73">
        <f>F75+G75</f>
        <v>14.23072</v>
      </c>
      <c r="I75" s="42" t="str">
        <f>PRINCIPALES!$AX$36</f>
        <v>CUMPLE</v>
      </c>
    </row>
    <row r="76">
      <c r="B76" s="39" t="inlineStr">
        <is>
          <t>NP-29</t>
        </is>
      </c>
      <c r="C76" s="41">
        <f>PRINCIPALES!$G$37</f>
        <v>3.025</v>
      </c>
      <c r="D76" s="39" t="str">
        <f>PRINCIPALES!$N$37&amp;" × "&amp;PRINCIPALES!$O$37</f>
        <v>15 × 25</v>
      </c>
      <c r="E76" s="34">
        <f>PRINCIPALES!$G$37*(PRINCIPALES!$N$37/100*PRINCIPALES!$O$37/100-PRINCIPALES!$N$37/100*DATOS!$C$57)</f>
        <v>0.0666734693877551</v>
      </c>
      <c r="F76" s="68">
        <f>(PRINCIPALES!$AJ$37*INDEX(TABLAS!$E$52:$E$58,MATCH(MAX(PRINCIPALES!$AI$37,2),TABLAS!$B$52:$B$58,0))+PRINCIPALES!$AO$37*INDEX(TABLAS!$E$52:$E$58,MATCH(MAX(PRINCIPALES!$AN$37,2),TABLAS!$B$52:$B$58,0)))*(PRINCIPALES!$G$37+2*CUANTIFICACION!$C$8)</f>
        <v>18.01625</v>
      </c>
      <c r="G76" s="68">
        <f>IF(PRINCIPALES!$AS$37&gt;0,(INT(PRINCIPALES!$G$37*100/PRINCIPALES!$AS$37)+1)*2*((PRINCIPALES!$N$37-2*DATOS!$C$18)+(PRINCIPALES!$O$37-2*DATOS!$C$18)+10)/100*INDEX(TABLAS!$E$52:$E$58,MATCH(DATOS!$C$95,TABLAS!$B$52:$B$58,0)),0)</f>
        <v>9.99936</v>
      </c>
      <c r="H76" s="73">
        <f>F76+G76</f>
        <v>28.01561</v>
      </c>
      <c r="I76" s="42" t="str">
        <f>PRINCIPALES!$AX$37</f>
        <v>CUMPLE</v>
      </c>
    </row>
    <row r="77">
      <c r="B77" s="39" t="inlineStr">
        <is>
          <t>NP-30</t>
        </is>
      </c>
      <c r="C77" s="41">
        <f>PRINCIPALES!$G$38</f>
        <v>1.04</v>
      </c>
      <c r="D77" s="39" t="str">
        <f>PRINCIPALES!$N$38&amp;" × "&amp;PRINCIPALES!$O$38</f>
        <v>15 × 25</v>
      </c>
      <c r="E77" s="34">
        <f>PRINCIPALES!$G$38*(PRINCIPALES!$N$38/100*PRINCIPALES!$O$38/100-PRINCIPALES!$N$38/100*DATOS!$C$57)</f>
        <v>0.0229224489795918</v>
      </c>
      <c r="F77" s="68">
        <f>(PRINCIPALES!$AJ$38*INDEX(TABLAS!$E$52:$E$58,MATCH(MAX(PRINCIPALES!$AI$38,2),TABLAS!$B$52:$B$58,0))+PRINCIPALES!$AO$38*INDEX(TABLAS!$E$52:$E$58,MATCH(MAX(PRINCIPALES!$AN$38,2),TABLAS!$B$52:$B$58,0)))*(PRINCIPALES!$G$38+2*CUANTIFICACION!$C$8)</f>
        <v>8.1508</v>
      </c>
      <c r="G77" s="68">
        <f>IF(PRINCIPALES!$AS$38&gt;0,(INT(PRINCIPALES!$G$38*100/PRINCIPALES!$AS$38)+1)*2*((PRINCIPALES!$N$38-2*DATOS!$C$18)+(PRINCIPALES!$O$38-2*DATOS!$C$18)+10)/100*INDEX(TABLAS!$E$52:$E$58,MATCH(DATOS!$C$95,TABLAS!$B$52:$B$58,0)),0)</f>
        <v>3.54816</v>
      </c>
      <c r="H77" s="73">
        <f>F77+G77</f>
        <v>11.69896</v>
      </c>
      <c r="I77" s="42" t="str">
        <f>PRINCIPALES!$AX$38</f>
        <v>CUMPLE (en VOLADO)</v>
      </c>
    </row>
    <row r="78">
      <c r="B78" s="39" t="inlineStr">
        <is>
          <t>NP-31</t>
        </is>
      </c>
      <c r="C78" s="41">
        <f>PRINCIPALES!$G$39</f>
        <v>3.028</v>
      </c>
      <c r="D78" s="39" t="str">
        <f>PRINCIPALES!$N$39&amp;" × "&amp;PRINCIPALES!$O$39</f>
        <v>15 × 25</v>
      </c>
      <c r="E78" s="34">
        <f>PRINCIPALES!$G$39*(PRINCIPALES!$N$39/100*PRINCIPALES!$O$39/100-PRINCIPALES!$N$39/100*DATOS!$C$57)</f>
        <v>0.0667395918367347</v>
      </c>
      <c r="F78" s="68">
        <f>(PRINCIPALES!$AJ$39*INDEX(TABLAS!$E$52:$E$58,MATCH(MAX(PRINCIPALES!$AI$39,2),TABLAS!$B$52:$B$58,0))+PRINCIPALES!$AO$39*INDEX(TABLAS!$E$52:$E$58,MATCH(MAX(PRINCIPALES!$AN$39,2),TABLAS!$B$52:$B$58,0)))*(PRINCIPALES!$G$39+2*CUANTIFICACION!$C$8)</f>
        <v>14.424928</v>
      </c>
      <c r="G78" s="68">
        <f>IF(PRINCIPALES!$AS$39&gt;0,(INT(PRINCIPALES!$G$39*100/PRINCIPALES!$AS$39)+1)*2*((PRINCIPALES!$N$39-2*DATOS!$C$18)+(PRINCIPALES!$O$39-2*DATOS!$C$18)+10)/100*INDEX(TABLAS!$E$52:$E$58,MATCH(DATOS!$C$95,TABLAS!$B$52:$B$58,0)),0)</f>
        <v>9.99936</v>
      </c>
      <c r="H78" s="73">
        <f>F78+G78</f>
        <v>24.424288</v>
      </c>
      <c r="I78" s="42" t="str">
        <f>PRINCIPALES!$AX$39</f>
        <v>CUMPLE</v>
      </c>
    </row>
    <row r="79">
      <c r="B79" s="39" t="inlineStr">
        <is>
          <t>NP-32</t>
        </is>
      </c>
      <c r="C79" s="41">
        <f>PRINCIPALES!$G$40</f>
        <v>3.029</v>
      </c>
      <c r="D79" s="39" t="str">
        <f>PRINCIPALES!$N$40&amp;" × "&amp;PRINCIPALES!$O$40</f>
        <v>15 × 25</v>
      </c>
      <c r="E79" s="34">
        <f>PRINCIPALES!$G$40*(PRINCIPALES!$N$40/100*PRINCIPALES!$O$40/100-PRINCIPALES!$N$40/100*DATOS!$C$57)</f>
        <v>0.0667616326530612</v>
      </c>
      <c r="F79" s="68">
        <f>(PRINCIPALES!$AJ$40*INDEX(TABLAS!$E$52:$E$58,MATCH(MAX(PRINCIPALES!$AI$40,2),TABLAS!$B$52:$B$58,0))+PRINCIPALES!$AO$40*INDEX(TABLAS!$E$52:$E$58,MATCH(MAX(PRINCIPALES!$AN$40,2),TABLAS!$B$52:$B$58,0)))*(PRINCIPALES!$G$40+2*CUANTIFICACION!$C$8)</f>
        <v>14.428904</v>
      </c>
      <c r="G79" s="68">
        <f>IF(PRINCIPALES!$AS$40&gt;0,(INT(PRINCIPALES!$G$40*100/PRINCIPALES!$AS$40)+1)*2*((PRINCIPALES!$N$40-2*DATOS!$C$18)+(PRINCIPALES!$O$40-2*DATOS!$C$18)+10)/100*INDEX(TABLAS!$E$52:$E$58,MATCH(DATOS!$C$95,TABLAS!$B$52:$B$58,0)),0)</f>
        <v>9.99936</v>
      </c>
      <c r="H79" s="73">
        <f>F79+G79</f>
        <v>24.428264</v>
      </c>
      <c r="I79" s="42" t="str">
        <f>PRINCIPALES!$AX$40</f>
        <v>CUMPLE</v>
      </c>
    </row>
    <row r="80">
      <c r="B80" s="39" t="inlineStr">
        <is>
          <t>NP-33</t>
        </is>
      </c>
      <c r="C80" s="41">
        <f>PRINCIPALES!$G$41</f>
        <v>1.825</v>
      </c>
      <c r="D80" s="39" t="str">
        <f>PRINCIPALES!$N$41&amp;" × "&amp;PRINCIPALES!$O$41</f>
        <v>15 × 25</v>
      </c>
      <c r="E80" s="34">
        <f>PRINCIPALES!$G$41*(PRINCIPALES!$N$41/100*PRINCIPALES!$O$41/100-PRINCIPALES!$N$41/100*DATOS!$C$57)</f>
        <v>0.0402244897959184</v>
      </c>
      <c r="F80" s="68">
        <f>(PRINCIPALES!$AJ$41*INDEX(TABLAS!$E$52:$E$58,MATCH(MAX(PRINCIPALES!$AI$41,2),TABLAS!$B$52:$B$58,0))+PRINCIPALES!$AO$41*INDEX(TABLAS!$E$52:$E$58,MATCH(MAX(PRINCIPALES!$AN$41,2),TABLAS!$B$52:$B$58,0)))*(PRINCIPALES!$G$41+2*CUANTIFICACION!$C$8)</f>
        <v>9.6418</v>
      </c>
      <c r="G80" s="68">
        <f>IF(PRINCIPALES!$AS$41&gt;0,(INT(PRINCIPALES!$G$41*100/PRINCIPALES!$AS$41)+1)*2*((PRINCIPALES!$N$41-2*DATOS!$C$18)+(PRINCIPALES!$O$41-2*DATOS!$C$18)+10)/100*INDEX(TABLAS!$E$52:$E$58,MATCH(DATOS!$C$95,TABLAS!$B$52:$B$58,0)),0)</f>
        <v>6.12864</v>
      </c>
      <c r="H80" s="73">
        <f>F80+G80</f>
        <v>15.77044</v>
      </c>
      <c r="I80" s="42" t="str">
        <f>PRINCIPALES!$AX$41</f>
        <v>CUMPLE</v>
      </c>
    </row>
    <row r="81">
      <c r="B81" s="39" t="inlineStr">
        <is>
          <t>NP-34</t>
        </is>
      </c>
      <c r="C81" s="41">
        <f>PRINCIPALES!$G$42</f>
        <v>3.002</v>
      </c>
      <c r="D81" s="39" t="str">
        <f>PRINCIPALES!$N$42&amp;" × "&amp;PRINCIPALES!$O$42</f>
        <v>15 × 25</v>
      </c>
      <c r="E81" s="34">
        <f>PRINCIPALES!$G$42*(PRINCIPALES!$N$42/100*PRINCIPALES!$O$42/100-PRINCIPALES!$N$42/100*DATOS!$C$57)</f>
        <v>0.0661665306122449</v>
      </c>
      <c r="F81" s="68">
        <f>(PRINCIPALES!$AJ$42*INDEX(TABLAS!$E$52:$E$58,MATCH(MAX(PRINCIPALES!$AI$42,2),TABLAS!$B$52:$B$58,0))+PRINCIPALES!$AO$42*INDEX(TABLAS!$E$52:$E$58,MATCH(MAX(PRINCIPALES!$AN$42,2),TABLAS!$B$52:$B$58,0)))*(PRINCIPALES!$G$42+2*CUANTIFICACION!$C$8)</f>
        <v>14.321552</v>
      </c>
      <c r="G81" s="68">
        <f>IF(PRINCIPALES!$AS$42&gt;0,(INT(PRINCIPALES!$G$42*100/PRINCIPALES!$AS$42)+1)*2*((PRINCIPALES!$N$42-2*DATOS!$C$18)+(PRINCIPALES!$O$42-2*DATOS!$C$18)+10)/100*INDEX(TABLAS!$E$52:$E$58,MATCH(DATOS!$C$95,TABLAS!$B$52:$B$58,0)),0)</f>
        <v>9.99936</v>
      </c>
      <c r="H81" s="73">
        <f>F81+G81</f>
        <v>24.320912</v>
      </c>
      <c r="I81" s="42" t="str">
        <f>PRINCIPALES!$AX$42</f>
        <v>CUMPLE</v>
      </c>
    </row>
    <row r="82">
      <c r="B82" s="32" t="inlineStr">
        <is>
          <t>TOTAL</t>
        </is>
      </c>
      <c r="E82" s="59">
        <f>SUM(E48:E81)</f>
        <v>2.18640489795918</v>
      </c>
      <c r="H82" s="56">
        <f>SUM(H48:H81)</f>
        <v>812.94288</v>
      </c>
    </row>
    <row r="84" ht="21" customHeight="1">
      <c r="B84" s="5" t="inlineStr">
        <is>
          <t>4. TOTALES A PEDIR</t>
        </is>
      </c>
    </row>
    <row r="85" ht="30" customHeight="1">
      <c r="B85" s="8" t="inlineStr">
        <is>
          <t>Concepto</t>
        </is>
      </c>
      <c r="C85" s="8" t="inlineStr">
        <is>
          <t>Cantidad</t>
        </is>
      </c>
      <c r="D85" s="8" t="inlineStr">
        <is>
          <t>Unidad</t>
        </is>
      </c>
      <c r="E85" s="8" t="inlineStr">
        <is>
          <t>Cómo se calcula</t>
        </is>
      </c>
      <c r="F85" s="8" t="inlineStr">
        <is>
          <t>Referencia</t>
        </is>
      </c>
    </row>
    <row r="86">
      <c r="B86" s="74" t="inlineStr">
        <is>
          <t>Concreto de losas (con desperdicio)</t>
        </is>
      </c>
      <c r="C86" s="75">
        <f>(CUANTIFICACION!$E$44+CUANTIFICACION!$E$82)*CUANTIFICACION!$C$6</f>
        <v>40.0185501428572</v>
      </c>
      <c r="D86" s="39" t="inlineStr">
        <is>
          <t>m³</t>
        </is>
      </c>
      <c r="E86" s="35" t="inlineStr">
        <is>
          <t>Tableros + exceso de principales, × desperdicio.</t>
        </is>
      </c>
      <c r="J86" s="76" t="inlineStr">
        <is>
          <t>—</t>
        </is>
      </c>
    </row>
    <row r="87">
      <c r="B87" s="74" t="inlineStr">
        <is>
          <t>Casetones de poliestireno 60×60×20</t>
        </is>
      </c>
      <c r="C87" s="75">
        <f>CUANTIFICACION!$D$44</f>
        <v>438</v>
      </c>
      <c r="D87" s="39" t="inlineStr">
        <is>
          <t>pzas</t>
        </is>
      </c>
      <c r="E87" s="35" t="inlineStr">
        <is>
          <t>Suma por tablero.</t>
        </is>
      </c>
      <c r="J87" s="76" t="inlineStr">
        <is>
          <t>—</t>
        </is>
      </c>
    </row>
    <row r="88">
      <c r="B88" s="74" t="inlineStr">
        <is>
          <t>Malla electrosoldada</t>
        </is>
      </c>
      <c r="C88" s="75">
        <f>CUANTIFICACION!$F$44*1.10</f>
        <v>296.835</v>
      </c>
      <c r="D88" s="39" t="inlineStr">
        <is>
          <t>m²</t>
        </is>
      </c>
      <c r="E88" s="35" t="inlineStr">
        <is>
          <t>Área de losa + 10% de traslapes.</t>
        </is>
      </c>
      <c r="J88" s="76" t="inlineStr">
        <is>
          <t>—</t>
        </is>
      </c>
    </row>
    <row r="89">
      <c r="B89" s="74" t="inlineStr">
        <is>
          <t>Acero de nervaduras secundarias (con desperdicio)</t>
        </is>
      </c>
      <c r="C89" s="75">
        <f>CUANTIFICACION!$I$44*CUANTIFICACION!$C$7</f>
        <v>1097.07837016</v>
      </c>
      <c r="D89" s="39" t="inlineStr">
        <is>
          <t>kg</t>
        </is>
      </c>
      <c r="E89" s="35" t="inlineStr">
        <is>
          <t>—</t>
        </is>
      </c>
      <c r="J89" s="76" t="inlineStr">
        <is>
          <t>—</t>
        </is>
      </c>
    </row>
    <row r="90">
      <c r="B90" s="74" t="inlineStr">
        <is>
          <t>Acero de nervaduras principales (con desperdicio)</t>
        </is>
      </c>
      <c r="C90" s="75">
        <f>CUANTIFICACION!$H$82*CUANTIFICACION!$C$7</f>
        <v>869.8488816</v>
      </c>
      <c r="D90" s="39" t="inlineStr">
        <is>
          <t>kg</t>
        </is>
      </c>
      <c r="E90" s="35" t="inlineStr">
        <is>
          <t>—</t>
        </is>
      </c>
      <c r="J90" s="76" t="inlineStr">
        <is>
          <t>—</t>
        </is>
      </c>
    </row>
  </sheetData>
  <mergeCells count="48">
    <mergeCell ref="I65:J65"/>
    <mergeCell ref="I81:J81"/>
    <mergeCell ref="I77:J77"/>
    <mergeCell ref="I80:J80"/>
    <mergeCell ref="I49:J49"/>
    <mergeCell ref="B1:J1"/>
    <mergeCell ref="I61:J61"/>
    <mergeCell ref="E8:I8"/>
    <mergeCell ref="I70:J70"/>
    <mergeCell ref="E88:I88"/>
    <mergeCell ref="I57:J57"/>
    <mergeCell ref="B10:J10"/>
    <mergeCell ref="I54:J54"/>
    <mergeCell ref="I76:J76"/>
    <mergeCell ref="E87:I87"/>
    <mergeCell ref="I72:J72"/>
    <mergeCell ref="B84:J84"/>
    <mergeCell ref="I75:J75"/>
    <mergeCell ref="I53:J53"/>
    <mergeCell ref="I66:J66"/>
    <mergeCell ref="I71:J71"/>
    <mergeCell ref="I58:J58"/>
    <mergeCell ref="I56:J56"/>
    <mergeCell ref="I68:J68"/>
    <mergeCell ref="E90:I90"/>
    <mergeCell ref="E6:I6"/>
    <mergeCell ref="I55:J55"/>
    <mergeCell ref="I62:J62"/>
    <mergeCell ref="E86:I86"/>
    <mergeCell ref="E89:I89"/>
    <mergeCell ref="I67:J67"/>
    <mergeCell ref="B4:J4"/>
    <mergeCell ref="I52:J52"/>
    <mergeCell ref="I48:J48"/>
    <mergeCell ref="I64:J64"/>
    <mergeCell ref="I79:J79"/>
    <mergeCell ref="I73:J73"/>
    <mergeCell ref="I51:J51"/>
    <mergeCell ref="E7:I7"/>
    <mergeCell ref="I78:J78"/>
    <mergeCell ref="B46:J46"/>
    <mergeCell ref="I63:J63"/>
    <mergeCell ref="I59:J59"/>
    <mergeCell ref="I50:J50"/>
    <mergeCell ref="I69:J69"/>
    <mergeCell ref="I60:J60"/>
    <mergeCell ref="I74:J74"/>
    <mergeCell ref="B2:J2"/>
  </mergeCells>
  <conditionalFormatting sqref="I1:J91">
    <cfRule type="expression" priority="1" dxfId="0" stopIfTrue="1">
      <formula>OR(ISNUMBER(FIND("NO CUMPLE",I1)),ISNUMBER(FIND("REVISAR",I1)),ISNUMBER(FIND("NO CABE",I1)),ISNUMBER(FIND("FUERA",I1)),ISNUMBER(FIND("SIN APOYO",I1)),ISNUMBER(FIND("INSUFICIENTE",I1)))</formula>
    </cfRule>
    <cfRule type="expression" priority="2" dxfId="1" stopIfTrue="1">
      <formula>OR(ISNUMBER(FIND("CUMPLE",I1)),ISNUMBER(FIND("SÍ aplica",I1)),ISNUMBER(FIND("MANDA",I1)))</formula>
    </cfRule>
    <cfRule type="expression" priority="3" dxfId="2" stopIfTrue="1">
      <formula>OR(ISNUMBER(FIND("MACIZAR",I1)),ISNUMBER(FIND("VOLADO",I1)),ISNUMBER(FIND("PROPUESTO",I1)),ISNUMBER(FIND("VER ",I1)))</formula>
    </cfRule>
  </conditionalFormatting>
  <pageMargins left="0.75" right="0.75" top="1" bottom="1" header="0.5" footer="0.5"/>
  <pageSetup orientation="landscape" paperSize="1" fitToHeight="0" fitToWidth="1"/>
</worksheet>
</file>

<file path=xl/worksheets/sheet10.xml><?xml version="1.0" encoding="utf-8"?>
<worksheet xmlns="http://schemas.openxmlformats.org/spreadsheetml/2006/main">
  <sheetPr>
    <outlinePr summaryBelow="1" summaryRight="1"/>
    <pageSetUpPr fitToPage="1"/>
  </sheetPr>
  <dimension ref="B1:N202"/>
  <sheetViews>
    <sheetView showGridLines="0" zoomScale="85" workbookViewId="0">
      <selection activeCell="A1" sqref="A1"/>
    </sheetView>
  </sheetViews>
  <sheetFormatPr baseColWidth="8" defaultRowHeight="15"/>
  <cols>
    <col width="1.78" customWidth="1" min="1" max="1"/>
    <col width="16" customWidth="1" min="2" max="2"/>
    <col width="12" customWidth="1" min="3" max="3"/>
    <col width="10" customWidth="1" min="4" max="4"/>
    <col width="9" customWidth="1" min="5" max="5"/>
    <col width="7" customWidth="1" min="6" max="6"/>
    <col width="7" customWidth="1" min="7" max="7"/>
    <col width="8" customWidth="1" min="8" max="8"/>
    <col width="8" customWidth="1" min="9" max="9"/>
    <col width="9" customWidth="1" min="10" max="10"/>
    <col width="8" customWidth="1" min="11" max="11"/>
    <col width="9" customWidth="1" min="12" max="12"/>
    <col width="9" customWidth="1" min="13" max="13"/>
    <col width="30" customWidth="1" min="14" max="14"/>
  </cols>
  <sheetData>
    <row r="1" ht="26" customHeight="1">
      <c r="B1" s="1" t="inlineStr">
        <is>
          <t>RESUMEN DE LAS LOSAS NERVADAS — CASA ROCHA</t>
        </is>
      </c>
    </row>
    <row r="2" ht="30" customHeight="1">
      <c r="B2" s="2" t="inlineStr">
        <is>
          <t>Losa reticular LR-25 (casetón 60×60×20, nervadura de 10 cm, capa de 5 cm) en entrepiso N+3.00 y azotea N+6.00, apoyada en muros de block confinados y en nervaduras principales.</t>
        </is>
      </c>
    </row>
    <row r="3" ht="6" customHeight="1"/>
    <row r="4" ht="21" customHeight="1">
      <c r="B4" s="5" t="inlineStr">
        <is>
          <t>1. REVISIONES — TODO EN UN SOLO LUGAR</t>
        </is>
      </c>
    </row>
    <row r="5">
      <c r="B5" s="8" t="inlineStr">
        <is>
          <t>Revisión</t>
        </is>
      </c>
      <c r="C5" s="77" t="n"/>
      <c r="D5" s="31" t="n"/>
      <c r="E5" s="8" t="inlineStr">
        <is>
          <t>Cuántos</t>
        </is>
      </c>
      <c r="F5" s="8" t="inlineStr">
        <is>
          <t>de</t>
        </is>
      </c>
      <c r="G5" s="8" t="inlineStr"/>
      <c r="H5" s="77" t="n"/>
      <c r="I5" s="77" t="n"/>
      <c r="J5" s="77" t="n"/>
      <c r="K5" s="77" t="n"/>
      <c r="L5" s="77" t="n"/>
      <c r="M5" s="31" t="n"/>
      <c r="N5" s="8" t="inlineStr">
        <is>
          <t>Estado</t>
        </is>
      </c>
    </row>
    <row r="6">
      <c r="B6" s="74" t="inlineStr">
        <is>
          <t>Tableros que CUMPLEN (nervaduras secundarias)</t>
        </is>
      </c>
      <c r="E6" s="56">
        <f>COUNTIF(TABLEROS!$BP$9:$BP$40,"CUMPLE*")</f>
        <v>21</v>
      </c>
      <c r="F6" s="55">
        <f>COUNTA(TABLEROS!$BP$9:$BP$40)-COUNTIF(TABLEROS!$BP$9:$BP$40,"HUECO*")</f>
        <v>30</v>
      </c>
      <c r="G6" s="39" t="inlineStr"/>
      <c r="N6" s="60" t="str">
        <f>IF(E6=F6,"CUMPLE — todos","REVISAR — "&amp;(F6-E6)&amp;" pendiente(s)")</f>
        <v>REVISAR — 9 pendiente(s)</v>
      </c>
    </row>
    <row r="7">
      <c r="B7" s="74" t="inlineStr">
        <is>
          <t>Tableros que piden MACIZAR casetones junto al apoyo</t>
        </is>
      </c>
      <c r="E7" s="56">
        <f>COUNTIF(TABLEROS!$BP$9:$BP$40,"*MACIZAR*")</f>
        <v>4</v>
      </c>
      <c r="F7" s="55">
        <f>COUNTA(TABLEROS!$BP$9:$BP$40)</f>
        <v>32</v>
      </c>
      <c r="G7" s="39" t="inlineStr"/>
      <c r="N7" s="60" t="str">
        <f>"informativo"</f>
        <v>informativo</v>
      </c>
    </row>
    <row r="8">
      <c r="B8" s="74" t="inlineStr">
        <is>
          <t>Tableros que esperan a una nervadura principal</t>
        </is>
      </c>
      <c r="E8" s="56">
        <f>COUNTIF(TABLEROS!$BP$9:$BP$40,"VER PRINCIPALES*")</f>
        <v>9</v>
      </c>
      <c r="F8" s="55">
        <f>COUNTA(TABLEROS!$BP$9:$BP$40)</f>
        <v>32</v>
      </c>
      <c r="G8" s="39" t="inlineStr"/>
      <c r="N8" s="60" t="str">
        <f>IF(E8=0,"CUMPLE — ninguno","REVISAR — ver lista")</f>
        <v>REVISAR — ver lista</v>
      </c>
    </row>
    <row r="9">
      <c r="B9" s="74" t="inlineStr">
        <is>
          <t>Tableros que NO CUMPLEN</t>
        </is>
      </c>
      <c r="E9" s="56">
        <f>COUNTIF(TABLEROS!$BP$9:$BP$40,"NO CUMPLE*")</f>
        <v>0</v>
      </c>
      <c r="F9" s="55">
        <f>COUNTA(TABLEROS!$BP$9:$BP$40)</f>
        <v>32</v>
      </c>
      <c r="G9" s="39" t="inlineStr"/>
      <c r="N9" s="60" t="str">
        <f>IF(E9=0,"CUMPLE — ninguno","REVISAR — ver lista")</f>
        <v>CUMPLE — ninguno</v>
      </c>
    </row>
    <row r="10">
      <c r="B10" s="74" t="inlineStr">
        <is>
          <t>Nervaduras principales que CUMPLEN con su sección actual</t>
        </is>
      </c>
      <c r="E10" s="56">
        <f>COUNTIF(PRINCIPALES!$AX$9:$AX$42,"CUMPLE*")</f>
        <v>20</v>
      </c>
      <c r="F10" s="55">
        <f>COUNTA(PRINCIPALES!$AX$9:$AX$42)-COUNTIF(PRINCIPALES!$AX$9:$AX$42,"BORDE*")</f>
        <v>30</v>
      </c>
      <c r="G10" s="39" t="inlineStr"/>
      <c r="N10" s="60" t="str">
        <f>IF(E10=F10,"CUMPLE — todos","REVISAR — "&amp;(F10-E10)&amp;" pendiente(s)")</f>
        <v>REVISAR — 10 pendiente(s)</v>
      </c>
    </row>
    <row r="11">
      <c r="B11" s="74" t="inlineStr">
        <is>
          <t>Nervaduras principales que piden más peralte o ancho</t>
        </is>
      </c>
      <c r="E11" s="56">
        <f>COUNTIF(PRINCIPALES!$AX$9:$AX$42,"NO CUMPLE*")</f>
        <v>10</v>
      </c>
      <c r="F11" s="55">
        <f>COUNTA(PRINCIPALES!$AX$9:$AX$42)-COUNTIF(PRINCIPALES!$AX$9:$AX$42,"BORDE*")</f>
        <v>30</v>
      </c>
      <c r="G11" s="39" t="inlineStr"/>
      <c r="N11" s="60" t="str">
        <f>IF(E11=0,"CUMPLE — ninguno","REVISAR — ver lista")</f>
        <v>REVISAR — ver lista</v>
      </c>
    </row>
    <row r="12">
      <c r="B12" s="74" t="inlineStr">
        <is>
          <t>Nervaduras principales sin apoyo</t>
        </is>
      </c>
      <c r="E12" s="56">
        <f>COUNTIF(PRINCIPALES!$AX$9:$AX$42,"SIN APOYO*")</f>
        <v>0</v>
      </c>
      <c r="F12" s="55">
        <f>COUNTA(PRINCIPALES!$AX$9:$AX$42)</f>
        <v>34</v>
      </c>
      <c r="G12" s="39" t="inlineStr"/>
      <c r="N12" s="60" t="str">
        <f>IF(E12=0,"CUMPLE — ninguno","REVISAR — ver lista")</f>
        <v>CUMPLE — ninguno</v>
      </c>
    </row>
    <row r="13">
      <c r="B13" s="74" t="inlineStr">
        <is>
          <t>Castillos propuestos aceptados</t>
        </is>
      </c>
      <c r="E13" s="56">
        <f>COUNTIF(APOYOS!$C$1:$C$400,"SÍ")</f>
        <v>8</v>
      </c>
      <c r="F13" s="55" t="n">
        <v>8</v>
      </c>
      <c r="G13" s="39" t="inlineStr"/>
      <c r="N13" s="60" t="str">
        <f>"informativo"</f>
        <v>informativo</v>
      </c>
    </row>
    <row r="14" ht="6" customHeight="1"/>
    <row r="15" ht="21" customHeight="1">
      <c r="B15" s="5" t="inlineStr">
        <is>
          <t>2. DECISIONES QUE TE TOCAN</t>
        </is>
      </c>
    </row>
    <row r="16" ht="28" customHeight="1">
      <c r="B16" s="30" t="inlineStr">
        <is>
          <t>1) CASTILLOS: la hoja propone bajar a cimentación los castillos C1…C8 (APOYOS sección B). Sin ellos, las nervaduras principales de la cochera, del vacío de doble altura y de la escalera quedan en volado de 4 a 8 m.</t>
        </is>
      </c>
    </row>
    <row r="17" ht="28" customHeight="1">
      <c r="B17" s="30" t="inlineStr">
        <is>
          <t>2) PERALTE DE PRINCIPALES: los tramos marcados «NO CUMPLE → h ≥ …» en la tabla 4 necesitan ir peraltados (descolgados bajo la losa) o llevar un apoyo intermedio. En PRINCIPALES puedes cambiar b y h y ver el resultado al momento.</t>
        </is>
      </c>
    </row>
    <row r="18" ht="15" customHeight="1">
      <c r="B18" s="30" t="inlineStr">
        <is>
          <t>3) MALLA: con la fórmula de cambios volumétricos la 6x6-10/10 queda 3% corta; la 6x6-8/8 pasa sobrada (NERVADURA sección 9).</t>
        </is>
      </c>
    </row>
    <row r="19" ht="28" customHeight="1">
      <c r="B19" s="30" t="inlineStr">
        <is>
          <t>4) MODELO: corregir en ETABS F80032 y F80010 de azotea a LR-25 y ponerle cargas a F2; luego volver a correr y comparar reacciones contra la hoja MUROS.</t>
        </is>
      </c>
    </row>
    <row r="20" ht="15" customHeight="1">
      <c r="B20" s="30" t="inlineStr">
        <is>
          <t>5) NTC 2023: cotejar la tabla de coeficientes (TABLAS) y los números de sección contra tu ejemplar; aquí se citan los de la edición 2017.</t>
        </is>
      </c>
    </row>
    <row r="21" ht="6" customHeight="1"/>
    <row r="22" ht="21" customHeight="1">
      <c r="B22" s="5" t="inlineStr">
        <is>
          <t>3. TABLA DE NERVADURAS SECUNDARIAS (COMO LA DE NAIM)</t>
        </is>
      </c>
    </row>
    <row r="23" ht="30" customHeight="1">
      <c r="B23" s="8" t="inlineStr">
        <is>
          <t>Tablero</t>
        </is>
      </c>
      <c r="C23" s="8" t="inlineStr">
        <is>
          <t>Nervadura</t>
        </is>
      </c>
      <c r="D23" s="8" t="inlineStr">
        <is>
          <t>Lecho</t>
        </is>
      </c>
      <c r="E23" s="8" t="inlineStr">
        <is>
          <t>Mu (t·m)</t>
        </is>
      </c>
      <c r="F23" s="8" t="inlineStr">
        <is>
          <t>b (cm)</t>
        </is>
      </c>
      <c r="G23" s="8" t="inlineStr">
        <is>
          <t>h (cm)</t>
        </is>
      </c>
      <c r="H23" s="8" t="inlineStr">
        <is>
          <t>Cant. var.</t>
        </is>
      </c>
      <c r="I23" s="8" t="inlineStr">
        <is>
          <t>Var. No.</t>
        </is>
      </c>
      <c r="J23" s="8" t="inlineStr">
        <is>
          <t>M_R (t·m)</t>
        </is>
      </c>
      <c r="K23" s="8" t="inlineStr">
        <is>
          <t>Mu/M_R</t>
        </is>
      </c>
      <c r="L23" s="8" t="inlineStr">
        <is>
          <t>Vu (t)</t>
        </is>
      </c>
      <c r="M23" s="8" t="inlineStr">
        <is>
          <t>V_cR (t)</t>
        </is>
      </c>
      <c r="N23" s="8" t="inlineStr">
        <is>
          <t>Estado del tablero</t>
        </is>
      </c>
    </row>
    <row r="24">
      <c r="B24" s="32" t="inlineStr">
        <is>
          <t>F80001 N+3.00</t>
        </is>
      </c>
      <c r="C24" s="39" t="inlineStr">
        <is>
          <t>‖ claro corto</t>
        </is>
      </c>
      <c r="D24" s="39" t="inlineStr">
        <is>
          <t>Inferior</t>
        </is>
      </c>
      <c r="E24" s="34">
        <f>TABLEROS!$AH$9</f>
        <v>0.0445572461807731</v>
      </c>
      <c r="F24" s="55">
        <f>DATOS!$C$16</f>
        <v>70</v>
      </c>
      <c r="G24" s="55">
        <f>DATOS!$C$15</f>
        <v>25</v>
      </c>
      <c r="H24" s="56">
        <f>TABLEROS!$AN$9</f>
        <v>1</v>
      </c>
      <c r="I24" s="78">
        <f>TABLEROS!$AM$9</f>
        <v>3</v>
      </c>
      <c r="J24" s="34">
        <f>TABLEROS!$AO$9</f>
        <v>0.584659515176471</v>
      </c>
      <c r="K24" s="41">
        <f>TABLEROS!$AP$9</f>
        <v>0.0762105892817363</v>
      </c>
      <c r="L24" s="34" t="inlineStr"/>
      <c r="M24" s="34" t="inlineStr"/>
      <c r="N24" s="42" t="str">
        <f>TABLEROS!$BP$9</f>
        <v>VER PRINCIPALES</v>
      </c>
    </row>
    <row r="25">
      <c r="B25" s="32" t="inlineStr"/>
      <c r="C25" s="39" t="inlineStr">
        <is>
          <t>‖ claro corto</t>
        </is>
      </c>
      <c r="D25" s="39" t="inlineStr">
        <is>
          <t>Bastón sup.</t>
        </is>
      </c>
      <c r="E25" s="34">
        <f>TABLEROS!$AI$9</f>
        <v>0.061210051450305</v>
      </c>
      <c r="F25" s="55">
        <f>DATOS!$C$13</f>
        <v>10</v>
      </c>
      <c r="G25" s="55">
        <f>DATOS!$C$15</f>
        <v>25</v>
      </c>
      <c r="H25" s="56">
        <f>TABLEROS!$AS$9</f>
        <v>1</v>
      </c>
      <c r="I25" s="78">
        <f>TABLEROS!$AR$9</f>
        <v>3</v>
      </c>
      <c r="J25" s="34">
        <f>TABLEROS!$AT$9</f>
        <v>0.568518826235294</v>
      </c>
      <c r="K25" s="41">
        <f>TABLEROS!$AU$9</f>
        <v>0.107665830269219</v>
      </c>
      <c r="L25" s="34">
        <f>TABLEROS!$BF$9</f>
        <v>0.16205415484712</v>
      </c>
      <c r="M25" s="34">
        <f>TABLEROS!$BG$9</f>
        <v>0.687439634849853</v>
      </c>
      <c r="N25" s="42" t="inlineStr"/>
    </row>
    <row r="26">
      <c r="B26" s="32" t="inlineStr"/>
      <c r="C26" s="39" t="inlineStr">
        <is>
          <t>‖ claro largo</t>
        </is>
      </c>
      <c r="D26" s="39" t="inlineStr">
        <is>
          <t>Inferior</t>
        </is>
      </c>
      <c r="E26" s="34">
        <f>TABLEROS!$AJ$9</f>
        <v>0.017940668775057</v>
      </c>
      <c r="F26" s="55">
        <f>DATOS!$C$16</f>
        <v>70</v>
      </c>
      <c r="G26" s="55">
        <f>DATOS!$C$15</f>
        <v>25</v>
      </c>
      <c r="H26" s="56">
        <f>TABLEROS!$AX$9</f>
        <v>1</v>
      </c>
      <c r="I26" s="78">
        <f>TABLEROS!$AW$9</f>
        <v>3</v>
      </c>
      <c r="J26" s="34">
        <f>TABLEROS!$AY$9</f>
        <v>0.584659515176471</v>
      </c>
      <c r="K26" s="41">
        <f>TABLEROS!$AZ$9</f>
        <v>0.0306856697092185</v>
      </c>
      <c r="L26" s="34" t="inlineStr"/>
      <c r="M26" s="34" t="inlineStr"/>
      <c r="N26" s="42" t="inlineStr"/>
    </row>
    <row r="27">
      <c r="B27" s="32" t="inlineStr"/>
      <c r="C27" s="39" t="inlineStr">
        <is>
          <t>‖ claro largo</t>
        </is>
      </c>
      <c r="D27" s="39" t="inlineStr">
        <is>
          <t>Bastón sup.</t>
        </is>
      </c>
      <c r="E27" s="34">
        <f>TABLEROS!$AK$9</f>
        <v>0.0132239805135429</v>
      </c>
      <c r="F27" s="55">
        <f>DATOS!$C$13</f>
        <v>10</v>
      </c>
      <c r="G27" s="55">
        <f>DATOS!$C$15</f>
        <v>25</v>
      </c>
      <c r="H27" s="56">
        <f>TABLEROS!$BC$9</f>
        <v>1</v>
      </c>
      <c r="I27" s="78">
        <f>TABLEROS!$BB$9</f>
        <v>3</v>
      </c>
      <c r="J27" s="34">
        <f>TABLEROS!$BD$9</f>
        <v>0.568518826235294</v>
      </c>
      <c r="K27" s="41">
        <f>TABLEROS!$BE$9</f>
        <v>0.0232604091602585</v>
      </c>
      <c r="L27" s="34" t="inlineStr"/>
      <c r="M27" s="34" t="inlineStr"/>
      <c r="N27" s="42" t="inlineStr"/>
    </row>
    <row r="28">
      <c r="B28" s="32" t="inlineStr">
        <is>
          <t>F80003 N+3.00</t>
        </is>
      </c>
      <c r="C28" s="39" t="inlineStr">
        <is>
          <t>‖ claro corto</t>
        </is>
      </c>
      <c r="D28" s="39" t="inlineStr">
        <is>
          <t>Inferior</t>
        </is>
      </c>
      <c r="E28" s="34">
        <f>TABLEROS!$AH$10</f>
        <v>0.126732698679894</v>
      </c>
      <c r="F28" s="55">
        <f>DATOS!$C$16</f>
        <v>70</v>
      </c>
      <c r="G28" s="55">
        <f>DATOS!$C$15</f>
        <v>25</v>
      </c>
      <c r="H28" s="56">
        <f>TABLEROS!$AN$10</f>
        <v>1</v>
      </c>
      <c r="I28" s="78">
        <f>TABLEROS!$AM$10</f>
        <v>3</v>
      </c>
      <c r="J28" s="34">
        <f>TABLEROS!$AO$10</f>
        <v>0.584659515176471</v>
      </c>
      <c r="K28" s="41">
        <f>TABLEROS!$AP$10</f>
        <v>0.216763253466663</v>
      </c>
      <c r="L28" s="34" t="inlineStr"/>
      <c r="M28" s="34" t="inlineStr"/>
      <c r="N28" s="42" t="str">
        <f>TABLEROS!$BP$10</f>
        <v>VER PRINCIPALES</v>
      </c>
    </row>
    <row r="29">
      <c r="B29" s="32" t="inlineStr"/>
      <c r="C29" s="39" t="inlineStr">
        <is>
          <t>‖ claro corto</t>
        </is>
      </c>
      <c r="D29" s="39" t="inlineStr">
        <is>
          <t>Bastón sup.</t>
        </is>
      </c>
      <c r="E29" s="34">
        <f>TABLEROS!$AI$10</f>
        <v>0.237948952108404</v>
      </c>
      <c r="F29" s="55">
        <f>DATOS!$C$13</f>
        <v>10</v>
      </c>
      <c r="G29" s="55">
        <f>DATOS!$C$15</f>
        <v>25</v>
      </c>
      <c r="H29" s="56">
        <f>TABLEROS!$AS$10</f>
        <v>1</v>
      </c>
      <c r="I29" s="78">
        <f>TABLEROS!$AR$10</f>
        <v>3</v>
      </c>
      <c r="J29" s="34">
        <f>TABLEROS!$AT$10</f>
        <v>0.568518826235294</v>
      </c>
      <c r="K29" s="41">
        <f>TABLEROS!$AU$10</f>
        <v>0.418541904204107</v>
      </c>
      <c r="L29" s="34">
        <f>TABLEROS!$BF$10</f>
        <v>0.514483386519996</v>
      </c>
      <c r="M29" s="34">
        <f>TABLEROS!$BG$10</f>
        <v>0.687439634849853</v>
      </c>
      <c r="N29" s="42" t="inlineStr"/>
    </row>
    <row r="30">
      <c r="B30" s="32" t="inlineStr"/>
      <c r="C30" s="39" t="inlineStr">
        <is>
          <t>‖ claro largo</t>
        </is>
      </c>
      <c r="D30" s="39" t="inlineStr">
        <is>
          <t>Inferior</t>
        </is>
      </c>
      <c r="E30" s="34">
        <f>TABLEROS!$AJ$10</f>
        <v>0.0701131541487281</v>
      </c>
      <c r="F30" s="55">
        <f>DATOS!$C$16</f>
        <v>70</v>
      </c>
      <c r="G30" s="55">
        <f>DATOS!$C$15</f>
        <v>25</v>
      </c>
      <c r="H30" s="56">
        <f>TABLEROS!$AX$10</f>
        <v>1</v>
      </c>
      <c r="I30" s="78">
        <f>TABLEROS!$AW$10</f>
        <v>3</v>
      </c>
      <c r="J30" s="34">
        <f>TABLEROS!$AY$10</f>
        <v>0.584659515176471</v>
      </c>
      <c r="K30" s="41">
        <f>TABLEROS!$AZ$10</f>
        <v>0.11992134281363</v>
      </c>
      <c r="L30" s="34" t="inlineStr"/>
      <c r="M30" s="34" t="inlineStr"/>
      <c r="N30" s="42" t="inlineStr"/>
    </row>
    <row r="31">
      <c r="B31" s="32" t="inlineStr"/>
      <c r="C31" s="39" t="inlineStr">
        <is>
          <t>‖ claro largo</t>
        </is>
      </c>
      <c r="D31" s="39" t="inlineStr">
        <is>
          <t>Bastón sup.</t>
        </is>
      </c>
      <c r="E31" s="34">
        <f>TABLEROS!$AK$10</f>
        <v>0.196143073348423</v>
      </c>
      <c r="F31" s="55">
        <f>DATOS!$C$13</f>
        <v>10</v>
      </c>
      <c r="G31" s="55">
        <f>DATOS!$C$15</f>
        <v>25</v>
      </c>
      <c r="H31" s="56">
        <f>TABLEROS!$BC$10</f>
        <v>1</v>
      </c>
      <c r="I31" s="78">
        <f>TABLEROS!$BB$10</f>
        <v>3</v>
      </c>
      <c r="J31" s="34">
        <f>TABLEROS!$BD$10</f>
        <v>0.568518826235294</v>
      </c>
      <c r="K31" s="41">
        <f>TABLEROS!$BE$10</f>
        <v>0.345007173548277</v>
      </c>
      <c r="L31" s="34" t="inlineStr"/>
      <c r="M31" s="34" t="inlineStr"/>
      <c r="N31" s="42" t="inlineStr"/>
    </row>
    <row r="32">
      <c r="B32" s="32" t="inlineStr">
        <is>
          <t>F80004 N+3.00</t>
        </is>
      </c>
      <c r="C32" s="39" t="inlineStr">
        <is>
          <t>‖ claro corto</t>
        </is>
      </c>
      <c r="D32" s="39" t="inlineStr">
        <is>
          <t>Inferior</t>
        </is>
      </c>
      <c r="E32" s="34">
        <f>TABLEROS!$AH$11</f>
        <v>0.0559905813486149</v>
      </c>
      <c r="F32" s="55">
        <f>DATOS!$C$16</f>
        <v>70</v>
      </c>
      <c r="G32" s="55">
        <f>DATOS!$C$15</f>
        <v>25</v>
      </c>
      <c r="H32" s="56">
        <f>TABLEROS!$AN$11</f>
        <v>1</v>
      </c>
      <c r="I32" s="78">
        <f>TABLEROS!$AM$11</f>
        <v>3</v>
      </c>
      <c r="J32" s="34">
        <f>TABLEROS!$AO$11</f>
        <v>0.584659515176471</v>
      </c>
      <c r="K32" s="41">
        <f>TABLEROS!$AP$11</f>
        <v>0.0957661337842333</v>
      </c>
      <c r="L32" s="34" t="inlineStr"/>
      <c r="M32" s="34" t="inlineStr"/>
      <c r="N32" s="42" t="str">
        <f>TABLEROS!$BP$11</f>
        <v>CUMPLE</v>
      </c>
    </row>
    <row r="33">
      <c r="B33" s="32" t="inlineStr"/>
      <c r="C33" s="39" t="inlineStr">
        <is>
          <t>‖ claro corto</t>
        </is>
      </c>
      <c r="D33" s="39" t="inlineStr">
        <is>
          <t>Bastón sup.</t>
        </is>
      </c>
      <c r="E33" s="34">
        <f>TABLEROS!$AI$11</f>
        <v>0.094374397007881</v>
      </c>
      <c r="F33" s="55">
        <f>DATOS!$C$13</f>
        <v>10</v>
      </c>
      <c r="G33" s="55">
        <f>DATOS!$C$15</f>
        <v>25</v>
      </c>
      <c r="H33" s="56">
        <f>TABLEROS!$AS$11</f>
        <v>1</v>
      </c>
      <c r="I33" s="78">
        <f>TABLEROS!$AR$11</f>
        <v>3</v>
      </c>
      <c r="J33" s="34">
        <f>TABLEROS!$AT$11</f>
        <v>0.568518826235294</v>
      </c>
      <c r="K33" s="41">
        <f>TABLEROS!$AU$11</f>
        <v>0.166000478177344</v>
      </c>
      <c r="L33" s="34">
        <f>TABLEROS!$BF$11</f>
        <v>0.292331842034903</v>
      </c>
      <c r="M33" s="34">
        <f>TABLEROS!$BG$11</f>
        <v>0.687439634849853</v>
      </c>
      <c r="N33" s="42" t="inlineStr"/>
    </row>
    <row r="34">
      <c r="B34" s="32" t="inlineStr"/>
      <c r="C34" s="39" t="inlineStr">
        <is>
          <t>‖ claro largo</t>
        </is>
      </c>
      <c r="D34" s="39" t="inlineStr">
        <is>
          <t>Inferior</t>
        </is>
      </c>
      <c r="E34" s="34">
        <f>TABLEROS!$AJ$11</f>
        <v>0.0244956436962248</v>
      </c>
      <c r="F34" s="55">
        <f>DATOS!$C$16</f>
        <v>70</v>
      </c>
      <c r="G34" s="55">
        <f>DATOS!$C$15</f>
        <v>25</v>
      </c>
      <c r="H34" s="56">
        <f>TABLEROS!$AX$11</f>
        <v>1</v>
      </c>
      <c r="I34" s="78">
        <f>TABLEROS!$AW$11</f>
        <v>3</v>
      </c>
      <c r="J34" s="34">
        <f>TABLEROS!$AY$11</f>
        <v>0.584659515176471</v>
      </c>
      <c r="K34" s="41">
        <f>TABLEROS!$AZ$11</f>
        <v>0.0418972804861153</v>
      </c>
      <c r="L34" s="34" t="inlineStr"/>
      <c r="M34" s="34" t="inlineStr"/>
      <c r="N34" s="42" t="inlineStr"/>
    </row>
    <row r="35">
      <c r="B35" s="32" t="inlineStr"/>
      <c r="C35" s="39" t="inlineStr">
        <is>
          <t>‖ claro largo</t>
        </is>
      </c>
      <c r="D35" s="39" t="inlineStr">
        <is>
          <t>Bastón sup.</t>
        </is>
      </c>
      <c r="E35" s="34">
        <f>TABLEROS!$AK$11</f>
        <v>0.0764926686740826</v>
      </c>
      <c r="F35" s="55">
        <f>DATOS!$C$13</f>
        <v>10</v>
      </c>
      <c r="G35" s="55">
        <f>DATOS!$C$15</f>
        <v>25</v>
      </c>
      <c r="H35" s="56">
        <f>TABLEROS!$BC$11</f>
        <v>1</v>
      </c>
      <c r="I35" s="78">
        <f>TABLEROS!$BB$11</f>
        <v>3</v>
      </c>
      <c r="J35" s="34">
        <f>TABLEROS!$BD$11</f>
        <v>0.568518826235294</v>
      </c>
      <c r="K35" s="41">
        <f>TABLEROS!$BE$11</f>
        <v>0.134547292269306</v>
      </c>
      <c r="L35" s="34" t="inlineStr"/>
      <c r="M35" s="34" t="inlineStr"/>
      <c r="N35" s="42" t="inlineStr"/>
    </row>
    <row r="36">
      <c r="B36" s="32" t="inlineStr">
        <is>
          <t>F80005 N+3.00</t>
        </is>
      </c>
      <c r="C36" s="39" t="inlineStr">
        <is>
          <t>‖ claro corto</t>
        </is>
      </c>
      <c r="D36" s="39" t="inlineStr">
        <is>
          <t>Inferior</t>
        </is>
      </c>
      <c r="E36" s="34">
        <f>TABLEROS!$AH$12</f>
        <v>0.0460212759004842</v>
      </c>
      <c r="F36" s="55">
        <f>DATOS!$C$16</f>
        <v>70</v>
      </c>
      <c r="G36" s="55">
        <f>DATOS!$C$15</f>
        <v>25</v>
      </c>
      <c r="H36" s="56">
        <f>TABLEROS!$AN$12</f>
        <v>1</v>
      </c>
      <c r="I36" s="78">
        <f>TABLEROS!$AM$12</f>
        <v>3</v>
      </c>
      <c r="J36" s="34">
        <f>TABLEROS!$AO$12</f>
        <v>0.584659515176471</v>
      </c>
      <c r="K36" s="41">
        <f>TABLEROS!$AP$12</f>
        <v>0.0787146616207784</v>
      </c>
      <c r="L36" s="34" t="inlineStr"/>
      <c r="M36" s="34" t="inlineStr"/>
      <c r="N36" s="42" t="str">
        <f>TABLEROS!$BP$12</f>
        <v>CUMPLE</v>
      </c>
    </row>
    <row r="37">
      <c r="B37" s="32" t="inlineStr"/>
      <c r="C37" s="39" t="inlineStr">
        <is>
          <t>‖ claro corto</t>
        </is>
      </c>
      <c r="D37" s="39" t="inlineStr">
        <is>
          <t>Bastón sup.</t>
        </is>
      </c>
      <c r="E37" s="34">
        <f>TABLEROS!$AI$12</f>
        <v>0.0795855625044543</v>
      </c>
      <c r="F37" s="55">
        <f>DATOS!$C$13</f>
        <v>10</v>
      </c>
      <c r="G37" s="55">
        <f>DATOS!$C$15</f>
        <v>25</v>
      </c>
      <c r="H37" s="56">
        <f>TABLEROS!$AS$12</f>
        <v>1</v>
      </c>
      <c r="I37" s="78">
        <f>TABLEROS!$AR$12</f>
        <v>3</v>
      </c>
      <c r="J37" s="34">
        <f>TABLEROS!$AT$12</f>
        <v>0.568518826235294</v>
      </c>
      <c r="K37" s="41">
        <f>TABLEROS!$AU$12</f>
        <v>0.139987558602881</v>
      </c>
      <c r="L37" s="34">
        <f>TABLEROS!$BF$12</f>
        <v>0.260709983071319</v>
      </c>
      <c r="M37" s="34">
        <f>TABLEROS!$BG$12</f>
        <v>0.687439634849853</v>
      </c>
      <c r="N37" s="42" t="inlineStr"/>
    </row>
    <row r="38">
      <c r="B38" s="32" t="inlineStr"/>
      <c r="C38" s="39" t="inlineStr">
        <is>
          <t>‖ claro largo</t>
        </is>
      </c>
      <c r="D38" s="39" t="inlineStr">
        <is>
          <t>Inferior</t>
        </is>
      </c>
      <c r="E38" s="34">
        <f>TABLEROS!$AJ$12</f>
        <v>0.0206365786538637</v>
      </c>
      <c r="F38" s="55">
        <f>DATOS!$C$16</f>
        <v>70</v>
      </c>
      <c r="G38" s="55">
        <f>DATOS!$C$15</f>
        <v>25</v>
      </c>
      <c r="H38" s="56">
        <f>TABLEROS!$AX$12</f>
        <v>1</v>
      </c>
      <c r="I38" s="78">
        <f>TABLEROS!$AW$12</f>
        <v>3</v>
      </c>
      <c r="J38" s="34">
        <f>TABLEROS!$AY$12</f>
        <v>0.584659515176471</v>
      </c>
      <c r="K38" s="41">
        <f>TABLEROS!$AZ$12</f>
        <v>0.0352967464279357</v>
      </c>
      <c r="L38" s="34" t="inlineStr"/>
      <c r="M38" s="34" t="inlineStr"/>
      <c r="N38" s="42" t="inlineStr"/>
    </row>
    <row r="39">
      <c r="B39" s="32" t="inlineStr"/>
      <c r="C39" s="39" t="inlineStr">
        <is>
          <t>‖ claro largo</t>
        </is>
      </c>
      <c r="D39" s="39" t="inlineStr">
        <is>
          <t>Bastón sup.</t>
        </is>
      </c>
      <c r="E39" s="34">
        <f>TABLEROS!$AK$12</f>
        <v>0.0591854801789655</v>
      </c>
      <c r="F39" s="55">
        <f>DATOS!$C$13</f>
        <v>10</v>
      </c>
      <c r="G39" s="55">
        <f>DATOS!$C$15</f>
        <v>25</v>
      </c>
      <c r="H39" s="56">
        <f>TABLEROS!$BC$12</f>
        <v>1</v>
      </c>
      <c r="I39" s="78">
        <f>TABLEROS!$BB$12</f>
        <v>3</v>
      </c>
      <c r="J39" s="34">
        <f>TABLEROS!$BD$12</f>
        <v>0.568518826235294</v>
      </c>
      <c r="K39" s="41">
        <f>TABLEROS!$BE$12</f>
        <v>0.104104697061466</v>
      </c>
      <c r="L39" s="34" t="inlineStr"/>
      <c r="M39" s="34" t="inlineStr"/>
      <c r="N39" s="42" t="inlineStr"/>
    </row>
    <row r="40">
      <c r="B40" s="32" t="inlineStr">
        <is>
          <t>F80006 N+3.00</t>
        </is>
      </c>
      <c r="C40" s="39" t="inlineStr">
        <is>
          <t>‖ claro corto</t>
        </is>
      </c>
      <c r="D40" s="39" t="inlineStr">
        <is>
          <t>Inferior</t>
        </is>
      </c>
      <c r="E40" s="34">
        <f>TABLEROS!$AH$13</f>
        <v>0.0128782058940609</v>
      </c>
      <c r="F40" s="55">
        <f>DATOS!$C$16</f>
        <v>70</v>
      </c>
      <c r="G40" s="55">
        <f>DATOS!$C$15</f>
        <v>25</v>
      </c>
      <c r="H40" s="56">
        <f>TABLEROS!$AN$13</f>
        <v>1</v>
      </c>
      <c r="I40" s="78">
        <f>TABLEROS!$AM$13</f>
        <v>3</v>
      </c>
      <c r="J40" s="34">
        <f>TABLEROS!$AO$13</f>
        <v>0.584659515176471</v>
      </c>
      <c r="K40" s="41">
        <f>TABLEROS!$AP$13</f>
        <v>0.0220268473526404</v>
      </c>
      <c r="L40" s="34" t="inlineStr"/>
      <c r="M40" s="34" t="inlineStr"/>
      <c r="N40" s="42" t="str">
        <f>TABLEROS!$BP$13</f>
        <v>CUMPLE</v>
      </c>
    </row>
    <row r="41">
      <c r="B41" s="32" t="inlineStr"/>
      <c r="C41" s="39" t="inlineStr">
        <is>
          <t>‖ claro corto</t>
        </is>
      </c>
      <c r="D41" s="39" t="inlineStr">
        <is>
          <t>Bastón sup.</t>
        </is>
      </c>
      <c r="E41" s="34">
        <f>TABLEROS!$AI$13</f>
        <v>0.0245470383791234</v>
      </c>
      <c r="F41" s="55">
        <f>DATOS!$C$13</f>
        <v>10</v>
      </c>
      <c r="G41" s="55">
        <f>DATOS!$C$15</f>
        <v>25</v>
      </c>
      <c r="H41" s="56">
        <f>TABLEROS!$AS$13</f>
        <v>1</v>
      </c>
      <c r="I41" s="78">
        <f>TABLEROS!$AR$13</f>
        <v>3</v>
      </c>
      <c r="J41" s="34">
        <f>TABLEROS!$AT$13</f>
        <v>0.568518826235294</v>
      </c>
      <c r="K41" s="41">
        <f>TABLEROS!$AU$13</f>
        <v>0.0431771776876287</v>
      </c>
      <c r="L41" s="34">
        <f>TABLEROS!$BF$13</f>
        <v>0.0963075193138374</v>
      </c>
      <c r="M41" s="34">
        <f>TABLEROS!$BG$13</f>
        <v>0.687439634849853</v>
      </c>
      <c r="N41" s="42" t="inlineStr"/>
    </row>
    <row r="42">
      <c r="B42" s="32" t="inlineStr"/>
      <c r="C42" s="39" t="inlineStr">
        <is>
          <t>‖ claro largo</t>
        </is>
      </c>
      <c r="D42" s="39" t="inlineStr">
        <is>
          <t>Inferior</t>
        </is>
      </c>
      <c r="E42" s="34">
        <f>TABLEROS!$AJ$13</f>
        <v>0.00750024335582624</v>
      </c>
      <c r="F42" s="55">
        <f>DATOS!$C$16</f>
        <v>70</v>
      </c>
      <c r="G42" s="55">
        <f>DATOS!$C$15</f>
        <v>25</v>
      </c>
      <c r="H42" s="56">
        <f>TABLEROS!$AX$13</f>
        <v>1</v>
      </c>
      <c r="I42" s="78">
        <f>TABLEROS!$AW$13</f>
        <v>3</v>
      </c>
      <c r="J42" s="34">
        <f>TABLEROS!$AY$13</f>
        <v>0.584659515176471</v>
      </c>
      <c r="K42" s="41">
        <f>TABLEROS!$AZ$13</f>
        <v>0.0128283952644855</v>
      </c>
      <c r="L42" s="34" t="inlineStr"/>
      <c r="M42" s="34" t="inlineStr"/>
      <c r="N42" s="42" t="inlineStr"/>
    </row>
    <row r="43">
      <c r="B43" s="32" t="inlineStr"/>
      <c r="C43" s="39" t="inlineStr">
        <is>
          <t>‖ claro largo</t>
        </is>
      </c>
      <c r="D43" s="39" t="inlineStr">
        <is>
          <t>Bastón sup.</t>
        </is>
      </c>
      <c r="E43" s="34">
        <f>TABLEROS!$AK$13</f>
        <v>0.0212491222143492</v>
      </c>
      <c r="F43" s="55">
        <f>DATOS!$C$13</f>
        <v>10</v>
      </c>
      <c r="G43" s="55">
        <f>DATOS!$C$15</f>
        <v>25</v>
      </c>
      <c r="H43" s="56">
        <f>TABLEROS!$BC$13</f>
        <v>1</v>
      </c>
      <c r="I43" s="78">
        <f>TABLEROS!$BB$13</f>
        <v>3</v>
      </c>
      <c r="J43" s="34">
        <f>TABLEROS!$BD$13</f>
        <v>0.568518826235294</v>
      </c>
      <c r="K43" s="41">
        <f>TABLEROS!$BE$13</f>
        <v>0.0373762859447591</v>
      </c>
      <c r="L43" s="34" t="inlineStr"/>
      <c r="M43" s="34" t="inlineStr"/>
      <c r="N43" s="42" t="inlineStr"/>
    </row>
    <row r="44">
      <c r="B44" s="32" t="inlineStr">
        <is>
          <t>F80007 N+3.00</t>
        </is>
      </c>
      <c r="C44" s="39" t="inlineStr">
        <is>
          <t>‖ claro corto</t>
        </is>
      </c>
      <c r="D44" s="39" t="inlineStr">
        <is>
          <t>Inferior</t>
        </is>
      </c>
      <c r="E44" s="34">
        <f>TABLEROS!$AH$14</f>
        <v>0.0286221522896506</v>
      </c>
      <c r="F44" s="55">
        <f>DATOS!$C$16</f>
        <v>70</v>
      </c>
      <c r="G44" s="55">
        <f>DATOS!$C$15</f>
        <v>25</v>
      </c>
      <c r="H44" s="56">
        <f>TABLEROS!$AN$14</f>
        <v>1</v>
      </c>
      <c r="I44" s="78">
        <f>TABLEROS!$AM$14</f>
        <v>3</v>
      </c>
      <c r="J44" s="34">
        <f>TABLEROS!$AO$14</f>
        <v>0.584659515176471</v>
      </c>
      <c r="K44" s="41">
        <f>TABLEROS!$AP$14</f>
        <v>0.0489552492462412</v>
      </c>
      <c r="L44" s="34" t="inlineStr"/>
      <c r="M44" s="34" t="inlineStr"/>
      <c r="N44" s="42" t="str">
        <f>TABLEROS!$BP$14</f>
        <v>VER PRINCIPALES</v>
      </c>
    </row>
    <row r="45">
      <c r="B45" s="32" t="inlineStr"/>
      <c r="C45" s="39" t="inlineStr">
        <is>
          <t>‖ claro corto</t>
        </is>
      </c>
      <c r="D45" s="39" t="inlineStr">
        <is>
          <t>Bastón sup.</t>
        </is>
      </c>
      <c r="E45" s="34">
        <f>TABLEROS!$AI$14</f>
        <v>0.0423392570220995</v>
      </c>
      <c r="F45" s="55">
        <f>DATOS!$C$13</f>
        <v>10</v>
      </c>
      <c r="G45" s="55">
        <f>DATOS!$C$15</f>
        <v>25</v>
      </c>
      <c r="H45" s="56">
        <f>TABLEROS!$AS$14</f>
        <v>1</v>
      </c>
      <c r="I45" s="78">
        <f>TABLEROS!$AR$14</f>
        <v>3</v>
      </c>
      <c r="J45" s="34">
        <f>TABLEROS!$AT$14</f>
        <v>0.568518826235294</v>
      </c>
      <c r="K45" s="41">
        <f>TABLEROS!$AU$14</f>
        <v>0.0744729199250413</v>
      </c>
      <c r="L45" s="34">
        <f>TABLEROS!$BF$14</f>
        <v>0.135538399482787</v>
      </c>
      <c r="M45" s="34">
        <f>TABLEROS!$BG$14</f>
        <v>0.687439634849853</v>
      </c>
      <c r="N45" s="42" t="inlineStr"/>
    </row>
    <row r="46">
      <c r="B46" s="32" t="inlineStr"/>
      <c r="C46" s="39" t="inlineStr">
        <is>
          <t>‖ claro largo</t>
        </is>
      </c>
      <c r="D46" s="39" t="inlineStr">
        <is>
          <t>Inferior</t>
        </is>
      </c>
      <c r="E46" s="34">
        <f>TABLEROS!$AJ$14</f>
        <v>0.00855527254790985</v>
      </c>
      <c r="F46" s="55">
        <f>DATOS!$C$16</f>
        <v>70</v>
      </c>
      <c r="G46" s="55">
        <f>DATOS!$C$15</f>
        <v>25</v>
      </c>
      <c r="H46" s="56">
        <f>TABLEROS!$AX$14</f>
        <v>1</v>
      </c>
      <c r="I46" s="78">
        <f>TABLEROS!$AW$14</f>
        <v>3</v>
      </c>
      <c r="J46" s="34">
        <f>TABLEROS!$AY$14</f>
        <v>0.584659515176471</v>
      </c>
      <c r="K46" s="41">
        <f>TABLEROS!$AZ$14</f>
        <v>0.0146329142446738</v>
      </c>
      <c r="L46" s="34" t="inlineStr"/>
      <c r="M46" s="34" t="inlineStr"/>
      <c r="N46" s="42" t="inlineStr"/>
    </row>
    <row r="47">
      <c r="B47" s="32" t="inlineStr"/>
      <c r="C47" s="39" t="inlineStr">
        <is>
          <t>‖ claro largo</t>
        </is>
      </c>
      <c r="D47" s="39" t="inlineStr">
        <is>
          <t>Bastón sup.</t>
        </is>
      </c>
      <c r="E47" s="34">
        <f>TABLEROS!$AK$14</f>
        <v>0.0268231436776268</v>
      </c>
      <c r="F47" s="55">
        <f>DATOS!$C$13</f>
        <v>10</v>
      </c>
      <c r="G47" s="55">
        <f>DATOS!$C$15</f>
        <v>25</v>
      </c>
      <c r="H47" s="56">
        <f>TABLEROS!$BC$14</f>
        <v>1</v>
      </c>
      <c r="I47" s="78">
        <f>TABLEROS!$BB$14</f>
        <v>3</v>
      </c>
      <c r="J47" s="34">
        <f>TABLEROS!$BD$14</f>
        <v>0.568518826235294</v>
      </c>
      <c r="K47" s="41">
        <f>TABLEROS!$BE$14</f>
        <v>0.0471807483584113</v>
      </c>
      <c r="L47" s="34" t="inlineStr"/>
      <c r="M47" s="34" t="inlineStr"/>
      <c r="N47" s="42" t="inlineStr"/>
    </row>
    <row r="48">
      <c r="B48" s="32" t="inlineStr">
        <is>
          <t>F80008 N+3.00</t>
        </is>
      </c>
      <c r="C48" s="39" t="inlineStr">
        <is>
          <t>‖ claro corto</t>
        </is>
      </c>
      <c r="D48" s="39" t="inlineStr">
        <is>
          <t>Inferior</t>
        </is>
      </c>
      <c r="E48" s="34">
        <f>TABLEROS!$AH$15</f>
        <v>0.0684199860855767</v>
      </c>
      <c r="F48" s="55">
        <f>DATOS!$C$16</f>
        <v>70</v>
      </c>
      <c r="G48" s="55">
        <f>DATOS!$C$15</f>
        <v>25</v>
      </c>
      <c r="H48" s="56">
        <f>TABLEROS!$AN$15</f>
        <v>1</v>
      </c>
      <c r="I48" s="78">
        <f>TABLEROS!$AM$15</f>
        <v>3</v>
      </c>
      <c r="J48" s="34">
        <f>TABLEROS!$AO$15</f>
        <v>0.584659515176471</v>
      </c>
      <c r="K48" s="41">
        <f>TABLEROS!$AP$15</f>
        <v>0.117025352892658</v>
      </c>
      <c r="L48" s="34" t="inlineStr"/>
      <c r="M48" s="34" t="inlineStr"/>
      <c r="N48" s="42" t="str">
        <f>TABLEROS!$BP$15</f>
        <v>VER PRINCIPALES</v>
      </c>
    </row>
    <row r="49">
      <c r="B49" s="32" t="inlineStr"/>
      <c r="C49" s="39" t="inlineStr">
        <is>
          <t>‖ claro corto</t>
        </is>
      </c>
      <c r="D49" s="39" t="inlineStr">
        <is>
          <t>Bastón sup.</t>
        </is>
      </c>
      <c r="E49" s="34">
        <f>TABLEROS!$AI$15</f>
        <v>0.118478411785183</v>
      </c>
      <c r="F49" s="55">
        <f>DATOS!$C$13</f>
        <v>10</v>
      </c>
      <c r="G49" s="55">
        <f>DATOS!$C$15</f>
        <v>25</v>
      </c>
      <c r="H49" s="56">
        <f>TABLEROS!$AS$15</f>
        <v>1</v>
      </c>
      <c r="I49" s="78">
        <f>TABLEROS!$AR$15</f>
        <v>3</v>
      </c>
      <c r="J49" s="34">
        <f>TABLEROS!$AT$15</f>
        <v>0.568518826235294</v>
      </c>
      <c r="K49" s="41">
        <f>TABLEROS!$AU$15</f>
        <v>0.208398396531107</v>
      </c>
      <c r="L49" s="34">
        <f>TABLEROS!$BF$15</f>
        <v>0.339739597732273</v>
      </c>
      <c r="M49" s="34">
        <f>TABLEROS!$BG$15</f>
        <v>0.687439634849853</v>
      </c>
      <c r="N49" s="42" t="inlineStr"/>
    </row>
    <row r="50">
      <c r="B50" s="32" t="inlineStr"/>
      <c r="C50" s="39" t="inlineStr">
        <is>
          <t>‖ claro largo</t>
        </is>
      </c>
      <c r="D50" s="39" t="inlineStr">
        <is>
          <t>Inferior</t>
        </is>
      </c>
      <c r="E50" s="34">
        <f>TABLEROS!$AJ$15</f>
        <v>0.0316048399973212</v>
      </c>
      <c r="F50" s="55">
        <f>DATOS!$C$16</f>
        <v>70</v>
      </c>
      <c r="G50" s="55">
        <f>DATOS!$C$15</f>
        <v>25</v>
      </c>
      <c r="H50" s="56">
        <f>TABLEROS!$AX$15</f>
        <v>1</v>
      </c>
      <c r="I50" s="78">
        <f>TABLEROS!$AW$15</f>
        <v>3</v>
      </c>
      <c r="J50" s="34">
        <f>TABLEROS!$AY$15</f>
        <v>0.584659515176471</v>
      </c>
      <c r="K50" s="41">
        <f>TABLEROS!$AZ$15</f>
        <v>0.0540568299615918</v>
      </c>
      <c r="L50" s="34" t="inlineStr"/>
      <c r="M50" s="34" t="inlineStr"/>
      <c r="N50" s="42" t="inlineStr"/>
    </row>
    <row r="51">
      <c r="B51" s="32" t="inlineStr"/>
      <c r="C51" s="39" t="inlineStr">
        <is>
          <t>‖ claro largo</t>
        </is>
      </c>
      <c r="D51" s="39" t="inlineStr">
        <is>
          <t>Bastón sup.</t>
        </is>
      </c>
      <c r="E51" s="34">
        <f>TABLEROS!$AK$15</f>
        <v>0.0903504555569562</v>
      </c>
      <c r="F51" s="55">
        <f>DATOS!$C$13</f>
        <v>10</v>
      </c>
      <c r="G51" s="55">
        <f>DATOS!$C$15</f>
        <v>25</v>
      </c>
      <c r="H51" s="56">
        <f>TABLEROS!$BC$15</f>
        <v>1</v>
      </c>
      <c r="I51" s="78">
        <f>TABLEROS!$BB$15</f>
        <v>3</v>
      </c>
      <c r="J51" s="34">
        <f>TABLEROS!$BD$15</f>
        <v>0.568518826235294</v>
      </c>
      <c r="K51" s="41">
        <f>TABLEROS!$BE$15</f>
        <v>0.158922539391092</v>
      </c>
      <c r="L51" s="34" t="inlineStr"/>
      <c r="M51" s="34" t="inlineStr"/>
      <c r="N51" s="42" t="inlineStr"/>
    </row>
    <row r="52">
      <c r="B52" s="32" t="inlineStr">
        <is>
          <t>F80009 N+3.00</t>
        </is>
      </c>
      <c r="C52" s="39" t="inlineStr">
        <is>
          <t>‖ claro corto</t>
        </is>
      </c>
      <c r="D52" s="39" t="inlineStr">
        <is>
          <t>Inferior</t>
        </is>
      </c>
      <c r="E52" s="34">
        <f>TABLEROS!$AH$16</f>
        <v>0.190261411608934</v>
      </c>
      <c r="F52" s="55">
        <f>DATOS!$C$16</f>
        <v>70</v>
      </c>
      <c r="G52" s="55">
        <f>DATOS!$C$15</f>
        <v>25</v>
      </c>
      <c r="H52" s="56">
        <f>TABLEROS!$AN$16</f>
        <v>1</v>
      </c>
      <c r="I52" s="78">
        <f>TABLEROS!$AM$16</f>
        <v>3</v>
      </c>
      <c r="J52" s="34">
        <f>TABLEROS!$AO$16</f>
        <v>0.584659515176471</v>
      </c>
      <c r="K52" s="41">
        <f>TABLEROS!$AP$16</f>
        <v>0.325422586428798</v>
      </c>
      <c r="L52" s="34" t="inlineStr"/>
      <c r="M52" s="34" t="inlineStr"/>
      <c r="N52" s="42" t="str">
        <f>TABLEROS!$BP$16</f>
        <v>VER PRINCIPALES</v>
      </c>
    </row>
    <row r="53">
      <c r="B53" s="32" t="inlineStr"/>
      <c r="C53" s="39" t="inlineStr">
        <is>
          <t>‖ claro corto</t>
        </is>
      </c>
      <c r="D53" s="39" t="inlineStr">
        <is>
          <t>Bastón sup.</t>
        </is>
      </c>
      <c r="E53" s="34">
        <f>TABLEROS!$AI$16</f>
        <v>0.34614089885639</v>
      </c>
      <c r="F53" s="55">
        <f>DATOS!$C$13</f>
        <v>10</v>
      </c>
      <c r="G53" s="55">
        <f>DATOS!$C$15</f>
        <v>25</v>
      </c>
      <c r="H53" s="56">
        <f>TABLEROS!$AS$16</f>
        <v>1</v>
      </c>
      <c r="I53" s="78">
        <f>TABLEROS!$AR$16</f>
        <v>3</v>
      </c>
      <c r="J53" s="34">
        <f>TABLEROS!$AT$16</f>
        <v>0.568518826235294</v>
      </c>
      <c r="K53" s="41">
        <f>TABLEROS!$AU$16</f>
        <v>0.608846854111269</v>
      </c>
      <c r="L53" s="34">
        <f>TABLEROS!$BF$16</f>
        <v>0.646974608534919</v>
      </c>
      <c r="M53" s="34">
        <f>TABLEROS!$BG$16</f>
        <v>0.687439634849853</v>
      </c>
      <c r="N53" s="42" t="inlineStr"/>
    </row>
    <row r="54">
      <c r="B54" s="32" t="inlineStr"/>
      <c r="C54" s="39" t="inlineStr">
        <is>
          <t>‖ claro largo</t>
        </is>
      </c>
      <c r="D54" s="39" t="inlineStr">
        <is>
          <t>Inferior</t>
        </is>
      </c>
      <c r="E54" s="34">
        <f>TABLEROS!$AJ$16</f>
        <v>0.0977290816803332</v>
      </c>
      <c r="F54" s="55">
        <f>DATOS!$C$16</f>
        <v>70</v>
      </c>
      <c r="G54" s="55">
        <f>DATOS!$C$15</f>
        <v>25</v>
      </c>
      <c r="H54" s="56">
        <f>TABLEROS!$AX$16</f>
        <v>1</v>
      </c>
      <c r="I54" s="78">
        <f>TABLEROS!$AW$16</f>
        <v>3</v>
      </c>
      <c r="J54" s="34">
        <f>TABLEROS!$AY$16</f>
        <v>0.584659515176471</v>
      </c>
      <c r="K54" s="41">
        <f>TABLEROS!$AZ$16</f>
        <v>0.1671555480472</v>
      </c>
      <c r="L54" s="34" t="inlineStr"/>
      <c r="M54" s="34" t="inlineStr"/>
      <c r="N54" s="42" t="inlineStr"/>
    </row>
    <row r="55">
      <c r="B55" s="32" t="inlineStr"/>
      <c r="C55" s="39" t="inlineStr">
        <is>
          <t>‖ claro largo</t>
        </is>
      </c>
      <c r="D55" s="39" t="inlineStr">
        <is>
          <t>Bastón sup.</t>
        </is>
      </c>
      <c r="E55" s="34">
        <f>TABLEROS!$AK$16</f>
        <v>0.301164311286474</v>
      </c>
      <c r="F55" s="55">
        <f>DATOS!$C$13</f>
        <v>10</v>
      </c>
      <c r="G55" s="55">
        <f>DATOS!$C$15</f>
        <v>25</v>
      </c>
      <c r="H55" s="56">
        <f>TABLEROS!$BC$16</f>
        <v>1</v>
      </c>
      <c r="I55" s="78">
        <f>TABLEROS!$BB$16</f>
        <v>3</v>
      </c>
      <c r="J55" s="34">
        <f>TABLEROS!$BD$16</f>
        <v>0.568518826235294</v>
      </c>
      <c r="K55" s="41">
        <f>TABLEROS!$BE$16</f>
        <v>0.529734983941992</v>
      </c>
      <c r="L55" s="34" t="inlineStr"/>
      <c r="M55" s="34" t="inlineStr"/>
      <c r="N55" s="42" t="inlineStr"/>
    </row>
    <row r="56">
      <c r="B56" s="32" t="inlineStr">
        <is>
          <t>F80010 N+3.00</t>
        </is>
      </c>
      <c r="C56" s="39" t="inlineStr">
        <is>
          <t>‖ claro corto</t>
        </is>
      </c>
      <c r="D56" s="39" t="inlineStr">
        <is>
          <t>Inferior</t>
        </is>
      </c>
      <c r="E56" s="34">
        <f>TABLEROS!$AH$17</f>
        <v>0.0687232907037298</v>
      </c>
      <c r="F56" s="55">
        <f>DATOS!$C$16</f>
        <v>70</v>
      </c>
      <c r="G56" s="55">
        <f>DATOS!$C$15</f>
        <v>25</v>
      </c>
      <c r="H56" s="56">
        <f>TABLEROS!$AN$17</f>
        <v>1</v>
      </c>
      <c r="I56" s="78">
        <f>TABLEROS!$AM$17</f>
        <v>3</v>
      </c>
      <c r="J56" s="34">
        <f>TABLEROS!$AO$17</f>
        <v>0.584659515176471</v>
      </c>
      <c r="K56" s="41">
        <f>TABLEROS!$AP$17</f>
        <v>0.117544124263481</v>
      </c>
      <c r="L56" s="34" t="inlineStr"/>
      <c r="M56" s="34" t="inlineStr"/>
      <c r="N56" s="42" t="str">
        <f>TABLEROS!$BP$17</f>
        <v>VER PRINCIPALES</v>
      </c>
    </row>
    <row r="57">
      <c r="B57" s="32" t="inlineStr"/>
      <c r="C57" s="39" t="inlineStr">
        <is>
          <t>‖ claro corto</t>
        </is>
      </c>
      <c r="D57" s="39" t="inlineStr">
        <is>
          <t>Bastón sup.</t>
        </is>
      </c>
      <c r="E57" s="34">
        <f>TABLEROS!$AI$17</f>
        <v>0.121119186062176</v>
      </c>
      <c r="F57" s="55">
        <f>DATOS!$C$13</f>
        <v>10</v>
      </c>
      <c r="G57" s="55">
        <f>DATOS!$C$15</f>
        <v>25</v>
      </c>
      <c r="H57" s="56">
        <f>TABLEROS!$AS$17</f>
        <v>1</v>
      </c>
      <c r="I57" s="78">
        <f>TABLEROS!$AR$17</f>
        <v>3</v>
      </c>
      <c r="J57" s="34">
        <f>TABLEROS!$AT$17</f>
        <v>0.568518826235294</v>
      </c>
      <c r="K57" s="41">
        <f>TABLEROS!$AU$17</f>
        <v>0.213043404145861</v>
      </c>
      <c r="L57" s="34">
        <f>TABLEROS!$BF$17</f>
        <v>0.353831755505609</v>
      </c>
      <c r="M57" s="34">
        <f>TABLEROS!$BG$17</f>
        <v>0.687439634849853</v>
      </c>
      <c r="N57" s="42" t="inlineStr"/>
    </row>
    <row r="58">
      <c r="B58" s="32" t="inlineStr"/>
      <c r="C58" s="39" t="inlineStr">
        <is>
          <t>‖ claro largo</t>
        </is>
      </c>
      <c r="D58" s="39" t="inlineStr">
        <is>
          <t>Inferior</t>
        </is>
      </c>
      <c r="E58" s="34">
        <f>TABLEROS!$AJ$17</f>
        <v>0.0314110688780045</v>
      </c>
      <c r="F58" s="55">
        <f>DATOS!$C$16</f>
        <v>70</v>
      </c>
      <c r="G58" s="55">
        <f>DATOS!$C$15</f>
        <v>25</v>
      </c>
      <c r="H58" s="56">
        <f>TABLEROS!$AX$17</f>
        <v>1</v>
      </c>
      <c r="I58" s="78">
        <f>TABLEROS!$AW$17</f>
        <v>3</v>
      </c>
      <c r="J58" s="34">
        <f>TABLEROS!$AY$17</f>
        <v>0.584659515176471</v>
      </c>
      <c r="K58" s="41">
        <f>TABLEROS!$AZ$17</f>
        <v>0.0537254043809131</v>
      </c>
      <c r="L58" s="34" t="inlineStr"/>
      <c r="M58" s="34" t="inlineStr"/>
      <c r="N58" s="42" t="inlineStr"/>
    </row>
    <row r="59">
      <c r="B59" s="32" t="inlineStr"/>
      <c r="C59" s="39" t="inlineStr">
        <is>
          <t>‖ claro largo</t>
        </is>
      </c>
      <c r="D59" s="39" t="inlineStr">
        <is>
          <t>Bastón sup.</t>
        </is>
      </c>
      <c r="E59" s="34">
        <f>TABLEROS!$AK$17</f>
        <v>0.0988565277873921</v>
      </c>
      <c r="F59" s="55">
        <f>DATOS!$C$13</f>
        <v>10</v>
      </c>
      <c r="G59" s="55">
        <f>DATOS!$C$15</f>
        <v>25</v>
      </c>
      <c r="H59" s="56">
        <f>TABLEROS!$BC$17</f>
        <v>1</v>
      </c>
      <c r="I59" s="78">
        <f>TABLEROS!$BB$17</f>
        <v>3</v>
      </c>
      <c r="J59" s="34">
        <f>TABLEROS!$BD$17</f>
        <v>0.568518826235294</v>
      </c>
      <c r="K59" s="41">
        <f>TABLEROS!$BE$17</f>
        <v>0.173884352154203</v>
      </c>
      <c r="L59" s="34" t="inlineStr"/>
      <c r="M59" s="34" t="inlineStr"/>
      <c r="N59" s="42" t="inlineStr"/>
    </row>
    <row r="60">
      <c r="B60" s="32" t="inlineStr">
        <is>
          <t>F80011 N+3.00</t>
        </is>
      </c>
      <c r="C60" s="39" t="inlineStr">
        <is>
          <t>‖ claro corto</t>
        </is>
      </c>
      <c r="D60" s="39" t="inlineStr">
        <is>
          <t>Inferior</t>
        </is>
      </c>
      <c r="E60" s="34">
        <f>TABLEROS!$AH$18</f>
        <v>0.00570187281987646</v>
      </c>
      <c r="F60" s="55">
        <f>DATOS!$C$16</f>
        <v>70</v>
      </c>
      <c r="G60" s="55">
        <f>DATOS!$C$15</f>
        <v>25</v>
      </c>
      <c r="H60" s="56">
        <f>TABLEROS!$AN$18</f>
        <v>1</v>
      </c>
      <c r="I60" s="78">
        <f>TABLEROS!$AM$18</f>
        <v>3</v>
      </c>
      <c r="J60" s="34">
        <f>TABLEROS!$AO$18</f>
        <v>0.584659515176471</v>
      </c>
      <c r="K60" s="41">
        <f>TABLEROS!$AP$18</f>
        <v>0.00975246732819431</v>
      </c>
      <c r="L60" s="34" t="inlineStr"/>
      <c r="M60" s="34" t="inlineStr"/>
      <c r="N60" s="42" t="str">
        <f>TABLEROS!$BP$18</f>
        <v>CUMPLE</v>
      </c>
    </row>
    <row r="61">
      <c r="B61" s="32" t="inlineStr"/>
      <c r="C61" s="39" t="inlineStr">
        <is>
          <t>‖ claro corto</t>
        </is>
      </c>
      <c r="D61" s="39" t="inlineStr">
        <is>
          <t>Bastón sup.</t>
        </is>
      </c>
      <c r="E61" s="34">
        <f>TABLEROS!$AI$18</f>
        <v>0.00914348406832351</v>
      </c>
      <c r="F61" s="55">
        <f>DATOS!$C$13</f>
        <v>10</v>
      </c>
      <c r="G61" s="55">
        <f>DATOS!$C$15</f>
        <v>25</v>
      </c>
      <c r="H61" s="56">
        <f>TABLEROS!$AS$18</f>
        <v>1</v>
      </c>
      <c r="I61" s="78">
        <f>TABLEROS!$AR$18</f>
        <v>3</v>
      </c>
      <c r="J61" s="34">
        <f>TABLEROS!$AT$18</f>
        <v>0.568518826235294</v>
      </c>
      <c r="K61" s="41">
        <f>TABLEROS!$AU$18</f>
        <v>0.0160829925877235</v>
      </c>
      <c r="L61" s="34">
        <f>TABLEROS!$BF$18</f>
        <v>0</v>
      </c>
      <c r="M61" s="34">
        <f>TABLEROS!$BG$18</f>
        <v>0.687439634849853</v>
      </c>
      <c r="N61" s="42" t="inlineStr"/>
    </row>
    <row r="62">
      <c r="B62" s="32" t="inlineStr"/>
      <c r="C62" s="39" t="inlineStr">
        <is>
          <t>‖ claro largo</t>
        </is>
      </c>
      <c r="D62" s="39" t="inlineStr">
        <is>
          <t>Inferior</t>
        </is>
      </c>
      <c r="E62" s="34">
        <f>TABLEROS!$AJ$18</f>
        <v>0.0017350793031883</v>
      </c>
      <c r="F62" s="55">
        <f>DATOS!$C$16</f>
        <v>70</v>
      </c>
      <c r="G62" s="55">
        <f>DATOS!$C$15</f>
        <v>25</v>
      </c>
      <c r="H62" s="56">
        <f>TABLEROS!$AX$18</f>
        <v>1</v>
      </c>
      <c r="I62" s="78">
        <f>TABLEROS!$AW$18</f>
        <v>3</v>
      </c>
      <c r="J62" s="34">
        <f>TABLEROS!$AY$18</f>
        <v>0.584659515176471</v>
      </c>
      <c r="K62" s="41">
        <f>TABLEROS!$AZ$18</f>
        <v>0.00296767478874366</v>
      </c>
      <c r="L62" s="34" t="inlineStr"/>
      <c r="M62" s="34" t="inlineStr"/>
      <c r="N62" s="42" t="inlineStr"/>
    </row>
    <row r="63">
      <c r="B63" s="32" t="inlineStr"/>
      <c r="C63" s="39" t="inlineStr">
        <is>
          <t>‖ claro largo</t>
        </is>
      </c>
      <c r="D63" s="39" t="inlineStr">
        <is>
          <t>Bastón sup.</t>
        </is>
      </c>
      <c r="E63" s="34">
        <f>TABLEROS!$AK$18</f>
        <v>0.00500087328561887</v>
      </c>
      <c r="F63" s="55">
        <f>DATOS!$C$13</f>
        <v>10</v>
      </c>
      <c r="G63" s="55">
        <f>DATOS!$C$15</f>
        <v>25</v>
      </c>
      <c r="H63" s="56">
        <f>TABLEROS!$BC$18</f>
        <v>1</v>
      </c>
      <c r="I63" s="78">
        <f>TABLEROS!$BB$18</f>
        <v>3</v>
      </c>
      <c r="J63" s="34">
        <f>TABLEROS!$BD$18</f>
        <v>0.568518826235294</v>
      </c>
      <c r="K63" s="41">
        <f>TABLEROS!$BE$18</f>
        <v>0.00879631958493693</v>
      </c>
      <c r="L63" s="34" t="inlineStr"/>
      <c r="M63" s="34" t="inlineStr"/>
      <c r="N63" s="42" t="inlineStr"/>
    </row>
    <row r="64">
      <c r="B64" s="32" t="inlineStr">
        <is>
          <t>F80012 N+3.00</t>
        </is>
      </c>
      <c r="C64" s="39" t="inlineStr">
        <is>
          <t>‖ claro corto</t>
        </is>
      </c>
      <c r="D64" s="39" t="inlineStr">
        <is>
          <t>Inferior</t>
        </is>
      </c>
      <c r="E64" s="34">
        <f>TABLEROS!$AH$19</f>
        <v>0</v>
      </c>
      <c r="F64" s="55">
        <f>DATOS!$C$16</f>
        <v>70</v>
      </c>
      <c r="G64" s="55">
        <f>DATOS!$C$15</f>
        <v>25</v>
      </c>
      <c r="H64" s="56">
        <f>TABLEROS!$AN$19</f>
        <v>1</v>
      </c>
      <c r="I64" s="78">
        <f>TABLEROS!$AM$19</f>
        <v>3</v>
      </c>
      <c r="J64" s="34">
        <f>TABLEROS!$AO$19</f>
        <v>0.584659515176471</v>
      </c>
      <c r="K64" s="41">
        <f>TABLEROS!$AP$19</f>
        <v>0</v>
      </c>
      <c r="L64" s="34" t="inlineStr"/>
      <c r="M64" s="34" t="inlineStr"/>
      <c r="N64" s="42" t="str">
        <f>TABLEROS!$BP$19</f>
        <v>CUMPLE — MACIZAR 1 hilera(s)</v>
      </c>
    </row>
    <row r="65">
      <c r="B65" s="32" t="inlineStr"/>
      <c r="C65" s="39" t="inlineStr">
        <is>
          <t>‖ claro corto</t>
        </is>
      </c>
      <c r="D65" s="39" t="inlineStr">
        <is>
          <t>Bastón sup.</t>
        </is>
      </c>
      <c r="E65" s="34">
        <f>TABLEROS!$AI$19</f>
        <v>1.85021971428571</v>
      </c>
      <c r="F65" s="55">
        <f>DATOS!$C$13</f>
        <v>10</v>
      </c>
      <c r="G65" s="55">
        <f>DATOS!$C$15</f>
        <v>25</v>
      </c>
      <c r="H65" s="56">
        <f>TABLEROS!$AS$19</f>
        <v>1</v>
      </c>
      <c r="I65" s="78">
        <f>TABLEROS!$AR$19</f>
        <v>6</v>
      </c>
      <c r="J65" s="34">
        <f>TABLEROS!$AT$19</f>
        <v>2.00254227352941</v>
      </c>
      <c r="K65" s="41">
        <f>TABLEROS!$AU$19</f>
        <v>0.923935408876421</v>
      </c>
      <c r="L65" s="34">
        <f>TABLEROS!$BF$19</f>
        <v>1.54655271428571</v>
      </c>
      <c r="M65" s="34">
        <f>TABLEROS!$BG$19</f>
        <v>1.19498519930688</v>
      </c>
      <c r="N65" s="42" t="inlineStr"/>
    </row>
    <row r="66">
      <c r="B66" s="32" t="inlineStr"/>
      <c r="C66" s="39" t="inlineStr">
        <is>
          <t>‖ claro largo</t>
        </is>
      </c>
      <c r="D66" s="39" t="inlineStr">
        <is>
          <t>Inferior</t>
        </is>
      </c>
      <c r="E66" s="34">
        <f>TABLEROS!$AJ$19</f>
        <v>0</v>
      </c>
      <c r="F66" s="55">
        <f>DATOS!$C$16</f>
        <v>70</v>
      </c>
      <c r="G66" s="55">
        <f>DATOS!$C$15</f>
        <v>25</v>
      </c>
      <c r="H66" s="56">
        <f>TABLEROS!$AX$19</f>
        <v>1</v>
      </c>
      <c r="I66" s="78">
        <f>TABLEROS!$AW$19</f>
        <v>3</v>
      </c>
      <c r="J66" s="34">
        <f>TABLEROS!$AY$19</f>
        <v>0.584659515176471</v>
      </c>
      <c r="K66" s="41">
        <f>TABLEROS!$AZ$19</f>
        <v>0</v>
      </c>
      <c r="L66" s="34" t="inlineStr"/>
      <c r="M66" s="34" t="inlineStr"/>
      <c r="N66" s="42" t="inlineStr"/>
    </row>
    <row r="67">
      <c r="B67" s="32" t="inlineStr"/>
      <c r="C67" s="39" t="inlineStr">
        <is>
          <t>‖ claro largo</t>
        </is>
      </c>
      <c r="D67" s="39" t="inlineStr">
        <is>
          <t>Bastón sup.</t>
        </is>
      </c>
      <c r="E67" s="34">
        <f>TABLEROS!$AK$19</f>
        <v>0</v>
      </c>
      <c r="F67" s="55">
        <f>DATOS!$C$13</f>
        <v>10</v>
      </c>
      <c r="G67" s="55">
        <f>DATOS!$C$15</f>
        <v>25</v>
      </c>
      <c r="H67" s="56">
        <f>TABLEROS!$BC$19</f>
        <v>1</v>
      </c>
      <c r="I67" s="78">
        <f>TABLEROS!$BB$19</f>
        <v>3</v>
      </c>
      <c r="J67" s="34">
        <f>TABLEROS!$BD$19</f>
        <v>0.568518826235294</v>
      </c>
      <c r="K67" s="41">
        <f>TABLEROS!$BE$19</f>
        <v>0</v>
      </c>
      <c r="L67" s="34" t="inlineStr"/>
      <c r="M67" s="34" t="inlineStr"/>
      <c r="N67" s="42" t="inlineStr"/>
    </row>
    <row r="68">
      <c r="B68" s="32" t="inlineStr">
        <is>
          <t>F80013 N+3.00</t>
        </is>
      </c>
      <c r="C68" s="39" t="inlineStr">
        <is>
          <t>‖ claro corto</t>
        </is>
      </c>
      <c r="D68" s="39" t="inlineStr">
        <is>
          <t>Inferior</t>
        </is>
      </c>
      <c r="E68" s="34">
        <f>TABLEROS!$AH$20</f>
        <v>0.015969591380483</v>
      </c>
      <c r="F68" s="55">
        <f>DATOS!$C$16</f>
        <v>70</v>
      </c>
      <c r="G68" s="55">
        <f>DATOS!$C$15</f>
        <v>25</v>
      </c>
      <c r="H68" s="56">
        <f>TABLEROS!$AN$20</f>
        <v>1</v>
      </c>
      <c r="I68" s="78">
        <f>TABLEROS!$AM$20</f>
        <v>3</v>
      </c>
      <c r="J68" s="34">
        <f>TABLEROS!$AO$20</f>
        <v>0.584659515176471</v>
      </c>
      <c r="K68" s="41">
        <f>TABLEROS!$AP$20</f>
        <v>0.0273143444448395</v>
      </c>
      <c r="L68" s="34" t="inlineStr"/>
      <c r="M68" s="34" t="inlineStr"/>
      <c r="N68" s="42" t="str">
        <f>TABLEROS!$BP$20</f>
        <v>CUMPLE</v>
      </c>
    </row>
    <row r="69">
      <c r="B69" s="32" t="inlineStr"/>
      <c r="C69" s="39" t="inlineStr">
        <is>
          <t>‖ claro corto</t>
        </is>
      </c>
      <c r="D69" s="39" t="inlineStr">
        <is>
          <t>Bastón sup.</t>
        </is>
      </c>
      <c r="E69" s="34">
        <f>TABLEROS!$AI$20</f>
        <v>0.0277412877990955</v>
      </c>
      <c r="F69" s="55">
        <f>DATOS!$C$13</f>
        <v>10</v>
      </c>
      <c r="G69" s="55">
        <f>DATOS!$C$15</f>
        <v>25</v>
      </c>
      <c r="H69" s="56">
        <f>TABLEROS!$AS$20</f>
        <v>1</v>
      </c>
      <c r="I69" s="78">
        <f>TABLEROS!$AR$20</f>
        <v>3</v>
      </c>
      <c r="J69" s="34">
        <f>TABLEROS!$AT$20</f>
        <v>0.568518826235294</v>
      </c>
      <c r="K69" s="41">
        <f>TABLEROS!$AU$20</f>
        <v>0.0487957241148848</v>
      </c>
      <c r="L69" s="34">
        <f>TABLEROS!$BF$20</f>
        <v>0.0959766872233974</v>
      </c>
      <c r="M69" s="34">
        <f>TABLEROS!$BG$20</f>
        <v>0.687439634849853</v>
      </c>
      <c r="N69" s="42" t="inlineStr"/>
    </row>
    <row r="70">
      <c r="B70" s="32" t="inlineStr"/>
      <c r="C70" s="39" t="inlineStr">
        <is>
          <t>‖ claro largo</t>
        </is>
      </c>
      <c r="D70" s="39" t="inlineStr">
        <is>
          <t>Inferior</t>
        </is>
      </c>
      <c r="E70" s="34">
        <f>TABLEROS!$AJ$20</f>
        <v>0.00661246579940185</v>
      </c>
      <c r="F70" s="55">
        <f>DATOS!$C$16</f>
        <v>70</v>
      </c>
      <c r="G70" s="55">
        <f>DATOS!$C$15</f>
        <v>25</v>
      </c>
      <c r="H70" s="56">
        <f>TABLEROS!$AX$20</f>
        <v>1</v>
      </c>
      <c r="I70" s="78">
        <f>TABLEROS!$AW$20</f>
        <v>3</v>
      </c>
      <c r="J70" s="34">
        <f>TABLEROS!$AY$20</f>
        <v>0.584659515176471</v>
      </c>
      <c r="K70" s="41">
        <f>TABLEROS!$AZ$20</f>
        <v>0.011309943014279</v>
      </c>
      <c r="L70" s="34" t="inlineStr"/>
      <c r="M70" s="34" t="inlineStr"/>
      <c r="N70" s="42" t="inlineStr"/>
    </row>
    <row r="71">
      <c r="B71" s="32" t="inlineStr"/>
      <c r="C71" s="39" t="inlineStr">
        <is>
          <t>‖ claro largo</t>
        </is>
      </c>
      <c r="D71" s="39" t="inlineStr">
        <is>
          <t>Bastón sup.</t>
        </is>
      </c>
      <c r="E71" s="34">
        <f>TABLEROS!$AK$20</f>
        <v>0.019461918036708</v>
      </c>
      <c r="F71" s="55">
        <f>DATOS!$C$13</f>
        <v>10</v>
      </c>
      <c r="G71" s="55">
        <f>DATOS!$C$15</f>
        <v>25</v>
      </c>
      <c r="H71" s="56">
        <f>TABLEROS!$BC$20</f>
        <v>1</v>
      </c>
      <c r="I71" s="78">
        <f>TABLEROS!$BB$20</f>
        <v>3</v>
      </c>
      <c r="J71" s="34">
        <f>TABLEROS!$BD$20</f>
        <v>0.568518826235294</v>
      </c>
      <c r="K71" s="41">
        <f>TABLEROS!$BE$20</f>
        <v>0.0342326711774595</v>
      </c>
      <c r="L71" s="34" t="inlineStr"/>
      <c r="M71" s="34" t="inlineStr"/>
      <c r="N71" s="42" t="inlineStr"/>
    </row>
    <row r="72">
      <c r="B72" s="32" t="inlineStr">
        <is>
          <t>F80014 N+3.00</t>
        </is>
      </c>
      <c r="C72" s="39" t="inlineStr">
        <is>
          <t>‖ claro corto</t>
        </is>
      </c>
      <c r="D72" s="39" t="inlineStr">
        <is>
          <t>Inferior</t>
        </is>
      </c>
      <c r="E72" s="34">
        <f>TABLEROS!$AH$21</f>
        <v>0.0490558067594208</v>
      </c>
      <c r="F72" s="55">
        <f>DATOS!$C$16</f>
        <v>70</v>
      </c>
      <c r="G72" s="55">
        <f>DATOS!$C$15</f>
        <v>25</v>
      </c>
      <c r="H72" s="56">
        <f>TABLEROS!$AN$21</f>
        <v>1</v>
      </c>
      <c r="I72" s="78">
        <f>TABLEROS!$AM$21</f>
        <v>3</v>
      </c>
      <c r="J72" s="34">
        <f>TABLEROS!$AO$21</f>
        <v>0.584659515176471</v>
      </c>
      <c r="K72" s="41">
        <f>TABLEROS!$AP$21</f>
        <v>0.0839049147170966</v>
      </c>
      <c r="L72" s="34" t="inlineStr"/>
      <c r="M72" s="34" t="inlineStr"/>
      <c r="N72" s="42" t="str">
        <f>TABLEROS!$BP$21</f>
        <v>VER PRINCIPALES</v>
      </c>
    </row>
    <row r="73">
      <c r="B73" s="32" t="inlineStr"/>
      <c r="C73" s="39" t="inlineStr">
        <is>
          <t>‖ claro corto</t>
        </is>
      </c>
      <c r="D73" s="39" t="inlineStr">
        <is>
          <t>Bastón sup.</t>
        </is>
      </c>
      <c r="E73" s="34">
        <f>TABLEROS!$AI$21</f>
        <v>0.0875947817799368</v>
      </c>
      <c r="F73" s="55">
        <f>DATOS!$C$13</f>
        <v>10</v>
      </c>
      <c r="G73" s="55">
        <f>DATOS!$C$15</f>
        <v>25</v>
      </c>
      <c r="H73" s="56">
        <f>TABLEROS!$AS$21</f>
        <v>1</v>
      </c>
      <c r="I73" s="78">
        <f>TABLEROS!$AR$21</f>
        <v>3</v>
      </c>
      <c r="J73" s="34">
        <f>TABLEROS!$AT$21</f>
        <v>0.568518826235294</v>
      </c>
      <c r="K73" s="41">
        <f>TABLEROS!$AU$21</f>
        <v>0.154075428530635</v>
      </c>
      <c r="L73" s="34">
        <f>TABLEROS!$BF$21</f>
        <v>0.254963497483552</v>
      </c>
      <c r="M73" s="34">
        <f>TABLEROS!$BG$21</f>
        <v>0.687439634849853</v>
      </c>
      <c r="N73" s="42" t="inlineStr"/>
    </row>
    <row r="74">
      <c r="B74" s="32" t="inlineStr"/>
      <c r="C74" s="39" t="inlineStr">
        <is>
          <t>‖ claro largo</t>
        </is>
      </c>
      <c r="D74" s="39" t="inlineStr">
        <is>
          <t>Inferior</t>
        </is>
      </c>
      <c r="E74" s="34">
        <f>TABLEROS!$AJ$21</f>
        <v>0.022529943755129</v>
      </c>
      <c r="F74" s="55">
        <f>DATOS!$C$16</f>
        <v>70</v>
      </c>
      <c r="G74" s="55">
        <f>DATOS!$C$15</f>
        <v>25</v>
      </c>
      <c r="H74" s="56">
        <f>TABLEROS!$AX$21</f>
        <v>1</v>
      </c>
      <c r="I74" s="78">
        <f>TABLEROS!$AW$21</f>
        <v>3</v>
      </c>
      <c r="J74" s="34">
        <f>TABLEROS!$AY$21</f>
        <v>0.584659515176471</v>
      </c>
      <c r="K74" s="41">
        <f>TABLEROS!$AZ$21</f>
        <v>0.0385351528031297</v>
      </c>
      <c r="L74" s="34" t="inlineStr"/>
      <c r="M74" s="34" t="inlineStr"/>
      <c r="N74" s="42" t="inlineStr"/>
    </row>
    <row r="75">
      <c r="B75" s="32" t="inlineStr"/>
      <c r="C75" s="39" t="inlineStr">
        <is>
          <t>‖ claro largo</t>
        </is>
      </c>
      <c r="D75" s="39" t="inlineStr">
        <is>
          <t>Bastón sup.</t>
        </is>
      </c>
      <c r="E75" s="34">
        <f>TABLEROS!$AK$21</f>
        <v>0.0661411780898929</v>
      </c>
      <c r="F75" s="55">
        <f>DATOS!$C$13</f>
        <v>10</v>
      </c>
      <c r="G75" s="55">
        <f>DATOS!$C$15</f>
        <v>25</v>
      </c>
      <c r="H75" s="56">
        <f>TABLEROS!$BC$21</f>
        <v>1</v>
      </c>
      <c r="I75" s="78">
        <f>TABLEROS!$BB$21</f>
        <v>3</v>
      </c>
      <c r="J75" s="34">
        <f>TABLEROS!$BD$21</f>
        <v>0.568518826235294</v>
      </c>
      <c r="K75" s="41">
        <f>TABLEROS!$BE$21</f>
        <v>0.116339468523632</v>
      </c>
      <c r="L75" s="34" t="inlineStr"/>
      <c r="M75" s="34" t="inlineStr"/>
      <c r="N75" s="42" t="inlineStr"/>
    </row>
    <row r="76">
      <c r="B76" s="32" t="inlineStr">
        <is>
          <t>F80015 N+3.00</t>
        </is>
      </c>
      <c r="C76" s="39" t="inlineStr">
        <is>
          <t>‖ claro corto</t>
        </is>
      </c>
      <c r="D76" s="39" t="inlineStr">
        <is>
          <t>Inferior</t>
        </is>
      </c>
      <c r="E76" s="34">
        <f>TABLEROS!$AH$22</f>
        <v>0.0521525139686734</v>
      </c>
      <c r="F76" s="55">
        <f>DATOS!$C$16</f>
        <v>70</v>
      </c>
      <c r="G76" s="55">
        <f>DATOS!$C$15</f>
        <v>25</v>
      </c>
      <c r="H76" s="56">
        <f>TABLEROS!$AN$22</f>
        <v>1</v>
      </c>
      <c r="I76" s="78">
        <f>TABLEROS!$AM$22</f>
        <v>3</v>
      </c>
      <c r="J76" s="34">
        <f>TABLEROS!$AO$22</f>
        <v>0.584659515176471</v>
      </c>
      <c r="K76" s="41">
        <f>TABLEROS!$AP$22</f>
        <v>0.0892015140691448</v>
      </c>
      <c r="L76" s="34" t="inlineStr"/>
      <c r="M76" s="34" t="inlineStr"/>
      <c r="N76" s="42" t="str">
        <f>TABLEROS!$BP$22</f>
        <v>CUMPLE</v>
      </c>
    </row>
    <row r="77">
      <c r="B77" s="32" t="inlineStr"/>
      <c r="C77" s="39" t="inlineStr">
        <is>
          <t>‖ claro corto</t>
        </is>
      </c>
      <c r="D77" s="39" t="inlineStr">
        <is>
          <t>Bastón sup.</t>
        </is>
      </c>
      <c r="E77" s="34">
        <f>TABLEROS!$AI$22</f>
        <v>0.0901257427892055</v>
      </c>
      <c r="F77" s="55">
        <f>DATOS!$C$13</f>
        <v>10</v>
      </c>
      <c r="G77" s="55">
        <f>DATOS!$C$15</f>
        <v>25</v>
      </c>
      <c r="H77" s="56">
        <f>TABLEROS!$AS$22</f>
        <v>1</v>
      </c>
      <c r="I77" s="78">
        <f>TABLEROS!$AR$22</f>
        <v>3</v>
      </c>
      <c r="J77" s="34">
        <f>TABLEROS!$AT$22</f>
        <v>0.568518826235294</v>
      </c>
      <c r="K77" s="41">
        <f>TABLEROS!$AU$22</f>
        <v>0.158527279362082</v>
      </c>
      <c r="L77" s="34">
        <f>TABLEROS!$BF$22</f>
        <v>0.293170735017043</v>
      </c>
      <c r="M77" s="34">
        <f>TABLEROS!$BG$22</f>
        <v>0.687439634849853</v>
      </c>
      <c r="N77" s="42" t="inlineStr"/>
    </row>
    <row r="78">
      <c r="B78" s="32" t="inlineStr"/>
      <c r="C78" s="39" t="inlineStr">
        <is>
          <t>‖ claro largo</t>
        </is>
      </c>
      <c r="D78" s="39" t="inlineStr">
        <is>
          <t>Inferior</t>
        </is>
      </c>
      <c r="E78" s="34">
        <f>TABLEROS!$AJ$22</f>
        <v>0.0230197611926779</v>
      </c>
      <c r="F78" s="55">
        <f>DATOS!$C$16</f>
        <v>70</v>
      </c>
      <c r="G78" s="55">
        <f>DATOS!$C$15</f>
        <v>25</v>
      </c>
      <c r="H78" s="56">
        <f>TABLEROS!$AX$22</f>
        <v>1</v>
      </c>
      <c r="I78" s="78">
        <f>TABLEROS!$AW$22</f>
        <v>3</v>
      </c>
      <c r="J78" s="34">
        <f>TABLEROS!$AY$22</f>
        <v>0.584659515176471</v>
      </c>
      <c r="K78" s="41">
        <f>TABLEROS!$AZ$22</f>
        <v>0.0393729351787419</v>
      </c>
      <c r="L78" s="34" t="inlineStr"/>
      <c r="M78" s="34" t="inlineStr"/>
      <c r="N78" s="42" t="inlineStr"/>
    </row>
    <row r="79">
      <c r="B79" s="32" t="inlineStr"/>
      <c r="C79" s="39" t="inlineStr">
        <is>
          <t>‖ claro largo</t>
        </is>
      </c>
      <c r="D79" s="39" t="inlineStr">
        <is>
          <t>Bastón sup.</t>
        </is>
      </c>
      <c r="E79" s="34">
        <f>TABLEROS!$AK$22</f>
        <v>0.0661360362936403</v>
      </c>
      <c r="F79" s="55">
        <f>DATOS!$C$13</f>
        <v>10</v>
      </c>
      <c r="G79" s="55">
        <f>DATOS!$C$15</f>
        <v>25</v>
      </c>
      <c r="H79" s="56">
        <f>TABLEROS!$BC$22</f>
        <v>1</v>
      </c>
      <c r="I79" s="78">
        <f>TABLEROS!$BB$22</f>
        <v>3</v>
      </c>
      <c r="J79" s="34">
        <f>TABLEROS!$BD$22</f>
        <v>0.568518826235294</v>
      </c>
      <c r="K79" s="41">
        <f>TABLEROS!$BE$22</f>
        <v>0.116330424326649</v>
      </c>
      <c r="L79" s="34" t="inlineStr"/>
      <c r="M79" s="34" t="inlineStr"/>
      <c r="N79" s="42" t="inlineStr"/>
    </row>
    <row r="80">
      <c r="B80" s="32" t="inlineStr">
        <is>
          <t>F80016 N+3.00</t>
        </is>
      </c>
      <c r="C80" s="39" t="inlineStr">
        <is>
          <t>‖ claro corto</t>
        </is>
      </c>
      <c r="D80" s="39" t="inlineStr">
        <is>
          <t>Inferior</t>
        </is>
      </c>
      <c r="E80" s="34">
        <f>TABLEROS!$AH$23</f>
        <v>0.152716831027048</v>
      </c>
      <c r="F80" s="55">
        <f>DATOS!$C$16</f>
        <v>70</v>
      </c>
      <c r="G80" s="55">
        <f>DATOS!$C$15</f>
        <v>25</v>
      </c>
      <c r="H80" s="56">
        <f>TABLEROS!$AN$23</f>
        <v>1</v>
      </c>
      <c r="I80" s="78">
        <f>TABLEROS!$AM$23</f>
        <v>3</v>
      </c>
      <c r="J80" s="34">
        <f>TABLEROS!$AO$23</f>
        <v>0.584659515176471</v>
      </c>
      <c r="K80" s="41">
        <f>TABLEROS!$AP$23</f>
        <v>0.261206440779387</v>
      </c>
      <c r="L80" s="34" t="inlineStr"/>
      <c r="M80" s="34" t="inlineStr"/>
      <c r="N80" s="42" t="str">
        <f>TABLEROS!$BP$23</f>
        <v>VER PRINCIPALES</v>
      </c>
    </row>
    <row r="81">
      <c r="B81" s="32" t="inlineStr"/>
      <c r="C81" s="39" t="inlineStr">
        <is>
          <t>‖ claro corto</t>
        </is>
      </c>
      <c r="D81" s="39" t="inlineStr">
        <is>
          <t>Bastón sup.</t>
        </is>
      </c>
      <c r="E81" s="34">
        <f>TABLEROS!$AI$23</f>
        <v>0.327526965386353</v>
      </c>
      <c r="F81" s="55">
        <f>DATOS!$C$13</f>
        <v>10</v>
      </c>
      <c r="G81" s="55">
        <f>DATOS!$C$15</f>
        <v>25</v>
      </c>
      <c r="H81" s="56">
        <f>TABLEROS!$AS$23</f>
        <v>1</v>
      </c>
      <c r="I81" s="78">
        <f>TABLEROS!$AR$23</f>
        <v>3</v>
      </c>
      <c r="J81" s="34">
        <f>TABLEROS!$AT$23</f>
        <v>0.568518826235294</v>
      </c>
      <c r="K81" s="41">
        <f>TABLEROS!$AU$23</f>
        <v>0.576105751071116</v>
      </c>
      <c r="L81" s="34">
        <f>TABLEROS!$BF$23</f>
        <v>0.587646054485111</v>
      </c>
      <c r="M81" s="34">
        <f>TABLEROS!$BG$23</f>
        <v>0.687439634849853</v>
      </c>
      <c r="N81" s="42" t="inlineStr"/>
    </row>
    <row r="82">
      <c r="B82" s="32" t="inlineStr"/>
      <c r="C82" s="39" t="inlineStr">
        <is>
          <t>‖ claro largo</t>
        </is>
      </c>
      <c r="D82" s="39" t="inlineStr">
        <is>
          <t>Inferior</t>
        </is>
      </c>
      <c r="E82" s="34">
        <f>TABLEROS!$AJ$23</f>
        <v>0.118874605714286</v>
      </c>
      <c r="F82" s="55">
        <f>DATOS!$C$16</f>
        <v>70</v>
      </c>
      <c r="G82" s="55">
        <f>DATOS!$C$15</f>
        <v>25</v>
      </c>
      <c r="H82" s="56">
        <f>TABLEROS!$AX$23</f>
        <v>1</v>
      </c>
      <c r="I82" s="78">
        <f>TABLEROS!$AW$23</f>
        <v>3</v>
      </c>
      <c r="J82" s="34">
        <f>TABLEROS!$AY$23</f>
        <v>0.584659515176471</v>
      </c>
      <c r="K82" s="41">
        <f>TABLEROS!$AZ$23</f>
        <v>0.203322793230185</v>
      </c>
      <c r="L82" s="34" t="inlineStr"/>
      <c r="M82" s="34" t="inlineStr"/>
      <c r="N82" s="42" t="inlineStr"/>
    </row>
    <row r="83">
      <c r="B83" s="32" t="inlineStr"/>
      <c r="C83" s="39" t="inlineStr">
        <is>
          <t>‖ claro largo</t>
        </is>
      </c>
      <c r="D83" s="39" t="inlineStr">
        <is>
          <t>Bastón sup.</t>
        </is>
      </c>
      <c r="E83" s="34">
        <f>TABLEROS!$AK$23</f>
        <v>0.299409502766768</v>
      </c>
      <c r="F83" s="55">
        <f>DATOS!$C$13</f>
        <v>10</v>
      </c>
      <c r="G83" s="55">
        <f>DATOS!$C$15</f>
        <v>25</v>
      </c>
      <c r="H83" s="56">
        <f>TABLEROS!$BC$23</f>
        <v>1</v>
      </c>
      <c r="I83" s="78">
        <f>TABLEROS!$BB$23</f>
        <v>3</v>
      </c>
      <c r="J83" s="34">
        <f>TABLEROS!$BD$23</f>
        <v>0.568518826235294</v>
      </c>
      <c r="K83" s="41">
        <f>TABLEROS!$BE$23</f>
        <v>0.526648351734355</v>
      </c>
      <c r="L83" s="34" t="inlineStr"/>
      <c r="M83" s="34" t="inlineStr"/>
      <c r="N83" s="42" t="inlineStr"/>
    </row>
    <row r="84">
      <c r="B84" s="32" t="inlineStr">
        <is>
          <t>F80017 N+3.00</t>
        </is>
      </c>
      <c r="C84" s="39" t="inlineStr">
        <is>
          <t>‖ claro corto</t>
        </is>
      </c>
      <c r="D84" s="39" t="inlineStr">
        <is>
          <t>Inferior</t>
        </is>
      </c>
      <c r="E84" s="34">
        <f>TABLEROS!$AH$24</f>
        <v>0.00789701984732035</v>
      </c>
      <c r="F84" s="55">
        <f>DATOS!$C$16</f>
        <v>70</v>
      </c>
      <c r="G84" s="55">
        <f>DATOS!$C$15</f>
        <v>25</v>
      </c>
      <c r="H84" s="56">
        <f>TABLEROS!$AN$24</f>
        <v>1</v>
      </c>
      <c r="I84" s="78">
        <f>TABLEROS!$AM$24</f>
        <v>3</v>
      </c>
      <c r="J84" s="34">
        <f>TABLEROS!$AO$24</f>
        <v>0.584659515176471</v>
      </c>
      <c r="K84" s="41">
        <f>TABLEROS!$AP$24</f>
        <v>0.0135070406661162</v>
      </c>
      <c r="L84" s="34" t="inlineStr"/>
      <c r="M84" s="34" t="inlineStr"/>
      <c r="N84" s="42" t="str">
        <f>TABLEROS!$BP$24</f>
        <v>VER PRINCIPALES</v>
      </c>
    </row>
    <row r="85">
      <c r="B85" s="32" t="inlineStr"/>
      <c r="C85" s="39" t="inlineStr">
        <is>
          <t>‖ claro corto</t>
        </is>
      </c>
      <c r="D85" s="39" t="inlineStr">
        <is>
          <t>Bastón sup.</t>
        </is>
      </c>
      <c r="E85" s="34">
        <f>TABLEROS!$AI$24</f>
        <v>0.0127201034333904</v>
      </c>
      <c r="F85" s="55">
        <f>DATOS!$C$13</f>
        <v>10</v>
      </c>
      <c r="G85" s="55">
        <f>DATOS!$C$15</f>
        <v>25</v>
      </c>
      <c r="H85" s="56">
        <f>TABLEROS!$AS$24</f>
        <v>1</v>
      </c>
      <c r="I85" s="78">
        <f>TABLEROS!$AR$24</f>
        <v>3</v>
      </c>
      <c r="J85" s="34">
        <f>TABLEROS!$AT$24</f>
        <v>0.568518826235294</v>
      </c>
      <c r="K85" s="41">
        <f>TABLEROS!$AU$24</f>
        <v>0.0223741111928032</v>
      </c>
      <c r="L85" s="34">
        <f>TABLEROS!$BF$24</f>
        <v>0.0156689321882143</v>
      </c>
      <c r="M85" s="34">
        <f>TABLEROS!$BG$24</f>
        <v>0.687439634849853</v>
      </c>
      <c r="N85" s="42" t="inlineStr"/>
    </row>
    <row r="86">
      <c r="B86" s="32" t="inlineStr"/>
      <c r="C86" s="39" t="inlineStr">
        <is>
          <t>‖ claro largo</t>
        </is>
      </c>
      <c r="D86" s="39" t="inlineStr">
        <is>
          <t>Inferior</t>
        </is>
      </c>
      <c r="E86" s="34">
        <f>TABLEROS!$AJ$24</f>
        <v>0.00238086990499098</v>
      </c>
      <c r="F86" s="55">
        <f>DATOS!$C$16</f>
        <v>70</v>
      </c>
      <c r="G86" s="55">
        <f>DATOS!$C$15</f>
        <v>25</v>
      </c>
      <c r="H86" s="56">
        <f>TABLEROS!$AX$24</f>
        <v>1</v>
      </c>
      <c r="I86" s="78">
        <f>TABLEROS!$AW$24</f>
        <v>3</v>
      </c>
      <c r="J86" s="34">
        <f>TABLEROS!$AY$24</f>
        <v>0.584659515176471</v>
      </c>
      <c r="K86" s="41">
        <f>TABLEROS!$AZ$24</f>
        <v>0.0040722332283814</v>
      </c>
      <c r="L86" s="34" t="inlineStr"/>
      <c r="M86" s="34" t="inlineStr"/>
      <c r="N86" s="42" t="inlineStr"/>
    </row>
    <row r="87">
      <c r="B87" s="32" t="inlineStr"/>
      <c r="C87" s="39" t="inlineStr">
        <is>
          <t>‖ claro largo</t>
        </is>
      </c>
      <c r="D87" s="39" t="inlineStr">
        <is>
          <t>Bastón sup.</t>
        </is>
      </c>
      <c r="E87" s="34">
        <f>TABLEROS!$AK$24</f>
        <v>0.00701711849050558</v>
      </c>
      <c r="F87" s="55">
        <f>DATOS!$C$13</f>
        <v>10</v>
      </c>
      <c r="G87" s="55">
        <f>DATOS!$C$15</f>
        <v>25</v>
      </c>
      <c r="H87" s="56">
        <f>TABLEROS!$BC$24</f>
        <v>1</v>
      </c>
      <c r="I87" s="78">
        <f>TABLEROS!$BB$24</f>
        <v>3</v>
      </c>
      <c r="J87" s="34">
        <f>TABLEROS!$BD$24</f>
        <v>0.568518826235294</v>
      </c>
      <c r="K87" s="41">
        <f>TABLEROS!$BE$24</f>
        <v>0.0123428076022963</v>
      </c>
      <c r="L87" s="34" t="inlineStr"/>
      <c r="M87" s="34" t="inlineStr"/>
      <c r="N87" s="42" t="inlineStr"/>
    </row>
    <row r="88">
      <c r="B88" s="32" t="inlineStr">
        <is>
          <t>F80018 N+3.00</t>
        </is>
      </c>
      <c r="C88" s="39" t="inlineStr">
        <is>
          <t>‖ claro corto</t>
        </is>
      </c>
      <c r="D88" s="39" t="inlineStr">
        <is>
          <t>Inferior</t>
        </is>
      </c>
      <c r="E88" s="34">
        <f>TABLEROS!$AH$25</f>
        <v>0.120281348392634</v>
      </c>
      <c r="F88" s="55">
        <f>DATOS!$C$16</f>
        <v>70</v>
      </c>
      <c r="G88" s="55">
        <f>DATOS!$C$15</f>
        <v>25</v>
      </c>
      <c r="H88" s="56">
        <f>TABLEROS!$AN$25</f>
        <v>1</v>
      </c>
      <c r="I88" s="78">
        <f>TABLEROS!$AM$25</f>
        <v>3</v>
      </c>
      <c r="J88" s="34">
        <f>TABLEROS!$AO$25</f>
        <v>0.584659515176471</v>
      </c>
      <c r="K88" s="41">
        <f>TABLEROS!$AP$25</f>
        <v>0.205728881973859</v>
      </c>
      <c r="L88" s="34" t="inlineStr"/>
      <c r="M88" s="34" t="inlineStr"/>
      <c r="N88" s="42" t="str">
        <f>TABLEROS!$BP$25</f>
        <v>CUMPLE</v>
      </c>
    </row>
    <row r="89">
      <c r="B89" s="32" t="inlineStr"/>
      <c r="C89" s="39" t="inlineStr">
        <is>
          <t>‖ claro corto</t>
        </is>
      </c>
      <c r="D89" s="39" t="inlineStr">
        <is>
          <t>Bastón sup.</t>
        </is>
      </c>
      <c r="E89" s="34">
        <f>TABLEROS!$AI$25</f>
        <v>0.271672810408259</v>
      </c>
      <c r="F89" s="55">
        <f>DATOS!$C$13</f>
        <v>10</v>
      </c>
      <c r="G89" s="55">
        <f>DATOS!$C$15</f>
        <v>25</v>
      </c>
      <c r="H89" s="56">
        <f>TABLEROS!$AS$25</f>
        <v>1</v>
      </c>
      <c r="I89" s="78">
        <f>TABLEROS!$AR$25</f>
        <v>3</v>
      </c>
      <c r="J89" s="34">
        <f>TABLEROS!$AT$25</f>
        <v>0.568518826235294</v>
      </c>
      <c r="K89" s="41">
        <f>TABLEROS!$AU$25</f>
        <v>0.477860710800492</v>
      </c>
      <c r="L89" s="34">
        <f>TABLEROS!$BF$25</f>
        <v>0.530522622065625</v>
      </c>
      <c r="M89" s="34">
        <f>TABLEROS!$BG$25</f>
        <v>0.687439634849853</v>
      </c>
      <c r="N89" s="42" t="inlineStr"/>
    </row>
    <row r="90">
      <c r="B90" s="32" t="inlineStr"/>
      <c r="C90" s="39" t="inlineStr">
        <is>
          <t>‖ claro largo</t>
        </is>
      </c>
      <c r="D90" s="39" t="inlineStr">
        <is>
          <t>Inferior</t>
        </is>
      </c>
      <c r="E90" s="34">
        <f>TABLEROS!$AJ$25</f>
        <v>0.118174067968973</v>
      </c>
      <c r="F90" s="55">
        <f>DATOS!$C$16</f>
        <v>70</v>
      </c>
      <c r="G90" s="55">
        <f>DATOS!$C$15</f>
        <v>25</v>
      </c>
      <c r="H90" s="56">
        <f>TABLEROS!$AX$25</f>
        <v>1</v>
      </c>
      <c r="I90" s="78">
        <f>TABLEROS!$AW$25</f>
        <v>3</v>
      </c>
      <c r="J90" s="34">
        <f>TABLEROS!$AY$25</f>
        <v>0.584659515176471</v>
      </c>
      <c r="K90" s="41">
        <f>TABLEROS!$AZ$25</f>
        <v>0.202124595429366</v>
      </c>
      <c r="L90" s="34" t="inlineStr"/>
      <c r="M90" s="34" t="inlineStr"/>
      <c r="N90" s="42" t="inlineStr"/>
    </row>
    <row r="91">
      <c r="B91" s="32" t="inlineStr"/>
      <c r="C91" s="39" t="inlineStr">
        <is>
          <t>‖ claro largo</t>
        </is>
      </c>
      <c r="D91" s="39" t="inlineStr">
        <is>
          <t>Bastón sup.</t>
        </is>
      </c>
      <c r="E91" s="34">
        <f>TABLEROS!$AK$25</f>
        <v>0.284815585682143</v>
      </c>
      <c r="F91" s="55">
        <f>DATOS!$C$13</f>
        <v>10</v>
      </c>
      <c r="G91" s="55">
        <f>DATOS!$C$15</f>
        <v>25</v>
      </c>
      <c r="H91" s="56">
        <f>TABLEROS!$BC$25</f>
        <v>1</v>
      </c>
      <c r="I91" s="78">
        <f>TABLEROS!$BB$25</f>
        <v>3</v>
      </c>
      <c r="J91" s="34">
        <f>TABLEROS!$BD$25</f>
        <v>0.568518826235294</v>
      </c>
      <c r="K91" s="41">
        <f>TABLEROS!$BE$25</f>
        <v>0.50097828346016</v>
      </c>
      <c r="L91" s="34" t="inlineStr"/>
      <c r="M91" s="34" t="inlineStr"/>
      <c r="N91" s="42" t="inlineStr"/>
    </row>
    <row r="92">
      <c r="B92" s="32" t="inlineStr">
        <is>
          <t>F80019 N+3.00</t>
        </is>
      </c>
      <c r="C92" s="39" t="inlineStr">
        <is>
          <t>‖ claro corto</t>
        </is>
      </c>
      <c r="D92" s="39" t="inlineStr">
        <is>
          <t>Inferior</t>
        </is>
      </c>
      <c r="E92" s="34">
        <f>TABLEROS!$AH$26</f>
        <v>0</v>
      </c>
      <c r="F92" s="55">
        <f>DATOS!$C$16</f>
        <v>70</v>
      </c>
      <c r="G92" s="55">
        <f>DATOS!$C$15</f>
        <v>25</v>
      </c>
      <c r="H92" s="56">
        <f>TABLEROS!$AN$26</f>
        <v>1</v>
      </c>
      <c r="I92" s="78">
        <f>TABLEROS!$AM$26</f>
        <v>3</v>
      </c>
      <c r="J92" s="34">
        <f>TABLEROS!$AO$26</f>
        <v>0.584659515176471</v>
      </c>
      <c r="K92" s="41">
        <f>TABLEROS!$AP$26</f>
        <v>0</v>
      </c>
      <c r="L92" s="34" t="inlineStr"/>
      <c r="M92" s="34" t="inlineStr"/>
      <c r="N92" s="42" t="str">
        <f>TABLEROS!$BP$26</f>
        <v>CUMPLE — MACIZAR 1 hilera(s)</v>
      </c>
    </row>
    <row r="93">
      <c r="B93" s="32" t="inlineStr"/>
      <c r="C93" s="39" t="inlineStr">
        <is>
          <t>‖ claro corto</t>
        </is>
      </c>
      <c r="D93" s="39" t="inlineStr">
        <is>
          <t>Bastón sup.</t>
        </is>
      </c>
      <c r="E93" s="34">
        <f>TABLEROS!$AI$26</f>
        <v>1.85021971428571</v>
      </c>
      <c r="F93" s="55">
        <f>DATOS!$C$13</f>
        <v>10</v>
      </c>
      <c r="G93" s="55">
        <f>DATOS!$C$15</f>
        <v>25</v>
      </c>
      <c r="H93" s="56">
        <f>TABLEROS!$AS$26</f>
        <v>1</v>
      </c>
      <c r="I93" s="78">
        <f>TABLEROS!$AR$26</f>
        <v>6</v>
      </c>
      <c r="J93" s="34">
        <f>TABLEROS!$AT$26</f>
        <v>2.00254227352941</v>
      </c>
      <c r="K93" s="41">
        <f>TABLEROS!$AU$26</f>
        <v>0.923935408876421</v>
      </c>
      <c r="L93" s="34">
        <f>TABLEROS!$BF$26</f>
        <v>1.54655271428571</v>
      </c>
      <c r="M93" s="34">
        <f>TABLEROS!$BG$26</f>
        <v>1.19498519930688</v>
      </c>
      <c r="N93" s="42" t="inlineStr"/>
    </row>
    <row r="94">
      <c r="B94" s="32" t="inlineStr"/>
      <c r="C94" s="39" t="inlineStr">
        <is>
          <t>‖ claro largo</t>
        </is>
      </c>
      <c r="D94" s="39" t="inlineStr">
        <is>
          <t>Inferior</t>
        </is>
      </c>
      <c r="E94" s="34">
        <f>TABLEROS!$AJ$26</f>
        <v>0</v>
      </c>
      <c r="F94" s="55">
        <f>DATOS!$C$16</f>
        <v>70</v>
      </c>
      <c r="G94" s="55">
        <f>DATOS!$C$15</f>
        <v>25</v>
      </c>
      <c r="H94" s="56">
        <f>TABLEROS!$AX$26</f>
        <v>1</v>
      </c>
      <c r="I94" s="78">
        <f>TABLEROS!$AW$26</f>
        <v>3</v>
      </c>
      <c r="J94" s="34">
        <f>TABLEROS!$AY$26</f>
        <v>0.584659515176471</v>
      </c>
      <c r="K94" s="41">
        <f>TABLEROS!$AZ$26</f>
        <v>0</v>
      </c>
      <c r="L94" s="34" t="inlineStr"/>
      <c r="M94" s="34" t="inlineStr"/>
      <c r="N94" s="42" t="inlineStr"/>
    </row>
    <row r="95">
      <c r="B95" s="32" t="inlineStr"/>
      <c r="C95" s="39" t="inlineStr">
        <is>
          <t>‖ claro largo</t>
        </is>
      </c>
      <c r="D95" s="39" t="inlineStr">
        <is>
          <t>Bastón sup.</t>
        </is>
      </c>
      <c r="E95" s="34">
        <f>TABLEROS!$AK$26</f>
        <v>0</v>
      </c>
      <c r="F95" s="55">
        <f>DATOS!$C$13</f>
        <v>10</v>
      </c>
      <c r="G95" s="55">
        <f>DATOS!$C$15</f>
        <v>25</v>
      </c>
      <c r="H95" s="56">
        <f>TABLEROS!$BC$26</f>
        <v>1</v>
      </c>
      <c r="I95" s="78">
        <f>TABLEROS!$BB$26</f>
        <v>3</v>
      </c>
      <c r="J95" s="34">
        <f>TABLEROS!$BD$26</f>
        <v>0.568518826235294</v>
      </c>
      <c r="K95" s="41">
        <f>TABLEROS!$BE$26</f>
        <v>0</v>
      </c>
      <c r="L95" s="34" t="inlineStr"/>
      <c r="M95" s="34" t="inlineStr"/>
      <c r="N95" s="42" t="inlineStr"/>
    </row>
    <row r="96">
      <c r="B96" s="32" t="inlineStr">
        <is>
          <t>F80020 N+3.00</t>
        </is>
      </c>
      <c r="C96" s="39" t="inlineStr">
        <is>
          <t>‖ claro corto</t>
        </is>
      </c>
      <c r="D96" s="39" t="inlineStr">
        <is>
          <t>Inferior</t>
        </is>
      </c>
      <c r="E96" s="34">
        <f>TABLEROS!$AH$27</f>
        <v>0.0542307202031746</v>
      </c>
      <c r="F96" s="55">
        <f>DATOS!$C$16</f>
        <v>70</v>
      </c>
      <c r="G96" s="55">
        <f>DATOS!$C$15</f>
        <v>25</v>
      </c>
      <c r="H96" s="56">
        <f>TABLEROS!$AN$27</f>
        <v>1</v>
      </c>
      <c r="I96" s="78">
        <f>TABLEROS!$AM$27</f>
        <v>3</v>
      </c>
      <c r="J96" s="34">
        <f>TABLEROS!$AO$27</f>
        <v>0.584659515176471</v>
      </c>
      <c r="K96" s="41">
        <f>TABLEROS!$AP$27</f>
        <v>0.0927560722017941</v>
      </c>
      <c r="L96" s="34" t="inlineStr"/>
      <c r="M96" s="34" t="inlineStr"/>
      <c r="N96" s="42" t="str">
        <f>TABLEROS!$BP$27</f>
        <v>CUMPLE</v>
      </c>
    </row>
    <row r="97">
      <c r="B97" s="32" t="inlineStr"/>
      <c r="C97" s="39" t="inlineStr">
        <is>
          <t>‖ claro corto</t>
        </is>
      </c>
      <c r="D97" s="39" t="inlineStr">
        <is>
          <t>Bastón sup.</t>
        </is>
      </c>
      <c r="E97" s="34">
        <f>TABLEROS!$AI$27</f>
        <v>0.0920279730481075</v>
      </c>
      <c r="F97" s="55">
        <f>DATOS!$C$13</f>
        <v>10</v>
      </c>
      <c r="G97" s="55">
        <f>DATOS!$C$15</f>
        <v>25</v>
      </c>
      <c r="H97" s="56">
        <f>TABLEROS!$AS$27</f>
        <v>1</v>
      </c>
      <c r="I97" s="78">
        <f>TABLEROS!$AR$27</f>
        <v>3</v>
      </c>
      <c r="J97" s="34">
        <f>TABLEROS!$AT$27</f>
        <v>0.568518826235294</v>
      </c>
      <c r="K97" s="41">
        <f>TABLEROS!$AU$27</f>
        <v>0.161873220025997</v>
      </c>
      <c r="L97" s="34">
        <f>TABLEROS!$BF$27</f>
        <v>0.28713647745567</v>
      </c>
      <c r="M97" s="34">
        <f>TABLEROS!$BG$27</f>
        <v>0.687439634849853</v>
      </c>
      <c r="N97" s="42" t="inlineStr"/>
    </row>
    <row r="98">
      <c r="B98" s="32" t="inlineStr"/>
      <c r="C98" s="39" t="inlineStr">
        <is>
          <t>‖ claro largo</t>
        </is>
      </c>
      <c r="D98" s="39" t="inlineStr">
        <is>
          <t>Inferior</t>
        </is>
      </c>
      <c r="E98" s="34">
        <f>TABLEROS!$AJ$27</f>
        <v>0.0242541636454213</v>
      </c>
      <c r="F98" s="55">
        <f>DATOS!$C$16</f>
        <v>70</v>
      </c>
      <c r="G98" s="55">
        <f>DATOS!$C$15</f>
        <v>25</v>
      </c>
      <c r="H98" s="56">
        <f>TABLEROS!$AX$27</f>
        <v>1</v>
      </c>
      <c r="I98" s="78">
        <f>TABLEROS!$AW$27</f>
        <v>3</v>
      </c>
      <c r="J98" s="34">
        <f>TABLEROS!$AY$27</f>
        <v>0.584659515176471</v>
      </c>
      <c r="K98" s="41">
        <f>TABLEROS!$AZ$27</f>
        <v>0.0414842536824198</v>
      </c>
      <c r="L98" s="34" t="inlineStr"/>
      <c r="M98" s="34" t="inlineStr"/>
      <c r="N98" s="42" t="inlineStr"/>
    </row>
    <row r="99">
      <c r="B99" s="32" t="inlineStr"/>
      <c r="C99" s="39" t="inlineStr">
        <is>
          <t>‖ claro largo</t>
        </is>
      </c>
      <c r="D99" s="39" t="inlineStr">
        <is>
          <t>Bastón sup.</t>
        </is>
      </c>
      <c r="E99" s="34">
        <f>TABLEROS!$AK$27</f>
        <v>0.0756987260561661</v>
      </c>
      <c r="F99" s="55">
        <f>DATOS!$C$13</f>
        <v>10</v>
      </c>
      <c r="G99" s="55">
        <f>DATOS!$C$15</f>
        <v>25</v>
      </c>
      <c r="H99" s="56">
        <f>TABLEROS!$BC$27</f>
        <v>1</v>
      </c>
      <c r="I99" s="78">
        <f>TABLEROS!$BB$27</f>
        <v>3</v>
      </c>
      <c r="J99" s="34">
        <f>TABLEROS!$BD$27</f>
        <v>0.568518826235294</v>
      </c>
      <c r="K99" s="41">
        <f>TABLEROS!$BE$27</f>
        <v>0.133150781579987</v>
      </c>
      <c r="L99" s="34" t="inlineStr"/>
      <c r="M99" s="34" t="inlineStr"/>
      <c r="N99" s="42" t="inlineStr"/>
    </row>
    <row r="100">
      <c r="B100" s="32" t="inlineStr">
        <is>
          <t>F80021 N+3.00</t>
        </is>
      </c>
      <c r="C100" s="39" t="inlineStr">
        <is>
          <t>‖ claro corto</t>
        </is>
      </c>
      <c r="D100" s="39" t="inlineStr">
        <is>
          <t>Inferior</t>
        </is>
      </c>
      <c r="E100" s="34">
        <f>TABLEROS!$AH$28</f>
        <v>0.104479691487179</v>
      </c>
      <c r="F100" s="55">
        <f>DATOS!$C$16</f>
        <v>70</v>
      </c>
      <c r="G100" s="55">
        <f>DATOS!$C$15</f>
        <v>25</v>
      </c>
      <c r="H100" s="56">
        <f>TABLEROS!$AN$28</f>
        <v>1</v>
      </c>
      <c r="I100" s="78">
        <f>TABLEROS!$AM$28</f>
        <v>3</v>
      </c>
      <c r="J100" s="34">
        <f>TABLEROS!$AO$28</f>
        <v>0.584659515176471</v>
      </c>
      <c r="K100" s="41">
        <f>TABLEROS!$AP$28</f>
        <v>0.17870177218555</v>
      </c>
      <c r="L100" s="34" t="inlineStr"/>
      <c r="M100" s="34" t="inlineStr"/>
      <c r="N100" s="42" t="str">
        <f>TABLEROS!$BP$28</f>
        <v>CUMPLE</v>
      </c>
    </row>
    <row r="101">
      <c r="B101" s="32" t="inlineStr"/>
      <c r="C101" s="39" t="inlineStr">
        <is>
          <t>‖ claro corto</t>
        </is>
      </c>
      <c r="D101" s="39" t="inlineStr">
        <is>
          <t>Bastón sup.</t>
        </is>
      </c>
      <c r="E101" s="34">
        <f>TABLEROS!$AI$28</f>
        <v>0.138810005411477</v>
      </c>
      <c r="F101" s="55">
        <f>DATOS!$C$13</f>
        <v>10</v>
      </c>
      <c r="G101" s="55">
        <f>DATOS!$C$15</f>
        <v>25</v>
      </c>
      <c r="H101" s="56">
        <f>TABLEROS!$AS$28</f>
        <v>1</v>
      </c>
      <c r="I101" s="78">
        <f>TABLEROS!$AR$28</f>
        <v>3</v>
      </c>
      <c r="J101" s="34">
        <f>TABLEROS!$AT$28</f>
        <v>0.568518826235294</v>
      </c>
      <c r="K101" s="41">
        <f>TABLEROS!$AU$28</f>
        <v>0.244160789416018</v>
      </c>
      <c r="L101" s="34">
        <f>TABLEROS!$BF$28</f>
        <v>0.262925595228266</v>
      </c>
      <c r="M101" s="34">
        <f>TABLEROS!$BG$28</f>
        <v>0.687439634849853</v>
      </c>
      <c r="N101" s="42" t="inlineStr"/>
    </row>
    <row r="102">
      <c r="B102" s="32" t="inlineStr"/>
      <c r="C102" s="39" t="inlineStr">
        <is>
          <t>‖ claro largo</t>
        </is>
      </c>
      <c r="D102" s="39" t="inlineStr">
        <is>
          <t>Inferior</t>
        </is>
      </c>
      <c r="E102" s="34">
        <f>TABLEROS!$AJ$28</f>
        <v>0.0640162377142857</v>
      </c>
      <c r="F102" s="55">
        <f>DATOS!$C$16</f>
        <v>70</v>
      </c>
      <c r="G102" s="55">
        <f>DATOS!$C$15</f>
        <v>25</v>
      </c>
      <c r="H102" s="56">
        <f>TABLEROS!$AX$28</f>
        <v>1</v>
      </c>
      <c r="I102" s="78">
        <f>TABLEROS!$AW$28</f>
        <v>3</v>
      </c>
      <c r="J102" s="34">
        <f>TABLEROS!$AY$28</f>
        <v>0.584659515176471</v>
      </c>
      <c r="K102" s="41">
        <f>TABLEROS!$AZ$28</f>
        <v>0.109493193991658</v>
      </c>
      <c r="L102" s="34" t="inlineStr"/>
      <c r="M102" s="34" t="inlineStr"/>
      <c r="N102" s="42" t="inlineStr"/>
    </row>
    <row r="103">
      <c r="B103" s="32" t="inlineStr"/>
      <c r="C103" s="39" t="inlineStr">
        <is>
          <t>‖ claro largo</t>
        </is>
      </c>
      <c r="D103" s="39" t="inlineStr">
        <is>
          <t>Bastón sup.</t>
        </is>
      </c>
      <c r="E103" s="34">
        <f>TABLEROS!$AK$28</f>
        <v>0.0327524937142857</v>
      </c>
      <c r="F103" s="55">
        <f>DATOS!$C$13</f>
        <v>10</v>
      </c>
      <c r="G103" s="55">
        <f>DATOS!$C$15</f>
        <v>25</v>
      </c>
      <c r="H103" s="56">
        <f>TABLEROS!$BC$28</f>
        <v>1</v>
      </c>
      <c r="I103" s="78">
        <f>TABLEROS!$BB$28</f>
        <v>3</v>
      </c>
      <c r="J103" s="34">
        <f>TABLEROS!$BD$28</f>
        <v>0.568518826235294</v>
      </c>
      <c r="K103" s="41">
        <f>TABLEROS!$BE$28</f>
        <v>0.0576102183478624</v>
      </c>
      <c r="L103" s="34" t="inlineStr"/>
      <c r="M103" s="34" t="inlineStr"/>
      <c r="N103" s="42" t="inlineStr"/>
    </row>
    <row r="104">
      <c r="B104" s="32" t="inlineStr">
        <is>
          <t>F2 N+6.00</t>
        </is>
      </c>
      <c r="C104" s="39" t="inlineStr">
        <is>
          <t>‖ claro corto</t>
        </is>
      </c>
      <c r="D104" s="39" t="inlineStr">
        <is>
          <t>Inferior</t>
        </is>
      </c>
      <c r="E104" s="34">
        <f>TABLEROS!$AH$29</f>
        <v>0.0432808708860234</v>
      </c>
      <c r="F104" s="55">
        <f>DATOS!$C$16</f>
        <v>70</v>
      </c>
      <c r="G104" s="55">
        <f>DATOS!$C$15</f>
        <v>25</v>
      </c>
      <c r="H104" s="56">
        <f>TABLEROS!$AN$29</f>
        <v>1</v>
      </c>
      <c r="I104" s="78">
        <f>TABLEROS!$AM$29</f>
        <v>3</v>
      </c>
      <c r="J104" s="34">
        <f>TABLEROS!$AO$29</f>
        <v>0.584659515176471</v>
      </c>
      <c r="K104" s="41">
        <f>TABLEROS!$AP$29</f>
        <v>0.0740274805464505</v>
      </c>
      <c r="L104" s="34" t="inlineStr"/>
      <c r="M104" s="34" t="inlineStr"/>
      <c r="N104" s="42" t="str">
        <f>TABLEROS!$BP$29</f>
        <v>CUMPLE</v>
      </c>
    </row>
    <row r="105">
      <c r="B105" s="32" t="inlineStr"/>
      <c r="C105" s="39" t="inlineStr">
        <is>
          <t>‖ claro corto</t>
        </is>
      </c>
      <c r="D105" s="39" t="inlineStr">
        <is>
          <t>Bastón sup.</t>
        </is>
      </c>
      <c r="E105" s="34">
        <f>TABLEROS!$AI$29</f>
        <v>0.0594566442234634</v>
      </c>
      <c r="F105" s="55">
        <f>DATOS!$C$13</f>
        <v>10</v>
      </c>
      <c r="G105" s="55">
        <f>DATOS!$C$15</f>
        <v>25</v>
      </c>
      <c r="H105" s="56">
        <f>TABLEROS!$AS$29</f>
        <v>1</v>
      </c>
      <c r="I105" s="78">
        <f>TABLEROS!$AR$29</f>
        <v>3</v>
      </c>
      <c r="J105" s="34">
        <f>TABLEROS!$AT$29</f>
        <v>0.568518826235294</v>
      </c>
      <c r="K105" s="41">
        <f>TABLEROS!$AU$29</f>
        <v>0.104581662875058</v>
      </c>
      <c r="L105" s="34">
        <f>TABLEROS!$BF$29</f>
        <v>0.157411993641304</v>
      </c>
      <c r="M105" s="34">
        <f>TABLEROS!$BG$29</f>
        <v>0.687439634849853</v>
      </c>
      <c r="N105" s="42" t="inlineStr"/>
    </row>
    <row r="106">
      <c r="B106" s="32" t="inlineStr"/>
      <c r="C106" s="39" t="inlineStr">
        <is>
          <t>‖ claro largo</t>
        </is>
      </c>
      <c r="D106" s="39" t="inlineStr">
        <is>
          <t>Inferior</t>
        </is>
      </c>
      <c r="E106" s="34">
        <f>TABLEROS!$AJ$29</f>
        <v>0.0174267450396702</v>
      </c>
      <c r="F106" s="55">
        <f>DATOS!$C$16</f>
        <v>70</v>
      </c>
      <c r="G106" s="55">
        <f>DATOS!$C$15</f>
        <v>25</v>
      </c>
      <c r="H106" s="56">
        <f>TABLEROS!$AX$29</f>
        <v>1</v>
      </c>
      <c r="I106" s="78">
        <f>TABLEROS!$AW$29</f>
        <v>3</v>
      </c>
      <c r="J106" s="34">
        <f>TABLEROS!$AY$29</f>
        <v>0.584659515176471</v>
      </c>
      <c r="K106" s="41">
        <f>TABLEROS!$AZ$29</f>
        <v>0.0298066559891876</v>
      </c>
      <c r="L106" s="34" t="inlineStr"/>
      <c r="M106" s="34" t="inlineStr"/>
      <c r="N106" s="42" t="inlineStr"/>
    </row>
    <row r="107">
      <c r="B107" s="32" t="inlineStr"/>
      <c r="C107" s="39" t="inlineStr">
        <is>
          <t>‖ claro largo</t>
        </is>
      </c>
      <c r="D107" s="39" t="inlineStr">
        <is>
          <t>Bastón sup.</t>
        </is>
      </c>
      <c r="E107" s="34">
        <f>TABLEROS!$AK$29</f>
        <v>0.0128451698043429</v>
      </c>
      <c r="F107" s="55">
        <f>DATOS!$C$13</f>
        <v>10</v>
      </c>
      <c r="G107" s="55">
        <f>DATOS!$C$15</f>
        <v>25</v>
      </c>
      <c r="H107" s="56">
        <f>TABLEROS!$BC$29</f>
        <v>1</v>
      </c>
      <c r="I107" s="78">
        <f>TABLEROS!$BB$29</f>
        <v>3</v>
      </c>
      <c r="J107" s="34">
        <f>TABLEROS!$BD$29</f>
        <v>0.568518826235294</v>
      </c>
      <c r="K107" s="41">
        <f>TABLEROS!$BE$29</f>
        <v>0.0225940975242684</v>
      </c>
      <c r="L107" s="34" t="inlineStr"/>
      <c r="M107" s="34" t="inlineStr"/>
      <c r="N107" s="42" t="inlineStr"/>
    </row>
    <row r="108">
      <c r="B108" s="32" t="inlineStr">
        <is>
          <t>F80010 N+6.00</t>
        </is>
      </c>
      <c r="C108" s="39" t="inlineStr">
        <is>
          <t>‖ claro corto</t>
        </is>
      </c>
      <c r="D108" s="39" t="inlineStr">
        <is>
          <t>Inferior</t>
        </is>
      </c>
      <c r="E108" s="34">
        <f>TABLEROS!$AH$30</f>
        <v>0.0691654179313399</v>
      </c>
      <c r="F108" s="55">
        <f>DATOS!$C$16</f>
        <v>70</v>
      </c>
      <c r="G108" s="55">
        <f>DATOS!$C$15</f>
        <v>25</v>
      </c>
      <c r="H108" s="56">
        <f>TABLEROS!$AN$30</f>
        <v>1</v>
      </c>
      <c r="I108" s="78">
        <f>TABLEROS!$AM$30</f>
        <v>3</v>
      </c>
      <c r="J108" s="34">
        <f>TABLEROS!$AO$30</f>
        <v>0.584659515176471</v>
      </c>
      <c r="K108" s="41">
        <f>TABLEROS!$AP$30</f>
        <v>0.11830033743736</v>
      </c>
      <c r="L108" s="34" t="inlineStr"/>
      <c r="M108" s="34" t="inlineStr"/>
      <c r="N108" s="42" t="str">
        <f>TABLEROS!$BP$30</f>
        <v>CUMPLE</v>
      </c>
    </row>
    <row r="109">
      <c r="B109" s="32" t="inlineStr"/>
      <c r="C109" s="39" t="inlineStr">
        <is>
          <t>‖ claro corto</t>
        </is>
      </c>
      <c r="D109" s="39" t="inlineStr">
        <is>
          <t>Bastón sup.</t>
        </is>
      </c>
      <c r="E109" s="34">
        <f>TABLEROS!$AI$30</f>
        <v>0.116777641778895</v>
      </c>
      <c r="F109" s="55">
        <f>DATOS!$C$13</f>
        <v>10</v>
      </c>
      <c r="G109" s="55">
        <f>DATOS!$C$15</f>
        <v>25</v>
      </c>
      <c r="H109" s="56">
        <f>TABLEROS!$AS$30</f>
        <v>1</v>
      </c>
      <c r="I109" s="78">
        <f>TABLEROS!$AR$30</f>
        <v>3</v>
      </c>
      <c r="J109" s="34">
        <f>TABLEROS!$AT$30</f>
        <v>0.568518826235294</v>
      </c>
      <c r="K109" s="41">
        <f>TABLEROS!$AU$30</f>
        <v>0.20540681572885</v>
      </c>
      <c r="L109" s="34">
        <f>TABLEROS!$BF$30</f>
        <v>0.332069840304183</v>
      </c>
      <c r="M109" s="34">
        <f>TABLEROS!$BG$30</f>
        <v>0.687439634849853</v>
      </c>
      <c r="N109" s="42" t="inlineStr"/>
    </row>
    <row r="110">
      <c r="B110" s="32" t="inlineStr"/>
      <c r="C110" s="39" t="inlineStr">
        <is>
          <t>‖ claro largo</t>
        </is>
      </c>
      <c r="D110" s="39" t="inlineStr">
        <is>
          <t>Inferior</t>
        </is>
      </c>
      <c r="E110" s="34">
        <f>TABLEROS!$AJ$30</f>
        <v>0.030427112837476</v>
      </c>
      <c r="F110" s="55">
        <f>DATOS!$C$16</f>
        <v>70</v>
      </c>
      <c r="G110" s="55">
        <f>DATOS!$C$15</f>
        <v>25</v>
      </c>
      <c r="H110" s="56">
        <f>TABLEROS!$AX$30</f>
        <v>1</v>
      </c>
      <c r="I110" s="78">
        <f>TABLEROS!$AW$30</f>
        <v>3</v>
      </c>
      <c r="J110" s="34">
        <f>TABLEROS!$AY$30</f>
        <v>0.584659515176471</v>
      </c>
      <c r="K110" s="41">
        <f>TABLEROS!$AZ$30</f>
        <v>0.0520424487204182</v>
      </c>
      <c r="L110" s="34" t="inlineStr"/>
      <c r="M110" s="34" t="inlineStr"/>
      <c r="N110" s="42" t="inlineStr"/>
    </row>
    <row r="111">
      <c r="B111" s="32" t="inlineStr"/>
      <c r="C111" s="39" t="inlineStr">
        <is>
          <t>‖ claro largo</t>
        </is>
      </c>
      <c r="D111" s="39" t="inlineStr">
        <is>
          <t>Bastón sup.</t>
        </is>
      </c>
      <c r="E111" s="34">
        <f>TABLEROS!$AK$30</f>
        <v>0.0950022565281939</v>
      </c>
      <c r="F111" s="55">
        <f>DATOS!$C$13</f>
        <v>10</v>
      </c>
      <c r="G111" s="55">
        <f>DATOS!$C$15</f>
        <v>25</v>
      </c>
      <c r="H111" s="56">
        <f>TABLEROS!$BC$30</f>
        <v>1</v>
      </c>
      <c r="I111" s="78">
        <f>TABLEROS!$BB$30</f>
        <v>3</v>
      </c>
      <c r="J111" s="34">
        <f>TABLEROS!$BD$30</f>
        <v>0.568518826235294</v>
      </c>
      <c r="K111" s="41">
        <f>TABLEROS!$BE$30</f>
        <v>0.167104855888933</v>
      </c>
      <c r="L111" s="34" t="inlineStr"/>
      <c r="M111" s="34" t="inlineStr"/>
      <c r="N111" s="42" t="inlineStr"/>
    </row>
    <row r="112">
      <c r="B112" s="32" t="inlineStr">
        <is>
          <t>F80023 N+6.00</t>
        </is>
      </c>
      <c r="C112" s="39" t="inlineStr">
        <is>
          <t>‖ claro corto</t>
        </is>
      </c>
      <c r="D112" s="39" t="inlineStr">
        <is>
          <t>Inferior</t>
        </is>
      </c>
      <c r="E112" s="34">
        <f>TABLEROS!$AH$31</f>
        <v>0.0509048483649227</v>
      </c>
      <c r="F112" s="55">
        <f>DATOS!$C$16</f>
        <v>70</v>
      </c>
      <c r="G112" s="55">
        <f>DATOS!$C$15</f>
        <v>25</v>
      </c>
      <c r="H112" s="56">
        <f>TABLEROS!$AN$31</f>
        <v>1</v>
      </c>
      <c r="I112" s="78">
        <f>TABLEROS!$AM$31</f>
        <v>3</v>
      </c>
      <c r="J112" s="34">
        <f>TABLEROS!$AO$31</f>
        <v>0.584659515176471</v>
      </c>
      <c r="K112" s="41">
        <f>TABLEROS!$AP$31</f>
        <v>0.0870675103090691</v>
      </c>
      <c r="L112" s="34" t="inlineStr"/>
      <c r="M112" s="34" t="inlineStr"/>
      <c r="N112" s="42" t="str">
        <f>TABLEROS!$BP$31</f>
        <v>CUMPLE</v>
      </c>
    </row>
    <row r="113">
      <c r="B113" s="32" t="inlineStr"/>
      <c r="C113" s="39" t="inlineStr">
        <is>
          <t>‖ claro corto</t>
        </is>
      </c>
      <c r="D113" s="39" t="inlineStr">
        <is>
          <t>Bastón sup.</t>
        </is>
      </c>
      <c r="E113" s="34">
        <f>TABLEROS!$AI$31</f>
        <v>0.0858021876805543</v>
      </c>
      <c r="F113" s="55">
        <f>DATOS!$C$13</f>
        <v>10</v>
      </c>
      <c r="G113" s="55">
        <f>DATOS!$C$15</f>
        <v>25</v>
      </c>
      <c r="H113" s="56">
        <f>TABLEROS!$AS$31</f>
        <v>1</v>
      </c>
      <c r="I113" s="78">
        <f>TABLEROS!$AR$31</f>
        <v>3</v>
      </c>
      <c r="J113" s="34">
        <f>TABLEROS!$AT$31</f>
        <v>0.568518826235294</v>
      </c>
      <c r="K113" s="41">
        <f>TABLEROS!$AU$31</f>
        <v>0.150922333124362</v>
      </c>
      <c r="L113" s="34">
        <f>TABLEROS!$BF$31</f>
        <v>0.26577877444013</v>
      </c>
      <c r="M113" s="34">
        <f>TABLEROS!$BG$31</f>
        <v>0.687439634849853</v>
      </c>
      <c r="N113" s="42" t="inlineStr"/>
    </row>
    <row r="114">
      <c r="B114" s="32" t="inlineStr"/>
      <c r="C114" s="39" t="inlineStr">
        <is>
          <t>‖ claro largo</t>
        </is>
      </c>
      <c r="D114" s="39" t="inlineStr">
        <is>
          <t>Inferior</t>
        </is>
      </c>
      <c r="E114" s="34">
        <f>TABLEROS!$AJ$31</f>
        <v>0.0222706569198419</v>
      </c>
      <c r="F114" s="55">
        <f>DATOS!$C$16</f>
        <v>70</v>
      </c>
      <c r="G114" s="55">
        <f>DATOS!$C$15</f>
        <v>25</v>
      </c>
      <c r="H114" s="56">
        <f>TABLEROS!$AX$31</f>
        <v>1</v>
      </c>
      <c r="I114" s="78">
        <f>TABLEROS!$AW$31</f>
        <v>3</v>
      </c>
      <c r="J114" s="34">
        <f>TABLEROS!$AY$31</f>
        <v>0.584659515176471</v>
      </c>
      <c r="K114" s="41">
        <f>TABLEROS!$AZ$31</f>
        <v>0.0380916693250426</v>
      </c>
      <c r="L114" s="34" t="inlineStr"/>
      <c r="M114" s="34" t="inlineStr"/>
      <c r="N114" s="42" t="inlineStr"/>
    </row>
    <row r="115">
      <c r="B115" s="32" t="inlineStr"/>
      <c r="C115" s="39" t="inlineStr">
        <is>
          <t>‖ claro largo</t>
        </is>
      </c>
      <c r="D115" s="39" t="inlineStr">
        <is>
          <t>Bastón sup.</t>
        </is>
      </c>
      <c r="E115" s="34">
        <f>TABLEROS!$AK$31</f>
        <v>0.0695446913765395</v>
      </c>
      <c r="F115" s="55">
        <f>DATOS!$C$13</f>
        <v>10</v>
      </c>
      <c r="G115" s="55">
        <f>DATOS!$C$15</f>
        <v>25</v>
      </c>
      <c r="H115" s="56">
        <f>TABLEROS!$BC$31</f>
        <v>1</v>
      </c>
      <c r="I115" s="78">
        <f>TABLEROS!$BB$31</f>
        <v>3</v>
      </c>
      <c r="J115" s="34">
        <f>TABLEROS!$BD$31</f>
        <v>0.568518826235294</v>
      </c>
      <c r="K115" s="41">
        <f>TABLEROS!$BE$31</f>
        <v>0.122326101031801</v>
      </c>
      <c r="L115" s="34" t="inlineStr"/>
      <c r="M115" s="34" t="inlineStr"/>
      <c r="N115" s="42" t="inlineStr"/>
    </row>
    <row r="116">
      <c r="B116" s="32" t="inlineStr">
        <is>
          <t>F80024 N+6.00</t>
        </is>
      </c>
      <c r="C116" s="39" t="inlineStr">
        <is>
          <t>‖ claro corto</t>
        </is>
      </c>
      <c r="D116" s="39" t="inlineStr">
        <is>
          <t>Inferior</t>
        </is>
      </c>
      <c r="E116" s="34">
        <f>TABLEROS!$AH$32</f>
        <v>0.217181214886281</v>
      </c>
      <c r="F116" s="55">
        <f>DATOS!$C$16</f>
        <v>70</v>
      </c>
      <c r="G116" s="55">
        <f>DATOS!$C$15</f>
        <v>25</v>
      </c>
      <c r="H116" s="56">
        <f>TABLEROS!$AN$32</f>
        <v>1</v>
      </c>
      <c r="I116" s="78">
        <f>TABLEROS!$AM$32</f>
        <v>3</v>
      </c>
      <c r="J116" s="34">
        <f>TABLEROS!$AO$32</f>
        <v>0.584659515176471</v>
      </c>
      <c r="K116" s="41">
        <f>TABLEROS!$AP$32</f>
        <v>0.371466142684309</v>
      </c>
      <c r="L116" s="34" t="inlineStr"/>
      <c r="M116" s="34" t="inlineStr"/>
      <c r="N116" s="42" t="str">
        <f>TABLEROS!$BP$32</f>
        <v>CUMPLE — MACIZAR 1 hilera(s)</v>
      </c>
    </row>
    <row r="117">
      <c r="B117" s="32" t="inlineStr"/>
      <c r="C117" s="39" t="inlineStr">
        <is>
          <t>‖ claro corto</t>
        </is>
      </c>
      <c r="D117" s="39" t="inlineStr">
        <is>
          <t>Bastón sup.</t>
        </is>
      </c>
      <c r="E117" s="34">
        <f>TABLEROS!$AI$32</f>
        <v>0.446862593148878</v>
      </c>
      <c r="F117" s="55">
        <f>DATOS!$C$13</f>
        <v>10</v>
      </c>
      <c r="G117" s="55">
        <f>DATOS!$C$15</f>
        <v>25</v>
      </c>
      <c r="H117" s="56">
        <f>TABLEROS!$AS$32</f>
        <v>1</v>
      </c>
      <c r="I117" s="78">
        <f>TABLEROS!$AR$32</f>
        <v>3</v>
      </c>
      <c r="J117" s="34">
        <f>TABLEROS!$AT$32</f>
        <v>0.568518826235294</v>
      </c>
      <c r="K117" s="41">
        <f>TABLEROS!$AU$32</f>
        <v>0.786011953391203</v>
      </c>
      <c r="L117" s="34">
        <f>TABLEROS!$BF$32</f>
        <v>0.714054174857969</v>
      </c>
      <c r="M117" s="34">
        <f>TABLEROS!$BG$32</f>
        <v>0.687439634849853</v>
      </c>
      <c r="N117" s="42" t="inlineStr"/>
    </row>
    <row r="118">
      <c r="B118" s="32" t="inlineStr"/>
      <c r="C118" s="39" t="inlineStr">
        <is>
          <t>‖ claro largo</t>
        </is>
      </c>
      <c r="D118" s="39" t="inlineStr">
        <is>
          <t>Inferior</t>
        </is>
      </c>
      <c r="E118" s="34">
        <f>TABLEROS!$AJ$32</f>
        <v>0.161440233953738</v>
      </c>
      <c r="F118" s="55">
        <f>DATOS!$C$16</f>
        <v>70</v>
      </c>
      <c r="G118" s="55">
        <f>DATOS!$C$15</f>
        <v>25</v>
      </c>
      <c r="H118" s="56">
        <f>TABLEROS!$AX$32</f>
        <v>1</v>
      </c>
      <c r="I118" s="78">
        <f>TABLEROS!$AW$32</f>
        <v>3</v>
      </c>
      <c r="J118" s="34">
        <f>TABLEROS!$AY$32</f>
        <v>0.584659515176471</v>
      </c>
      <c r="K118" s="41">
        <f>TABLEROS!$AZ$32</f>
        <v>0.276126924753819</v>
      </c>
      <c r="L118" s="34" t="inlineStr"/>
      <c r="M118" s="34" t="inlineStr"/>
      <c r="N118" s="42" t="inlineStr"/>
    </row>
    <row r="119">
      <c r="B119" s="32" t="inlineStr"/>
      <c r="C119" s="39" t="inlineStr">
        <is>
          <t>‖ claro largo</t>
        </is>
      </c>
      <c r="D119" s="39" t="inlineStr">
        <is>
          <t>Bastón sup.</t>
        </is>
      </c>
      <c r="E119" s="34">
        <f>TABLEROS!$AK$32</f>
        <v>0.429822909149181</v>
      </c>
      <c r="F119" s="55">
        <f>DATOS!$C$13</f>
        <v>10</v>
      </c>
      <c r="G119" s="55">
        <f>DATOS!$C$15</f>
        <v>25</v>
      </c>
      <c r="H119" s="56">
        <f>TABLEROS!$BC$32</f>
        <v>1</v>
      </c>
      <c r="I119" s="78">
        <f>TABLEROS!$BB$32</f>
        <v>3</v>
      </c>
      <c r="J119" s="34">
        <f>TABLEROS!$BD$32</f>
        <v>0.568518826235294</v>
      </c>
      <c r="K119" s="41">
        <f>TABLEROS!$BE$32</f>
        <v>0.756039887008578</v>
      </c>
      <c r="L119" s="34" t="inlineStr"/>
      <c r="M119" s="34" t="inlineStr"/>
      <c r="N119" s="42" t="inlineStr"/>
    </row>
    <row r="120">
      <c r="B120" s="32" t="inlineStr">
        <is>
          <t>F80025 N+6.00</t>
        </is>
      </c>
      <c r="C120" s="39" t="inlineStr">
        <is>
          <t>‖ claro corto</t>
        </is>
      </c>
      <c r="D120" s="39" t="inlineStr">
        <is>
          <t>Inferior</t>
        </is>
      </c>
      <c r="E120" s="34">
        <f>TABLEROS!$AH$33</f>
        <v>0.225847321273717</v>
      </c>
      <c r="F120" s="55">
        <f>DATOS!$C$16</f>
        <v>70</v>
      </c>
      <c r="G120" s="55">
        <f>DATOS!$C$15</f>
        <v>25</v>
      </c>
      <c r="H120" s="56">
        <f>TABLEROS!$AN$33</f>
        <v>1</v>
      </c>
      <c r="I120" s="78">
        <f>TABLEROS!$AM$33</f>
        <v>3</v>
      </c>
      <c r="J120" s="34">
        <f>TABLEROS!$AO$33</f>
        <v>0.584659515176471</v>
      </c>
      <c r="K120" s="41">
        <f>TABLEROS!$AP$33</f>
        <v>0.386288626818207</v>
      </c>
      <c r="L120" s="34" t="inlineStr"/>
      <c r="M120" s="34" t="inlineStr"/>
      <c r="N120" s="42" t="str">
        <f>TABLEROS!$BP$33</f>
        <v>CUMPLE — MACIZAR 1 hilera(s)</v>
      </c>
    </row>
    <row r="121">
      <c r="B121" s="32" t="inlineStr"/>
      <c r="C121" s="39" t="inlineStr">
        <is>
          <t>‖ claro corto</t>
        </is>
      </c>
      <c r="D121" s="39" t="inlineStr">
        <is>
          <t>Bastón sup.</t>
        </is>
      </c>
      <c r="E121" s="34">
        <f>TABLEROS!$AI$33</f>
        <v>0.38823885133513</v>
      </c>
      <c r="F121" s="55">
        <f>DATOS!$C$13</f>
        <v>10</v>
      </c>
      <c r="G121" s="55">
        <f>DATOS!$C$15</f>
        <v>25</v>
      </c>
      <c r="H121" s="56">
        <f>TABLEROS!$AS$33</f>
        <v>1</v>
      </c>
      <c r="I121" s="78">
        <f>TABLEROS!$AR$33</f>
        <v>3</v>
      </c>
      <c r="J121" s="34">
        <f>TABLEROS!$AT$33</f>
        <v>0.568518826235294</v>
      </c>
      <c r="K121" s="41">
        <f>TABLEROS!$AU$33</f>
        <v>0.682895329792384</v>
      </c>
      <c r="L121" s="34">
        <f>TABLEROS!$BF$33</f>
        <v>0.690187726528634</v>
      </c>
      <c r="M121" s="34">
        <f>TABLEROS!$BG$33</f>
        <v>0.687439634849853</v>
      </c>
      <c r="N121" s="42" t="inlineStr"/>
    </row>
    <row r="122">
      <c r="B122" s="32" t="inlineStr"/>
      <c r="C122" s="39" t="inlineStr">
        <is>
          <t>‖ claro largo</t>
        </is>
      </c>
      <c r="D122" s="39" t="inlineStr">
        <is>
          <t>Inferior</t>
        </is>
      </c>
      <c r="E122" s="34">
        <f>TABLEROS!$AJ$33</f>
        <v>0.105255495309533</v>
      </c>
      <c r="F122" s="55">
        <f>DATOS!$C$16</f>
        <v>70</v>
      </c>
      <c r="G122" s="55">
        <f>DATOS!$C$15</f>
        <v>25</v>
      </c>
      <c r="H122" s="56">
        <f>TABLEROS!$AX$33</f>
        <v>1</v>
      </c>
      <c r="I122" s="78">
        <f>TABLEROS!$AW$33</f>
        <v>3</v>
      </c>
      <c r="J122" s="34">
        <f>TABLEROS!$AY$33</f>
        <v>0.584659515176471</v>
      </c>
      <c r="K122" s="41">
        <f>TABLEROS!$AZ$33</f>
        <v>0.180028704874089</v>
      </c>
      <c r="L122" s="34" t="inlineStr"/>
      <c r="M122" s="34" t="inlineStr"/>
      <c r="N122" s="42" t="inlineStr"/>
    </row>
    <row r="123">
      <c r="B123" s="32" t="inlineStr"/>
      <c r="C123" s="39" t="inlineStr">
        <is>
          <t>‖ claro largo</t>
        </is>
      </c>
      <c r="D123" s="39" t="inlineStr">
        <is>
          <t>Bastón sup.</t>
        </is>
      </c>
      <c r="E123" s="34">
        <f>TABLEROS!$AK$33</f>
        <v>0.328195340300766</v>
      </c>
      <c r="F123" s="55">
        <f>DATOS!$C$13</f>
        <v>10</v>
      </c>
      <c r="G123" s="55">
        <f>DATOS!$C$15</f>
        <v>25</v>
      </c>
      <c r="H123" s="56">
        <f>TABLEROS!$BC$33</f>
        <v>1</v>
      </c>
      <c r="I123" s="78">
        <f>TABLEROS!$BB$33</f>
        <v>3</v>
      </c>
      <c r="J123" s="34">
        <f>TABLEROS!$BD$33</f>
        <v>0.568518826235294</v>
      </c>
      <c r="K123" s="41">
        <f>TABLEROS!$BE$33</f>
        <v>0.577281393606718</v>
      </c>
      <c r="L123" s="34" t="inlineStr"/>
      <c r="M123" s="34" t="inlineStr"/>
      <c r="N123" s="42" t="inlineStr"/>
    </row>
    <row r="124">
      <c r="B124" s="32" t="inlineStr">
        <is>
          <t>F80026 N+6.00</t>
        </is>
      </c>
      <c r="C124" s="39" t="inlineStr">
        <is>
          <t>‖ claro corto</t>
        </is>
      </c>
      <c r="D124" s="39" t="inlineStr">
        <is>
          <t>Inferior</t>
        </is>
      </c>
      <c r="E124" s="34">
        <f>TABLEROS!$AH$34</f>
        <v>0.0231987277788014</v>
      </c>
      <c r="F124" s="55">
        <f>DATOS!$C$16</f>
        <v>70</v>
      </c>
      <c r="G124" s="55">
        <f>DATOS!$C$15</f>
        <v>25</v>
      </c>
      <c r="H124" s="56">
        <f>TABLEROS!$AN$34</f>
        <v>1</v>
      </c>
      <c r="I124" s="78">
        <f>TABLEROS!$AM$34</f>
        <v>3</v>
      </c>
      <c r="J124" s="34">
        <f>TABLEROS!$AO$34</f>
        <v>0.584659515176471</v>
      </c>
      <c r="K124" s="41">
        <f>TABLEROS!$AP$34</f>
        <v>0.0396790391272417</v>
      </c>
      <c r="L124" s="34" t="inlineStr"/>
      <c r="M124" s="34" t="inlineStr"/>
      <c r="N124" s="42" t="str">
        <f>TABLEROS!$BP$34</f>
        <v>CUMPLE</v>
      </c>
    </row>
    <row r="125">
      <c r="B125" s="32" t="inlineStr"/>
      <c r="C125" s="39" t="inlineStr">
        <is>
          <t>‖ claro corto</t>
        </is>
      </c>
      <c r="D125" s="39" t="inlineStr">
        <is>
          <t>Bastón sup.</t>
        </is>
      </c>
      <c r="E125" s="34">
        <f>TABLEROS!$AI$34</f>
        <v>0.0350241761508483</v>
      </c>
      <c r="F125" s="55">
        <f>DATOS!$C$13</f>
        <v>10</v>
      </c>
      <c r="G125" s="55">
        <f>DATOS!$C$15</f>
        <v>25</v>
      </c>
      <c r="H125" s="56">
        <f>TABLEROS!$AS$34</f>
        <v>1</v>
      </c>
      <c r="I125" s="78">
        <f>TABLEROS!$AR$34</f>
        <v>3</v>
      </c>
      <c r="J125" s="34">
        <f>TABLEROS!$AT$34</f>
        <v>0.568518826235294</v>
      </c>
      <c r="K125" s="41">
        <f>TABLEROS!$AU$34</f>
        <v>0.0616060093959893</v>
      </c>
      <c r="L125" s="34">
        <f>TABLEROS!$BF$34</f>
        <v>0.116248101762449</v>
      </c>
      <c r="M125" s="34">
        <f>TABLEROS!$BG$34</f>
        <v>0.687439634849853</v>
      </c>
      <c r="N125" s="42" t="inlineStr"/>
    </row>
    <row r="126">
      <c r="B126" s="32" t="inlineStr"/>
      <c r="C126" s="39" t="inlineStr">
        <is>
          <t>‖ claro largo</t>
        </is>
      </c>
      <c r="D126" s="39" t="inlineStr">
        <is>
          <t>Inferior</t>
        </is>
      </c>
      <c r="E126" s="34">
        <f>TABLEROS!$AJ$34</f>
        <v>0.00739937816150405</v>
      </c>
      <c r="F126" s="55">
        <f>DATOS!$C$16</f>
        <v>70</v>
      </c>
      <c r="G126" s="55">
        <f>DATOS!$C$15</f>
        <v>25</v>
      </c>
      <c r="H126" s="56">
        <f>TABLEROS!$AX$34</f>
        <v>1</v>
      </c>
      <c r="I126" s="78">
        <f>TABLEROS!$AW$34</f>
        <v>3</v>
      </c>
      <c r="J126" s="34">
        <f>TABLEROS!$AY$34</f>
        <v>0.584659515176471</v>
      </c>
      <c r="K126" s="41">
        <f>TABLEROS!$AZ$34</f>
        <v>0.0126558757181445</v>
      </c>
      <c r="L126" s="34" t="inlineStr"/>
      <c r="M126" s="34" t="inlineStr"/>
      <c r="N126" s="42" t="inlineStr"/>
    </row>
    <row r="127">
      <c r="B127" s="32" t="inlineStr"/>
      <c r="C127" s="39" t="inlineStr">
        <is>
          <t>‖ claro largo</t>
        </is>
      </c>
      <c r="D127" s="39" t="inlineStr">
        <is>
          <t>Bastón sup.</t>
        </is>
      </c>
      <c r="E127" s="34">
        <f>TABLEROS!$AK$34</f>
        <v>0.0231829453678156</v>
      </c>
      <c r="F127" s="55">
        <f>DATOS!$C$13</f>
        <v>10</v>
      </c>
      <c r="G127" s="55">
        <f>DATOS!$C$15</f>
        <v>25</v>
      </c>
      <c r="H127" s="56">
        <f>TABLEROS!$BC$34</f>
        <v>1</v>
      </c>
      <c r="I127" s="78">
        <f>TABLEROS!$BB$34</f>
        <v>3</v>
      </c>
      <c r="J127" s="34">
        <f>TABLEROS!$BD$34</f>
        <v>0.568518826235294</v>
      </c>
      <c r="K127" s="41">
        <f>TABLEROS!$BE$34</f>
        <v>0.0407777971423252</v>
      </c>
      <c r="L127" s="34" t="inlineStr"/>
      <c r="M127" s="34" t="inlineStr"/>
      <c r="N127" s="42" t="inlineStr"/>
    </row>
    <row r="128">
      <c r="B128" s="32" t="inlineStr">
        <is>
          <t>F80027 N+6.00</t>
        </is>
      </c>
      <c r="C128" s="39" t="inlineStr">
        <is>
          <t>‖ claro corto</t>
        </is>
      </c>
      <c r="D128" s="39" t="inlineStr">
        <is>
          <t>Inferior</t>
        </is>
      </c>
      <c r="E128" s="34">
        <f>TABLEROS!$AH$35</f>
        <v>0.0362116973710994</v>
      </c>
      <c r="F128" s="55">
        <f>DATOS!$C$16</f>
        <v>70</v>
      </c>
      <c r="G128" s="55">
        <f>DATOS!$C$15</f>
        <v>25</v>
      </c>
      <c r="H128" s="56">
        <f>TABLEROS!$AN$35</f>
        <v>1</v>
      </c>
      <c r="I128" s="78">
        <f>TABLEROS!$AM$35</f>
        <v>3</v>
      </c>
      <c r="J128" s="34">
        <f>TABLEROS!$AO$35</f>
        <v>0.584659515176471</v>
      </c>
      <c r="K128" s="41">
        <f>TABLEROS!$AP$35</f>
        <v>0.0619363859325363</v>
      </c>
      <c r="L128" s="34" t="inlineStr"/>
      <c r="M128" s="34" t="inlineStr"/>
      <c r="N128" s="42" t="str">
        <f>TABLEROS!$BP$35</f>
        <v>CUMPLE</v>
      </c>
    </row>
    <row r="129">
      <c r="B129" s="32" t="inlineStr"/>
      <c r="C129" s="39" t="inlineStr">
        <is>
          <t>‖ claro corto</t>
        </is>
      </c>
      <c r="D129" s="39" t="inlineStr">
        <is>
          <t>Bastón sup.</t>
        </is>
      </c>
      <c r="E129" s="34">
        <f>TABLEROS!$AI$35</f>
        <v>0.0567511373186949</v>
      </c>
      <c r="F129" s="55">
        <f>DATOS!$C$13</f>
        <v>10</v>
      </c>
      <c r="G129" s="55">
        <f>DATOS!$C$15</f>
        <v>25</v>
      </c>
      <c r="H129" s="56">
        <f>TABLEROS!$AS$35</f>
        <v>1</v>
      </c>
      <c r="I129" s="78">
        <f>TABLEROS!$AR$35</f>
        <v>3</v>
      </c>
      <c r="J129" s="34">
        <f>TABLEROS!$AT$35</f>
        <v>0.568518826235294</v>
      </c>
      <c r="K129" s="41">
        <f>TABLEROS!$AU$35</f>
        <v>0.0998227933707989</v>
      </c>
      <c r="L129" s="34">
        <f>TABLEROS!$BF$35</f>
        <v>0.188366213769225</v>
      </c>
      <c r="M129" s="34">
        <f>TABLEROS!$BG$35</f>
        <v>0.687439634849853</v>
      </c>
      <c r="N129" s="42" t="inlineStr"/>
    </row>
    <row r="130">
      <c r="B130" s="32" t="inlineStr"/>
      <c r="C130" s="39" t="inlineStr">
        <is>
          <t>‖ claro largo</t>
        </is>
      </c>
      <c r="D130" s="39" t="inlineStr">
        <is>
          <t>Inferior</t>
        </is>
      </c>
      <c r="E130" s="34">
        <f>TABLEROS!$AJ$35</f>
        <v>0.0129180029522054</v>
      </c>
      <c r="F130" s="55">
        <f>DATOS!$C$16</f>
        <v>70</v>
      </c>
      <c r="G130" s="55">
        <f>DATOS!$C$15</f>
        <v>25</v>
      </c>
      <c r="H130" s="56">
        <f>TABLEROS!$AX$35</f>
        <v>1</v>
      </c>
      <c r="I130" s="78">
        <f>TABLEROS!$AW$35</f>
        <v>3</v>
      </c>
      <c r="J130" s="34">
        <f>TABLEROS!$AY$35</f>
        <v>0.584659515176471</v>
      </c>
      <c r="K130" s="41">
        <f>TABLEROS!$AZ$35</f>
        <v>0.0220949161296148</v>
      </c>
      <c r="L130" s="34" t="inlineStr"/>
      <c r="M130" s="34" t="inlineStr"/>
      <c r="N130" s="42" t="inlineStr"/>
    </row>
    <row r="131">
      <c r="B131" s="32" t="inlineStr"/>
      <c r="C131" s="39" t="inlineStr">
        <is>
          <t>‖ claro largo</t>
        </is>
      </c>
      <c r="D131" s="39" t="inlineStr">
        <is>
          <t>Bastón sup.</t>
        </is>
      </c>
      <c r="E131" s="34">
        <f>TABLEROS!$AK$35</f>
        <v>0.0404288051130122</v>
      </c>
      <c r="F131" s="55">
        <f>DATOS!$C$13</f>
        <v>10</v>
      </c>
      <c r="G131" s="55">
        <f>DATOS!$C$15</f>
        <v>25</v>
      </c>
      <c r="H131" s="56">
        <f>TABLEROS!$BC$35</f>
        <v>1</v>
      </c>
      <c r="I131" s="78">
        <f>TABLEROS!$BB$35</f>
        <v>3</v>
      </c>
      <c r="J131" s="34">
        <f>TABLEROS!$BD$35</f>
        <v>0.568518826235294</v>
      </c>
      <c r="K131" s="41">
        <f>TABLEROS!$BE$35</f>
        <v>0.0711125177344257</v>
      </c>
      <c r="L131" s="34" t="inlineStr"/>
      <c r="M131" s="34" t="inlineStr"/>
      <c r="N131" s="42" t="inlineStr"/>
    </row>
    <row r="132">
      <c r="B132" s="32" t="inlineStr">
        <is>
          <t>F80028 N+6.00</t>
        </is>
      </c>
      <c r="C132" s="39" t="inlineStr">
        <is>
          <t>‖ claro corto</t>
        </is>
      </c>
      <c r="D132" s="39" t="inlineStr">
        <is>
          <t>Inferior</t>
        </is>
      </c>
      <c r="E132" s="34">
        <f>TABLEROS!$AH$36</f>
        <v>0</v>
      </c>
      <c r="F132" s="55">
        <f>DATOS!$C$16</f>
        <v>70</v>
      </c>
      <c r="G132" s="55">
        <f>DATOS!$C$15</f>
        <v>25</v>
      </c>
      <c r="H132" s="56">
        <f>TABLEROS!$AN$36</f>
        <v>0</v>
      </c>
      <c r="I132" s="78">
        <f>TABLEROS!$AM$36</f>
        <v>3</v>
      </c>
      <c r="J132" s="34">
        <f>TABLEROS!$AO$36</f>
        <v>0</v>
      </c>
      <c r="K132" s="41">
        <f>TABLEROS!$AP$36</f>
        <v>0</v>
      </c>
      <c r="L132" s="34" t="inlineStr"/>
      <c r="M132" s="34" t="inlineStr"/>
      <c r="N132" s="42" t="str">
        <f>TABLEROS!$BP$36</f>
        <v>HUECO — marco de nervaduras principales</v>
      </c>
    </row>
    <row r="133">
      <c r="B133" s="32" t="inlineStr"/>
      <c r="C133" s="39" t="inlineStr">
        <is>
          <t>‖ claro corto</t>
        </is>
      </c>
      <c r="D133" s="39" t="inlineStr">
        <is>
          <t>Bastón sup.</t>
        </is>
      </c>
      <c r="E133" s="34">
        <f>TABLEROS!$AI$36</f>
        <v>0</v>
      </c>
      <c r="F133" s="55">
        <f>DATOS!$C$13</f>
        <v>10</v>
      </c>
      <c r="G133" s="55">
        <f>DATOS!$C$15</f>
        <v>25</v>
      </c>
      <c r="H133" s="56">
        <f>TABLEROS!$AS$36</f>
        <v>0</v>
      </c>
      <c r="I133" s="78">
        <f>TABLEROS!$AR$36</f>
        <v>3</v>
      </c>
      <c r="J133" s="34">
        <f>TABLEROS!$AT$36</f>
        <v>0</v>
      </c>
      <c r="K133" s="41">
        <f>TABLEROS!$AU$36</f>
        <v>0</v>
      </c>
      <c r="L133" s="34">
        <f>TABLEROS!$BF$36</f>
        <v>0</v>
      </c>
      <c r="M133" s="34">
        <f>TABLEROS!$BG$36</f>
        <v>0</v>
      </c>
      <c r="N133" s="42" t="inlineStr"/>
    </row>
    <row r="134">
      <c r="B134" s="32" t="inlineStr"/>
      <c r="C134" s="39" t="inlineStr">
        <is>
          <t>‖ claro largo</t>
        </is>
      </c>
      <c r="D134" s="39" t="inlineStr">
        <is>
          <t>Inferior</t>
        </is>
      </c>
      <c r="E134" s="34">
        <f>TABLEROS!$AJ$36</f>
        <v>0</v>
      </c>
      <c r="F134" s="55">
        <f>DATOS!$C$16</f>
        <v>70</v>
      </c>
      <c r="G134" s="55">
        <f>DATOS!$C$15</f>
        <v>25</v>
      </c>
      <c r="H134" s="56">
        <f>TABLEROS!$AX$36</f>
        <v>0</v>
      </c>
      <c r="I134" s="78">
        <f>TABLEROS!$AW$36</f>
        <v>3</v>
      </c>
      <c r="J134" s="34">
        <f>TABLEROS!$AY$36</f>
        <v>0</v>
      </c>
      <c r="K134" s="41">
        <f>TABLEROS!$AZ$36</f>
        <v>0</v>
      </c>
      <c r="L134" s="34" t="inlineStr"/>
      <c r="M134" s="34" t="inlineStr"/>
      <c r="N134" s="42" t="inlineStr"/>
    </row>
    <row r="135">
      <c r="B135" s="32" t="inlineStr"/>
      <c r="C135" s="39" t="inlineStr">
        <is>
          <t>‖ claro largo</t>
        </is>
      </c>
      <c r="D135" s="39" t="inlineStr">
        <is>
          <t>Bastón sup.</t>
        </is>
      </c>
      <c r="E135" s="34">
        <f>TABLEROS!$AK$36</f>
        <v>0</v>
      </c>
      <c r="F135" s="55">
        <f>DATOS!$C$13</f>
        <v>10</v>
      </c>
      <c r="G135" s="55">
        <f>DATOS!$C$15</f>
        <v>25</v>
      </c>
      <c r="H135" s="56">
        <f>TABLEROS!$BC$36</f>
        <v>0</v>
      </c>
      <c r="I135" s="78">
        <f>TABLEROS!$BB$36</f>
        <v>3</v>
      </c>
      <c r="J135" s="34">
        <f>TABLEROS!$BD$36</f>
        <v>0</v>
      </c>
      <c r="K135" s="41">
        <f>TABLEROS!$BE$36</f>
        <v>0</v>
      </c>
      <c r="L135" s="34" t="inlineStr"/>
      <c r="M135" s="34" t="inlineStr"/>
      <c r="N135" s="42" t="inlineStr"/>
    </row>
    <row r="136">
      <c r="B136" s="32" t="inlineStr">
        <is>
          <t>F80029 N+6.00</t>
        </is>
      </c>
      <c r="C136" s="39" t="inlineStr">
        <is>
          <t>‖ claro corto</t>
        </is>
      </c>
      <c r="D136" s="39" t="inlineStr">
        <is>
          <t>Inferior</t>
        </is>
      </c>
      <c r="E136" s="34">
        <f>TABLEROS!$AH$37</f>
        <v>0</v>
      </c>
      <c r="F136" s="55">
        <f>DATOS!$C$16</f>
        <v>70</v>
      </c>
      <c r="G136" s="55">
        <f>DATOS!$C$15</f>
        <v>25</v>
      </c>
      <c r="H136" s="56">
        <f>TABLEROS!$AN$37</f>
        <v>0</v>
      </c>
      <c r="I136" s="78">
        <f>TABLEROS!$AM$37</f>
        <v>3</v>
      </c>
      <c r="J136" s="34">
        <f>TABLEROS!$AO$37</f>
        <v>0</v>
      </c>
      <c r="K136" s="41">
        <f>TABLEROS!$AP$37</f>
        <v>0</v>
      </c>
      <c r="L136" s="34" t="inlineStr"/>
      <c r="M136" s="34" t="inlineStr"/>
      <c r="N136" s="42" t="str">
        <f>TABLEROS!$BP$37</f>
        <v>HUECO — marco de nervaduras principales</v>
      </c>
    </row>
    <row r="137">
      <c r="B137" s="32" t="inlineStr"/>
      <c r="C137" s="39" t="inlineStr">
        <is>
          <t>‖ claro corto</t>
        </is>
      </c>
      <c r="D137" s="39" t="inlineStr">
        <is>
          <t>Bastón sup.</t>
        </is>
      </c>
      <c r="E137" s="34">
        <f>TABLEROS!$AI$37</f>
        <v>0</v>
      </c>
      <c r="F137" s="55">
        <f>DATOS!$C$13</f>
        <v>10</v>
      </c>
      <c r="G137" s="55">
        <f>DATOS!$C$15</f>
        <v>25</v>
      </c>
      <c r="H137" s="56">
        <f>TABLEROS!$AS$37</f>
        <v>0</v>
      </c>
      <c r="I137" s="78">
        <f>TABLEROS!$AR$37</f>
        <v>3</v>
      </c>
      <c r="J137" s="34">
        <f>TABLEROS!$AT$37</f>
        <v>0</v>
      </c>
      <c r="K137" s="41">
        <f>TABLEROS!$AU$37</f>
        <v>0</v>
      </c>
      <c r="L137" s="34">
        <f>TABLEROS!$BF$37</f>
        <v>0</v>
      </c>
      <c r="M137" s="34">
        <f>TABLEROS!$BG$37</f>
        <v>0</v>
      </c>
      <c r="N137" s="42" t="inlineStr"/>
    </row>
    <row r="138">
      <c r="B138" s="32" t="inlineStr"/>
      <c r="C138" s="39" t="inlineStr">
        <is>
          <t>‖ claro largo</t>
        </is>
      </c>
      <c r="D138" s="39" t="inlineStr">
        <is>
          <t>Inferior</t>
        </is>
      </c>
      <c r="E138" s="34">
        <f>TABLEROS!$AJ$37</f>
        <v>0</v>
      </c>
      <c r="F138" s="55">
        <f>DATOS!$C$16</f>
        <v>70</v>
      </c>
      <c r="G138" s="55">
        <f>DATOS!$C$15</f>
        <v>25</v>
      </c>
      <c r="H138" s="56">
        <f>TABLEROS!$AX$37</f>
        <v>0</v>
      </c>
      <c r="I138" s="78">
        <f>TABLEROS!$AW$37</f>
        <v>3</v>
      </c>
      <c r="J138" s="34">
        <f>TABLEROS!$AY$37</f>
        <v>0</v>
      </c>
      <c r="K138" s="41">
        <f>TABLEROS!$AZ$37</f>
        <v>0</v>
      </c>
      <c r="L138" s="34" t="inlineStr"/>
      <c r="M138" s="34" t="inlineStr"/>
      <c r="N138" s="42" t="inlineStr"/>
    </row>
    <row r="139">
      <c r="B139" s="32" t="inlineStr"/>
      <c r="C139" s="39" t="inlineStr">
        <is>
          <t>‖ claro largo</t>
        </is>
      </c>
      <c r="D139" s="39" t="inlineStr">
        <is>
          <t>Bastón sup.</t>
        </is>
      </c>
      <c r="E139" s="34">
        <f>TABLEROS!$AK$37</f>
        <v>0</v>
      </c>
      <c r="F139" s="55">
        <f>DATOS!$C$13</f>
        <v>10</v>
      </c>
      <c r="G139" s="55">
        <f>DATOS!$C$15</f>
        <v>25</v>
      </c>
      <c r="H139" s="56">
        <f>TABLEROS!$BC$37</f>
        <v>0</v>
      </c>
      <c r="I139" s="78">
        <f>TABLEROS!$BB$37</f>
        <v>3</v>
      </c>
      <c r="J139" s="34">
        <f>TABLEROS!$BD$37</f>
        <v>0</v>
      </c>
      <c r="K139" s="41">
        <f>TABLEROS!$BE$37</f>
        <v>0</v>
      </c>
      <c r="L139" s="34" t="inlineStr"/>
      <c r="M139" s="34" t="inlineStr"/>
      <c r="N139" s="42" t="inlineStr"/>
    </row>
    <row r="140">
      <c r="B140" s="32" t="inlineStr">
        <is>
          <t>F80030 N+6.00</t>
        </is>
      </c>
      <c r="C140" s="39" t="inlineStr">
        <is>
          <t>‖ claro corto</t>
        </is>
      </c>
      <c r="D140" s="39" t="inlineStr">
        <is>
          <t>Inferior</t>
        </is>
      </c>
      <c r="E140" s="34">
        <f>TABLEROS!$AH$38</f>
        <v>0.529823591401459</v>
      </c>
      <c r="F140" s="55">
        <f>DATOS!$C$16</f>
        <v>70</v>
      </c>
      <c r="G140" s="55">
        <f>DATOS!$C$15</f>
        <v>25</v>
      </c>
      <c r="H140" s="56">
        <f>TABLEROS!$AN$38</f>
        <v>1</v>
      </c>
      <c r="I140" s="78">
        <f>TABLEROS!$AM$38</f>
        <v>3</v>
      </c>
      <c r="J140" s="34">
        <f>TABLEROS!$AO$38</f>
        <v>0.584659515176471</v>
      </c>
      <c r="K140" s="41">
        <f>TABLEROS!$AP$38</f>
        <v>0.906208789301137</v>
      </c>
      <c r="L140" s="34" t="inlineStr"/>
      <c r="M140" s="34" t="inlineStr"/>
      <c r="N140" s="42" t="str">
        <f>TABLEROS!$BP$38</f>
        <v>CUMPLE</v>
      </c>
    </row>
    <row r="141">
      <c r="B141" s="32" t="inlineStr"/>
      <c r="C141" s="39" t="inlineStr">
        <is>
          <t>‖ claro corto</t>
        </is>
      </c>
      <c r="D141" s="39" t="inlineStr">
        <is>
          <t>Bastón sup.</t>
        </is>
      </c>
      <c r="E141" s="34">
        <f>TABLEROS!$AI$38</f>
        <v>0.265097206481183</v>
      </c>
      <c r="F141" s="55">
        <f>DATOS!$C$13</f>
        <v>10</v>
      </c>
      <c r="G141" s="55">
        <f>DATOS!$C$15</f>
        <v>25</v>
      </c>
      <c r="H141" s="56">
        <f>TABLEROS!$AS$38</f>
        <v>1</v>
      </c>
      <c r="I141" s="78">
        <f>TABLEROS!$AR$38</f>
        <v>3</v>
      </c>
      <c r="J141" s="34">
        <f>TABLEROS!$AT$38</f>
        <v>0.568518826235294</v>
      </c>
      <c r="K141" s="41">
        <f>TABLEROS!$AU$38</f>
        <v>0.466294508198865</v>
      </c>
      <c r="L141" s="34">
        <f>TABLEROS!$BF$38</f>
        <v>0.630499497291595</v>
      </c>
      <c r="M141" s="34">
        <f>TABLEROS!$BG$38</f>
        <v>0.687439634849853</v>
      </c>
      <c r="N141" s="42" t="inlineStr"/>
    </row>
    <row r="142">
      <c r="B142" s="32" t="inlineStr"/>
      <c r="C142" s="39" t="inlineStr">
        <is>
          <t>‖ claro largo</t>
        </is>
      </c>
      <c r="D142" s="39" t="inlineStr">
        <is>
          <t>Inferior</t>
        </is>
      </c>
      <c r="E142" s="34">
        <f>TABLEROS!$AJ$38</f>
        <v>0.425144685714286</v>
      </c>
      <c r="F142" s="55">
        <f>DATOS!$C$16</f>
        <v>70</v>
      </c>
      <c r="G142" s="55">
        <f>DATOS!$C$15</f>
        <v>25</v>
      </c>
      <c r="H142" s="56">
        <f>TABLEROS!$AX$38</f>
        <v>1</v>
      </c>
      <c r="I142" s="78">
        <f>TABLEROS!$AW$38</f>
        <v>3</v>
      </c>
      <c r="J142" s="34">
        <f>TABLEROS!$AY$38</f>
        <v>0.584659515176471</v>
      </c>
      <c r="K142" s="41">
        <f>TABLEROS!$AZ$38</f>
        <v>0.727166281704938</v>
      </c>
      <c r="L142" s="34" t="inlineStr"/>
      <c r="M142" s="34" t="inlineStr"/>
      <c r="N142" s="42" t="inlineStr"/>
    </row>
    <row r="143">
      <c r="B143" s="32" t="inlineStr"/>
      <c r="C143" s="39" t="inlineStr">
        <is>
          <t>‖ claro largo</t>
        </is>
      </c>
      <c r="D143" s="39" t="inlineStr">
        <is>
          <t>Bastón sup.</t>
        </is>
      </c>
      <c r="E143" s="34">
        <f>TABLEROS!$AK$38</f>
        <v>0.563563885714286</v>
      </c>
      <c r="F143" s="55">
        <f>DATOS!$C$13</f>
        <v>10</v>
      </c>
      <c r="G143" s="55">
        <f>DATOS!$C$15</f>
        <v>25</v>
      </c>
      <c r="H143" s="56">
        <f>TABLEROS!$BC$38</f>
        <v>1</v>
      </c>
      <c r="I143" s="78">
        <f>TABLEROS!$BB$38</f>
        <v>3</v>
      </c>
      <c r="J143" s="34">
        <f>TABLEROS!$BD$38</f>
        <v>0.568518826235294</v>
      </c>
      <c r="K143" s="41">
        <f>TABLEROS!$BE$38</f>
        <v>0.991284474159247</v>
      </c>
      <c r="L143" s="34" t="inlineStr"/>
      <c r="M143" s="34" t="inlineStr"/>
      <c r="N143" s="42" t="inlineStr"/>
    </row>
    <row r="144">
      <c r="B144" s="32" t="inlineStr">
        <is>
          <t>F80031 N+6.00</t>
        </is>
      </c>
      <c r="C144" s="39" t="inlineStr">
        <is>
          <t>‖ claro corto</t>
        </is>
      </c>
      <c r="D144" s="39" t="inlineStr">
        <is>
          <t>Inferior</t>
        </is>
      </c>
      <c r="E144" s="34">
        <f>TABLEROS!$AH$39</f>
        <v>0.529379242159649</v>
      </c>
      <c r="F144" s="55">
        <f>DATOS!$C$16</f>
        <v>70</v>
      </c>
      <c r="G144" s="55">
        <f>DATOS!$C$15</f>
        <v>25</v>
      </c>
      <c r="H144" s="56">
        <f>TABLEROS!$AN$39</f>
        <v>1</v>
      </c>
      <c r="I144" s="78">
        <f>TABLEROS!$AM$39</f>
        <v>3</v>
      </c>
      <c r="J144" s="34">
        <f>TABLEROS!$AO$39</f>
        <v>0.584659515176471</v>
      </c>
      <c r="K144" s="41">
        <f>TABLEROS!$AP$39</f>
        <v>0.905448775600383</v>
      </c>
      <c r="L144" s="34" t="inlineStr"/>
      <c r="M144" s="34" t="inlineStr"/>
      <c r="N144" s="42" t="str">
        <f>TABLEROS!$BP$39</f>
        <v>CUMPLE</v>
      </c>
    </row>
    <row r="145">
      <c r="B145" s="32" t="inlineStr"/>
      <c r="C145" s="39" t="inlineStr">
        <is>
          <t>‖ claro corto</t>
        </is>
      </c>
      <c r="D145" s="39" t="inlineStr">
        <is>
          <t>Bastón sup.</t>
        </is>
      </c>
      <c r="E145" s="34">
        <f>TABLEROS!$AI$39</f>
        <v>0.264895229553087</v>
      </c>
      <c r="F145" s="55">
        <f>DATOS!$C$13</f>
        <v>10</v>
      </c>
      <c r="G145" s="55">
        <f>DATOS!$C$15</f>
        <v>25</v>
      </c>
      <c r="H145" s="56">
        <f>TABLEROS!$AS$39</f>
        <v>1</v>
      </c>
      <c r="I145" s="78">
        <f>TABLEROS!$AR$39</f>
        <v>3</v>
      </c>
      <c r="J145" s="34">
        <f>TABLEROS!$AT$39</f>
        <v>0.568518826235294</v>
      </c>
      <c r="K145" s="41">
        <f>TABLEROS!$AU$39</f>
        <v>0.465939239527407</v>
      </c>
      <c r="L145" s="34">
        <f>TABLEROS!$BF$39</f>
        <v>0.630240926112658</v>
      </c>
      <c r="M145" s="34">
        <f>TABLEROS!$BG$39</f>
        <v>0.687439634849853</v>
      </c>
      <c r="N145" s="42" t="inlineStr"/>
    </row>
    <row r="146">
      <c r="B146" s="32" t="inlineStr"/>
      <c r="C146" s="39" t="inlineStr">
        <is>
          <t>‖ claro largo</t>
        </is>
      </c>
      <c r="D146" s="39" t="inlineStr">
        <is>
          <t>Inferior</t>
        </is>
      </c>
      <c r="E146" s="34">
        <f>TABLEROS!$AJ$39</f>
        <v>0.425144685714286</v>
      </c>
      <c r="F146" s="55">
        <f>DATOS!$C$16</f>
        <v>70</v>
      </c>
      <c r="G146" s="55">
        <f>DATOS!$C$15</f>
        <v>25</v>
      </c>
      <c r="H146" s="56">
        <f>TABLEROS!$AX$39</f>
        <v>1</v>
      </c>
      <c r="I146" s="78">
        <f>TABLEROS!$AW$39</f>
        <v>3</v>
      </c>
      <c r="J146" s="34">
        <f>TABLEROS!$AY$39</f>
        <v>0.584659515176471</v>
      </c>
      <c r="K146" s="41">
        <f>TABLEROS!$AZ$39</f>
        <v>0.727166281704938</v>
      </c>
      <c r="L146" s="34" t="inlineStr"/>
      <c r="M146" s="34" t="inlineStr"/>
      <c r="N146" s="42" t="inlineStr"/>
    </row>
    <row r="147">
      <c r="B147" s="32" t="inlineStr"/>
      <c r="C147" s="39" t="inlineStr">
        <is>
          <t>‖ claro largo</t>
        </is>
      </c>
      <c r="D147" s="39" t="inlineStr">
        <is>
          <t>Bastón sup.</t>
        </is>
      </c>
      <c r="E147" s="34">
        <f>TABLEROS!$AK$39</f>
        <v>0.563563885714286</v>
      </c>
      <c r="F147" s="55">
        <f>DATOS!$C$13</f>
        <v>10</v>
      </c>
      <c r="G147" s="55">
        <f>DATOS!$C$15</f>
        <v>25</v>
      </c>
      <c r="H147" s="56">
        <f>TABLEROS!$BC$39</f>
        <v>1</v>
      </c>
      <c r="I147" s="78">
        <f>TABLEROS!$BB$39</f>
        <v>3</v>
      </c>
      <c r="J147" s="34">
        <f>TABLEROS!$BD$39</f>
        <v>0.568518826235294</v>
      </c>
      <c r="K147" s="41">
        <f>TABLEROS!$BE$39</f>
        <v>0.991284474159247</v>
      </c>
      <c r="L147" s="34" t="inlineStr"/>
      <c r="M147" s="34" t="inlineStr"/>
      <c r="N147" s="42" t="inlineStr"/>
    </row>
    <row r="148">
      <c r="B148" s="32" t="inlineStr">
        <is>
          <t>F80032 N+6.00</t>
        </is>
      </c>
      <c r="C148" s="39" t="inlineStr">
        <is>
          <t>‖ claro corto</t>
        </is>
      </c>
      <c r="D148" s="39" t="inlineStr">
        <is>
          <t>Inferior</t>
        </is>
      </c>
      <c r="E148" s="34">
        <f>TABLEROS!$AH$40</f>
        <v>0.0739499623892737</v>
      </c>
      <c r="F148" s="55">
        <f>DATOS!$C$16</f>
        <v>70</v>
      </c>
      <c r="G148" s="55">
        <f>DATOS!$C$15</f>
        <v>25</v>
      </c>
      <c r="H148" s="56">
        <f>TABLEROS!$AN$40</f>
        <v>1</v>
      </c>
      <c r="I148" s="78">
        <f>TABLEROS!$AM$40</f>
        <v>3</v>
      </c>
      <c r="J148" s="34">
        <f>TABLEROS!$AO$40</f>
        <v>0.584659515176471</v>
      </c>
      <c r="K148" s="41">
        <f>TABLEROS!$AP$40</f>
        <v>0.126483808900216</v>
      </c>
      <c r="L148" s="34" t="inlineStr"/>
      <c r="M148" s="34" t="inlineStr"/>
      <c r="N148" s="42" t="str">
        <f>TABLEROS!$BP$40</f>
        <v>CUMPLE</v>
      </c>
    </row>
    <row r="149">
      <c r="B149" s="32" t="inlineStr"/>
      <c r="C149" s="39" t="inlineStr">
        <is>
          <t>‖ claro corto</t>
        </is>
      </c>
      <c r="D149" s="39" t="inlineStr">
        <is>
          <t>Bastón sup.</t>
        </is>
      </c>
      <c r="E149" s="34">
        <f>TABLEROS!$AI$40</f>
        <v>0.12805430981083</v>
      </c>
      <c r="F149" s="55">
        <f>DATOS!$C$13</f>
        <v>10</v>
      </c>
      <c r="G149" s="55">
        <f>DATOS!$C$15</f>
        <v>25</v>
      </c>
      <c r="H149" s="56">
        <f>TABLEROS!$AS$40</f>
        <v>1</v>
      </c>
      <c r="I149" s="78">
        <f>TABLEROS!$AR$40</f>
        <v>3</v>
      </c>
      <c r="J149" s="34">
        <f>TABLEROS!$AT$40</f>
        <v>0.568518826235294</v>
      </c>
      <c r="K149" s="41">
        <f>TABLEROS!$AU$40</f>
        <v>0.225241986547394</v>
      </c>
      <c r="L149" s="34">
        <f>TABLEROS!$BF$40</f>
        <v>0.36719870774345</v>
      </c>
      <c r="M149" s="34">
        <f>TABLEROS!$BG$40</f>
        <v>0.687439634849853</v>
      </c>
      <c r="N149" s="42" t="inlineStr"/>
    </row>
    <row r="150">
      <c r="B150" s="32" t="inlineStr"/>
      <c r="C150" s="39" t="inlineStr">
        <is>
          <t>‖ claro largo</t>
        </is>
      </c>
      <c r="D150" s="39" t="inlineStr">
        <is>
          <t>Inferior</t>
        </is>
      </c>
      <c r="E150" s="34">
        <f>TABLEROS!$AJ$40</f>
        <v>0.0341592692842363</v>
      </c>
      <c r="F150" s="55">
        <f>DATOS!$C$16</f>
        <v>70</v>
      </c>
      <c r="G150" s="55">
        <f>DATOS!$C$15</f>
        <v>25</v>
      </c>
      <c r="H150" s="56">
        <f>TABLEROS!$AX$40</f>
        <v>1</v>
      </c>
      <c r="I150" s="78">
        <f>TABLEROS!$AW$40</f>
        <v>3</v>
      </c>
      <c r="J150" s="34">
        <f>TABLEROS!$AY$40</f>
        <v>0.584659515176471</v>
      </c>
      <c r="K150" s="41">
        <f>TABLEROS!$AZ$40</f>
        <v>0.0584259186715295</v>
      </c>
      <c r="L150" s="34" t="inlineStr"/>
      <c r="M150" s="34" t="inlineStr"/>
      <c r="N150" s="42" t="inlineStr"/>
    </row>
    <row r="151">
      <c r="B151" s="32" t="inlineStr"/>
      <c r="C151" s="39" t="inlineStr">
        <is>
          <t>‖ claro largo</t>
        </is>
      </c>
      <c r="D151" s="39" t="inlineStr">
        <is>
          <t>Bastón sup.</t>
        </is>
      </c>
      <c r="E151" s="34">
        <f>TABLEROS!$AK$40</f>
        <v>0.0976529399163257</v>
      </c>
      <c r="F151" s="55">
        <f>DATOS!$C$13</f>
        <v>10</v>
      </c>
      <c r="G151" s="55">
        <f>DATOS!$C$15</f>
        <v>25</v>
      </c>
      <c r="H151" s="56">
        <f>TABLEROS!$BC$40</f>
        <v>1</v>
      </c>
      <c r="I151" s="78">
        <f>TABLEROS!$BB$40</f>
        <v>3</v>
      </c>
      <c r="J151" s="34">
        <f>TABLEROS!$BD$40</f>
        <v>0.568518826235294</v>
      </c>
      <c r="K151" s="41">
        <f>TABLEROS!$BE$40</f>
        <v>0.17176729320114</v>
      </c>
      <c r="L151" s="34" t="inlineStr"/>
      <c r="M151" s="34" t="inlineStr"/>
      <c r="N151" s="42" t="inlineStr"/>
    </row>
    <row r="152" ht="6" customHeight="1"/>
    <row r="153" ht="21" customHeight="1">
      <c r="B153" s="5" t="inlineStr">
        <is>
          <t>4. TABLA DE NERVADURAS PRINCIPALES</t>
        </is>
      </c>
    </row>
    <row r="154" ht="30" customHeight="1">
      <c r="B154" s="8" t="inlineStr">
        <is>
          <t>Tramo</t>
        </is>
      </c>
      <c r="C154" s="8" t="inlineStr">
        <is>
          <t>Nivel</t>
        </is>
      </c>
      <c r="D154" s="8" t="inlineStr">
        <is>
          <t>Condición</t>
        </is>
      </c>
      <c r="E154" s="8" t="inlineStr">
        <is>
          <t>L (m)</t>
        </is>
      </c>
      <c r="F154" s="8" t="inlineStr">
        <is>
          <t>b (cm)</t>
        </is>
      </c>
      <c r="G154" s="8" t="inlineStr">
        <is>
          <t>h (cm)</t>
        </is>
      </c>
      <c r="H154" s="8" t="inlineStr">
        <is>
          <t>Inferior</t>
        </is>
      </c>
      <c r="I154" s="31" t="n"/>
      <c r="J154" s="8" t="inlineStr">
        <is>
          <t>Superior</t>
        </is>
      </c>
      <c r="K154" s="31" t="n"/>
      <c r="L154" s="8" t="inlineStr">
        <is>
          <t>Estribos</t>
        </is>
      </c>
      <c r="M154" s="8" t="inlineStr">
        <is>
          <t>h req. (cm)</t>
        </is>
      </c>
      <c r="N154" s="8" t="inlineStr">
        <is>
          <t>Estado</t>
        </is>
      </c>
    </row>
    <row r="155">
      <c r="B155" s="42" t="inlineStr">
        <is>
          <t>NP-01 · Eje 2 (y = 1.919)</t>
        </is>
      </c>
      <c r="C155" s="39" t="inlineStr">
        <is>
          <t>N+3.00</t>
        </is>
      </c>
      <c r="D155" s="70" t="str">
        <f>PRINCIPALES!$L$9</f>
        <v>APOYADA</v>
      </c>
      <c r="E155" s="41">
        <f>PRINCIPALES!$G$9</f>
        <v>4.327</v>
      </c>
      <c r="F155" s="56">
        <f>PRINCIPALES!$N$9</f>
        <v>15</v>
      </c>
      <c r="G155" s="56">
        <f>PRINCIPALES!$O$9</f>
        <v>25</v>
      </c>
      <c r="H155" s="39" t="str">
        <f>IF(PRINCIPALES!$AJ$9=0,"—",PRINCIPALES!$AJ$9&amp;" No. "&amp;TEXT(PRINCIPALES!$AI$9,"0.#"))</f>
        <v>2 No. 8</v>
      </c>
      <c r="J155" s="39" t="str">
        <f>IF(PRINCIPALES!$AO$9=0,"—",PRINCIPALES!$AO$9&amp;" No. "&amp;TEXT(PRINCIPALES!$AN$9,"0.#"))</f>
        <v>3 No. 4</v>
      </c>
      <c r="L155" s="70" t="str">
        <f>PRINCIPALES!$AT$9</f>
        <v>E No. 2.5 @ 10.0 cm</v>
      </c>
      <c r="M155" s="56">
        <f>PRINCIPALES!$AW$9</f>
        <v>30</v>
      </c>
      <c r="N155" s="42" t="str">
        <f>PRINCIPALES!$AX$9</f>
        <v>NO CUMPLE: deflexión → h ≥ 30 cm</v>
      </c>
    </row>
    <row r="156">
      <c r="B156" s="42" t="inlineStr">
        <is>
          <t>NP-02 · Eje 3 (y = 2.921)</t>
        </is>
      </c>
      <c r="C156" s="39" t="inlineStr">
        <is>
          <t>N+3.00</t>
        </is>
      </c>
      <c r="D156" s="70" t="str">
        <f>PRINCIPALES!$L$10</f>
        <v>APOYADA</v>
      </c>
      <c r="E156" s="41">
        <f>PRINCIPALES!$G$10</f>
        <v>4.327</v>
      </c>
      <c r="F156" s="56">
        <f>PRINCIPALES!$N$10</f>
        <v>15</v>
      </c>
      <c r="G156" s="56">
        <f>PRINCIPALES!$O$10</f>
        <v>25</v>
      </c>
      <c r="H156" s="39" t="str">
        <f>IF(PRINCIPALES!$AJ$10=0,"—",PRINCIPALES!$AJ$10&amp;" No. "&amp;TEXT(PRINCIPALES!$AI$10,"0.#"))</f>
        <v>—</v>
      </c>
      <c r="J156" s="39" t="str">
        <f>IF(PRINCIPALES!$AO$10=0,"—",PRINCIPALES!$AO$10&amp;" No. "&amp;TEXT(PRINCIPALES!$AN$10,"0.#"))</f>
        <v>2 No. 6</v>
      </c>
      <c r="L156" s="70" t="str">
        <f>PRINCIPALES!$AT$10</f>
        <v>E No. 2.5 @ 10.0 cm</v>
      </c>
      <c r="M156" s="56">
        <f>PRINCIPALES!$AW$10</f>
        <v>30</v>
      </c>
      <c r="N156" s="42" t="str">
        <f>PRINCIPALES!$AX$10</f>
        <v>NO CUMPLE: sección insuficiente en flexión deflexión → h ≥ 30 cm</v>
      </c>
    </row>
    <row r="157">
      <c r="B157" s="42" t="inlineStr">
        <is>
          <t>NP-03 · Eje 3 (y = 2.921)</t>
        </is>
      </c>
      <c r="C157" s="39" t="inlineStr">
        <is>
          <t>N+3.00</t>
        </is>
      </c>
      <c r="D157" s="70" t="str">
        <f>PRINCIPALES!$L$11</f>
        <v>APOYADA</v>
      </c>
      <c r="E157" s="41">
        <f>PRINCIPALES!$G$11</f>
        <v>1.596</v>
      </c>
      <c r="F157" s="56">
        <f>PRINCIPALES!$N$11</f>
        <v>15</v>
      </c>
      <c r="G157" s="56">
        <f>PRINCIPALES!$O$11</f>
        <v>25</v>
      </c>
      <c r="H157" s="39" t="str">
        <f>IF(PRINCIPALES!$AJ$11=0,"—",PRINCIPALES!$AJ$11&amp;" No. "&amp;TEXT(PRINCIPALES!$AI$11,"0.#"))</f>
        <v>2 No. 4</v>
      </c>
      <c r="J157" s="39" t="str">
        <f>IF(PRINCIPALES!$AO$11=0,"—",PRINCIPALES!$AO$11&amp;" No. "&amp;TEXT(PRINCIPALES!$AN$11,"0.#"))</f>
        <v>2 No. 4</v>
      </c>
      <c r="L157" s="70" t="str">
        <f>PRINCIPALES!$AT$11</f>
        <v>E No. 2.5 @ 10.0 cm</v>
      </c>
      <c r="M157" s="56">
        <f>PRINCIPALES!$AW$11</f>
        <v>25</v>
      </c>
      <c r="N157" s="42" t="str">
        <f>PRINCIPALES!$AX$11</f>
        <v>CUMPLE</v>
      </c>
    </row>
    <row r="158">
      <c r="B158" s="42" t="inlineStr">
        <is>
          <t>NP-04 · Eje 6 (y = 6.948)</t>
        </is>
      </c>
      <c r="C158" s="39" t="inlineStr">
        <is>
          <t>N+3.00</t>
        </is>
      </c>
      <c r="D158" s="70" t="str">
        <f>PRINCIPALES!$L$12</f>
        <v>APOYADA</v>
      </c>
      <c r="E158" s="41">
        <f>PRINCIPALES!$G$12</f>
        <v>1.402</v>
      </c>
      <c r="F158" s="56">
        <f>PRINCIPALES!$N$12</f>
        <v>15</v>
      </c>
      <c r="G158" s="56">
        <f>PRINCIPALES!$O$12</f>
        <v>25</v>
      </c>
      <c r="H158" s="39" t="str">
        <f>IF(PRINCIPALES!$AJ$12=0,"—",PRINCIPALES!$AJ$12&amp;" No. "&amp;TEXT(PRINCIPALES!$AI$12,"0.#"))</f>
        <v>2 No. 4</v>
      </c>
      <c r="J158" s="39" t="str">
        <f>IF(PRINCIPALES!$AO$12=0,"—",PRINCIPALES!$AO$12&amp;" No. "&amp;TEXT(PRINCIPALES!$AN$12,"0.#"))</f>
        <v>2 No. 4</v>
      </c>
      <c r="L158" s="70" t="str">
        <f>PRINCIPALES!$AT$12</f>
        <v>E No. 2.5 @ 10.0 cm</v>
      </c>
      <c r="M158" s="56">
        <f>PRINCIPALES!$AW$12</f>
        <v>25</v>
      </c>
      <c r="N158" s="42" t="str">
        <f>PRINCIPALES!$AX$12</f>
        <v>CUMPLE</v>
      </c>
    </row>
    <row r="159">
      <c r="B159" s="42" t="inlineStr">
        <is>
          <t>NP-05 · Eje 6 (y = 6.948)</t>
        </is>
      </c>
      <c r="C159" s="39" t="inlineStr">
        <is>
          <t>N+3.00</t>
        </is>
      </c>
      <c r="D159" s="70" t="str">
        <f>PRINCIPALES!$L$13</f>
        <v>VOLADO</v>
      </c>
      <c r="E159" s="41">
        <f>PRINCIPALES!$G$13</f>
        <v>0.463</v>
      </c>
      <c r="F159" s="56">
        <f>PRINCIPALES!$N$13</f>
        <v>15</v>
      </c>
      <c r="G159" s="56">
        <f>PRINCIPALES!$O$13</f>
        <v>25</v>
      </c>
      <c r="H159" s="39" t="str">
        <f>IF(PRINCIPALES!$AJ$13=0,"—",PRINCIPALES!$AJ$13&amp;" No. "&amp;TEXT(PRINCIPALES!$AI$13,"0.#"))</f>
        <v>2 No. 4</v>
      </c>
      <c r="J159" s="39" t="str">
        <f>IF(PRINCIPALES!$AO$13=0,"—",PRINCIPALES!$AO$13&amp;" No. "&amp;TEXT(PRINCIPALES!$AN$13,"0.#"))</f>
        <v>2 No. 4</v>
      </c>
      <c r="L159" s="70" t="str">
        <f>PRINCIPALES!$AT$13</f>
        <v>E No. 2.5 @ 10.0 cm</v>
      </c>
      <c r="M159" s="56">
        <f>PRINCIPALES!$AW$13</f>
        <v>25</v>
      </c>
      <c r="N159" s="42" t="str">
        <f>PRINCIPALES!$AX$13</f>
        <v>CUMPLE (en VOLADO)</v>
      </c>
    </row>
    <row r="160">
      <c r="B160" s="42" t="inlineStr">
        <is>
          <t>NP-06 · Eje 7 (y = 7.871)</t>
        </is>
      </c>
      <c r="C160" s="39" t="inlineStr">
        <is>
          <t>N+3.00</t>
        </is>
      </c>
      <c r="D160" s="70" t="str">
        <f>PRINCIPALES!$L$14</f>
        <v>APOYADA</v>
      </c>
      <c r="E160" s="41">
        <f>PRINCIPALES!$G$14</f>
        <v>4.327</v>
      </c>
      <c r="F160" s="56">
        <f>PRINCIPALES!$N$14</f>
        <v>15</v>
      </c>
      <c r="G160" s="56">
        <f>PRINCIPALES!$O$14</f>
        <v>25</v>
      </c>
      <c r="H160" s="39" t="str">
        <f>IF(PRINCIPALES!$AJ$14=0,"—",PRINCIPALES!$AJ$14&amp;" No. "&amp;TEXT(PRINCIPALES!$AI$14,"0.#"))</f>
        <v>2 No. 8</v>
      </c>
      <c r="J160" s="39" t="str">
        <f>IF(PRINCIPALES!$AO$14=0,"—",PRINCIPALES!$AO$14&amp;" No. "&amp;TEXT(PRINCIPALES!$AN$14,"0.#"))</f>
        <v>3 No. 4</v>
      </c>
      <c r="L160" s="70" t="str">
        <f>PRINCIPALES!$AT$14</f>
        <v>E No. 2.5 @ 10.0 cm</v>
      </c>
      <c r="M160" s="56">
        <f>PRINCIPALES!$AW$14</f>
        <v>30</v>
      </c>
      <c r="N160" s="42" t="str">
        <f>PRINCIPALES!$AX$14</f>
        <v>NO CUMPLE: deflexión → h ≥ 30 cm</v>
      </c>
    </row>
    <row r="161">
      <c r="B161" s="42" t="inlineStr">
        <is>
          <t>NP-07 · y = 8.910</t>
        </is>
      </c>
      <c r="C161" s="39" t="inlineStr">
        <is>
          <t>N+3.00</t>
        </is>
      </c>
      <c r="D161" s="70" t="str">
        <f>PRINCIPALES!$L$15</f>
        <v>VOLADO</v>
      </c>
      <c r="E161" s="41">
        <f>PRINCIPALES!$G$15</f>
        <v>1.909</v>
      </c>
      <c r="F161" s="56">
        <f>PRINCIPALES!$N$15</f>
        <v>15</v>
      </c>
      <c r="G161" s="56">
        <f>PRINCIPALES!$O$15</f>
        <v>25</v>
      </c>
      <c r="H161" s="39" t="str">
        <f>IF(PRINCIPALES!$AJ$15=0,"—",PRINCIPALES!$AJ$15&amp;" No. "&amp;TEXT(PRINCIPALES!$AI$15,"0.#"))</f>
        <v>2 No. 4</v>
      </c>
      <c r="J161" s="39" t="str">
        <f>IF(PRINCIPALES!$AO$15=0,"—",PRINCIPALES!$AO$15&amp;" No. "&amp;TEXT(PRINCIPALES!$AN$15,"0.#"))</f>
        <v>2 No. 4</v>
      </c>
      <c r="L161" s="70" t="str">
        <f>PRINCIPALES!$AT$15</f>
        <v>E No. 2.5 @ 10.0 cm</v>
      </c>
      <c r="M161" s="56">
        <f>PRINCIPALES!$AW$15</f>
        <v>25</v>
      </c>
      <c r="N161" s="42" t="str">
        <f>PRINCIPALES!$AX$15</f>
        <v>CUMPLE (en VOLADO)</v>
      </c>
    </row>
    <row r="162">
      <c r="B162" s="42" t="inlineStr">
        <is>
          <t>NP-08 · Eje 8 (y = 9.950)</t>
        </is>
      </c>
      <c r="C162" s="39" t="inlineStr">
        <is>
          <t>N+3.00</t>
        </is>
      </c>
      <c r="D162" s="70" t="str">
        <f>PRINCIPALES!$L$16</f>
        <v>APOYADA</v>
      </c>
      <c r="E162" s="41">
        <f>PRINCIPALES!$G$16</f>
        <v>2.722</v>
      </c>
      <c r="F162" s="56">
        <f>PRINCIPALES!$N$16</f>
        <v>15</v>
      </c>
      <c r="G162" s="56">
        <f>PRINCIPALES!$O$16</f>
        <v>25</v>
      </c>
      <c r="H162" s="39" t="str">
        <f>IF(PRINCIPALES!$AJ$16=0,"—",PRINCIPALES!$AJ$16&amp;" No. "&amp;TEXT(PRINCIPALES!$AI$16,"0.#"))</f>
        <v>—</v>
      </c>
      <c r="J162" s="39" t="str">
        <f>IF(PRINCIPALES!$AO$16=0,"—",PRINCIPALES!$AO$16&amp;" No. "&amp;TEXT(PRINCIPALES!$AN$16,"0.#"))</f>
        <v>2 No. 6</v>
      </c>
      <c r="L162" s="70" t="str">
        <f>PRINCIPALES!$AT$16</f>
        <v>E No. 2.5 @ 10.0 cm</v>
      </c>
      <c r="M162" s="56">
        <f>PRINCIPALES!$AW$16</f>
        <v>30</v>
      </c>
      <c r="N162" s="42" t="str">
        <f>PRINCIPALES!$AX$16</f>
        <v>NO CUMPLE: sección insuficiente en flexión → h ≥ 30 cm</v>
      </c>
    </row>
    <row r="163">
      <c r="B163" s="42" t="inlineStr">
        <is>
          <t>NP-09 · y = 14.021</t>
        </is>
      </c>
      <c r="C163" s="39" t="inlineStr">
        <is>
          <t>N+3.00</t>
        </is>
      </c>
      <c r="D163" s="70" t="str">
        <f>PRINCIPALES!$L$17</f>
        <v>BORDE DE VOLADO</v>
      </c>
      <c r="E163" s="41">
        <f>PRINCIPALES!$G$17</f>
        <v>2</v>
      </c>
      <c r="F163" s="56">
        <f>PRINCIPALES!$N$17</f>
        <v>15</v>
      </c>
      <c r="G163" s="56">
        <f>PRINCIPALES!$O$17</f>
        <v>25</v>
      </c>
      <c r="H163" s="39" t="str">
        <f>IF(PRINCIPALES!$AJ$17=0,"—",PRINCIPALES!$AJ$17&amp;" No. "&amp;TEXT(PRINCIPALES!$AI$17,"0.#"))</f>
        <v>—</v>
      </c>
      <c r="J163" s="39" t="str">
        <f>IF(PRINCIPALES!$AO$17=0,"—",PRINCIPALES!$AO$17&amp;" No. "&amp;TEXT(PRINCIPALES!$AN$17,"0.#"))</f>
        <v>—</v>
      </c>
      <c r="L163" s="70" t="str">
        <f>PRINCIPALES!$AT$17</f>
        <v>—</v>
      </c>
      <c r="M163" s="56">
        <f>PRINCIPALES!$AW$17</f>
        <v>0</v>
      </c>
      <c r="N163" s="42" t="str">
        <f>PRINCIPALES!$AX$17</f>
        <v>BORDE DE VOLADO — armado de orilla</v>
      </c>
    </row>
    <row r="164">
      <c r="B164" s="42" t="inlineStr">
        <is>
          <t>NP-10 · y = 14.021</t>
        </is>
      </c>
      <c r="C164" s="39" t="inlineStr">
        <is>
          <t>N+3.00</t>
        </is>
      </c>
      <c r="D164" s="70" t="str">
        <f>PRINCIPALES!$L$18</f>
        <v>APOYADA</v>
      </c>
      <c r="E164" s="41">
        <f>PRINCIPALES!$G$18</f>
        <v>4.327</v>
      </c>
      <c r="F164" s="56">
        <f>PRINCIPALES!$N$18</f>
        <v>15</v>
      </c>
      <c r="G164" s="56">
        <f>PRINCIPALES!$O$18</f>
        <v>25</v>
      </c>
      <c r="H164" s="39" t="str">
        <f>IF(PRINCIPALES!$AJ$18=0,"—",PRINCIPALES!$AJ$18&amp;" No. "&amp;TEXT(PRINCIPALES!$AI$18,"0.#"))</f>
        <v>—</v>
      </c>
      <c r="J164" s="39" t="str">
        <f>IF(PRINCIPALES!$AO$18=0,"—",PRINCIPALES!$AO$18&amp;" No. "&amp;TEXT(PRINCIPALES!$AN$18,"0.#"))</f>
        <v>2 No. 8</v>
      </c>
      <c r="L164" s="70" t="str">
        <f>PRINCIPALES!$AT$18</f>
        <v>E No. 2.5 @ 10.0 cm</v>
      </c>
      <c r="M164" s="56">
        <f>PRINCIPALES!$AW$18</f>
        <v>30</v>
      </c>
      <c r="N164" s="42" t="str">
        <f>PRINCIPALES!$AX$18</f>
        <v>NO CUMPLE: sección insuficiente en flexión deflexión → h ≥ 30 cm</v>
      </c>
    </row>
    <row r="165">
      <c r="B165" s="42" t="inlineStr">
        <is>
          <t>NP-11 · y = 14.247</t>
        </is>
      </c>
      <c r="C165" s="39" t="inlineStr">
        <is>
          <t>N+3.00</t>
        </is>
      </c>
      <c r="D165" s="70" t="str">
        <f>PRINCIPALES!$L$19</f>
        <v>APOYADA</v>
      </c>
      <c r="E165" s="41">
        <f>PRINCIPALES!$G$19</f>
        <v>3.409</v>
      </c>
      <c r="F165" s="56">
        <f>PRINCIPALES!$N$19</f>
        <v>15</v>
      </c>
      <c r="G165" s="56">
        <f>PRINCIPALES!$O$19</f>
        <v>25</v>
      </c>
      <c r="H165" s="39" t="str">
        <f>IF(PRINCIPALES!$AJ$19=0,"—",PRINCIPALES!$AJ$19&amp;" No. "&amp;TEXT(PRINCIPALES!$AI$19,"0.#"))</f>
        <v>2 No. 4</v>
      </c>
      <c r="J165" s="39" t="str">
        <f>IF(PRINCIPALES!$AO$19=0,"—",PRINCIPALES!$AO$19&amp;" No. "&amp;TEXT(PRINCIPALES!$AN$19,"0.#"))</f>
        <v>2 No. 4</v>
      </c>
      <c r="L165" s="70" t="str">
        <f>PRINCIPALES!$AT$19</f>
        <v>E No. 2.5 @ 10.0 cm</v>
      </c>
      <c r="M165" s="56">
        <f>PRINCIPALES!$AW$19</f>
        <v>25</v>
      </c>
      <c r="N165" s="42" t="str">
        <f>PRINCIPALES!$AX$19</f>
        <v>CUMPLE</v>
      </c>
    </row>
    <row r="166">
      <c r="B166" s="42" t="inlineStr">
        <is>
          <t>NP-12 · y = 15.846</t>
        </is>
      </c>
      <c r="C166" s="39" t="inlineStr">
        <is>
          <t>N+3.00</t>
        </is>
      </c>
      <c r="D166" s="70" t="str">
        <f>PRINCIPALES!$L$20</f>
        <v>APOYADA</v>
      </c>
      <c r="E166" s="41">
        <f>PRINCIPALES!$G$20</f>
        <v>3.427</v>
      </c>
      <c r="F166" s="56">
        <f>PRINCIPALES!$N$20</f>
        <v>15</v>
      </c>
      <c r="G166" s="56">
        <f>PRINCIPALES!$O$20</f>
        <v>25</v>
      </c>
      <c r="H166" s="39" t="str">
        <f>IF(PRINCIPALES!$AJ$20=0,"—",PRINCIPALES!$AJ$20&amp;" No. "&amp;TEXT(PRINCIPALES!$AI$20,"0.#"))</f>
        <v>—</v>
      </c>
      <c r="J166" s="39" t="str">
        <f>IF(PRINCIPALES!$AO$20=0,"—",PRINCIPALES!$AO$20&amp;" No. "&amp;TEXT(PRINCIPALES!$AN$20,"0.#"))</f>
        <v>2 No. 5</v>
      </c>
      <c r="L166" s="70" t="str">
        <f>PRINCIPALES!$AT$20</f>
        <v>E No. 2.5 @ 10.0 cm</v>
      </c>
      <c r="M166" s="56">
        <f>PRINCIPALES!$AW$20</f>
        <v>30</v>
      </c>
      <c r="N166" s="42" t="str">
        <f>PRINCIPALES!$AX$20</f>
        <v>NO CUMPLE: sección insuficiente en flexión → h ≥ 30 cm</v>
      </c>
    </row>
    <row r="167">
      <c r="B167" s="42" t="inlineStr">
        <is>
          <t>NP-13 · y = 15.846</t>
        </is>
      </c>
      <c r="C167" s="39" t="inlineStr">
        <is>
          <t>N+3.00</t>
        </is>
      </c>
      <c r="D167" s="70" t="str">
        <f>PRINCIPALES!$L$21</f>
        <v>APOYADA</v>
      </c>
      <c r="E167" s="41">
        <f>PRINCIPALES!$G$21</f>
        <v>3.428</v>
      </c>
      <c r="F167" s="56">
        <f>PRINCIPALES!$N$21</f>
        <v>15</v>
      </c>
      <c r="G167" s="56">
        <f>PRINCIPALES!$O$21</f>
        <v>25</v>
      </c>
      <c r="H167" s="39" t="str">
        <f>IF(PRINCIPALES!$AJ$21=0,"—",PRINCIPALES!$AJ$21&amp;" No. "&amp;TEXT(PRINCIPALES!$AI$21,"0.#"))</f>
        <v>2 No. 6</v>
      </c>
      <c r="J167" s="39" t="str">
        <f>IF(PRINCIPALES!$AO$21=0,"—",PRINCIPALES!$AO$21&amp;" No. "&amp;TEXT(PRINCIPALES!$AN$21,"0.#"))</f>
        <v>3 No. 4</v>
      </c>
      <c r="L167" s="70" t="str">
        <f>PRINCIPALES!$AT$21</f>
        <v>E No. 2.5 @ 10.0 cm</v>
      </c>
      <c r="M167" s="56">
        <f>PRINCIPALES!$AW$21</f>
        <v>25</v>
      </c>
      <c r="N167" s="42" t="str">
        <f>PRINCIPALES!$AX$21</f>
        <v>CUMPLE</v>
      </c>
    </row>
    <row r="168">
      <c r="B168" s="42" t="inlineStr">
        <is>
          <t>NP-14 · Eje 12 (y = 17.446)</t>
        </is>
      </c>
      <c r="C168" s="39" t="inlineStr">
        <is>
          <t>N+3.00</t>
        </is>
      </c>
      <c r="D168" s="70" t="str">
        <f>PRINCIPALES!$L$22</f>
        <v>BORDE DE VOLADO</v>
      </c>
      <c r="E168" s="41">
        <f>PRINCIPALES!$G$22</f>
        <v>2</v>
      </c>
      <c r="F168" s="56">
        <f>PRINCIPALES!$N$22</f>
        <v>15</v>
      </c>
      <c r="G168" s="56">
        <f>PRINCIPALES!$O$22</f>
        <v>25</v>
      </c>
      <c r="H168" s="39" t="str">
        <f>IF(PRINCIPALES!$AJ$22=0,"—",PRINCIPALES!$AJ$22&amp;" No. "&amp;TEXT(PRINCIPALES!$AI$22,"0.#"))</f>
        <v>—</v>
      </c>
      <c r="J168" s="39" t="str">
        <f>IF(PRINCIPALES!$AO$22=0,"—",PRINCIPALES!$AO$22&amp;" No. "&amp;TEXT(PRINCIPALES!$AN$22,"0.#"))</f>
        <v>—</v>
      </c>
      <c r="L168" s="70" t="str">
        <f>PRINCIPALES!$AT$22</f>
        <v>—</v>
      </c>
      <c r="M168" s="56">
        <f>PRINCIPALES!$AW$22</f>
        <v>0</v>
      </c>
      <c r="N168" s="42" t="str">
        <f>PRINCIPALES!$AX$22</f>
        <v>BORDE DE VOLADO — armado de orilla</v>
      </c>
    </row>
    <row r="169">
      <c r="B169" s="42" t="inlineStr">
        <is>
          <t>NP-15 · Eje 12 (y = 17.446)</t>
        </is>
      </c>
      <c r="C169" s="39" t="inlineStr">
        <is>
          <t>N+3.00</t>
        </is>
      </c>
      <c r="D169" s="70" t="str">
        <f>PRINCIPALES!$L$23</f>
        <v>APOYADA</v>
      </c>
      <c r="E169" s="41">
        <f>PRINCIPALES!$G$23</f>
        <v>4.925</v>
      </c>
      <c r="F169" s="56">
        <f>PRINCIPALES!$N$23</f>
        <v>15</v>
      </c>
      <c r="G169" s="56">
        <f>PRINCIPALES!$O$23</f>
        <v>25</v>
      </c>
      <c r="H169" s="39" t="str">
        <f>IF(PRINCIPALES!$AJ$23=0,"—",PRINCIPALES!$AJ$23&amp;" No. "&amp;TEXT(PRINCIPALES!$AI$23,"0.#"))</f>
        <v>—</v>
      </c>
      <c r="J169" s="39" t="str">
        <f>IF(PRINCIPALES!$AO$23=0,"—",PRINCIPALES!$AO$23&amp;" No. "&amp;TEXT(PRINCIPALES!$AN$23,"0.#"))</f>
        <v>—</v>
      </c>
      <c r="L169" s="70" t="str">
        <f>PRINCIPALES!$AT$23</f>
        <v>SECCIÓN INSUFICIENTE</v>
      </c>
      <c r="M169" s="56">
        <f>PRINCIPALES!$AW$23</f>
        <v>45</v>
      </c>
      <c r="N169" s="42" t="str">
        <f>PRINCIPALES!$AX$23</f>
        <v>NO CUMPLE: sección insuficiente en flexión cortante deflexión → h ≥ 45 cm</v>
      </c>
    </row>
    <row r="170">
      <c r="B170" s="42" t="inlineStr">
        <is>
          <t>NP-16 · y = 23.446</t>
        </is>
      </c>
      <c r="C170" s="39" t="inlineStr">
        <is>
          <t>N+3.00</t>
        </is>
      </c>
      <c r="D170" s="70" t="str">
        <f>PRINCIPALES!$L$24</f>
        <v>BORDE DE VOLADO</v>
      </c>
      <c r="E170" s="41">
        <f>PRINCIPALES!$G$24</f>
        <v>7.25</v>
      </c>
      <c r="F170" s="56">
        <f>PRINCIPALES!$N$24</f>
        <v>15</v>
      </c>
      <c r="G170" s="56">
        <f>PRINCIPALES!$O$24</f>
        <v>25</v>
      </c>
      <c r="H170" s="39" t="str">
        <f>IF(PRINCIPALES!$AJ$24=0,"—",PRINCIPALES!$AJ$24&amp;" No. "&amp;TEXT(PRINCIPALES!$AI$24,"0.#"))</f>
        <v>—</v>
      </c>
      <c r="J170" s="39" t="str">
        <f>IF(PRINCIPALES!$AO$24=0,"—",PRINCIPALES!$AO$24&amp;" No. "&amp;TEXT(PRINCIPALES!$AN$24,"0.#"))</f>
        <v>—</v>
      </c>
      <c r="L170" s="70" t="str">
        <f>PRINCIPALES!$AT$24</f>
        <v>—</v>
      </c>
      <c r="M170" s="56">
        <f>PRINCIPALES!$AW$24</f>
        <v>0</v>
      </c>
      <c r="N170" s="42" t="str">
        <f>PRINCIPALES!$AX$24</f>
        <v>BORDE DE VOLADO — armado de orilla</v>
      </c>
    </row>
    <row r="171">
      <c r="B171" s="42" t="inlineStr">
        <is>
          <t>NP-17 · x = -2.000</t>
        </is>
      </c>
      <c r="C171" s="39" t="inlineStr">
        <is>
          <t>N+3.00</t>
        </is>
      </c>
      <c r="D171" s="70" t="str">
        <f>PRINCIPALES!$L$25</f>
        <v>BORDE DE VOLADO</v>
      </c>
      <c r="E171" s="41">
        <f>PRINCIPALES!$G$25</f>
        <v>3.425</v>
      </c>
      <c r="F171" s="56">
        <f>PRINCIPALES!$N$25</f>
        <v>15</v>
      </c>
      <c r="G171" s="56">
        <f>PRINCIPALES!$O$25</f>
        <v>25</v>
      </c>
      <c r="H171" s="39" t="str">
        <f>IF(PRINCIPALES!$AJ$25=0,"—",PRINCIPALES!$AJ$25&amp;" No. "&amp;TEXT(PRINCIPALES!$AI$25,"0.#"))</f>
        <v>—</v>
      </c>
      <c r="J171" s="39" t="str">
        <f>IF(PRINCIPALES!$AO$25=0,"—",PRINCIPALES!$AO$25&amp;" No. "&amp;TEXT(PRINCIPALES!$AN$25,"0.#"))</f>
        <v>—</v>
      </c>
      <c r="L171" s="70" t="str">
        <f>PRINCIPALES!$AT$25</f>
        <v>—</v>
      </c>
      <c r="M171" s="56">
        <f>PRINCIPALES!$AW$25</f>
        <v>0</v>
      </c>
      <c r="N171" s="42" t="str">
        <f>PRINCIPALES!$AX$25</f>
        <v>BORDE DE VOLADO — armado de orilla</v>
      </c>
    </row>
    <row r="172">
      <c r="B172" s="42" t="inlineStr">
        <is>
          <t>NP-18 · x = 3.029</t>
        </is>
      </c>
      <c r="C172" s="39" t="inlineStr">
        <is>
          <t>N+3.00</t>
        </is>
      </c>
      <c r="D172" s="70" t="str">
        <f>PRINCIPALES!$L$26</f>
        <v>APOYADA</v>
      </c>
      <c r="E172" s="41">
        <f>PRINCIPALES!$G$26</f>
        <v>1.6</v>
      </c>
      <c r="F172" s="56">
        <f>PRINCIPALES!$N$26</f>
        <v>15</v>
      </c>
      <c r="G172" s="56">
        <f>PRINCIPALES!$O$26</f>
        <v>25</v>
      </c>
      <c r="H172" s="39" t="str">
        <f>IF(PRINCIPALES!$AJ$26=0,"—",PRINCIPALES!$AJ$26&amp;" No. "&amp;TEXT(PRINCIPALES!$AI$26,"0.#"))</f>
        <v>2 No. 4</v>
      </c>
      <c r="J172" s="39" t="str">
        <f>IF(PRINCIPALES!$AO$26=0,"—",PRINCIPALES!$AO$26&amp;" No. "&amp;TEXT(PRINCIPALES!$AN$26,"0.#"))</f>
        <v>2 No. 4</v>
      </c>
      <c r="L172" s="70" t="str">
        <f>PRINCIPALES!$AT$26</f>
        <v>E No. 2.5 @ 10.0 cm</v>
      </c>
      <c r="M172" s="56">
        <f>PRINCIPALES!$AW$26</f>
        <v>25</v>
      </c>
      <c r="N172" s="42" t="str">
        <f>PRINCIPALES!$AX$26</f>
        <v>CUMPLE</v>
      </c>
    </row>
    <row r="173">
      <c r="B173" s="42" t="inlineStr">
        <is>
          <t>NP-19 · Eje C (x = 3.427)</t>
        </is>
      </c>
      <c r="C173" s="39" t="inlineStr">
        <is>
          <t>N+3.00</t>
        </is>
      </c>
      <c r="D173" s="70" t="str">
        <f>PRINCIPALES!$L$27</f>
        <v>APOYADA</v>
      </c>
      <c r="E173" s="41">
        <f>PRINCIPALES!$G$27</f>
        <v>1.825</v>
      </c>
      <c r="F173" s="56">
        <f>PRINCIPALES!$N$27</f>
        <v>15</v>
      </c>
      <c r="G173" s="56">
        <f>PRINCIPALES!$O$27</f>
        <v>25</v>
      </c>
      <c r="H173" s="39" t="str">
        <f>IF(PRINCIPALES!$AJ$27=0,"—",PRINCIPALES!$AJ$27&amp;" No. "&amp;TEXT(PRINCIPALES!$AI$27,"0.#"))</f>
        <v>2 No. 4</v>
      </c>
      <c r="J173" s="39" t="str">
        <f>IF(PRINCIPALES!$AO$27=0,"—",PRINCIPALES!$AO$27&amp;" No. "&amp;TEXT(PRINCIPALES!$AN$27,"0.#"))</f>
        <v>2 No. 4</v>
      </c>
      <c r="L173" s="70" t="str">
        <f>PRINCIPALES!$AT$27</f>
        <v>E No. 2.5 @ 10.0 cm</v>
      </c>
      <c r="M173" s="56">
        <f>PRINCIPALES!$AW$27</f>
        <v>25</v>
      </c>
      <c r="N173" s="42" t="str">
        <f>PRINCIPALES!$AX$27</f>
        <v>CUMPLE</v>
      </c>
    </row>
    <row r="174">
      <c r="B174" s="42" t="inlineStr">
        <is>
          <t>NP-20 · x = 4.327</t>
        </is>
      </c>
      <c r="C174" s="39" t="inlineStr">
        <is>
          <t>N+3.00</t>
        </is>
      </c>
      <c r="D174" s="70" t="str">
        <f>PRINCIPALES!$L$28</f>
        <v>APOYADA</v>
      </c>
      <c r="E174" s="41">
        <f>PRINCIPALES!$G$28</f>
        <v>1.002</v>
      </c>
      <c r="F174" s="56">
        <f>PRINCIPALES!$N$28</f>
        <v>15</v>
      </c>
      <c r="G174" s="56">
        <f>PRINCIPALES!$O$28</f>
        <v>25</v>
      </c>
      <c r="H174" s="39" t="str">
        <f>IF(PRINCIPALES!$AJ$28=0,"—",PRINCIPALES!$AJ$28&amp;" No. "&amp;TEXT(PRINCIPALES!$AI$28,"0.#"))</f>
        <v>2 No. 4</v>
      </c>
      <c r="J174" s="39" t="str">
        <f>IF(PRINCIPALES!$AO$28=0,"—",PRINCIPALES!$AO$28&amp;" No. "&amp;TEXT(PRINCIPALES!$AN$28,"0.#"))</f>
        <v>2 No. 4</v>
      </c>
      <c r="L174" s="70" t="str">
        <f>PRINCIPALES!$AT$28</f>
        <v>E No. 2.5 @ 10.0 cm</v>
      </c>
      <c r="M174" s="56">
        <f>PRINCIPALES!$AW$28</f>
        <v>25</v>
      </c>
      <c r="N174" s="42" t="str">
        <f>PRINCIPALES!$AX$28</f>
        <v>CUMPLE</v>
      </c>
    </row>
    <row r="175">
      <c r="B175" s="42" t="inlineStr">
        <is>
          <t>NP-21 · x = 4.327</t>
        </is>
      </c>
      <c r="C175" s="39" t="inlineStr">
        <is>
          <t>N+3.00</t>
        </is>
      </c>
      <c r="D175" s="70" t="str">
        <f>PRINCIPALES!$L$29</f>
        <v>APOYADA</v>
      </c>
      <c r="E175" s="41">
        <f>PRINCIPALES!$G$29</f>
        <v>3.025</v>
      </c>
      <c r="F175" s="56">
        <f>PRINCIPALES!$N$29</f>
        <v>15</v>
      </c>
      <c r="G175" s="56">
        <f>PRINCIPALES!$O$29</f>
        <v>25</v>
      </c>
      <c r="H175" s="39" t="str">
        <f>IF(PRINCIPALES!$AJ$29=0,"—",PRINCIPALES!$AJ$29&amp;" No. "&amp;TEXT(PRINCIPALES!$AI$29,"0.#"))</f>
        <v>2 No. 5</v>
      </c>
      <c r="J175" s="39" t="str">
        <f>IF(PRINCIPALES!$AO$29=0,"—",PRINCIPALES!$AO$29&amp;" No. "&amp;TEXT(PRINCIPALES!$AN$29,"0.#"))</f>
        <v>2 No. 4</v>
      </c>
      <c r="L175" s="70" t="str">
        <f>PRINCIPALES!$AT$29</f>
        <v>E No. 2.5 @ 10.0 cm</v>
      </c>
      <c r="M175" s="56">
        <f>PRINCIPALES!$AW$29</f>
        <v>25</v>
      </c>
      <c r="N175" s="42" t="str">
        <f>PRINCIPALES!$AX$29</f>
        <v>CUMPLE</v>
      </c>
    </row>
    <row r="176">
      <c r="B176" s="42" t="inlineStr">
        <is>
          <t>NP-22 · x = 4.327</t>
        </is>
      </c>
      <c r="C176" s="39" t="inlineStr">
        <is>
          <t>N+3.00</t>
        </is>
      </c>
      <c r="D176" s="70" t="str">
        <f>PRINCIPALES!$L$30</f>
        <v>APOYADA</v>
      </c>
      <c r="E176" s="41">
        <f>PRINCIPALES!$G$30</f>
        <v>1.925</v>
      </c>
      <c r="F176" s="56">
        <f>PRINCIPALES!$N$30</f>
        <v>15</v>
      </c>
      <c r="G176" s="56">
        <f>PRINCIPALES!$O$30</f>
        <v>25</v>
      </c>
      <c r="H176" s="39" t="str">
        <f>IF(PRINCIPALES!$AJ$30=0,"—",PRINCIPALES!$AJ$30&amp;" No. "&amp;TEXT(PRINCIPALES!$AI$30,"0.#"))</f>
        <v>2 No. 4</v>
      </c>
      <c r="J176" s="39" t="str">
        <f>IF(PRINCIPALES!$AO$30=0,"—",PRINCIPALES!$AO$30&amp;" No. "&amp;TEXT(PRINCIPALES!$AN$30,"0.#"))</f>
        <v>2 No. 4</v>
      </c>
      <c r="L176" s="70" t="str">
        <f>PRINCIPALES!$AT$30</f>
        <v>E No. 2.5 @ 10.0 cm</v>
      </c>
      <c r="M176" s="56">
        <f>PRINCIPALES!$AW$30</f>
        <v>25</v>
      </c>
      <c r="N176" s="42" t="str">
        <f>PRINCIPALES!$AX$30</f>
        <v>CUMPLE</v>
      </c>
    </row>
    <row r="177">
      <c r="B177" s="42" t="inlineStr">
        <is>
          <t>NP-23 · x = 4.327</t>
        </is>
      </c>
      <c r="C177" s="39" t="inlineStr">
        <is>
          <t>N+3.00</t>
        </is>
      </c>
      <c r="D177" s="70" t="str">
        <f>PRINCIPALES!$L$31</f>
        <v>APOYADA</v>
      </c>
      <c r="E177" s="41">
        <f>PRINCIPALES!$G$31</f>
        <v>6.15</v>
      </c>
      <c r="F177" s="56">
        <f>PRINCIPALES!$N$31</f>
        <v>15</v>
      </c>
      <c r="G177" s="56">
        <f>PRINCIPALES!$O$31</f>
        <v>25</v>
      </c>
      <c r="H177" s="39" t="str">
        <f>IF(PRINCIPALES!$AJ$31=0,"—",PRINCIPALES!$AJ$31&amp;" No. "&amp;TEXT(PRINCIPALES!$AI$31,"0.#"))</f>
        <v>2 No. 6</v>
      </c>
      <c r="J177" s="39" t="str">
        <f>IF(PRINCIPALES!$AO$31=0,"—",PRINCIPALES!$AO$31&amp;" No. "&amp;TEXT(PRINCIPALES!$AN$31,"0.#"))</f>
        <v>3 No. 4</v>
      </c>
      <c r="L177" s="70" t="str">
        <f>PRINCIPALES!$AT$31</f>
        <v>E No. 2.5 @ 10.0 cm</v>
      </c>
      <c r="M177" s="56">
        <f>PRINCIPALES!$AW$31</f>
        <v>40</v>
      </c>
      <c r="N177" s="42" t="str">
        <f>PRINCIPALES!$AX$31</f>
        <v>NO CUMPLE: deflexión → h ≥ 40 cm</v>
      </c>
    </row>
    <row r="178">
      <c r="B178" s="42" t="inlineStr">
        <is>
          <t>NP-24 · Eje D (x = 4.426)</t>
        </is>
      </c>
      <c r="C178" s="39" t="inlineStr">
        <is>
          <t>N+3.00</t>
        </is>
      </c>
      <c r="D178" s="70" t="str">
        <f>PRINCIPALES!$L$32</f>
        <v>APOYADA</v>
      </c>
      <c r="E178" s="41">
        <f>PRINCIPALES!$G$32</f>
        <v>4</v>
      </c>
      <c r="F178" s="56">
        <f>PRINCIPALES!$N$32</f>
        <v>15</v>
      </c>
      <c r="G178" s="56">
        <f>PRINCIPALES!$O$32</f>
        <v>25</v>
      </c>
      <c r="H178" s="39" t="str">
        <f>IF(PRINCIPALES!$AJ$32=0,"—",PRINCIPALES!$AJ$32&amp;" No. "&amp;TEXT(PRINCIPALES!$AI$32,"0.#"))</f>
        <v>—</v>
      </c>
      <c r="J178" s="39" t="str">
        <f>IF(PRINCIPALES!$AO$32=0,"—",PRINCIPALES!$AO$32&amp;" No. "&amp;TEXT(PRINCIPALES!$AN$32,"0.#"))</f>
        <v>2 No. 6</v>
      </c>
      <c r="L178" s="70" t="str">
        <f>PRINCIPALES!$AT$32</f>
        <v>E No. 2.5 @ 10.0 cm</v>
      </c>
      <c r="M178" s="56">
        <f>PRINCIPALES!$AW$32</f>
        <v>30</v>
      </c>
      <c r="N178" s="42" t="str">
        <f>PRINCIPALES!$AX$32</f>
        <v>NO CUMPLE: sección insuficiente en flexión → h ≥ 30 cm</v>
      </c>
    </row>
    <row r="179">
      <c r="B179" s="42" t="inlineStr">
        <is>
          <t>NP-25 · Eje F (x = 5.441)</t>
        </is>
      </c>
      <c r="C179" s="39" t="inlineStr">
        <is>
          <t>N+3.00</t>
        </is>
      </c>
      <c r="D179" s="70" t="str">
        <f>PRINCIPALES!$L$33</f>
        <v>APOYADA</v>
      </c>
      <c r="E179" s="41">
        <f>PRINCIPALES!$G$33</f>
        <v>1.962</v>
      </c>
      <c r="F179" s="56">
        <f>PRINCIPALES!$N$33</f>
        <v>15</v>
      </c>
      <c r="G179" s="56">
        <f>PRINCIPALES!$O$33</f>
        <v>25</v>
      </c>
      <c r="H179" s="39" t="str">
        <f>IF(PRINCIPALES!$AJ$33=0,"—",PRINCIPALES!$AJ$33&amp;" No. "&amp;TEXT(PRINCIPALES!$AI$33,"0.#"))</f>
        <v>2 No. 4</v>
      </c>
      <c r="J179" s="39" t="str">
        <f>IF(PRINCIPALES!$AO$33=0,"—",PRINCIPALES!$AO$33&amp;" No. "&amp;TEXT(PRINCIPALES!$AN$33,"0.#"))</f>
        <v>2 No. 4</v>
      </c>
      <c r="L179" s="70" t="str">
        <f>PRINCIPALES!$AT$33</f>
        <v>E No. 2.5 @ 10.0 cm</v>
      </c>
      <c r="M179" s="56">
        <f>PRINCIPALES!$AW$33</f>
        <v>25</v>
      </c>
      <c r="N179" s="42" t="str">
        <f>PRINCIPALES!$AX$33</f>
        <v>CUMPLE</v>
      </c>
    </row>
    <row r="180">
      <c r="B180" s="42" t="inlineStr">
        <is>
          <t>NP-26 · Eje F (x = 5.441)</t>
        </is>
      </c>
      <c r="C180" s="39" t="inlineStr">
        <is>
          <t>N+3.00</t>
        </is>
      </c>
      <c r="D180" s="70" t="str">
        <f>PRINCIPALES!$L$34</f>
        <v>APOYADA</v>
      </c>
      <c r="E180" s="41">
        <f>PRINCIPALES!$G$34</f>
        <v>5.497</v>
      </c>
      <c r="F180" s="56">
        <f>PRINCIPALES!$N$34</f>
        <v>15</v>
      </c>
      <c r="G180" s="56">
        <f>PRINCIPALES!$O$34</f>
        <v>25</v>
      </c>
      <c r="H180" s="39" t="str">
        <f>IF(PRINCIPALES!$AJ$34=0,"—",PRINCIPALES!$AJ$34&amp;" No. "&amp;TEXT(PRINCIPALES!$AI$34,"0.#"))</f>
        <v>—</v>
      </c>
      <c r="J180" s="39" t="str">
        <f>IF(PRINCIPALES!$AO$34=0,"—",PRINCIPALES!$AO$34&amp;" No. "&amp;TEXT(PRINCIPALES!$AN$34,"0.#"))</f>
        <v>—</v>
      </c>
      <c r="L180" s="70" t="str">
        <f>PRINCIPALES!$AT$34</f>
        <v>SECCIÓN INSUFICIENTE</v>
      </c>
      <c r="M180" s="56">
        <f>PRINCIPALES!$AW$34</f>
        <v>45</v>
      </c>
      <c r="N180" s="42" t="str">
        <f>PRINCIPALES!$AX$34</f>
        <v>NO CUMPLE: sección insuficiente en flexión cortante deflexión → h ≥ 45 cm</v>
      </c>
    </row>
    <row r="181">
      <c r="B181" s="42" t="inlineStr">
        <is>
          <t>NP-27 · Eje F (x = 5.441)</t>
        </is>
      </c>
      <c r="C181" s="39" t="inlineStr">
        <is>
          <t>N+3.00</t>
        </is>
      </c>
      <c r="D181" s="70" t="str">
        <f>PRINCIPALES!$L$35</f>
        <v>VOLADO</v>
      </c>
      <c r="E181" s="41">
        <f>PRINCIPALES!$G$35</f>
        <v>0.399</v>
      </c>
      <c r="F181" s="56">
        <f>PRINCIPALES!$N$35</f>
        <v>15</v>
      </c>
      <c r="G181" s="56">
        <f>PRINCIPALES!$O$35</f>
        <v>25</v>
      </c>
      <c r="H181" s="39" t="str">
        <f>IF(PRINCIPALES!$AJ$35=0,"—",PRINCIPALES!$AJ$35&amp;" No. "&amp;TEXT(PRINCIPALES!$AI$35,"0.#"))</f>
        <v>2 No. 4</v>
      </c>
      <c r="J181" s="39" t="str">
        <f>IF(PRINCIPALES!$AO$35=0,"—",PRINCIPALES!$AO$35&amp;" No. "&amp;TEXT(PRINCIPALES!$AN$35,"0.#"))</f>
        <v>3 No. 4</v>
      </c>
      <c r="L181" s="70" t="str">
        <f>PRINCIPALES!$AT$35</f>
        <v>E No. 2.5 @ 10.0 cm</v>
      </c>
      <c r="M181" s="56">
        <f>PRINCIPALES!$AW$35</f>
        <v>25</v>
      </c>
      <c r="N181" s="42" t="str">
        <f>PRINCIPALES!$AX$35</f>
        <v>CUMPLE (en VOLADO)</v>
      </c>
    </row>
    <row r="182">
      <c r="B182" s="42" t="inlineStr">
        <is>
          <t>NP-28 · x = 5.822</t>
        </is>
      </c>
      <c r="C182" s="39" t="inlineStr">
        <is>
          <t>N+3.00</t>
        </is>
      </c>
      <c r="D182" s="70" t="str">
        <f>PRINCIPALES!$L$36</f>
        <v>APOYADA</v>
      </c>
      <c r="E182" s="41">
        <f>PRINCIPALES!$G$36</f>
        <v>1.6</v>
      </c>
      <c r="F182" s="56">
        <f>PRINCIPALES!$N$36</f>
        <v>15</v>
      </c>
      <c r="G182" s="56">
        <f>PRINCIPALES!$O$36</f>
        <v>25</v>
      </c>
      <c r="H182" s="39" t="str">
        <f>IF(PRINCIPALES!$AJ$36=0,"—",PRINCIPALES!$AJ$36&amp;" No. "&amp;TEXT(PRINCIPALES!$AI$36,"0.#"))</f>
        <v>2 No. 4</v>
      </c>
      <c r="J182" s="39" t="str">
        <f>IF(PRINCIPALES!$AO$36=0,"—",PRINCIPALES!$AO$36&amp;" No. "&amp;TEXT(PRINCIPALES!$AN$36,"0.#"))</f>
        <v>2 No. 4</v>
      </c>
      <c r="L182" s="70" t="str">
        <f>PRINCIPALES!$AT$36</f>
        <v>E No. 2.5 @ 10.0 cm</v>
      </c>
      <c r="M182" s="56">
        <f>PRINCIPALES!$AW$36</f>
        <v>25</v>
      </c>
      <c r="N182" s="42" t="str">
        <f>PRINCIPALES!$AX$36</f>
        <v>CUMPLE</v>
      </c>
    </row>
    <row r="183">
      <c r="B183" s="42" t="inlineStr">
        <is>
          <t>NP-29 · Eje G (x = 5.923)</t>
        </is>
      </c>
      <c r="C183" s="39" t="inlineStr">
        <is>
          <t>N+3.00</t>
        </is>
      </c>
      <c r="D183" s="70" t="str">
        <f>PRINCIPALES!$L$37</f>
        <v>APOYADA</v>
      </c>
      <c r="E183" s="41">
        <f>PRINCIPALES!$G$37</f>
        <v>3.025</v>
      </c>
      <c r="F183" s="56">
        <f>PRINCIPALES!$N$37</f>
        <v>15</v>
      </c>
      <c r="G183" s="56">
        <f>PRINCIPALES!$O$37</f>
        <v>25</v>
      </c>
      <c r="H183" s="39" t="str">
        <f>IF(PRINCIPALES!$AJ$37=0,"—",PRINCIPALES!$AJ$37&amp;" No. "&amp;TEXT(PRINCIPALES!$AI$37,"0.#"))</f>
        <v>3 No. 4</v>
      </c>
      <c r="J183" s="39" t="str">
        <f>IF(PRINCIPALES!$AO$37=0,"—",PRINCIPALES!$AO$37&amp;" No. "&amp;TEXT(PRINCIPALES!$AN$37,"0.#"))</f>
        <v>2 No. 4</v>
      </c>
      <c r="L183" s="70" t="str">
        <f>PRINCIPALES!$AT$37</f>
        <v>E No. 2.5 @ 10.0 cm</v>
      </c>
      <c r="M183" s="56">
        <f>PRINCIPALES!$AW$37</f>
        <v>25</v>
      </c>
      <c r="N183" s="42" t="str">
        <f>PRINCIPALES!$AX$37</f>
        <v>CUMPLE</v>
      </c>
    </row>
    <row r="184">
      <c r="B184" s="42" t="inlineStr">
        <is>
          <t>NP-30 · x = 7.350</t>
        </is>
      </c>
      <c r="C184" s="39" t="inlineStr">
        <is>
          <t>N+3.00</t>
        </is>
      </c>
      <c r="D184" s="70" t="str">
        <f>PRINCIPALES!$L$38</f>
        <v>VOLADO</v>
      </c>
      <c r="E184" s="41">
        <f>PRINCIPALES!$G$38</f>
        <v>1.04</v>
      </c>
      <c r="F184" s="56">
        <f>PRINCIPALES!$N$38</f>
        <v>15</v>
      </c>
      <c r="G184" s="56">
        <f>PRINCIPALES!$O$38</f>
        <v>25</v>
      </c>
      <c r="H184" s="39" t="str">
        <f>IF(PRINCIPALES!$AJ$38=0,"—",PRINCIPALES!$AJ$38&amp;" No. "&amp;TEXT(PRINCIPALES!$AI$38,"0.#"))</f>
        <v>2 No. 4</v>
      </c>
      <c r="J184" s="39" t="str">
        <f>IF(PRINCIPALES!$AO$38=0,"—",PRINCIPALES!$AO$38&amp;" No. "&amp;TEXT(PRINCIPALES!$AN$38,"0.#"))</f>
        <v>3 No. 4</v>
      </c>
      <c r="L184" s="70" t="str">
        <f>PRINCIPALES!$AT$38</f>
        <v>E No. 2.5 @ 10.0 cm</v>
      </c>
      <c r="M184" s="56">
        <f>PRINCIPALES!$AW$38</f>
        <v>25</v>
      </c>
      <c r="N184" s="42" t="str">
        <f>PRINCIPALES!$AX$38</f>
        <v>CUMPLE (en VOLADO)</v>
      </c>
    </row>
    <row r="185">
      <c r="B185" s="42" t="inlineStr">
        <is>
          <t>NP-31 · y = 16.697</t>
        </is>
      </c>
      <c r="C185" s="39" t="inlineStr">
        <is>
          <t>N+6.00</t>
        </is>
      </c>
      <c r="D185" s="70" t="str">
        <f>PRINCIPALES!$L$39</f>
        <v>APOYADA</v>
      </c>
      <c r="E185" s="41">
        <f>PRINCIPALES!$G$39</f>
        <v>3.028</v>
      </c>
      <c r="F185" s="56">
        <f>PRINCIPALES!$N$39</f>
        <v>15</v>
      </c>
      <c r="G185" s="56">
        <f>PRINCIPALES!$O$39</f>
        <v>25</v>
      </c>
      <c r="H185" s="39" t="str">
        <f>IF(PRINCIPALES!$AJ$39=0,"—",PRINCIPALES!$AJ$39&amp;" No. "&amp;TEXT(PRINCIPALES!$AI$39,"0.#"))</f>
        <v>2 No. 4</v>
      </c>
      <c r="J185" s="39" t="str">
        <f>IF(PRINCIPALES!$AO$39=0,"—",PRINCIPALES!$AO$39&amp;" No. "&amp;TEXT(PRINCIPALES!$AN$39,"0.#"))</f>
        <v>2 No. 4</v>
      </c>
      <c r="L185" s="70" t="str">
        <f>PRINCIPALES!$AT$39</f>
        <v>E No. 2.5 @ 10.0 cm</v>
      </c>
      <c r="M185" s="56">
        <f>PRINCIPALES!$AW$39</f>
        <v>25</v>
      </c>
      <c r="N185" s="42" t="str">
        <f>PRINCIPALES!$AX$39</f>
        <v>CUMPLE</v>
      </c>
    </row>
    <row r="186">
      <c r="B186" s="42" t="inlineStr">
        <is>
          <t>NP-32 · y = 16.997</t>
        </is>
      </c>
      <c r="C186" s="39" t="inlineStr">
        <is>
          <t>N+6.00</t>
        </is>
      </c>
      <c r="D186" s="70" t="str">
        <f>PRINCIPALES!$L$40</f>
        <v>APOYADA</v>
      </c>
      <c r="E186" s="41">
        <f>PRINCIPALES!$G$40</f>
        <v>3.029</v>
      </c>
      <c r="F186" s="56">
        <f>PRINCIPALES!$N$40</f>
        <v>15</v>
      </c>
      <c r="G186" s="56">
        <f>PRINCIPALES!$O$40</f>
        <v>25</v>
      </c>
      <c r="H186" s="39" t="str">
        <f>IF(PRINCIPALES!$AJ$40=0,"—",PRINCIPALES!$AJ$40&amp;" No. "&amp;TEXT(PRINCIPALES!$AI$40,"0.#"))</f>
        <v>2 No. 4</v>
      </c>
      <c r="J186" s="39" t="str">
        <f>IF(PRINCIPALES!$AO$40=0,"—",PRINCIPALES!$AO$40&amp;" No. "&amp;TEXT(PRINCIPALES!$AN$40,"0.#"))</f>
        <v>2 No. 4</v>
      </c>
      <c r="L186" s="70" t="str">
        <f>PRINCIPALES!$AT$40</f>
        <v>E No. 2.5 @ 10.0 cm</v>
      </c>
      <c r="M186" s="56">
        <f>PRINCIPALES!$AW$40</f>
        <v>25</v>
      </c>
      <c r="N186" s="42" t="str">
        <f>PRINCIPALES!$AX$40</f>
        <v>CUMPLE</v>
      </c>
    </row>
    <row r="187">
      <c r="B187" s="42" t="inlineStr">
        <is>
          <t>NP-33 · Eje A (x = 0.000)</t>
        </is>
      </c>
      <c r="C187" s="39" t="inlineStr">
        <is>
          <t>N+6.00</t>
        </is>
      </c>
      <c r="D187" s="70" t="str">
        <f>PRINCIPALES!$L$41</f>
        <v>APOYADA</v>
      </c>
      <c r="E187" s="41">
        <f>PRINCIPALES!$G$41</f>
        <v>1.825</v>
      </c>
      <c r="F187" s="56">
        <f>PRINCIPALES!$N$41</f>
        <v>15</v>
      </c>
      <c r="G187" s="56">
        <f>PRINCIPALES!$O$41</f>
        <v>25</v>
      </c>
      <c r="H187" s="39" t="str">
        <f>IF(PRINCIPALES!$AJ$41=0,"—",PRINCIPALES!$AJ$41&amp;" No. "&amp;TEXT(PRINCIPALES!$AI$41,"0.#"))</f>
        <v>2 No. 4</v>
      </c>
      <c r="J187" s="39" t="str">
        <f>IF(PRINCIPALES!$AO$41=0,"—",PRINCIPALES!$AO$41&amp;" No. "&amp;TEXT(PRINCIPALES!$AN$41,"0.#"))</f>
        <v>2 No. 4</v>
      </c>
      <c r="L187" s="70" t="str">
        <f>PRINCIPALES!$AT$41</f>
        <v>E No. 2.5 @ 10.0 cm</v>
      </c>
      <c r="M187" s="56">
        <f>PRINCIPALES!$AW$41</f>
        <v>25</v>
      </c>
      <c r="N187" s="42" t="str">
        <f>PRINCIPALES!$AX$41</f>
        <v>CUMPLE</v>
      </c>
    </row>
    <row r="188">
      <c r="B188" s="42" t="inlineStr">
        <is>
          <t>NP-34 · Eje G (x = 5.923)</t>
        </is>
      </c>
      <c r="C188" s="39" t="inlineStr">
        <is>
          <t>N+6.00</t>
        </is>
      </c>
      <c r="D188" s="70" t="str">
        <f>PRINCIPALES!$L$42</f>
        <v>APOYADA</v>
      </c>
      <c r="E188" s="41">
        <f>PRINCIPALES!$G$42</f>
        <v>3.002</v>
      </c>
      <c r="F188" s="56">
        <f>PRINCIPALES!$N$42</f>
        <v>15</v>
      </c>
      <c r="G188" s="56">
        <f>PRINCIPALES!$O$42</f>
        <v>25</v>
      </c>
      <c r="H188" s="39" t="str">
        <f>IF(PRINCIPALES!$AJ$42=0,"—",PRINCIPALES!$AJ$42&amp;" No. "&amp;TEXT(PRINCIPALES!$AI$42,"0.#"))</f>
        <v>2 No. 4</v>
      </c>
      <c r="J188" s="39" t="str">
        <f>IF(PRINCIPALES!$AO$42=0,"—",PRINCIPALES!$AO$42&amp;" No. "&amp;TEXT(PRINCIPALES!$AN$42,"0.#"))</f>
        <v>2 No. 4</v>
      </c>
      <c r="L188" s="70" t="str">
        <f>PRINCIPALES!$AT$42</f>
        <v>E No. 2.5 @ 10.0 cm</v>
      </c>
      <c r="M188" s="56">
        <f>PRINCIPALES!$AW$42</f>
        <v>25</v>
      </c>
      <c r="N188" s="42" t="str">
        <f>PRINCIPALES!$AX$42</f>
        <v>CUMPLE</v>
      </c>
    </row>
    <row r="189" ht="6" customHeight="1"/>
    <row r="190" ht="21" customHeight="1">
      <c r="B190" s="5" t="inlineStr">
        <is>
          <t>5. CANTIDADES</t>
        </is>
      </c>
    </row>
    <row r="191">
      <c r="B191" s="74" t="inlineStr">
        <is>
          <t>Concreto de losas (con desperdicio)</t>
        </is>
      </c>
      <c r="E191" s="79">
        <f>CUANTIFICACION!$C$86</f>
        <v>40.0185501428572</v>
      </c>
      <c r="F191" s="39" t="inlineStr">
        <is>
          <t>m³</t>
        </is>
      </c>
    </row>
    <row r="192">
      <c r="B192" s="74" t="inlineStr">
        <is>
          <t>Casetones 60×60×20</t>
        </is>
      </c>
      <c r="E192" s="79">
        <f>CUANTIFICACION!$C$87</f>
        <v>438</v>
      </c>
      <c r="F192" s="39" t="inlineStr">
        <is>
          <t>pzas</t>
        </is>
      </c>
    </row>
    <row r="193">
      <c r="B193" s="74" t="inlineStr">
        <is>
          <t>Malla electrosoldada</t>
        </is>
      </c>
      <c r="E193" s="79">
        <f>CUANTIFICACION!$C$88</f>
        <v>296.835</v>
      </c>
      <c r="F193" s="39" t="inlineStr">
        <is>
          <t>m²</t>
        </is>
      </c>
    </row>
    <row r="194">
      <c r="B194" s="74" t="inlineStr">
        <is>
          <t>Acero de nervaduras secundarias</t>
        </is>
      </c>
      <c r="E194" s="79">
        <f>CUANTIFICACION!$C$89</f>
        <v>1097.07837016</v>
      </c>
      <c r="F194" s="39" t="inlineStr">
        <is>
          <t>kg</t>
        </is>
      </c>
    </row>
    <row r="195">
      <c r="B195" s="74" t="inlineStr">
        <is>
          <t>Acero de nervaduras principales</t>
        </is>
      </c>
      <c r="E195" s="79">
        <f>CUANTIFICACION!$C$90</f>
        <v>869.8488816</v>
      </c>
      <c r="F195" s="39" t="inlineStr">
        <is>
          <t>kg</t>
        </is>
      </c>
    </row>
    <row r="196" ht="6" customHeight="1"/>
    <row r="197" ht="21" customHeight="1">
      <c r="B197" s="5" t="inlineStr">
        <is>
          <t>6. CONDICIONES DE OBRA</t>
        </is>
      </c>
    </row>
    <row r="198" ht="28" customHeight="1">
      <c r="B198" s="30" t="inlineStr">
        <is>
          <t>• Los castillos que se bajen a cimentación deben llegar a la cimentación con su refuerzo continuo y anclarse en la dala de desplante: se vuelven columnas de planta baja.</t>
        </is>
      </c>
    </row>
    <row r="199" ht="28" customHeight="1">
      <c r="B199" s="30" t="inlineStr">
        <is>
          <t>• Las nervaduras principales sin muro abajo se arman como trabe (estribos cerrados) aunque queden ahogadas en la losa. Las que pidan más de 25 cm quedan descolgadas.</t>
        </is>
      </c>
    </row>
    <row r="200" ht="15" customHeight="1">
      <c r="B200" s="30" t="inlineStr">
        <is>
          <t>• Donde la hoja pide MACIZAR, se quita la hilera de casetones junto al apoyo en todo el ancho del tablero.</t>
        </is>
      </c>
    </row>
    <row r="201" ht="15" customHeight="1">
      <c r="B201" s="30" t="inlineStr">
        <is>
          <t>• Bastones: 0.30 del claro desde el eje del apoyo. Inferior corrido de apoyo a apoyo con su anclaje dentro de la nervadura principal o la dala.</t>
        </is>
      </c>
    </row>
    <row r="202" ht="15" customHeight="1">
      <c r="B202" s="30" t="inlineStr">
        <is>
          <t>• En el borde común de dos tableros se arma con el mayor de los dos bastones.</t>
        </is>
      </c>
    </row>
  </sheetData>
  <mergeCells count="111">
    <mergeCell ref="B11:D11"/>
    <mergeCell ref="H166:I166"/>
    <mergeCell ref="J180:K180"/>
    <mergeCell ref="H181:I181"/>
    <mergeCell ref="B201:N201"/>
    <mergeCell ref="H168:I168"/>
    <mergeCell ref="H180:I180"/>
    <mergeCell ref="H161:I161"/>
    <mergeCell ref="J166:K166"/>
    <mergeCell ref="J161:K161"/>
    <mergeCell ref="G12:M12"/>
    <mergeCell ref="B6:D6"/>
    <mergeCell ref="B22:N22"/>
    <mergeCell ref="B202:N202"/>
    <mergeCell ref="H186:I186"/>
    <mergeCell ref="H183:I183"/>
    <mergeCell ref="H170:I170"/>
    <mergeCell ref="B1:N1"/>
    <mergeCell ref="H185:I185"/>
    <mergeCell ref="H154:I154"/>
    <mergeCell ref="J185:K185"/>
    <mergeCell ref="J154:K154"/>
    <mergeCell ref="J163:K163"/>
    <mergeCell ref="H172:I172"/>
    <mergeCell ref="J181:K181"/>
    <mergeCell ref="H184:I184"/>
    <mergeCell ref="H162:I162"/>
    <mergeCell ref="H156:I156"/>
    <mergeCell ref="H171:I171"/>
    <mergeCell ref="J156:K156"/>
    <mergeCell ref="H165:I165"/>
    <mergeCell ref="J171:K171"/>
    <mergeCell ref="B8:D8"/>
    <mergeCell ref="J165:K165"/>
    <mergeCell ref="J155:K155"/>
    <mergeCell ref="B10:D10"/>
    <mergeCell ref="H157:I157"/>
    <mergeCell ref="G9:M9"/>
    <mergeCell ref="B197:N197"/>
    <mergeCell ref="J157:K157"/>
    <mergeCell ref="B9:D9"/>
    <mergeCell ref="G11:M11"/>
    <mergeCell ref="H182:I182"/>
    <mergeCell ref="B5:D5"/>
    <mergeCell ref="J183:K183"/>
    <mergeCell ref="H159:I159"/>
    <mergeCell ref="B193:D193"/>
    <mergeCell ref="G13:M13"/>
    <mergeCell ref="J177:K177"/>
    <mergeCell ref="J169:K169"/>
    <mergeCell ref="J159:K159"/>
    <mergeCell ref="B13:D13"/>
    <mergeCell ref="B15:N15"/>
    <mergeCell ref="J184:K184"/>
    <mergeCell ref="B191:D191"/>
    <mergeCell ref="J186:K186"/>
    <mergeCell ref="H164:I164"/>
    <mergeCell ref="H173:I173"/>
    <mergeCell ref="H188:I188"/>
    <mergeCell ref="B153:N153"/>
    <mergeCell ref="J182:K182"/>
    <mergeCell ref="B192:D192"/>
    <mergeCell ref="B200:N200"/>
    <mergeCell ref="H163:I163"/>
    <mergeCell ref="B16:N16"/>
    <mergeCell ref="J179:K179"/>
    <mergeCell ref="G8:M8"/>
    <mergeCell ref="H187:I187"/>
    <mergeCell ref="J172:K172"/>
    <mergeCell ref="J187:K187"/>
    <mergeCell ref="H174:I174"/>
    <mergeCell ref="B18:N18"/>
    <mergeCell ref="J174:K174"/>
    <mergeCell ref="J168:K168"/>
    <mergeCell ref="H155:I155"/>
    <mergeCell ref="G10:M10"/>
    <mergeCell ref="B2:N2"/>
    <mergeCell ref="H158:I158"/>
    <mergeCell ref="J158:K158"/>
    <mergeCell ref="G6:M6"/>
    <mergeCell ref="H160:I160"/>
    <mergeCell ref="J160:K160"/>
    <mergeCell ref="B12:D12"/>
    <mergeCell ref="B19:N19"/>
    <mergeCell ref="H175:I175"/>
    <mergeCell ref="G5:M5"/>
    <mergeCell ref="H167:I167"/>
    <mergeCell ref="B20:N20"/>
    <mergeCell ref="J167:K167"/>
    <mergeCell ref="H176:I176"/>
    <mergeCell ref="B198:N198"/>
    <mergeCell ref="J176:K176"/>
    <mergeCell ref="J170:K170"/>
    <mergeCell ref="H177:I177"/>
    <mergeCell ref="B4:N4"/>
    <mergeCell ref="H169:I169"/>
    <mergeCell ref="H178:I178"/>
    <mergeCell ref="J178:K178"/>
    <mergeCell ref="J175:K175"/>
    <mergeCell ref="B190:N190"/>
    <mergeCell ref="J162:K162"/>
    <mergeCell ref="B199:N199"/>
    <mergeCell ref="G7:M7"/>
    <mergeCell ref="J164:K164"/>
    <mergeCell ref="B7:D7"/>
    <mergeCell ref="J173:K173"/>
    <mergeCell ref="B194:D194"/>
    <mergeCell ref="B17:N17"/>
    <mergeCell ref="H179:I179"/>
    <mergeCell ref="J188:K188"/>
    <mergeCell ref="B195:D195"/>
  </mergeCells>
  <conditionalFormatting sqref="C1:N203">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1.xml><?xml version="1.0" encoding="utf-8"?>
<worksheet xmlns="http://schemas.openxmlformats.org/spreadsheetml/2006/main">
  <sheetPr>
    <outlinePr summaryBelow="1" summaryRight="1"/>
    <pageSetUpPr fitToPage="1"/>
  </sheetPr>
  <dimension ref="B1:F59"/>
  <sheetViews>
    <sheetView showGridLines="0" workbookViewId="0">
      <selection activeCell="A1" sqref="A1"/>
    </sheetView>
  </sheetViews>
  <sheetFormatPr baseColWidth="8" defaultRowHeight="15"/>
  <cols>
    <col width="1.78" customWidth="1" min="1" max="1"/>
    <col width="58" customWidth="1" min="2" max="2"/>
    <col width="40" customWidth="1" min="3" max="3"/>
    <col width="46" customWidth="1" min="4" max="4"/>
    <col width="10" customWidth="1" min="5" max="5"/>
    <col width="10" customWidth="1" min="6" max="6"/>
  </cols>
  <sheetData>
    <row r="1" ht="26" customHeight="1">
      <c r="B1" s="1" t="inlineStr">
        <is>
          <t>REFERENCIAS — QUÉ DOCUMENTO Y QUÉ PARTE CHECAR</t>
        </is>
      </c>
    </row>
    <row r="2" ht="30" customHeight="1">
      <c r="B2" s="2" t="inlineStr">
        <is>
          <t>Los archivos del proyecto se citan por su tabla o capa; los documentos de Naim por página impresa; las NTC por tema y, cuando se pudo, por sección de la edición 2017 (hay que cotejar contra la 2023).</t>
        </is>
      </c>
    </row>
    <row r="3" ht="21" customHeight="1">
      <c r="B3" s="5" t="inlineStr">
        <is>
          <t>MODELO ETABS — 001_EST_CROCHA_R3.2.e2k</t>
        </is>
      </c>
    </row>
    <row r="4" ht="30" customHeight="1">
      <c r="B4" s="8" t="inlineStr">
        <is>
          <t>Tema</t>
        </is>
      </c>
      <c r="C4" s="8" t="inlineStr">
        <is>
          <t>Documento</t>
        </is>
      </c>
      <c r="D4" s="8" t="inlineStr">
        <is>
          <t>Tabla / capa / página / sección</t>
        </is>
      </c>
      <c r="E4" s="8" t="inlineStr">
        <is>
          <t>—</t>
        </is>
      </c>
      <c r="F4" s="8" t="inlineStr">
        <is>
          <t>—</t>
        </is>
      </c>
    </row>
    <row r="5" ht="26" customHeight="1">
      <c r="B5" s="36" t="inlineStr">
        <is>
          <t>Geometría de tableros, dalas, castillos y muros por nivel</t>
        </is>
      </c>
      <c r="C5" s="36" t="inlineStr">
        <is>
          <t>001_EST_CROCHA_R3.2.e2k</t>
        </is>
      </c>
      <c r="D5" s="13" t="inlineStr">
        <is>
          <t>POINT COORDINATES / LINE CONNECTIVITIES / AREA CONNECTIVITIES / AREA ASSIGNS</t>
        </is>
      </c>
      <c r="E5" s="39" t="inlineStr"/>
      <c r="F5" s="39" t="inlineStr"/>
    </row>
    <row r="6" ht="26" customHeight="1">
      <c r="B6" s="36" t="inlineStr">
        <is>
          <t>Losa LR-25: espesor 0.25 y modificadores F 0.6688, M 0.29915</t>
        </is>
      </c>
      <c r="C6" s="36" t="inlineStr">
        <is>
          <t>001_EST_CROCHA_R3.2.e2k</t>
        </is>
      </c>
      <c r="D6" s="13" t="inlineStr">
        <is>
          <t>SLAB PROPERTIES — SHELLPROP "LR-25"</t>
        </is>
      </c>
      <c r="E6" s="39" t="inlineStr"/>
      <c r="F6" s="39" t="inlineStr"/>
    </row>
    <row r="7" ht="26" customHeight="1">
      <c r="B7" s="36" t="inlineStr">
        <is>
          <t>Concreto f'c = 250 kg/cm², E = 14,000√f'c, γ = 2440 kg/m³</t>
        </is>
      </c>
      <c r="C7" s="36" t="inlineStr">
        <is>
          <t>001_EST_CROCHA_R3.2.e2k</t>
        </is>
      </c>
      <c r="D7" s="13" t="inlineStr">
        <is>
          <t>MATERIAL PROPERTIES — "Concreto f'c=250kg/cm2. Clase 1A"</t>
        </is>
      </c>
      <c r="E7" s="39" t="inlineStr"/>
      <c r="F7" s="39" t="inlineStr"/>
    </row>
    <row r="8" ht="26" customHeight="1">
      <c r="B8" s="36" t="inlineStr">
        <is>
          <t>Peso equivalente de la LR-25: 1503.75 kg/m³</t>
        </is>
      </c>
      <c r="C8" s="36" t="inlineStr">
        <is>
          <t>001_EST_CROCHA_R3.2.e2k</t>
        </is>
      </c>
      <c r="D8" s="13" t="inlineStr">
        <is>
          <t>MATERIAL "Concreto f'c=250kg/cm2. Clase 1A (LR-25 equiv)"</t>
        </is>
      </c>
      <c r="E8" s="39" t="inlineStr"/>
      <c r="F8" s="39" t="inlineStr"/>
    </row>
    <row r="9" ht="18" customHeight="1">
      <c r="B9" s="36" t="inlineStr">
        <is>
          <t>Varilla fy = 4200 kg/cm²</t>
        </is>
      </c>
      <c r="C9" s="36" t="inlineStr">
        <is>
          <t>001_EST_CROCHA_R3.2.e2k</t>
        </is>
      </c>
      <c r="D9" s="13" t="inlineStr">
        <is>
          <t>MATERIAL "Fy=4200"</t>
        </is>
      </c>
      <c r="E9" s="39" t="inlineStr"/>
      <c r="F9" s="39" t="inlineStr"/>
    </row>
    <row r="10" ht="18" customHeight="1">
      <c r="B10" s="36" t="inlineStr">
        <is>
          <t>Sobrecarga y cargas vivas por tablero</t>
        </is>
      </c>
      <c r="C10" s="36" t="inlineStr">
        <is>
          <t>001_EST_CROCHA_R3.2.e2k</t>
        </is>
      </c>
      <c r="D10" s="13" t="inlineStr">
        <is>
          <t>SHELL OBJECT LOADS — AREALOAD</t>
        </is>
      </c>
      <c r="E10" s="39" t="inlineStr"/>
      <c r="F10" s="39" t="inlineStr"/>
    </row>
    <row r="11" ht="18" customHeight="1">
      <c r="B11" s="36" t="inlineStr">
        <is>
          <t>Barandales, muros bajos, pretiles y reacción de la escalera</t>
        </is>
      </c>
      <c r="C11" s="36" t="inlineStr">
        <is>
          <t>001_EST_CROCHA_R3.2.e2k</t>
        </is>
      </c>
      <c r="D11" s="13" t="inlineStr">
        <is>
          <t>FRAME OBJECT LOADS — LINELOAD</t>
        </is>
      </c>
      <c r="E11" s="39" t="inlineStr"/>
      <c r="F11" s="39" t="inlineStr"/>
    </row>
    <row r="12" ht="26" customHeight="1">
      <c r="B12" s="36" t="inlineStr">
        <is>
          <t>Combinaciones 1.3 CM + 1.5 CV (Comb2.2) y 1.5/1.7 (Comb2.1, grupo A)</t>
        </is>
      </c>
      <c r="C12" s="36" t="inlineStr">
        <is>
          <t>001_EST_CROCHA_R3.2.e2k</t>
        </is>
      </c>
      <c r="D12" s="13" t="inlineStr">
        <is>
          <t>LOAD COMBINATIONS</t>
        </is>
      </c>
      <c r="E12" s="39" t="inlineStr"/>
      <c r="F12" s="39" t="inlineStr"/>
    </row>
    <row r="13" ht="18" customHeight="1">
      <c r="B13" s="36" t="inlineStr">
        <is>
          <t>Dalas D-15x20 y vigas VP-15x40 del pergolado</t>
        </is>
      </c>
      <c r="C13" s="36" t="inlineStr">
        <is>
          <t>001_EST_CROCHA_R3.2.e2k</t>
        </is>
      </c>
      <c r="D13" s="13" t="inlineStr">
        <is>
          <t>FRAME SECTIONS / LINE ASSIGNS</t>
        </is>
      </c>
      <c r="E13" s="39" t="inlineStr"/>
      <c r="F13" s="39" t="inlineStr"/>
    </row>
    <row r="14" ht="21" customHeight="1">
      <c r="B14" s="5" t="inlineStr">
        <is>
          <t>PLANOS DXF</t>
        </is>
      </c>
    </row>
    <row r="15" ht="30" customHeight="1">
      <c r="B15" s="8" t="inlineStr">
        <is>
          <t>Tema</t>
        </is>
      </c>
      <c r="C15" s="8" t="inlineStr">
        <is>
          <t>Documento</t>
        </is>
      </c>
      <c r="D15" s="8" t="inlineStr">
        <is>
          <t>Tabla / capa / página / sección</t>
        </is>
      </c>
      <c r="E15" s="8" t="inlineStr">
        <is>
          <t>—</t>
        </is>
      </c>
      <c r="F15" s="8" t="inlineStr">
        <is>
          <t>—</t>
        </is>
      </c>
    </row>
    <row r="16" ht="18" customHeight="1">
      <c r="B16" s="36" t="inlineStr">
        <is>
          <t>Casetón 60×60×20, nervadura 10 cm, capa 5 cm (h = 0.25)</t>
        </is>
      </c>
      <c r="C16" s="36" t="inlineStr">
        <is>
          <t>001_PLANO_CROCHA_R3.0.dxf</t>
        </is>
      </c>
      <c r="D16" s="13" t="inlineStr">
        <is>
          <t>NOTAS DE CORTES, nota 2 (capa 010_Notas)</t>
        </is>
      </c>
      <c r="E16" s="39" t="inlineStr"/>
      <c r="F16" s="39" t="inlineStr"/>
    </row>
    <row r="17" ht="18" customHeight="1">
      <c r="B17" s="36" t="inlineStr">
        <is>
          <t>Azotea: losa reticular, peralte según cálculo</t>
        </is>
      </c>
      <c r="C17" s="36" t="inlineStr">
        <is>
          <t>001_PLANO_CROCHA_R3.0.dxf</t>
        </is>
      </c>
      <c r="D17" s="13" t="inlineStr">
        <is>
          <t>NOTAS DE CORTES, nota 3</t>
        </is>
      </c>
      <c r="E17" s="39" t="inlineStr"/>
      <c r="F17" s="39" t="inlineStr"/>
    </row>
    <row r="18" ht="26" customHeight="1">
      <c r="B18" s="36" t="inlineStr">
        <is>
          <t>Vacío de doble altura, vacío de escalera, tragaluces</t>
        </is>
      </c>
      <c r="C18" s="36" t="inlineStr">
        <is>
          <t>001_PLANO_CROCHA_R3.0.dxf</t>
        </is>
      </c>
      <c r="D18" s="13" t="inlineStr">
        <is>
          <t>Capa 004_Vacios, plantas PRIMER NIVEL y AZOTEA</t>
        </is>
      </c>
      <c r="E18" s="39" t="inlineStr"/>
      <c r="F18" s="39" t="inlineStr"/>
    </row>
    <row r="19" ht="18" customHeight="1">
      <c r="B19" s="36" t="inlineStr">
        <is>
          <t>Escalera curva (cubo de escalera)</t>
        </is>
      </c>
      <c r="C19" s="36" t="inlineStr">
        <is>
          <t>001_PLANO_CROCHA_R3.0.dxf</t>
        </is>
      </c>
      <c r="D19" s="13" t="inlineStr">
        <is>
          <t>Capa 005_Escalera</t>
        </is>
      </c>
      <c r="E19" s="39" t="inlineStr"/>
      <c r="F19" s="39" t="inlineStr"/>
    </row>
    <row r="20" ht="18" customHeight="1">
      <c r="B20" s="36" t="inlineStr">
        <is>
          <t>Cochera de 8.70 m libres (muros sólo en A y J)</t>
        </is>
      </c>
      <c r="C20" s="36" t="inlineStr">
        <is>
          <t>001_PLANO_CROCHA_R3.0.dxf</t>
        </is>
      </c>
      <c r="D20" s="13" t="inlineStr">
        <is>
          <t>Capa 001_Muros, PLANTA BAJA</t>
        </is>
      </c>
      <c r="E20" s="39" t="inlineStr"/>
      <c r="F20" s="39" t="inlineStr"/>
    </row>
    <row r="21" ht="18" customHeight="1">
      <c r="B21" s="36" t="inlineStr">
        <is>
          <t>Tableros y áreas tributarias a 45°</t>
        </is>
      </c>
      <c r="C21" s="36" t="inlineStr">
        <is>
          <t>AREAS_TRIBUTARIAS_R3.2.dxf</t>
        </is>
      </c>
      <c r="D21" s="13" t="inlineStr">
        <is>
          <t>Capas TRIB_TABLERO, TRIB_AREA, TRIB_HUECO</t>
        </is>
      </c>
      <c r="E21" s="39" t="inlineStr"/>
      <c r="F21" s="39" t="inlineStr"/>
    </row>
    <row r="22" ht="21" customHeight="1">
      <c r="B22" s="5" t="inlineStr">
        <is>
          <t>DOCUMENTOS DE NAIM (página impresa)</t>
        </is>
      </c>
    </row>
    <row r="23" ht="30" customHeight="1">
      <c r="B23" s="8" t="inlineStr">
        <is>
          <t>Tema</t>
        </is>
      </c>
      <c r="C23" s="8" t="inlineStr">
        <is>
          <t>Documento</t>
        </is>
      </c>
      <c r="D23" s="8" t="inlineStr">
        <is>
          <t>Tabla / capa / página / sección</t>
        </is>
      </c>
      <c r="E23" s="8" t="inlineStr">
        <is>
          <t>—</t>
        </is>
      </c>
      <c r="F23" s="8" t="inlineStr">
        <is>
          <t>—</t>
        </is>
      </c>
    </row>
    <row r="24" ht="26" customHeight="1">
      <c r="B24" s="36" t="inlineStr">
        <is>
          <t>Normas usadas: NTC-2023 concreto, mampostería, acero; MOC-CFE sismo 2015</t>
        </is>
      </c>
      <c r="C24" s="36" t="inlineStr">
        <is>
          <t>Naim — CASA HABITACIÓN, MEMORIA DE CÁLCULO (sep-2024)</t>
        </is>
      </c>
      <c r="D24" s="13" t="inlineStr">
        <is>
          <t>pág. 3</t>
        </is>
      </c>
      <c r="E24" s="39" t="inlineStr"/>
      <c r="F24" s="39" t="inlineStr"/>
    </row>
    <row r="25" ht="18" customHeight="1">
      <c r="B25" s="36" t="inlineStr">
        <is>
          <t>Materiales: f'c 250, fy 4200, f'm 15</t>
        </is>
      </c>
      <c r="C25" s="36" t="inlineStr">
        <is>
          <t>Naim — CASA HABITACIÓN, MEMORIA DE CÁLCULO (sep-2024)</t>
        </is>
      </c>
      <c r="D25" s="13" t="inlineStr">
        <is>
          <t>pág. 4</t>
        </is>
      </c>
      <c r="E25" s="39" t="inlineStr"/>
      <c r="F25" s="39" t="inlineStr"/>
    </row>
    <row r="26" ht="26" customHeight="1">
      <c r="B26" s="36" t="inlineStr">
        <is>
          <t>Cargas muertas de entrepiso (0.33 t/m²) y azotea (0.29 t/m²); carga viva de habitación</t>
        </is>
      </c>
      <c r="C26" s="36" t="inlineStr">
        <is>
          <t>Naim — CASA HABITACIÓN, MEMORIA DE CÁLCULO (sep-2024)</t>
        </is>
      </c>
      <c r="D26" s="13" t="inlineStr">
        <is>
          <t>pág. 5</t>
        </is>
      </c>
      <c r="E26" s="39" t="inlineStr"/>
      <c r="F26" s="39" t="inlineStr"/>
    </row>
    <row r="27" ht="18" customHeight="1">
      <c r="B27" s="36" t="inlineStr">
        <is>
          <t>Carga viva de azotea con pendiente ≤ 5%</t>
        </is>
      </c>
      <c r="C27" s="36" t="inlineStr">
        <is>
          <t>Naim — CASA HABITACIÓN, MEMORIA DE CÁLCULO (sep-2024)</t>
        </is>
      </c>
      <c r="D27" s="13" t="inlineStr">
        <is>
          <t>pág. 6</t>
        </is>
      </c>
      <c r="E27" s="39" t="inlineStr"/>
      <c r="F27" s="39" t="inlineStr"/>
    </row>
    <row r="28" ht="26" customHeight="1">
      <c r="B28" s="36" t="inlineStr">
        <is>
          <t>Factores 1.3 permanentes / 1.5 variables, estructura grupo B</t>
        </is>
      </c>
      <c r="C28" s="36" t="inlineStr">
        <is>
          <t>Naim — CASA HABITACIÓN, MEMORIA DE CÁLCULO (sep-2024)</t>
        </is>
      </c>
      <c r="D28" s="13" t="inlineStr">
        <is>
          <t>pág. 8 (lista de combinaciones en pág. 9)</t>
        </is>
      </c>
      <c r="E28" s="39" t="inlineStr"/>
      <c r="F28" s="39" t="inlineStr"/>
    </row>
    <row r="29" ht="26" customHeight="1">
      <c r="B29" s="36" t="inlineStr">
        <is>
          <t>Tabla de nervaduras: recubrimiento 2 cm, MR y VcR de cada nervadura (con eso se verificaron las fórmulas)</t>
        </is>
      </c>
      <c r="C29" s="36" t="inlineStr">
        <is>
          <t>Naim — CASA HABITACIÓN, MEMORIA DE CÁLCULO (sep-2024)</t>
        </is>
      </c>
      <c r="D29" s="13" t="inlineStr">
        <is>
          <t>pág. 13</t>
        </is>
      </c>
      <c r="E29" s="39" t="inlineStr"/>
      <c r="F29" s="39" t="inlineStr"/>
    </row>
    <row r="30" ht="18" customHeight="1">
      <c r="B30" s="36" t="inlineStr">
        <is>
          <t>FR = 0.9 en flexión y As mín = 0.7√f'c/fy·b·d</t>
        </is>
      </c>
      <c r="C30" s="36" t="inlineStr">
        <is>
          <t>Naim — 21-03 MEMORIA DE CÁLCULO (jul-2021)</t>
        </is>
      </c>
      <c r="D30" s="13" t="inlineStr">
        <is>
          <t>pág. 13</t>
        </is>
      </c>
      <c r="E30" s="39" t="inlineStr"/>
      <c r="F30" s="39" t="inlineStr"/>
    </row>
    <row r="31" ht="26" customHeight="1">
      <c r="B31" s="36" t="inlineStr">
        <is>
          <t>Detalle de nervadura principal/secundaria, malla 6x6-10/10, tabla de nervaduras</t>
        </is>
      </c>
      <c r="C31" s="36" t="inlineStr">
        <is>
          <t>Naim — CASA HABITACIÓN, PLANOS EST-01 a EST-06</t>
        </is>
      </c>
      <c r="D31" s="13" t="inlineStr">
        <is>
          <t>EST-03, EST-04 y EST-05</t>
        </is>
      </c>
      <c r="E31" s="39" t="inlineStr"/>
      <c r="F31" s="39" t="inlineStr"/>
    </row>
    <row r="32" ht="26" customHeight="1">
      <c r="B32" s="36" t="inlineStr">
        <is>
          <t>Mallas con Fy = 5000 kg/cm²; recubrimiento de 2 cm en losas y dalas</t>
        </is>
      </c>
      <c r="C32" s="36" t="inlineStr">
        <is>
          <t>Naim — EST CASA YÉPEZ</t>
        </is>
      </c>
      <c r="D32" s="13" t="inlineStr">
        <is>
          <t>Notas 1.2 y 1.2.2</t>
        </is>
      </c>
      <c r="E32" s="39" t="inlineStr"/>
      <c r="F32" s="39" t="inlineStr"/>
    </row>
    <row r="33" ht="21" customHeight="1">
      <c r="B33" s="5" t="inlineStr">
        <is>
          <t>NTC-Concreto 2023 (CDMX) — CITADA POR TEMA (cotejar numeración)</t>
        </is>
      </c>
    </row>
    <row r="34" ht="30" customHeight="1">
      <c r="B34" s="8" t="inlineStr">
        <is>
          <t>Tema</t>
        </is>
      </c>
      <c r="C34" s="8" t="inlineStr">
        <is>
          <t>Documento</t>
        </is>
      </c>
      <c r="D34" s="8" t="inlineStr">
        <is>
          <t>Tabla / capa / página / sección</t>
        </is>
      </c>
      <c r="E34" s="8" t="inlineStr">
        <is>
          <t>—</t>
        </is>
      </c>
      <c r="F34" s="8" t="inlineStr">
        <is>
          <t>—</t>
        </is>
      </c>
    </row>
    <row r="35" ht="26" customHeight="1">
      <c r="B35" s="36" t="inlineStr">
        <is>
          <t>Factores de resistencia: 0.9 flexión, 0.75 cortante</t>
        </is>
      </c>
      <c r="C35" s="36" t="inlineStr">
        <is>
          <t>NTC-Concreto 2023 (CDMX)</t>
        </is>
      </c>
      <c r="D35" s="13" t="inlineStr">
        <is>
          <t>Factores de resistencia (§3.7 en la edición 2017)</t>
        </is>
      </c>
      <c r="E35" s="39" t="inlineStr"/>
      <c r="F35" s="39" t="inlineStr"/>
    </row>
    <row r="36" ht="18" customHeight="1">
      <c r="B36" s="36" t="inlineStr">
        <is>
          <t>Hipótesis de flexión: f''c = 0.85 f'c, β1</t>
        </is>
      </c>
      <c r="C36" s="36" t="inlineStr">
        <is>
          <t>NTC-Concreto 2023 (CDMX)</t>
        </is>
      </c>
      <c r="D36" s="13" t="inlineStr">
        <is>
          <t>Hipótesis para resistencia a flexión</t>
        </is>
      </c>
      <c r="E36" s="39" t="inlineStr"/>
      <c r="F36" s="39" t="inlineStr"/>
    </row>
    <row r="37" ht="18" customHeight="1">
      <c r="B37" s="36" t="inlineStr">
        <is>
          <t>Refuerzo mínimo 0.7√f'c/fy·b·d</t>
        </is>
      </c>
      <c r="C37" s="36" t="inlineStr">
        <is>
          <t>NTC-Concreto 2023 (CDMX)</t>
        </is>
      </c>
      <c r="D37" s="13" t="inlineStr">
        <is>
          <t>Refuerzo mínimo de tensión</t>
        </is>
      </c>
      <c r="E37" s="39" t="inlineStr"/>
      <c r="F37" s="39" t="inlineStr"/>
    </row>
    <row r="38" ht="18" customHeight="1">
      <c r="B38" s="36" t="inlineStr">
        <is>
          <t>Refuerzo máximo como fracción de la cuantía balanceada</t>
        </is>
      </c>
      <c r="C38" s="36" t="inlineStr">
        <is>
          <t>NTC-Concreto 2023 (CDMX)</t>
        </is>
      </c>
      <c r="D38" s="13" t="inlineStr">
        <is>
          <t>Refuerzo máximo de tensión</t>
        </is>
      </c>
      <c r="E38" s="39" t="inlineStr"/>
      <c r="F38" s="39" t="inlineStr"/>
    </row>
    <row r="39" ht="26" customHeight="1">
      <c r="B39" s="36" t="inlineStr">
        <is>
          <t>V_cR = F_R(0.2 + 20p)√f'c·b·d (p &lt; 0.015) y 0.5F_R√f'c·b·d</t>
        </is>
      </c>
      <c r="C39" s="36" t="inlineStr">
        <is>
          <t>NTC-Concreto 2023 (CDMX)</t>
        </is>
      </c>
      <c r="D39" s="13" t="inlineStr">
        <is>
          <t>Fuerza cortante que toma el concreto (§5.3.3.1 en la edición 2017)</t>
        </is>
      </c>
      <c r="E39" s="39" t="inlineStr"/>
      <c r="F39" s="39" t="inlineStr"/>
    </row>
    <row r="40" ht="26" customHeight="1">
      <c r="B40" s="36" t="inlineStr">
        <is>
          <t>Losas apoyadas en su perímetro: coeficientes, peralte mínimo, cortante</t>
        </is>
      </c>
      <c r="C40" s="36" t="inlineStr">
        <is>
          <t>NTC-Concreto 2023 (CDMX)</t>
        </is>
      </c>
      <c r="D40" s="13" t="inlineStr">
        <is>
          <t>§7.5 en la edición 2017 (estructuras de ductilidad baja)</t>
        </is>
      </c>
      <c r="E40" s="39" t="inlineStr"/>
      <c r="F40" s="39" t="inlineStr"/>
    </row>
    <row r="41" ht="26" customHeight="1">
      <c r="B41" s="36" t="inlineStr">
        <is>
          <t>Losas encasetonadas: separación de nervaduras ≤ claro/6 para tratarlas como macizas</t>
        </is>
      </c>
      <c r="C41" s="36" t="inlineStr">
        <is>
          <t>NTC-Concreto 2023 (CDMX)</t>
        </is>
      </c>
      <c r="D41" s="13" t="inlineStr">
        <is>
          <t>§7.5.4 en la edición 2017</t>
        </is>
      </c>
      <c r="E41" s="39" t="inlineStr"/>
      <c r="F41" s="39" t="inlineStr"/>
    </row>
    <row r="42" ht="26" customHeight="1">
      <c r="B42" s="36" t="inlineStr">
        <is>
          <t>Tabla de coeficientes de momento, franjas centrales, caso I</t>
        </is>
      </c>
      <c r="C42" s="36" t="inlineStr">
        <is>
          <t>NTC-Concreto 2023 (CDMX)</t>
        </is>
      </c>
      <c r="D42" s="13" t="inlineStr">
        <is>
          <t>Tabla de coeficientes de momentos para tableros rectangulares</t>
        </is>
      </c>
      <c r="E42" s="39" t="inlineStr"/>
      <c r="F42" s="39" t="inlineStr"/>
    </row>
    <row r="43" ht="18" customHeight="1">
      <c r="B43" s="36" t="inlineStr">
        <is>
          <t>Refuerzo por cambios volumétricos a_s1 = 660x1/(fy(x1+100))</t>
        </is>
      </c>
      <c r="C43" s="36" t="inlineStr">
        <is>
          <t>NTC-Concreto 2023 (CDMX)</t>
        </is>
      </c>
      <c r="D43" s="13" t="inlineStr">
        <is>
          <t>Refuerzo por cambios volumétricos</t>
        </is>
      </c>
      <c r="E43" s="39" t="inlineStr"/>
      <c r="F43" s="39" t="inlineStr"/>
    </row>
    <row r="44" ht="18" customHeight="1">
      <c r="B44" s="36" t="inlineStr">
        <is>
          <t>Módulo de elasticidad 14,000√f'c (clase 1)</t>
        </is>
      </c>
      <c r="C44" s="36" t="inlineStr">
        <is>
          <t>NTC-Concreto 2023 (CDMX)</t>
        </is>
      </c>
      <c r="D44" s="13" t="inlineStr">
        <is>
          <t>Materiales — concreto clase 1</t>
        </is>
      </c>
      <c r="E44" s="39" t="inlineStr"/>
      <c r="F44" s="39" t="inlineStr"/>
    </row>
    <row r="45" ht="21" customHeight="1">
      <c r="B45" s="5" t="inlineStr">
        <is>
          <t>NTC-CRITERIOS Y ACCIONES 2023 Y NTC-MAMPOSTERÍA 2023</t>
        </is>
      </c>
    </row>
    <row r="46" ht="30" customHeight="1">
      <c r="B46" s="8" t="inlineStr">
        <is>
          <t>Tema</t>
        </is>
      </c>
      <c r="C46" s="8" t="inlineStr">
        <is>
          <t>Documento</t>
        </is>
      </c>
      <c r="D46" s="8" t="inlineStr">
        <is>
          <t>Tabla / capa / página / sección</t>
        </is>
      </c>
      <c r="E46" s="8" t="inlineStr">
        <is>
          <t>—</t>
        </is>
      </c>
      <c r="F46" s="8" t="inlineStr">
        <is>
          <t>—</t>
        </is>
      </c>
    </row>
    <row r="47" ht="18" customHeight="1">
      <c r="B47" s="36" t="inlineStr">
        <is>
          <t>Combinaciones: 1.3 permanentes + 1.5 variables (grupo B)</t>
        </is>
      </c>
      <c r="C47" s="36" t="inlineStr">
        <is>
          <t>NTC-Criterios y Acciones 2023 (CDMX)</t>
        </is>
      </c>
      <c r="D47" s="13" t="inlineStr">
        <is>
          <t>Factores de carga</t>
        </is>
      </c>
      <c r="E47" s="39" t="inlineStr"/>
      <c r="F47" s="39" t="inlineStr"/>
    </row>
    <row r="48" ht="26" customHeight="1">
      <c r="B48" s="36" t="inlineStr">
        <is>
          <t>Cargas vivas unitarias: habitación 190/100/80; azotea ≤ 5%: 100/70/15</t>
        </is>
      </c>
      <c r="C48" s="36" t="inlineStr">
        <is>
          <t>NTC-Criterios y Acciones 2023 (CDMX)</t>
        </is>
      </c>
      <c r="D48" s="13" t="inlineStr">
        <is>
          <t>Tabla de cargas vivas unitarias</t>
        </is>
      </c>
      <c r="E48" s="39" t="inlineStr"/>
      <c r="F48" s="39" t="inlineStr"/>
    </row>
    <row r="49" ht="26" customHeight="1">
      <c r="B49" s="36" t="inlineStr">
        <is>
          <t>Muros confinados: dalas en los extremos horizontales y castillos con refuerzo anclado</t>
        </is>
      </c>
      <c r="C49" s="36" t="inlineStr">
        <is>
          <t>NTC-Mampostería 2023 (CDMX)</t>
        </is>
      </c>
      <c r="D49" s="13" t="inlineStr">
        <is>
          <t>Muros confinados — castillos y dalas</t>
        </is>
      </c>
      <c r="E49" s="39" t="inlineStr"/>
      <c r="F49" s="39" t="inlineStr"/>
    </row>
    <row r="50" ht="26" customHeight="1">
      <c r="B50" s="36" t="inlineStr">
        <is>
          <t>Revisión de muros a compresión con la carga de la hoja MUROS</t>
        </is>
      </c>
      <c r="C50" s="36" t="inlineStr">
        <is>
          <t>NTC-Mampostería 2023 (CDMX)</t>
        </is>
      </c>
      <c r="D50" s="13" t="inlineStr">
        <is>
          <t>Resistencia a compresión de muros confinados</t>
        </is>
      </c>
      <c r="E50" s="39" t="inlineStr"/>
      <c r="F50" s="39" t="inlineStr"/>
    </row>
    <row r="51" ht="21" customHeight="1">
      <c r="B51" s="5" t="inlineStr">
        <is>
          <t>ACI 318-19 — SÓLO COMO COMPLEMENTO</t>
        </is>
      </c>
    </row>
    <row r="52" ht="30" customHeight="1">
      <c r="B52" s="8" t="inlineStr">
        <is>
          <t>Tema</t>
        </is>
      </c>
      <c r="C52" s="8" t="inlineStr">
        <is>
          <t>Documento</t>
        </is>
      </c>
      <c r="D52" s="8" t="inlineStr">
        <is>
          <t>Tabla / capa / página / sección</t>
        </is>
      </c>
      <c r="E52" s="8" t="inlineStr">
        <is>
          <t>—</t>
        </is>
      </c>
      <c r="F52" s="8" t="inlineStr">
        <is>
          <t>—</t>
        </is>
      </c>
    </row>
    <row r="53" ht="26" customHeight="1">
      <c r="B53" s="36" t="inlineStr">
        <is>
          <t>Límites de nervaduras: b_w ≥ 10 cm, h ≤ 3.5 b_w, separación libre ≤ 75 cm</t>
        </is>
      </c>
      <c r="C53" s="36" t="inlineStr">
        <is>
          <t>ACI 318-19</t>
        </is>
      </c>
      <c r="D53" s="13" t="inlineStr">
        <is>
          <t>§8.8.1.2 a §8.8.1.4</t>
        </is>
      </c>
      <c r="E53" s="39" t="inlineStr"/>
      <c r="F53" s="39" t="inlineStr"/>
    </row>
    <row r="54" ht="18" customHeight="1">
      <c r="B54" s="36" t="inlineStr">
        <is>
          <t>Incremento de 10% en Vc de nervaduras (aquí no se usa)</t>
        </is>
      </c>
      <c r="C54" s="36" t="inlineStr">
        <is>
          <t>ACI 318-19</t>
        </is>
      </c>
      <c r="D54" s="13" t="inlineStr">
        <is>
          <t>§8.8.1.5</t>
        </is>
      </c>
      <c r="E54" s="39" t="inlineStr"/>
      <c r="F54" s="39" t="inlineStr"/>
    </row>
    <row r="55" ht="18" customHeight="1">
      <c r="B55" s="36" t="inlineStr">
        <is>
          <t>Extensión mínima de refuerzo negativo (0.30·ℓn)</t>
        </is>
      </c>
      <c r="C55" s="36" t="inlineStr">
        <is>
          <t>ACI 318-19</t>
        </is>
      </c>
      <c r="D55" s="13" t="inlineStr">
        <is>
          <t>Fig. 8.7.4.1.3</t>
        </is>
      </c>
      <c r="E55" s="39" t="inlineStr"/>
      <c r="F55" s="39" t="inlineStr"/>
    </row>
    <row r="56" ht="18" customHeight="1">
      <c r="B56" s="36" t="inlineStr">
        <is>
          <t>Peraltes mínimos de vigas: ℓ/16 apoyada, ℓ/8 volado</t>
        </is>
      </c>
      <c r="C56" s="36" t="inlineStr">
        <is>
          <t>ACI 318-19</t>
        </is>
      </c>
      <c r="D56" s="13" t="inlineStr">
        <is>
          <t>Tabla 9.3.1.1</t>
        </is>
      </c>
      <c r="E56" s="39" t="inlineStr"/>
      <c r="F56" s="39" t="inlineStr"/>
    </row>
    <row r="57" ht="18" customHeight="1">
      <c r="B57" s="36" t="inlineStr">
        <is>
          <t>Estribos mínimos</t>
        </is>
      </c>
      <c r="C57" s="36" t="inlineStr">
        <is>
          <t>ACI 318-19</t>
        </is>
      </c>
      <c r="D57" s="13" t="inlineStr">
        <is>
          <t>§9.6.3.4</t>
        </is>
      </c>
      <c r="E57" s="39" t="inlineStr"/>
      <c r="F57" s="39" t="inlineStr"/>
    </row>
    <row r="58" ht="18" customHeight="1">
      <c r="B58" s="36" t="inlineStr">
        <is>
          <t>Límite de la sección por cortante: Vs ≤ 2.12√f'c·b·d</t>
        </is>
      </c>
      <c r="C58" s="36" t="inlineStr">
        <is>
          <t>ACI 318-19</t>
        </is>
      </c>
      <c r="D58" s="13" t="inlineStr">
        <is>
          <t>§22.5.1.2</t>
        </is>
      </c>
      <c r="E58" s="39" t="inlineStr"/>
      <c r="F58" s="39" t="inlineStr"/>
    </row>
    <row r="59" ht="18" customHeight="1">
      <c r="B59" s="36" t="inlineStr">
        <is>
          <t>Separación libre mínima entre varillas</t>
        </is>
      </c>
      <c r="C59" s="36" t="inlineStr">
        <is>
          <t>ACI 318-19</t>
        </is>
      </c>
      <c r="D59" s="13" t="inlineStr">
        <is>
          <t>§25.2.1</t>
        </is>
      </c>
      <c r="E59" s="39" t="inlineStr"/>
      <c r="F59" s="39" t="inlineStr"/>
    </row>
  </sheetData>
  <mergeCells count="8">
    <mergeCell ref="B2:F2"/>
    <mergeCell ref="B33:F33"/>
    <mergeCell ref="B3:F3"/>
    <mergeCell ref="B51:F51"/>
    <mergeCell ref="B45:F45"/>
    <mergeCell ref="B22:F22"/>
    <mergeCell ref="B14:F14"/>
    <mergeCell ref="B1:F1"/>
  </mergeCells>
  <pageMargins left="0.75" right="0.75" top="1" bottom="1" header="0.5" footer="0.5"/>
  <pageSetup orientation="landscape" paperSize="1" fitToHeight="0" fitToWidth="1"/>
</worksheet>
</file>

<file path=xl/worksheets/sheet12.xml><?xml version="1.0" encoding="utf-8"?>
<worksheet xmlns="http://schemas.openxmlformats.org/spreadsheetml/2006/main">
  <sheetPr>
    <outlinePr summaryBelow="1" summaryRight="1"/>
    <pageSetUpPr fitToPage="1"/>
  </sheetPr>
  <dimension ref="B1:K79"/>
  <sheetViews>
    <sheetView showGridLines="0" workbookViewId="0">
      <selection activeCell="A1" sqref="A1"/>
    </sheetView>
  </sheetViews>
  <sheetFormatPr baseColWidth="8" defaultRowHeight="15"/>
  <cols>
    <col width="1.78" customWidth="1" min="1" max="1"/>
    <col width="24" customWidth="1" min="2" max="2"/>
    <col width="58" customWidth="1" min="3" max="3"/>
    <col width="12" customWidth="1" min="4" max="4"/>
    <col width="12" customWidth="1" min="5" max="5"/>
    <col width="8" customWidth="1" min="6" max="6"/>
    <col width="8" customWidth="1" min="7" max="7"/>
    <col width="8" customWidth="1" min="8" max="8"/>
    <col width="8" customWidth="1" min="9" max="9"/>
    <col width="8" customWidth="1" min="10" max="10"/>
    <col width="40" customWidth="1" min="11" max="11"/>
  </cols>
  <sheetData>
    <row r="1" ht="26" customHeight="1">
      <c r="B1" s="1" t="inlineStr">
        <is>
          <t>TABLAS — COEFICIENTES, VARILLAS, MALLAS Y LISTAS</t>
        </is>
      </c>
    </row>
    <row r="2" ht="18" customHeight="1">
      <c r="B2" s="2" t="inlineStr">
        <is>
          <t>Tablas auxiliares. Todas las hojas leen de aquí con INDEX/MATCH: si cambias un número aquí, cambia en todo el libro.</t>
        </is>
      </c>
    </row>
    <row r="4" ht="21" customHeight="1">
      <c r="B4" s="5" t="inlineStr">
        <is>
          <t>A. COEFICIENTES DE MOMENTO PARA TABLEROS RECTANGULARES, FRANJAS CENTRALES — CASO I (LOSA COLADA MONOLÍTICAMENTE CON SUS APOYOS) · ×10⁻⁴·w·a1²</t>
        </is>
      </c>
    </row>
    <row r="5">
      <c r="B5" s="8" t="inlineStr">
        <is>
          <t>Clave</t>
        </is>
      </c>
      <c r="C5" s="8" t="inlineStr">
        <is>
          <t>Caso — momento  (m = a1/a2 →)</t>
        </is>
      </c>
      <c r="D5" s="80" t="n">
        <v>0</v>
      </c>
      <c r="E5" s="80" t="n">
        <v>0.5</v>
      </c>
      <c r="F5" s="80" t="n">
        <v>0.6</v>
      </c>
      <c r="G5" s="80" t="n">
        <v>0.7</v>
      </c>
      <c r="H5" s="80" t="n">
        <v>0.8</v>
      </c>
      <c r="I5" s="80" t="n">
        <v>0.9</v>
      </c>
      <c r="J5" s="80" t="n">
        <v>1</v>
      </c>
      <c r="K5" s="8" t="inlineStr">
        <is>
          <t>Referencia</t>
        </is>
      </c>
    </row>
    <row r="6">
      <c r="B6" s="42" t="inlineStr">
        <is>
          <t>INTERIOR|NIC</t>
        </is>
      </c>
      <c r="C6" s="42" t="inlineStr">
        <is>
          <t>Interior — todos los bordes continuos — negativo en bordes continuos, claro corto</t>
        </is>
      </c>
      <c r="D6" s="55" t="n">
        <v>998</v>
      </c>
      <c r="E6" s="55" t="n">
        <v>553</v>
      </c>
      <c r="F6" s="55" t="n">
        <v>489</v>
      </c>
      <c r="G6" s="55" t="n">
        <v>432</v>
      </c>
      <c r="H6" s="55" t="n">
        <v>381</v>
      </c>
      <c r="I6" s="55" t="n">
        <v>333</v>
      </c>
      <c r="J6" s="55" t="n">
        <v>288</v>
      </c>
      <c r="K6" s="71" t="inlineStr">
        <is>
          <t>NTC-Concreto 2023 (CDMX) · Tabla de coeficientes de momentos flexionantes para tableros rectangulares, franjas centrales, caso I (COTEJAR)</t>
        </is>
      </c>
    </row>
    <row r="7">
      <c r="B7" s="42" t="inlineStr">
        <is>
          <t>INTERIOR|NIL</t>
        </is>
      </c>
      <c r="C7" s="42" t="inlineStr">
        <is>
          <t>Interior — todos los bordes continuos — negativo en bordes continuos, claro largo</t>
        </is>
      </c>
      <c r="D7" s="55" t="n">
        <v>516</v>
      </c>
      <c r="E7" s="55" t="n">
        <v>409</v>
      </c>
      <c r="F7" s="55" t="n">
        <v>391</v>
      </c>
      <c r="G7" s="55" t="n">
        <v>371</v>
      </c>
      <c r="H7" s="55" t="n">
        <v>347</v>
      </c>
      <c r="I7" s="55" t="n">
        <v>320</v>
      </c>
      <c r="J7" s="55" t="n">
        <v>288</v>
      </c>
      <c r="K7" s="71" t="inlineStr">
        <is>
          <t>NTC-Concreto 2023 (CDMX) · Tabla de coeficientes de momentos flexionantes para tableros rectangulares, franjas centrales, caso I (COTEJAR)</t>
        </is>
      </c>
    </row>
    <row r="8">
      <c r="B8" s="42" t="inlineStr">
        <is>
          <t>INTERIOR|NDC</t>
        </is>
      </c>
      <c r="C8" s="42" t="inlineStr">
        <is>
          <t>Interior — todos los bordes continuos — negativo en bordes discontinuos, claro corto</t>
        </is>
      </c>
      <c r="D8" s="55" t="n">
        <v>0</v>
      </c>
      <c r="E8" s="55" t="n">
        <v>0</v>
      </c>
      <c r="F8" s="55" t="n">
        <v>0</v>
      </c>
      <c r="G8" s="55" t="n">
        <v>0</v>
      </c>
      <c r="H8" s="55" t="n">
        <v>0</v>
      </c>
      <c r="I8" s="55" t="n">
        <v>0</v>
      </c>
      <c r="J8" s="55" t="n">
        <v>0</v>
      </c>
      <c r="K8" s="71" t="inlineStr">
        <is>
          <t>NTC-Concreto 2023 (CDMX) · Tabla de coeficientes de momentos flexionantes para tableros rectangulares, franjas centrales, caso I (COTEJAR)</t>
        </is>
      </c>
    </row>
    <row r="9">
      <c r="B9" s="42" t="inlineStr">
        <is>
          <t>INTERIOR|NDL</t>
        </is>
      </c>
      <c r="C9" s="42" t="inlineStr">
        <is>
          <t>Interior — todos los bordes continuos — negativo en bordes discontinuos, claro largo</t>
        </is>
      </c>
      <c r="D9" s="55" t="n">
        <v>0</v>
      </c>
      <c r="E9" s="55" t="n">
        <v>0</v>
      </c>
      <c r="F9" s="55" t="n">
        <v>0</v>
      </c>
      <c r="G9" s="55" t="n">
        <v>0</v>
      </c>
      <c r="H9" s="55" t="n">
        <v>0</v>
      </c>
      <c r="I9" s="55" t="n">
        <v>0</v>
      </c>
      <c r="J9" s="55" t="n">
        <v>0</v>
      </c>
      <c r="K9" s="71" t="inlineStr">
        <is>
          <t>NTC-Concreto 2023 (CDMX) · Tabla de coeficientes de momentos flexionantes para tableros rectangulares, franjas centrales, caso I (COTEJAR)</t>
        </is>
      </c>
    </row>
    <row r="10">
      <c r="B10" s="42" t="inlineStr">
        <is>
          <t>INTERIOR|PC</t>
        </is>
      </c>
      <c r="C10" s="42" t="inlineStr">
        <is>
          <t>Interior — todos los bordes continuos — positivo, claro corto</t>
        </is>
      </c>
      <c r="D10" s="55" t="n">
        <v>630</v>
      </c>
      <c r="E10" s="55" t="n">
        <v>312</v>
      </c>
      <c r="F10" s="55" t="n">
        <v>268</v>
      </c>
      <c r="G10" s="55" t="n">
        <v>228</v>
      </c>
      <c r="H10" s="55" t="n">
        <v>192</v>
      </c>
      <c r="I10" s="55" t="n">
        <v>158</v>
      </c>
      <c r="J10" s="55" t="n">
        <v>130</v>
      </c>
      <c r="K10" s="71" t="inlineStr">
        <is>
          <t>NTC-Concreto 2023 (CDMX) · Tabla de coeficientes de momentos flexionantes para tableros rectangulares, franjas centrales, caso I (COTEJAR)</t>
        </is>
      </c>
    </row>
    <row r="11">
      <c r="B11" s="42" t="inlineStr">
        <is>
          <t>INTERIOR|PL</t>
        </is>
      </c>
      <c r="C11" s="42" t="inlineStr">
        <is>
          <t>Interior — todos los bordes continuos — positivo, claro largo</t>
        </is>
      </c>
      <c r="D11" s="55" t="n">
        <v>175</v>
      </c>
      <c r="E11" s="55" t="n">
        <v>139</v>
      </c>
      <c r="F11" s="55" t="n">
        <v>134</v>
      </c>
      <c r="G11" s="55" t="n">
        <v>130</v>
      </c>
      <c r="H11" s="55" t="n">
        <v>128</v>
      </c>
      <c r="I11" s="55" t="n">
        <v>127</v>
      </c>
      <c r="J11" s="55" t="n">
        <v>130</v>
      </c>
      <c r="K11" s="71" t="inlineStr">
        <is>
          <t>NTC-Concreto 2023 (CDMX) · Tabla de coeficientes de momentos flexionantes para tableros rectangulares, franjas centrales, caso I (COTEJAR)</t>
        </is>
      </c>
    </row>
    <row r="12">
      <c r="B12" s="42" t="inlineStr">
        <is>
          <t>BORDE-CORTO|NIC</t>
        </is>
      </c>
      <c r="C12" s="42" t="inlineStr">
        <is>
          <t>De borde — un lado corto discontinuo — negativo en bordes continuos, claro corto</t>
        </is>
      </c>
      <c r="D12" s="55" t="n">
        <v>998</v>
      </c>
      <c r="E12" s="55" t="n">
        <v>568</v>
      </c>
      <c r="F12" s="55" t="n">
        <v>506</v>
      </c>
      <c r="G12" s="55" t="n">
        <v>451</v>
      </c>
      <c r="H12" s="55" t="n">
        <v>403</v>
      </c>
      <c r="I12" s="55" t="n">
        <v>357</v>
      </c>
      <c r="J12" s="55" t="n">
        <v>315</v>
      </c>
      <c r="K12" s="71" t="inlineStr">
        <is>
          <t>NTC-Concreto 2023 (CDMX) · Tabla de coeficientes de momentos flexionantes para tableros rectangulares, franjas centrales, caso I (COTEJAR)</t>
        </is>
      </c>
    </row>
    <row r="13">
      <c r="B13" s="42" t="inlineStr">
        <is>
          <t>BORDE-CORTO|NIL</t>
        </is>
      </c>
      <c r="C13" s="42" t="inlineStr">
        <is>
          <t>De borde — un lado corto discontinuo — negativo en bordes continuos, claro largo</t>
        </is>
      </c>
      <c r="D13" s="55" t="n">
        <v>516</v>
      </c>
      <c r="E13" s="55" t="n">
        <v>409</v>
      </c>
      <c r="F13" s="55" t="n">
        <v>391</v>
      </c>
      <c r="G13" s="55" t="n">
        <v>372</v>
      </c>
      <c r="H13" s="55" t="n">
        <v>350</v>
      </c>
      <c r="I13" s="55" t="n">
        <v>326</v>
      </c>
      <c r="J13" s="55" t="n">
        <v>297</v>
      </c>
      <c r="K13" s="71" t="inlineStr">
        <is>
          <t>NTC-Concreto 2023 (CDMX) · Tabla de coeficientes de momentos flexionantes para tableros rectangulares, franjas centrales, caso I (COTEJAR)</t>
        </is>
      </c>
    </row>
    <row r="14">
      <c r="B14" s="42" t="inlineStr">
        <is>
          <t>BORDE-CORTO|NDC</t>
        </is>
      </c>
      <c r="C14" s="42" t="inlineStr">
        <is>
          <t>De borde — un lado corto discontinuo — negativo en bordes discontinuos, claro corto</t>
        </is>
      </c>
      <c r="D14" s="55" t="n">
        <v>0</v>
      </c>
      <c r="E14" s="55" t="n">
        <v>0</v>
      </c>
      <c r="F14" s="55" t="n">
        <v>0</v>
      </c>
      <c r="G14" s="55" t="n">
        <v>0</v>
      </c>
      <c r="H14" s="55" t="n">
        <v>0</v>
      </c>
      <c r="I14" s="55" t="n">
        <v>0</v>
      </c>
      <c r="J14" s="55" t="n">
        <v>0</v>
      </c>
      <c r="K14" s="71" t="inlineStr">
        <is>
          <t>NTC-Concreto 2023 (CDMX) · Tabla de coeficientes de momentos flexionantes para tableros rectangulares, franjas centrales, caso I (COTEJAR)</t>
        </is>
      </c>
    </row>
    <row r="15">
      <c r="B15" s="42" t="inlineStr">
        <is>
          <t>BORDE-CORTO|NDL</t>
        </is>
      </c>
      <c r="C15" s="42" t="inlineStr">
        <is>
          <t>De borde — un lado corto discontinuo — negativo en bordes discontinuos, claro largo</t>
        </is>
      </c>
      <c r="D15" s="55" t="n">
        <v>326</v>
      </c>
      <c r="E15" s="55" t="n">
        <v>258</v>
      </c>
      <c r="F15" s="55" t="n">
        <v>248</v>
      </c>
      <c r="G15" s="55" t="n">
        <v>236</v>
      </c>
      <c r="H15" s="55" t="n">
        <v>222</v>
      </c>
      <c r="I15" s="55" t="n">
        <v>206</v>
      </c>
      <c r="J15" s="55" t="n">
        <v>190</v>
      </c>
      <c r="K15" s="71" t="inlineStr">
        <is>
          <t>NTC-Concreto 2023 (CDMX) · Tabla de coeficientes de momentos flexionantes para tableros rectangulares, franjas centrales, caso I (COTEJAR)</t>
        </is>
      </c>
    </row>
    <row r="16">
      <c r="B16" s="42" t="inlineStr">
        <is>
          <t>BORDE-CORTO|PC</t>
        </is>
      </c>
      <c r="C16" s="42" t="inlineStr">
        <is>
          <t>De borde — un lado corto discontinuo — positivo, claro corto</t>
        </is>
      </c>
      <c r="D16" s="55" t="n">
        <v>630</v>
      </c>
      <c r="E16" s="55" t="n">
        <v>329</v>
      </c>
      <c r="F16" s="55" t="n">
        <v>292</v>
      </c>
      <c r="G16" s="55" t="n">
        <v>240</v>
      </c>
      <c r="H16" s="55" t="n">
        <v>202</v>
      </c>
      <c r="I16" s="55" t="n">
        <v>167</v>
      </c>
      <c r="J16" s="55" t="n">
        <v>133</v>
      </c>
      <c r="K16" s="71" t="inlineStr">
        <is>
          <t>NTC-Concreto 2023 (CDMX) · Tabla de coeficientes de momentos flexionantes para tableros rectangulares, franjas centrales, caso I (COTEJAR)</t>
        </is>
      </c>
    </row>
    <row r="17">
      <c r="B17" s="42" t="inlineStr">
        <is>
          <t>BORDE-CORTO|PL</t>
        </is>
      </c>
      <c r="C17" s="42" t="inlineStr">
        <is>
          <t>De borde — un lado corto discontinuo — positivo, claro largo</t>
        </is>
      </c>
      <c r="D17" s="55" t="n">
        <v>179</v>
      </c>
      <c r="E17" s="55" t="n">
        <v>142</v>
      </c>
      <c r="F17" s="55" t="n">
        <v>137</v>
      </c>
      <c r="G17" s="55" t="n">
        <v>133</v>
      </c>
      <c r="H17" s="55" t="n">
        <v>131</v>
      </c>
      <c r="I17" s="55" t="n">
        <v>129</v>
      </c>
      <c r="J17" s="55" t="n">
        <v>129</v>
      </c>
      <c r="K17" s="71" t="inlineStr">
        <is>
          <t>NTC-Concreto 2023 (CDMX) · Tabla de coeficientes de momentos flexionantes para tableros rectangulares, franjas centrales, caso I (COTEJAR)</t>
        </is>
      </c>
    </row>
    <row r="18">
      <c r="B18" s="42" t="inlineStr">
        <is>
          <t>BORDE-LARGO|NIC</t>
        </is>
      </c>
      <c r="C18" s="42" t="inlineStr">
        <is>
          <t>De borde — un lado largo discontinuo — negativo en bordes continuos, claro corto</t>
        </is>
      </c>
      <c r="D18" s="55" t="n">
        <v>1060</v>
      </c>
      <c r="E18" s="55" t="n">
        <v>583</v>
      </c>
      <c r="F18" s="55" t="n">
        <v>514</v>
      </c>
      <c r="G18" s="55" t="n">
        <v>453</v>
      </c>
      <c r="H18" s="55" t="n">
        <v>397</v>
      </c>
      <c r="I18" s="55" t="n">
        <v>346</v>
      </c>
      <c r="J18" s="55" t="n">
        <v>297</v>
      </c>
      <c r="K18" s="71" t="inlineStr">
        <is>
          <t>NTC-Concreto 2023 (CDMX) · Tabla de coeficientes de momentos flexionantes para tableros rectangulares, franjas centrales, caso I (COTEJAR)</t>
        </is>
      </c>
    </row>
    <row r="19">
      <c r="B19" s="42" t="inlineStr">
        <is>
          <t>BORDE-LARGO|NIL</t>
        </is>
      </c>
      <c r="C19" s="42" t="inlineStr">
        <is>
          <t>De borde — un lado largo discontinuo — negativo en bordes continuos, claro largo</t>
        </is>
      </c>
      <c r="D19" s="55" t="n">
        <v>587</v>
      </c>
      <c r="E19" s="55" t="n">
        <v>465</v>
      </c>
      <c r="F19" s="55" t="n">
        <v>442</v>
      </c>
      <c r="G19" s="55" t="n">
        <v>411</v>
      </c>
      <c r="H19" s="55" t="n">
        <v>379</v>
      </c>
      <c r="I19" s="55" t="n">
        <v>347</v>
      </c>
      <c r="J19" s="55" t="n">
        <v>315</v>
      </c>
      <c r="K19" s="71" t="inlineStr">
        <is>
          <t>NTC-Concreto 2023 (CDMX) · Tabla de coeficientes de momentos flexionantes para tableros rectangulares, franjas centrales, caso I (COTEJAR)</t>
        </is>
      </c>
    </row>
    <row r="20">
      <c r="B20" s="42" t="inlineStr">
        <is>
          <t>BORDE-LARGO|NDC</t>
        </is>
      </c>
      <c r="C20" s="42" t="inlineStr">
        <is>
          <t>De borde — un lado largo discontinuo — negativo en bordes discontinuos, claro corto</t>
        </is>
      </c>
      <c r="D20" s="55" t="n">
        <v>651</v>
      </c>
      <c r="E20" s="55" t="n">
        <v>362</v>
      </c>
      <c r="F20" s="55" t="n">
        <v>321</v>
      </c>
      <c r="G20" s="55" t="n">
        <v>283</v>
      </c>
      <c r="H20" s="55" t="n">
        <v>250</v>
      </c>
      <c r="I20" s="55" t="n">
        <v>219</v>
      </c>
      <c r="J20" s="55" t="n">
        <v>190</v>
      </c>
      <c r="K20" s="71" t="inlineStr">
        <is>
          <t>NTC-Concreto 2023 (CDMX) · Tabla de coeficientes de momentos flexionantes para tableros rectangulares, franjas centrales, caso I (COTEJAR)</t>
        </is>
      </c>
    </row>
    <row r="21">
      <c r="B21" s="42" t="inlineStr">
        <is>
          <t>BORDE-LARGO|NDL</t>
        </is>
      </c>
      <c r="C21" s="42" t="inlineStr">
        <is>
          <t>De borde — un lado largo discontinuo — negativo en bordes discontinuos, claro largo</t>
        </is>
      </c>
      <c r="D21" s="55" t="n">
        <v>0</v>
      </c>
      <c r="E21" s="55" t="n">
        <v>0</v>
      </c>
      <c r="F21" s="55" t="n">
        <v>0</v>
      </c>
      <c r="G21" s="55" t="n">
        <v>0</v>
      </c>
      <c r="H21" s="55" t="n">
        <v>0</v>
      </c>
      <c r="I21" s="55" t="n">
        <v>0</v>
      </c>
      <c r="J21" s="55" t="n">
        <v>0</v>
      </c>
      <c r="K21" s="71" t="inlineStr">
        <is>
          <t>NTC-Concreto 2023 (CDMX) · Tabla de coeficientes de momentos flexionantes para tableros rectangulares, franjas centrales, caso I (COTEJAR)</t>
        </is>
      </c>
    </row>
    <row r="22">
      <c r="B22" s="42" t="inlineStr">
        <is>
          <t>BORDE-LARGO|PC</t>
        </is>
      </c>
      <c r="C22" s="42" t="inlineStr">
        <is>
          <t>De borde — un lado largo discontinuo — positivo, claro corto</t>
        </is>
      </c>
      <c r="D22" s="55" t="n">
        <v>751</v>
      </c>
      <c r="E22" s="55" t="n">
        <v>334</v>
      </c>
      <c r="F22" s="55" t="n">
        <v>285</v>
      </c>
      <c r="G22" s="55" t="n">
        <v>241</v>
      </c>
      <c r="H22" s="55" t="n">
        <v>202</v>
      </c>
      <c r="I22" s="55" t="n">
        <v>164</v>
      </c>
      <c r="J22" s="55" t="n">
        <v>129</v>
      </c>
      <c r="K22" s="71" t="inlineStr">
        <is>
          <t>NTC-Concreto 2023 (CDMX) · Tabla de coeficientes de momentos flexionantes para tableros rectangulares, franjas centrales, caso I (COTEJAR)</t>
        </is>
      </c>
    </row>
    <row r="23">
      <c r="B23" s="42" t="inlineStr">
        <is>
          <t>BORDE-LARGO|PL</t>
        </is>
      </c>
      <c r="C23" s="42" t="inlineStr">
        <is>
          <t>De borde — un lado largo discontinuo — positivo, claro largo</t>
        </is>
      </c>
      <c r="D23" s="55" t="n">
        <v>185</v>
      </c>
      <c r="E23" s="55" t="n">
        <v>147</v>
      </c>
      <c r="F23" s="55" t="n">
        <v>142</v>
      </c>
      <c r="G23" s="55" t="n">
        <v>138</v>
      </c>
      <c r="H23" s="55" t="n">
        <v>135</v>
      </c>
      <c r="I23" s="55" t="n">
        <v>134</v>
      </c>
      <c r="J23" s="55" t="n">
        <v>133</v>
      </c>
      <c r="K23" s="71" t="inlineStr">
        <is>
          <t>NTC-Concreto 2023 (CDMX) · Tabla de coeficientes de momentos flexionantes para tableros rectangulares, franjas centrales, caso I (COTEJAR)</t>
        </is>
      </c>
    </row>
    <row r="24">
      <c r="B24" s="42" t="inlineStr">
        <is>
          <t>ESQUINA|NIC</t>
        </is>
      </c>
      <c r="C24" s="42" t="inlineStr">
        <is>
          <t>De esquina — dos lados adyacentes discontinuos — negativo en bordes continuos, claro corto</t>
        </is>
      </c>
      <c r="D24" s="55" t="n">
        <v>1060</v>
      </c>
      <c r="E24" s="55" t="n">
        <v>598</v>
      </c>
      <c r="F24" s="55" t="n">
        <v>530</v>
      </c>
      <c r="G24" s="55" t="n">
        <v>471</v>
      </c>
      <c r="H24" s="55" t="n">
        <v>419</v>
      </c>
      <c r="I24" s="55" t="n">
        <v>371</v>
      </c>
      <c r="J24" s="55" t="n">
        <v>324</v>
      </c>
      <c r="K24" s="71" t="inlineStr">
        <is>
          <t>NTC-Concreto 2023 (CDMX) · Tabla de coeficientes de momentos flexionantes para tableros rectangulares, franjas centrales, caso I (COTEJAR)</t>
        </is>
      </c>
    </row>
    <row r="25">
      <c r="B25" s="42" t="inlineStr">
        <is>
          <t>ESQUINA|NIL</t>
        </is>
      </c>
      <c r="C25" s="42" t="inlineStr">
        <is>
          <t>De esquina — dos lados adyacentes discontinuos — negativo en bordes continuos, claro largo</t>
        </is>
      </c>
      <c r="D25" s="55" t="n">
        <v>600</v>
      </c>
      <c r="E25" s="55" t="n">
        <v>475</v>
      </c>
      <c r="F25" s="55" t="n">
        <v>455</v>
      </c>
      <c r="G25" s="55" t="n">
        <v>429</v>
      </c>
      <c r="H25" s="55" t="n">
        <v>394</v>
      </c>
      <c r="I25" s="55" t="n">
        <v>360</v>
      </c>
      <c r="J25" s="55" t="n">
        <v>324</v>
      </c>
      <c r="K25" s="71" t="inlineStr">
        <is>
          <t>NTC-Concreto 2023 (CDMX) · Tabla de coeficientes de momentos flexionantes para tableros rectangulares, franjas centrales, caso I (COTEJAR)</t>
        </is>
      </c>
    </row>
    <row r="26">
      <c r="B26" s="42" t="inlineStr">
        <is>
          <t>ESQUINA|NDC</t>
        </is>
      </c>
      <c r="C26" s="42" t="inlineStr">
        <is>
          <t>De esquina — dos lados adyacentes discontinuos — negativo en bordes discontinuos, claro corto</t>
        </is>
      </c>
      <c r="D26" s="55" t="n">
        <v>651</v>
      </c>
      <c r="E26" s="55" t="n">
        <v>362</v>
      </c>
      <c r="F26" s="55" t="n">
        <v>321</v>
      </c>
      <c r="G26" s="55" t="n">
        <v>277</v>
      </c>
      <c r="H26" s="55" t="n">
        <v>250</v>
      </c>
      <c r="I26" s="55" t="n">
        <v>219</v>
      </c>
      <c r="J26" s="55" t="n">
        <v>190</v>
      </c>
      <c r="K26" s="71" t="inlineStr">
        <is>
          <t>NTC-Concreto 2023 (CDMX) · Tabla de coeficientes de momentos flexionantes para tableros rectangulares, franjas centrales, caso I (COTEJAR)</t>
        </is>
      </c>
    </row>
    <row r="27">
      <c r="B27" s="42" t="inlineStr">
        <is>
          <t>ESQUINA|NDL</t>
        </is>
      </c>
      <c r="C27" s="42" t="inlineStr">
        <is>
          <t>De esquina — dos lados adyacentes discontinuos — negativo en bordes discontinuos, claro largo</t>
        </is>
      </c>
      <c r="D27" s="55" t="n">
        <v>326</v>
      </c>
      <c r="E27" s="55" t="n">
        <v>258</v>
      </c>
      <c r="F27" s="55" t="n">
        <v>248</v>
      </c>
      <c r="G27" s="55" t="n">
        <v>236</v>
      </c>
      <c r="H27" s="55" t="n">
        <v>222</v>
      </c>
      <c r="I27" s="55" t="n">
        <v>206</v>
      </c>
      <c r="J27" s="55" t="n">
        <v>190</v>
      </c>
      <c r="K27" s="71" t="inlineStr">
        <is>
          <t>NTC-Concreto 2023 (CDMX) · Tabla de coeficientes de momentos flexionantes para tableros rectangulares, franjas centrales, caso I (COTEJAR)</t>
        </is>
      </c>
    </row>
    <row r="28">
      <c r="B28" s="42" t="inlineStr">
        <is>
          <t>ESQUINA|PC</t>
        </is>
      </c>
      <c r="C28" s="42" t="inlineStr">
        <is>
          <t>De esquina — dos lados adyacentes discontinuos — positivo, claro corto</t>
        </is>
      </c>
      <c r="D28" s="55" t="n">
        <v>751</v>
      </c>
      <c r="E28" s="55" t="n">
        <v>358</v>
      </c>
      <c r="F28" s="55" t="n">
        <v>306</v>
      </c>
      <c r="G28" s="55" t="n">
        <v>259</v>
      </c>
      <c r="H28" s="55" t="n">
        <v>216</v>
      </c>
      <c r="I28" s="55" t="n">
        <v>176</v>
      </c>
      <c r="J28" s="55" t="n">
        <v>137</v>
      </c>
      <c r="K28" s="71" t="inlineStr">
        <is>
          <t>NTC-Concreto 2023 (CDMX) · Tabla de coeficientes de momentos flexionantes para tableros rectangulares, franjas centrales, caso I (COTEJAR)</t>
        </is>
      </c>
    </row>
    <row r="29">
      <c r="B29" s="42" t="inlineStr">
        <is>
          <t>ESQUINA|PL</t>
        </is>
      </c>
      <c r="C29" s="42" t="inlineStr">
        <is>
          <t>De esquina — dos lados adyacentes discontinuos — positivo, claro largo</t>
        </is>
      </c>
      <c r="D29" s="55" t="n">
        <v>191</v>
      </c>
      <c r="E29" s="55" t="n">
        <v>152</v>
      </c>
      <c r="F29" s="55" t="n">
        <v>146</v>
      </c>
      <c r="G29" s="55" t="n">
        <v>142</v>
      </c>
      <c r="H29" s="55" t="n">
        <v>140</v>
      </c>
      <c r="I29" s="55" t="n">
        <v>138</v>
      </c>
      <c r="J29" s="55" t="n">
        <v>137</v>
      </c>
      <c r="K29" s="71" t="inlineStr">
        <is>
          <t>NTC-Concreto 2023 (CDMX) · Tabla de coeficientes de momentos flexionantes para tableros rectangulares, franjas centrales, caso I (COTEJAR)</t>
        </is>
      </c>
    </row>
    <row r="30">
      <c r="B30" s="42" t="inlineStr">
        <is>
          <t>EXTREMO-LARGO|NIC</t>
        </is>
      </c>
      <c r="C30" s="42" t="inlineStr">
        <is>
          <t>Extremo — tres bordes discontinuos, un lado largo continuo — negativo en bordes continuos, claro corto</t>
        </is>
      </c>
      <c r="D30" s="55" t="n">
        <v>1060</v>
      </c>
      <c r="E30" s="55" t="n">
        <v>970</v>
      </c>
      <c r="F30" s="55" t="n">
        <v>890</v>
      </c>
      <c r="G30" s="55" t="n">
        <v>810</v>
      </c>
      <c r="H30" s="55" t="n">
        <v>730</v>
      </c>
      <c r="I30" s="55" t="n">
        <v>650</v>
      </c>
      <c r="J30" s="55" t="n">
        <v>570</v>
      </c>
      <c r="K30" s="71" t="inlineStr">
        <is>
          <t>NTC-Concreto 2023 (CDMX) · Tabla de coeficientes de momentos flexionantes para tableros rectangulares, franjas centrales, caso I (COTEJAR)</t>
        </is>
      </c>
    </row>
    <row r="31">
      <c r="B31" s="42" t="inlineStr">
        <is>
          <t>EXTREMO-LARGO|NIL</t>
        </is>
      </c>
      <c r="C31" s="42" t="inlineStr">
        <is>
          <t>Extremo — tres bordes discontinuos, un lado largo continuo — negativo en bordes continuos, claro largo</t>
        </is>
      </c>
      <c r="D31" s="55" t="n">
        <v>0</v>
      </c>
      <c r="E31" s="55" t="n">
        <v>0</v>
      </c>
      <c r="F31" s="55" t="n">
        <v>0</v>
      </c>
      <c r="G31" s="55" t="n">
        <v>0</v>
      </c>
      <c r="H31" s="55" t="n">
        <v>0</v>
      </c>
      <c r="I31" s="55" t="n">
        <v>0</v>
      </c>
      <c r="J31" s="55" t="n">
        <v>0</v>
      </c>
      <c r="K31" s="71" t="inlineStr">
        <is>
          <t>NTC-Concreto 2023 (CDMX) · Tabla de coeficientes de momentos flexionantes para tableros rectangulares, franjas centrales, caso I (COTEJAR)</t>
        </is>
      </c>
    </row>
    <row r="32">
      <c r="B32" s="42" t="inlineStr">
        <is>
          <t>EXTREMO-LARGO|NDC</t>
        </is>
      </c>
      <c r="C32" s="42" t="inlineStr">
        <is>
          <t>Extremo — tres bordes discontinuos, un lado largo continuo — negativo en bordes discontinuos, claro corto</t>
        </is>
      </c>
      <c r="D32" s="55" t="n">
        <v>651</v>
      </c>
      <c r="E32" s="55" t="n">
        <v>370</v>
      </c>
      <c r="F32" s="55" t="n">
        <v>340</v>
      </c>
      <c r="G32" s="55" t="n">
        <v>310</v>
      </c>
      <c r="H32" s="55" t="n">
        <v>280</v>
      </c>
      <c r="I32" s="55" t="n">
        <v>250</v>
      </c>
      <c r="J32" s="55" t="n">
        <v>220</v>
      </c>
      <c r="K32" s="71" t="inlineStr">
        <is>
          <t>NTC-Concreto 2023 (CDMX) · Tabla de coeficientes de momentos flexionantes para tableros rectangulares, franjas centrales, caso I (COTEJAR)</t>
        </is>
      </c>
    </row>
    <row r="33">
      <c r="B33" s="42" t="inlineStr">
        <is>
          <t>EXTREMO-LARGO|NDL</t>
        </is>
      </c>
      <c r="C33" s="42" t="inlineStr">
        <is>
          <t>Extremo — tres bordes discontinuos, un lado largo continuo — negativo en bordes discontinuos, claro largo</t>
        </is>
      </c>
      <c r="D33" s="55" t="n">
        <v>220</v>
      </c>
      <c r="E33" s="55" t="n">
        <v>220</v>
      </c>
      <c r="F33" s="55" t="n">
        <v>220</v>
      </c>
      <c r="G33" s="55" t="n">
        <v>220</v>
      </c>
      <c r="H33" s="55" t="n">
        <v>220</v>
      </c>
      <c r="I33" s="55" t="n">
        <v>220</v>
      </c>
      <c r="J33" s="55" t="n">
        <v>220</v>
      </c>
      <c r="K33" s="71" t="inlineStr">
        <is>
          <t>NTC-Concreto 2023 (CDMX) · Tabla de coeficientes de momentos flexionantes para tableros rectangulares, franjas centrales, caso I (COTEJAR)</t>
        </is>
      </c>
    </row>
    <row r="34">
      <c r="B34" s="42" t="inlineStr">
        <is>
          <t>EXTREMO-LARGO|PC</t>
        </is>
      </c>
      <c r="C34" s="42" t="inlineStr">
        <is>
          <t>Extremo — tres bordes discontinuos, un lado largo continuo — positivo, claro corto</t>
        </is>
      </c>
      <c r="D34" s="55" t="n">
        <v>751</v>
      </c>
      <c r="E34" s="55" t="n">
        <v>730</v>
      </c>
      <c r="F34" s="55" t="n">
        <v>670</v>
      </c>
      <c r="G34" s="55" t="n">
        <v>610</v>
      </c>
      <c r="H34" s="55" t="n">
        <v>550</v>
      </c>
      <c r="I34" s="55" t="n">
        <v>490</v>
      </c>
      <c r="J34" s="55" t="n">
        <v>430</v>
      </c>
      <c r="K34" s="71" t="inlineStr">
        <is>
          <t>NTC-Concreto 2023 (CDMX) · Tabla de coeficientes de momentos flexionantes para tableros rectangulares, franjas centrales, caso I (COTEJAR)</t>
        </is>
      </c>
    </row>
    <row r="35">
      <c r="B35" s="42" t="inlineStr">
        <is>
          <t>EXTREMO-LARGO|PL</t>
        </is>
      </c>
      <c r="C35" s="42" t="inlineStr">
        <is>
          <t>Extremo — tres bordes discontinuos, un lado largo continuo — positivo, claro largo</t>
        </is>
      </c>
      <c r="D35" s="55" t="n">
        <v>185</v>
      </c>
      <c r="E35" s="55" t="n">
        <v>430</v>
      </c>
      <c r="F35" s="55" t="n">
        <v>430</v>
      </c>
      <c r="G35" s="55" t="n">
        <v>430</v>
      </c>
      <c r="H35" s="55" t="n">
        <v>430</v>
      </c>
      <c r="I35" s="55" t="n">
        <v>430</v>
      </c>
      <c r="J35" s="55" t="n">
        <v>430</v>
      </c>
      <c r="K35" s="71" t="inlineStr">
        <is>
          <t>NTC-Concreto 2023 (CDMX) · Tabla de coeficientes de momentos flexionantes para tableros rectangulares, franjas centrales, caso I (COTEJAR)</t>
        </is>
      </c>
    </row>
    <row r="36">
      <c r="B36" s="42" t="inlineStr">
        <is>
          <t>EXTREMO-CORTO|NIC</t>
        </is>
      </c>
      <c r="C36" s="42" t="inlineStr">
        <is>
          <t>Extremo — tres bordes discontinuos, un lado corto continuo — negativo en bordes continuos, claro corto</t>
        </is>
      </c>
      <c r="D36" s="55" t="n">
        <v>0</v>
      </c>
      <c r="E36" s="55" t="n">
        <v>0</v>
      </c>
      <c r="F36" s="55" t="n">
        <v>0</v>
      </c>
      <c r="G36" s="55" t="n">
        <v>0</v>
      </c>
      <c r="H36" s="55" t="n">
        <v>0</v>
      </c>
      <c r="I36" s="55" t="n">
        <v>0</v>
      </c>
      <c r="J36" s="55" t="n">
        <v>0</v>
      </c>
      <c r="K36" s="71" t="inlineStr">
        <is>
          <t>NTC-Concreto 2023 (CDMX) · Tabla de coeficientes de momentos flexionantes para tableros rectangulares, franjas centrales, caso I (COTEJAR)</t>
        </is>
      </c>
    </row>
    <row r="37">
      <c r="B37" s="42" t="inlineStr">
        <is>
          <t>EXTREMO-CORTO|NIL</t>
        </is>
      </c>
      <c r="C37" s="42" t="inlineStr">
        <is>
          <t>Extremo — tres bordes discontinuos, un lado corto continuo — negativo en bordes continuos, claro largo</t>
        </is>
      </c>
      <c r="D37" s="55" t="n">
        <v>570</v>
      </c>
      <c r="E37" s="55" t="n">
        <v>570</v>
      </c>
      <c r="F37" s="55" t="n">
        <v>570</v>
      </c>
      <c r="G37" s="55" t="n">
        <v>570</v>
      </c>
      <c r="H37" s="55" t="n">
        <v>570</v>
      </c>
      <c r="I37" s="55" t="n">
        <v>570</v>
      </c>
      <c r="J37" s="55" t="n">
        <v>570</v>
      </c>
      <c r="K37" s="71" t="inlineStr">
        <is>
          <t>NTC-Concreto 2023 (CDMX) · Tabla de coeficientes de momentos flexionantes para tableros rectangulares, franjas centrales, caso I (COTEJAR)</t>
        </is>
      </c>
    </row>
    <row r="38">
      <c r="B38" s="42" t="inlineStr">
        <is>
          <t>EXTREMO-CORTO|NDC</t>
        </is>
      </c>
      <c r="C38" s="42" t="inlineStr">
        <is>
          <t>Extremo — tres bordes discontinuos, un lado corto continuo — negativo en bordes discontinuos, claro corto</t>
        </is>
      </c>
      <c r="D38" s="55" t="n">
        <v>570</v>
      </c>
      <c r="E38" s="55" t="n">
        <v>480</v>
      </c>
      <c r="F38" s="55" t="n">
        <v>420</v>
      </c>
      <c r="G38" s="55" t="n">
        <v>370</v>
      </c>
      <c r="H38" s="55" t="n">
        <v>310</v>
      </c>
      <c r="I38" s="55" t="n">
        <v>270</v>
      </c>
      <c r="J38" s="55" t="n">
        <v>220</v>
      </c>
      <c r="K38" s="71" t="inlineStr">
        <is>
          <t>NTC-Concreto 2023 (CDMX) · Tabla de coeficientes de momentos flexionantes para tableros rectangulares, franjas centrales, caso I (COTEJAR)</t>
        </is>
      </c>
    </row>
    <row r="39">
      <c r="B39" s="42" t="inlineStr">
        <is>
          <t>EXTREMO-CORTO|NDL</t>
        </is>
      </c>
      <c r="C39" s="42" t="inlineStr">
        <is>
          <t>Extremo — tres bordes discontinuos, un lado corto continuo — negativo en bordes discontinuos, claro largo</t>
        </is>
      </c>
      <c r="D39" s="55" t="n">
        <v>330</v>
      </c>
      <c r="E39" s="55" t="n">
        <v>220</v>
      </c>
      <c r="F39" s="55" t="n">
        <v>220</v>
      </c>
      <c r="G39" s="55" t="n">
        <v>220</v>
      </c>
      <c r="H39" s="55" t="n">
        <v>220</v>
      </c>
      <c r="I39" s="55" t="n">
        <v>220</v>
      </c>
      <c r="J39" s="55" t="n">
        <v>220</v>
      </c>
      <c r="K39" s="71" t="inlineStr">
        <is>
          <t>NTC-Concreto 2023 (CDMX) · Tabla de coeficientes de momentos flexionantes para tableros rectangulares, franjas centrales, caso I (COTEJAR)</t>
        </is>
      </c>
    </row>
    <row r="40">
      <c r="B40" s="42" t="inlineStr">
        <is>
          <t>EXTREMO-CORTO|PC</t>
        </is>
      </c>
      <c r="C40" s="42" t="inlineStr">
        <is>
          <t>Extremo — tres bordes discontinuos, un lado corto continuo — positivo, claro corto</t>
        </is>
      </c>
      <c r="D40" s="55" t="n">
        <v>1100</v>
      </c>
      <c r="E40" s="55" t="n">
        <v>960</v>
      </c>
      <c r="F40" s="55" t="n">
        <v>840</v>
      </c>
      <c r="G40" s="55" t="n">
        <v>730</v>
      </c>
      <c r="H40" s="55" t="n">
        <v>620</v>
      </c>
      <c r="I40" s="55" t="n">
        <v>540</v>
      </c>
      <c r="J40" s="55" t="n">
        <v>430</v>
      </c>
      <c r="K40" s="71" t="inlineStr">
        <is>
          <t>NTC-Concreto 2023 (CDMX) · Tabla de coeficientes de momentos flexionantes para tableros rectangulares, franjas centrales, caso I (COTEJAR)</t>
        </is>
      </c>
    </row>
    <row r="41">
      <c r="B41" s="42" t="inlineStr">
        <is>
          <t>EXTREMO-CORTO|PL</t>
        </is>
      </c>
      <c r="C41" s="42" t="inlineStr">
        <is>
          <t>Extremo — tres bordes discontinuos, un lado corto continuo — positivo, claro largo</t>
        </is>
      </c>
      <c r="D41" s="55" t="n">
        <v>200</v>
      </c>
      <c r="E41" s="55" t="n">
        <v>430</v>
      </c>
      <c r="F41" s="55" t="n">
        <v>430</v>
      </c>
      <c r="G41" s="55" t="n">
        <v>430</v>
      </c>
      <c r="H41" s="55" t="n">
        <v>430</v>
      </c>
      <c r="I41" s="55" t="n">
        <v>430</v>
      </c>
      <c r="J41" s="55" t="n">
        <v>430</v>
      </c>
      <c r="K41" s="71" t="inlineStr">
        <is>
          <t>NTC-Concreto 2023 (CDMX) · Tabla de coeficientes de momentos flexionantes para tableros rectangulares, franjas centrales, caso I (COTEJAR)</t>
        </is>
      </c>
    </row>
    <row r="42">
      <c r="B42" s="42" t="inlineStr">
        <is>
          <t>AISLADO|NIC</t>
        </is>
      </c>
      <c r="C42" s="42" t="inlineStr">
        <is>
          <t>Aislado — cuatro lados discontinuos — negativo en bordes continuos, claro corto</t>
        </is>
      </c>
      <c r="D42" s="55" t="n">
        <v>0</v>
      </c>
      <c r="E42" s="55" t="n">
        <v>0</v>
      </c>
      <c r="F42" s="55" t="n">
        <v>0</v>
      </c>
      <c r="G42" s="55" t="n">
        <v>0</v>
      </c>
      <c r="H42" s="55" t="n">
        <v>0</v>
      </c>
      <c r="I42" s="55" t="n">
        <v>0</v>
      </c>
      <c r="J42" s="55" t="n">
        <v>0</v>
      </c>
      <c r="K42" s="71" t="inlineStr">
        <is>
          <t>NTC-Concreto 2023 (CDMX) · Tabla de coeficientes de momentos flexionantes para tableros rectangulares, franjas centrales, caso I (COTEJAR)</t>
        </is>
      </c>
    </row>
    <row r="43">
      <c r="B43" s="42" t="inlineStr">
        <is>
          <t>AISLADO|NIL</t>
        </is>
      </c>
      <c r="C43" s="42" t="inlineStr">
        <is>
          <t>Aislado — cuatro lados discontinuos — negativo en bordes continuos, claro largo</t>
        </is>
      </c>
      <c r="D43" s="55" t="n">
        <v>0</v>
      </c>
      <c r="E43" s="55" t="n">
        <v>0</v>
      </c>
      <c r="F43" s="55" t="n">
        <v>0</v>
      </c>
      <c r="G43" s="55" t="n">
        <v>0</v>
      </c>
      <c r="H43" s="55" t="n">
        <v>0</v>
      </c>
      <c r="I43" s="55" t="n">
        <v>0</v>
      </c>
      <c r="J43" s="55" t="n">
        <v>0</v>
      </c>
      <c r="K43" s="71" t="inlineStr">
        <is>
          <t>NTC-Concreto 2023 (CDMX) · Tabla de coeficientes de momentos flexionantes para tableros rectangulares, franjas centrales, caso I (COTEJAR)</t>
        </is>
      </c>
    </row>
    <row r="44">
      <c r="B44" s="42" t="inlineStr">
        <is>
          <t>AISLADO|NDC</t>
        </is>
      </c>
      <c r="C44" s="42" t="inlineStr">
        <is>
          <t>Aislado — cuatro lados discontinuos — negativo en bordes discontinuos, claro corto</t>
        </is>
      </c>
      <c r="D44" s="55" t="n">
        <v>570</v>
      </c>
      <c r="E44" s="55" t="n">
        <v>550</v>
      </c>
      <c r="F44" s="55" t="n">
        <v>530</v>
      </c>
      <c r="G44" s="55" t="n">
        <v>470</v>
      </c>
      <c r="H44" s="55" t="n">
        <v>430</v>
      </c>
      <c r="I44" s="55" t="n">
        <v>380</v>
      </c>
      <c r="J44" s="55" t="n">
        <v>330</v>
      </c>
      <c r="K44" s="71" t="inlineStr">
        <is>
          <t>NTC-Concreto 2023 (CDMX) · Tabla de coeficientes de momentos flexionantes para tableros rectangulares, franjas centrales, caso I (COTEJAR)</t>
        </is>
      </c>
    </row>
    <row r="45">
      <c r="B45" s="42" t="inlineStr">
        <is>
          <t>AISLADO|NDL</t>
        </is>
      </c>
      <c r="C45" s="42" t="inlineStr">
        <is>
          <t>Aislado — cuatro lados discontinuos — negativo en bordes discontinuos, claro largo</t>
        </is>
      </c>
      <c r="D45" s="55" t="n">
        <v>330</v>
      </c>
      <c r="E45" s="55" t="n">
        <v>330</v>
      </c>
      <c r="F45" s="55" t="n">
        <v>330</v>
      </c>
      <c r="G45" s="55" t="n">
        <v>330</v>
      </c>
      <c r="H45" s="55" t="n">
        <v>330</v>
      </c>
      <c r="I45" s="55" t="n">
        <v>330</v>
      </c>
      <c r="J45" s="55" t="n">
        <v>330</v>
      </c>
      <c r="K45" s="71" t="inlineStr">
        <is>
          <t>NTC-Concreto 2023 (CDMX) · Tabla de coeficientes de momentos flexionantes para tableros rectangulares, franjas centrales, caso I (COTEJAR)</t>
        </is>
      </c>
    </row>
    <row r="46">
      <c r="B46" s="42" t="inlineStr">
        <is>
          <t>AISLADO|PC</t>
        </is>
      </c>
      <c r="C46" s="42" t="inlineStr">
        <is>
          <t>Aislado — cuatro lados discontinuos — positivo, claro corto</t>
        </is>
      </c>
      <c r="D46" s="55" t="n">
        <v>1100</v>
      </c>
      <c r="E46" s="55" t="n">
        <v>830</v>
      </c>
      <c r="F46" s="55" t="n">
        <v>800</v>
      </c>
      <c r="G46" s="55" t="n">
        <v>720</v>
      </c>
      <c r="H46" s="55" t="n">
        <v>640</v>
      </c>
      <c r="I46" s="55" t="n">
        <v>570</v>
      </c>
      <c r="J46" s="55" t="n">
        <v>500</v>
      </c>
      <c r="K46" s="71" t="inlineStr">
        <is>
          <t>NTC-Concreto 2023 (CDMX) · Tabla de coeficientes de momentos flexionantes para tableros rectangulares, franjas centrales, caso I (COTEJAR)</t>
        </is>
      </c>
    </row>
    <row r="47">
      <c r="B47" s="42" t="inlineStr">
        <is>
          <t>AISLADO|PL</t>
        </is>
      </c>
      <c r="C47" s="42" t="inlineStr">
        <is>
          <t>Aislado — cuatro lados discontinuos — positivo, claro largo</t>
        </is>
      </c>
      <c r="D47" s="55" t="n">
        <v>200</v>
      </c>
      <c r="E47" s="55" t="n">
        <v>500</v>
      </c>
      <c r="F47" s="55" t="n">
        <v>500</v>
      </c>
      <c r="G47" s="55" t="n">
        <v>500</v>
      </c>
      <c r="H47" s="55" t="n">
        <v>500</v>
      </c>
      <c r="I47" s="55" t="n">
        <v>500</v>
      </c>
      <c r="J47" s="55" t="n">
        <v>500</v>
      </c>
      <c r="K47" s="71" t="inlineStr">
        <is>
          <t>NTC-Concreto 2023 (CDMX) · Tabla de coeficientes de momentos flexionantes para tableros rectangulares, franjas centrales, caso I (COTEJAR)</t>
        </is>
      </c>
    </row>
    <row r="48" ht="40" customHeight="1">
      <c r="B48" s="3" t="inlineStr">
        <is>
          <t>COTEJAR: estos coeficientes se transcribieron de la tabla de la NTC-Concreto (es la misma desde las NTC 2004 y se conserva en 2017). Antes de firmar, compáralos renglón por renglón contra tu ejemplar 2023. Los renglones en cero son momentos que ese caso no tiene. Para m &lt; 0.5 la hoja interpola entre las columnas 0 y 0.5, como lo permite la propia tabla.</t>
        </is>
      </c>
      <c r="C48" s="4" t="n"/>
      <c r="D48" s="4" t="n"/>
      <c r="E48" s="4" t="n"/>
      <c r="F48" s="4" t="n"/>
      <c r="G48" s="4" t="n"/>
      <c r="H48" s="4" t="n"/>
      <c r="I48" s="4" t="n"/>
      <c r="J48" s="4" t="n"/>
      <c r="K48" s="4" t="n"/>
    </row>
    <row r="50" ht="21" customHeight="1">
      <c r="B50" s="5" t="inlineStr">
        <is>
          <t>B. VARILLA CORRUGADA Y ALAMBRÓN</t>
        </is>
      </c>
    </row>
    <row r="51">
      <c r="B51" s="8" t="inlineStr">
        <is>
          <t>No.</t>
        </is>
      </c>
      <c r="C51" s="8" t="inlineStr">
        <is>
          <t>db (cm)</t>
        </is>
      </c>
      <c r="D51" s="8" t="inlineStr">
        <is>
          <t>As (cm²)</t>
        </is>
      </c>
      <c r="E51" s="8" t="inlineStr">
        <is>
          <t>kg/m</t>
        </is>
      </c>
      <c r="F51" s="8" t="inlineStr">
        <is>
          <t>Referencia</t>
        </is>
      </c>
      <c r="G51" s="77" t="n"/>
      <c r="H51" s="77" t="n"/>
      <c r="I51" s="77" t="n"/>
      <c r="J51" s="77" t="n"/>
      <c r="K51" s="31" t="n"/>
    </row>
    <row r="52">
      <c r="B52" s="39" t="n">
        <v>2</v>
      </c>
      <c r="C52" s="41" t="n">
        <v>0.64</v>
      </c>
      <c r="D52" s="41" t="n">
        <v>0.32</v>
      </c>
      <c r="E52" s="34" t="n">
        <v>0.248</v>
      </c>
      <c r="F52" s="71" t="inlineStr">
        <is>
          <t>Alambrón 1/4" (No. 2)</t>
        </is>
      </c>
    </row>
    <row r="53">
      <c r="B53" s="39" t="n">
        <v>2.5</v>
      </c>
      <c r="C53" s="41" t="n">
        <v>0.79</v>
      </c>
      <c r="D53" s="41" t="n">
        <v>0.49</v>
      </c>
      <c r="E53" s="34" t="n">
        <v>0.384</v>
      </c>
      <c r="F53" s="71" t="inlineStr">
        <is>
          <t>NMX-C-407-ONNCCE / ASTM A615M — diámetros, áreas y masas nominales</t>
        </is>
      </c>
    </row>
    <row r="54">
      <c r="B54" s="39" t="n">
        <v>3</v>
      </c>
      <c r="C54" s="41" t="n">
        <v>0.95</v>
      </c>
      <c r="D54" s="41" t="n">
        <v>0.71</v>
      </c>
      <c r="E54" s="34" t="n">
        <v>0.5590000000000001</v>
      </c>
      <c r="F54" s="71" t="inlineStr">
        <is>
          <t>NMX-C-407-ONNCCE / ASTM A615M — diámetros, áreas y masas nominales</t>
        </is>
      </c>
    </row>
    <row r="55">
      <c r="B55" s="39" t="n">
        <v>4</v>
      </c>
      <c r="C55" s="41" t="n">
        <v>1.27</v>
      </c>
      <c r="D55" s="41" t="n">
        <v>1.27</v>
      </c>
      <c r="E55" s="34" t="n">
        <v>0.994</v>
      </c>
      <c r="F55" s="71" t="inlineStr">
        <is>
          <t>NMX-C-407-ONNCCE / ASTM A615M — diámetros, áreas y masas nominales</t>
        </is>
      </c>
    </row>
    <row r="56">
      <c r="B56" s="39" t="n">
        <v>5</v>
      </c>
      <c r="C56" s="41" t="n">
        <v>1.59</v>
      </c>
      <c r="D56" s="41" t="n">
        <v>1.98</v>
      </c>
      <c r="E56" s="34" t="n">
        <v>1.552</v>
      </c>
      <c r="F56" s="71" t="inlineStr">
        <is>
          <t>NMX-C-407-ONNCCE / ASTM A615M — diámetros, áreas y masas nominales</t>
        </is>
      </c>
    </row>
    <row r="57">
      <c r="B57" s="39" t="n">
        <v>6</v>
      </c>
      <c r="C57" s="41" t="n">
        <v>1.91</v>
      </c>
      <c r="D57" s="41" t="n">
        <v>2.85</v>
      </c>
      <c r="E57" s="34" t="n">
        <v>2.235</v>
      </c>
      <c r="F57" s="71" t="inlineStr">
        <is>
          <t>NMX-C-407-ONNCCE / ASTM A615M — diámetros, áreas y masas nominales</t>
        </is>
      </c>
    </row>
    <row r="58">
      <c r="B58" s="39" t="n">
        <v>8</v>
      </c>
      <c r="C58" s="41" t="n">
        <v>2.54</v>
      </c>
      <c r="D58" s="41" t="n">
        <v>5.07</v>
      </c>
      <c r="E58" s="34" t="n">
        <v>3.973</v>
      </c>
      <c r="F58" s="71" t="inlineStr">
        <is>
          <t>NMX-C-407-ONNCCE / ASTM A615M — diámetros, áreas y masas nominales</t>
        </is>
      </c>
    </row>
    <row r="61" ht="21" customHeight="1">
      <c r="B61" s="5" t="inlineStr">
        <is>
          <t>C. MALLA ELECTROSOLDADA (fy = 5000 kg/cm²)</t>
        </is>
      </c>
    </row>
    <row r="62">
      <c r="B62" s="8" t="inlineStr">
        <is>
          <t>Malla</t>
        </is>
      </c>
      <c r="C62" s="8" t="inlineStr">
        <is>
          <t>Ø alambre (mm)</t>
        </is>
      </c>
      <c r="D62" s="8" t="inlineStr">
        <is>
          <t>As (cm²/m)</t>
        </is>
      </c>
      <c r="E62" s="8" t="inlineStr">
        <is>
          <t>kg/m²</t>
        </is>
      </c>
      <c r="F62" s="8" t="inlineStr">
        <is>
          <t>Referencia</t>
        </is>
      </c>
      <c r="G62" s="77" t="n"/>
      <c r="H62" s="77" t="n"/>
      <c r="I62" s="77" t="n"/>
      <c r="J62" s="77" t="n"/>
      <c r="K62" s="31" t="n"/>
    </row>
    <row r="63">
      <c r="B63" s="39" t="inlineStr">
        <is>
          <t>6x6-10/10</t>
        </is>
      </c>
      <c r="C63" s="41" t="n">
        <v>3.43</v>
      </c>
      <c r="D63" s="34">
        <f>PI()*(C63/10)^2/4*100/15.24</f>
        <v>0.606307798724058</v>
      </c>
      <c r="E63" s="41">
        <f>2*PI()*(C63/1000)^2/4*7850/0.1524</f>
        <v>0.951903243996771</v>
      </c>
      <c r="F63" s="71" t="inlineStr">
        <is>
          <t>Calibre de alambre (galga) y separación de 6" = 15.24 cm en las dos direcciones</t>
        </is>
      </c>
    </row>
    <row r="64">
      <c r="B64" s="39" t="inlineStr">
        <is>
          <t>6x6-8/8</t>
        </is>
      </c>
      <c r="C64" s="41" t="n">
        <v>4.11</v>
      </c>
      <c r="D64" s="34">
        <f>PI()*(C64/10)^2/4*100/15.24</f>
        <v>0.870539653275987</v>
      </c>
      <c r="E64" s="41">
        <f>2*PI()*(C64/1000)^2/4*7850/0.1524</f>
        <v>1.3667472556433</v>
      </c>
      <c r="F64" s="71" t="inlineStr">
        <is>
          <t>Calibre de alambre (galga) y separación de 6" = 15.24 cm en las dos direcciones</t>
        </is>
      </c>
    </row>
    <row r="65">
      <c r="B65" s="39" t="inlineStr">
        <is>
          <t>6x6-6/6</t>
        </is>
      </c>
      <c r="C65" s="41" t="n">
        <v>4.88</v>
      </c>
      <c r="D65" s="34">
        <f>PI()*(C65/10)^2/4*100/15.24</f>
        <v>1.22728254740237</v>
      </c>
      <c r="E65" s="41">
        <f>2*PI()*(C65/1000)^2/4*7850/0.1524</f>
        <v>1.92683359942173</v>
      </c>
      <c r="F65" s="71" t="inlineStr">
        <is>
          <t>Calibre de alambre (galga) y separación de 6" = 15.24 cm en las dos direcciones</t>
        </is>
      </c>
    </row>
    <row r="66">
      <c r="B66" s="39" t="inlineStr">
        <is>
          <t>6x6-4/4</t>
        </is>
      </c>
      <c r="C66" s="41" t="n">
        <v>5.72</v>
      </c>
      <c r="D66" s="34">
        <f>PI()*(C66/10)^2/4*100/15.24</f>
        <v>1.68615297042671</v>
      </c>
      <c r="E66" s="41">
        <f>2*PI()*(C66/1000)^2/4*7850/0.1524</f>
        <v>2.64726016356994</v>
      </c>
      <c r="F66" s="71" t="inlineStr">
        <is>
          <t>Calibre de alambre (galga) y separación de 6" = 15.24 cm en las dos direcciones</t>
        </is>
      </c>
    </row>
    <row r="70" ht="21" customHeight="1">
      <c r="B70" s="5" t="inlineStr">
        <is>
          <t>D. LISTAS DE LOS SELECTORES</t>
        </is>
      </c>
    </row>
    <row r="71">
      <c r="B71" s="8" t="inlineStr">
        <is>
          <t>Caso de tablero</t>
        </is>
      </c>
      <c r="C71" s="8" t="inlineStr">
        <is>
          <t>Modo</t>
        </is>
      </c>
      <c r="D71" s="8" t="inlineStr">
        <is>
          <t>Destino</t>
        </is>
      </c>
      <c r="E71" s="8" t="inlineStr">
        <is>
          <t>Extremo de nervadura</t>
        </is>
      </c>
    </row>
    <row r="72">
      <c r="B72" s="35" t="inlineStr">
        <is>
          <t>AUTO</t>
        </is>
      </c>
      <c r="C72" s="35" t="inlineStr">
        <is>
          <t>PERIMETRAL</t>
        </is>
      </c>
      <c r="D72" s="35" t="inlineStr">
        <is>
          <t>HABITACIÓN</t>
        </is>
      </c>
      <c r="E72" s="35" t="inlineStr">
        <is>
          <t>FIRME</t>
        </is>
      </c>
    </row>
    <row r="73">
      <c r="B73" s="35" t="inlineStr">
        <is>
          <t>INTERIOR</t>
        </is>
      </c>
      <c r="C73" s="35" t="inlineStr">
        <is>
          <t>VOLADO</t>
        </is>
      </c>
      <c r="D73" s="35" t="inlineStr">
        <is>
          <t>AZOTEA</t>
        </is>
      </c>
      <c r="E73" s="35" t="inlineStr">
        <is>
          <t>NERVADURA</t>
        </is>
      </c>
    </row>
    <row r="74">
      <c r="B74" s="35" t="inlineStr">
        <is>
          <t>BORDE-CORTO</t>
        </is>
      </c>
      <c r="C74" s="35" t="inlineStr">
        <is>
          <t>HUECO</t>
        </is>
      </c>
      <c r="E74" s="35" t="inlineStr">
        <is>
          <t>PUNTA</t>
        </is>
      </c>
    </row>
    <row r="75">
      <c r="B75" s="35" t="inlineStr">
        <is>
          <t>BORDE-LARGO</t>
        </is>
      </c>
      <c r="E75" s="35" t="inlineStr">
        <is>
          <t>LIBRE</t>
        </is>
      </c>
    </row>
    <row r="76">
      <c r="B76" s="35" t="inlineStr">
        <is>
          <t>ESQUINA</t>
        </is>
      </c>
    </row>
    <row r="77">
      <c r="B77" s="35" t="inlineStr">
        <is>
          <t>EXTREMO-LARGO</t>
        </is>
      </c>
    </row>
    <row r="78">
      <c r="B78" s="35" t="inlineStr">
        <is>
          <t>EXTREMO-CORTO</t>
        </is>
      </c>
    </row>
    <row r="79">
      <c r="B79" s="35" t="inlineStr">
        <is>
          <t>AISLADO</t>
        </is>
      </c>
    </row>
  </sheetData>
  <mergeCells count="20">
    <mergeCell ref="F55:K55"/>
    <mergeCell ref="F51:K51"/>
    <mergeCell ref="F66:K66"/>
    <mergeCell ref="F62:K62"/>
    <mergeCell ref="B4:K4"/>
    <mergeCell ref="B50:K50"/>
    <mergeCell ref="F56:K56"/>
    <mergeCell ref="F58:K58"/>
    <mergeCell ref="F52:K52"/>
    <mergeCell ref="B70:K70"/>
    <mergeCell ref="F57:K57"/>
    <mergeCell ref="F53:K53"/>
    <mergeCell ref="B2:K2"/>
    <mergeCell ref="B48:K48"/>
    <mergeCell ref="F64:K64"/>
    <mergeCell ref="B61:K61"/>
    <mergeCell ref="F63:K63"/>
    <mergeCell ref="B1:K1"/>
    <mergeCell ref="F54:K54"/>
    <mergeCell ref="F65:K65"/>
  </mergeCells>
  <conditionalFormatting sqref="C1:K81">
    <cfRule type="expression" priority="1" dxfId="0" stopIfTrue="1">
      <formula>OR(ISNUMBER(FIND("NO CUMPLE",C1)),ISNUMBER(FIND("REVISAR",C1)),ISNUMBER(FIND("NO CABE",C1)),ISNUMBER(FIND("FUERA",C1)),ISNUMBER(FIND("SIN APOYO",C1)),ISNUMBER(FIND("INSUFICIENTE",C1)))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3.xml><?xml version="1.0" encoding="utf-8"?>
<worksheet xmlns="http://schemas.openxmlformats.org/spreadsheetml/2006/main">
  <sheetPr>
    <outlinePr summaryBelow="1" summaryRight="1"/>
    <pageSetUpPr fitToPage="1"/>
  </sheetPr>
  <dimension ref="B1:K25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78" customWidth="1" min="1" max="1"/>
    <col width="9" customWidth="1" min="2" max="2"/>
    <col width="15" customWidth="1" min="3" max="3"/>
    <col width="8" customWidth="1" min="4" max="4"/>
    <col width="9" customWidth="1" min="5" max="5"/>
    <col width="10" customWidth="1" min="6" max="6"/>
    <col width="9" customWidth="1" min="7" max="7"/>
    <col width="9" customWidth="1" min="8" max="8"/>
    <col width="9" customWidth="1" min="9" max="9"/>
    <col width="9" customWidth="1" min="10" max="10"/>
    <col width="34" customWidth="1" min="11" max="11"/>
  </cols>
  <sheetData>
    <row r="1" ht="26" customHeight="1">
      <c r="B1" s="65" t="inlineStr">
        <is>
          <t>TRIB — ÁREAS TRIBUTARIAS DEL DXF POR TRAMO DE NERVADURA PRINCIPAL O DE MURO</t>
        </is>
      </c>
    </row>
    <row r="2" ht="30" customHeight="1">
      <c r="B2" s="81" t="inlineStr">
        <is>
          <t>Cada polígono de la capa TRIB_AREA de AREAS_TRIBUTARIAS_R3.2.dxf se asignó al tramo sobre el que descansa su base (repartido por proyección cuando cae sobre dos tramos). Las áreas son datos; la carga se recalcula con el w del tablero.</t>
        </is>
      </c>
    </row>
    <row r="5" ht="30" customHeight="1">
      <c r="B5" s="8" t="inlineStr">
        <is>
          <t>Tramo</t>
        </is>
      </c>
      <c r="C5" s="8" t="inlineStr">
        <is>
          <t>Tablero</t>
        </is>
      </c>
      <c r="D5" s="8" t="inlineStr">
        <is>
          <t>Nivel</t>
        </is>
      </c>
      <c r="E5" s="8" t="inlineStr">
        <is>
          <t>Área (m²)</t>
        </is>
      </c>
      <c r="F5" s="8" t="inlineStr">
        <is>
          <t>w_u del tablero (kg/m²)</t>
        </is>
      </c>
      <c r="G5" s="8" t="inlineStr">
        <is>
          <t>Carga última (t)</t>
        </is>
      </c>
      <c r="H5" s="8" t="inlineStr">
        <is>
          <t>w serv. (kg/m²)</t>
        </is>
      </c>
      <c r="I5" s="8" t="inlineStr">
        <is>
          <t>Carga servicio (t)</t>
        </is>
      </c>
      <c r="J5" s="8" t="inlineStr">
        <is>
          <t>Tipo</t>
        </is>
      </c>
      <c r="K5" s="8" t="inlineStr">
        <is>
          <t>Estado del tramo</t>
        </is>
      </c>
    </row>
    <row r="6">
      <c r="B6" s="39" t="inlineStr">
        <is>
          <t>NP-20</t>
        </is>
      </c>
      <c r="C6" s="39" t="inlineStr">
        <is>
          <t>F80001 N+3.00</t>
        </is>
      </c>
      <c r="D6" s="39" t="inlineStr">
        <is>
          <t>N+3.00</t>
        </is>
      </c>
      <c r="E6" s="52" t="n">
        <v>0.251</v>
      </c>
      <c r="F6" s="55">
        <f>TABLEROS!$R$9</f>
        <v>855.275510204082</v>
      </c>
      <c r="G6" s="34">
        <f>E6*F6/1000</f>
        <v>0.214674153061224</v>
      </c>
      <c r="H6" s="55">
        <f>TABLEROS!$Q$9</f>
        <v>628.673469387755</v>
      </c>
      <c r="I6" s="34">
        <f>E6*H6/1000</f>
        <v>0.157797040816327</v>
      </c>
      <c r="J6" s="39" t="inlineStr">
        <is>
          <t>NP</t>
        </is>
      </c>
      <c r="K6" s="35" t="str">
        <f>PRINCIPALES!$AX$28</f>
        <v>CUMPLE</v>
      </c>
    </row>
    <row r="7">
      <c r="B7" s="39" t="inlineStr">
        <is>
          <t>NP-02</t>
        </is>
      </c>
      <c r="C7" s="39" t="inlineStr">
        <is>
          <t>F80001 N+3.00</t>
        </is>
      </c>
      <c r="D7" s="39" t="inlineStr">
        <is>
          <t>N+3.00</t>
        </is>
      </c>
      <c r="E7" s="52" t="n">
        <v>1.9168</v>
      </c>
      <c r="F7" s="55">
        <f>TABLEROS!$R$9</f>
        <v>855.275510204082</v>
      </c>
      <c r="G7" s="34">
        <f>E7*F7/1000</f>
        <v>1.63939209795918</v>
      </c>
      <c r="H7" s="55">
        <f>TABLEROS!$Q$9</f>
        <v>628.673469387755</v>
      </c>
      <c r="I7" s="34">
        <f>E7*H7/1000</f>
        <v>1.20504130612245</v>
      </c>
      <c r="J7" s="39" t="inlineStr">
        <is>
          <t>NP</t>
        </is>
      </c>
      <c r="K7" s="35" t="str">
        <f>PRINCIPALES!$AX$10</f>
        <v>NO CUMPLE: sección insuficiente en flexión deflexión → h ≥ 30 cm</v>
      </c>
    </row>
    <row r="8">
      <c r="B8" s="39" t="inlineStr">
        <is>
          <t>DM-32</t>
        </is>
      </c>
      <c r="C8" s="39" t="inlineStr">
        <is>
          <t>F80001 N+3.00</t>
        </is>
      </c>
      <c r="D8" s="39" t="inlineStr">
        <is>
          <t>N+3.00</t>
        </is>
      </c>
      <c r="E8" s="52" t="n">
        <v>0.251</v>
      </c>
      <c r="F8" s="55">
        <f>TABLEROS!$R$9</f>
        <v>855.275510204082</v>
      </c>
      <c r="G8" s="34">
        <f>E8*F8/1000</f>
        <v>0.214674153061224</v>
      </c>
      <c r="H8" s="55">
        <f>TABLEROS!$Q$9</f>
        <v>628.673469387755</v>
      </c>
      <c r="I8" s="34">
        <f>E8*H8/1000</f>
        <v>0.157797040816327</v>
      </c>
      <c r="J8" s="39" t="inlineStr">
        <is>
          <t>DM</t>
        </is>
      </c>
      <c r="K8" s="35" t="inlineStr">
        <is>
          <t>sobre muro</t>
        </is>
      </c>
    </row>
    <row r="9">
      <c r="B9" s="39" t="inlineStr">
        <is>
          <t>NP-01</t>
        </is>
      </c>
      <c r="C9" s="39" t="inlineStr">
        <is>
          <t>F80001 N+3.00</t>
        </is>
      </c>
      <c r="D9" s="39" t="inlineStr">
        <is>
          <t>N+3.00</t>
        </is>
      </c>
      <c r="E9" s="52" t="n">
        <v>1.9168</v>
      </c>
      <c r="F9" s="55">
        <f>TABLEROS!$R$9</f>
        <v>855.275510204082</v>
      </c>
      <c r="G9" s="34">
        <f>E9*F9/1000</f>
        <v>1.63939209795918</v>
      </c>
      <c r="H9" s="55">
        <f>TABLEROS!$Q$9</f>
        <v>628.673469387755</v>
      </c>
      <c r="I9" s="34">
        <f>E9*H9/1000</f>
        <v>1.20504130612245</v>
      </c>
      <c r="J9" s="39" t="inlineStr">
        <is>
          <t>NP</t>
        </is>
      </c>
      <c r="K9" s="35" t="str">
        <f>PRINCIPALES!$AX$9</f>
        <v>NO CUMPLE: deflexión → h ≥ 30 cm</v>
      </c>
    </row>
    <row r="10">
      <c r="B10" s="39" t="inlineStr">
        <is>
          <t>NP-02</t>
        </is>
      </c>
      <c r="C10" s="39" t="inlineStr">
        <is>
          <t>F80003 N+3.00</t>
        </is>
      </c>
      <c r="D10" s="39" t="inlineStr">
        <is>
          <t>N+3.00</t>
        </is>
      </c>
      <c r="E10" s="52" t="n">
        <v>3.7943</v>
      </c>
      <c r="F10" s="55">
        <f>TABLEROS!$R$10</f>
        <v>822.775510204082</v>
      </c>
      <c r="G10" s="34">
        <f>E10*F10/1000</f>
        <v>3.12185711836735</v>
      </c>
      <c r="H10" s="55">
        <f>TABLEROS!$Q$10</f>
        <v>603.673469387755</v>
      </c>
      <c r="I10" s="34">
        <f>E10*H10/1000</f>
        <v>2.29051824489796</v>
      </c>
      <c r="J10" s="39" t="inlineStr">
        <is>
          <t>NP</t>
        </is>
      </c>
      <c r="K10" s="35" t="str">
        <f>PRINCIPALES!$AX$10</f>
        <v>NO CUMPLE: sección insuficiente en flexión deflexión → h ≥ 30 cm</v>
      </c>
    </row>
    <row r="11">
      <c r="B11" s="39" t="inlineStr">
        <is>
          <t>NP-21</t>
        </is>
      </c>
      <c r="C11" s="39" t="inlineStr">
        <is>
          <t>F80003 N+3.00</t>
        </is>
      </c>
      <c r="D11" s="39" t="inlineStr">
        <is>
          <t>N+3.00</t>
        </is>
      </c>
      <c r="E11" s="52" t="n">
        <v>2.2754</v>
      </c>
      <c r="F11" s="55">
        <f>TABLEROS!$R$10</f>
        <v>822.775510204082</v>
      </c>
      <c r="G11" s="34">
        <f>E11*F11/1000</f>
        <v>1.87214339591837</v>
      </c>
      <c r="H11" s="55">
        <f>TABLEROS!$Q$10</f>
        <v>603.673469387755</v>
      </c>
      <c r="I11" s="34">
        <f>E11*H11/1000</f>
        <v>1.3735986122449</v>
      </c>
      <c r="J11" s="39" t="inlineStr">
        <is>
          <t>NP</t>
        </is>
      </c>
      <c r="K11" s="35" t="str">
        <f>PRINCIPALES!$AX$29</f>
        <v>CUMPLE</v>
      </c>
    </row>
    <row r="12">
      <c r="B12" s="39" t="inlineStr">
        <is>
          <t>DM-03</t>
        </is>
      </c>
      <c r="C12" s="39" t="inlineStr">
        <is>
          <t>F80003 N+3.00</t>
        </is>
      </c>
      <c r="D12" s="39" t="inlineStr">
        <is>
          <t>N+3.00</t>
        </is>
      </c>
      <c r="E12" s="52" t="n">
        <v>0.5723</v>
      </c>
      <c r="F12" s="55">
        <f>TABLEROS!$R$10</f>
        <v>822.775510204082</v>
      </c>
      <c r="G12" s="34">
        <f>E12*F12/1000</f>
        <v>0.470874424489796</v>
      </c>
      <c r="H12" s="55">
        <f>TABLEROS!$Q$10</f>
        <v>603.673469387755</v>
      </c>
      <c r="I12" s="34">
        <f>E12*H12/1000</f>
        <v>0.345482326530612</v>
      </c>
      <c r="J12" s="39" t="inlineStr">
        <is>
          <t>DM</t>
        </is>
      </c>
      <c r="K12" s="35" t="inlineStr">
        <is>
          <t>sobre muro</t>
        </is>
      </c>
    </row>
    <row r="13">
      <c r="B13" s="39" t="inlineStr">
        <is>
          <t>DM-04</t>
        </is>
      </c>
      <c r="C13" s="39" t="inlineStr">
        <is>
          <t>F80003 N+3.00</t>
        </is>
      </c>
      <c r="D13" s="39" t="inlineStr">
        <is>
          <t>N+3.00</t>
        </is>
      </c>
      <c r="E13" s="52" t="n">
        <v>0.2305</v>
      </c>
      <c r="F13" s="55">
        <f>TABLEROS!$R$10</f>
        <v>822.775510204082</v>
      </c>
      <c r="G13" s="34">
        <f>E13*F13/1000</f>
        <v>0.189649755102041</v>
      </c>
      <c r="H13" s="55">
        <f>TABLEROS!$Q$10</f>
        <v>603.673469387755</v>
      </c>
      <c r="I13" s="34">
        <f>E13*H13/1000</f>
        <v>0.139146734693878</v>
      </c>
      <c r="J13" s="39" t="inlineStr">
        <is>
          <t>DM</t>
        </is>
      </c>
      <c r="K13" s="35" t="inlineStr">
        <is>
          <t>sobre muro</t>
        </is>
      </c>
    </row>
    <row r="14">
      <c r="B14" s="39" t="inlineStr">
        <is>
          <t>DM-44</t>
        </is>
      </c>
      <c r="C14" s="39" t="inlineStr">
        <is>
          <t>F80003 N+3.00</t>
        </is>
      </c>
      <c r="D14" s="39" t="inlineStr">
        <is>
          <t>N+3.00</t>
        </is>
      </c>
      <c r="E14" s="52" t="n">
        <v>0.18</v>
      </c>
      <c r="F14" s="55">
        <f>TABLEROS!$R$10</f>
        <v>822.775510204082</v>
      </c>
      <c r="G14" s="34">
        <f>E14*F14/1000</f>
        <v>0.148099591836735</v>
      </c>
      <c r="H14" s="55">
        <f>TABLEROS!$Q$10</f>
        <v>603.673469387755</v>
      </c>
      <c r="I14" s="34">
        <f>E14*H14/1000</f>
        <v>0.108661224489796</v>
      </c>
      <c r="J14" s="39" t="inlineStr">
        <is>
          <t>DM</t>
        </is>
      </c>
      <c r="K14" s="35" t="inlineStr">
        <is>
          <t>sobre muro</t>
        </is>
      </c>
    </row>
    <row r="15">
      <c r="B15" s="39" t="inlineStr">
        <is>
          <t>DM-01</t>
        </is>
      </c>
      <c r="C15" s="39" t="inlineStr">
        <is>
          <t>F80003 N+3.00</t>
        </is>
      </c>
      <c r="D15" s="39" t="inlineStr">
        <is>
          <t>N+3.00</t>
        </is>
      </c>
      <c r="E15" s="52" t="n">
        <v>0.5778</v>
      </c>
      <c r="F15" s="55">
        <f>TABLEROS!$R$10</f>
        <v>822.775510204082</v>
      </c>
      <c r="G15" s="34">
        <f>E15*F15/1000</f>
        <v>0.475399689795918</v>
      </c>
      <c r="H15" s="55">
        <f>TABLEROS!$Q$10</f>
        <v>603.673469387755</v>
      </c>
      <c r="I15" s="34">
        <f>E15*H15/1000</f>
        <v>0.348802530612245</v>
      </c>
      <c r="J15" s="39" t="inlineStr">
        <is>
          <t>DM</t>
        </is>
      </c>
      <c r="K15" s="35" t="inlineStr">
        <is>
          <t>sobre muro</t>
        </is>
      </c>
    </row>
    <row r="16">
      <c r="B16" s="39" t="inlineStr">
        <is>
          <t>DM-02</t>
        </is>
      </c>
      <c r="C16" s="39" t="inlineStr">
        <is>
          <t>F80003 N+3.00</t>
        </is>
      </c>
      <c r="D16" s="39" t="inlineStr">
        <is>
          <t>N+3.00</t>
        </is>
      </c>
      <c r="E16" s="52" t="n">
        <v>2.2337</v>
      </c>
      <c r="F16" s="55">
        <f>TABLEROS!$R$10</f>
        <v>822.775510204082</v>
      </c>
      <c r="G16" s="34">
        <f>E16*F16/1000</f>
        <v>1.83783365714286</v>
      </c>
      <c r="H16" s="55">
        <f>TABLEROS!$Q$10</f>
        <v>603.673469387755</v>
      </c>
      <c r="I16" s="34">
        <f>E16*H16/1000</f>
        <v>1.34842542857143</v>
      </c>
      <c r="J16" s="39" t="inlineStr">
        <is>
          <t>DM</t>
        </is>
      </c>
      <c r="K16" s="35" t="inlineStr">
        <is>
          <t>sobre muro</t>
        </is>
      </c>
    </row>
    <row r="17">
      <c r="B17" s="39" t="inlineStr">
        <is>
          <t>DM-33</t>
        </is>
      </c>
      <c r="C17" s="39" t="inlineStr">
        <is>
          <t>F80003 N+3.00</t>
        </is>
      </c>
      <c r="D17" s="39" t="inlineStr">
        <is>
          <t>N+3.00</t>
        </is>
      </c>
      <c r="E17" s="52" t="n">
        <v>1.4702</v>
      </c>
      <c r="F17" s="55">
        <f>TABLEROS!$R$10</f>
        <v>822.775510204082</v>
      </c>
      <c r="G17" s="34">
        <f>E17*F17/1000</f>
        <v>1.20964455510204</v>
      </c>
      <c r="H17" s="55">
        <f>TABLEROS!$Q$10</f>
        <v>603.673469387755</v>
      </c>
      <c r="I17" s="34">
        <f>E17*H17/1000</f>
        <v>0.887520734693878</v>
      </c>
      <c r="J17" s="39" t="inlineStr">
        <is>
          <t>DM</t>
        </is>
      </c>
      <c r="K17" s="35" t="inlineStr">
        <is>
          <t>sobre muro</t>
        </is>
      </c>
    </row>
    <row r="18">
      <c r="B18" s="39" t="inlineStr">
        <is>
          <t>DM-04</t>
        </is>
      </c>
      <c r="C18" s="39" t="inlineStr">
        <is>
          <t>F80004 N+3.00</t>
        </is>
      </c>
      <c r="D18" s="39" t="inlineStr">
        <is>
          <t>N+3.00</t>
        </is>
      </c>
      <c r="E18" s="52" t="n">
        <v>0.4415</v>
      </c>
      <c r="F18" s="55">
        <f>TABLEROS!$R$11</f>
        <v>913.775510204082</v>
      </c>
      <c r="G18" s="34">
        <f>E18*F18/1000</f>
        <v>0.403431887755102</v>
      </c>
      <c r="H18" s="55">
        <f>TABLEROS!$Q$11</f>
        <v>673.673469387755</v>
      </c>
      <c r="I18" s="34">
        <f>E18*H18/1000</f>
        <v>0.297426836734694</v>
      </c>
      <c r="J18" s="39" t="inlineStr">
        <is>
          <t>DM</t>
        </is>
      </c>
      <c r="K18" s="35" t="inlineStr">
        <is>
          <t>sobre muro</t>
        </is>
      </c>
    </row>
    <row r="19">
      <c r="B19" s="39" t="inlineStr">
        <is>
          <t>DM-05</t>
        </is>
      </c>
      <c r="C19" s="39" t="inlineStr">
        <is>
          <t>F80004 N+3.00</t>
        </is>
      </c>
      <c r="D19" s="39" t="inlineStr">
        <is>
          <t>N+3.00</t>
        </is>
      </c>
      <c r="E19" s="52" t="n">
        <v>0.1953</v>
      </c>
      <c r="F19" s="55">
        <f>TABLEROS!$R$11</f>
        <v>913.775510204082</v>
      </c>
      <c r="G19" s="34">
        <f>E19*F19/1000</f>
        <v>0.178460357142857</v>
      </c>
      <c r="H19" s="55">
        <f>TABLEROS!$Q$11</f>
        <v>673.673469387755</v>
      </c>
      <c r="I19" s="34">
        <f>E19*H19/1000</f>
        <v>0.131568428571429</v>
      </c>
      <c r="J19" s="39" t="inlineStr">
        <is>
          <t>DM</t>
        </is>
      </c>
      <c r="K19" s="35" t="inlineStr">
        <is>
          <t>sobre muro</t>
        </is>
      </c>
    </row>
    <row r="20">
      <c r="B20" s="39" t="inlineStr">
        <is>
          <t>NP-21</t>
        </is>
      </c>
      <c r="C20" s="39" t="inlineStr">
        <is>
          <t>F80004 N+3.00</t>
        </is>
      </c>
      <c r="D20" s="39" t="inlineStr">
        <is>
          <t>N+3.00</t>
        </is>
      </c>
      <c r="E20" s="52" t="n">
        <v>1.7771</v>
      </c>
      <c r="F20" s="55">
        <f>TABLEROS!$R$11</f>
        <v>913.775510204082</v>
      </c>
      <c r="G20" s="34">
        <f>E20*F20/1000</f>
        <v>1.62387045918367</v>
      </c>
      <c r="H20" s="55">
        <f>TABLEROS!$Q$11</f>
        <v>673.673469387755</v>
      </c>
      <c r="I20" s="34">
        <f>E20*H20/1000</f>
        <v>1.19718512244898</v>
      </c>
      <c r="J20" s="39" t="inlineStr">
        <is>
          <t>NP</t>
        </is>
      </c>
      <c r="K20" s="35" t="str">
        <f>PRINCIPALES!$AX$29</f>
        <v>CUMPLE</v>
      </c>
    </row>
    <row r="21">
      <c r="B21" s="39" t="inlineStr">
        <is>
          <t>NP-03</t>
        </is>
      </c>
      <c r="C21" s="39" t="inlineStr">
        <is>
          <t>F80004 N+3.00</t>
        </is>
      </c>
      <c r="D21" s="39" t="inlineStr">
        <is>
          <t>N+3.00</t>
        </is>
      </c>
      <c r="E21" s="52" t="n">
        <v>0.6368</v>
      </c>
      <c r="F21" s="55">
        <f>TABLEROS!$R$11</f>
        <v>913.775510204082</v>
      </c>
      <c r="G21" s="34">
        <f>E21*F21/1000</f>
        <v>0.581892244897959</v>
      </c>
      <c r="H21" s="55">
        <f>TABLEROS!$Q$11</f>
        <v>673.673469387755</v>
      </c>
      <c r="I21" s="34">
        <f>E21*H21/1000</f>
        <v>0.428995265306123</v>
      </c>
      <c r="J21" s="39" t="inlineStr">
        <is>
          <t>NP</t>
        </is>
      </c>
      <c r="K21" s="35" t="str">
        <f>PRINCIPALES!$AX$11</f>
        <v>CUMPLE</v>
      </c>
    </row>
    <row r="22">
      <c r="B22" s="39" t="inlineStr">
        <is>
          <t>NP-29</t>
        </is>
      </c>
      <c r="C22" s="39" t="inlineStr">
        <is>
          <t>F80004 N+3.00</t>
        </is>
      </c>
      <c r="D22" s="39" t="inlineStr">
        <is>
          <t>N+3.00</t>
        </is>
      </c>
      <c r="E22" s="52" t="n">
        <v>1.7771</v>
      </c>
      <c r="F22" s="55">
        <f>TABLEROS!$R$11</f>
        <v>913.775510204082</v>
      </c>
      <c r="G22" s="34">
        <f>E22*F22/1000</f>
        <v>1.62387045918367</v>
      </c>
      <c r="H22" s="55">
        <f>TABLEROS!$Q$11</f>
        <v>673.673469387755</v>
      </c>
      <c r="I22" s="34">
        <f>E22*H22/1000</f>
        <v>1.19718512244898</v>
      </c>
      <c r="J22" s="39" t="inlineStr">
        <is>
          <t>NP</t>
        </is>
      </c>
      <c r="K22" s="35" t="str">
        <f>PRINCIPALES!$AX$37</f>
        <v>CUMPLE</v>
      </c>
    </row>
    <row r="23">
      <c r="B23" s="39" t="inlineStr">
        <is>
          <t>DM-01</t>
        </is>
      </c>
      <c r="C23" s="39" t="inlineStr">
        <is>
          <t>F80005 N+3.00</t>
        </is>
      </c>
      <c r="D23" s="39" t="inlineStr">
        <is>
          <t>N+3.00</t>
        </is>
      </c>
      <c r="E23" s="52" t="n">
        <v>0.5403</v>
      </c>
      <c r="F23" s="55">
        <f>TABLEROS!$R$12</f>
        <v>822.775510204082</v>
      </c>
      <c r="G23" s="34">
        <f>E23*F23/1000</f>
        <v>0.444545608163265</v>
      </c>
      <c r="H23" s="55">
        <f>TABLEROS!$Q$12</f>
        <v>603.673469387755</v>
      </c>
      <c r="I23" s="34">
        <f>E23*H23/1000</f>
        <v>0.326164775510204</v>
      </c>
      <c r="J23" s="39" t="inlineStr">
        <is>
          <t>DM</t>
        </is>
      </c>
      <c r="K23" s="35" t="inlineStr">
        <is>
          <t>sobre muro</t>
        </is>
      </c>
    </row>
    <row r="24">
      <c r="B24" s="39" t="inlineStr">
        <is>
          <t>DM-02</t>
        </is>
      </c>
      <c r="C24" s="39" t="inlineStr">
        <is>
          <t>F80005 N+3.00</t>
        </is>
      </c>
      <c r="D24" s="39" t="inlineStr">
        <is>
          <t>N+3.00</t>
        </is>
      </c>
      <c r="E24" s="52" t="n">
        <v>1.161</v>
      </c>
      <c r="F24" s="55">
        <f>TABLEROS!$R$12</f>
        <v>822.775510204082</v>
      </c>
      <c r="G24" s="34">
        <f>E24*F24/1000</f>
        <v>0.955242367346939</v>
      </c>
      <c r="H24" s="55">
        <f>TABLEROS!$Q$12</f>
        <v>603.673469387755</v>
      </c>
      <c r="I24" s="34">
        <f>E24*H24/1000</f>
        <v>0.700864897959184</v>
      </c>
      <c r="J24" s="39" t="inlineStr">
        <is>
          <t>DM</t>
        </is>
      </c>
      <c r="K24" s="35" t="inlineStr">
        <is>
          <t>sobre muro</t>
        </is>
      </c>
    </row>
    <row r="25">
      <c r="B25" s="39" t="inlineStr">
        <is>
          <t>DM-44</t>
        </is>
      </c>
      <c r="C25" s="39" t="inlineStr">
        <is>
          <t>F80005 N+3.00</t>
        </is>
      </c>
      <c r="D25" s="39" t="inlineStr">
        <is>
          <t>N+3.00</t>
        </is>
      </c>
      <c r="E25" s="52" t="n">
        <v>0.18</v>
      </c>
      <c r="F25" s="55">
        <f>TABLEROS!$R$12</f>
        <v>822.775510204082</v>
      </c>
      <c r="G25" s="34">
        <f>E25*F25/1000</f>
        <v>0.148099591836735</v>
      </c>
      <c r="H25" s="55">
        <f>TABLEROS!$Q$12</f>
        <v>603.673469387755</v>
      </c>
      <c r="I25" s="34">
        <f>E25*H25/1000</f>
        <v>0.108661224489796</v>
      </c>
      <c r="J25" s="39" t="inlineStr">
        <is>
          <t>DM</t>
        </is>
      </c>
      <c r="K25" s="35" t="inlineStr">
        <is>
          <t>sobre muro</t>
        </is>
      </c>
    </row>
    <row r="26">
      <c r="B26" s="39" t="inlineStr">
        <is>
          <t>DM-45</t>
        </is>
      </c>
      <c r="C26" s="39" t="inlineStr">
        <is>
          <t>F80005 N+3.00</t>
        </is>
      </c>
      <c r="D26" s="39" t="inlineStr">
        <is>
          <t>N+3.00</t>
        </is>
      </c>
      <c r="E26" s="52" t="n">
        <v>0.065</v>
      </c>
      <c r="F26" s="55">
        <f>TABLEROS!$R$12</f>
        <v>822.775510204082</v>
      </c>
      <c r="G26" s="34">
        <f>E26*F26/1000</f>
        <v>0.0534804081632653</v>
      </c>
      <c r="H26" s="55">
        <f>TABLEROS!$Q$12</f>
        <v>603.673469387755</v>
      </c>
      <c r="I26" s="34">
        <f>E26*H26/1000</f>
        <v>0.0392387755102041</v>
      </c>
      <c r="J26" s="39" t="inlineStr">
        <is>
          <t>DM</t>
        </is>
      </c>
      <c r="K26" s="35" t="inlineStr">
        <is>
          <t>sobre muro</t>
        </is>
      </c>
    </row>
    <row r="27">
      <c r="B27" s="39" t="inlineStr">
        <is>
          <t>DM-46</t>
        </is>
      </c>
      <c r="C27" s="39" t="inlineStr">
        <is>
          <t>F80005 N+3.00</t>
        </is>
      </c>
      <c r="D27" s="39" t="inlineStr">
        <is>
          <t>N+3.00</t>
        </is>
      </c>
      <c r="E27" s="52" t="n">
        <v>0.3966</v>
      </c>
      <c r="F27" s="55">
        <f>TABLEROS!$R$12</f>
        <v>822.775510204082</v>
      </c>
      <c r="G27" s="34">
        <f>E27*F27/1000</f>
        <v>0.326312767346939</v>
      </c>
      <c r="H27" s="55">
        <f>TABLEROS!$Q$12</f>
        <v>603.673469387755</v>
      </c>
      <c r="I27" s="34">
        <f>E27*H27/1000</f>
        <v>0.239416897959184</v>
      </c>
      <c r="J27" s="39" t="inlineStr">
        <is>
          <t>DM</t>
        </is>
      </c>
      <c r="K27" s="35" t="inlineStr">
        <is>
          <t>sobre muro</t>
        </is>
      </c>
    </row>
    <row r="28">
      <c r="B28" s="39" t="inlineStr">
        <is>
          <t>DM-06</t>
        </is>
      </c>
      <c r="C28" s="39" t="inlineStr">
        <is>
          <t>F80005 N+3.00</t>
        </is>
      </c>
      <c r="D28" s="39" t="inlineStr">
        <is>
          <t>N+3.00</t>
        </is>
      </c>
      <c r="E28" s="52" t="n">
        <v>1.7013</v>
      </c>
      <c r="F28" s="55">
        <f>TABLEROS!$R$12</f>
        <v>822.775510204082</v>
      </c>
      <c r="G28" s="34">
        <f>E28*F28/1000</f>
        <v>1.3997879755102</v>
      </c>
      <c r="H28" s="55">
        <f>TABLEROS!$Q$12</f>
        <v>603.673469387755</v>
      </c>
      <c r="I28" s="34">
        <f>E28*H28/1000</f>
        <v>1.02702967346939</v>
      </c>
      <c r="J28" s="39" t="inlineStr">
        <is>
          <t>DM</t>
        </is>
      </c>
      <c r="K28" s="35" t="inlineStr">
        <is>
          <t>sobre muro</t>
        </is>
      </c>
    </row>
    <row r="29">
      <c r="B29" s="39" t="inlineStr">
        <is>
          <t>DM-34</t>
        </is>
      </c>
      <c r="C29" s="39" t="inlineStr">
        <is>
          <t>F80005 N+3.00</t>
        </is>
      </c>
      <c r="D29" s="39" t="inlineStr">
        <is>
          <t>N+3.00</t>
        </is>
      </c>
      <c r="E29" s="52" t="n">
        <v>0.6415999999999999</v>
      </c>
      <c r="F29" s="55">
        <f>TABLEROS!$R$12</f>
        <v>822.775510204082</v>
      </c>
      <c r="G29" s="34">
        <f>E29*F29/1000</f>
        <v>0.527892767346939</v>
      </c>
      <c r="H29" s="55">
        <f>TABLEROS!$Q$12</f>
        <v>603.673469387755</v>
      </c>
      <c r="I29" s="34">
        <f>E29*H29/1000</f>
        <v>0.387316897959184</v>
      </c>
      <c r="J29" s="39" t="inlineStr">
        <is>
          <t>DM</t>
        </is>
      </c>
      <c r="K29" s="35" t="inlineStr">
        <is>
          <t>sobre muro</t>
        </is>
      </c>
    </row>
    <row r="30">
      <c r="B30" s="39" t="inlineStr">
        <is>
          <t>DM-45</t>
        </is>
      </c>
      <c r="C30" s="39" t="inlineStr">
        <is>
          <t>F80006 N+3.00</t>
        </is>
      </c>
      <c r="D30" s="39" t="inlineStr">
        <is>
          <t>N+3.00</t>
        </is>
      </c>
      <c r="E30" s="52" t="n">
        <v>0.005</v>
      </c>
      <c r="F30" s="55">
        <f>TABLEROS!$R$13</f>
        <v>822.775510204082</v>
      </c>
      <c r="G30" s="34">
        <f>E30*F30/1000</f>
        <v>0.00411387755102041</v>
      </c>
      <c r="H30" s="55">
        <f>TABLEROS!$Q$13</f>
        <v>603.673469387755</v>
      </c>
      <c r="I30" s="34">
        <f>E30*H30/1000</f>
        <v>0.00301836734693878</v>
      </c>
      <c r="J30" s="39" t="inlineStr">
        <is>
          <t>DM</t>
        </is>
      </c>
      <c r="K30" s="35" t="inlineStr">
        <is>
          <t>sobre muro</t>
        </is>
      </c>
    </row>
    <row r="31">
      <c r="B31" s="39" t="inlineStr">
        <is>
          <t>DM-46</t>
        </is>
      </c>
      <c r="C31" s="39" t="inlineStr">
        <is>
          <t>F80006 N+3.00</t>
        </is>
      </c>
      <c r="D31" s="39" t="inlineStr">
        <is>
          <t>N+3.00</t>
        </is>
      </c>
      <c r="E31" s="52" t="n">
        <v>0.246</v>
      </c>
      <c r="F31" s="55">
        <f>TABLEROS!$R$13</f>
        <v>822.775510204082</v>
      </c>
      <c r="G31" s="34">
        <f>E31*F31/1000</f>
        <v>0.202402775510204</v>
      </c>
      <c r="H31" s="55">
        <f>TABLEROS!$Q$13</f>
        <v>603.673469387755</v>
      </c>
      <c r="I31" s="34">
        <f>E31*H31/1000</f>
        <v>0.148503673469388</v>
      </c>
      <c r="J31" s="39" t="inlineStr">
        <is>
          <t>DM</t>
        </is>
      </c>
      <c r="K31" s="35" t="inlineStr">
        <is>
          <t>sobre muro</t>
        </is>
      </c>
    </row>
    <row r="32">
      <c r="B32" s="39" t="inlineStr">
        <is>
          <t>DM-03</t>
        </is>
      </c>
      <c r="C32" s="39" t="inlineStr">
        <is>
          <t>F80006 N+3.00</t>
        </is>
      </c>
      <c r="D32" s="39" t="inlineStr">
        <is>
          <t>N+3.00</t>
        </is>
      </c>
      <c r="E32" s="52" t="n">
        <v>0.2367</v>
      </c>
      <c r="F32" s="55">
        <f>TABLEROS!$R$13</f>
        <v>822.775510204082</v>
      </c>
      <c r="G32" s="34">
        <f>E32*F32/1000</f>
        <v>0.194750963265306</v>
      </c>
      <c r="H32" s="55">
        <f>TABLEROS!$Q$13</f>
        <v>603.673469387755</v>
      </c>
      <c r="I32" s="34">
        <f>E32*H32/1000</f>
        <v>0.142889510204082</v>
      </c>
      <c r="J32" s="39" t="inlineStr">
        <is>
          <t>DM</t>
        </is>
      </c>
      <c r="K32" s="35" t="inlineStr">
        <is>
          <t>sobre muro</t>
        </is>
      </c>
    </row>
    <row r="33">
      <c r="B33" s="39" t="inlineStr">
        <is>
          <t>DM-04</t>
        </is>
      </c>
      <c r="C33" s="39" t="inlineStr">
        <is>
          <t>F80006 N+3.00</t>
        </is>
      </c>
      <c r="D33" s="39" t="inlineStr">
        <is>
          <t>N+3.00</t>
        </is>
      </c>
      <c r="E33" s="52" t="n">
        <v>0.2147</v>
      </c>
      <c r="F33" s="55">
        <f>TABLEROS!$R$13</f>
        <v>822.775510204082</v>
      </c>
      <c r="G33" s="34">
        <f>E33*F33/1000</f>
        <v>0.176649902040816</v>
      </c>
      <c r="H33" s="55">
        <f>TABLEROS!$Q$13</f>
        <v>603.673469387755</v>
      </c>
      <c r="I33" s="34">
        <f>E33*H33/1000</f>
        <v>0.129608693877551</v>
      </c>
      <c r="J33" s="39" t="inlineStr">
        <is>
          <t>DM</t>
        </is>
      </c>
      <c r="K33" s="35" t="inlineStr">
        <is>
          <t>sobre muro</t>
        </is>
      </c>
    </row>
    <row r="34">
      <c r="B34" s="39" t="inlineStr">
        <is>
          <t>NP-22</t>
        </is>
      </c>
      <c r="C34" s="39" t="inlineStr">
        <is>
          <t>F80006 N+3.00</t>
        </is>
      </c>
      <c r="D34" s="39" t="inlineStr">
        <is>
          <t>N+3.00</t>
        </is>
      </c>
      <c r="E34" s="52" t="n">
        <v>0.251</v>
      </c>
      <c r="F34" s="55">
        <f>TABLEROS!$R$13</f>
        <v>822.775510204082</v>
      </c>
      <c r="G34" s="34">
        <f>E34*F34/1000</f>
        <v>0.206516653061224</v>
      </c>
      <c r="H34" s="55">
        <f>TABLEROS!$Q$13</f>
        <v>603.673469387755</v>
      </c>
      <c r="I34" s="34">
        <f>E34*H34/1000</f>
        <v>0.151522040816327</v>
      </c>
      <c r="J34" s="39" t="inlineStr">
        <is>
          <t>NP</t>
        </is>
      </c>
      <c r="K34" s="35" t="str">
        <f>PRINCIPALES!$AX$30</f>
        <v>CUMPLE</v>
      </c>
    </row>
    <row r="35">
      <c r="B35" s="39" t="inlineStr">
        <is>
          <t>NP-04</t>
        </is>
      </c>
      <c r="C35" s="39" t="inlineStr">
        <is>
          <t>F80006 N+3.00</t>
        </is>
      </c>
      <c r="D35" s="39" t="inlineStr">
        <is>
          <t>N+3.00</t>
        </is>
      </c>
      <c r="E35" s="52" t="n">
        <v>0.4514</v>
      </c>
      <c r="F35" s="55">
        <f>TABLEROS!$R$13</f>
        <v>822.775510204082</v>
      </c>
      <c r="G35" s="34">
        <f>E35*F35/1000</f>
        <v>0.371400865306122</v>
      </c>
      <c r="H35" s="55">
        <f>TABLEROS!$Q$13</f>
        <v>603.673469387755</v>
      </c>
      <c r="I35" s="34">
        <f>E35*H35/1000</f>
        <v>0.272498204081633</v>
      </c>
      <c r="J35" s="39" t="inlineStr">
        <is>
          <t>NP</t>
        </is>
      </c>
      <c r="K35" s="35" t="str">
        <f>PRINCIPALES!$AX$12</f>
        <v>CUMPLE</v>
      </c>
    </row>
    <row r="36">
      <c r="B36" s="39" t="inlineStr">
        <is>
          <t>DM-06</t>
        </is>
      </c>
      <c r="C36" s="39" t="inlineStr">
        <is>
          <t>F80007 N+3.00</t>
        </is>
      </c>
      <c r="D36" s="39" t="inlineStr">
        <is>
          <t>N+3.00</t>
        </is>
      </c>
      <c r="E36" s="52" t="n">
        <v>1.2434</v>
      </c>
      <c r="F36" s="55">
        <f>TABLEROS!$R$14</f>
        <v>822.775510204082</v>
      </c>
      <c r="G36" s="34">
        <f>E36*F36/1000</f>
        <v>1.02303906938776</v>
      </c>
      <c r="H36" s="55">
        <f>TABLEROS!$Q$14</f>
        <v>603.673469387755</v>
      </c>
      <c r="I36" s="34">
        <f>E36*H36/1000</f>
        <v>0.750607591836735</v>
      </c>
      <c r="J36" s="39" t="inlineStr">
        <is>
          <t>DM</t>
        </is>
      </c>
      <c r="K36" s="35" t="inlineStr">
        <is>
          <t>sobre muro</t>
        </is>
      </c>
    </row>
    <row r="37">
      <c r="B37" s="39" t="inlineStr">
        <is>
          <t>NP-04</t>
        </is>
      </c>
      <c r="C37" s="39" t="inlineStr">
        <is>
          <t>F80007 N+3.00</t>
        </is>
      </c>
      <c r="D37" s="39" t="inlineStr">
        <is>
          <t>N+3.00</t>
        </is>
      </c>
      <c r="E37" s="52" t="n">
        <v>0.5405</v>
      </c>
      <c r="F37" s="55">
        <f>TABLEROS!$R$14</f>
        <v>822.775510204082</v>
      </c>
      <c r="G37" s="34">
        <f>E37*F37/1000</f>
        <v>0.444710163265306</v>
      </c>
      <c r="H37" s="55">
        <f>TABLEROS!$Q$14</f>
        <v>603.673469387755</v>
      </c>
      <c r="I37" s="34">
        <f>E37*H37/1000</f>
        <v>0.326285510204082</v>
      </c>
      <c r="J37" s="39" t="inlineStr">
        <is>
          <t>NP</t>
        </is>
      </c>
      <c r="K37" s="35" t="str">
        <f>PRINCIPALES!$AX$12</f>
        <v>CUMPLE</v>
      </c>
    </row>
    <row r="38">
      <c r="B38" s="39" t="inlineStr">
        <is>
          <t>NP-22</t>
        </is>
      </c>
      <c r="C38" s="39" t="inlineStr">
        <is>
          <t>F80007 N+3.00</t>
        </is>
      </c>
      <c r="D38" s="39" t="inlineStr">
        <is>
          <t>N+3.00</t>
        </is>
      </c>
      <c r="E38" s="52" t="n">
        <v>0.213</v>
      </c>
      <c r="F38" s="55">
        <f>TABLEROS!$R$14</f>
        <v>822.775510204082</v>
      </c>
      <c r="G38" s="34">
        <f>E38*F38/1000</f>
        <v>0.175251183673469</v>
      </c>
      <c r="H38" s="55">
        <f>TABLEROS!$Q$14</f>
        <v>603.673469387755</v>
      </c>
      <c r="I38" s="34">
        <f>E38*H38/1000</f>
        <v>0.128582448979592</v>
      </c>
      <c r="J38" s="39" t="inlineStr">
        <is>
          <t>NP</t>
        </is>
      </c>
      <c r="K38" s="35" t="str">
        <f>PRINCIPALES!$AX$30</f>
        <v>CUMPLE</v>
      </c>
    </row>
    <row r="39">
      <c r="B39" s="39" t="inlineStr">
        <is>
          <t>NP-06</t>
        </is>
      </c>
      <c r="C39" s="39" t="inlineStr">
        <is>
          <t>F80007 N+3.00</t>
        </is>
      </c>
      <c r="D39" s="39" t="inlineStr">
        <is>
          <t>N+3.00</t>
        </is>
      </c>
      <c r="E39" s="52" t="n">
        <v>1.7839</v>
      </c>
      <c r="F39" s="55">
        <f>TABLEROS!$R$14</f>
        <v>822.775510204082</v>
      </c>
      <c r="G39" s="34">
        <f>E39*F39/1000</f>
        <v>1.46774923265306</v>
      </c>
      <c r="H39" s="55">
        <f>TABLEROS!$Q$14</f>
        <v>603.673469387755</v>
      </c>
      <c r="I39" s="34">
        <f>E39*H39/1000</f>
        <v>1.07689310204082</v>
      </c>
      <c r="J39" s="39" t="inlineStr">
        <is>
          <t>NP</t>
        </is>
      </c>
      <c r="K39" s="35" t="str">
        <f>PRINCIPALES!$AX$14</f>
        <v>NO CUMPLE: deflexión → h ≥ 30 cm</v>
      </c>
    </row>
    <row r="40">
      <c r="B40" s="39" t="inlineStr">
        <is>
          <t>DM-35</t>
        </is>
      </c>
      <c r="C40" s="39" t="inlineStr">
        <is>
          <t>F80007 N+3.00</t>
        </is>
      </c>
      <c r="D40" s="39" t="inlineStr">
        <is>
          <t>N+3.00</t>
        </is>
      </c>
      <c r="E40" s="52" t="n">
        <v>0.213</v>
      </c>
      <c r="F40" s="55">
        <f>TABLEROS!$R$14</f>
        <v>822.775510204082</v>
      </c>
      <c r="G40" s="34">
        <f>E40*F40/1000</f>
        <v>0.175251183673469</v>
      </c>
      <c r="H40" s="55">
        <f>TABLEROS!$Q$14</f>
        <v>603.673469387755</v>
      </c>
      <c r="I40" s="34">
        <f>E40*H40/1000</f>
        <v>0.128582448979592</v>
      </c>
      <c r="J40" s="39" t="inlineStr">
        <is>
          <t>DM</t>
        </is>
      </c>
      <c r="K40" s="35" t="inlineStr">
        <is>
          <t>sobre muro</t>
        </is>
      </c>
    </row>
    <row r="41">
      <c r="B41" s="39" t="inlineStr">
        <is>
          <t>NP-22</t>
        </is>
      </c>
      <c r="C41" s="39" t="inlineStr">
        <is>
          <t>F80008 N+3.00</t>
        </is>
      </c>
      <c r="D41" s="39" t="inlineStr">
        <is>
          <t>N+3.00</t>
        </is>
      </c>
      <c r="E41" s="52" t="n">
        <v>1.0041</v>
      </c>
      <c r="F41" s="55">
        <f>TABLEROS!$R$15</f>
        <v>822.775510204082</v>
      </c>
      <c r="G41" s="34">
        <f>E41*F41/1000</f>
        <v>0.826148889795918</v>
      </c>
      <c r="H41" s="55">
        <f>TABLEROS!$Q$15</f>
        <v>603.673469387755</v>
      </c>
      <c r="I41" s="34">
        <f>E41*H41/1000</f>
        <v>0.606148530612245</v>
      </c>
      <c r="J41" s="39" t="inlineStr">
        <is>
          <t>NP</t>
        </is>
      </c>
      <c r="K41" s="35" t="str">
        <f>PRINCIPALES!$AX$30</f>
        <v>CUMPLE</v>
      </c>
    </row>
    <row r="42">
      <c r="B42" s="39" t="inlineStr">
        <is>
          <t>NP-23</t>
        </is>
      </c>
      <c r="C42" s="39" t="inlineStr">
        <is>
          <t>F80008 N+3.00</t>
        </is>
      </c>
      <c r="D42" s="39" t="inlineStr">
        <is>
          <t>N+3.00</t>
        </is>
      </c>
      <c r="E42" s="52" t="n">
        <v>3.9563</v>
      </c>
      <c r="F42" s="55">
        <f>TABLEROS!$R$15</f>
        <v>822.775510204082</v>
      </c>
      <c r="G42" s="34">
        <f>E42*F42/1000</f>
        <v>3.25514675102041</v>
      </c>
      <c r="H42" s="55">
        <f>TABLEROS!$Q$15</f>
        <v>603.673469387755</v>
      </c>
      <c r="I42" s="34">
        <f>E42*H42/1000</f>
        <v>2.38831334693878</v>
      </c>
      <c r="J42" s="39" t="inlineStr">
        <is>
          <t>NP</t>
        </is>
      </c>
      <c r="K42" s="35" t="str">
        <f>PRINCIPALES!$AX$31</f>
        <v>NO CUMPLE: deflexión → h ≥ 40 cm</v>
      </c>
    </row>
    <row r="43">
      <c r="B43" s="39" t="inlineStr">
        <is>
          <t>DM-04</t>
        </is>
      </c>
      <c r="C43" s="39" t="inlineStr">
        <is>
          <t>F80008 N+3.00</t>
        </is>
      </c>
      <c r="D43" s="39" t="inlineStr">
        <is>
          <t>N+3.00</t>
        </is>
      </c>
      <c r="E43" s="52" t="n">
        <v>0.4415</v>
      </c>
      <c r="F43" s="55">
        <f>TABLEROS!$R$15</f>
        <v>822.775510204082</v>
      </c>
      <c r="G43" s="34">
        <f>E43*F43/1000</f>
        <v>0.363255387755102</v>
      </c>
      <c r="H43" s="55">
        <f>TABLEROS!$Q$15</f>
        <v>603.673469387755</v>
      </c>
      <c r="I43" s="34">
        <f>E43*H43/1000</f>
        <v>0.266521836734694</v>
      </c>
      <c r="J43" s="39" t="inlineStr">
        <is>
          <t>DM</t>
        </is>
      </c>
      <c r="K43" s="35" t="inlineStr">
        <is>
          <t>sobre muro</t>
        </is>
      </c>
    </row>
    <row r="44">
      <c r="B44" s="39" t="inlineStr">
        <is>
          <t>DM-05</t>
        </is>
      </c>
      <c r="C44" s="39" t="inlineStr">
        <is>
          <t>F80008 N+3.00</t>
        </is>
      </c>
      <c r="D44" s="39" t="inlineStr">
        <is>
          <t>N+3.00</t>
        </is>
      </c>
      <c r="E44" s="52" t="n">
        <v>0.1953</v>
      </c>
      <c r="F44" s="55">
        <f>TABLEROS!$R$15</f>
        <v>822.775510204082</v>
      </c>
      <c r="G44" s="34">
        <f>E44*F44/1000</f>
        <v>0.160688057142857</v>
      </c>
      <c r="H44" s="55">
        <f>TABLEROS!$Q$15</f>
        <v>603.673469387755</v>
      </c>
      <c r="I44" s="34">
        <f>E44*H44/1000</f>
        <v>0.117897428571429</v>
      </c>
      <c r="J44" s="39" t="inlineStr">
        <is>
          <t>DM</t>
        </is>
      </c>
      <c r="K44" s="35" t="inlineStr">
        <is>
          <t>sobre muro</t>
        </is>
      </c>
    </row>
    <row r="45">
      <c r="B45" s="39" t="inlineStr">
        <is>
          <t>DM-52</t>
        </is>
      </c>
      <c r="C45" s="39" t="inlineStr">
        <is>
          <t>F80008 N+3.00</t>
        </is>
      </c>
      <c r="D45" s="39" t="inlineStr">
        <is>
          <t>N+3.00</t>
        </is>
      </c>
      <c r="E45" s="52" t="n">
        <v>0.374</v>
      </c>
      <c r="F45" s="55">
        <f>TABLEROS!$R$15</f>
        <v>822.775510204082</v>
      </c>
      <c r="G45" s="34">
        <f>E45*F45/1000</f>
        <v>0.307718040816327</v>
      </c>
      <c r="H45" s="55">
        <f>TABLEROS!$Q$15</f>
        <v>603.673469387755</v>
      </c>
      <c r="I45" s="34">
        <f>E45*H45/1000</f>
        <v>0.22577387755102</v>
      </c>
      <c r="J45" s="39" t="inlineStr">
        <is>
          <t>DM</t>
        </is>
      </c>
      <c r="K45" s="35" t="inlineStr">
        <is>
          <t>sobre muro</t>
        </is>
      </c>
    </row>
    <row r="46">
      <c r="B46" s="39" t="inlineStr">
        <is>
          <t>NP-05</t>
        </is>
      </c>
      <c r="C46" s="39" t="inlineStr">
        <is>
          <t>F80008 N+3.00</t>
        </is>
      </c>
      <c r="D46" s="39" t="inlineStr">
        <is>
          <t>N+3.00</t>
        </is>
      </c>
      <c r="E46" s="52" t="n">
        <v>0.1072</v>
      </c>
      <c r="F46" s="55">
        <f>TABLEROS!$R$15</f>
        <v>822.775510204082</v>
      </c>
      <c r="G46" s="34">
        <f>E46*F46/1000</f>
        <v>0.0882015346938776</v>
      </c>
      <c r="H46" s="55">
        <f>TABLEROS!$Q$15</f>
        <v>603.673469387755</v>
      </c>
      <c r="I46" s="34">
        <f>E46*H46/1000</f>
        <v>0.0647137959183674</v>
      </c>
      <c r="J46" s="39" t="inlineStr">
        <is>
          <t>NP</t>
        </is>
      </c>
      <c r="K46" s="35" t="str">
        <f>PRINCIPALES!$AX$13</f>
        <v>CUMPLE (en VOLADO)</v>
      </c>
    </row>
    <row r="47">
      <c r="B47" s="39" t="inlineStr">
        <is>
          <t>NP-25</t>
        </is>
      </c>
      <c r="C47" s="39" t="inlineStr">
        <is>
          <t>F80008 N+3.00</t>
        </is>
      </c>
      <c r="D47" s="39" t="inlineStr">
        <is>
          <t>N+3.00</t>
        </is>
      </c>
      <c r="E47" s="52" t="n">
        <v>1.1115</v>
      </c>
      <c r="F47" s="55">
        <f>TABLEROS!$R$15</f>
        <v>822.775510204082</v>
      </c>
      <c r="G47" s="34">
        <f>E47*F47/1000</f>
        <v>0.914514979591837</v>
      </c>
      <c r="H47" s="55">
        <f>TABLEROS!$Q$15</f>
        <v>603.673469387755</v>
      </c>
      <c r="I47" s="34">
        <f>E47*H47/1000</f>
        <v>0.67098306122449</v>
      </c>
      <c r="J47" s="39" t="inlineStr">
        <is>
          <t>NP</t>
        </is>
      </c>
      <c r="K47" s="35" t="str">
        <f>PRINCIPALES!$AX$33</f>
        <v>CUMPLE</v>
      </c>
    </row>
    <row r="48">
      <c r="B48" s="39" t="inlineStr">
        <is>
          <t>NP-07</t>
        </is>
      </c>
      <c r="C48" s="39" t="inlineStr">
        <is>
          <t>F80008 N+3.00</t>
        </is>
      </c>
      <c r="D48" s="39" t="inlineStr">
        <is>
          <t>N+3.00</t>
        </is>
      </c>
      <c r="E48" s="52" t="n">
        <v>0.8476</v>
      </c>
      <c r="F48" s="55">
        <f>TABLEROS!$R$15</f>
        <v>822.775510204082</v>
      </c>
      <c r="G48" s="34">
        <f>E48*F48/1000</f>
        <v>0.69738452244898</v>
      </c>
      <c r="H48" s="55">
        <f>TABLEROS!$Q$15</f>
        <v>603.673469387755</v>
      </c>
      <c r="I48" s="34">
        <f>E48*H48/1000</f>
        <v>0.511673632653061</v>
      </c>
      <c r="J48" s="39" t="inlineStr">
        <is>
          <t>NP</t>
        </is>
      </c>
      <c r="K48" s="35" t="str">
        <f>PRINCIPALES!$AX$15</f>
        <v>CUMPLE (en VOLADO)</v>
      </c>
    </row>
    <row r="49">
      <c r="B49" s="39" t="inlineStr">
        <is>
          <t>NP-30</t>
        </is>
      </c>
      <c r="C49" s="39" t="inlineStr">
        <is>
          <t>F80008 N+3.00</t>
        </is>
      </c>
      <c r="D49" s="39" t="inlineStr">
        <is>
          <t>N+3.00</t>
        </is>
      </c>
      <c r="E49" s="52" t="n">
        <v>0.2704</v>
      </c>
      <c r="F49" s="55">
        <f>TABLEROS!$R$15</f>
        <v>822.775510204082</v>
      </c>
      <c r="G49" s="34">
        <f>E49*F49/1000</f>
        <v>0.222478497959184</v>
      </c>
      <c r="H49" s="55">
        <f>TABLEROS!$Q$15</f>
        <v>603.673469387755</v>
      </c>
      <c r="I49" s="34">
        <f>E49*H49/1000</f>
        <v>0.163233306122449</v>
      </c>
      <c r="J49" s="39" t="inlineStr">
        <is>
          <t>NP</t>
        </is>
      </c>
      <c r="K49" s="35" t="str">
        <f>PRINCIPALES!$AX$38</f>
        <v>CUMPLE (en VOLADO)</v>
      </c>
    </row>
    <row r="50">
      <c r="B50" s="39" t="inlineStr">
        <is>
          <t>NP-08</t>
        </is>
      </c>
      <c r="C50" s="39" t="inlineStr">
        <is>
          <t>F80008 N+3.00</t>
        </is>
      </c>
      <c r="D50" s="39" t="inlineStr">
        <is>
          <t>N+3.00</t>
        </is>
      </c>
      <c r="E50" s="52" t="n">
        <v>0.8871</v>
      </c>
      <c r="F50" s="55">
        <f>TABLEROS!$R$15</f>
        <v>822.775510204082</v>
      </c>
      <c r="G50" s="34">
        <f>E50*F50/1000</f>
        <v>0.729884155102041</v>
      </c>
      <c r="H50" s="55">
        <f>TABLEROS!$Q$15</f>
        <v>603.673469387755</v>
      </c>
      <c r="I50" s="34">
        <f>E50*H50/1000</f>
        <v>0.535518734693878</v>
      </c>
      <c r="J50" s="39" t="inlineStr">
        <is>
          <t>NP</t>
        </is>
      </c>
      <c r="K50" s="35" t="str">
        <f>PRINCIPALES!$AX$16</f>
        <v>NO CUMPLE: sección insuficiente en flexión → h ≥ 30 cm</v>
      </c>
    </row>
    <row r="51">
      <c r="B51" s="39" t="inlineStr">
        <is>
          <t>NP-26</t>
        </is>
      </c>
      <c r="C51" s="39" t="inlineStr">
        <is>
          <t>F80008 N+3.00</t>
        </is>
      </c>
      <c r="D51" s="39" t="inlineStr">
        <is>
          <t>N+3.00</t>
        </is>
      </c>
      <c r="E51" s="52" t="n">
        <v>3.5278</v>
      </c>
      <c r="F51" s="55">
        <f>TABLEROS!$R$15</f>
        <v>822.775510204082</v>
      </c>
      <c r="G51" s="34">
        <f>E51*F51/1000</f>
        <v>2.90258744489796</v>
      </c>
      <c r="H51" s="55">
        <f>TABLEROS!$Q$15</f>
        <v>603.673469387755</v>
      </c>
      <c r="I51" s="34">
        <f>E51*H51/1000</f>
        <v>2.12963926530612</v>
      </c>
      <c r="J51" s="39" t="inlineStr">
        <is>
          <t>NP</t>
        </is>
      </c>
      <c r="K51" s="35" t="str">
        <f>PRINCIPALES!$AX$34</f>
        <v>NO CUMPLE: sección insuficiente en flexión cortante deflexión → h ≥ 45 cm</v>
      </c>
    </row>
    <row r="52">
      <c r="B52" s="39" t="inlineStr">
        <is>
          <t>DM-11</t>
        </is>
      </c>
      <c r="C52" s="39" t="inlineStr">
        <is>
          <t>F80008 N+3.00</t>
        </is>
      </c>
      <c r="D52" s="39" t="inlineStr">
        <is>
          <t>N+3.00</t>
        </is>
      </c>
      <c r="E52" s="52" t="n">
        <v>0.1235</v>
      </c>
      <c r="F52" s="55">
        <f>TABLEROS!$R$15</f>
        <v>822.775510204082</v>
      </c>
      <c r="G52" s="34">
        <f>E52*F52/1000</f>
        <v>0.101612775510204</v>
      </c>
      <c r="H52" s="55">
        <f>TABLEROS!$Q$15</f>
        <v>603.673469387755</v>
      </c>
      <c r="I52" s="34">
        <f>E52*H52/1000</f>
        <v>0.0745536734693878</v>
      </c>
      <c r="J52" s="39" t="inlineStr">
        <is>
          <t>DM</t>
        </is>
      </c>
      <c r="K52" s="35" t="inlineStr">
        <is>
          <t>sobre muro</t>
        </is>
      </c>
    </row>
    <row r="53">
      <c r="B53" s="39" t="inlineStr">
        <is>
          <t>DM-47</t>
        </is>
      </c>
      <c r="C53" s="39" t="inlineStr">
        <is>
          <t>F80008 N+3.00</t>
        </is>
      </c>
      <c r="D53" s="39" t="inlineStr">
        <is>
          <t>N+3.00</t>
        </is>
      </c>
      <c r="E53" s="52" t="n">
        <v>0.8203</v>
      </c>
      <c r="F53" s="55">
        <f>TABLEROS!$R$15</f>
        <v>822.775510204082</v>
      </c>
      <c r="G53" s="34">
        <f>E53*F53/1000</f>
        <v>0.674922751020408</v>
      </c>
      <c r="H53" s="55">
        <f>TABLEROS!$Q$15</f>
        <v>603.673469387755</v>
      </c>
      <c r="I53" s="34">
        <f>E53*H53/1000</f>
        <v>0.495193346938776</v>
      </c>
      <c r="J53" s="39" t="inlineStr">
        <is>
          <t>DM</t>
        </is>
      </c>
      <c r="K53" s="35" t="inlineStr">
        <is>
          <t>sobre muro</t>
        </is>
      </c>
    </row>
    <row r="54">
      <c r="B54" s="39" t="inlineStr">
        <is>
          <t>DM-48</t>
        </is>
      </c>
      <c r="C54" s="39" t="inlineStr">
        <is>
          <t>F80008 N+3.00</t>
        </is>
      </c>
      <c r="D54" s="39" t="inlineStr">
        <is>
          <t>N+3.00</t>
        </is>
      </c>
      <c r="E54" s="52" t="n">
        <v>0.546</v>
      </c>
      <c r="F54" s="55">
        <f>TABLEROS!$R$15</f>
        <v>822.775510204082</v>
      </c>
      <c r="G54" s="34">
        <f>E54*F54/1000</f>
        <v>0.449235428571429</v>
      </c>
      <c r="H54" s="55">
        <f>TABLEROS!$Q$15</f>
        <v>603.673469387755</v>
      </c>
      <c r="I54" s="34">
        <f>E54*H54/1000</f>
        <v>0.329605714285714</v>
      </c>
      <c r="J54" s="39" t="inlineStr">
        <is>
          <t>DM</t>
        </is>
      </c>
      <c r="K54" s="35" t="inlineStr">
        <is>
          <t>sobre muro</t>
        </is>
      </c>
    </row>
    <row r="55">
      <c r="B55" s="39" t="inlineStr">
        <is>
          <t>NP-15</t>
        </is>
      </c>
      <c r="C55" s="39" t="inlineStr">
        <is>
          <t>F80008 N+3.00</t>
        </is>
      </c>
      <c r="D55" s="39" t="inlineStr">
        <is>
          <t>N+3.00</t>
        </is>
      </c>
      <c r="E55" s="52" t="n">
        <v>0.8987000000000001</v>
      </c>
      <c r="F55" s="55">
        <f>TABLEROS!$R$15</f>
        <v>822.775510204082</v>
      </c>
      <c r="G55" s="34">
        <f>E55*F55/1000</f>
        <v>0.739428351020408</v>
      </c>
      <c r="H55" s="55">
        <f>TABLEROS!$Q$15</f>
        <v>603.673469387755</v>
      </c>
      <c r="I55" s="34">
        <f>E55*H55/1000</f>
        <v>0.542521346938776</v>
      </c>
      <c r="J55" s="39" t="inlineStr">
        <is>
          <t>NP</t>
        </is>
      </c>
      <c r="K55" s="35" t="str">
        <f>PRINCIPALES!$AX$23</f>
        <v>NO CUMPLE: sección insuficiente en flexión cortante deflexión → h ≥ 45 cm</v>
      </c>
    </row>
    <row r="56">
      <c r="B56" s="39" t="inlineStr">
        <is>
          <t>NP-18</t>
        </is>
      </c>
      <c r="C56" s="39" t="inlineStr">
        <is>
          <t>F80008 N+3.00</t>
        </is>
      </c>
      <c r="D56" s="39" t="inlineStr">
        <is>
          <t>N+3.00</t>
        </is>
      </c>
      <c r="E56" s="52" t="n">
        <v>0.9882</v>
      </c>
      <c r="F56" s="55">
        <f>TABLEROS!$R$15</f>
        <v>822.775510204082</v>
      </c>
      <c r="G56" s="34">
        <f>E56*F56/1000</f>
        <v>0.813066759183673</v>
      </c>
      <c r="H56" s="55">
        <f>TABLEROS!$Q$15</f>
        <v>603.673469387755</v>
      </c>
      <c r="I56" s="34">
        <f>E56*H56/1000</f>
        <v>0.59655012244898</v>
      </c>
      <c r="J56" s="39" t="inlineStr">
        <is>
          <t>NP</t>
        </is>
      </c>
      <c r="K56" s="35" t="str">
        <f>PRINCIPALES!$AX$26</f>
        <v>CUMPLE</v>
      </c>
    </row>
    <row r="57">
      <c r="B57" s="39" t="inlineStr">
        <is>
          <t>NP-12</t>
        </is>
      </c>
      <c r="C57" s="39" t="inlineStr">
        <is>
          <t>F80008 N+3.00</t>
        </is>
      </c>
      <c r="D57" s="39" t="inlineStr">
        <is>
          <t>N+3.00</t>
        </is>
      </c>
      <c r="E57" s="52" t="n">
        <v>0.07920000000000001</v>
      </c>
      <c r="F57" s="55">
        <f>TABLEROS!$R$15</f>
        <v>822.775510204082</v>
      </c>
      <c r="G57" s="34">
        <f>E57*F57/1000</f>
        <v>0.0651638204081633</v>
      </c>
      <c r="H57" s="55">
        <f>TABLEROS!$Q$15</f>
        <v>603.673469387755</v>
      </c>
      <c r="I57" s="34">
        <f>E57*H57/1000</f>
        <v>0.0478109387755102</v>
      </c>
      <c r="J57" s="39" t="inlineStr">
        <is>
          <t>NP</t>
        </is>
      </c>
      <c r="K57" s="35" t="str">
        <f>PRINCIPALES!$AX$20</f>
        <v>NO CUMPLE: sección insuficiente en flexión → h ≥ 30 cm</v>
      </c>
    </row>
    <row r="58">
      <c r="B58" s="39" t="inlineStr">
        <is>
          <t>NP-19</t>
        </is>
      </c>
      <c r="C58" s="39" t="inlineStr">
        <is>
          <t>F80008 N+3.00</t>
        </is>
      </c>
      <c r="D58" s="39" t="inlineStr">
        <is>
          <t>N+3.00</t>
        </is>
      </c>
      <c r="E58" s="52" t="n">
        <v>1.3163</v>
      </c>
      <c r="F58" s="55">
        <f>TABLEROS!$R$15</f>
        <v>822.775510204082</v>
      </c>
      <c r="G58" s="34">
        <f>E58*F58/1000</f>
        <v>1.08301940408163</v>
      </c>
      <c r="H58" s="55">
        <f>TABLEROS!$Q$15</f>
        <v>603.673469387755</v>
      </c>
      <c r="I58" s="34">
        <f>E58*H58/1000</f>
        <v>0.794615387755102</v>
      </c>
      <c r="J58" s="39" t="inlineStr">
        <is>
          <t>NP</t>
        </is>
      </c>
      <c r="K58" s="35" t="str">
        <f>PRINCIPALES!$AX$27</f>
        <v>CUMPLE</v>
      </c>
    </row>
    <row r="59">
      <c r="B59" s="39" t="inlineStr">
        <is>
          <t>NP-10</t>
        </is>
      </c>
      <c r="C59" s="39" t="inlineStr">
        <is>
          <t>F80008 N+3.00</t>
        </is>
      </c>
      <c r="D59" s="39" t="inlineStr">
        <is>
          <t>N+3.00</t>
        </is>
      </c>
      <c r="E59" s="52" t="n">
        <v>0.405</v>
      </c>
      <c r="F59" s="55">
        <f>TABLEROS!$R$15</f>
        <v>822.775510204082</v>
      </c>
      <c r="G59" s="34">
        <f>E59*F59/1000</f>
        <v>0.333224081632653</v>
      </c>
      <c r="H59" s="55">
        <f>TABLEROS!$Q$15</f>
        <v>603.673469387755</v>
      </c>
      <c r="I59" s="34">
        <f>E59*H59/1000</f>
        <v>0.244487755102041</v>
      </c>
      <c r="J59" s="39" t="inlineStr">
        <is>
          <t>NP</t>
        </is>
      </c>
      <c r="K59" s="35" t="str">
        <f>PRINCIPALES!$AX$18</f>
        <v>NO CUMPLE: sección insuficiente en flexión deflexión → h ≥ 30 cm</v>
      </c>
    </row>
    <row r="60">
      <c r="B60" s="39" t="inlineStr">
        <is>
          <t>DM-11</t>
        </is>
      </c>
      <c r="C60" s="39" t="inlineStr">
        <is>
          <t>F80009 N+3.00</t>
        </is>
      </c>
      <c r="D60" s="39" t="inlineStr">
        <is>
          <t>N+3.00</t>
        </is>
      </c>
      <c r="E60" s="52" t="n">
        <v>1.0731</v>
      </c>
      <c r="F60" s="55">
        <f>TABLEROS!$R$16</f>
        <v>842.275510204082</v>
      </c>
      <c r="G60" s="34">
        <f>E60*F60/1000</f>
        <v>0.90384585</v>
      </c>
      <c r="H60" s="55">
        <f>TABLEROS!$Q$16</f>
        <v>618.673469387755</v>
      </c>
      <c r="I60" s="34">
        <f>E60*H60/1000</f>
        <v>0.6638985</v>
      </c>
      <c r="J60" s="39" t="inlineStr">
        <is>
          <t>DM</t>
        </is>
      </c>
      <c r="K60" s="35" t="inlineStr">
        <is>
          <t>sobre muro</t>
        </is>
      </c>
    </row>
    <row r="61">
      <c r="B61" s="39" t="inlineStr">
        <is>
          <t>DM-12</t>
        </is>
      </c>
      <c r="C61" s="39" t="inlineStr">
        <is>
          <t>F80009 N+3.00</t>
        </is>
      </c>
      <c r="D61" s="39" t="inlineStr">
        <is>
          <t>N+3.00</t>
        </is>
      </c>
      <c r="E61" s="52" t="n">
        <v>1.8647</v>
      </c>
      <c r="F61" s="55">
        <f>TABLEROS!$R$16</f>
        <v>842.275510204082</v>
      </c>
      <c r="G61" s="34">
        <f>E61*F61/1000</f>
        <v>1.57059114387755</v>
      </c>
      <c r="H61" s="55">
        <f>TABLEROS!$Q$16</f>
        <v>618.673469387755</v>
      </c>
      <c r="I61" s="34">
        <f>E61*H61/1000</f>
        <v>1.15364041836735</v>
      </c>
      <c r="J61" s="39" t="inlineStr">
        <is>
          <t>DM</t>
        </is>
      </c>
      <c r="K61" s="35" t="inlineStr">
        <is>
          <t>sobre muro</t>
        </is>
      </c>
    </row>
    <row r="62">
      <c r="B62" s="39" t="inlineStr">
        <is>
          <t>NP-26</t>
        </is>
      </c>
      <c r="C62" s="39" t="inlineStr">
        <is>
          <t>F80009 N+3.00</t>
        </is>
      </c>
      <c r="D62" s="39" t="inlineStr">
        <is>
          <t>N+3.00</t>
        </is>
      </c>
      <c r="E62" s="52" t="n">
        <v>6.4841</v>
      </c>
      <c r="F62" s="55">
        <f>TABLEROS!$R$16</f>
        <v>842.275510204082</v>
      </c>
      <c r="G62" s="34">
        <f>E62*F62/1000</f>
        <v>5.46139863571429</v>
      </c>
      <c r="H62" s="55">
        <f>TABLEROS!$Q$16</f>
        <v>618.673469387755</v>
      </c>
      <c r="I62" s="34">
        <f>E62*H62/1000</f>
        <v>4.01154064285714</v>
      </c>
      <c r="J62" s="39" t="inlineStr">
        <is>
          <t>NP</t>
        </is>
      </c>
      <c r="K62" s="35" t="str">
        <f>PRINCIPALES!$AX$34</f>
        <v>NO CUMPLE: sección insuficiente en flexión cortante deflexión → h ≥ 45 cm</v>
      </c>
    </row>
    <row r="63">
      <c r="B63" s="39" t="inlineStr">
        <is>
          <t>NP-08</t>
        </is>
      </c>
      <c r="C63" s="39" t="inlineStr">
        <is>
          <t>F80009 N+3.00</t>
        </is>
      </c>
      <c r="D63" s="39" t="inlineStr">
        <is>
          <t>N+3.00</t>
        </is>
      </c>
      <c r="E63" s="52" t="n">
        <v>2.6886</v>
      </c>
      <c r="F63" s="55">
        <f>TABLEROS!$R$16</f>
        <v>842.275510204082</v>
      </c>
      <c r="G63" s="34">
        <f>E63*F63/1000</f>
        <v>2.26454193673469</v>
      </c>
      <c r="H63" s="55">
        <f>TABLEROS!$Q$16</f>
        <v>618.673469387755</v>
      </c>
      <c r="I63" s="34">
        <f>E63*H63/1000</f>
        <v>1.66336548979592</v>
      </c>
      <c r="J63" s="39" t="inlineStr">
        <is>
          <t>NP</t>
        </is>
      </c>
      <c r="K63" s="35" t="str">
        <f>PRINCIPALES!$AX$16</f>
        <v>NO CUMPLE: sección insuficiente en flexión → h ≥ 30 cm</v>
      </c>
    </row>
    <row r="64">
      <c r="B64" s="39" t="inlineStr">
        <is>
          <t>DM-10</t>
        </is>
      </c>
      <c r="C64" s="39" t="inlineStr">
        <is>
          <t>F80009 N+3.00</t>
        </is>
      </c>
      <c r="D64" s="39" t="inlineStr">
        <is>
          <t>N+3.00</t>
        </is>
      </c>
      <c r="E64" s="52" t="n">
        <v>0.2492</v>
      </c>
      <c r="F64" s="55">
        <f>TABLEROS!$R$16</f>
        <v>842.275510204082</v>
      </c>
      <c r="G64" s="34">
        <f>E64*F64/1000</f>
        <v>0.209895057142857</v>
      </c>
      <c r="H64" s="55">
        <f>TABLEROS!$Q$16</f>
        <v>618.673469387755</v>
      </c>
      <c r="I64" s="34">
        <f>E64*H64/1000</f>
        <v>0.154173428571429</v>
      </c>
      <c r="J64" s="39" t="inlineStr">
        <is>
          <t>DM</t>
        </is>
      </c>
      <c r="K64" s="35" t="inlineStr">
        <is>
          <t>sobre muro</t>
        </is>
      </c>
    </row>
    <row r="65">
      <c r="B65" s="39" t="inlineStr">
        <is>
          <t>DM-59</t>
        </is>
      </c>
      <c r="C65" s="39" t="inlineStr">
        <is>
          <t>F80009 N+3.00</t>
        </is>
      </c>
      <c r="D65" s="39" t="inlineStr">
        <is>
          <t>N+3.00</t>
        </is>
      </c>
      <c r="E65" s="52" t="n">
        <v>2.2162</v>
      </c>
      <c r="F65" s="55">
        <f>TABLEROS!$R$16</f>
        <v>842.275510204082</v>
      </c>
      <c r="G65" s="34">
        <f>E65*F65/1000</f>
        <v>1.86665098571429</v>
      </c>
      <c r="H65" s="55">
        <f>TABLEROS!$Q$16</f>
        <v>618.673469387755</v>
      </c>
      <c r="I65" s="34">
        <f>E65*H65/1000</f>
        <v>1.37110414285714</v>
      </c>
      <c r="J65" s="39" t="inlineStr">
        <is>
          <t>DM</t>
        </is>
      </c>
      <c r="K65" s="35" t="inlineStr">
        <is>
          <t>sobre muro</t>
        </is>
      </c>
    </row>
    <row r="66">
      <c r="B66" s="39" t="inlineStr">
        <is>
          <t>DM-60</t>
        </is>
      </c>
      <c r="C66" s="39" t="inlineStr">
        <is>
          <t>F80009 N+3.00</t>
        </is>
      </c>
      <c r="D66" s="39" t="inlineStr">
        <is>
          <t>N+3.00</t>
        </is>
      </c>
      <c r="E66" s="52" t="n">
        <v>3.5479</v>
      </c>
      <c r="F66" s="55">
        <f>TABLEROS!$R$16</f>
        <v>842.275510204082</v>
      </c>
      <c r="G66" s="34">
        <f>E66*F66/1000</f>
        <v>2.98830928265306</v>
      </c>
      <c r="H66" s="55">
        <f>TABLEROS!$Q$16</f>
        <v>618.673469387755</v>
      </c>
      <c r="I66" s="34">
        <f>E66*H66/1000</f>
        <v>2.19499160204082</v>
      </c>
      <c r="J66" s="39" t="inlineStr">
        <is>
          <t>DM</t>
        </is>
      </c>
      <c r="K66" s="35" t="inlineStr">
        <is>
          <t>sobre muro</t>
        </is>
      </c>
    </row>
    <row r="67">
      <c r="B67" s="39" t="inlineStr">
        <is>
          <t>DM-61</t>
        </is>
      </c>
      <c r="C67" s="39" t="inlineStr">
        <is>
          <t>F80009 N+3.00</t>
        </is>
      </c>
      <c r="D67" s="39" t="inlineStr">
        <is>
          <t>N+3.00</t>
        </is>
      </c>
      <c r="E67" s="52" t="n">
        <v>0.72</v>
      </c>
      <c r="F67" s="55">
        <f>TABLEROS!$R$16</f>
        <v>842.275510204082</v>
      </c>
      <c r="G67" s="34">
        <f>E67*F67/1000</f>
        <v>0.606438367346939</v>
      </c>
      <c r="H67" s="55">
        <f>TABLEROS!$Q$16</f>
        <v>618.673469387755</v>
      </c>
      <c r="I67" s="34">
        <f>E67*H67/1000</f>
        <v>0.445444897959184</v>
      </c>
      <c r="J67" s="39" t="inlineStr">
        <is>
          <t>DM</t>
        </is>
      </c>
      <c r="K67" s="35" t="inlineStr">
        <is>
          <t>sobre muro</t>
        </is>
      </c>
    </row>
    <row r="68">
      <c r="B68" s="39" t="inlineStr">
        <is>
          <t>NP-19</t>
        </is>
      </c>
      <c r="C68" s="39" t="inlineStr">
        <is>
          <t>F80010 N+3.00</t>
        </is>
      </c>
      <c r="D68" s="39" t="inlineStr">
        <is>
          <t>N+3.00</t>
        </is>
      </c>
      <c r="E68" s="52" t="n">
        <v>0.8327</v>
      </c>
      <c r="F68" s="55">
        <f>TABLEROS!$R$17</f>
        <v>926.775510204082</v>
      </c>
      <c r="G68" s="34">
        <f>E68*F68/1000</f>
        <v>0.771725967346939</v>
      </c>
      <c r="H68" s="55">
        <f>TABLEROS!$Q$17</f>
        <v>683.673469387755</v>
      </c>
      <c r="I68" s="34">
        <f>E68*H68/1000</f>
        <v>0.569294897959184</v>
      </c>
      <c r="J68" s="39" t="inlineStr">
        <is>
          <t>NP</t>
        </is>
      </c>
      <c r="K68" s="35" t="str">
        <f>PRINCIPALES!$AX$27</f>
        <v>CUMPLE</v>
      </c>
    </row>
    <row r="69">
      <c r="B69" s="39" t="inlineStr">
        <is>
          <t>NP-12</t>
        </is>
      </c>
      <c r="C69" s="39" t="inlineStr">
        <is>
          <t>F80010 N+3.00</t>
        </is>
      </c>
      <c r="D69" s="39" t="inlineStr">
        <is>
          <t>N+3.00</t>
        </is>
      </c>
      <c r="E69" s="52" t="n">
        <v>2.2945</v>
      </c>
      <c r="F69" s="55">
        <f>TABLEROS!$R$17</f>
        <v>926.775510204082</v>
      </c>
      <c r="G69" s="34">
        <f>E69*F69/1000</f>
        <v>2.12648640816327</v>
      </c>
      <c r="H69" s="55">
        <f>TABLEROS!$Q$17</f>
        <v>683.673469387755</v>
      </c>
      <c r="I69" s="34">
        <f>E69*H69/1000</f>
        <v>1.5686887755102</v>
      </c>
      <c r="J69" s="39" t="inlineStr">
        <is>
          <t>NP</t>
        </is>
      </c>
      <c r="K69" s="35" t="str">
        <f>PRINCIPALES!$AX$20</f>
        <v>NO CUMPLE: sección insuficiente en flexión → h ≥ 30 cm</v>
      </c>
    </row>
    <row r="70">
      <c r="B70" s="39" t="inlineStr">
        <is>
          <t>DM-39</t>
        </is>
      </c>
      <c r="C70" s="39" t="inlineStr">
        <is>
          <t>F80010 N+3.00</t>
        </is>
      </c>
      <c r="D70" s="39" t="inlineStr">
        <is>
          <t>N+3.00</t>
        </is>
      </c>
      <c r="E70" s="52" t="n">
        <v>0.8327</v>
      </c>
      <c r="F70" s="55">
        <f>TABLEROS!$R$17</f>
        <v>926.775510204082</v>
      </c>
      <c r="G70" s="34">
        <f>E70*F70/1000</f>
        <v>0.771725967346939</v>
      </c>
      <c r="H70" s="55">
        <f>TABLEROS!$Q$17</f>
        <v>683.673469387755</v>
      </c>
      <c r="I70" s="34">
        <f>E70*H70/1000</f>
        <v>0.569294897959184</v>
      </c>
      <c r="J70" s="39" t="inlineStr">
        <is>
          <t>DM</t>
        </is>
      </c>
      <c r="K70" s="35" t="inlineStr">
        <is>
          <t>sobre muro</t>
        </is>
      </c>
    </row>
    <row r="71">
      <c r="B71" s="39" t="inlineStr">
        <is>
          <t>NP-10</t>
        </is>
      </c>
      <c r="C71" s="39" t="inlineStr">
        <is>
          <t>F80010 N+3.00</t>
        </is>
      </c>
      <c r="D71" s="39" t="inlineStr">
        <is>
          <t>N+3.00</t>
        </is>
      </c>
      <c r="E71" s="52" t="n">
        <v>2.2945</v>
      </c>
      <c r="F71" s="55">
        <f>TABLEROS!$R$17</f>
        <v>926.775510204082</v>
      </c>
      <c r="G71" s="34">
        <f>E71*F71/1000</f>
        <v>2.12648640816327</v>
      </c>
      <c r="H71" s="55">
        <f>TABLEROS!$Q$17</f>
        <v>683.673469387755</v>
      </c>
      <c r="I71" s="34">
        <f>E71*H71/1000</f>
        <v>1.5686887755102</v>
      </c>
      <c r="J71" s="39" t="inlineStr">
        <is>
          <t>NP</t>
        </is>
      </c>
      <c r="K71" s="35" t="str">
        <f>PRINCIPALES!$AX$18</f>
        <v>NO CUMPLE: sección insuficiente en flexión deflexión → h ≥ 30 cm</v>
      </c>
    </row>
    <row r="72">
      <c r="B72" s="39" t="inlineStr">
        <is>
          <t>NP-13</t>
        </is>
      </c>
      <c r="C72" s="39" t="inlineStr">
        <is>
          <t>F80011 N+3.00</t>
        </is>
      </c>
      <c r="D72" s="39" t="inlineStr">
        <is>
          <t>N+3.00</t>
        </is>
      </c>
      <c r="E72" s="52" t="n">
        <v>0.6441</v>
      </c>
      <c r="F72" s="55">
        <f>TABLEROS!$R$18</f>
        <v>913.775510204082</v>
      </c>
      <c r="G72" s="34">
        <f>E72*F72/1000</f>
        <v>0.588562806122449</v>
      </c>
      <c r="H72" s="55">
        <f>TABLEROS!$Q$18</f>
        <v>673.673469387755</v>
      </c>
      <c r="I72" s="34">
        <f>E72*H72/1000</f>
        <v>0.433913081632653</v>
      </c>
      <c r="J72" s="39" t="inlineStr">
        <is>
          <t>NP</t>
        </is>
      </c>
      <c r="K72" s="35" t="str">
        <f>PRINCIPALES!$AX$21</f>
        <v>CUMPLE</v>
      </c>
    </row>
    <row r="73">
      <c r="B73" s="39" t="inlineStr">
        <is>
          <t>NP-27</t>
        </is>
      </c>
      <c r="C73" s="39" t="inlineStr">
        <is>
          <t>F80011 N+3.00</t>
        </is>
      </c>
      <c r="D73" s="39" t="inlineStr">
        <is>
          <t>N+3.00</t>
        </is>
      </c>
      <c r="E73" s="52" t="n">
        <v>0.0398</v>
      </c>
      <c r="F73" s="55">
        <f>TABLEROS!$R$18</f>
        <v>913.775510204082</v>
      </c>
      <c r="G73" s="34">
        <f>E73*F73/1000</f>
        <v>0.0363682653061224</v>
      </c>
      <c r="H73" s="55">
        <f>TABLEROS!$Q$18</f>
        <v>673.673469387755</v>
      </c>
      <c r="I73" s="34">
        <f>E73*H73/1000</f>
        <v>0.0268122040816327</v>
      </c>
      <c r="J73" s="39" t="inlineStr">
        <is>
          <t>NP</t>
        </is>
      </c>
      <c r="K73" s="35" t="str">
        <f>PRINCIPALES!$AX$35</f>
        <v>CUMPLE (en VOLADO)</v>
      </c>
    </row>
    <row r="74">
      <c r="B74" s="39" t="inlineStr">
        <is>
          <t>DM-11</t>
        </is>
      </c>
      <c r="C74" s="39" t="inlineStr">
        <is>
          <t>F80011 N+3.00</t>
        </is>
      </c>
      <c r="D74" s="39" t="inlineStr">
        <is>
          <t>N+3.00</t>
        </is>
      </c>
      <c r="E74" s="52" t="n">
        <v>0.2724</v>
      </c>
      <c r="F74" s="55">
        <f>TABLEROS!$R$18</f>
        <v>913.775510204082</v>
      </c>
      <c r="G74" s="34">
        <f>E74*F74/1000</f>
        <v>0.248912448979592</v>
      </c>
      <c r="H74" s="55">
        <f>TABLEROS!$Q$18</f>
        <v>673.673469387755</v>
      </c>
      <c r="I74" s="34">
        <f>E74*H74/1000</f>
        <v>0.183508653061224</v>
      </c>
      <c r="J74" s="39" t="inlineStr">
        <is>
          <t>DM</t>
        </is>
      </c>
      <c r="K74" s="35" t="inlineStr">
        <is>
          <t>sobre muro</t>
        </is>
      </c>
    </row>
    <row r="75">
      <c r="B75" s="39" t="inlineStr">
        <is>
          <t>DM-12</t>
        </is>
      </c>
      <c r="C75" s="39" t="inlineStr">
        <is>
          <t>F80011 N+3.00</t>
        </is>
      </c>
      <c r="D75" s="39" t="inlineStr">
        <is>
          <t>N+3.00</t>
        </is>
      </c>
      <c r="E75" s="52" t="n">
        <v>0.3717</v>
      </c>
      <c r="F75" s="55">
        <f>TABLEROS!$R$18</f>
        <v>913.775510204082</v>
      </c>
      <c r="G75" s="34">
        <f>E75*F75/1000</f>
        <v>0.339650357142857</v>
      </c>
      <c r="H75" s="55">
        <f>TABLEROS!$Q$18</f>
        <v>673.673469387755</v>
      </c>
      <c r="I75" s="34">
        <f>E75*H75/1000</f>
        <v>0.250404428571429</v>
      </c>
      <c r="J75" s="39" t="inlineStr">
        <is>
          <t>DM</t>
        </is>
      </c>
      <c r="K75" s="35" t="inlineStr">
        <is>
          <t>sobre muro</t>
        </is>
      </c>
    </row>
    <row r="76">
      <c r="B76" s="39" t="inlineStr">
        <is>
          <t>DM-62</t>
        </is>
      </c>
      <c r="C76" s="39" t="inlineStr">
        <is>
          <t>F80011 N+3.00</t>
        </is>
      </c>
      <c r="D76" s="39" t="inlineStr">
        <is>
          <t>N+3.00</t>
        </is>
      </c>
      <c r="E76" s="52" t="n">
        <v>0.0398</v>
      </c>
      <c r="F76" s="55">
        <f>TABLEROS!$R$18</f>
        <v>913.775510204082</v>
      </c>
      <c r="G76" s="34">
        <f>E76*F76/1000</f>
        <v>0.0363682653061224</v>
      </c>
      <c r="H76" s="55">
        <f>TABLEROS!$Q$18</f>
        <v>673.673469387755</v>
      </c>
      <c r="I76" s="34">
        <f>E76*H76/1000</f>
        <v>0.0268122040816327</v>
      </c>
      <c r="J76" s="39" t="inlineStr">
        <is>
          <t>DM</t>
        </is>
      </c>
      <c r="K76" s="35" t="inlineStr">
        <is>
          <t>sobre muro</t>
        </is>
      </c>
    </row>
    <row r="77">
      <c r="B77" s="39" t="inlineStr">
        <is>
          <t>DM-39</t>
        </is>
      </c>
      <c r="C77" s="39" t="inlineStr">
        <is>
          <t>F80012 N+3.00</t>
        </is>
      </c>
      <c r="D77" s="39" t="inlineStr">
        <is>
          <t>N+3.00</t>
        </is>
      </c>
      <c r="E77" s="52" t="n">
        <v>3.65</v>
      </c>
      <c r="F77" s="55">
        <f>TABLEROS!$R$19</f>
        <v>887.775510204082</v>
      </c>
      <c r="G77" s="34">
        <f>E77*F77/1000</f>
        <v>3.2403806122449</v>
      </c>
      <c r="H77" s="55">
        <f>TABLEROS!$Q$19</f>
        <v>653.673469387755</v>
      </c>
      <c r="I77" s="34">
        <f>E77*H77/1000</f>
        <v>2.38590816326531</v>
      </c>
      <c r="J77" s="39" t="inlineStr">
        <is>
          <t>DM</t>
        </is>
      </c>
      <c r="K77" s="35" t="inlineStr">
        <is>
          <t>sobre muro</t>
        </is>
      </c>
    </row>
    <row r="78">
      <c r="B78" s="39" t="inlineStr">
        <is>
          <t>DM-40</t>
        </is>
      </c>
      <c r="C78" s="39" t="inlineStr">
        <is>
          <t>F80012 N+3.00</t>
        </is>
      </c>
      <c r="D78" s="39" t="inlineStr">
        <is>
          <t>N+3.00</t>
        </is>
      </c>
      <c r="E78" s="52" t="n">
        <v>3.2</v>
      </c>
      <c r="F78" s="55">
        <f>TABLEROS!$R$19</f>
        <v>887.775510204082</v>
      </c>
      <c r="G78" s="34">
        <f>E78*F78/1000</f>
        <v>2.84088163265306</v>
      </c>
      <c r="H78" s="55">
        <f>TABLEROS!$Q$19</f>
        <v>653.673469387755</v>
      </c>
      <c r="I78" s="34">
        <f>E78*H78/1000</f>
        <v>2.09175510204082</v>
      </c>
      <c r="J78" s="39" t="inlineStr">
        <is>
          <t>DM</t>
        </is>
      </c>
      <c r="K78" s="35" t="inlineStr">
        <is>
          <t>sobre muro</t>
        </is>
      </c>
    </row>
    <row r="79">
      <c r="B79" s="39" t="inlineStr">
        <is>
          <t>NP-27</t>
        </is>
      </c>
      <c r="C79" s="39" t="inlineStr">
        <is>
          <t>F80013 N+3.00</t>
        </is>
      </c>
      <c r="D79" s="39" t="inlineStr">
        <is>
          <t>N+3.00</t>
        </is>
      </c>
      <c r="E79" s="52" t="n">
        <v>0.0683</v>
      </c>
      <c r="F79" s="55">
        <f>TABLEROS!$R$20</f>
        <v>822.775510204082</v>
      </c>
      <c r="G79" s="34">
        <f>E79*F79/1000</f>
        <v>0.0561955673469388</v>
      </c>
      <c r="H79" s="55">
        <f>TABLEROS!$Q$20</f>
        <v>603.673469387755</v>
      </c>
      <c r="I79" s="34">
        <f>E79*H79/1000</f>
        <v>0.0412308979591837</v>
      </c>
      <c r="J79" s="39" t="inlineStr">
        <is>
          <t>NP</t>
        </is>
      </c>
      <c r="K79" s="35" t="str">
        <f>PRINCIPALES!$AX$35</f>
        <v>CUMPLE (en VOLADO)</v>
      </c>
    </row>
    <row r="80">
      <c r="B80" s="39" t="inlineStr">
        <is>
          <t>NP-13</t>
        </is>
      </c>
      <c r="C80" s="39" t="inlineStr">
        <is>
          <t>F80013 N+3.00</t>
        </is>
      </c>
      <c r="D80" s="39" t="inlineStr">
        <is>
          <t>N+3.00</t>
        </is>
      </c>
      <c r="E80" s="52" t="n">
        <v>0.08</v>
      </c>
      <c r="F80" s="55">
        <f>TABLEROS!$R$20</f>
        <v>822.775510204082</v>
      </c>
      <c r="G80" s="34">
        <f>E80*F80/1000</f>
        <v>0.0658220408163265</v>
      </c>
      <c r="H80" s="55">
        <f>TABLEROS!$Q$20</f>
        <v>603.673469387755</v>
      </c>
      <c r="I80" s="34">
        <f>E80*H80/1000</f>
        <v>0.0482938775510204</v>
      </c>
      <c r="J80" s="39" t="inlineStr">
        <is>
          <t>NP</t>
        </is>
      </c>
      <c r="K80" s="35" t="str">
        <f>PRINCIPALES!$AX$21</f>
        <v>CUMPLE</v>
      </c>
    </row>
    <row r="81">
      <c r="B81" s="39" t="inlineStr">
        <is>
          <t>NP-28</t>
        </is>
      </c>
      <c r="C81" s="39" t="inlineStr">
        <is>
          <t>F80013 N+3.00</t>
        </is>
      </c>
      <c r="D81" s="39" t="inlineStr">
        <is>
          <t>N+3.00</t>
        </is>
      </c>
      <c r="E81" s="52" t="n">
        <v>0.5358000000000001</v>
      </c>
      <c r="F81" s="55">
        <f>TABLEROS!$R$20</f>
        <v>822.775510204082</v>
      </c>
      <c r="G81" s="34">
        <f>E81*F81/1000</f>
        <v>0.440843118367347</v>
      </c>
      <c r="H81" s="55">
        <f>TABLEROS!$Q$20</f>
        <v>603.673469387755</v>
      </c>
      <c r="I81" s="34">
        <f>E81*H81/1000</f>
        <v>0.323448244897959</v>
      </c>
      <c r="J81" s="39" t="inlineStr">
        <is>
          <t>NP</t>
        </is>
      </c>
      <c r="K81" s="35" t="str">
        <f>PRINCIPALES!$AX$36</f>
        <v>CUMPLE</v>
      </c>
    </row>
    <row r="82">
      <c r="B82" s="39" t="inlineStr">
        <is>
          <t>DM-13</t>
        </is>
      </c>
      <c r="C82" s="39" t="inlineStr">
        <is>
          <t>F80013 N+3.00</t>
        </is>
      </c>
      <c r="D82" s="39" t="inlineStr">
        <is>
          <t>N+3.00</t>
        </is>
      </c>
      <c r="E82" s="52" t="n">
        <v>0.2012</v>
      </c>
      <c r="F82" s="55">
        <f>TABLEROS!$R$20</f>
        <v>822.775510204082</v>
      </c>
      <c r="G82" s="34">
        <f>E82*F82/1000</f>
        <v>0.165542432653061</v>
      </c>
      <c r="H82" s="55">
        <f>TABLEROS!$Q$20</f>
        <v>603.673469387755</v>
      </c>
      <c r="I82" s="34">
        <f>E82*H82/1000</f>
        <v>0.121459102040816</v>
      </c>
      <c r="J82" s="39" t="inlineStr">
        <is>
          <t>DM</t>
        </is>
      </c>
      <c r="K82" s="35" t="inlineStr">
        <is>
          <t>sobre muro</t>
        </is>
      </c>
    </row>
    <row r="83">
      <c r="B83" s="39" t="inlineStr">
        <is>
          <t>DM-47</t>
        </is>
      </c>
      <c r="C83" s="39" t="inlineStr">
        <is>
          <t>F80013 N+3.00</t>
        </is>
      </c>
      <c r="D83" s="39" t="inlineStr">
        <is>
          <t>N+3.00</t>
        </is>
      </c>
      <c r="E83" s="52" t="n">
        <v>0.3137</v>
      </c>
      <c r="F83" s="55">
        <f>TABLEROS!$R$20</f>
        <v>822.775510204082</v>
      </c>
      <c r="G83" s="34">
        <f>E83*F83/1000</f>
        <v>0.25810467755102</v>
      </c>
      <c r="H83" s="55">
        <f>TABLEROS!$Q$20</f>
        <v>603.673469387755</v>
      </c>
      <c r="I83" s="34">
        <f>E83*H83/1000</f>
        <v>0.189372367346939</v>
      </c>
      <c r="J83" s="39" t="inlineStr">
        <is>
          <t>DM</t>
        </is>
      </c>
      <c r="K83" s="35" t="inlineStr">
        <is>
          <t>sobre muro</t>
        </is>
      </c>
    </row>
    <row r="84">
      <c r="B84" s="39" t="inlineStr">
        <is>
          <t>DM-48</t>
        </is>
      </c>
      <c r="C84" s="39" t="inlineStr">
        <is>
          <t>F80013 N+3.00</t>
        </is>
      </c>
      <c r="D84" s="39" t="inlineStr">
        <is>
          <t>N+3.00</t>
        </is>
      </c>
      <c r="E84" s="52" t="n">
        <v>0.3703</v>
      </c>
      <c r="F84" s="55">
        <f>TABLEROS!$R$20</f>
        <v>822.775510204082</v>
      </c>
      <c r="G84" s="34">
        <f>E84*F84/1000</f>
        <v>0.304673771428571</v>
      </c>
      <c r="H84" s="55">
        <f>TABLEROS!$Q$20</f>
        <v>603.673469387755</v>
      </c>
      <c r="I84" s="34">
        <f>E84*H84/1000</f>
        <v>0.223540285714286</v>
      </c>
      <c r="J84" s="39" t="inlineStr">
        <is>
          <t>DM</t>
        </is>
      </c>
      <c r="K84" s="35" t="inlineStr">
        <is>
          <t>sobre muro</t>
        </is>
      </c>
    </row>
    <row r="85">
      <c r="B85" s="39" t="inlineStr">
        <is>
          <t>DM-11</t>
        </is>
      </c>
      <c r="C85" s="39" t="inlineStr">
        <is>
          <t>F80013 N+3.00</t>
        </is>
      </c>
      <c r="D85" s="39" t="inlineStr">
        <is>
          <t>N+3.00</t>
        </is>
      </c>
      <c r="E85" s="52" t="n">
        <v>0.0618</v>
      </c>
      <c r="F85" s="55">
        <f>TABLEROS!$R$20</f>
        <v>822.775510204082</v>
      </c>
      <c r="G85" s="34">
        <f>E85*F85/1000</f>
        <v>0.0508475265306122</v>
      </c>
      <c r="H85" s="55">
        <f>TABLEROS!$Q$20</f>
        <v>603.673469387755</v>
      </c>
      <c r="I85" s="34">
        <f>E85*H85/1000</f>
        <v>0.0373070204081633</v>
      </c>
      <c r="J85" s="39" t="inlineStr">
        <is>
          <t>DM</t>
        </is>
      </c>
      <c r="K85" s="35" t="inlineStr">
        <is>
          <t>sobre muro</t>
        </is>
      </c>
    </row>
    <row r="86">
      <c r="B86" s="39" t="inlineStr">
        <is>
          <t>NP-18</t>
        </is>
      </c>
      <c r="C86" s="39" t="inlineStr">
        <is>
          <t>F80014 N+3.00</t>
        </is>
      </c>
      <c r="D86" s="39" t="inlineStr">
        <is>
          <t>N+3.00</t>
        </is>
      </c>
      <c r="E86" s="52" t="n">
        <v>0.64</v>
      </c>
      <c r="F86" s="55">
        <f>TABLEROS!$R$21</f>
        <v>913.775510204082</v>
      </c>
      <c r="G86" s="34">
        <f>E86*F86/1000</f>
        <v>0.584816326530612</v>
      </c>
      <c r="H86" s="55">
        <f>TABLEROS!$Q$21</f>
        <v>673.673469387755</v>
      </c>
      <c r="I86" s="34">
        <f>E86*H86/1000</f>
        <v>0.431151020408163</v>
      </c>
      <c r="J86" s="39" t="inlineStr">
        <is>
          <t>NP</t>
        </is>
      </c>
      <c r="K86" s="35" t="str">
        <f>PRINCIPALES!$AX$26</f>
        <v>CUMPLE</v>
      </c>
    </row>
    <row r="87">
      <c r="B87" s="39" t="inlineStr">
        <is>
          <t>NP-15</t>
        </is>
      </c>
      <c r="C87" s="39" t="inlineStr">
        <is>
          <t>F80014 N+3.00</t>
        </is>
      </c>
      <c r="D87" s="39" t="inlineStr">
        <is>
          <t>N+3.00</t>
        </is>
      </c>
      <c r="E87" s="52" t="n">
        <v>1.7832</v>
      </c>
      <c r="F87" s="55">
        <f>TABLEROS!$R$21</f>
        <v>913.775510204082</v>
      </c>
      <c r="G87" s="34">
        <f>E87*F87/1000</f>
        <v>1.62944448979592</v>
      </c>
      <c r="H87" s="55">
        <f>TABLEROS!$Q$21</f>
        <v>673.673469387755</v>
      </c>
      <c r="I87" s="34">
        <f>E87*H87/1000</f>
        <v>1.20129453061224</v>
      </c>
      <c r="J87" s="39" t="inlineStr">
        <is>
          <t>NP</t>
        </is>
      </c>
      <c r="K87" s="35" t="str">
        <f>PRINCIPALES!$AX$23</f>
        <v>NO CUMPLE: sección insuficiente en flexión cortante deflexión → h ≥ 45 cm</v>
      </c>
    </row>
    <row r="88">
      <c r="B88" s="39" t="inlineStr">
        <is>
          <t>DM-40</t>
        </is>
      </c>
      <c r="C88" s="39" t="inlineStr">
        <is>
          <t>F80014 N+3.00</t>
        </is>
      </c>
      <c r="D88" s="39" t="inlineStr">
        <is>
          <t>N+3.00</t>
        </is>
      </c>
      <c r="E88" s="52" t="n">
        <v>0.64</v>
      </c>
      <c r="F88" s="55">
        <f>TABLEROS!$R$21</f>
        <v>913.775510204082</v>
      </c>
      <c r="G88" s="34">
        <f>E88*F88/1000</f>
        <v>0.584816326530612</v>
      </c>
      <c r="H88" s="55">
        <f>TABLEROS!$Q$21</f>
        <v>673.673469387755</v>
      </c>
      <c r="I88" s="34">
        <f>E88*H88/1000</f>
        <v>0.431151020408163</v>
      </c>
      <c r="J88" s="39" t="inlineStr">
        <is>
          <t>DM</t>
        </is>
      </c>
      <c r="K88" s="35" t="inlineStr">
        <is>
          <t>sobre muro</t>
        </is>
      </c>
    </row>
    <row r="89">
      <c r="B89" s="39" t="inlineStr">
        <is>
          <t>NP-12</t>
        </is>
      </c>
      <c r="C89" s="39" t="inlineStr">
        <is>
          <t>F80014 N+3.00</t>
        </is>
      </c>
      <c r="D89" s="39" t="inlineStr">
        <is>
          <t>N+3.00</t>
        </is>
      </c>
      <c r="E89" s="52" t="n">
        <v>1.7832</v>
      </c>
      <c r="F89" s="55">
        <f>TABLEROS!$R$21</f>
        <v>913.775510204082</v>
      </c>
      <c r="G89" s="34">
        <f>E89*F89/1000</f>
        <v>1.62944448979592</v>
      </c>
      <c r="H89" s="55">
        <f>TABLEROS!$Q$21</f>
        <v>673.673469387755</v>
      </c>
      <c r="I89" s="34">
        <f>E89*H89/1000</f>
        <v>1.20129453061224</v>
      </c>
      <c r="J89" s="39" t="inlineStr">
        <is>
          <t>NP</t>
        </is>
      </c>
      <c r="K89" s="35" t="str">
        <f>PRINCIPALES!$AX$20</f>
        <v>NO CUMPLE: sección insuficiente en flexión → h ≥ 30 cm</v>
      </c>
    </row>
    <row r="90">
      <c r="B90" s="39" t="inlineStr">
        <is>
          <t>DM-13</t>
        </is>
      </c>
      <c r="C90" s="39" t="inlineStr">
        <is>
          <t>F80015 N+3.00</t>
        </is>
      </c>
      <c r="D90" s="39" t="inlineStr">
        <is>
          <t>N+3.00</t>
        </is>
      </c>
      <c r="E90" s="52" t="n">
        <v>0.532</v>
      </c>
      <c r="F90" s="55">
        <f>TABLEROS!$R$22</f>
        <v>913.775510204082</v>
      </c>
      <c r="G90" s="34">
        <f>E90*F90/1000</f>
        <v>0.486128571428571</v>
      </c>
      <c r="H90" s="55">
        <f>TABLEROS!$Q$22</f>
        <v>673.673469387755</v>
      </c>
      <c r="I90" s="34">
        <f>E90*H90/1000</f>
        <v>0.358394285714286</v>
      </c>
      <c r="J90" s="39" t="inlineStr">
        <is>
          <t>DM</t>
        </is>
      </c>
      <c r="K90" s="35" t="inlineStr">
        <is>
          <t>sobre muro</t>
        </is>
      </c>
    </row>
    <row r="91">
      <c r="B91" s="39" t="inlineStr">
        <is>
          <t>DM-14</t>
        </is>
      </c>
      <c r="C91" s="39" t="inlineStr">
        <is>
          <t>F80015 N+3.00</t>
        </is>
      </c>
      <c r="D91" s="39" t="inlineStr">
        <is>
          <t>N+3.00</t>
        </is>
      </c>
      <c r="E91" s="52" t="n">
        <v>1.2504</v>
      </c>
      <c r="F91" s="55">
        <f>TABLEROS!$R$22</f>
        <v>913.775510204082</v>
      </c>
      <c r="G91" s="34">
        <f>E91*F91/1000</f>
        <v>1.14258489795918</v>
      </c>
      <c r="H91" s="55">
        <f>TABLEROS!$Q$22</f>
        <v>673.673469387755</v>
      </c>
      <c r="I91" s="34">
        <f>E91*H91/1000</f>
        <v>0.842361306122449</v>
      </c>
      <c r="J91" s="39" t="inlineStr">
        <is>
          <t>DM</t>
        </is>
      </c>
      <c r="K91" s="35" t="inlineStr">
        <is>
          <t>sobre muro</t>
        </is>
      </c>
    </row>
    <row r="92">
      <c r="B92" s="39" t="inlineStr">
        <is>
          <t>NP-28</t>
        </is>
      </c>
      <c r="C92" s="39" t="inlineStr">
        <is>
          <t>F80015 N+3.00</t>
        </is>
      </c>
      <c r="D92" s="39" t="inlineStr">
        <is>
          <t>N+3.00</t>
        </is>
      </c>
      <c r="E92" s="52" t="n">
        <v>0.64</v>
      </c>
      <c r="F92" s="55">
        <f>TABLEROS!$R$22</f>
        <v>913.775510204082</v>
      </c>
      <c r="G92" s="34">
        <f>E92*F92/1000</f>
        <v>0.584816326530612</v>
      </c>
      <c r="H92" s="55">
        <f>TABLEROS!$Q$22</f>
        <v>673.673469387755</v>
      </c>
      <c r="I92" s="34">
        <f>E92*H92/1000</f>
        <v>0.431151020408163</v>
      </c>
      <c r="J92" s="39" t="inlineStr">
        <is>
          <t>NP</t>
        </is>
      </c>
      <c r="K92" s="35" t="str">
        <f>PRINCIPALES!$AX$36</f>
        <v>CUMPLE</v>
      </c>
    </row>
    <row r="93">
      <c r="B93" s="39" t="inlineStr">
        <is>
          <t>NP-13</t>
        </is>
      </c>
      <c r="C93" s="39" t="inlineStr">
        <is>
          <t>F80015 N+3.00</t>
        </is>
      </c>
      <c r="D93" s="39" t="inlineStr">
        <is>
          <t>N+3.00</t>
        </is>
      </c>
      <c r="E93" s="52" t="n">
        <v>1.7824</v>
      </c>
      <c r="F93" s="55">
        <f>TABLEROS!$R$22</f>
        <v>913.775510204082</v>
      </c>
      <c r="G93" s="34">
        <f>E93*F93/1000</f>
        <v>1.62871346938776</v>
      </c>
      <c r="H93" s="55">
        <f>TABLEROS!$Q$22</f>
        <v>673.673469387755</v>
      </c>
      <c r="I93" s="34">
        <f>E93*H93/1000</f>
        <v>1.20075559183673</v>
      </c>
      <c r="J93" s="39" t="inlineStr">
        <is>
          <t>NP</t>
        </is>
      </c>
      <c r="K93" s="35" t="str">
        <f>PRINCIPALES!$AX$21</f>
        <v>CUMPLE</v>
      </c>
    </row>
    <row r="94">
      <c r="B94" s="39" t="inlineStr">
        <is>
          <t>DM-62</t>
        </is>
      </c>
      <c r="C94" s="39" t="inlineStr">
        <is>
          <t>F80015 N+3.00</t>
        </is>
      </c>
      <c r="D94" s="39" t="inlineStr">
        <is>
          <t>N+3.00</t>
        </is>
      </c>
      <c r="E94" s="52" t="n">
        <v>0.64</v>
      </c>
      <c r="F94" s="55">
        <f>TABLEROS!$R$22</f>
        <v>913.775510204082</v>
      </c>
      <c r="G94" s="34">
        <f>E94*F94/1000</f>
        <v>0.584816326530612</v>
      </c>
      <c r="H94" s="55">
        <f>TABLEROS!$Q$22</f>
        <v>673.673469387755</v>
      </c>
      <c r="I94" s="34">
        <f>E94*H94/1000</f>
        <v>0.431151020408163</v>
      </c>
      <c r="J94" s="39" t="inlineStr">
        <is>
          <t>DM</t>
        </is>
      </c>
      <c r="K94" s="35" t="inlineStr">
        <is>
          <t>sobre muro</t>
        </is>
      </c>
    </row>
    <row r="95">
      <c r="B95" s="39" t="inlineStr">
        <is>
          <t>NP-15</t>
        </is>
      </c>
      <c r="C95" s="39" t="inlineStr">
        <is>
          <t>F80016 N+3.00</t>
        </is>
      </c>
      <c r="D95" s="39" t="inlineStr">
        <is>
          <t>N+3.00</t>
        </is>
      </c>
      <c r="E95" s="52" t="n">
        <v>4.852</v>
      </c>
      <c r="F95" s="55">
        <f>TABLEROS!$R$23</f>
        <v>822.775510204082</v>
      </c>
      <c r="G95" s="34">
        <f>E95*F95/1000</f>
        <v>3.9921067755102</v>
      </c>
      <c r="H95" s="55">
        <f>TABLEROS!$Q$23</f>
        <v>603.673469387755</v>
      </c>
      <c r="I95" s="34">
        <f>E95*H95/1000</f>
        <v>2.92902367346939</v>
      </c>
      <c r="J95" s="39" t="inlineStr">
        <is>
          <t>NP</t>
        </is>
      </c>
      <c r="K95" s="35" t="str">
        <f>PRINCIPALES!$AX$23</f>
        <v>NO CUMPLE: sección insuficiente en flexión cortante deflexión → h ≥ 45 cm</v>
      </c>
    </row>
    <row r="96">
      <c r="B96" s="39" t="inlineStr">
        <is>
          <t>NP-24</t>
        </is>
      </c>
      <c r="C96" s="39" t="inlineStr">
        <is>
          <t>F80016 N+3.00</t>
        </is>
      </c>
      <c r="D96" s="39" t="inlineStr">
        <is>
          <t>N+3.00</t>
        </is>
      </c>
      <c r="E96" s="52" t="n">
        <v>4</v>
      </c>
      <c r="F96" s="55">
        <f>TABLEROS!$R$23</f>
        <v>822.775510204082</v>
      </c>
      <c r="G96" s="34">
        <f>E96*F96/1000</f>
        <v>3.29110204081633</v>
      </c>
      <c r="H96" s="55">
        <f>TABLEROS!$Q$23</f>
        <v>603.673469387755</v>
      </c>
      <c r="I96" s="34">
        <f>E96*H96/1000</f>
        <v>2.41469387755102</v>
      </c>
      <c r="J96" s="39" t="inlineStr">
        <is>
          <t>NP</t>
        </is>
      </c>
      <c r="K96" s="35" t="str">
        <f>PRINCIPALES!$AX$32</f>
        <v>NO CUMPLE: sección insuficiente en flexión → h ≥ 30 cm</v>
      </c>
    </row>
    <row r="97">
      <c r="B97" s="39" t="inlineStr">
        <is>
          <t>DM-16</t>
        </is>
      </c>
      <c r="C97" s="39" t="inlineStr">
        <is>
          <t>F80016 N+3.00</t>
        </is>
      </c>
      <c r="D97" s="39" t="inlineStr">
        <is>
          <t>N+3.00</t>
        </is>
      </c>
      <c r="E97" s="52" t="n">
        <v>0.0612</v>
      </c>
      <c r="F97" s="55">
        <f>TABLEROS!$R$23</f>
        <v>822.775510204082</v>
      </c>
      <c r="G97" s="34">
        <f>E97*F97/1000</f>
        <v>0.0503538612244898</v>
      </c>
      <c r="H97" s="55">
        <f>TABLEROS!$Q$23</f>
        <v>603.673469387755</v>
      </c>
      <c r="I97" s="34">
        <f>E97*H97/1000</f>
        <v>0.0369448163265306</v>
      </c>
      <c r="J97" s="39" t="inlineStr">
        <is>
          <t>DM</t>
        </is>
      </c>
      <c r="K97" s="35" t="inlineStr">
        <is>
          <t>sobre muro</t>
        </is>
      </c>
    </row>
    <row r="98">
      <c r="B98" s="39" t="inlineStr">
        <is>
          <t>DM-17</t>
        </is>
      </c>
      <c r="C98" s="39" t="inlineStr">
        <is>
          <t>F80016 N+3.00</t>
        </is>
      </c>
      <c r="D98" s="39" t="inlineStr">
        <is>
          <t>N+3.00</t>
        </is>
      </c>
      <c r="E98" s="52" t="n">
        <v>4.7908</v>
      </c>
      <c r="F98" s="55">
        <f>TABLEROS!$R$23</f>
        <v>822.775510204082</v>
      </c>
      <c r="G98" s="34">
        <f>E98*F98/1000</f>
        <v>3.94175291428571</v>
      </c>
      <c r="H98" s="55">
        <f>TABLEROS!$Q$23</f>
        <v>603.673469387755</v>
      </c>
      <c r="I98" s="34">
        <f>E98*H98/1000</f>
        <v>2.89207885714286</v>
      </c>
      <c r="J98" s="39" t="inlineStr">
        <is>
          <t>DM</t>
        </is>
      </c>
      <c r="K98" s="35" t="inlineStr">
        <is>
          <t>sobre muro</t>
        </is>
      </c>
    </row>
    <row r="99">
      <c r="B99" s="39" t="inlineStr">
        <is>
          <t>DM-41</t>
        </is>
      </c>
      <c r="C99" s="39" t="inlineStr">
        <is>
          <t>F80016 N+3.00</t>
        </is>
      </c>
      <c r="D99" s="39" t="inlineStr">
        <is>
          <t>N+3.00</t>
        </is>
      </c>
      <c r="E99" s="52" t="n">
        <v>2.002</v>
      </c>
      <c r="F99" s="55">
        <f>TABLEROS!$R$23</f>
        <v>822.775510204082</v>
      </c>
      <c r="G99" s="34">
        <f>E99*F99/1000</f>
        <v>1.64719657142857</v>
      </c>
      <c r="H99" s="55">
        <f>TABLEROS!$Q$23</f>
        <v>603.673469387755</v>
      </c>
      <c r="I99" s="34">
        <f>E99*H99/1000</f>
        <v>1.20855428571429</v>
      </c>
      <c r="J99" s="39" t="inlineStr">
        <is>
          <t>DM</t>
        </is>
      </c>
      <c r="K99" s="35" t="inlineStr">
        <is>
          <t>sobre muro</t>
        </is>
      </c>
    </row>
    <row r="100">
      <c r="B100" s="39" t="inlineStr">
        <is>
          <t>DM-42</t>
        </is>
      </c>
      <c r="C100" s="39" t="inlineStr">
        <is>
          <t>F80016 N+3.00</t>
        </is>
      </c>
      <c r="D100" s="39" t="inlineStr">
        <is>
          <t>N+3.00</t>
        </is>
      </c>
      <c r="E100" s="52" t="n">
        <v>1.998</v>
      </c>
      <c r="F100" s="55">
        <f>TABLEROS!$R$23</f>
        <v>822.775510204082</v>
      </c>
      <c r="G100" s="34">
        <f>E100*F100/1000</f>
        <v>1.64390546938775</v>
      </c>
      <c r="H100" s="55">
        <f>TABLEROS!$Q$23</f>
        <v>603.673469387755</v>
      </c>
      <c r="I100" s="34">
        <f>E100*H100/1000</f>
        <v>1.20613959183673</v>
      </c>
      <c r="J100" s="39" t="inlineStr">
        <is>
          <t>DM</t>
        </is>
      </c>
      <c r="K100" s="35" t="inlineStr">
        <is>
          <t>sobre muro</t>
        </is>
      </c>
    </row>
    <row r="101">
      <c r="B101" s="39" t="inlineStr">
        <is>
          <t>DM-49</t>
        </is>
      </c>
      <c r="C101" s="39" t="inlineStr">
        <is>
          <t>F80017 N+3.00</t>
        </is>
      </c>
      <c r="D101" s="39" t="inlineStr">
        <is>
          <t>N+3.00</t>
        </is>
      </c>
      <c r="E101" s="52" t="n">
        <v>0.1435</v>
      </c>
      <c r="F101" s="55">
        <f>TABLEROS!$R$24</f>
        <v>822.775510204082</v>
      </c>
      <c r="G101" s="34">
        <f>E101*F101/1000</f>
        <v>0.118068285714286</v>
      </c>
      <c r="H101" s="55">
        <f>TABLEROS!$Q$24</f>
        <v>603.673469387755</v>
      </c>
      <c r="I101" s="34">
        <f>E101*H101/1000</f>
        <v>0.0866271428571429</v>
      </c>
      <c r="J101" s="39" t="inlineStr">
        <is>
          <t>DM</t>
        </is>
      </c>
      <c r="K101" s="35" t="inlineStr">
        <is>
          <t>sobre muro</t>
        </is>
      </c>
    </row>
    <row r="102">
      <c r="B102" s="39" t="inlineStr">
        <is>
          <t>DM-50</t>
        </is>
      </c>
      <c r="C102" s="39" t="inlineStr">
        <is>
          <t>F80017 N+3.00</t>
        </is>
      </c>
      <c r="D102" s="39" t="inlineStr">
        <is>
          <t>N+3.00</t>
        </is>
      </c>
      <c r="E102" s="52" t="n">
        <v>0.263</v>
      </c>
      <c r="F102" s="55">
        <f>TABLEROS!$R$24</f>
        <v>822.775510204082</v>
      </c>
      <c r="G102" s="34">
        <f>E102*F102/1000</f>
        <v>0.216389959183673</v>
      </c>
      <c r="H102" s="55">
        <f>TABLEROS!$Q$24</f>
        <v>603.673469387755</v>
      </c>
      <c r="I102" s="34">
        <f>E102*H102/1000</f>
        <v>0.15876612244898</v>
      </c>
      <c r="J102" s="39" t="inlineStr">
        <is>
          <t>DM</t>
        </is>
      </c>
      <c r="K102" s="35" t="inlineStr">
        <is>
          <t>sobre muro</t>
        </is>
      </c>
    </row>
    <row r="103">
      <c r="B103" s="39" t="inlineStr">
        <is>
          <t>DM-51</t>
        </is>
      </c>
      <c r="C103" s="39" t="inlineStr">
        <is>
          <t>F80017 N+3.00</t>
        </is>
      </c>
      <c r="D103" s="39" t="inlineStr">
        <is>
          <t>N+3.00</t>
        </is>
      </c>
      <c r="E103" s="52" t="n">
        <v>0.5293</v>
      </c>
      <c r="F103" s="55">
        <f>TABLEROS!$R$24</f>
        <v>822.775510204082</v>
      </c>
      <c r="G103" s="34">
        <f>E103*F103/1000</f>
        <v>0.43549507755102</v>
      </c>
      <c r="H103" s="55">
        <f>TABLEROS!$Q$24</f>
        <v>603.673469387755</v>
      </c>
      <c r="I103" s="34">
        <f>E103*H103/1000</f>
        <v>0.319524367346939</v>
      </c>
      <c r="J103" s="39" t="inlineStr">
        <is>
          <t>DM</t>
        </is>
      </c>
      <c r="K103" s="35" t="inlineStr">
        <is>
          <t>sobre muro</t>
        </is>
      </c>
    </row>
    <row r="104">
      <c r="B104" s="39" t="inlineStr">
        <is>
          <t>DM-17</t>
        </is>
      </c>
      <c r="C104" s="39" t="inlineStr">
        <is>
          <t>F80017 N+3.00</t>
        </is>
      </c>
      <c r="D104" s="39" t="inlineStr">
        <is>
          <t>N+3.00</t>
        </is>
      </c>
      <c r="E104" s="52" t="n">
        <v>0.0111</v>
      </c>
      <c r="F104" s="55">
        <f>TABLEROS!$R$24</f>
        <v>822.775510204082</v>
      </c>
      <c r="G104" s="34">
        <f>E104*F104/1000</f>
        <v>0.00913280816326531</v>
      </c>
      <c r="H104" s="55">
        <f>TABLEROS!$Q$24</f>
        <v>603.673469387755</v>
      </c>
      <c r="I104" s="34">
        <f>E104*H104/1000</f>
        <v>0.00670077551020408</v>
      </c>
      <c r="J104" s="39" t="inlineStr">
        <is>
          <t>DM</t>
        </is>
      </c>
      <c r="K104" s="35" t="inlineStr">
        <is>
          <t>sobre muro</t>
        </is>
      </c>
    </row>
    <row r="105">
      <c r="B105" s="39" t="inlineStr">
        <is>
          <t>DM-18</t>
        </is>
      </c>
      <c r="C105" s="39" t="inlineStr">
        <is>
          <t>F80017 N+3.00</t>
        </is>
      </c>
      <c r="D105" s="39" t="inlineStr">
        <is>
          <t>N+3.00</t>
        </is>
      </c>
      <c r="E105" s="52" t="n">
        <v>0.0511</v>
      </c>
      <c r="F105" s="55">
        <f>TABLEROS!$R$24</f>
        <v>822.775510204082</v>
      </c>
      <c r="G105" s="34">
        <f>E105*F105/1000</f>
        <v>0.0420438285714286</v>
      </c>
      <c r="H105" s="55">
        <f>TABLEROS!$Q$24</f>
        <v>603.673469387755</v>
      </c>
      <c r="I105" s="34">
        <f>E105*H105/1000</f>
        <v>0.0308477142857143</v>
      </c>
      <c r="J105" s="39" t="inlineStr">
        <is>
          <t>DM</t>
        </is>
      </c>
      <c r="K105" s="35" t="inlineStr">
        <is>
          <t>sobre muro</t>
        </is>
      </c>
    </row>
    <row r="106">
      <c r="B106" s="39" t="inlineStr">
        <is>
          <t>NP-24</t>
        </is>
      </c>
      <c r="C106" s="39" t="inlineStr">
        <is>
          <t>F80017 N+3.00</t>
        </is>
      </c>
      <c r="D106" s="39" t="inlineStr">
        <is>
          <t>N+3.00</t>
        </is>
      </c>
      <c r="E106" s="52" t="n">
        <v>0.9357</v>
      </c>
      <c r="F106" s="55">
        <f>TABLEROS!$R$24</f>
        <v>822.775510204082</v>
      </c>
      <c r="G106" s="34">
        <f>E106*F106/1000</f>
        <v>0.769871044897959</v>
      </c>
      <c r="H106" s="55">
        <f>TABLEROS!$Q$24</f>
        <v>603.673469387755</v>
      </c>
      <c r="I106" s="34">
        <f>E106*H106/1000</f>
        <v>0.564857265306122</v>
      </c>
      <c r="J106" s="39" t="inlineStr">
        <is>
          <t>NP</t>
        </is>
      </c>
      <c r="K106" s="35" t="str">
        <f>PRINCIPALES!$AX$32</f>
        <v>NO CUMPLE: sección insuficiente en flexión → h ≥ 30 cm</v>
      </c>
    </row>
    <row r="107">
      <c r="B107" s="39" t="inlineStr">
        <is>
          <t>NP-15</t>
        </is>
      </c>
      <c r="C107" s="39" t="inlineStr">
        <is>
          <t>F80017 N+3.00</t>
        </is>
      </c>
      <c r="D107" s="39" t="inlineStr">
        <is>
          <t>N+3.00</t>
        </is>
      </c>
      <c r="E107" s="52" t="n">
        <v>0.0623</v>
      </c>
      <c r="F107" s="55">
        <f>TABLEROS!$R$24</f>
        <v>822.775510204082</v>
      </c>
      <c r="G107" s="34">
        <f>E107*F107/1000</f>
        <v>0.0512589142857143</v>
      </c>
      <c r="H107" s="55">
        <f>TABLEROS!$Q$24</f>
        <v>603.673469387755</v>
      </c>
      <c r="I107" s="34">
        <f>E107*H107/1000</f>
        <v>0.0376088571428571</v>
      </c>
      <c r="J107" s="39" t="inlineStr">
        <is>
          <t>NP</t>
        </is>
      </c>
      <c r="K107" s="35" t="str">
        <f>PRINCIPALES!$AX$23</f>
        <v>NO CUMPLE: sección insuficiente en flexión cortante deflexión → h ≥ 45 cm</v>
      </c>
    </row>
    <row r="108">
      <c r="B108" s="39" t="inlineStr">
        <is>
          <t>DM-19</t>
        </is>
      </c>
      <c r="C108" s="39" t="inlineStr">
        <is>
          <t>F80018 N+3.00</t>
        </is>
      </c>
      <c r="D108" s="39" t="inlineStr">
        <is>
          <t>N+3.00</t>
        </is>
      </c>
      <c r="E108" s="52" t="n">
        <v>0.0613</v>
      </c>
      <c r="F108" s="55">
        <f>TABLEROS!$R$25</f>
        <v>822.775510204082</v>
      </c>
      <c r="G108" s="34">
        <f>E108*F108/1000</f>
        <v>0.0504361387755102</v>
      </c>
      <c r="H108" s="55">
        <f>TABLEROS!$Q$25</f>
        <v>603.673469387755</v>
      </c>
      <c r="I108" s="34">
        <f>E108*H108/1000</f>
        <v>0.0370051836734694</v>
      </c>
      <c r="J108" s="39" t="inlineStr">
        <is>
          <t>DM</t>
        </is>
      </c>
      <c r="K108" s="35" t="inlineStr">
        <is>
          <t>sobre muro</t>
        </is>
      </c>
    </row>
    <row r="109">
      <c r="B109" s="39" t="inlineStr">
        <is>
          <t>DM-20</t>
        </is>
      </c>
      <c r="C109" s="39" t="inlineStr">
        <is>
          <t>F80018 N+3.00</t>
        </is>
      </c>
      <c r="D109" s="39" t="inlineStr">
        <is>
          <t>N+3.00</t>
        </is>
      </c>
      <c r="E109" s="52" t="n">
        <v>2.5102</v>
      </c>
      <c r="F109" s="55">
        <f>TABLEROS!$R$25</f>
        <v>822.775510204082</v>
      </c>
      <c r="G109" s="34">
        <f>E109*F109/1000</f>
        <v>2.06533108571429</v>
      </c>
      <c r="H109" s="55">
        <f>TABLEROS!$Q$25</f>
        <v>603.673469387755</v>
      </c>
      <c r="I109" s="34">
        <f>E109*H109/1000</f>
        <v>1.51534114285714</v>
      </c>
      <c r="J109" s="39" t="inlineStr">
        <is>
          <t>DM</t>
        </is>
      </c>
      <c r="K109" s="35" t="inlineStr">
        <is>
          <t>sobre muro</t>
        </is>
      </c>
    </row>
    <row r="110">
      <c r="B110" s="39" t="inlineStr">
        <is>
          <t>DM-21</t>
        </is>
      </c>
      <c r="C110" s="39" t="inlineStr">
        <is>
          <t>F80018 N+3.00</t>
        </is>
      </c>
      <c r="D110" s="39" t="inlineStr">
        <is>
          <t>N+3.00</t>
        </is>
      </c>
      <c r="E110" s="52" t="n">
        <v>1.0322</v>
      </c>
      <c r="F110" s="55">
        <f>TABLEROS!$R$25</f>
        <v>822.775510204082</v>
      </c>
      <c r="G110" s="34">
        <f>E110*F110/1000</f>
        <v>0.849268881632653</v>
      </c>
      <c r="H110" s="55">
        <f>TABLEROS!$Q$25</f>
        <v>603.673469387755</v>
      </c>
      <c r="I110" s="34">
        <f>E110*H110/1000</f>
        <v>0.623111755102041</v>
      </c>
      <c r="J110" s="39" t="inlineStr">
        <is>
          <t>DM</t>
        </is>
      </c>
      <c r="K110" s="35" t="inlineStr">
        <is>
          <t>sobre muro</t>
        </is>
      </c>
    </row>
    <row r="111">
      <c r="B111" s="39" t="inlineStr">
        <is>
          <t>DM-22</t>
        </is>
      </c>
      <c r="C111" s="39" t="inlineStr">
        <is>
          <t>F80018 N+3.00</t>
        </is>
      </c>
      <c r="D111" s="39" t="inlineStr">
        <is>
          <t>N+3.00</t>
        </is>
      </c>
      <c r="E111" s="52" t="n">
        <v>0.2478</v>
      </c>
      <c r="F111" s="55">
        <f>TABLEROS!$R$25</f>
        <v>822.775510204082</v>
      </c>
      <c r="G111" s="34">
        <f>E111*F111/1000</f>
        <v>0.203883771428571</v>
      </c>
      <c r="H111" s="55">
        <f>TABLEROS!$Q$25</f>
        <v>603.673469387755</v>
      </c>
      <c r="I111" s="34">
        <f>E111*H111/1000</f>
        <v>0.149590285714286</v>
      </c>
      <c r="J111" s="39" t="inlineStr">
        <is>
          <t>DM</t>
        </is>
      </c>
      <c r="K111" s="35" t="inlineStr">
        <is>
          <t>sobre muro</t>
        </is>
      </c>
    </row>
    <row r="112">
      <c r="B112" s="39" t="inlineStr">
        <is>
          <t>DM-49</t>
        </is>
      </c>
      <c r="C112" s="39" t="inlineStr">
        <is>
          <t>F80018 N+3.00</t>
        </is>
      </c>
      <c r="D112" s="39" t="inlineStr">
        <is>
          <t>N+3.00</t>
        </is>
      </c>
      <c r="E112" s="52" t="n">
        <v>0.245</v>
      </c>
      <c r="F112" s="55">
        <f>TABLEROS!$R$25</f>
        <v>822.775510204082</v>
      </c>
      <c r="G112" s="34">
        <f>E112*F112/1000</f>
        <v>0.20158</v>
      </c>
      <c r="H112" s="55">
        <f>TABLEROS!$Q$25</f>
        <v>603.673469387755</v>
      </c>
      <c r="I112" s="34">
        <f>E112*H112/1000</f>
        <v>0.1479</v>
      </c>
      <c r="J112" s="39" t="inlineStr">
        <is>
          <t>DM</t>
        </is>
      </c>
      <c r="K112" s="35" t="inlineStr">
        <is>
          <t>sobre muro</t>
        </is>
      </c>
    </row>
    <row r="113">
      <c r="B113" s="39" t="inlineStr">
        <is>
          <t>DM-50</t>
        </is>
      </c>
      <c r="C113" s="39" t="inlineStr">
        <is>
          <t>F80018 N+3.00</t>
        </is>
      </c>
      <c r="D113" s="39" t="inlineStr">
        <is>
          <t>N+3.00</t>
        </is>
      </c>
      <c r="E113" s="52" t="n">
        <v>1.2933</v>
      </c>
      <c r="F113" s="55">
        <f>TABLEROS!$R$25</f>
        <v>822.775510204082</v>
      </c>
      <c r="G113" s="34">
        <f>E113*F113/1000</f>
        <v>1.06409556734694</v>
      </c>
      <c r="H113" s="55">
        <f>TABLEROS!$Q$25</f>
        <v>603.673469387755</v>
      </c>
      <c r="I113" s="34">
        <f>E113*H113/1000</f>
        <v>0.780730897959184</v>
      </c>
      <c r="J113" s="39" t="inlineStr">
        <is>
          <t>DM</t>
        </is>
      </c>
      <c r="K113" s="35" t="inlineStr">
        <is>
          <t>sobre muro</t>
        </is>
      </c>
    </row>
    <row r="114">
      <c r="B114" s="39" t="inlineStr">
        <is>
          <t>DM-51</t>
        </is>
      </c>
      <c r="C114" s="39" t="inlineStr">
        <is>
          <t>F80018 N+3.00</t>
        </is>
      </c>
      <c r="D114" s="39" t="inlineStr">
        <is>
          <t>N+3.00</t>
        </is>
      </c>
      <c r="E114" s="52" t="n">
        <v>2.4603</v>
      </c>
      <c r="F114" s="55">
        <f>TABLEROS!$R$25</f>
        <v>822.775510204082</v>
      </c>
      <c r="G114" s="34">
        <f>E114*F114/1000</f>
        <v>2.0242745877551</v>
      </c>
      <c r="H114" s="55">
        <f>TABLEROS!$Q$25</f>
        <v>603.673469387755</v>
      </c>
      <c r="I114" s="34">
        <f>E114*H114/1000</f>
        <v>1.48521783673469</v>
      </c>
      <c r="J114" s="39" t="inlineStr">
        <is>
          <t>DM</t>
        </is>
      </c>
      <c r="K114" s="35" t="inlineStr">
        <is>
          <t>sobre muro</t>
        </is>
      </c>
    </row>
    <row r="115">
      <c r="B115" s="39" t="inlineStr">
        <is>
          <t>DM-13</t>
        </is>
      </c>
      <c r="C115" s="39" t="inlineStr">
        <is>
          <t>F80018 N+3.00</t>
        </is>
      </c>
      <c r="D115" s="39" t="inlineStr">
        <is>
          <t>N+3.00</t>
        </is>
      </c>
      <c r="E115" s="52" t="n">
        <v>1.9247</v>
      </c>
      <c r="F115" s="55">
        <f>TABLEROS!$R$25</f>
        <v>822.775510204082</v>
      </c>
      <c r="G115" s="34">
        <f>E115*F115/1000</f>
        <v>1.5835960244898</v>
      </c>
      <c r="H115" s="55">
        <f>TABLEROS!$Q$25</f>
        <v>603.673469387755</v>
      </c>
      <c r="I115" s="34">
        <f>E115*H115/1000</f>
        <v>1.16189032653061</v>
      </c>
      <c r="J115" s="39" t="inlineStr">
        <is>
          <t>DM</t>
        </is>
      </c>
      <c r="K115" s="35" t="inlineStr">
        <is>
          <t>sobre muro</t>
        </is>
      </c>
    </row>
    <row r="116">
      <c r="B116" s="39" t="inlineStr">
        <is>
          <t>DM-14</t>
        </is>
      </c>
      <c r="C116" s="39" t="inlineStr">
        <is>
          <t>F80018 N+3.00</t>
        </is>
      </c>
      <c r="D116" s="39" t="inlineStr">
        <is>
          <t>N+3.00</t>
        </is>
      </c>
      <c r="E116" s="52" t="n">
        <v>1.9267</v>
      </c>
      <c r="F116" s="55">
        <f>TABLEROS!$R$25</f>
        <v>822.775510204082</v>
      </c>
      <c r="G116" s="34">
        <f>E116*F116/1000</f>
        <v>1.5852415755102</v>
      </c>
      <c r="H116" s="55">
        <f>TABLEROS!$Q$25</f>
        <v>603.673469387755</v>
      </c>
      <c r="I116" s="34">
        <f>E116*H116/1000</f>
        <v>1.16309767346939</v>
      </c>
      <c r="J116" s="39" t="inlineStr">
        <is>
          <t>DM</t>
        </is>
      </c>
      <c r="K116" s="35" t="inlineStr">
        <is>
          <t>sobre muro</t>
        </is>
      </c>
    </row>
    <row r="117">
      <c r="B117" s="39" t="inlineStr">
        <is>
          <t>DM-63</t>
        </is>
      </c>
      <c r="C117" s="39" t="inlineStr">
        <is>
          <t>F80018 N+3.00</t>
        </is>
      </c>
      <c r="D117" s="39" t="inlineStr">
        <is>
          <t>N+3.00</t>
        </is>
      </c>
      <c r="E117" s="52" t="n">
        <v>1.9993</v>
      </c>
      <c r="F117" s="55">
        <f>TABLEROS!$R$25</f>
        <v>822.775510204082</v>
      </c>
      <c r="G117" s="34">
        <f>E117*F117/1000</f>
        <v>1.64497507755102</v>
      </c>
      <c r="H117" s="55">
        <f>TABLEROS!$Q$25</f>
        <v>603.673469387755</v>
      </c>
      <c r="I117" s="34">
        <f>E117*H117/1000</f>
        <v>1.20692436734694</v>
      </c>
      <c r="J117" s="39" t="inlineStr">
        <is>
          <t>DM</t>
        </is>
      </c>
      <c r="K117" s="35" t="inlineStr">
        <is>
          <t>sobre muro</t>
        </is>
      </c>
    </row>
    <row r="118">
      <c r="B118" s="39" t="inlineStr">
        <is>
          <t>DM-64</t>
        </is>
      </c>
      <c r="C118" s="39" t="inlineStr">
        <is>
          <t>F80018 N+3.00</t>
        </is>
      </c>
      <c r="D118" s="39" t="inlineStr">
        <is>
          <t>N+3.00</t>
        </is>
      </c>
      <c r="E118" s="52" t="n">
        <v>1.9993</v>
      </c>
      <c r="F118" s="55">
        <f>TABLEROS!$R$25</f>
        <v>822.775510204082</v>
      </c>
      <c r="G118" s="34">
        <f>E118*F118/1000</f>
        <v>1.64497507755102</v>
      </c>
      <c r="H118" s="55">
        <f>TABLEROS!$Q$25</f>
        <v>603.673469387755</v>
      </c>
      <c r="I118" s="34">
        <f>E118*H118/1000</f>
        <v>1.20692436734694</v>
      </c>
      <c r="J118" s="39" t="inlineStr">
        <is>
          <t>DM</t>
        </is>
      </c>
      <c r="K118" s="35" t="inlineStr">
        <is>
          <t>sobre muro</t>
        </is>
      </c>
    </row>
    <row r="119">
      <c r="B119" s="39" t="inlineStr">
        <is>
          <t>DM-43</t>
        </is>
      </c>
      <c r="C119" s="39" t="inlineStr">
        <is>
          <t>F80019 N+3.00</t>
        </is>
      </c>
      <c r="D119" s="39" t="inlineStr">
        <is>
          <t>N+3.00</t>
        </is>
      </c>
      <c r="E119" s="52" t="n">
        <v>1</v>
      </c>
      <c r="F119" s="55">
        <f>TABLEROS!$R$26</f>
        <v>887.775510204082</v>
      </c>
      <c r="G119" s="34">
        <f>E119*F119/1000</f>
        <v>0.887775510204082</v>
      </c>
      <c r="H119" s="55">
        <f>TABLEROS!$Q$26</f>
        <v>653.673469387755</v>
      </c>
      <c r="I119" s="34">
        <f>E119*H119/1000</f>
        <v>0.653673469387755</v>
      </c>
      <c r="J119" s="39" t="inlineStr">
        <is>
          <t>DM</t>
        </is>
      </c>
      <c r="K119" s="35" t="inlineStr">
        <is>
          <t>sobre muro</t>
        </is>
      </c>
    </row>
    <row r="120">
      <c r="B120" s="39" t="inlineStr">
        <is>
          <t>DM-16</t>
        </is>
      </c>
      <c r="C120" s="39" t="inlineStr">
        <is>
          <t>F80019 N+3.00</t>
        </is>
      </c>
      <c r="D120" s="39" t="inlineStr">
        <is>
          <t>N+3.00</t>
        </is>
      </c>
      <c r="E120" s="52" t="n">
        <v>0.0613</v>
      </c>
      <c r="F120" s="55">
        <f>TABLEROS!$R$26</f>
        <v>887.775510204082</v>
      </c>
      <c r="G120" s="34">
        <f>E120*F120/1000</f>
        <v>0.0544206387755102</v>
      </c>
      <c r="H120" s="55">
        <f>TABLEROS!$Q$26</f>
        <v>653.673469387755</v>
      </c>
      <c r="I120" s="34">
        <f>E120*H120/1000</f>
        <v>0.0400701836734694</v>
      </c>
      <c r="J120" s="39" t="inlineStr">
        <is>
          <t>DM</t>
        </is>
      </c>
      <c r="K120" s="35" t="inlineStr">
        <is>
          <t>sobre muro</t>
        </is>
      </c>
    </row>
    <row r="121">
      <c r="B121" s="39" t="inlineStr">
        <is>
          <t>DM-17</t>
        </is>
      </c>
      <c r="C121" s="39" t="inlineStr">
        <is>
          <t>F80019 N+3.00</t>
        </is>
      </c>
      <c r="D121" s="39" t="inlineStr">
        <is>
          <t>N+3.00</t>
        </is>
      </c>
      <c r="E121" s="52" t="n">
        <v>4.0138</v>
      </c>
      <c r="F121" s="55">
        <f>TABLEROS!$R$26</f>
        <v>887.775510204082</v>
      </c>
      <c r="G121" s="34">
        <f>E121*F121/1000</f>
        <v>3.56335334285714</v>
      </c>
      <c r="H121" s="55">
        <f>TABLEROS!$Q$26</f>
        <v>653.673469387755</v>
      </c>
      <c r="I121" s="34">
        <f>E121*H121/1000</f>
        <v>2.62371457142857</v>
      </c>
      <c r="J121" s="39" t="inlineStr">
        <is>
          <t>DM</t>
        </is>
      </c>
      <c r="K121" s="35" t="inlineStr">
        <is>
          <t>sobre muro</t>
        </is>
      </c>
    </row>
    <row r="122">
      <c r="B122" s="39" t="inlineStr">
        <is>
          <t>DM-18</t>
        </is>
      </c>
      <c r="C122" s="39" t="inlineStr">
        <is>
          <t>F80019 N+3.00</t>
        </is>
      </c>
      <c r="D122" s="39" t="inlineStr">
        <is>
          <t>N+3.00</t>
        </is>
      </c>
      <c r="E122" s="52" t="n">
        <v>0.35</v>
      </c>
      <c r="F122" s="55">
        <f>TABLEROS!$R$26</f>
        <v>887.775510204082</v>
      </c>
      <c r="G122" s="34">
        <f>E122*F122/1000</f>
        <v>0.310721428571429</v>
      </c>
      <c r="H122" s="55">
        <f>TABLEROS!$Q$26</f>
        <v>653.673469387755</v>
      </c>
      <c r="I122" s="34">
        <f>E122*H122/1000</f>
        <v>0.228785714285714</v>
      </c>
      <c r="J122" s="39" t="inlineStr">
        <is>
          <t>DM</t>
        </is>
      </c>
      <c r="K122" s="35" t="inlineStr">
        <is>
          <t>sobre muro</t>
        </is>
      </c>
    </row>
    <row r="123">
      <c r="B123" s="39" t="inlineStr">
        <is>
          <t>DM-19</t>
        </is>
      </c>
      <c r="C123" s="39" t="inlineStr">
        <is>
          <t>F80019 N+3.00</t>
        </is>
      </c>
      <c r="D123" s="39" t="inlineStr">
        <is>
          <t>N+3.00</t>
        </is>
      </c>
      <c r="E123" s="52" t="n">
        <v>0.35</v>
      </c>
      <c r="F123" s="55">
        <f>TABLEROS!$R$26</f>
        <v>887.775510204082</v>
      </c>
      <c r="G123" s="34">
        <f>E123*F123/1000</f>
        <v>0.310721428571429</v>
      </c>
      <c r="H123" s="55">
        <f>TABLEROS!$Q$26</f>
        <v>653.673469387755</v>
      </c>
      <c r="I123" s="34">
        <f>E123*H123/1000</f>
        <v>0.228785714285714</v>
      </c>
      <c r="J123" s="39" t="inlineStr">
        <is>
          <t>DM</t>
        </is>
      </c>
      <c r="K123" s="35" t="inlineStr">
        <is>
          <t>sobre muro</t>
        </is>
      </c>
    </row>
    <row r="124">
      <c r="B124" s="39" t="inlineStr">
        <is>
          <t>DM-20</t>
        </is>
      </c>
      <c r="C124" s="39" t="inlineStr">
        <is>
          <t>F80019 N+3.00</t>
        </is>
      </c>
      <c r="D124" s="39" t="inlineStr">
        <is>
          <t>N+3.00</t>
        </is>
      </c>
      <c r="E124" s="52" t="n">
        <v>1.475</v>
      </c>
      <c r="F124" s="55">
        <f>TABLEROS!$R$26</f>
        <v>887.775510204082</v>
      </c>
      <c r="G124" s="34">
        <f>E124*F124/1000</f>
        <v>1.30946887755102</v>
      </c>
      <c r="H124" s="55">
        <f>TABLEROS!$Q$26</f>
        <v>653.673469387755</v>
      </c>
      <c r="I124" s="34">
        <f>E124*H124/1000</f>
        <v>0.964168367346939</v>
      </c>
      <c r="J124" s="39" t="inlineStr">
        <is>
          <t>DM</t>
        </is>
      </c>
      <c r="K124" s="35" t="inlineStr">
        <is>
          <t>sobre muro</t>
        </is>
      </c>
    </row>
    <row r="125">
      <c r="B125" s="39" t="inlineStr">
        <is>
          <t>DM-53</t>
        </is>
      </c>
      <c r="C125" s="39" t="inlineStr">
        <is>
          <t>F80019 N+3.00</t>
        </is>
      </c>
      <c r="D125" s="39" t="inlineStr">
        <is>
          <t>N+3.00</t>
        </is>
      </c>
      <c r="E125" s="52" t="n">
        <v>1</v>
      </c>
      <c r="F125" s="55">
        <f>TABLEROS!$R$26</f>
        <v>887.775510204082</v>
      </c>
      <c r="G125" s="34">
        <f>E125*F125/1000</f>
        <v>0.887775510204082</v>
      </c>
      <c r="H125" s="55">
        <f>TABLEROS!$Q$26</f>
        <v>653.673469387755</v>
      </c>
      <c r="I125" s="34">
        <f>E125*H125/1000</f>
        <v>0.653673469387755</v>
      </c>
      <c r="J125" s="39" t="inlineStr">
        <is>
          <t>DM</t>
        </is>
      </c>
      <c r="K125" s="35" t="inlineStr">
        <is>
          <t>sobre muro</t>
        </is>
      </c>
    </row>
    <row r="126">
      <c r="B126" s="39" t="inlineStr">
        <is>
          <t>NP-16</t>
        </is>
      </c>
      <c r="C126" s="39" t="inlineStr">
        <is>
          <t>F80019 N+3.00</t>
        </is>
      </c>
      <c r="D126" s="39" t="inlineStr">
        <is>
          <t>N+3.00</t>
        </is>
      </c>
      <c r="E126" s="52" t="n">
        <v>6.25</v>
      </c>
      <c r="F126" s="55">
        <f>TABLEROS!$R$26</f>
        <v>887.775510204082</v>
      </c>
      <c r="G126" s="34">
        <f>E126*F126/1000</f>
        <v>5.54859693877551</v>
      </c>
      <c r="H126" s="55">
        <f>TABLEROS!$Q$26</f>
        <v>653.673469387755</v>
      </c>
      <c r="I126" s="34">
        <f>E126*H126/1000</f>
        <v>4.08545918367347</v>
      </c>
      <c r="J126" s="39" t="inlineStr">
        <is>
          <t>NP</t>
        </is>
      </c>
      <c r="K126" s="35" t="str">
        <f>PRINCIPALES!$AX$24</f>
        <v>BORDE DE VOLADO — armado de orilla</v>
      </c>
    </row>
    <row r="127">
      <c r="B127" s="39" t="inlineStr">
        <is>
          <t>DM-53</t>
        </is>
      </c>
      <c r="C127" s="39" t="inlineStr">
        <is>
          <t>F80020 N+3.00</t>
        </is>
      </c>
      <c r="D127" s="39" t="inlineStr">
        <is>
          <t>N+3.00</t>
        </is>
      </c>
      <c r="E127" s="52" t="n">
        <v>1.7</v>
      </c>
      <c r="F127" s="55">
        <f>TABLEROS!$R$27</f>
        <v>907.275510204082</v>
      </c>
      <c r="G127" s="34">
        <f>E127*F127/1000</f>
        <v>1.54236836734694</v>
      </c>
      <c r="H127" s="55">
        <f>TABLEROS!$Q$27</f>
        <v>668.673469387755</v>
      </c>
      <c r="I127" s="34">
        <f>E127*H127/1000</f>
        <v>1.13674489795918</v>
      </c>
      <c r="J127" s="39" t="inlineStr">
        <is>
          <t>DM</t>
        </is>
      </c>
      <c r="K127" s="35" t="inlineStr">
        <is>
          <t>sobre muro</t>
        </is>
      </c>
    </row>
    <row r="128">
      <c r="B128" s="39" t="inlineStr">
        <is>
          <t>DM-21</t>
        </is>
      </c>
      <c r="C128" s="39" t="inlineStr">
        <is>
          <t>F80020 N+3.00</t>
        </is>
      </c>
      <c r="D128" s="39" t="inlineStr">
        <is>
          <t>N+3.00</t>
        </is>
      </c>
      <c r="E128" s="52" t="n">
        <v>0.3922</v>
      </c>
      <c r="F128" s="55">
        <f>TABLEROS!$R$27</f>
        <v>907.275510204082</v>
      </c>
      <c r="G128" s="34">
        <f>E128*F128/1000</f>
        <v>0.355833455102041</v>
      </c>
      <c r="H128" s="55">
        <f>TABLEROS!$Q$27</f>
        <v>668.673469387755</v>
      </c>
      <c r="I128" s="34">
        <f>E128*H128/1000</f>
        <v>0.262253734693878</v>
      </c>
      <c r="J128" s="39" t="inlineStr">
        <is>
          <t>DM</t>
        </is>
      </c>
      <c r="K128" s="35" t="inlineStr">
        <is>
          <t>sobre muro</t>
        </is>
      </c>
    </row>
    <row r="129">
      <c r="B129" s="39" t="inlineStr">
        <is>
          <t>DM-22</t>
        </is>
      </c>
      <c r="C129" s="39" t="inlineStr">
        <is>
          <t>F80020 N+3.00</t>
        </is>
      </c>
      <c r="D129" s="39" t="inlineStr">
        <is>
          <t>N+3.00</t>
        </is>
      </c>
      <c r="E129" s="52" t="n">
        <v>0.2478</v>
      </c>
      <c r="F129" s="55">
        <f>TABLEROS!$R$27</f>
        <v>907.275510204082</v>
      </c>
      <c r="G129" s="34">
        <f>E129*F129/1000</f>
        <v>0.224822871428571</v>
      </c>
      <c r="H129" s="55">
        <f>TABLEROS!$Q$27</f>
        <v>668.673469387755</v>
      </c>
      <c r="I129" s="34">
        <f>E129*H129/1000</f>
        <v>0.165697285714286</v>
      </c>
      <c r="J129" s="39" t="inlineStr">
        <is>
          <t>DM</t>
        </is>
      </c>
      <c r="K129" s="35" t="inlineStr">
        <is>
          <t>sobre muro</t>
        </is>
      </c>
    </row>
    <row r="130">
      <c r="B130" s="39" t="inlineStr">
        <is>
          <t>DM-65</t>
        </is>
      </c>
      <c r="C130" s="39" t="inlineStr">
        <is>
          <t>F80020 N+3.00</t>
        </is>
      </c>
      <c r="D130" s="39" t="inlineStr">
        <is>
          <t>N+3.00</t>
        </is>
      </c>
      <c r="E130" s="52" t="n">
        <v>1.7</v>
      </c>
      <c r="F130" s="55">
        <f>TABLEROS!$R$27</f>
        <v>907.275510204082</v>
      </c>
      <c r="G130" s="34">
        <f>E130*F130/1000</f>
        <v>1.54236836734694</v>
      </c>
      <c r="H130" s="55">
        <f>TABLEROS!$Q$27</f>
        <v>668.673469387755</v>
      </c>
      <c r="I130" s="34">
        <f>E130*H130/1000</f>
        <v>1.13674489795918</v>
      </c>
      <c r="J130" s="39" t="inlineStr">
        <is>
          <t>DM</t>
        </is>
      </c>
      <c r="K130" s="35" t="inlineStr">
        <is>
          <t>sobre muro</t>
        </is>
      </c>
    </row>
    <row r="131">
      <c r="B131" s="39" t="inlineStr">
        <is>
          <t>DM-25</t>
        </is>
      </c>
      <c r="C131" s="39" t="inlineStr">
        <is>
          <t>F80020 N+3.00</t>
        </is>
      </c>
      <c r="D131" s="39" t="inlineStr">
        <is>
          <t>N+3.00</t>
        </is>
      </c>
      <c r="E131" s="52" t="n">
        <v>0.0262</v>
      </c>
      <c r="F131" s="55">
        <f>TABLEROS!$R$27</f>
        <v>907.275510204082</v>
      </c>
      <c r="G131" s="34">
        <f>E131*F131/1000</f>
        <v>0.0237706183673469</v>
      </c>
      <c r="H131" s="55">
        <f>TABLEROS!$Q$27</f>
        <v>668.673469387755</v>
      </c>
      <c r="I131" s="34">
        <f>E131*H131/1000</f>
        <v>0.0175192448979592</v>
      </c>
      <c r="J131" s="39" t="inlineStr">
        <is>
          <t>DM</t>
        </is>
      </c>
      <c r="K131" s="35" t="inlineStr">
        <is>
          <t>sobre muro</t>
        </is>
      </c>
    </row>
    <row r="132">
      <c r="B132" s="39" t="inlineStr">
        <is>
          <t>DM-26</t>
        </is>
      </c>
      <c r="C132" s="39" t="inlineStr">
        <is>
          <t>F80020 N+3.00</t>
        </is>
      </c>
      <c r="D132" s="39" t="inlineStr">
        <is>
          <t>N+3.00</t>
        </is>
      </c>
      <c r="E132" s="52" t="n">
        <v>0.6027</v>
      </c>
      <c r="F132" s="55">
        <f>TABLEROS!$R$27</f>
        <v>907.275510204082</v>
      </c>
      <c r="G132" s="34">
        <f>E132*F132/1000</f>
        <v>0.54681495</v>
      </c>
      <c r="H132" s="55">
        <f>TABLEROS!$Q$27</f>
        <v>668.673469387755</v>
      </c>
      <c r="I132" s="34">
        <f>E132*H132/1000</f>
        <v>0.4030095</v>
      </c>
      <c r="J132" s="39" t="inlineStr">
        <is>
          <t>DM</t>
        </is>
      </c>
      <c r="K132" s="35" t="inlineStr">
        <is>
          <t>sobre muro</t>
        </is>
      </c>
    </row>
    <row r="133">
      <c r="B133" s="39" t="inlineStr">
        <is>
          <t>DM-27</t>
        </is>
      </c>
      <c r="C133" s="39" t="inlineStr">
        <is>
          <t>F80020 N+3.00</t>
        </is>
      </c>
      <c r="D133" s="39" t="inlineStr">
        <is>
          <t>N+3.00</t>
        </is>
      </c>
      <c r="E133" s="52" t="n">
        <v>0.0111</v>
      </c>
      <c r="F133" s="55">
        <f>TABLEROS!$R$27</f>
        <v>907.275510204082</v>
      </c>
      <c r="G133" s="34">
        <f>E133*F133/1000</f>
        <v>0.0100707581632653</v>
      </c>
      <c r="H133" s="55">
        <f>TABLEROS!$Q$27</f>
        <v>668.673469387755</v>
      </c>
      <c r="I133" s="34">
        <f>E133*H133/1000</f>
        <v>0.00742227551020408</v>
      </c>
      <c r="J133" s="39" t="inlineStr">
        <is>
          <t>DM</t>
        </is>
      </c>
      <c r="K133" s="35" t="inlineStr">
        <is>
          <t>sobre muro</t>
        </is>
      </c>
    </row>
    <row r="134">
      <c r="B134" s="39" t="inlineStr">
        <is>
          <t>DM-43</t>
        </is>
      </c>
      <c r="C134" s="39" t="inlineStr">
        <is>
          <t>F80021 N+3.00</t>
        </is>
      </c>
      <c r="D134" s="39" t="inlineStr">
        <is>
          <t>N+3.00</t>
        </is>
      </c>
      <c r="E134" s="52" t="n">
        <v>1.7</v>
      </c>
      <c r="F134" s="55">
        <f>TABLEROS!$R$28</f>
        <v>830.775510204082</v>
      </c>
      <c r="G134" s="34">
        <f>E134*F134/1000</f>
        <v>1.41231836734694</v>
      </c>
      <c r="H134" s="55">
        <f>TABLEROS!$Q$28</f>
        <v>623.673469387755</v>
      </c>
      <c r="I134" s="34">
        <f>E134*H134/1000</f>
        <v>1.06024489795918</v>
      </c>
      <c r="J134" s="39" t="inlineStr">
        <is>
          <t>DM</t>
        </is>
      </c>
      <c r="K134" s="35" t="inlineStr">
        <is>
          <t>sobre muro</t>
        </is>
      </c>
    </row>
    <row r="135">
      <c r="B135" s="39" t="inlineStr">
        <is>
          <t>DM-23</t>
        </is>
      </c>
      <c r="C135" s="39" t="inlineStr">
        <is>
          <t>F80021 N+3.00</t>
        </is>
      </c>
      <c r="D135" s="39" t="inlineStr">
        <is>
          <t>N+3.00</t>
        </is>
      </c>
      <c r="E135" s="52" t="n">
        <v>0.3936</v>
      </c>
      <c r="F135" s="55">
        <f>TABLEROS!$R$28</f>
        <v>830.775510204082</v>
      </c>
      <c r="G135" s="34">
        <f>E135*F135/1000</f>
        <v>0.326993240816327</v>
      </c>
      <c r="H135" s="55">
        <f>TABLEROS!$Q$28</f>
        <v>623.673469387755</v>
      </c>
      <c r="I135" s="34">
        <f>E135*H135/1000</f>
        <v>0.24547787755102</v>
      </c>
      <c r="J135" s="39" t="inlineStr">
        <is>
          <t>DM</t>
        </is>
      </c>
      <c r="K135" s="35" t="inlineStr">
        <is>
          <t>sobre muro</t>
        </is>
      </c>
    </row>
    <row r="136">
      <c r="B136" s="39" t="inlineStr">
        <is>
          <t>DM-24</t>
        </is>
      </c>
      <c r="C136" s="39" t="inlineStr">
        <is>
          <t>F80021 N+3.00</t>
        </is>
      </c>
      <c r="D136" s="39" t="inlineStr">
        <is>
          <t>N+3.00</t>
        </is>
      </c>
      <c r="E136" s="52" t="n">
        <v>0.2464</v>
      </c>
      <c r="F136" s="55">
        <f>TABLEROS!$R$28</f>
        <v>830.775510204082</v>
      </c>
      <c r="G136" s="34">
        <f>E136*F136/1000</f>
        <v>0.204703085714286</v>
      </c>
      <c r="H136" s="55">
        <f>TABLEROS!$Q$28</f>
        <v>623.673469387755</v>
      </c>
      <c r="I136" s="34">
        <f>E136*H136/1000</f>
        <v>0.153673142857143</v>
      </c>
      <c r="J136" s="39" t="inlineStr">
        <is>
          <t>DM</t>
        </is>
      </c>
      <c r="K136" s="35" t="inlineStr">
        <is>
          <t>sobre muro</t>
        </is>
      </c>
    </row>
    <row r="137">
      <c r="B137" s="39" t="inlineStr">
        <is>
          <t>DM-28</t>
        </is>
      </c>
      <c r="C137" s="39" t="inlineStr">
        <is>
          <t>F80021 N+3.00</t>
        </is>
      </c>
      <c r="D137" s="39" t="inlineStr">
        <is>
          <t>N+3.00</t>
        </is>
      </c>
      <c r="E137" s="52" t="n">
        <v>0.66</v>
      </c>
      <c r="F137" s="55">
        <f>TABLEROS!$R$28</f>
        <v>830.775510204082</v>
      </c>
      <c r="G137" s="34">
        <f>E137*F137/1000</f>
        <v>0.548311836734694</v>
      </c>
      <c r="H137" s="55">
        <f>TABLEROS!$Q$28</f>
        <v>623.673469387755</v>
      </c>
      <c r="I137" s="34">
        <f>E137*H137/1000</f>
        <v>0.411624489795918</v>
      </c>
      <c r="J137" s="39" t="inlineStr">
        <is>
          <t>DM</t>
        </is>
      </c>
      <c r="K137" s="35" t="inlineStr">
        <is>
          <t>sobre muro</t>
        </is>
      </c>
    </row>
    <row r="138">
      <c r="B138" s="39" t="inlineStr">
        <is>
          <t>DM-29</t>
        </is>
      </c>
      <c r="C138" s="39" t="inlineStr">
        <is>
          <t>F80021 N+3.00</t>
        </is>
      </c>
      <c r="D138" s="39" t="inlineStr">
        <is>
          <t>N+3.00</t>
        </is>
      </c>
      <c r="E138" s="52" t="n">
        <v>0.795</v>
      </c>
      <c r="F138" s="55">
        <f>TABLEROS!$R$28</f>
        <v>830.775510204082</v>
      </c>
      <c r="G138" s="34">
        <f>E138*F138/1000</f>
        <v>0.660466530612245</v>
      </c>
      <c r="H138" s="55">
        <f>TABLEROS!$Q$28</f>
        <v>623.673469387755</v>
      </c>
      <c r="I138" s="34">
        <f>E138*H138/1000</f>
        <v>0.495820408163265</v>
      </c>
      <c r="J138" s="39" t="inlineStr">
        <is>
          <t>DM</t>
        </is>
      </c>
      <c r="K138" s="35" t="inlineStr">
        <is>
          <t>sobre muro</t>
        </is>
      </c>
    </row>
    <row r="139">
      <c r="B139" s="39" t="inlineStr">
        <is>
          <t>DM-30</t>
        </is>
      </c>
      <c r="C139" s="39" t="inlineStr">
        <is>
          <t>F80021 N+3.00</t>
        </is>
      </c>
      <c r="D139" s="39" t="inlineStr">
        <is>
          <t>N+3.00</t>
        </is>
      </c>
      <c r="E139" s="52" t="n">
        <v>0.245</v>
      </c>
      <c r="F139" s="55">
        <f>TABLEROS!$R$28</f>
        <v>830.775510204082</v>
      </c>
      <c r="G139" s="34">
        <f>E139*F139/1000</f>
        <v>0.20354</v>
      </c>
      <c r="H139" s="55">
        <f>TABLEROS!$Q$28</f>
        <v>623.673469387755</v>
      </c>
      <c r="I139" s="34">
        <f>E139*H139/1000</f>
        <v>0.1528</v>
      </c>
      <c r="J139" s="39" t="inlineStr">
        <is>
          <t>DM</t>
        </is>
      </c>
      <c r="K139" s="35" t="inlineStr">
        <is>
          <t>sobre muro</t>
        </is>
      </c>
    </row>
    <row r="140">
      <c r="B140" s="39" t="inlineStr">
        <is>
          <t>DM-15</t>
        </is>
      </c>
      <c r="C140" s="39" t="inlineStr">
        <is>
          <t>F80021 N+3.00</t>
        </is>
      </c>
      <c r="D140" s="39" t="inlineStr">
        <is>
          <t>N+3.00</t>
        </is>
      </c>
      <c r="E140" s="52" t="n">
        <v>0.64</v>
      </c>
      <c r="F140" s="55">
        <f>TABLEROS!$R$28</f>
        <v>830.775510204082</v>
      </c>
      <c r="G140" s="34">
        <f>E140*F140/1000</f>
        <v>0.531696326530612</v>
      </c>
      <c r="H140" s="55">
        <f>TABLEROS!$Q$28</f>
        <v>623.673469387755</v>
      </c>
      <c r="I140" s="34">
        <f>E140*H140/1000</f>
        <v>0.399151020408163</v>
      </c>
      <c r="J140" s="39" t="inlineStr">
        <is>
          <t>DM</t>
        </is>
      </c>
      <c r="K140" s="35" t="inlineStr">
        <is>
          <t>sobre muro</t>
        </is>
      </c>
    </row>
    <row r="141">
      <c r="B141" s="39" t="inlineStr">
        <is>
          <t>DM-121</t>
        </is>
      </c>
      <c r="C141" s="39" t="inlineStr">
        <is>
          <t>F80023 N+6.00</t>
        </is>
      </c>
      <c r="D141" s="39" t="inlineStr">
        <is>
          <t>N+6.00</t>
        </is>
      </c>
      <c r="E141" s="52" t="n">
        <v>1.3773</v>
      </c>
      <c r="F141" s="55">
        <f>TABLEROS!$R$31</f>
        <v>830.775510204082</v>
      </c>
      <c r="G141" s="34">
        <f>E141*F141/1000</f>
        <v>1.14422711020408</v>
      </c>
      <c r="H141" s="55">
        <f>TABLEROS!$Q$31</f>
        <v>623.673469387755</v>
      </c>
      <c r="I141" s="34">
        <f>E141*H141/1000</f>
        <v>0.858985469387755</v>
      </c>
      <c r="J141" s="39" t="inlineStr">
        <is>
          <t>DM</t>
        </is>
      </c>
      <c r="K141" s="35" t="inlineStr">
        <is>
          <t>sobre muro</t>
        </is>
      </c>
    </row>
    <row r="142">
      <c r="B142" s="39" t="inlineStr">
        <is>
          <t>DM-122</t>
        </is>
      </c>
      <c r="C142" s="39" t="inlineStr">
        <is>
          <t>F80023 N+6.00</t>
        </is>
      </c>
      <c r="D142" s="39" t="inlineStr">
        <is>
          <t>N+6.00</t>
        </is>
      </c>
      <c r="E142" s="52" t="n">
        <v>0.3998</v>
      </c>
      <c r="F142" s="55">
        <f>TABLEROS!$R$31</f>
        <v>830.775510204082</v>
      </c>
      <c r="G142" s="34">
        <f>E142*F142/1000</f>
        <v>0.332144048979592</v>
      </c>
      <c r="H142" s="55">
        <f>TABLEROS!$Q$31</f>
        <v>623.673469387755</v>
      </c>
      <c r="I142" s="34">
        <f>E142*H142/1000</f>
        <v>0.249344653061224</v>
      </c>
      <c r="J142" s="39" t="inlineStr">
        <is>
          <t>DM</t>
        </is>
      </c>
      <c r="K142" s="35" t="inlineStr">
        <is>
          <t>sobre muro</t>
        </is>
      </c>
    </row>
    <row r="143">
      <c r="B143" s="39" t="inlineStr">
        <is>
          <t>DM-70</t>
        </is>
      </c>
      <c r="C143" s="39" t="inlineStr">
        <is>
          <t>F80023 N+6.00</t>
        </is>
      </c>
      <c r="D143" s="39" t="inlineStr">
        <is>
          <t>N+6.00</t>
        </is>
      </c>
      <c r="E143" s="52" t="n">
        <v>0.6368</v>
      </c>
      <c r="F143" s="55">
        <f>TABLEROS!$R$31</f>
        <v>830.775510204082</v>
      </c>
      <c r="G143" s="34">
        <f>E143*F143/1000</f>
        <v>0.529037844897959</v>
      </c>
      <c r="H143" s="55">
        <f>TABLEROS!$Q$31</f>
        <v>623.673469387755</v>
      </c>
      <c r="I143" s="34">
        <f>E143*H143/1000</f>
        <v>0.397155265306122</v>
      </c>
      <c r="J143" s="39" t="inlineStr">
        <is>
          <t>DM</t>
        </is>
      </c>
      <c r="K143" s="35" t="inlineStr">
        <is>
          <t>sobre muro</t>
        </is>
      </c>
    </row>
    <row r="144">
      <c r="B144" s="39" t="inlineStr">
        <is>
          <t>DM-131</t>
        </is>
      </c>
      <c r="C144" s="39" t="inlineStr">
        <is>
          <t>F80023 N+6.00</t>
        </is>
      </c>
      <c r="D144" s="39" t="inlineStr">
        <is>
          <t>N+6.00</t>
        </is>
      </c>
      <c r="E144" s="52" t="n">
        <v>0.8882</v>
      </c>
      <c r="F144" s="55">
        <f>TABLEROS!$R$31</f>
        <v>830.775510204082</v>
      </c>
      <c r="G144" s="34">
        <f>E144*F144/1000</f>
        <v>0.737894808163265</v>
      </c>
      <c r="H144" s="55">
        <f>TABLEROS!$Q$31</f>
        <v>623.673469387755</v>
      </c>
      <c r="I144" s="34">
        <f>E144*H144/1000</f>
        <v>0.553946775510204</v>
      </c>
      <c r="J144" s="39" t="inlineStr">
        <is>
          <t>DM</t>
        </is>
      </c>
      <c r="K144" s="35" t="inlineStr">
        <is>
          <t>sobre muro</t>
        </is>
      </c>
    </row>
    <row r="145">
      <c r="B145" s="39" t="inlineStr">
        <is>
          <t>DM-132</t>
        </is>
      </c>
      <c r="C145" s="39" t="inlineStr">
        <is>
          <t>F80023 N+6.00</t>
        </is>
      </c>
      <c r="D145" s="39" t="inlineStr">
        <is>
          <t>N+6.00</t>
        </is>
      </c>
      <c r="E145" s="52" t="n">
        <v>0.889</v>
      </c>
      <c r="F145" s="55">
        <f>TABLEROS!$R$31</f>
        <v>830.775510204082</v>
      </c>
      <c r="G145" s="34">
        <f>E145*F145/1000</f>
        <v>0.738559428571429</v>
      </c>
      <c r="H145" s="55">
        <f>TABLEROS!$Q$31</f>
        <v>623.673469387755</v>
      </c>
      <c r="I145" s="34">
        <f>E145*H145/1000</f>
        <v>0.554445714285714</v>
      </c>
      <c r="J145" s="39" t="inlineStr">
        <is>
          <t>DM</t>
        </is>
      </c>
      <c r="K145" s="35" t="inlineStr">
        <is>
          <t>sobre muro</t>
        </is>
      </c>
    </row>
    <row r="146">
      <c r="B146" s="39" t="inlineStr">
        <is>
          <t>DM-71</t>
        </is>
      </c>
      <c r="C146" s="39" t="inlineStr">
        <is>
          <t>F80023 N+6.00</t>
        </is>
      </c>
      <c r="D146" s="39" t="inlineStr">
        <is>
          <t>N+6.00</t>
        </is>
      </c>
      <c r="E146" s="52" t="n">
        <v>0.4415</v>
      </c>
      <c r="F146" s="55">
        <f>TABLEROS!$R$31</f>
        <v>830.775510204082</v>
      </c>
      <c r="G146" s="34">
        <f>E146*F146/1000</f>
        <v>0.366787387755102</v>
      </c>
      <c r="H146" s="55">
        <f>TABLEROS!$Q$31</f>
        <v>623.673469387755</v>
      </c>
      <c r="I146" s="34">
        <f>E146*H146/1000</f>
        <v>0.275351836734694</v>
      </c>
      <c r="J146" s="39" t="inlineStr">
        <is>
          <t>DM</t>
        </is>
      </c>
      <c r="K146" s="35" t="inlineStr">
        <is>
          <t>sobre muro</t>
        </is>
      </c>
    </row>
    <row r="147">
      <c r="B147" s="39" t="inlineStr">
        <is>
          <t>DM-72</t>
        </is>
      </c>
      <c r="C147" s="39" t="inlineStr">
        <is>
          <t>F80023 N+6.00</t>
        </is>
      </c>
      <c r="D147" s="39" t="inlineStr">
        <is>
          <t>N+6.00</t>
        </is>
      </c>
      <c r="E147" s="52" t="n">
        <v>0.1953</v>
      </c>
      <c r="F147" s="55">
        <f>TABLEROS!$R$31</f>
        <v>830.775510204082</v>
      </c>
      <c r="G147" s="34">
        <f>E147*F147/1000</f>
        <v>0.162250457142857</v>
      </c>
      <c r="H147" s="55">
        <f>TABLEROS!$Q$31</f>
        <v>623.673469387755</v>
      </c>
      <c r="I147" s="34">
        <f>E147*H147/1000</f>
        <v>0.121803428571429</v>
      </c>
      <c r="J147" s="39" t="inlineStr">
        <is>
          <t>DM</t>
        </is>
      </c>
      <c r="K147" s="35" t="inlineStr">
        <is>
          <t>sobre muro</t>
        </is>
      </c>
    </row>
    <row r="148">
      <c r="B148" s="39" t="inlineStr">
        <is>
          <t>DM-67</t>
        </is>
      </c>
      <c r="C148" s="39" t="inlineStr">
        <is>
          <t>F80024 N+6.00</t>
        </is>
      </c>
      <c r="D148" s="39" t="inlineStr">
        <is>
          <t>N+6.00</t>
        </is>
      </c>
      <c r="E148" s="52" t="n">
        <v>0.4278</v>
      </c>
      <c r="F148" s="55">
        <f>TABLEROS!$R$32</f>
        <v>889.275510204082</v>
      </c>
      <c r="G148" s="34">
        <f>E148*F148/1000</f>
        <v>0.380432063265306</v>
      </c>
      <c r="H148" s="55">
        <f>TABLEROS!$Q$32</f>
        <v>668.673469387755</v>
      </c>
      <c r="I148" s="34">
        <f>E148*H148/1000</f>
        <v>0.286058510204082</v>
      </c>
      <c r="J148" s="39" t="inlineStr">
        <is>
          <t>DM</t>
        </is>
      </c>
      <c r="K148" s="35" t="inlineStr">
        <is>
          <t>sobre muro</t>
        </is>
      </c>
    </row>
    <row r="149">
      <c r="B149" s="39" t="inlineStr">
        <is>
          <t>DM-68</t>
        </is>
      </c>
      <c r="C149" s="39" t="inlineStr">
        <is>
          <t>F80024 N+6.00</t>
        </is>
      </c>
      <c r="D149" s="39" t="inlineStr">
        <is>
          <t>N+6.00</t>
        </is>
      </c>
      <c r="E149" s="52" t="n">
        <v>3.9702</v>
      </c>
      <c r="F149" s="55">
        <f>TABLEROS!$R$32</f>
        <v>889.275510204082</v>
      </c>
      <c r="G149" s="34">
        <f>E149*F149/1000</f>
        <v>3.53060163061224</v>
      </c>
      <c r="H149" s="55">
        <f>TABLEROS!$Q$32</f>
        <v>668.673469387755</v>
      </c>
      <c r="I149" s="34">
        <f>E149*H149/1000</f>
        <v>2.65476740816327</v>
      </c>
      <c r="J149" s="39" t="inlineStr">
        <is>
          <t>DM</t>
        </is>
      </c>
      <c r="K149" s="35" t="inlineStr">
        <is>
          <t>sobre muro</t>
        </is>
      </c>
    </row>
    <row r="150">
      <c r="B150" s="39" t="inlineStr">
        <is>
          <t>DM-69</t>
        </is>
      </c>
      <c r="C150" s="39" t="inlineStr">
        <is>
          <t>F80024 N+6.00</t>
        </is>
      </c>
      <c r="D150" s="39" t="inlineStr">
        <is>
          <t>N+6.00</t>
        </is>
      </c>
      <c r="E150" s="52" t="n">
        <v>0.2828</v>
      </c>
      <c r="F150" s="55">
        <f>TABLEROS!$R$32</f>
        <v>889.275510204082</v>
      </c>
      <c r="G150" s="34">
        <f>E150*F150/1000</f>
        <v>0.251487114285714</v>
      </c>
      <c r="H150" s="55">
        <f>TABLEROS!$Q$32</f>
        <v>668.673469387755</v>
      </c>
      <c r="I150" s="34">
        <f>E150*H150/1000</f>
        <v>0.189100857142857</v>
      </c>
      <c r="J150" s="39" t="inlineStr">
        <is>
          <t>DM</t>
        </is>
      </c>
      <c r="K150" s="35" t="inlineStr">
        <is>
          <t>sobre muro</t>
        </is>
      </c>
    </row>
    <row r="151">
      <c r="B151" s="39" t="inlineStr">
        <is>
          <t>DM-121</t>
        </is>
      </c>
      <c r="C151" s="39" t="inlineStr">
        <is>
          <t>F80024 N+6.00</t>
        </is>
      </c>
      <c r="D151" s="39" t="inlineStr">
        <is>
          <t>N+6.00</t>
        </is>
      </c>
      <c r="E151" s="52" t="n">
        <v>2.2578</v>
      </c>
      <c r="F151" s="55">
        <f>TABLEROS!$R$32</f>
        <v>889.275510204082</v>
      </c>
      <c r="G151" s="34">
        <f>E151*F151/1000</f>
        <v>2.00780624693878</v>
      </c>
      <c r="H151" s="55">
        <f>TABLEROS!$Q$32</f>
        <v>668.673469387755</v>
      </c>
      <c r="I151" s="34">
        <f>E151*H151/1000</f>
        <v>1.50973095918367</v>
      </c>
      <c r="J151" s="39" t="inlineStr">
        <is>
          <t>DM</t>
        </is>
      </c>
      <c r="K151" s="35" t="inlineStr">
        <is>
          <t>sobre muro</t>
        </is>
      </c>
    </row>
    <row r="152">
      <c r="B152" s="39" t="inlineStr">
        <is>
          <t>DM-122</t>
        </is>
      </c>
      <c r="C152" s="39" t="inlineStr">
        <is>
          <t>F80024 N+6.00</t>
        </is>
      </c>
      <c r="D152" s="39" t="inlineStr">
        <is>
          <t>N+6.00</t>
        </is>
      </c>
      <c r="E152" s="52" t="n">
        <v>1.918</v>
      </c>
      <c r="F152" s="55">
        <f>TABLEROS!$R$32</f>
        <v>889.275510204082</v>
      </c>
      <c r="G152" s="34">
        <f>E152*F152/1000</f>
        <v>1.70563042857143</v>
      </c>
      <c r="H152" s="55">
        <f>TABLEROS!$Q$32</f>
        <v>668.673469387755</v>
      </c>
      <c r="I152" s="34">
        <f>E152*H152/1000</f>
        <v>1.28251571428571</v>
      </c>
      <c r="J152" s="39" t="inlineStr">
        <is>
          <t>DM</t>
        </is>
      </c>
      <c r="K152" s="35" t="inlineStr">
        <is>
          <t>sobre muro</t>
        </is>
      </c>
    </row>
    <row r="153">
      <c r="B153" s="39" t="inlineStr">
        <is>
          <t>DM-123</t>
        </is>
      </c>
      <c r="C153" s="39" t="inlineStr">
        <is>
          <t>F80024 N+6.00</t>
        </is>
      </c>
      <c r="D153" s="39" t="inlineStr">
        <is>
          <t>N+6.00</t>
        </is>
      </c>
      <c r="E153" s="52" t="n">
        <v>1.47</v>
      </c>
      <c r="F153" s="55">
        <f>TABLEROS!$R$32</f>
        <v>889.275510204082</v>
      </c>
      <c r="G153" s="34">
        <f>E153*F153/1000</f>
        <v>1.307235</v>
      </c>
      <c r="H153" s="55">
        <f>TABLEROS!$Q$32</f>
        <v>668.673469387755</v>
      </c>
      <c r="I153" s="34">
        <f>E153*H153/1000</f>
        <v>0.98295</v>
      </c>
      <c r="J153" s="39" t="inlineStr">
        <is>
          <t>DM</t>
        </is>
      </c>
      <c r="K153" s="35" t="inlineStr">
        <is>
          <t>sobre muro</t>
        </is>
      </c>
    </row>
    <row r="154">
      <c r="B154" s="39" t="inlineStr">
        <is>
          <t>DM-124</t>
        </is>
      </c>
      <c r="C154" s="39" t="inlineStr">
        <is>
          <t>F80024 N+6.00</t>
        </is>
      </c>
      <c r="D154" s="39" t="inlineStr">
        <is>
          <t>N+6.00</t>
        </is>
      </c>
      <c r="E154" s="52" t="n">
        <v>0.3828</v>
      </c>
      <c r="F154" s="55">
        <f>TABLEROS!$R$32</f>
        <v>889.275510204082</v>
      </c>
      <c r="G154" s="34">
        <f>E154*F154/1000</f>
        <v>0.340414665306122</v>
      </c>
      <c r="H154" s="55">
        <f>TABLEROS!$Q$32</f>
        <v>668.673469387755</v>
      </c>
      <c r="I154" s="34">
        <f>E154*H154/1000</f>
        <v>0.255968204081633</v>
      </c>
      <c r="J154" s="39" t="inlineStr">
        <is>
          <t>DM</t>
        </is>
      </c>
      <c r="K154" s="35" t="inlineStr">
        <is>
          <t>sobre muro</t>
        </is>
      </c>
    </row>
    <row r="155">
      <c r="B155" s="39" t="inlineStr">
        <is>
          <t>DM-76</t>
        </is>
      </c>
      <c r="C155" s="39" t="inlineStr">
        <is>
          <t>F80024 N+6.00</t>
        </is>
      </c>
      <c r="D155" s="39" t="inlineStr">
        <is>
          <t>N+6.00</t>
        </is>
      </c>
      <c r="E155" s="52" t="n">
        <v>2.3393</v>
      </c>
      <c r="F155" s="55">
        <f>TABLEROS!$R$32</f>
        <v>889.275510204082</v>
      </c>
      <c r="G155" s="34">
        <f>E155*F155/1000</f>
        <v>2.08028220102041</v>
      </c>
      <c r="H155" s="55">
        <f>TABLEROS!$Q$32</f>
        <v>668.673469387755</v>
      </c>
      <c r="I155" s="34">
        <f>E155*H155/1000</f>
        <v>1.56422784693878</v>
      </c>
      <c r="J155" s="39" t="inlineStr">
        <is>
          <t>DM</t>
        </is>
      </c>
      <c r="K155" s="35" t="inlineStr">
        <is>
          <t>sobre muro</t>
        </is>
      </c>
    </row>
    <row r="156">
      <c r="B156" s="39" t="inlineStr">
        <is>
          <t>DM-77</t>
        </is>
      </c>
      <c r="C156" s="39" t="inlineStr">
        <is>
          <t>F80024 N+6.00</t>
        </is>
      </c>
      <c r="D156" s="39" t="inlineStr">
        <is>
          <t>N+6.00</t>
        </is>
      </c>
      <c r="E156" s="52" t="n">
        <v>2.3414</v>
      </c>
      <c r="F156" s="55">
        <f>TABLEROS!$R$32</f>
        <v>889.275510204082</v>
      </c>
      <c r="G156" s="34">
        <f>E156*F156/1000</f>
        <v>2.08214967959184</v>
      </c>
      <c r="H156" s="55">
        <f>TABLEROS!$Q$32</f>
        <v>668.673469387755</v>
      </c>
      <c r="I156" s="34">
        <f>E156*H156/1000</f>
        <v>1.56563206122449</v>
      </c>
      <c r="J156" s="39" t="inlineStr">
        <is>
          <t>DM</t>
        </is>
      </c>
      <c r="K156" s="35" t="inlineStr">
        <is>
          <t>sobre muro</t>
        </is>
      </c>
    </row>
    <row r="157">
      <c r="B157" s="39" t="inlineStr">
        <is>
          <t>DM-108</t>
        </is>
      </c>
      <c r="C157" s="39" t="inlineStr">
        <is>
          <t>F80024 N+6.00</t>
        </is>
      </c>
      <c r="D157" s="39" t="inlineStr">
        <is>
          <t>N+6.00</t>
        </is>
      </c>
      <c r="E157" s="52" t="n">
        <v>2.9061</v>
      </c>
      <c r="F157" s="55">
        <f>TABLEROS!$R$32</f>
        <v>889.275510204082</v>
      </c>
      <c r="G157" s="34">
        <f>E157*F157/1000</f>
        <v>2.58432356020408</v>
      </c>
      <c r="H157" s="55">
        <f>TABLEROS!$Q$32</f>
        <v>668.673469387755</v>
      </c>
      <c r="I157" s="34">
        <f>E157*H157/1000</f>
        <v>1.94323196938775</v>
      </c>
      <c r="J157" s="39" t="inlineStr">
        <is>
          <t>DM</t>
        </is>
      </c>
      <c r="K157" s="35" t="inlineStr">
        <is>
          <t>sobre muro</t>
        </is>
      </c>
    </row>
    <row r="158">
      <c r="B158" s="39" t="inlineStr">
        <is>
          <t>DM-109</t>
        </is>
      </c>
      <c r="C158" s="39" t="inlineStr">
        <is>
          <t>F80024 N+6.00</t>
        </is>
      </c>
      <c r="D158" s="39" t="inlineStr">
        <is>
          <t>N+6.00</t>
        </is>
      </c>
      <c r="E158" s="52" t="n">
        <v>2.6965</v>
      </c>
      <c r="F158" s="55">
        <f>TABLEROS!$R$32</f>
        <v>889.275510204082</v>
      </c>
      <c r="G158" s="34">
        <f>E158*F158/1000</f>
        <v>2.39793141326531</v>
      </c>
      <c r="H158" s="55">
        <f>TABLEROS!$Q$32</f>
        <v>668.673469387755</v>
      </c>
      <c r="I158" s="34">
        <f>E158*H158/1000</f>
        <v>1.80307801020408</v>
      </c>
      <c r="J158" s="39" t="inlineStr">
        <is>
          <t>DM</t>
        </is>
      </c>
      <c r="K158" s="35" t="inlineStr">
        <is>
          <t>sobre muro</t>
        </is>
      </c>
    </row>
    <row r="159">
      <c r="B159" s="39" t="inlineStr">
        <is>
          <t>DM-110</t>
        </is>
      </c>
      <c r="C159" s="39" t="inlineStr">
        <is>
          <t>F80024 N+6.00</t>
        </is>
      </c>
      <c r="D159" s="39" t="inlineStr">
        <is>
          <t>N+6.00</t>
        </is>
      </c>
      <c r="E159" s="52" t="n">
        <v>0.426</v>
      </c>
      <c r="F159" s="55">
        <f>TABLEROS!$R$32</f>
        <v>889.275510204082</v>
      </c>
      <c r="G159" s="34">
        <f>E159*F159/1000</f>
        <v>0.378831367346939</v>
      </c>
      <c r="H159" s="55">
        <f>TABLEROS!$Q$32</f>
        <v>668.673469387755</v>
      </c>
      <c r="I159" s="34">
        <f>E159*H159/1000</f>
        <v>0.284854897959184</v>
      </c>
      <c r="J159" s="39" t="inlineStr">
        <is>
          <t>DM</t>
        </is>
      </c>
      <c r="K159" s="35" t="inlineStr">
        <is>
          <t>sobre muro</t>
        </is>
      </c>
    </row>
    <row r="160">
      <c r="B160" s="39" t="inlineStr">
        <is>
          <t>DM-89</t>
        </is>
      </c>
      <c r="C160" s="39" t="inlineStr">
        <is>
          <t>F80025 N+6.00</t>
        </is>
      </c>
      <c r="D160" s="39" t="inlineStr">
        <is>
          <t>N+6.00</t>
        </is>
      </c>
      <c r="E160" s="52" t="n">
        <v>0.08</v>
      </c>
      <c r="F160" s="55">
        <f>TABLEROS!$R$33</f>
        <v>869.775510204082</v>
      </c>
      <c r="G160" s="34">
        <f>E160*F160/1000</f>
        <v>0.0695820408163265</v>
      </c>
      <c r="H160" s="55">
        <f>TABLEROS!$Q$33</f>
        <v>653.673469387755</v>
      </c>
      <c r="I160" s="34">
        <f>E160*H160/1000</f>
        <v>0.0522938775510204</v>
      </c>
      <c r="J160" s="39" t="inlineStr">
        <is>
          <t>DM</t>
        </is>
      </c>
      <c r="K160" s="35" t="inlineStr">
        <is>
          <t>sobre muro</t>
        </is>
      </c>
    </row>
    <row r="161">
      <c r="B161" s="39" t="inlineStr">
        <is>
          <t>DM-90</t>
        </is>
      </c>
      <c r="C161" s="39" t="inlineStr">
        <is>
          <t>F80025 N+6.00</t>
        </is>
      </c>
      <c r="D161" s="39" t="inlineStr">
        <is>
          <t>N+6.00</t>
        </is>
      </c>
      <c r="E161" s="52" t="n">
        <v>1.7117</v>
      </c>
      <c r="F161" s="55">
        <f>TABLEROS!$R$33</f>
        <v>869.775510204082</v>
      </c>
      <c r="G161" s="34">
        <f>E161*F161/1000</f>
        <v>1.48879474081633</v>
      </c>
      <c r="H161" s="55">
        <f>TABLEROS!$Q$33</f>
        <v>653.673469387755</v>
      </c>
      <c r="I161" s="34">
        <f>E161*H161/1000</f>
        <v>1.11889287755102</v>
      </c>
      <c r="J161" s="39" t="inlineStr">
        <is>
          <t>DM</t>
        </is>
      </c>
      <c r="K161" s="35" t="inlineStr">
        <is>
          <t>sobre muro</t>
        </is>
      </c>
    </row>
    <row r="162">
      <c r="B162" s="39" t="inlineStr">
        <is>
          <t>DM-91</t>
        </is>
      </c>
      <c r="C162" s="39" t="inlineStr">
        <is>
          <t>F80025 N+6.00</t>
        </is>
      </c>
      <c r="D162" s="39" t="inlineStr">
        <is>
          <t>N+6.00</t>
        </is>
      </c>
      <c r="E162" s="52" t="n">
        <v>1.1461</v>
      </c>
      <c r="F162" s="55">
        <f>TABLEROS!$R$33</f>
        <v>869.775510204082</v>
      </c>
      <c r="G162" s="34">
        <f>E162*F162/1000</f>
        <v>0.996849712244898</v>
      </c>
      <c r="H162" s="55">
        <f>TABLEROS!$Q$33</f>
        <v>653.673469387755</v>
      </c>
      <c r="I162" s="34">
        <f>E162*H162/1000</f>
        <v>0.749175163265306</v>
      </c>
      <c r="J162" s="39" t="inlineStr">
        <is>
          <t>DM</t>
        </is>
      </c>
      <c r="K162" s="35" t="inlineStr">
        <is>
          <t>sobre muro</t>
        </is>
      </c>
    </row>
    <row r="163">
      <c r="B163" s="39" t="inlineStr">
        <is>
          <t>DM-127</t>
        </is>
      </c>
      <c r="C163" s="39" t="inlineStr">
        <is>
          <t>F80025 N+6.00</t>
        </is>
      </c>
      <c r="D163" s="39" t="inlineStr">
        <is>
          <t>N+6.00</t>
        </is>
      </c>
      <c r="E163" s="52" t="n">
        <v>0.5512</v>
      </c>
      <c r="F163" s="55">
        <f>TABLEROS!$R$33</f>
        <v>869.775510204082</v>
      </c>
      <c r="G163" s="34">
        <f>E163*F163/1000</f>
        <v>0.47942026122449</v>
      </c>
      <c r="H163" s="55">
        <f>TABLEROS!$Q$33</f>
        <v>653.673469387755</v>
      </c>
      <c r="I163" s="34">
        <f>E163*H163/1000</f>
        <v>0.360304816326531</v>
      </c>
      <c r="J163" s="39" t="inlineStr">
        <is>
          <t>DM</t>
        </is>
      </c>
      <c r="K163" s="35" t="inlineStr">
        <is>
          <t>sobre muro</t>
        </is>
      </c>
    </row>
    <row r="164">
      <c r="B164" s="39" t="inlineStr">
        <is>
          <t>DM-128</t>
        </is>
      </c>
      <c r="C164" s="39" t="inlineStr">
        <is>
          <t>F80025 N+6.00</t>
        </is>
      </c>
      <c r="D164" s="39" t="inlineStr">
        <is>
          <t>N+6.00</t>
        </is>
      </c>
      <c r="E164" s="52" t="n">
        <v>6.1424</v>
      </c>
      <c r="F164" s="55">
        <f>TABLEROS!$R$33</f>
        <v>869.775510204082</v>
      </c>
      <c r="G164" s="34">
        <f>E164*F164/1000</f>
        <v>5.34250909387755</v>
      </c>
      <c r="H164" s="55">
        <f>TABLEROS!$Q$33</f>
        <v>653.673469387755</v>
      </c>
      <c r="I164" s="34">
        <f>E164*H164/1000</f>
        <v>4.01512391836735</v>
      </c>
      <c r="J164" s="39" t="inlineStr">
        <is>
          <t>DM</t>
        </is>
      </c>
      <c r="K164" s="35" t="inlineStr">
        <is>
          <t>sobre muro</t>
        </is>
      </c>
    </row>
    <row r="165">
      <c r="B165" s="39" t="inlineStr">
        <is>
          <t>DM-129</t>
        </is>
      </c>
      <c r="C165" s="39" t="inlineStr">
        <is>
          <t>F80025 N+6.00</t>
        </is>
      </c>
      <c r="D165" s="39" t="inlineStr">
        <is>
          <t>N+6.00</t>
        </is>
      </c>
      <c r="E165" s="52" t="n">
        <v>0.4743</v>
      </c>
      <c r="F165" s="55">
        <f>TABLEROS!$R$33</f>
        <v>869.775510204082</v>
      </c>
      <c r="G165" s="34">
        <f>E165*F165/1000</f>
        <v>0.412534524489796</v>
      </c>
      <c r="H165" s="55">
        <f>TABLEROS!$Q$33</f>
        <v>653.673469387755</v>
      </c>
      <c r="I165" s="34">
        <f>E165*H165/1000</f>
        <v>0.310037326530612</v>
      </c>
      <c r="J165" s="39" t="inlineStr">
        <is>
          <t>DM</t>
        </is>
      </c>
      <c r="K165" s="35" t="inlineStr">
        <is>
          <t>sobre muro</t>
        </is>
      </c>
    </row>
    <row r="166">
      <c r="B166" s="39" t="inlineStr">
        <is>
          <t>DM-78</t>
        </is>
      </c>
      <c r="C166" s="39" t="inlineStr">
        <is>
          <t>F80025 N+6.00</t>
        </is>
      </c>
      <c r="D166" s="39" t="inlineStr">
        <is>
          <t>N+6.00</t>
        </is>
      </c>
      <c r="E166" s="52" t="n">
        <v>0.3681</v>
      </c>
      <c r="F166" s="55">
        <f>TABLEROS!$R$33</f>
        <v>869.775510204082</v>
      </c>
      <c r="G166" s="34">
        <f>E166*F166/1000</f>
        <v>0.320164365306122</v>
      </c>
      <c r="H166" s="55">
        <f>TABLEROS!$Q$33</f>
        <v>653.673469387755</v>
      </c>
      <c r="I166" s="34">
        <f>E166*H166/1000</f>
        <v>0.240617204081633</v>
      </c>
      <c r="J166" s="39" t="inlineStr">
        <is>
          <t>DM</t>
        </is>
      </c>
      <c r="K166" s="35" t="inlineStr">
        <is>
          <t>sobre muro</t>
        </is>
      </c>
    </row>
    <row r="167">
      <c r="B167" s="39" t="inlineStr">
        <is>
          <t>DM-79</t>
        </is>
      </c>
      <c r="C167" s="39" t="inlineStr">
        <is>
          <t>F80025 N+6.00</t>
        </is>
      </c>
      <c r="D167" s="39" t="inlineStr">
        <is>
          <t>N+6.00</t>
        </is>
      </c>
      <c r="E167" s="52" t="n">
        <v>2.0697</v>
      </c>
      <c r="F167" s="55">
        <f>TABLEROS!$R$33</f>
        <v>869.775510204082</v>
      </c>
      <c r="G167" s="34">
        <f>E167*F167/1000</f>
        <v>1.80017437346939</v>
      </c>
      <c r="H167" s="55">
        <f>TABLEROS!$Q$33</f>
        <v>653.673469387755</v>
      </c>
      <c r="I167" s="34">
        <f>E167*H167/1000</f>
        <v>1.35290797959184</v>
      </c>
      <c r="J167" s="39" t="inlineStr">
        <is>
          <t>DM</t>
        </is>
      </c>
      <c r="K167" s="35" t="inlineStr">
        <is>
          <t>sobre muro</t>
        </is>
      </c>
    </row>
    <row r="168">
      <c r="B168" s="39" t="inlineStr">
        <is>
          <t>DM-80</t>
        </is>
      </c>
      <c r="C168" s="39" t="inlineStr">
        <is>
          <t>F80025 N+6.00</t>
        </is>
      </c>
      <c r="D168" s="39" t="inlineStr">
        <is>
          <t>N+6.00</t>
        </is>
      </c>
      <c r="E168" s="52" t="n">
        <v>0.2508</v>
      </c>
      <c r="F168" s="55">
        <f>TABLEROS!$R$33</f>
        <v>869.775510204082</v>
      </c>
      <c r="G168" s="34">
        <f>E168*F168/1000</f>
        <v>0.218139697959184</v>
      </c>
      <c r="H168" s="55">
        <f>TABLEROS!$Q$33</f>
        <v>653.673469387755</v>
      </c>
      <c r="I168" s="34">
        <f>E168*H168/1000</f>
        <v>0.163941306122449</v>
      </c>
      <c r="J168" s="39" t="inlineStr">
        <is>
          <t>DM</t>
        </is>
      </c>
      <c r="K168" s="35" t="inlineStr">
        <is>
          <t>sobre muro</t>
        </is>
      </c>
    </row>
    <row r="169">
      <c r="B169" s="39" t="inlineStr">
        <is>
          <t>DM-81</t>
        </is>
      </c>
      <c r="C169" s="39" t="inlineStr">
        <is>
          <t>F80025 N+6.00</t>
        </is>
      </c>
      <c r="D169" s="39" t="inlineStr">
        <is>
          <t>N+6.00</t>
        </is>
      </c>
      <c r="E169" s="52" t="n">
        <v>0.2492</v>
      </c>
      <c r="F169" s="55">
        <f>TABLEROS!$R$33</f>
        <v>869.775510204082</v>
      </c>
      <c r="G169" s="34">
        <f>E169*F169/1000</f>
        <v>0.216748057142857</v>
      </c>
      <c r="H169" s="55">
        <f>TABLEROS!$Q$33</f>
        <v>653.673469387755</v>
      </c>
      <c r="I169" s="34">
        <f>E169*H169/1000</f>
        <v>0.162895428571429</v>
      </c>
      <c r="J169" s="39" t="inlineStr">
        <is>
          <t>DM</t>
        </is>
      </c>
      <c r="K169" s="35" t="inlineStr">
        <is>
          <t>sobre muro</t>
        </is>
      </c>
    </row>
    <row r="170">
      <c r="B170" s="39" t="inlineStr">
        <is>
          <t>DM-136</t>
        </is>
      </c>
      <c r="C170" s="39" t="inlineStr">
        <is>
          <t>F80025 N+6.00</t>
        </is>
      </c>
      <c r="D170" s="39" t="inlineStr">
        <is>
          <t>N+6.00</t>
        </is>
      </c>
      <c r="E170" s="52" t="n">
        <v>2.2162</v>
      </c>
      <c r="F170" s="55">
        <f>TABLEROS!$R$33</f>
        <v>869.775510204082</v>
      </c>
      <c r="G170" s="34">
        <f>E170*F170/1000</f>
        <v>1.92759648571429</v>
      </c>
      <c r="H170" s="55">
        <f>TABLEROS!$Q$33</f>
        <v>653.673469387755</v>
      </c>
      <c r="I170" s="34">
        <f>E170*H170/1000</f>
        <v>1.44867114285714</v>
      </c>
      <c r="J170" s="39" t="inlineStr">
        <is>
          <t>DM</t>
        </is>
      </c>
      <c r="K170" s="35" t="inlineStr">
        <is>
          <t>sobre muro</t>
        </is>
      </c>
    </row>
    <row r="171">
      <c r="B171" s="39" t="inlineStr">
        <is>
          <t>DM-137</t>
        </is>
      </c>
      <c r="C171" s="39" t="inlineStr">
        <is>
          <t>F80025 N+6.00</t>
        </is>
      </c>
      <c r="D171" s="39" t="inlineStr">
        <is>
          <t>N+6.00</t>
        </is>
      </c>
      <c r="E171" s="52" t="n">
        <v>2.8778</v>
      </c>
      <c r="F171" s="55">
        <f>TABLEROS!$R$33</f>
        <v>869.775510204082</v>
      </c>
      <c r="G171" s="34">
        <f>E171*F171/1000</f>
        <v>2.50303996326531</v>
      </c>
      <c r="H171" s="55">
        <f>TABLEROS!$Q$33</f>
        <v>653.673469387755</v>
      </c>
      <c r="I171" s="34">
        <f>E171*H171/1000</f>
        <v>1.88114151020408</v>
      </c>
      <c r="J171" s="39" t="inlineStr">
        <is>
          <t>DM</t>
        </is>
      </c>
      <c r="K171" s="35" t="inlineStr">
        <is>
          <t>sobre muro</t>
        </is>
      </c>
    </row>
    <row r="172">
      <c r="B172" s="39" t="inlineStr">
        <is>
          <t>DM-138</t>
        </is>
      </c>
      <c r="C172" s="39" t="inlineStr">
        <is>
          <t>F80025 N+6.00</t>
        </is>
      </c>
      <c r="D172" s="39" t="inlineStr">
        <is>
          <t>N+6.00</t>
        </is>
      </c>
      <c r="E172" s="52" t="n">
        <v>0.7955</v>
      </c>
      <c r="F172" s="55">
        <f>TABLEROS!$R$33</f>
        <v>869.775510204082</v>
      </c>
      <c r="G172" s="34">
        <f>E172*F172/1000</f>
        <v>0.691906418367347</v>
      </c>
      <c r="H172" s="55">
        <f>TABLEROS!$Q$33</f>
        <v>653.673469387755</v>
      </c>
      <c r="I172" s="34">
        <f>E172*H172/1000</f>
        <v>0.519997244897959</v>
      </c>
      <c r="J172" s="39" t="inlineStr">
        <is>
          <t>DM</t>
        </is>
      </c>
      <c r="K172" s="35" t="inlineStr">
        <is>
          <t>sobre muro</t>
        </is>
      </c>
    </row>
    <row r="173">
      <c r="B173" s="39" t="inlineStr">
        <is>
          <t>DM-139</t>
        </is>
      </c>
      <c r="C173" s="39" t="inlineStr">
        <is>
          <t>F80025 N+6.00</t>
        </is>
      </c>
      <c r="D173" s="39" t="inlineStr">
        <is>
          <t>N+6.00</t>
        </is>
      </c>
      <c r="E173" s="52" t="n">
        <v>1.1988</v>
      </c>
      <c r="F173" s="55">
        <f>TABLEROS!$R$33</f>
        <v>869.775510204082</v>
      </c>
      <c r="G173" s="34">
        <f>E173*F173/1000</f>
        <v>1.04268688163265</v>
      </c>
      <c r="H173" s="55">
        <f>TABLEROS!$Q$33</f>
        <v>653.673469387755</v>
      </c>
      <c r="I173" s="34">
        <f>E173*H173/1000</f>
        <v>0.783623755102041</v>
      </c>
      <c r="J173" s="39" t="inlineStr">
        <is>
          <t>DM</t>
        </is>
      </c>
      <c r="K173" s="35" t="inlineStr">
        <is>
          <t>sobre muro</t>
        </is>
      </c>
    </row>
    <row r="174">
      <c r="B174" s="39" t="inlineStr">
        <is>
          <t>DM-140</t>
        </is>
      </c>
      <c r="C174" s="39" t="inlineStr">
        <is>
          <t>F80025 N+6.00</t>
        </is>
      </c>
      <c r="D174" s="39" t="inlineStr">
        <is>
          <t>N+6.00</t>
        </is>
      </c>
      <c r="E174" s="52" t="n">
        <v>0.0796</v>
      </c>
      <c r="F174" s="55">
        <f>TABLEROS!$R$33</f>
        <v>869.775510204082</v>
      </c>
      <c r="G174" s="34">
        <f>E174*F174/1000</f>
        <v>0.0692341306122449</v>
      </c>
      <c r="H174" s="55">
        <f>TABLEROS!$Q$33</f>
        <v>653.673469387755</v>
      </c>
      <c r="I174" s="34">
        <f>E174*H174/1000</f>
        <v>0.0520324081632653</v>
      </c>
      <c r="J174" s="39" t="inlineStr">
        <is>
          <t>DM</t>
        </is>
      </c>
      <c r="K174" s="35" t="inlineStr">
        <is>
          <t>sobre muro</t>
        </is>
      </c>
    </row>
    <row r="175">
      <c r="B175" s="39" t="inlineStr">
        <is>
          <t>DM-90</t>
        </is>
      </c>
      <c r="C175" s="39" t="inlineStr">
        <is>
          <t>F80026 N+6.00</t>
        </is>
      </c>
      <c r="D175" s="39" t="inlineStr">
        <is>
          <t>N+6.00</t>
        </is>
      </c>
      <c r="E175" s="52" t="n">
        <v>0.5537</v>
      </c>
      <c r="F175" s="55">
        <f>TABLEROS!$R$34</f>
        <v>863.275510204082</v>
      </c>
      <c r="G175" s="34">
        <f>E175*F175/1000</f>
        <v>0.47799565</v>
      </c>
      <c r="H175" s="55">
        <f>TABLEROS!$Q$34</f>
        <v>648.673469387755</v>
      </c>
      <c r="I175" s="34">
        <f>E175*H175/1000</f>
        <v>0.3591705</v>
      </c>
      <c r="J175" s="39" t="inlineStr">
        <is>
          <t>DM</t>
        </is>
      </c>
      <c r="K175" s="35" t="inlineStr">
        <is>
          <t>sobre muro</t>
        </is>
      </c>
    </row>
    <row r="176">
      <c r="B176" s="39" t="inlineStr">
        <is>
          <t>DM-91</t>
        </is>
      </c>
      <c r="C176" s="39" t="inlineStr">
        <is>
          <t>F80026 N+6.00</t>
        </is>
      </c>
      <c r="D176" s="39" t="inlineStr">
        <is>
          <t>N+6.00</t>
        </is>
      </c>
      <c r="E176" s="52" t="n">
        <v>0.5537</v>
      </c>
      <c r="F176" s="55">
        <f>TABLEROS!$R$34</f>
        <v>863.275510204082</v>
      </c>
      <c r="G176" s="34">
        <f>E176*F176/1000</f>
        <v>0.47799565</v>
      </c>
      <c r="H176" s="55">
        <f>TABLEROS!$Q$34</f>
        <v>648.673469387755</v>
      </c>
      <c r="I176" s="34">
        <f>E176*H176/1000</f>
        <v>0.3591705</v>
      </c>
      <c r="J176" s="39" t="inlineStr">
        <is>
          <t>DM</t>
        </is>
      </c>
      <c r="K176" s="35" t="inlineStr">
        <is>
          <t>sobre muro</t>
        </is>
      </c>
    </row>
    <row r="177">
      <c r="B177" s="39" t="inlineStr">
        <is>
          <t>DM-141</t>
        </is>
      </c>
      <c r="C177" s="39" t="inlineStr">
        <is>
          <t>F80026 N+6.00</t>
        </is>
      </c>
      <c r="D177" s="39" t="inlineStr">
        <is>
          <t>N+6.00</t>
        </is>
      </c>
      <c r="E177" s="52" t="n">
        <v>0.1811</v>
      </c>
      <c r="F177" s="55">
        <f>TABLEROS!$R$34</f>
        <v>863.275510204082</v>
      </c>
      <c r="G177" s="34">
        <f>E177*F177/1000</f>
        <v>0.156339194897959</v>
      </c>
      <c r="H177" s="55">
        <f>TABLEROS!$Q$34</f>
        <v>648.673469387755</v>
      </c>
      <c r="I177" s="34">
        <f>E177*H177/1000</f>
        <v>0.117474765306122</v>
      </c>
      <c r="J177" s="39" t="inlineStr">
        <is>
          <t>DM</t>
        </is>
      </c>
      <c r="K177" s="35" t="inlineStr">
        <is>
          <t>sobre muro</t>
        </is>
      </c>
    </row>
    <row r="178">
      <c r="B178" s="39" t="inlineStr">
        <is>
          <t>NP-31</t>
        </is>
      </c>
      <c r="C178" s="39" t="inlineStr">
        <is>
          <t>F80026 N+6.00</t>
        </is>
      </c>
      <c r="D178" s="39" t="inlineStr">
        <is>
          <t>N+6.00</t>
        </is>
      </c>
      <c r="E178" s="52" t="n">
        <v>1.1074</v>
      </c>
      <c r="F178" s="55">
        <f>TABLEROS!$R$34</f>
        <v>863.275510204082</v>
      </c>
      <c r="G178" s="34">
        <f>E178*F178/1000</f>
        <v>0.9559913</v>
      </c>
      <c r="H178" s="55">
        <f>TABLEROS!$Q$34</f>
        <v>648.673469387755</v>
      </c>
      <c r="I178" s="34">
        <f>E178*H178/1000</f>
        <v>0.718341</v>
      </c>
      <c r="J178" s="39" t="inlineStr">
        <is>
          <t>NP</t>
        </is>
      </c>
      <c r="K178" s="35" t="str">
        <f>PRINCIPALES!$AX$39</f>
        <v>CUMPLE</v>
      </c>
    </row>
    <row r="179">
      <c r="B179" s="39" t="inlineStr">
        <is>
          <t>DM-130</t>
        </is>
      </c>
      <c r="C179" s="39" t="inlineStr">
        <is>
          <t>F80026 N+6.00</t>
        </is>
      </c>
      <c r="D179" s="39" t="inlineStr">
        <is>
          <t>N+6.00</t>
        </is>
      </c>
      <c r="E179" s="52" t="n">
        <v>0.1811</v>
      </c>
      <c r="F179" s="55">
        <f>TABLEROS!$R$34</f>
        <v>863.275510204082</v>
      </c>
      <c r="G179" s="34">
        <f>E179*F179/1000</f>
        <v>0.156339194897959</v>
      </c>
      <c r="H179" s="55">
        <f>TABLEROS!$Q$34</f>
        <v>648.673469387755</v>
      </c>
      <c r="I179" s="34">
        <f>E179*H179/1000</f>
        <v>0.117474765306122</v>
      </c>
      <c r="J179" s="39" t="inlineStr">
        <is>
          <t>DM</t>
        </is>
      </c>
      <c r="K179" s="35" t="inlineStr">
        <is>
          <t>sobre muro</t>
        </is>
      </c>
    </row>
    <row r="180">
      <c r="B180" s="39" t="inlineStr">
        <is>
          <t>NP-32</t>
        </is>
      </c>
      <c r="C180" s="39" t="inlineStr">
        <is>
          <t>F80027 N+6.00</t>
        </is>
      </c>
      <c r="D180" s="39" t="inlineStr">
        <is>
          <t>N+6.00</t>
        </is>
      </c>
      <c r="E180" s="52" t="n">
        <v>1.412</v>
      </c>
      <c r="F180" s="55">
        <f>TABLEROS!$R$35</f>
        <v>863.275510204082</v>
      </c>
      <c r="G180" s="34">
        <f>E180*F180/1000</f>
        <v>1.21894502040816</v>
      </c>
      <c r="H180" s="55">
        <f>TABLEROS!$Q$35</f>
        <v>648.673469387755</v>
      </c>
      <c r="I180" s="34">
        <f>E180*H180/1000</f>
        <v>0.91592693877551</v>
      </c>
      <c r="J180" s="39" t="inlineStr">
        <is>
          <t>NP</t>
        </is>
      </c>
      <c r="K180" s="35" t="str">
        <f>PRINCIPALES!$AX$40</f>
        <v>CUMPLE</v>
      </c>
    </row>
    <row r="181">
      <c r="B181" s="39" t="inlineStr">
        <is>
          <t>DM-114</t>
        </is>
      </c>
      <c r="C181" s="39" t="inlineStr">
        <is>
          <t>F80027 N+6.00</t>
        </is>
      </c>
      <c r="D181" s="39" t="inlineStr">
        <is>
          <t>N+6.00</t>
        </is>
      </c>
      <c r="E181" s="52" t="n">
        <v>0.3312</v>
      </c>
      <c r="F181" s="55">
        <f>TABLEROS!$R$35</f>
        <v>863.275510204082</v>
      </c>
      <c r="G181" s="34">
        <f>E181*F181/1000</f>
        <v>0.285916848979592</v>
      </c>
      <c r="H181" s="55">
        <f>TABLEROS!$Q$35</f>
        <v>648.673469387755</v>
      </c>
      <c r="I181" s="34">
        <f>E181*H181/1000</f>
        <v>0.214840653061225</v>
      </c>
      <c r="J181" s="39" t="inlineStr">
        <is>
          <t>DM</t>
        </is>
      </c>
      <c r="K181" s="35" t="inlineStr">
        <is>
          <t>sobre muro</t>
        </is>
      </c>
    </row>
    <row r="182">
      <c r="B182" s="39" t="inlineStr">
        <is>
          <t>DM-86</t>
        </is>
      </c>
      <c r="C182" s="39" t="inlineStr">
        <is>
          <t>F80027 N+6.00</t>
        </is>
      </c>
      <c r="D182" s="39" t="inlineStr">
        <is>
          <t>N+6.00</t>
        </is>
      </c>
      <c r="E182" s="52" t="n">
        <v>0.7057</v>
      </c>
      <c r="F182" s="55">
        <f>TABLEROS!$R$35</f>
        <v>863.275510204082</v>
      </c>
      <c r="G182" s="34">
        <f>E182*F182/1000</f>
        <v>0.60921352755102</v>
      </c>
      <c r="H182" s="55">
        <f>TABLEROS!$Q$35</f>
        <v>648.673469387755</v>
      </c>
      <c r="I182" s="34">
        <f>E182*H182/1000</f>
        <v>0.457768867346939</v>
      </c>
      <c r="J182" s="39" t="inlineStr">
        <is>
          <t>DM</t>
        </is>
      </c>
      <c r="K182" s="35" t="inlineStr">
        <is>
          <t>sobre muro</t>
        </is>
      </c>
    </row>
    <row r="183">
      <c r="B183" s="39" t="inlineStr">
        <is>
          <t>DM-87</t>
        </is>
      </c>
      <c r="C183" s="39" t="inlineStr">
        <is>
          <t>F80027 N+6.00</t>
        </is>
      </c>
      <c r="D183" s="39" t="inlineStr">
        <is>
          <t>N+6.00</t>
        </is>
      </c>
      <c r="E183" s="52" t="n">
        <v>0.7063</v>
      </c>
      <c r="F183" s="55">
        <f>TABLEROS!$R$35</f>
        <v>863.275510204082</v>
      </c>
      <c r="G183" s="34">
        <f>E183*F183/1000</f>
        <v>0.609731492857143</v>
      </c>
      <c r="H183" s="55">
        <f>TABLEROS!$Q$35</f>
        <v>648.673469387755</v>
      </c>
      <c r="I183" s="34">
        <f>E183*H183/1000</f>
        <v>0.458158071428571</v>
      </c>
      <c r="J183" s="39" t="inlineStr">
        <is>
          <t>DM</t>
        </is>
      </c>
      <c r="K183" s="35" t="inlineStr">
        <is>
          <t>sobre muro</t>
        </is>
      </c>
    </row>
    <row r="184">
      <c r="B184" s="39" t="inlineStr">
        <is>
          <t>DM-117</t>
        </is>
      </c>
      <c r="C184" s="39" t="inlineStr">
        <is>
          <t>F80027 N+6.00</t>
        </is>
      </c>
      <c r="D184" s="39" t="inlineStr">
        <is>
          <t>N+6.00</t>
        </is>
      </c>
      <c r="E184" s="52" t="n">
        <v>0.3312</v>
      </c>
      <c r="F184" s="55">
        <f>TABLEROS!$R$35</f>
        <v>863.275510204082</v>
      </c>
      <c r="G184" s="34">
        <f>E184*F184/1000</f>
        <v>0.285916848979592</v>
      </c>
      <c r="H184" s="55">
        <f>TABLEROS!$Q$35</f>
        <v>648.673469387755</v>
      </c>
      <c r="I184" s="34">
        <f>E184*H184/1000</f>
        <v>0.214840653061225</v>
      </c>
      <c r="J184" s="39" t="inlineStr">
        <is>
          <t>DM</t>
        </is>
      </c>
      <c r="K184" s="35" t="inlineStr">
        <is>
          <t>sobre muro</t>
        </is>
      </c>
    </row>
    <row r="185">
      <c r="B185" s="39" t="inlineStr">
        <is>
          <t>NP-31</t>
        </is>
      </c>
      <c r="C185" s="39" t="inlineStr">
        <is>
          <t>F80028 N+6.00</t>
        </is>
      </c>
      <c r="D185" s="39" t="inlineStr">
        <is>
          <t>N+6.00</t>
        </is>
      </c>
      <c r="E185" s="52" t="n">
        <v>0.2266</v>
      </c>
      <c r="F185" s="55">
        <f>TABLEROS!$R$36</f>
        <v>863.275510204082</v>
      </c>
      <c r="G185" s="34">
        <f>E185*F185/1000</f>
        <v>0.195618230612245</v>
      </c>
      <c r="H185" s="55">
        <f>TABLEROS!$Q$36</f>
        <v>648.673469387755</v>
      </c>
      <c r="I185" s="34">
        <f>E185*H185/1000</f>
        <v>0.146989408163265</v>
      </c>
      <c r="J185" s="39" t="inlineStr">
        <is>
          <t>NP</t>
        </is>
      </c>
      <c r="K185" s="35" t="str">
        <f>PRINCIPALES!$AX$39</f>
        <v>CUMPLE</v>
      </c>
    </row>
    <row r="186">
      <c r="B186" s="39" t="inlineStr">
        <is>
          <t>DM-141</t>
        </is>
      </c>
      <c r="C186" s="39" t="inlineStr">
        <is>
          <t>F80028 N+6.00</t>
        </is>
      </c>
      <c r="D186" s="39" t="inlineStr">
        <is>
          <t>N+6.00</t>
        </is>
      </c>
      <c r="E186" s="52" t="n">
        <v>0.0503</v>
      </c>
      <c r="F186" s="55">
        <f>TABLEROS!$R$36</f>
        <v>863.275510204082</v>
      </c>
      <c r="G186" s="34">
        <f>E186*F186/1000</f>
        <v>0.0434227581632653</v>
      </c>
      <c r="H186" s="55">
        <f>TABLEROS!$Q$36</f>
        <v>648.673469387755</v>
      </c>
      <c r="I186" s="34">
        <f>E186*H186/1000</f>
        <v>0.0326282755102041</v>
      </c>
      <c r="J186" s="39" t="inlineStr">
        <is>
          <t>DM</t>
        </is>
      </c>
      <c r="K186" s="35" t="inlineStr">
        <is>
          <t>sobre muro</t>
        </is>
      </c>
    </row>
    <row r="187">
      <c r="B187" s="39" t="inlineStr">
        <is>
          <t>DM-98</t>
        </is>
      </c>
      <c r="C187" s="39" t="inlineStr">
        <is>
          <t>F80028 N+6.00</t>
        </is>
      </c>
      <c r="D187" s="39" t="inlineStr">
        <is>
          <t>N+6.00</t>
        </is>
      </c>
      <c r="E187" s="52" t="n">
        <v>0.06909999999999999</v>
      </c>
      <c r="F187" s="55">
        <f>TABLEROS!$R$36</f>
        <v>863.275510204082</v>
      </c>
      <c r="G187" s="34">
        <f>E187*F187/1000</f>
        <v>0.059652337755102</v>
      </c>
      <c r="H187" s="55">
        <f>TABLEROS!$Q$36</f>
        <v>648.673469387755</v>
      </c>
      <c r="I187" s="34">
        <f>E187*H187/1000</f>
        <v>0.0448233367346939</v>
      </c>
      <c r="J187" s="39" t="inlineStr">
        <is>
          <t>DM</t>
        </is>
      </c>
      <c r="K187" s="35" t="inlineStr">
        <is>
          <t>sobre muro</t>
        </is>
      </c>
    </row>
    <row r="188">
      <c r="B188" s="39" t="inlineStr">
        <is>
          <t>DM-99</t>
        </is>
      </c>
      <c r="C188" s="39" t="inlineStr">
        <is>
          <t>F80028 N+6.00</t>
        </is>
      </c>
      <c r="D188" s="39" t="inlineStr">
        <is>
          <t>N+6.00</t>
        </is>
      </c>
      <c r="E188" s="52" t="n">
        <v>0.0122</v>
      </c>
      <c r="F188" s="55">
        <f>TABLEROS!$R$36</f>
        <v>863.275510204082</v>
      </c>
      <c r="G188" s="34">
        <f>E188*F188/1000</f>
        <v>0.0105319612244898</v>
      </c>
      <c r="H188" s="55">
        <f>TABLEROS!$Q$36</f>
        <v>648.673469387755</v>
      </c>
      <c r="I188" s="34">
        <f>E188*H188/1000</f>
        <v>0.00791381632653061</v>
      </c>
      <c r="J188" s="39" t="inlineStr">
        <is>
          <t>DM</t>
        </is>
      </c>
      <c r="K188" s="35" t="inlineStr">
        <is>
          <t>sobre muro</t>
        </is>
      </c>
    </row>
    <row r="189">
      <c r="B189" s="39" t="inlineStr">
        <is>
          <t>DM-100</t>
        </is>
      </c>
      <c r="C189" s="39" t="inlineStr">
        <is>
          <t>F80028 N+6.00</t>
        </is>
      </c>
      <c r="D189" s="39" t="inlineStr">
        <is>
          <t>N+6.00</t>
        </is>
      </c>
      <c r="E189" s="52" t="n">
        <v>0.1425</v>
      </c>
      <c r="F189" s="55">
        <f>TABLEROS!$R$36</f>
        <v>863.275510204082</v>
      </c>
      <c r="G189" s="34">
        <f>E189*F189/1000</f>
        <v>0.123016760204082</v>
      </c>
      <c r="H189" s="55">
        <f>TABLEROS!$Q$36</f>
        <v>648.673469387755</v>
      </c>
      <c r="I189" s="34">
        <f>E189*H189/1000</f>
        <v>0.0924359693877551</v>
      </c>
      <c r="J189" s="39" t="inlineStr">
        <is>
          <t>DM</t>
        </is>
      </c>
      <c r="K189" s="35" t="inlineStr">
        <is>
          <t>sobre muro</t>
        </is>
      </c>
    </row>
    <row r="190">
      <c r="B190" s="39" t="inlineStr">
        <is>
          <t>DM-130</t>
        </is>
      </c>
      <c r="C190" s="39" t="inlineStr">
        <is>
          <t>F80028 N+6.00</t>
        </is>
      </c>
      <c r="D190" s="39" t="inlineStr">
        <is>
          <t>N+6.00</t>
        </is>
      </c>
      <c r="E190" s="52" t="n">
        <v>0.101</v>
      </c>
      <c r="F190" s="55">
        <f>TABLEROS!$R$36</f>
        <v>863.275510204082</v>
      </c>
      <c r="G190" s="34">
        <f>E190*F190/1000</f>
        <v>0.0871908265306123</v>
      </c>
      <c r="H190" s="55">
        <f>TABLEROS!$Q$36</f>
        <v>648.673469387755</v>
      </c>
      <c r="I190" s="34">
        <f>E190*H190/1000</f>
        <v>0.0655160204081633</v>
      </c>
      <c r="J190" s="39" t="inlineStr">
        <is>
          <t>DM</t>
        </is>
      </c>
      <c r="K190" s="35" t="inlineStr">
        <is>
          <t>sobre muro</t>
        </is>
      </c>
    </row>
    <row r="191">
      <c r="B191" s="39" t="inlineStr">
        <is>
          <t>DM-92</t>
        </is>
      </c>
      <c r="C191" s="39" t="inlineStr">
        <is>
          <t>F80029 N+6.00</t>
        </is>
      </c>
      <c r="D191" s="39" t="inlineStr">
        <is>
          <t>N+6.00</t>
        </is>
      </c>
      <c r="E191" s="52" t="n">
        <v>0.1548</v>
      </c>
      <c r="F191" s="55">
        <f>TABLEROS!$R$37</f>
        <v>863.275510204082</v>
      </c>
      <c r="G191" s="34">
        <f>E191*F191/1000</f>
        <v>0.133635048979592</v>
      </c>
      <c r="H191" s="55">
        <f>TABLEROS!$Q$37</f>
        <v>648.673469387755</v>
      </c>
      <c r="I191" s="34">
        <f>E191*H191/1000</f>
        <v>0.100414653061224</v>
      </c>
      <c r="J191" s="39" t="inlineStr">
        <is>
          <t>DM</t>
        </is>
      </c>
      <c r="K191" s="35" t="inlineStr">
        <is>
          <t>sobre muro</t>
        </is>
      </c>
    </row>
    <row r="192">
      <c r="B192" s="39" t="inlineStr">
        <is>
          <t>DM-93</t>
        </is>
      </c>
      <c r="C192" s="39" t="inlineStr">
        <is>
          <t>F80029 N+6.00</t>
        </is>
      </c>
      <c r="D192" s="39" t="inlineStr">
        <is>
          <t>N+6.00</t>
        </is>
      </c>
      <c r="E192" s="52" t="n">
        <v>0.0693</v>
      </c>
      <c r="F192" s="55">
        <f>TABLEROS!$R$37</f>
        <v>863.275510204082</v>
      </c>
      <c r="G192" s="34">
        <f>E192*F192/1000</f>
        <v>0.0598249928571429</v>
      </c>
      <c r="H192" s="55">
        <f>TABLEROS!$Q$37</f>
        <v>648.673469387755</v>
      </c>
      <c r="I192" s="34">
        <f>E192*H192/1000</f>
        <v>0.0449530714285714</v>
      </c>
      <c r="J192" s="39" t="inlineStr">
        <is>
          <t>DM</t>
        </is>
      </c>
      <c r="K192" s="35" t="inlineStr">
        <is>
          <t>sobre muro</t>
        </is>
      </c>
    </row>
    <row r="193">
      <c r="B193" s="39" t="inlineStr">
        <is>
          <t>DM-114</t>
        </is>
      </c>
      <c r="C193" s="39" t="inlineStr">
        <is>
          <t>F80029 N+6.00</t>
        </is>
      </c>
      <c r="D193" s="39" t="inlineStr">
        <is>
          <t>N+6.00</t>
        </is>
      </c>
      <c r="E193" s="52" t="n">
        <v>0.0282</v>
      </c>
      <c r="F193" s="55">
        <f>TABLEROS!$R$37</f>
        <v>863.275510204082</v>
      </c>
      <c r="G193" s="34">
        <f>E193*F193/1000</f>
        <v>0.0243443693877551</v>
      </c>
      <c r="H193" s="55">
        <f>TABLEROS!$Q$37</f>
        <v>648.673469387755</v>
      </c>
      <c r="I193" s="34">
        <f>E193*H193/1000</f>
        <v>0.0182925918367347</v>
      </c>
      <c r="J193" s="39" t="inlineStr">
        <is>
          <t>DM</t>
        </is>
      </c>
      <c r="K193" s="35" t="inlineStr">
        <is>
          <t>sobre muro</t>
        </is>
      </c>
    </row>
    <row r="194">
      <c r="B194" s="39" t="inlineStr">
        <is>
          <t>NP-32</t>
        </is>
      </c>
      <c r="C194" s="39" t="inlineStr">
        <is>
          <t>F80029 N+6.00</t>
        </is>
      </c>
      <c r="D194" s="39" t="inlineStr">
        <is>
          <t>N+6.00</t>
        </is>
      </c>
      <c r="E194" s="52" t="n">
        <v>0.2269</v>
      </c>
      <c r="F194" s="55">
        <f>TABLEROS!$R$37</f>
        <v>863.275510204082</v>
      </c>
      <c r="G194" s="34">
        <f>E194*F194/1000</f>
        <v>0.195877213265306</v>
      </c>
      <c r="H194" s="55">
        <f>TABLEROS!$Q$37</f>
        <v>648.673469387755</v>
      </c>
      <c r="I194" s="34">
        <f>E194*H194/1000</f>
        <v>0.147184010204082</v>
      </c>
      <c r="J194" s="39" t="inlineStr">
        <is>
          <t>NP</t>
        </is>
      </c>
      <c r="K194" s="35" t="str">
        <f>PRINCIPALES!$AX$40</f>
        <v>CUMPLE</v>
      </c>
    </row>
    <row r="195">
      <c r="B195" s="39" t="inlineStr">
        <is>
          <t>DM-117</t>
        </is>
      </c>
      <c r="C195" s="39" t="inlineStr">
        <is>
          <t>F80029 N+6.00</t>
        </is>
      </c>
      <c r="D195" s="39" t="inlineStr">
        <is>
          <t>N+6.00</t>
        </is>
      </c>
      <c r="E195" s="52" t="n">
        <v>0.0483</v>
      </c>
      <c r="F195" s="55">
        <f>TABLEROS!$R$37</f>
        <v>863.275510204082</v>
      </c>
      <c r="G195" s="34">
        <f>E195*F195/1000</f>
        <v>0.0416962071428571</v>
      </c>
      <c r="H195" s="55">
        <f>TABLEROS!$Q$37</f>
        <v>648.673469387755</v>
      </c>
      <c r="I195" s="34">
        <f>E195*H195/1000</f>
        <v>0.0313309285714286</v>
      </c>
      <c r="J195" s="39" t="inlineStr">
        <is>
          <t>DM</t>
        </is>
      </c>
      <c r="K195" s="35" t="inlineStr">
        <is>
          <t>sobre muro</t>
        </is>
      </c>
    </row>
    <row r="196">
      <c r="B196" s="39" t="inlineStr">
        <is>
          <t>DM-125</t>
        </is>
      </c>
      <c r="C196" s="39" t="inlineStr">
        <is>
          <t>F80030 N+6.00</t>
        </is>
      </c>
      <c r="D196" s="39" t="inlineStr">
        <is>
          <t>N+6.00</t>
        </is>
      </c>
      <c r="E196" s="52" t="n">
        <v>2.002</v>
      </c>
      <c r="F196" s="55">
        <f>TABLEROS!$R$38</f>
        <v>882.775510204082</v>
      </c>
      <c r="G196" s="34">
        <f>E196*F196/1000</f>
        <v>1.76731657142857</v>
      </c>
      <c r="H196" s="55">
        <f>TABLEROS!$Q$38</f>
        <v>663.673469387755</v>
      </c>
      <c r="I196" s="34">
        <f>E196*H196/1000</f>
        <v>1.32867428571429</v>
      </c>
      <c r="J196" s="39" t="inlineStr">
        <is>
          <t>DM</t>
        </is>
      </c>
      <c r="K196" s="35" t="inlineStr">
        <is>
          <t>sobre muro</t>
        </is>
      </c>
    </row>
    <row r="197">
      <c r="B197" s="39" t="inlineStr">
        <is>
          <t>DM-126</t>
        </is>
      </c>
      <c r="C197" s="39" t="inlineStr">
        <is>
          <t>F80030 N+6.00</t>
        </is>
      </c>
      <c r="D197" s="39" t="inlineStr">
        <is>
          <t>N+6.00</t>
        </is>
      </c>
      <c r="E197" s="52" t="n">
        <v>1.998</v>
      </c>
      <c r="F197" s="55">
        <f>TABLEROS!$R$38</f>
        <v>882.775510204082</v>
      </c>
      <c r="G197" s="34">
        <f>E197*F197/1000</f>
        <v>1.76378546938776</v>
      </c>
      <c r="H197" s="55">
        <f>TABLEROS!$Q$38</f>
        <v>663.673469387755</v>
      </c>
      <c r="I197" s="34">
        <f>E197*H197/1000</f>
        <v>1.32601959183673</v>
      </c>
      <c r="J197" s="39" t="inlineStr">
        <is>
          <t>DM</t>
        </is>
      </c>
      <c r="K197" s="35" t="inlineStr">
        <is>
          <t>sobre muro</t>
        </is>
      </c>
    </row>
    <row r="198">
      <c r="B198" s="39" t="inlineStr">
        <is>
          <t>DM-101</t>
        </is>
      </c>
      <c r="C198" s="39" t="inlineStr">
        <is>
          <t>F80030 N+6.00</t>
        </is>
      </c>
      <c r="D198" s="39" t="inlineStr">
        <is>
          <t>N+6.00</t>
        </is>
      </c>
      <c r="E198" s="52" t="n">
        <v>0.4278</v>
      </c>
      <c r="F198" s="55">
        <f>TABLEROS!$R$38</f>
        <v>882.775510204082</v>
      </c>
      <c r="G198" s="34">
        <f>E198*F198/1000</f>
        <v>0.377651363265306</v>
      </c>
      <c r="H198" s="55">
        <f>TABLEROS!$Q$38</f>
        <v>663.673469387755</v>
      </c>
      <c r="I198" s="34">
        <f>E198*H198/1000</f>
        <v>0.283919510204082</v>
      </c>
      <c r="J198" s="39" t="inlineStr">
        <is>
          <t>DM</t>
        </is>
      </c>
      <c r="K198" s="35" t="inlineStr">
        <is>
          <t>sobre muro</t>
        </is>
      </c>
    </row>
    <row r="199">
      <c r="B199" s="39" t="inlineStr">
        <is>
          <t>DM-102</t>
        </is>
      </c>
      <c r="C199" s="39" t="inlineStr">
        <is>
          <t>F80030 N+6.00</t>
        </is>
      </c>
      <c r="D199" s="39" t="inlineStr">
        <is>
          <t>N+6.00</t>
        </is>
      </c>
      <c r="E199" s="52" t="n">
        <v>3.3007</v>
      </c>
      <c r="F199" s="55">
        <f>TABLEROS!$R$38</f>
        <v>882.775510204082</v>
      </c>
      <c r="G199" s="34">
        <f>E199*F199/1000</f>
        <v>2.91377712653061</v>
      </c>
      <c r="H199" s="55">
        <f>TABLEROS!$Q$38</f>
        <v>663.673469387755</v>
      </c>
      <c r="I199" s="34">
        <f>E199*H199/1000</f>
        <v>2.19058702040816</v>
      </c>
      <c r="J199" s="39" t="inlineStr">
        <is>
          <t>DM</t>
        </is>
      </c>
      <c r="K199" s="35" t="inlineStr">
        <is>
          <t>sobre muro</t>
        </is>
      </c>
    </row>
    <row r="200">
      <c r="B200" s="39" t="inlineStr">
        <is>
          <t>DM-103</t>
        </is>
      </c>
      <c r="C200" s="39" t="inlineStr">
        <is>
          <t>F80030 N+6.00</t>
        </is>
      </c>
      <c r="D200" s="39" t="inlineStr">
        <is>
          <t>N+6.00</t>
        </is>
      </c>
      <c r="E200" s="52" t="n">
        <v>1.1235</v>
      </c>
      <c r="F200" s="55">
        <f>TABLEROS!$R$38</f>
        <v>882.775510204082</v>
      </c>
      <c r="G200" s="34">
        <f>E200*F200/1000</f>
        <v>0.991798285714286</v>
      </c>
      <c r="H200" s="55">
        <f>TABLEROS!$Q$38</f>
        <v>663.673469387755</v>
      </c>
      <c r="I200" s="34">
        <f>E200*H200/1000</f>
        <v>0.745637142857143</v>
      </c>
      <c r="J200" s="39" t="inlineStr">
        <is>
          <t>DM</t>
        </is>
      </c>
      <c r="K200" s="35" t="inlineStr">
        <is>
          <t>sobre muro</t>
        </is>
      </c>
    </row>
    <row r="201">
      <c r="B201" s="39" t="inlineStr">
        <is>
          <t>DM-115</t>
        </is>
      </c>
      <c r="C201" s="39" t="inlineStr">
        <is>
          <t>F80030 N+6.00</t>
        </is>
      </c>
      <c r="D201" s="39" t="inlineStr">
        <is>
          <t>N+6.00</t>
        </is>
      </c>
      <c r="E201" s="52" t="n">
        <v>2.002</v>
      </c>
      <c r="F201" s="55">
        <f>TABLEROS!$R$38</f>
        <v>882.775510204082</v>
      </c>
      <c r="G201" s="34">
        <f>E201*F201/1000</f>
        <v>1.76731657142857</v>
      </c>
      <c r="H201" s="55">
        <f>TABLEROS!$Q$38</f>
        <v>663.673469387755</v>
      </c>
      <c r="I201" s="34">
        <f>E201*H201/1000</f>
        <v>1.32867428571429</v>
      </c>
      <c r="J201" s="39" t="inlineStr">
        <is>
          <t>DM</t>
        </is>
      </c>
      <c r="K201" s="35" t="inlineStr">
        <is>
          <t>sobre muro</t>
        </is>
      </c>
    </row>
    <row r="202">
      <c r="B202" s="39" t="inlineStr">
        <is>
          <t>DM-116</t>
        </is>
      </c>
      <c r="C202" s="39" t="inlineStr">
        <is>
          <t>F80030 N+6.00</t>
        </is>
      </c>
      <c r="D202" s="39" t="inlineStr">
        <is>
          <t>N+6.00</t>
        </is>
      </c>
      <c r="E202" s="52" t="n">
        <v>1.998</v>
      </c>
      <c r="F202" s="55">
        <f>TABLEROS!$R$38</f>
        <v>882.775510204082</v>
      </c>
      <c r="G202" s="34">
        <f>E202*F202/1000</f>
        <v>1.76378546938776</v>
      </c>
      <c r="H202" s="55">
        <f>TABLEROS!$Q$38</f>
        <v>663.673469387755</v>
      </c>
      <c r="I202" s="34">
        <f>E202*H202/1000</f>
        <v>1.32601959183673</v>
      </c>
      <c r="J202" s="39" t="inlineStr">
        <is>
          <t>DM</t>
        </is>
      </c>
      <c r="K202" s="35" t="inlineStr">
        <is>
          <t>sobre muro</t>
        </is>
      </c>
    </row>
    <row r="203">
      <c r="B203" s="39" t="inlineStr">
        <is>
          <t>DM-92</t>
        </is>
      </c>
      <c r="C203" s="39" t="inlineStr">
        <is>
          <t>F80030 N+6.00</t>
        </is>
      </c>
      <c r="D203" s="39" t="inlineStr">
        <is>
          <t>N+6.00</t>
        </is>
      </c>
      <c r="E203" s="52" t="n">
        <v>2.258</v>
      </c>
      <c r="F203" s="55">
        <f>TABLEROS!$R$38</f>
        <v>882.775510204082</v>
      </c>
      <c r="G203" s="34">
        <f>E203*F203/1000</f>
        <v>1.99330710204082</v>
      </c>
      <c r="H203" s="55">
        <f>TABLEROS!$Q$38</f>
        <v>663.673469387755</v>
      </c>
      <c r="I203" s="34">
        <f>E203*H203/1000</f>
        <v>1.49857469387755</v>
      </c>
      <c r="J203" s="39" t="inlineStr">
        <is>
          <t>DM</t>
        </is>
      </c>
      <c r="K203" s="35" t="inlineStr">
        <is>
          <t>sobre muro</t>
        </is>
      </c>
    </row>
    <row r="204">
      <c r="B204" s="39" t="inlineStr">
        <is>
          <t>DM-93</t>
        </is>
      </c>
      <c r="C204" s="39" t="inlineStr">
        <is>
          <t>F80030 N+6.00</t>
        </is>
      </c>
      <c r="D204" s="39" t="inlineStr">
        <is>
          <t>N+6.00</t>
        </is>
      </c>
      <c r="E204" s="52" t="n">
        <v>1.6182</v>
      </c>
      <c r="F204" s="55">
        <f>TABLEROS!$R$38</f>
        <v>882.775510204082</v>
      </c>
      <c r="G204" s="34">
        <f>E204*F204/1000</f>
        <v>1.42850733061224</v>
      </c>
      <c r="H204" s="55">
        <f>TABLEROS!$Q$38</f>
        <v>663.673469387755</v>
      </c>
      <c r="I204" s="34">
        <f>E204*H204/1000</f>
        <v>1.07395640816327</v>
      </c>
      <c r="J204" s="39" t="inlineStr">
        <is>
          <t>DM</t>
        </is>
      </c>
      <c r="K204" s="35" t="inlineStr">
        <is>
          <t>sobre muro</t>
        </is>
      </c>
    </row>
    <row r="205">
      <c r="B205" s="39" t="inlineStr">
        <is>
          <t>DM-94</t>
        </is>
      </c>
      <c r="C205" s="39" t="inlineStr">
        <is>
          <t>F80030 N+6.00</t>
        </is>
      </c>
      <c r="D205" s="39" t="inlineStr">
        <is>
          <t>N+6.00</t>
        </is>
      </c>
      <c r="E205" s="52" t="n">
        <v>0.4788</v>
      </c>
      <c r="F205" s="55">
        <f>TABLEROS!$R$38</f>
        <v>882.775510204082</v>
      </c>
      <c r="G205" s="34">
        <f>E205*F205/1000</f>
        <v>0.422672914285714</v>
      </c>
      <c r="H205" s="55">
        <f>TABLEROS!$Q$38</f>
        <v>663.673469387755</v>
      </c>
      <c r="I205" s="34">
        <f>E205*H205/1000</f>
        <v>0.317766857142857</v>
      </c>
      <c r="J205" s="39" t="inlineStr">
        <is>
          <t>DM</t>
        </is>
      </c>
      <c r="K205" s="35" t="inlineStr">
        <is>
          <t>sobre muro</t>
        </is>
      </c>
    </row>
    <row r="206">
      <c r="B206" s="39" t="inlineStr">
        <is>
          <t>DM-95</t>
        </is>
      </c>
      <c r="C206" s="39" t="inlineStr">
        <is>
          <t>F80030 N+6.00</t>
        </is>
      </c>
      <c r="D206" s="39" t="inlineStr">
        <is>
          <t>N+6.00</t>
        </is>
      </c>
      <c r="E206" s="52" t="n">
        <v>0.497</v>
      </c>
      <c r="F206" s="55">
        <f>TABLEROS!$R$38</f>
        <v>882.775510204082</v>
      </c>
      <c r="G206" s="34">
        <f>E206*F206/1000</f>
        <v>0.438739428571429</v>
      </c>
      <c r="H206" s="55">
        <f>TABLEROS!$Q$38</f>
        <v>663.673469387755</v>
      </c>
      <c r="I206" s="34">
        <f>E206*H206/1000</f>
        <v>0.329845714285714</v>
      </c>
      <c r="J206" s="39" t="inlineStr">
        <is>
          <t>DM</t>
        </is>
      </c>
      <c r="K206" s="35" t="inlineStr">
        <is>
          <t>sobre muro</t>
        </is>
      </c>
    </row>
    <row r="207">
      <c r="B207" s="39" t="inlineStr">
        <is>
          <t>DM-96</t>
        </is>
      </c>
      <c r="C207" s="39" t="inlineStr">
        <is>
          <t>F80031 N+6.00</t>
        </is>
      </c>
      <c r="D207" s="39" t="inlineStr">
        <is>
          <t>N+6.00</t>
        </is>
      </c>
      <c r="E207" s="52" t="n">
        <v>0.496</v>
      </c>
      <c r="F207" s="55">
        <f>TABLEROS!$R$39</f>
        <v>882.775510204082</v>
      </c>
      <c r="G207" s="34">
        <f>E207*F207/1000</f>
        <v>0.437856653061224</v>
      </c>
      <c r="H207" s="55">
        <f>TABLEROS!$Q$39</f>
        <v>663.673469387755</v>
      </c>
      <c r="I207" s="34">
        <f>E207*H207/1000</f>
        <v>0.329182040816327</v>
      </c>
      <c r="J207" s="39" t="inlineStr">
        <is>
          <t>DM</t>
        </is>
      </c>
      <c r="K207" s="35" t="inlineStr">
        <is>
          <t>sobre muro</t>
        </is>
      </c>
    </row>
    <row r="208">
      <c r="B208" s="39" t="inlineStr">
        <is>
          <t>DM-97</t>
        </is>
      </c>
      <c r="C208" s="39" t="inlineStr">
        <is>
          <t>F80031 N+6.00</t>
        </is>
      </c>
      <c r="D208" s="39" t="inlineStr">
        <is>
          <t>N+6.00</t>
        </is>
      </c>
      <c r="E208" s="52" t="n">
        <v>0.4784</v>
      </c>
      <c r="F208" s="55">
        <f>TABLEROS!$R$39</f>
        <v>882.775510204082</v>
      </c>
      <c r="G208" s="34">
        <f>E208*F208/1000</f>
        <v>0.422319804081633</v>
      </c>
      <c r="H208" s="55">
        <f>TABLEROS!$Q$39</f>
        <v>663.673469387755</v>
      </c>
      <c r="I208" s="34">
        <f>E208*H208/1000</f>
        <v>0.317501387755102</v>
      </c>
      <c r="J208" s="39" t="inlineStr">
        <is>
          <t>DM</t>
        </is>
      </c>
      <c r="K208" s="35" t="inlineStr">
        <is>
          <t>sobre muro</t>
        </is>
      </c>
    </row>
    <row r="209">
      <c r="B209" s="39" t="inlineStr">
        <is>
          <t>DM-98</t>
        </is>
      </c>
      <c r="C209" s="39" t="inlineStr">
        <is>
          <t>F80031 N+6.00</t>
        </is>
      </c>
      <c r="D209" s="39" t="inlineStr">
        <is>
          <t>N+6.00</t>
        </is>
      </c>
      <c r="E209" s="52" t="n">
        <v>1.6176</v>
      </c>
      <c r="F209" s="55">
        <f>TABLEROS!$R$39</f>
        <v>882.775510204082</v>
      </c>
      <c r="G209" s="34">
        <f>E209*F209/1000</f>
        <v>1.42797766530612</v>
      </c>
      <c r="H209" s="55">
        <f>TABLEROS!$Q$39</f>
        <v>663.673469387755</v>
      </c>
      <c r="I209" s="34">
        <f>E209*H209/1000</f>
        <v>1.07355820408163</v>
      </c>
      <c r="J209" s="39" t="inlineStr">
        <is>
          <t>DM</t>
        </is>
      </c>
      <c r="K209" s="35" t="inlineStr">
        <is>
          <t>sobre muro</t>
        </is>
      </c>
    </row>
    <row r="210">
      <c r="B210" s="39" t="inlineStr">
        <is>
          <t>DM-99</t>
        </is>
      </c>
      <c r="C210" s="39" t="inlineStr">
        <is>
          <t>F80031 N+6.00</t>
        </is>
      </c>
      <c r="D210" s="39" t="inlineStr">
        <is>
          <t>N+6.00</t>
        </is>
      </c>
      <c r="E210" s="52" t="n">
        <v>0.3293</v>
      </c>
      <c r="F210" s="55">
        <f>TABLEROS!$R$39</f>
        <v>882.775510204082</v>
      </c>
      <c r="G210" s="34">
        <f>E210*F210/1000</f>
        <v>0.290697975510204</v>
      </c>
      <c r="H210" s="55">
        <f>TABLEROS!$Q$39</f>
        <v>663.673469387755</v>
      </c>
      <c r="I210" s="34">
        <f>E210*H210/1000</f>
        <v>0.218547673469388</v>
      </c>
      <c r="J210" s="39" t="inlineStr">
        <is>
          <t>DM</t>
        </is>
      </c>
      <c r="K210" s="35" t="inlineStr">
        <is>
          <t>sobre muro</t>
        </is>
      </c>
    </row>
    <row r="211">
      <c r="B211" s="39" t="inlineStr">
        <is>
          <t>DM-100</t>
        </is>
      </c>
      <c r="C211" s="39" t="inlineStr">
        <is>
          <t>F80031 N+6.00</t>
        </is>
      </c>
      <c r="D211" s="39" t="inlineStr">
        <is>
          <t>N+6.00</t>
        </is>
      </c>
      <c r="E211" s="52" t="n">
        <v>1.9267</v>
      </c>
      <c r="F211" s="55">
        <f>TABLEROS!$R$39</f>
        <v>882.775510204082</v>
      </c>
      <c r="G211" s="34">
        <f>E211*F211/1000</f>
        <v>1.7008435755102</v>
      </c>
      <c r="H211" s="55">
        <f>TABLEROS!$Q$39</f>
        <v>663.673469387755</v>
      </c>
      <c r="I211" s="34">
        <f>E211*H211/1000</f>
        <v>1.27869967346939</v>
      </c>
      <c r="J211" s="39" t="inlineStr">
        <is>
          <t>DM</t>
        </is>
      </c>
      <c r="K211" s="35" t="inlineStr">
        <is>
          <t>sobre muro</t>
        </is>
      </c>
    </row>
    <row r="212">
      <c r="B212" s="39" t="inlineStr">
        <is>
          <t>DM-142</t>
        </is>
      </c>
      <c r="C212" s="39" t="inlineStr">
        <is>
          <t>F80031 N+6.00</t>
        </is>
      </c>
      <c r="D212" s="39" t="inlineStr">
        <is>
          <t>N+6.00</t>
        </is>
      </c>
      <c r="E212" s="52" t="n">
        <v>2</v>
      </c>
      <c r="F212" s="55">
        <f>TABLEROS!$R$39</f>
        <v>882.775510204082</v>
      </c>
      <c r="G212" s="34">
        <f>E212*F212/1000</f>
        <v>1.76555102040816</v>
      </c>
      <c r="H212" s="55">
        <f>TABLEROS!$Q$39</f>
        <v>663.673469387755</v>
      </c>
      <c r="I212" s="34">
        <f>E212*H212/1000</f>
        <v>1.32734693877551</v>
      </c>
      <c r="J212" s="39" t="inlineStr">
        <is>
          <t>DM</t>
        </is>
      </c>
      <c r="K212" s="35" t="inlineStr">
        <is>
          <t>sobre muro</t>
        </is>
      </c>
    </row>
    <row r="213">
      <c r="B213" s="39" t="inlineStr">
        <is>
          <t>DM-143</t>
        </is>
      </c>
      <c r="C213" s="39" t="inlineStr">
        <is>
          <t>F80031 N+6.00</t>
        </is>
      </c>
      <c r="D213" s="39" t="inlineStr">
        <is>
          <t>N+6.00</t>
        </is>
      </c>
      <c r="E213" s="52" t="n">
        <v>2</v>
      </c>
      <c r="F213" s="55">
        <f>TABLEROS!$R$39</f>
        <v>882.775510204082</v>
      </c>
      <c r="G213" s="34">
        <f>E213*F213/1000</f>
        <v>1.76555102040816</v>
      </c>
      <c r="H213" s="55">
        <f>TABLEROS!$Q$39</f>
        <v>663.673469387755</v>
      </c>
      <c r="I213" s="34">
        <f>E213*H213/1000</f>
        <v>1.32734693877551</v>
      </c>
      <c r="J213" s="39" t="inlineStr">
        <is>
          <t>DM</t>
        </is>
      </c>
      <c r="K213" s="35" t="inlineStr">
        <is>
          <t>sobre muro</t>
        </is>
      </c>
    </row>
    <row r="214">
      <c r="B214" s="39" t="inlineStr">
        <is>
          <t>DM-104</t>
        </is>
      </c>
      <c r="C214" s="39" t="inlineStr">
        <is>
          <t>F80031 N+6.00</t>
        </is>
      </c>
      <c r="D214" s="39" t="inlineStr">
        <is>
          <t>N+6.00</t>
        </is>
      </c>
      <c r="E214" s="52" t="n">
        <v>1.1235</v>
      </c>
      <c r="F214" s="55">
        <f>TABLEROS!$R$39</f>
        <v>882.775510204082</v>
      </c>
      <c r="G214" s="34">
        <f>E214*F214/1000</f>
        <v>0.991798285714286</v>
      </c>
      <c r="H214" s="55">
        <f>TABLEROS!$Q$39</f>
        <v>663.673469387755</v>
      </c>
      <c r="I214" s="34">
        <f>E214*H214/1000</f>
        <v>0.745637142857143</v>
      </c>
      <c r="J214" s="39" t="inlineStr">
        <is>
          <t>DM</t>
        </is>
      </c>
      <c r="K214" s="35" t="inlineStr">
        <is>
          <t>sobre muro</t>
        </is>
      </c>
    </row>
    <row r="215">
      <c r="B215" s="39" t="inlineStr">
        <is>
          <t>DM-105</t>
        </is>
      </c>
      <c r="C215" s="39" t="inlineStr">
        <is>
          <t>F80031 N+6.00</t>
        </is>
      </c>
      <c r="D215" s="39" t="inlineStr">
        <is>
          <t>N+6.00</t>
        </is>
      </c>
      <c r="E215" s="52" t="n">
        <v>3.2967</v>
      </c>
      <c r="F215" s="55">
        <f>TABLEROS!$R$39</f>
        <v>882.775510204082</v>
      </c>
      <c r="G215" s="34">
        <f>E215*F215/1000</f>
        <v>2.9102460244898</v>
      </c>
      <c r="H215" s="55">
        <f>TABLEROS!$Q$39</f>
        <v>663.673469387755</v>
      </c>
      <c r="I215" s="34">
        <f>E215*H215/1000</f>
        <v>2.18793232653061</v>
      </c>
      <c r="J215" s="39" t="inlineStr">
        <is>
          <t>DM</t>
        </is>
      </c>
      <c r="K215" s="35" t="inlineStr">
        <is>
          <t>sobre muro</t>
        </is>
      </c>
    </row>
    <row r="216">
      <c r="B216" s="39" t="inlineStr">
        <is>
          <t>DM-106</t>
        </is>
      </c>
      <c r="C216" s="39" t="inlineStr">
        <is>
          <t>F80031 N+6.00</t>
        </is>
      </c>
      <c r="D216" s="39" t="inlineStr">
        <is>
          <t>N+6.00</t>
        </is>
      </c>
      <c r="E216" s="52" t="n">
        <v>0.4278</v>
      </c>
      <c r="F216" s="55">
        <f>TABLEROS!$R$39</f>
        <v>882.775510204082</v>
      </c>
      <c r="G216" s="34">
        <f>E216*F216/1000</f>
        <v>0.377651363265306</v>
      </c>
      <c r="H216" s="55">
        <f>TABLEROS!$Q$39</f>
        <v>663.673469387755</v>
      </c>
      <c r="I216" s="34">
        <f>E216*H216/1000</f>
        <v>0.283919510204082</v>
      </c>
      <c r="J216" s="39" t="inlineStr">
        <is>
          <t>DM</t>
        </is>
      </c>
      <c r="K216" s="35" t="inlineStr">
        <is>
          <t>sobre muro</t>
        </is>
      </c>
    </row>
    <row r="217">
      <c r="B217" s="39" t="inlineStr">
        <is>
          <t>DM-125</t>
        </is>
      </c>
      <c r="C217" s="39" t="inlineStr">
        <is>
          <t>F80031 N+6.00</t>
        </is>
      </c>
      <c r="D217" s="39" t="inlineStr">
        <is>
          <t>N+6.00</t>
        </is>
      </c>
      <c r="E217" s="52" t="n">
        <v>2.002</v>
      </c>
      <c r="F217" s="55">
        <f>TABLEROS!$R$39</f>
        <v>882.775510204082</v>
      </c>
      <c r="G217" s="34">
        <f>E217*F217/1000</f>
        <v>1.76731657142857</v>
      </c>
      <c r="H217" s="55">
        <f>TABLEROS!$Q$39</f>
        <v>663.673469387755</v>
      </c>
      <c r="I217" s="34">
        <f>E217*H217/1000</f>
        <v>1.32867428571429</v>
      </c>
      <c r="J217" s="39" t="inlineStr">
        <is>
          <t>DM</t>
        </is>
      </c>
      <c r="K217" s="35" t="inlineStr">
        <is>
          <t>sobre muro</t>
        </is>
      </c>
    </row>
    <row r="218">
      <c r="B218" s="39" t="inlineStr">
        <is>
          <t>DM-126</t>
        </is>
      </c>
      <c r="C218" s="39" t="inlineStr">
        <is>
          <t>F80031 N+6.00</t>
        </is>
      </c>
      <c r="D218" s="39" t="inlineStr">
        <is>
          <t>N+6.00</t>
        </is>
      </c>
      <c r="E218" s="52" t="n">
        <v>1.998</v>
      </c>
      <c r="F218" s="55">
        <f>TABLEROS!$R$39</f>
        <v>882.775510204082</v>
      </c>
      <c r="G218" s="34">
        <f>E218*F218/1000</f>
        <v>1.76378546938776</v>
      </c>
      <c r="H218" s="55">
        <f>TABLEROS!$Q$39</f>
        <v>663.673469387755</v>
      </c>
      <c r="I218" s="34">
        <f>E218*H218/1000</f>
        <v>1.32601959183673</v>
      </c>
      <c r="J218" s="39" t="inlineStr">
        <is>
          <t>DM</t>
        </is>
      </c>
      <c r="K218" s="35" t="inlineStr">
        <is>
          <t>sobre muro</t>
        </is>
      </c>
    </row>
    <row r="219">
      <c r="B219" s="39" t="inlineStr">
        <is>
          <t>DM-123</t>
        </is>
      </c>
      <c r="C219" s="39" t="inlineStr">
        <is>
          <t>F80032 N+6.00</t>
        </is>
      </c>
      <c r="D219" s="39" t="inlineStr">
        <is>
          <t>N+6.00</t>
        </is>
      </c>
      <c r="E219" s="52" t="n">
        <v>0.5195</v>
      </c>
      <c r="F219" s="55">
        <f>TABLEROS!$R$40</f>
        <v>889.275510204082</v>
      </c>
      <c r="G219" s="34">
        <f>E219*F219/1000</f>
        <v>0.46197862755102</v>
      </c>
      <c r="H219" s="55">
        <f>TABLEROS!$Q$40</f>
        <v>668.673469387755</v>
      </c>
      <c r="I219" s="34">
        <f>E219*H219/1000</f>
        <v>0.347375867346939</v>
      </c>
      <c r="J219" s="39" t="inlineStr">
        <is>
          <t>DM</t>
        </is>
      </c>
      <c r="K219" s="35" t="inlineStr">
        <is>
          <t>sobre muro</t>
        </is>
      </c>
    </row>
    <row r="220">
      <c r="B220" s="39" t="inlineStr">
        <is>
          <t>DM-124</t>
        </is>
      </c>
      <c r="C220" s="39" t="inlineStr">
        <is>
          <t>F80032 N+6.00</t>
        </is>
      </c>
      <c r="D220" s="39" t="inlineStr">
        <is>
          <t>N+6.00</t>
        </is>
      </c>
      <c r="E220" s="52" t="n">
        <v>0.6982</v>
      </c>
      <c r="F220" s="55">
        <f>TABLEROS!$R$40</f>
        <v>889.275510204082</v>
      </c>
      <c r="G220" s="34">
        <f>E220*F220/1000</f>
        <v>0.62089216122449</v>
      </c>
      <c r="H220" s="55">
        <f>TABLEROS!$Q$40</f>
        <v>668.673469387755</v>
      </c>
      <c r="I220" s="34">
        <f>E220*H220/1000</f>
        <v>0.466867816326531</v>
      </c>
      <c r="J220" s="39" t="inlineStr">
        <is>
          <t>DM</t>
        </is>
      </c>
      <c r="K220" s="35" t="inlineStr">
        <is>
          <t>sobre muro</t>
        </is>
      </c>
    </row>
    <row r="221">
      <c r="B221" s="39" t="inlineStr">
        <is>
          <t>SIN DALA</t>
        </is>
      </c>
      <c r="C221" s="39" t="inlineStr">
        <is>
          <t>F80032 N+6.00</t>
        </is>
      </c>
      <c r="D221" s="39" t="inlineStr">
        <is>
          <t>N+6.00</t>
        </is>
      </c>
      <c r="E221" s="52" t="n">
        <v>3.8879</v>
      </c>
      <c r="F221" s="55">
        <f>TABLEROS!$R$40</f>
        <v>889.275510204082</v>
      </c>
      <c r="G221" s="34">
        <f>E221*F221/1000</f>
        <v>3.45741425612245</v>
      </c>
      <c r="H221" s="55">
        <f>TABLEROS!$Q$40</f>
        <v>668.673469387755</v>
      </c>
      <c r="I221" s="34">
        <f>E221*H221/1000</f>
        <v>2.59973558163265</v>
      </c>
      <c r="J221" s="39" t="inlineStr">
        <is>
          <t>SIN DALA</t>
        </is>
      </c>
      <c r="K221" s="35" t="inlineStr">
        <is>
          <t>borde sin dala en el E2K</t>
        </is>
      </c>
    </row>
    <row r="222">
      <c r="B222" s="39" t="inlineStr">
        <is>
          <t>DM-71</t>
        </is>
      </c>
      <c r="C222" s="39" t="inlineStr">
        <is>
          <t>F80032 N+6.00</t>
        </is>
      </c>
      <c r="D222" s="39" t="inlineStr">
        <is>
          <t>N+6.00</t>
        </is>
      </c>
      <c r="E222" s="52" t="n">
        <v>0.4415</v>
      </c>
      <c r="F222" s="55">
        <f>TABLEROS!$R$40</f>
        <v>889.275510204082</v>
      </c>
      <c r="G222" s="34">
        <f>E222*F222/1000</f>
        <v>0.392615137755102</v>
      </c>
      <c r="H222" s="55">
        <f>TABLEROS!$Q$40</f>
        <v>668.673469387755</v>
      </c>
      <c r="I222" s="34">
        <f>E222*H222/1000</f>
        <v>0.295219336734694</v>
      </c>
      <c r="J222" s="39" t="inlineStr">
        <is>
          <t>DM</t>
        </is>
      </c>
      <c r="K222" s="35" t="inlineStr">
        <is>
          <t>sobre muro</t>
        </is>
      </c>
    </row>
    <row r="223">
      <c r="B223" s="39" t="inlineStr">
        <is>
          <t>DM-72</t>
        </is>
      </c>
      <c r="C223" s="39" t="inlineStr">
        <is>
          <t>F80032 N+6.00</t>
        </is>
      </c>
      <c r="D223" s="39" t="inlineStr">
        <is>
          <t>N+6.00</t>
        </is>
      </c>
      <c r="E223" s="52" t="n">
        <v>0.1953</v>
      </c>
      <c r="F223" s="55">
        <f>TABLEROS!$R$40</f>
        <v>889.275510204082</v>
      </c>
      <c r="G223" s="34">
        <f>E223*F223/1000</f>
        <v>0.173675507142857</v>
      </c>
      <c r="H223" s="55">
        <f>TABLEROS!$Q$40</f>
        <v>668.673469387755</v>
      </c>
      <c r="I223" s="34">
        <f>E223*H223/1000</f>
        <v>0.130591928571429</v>
      </c>
      <c r="J223" s="39" t="inlineStr">
        <is>
          <t>DM</t>
        </is>
      </c>
      <c r="K223" s="35" t="inlineStr">
        <is>
          <t>sobre muro</t>
        </is>
      </c>
    </row>
    <row r="224">
      <c r="B224" s="39" t="inlineStr">
        <is>
          <t>DM-133</t>
        </is>
      </c>
      <c r="C224" s="39" t="inlineStr">
        <is>
          <t>F80032 N+6.00</t>
        </is>
      </c>
      <c r="D224" s="39" t="inlineStr">
        <is>
          <t>N+6.00</t>
        </is>
      </c>
      <c r="E224" s="52" t="n">
        <v>0.4812</v>
      </c>
      <c r="F224" s="55">
        <f>TABLEROS!$R$40</f>
        <v>889.275510204082</v>
      </c>
      <c r="G224" s="34">
        <f>E224*F224/1000</f>
        <v>0.427919375510204</v>
      </c>
      <c r="H224" s="55">
        <f>TABLEROS!$Q$40</f>
        <v>668.673469387755</v>
      </c>
      <c r="I224" s="34">
        <f>E224*H224/1000</f>
        <v>0.321765673469388</v>
      </c>
      <c r="J224" s="39" t="inlineStr">
        <is>
          <t>DM</t>
        </is>
      </c>
      <c r="K224" s="35" t="inlineStr">
        <is>
          <t>sobre muro</t>
        </is>
      </c>
    </row>
    <row r="225">
      <c r="B225" s="39" t="inlineStr">
        <is>
          <t>NP-34</t>
        </is>
      </c>
      <c r="C225" s="39" t="inlineStr">
        <is>
          <t>F80032 N+6.00</t>
        </is>
      </c>
      <c r="D225" s="39" t="inlineStr">
        <is>
          <t>N+6.00</t>
        </is>
      </c>
      <c r="E225" s="52" t="n">
        <v>2.2701</v>
      </c>
      <c r="F225" s="55">
        <f>TABLEROS!$R$40</f>
        <v>889.275510204082</v>
      </c>
      <c r="G225" s="34">
        <f>E225*F225/1000</f>
        <v>2.01874433571429</v>
      </c>
      <c r="H225" s="55">
        <f>TABLEROS!$Q$40</f>
        <v>668.673469387755</v>
      </c>
      <c r="I225" s="34">
        <f>E225*H225/1000</f>
        <v>1.51795564285714</v>
      </c>
      <c r="J225" s="39" t="inlineStr">
        <is>
          <t>NP</t>
        </is>
      </c>
      <c r="K225" s="35" t="str">
        <f>PRINCIPALES!$AX$42</f>
        <v>CUMPLE</v>
      </c>
    </row>
    <row r="226">
      <c r="B226" s="39" t="inlineStr">
        <is>
          <t>DM-78</t>
        </is>
      </c>
      <c r="C226" s="39" t="inlineStr">
        <is>
          <t>F80032 N+6.00</t>
        </is>
      </c>
      <c r="D226" s="39" t="inlineStr">
        <is>
          <t>N+6.00</t>
        </is>
      </c>
      <c r="E226" s="52" t="n">
        <v>0.1255</v>
      </c>
      <c r="F226" s="55">
        <f>TABLEROS!$R$40</f>
        <v>889.275510204082</v>
      </c>
      <c r="G226" s="34">
        <f>E226*F226/1000</f>
        <v>0.111604076530612</v>
      </c>
      <c r="H226" s="55">
        <f>TABLEROS!$Q$40</f>
        <v>668.673469387755</v>
      </c>
      <c r="I226" s="34">
        <f>E226*H226/1000</f>
        <v>0.0839185204081633</v>
      </c>
      <c r="J226" s="39" t="inlineStr">
        <is>
          <t>DM</t>
        </is>
      </c>
      <c r="K226" s="35" t="inlineStr">
        <is>
          <t>sobre muro</t>
        </is>
      </c>
    </row>
    <row r="227">
      <c r="B227" s="39" t="inlineStr">
        <is>
          <t>DM-127</t>
        </is>
      </c>
      <c r="C227" s="39" t="inlineStr">
        <is>
          <t>F80032 N+6.00</t>
        </is>
      </c>
      <c r="D227" s="39" t="inlineStr">
        <is>
          <t>N+6.00</t>
        </is>
      </c>
      <c r="E227" s="52" t="n">
        <v>0.5749</v>
      </c>
      <c r="F227" s="55">
        <f>TABLEROS!$R$40</f>
        <v>889.275510204082</v>
      </c>
      <c r="G227" s="34">
        <f>E227*F227/1000</f>
        <v>0.511244490816327</v>
      </c>
      <c r="H227" s="55">
        <f>TABLEROS!$Q$40</f>
        <v>668.673469387755</v>
      </c>
      <c r="I227" s="34">
        <f>E227*H227/1000</f>
        <v>0.38442037755102</v>
      </c>
      <c r="J227" s="39" t="inlineStr">
        <is>
          <t>DM</t>
        </is>
      </c>
      <c r="K227" s="35" t="inlineStr">
        <is>
          <t>sobre muro</t>
        </is>
      </c>
    </row>
    <row r="228">
      <c r="B228" s="39" t="inlineStr">
        <is>
          <t>DM-128</t>
        </is>
      </c>
      <c r="C228" s="39" t="inlineStr">
        <is>
          <t>F80032 N+6.00</t>
        </is>
      </c>
      <c r="D228" s="39" t="inlineStr">
        <is>
          <t>N+6.00</t>
        </is>
      </c>
      <c r="E228" s="52" t="n">
        <v>2.5029</v>
      </c>
      <c r="F228" s="55">
        <f>TABLEROS!$R$40</f>
        <v>889.275510204082</v>
      </c>
      <c r="G228" s="34">
        <f>E228*F228/1000</f>
        <v>2.2257676744898</v>
      </c>
      <c r="H228" s="55">
        <f>TABLEROS!$Q$40</f>
        <v>668.673469387755</v>
      </c>
      <c r="I228" s="34">
        <f>E228*H228/1000</f>
        <v>1.67362282653061</v>
      </c>
      <c r="J228" s="39" t="inlineStr">
        <is>
          <t>DM</t>
        </is>
      </c>
      <c r="K228" s="35" t="inlineStr">
        <is>
          <t>sobre muro</t>
        </is>
      </c>
    </row>
    <row r="229">
      <c r="B229" s="39" t="inlineStr">
        <is>
          <t>DM-129</t>
        </is>
      </c>
      <c r="C229" s="39" t="inlineStr">
        <is>
          <t>F80032 N+6.00</t>
        </is>
      </c>
      <c r="D229" s="39" t="inlineStr">
        <is>
          <t>N+6.00</t>
        </is>
      </c>
      <c r="E229" s="52" t="n">
        <v>0.9716</v>
      </c>
      <c r="F229" s="55">
        <f>TABLEROS!$R$40</f>
        <v>889.275510204082</v>
      </c>
      <c r="G229" s="34">
        <f>E229*F229/1000</f>
        <v>0.864020085714286</v>
      </c>
      <c r="H229" s="55">
        <f>TABLEROS!$Q$40</f>
        <v>668.673469387755</v>
      </c>
      <c r="I229" s="34">
        <f>E229*H229/1000</f>
        <v>0.649683142857143</v>
      </c>
      <c r="J229" s="39" t="inlineStr">
        <is>
          <t>DM</t>
        </is>
      </c>
      <c r="K229" s="35" t="inlineStr">
        <is>
          <t>sobre muro</t>
        </is>
      </c>
    </row>
    <row r="230">
      <c r="B230" s="39" t="inlineStr">
        <is>
          <t>DM-89</t>
        </is>
      </c>
      <c r="C230" s="39" t="inlineStr">
        <is>
          <t>F80032 N+6.00</t>
        </is>
      </c>
      <c r="D230" s="39" t="inlineStr">
        <is>
          <t>N+6.00</t>
        </is>
      </c>
      <c r="E230" s="52" t="n">
        <v>0.08</v>
      </c>
      <c r="F230" s="55">
        <f>TABLEROS!$R$40</f>
        <v>889.275510204082</v>
      </c>
      <c r="G230" s="34">
        <f>E230*F230/1000</f>
        <v>0.0711420408163265</v>
      </c>
      <c r="H230" s="55">
        <f>TABLEROS!$Q$40</f>
        <v>668.673469387755</v>
      </c>
      <c r="I230" s="34">
        <f>E230*H230/1000</f>
        <v>0.0534938775510204</v>
      </c>
      <c r="J230" s="39" t="inlineStr">
        <is>
          <t>DM</t>
        </is>
      </c>
      <c r="K230" s="35" t="inlineStr">
        <is>
          <t>sobre muro</t>
        </is>
      </c>
    </row>
    <row r="231">
      <c r="B231" s="39" t="inlineStr">
        <is>
          <t>DM-130</t>
        </is>
      </c>
      <c r="C231" s="39" t="inlineStr">
        <is>
          <t>F80032 N+6.00</t>
        </is>
      </c>
      <c r="D231" s="39" t="inlineStr">
        <is>
          <t>N+6.00</t>
        </is>
      </c>
      <c r="E231" s="52" t="n">
        <v>1.1793</v>
      </c>
      <c r="F231" s="55">
        <f>TABLEROS!$R$40</f>
        <v>889.275510204082</v>
      </c>
      <c r="G231" s="34">
        <f>E231*F231/1000</f>
        <v>1.04872260918367</v>
      </c>
      <c r="H231" s="55">
        <f>TABLEROS!$Q$40</f>
        <v>668.673469387755</v>
      </c>
      <c r="I231" s="34">
        <f>E231*H231/1000</f>
        <v>0.78856662244898</v>
      </c>
      <c r="J231" s="39" t="inlineStr">
        <is>
          <t>DM</t>
        </is>
      </c>
      <c r="K231" s="35" t="inlineStr">
        <is>
          <t>sobre muro</t>
        </is>
      </c>
    </row>
    <row r="232">
      <c r="B232" s="39" t="inlineStr">
        <is>
          <t>DM-94</t>
        </is>
      </c>
      <c r="C232" s="39" t="inlineStr">
        <is>
          <t>F80032 N+6.00</t>
        </is>
      </c>
      <c r="D232" s="39" t="inlineStr">
        <is>
          <t>N+6.00</t>
        </is>
      </c>
      <c r="E232" s="52" t="n">
        <v>0.08</v>
      </c>
      <c r="F232" s="55">
        <f>TABLEROS!$R$40</f>
        <v>889.275510204082</v>
      </c>
      <c r="G232" s="34">
        <f>E232*F232/1000</f>
        <v>0.0711420408163265</v>
      </c>
      <c r="H232" s="55">
        <f>TABLEROS!$Q$40</f>
        <v>668.673469387755</v>
      </c>
      <c r="I232" s="34">
        <f>E232*H232/1000</f>
        <v>0.0534938775510204</v>
      </c>
      <c r="J232" s="39" t="inlineStr">
        <is>
          <t>DM</t>
        </is>
      </c>
      <c r="K232" s="35" t="inlineStr">
        <is>
          <t>sobre muro</t>
        </is>
      </c>
    </row>
    <row r="233">
      <c r="B233" s="39" t="inlineStr">
        <is>
          <t>DM-95</t>
        </is>
      </c>
      <c r="C233" s="39" t="inlineStr">
        <is>
          <t>F80032 N+6.00</t>
        </is>
      </c>
      <c r="D233" s="39" t="inlineStr">
        <is>
          <t>N+6.00</t>
        </is>
      </c>
      <c r="E233" s="52" t="n">
        <v>0.8958</v>
      </c>
      <c r="F233" s="55">
        <f>TABLEROS!$R$40</f>
        <v>889.275510204082</v>
      </c>
      <c r="G233" s="34">
        <f>E233*F233/1000</f>
        <v>0.796613002040816</v>
      </c>
      <c r="H233" s="55">
        <f>TABLEROS!$Q$40</f>
        <v>668.673469387755</v>
      </c>
      <c r="I233" s="34">
        <f>E233*H233/1000</f>
        <v>0.598997693877551</v>
      </c>
      <c r="J233" s="39" t="inlineStr">
        <is>
          <t>DM</t>
        </is>
      </c>
      <c r="K233" s="35" t="inlineStr">
        <is>
          <t>sobre muro</t>
        </is>
      </c>
    </row>
    <row r="234">
      <c r="B234" s="39" t="inlineStr">
        <is>
          <t>DM-96</t>
        </is>
      </c>
      <c r="C234" s="39" t="inlineStr">
        <is>
          <t>F80032 N+6.00</t>
        </is>
      </c>
      <c r="D234" s="39" t="inlineStr">
        <is>
          <t>N+6.00</t>
        </is>
      </c>
      <c r="E234" s="52" t="n">
        <v>0.8944</v>
      </c>
      <c r="F234" s="55">
        <f>TABLEROS!$R$40</f>
        <v>889.275510204082</v>
      </c>
      <c r="G234" s="34">
        <f>E234*F234/1000</f>
        <v>0.795368016326531</v>
      </c>
      <c r="H234" s="55">
        <f>TABLEROS!$Q$40</f>
        <v>668.673469387755</v>
      </c>
      <c r="I234" s="34">
        <f>E234*H234/1000</f>
        <v>0.598061551020408</v>
      </c>
      <c r="J234" s="39" t="inlineStr">
        <is>
          <t>DM</t>
        </is>
      </c>
      <c r="K234" s="35" t="inlineStr">
        <is>
          <t>sobre muro</t>
        </is>
      </c>
    </row>
    <row r="235">
      <c r="B235" s="39" t="inlineStr">
        <is>
          <t>DM-97</t>
        </is>
      </c>
      <c r="C235" s="39" t="inlineStr">
        <is>
          <t>F80032 N+6.00</t>
        </is>
      </c>
      <c r="D235" s="39" t="inlineStr">
        <is>
          <t>N+6.00</t>
        </is>
      </c>
      <c r="E235" s="52" t="n">
        <v>0.08</v>
      </c>
      <c r="F235" s="55">
        <f>TABLEROS!$R$40</f>
        <v>889.275510204082</v>
      </c>
      <c r="G235" s="34">
        <f>E235*F235/1000</f>
        <v>0.0711420408163265</v>
      </c>
      <c r="H235" s="55">
        <f>TABLEROS!$Q$40</f>
        <v>668.673469387755</v>
      </c>
      <c r="I235" s="34">
        <f>E235*H235/1000</f>
        <v>0.0534938775510204</v>
      </c>
      <c r="J235" s="39" t="inlineStr">
        <is>
          <t>DM</t>
        </is>
      </c>
      <c r="K235" s="35" t="inlineStr">
        <is>
          <t>sobre muro</t>
        </is>
      </c>
    </row>
    <row r="236">
      <c r="B236" s="39" t="inlineStr">
        <is>
          <t>DM-117</t>
        </is>
      </c>
      <c r="C236" s="39" t="inlineStr">
        <is>
          <t>F80032 N+6.00</t>
        </is>
      </c>
      <c r="D236" s="39" t="inlineStr">
        <is>
          <t>N+6.00</t>
        </is>
      </c>
      <c r="E236" s="52" t="n">
        <v>1.1801</v>
      </c>
      <c r="F236" s="55">
        <f>TABLEROS!$R$40</f>
        <v>889.275510204082</v>
      </c>
      <c r="G236" s="34">
        <f>E236*F236/1000</f>
        <v>1.04943402959184</v>
      </c>
      <c r="H236" s="55">
        <f>TABLEROS!$Q$40</f>
        <v>668.673469387755</v>
      </c>
      <c r="I236" s="34">
        <f>E236*H236/1000</f>
        <v>0.78910156122449</v>
      </c>
      <c r="J236" s="39" t="inlineStr">
        <is>
          <t>DM</t>
        </is>
      </c>
      <c r="K236" s="35" t="inlineStr">
        <is>
          <t>sobre muro</t>
        </is>
      </c>
    </row>
    <row r="237">
      <c r="B237" s="39" t="inlineStr">
        <is>
          <t>DM-88</t>
        </is>
      </c>
      <c r="C237" s="39" t="inlineStr">
        <is>
          <t>F80032 N+6.00</t>
        </is>
      </c>
      <c r="D237" s="39" t="inlineStr">
        <is>
          <t>N+6.00</t>
        </is>
      </c>
      <c r="E237" s="52" t="n">
        <v>0.07920000000000001</v>
      </c>
      <c r="F237" s="55">
        <f>TABLEROS!$R$40</f>
        <v>889.275510204082</v>
      </c>
      <c r="G237" s="34">
        <f>E237*F237/1000</f>
        <v>0.0704306204081633</v>
      </c>
      <c r="H237" s="55">
        <f>TABLEROS!$Q$40</f>
        <v>668.673469387755</v>
      </c>
      <c r="I237" s="34">
        <f>E237*H237/1000</f>
        <v>0.0529589387755102</v>
      </c>
      <c r="J237" s="39" t="inlineStr">
        <is>
          <t>DM</t>
        </is>
      </c>
      <c r="K237" s="35" t="inlineStr">
        <is>
          <t>sobre muro</t>
        </is>
      </c>
    </row>
    <row r="238">
      <c r="B238" s="39" t="inlineStr">
        <is>
          <t>DM-118</t>
        </is>
      </c>
      <c r="C238" s="39" t="inlineStr">
        <is>
          <t>F80032 N+6.00</t>
        </is>
      </c>
      <c r="D238" s="39" t="inlineStr">
        <is>
          <t>N+6.00</t>
        </is>
      </c>
      <c r="E238" s="52" t="n">
        <v>0.3759</v>
      </c>
      <c r="F238" s="55">
        <f>TABLEROS!$R$40</f>
        <v>889.275510204082</v>
      </c>
      <c r="G238" s="34">
        <f>E238*F238/1000</f>
        <v>0.334278664285714</v>
      </c>
      <c r="H238" s="55">
        <f>TABLEROS!$Q$40</f>
        <v>668.673469387755</v>
      </c>
      <c r="I238" s="34">
        <f>E238*H238/1000</f>
        <v>0.251354357142857</v>
      </c>
      <c r="J238" s="39" t="inlineStr">
        <is>
          <t>DM</t>
        </is>
      </c>
      <c r="K238" s="35" t="inlineStr">
        <is>
          <t>sobre muro</t>
        </is>
      </c>
    </row>
    <row r="239">
      <c r="B239" s="39" t="inlineStr">
        <is>
          <t>DM-119</t>
        </is>
      </c>
      <c r="C239" s="39" t="inlineStr">
        <is>
          <t>F80032 N+6.00</t>
        </is>
      </c>
      <c r="D239" s="39" t="inlineStr">
        <is>
          <t>N+6.00</t>
        </is>
      </c>
      <c r="E239" s="52" t="n">
        <v>1.0396</v>
      </c>
      <c r="F239" s="55">
        <f>TABLEROS!$R$40</f>
        <v>889.275510204082</v>
      </c>
      <c r="G239" s="34">
        <f>E239*F239/1000</f>
        <v>0.924490820408163</v>
      </c>
      <c r="H239" s="55">
        <f>TABLEROS!$Q$40</f>
        <v>668.673469387755</v>
      </c>
      <c r="I239" s="34">
        <f>E239*H239/1000</f>
        <v>0.69515293877551</v>
      </c>
      <c r="J239" s="39" t="inlineStr">
        <is>
          <t>DM</t>
        </is>
      </c>
      <c r="K239" s="35" t="inlineStr">
        <is>
          <t>sobre muro</t>
        </is>
      </c>
    </row>
    <row r="240">
      <c r="B240" s="39" t="inlineStr">
        <is>
          <t>DM-84</t>
        </is>
      </c>
      <c r="C240" s="39" t="inlineStr">
        <is>
          <t>F80032 N+6.00</t>
        </is>
      </c>
      <c r="D240" s="39" t="inlineStr">
        <is>
          <t>N+6.00</t>
        </is>
      </c>
      <c r="E240" s="52" t="n">
        <v>0.3362</v>
      </c>
      <c r="F240" s="55">
        <f>TABLEROS!$R$40</f>
        <v>889.275510204082</v>
      </c>
      <c r="G240" s="34">
        <f>E240*F240/1000</f>
        <v>0.298974426530612</v>
      </c>
      <c r="H240" s="55">
        <f>TABLEROS!$Q$40</f>
        <v>668.673469387755</v>
      </c>
      <c r="I240" s="34">
        <f>E240*H240/1000</f>
        <v>0.224808020408163</v>
      </c>
      <c r="J240" s="39" t="inlineStr">
        <is>
          <t>DM</t>
        </is>
      </c>
      <c r="K240" s="35" t="inlineStr">
        <is>
          <t>sobre muro</t>
        </is>
      </c>
    </row>
    <row r="241">
      <c r="B241" s="39" t="inlineStr">
        <is>
          <t>SIN DALA</t>
        </is>
      </c>
      <c r="C241" s="39" t="inlineStr">
        <is>
          <t>F80032 N+6.00</t>
        </is>
      </c>
      <c r="D241" s="39" t="inlineStr">
        <is>
          <t>N+6.00</t>
        </is>
      </c>
      <c r="E241" s="52" t="n">
        <v>0.0688</v>
      </c>
      <c r="F241" s="55">
        <f>TABLEROS!$R$40</f>
        <v>889.275510204082</v>
      </c>
      <c r="G241" s="34">
        <f>E241*F241/1000</f>
        <v>0.0611821551020408</v>
      </c>
      <c r="H241" s="55">
        <f>TABLEROS!$Q$40</f>
        <v>668.673469387755</v>
      </c>
      <c r="I241" s="34">
        <f>E241*H241/1000</f>
        <v>0.0460047346938776</v>
      </c>
      <c r="J241" s="39" t="inlineStr">
        <is>
          <t>SIN DALA</t>
        </is>
      </c>
      <c r="K241" s="35" t="inlineStr">
        <is>
          <t>borde sin dala en el E2K</t>
        </is>
      </c>
    </row>
    <row r="242">
      <c r="B242" s="39" t="inlineStr">
        <is>
          <t>DM-118</t>
        </is>
      </c>
      <c r="C242" s="39" t="inlineStr">
        <is>
          <t>F80010 N+6.00</t>
        </is>
      </c>
      <c r="D242" s="39" t="inlineStr">
        <is>
          <t>N+6.00</t>
        </is>
      </c>
      <c r="E242" s="52" t="n">
        <v>0.3003</v>
      </c>
      <c r="F242" s="55">
        <f>TABLEROS!$R$30</f>
        <v>869.775510204082</v>
      </c>
      <c r="G242" s="34">
        <f>E242*F242/1000</f>
        <v>0.261193585714286</v>
      </c>
      <c r="H242" s="55">
        <f>TABLEROS!$Q$30</f>
        <v>653.673469387755</v>
      </c>
      <c r="I242" s="34">
        <f>E242*H242/1000</f>
        <v>0.196298142857143</v>
      </c>
      <c r="J242" s="39" t="inlineStr">
        <is>
          <t>DM</t>
        </is>
      </c>
      <c r="K242" s="35" t="inlineStr">
        <is>
          <t>sobre muro</t>
        </is>
      </c>
    </row>
    <row r="243">
      <c r="B243" s="39" t="inlineStr">
        <is>
          <t>DM-119</t>
        </is>
      </c>
      <c r="C243" s="39" t="inlineStr">
        <is>
          <t>F80010 N+6.00</t>
        </is>
      </c>
      <c r="D243" s="39" t="inlineStr">
        <is>
          <t>N+6.00</t>
        </is>
      </c>
      <c r="E243" s="52" t="n">
        <v>0.5323</v>
      </c>
      <c r="F243" s="55">
        <f>TABLEROS!$R$30</f>
        <v>869.775510204082</v>
      </c>
      <c r="G243" s="34">
        <f>E243*F243/1000</f>
        <v>0.462981504081633</v>
      </c>
      <c r="H243" s="55">
        <f>TABLEROS!$Q$30</f>
        <v>653.673469387755</v>
      </c>
      <c r="I243" s="34">
        <f>E243*H243/1000</f>
        <v>0.347950387755102</v>
      </c>
      <c r="J243" s="39" t="inlineStr">
        <is>
          <t>DM</t>
        </is>
      </c>
      <c r="K243" s="35" t="inlineStr">
        <is>
          <t>sobre muro</t>
        </is>
      </c>
    </row>
    <row r="244">
      <c r="B244" s="39" t="inlineStr">
        <is>
          <t>DM-86</t>
        </is>
      </c>
      <c r="C244" s="39" t="inlineStr">
        <is>
          <t>F80010 N+6.00</t>
        </is>
      </c>
      <c r="D244" s="39" t="inlineStr">
        <is>
          <t>N+6.00</t>
        </is>
      </c>
      <c r="E244" s="52" t="n">
        <v>0.9651999999999999</v>
      </c>
      <c r="F244" s="55">
        <f>TABLEROS!$R$30</f>
        <v>869.775510204082</v>
      </c>
      <c r="G244" s="34">
        <f>E244*F244/1000</f>
        <v>0.83950732244898</v>
      </c>
      <c r="H244" s="55">
        <f>TABLEROS!$Q$30</f>
        <v>653.673469387755</v>
      </c>
      <c r="I244" s="34">
        <f>E244*H244/1000</f>
        <v>0.630925632653061</v>
      </c>
      <c r="J244" s="39" t="inlineStr">
        <is>
          <t>DM</t>
        </is>
      </c>
      <c r="K244" s="35" t="inlineStr">
        <is>
          <t>sobre muro</t>
        </is>
      </c>
    </row>
    <row r="245">
      <c r="B245" s="39" t="inlineStr">
        <is>
          <t>DM-87</t>
        </is>
      </c>
      <c r="C245" s="39" t="inlineStr">
        <is>
          <t>F80010 N+6.00</t>
        </is>
      </c>
      <c r="D245" s="39" t="inlineStr">
        <is>
          <t>N+6.00</t>
        </is>
      </c>
      <c r="E245" s="52" t="n">
        <v>1.2501</v>
      </c>
      <c r="F245" s="55">
        <f>TABLEROS!$R$30</f>
        <v>869.775510204082</v>
      </c>
      <c r="G245" s="34">
        <f>E245*F245/1000</f>
        <v>1.08730636530612</v>
      </c>
      <c r="H245" s="55">
        <f>TABLEROS!$Q$30</f>
        <v>653.673469387755</v>
      </c>
      <c r="I245" s="34">
        <f>E245*H245/1000</f>
        <v>0.817157204081633</v>
      </c>
      <c r="J245" s="39" t="inlineStr">
        <is>
          <t>DM</t>
        </is>
      </c>
      <c r="K245" s="35" t="inlineStr">
        <is>
          <t>sobre muro</t>
        </is>
      </c>
    </row>
    <row r="246">
      <c r="B246" s="39" t="inlineStr">
        <is>
          <t>DM-88</t>
        </is>
      </c>
      <c r="C246" s="39" t="inlineStr">
        <is>
          <t>F80010 N+6.00</t>
        </is>
      </c>
      <c r="D246" s="39" t="inlineStr">
        <is>
          <t>N+6.00</t>
        </is>
      </c>
      <c r="E246" s="52" t="n">
        <v>0.07920000000000001</v>
      </c>
      <c r="F246" s="55">
        <f>TABLEROS!$R$30</f>
        <v>869.775510204082</v>
      </c>
      <c r="G246" s="34">
        <f>E246*F246/1000</f>
        <v>0.0688862204081633</v>
      </c>
      <c r="H246" s="55">
        <f>TABLEROS!$Q$30</f>
        <v>653.673469387755</v>
      </c>
      <c r="I246" s="34">
        <f>E246*H246/1000</f>
        <v>0.0517709387755102</v>
      </c>
      <c r="J246" s="39" t="inlineStr">
        <is>
          <t>DM</t>
        </is>
      </c>
      <c r="K246" s="35" t="inlineStr">
        <is>
          <t>sobre muro</t>
        </is>
      </c>
    </row>
    <row r="247">
      <c r="B247" s="39" t="inlineStr">
        <is>
          <t>NP-33</t>
        </is>
      </c>
      <c r="C247" s="39" t="inlineStr">
        <is>
          <t>F80010 N+6.00</t>
        </is>
      </c>
      <c r="D247" s="39" t="inlineStr">
        <is>
          <t>N+6.00</t>
        </is>
      </c>
      <c r="E247" s="52" t="n">
        <v>0.8327</v>
      </c>
      <c r="F247" s="55">
        <f>TABLEROS!$R$30</f>
        <v>869.775510204082</v>
      </c>
      <c r="G247" s="34">
        <f>E247*F247/1000</f>
        <v>0.724262067346939</v>
      </c>
      <c r="H247" s="55">
        <f>TABLEROS!$Q$30</f>
        <v>653.673469387755</v>
      </c>
      <c r="I247" s="34">
        <f>E247*H247/1000</f>
        <v>0.544313897959184</v>
      </c>
      <c r="J247" s="39" t="inlineStr">
        <is>
          <t>NP</t>
        </is>
      </c>
      <c r="K247" s="35" t="str">
        <f>PRINCIPALES!$AX$41</f>
        <v>CUMPLE</v>
      </c>
    </row>
    <row r="248">
      <c r="B248" s="39" t="inlineStr">
        <is>
          <t>DM-82</t>
        </is>
      </c>
      <c r="C248" s="39" t="inlineStr">
        <is>
          <t>F80010 N+6.00</t>
        </is>
      </c>
      <c r="D248" s="39" t="inlineStr">
        <is>
          <t>N+6.00</t>
        </is>
      </c>
      <c r="E248" s="52" t="n">
        <v>1.1477</v>
      </c>
      <c r="F248" s="55">
        <f>TABLEROS!$R$30</f>
        <v>869.775510204082</v>
      </c>
      <c r="G248" s="34">
        <f>E248*F248/1000</f>
        <v>0.998241353061224</v>
      </c>
      <c r="H248" s="55">
        <f>TABLEROS!$Q$30</f>
        <v>653.673469387755</v>
      </c>
      <c r="I248" s="34">
        <f>E248*H248/1000</f>
        <v>0.750221040816327</v>
      </c>
      <c r="J248" s="39" t="inlineStr">
        <is>
          <t>DM</t>
        </is>
      </c>
      <c r="K248" s="35" t="inlineStr">
        <is>
          <t>sobre muro</t>
        </is>
      </c>
    </row>
    <row r="249">
      <c r="B249" s="39" t="inlineStr">
        <is>
          <t>DM-83</t>
        </is>
      </c>
      <c r="C249" s="39" t="inlineStr">
        <is>
          <t>F80010 N+6.00</t>
        </is>
      </c>
      <c r="D249" s="39" t="inlineStr">
        <is>
          <t>N+6.00</t>
        </is>
      </c>
      <c r="E249" s="52" t="n">
        <v>1.1468</v>
      </c>
      <c r="F249" s="55">
        <f>TABLEROS!$R$30</f>
        <v>869.775510204082</v>
      </c>
      <c r="G249" s="34">
        <f>E249*F249/1000</f>
        <v>0.997458555102041</v>
      </c>
      <c r="H249" s="55">
        <f>TABLEROS!$Q$30</f>
        <v>653.673469387755</v>
      </c>
      <c r="I249" s="34">
        <f>E249*H249/1000</f>
        <v>0.749632734693878</v>
      </c>
      <c r="J249" s="39" t="inlineStr">
        <is>
          <t>DM</t>
        </is>
      </c>
      <c r="K249" s="35" t="inlineStr">
        <is>
          <t>sobre muro</t>
        </is>
      </c>
    </row>
    <row r="250">
      <c r="B250" s="39" t="inlineStr">
        <is>
          <t>DM-120</t>
        </is>
      </c>
      <c r="C250" s="39" t="inlineStr">
        <is>
          <t>F2 N+6.00</t>
        </is>
      </c>
      <c r="D250" s="39" t="inlineStr">
        <is>
          <t>N+6.00</t>
        </is>
      </c>
      <c r="E250" s="52" t="n">
        <v>0.251</v>
      </c>
      <c r="F250" s="55">
        <f>TABLEROS!$R$29</f>
        <v>830.775510204082</v>
      </c>
      <c r="G250" s="34">
        <f>E250*F250/1000</f>
        <v>0.208524653061224</v>
      </c>
      <c r="H250" s="55">
        <f>TABLEROS!$Q$29</f>
        <v>623.673469387755</v>
      </c>
      <c r="I250" s="34">
        <f>E250*H250/1000</f>
        <v>0.156542040816327</v>
      </c>
      <c r="J250" s="39" t="inlineStr">
        <is>
          <t>DM</t>
        </is>
      </c>
      <c r="K250" s="35" t="inlineStr">
        <is>
          <t>sobre muro</t>
        </is>
      </c>
    </row>
    <row r="251">
      <c r="B251" s="39" t="inlineStr">
        <is>
          <t>DM-67</t>
        </is>
      </c>
      <c r="C251" s="39" t="inlineStr">
        <is>
          <t>F2 N+6.00</t>
        </is>
      </c>
      <c r="D251" s="39" t="inlineStr">
        <is>
          <t>N+6.00</t>
        </is>
      </c>
      <c r="E251" s="52" t="n">
        <v>0.3379</v>
      </c>
      <c r="F251" s="55">
        <f>TABLEROS!$R$29</f>
        <v>830.775510204082</v>
      </c>
      <c r="G251" s="34">
        <f>E251*F251/1000</f>
        <v>0.280719044897959</v>
      </c>
      <c r="H251" s="55">
        <f>TABLEROS!$Q$29</f>
        <v>623.673469387755</v>
      </c>
      <c r="I251" s="34">
        <f>E251*H251/1000</f>
        <v>0.210739265306122</v>
      </c>
      <c r="J251" s="39" t="inlineStr">
        <is>
          <t>DM</t>
        </is>
      </c>
      <c r="K251" s="35" t="inlineStr">
        <is>
          <t>sobre muro</t>
        </is>
      </c>
    </row>
    <row r="252">
      <c r="B252" s="39" t="inlineStr">
        <is>
          <t>DM-68</t>
        </is>
      </c>
      <c r="C252" s="39" t="inlineStr">
        <is>
          <t>F2 N+6.00</t>
        </is>
      </c>
      <c r="D252" s="39" t="inlineStr">
        <is>
          <t>N+6.00</t>
        </is>
      </c>
      <c r="E252" s="52" t="n">
        <v>1.3277</v>
      </c>
      <c r="F252" s="55">
        <f>TABLEROS!$R$29</f>
        <v>830.775510204082</v>
      </c>
      <c r="G252" s="34">
        <f>E252*F252/1000</f>
        <v>1.10302064489796</v>
      </c>
      <c r="H252" s="55">
        <f>TABLEROS!$Q$29</f>
        <v>623.673469387755</v>
      </c>
      <c r="I252" s="34">
        <f>E252*H252/1000</f>
        <v>0.828051265306123</v>
      </c>
      <c r="J252" s="39" t="inlineStr">
        <is>
          <t>DM</t>
        </is>
      </c>
      <c r="K252" s="35" t="inlineStr">
        <is>
          <t>sobre muro</t>
        </is>
      </c>
    </row>
    <row r="253">
      <c r="B253" s="39" t="inlineStr">
        <is>
          <t>DM-69</t>
        </is>
      </c>
      <c r="C253" s="39" t="inlineStr">
        <is>
          <t>F2 N+6.00</t>
        </is>
      </c>
      <c r="D253" s="39" t="inlineStr">
        <is>
          <t>N+6.00</t>
        </is>
      </c>
      <c r="E253" s="52" t="n">
        <v>0.2513</v>
      </c>
      <c r="F253" s="55">
        <f>TABLEROS!$R$29</f>
        <v>830.775510204082</v>
      </c>
      <c r="G253" s="34">
        <f>E253*F253/1000</f>
        <v>0.208773885714286</v>
      </c>
      <c r="H253" s="55">
        <f>TABLEROS!$Q$29</f>
        <v>623.673469387755</v>
      </c>
      <c r="I253" s="34">
        <f>E253*H253/1000</f>
        <v>0.156729142857143</v>
      </c>
      <c r="J253" s="39" t="inlineStr">
        <is>
          <t>DM</t>
        </is>
      </c>
      <c r="K253" s="35" t="inlineStr">
        <is>
          <t>sobre muro</t>
        </is>
      </c>
    </row>
    <row r="254">
      <c r="B254" s="39" t="inlineStr">
        <is>
          <t>DM-107</t>
        </is>
      </c>
      <c r="C254" s="39" t="inlineStr">
        <is>
          <t>F2 N+6.00</t>
        </is>
      </c>
      <c r="D254" s="39" t="inlineStr">
        <is>
          <t>N+6.00</t>
        </is>
      </c>
      <c r="E254" s="52" t="n">
        <v>0.251</v>
      </c>
      <c r="F254" s="55">
        <f>TABLEROS!$R$29</f>
        <v>830.775510204082</v>
      </c>
      <c r="G254" s="34">
        <f>E254*F254/1000</f>
        <v>0.208524653061224</v>
      </c>
      <c r="H254" s="55">
        <f>TABLEROS!$Q$29</f>
        <v>623.673469387755</v>
      </c>
      <c r="I254" s="34">
        <f>E254*H254/1000</f>
        <v>0.156542040816327</v>
      </c>
      <c r="J254" s="39" t="inlineStr">
        <is>
          <t>DM</t>
        </is>
      </c>
      <c r="K254" s="35" t="inlineStr">
        <is>
          <t>sobre muro</t>
        </is>
      </c>
    </row>
    <row r="255">
      <c r="B255" s="39" t="inlineStr">
        <is>
          <t>DM-66</t>
        </is>
      </c>
      <c r="C255" s="39" t="inlineStr">
        <is>
          <t>F2 N+6.00</t>
        </is>
      </c>
      <c r="D255" s="39" t="inlineStr">
        <is>
          <t>N+6.00</t>
        </is>
      </c>
      <c r="E255" s="52" t="n">
        <v>1.9168</v>
      </c>
      <c r="F255" s="55">
        <f>TABLEROS!$R$29</f>
        <v>830.775510204082</v>
      </c>
      <c r="G255" s="34">
        <f>E255*F255/1000</f>
        <v>1.59243049795918</v>
      </c>
      <c r="H255" s="55">
        <f>TABLEROS!$Q$29</f>
        <v>623.673469387755</v>
      </c>
      <c r="I255" s="34">
        <f>E255*H255/1000</f>
        <v>1.19545730612245</v>
      </c>
      <c r="J255" s="39" t="inlineStr">
        <is>
          <t>DM</t>
        </is>
      </c>
      <c r="K255" s="35" t="inlineStr">
        <is>
          <t>sobre muro</t>
        </is>
      </c>
    </row>
  </sheetData>
  <mergeCells count="2">
    <mergeCell ref="B1:K1"/>
    <mergeCell ref="B2:K2"/>
  </mergeCells>
  <conditionalFormatting sqref="K6:K255">
    <cfRule type="expression" priority="1" dxfId="0" stopIfTrue="1">
      <formula>OR(ISNUMBER(FIND("NO CUMPLE",K6)),ISNUMBER(FIND("REVISAR",K6)),ISNUMBER(FIND("NO CABE",K6)),ISNUMBER(FIND("FUERA",K6)),ISNUMBER(FIND("SIN APOYO",K6)),ISNUMBER(FIND("INSUFICIENTE",K6)))</formula>
    </cfRule>
    <cfRule type="expression" priority="2" dxfId="1" stopIfTrue="1">
      <formula>OR(ISNUMBER(FIND("CUMPLE",K6)),ISNUMBER(FIND("SÍ aplica",K6)),ISNUMBER(FIND("MANDA",K6)))</formula>
    </cfRule>
    <cfRule type="expression" priority="3" dxfId="2" stopIfTrue="1">
      <formula>OR(ISNUMBER(FIND("MACIZAR",K6)),ISNUMBER(FIND("VOLADO",K6)),ISNUMBER(FIND("PROPUESTO",K6)),ISNUMBER(FIND("VER ",K6)))</formula>
    </cfRule>
  </conditionalFormatting>
  <pageMargins left="0.75" right="0.75" top="1" bottom="1" header="0.5" footer="0.5"/>
  <pageSetup orientation="landscape" paperSize="1" fitToHeight="0" fitToWidth="1"/>
</worksheet>
</file>

<file path=xl/worksheets/sheet14.xml><?xml version="1.0" encoding="utf-8"?>
<worksheet xmlns="http://schemas.openxmlformats.org/spreadsheetml/2006/main">
  <sheetPr>
    <outlinePr summaryBelow="1" summaryRight="1"/>
    <pageSetUpPr fitToPage="1"/>
  </sheetPr>
  <dimension ref="B1:L15"/>
  <sheetViews>
    <sheetView showGridLines="0" workbookViewId="0">
      <selection activeCell="A1" sqref="A1"/>
    </sheetView>
  </sheetViews>
  <sheetFormatPr baseColWidth="8" defaultRowHeight="15"/>
  <cols>
    <col width="1.78" customWidth="1" min="1" max="1"/>
    <col width="10" customWidth="1" min="2" max="2"/>
    <col width="8" customWidth="1" min="3" max="3"/>
    <col width="10" customWidth="1" min="4" max="4"/>
    <col width="9" customWidth="1" min="5" max="5"/>
    <col width="8" customWidth="1" min="6" max="6"/>
    <col width="9" customWidth="1" min="7" max="7"/>
    <col width="10" customWidth="1" min="8" max="8"/>
    <col width="10" customWidth="1" min="9" max="9"/>
    <col width="8" customWidth="1" min="10" max="10"/>
    <col width="8" customWidth="1" min="11" max="11"/>
    <col width="14" customWidth="1" min="12" max="12"/>
  </cols>
  <sheetData>
    <row r="1" ht="26" customHeight="1">
      <c r="B1" s="65" t="inlineStr">
        <is>
          <t>TRANSFER — NERVADURAS PRINCIPALES QUE SE APOYAN EN OTRAS</t>
        </is>
      </c>
    </row>
    <row r="2" ht="30" customHeight="1">
      <c r="B2" s="81" t="inlineStr">
        <is>
          <t>La reacción del extremo de un tramo entra como carga puntual en el tramo que lo recibe, a la distancia «pos» de su extremo i. Las referencias son directas (sin búsquedas) para que Excel no vea referencias circulares.</t>
        </is>
      </c>
    </row>
    <row r="5" ht="42" customHeight="1">
      <c r="B5" s="8" t="inlineStr">
        <is>
          <t>Tramo que entrega</t>
        </is>
      </c>
      <c r="C5" s="8" t="inlineStr">
        <is>
          <t>Extremo</t>
        </is>
      </c>
      <c r="D5" s="8" t="inlineStr">
        <is>
          <t>Tramo que recibe</t>
        </is>
      </c>
      <c r="E5" s="8" t="inlineStr">
        <is>
          <t>pos desde i (m)</t>
        </is>
      </c>
      <c r="F5" s="8" t="inlineStr">
        <is>
          <t>P (t)</t>
        </is>
      </c>
      <c r="G5" s="8" t="inlineStr">
        <is>
          <t>L del que recibe (m)</t>
        </is>
      </c>
      <c r="H5" s="8" t="inlineStr">
        <is>
          <t>Momento que aporta (t·m)</t>
        </is>
      </c>
      <c r="I5" s="8" t="inlineStr">
        <is>
          <t>Cortante que aporta (t)</t>
        </is>
      </c>
      <c r="J5" s="8" t="inlineStr">
        <is>
          <t>A R_i (t)</t>
        </is>
      </c>
      <c r="K5" s="8" t="inlineStr">
        <is>
          <t>A R_j (t)</t>
        </is>
      </c>
      <c r="L5" s="8" t="inlineStr">
        <is>
          <t>Condición del que recibe</t>
        </is>
      </c>
    </row>
    <row r="6">
      <c r="B6" s="39" t="inlineStr">
        <is>
          <t>NP-04</t>
        </is>
      </c>
      <c r="C6" s="39" t="inlineStr">
        <is>
          <t>j</t>
        </is>
      </c>
      <c r="D6" s="39" t="inlineStr">
        <is>
          <t>NP-22</t>
        </is>
      </c>
      <c r="E6" s="52" t="n">
        <v>1.002</v>
      </c>
      <c r="F6" s="34">
        <f>PRINCIPALES!$AC$12</f>
        <v>0.456763569387755</v>
      </c>
      <c r="G6" s="34">
        <f>PRINCIPALES!$G$30</f>
        <v>1.925</v>
      </c>
      <c r="H6" s="34">
        <f>IF(PRINCIPALES!$L$30="APOYADA",F6*E6*(G6-E6)/G6,IF(PRINCIPALES!$L$30="VOLADO",F6*IF(PRINCIPALES!$M$30="i",E6,G6-E6),0))</f>
        <v>0.219447251996877</v>
      </c>
      <c r="I6" s="34">
        <f>IF(PRINCIPALES!$L$30="APOYADA",F6*MAX(E6,G6-E6)/G6,IF(PRINCIPALES!$L$30="VOLADO",F6,0))</f>
        <v>0.237754335857938</v>
      </c>
      <c r="J6" s="34">
        <f>IF(PRINCIPALES!$L$30="APOYADA",F6*(G6-E6)/G6,0)</f>
        <v>0.219009233529817</v>
      </c>
      <c r="K6" s="34">
        <f>IF(PRINCIPALES!$L$30="APOYADA",F6*E6/G6,0)</f>
        <v>0.237754335857938</v>
      </c>
      <c r="L6" s="39" t="str">
        <f>PRINCIPALES!$L$30</f>
        <v>APOYADA</v>
      </c>
    </row>
    <row r="7">
      <c r="B7" s="39" t="inlineStr">
        <is>
          <t>NP-11</t>
        </is>
      </c>
      <c r="C7" s="39" t="inlineStr">
        <is>
          <t>i</t>
        </is>
      </c>
      <c r="D7" s="39" t="inlineStr">
        <is>
          <t>NP-26</t>
        </is>
      </c>
      <c r="E7" s="52" t="n">
        <v>4.297</v>
      </c>
      <c r="F7" s="34">
        <f>PRINCIPALES!$AB$19</f>
        <v>1.72367248392857</v>
      </c>
      <c r="G7" s="34">
        <f>PRINCIPALES!$G$34</f>
        <v>5.497</v>
      </c>
      <c r="H7" s="34">
        <f>IF(PRINCIPALES!$L$34="APOYADA",F7*E7*(G7-E7)/G7,IF(PRINCIPALES!$L$34="VOLADO",F7*IF(PRINCIPALES!$M$34="i",E7,G7-E7),0))</f>
        <v>1.61687189305608</v>
      </c>
      <c r="I7" s="34">
        <f>IF(PRINCIPALES!$L$34="APOYADA",F7*MAX(E7,G7-E7)/G7,IF(PRINCIPALES!$L$34="VOLADO",F7,0))</f>
        <v>1.3473932442134</v>
      </c>
      <c r="J7" s="34">
        <f>IF(PRINCIPALES!$L$34="APOYADA",F7*(G7-E7)/G7,0)</f>
        <v>0.376279239715169</v>
      </c>
      <c r="K7" s="34">
        <f>IF(PRINCIPALES!$L$34="APOYADA",F7*E7/G7,0)</f>
        <v>1.3473932442134</v>
      </c>
      <c r="L7" s="39" t="str">
        <f>PRINCIPALES!$L$34</f>
        <v>APOYADA</v>
      </c>
    </row>
    <row r="8">
      <c r="B8" s="39" t="inlineStr">
        <is>
          <t>NP-13</t>
        </is>
      </c>
      <c r="C8" s="39" t="inlineStr">
        <is>
          <t>i</t>
        </is>
      </c>
      <c r="D8" s="39" t="inlineStr">
        <is>
          <t>NP-27</t>
        </is>
      </c>
      <c r="E8" s="52" t="n">
        <v>0.399</v>
      </c>
      <c r="F8" s="34">
        <f>PRINCIPALES!$AB$21</f>
        <v>4.74830506515134</v>
      </c>
      <c r="G8" s="34">
        <f>PRINCIPALES!$G$35</f>
        <v>0.399</v>
      </c>
      <c r="H8" s="34">
        <f>IF(PRINCIPALES!$L$35="APOYADA",F8*E8*(G8-E8)/G8,IF(PRINCIPALES!$L$35="VOLADO",F8*IF(PRINCIPALES!$M$35="i",E8,G8-E8),0))</f>
        <v>1.89457372099538</v>
      </c>
      <c r="I8" s="34">
        <f>IF(PRINCIPALES!$L$35="APOYADA",F8*MAX(E8,G8-E8)/G8,IF(PRINCIPALES!$L$35="VOLADO",F8,0))</f>
        <v>4.74830506515134</v>
      </c>
      <c r="J8" s="34">
        <f>IF(PRINCIPALES!$L$35="APOYADA",F8*(G8-E8)/G8,0)</f>
        <v>0</v>
      </c>
      <c r="K8" s="34">
        <f>IF(PRINCIPALES!$L$35="APOYADA",F8*E8/G8,0)</f>
        <v>0</v>
      </c>
      <c r="L8" s="39" t="str">
        <f>PRINCIPALES!$L$35</f>
        <v>VOLADO</v>
      </c>
    </row>
    <row r="9">
      <c r="B9" s="39" t="inlineStr">
        <is>
          <t>NP-18</t>
        </is>
      </c>
      <c r="C9" s="39" t="inlineStr">
        <is>
          <t>i</t>
        </is>
      </c>
      <c r="D9" s="39" t="inlineStr">
        <is>
          <t>NP-12</t>
        </is>
      </c>
      <c r="E9" s="52" t="n">
        <v>3.029</v>
      </c>
      <c r="F9" s="34">
        <f>PRINCIPALES!$AB$26</f>
        <v>1.74122848163265</v>
      </c>
      <c r="G9" s="34">
        <f>PRINCIPALES!$G$20</f>
        <v>3.427</v>
      </c>
      <c r="H9" s="34">
        <f>IF(PRINCIPALES!$L$20="APOYADA",F9*E9*(G9-E9)/G9,IF(PRINCIPALES!$L$20="VOLADO",F9*IF(PRINCIPALES!$M$20="i",E9,G9-E9),0))</f>
        <v>0.612525260053806</v>
      </c>
      <c r="I9" s="34">
        <f>IF(PRINCIPALES!$L$20="APOYADA",F9*MAX(E9,G9-E9)/G9,IF(PRINCIPALES!$L$20="VOLADO",F9,0))</f>
        <v>1.53900819108996</v>
      </c>
      <c r="J9" s="34">
        <f>IF(PRINCIPALES!$L$20="APOYADA",F9*(G9-E9)/G9,0)</f>
        <v>0.202220290542689</v>
      </c>
      <c r="K9" s="34">
        <f>IF(PRINCIPALES!$L$20="APOYADA",F9*E9/G9,0)</f>
        <v>1.53900819108996</v>
      </c>
      <c r="L9" s="39" t="str">
        <f>PRINCIPALES!$L$20</f>
        <v>APOYADA</v>
      </c>
    </row>
    <row r="10">
      <c r="B10" s="39" t="inlineStr">
        <is>
          <t>NP-18</t>
        </is>
      </c>
      <c r="C10" s="39" t="inlineStr">
        <is>
          <t>j</t>
        </is>
      </c>
      <c r="D10" s="39" t="inlineStr">
        <is>
          <t>NP-15</t>
        </is>
      </c>
      <c r="E10" s="52" t="n">
        <v>3.029</v>
      </c>
      <c r="F10" s="34">
        <f>PRINCIPALES!$AC$26</f>
        <v>1.74122848163265</v>
      </c>
      <c r="G10" s="34">
        <f>PRINCIPALES!$G$23</f>
        <v>4.925</v>
      </c>
      <c r="H10" s="34">
        <f>IF(PRINCIPALES!$L$23="APOYADA",F10*E10*(G10-E10)/G10,IF(PRINCIPALES!$L$23="VOLADO",F10*IF(PRINCIPALES!$M$23="i",E10,G10-E10),0))</f>
        <v>2.03042584981942</v>
      </c>
      <c r="I10" s="34">
        <f>IF(PRINCIPALES!$L$23="APOYADA",F10*MAX(E10,G10-E10)/G10,IF(PRINCIPALES!$L$23="VOLADO",F10,0))</f>
        <v>1.07089970982037</v>
      </c>
      <c r="J10" s="34">
        <f>IF(PRINCIPALES!$L$23="APOYADA",F10*(G10-E10)/G10,0)</f>
        <v>0.670328771812286</v>
      </c>
      <c r="K10" s="34">
        <f>IF(PRINCIPALES!$L$23="APOYADA",F10*E10/G10,0)</f>
        <v>1.07089970982037</v>
      </c>
      <c r="L10" s="39" t="str">
        <f>PRINCIPALES!$L$23</f>
        <v>APOYADA</v>
      </c>
    </row>
    <row r="11">
      <c r="B11" s="39" t="inlineStr">
        <is>
          <t>NP-19</t>
        </is>
      </c>
      <c r="C11" s="39" t="inlineStr">
        <is>
          <t>i</t>
        </is>
      </c>
      <c r="D11" s="39" t="inlineStr">
        <is>
          <t>NP-10</t>
        </is>
      </c>
      <c r="E11" s="52" t="n">
        <v>3.427</v>
      </c>
      <c r="F11" s="34">
        <f>PRINCIPALES!$AB$27</f>
        <v>2.1162312252551</v>
      </c>
      <c r="G11" s="34">
        <f>PRINCIPALES!$G$18</f>
        <v>4.327</v>
      </c>
      <c r="H11" s="34">
        <f>IF(PRINCIPALES!$L$18="APOYADA",F11*E11*(G11-E11)/G11,IF(PRINCIPALES!$L$18="VOLADO",F11*IF(PRINCIPALES!$M$18="i",E11,G11-E11),0))</f>
        <v>1.50845666005415</v>
      </c>
      <c r="I11" s="34">
        <f>IF(PRINCIPALES!$L$18="APOYADA",F11*MAX(E11,G11-E11)/G11,IF(PRINCIPALES!$L$18="VOLADO",F11,0))</f>
        <v>1.67606295561572</v>
      </c>
      <c r="J11" s="34">
        <f>IF(PRINCIPALES!$L$18="APOYADA",F11*(G11-E11)/G11,0)</f>
        <v>0.440168269639379</v>
      </c>
      <c r="K11" s="34">
        <f>IF(PRINCIPALES!$L$18="APOYADA",F11*E11/G11,0)</f>
        <v>1.67606295561572</v>
      </c>
      <c r="L11" s="39" t="str">
        <f>PRINCIPALES!$L$18</f>
        <v>APOYADA</v>
      </c>
    </row>
    <row r="12">
      <c r="B12" s="39" t="inlineStr">
        <is>
          <t>NP-24</t>
        </is>
      </c>
      <c r="C12" s="39" t="inlineStr">
        <is>
          <t>i</t>
        </is>
      </c>
      <c r="D12" s="39" t="inlineStr">
        <is>
          <t>NP-15</t>
        </is>
      </c>
      <c r="E12" s="52" t="n">
        <v>4.426</v>
      </c>
      <c r="F12" s="34">
        <f>PRINCIPALES!$AB$32</f>
        <v>4.63620388979592</v>
      </c>
      <c r="G12" s="34">
        <f>PRINCIPALES!$G$23</f>
        <v>4.925</v>
      </c>
      <c r="H12" s="34">
        <f>IF(PRINCIPALES!$L$23="APOYADA",F12*E12*(G12-E12)/G12,IF(PRINCIPALES!$L$23="VOLADO",F12*IF(PRINCIPALES!$M$23="i",E12,G12-E12),0))</f>
        <v>2.07906586186845</v>
      </c>
      <c r="I12" s="34">
        <f>IF(PRINCIPALES!$L$23="APOYADA",F12*MAX(E12,G12-E12)/G12,IF(PRINCIPALES!$L$23="VOLADO",F12,0))</f>
        <v>4.16646465304299</v>
      </c>
      <c r="J12" s="34">
        <f>IF(PRINCIPALES!$L$23="APOYADA",F12*(G12-E12)/G12,0)</f>
        <v>0.469739236752926</v>
      </c>
      <c r="K12" s="34">
        <f>IF(PRINCIPALES!$L$23="APOYADA",F12*E12/G12,0)</f>
        <v>4.16646465304299</v>
      </c>
      <c r="L12" s="39" t="str">
        <f>PRINCIPALES!$L$23</f>
        <v>APOYADA</v>
      </c>
    </row>
    <row r="13">
      <c r="B13" s="39" t="inlineStr">
        <is>
          <t>NP-25</t>
        </is>
      </c>
      <c r="C13" s="39" t="inlineStr">
        <is>
          <t>i</t>
        </is>
      </c>
      <c r="D13" s="39" t="inlineStr">
        <is>
          <t>NP-05</t>
        </is>
      </c>
      <c r="E13" s="52" t="n">
        <v>0</v>
      </c>
      <c r="F13" s="34">
        <f>PRINCIPALES!$AB$33</f>
        <v>0.589185973469388</v>
      </c>
      <c r="G13" s="34">
        <f>PRINCIPALES!$G$13</f>
        <v>0.463</v>
      </c>
      <c r="H13" s="34">
        <f>IF(PRINCIPALES!$L$13="APOYADA",F13*E13*(G13-E13)/G13,IF(PRINCIPALES!$L$13="VOLADO",F13*IF(PRINCIPALES!$M$13="i",E13,G13-E13),0))</f>
        <v>0.272793105716327</v>
      </c>
      <c r="I13" s="34">
        <f>IF(PRINCIPALES!$L$13="APOYADA",F13*MAX(E13,G13-E13)/G13,IF(PRINCIPALES!$L$13="VOLADO",F13,0))</f>
        <v>0.589185973469388</v>
      </c>
      <c r="J13" s="34">
        <f>IF(PRINCIPALES!$L$13="APOYADA",F13*(G13-E13)/G13,0)</f>
        <v>0</v>
      </c>
      <c r="K13" s="34">
        <f>IF(PRINCIPALES!$L$13="APOYADA",F13*E13/G13,0)</f>
        <v>0</v>
      </c>
      <c r="L13" s="39" t="str">
        <f>PRINCIPALES!$L$13</f>
        <v>VOLADO</v>
      </c>
    </row>
    <row r="14">
      <c r="B14" s="39" t="inlineStr">
        <is>
          <t>NP-28</t>
        </is>
      </c>
      <c r="C14" s="39" t="inlineStr">
        <is>
          <t>i</t>
        </is>
      </c>
      <c r="D14" s="39" t="inlineStr">
        <is>
          <t>NP-13</t>
        </is>
      </c>
      <c r="E14" s="52" t="n">
        <v>0.4</v>
      </c>
      <c r="F14" s="34">
        <f>PRINCIPALES!$AB$36</f>
        <v>1.55511666122449</v>
      </c>
      <c r="G14" s="34">
        <f>PRINCIPALES!$G$21</f>
        <v>3.428</v>
      </c>
      <c r="H14" s="34">
        <f>IF(PRINCIPALES!$L$21="APOYADA",F14*E14*(G14-E14)/G14,IF(PRINCIPALES!$L$21="VOLADO",F14*IF(PRINCIPALES!$M$21="i",E14,G14-E14),0))</f>
        <v>0.549462456264616</v>
      </c>
      <c r="I14" s="34">
        <f>IF(PRINCIPALES!$L$21="APOYADA",F14*MAX(E14,G14-E14)/G14,IF(PRINCIPALES!$L$21="VOLADO",F14,0))</f>
        <v>1.37365614066154</v>
      </c>
      <c r="J14" s="34">
        <f>IF(PRINCIPALES!$L$21="APOYADA",F14*(G14-E14)/G14,0)</f>
        <v>1.37365614066154</v>
      </c>
      <c r="K14" s="34">
        <f>IF(PRINCIPALES!$L$21="APOYADA",F14*E14/G14,0)</f>
        <v>0.181460520562951</v>
      </c>
      <c r="L14" s="39" t="str">
        <f>PRINCIPALES!$L$21</f>
        <v>APOYADA</v>
      </c>
    </row>
    <row r="15">
      <c r="B15" s="39" t="inlineStr">
        <is>
          <t>NP-30</t>
        </is>
      </c>
      <c r="C15" s="39" t="inlineStr">
        <is>
          <t>j</t>
        </is>
      </c>
      <c r="D15" s="39" t="inlineStr">
        <is>
          <t>NP-08</t>
        </is>
      </c>
      <c r="E15" s="52" t="n">
        <v>1.928</v>
      </c>
      <c r="F15" s="34">
        <f>PRINCIPALES!$AC$38</f>
        <v>4.04602151836735</v>
      </c>
      <c r="G15" s="34">
        <f>PRINCIPALES!$G$16</f>
        <v>2.722</v>
      </c>
      <c r="H15" s="34">
        <f>IF(PRINCIPALES!$L$16="APOYADA",F15*E15*(G15-E15)/G15,IF(PRINCIPALES!$L$16="VOLADO",F15*IF(PRINCIPALES!$M$16="i",E15,G15-E15),0))</f>
        <v>2.27545158449865</v>
      </c>
      <c r="I15" s="34">
        <f>IF(PRINCIPALES!$L$16="APOYADA",F15*MAX(E15,G15-E15)/G15,IF(PRINCIPALES!$L$16="VOLADO",F15,0))</f>
        <v>2.86580804093029</v>
      </c>
      <c r="J15" s="34">
        <f>IF(PRINCIPALES!$L$16="APOYADA",F15*(G15-E15)/G15,0)</f>
        <v>1.18021347743706</v>
      </c>
      <c r="K15" s="34">
        <f>IF(PRINCIPALES!$L$16="APOYADA",F15*E15/G15,0)</f>
        <v>2.86580804093029</v>
      </c>
      <c r="L15" s="39" t="str">
        <f>PRINCIPALES!$L$16</f>
        <v>APOYADA</v>
      </c>
    </row>
  </sheetData>
  <mergeCells count="2">
    <mergeCell ref="B2:L2"/>
    <mergeCell ref="B1:L1"/>
  </mergeCells>
  <pageMargins left="0.75" right="0.75" top="1" bottom="1" header="0.5" footer="0.5"/>
  <pageSetup orientation="landscape" paperSize="1" fitToHeight="0" fitToWidth="1"/>
</worksheet>
</file>

<file path=xl/worksheets/sheet15.xml><?xml version="1.0" encoding="utf-8"?>
<worksheet xmlns="http://schemas.openxmlformats.org/spreadsheetml/2006/main">
  <sheetPr>
    <outlinePr summaryBelow="1" summaryRight="1"/>
    <pageSetUpPr fitToPage="1"/>
  </sheetPr>
  <dimension ref="A1:FB437"/>
  <sheetViews>
    <sheetView showGridLines="0" workbookViewId="0">
      <selection activeCell="A1" sqref="A1"/>
    </sheetView>
  </sheetViews>
  <sheetFormatPr baseColWidth="8" defaultRowHeight="15"/>
  <cols>
    <col width="46" customWidth="1" min="1" max="1"/>
  </cols>
  <sheetData>
    <row r="1">
      <c r="A1" s="82" t="inlineStr">
        <is>
          <t>COORDENADAS DE LAS GRÁFICAS DE LA HOJA CROQUIS</t>
        </is>
      </c>
    </row>
    <row r="2">
      <c r="A2" s="83" t="inlineStr">
        <is>
          <t>La genera el libro solo. Cada par de columnas es un trazo CONTINUO: cuando el trazo ya terminó, las filas que sobran repiten el último punto. Las plantas (columnas CA en adelante) son datos fijos del modelo y del DXF; se separan con renglones vacíos para levantar la pluma.</t>
        </is>
      </c>
    </row>
    <row r="3">
      <c r="CU3" t="inlineStr">
        <is>
          <t>Polígonos de tableros (búsqueda)</t>
        </is>
      </c>
      <c r="EH3" t="inlineStr">
        <is>
          <t>Nervaduras principales (búsqueda)</t>
        </is>
      </c>
    </row>
    <row r="4">
      <c r="A4" t="inlineStr">
        <is>
          <t>k</t>
        </is>
      </c>
      <c r="B4" t="inlineStr">
        <is>
          <t>Tablero x</t>
        </is>
      </c>
      <c r="C4" t="inlineStr">
        <is>
          <t>Tablero y</t>
        </is>
      </c>
      <c r="D4" t="inlineStr">
        <is>
          <t>Paño de principales x</t>
        </is>
      </c>
      <c r="E4" t="inlineStr">
        <is>
          <t>Paño de principales y</t>
        </is>
      </c>
      <c r="F4" t="inlineStr">
        <is>
          <t>Casetones (aristas ‖ Y) x</t>
        </is>
      </c>
      <c r="G4" t="inlineStr">
        <is>
          <t>Casetones (aristas ‖ Y) y</t>
        </is>
      </c>
      <c r="H4" t="inlineStr">
        <is>
          <t>Casetones (aristas ‖ X) x</t>
        </is>
      </c>
      <c r="I4" t="inlineStr">
        <is>
          <t>Casetones (aristas ‖ X) y</t>
        </is>
      </c>
      <c r="J4" t="inlineStr">
        <is>
          <t>ncorto_inf x</t>
        </is>
      </c>
      <c r="K4" t="inlineStr">
        <is>
          <t>ncorto_inf y</t>
        </is>
      </c>
      <c r="L4" t="inlineStr">
        <is>
          <t>ncorto_bI x</t>
        </is>
      </c>
      <c r="M4" t="inlineStr">
        <is>
          <t>ncorto_bI y</t>
        </is>
      </c>
      <c r="N4" t="inlineStr">
        <is>
          <t>ncorto_bD x</t>
        </is>
      </c>
      <c r="O4" t="inlineStr">
        <is>
          <t>ncorto_bD y</t>
        </is>
      </c>
      <c r="P4" t="inlineStr">
        <is>
          <t>nlargo_inf x</t>
        </is>
      </c>
      <c r="Q4" t="inlineStr">
        <is>
          <t>nlargo_inf y</t>
        </is>
      </c>
      <c r="R4" t="inlineStr">
        <is>
          <t>nlargo_bI x</t>
        </is>
      </c>
      <c r="S4" t="inlineStr">
        <is>
          <t>nlargo_bI y</t>
        </is>
      </c>
      <c r="T4" t="inlineStr">
        <is>
          <t>nlargo_bD x</t>
        </is>
      </c>
      <c r="U4" t="inlineStr">
        <is>
          <t>nlargo_bD y</t>
        </is>
      </c>
      <c r="V4" t="inlineStr">
        <is>
          <t>Cota a_x x</t>
        </is>
      </c>
      <c r="W4" t="inlineStr">
        <is>
          <t>Cota a_x y</t>
        </is>
      </c>
      <c r="X4" t="inlineStr">
        <is>
          <t>Cota a_y x</t>
        </is>
      </c>
      <c r="Y4" t="inlineStr">
        <is>
          <t>Cota a_y y</t>
        </is>
      </c>
      <c r="Z4" t="inlineStr">
        <is>
          <t>Cota s x</t>
        </is>
      </c>
      <c r="AA4" t="inlineStr">
        <is>
          <t>Cota s y</t>
        </is>
      </c>
      <c r="AB4" t="inlineStr">
        <is>
          <t>Concreto x</t>
        </is>
      </c>
      <c r="AC4" t="inlineStr">
        <is>
          <t>Concreto y</t>
        </is>
      </c>
      <c r="AD4" t="inlineStr">
        <is>
          <t>Casetón izq. x</t>
        </is>
      </c>
      <c r="AE4" t="inlineStr">
        <is>
          <t>Casetón izq. y</t>
        </is>
      </c>
      <c r="AF4" t="inlineStr">
        <is>
          <t>Casetón der. x</t>
        </is>
      </c>
      <c r="AG4" t="inlineStr">
        <is>
          <t>Casetón der. y</t>
        </is>
      </c>
      <c r="AH4" t="inlineStr">
        <is>
          <t>Malla x</t>
        </is>
      </c>
      <c r="AI4" t="inlineStr">
        <is>
          <t>Malla y</t>
        </is>
      </c>
      <c r="AJ4" t="inlineStr">
        <is>
          <t>Varillas inferiores x</t>
        </is>
      </c>
      <c r="AK4" t="inlineStr">
        <is>
          <t>Varillas inferiores y</t>
        </is>
      </c>
      <c r="AL4" t="inlineStr">
        <is>
          <t>Bastones x</t>
        </is>
      </c>
      <c r="AM4" t="inlineStr">
        <is>
          <t>Bastones y</t>
        </is>
      </c>
      <c r="AN4" t="inlineStr">
        <is>
          <t>Estribo / grapa x</t>
        </is>
      </c>
      <c r="AO4" t="inlineStr">
        <is>
          <t>Estribo / grapa y</t>
        </is>
      </c>
      <c r="AP4" t="inlineStr">
        <is>
          <t>Cota b_w x</t>
        </is>
      </c>
      <c r="AQ4" t="inlineStr">
        <is>
          <t>Cota b_w y</t>
        </is>
      </c>
      <c r="AR4" t="inlineStr">
        <is>
          <t>Cota s (corte) x</t>
        </is>
      </c>
      <c r="AS4" t="inlineStr">
        <is>
          <t>Cota s (corte) y</t>
        </is>
      </c>
      <c r="AT4" t="inlineStr">
        <is>
          <t>Cota h x</t>
        </is>
      </c>
      <c r="AU4" t="inlineStr">
        <is>
          <t>Cota h y</t>
        </is>
      </c>
      <c r="AV4" t="inlineStr">
        <is>
          <t>Nervadura (alzado) x</t>
        </is>
      </c>
      <c r="AW4" t="inlineStr">
        <is>
          <t>Nervadura (alzado) y</t>
        </is>
      </c>
      <c r="AX4" t="inlineStr">
        <is>
          <t>Apoyo izquierdo x</t>
        </is>
      </c>
      <c r="AY4" t="inlineStr">
        <is>
          <t>Apoyo izquierdo y</t>
        </is>
      </c>
      <c r="AZ4" t="inlineStr">
        <is>
          <t>Apoyo derecho x</t>
        </is>
      </c>
      <c r="BA4" t="inlineStr">
        <is>
          <t>Apoyo derecho y</t>
        </is>
      </c>
      <c r="BB4" t="inlineStr">
        <is>
          <t>Inferior (alzado) x</t>
        </is>
      </c>
      <c r="BC4" t="inlineStr">
        <is>
          <t>Inferior (alzado) y</t>
        </is>
      </c>
      <c r="BD4" t="inlineStr">
        <is>
          <t>Bastón izq. (alzado) x</t>
        </is>
      </c>
      <c r="BE4" t="inlineStr">
        <is>
          <t>Bastón izq. (alzado) y</t>
        </is>
      </c>
      <c r="BF4" t="inlineStr">
        <is>
          <t>Bastón der. (alzado) x</t>
        </is>
      </c>
      <c r="BG4" t="inlineStr">
        <is>
          <t>Bastón der. (alzado) y</t>
        </is>
      </c>
      <c r="BH4" t="inlineStr">
        <is>
          <t>Cota a1 x</t>
        </is>
      </c>
      <c r="BI4" t="inlineStr">
        <is>
          <t>Cota a1 y</t>
        </is>
      </c>
      <c r="BJ4" t="inlineStr">
        <is>
          <t>Sección principal x</t>
        </is>
      </c>
      <c r="BK4" t="inlineStr">
        <is>
          <t>Sección principal y</t>
        </is>
      </c>
      <c r="BL4" t="inlineStr">
        <is>
          <t>Casetón izq. (principal) x</t>
        </is>
      </c>
      <c r="BM4" t="inlineStr">
        <is>
          <t>Casetón izq. (principal) y</t>
        </is>
      </c>
      <c r="BN4" t="inlineStr">
        <is>
          <t>Casetón der. (principal) x</t>
        </is>
      </c>
      <c r="BO4" t="inlineStr">
        <is>
          <t>Casetón der. (principal) y</t>
        </is>
      </c>
      <c r="BP4" t="inlineStr">
        <is>
          <t>Estribo principal x</t>
        </is>
      </c>
      <c r="BQ4" t="inlineStr">
        <is>
          <t>Estribo principal y</t>
        </is>
      </c>
      <c r="BR4" t="inlineStr">
        <is>
          <t>Inferiores principal x</t>
        </is>
      </c>
      <c r="BS4" t="inlineStr">
        <is>
          <t>Inferiores principal y</t>
        </is>
      </c>
      <c r="BT4" t="inlineStr">
        <is>
          <t>Superiores principal x</t>
        </is>
      </c>
      <c r="BU4" t="inlineStr">
        <is>
          <t>Superiores principal y</t>
        </is>
      </c>
      <c r="BV4" t="inlineStr">
        <is>
          <t>Cota b principal x</t>
        </is>
      </c>
      <c r="BW4" t="inlineStr">
        <is>
          <t>Cota b principal y</t>
        </is>
      </c>
      <c r="BX4" t="inlineStr">
        <is>
          <t>Cota h principal x</t>
        </is>
      </c>
      <c r="BY4" t="inlineStr">
        <is>
          <t>Cota h principal y</t>
        </is>
      </c>
      <c r="CA4" t="inlineStr">
        <is>
          <t>tabN+3.00 x</t>
        </is>
      </c>
      <c r="CB4" t="inlineStr">
        <is>
          <t>tabN+3.00 y</t>
        </is>
      </c>
      <c r="CC4" t="inlineStr">
        <is>
          <t>murN+3.00 x</t>
        </is>
      </c>
      <c r="CD4" t="inlineStr">
        <is>
          <t>murN+3.00 y</t>
        </is>
      </c>
      <c r="CE4" t="inlineStr">
        <is>
          <t>npN+3.00 x</t>
        </is>
      </c>
      <c r="CF4" t="inlineStr">
        <is>
          <t>npN+3.00 y</t>
        </is>
      </c>
      <c r="CG4" t="inlineStr">
        <is>
          <t>vacN+3.00 x</t>
        </is>
      </c>
      <c r="CH4" t="inlineStr">
        <is>
          <t>vacN+3.00 y</t>
        </is>
      </c>
      <c r="CI4" t="inlineStr">
        <is>
          <t>casN+3.00 x</t>
        </is>
      </c>
      <c r="CJ4" t="inlineStr">
        <is>
          <t>casN+3.00 y</t>
        </is>
      </c>
      <c r="CK4" t="inlineStr">
        <is>
          <t>tabN+6.00 x</t>
        </is>
      </c>
      <c r="CL4" t="inlineStr">
        <is>
          <t>tabN+6.00 y</t>
        </is>
      </c>
      <c r="CM4" t="inlineStr">
        <is>
          <t>murN+6.00 x</t>
        </is>
      </c>
      <c r="CN4" t="inlineStr">
        <is>
          <t>murN+6.00 y</t>
        </is>
      </c>
      <c r="CO4" t="inlineStr">
        <is>
          <t>npN+6.00 x</t>
        </is>
      </c>
      <c r="CP4" t="inlineStr">
        <is>
          <t>npN+6.00 y</t>
        </is>
      </c>
      <c r="CQ4" t="inlineStr">
        <is>
          <t>vacN+6.00 x</t>
        </is>
      </c>
      <c r="CR4" t="inlineStr">
        <is>
          <t>vacN+6.00 y</t>
        </is>
      </c>
      <c r="CS4" t="inlineStr">
        <is>
          <t>casN+6.00 x</t>
        </is>
      </c>
      <c r="CT4" t="inlineStr">
        <is>
          <t>casN+6.00 y</t>
        </is>
      </c>
      <c r="EO4" t="inlineStr">
        <is>
          <t>sel N+3.00</t>
        </is>
      </c>
      <c r="EQ4" t="inlineStr">
        <is>
          <t>np N+3.00</t>
        </is>
      </c>
      <c r="ES4" t="inlineStr">
        <is>
          <t>sel N+6.00</t>
        </is>
      </c>
      <c r="EU4" t="inlineStr">
        <is>
          <t>np N+6.00</t>
        </is>
      </c>
    </row>
    <row r="8">
      <c r="A8" t="n">
        <v>1</v>
      </c>
      <c r="B8">
        <f>CHOOSE(MIN(MAX($A8,1),5),CROQUIS!$C$15,CROQUIS!$C$15+CROQUIS!$C$10*CROQUIS!$C$14,CROQUIS!$C$15+CROQUIS!$C$10*CROQUIS!$C$14,CROQUIS!$C$15,CROQUIS!$C$15)</f>
        <v>12</v>
      </c>
      <c r="C8">
        <f>CHOOSE(MIN(MAX($A8,1),5),CROQUIS!$C$16,CROQUIS!$C$16,CROQUIS!$C$16+CROQUIS!$C$11*CROQUIS!$C$14,CROQUIS!$C$16+CROQUIS!$C$11*CROQUIS!$C$14,CROQUIS!$C$16)</f>
        <v>15.9462268413918</v>
      </c>
      <c r="D8">
        <f>CHOOSE(MIN(MAX($A8,1),5),CROQUIS!$C$15+DATOS!$C$17/2*CROQUIS!$C$14,CROQUIS!$C$15+CROQUIS!$C$10*CROQUIS!$C$14-DATOS!$C$17/2*CROQUIS!$C$14,CROQUIS!$C$15+CROQUIS!$C$10*CROQUIS!$C$14-DATOS!$C$17/2*CROQUIS!$C$14,CROQUIS!$C$15+DATOS!$C$17/2*CROQUIS!$C$14,CROQUIS!$C$15+DATOS!$C$17/2*CROQUIS!$C$14)</f>
        <v>13.3895164934478</v>
      </c>
      <c r="E8">
        <f>CHOOSE(MIN(MAX($A8,1),5),CROQUIS!$C$16+DATOS!$C$17/2*CROQUIS!$C$14,CROQUIS!$C$16+DATOS!$C$17/2*CROQUIS!$C$14,CROQUIS!$C$16+CROQUIS!$C$11*CROQUIS!$C$14-DATOS!$C$17/2*CROQUIS!$C$14,CROQUIS!$C$16+CROQUIS!$C$11*CROQUIS!$C$14-DATOS!$C$17/2*CROQUIS!$C$14,CROQUIS!$C$16+DATOS!$C$17/2*CROQUIS!$C$14)</f>
        <v>17.3357433348396</v>
      </c>
      <c r="F8">
        <f>IF(NERVADURA!$C$118=0,CROQUIS!$C$15+CROQUIS!$C$10*CROQUIS!$C$14/2,CROQUIS!$C$15+(DATOS!$C$17/2+NERVADURA!$C$119+INT(MIN(INT(($A8-1)/2),MAX(2*NERVADURA!$C$118-1,0))/2)*DATOS!$C$16+MOD(MIN(INT(($A8-1)/2),MAX(2*NERVADURA!$C$118-1,0)),2)*DATOS!$C$11)*CROQUIS!$C$14)</f>
        <v>15.0198825124266</v>
      </c>
      <c r="G8">
        <f>IF(NERVADURA!$C$118=0,CROQUIS!$C$16+CROQUIS!$C$11*CROQUIS!$C$14/2,CROQUIS!$C$16+IF(MOD(MIN(INT(($A8-1)/2),MAX(2*NERVADURA!$C$118-1,0)),2)=0,IF(IF(INT(($A8-1)/2)&gt;MAX(2*NERVADURA!$C$118-1,0),1,MOD($A8-1,2))=0,(DATOS!$C$17/2+NERVADURA!$C$121),(CROQUIS!$C$11-DATOS!$C$17/2-NERVADURA!$C$121)),IF(IF(INT(($A8-1)/2)&gt;MAX(2*NERVADURA!$C$118-1,0),1,MOD($A8-1,2))=0,(CROQUIS!$C$11-DATOS!$C$17/2-NERVADURA!$C$121),(DATOS!$C$17/2+NERVADURA!$C$121)))*CROQUIS!$C$14)</f>
        <v>21.504292815183</v>
      </c>
      <c r="H8">
        <f>IF(NERVADURA!$C$120=0,CROQUIS!$C$15+CROQUIS!$C$10*CROQUIS!$C$14/2,CROQUIS!$C$15+IF(MOD(MIN(INT(($A8-1)/2),MAX(2*NERVADURA!$C$120-1,0)),2)=0,IF(IF(INT(($A8-1)/2)&gt;MAX(2*NERVADURA!$C$120-1,0),1,MOD($A8-1,2))=0,(DATOS!$C$17/2+NERVADURA!$C$119),(CROQUIS!$C$10-DATOS!$C$17/2-NERVADURA!$C$119)),IF(IF(INT(($A8-1)/2)&gt;MAX(2*NERVADURA!$C$120-1,0),1,MOD($A8-1,2))=0,(CROQUIS!$C$10-DATOS!$C$17/2-NERVADURA!$C$119),(DATOS!$C$17/2+NERVADURA!$C$119)))*CROQUIS!$C$14)</f>
        <v>15.0198825124266</v>
      </c>
      <c r="I8">
        <f>IF(NERVADURA!$C$120=0,CROQUIS!$C$16+CROQUIS!$C$11*CROQUIS!$C$14/2,CROQUIS!$C$16+(DATOS!$C$17/2+NERVADURA!$C$121+INT(MIN(INT(($A8-1)/2),MAX(2*NERVADURA!$C$120-1,0))/2)*DATOS!$C$16+MOD(MIN(INT(($A8-1)/2),MAX(2*NERVADURA!$C$120-1,0)),2)*DATOS!$C$11)*CROQUIS!$C$14)</f>
        <v>21.504292815183</v>
      </c>
      <c r="J8">
        <f>IF(CROQUIS!$C$12="X",IF($A8&lt;=1,CROQUIS!$C$15+(0.02)*CROQUIS!$C$10*CROQUIS!$C$14,CROQUIS!$C$15+(0.98)*CROQUIS!$C$10*CROQUIS!$C$14),CROQUIS!$C$15+CROQUIS!$C$10*CROQUIS!$C$14/2+-1.2)</f>
        <v>51.8</v>
      </c>
      <c r="K8">
        <f>IF(CROQUIS!$C$12="X",CROQUIS!$C$16+CROQUIS!$C$11*CROQUIS!$C$14/2+-1.2,IF($A8&lt;=1,CROQUIS!$C$16+(0.02)*CROQUIS!$C$11*CROQUIS!$C$14,CROQUIS!$C$16+(0.98)*CROQUIS!$C$11*CROQUIS!$C$14))</f>
        <v>17.4283777677361</v>
      </c>
      <c r="L8">
        <f>IF(CROQUIS!$C$12="X",IF($A8&lt;=1,CROQUIS!$C$15+(0)*CROQUIS!$C$10*CROQUIS!$C$14,CROQUIS!$C$15+(IF(CROQUIS!$C$9="VOLADO",1,DATOS!$C$51*NERVADURA!$C$15/(NERVADURA!$C$15)))*CROQUIS!$C$10*CROQUIS!$C$14),CROQUIS!$C$15+CROQUIS!$C$10*CROQUIS!$C$14/2+1.2)</f>
        <v>54.2</v>
      </c>
      <c r="M8">
        <f>IF(CROQUIS!$C$12="X",CROQUIS!$C$16+CROQUIS!$C$11*CROQUIS!$C$14/2+1.2,IF($A8&lt;=1,CROQUIS!$C$16+(0)*CROQUIS!$C$11*CROQUIS!$C$14,CROQUIS!$C$16+(IF(CROQUIS!$C$9="VOLADO",1,DATOS!$C$51*NERVADURA!$C$15/(NERVADURA!$C$15)))*CROQUIS!$C$11*CROQUIS!$C$14))</f>
        <v>15.9462268413918</v>
      </c>
      <c r="N8">
        <f>IF(CROQUIS!$C$12="X",IF($A8&lt;=1,CROQUIS!$C$15+(IF(CROQUIS!$C$9="VOLADO",1,1-DATOS!$C$51))*CROQUIS!$C$10*CROQUIS!$C$14,CROQUIS!$C$15+(1)*CROQUIS!$C$10*CROQUIS!$C$14),CROQUIS!$C$15+CROQUIS!$C$10*CROQUIS!$C$14/2+1.2)</f>
        <v>54.2</v>
      </c>
      <c r="O8">
        <f>IF(CROQUIS!$C$12="X",CROQUIS!$C$16+CROQUIS!$C$11*CROQUIS!$C$14/2+1.2,IF($A8&lt;=1,CROQUIS!$C$16+(IF(CROQUIS!$C$9="VOLADO",1,1-DATOS!$C$51))*CROQUIS!$C$11*CROQUIS!$C$14,CROQUIS!$C$16+(1)*CROQUIS!$C$11*CROQUIS!$C$14))</f>
        <v>67.8215092634433</v>
      </c>
      <c r="P8">
        <f>IF(CROQUIS!$C$12="Y",IF($A8&lt;=1,CROQUIS!$C$15+(0.02)*CROQUIS!$C$10*CROQUIS!$C$14,CROQUIS!$C$15+(0.98)*CROQUIS!$C$10*CROQUIS!$C$14),CROQUIS!$C$15+CROQUIS!$C$10*CROQUIS!$C$14/2+-1.2)</f>
        <v>13.64</v>
      </c>
      <c r="Q8">
        <f>IF(CROQUIS!$C$12="Y",CROQUIS!$C$16+CROQUIS!$C$11*CROQUIS!$C$14/2+(-1.2)+0.0,IF($A8&lt;=1,CROQUIS!$C$16+(0.02)*CROQUIS!$C$11*CROQUIS!$C$14,CROQUIS!$C$16+(0.98)*CROQUIS!$C$11*CROQUIS!$C$14))</f>
        <v>51.8</v>
      </c>
      <c r="R8">
        <f>IF(CROQUIS!$C$12="Y",IF($A8&lt;=1,CROQUIS!$C$15+(0)*CROQUIS!$C$10*CROQUIS!$C$14,CROQUIS!$C$15+(IF(CROQUIS!$C$9="VOLADO",1,DATOS!$C$51*NERVADURA!$C$16/(NERVADURA!$C$16)))*CROQUIS!$C$10*CROQUIS!$C$14),CROQUIS!$C$15+CROQUIS!$C$10*CROQUIS!$C$14/2+1.2)</f>
        <v>12</v>
      </c>
      <c r="S8">
        <f>IF(CROQUIS!$C$12="Y",CROQUIS!$C$16+CROQUIS!$C$11*CROQUIS!$C$14/2+(1.2)+0.0,IF($A8&lt;=1,CROQUIS!$C$16+(0)*CROQUIS!$C$11*CROQUIS!$C$14,CROQUIS!$C$16+(IF(CROQUIS!$C$9="VOLADO",1,DATOS!$C$51*NERVADURA!$C$16/(NERVADURA!$C$16)))*CROQUIS!$C$11*CROQUIS!$C$14))</f>
        <v>54.2</v>
      </c>
      <c r="T8">
        <f>IF(CROQUIS!$C$12="Y",IF($A8&lt;=1,CROQUIS!$C$15+(IF(CROQUIS!$C$9="VOLADO",1,1-DATOS!$C$51))*CROQUIS!$C$10*CROQUIS!$C$14,CROQUIS!$C$15+(1)*CROQUIS!$C$10*CROQUIS!$C$14),CROQUIS!$C$15+CROQUIS!$C$10*CROQUIS!$C$14/2+1.2)</f>
        <v>69.4</v>
      </c>
      <c r="U8">
        <f>IF(CROQUIS!$C$12="Y",CROQUIS!$C$16+CROQUIS!$C$11*CROQUIS!$C$14/2+(1.2)+0.0,IF($A8&lt;=1,CROQUIS!$C$16+(IF(CROQUIS!$C$9="VOLADO",1,1-DATOS!$C$51))*CROQUIS!$C$11*CROQUIS!$C$14,CROQUIS!$C$16+(1)*CROQUIS!$C$11*CROQUIS!$C$14))</f>
        <v>54.2</v>
      </c>
      <c r="V8">
        <f>CHOOSE(MIN(MAX($A8,1),7),CROQUIS!$C$15,CROQUIS!$C$15,CROQUIS!$C$15,(CROQUIS!$C$15+CROQUIS!$C$15+CROQUIS!$C$10*CROQUIS!$C$14)/2,CROQUIS!$C$15+CROQUIS!$C$10*CROQUIS!$C$14,CROQUIS!$C$15+CROQUIS!$C$10*CROQUIS!$C$14,CROQUIS!$C$15+CROQUIS!$C$10*CROQUIS!$C$14)</f>
        <v>12</v>
      </c>
      <c r="W8">
        <f>CHOOSE(MIN(MAX($A8,1),7),CROQUIS!$C$16-5-1.5,CROQUIS!$C$16-5+1.5,CROQUIS!$C$16-5,CROQUIS!$C$16-5,CROQUIS!$C$16-5,CROQUIS!$C$16-5+1.5,CROQUIS!$C$16-5-1.5)</f>
        <v>9.44622684139178</v>
      </c>
      <c r="X8">
        <f>CHOOSE(MIN(MAX($A8,1),7),CROQUIS!$C$15-5-1.5,CROQUIS!$C$15-5+1.5,CROQUIS!$C$15-5,CROQUIS!$C$15-5,CROQUIS!$C$15-5,CROQUIS!$C$15-5+1.5,CROQUIS!$C$15-5-1.5)</f>
        <v>5.5</v>
      </c>
      <c r="Y8">
        <f>CHOOSE(MIN(MAX($A8,1),7),CROQUIS!$C$16,CROQUIS!$C$16,CROQUIS!$C$16,(CROQUIS!$C$16+CROQUIS!$C$16+CROQUIS!$C$11*CROQUIS!$C$14)/2,CROQUIS!$C$16+CROQUIS!$C$11*CROQUIS!$C$14,CROQUIS!$C$16+CROQUIS!$C$11*CROQUIS!$C$14,CROQUIS!$C$16+CROQUIS!$C$11*CROQUIS!$C$14)</f>
        <v>15.9462268413918</v>
      </c>
      <c r="Z8">
        <f>CHOOSE(MIN(MAX($A8,1),7),CROQUIS!$C$15+(DATOS!$C$17/2+NERVADURA!$C$119)*CROQUIS!$C$14,CROQUIS!$C$15+(DATOS!$C$17/2+NERVADURA!$C$119)*CROQUIS!$C$14,CROQUIS!$C$15+(DATOS!$C$17/2+NERVADURA!$C$119)*CROQUIS!$C$14,(CROQUIS!$C$15+(DATOS!$C$17/2+NERVADURA!$C$119)*CROQUIS!$C$14+CROQUIS!$C$15+(DATOS!$C$17/2+NERVADURA!$C$119+DATOS!$C$16)*CROQUIS!$C$14)/2,CROQUIS!$C$15+(DATOS!$C$17/2+NERVADURA!$C$119+DATOS!$C$16)*CROQUIS!$C$14,CROQUIS!$C$15+(DATOS!$C$17/2+NERVADURA!$C$119+DATOS!$C$16)*CROQUIS!$C$14,CROQUIS!$C$15+(DATOS!$C$17/2+NERVADURA!$C$119+DATOS!$C$16)*CROQUIS!$C$14)</f>
        <v>15.0198825124266</v>
      </c>
      <c r="AA8">
        <f>CHOOSE(MIN(MAX($A8,1),7),CROQUIS!$C$16+CROQUIS!$C$11*CROQUIS!$C$14+4-1.5,CROQUIS!$C$16+CROQUIS!$C$11*CROQUIS!$C$14+4+1.5,CROQUIS!$C$16+CROQUIS!$C$11*CROQUIS!$C$14+4,CROQUIS!$C$16+CROQUIS!$C$11*CROQUIS!$C$14+4,CROQUIS!$C$16+CROQUIS!$C$11*CROQUIS!$C$14+4,CROQUIS!$C$16+CROQUIS!$C$11*CROQUIS!$C$14+4+1.5,CROQUIS!$C$16+CROQUIS!$C$11*CROQUIS!$C$14+4-1.5)</f>
        <v>92.5537731586082</v>
      </c>
      <c r="AB8">
        <f>CHOOSE(MIN(MAX($A8,1),9),-DATOS!$C$16/2,DATOS!$C$16/2,DATOS!$C$16/2,DATOS!$C$13/2,DATOS!$C$13/2,-DATOS!$C$13/2,-DATOS!$C$13/2,-DATOS!$C$16/2,-DATOS!$C$16/2)</f>
        <v>-35</v>
      </c>
      <c r="AC8">
        <f>CHOOSE(MIN(MAX($A8,1),9),DATOS!$C$15,DATOS!$C$15,DATOS!$C$12,DATOS!$C$12,0,0,DATOS!$C$12,DATOS!$C$12,DATOS!$C$15)</f>
        <v>25</v>
      </c>
      <c r="AD8">
        <f>CHOOSE(MIN(MAX($A8,1),5),-DATOS!$C$16/2,-DATOS!$C$13/2,-DATOS!$C$13/2,-DATOS!$C$16/2,-DATOS!$C$16/2)</f>
        <v>-35</v>
      </c>
      <c r="AE8">
        <f>CHOOSE(MIN(MAX($A8,1),5),0,0,DATOS!$C$12,DATOS!$C$12,0)</f>
        <v>0</v>
      </c>
      <c r="AF8">
        <f>CHOOSE(MIN(MAX($A8,1),5),DATOS!$C$13/2,DATOS!$C$16/2,DATOS!$C$16/2,DATOS!$C$13/2,DATOS!$C$13/2)</f>
        <v>5</v>
      </c>
      <c r="AG8">
        <f>CHOOSE(MIN(MAX($A8,1),5),0,0,DATOS!$C$12,DATOS!$C$12,0)</f>
        <v>0</v>
      </c>
      <c r="AH8">
        <f>IF($A8&lt;=1,-DATOS!$C$16/2+1,DATOS!$C$16/2-1)</f>
        <v>-34</v>
      </c>
      <c r="AI8">
        <f>DATOS!$C$15-DATOS!$C$18</f>
        <v>23</v>
      </c>
      <c r="AJ8">
        <f>IF($A8&lt;=1,0,-1)*0+IF(NERVADURA!$C$52=1,0,IF(MIN($A8,NERVADURA!$C$52)=1,-1,1)*(DATOS!$C$24/2+INDEX(TABLAS!$C$52:$C$58,MATCH(NERVADURA!$C$51,TABLAS!$B$52:$B$58,0))/2))</f>
        <v>0</v>
      </c>
      <c r="AK8">
        <f>IF(NERVADURA!$C$52=0,-100,DATOS!$C$18+INDEX(TABLAS!$C$52:$C$58,MATCH(DATOS!$C$19,TABLAS!$B$52:$B$58,0))+INDEX(TABLAS!$C$52:$C$58,MATCH(NERVADURA!$C$51,TABLAS!$B$52:$B$58,0))/2)</f>
        <v>3.115</v>
      </c>
      <c r="AL8">
        <f>IF($A8&lt;=1,0,-1)*0+IF(NERVADURA!$C$66=1,0,IF(MIN($A8,NERVADURA!$C$66)=1,-1,1)*(DATOS!$C$24/2+INDEX(TABLAS!$C$52:$C$58,MATCH(NERVADURA!$C$65,TABLAS!$B$52:$B$58,0))/2))</f>
        <v>0</v>
      </c>
      <c r="AM8">
        <f>IF(NERVADURA!$C$66=0,-100,DATOS!$C$15-DATOS!$C$18-INDEX(TABLAS!$C$52:$C$58,MATCH(DATOS!$C$19,TABLAS!$B$52:$B$58,0))-INDEX(TABLAS!$C$52:$C$58,MATCH(NERVADURA!$C$65,TABLAS!$B$52:$B$58,0))/2)</f>
        <v>21.885</v>
      </c>
      <c r="AN8">
        <f>CHOOSE(MIN(MAX($A8,1),5),-(DATOS!$C$13/2-DATOS!$C$18),(DATOS!$C$13/2-DATOS!$C$18),(DATOS!$C$13/2-DATOS!$C$18),-(DATOS!$C$13/2-DATOS!$C$18),-(DATOS!$C$13/2-DATOS!$C$18))</f>
        <v>-3</v>
      </c>
      <c r="AO8">
        <f>CHOOSE(MIN(MAX($A8,1),5),DATOS!$C$18,DATOS!$C$18,DATOS!$C$15-DATOS!$C$18,DATOS!$C$15-DATOS!$C$18,DATOS!$C$18)</f>
        <v>2</v>
      </c>
      <c r="AP8">
        <f>CHOOSE(MIN(MAX($A8,1),7),-DATOS!$C$13/2,-DATOS!$C$13/2,-DATOS!$C$13/2,(-DATOS!$C$13/2+DATOS!$C$13/2)/2,DATOS!$C$13/2,DATOS!$C$13/2,DATOS!$C$13/2)</f>
        <v>-5</v>
      </c>
      <c r="AQ8">
        <f>CHOOSE(MIN(MAX($A8,1),7),-4-1.5,-4+1.5,-4,-4,-4,-4+1.5,-4-1.5)</f>
        <v>-5.5</v>
      </c>
      <c r="AR8">
        <f>CHOOSE(MIN(MAX($A8,1),7),-DATOS!$C$16/2,-DATOS!$C$16/2,-DATOS!$C$16/2,(-DATOS!$C$16/2+DATOS!$C$16/2)/2,DATOS!$C$16/2,DATOS!$C$16/2,DATOS!$C$16/2)</f>
        <v>-35</v>
      </c>
      <c r="AS8">
        <f>CHOOSE(MIN(MAX($A8,1),7),DATOS!$C$15+4-1.5,DATOS!$C$15+4+1.5,DATOS!$C$15+4,DATOS!$C$15+4,DATOS!$C$15+4,DATOS!$C$15+4+1.5,DATOS!$C$15+4-1.5)</f>
        <v>27.5</v>
      </c>
      <c r="AT8">
        <f>CHOOSE(MIN(MAX($A8,1),7),DATOS!$C$16/2+4-1.5,DATOS!$C$16/2+4+1.5,DATOS!$C$16/2+4,DATOS!$C$16/2+4,DATOS!$C$16/2+4,DATOS!$C$16/2+4+1.5,DATOS!$C$16/2+4-1.5)</f>
        <v>37.5</v>
      </c>
      <c r="AU8">
        <f>CHOOSE(MIN(MAX($A8,1),7),0,0,0,(0+DATOS!$C$15)/2,DATOS!$C$15,DATOS!$C$15,DATOS!$C$15)</f>
        <v>0</v>
      </c>
      <c r="AV8">
        <f>CHOOSE(MIN(MAX($A8,1),5),0,100,100,0,0)</f>
        <v>0</v>
      </c>
      <c r="AW8">
        <f>CHOOSE(MIN(MAX($A8,1),5),0,0,12,12,0)</f>
        <v>0</v>
      </c>
      <c r="AX8">
        <f>CHOOSE(MIN(MAX($A8,1),5),-3,0,0,-3,-3)</f>
        <v>-3</v>
      </c>
      <c r="AY8">
        <f>CHOOSE(MIN(MAX($A8,1),5),-10,-10,12,12,-10)</f>
        <v>-10</v>
      </c>
      <c r="AZ8">
        <f>CHOOSE(MIN(MAX($A8,1),5),IF(CROQUIS!$C$9="VOLADO",-3,100),IF(CROQUIS!$C$9="VOLADO",0,103),IF(CROQUIS!$C$9="VOLADO",0,103),IF(CROQUIS!$C$9="VOLADO",-3,100),IF(CROQUIS!$C$9="VOLADO",-3,100))</f>
        <v>100</v>
      </c>
      <c r="BA8">
        <f>CHOOSE(MIN(MAX($A8,1),5),-10,-10,12,12,-10)</f>
        <v>-10</v>
      </c>
      <c r="BB8">
        <f>CHOOSE(MIN(MAX($A8,1),4),1.5,1.5,98.5,98.5)</f>
        <v>1.5</v>
      </c>
      <c r="BC8">
        <f>CHOOSE(MIN(MAX($A8,1),4),4,1.5,1.5,4)</f>
        <v>4</v>
      </c>
      <c r="BD8">
        <f>CHOOSE(MIN(MAX($A8,1),3),-1.5,-1.5,IF(CROQUIS!$C$9="VOLADO",98.5,DATOS!$C$51*100))</f>
        <v>-1.5</v>
      </c>
      <c r="BE8">
        <f>CHOOSE(MIN(MAX($A8,1),3),6,10.5,10.5)</f>
        <v>6</v>
      </c>
      <c r="BF8">
        <f>IF(CROQUIS!$C$9="VOLADO",-1.5,CHOOSE(MIN(MAX($A8,1),3),101.5,101.5,100-DATOS!$C$51*100))</f>
        <v>101.5</v>
      </c>
      <c r="BG8">
        <f>IF(CROQUIS!$C$9="VOLADO",10.5,CHOOSE(MIN(MAX($A8,1),3),6,10.5,10.5))</f>
        <v>6</v>
      </c>
      <c r="BH8">
        <f>CHOOSE(MIN(MAX($A8,1),7),0,0,0,(0+100)/2,100,100,100)</f>
        <v>0</v>
      </c>
      <c r="BI8">
        <f>CHOOSE(MIN(MAX($A8,1),7),-14-1.5,-14+1.5,-14,-14,-14,-14+1.5,-14-1.5)</f>
        <v>-15.5</v>
      </c>
      <c r="BJ8">
        <f>CHOOSE(MIN(MAX($A8,1),9),-35,35,35,CROQUIS!$C$30/2,CROQUIS!$C$30/2,-CROQUIS!$C$30/2,-CROQUIS!$C$30/2,-35,-35)</f>
        <v>-35</v>
      </c>
      <c r="BK8">
        <f>CHOOSE(MIN(MAX($A8,1),9),CROQUIS!$C$31,CROQUIS!$C$31,CROQUIS!$C$31-DATOS!$C$14,CROQUIS!$C$31-DATOS!$C$14,0,0,CROQUIS!$C$31-DATOS!$C$14,CROQUIS!$C$31-DATOS!$C$14,CROQUIS!$C$31)</f>
        <v>25</v>
      </c>
      <c r="BL8">
        <f>CHOOSE(MIN(MAX($A8,1),5),-35,-CROQUIS!$C$30/2,-CROQUIS!$C$30/2,-35,-35)</f>
        <v>-35</v>
      </c>
      <c r="BM8">
        <f>CHOOSE(MIN(MAX($A8,1),5),CROQUIS!$C$31-DATOS!$C$14-DATOS!$C$12,CROQUIS!$C$31-DATOS!$C$14-DATOS!$C$12,CROQUIS!$C$31-DATOS!$C$14,CROQUIS!$C$31-DATOS!$C$14,CROQUIS!$C$31-DATOS!$C$14-DATOS!$C$12)</f>
        <v>0</v>
      </c>
      <c r="BN8">
        <f>CHOOSE(MIN(MAX($A8,1),5),CROQUIS!$C$30/2,35,35,CROQUIS!$C$30/2,CROQUIS!$C$30/2)</f>
        <v>7.5</v>
      </c>
      <c r="BO8">
        <f>CHOOSE(MIN(MAX($A8,1),5),CROQUIS!$C$31-DATOS!$C$14-DATOS!$C$12,CROQUIS!$C$31-DATOS!$C$14-DATOS!$C$12,CROQUIS!$C$31-DATOS!$C$14,CROQUIS!$C$31-DATOS!$C$14,CROQUIS!$C$31-DATOS!$C$14-DATOS!$C$12)</f>
        <v>0</v>
      </c>
      <c r="BP8">
        <f>CHOOSE(MIN(MAX($A8,1),5),-(CROQUIS!$C$30/2-DATOS!$C$18-INDEX(TABLAS!$C$52:$C$58,MATCH(DATOS!$C$95,TABLAS!$B$52:$B$58,0))/2),(CROQUIS!$C$30/2-DATOS!$C$18-INDEX(TABLAS!$C$52:$C$58,MATCH(DATOS!$C$95,TABLAS!$B$52:$B$58,0))/2),(CROQUIS!$C$30/2-DATOS!$C$18-INDEX(TABLAS!$C$52:$C$58,MATCH(DATOS!$C$95,TABLAS!$B$52:$B$58,0))/2),-(CROQUIS!$C$30/2-DATOS!$C$18-INDEX(TABLAS!$C$52:$C$58,MATCH(DATOS!$C$95,TABLAS!$B$52:$B$58,0))/2),-(CROQUIS!$C$30/2-DATOS!$C$18-INDEX(TABLAS!$C$52:$C$58,MATCH(DATOS!$C$95,TABLAS!$B$52:$B$58,0))/2))</f>
        <v>-5.105</v>
      </c>
      <c r="BQ8">
        <f>CHOOSE(MIN(MAX($A8,1),5),DATOS!$C$18+INDEX(TABLAS!$C$52:$C$58,MATCH(DATOS!$C$95,TABLAS!$B$52:$B$58,0))/2,DATOS!$C$18+INDEX(TABLAS!$C$52:$C$58,MATCH(DATOS!$C$95,TABLAS!$B$52:$B$58,0))/2,CROQUIS!$C$31-DATOS!$C$18-INDEX(TABLAS!$C$52:$C$58,MATCH(DATOS!$C$95,TABLAS!$B$52:$B$58,0))/2,CROQUIS!$C$31-DATOS!$C$18-INDEX(TABLAS!$C$52:$C$58,MATCH(DATOS!$C$95,TABLAS!$B$52:$B$58,0))/2,DATOS!$C$18+INDEX(TABLAS!$C$52:$C$58,MATCH(DATOS!$C$95,TABLAS!$B$52:$B$58,0))/2)</f>
        <v>2.395</v>
      </c>
      <c r="BR8">
        <f>IF(CROQUIS!$C$32&lt;=1,0,-(CROQUIS!$C$30-2*DATOS!$C$18-2*INDEX(TABLAS!$C$52:$C$58,MATCH(DATOS!$C$95,TABLAS!$B$52:$B$58,0))-INDEX(TABLAS!$C$52:$C$58,MATCH(MAX(CROQUIS!$C$33,3),TABLAS!$B$52:$B$58,0)))/2+(MIN($A8,CROQUIS!$C$32)-1)*(CROQUIS!$C$30-2*DATOS!$C$18-2*INDEX(TABLAS!$C$52:$C$58,MATCH(DATOS!$C$95,TABLAS!$B$52:$B$58,0))-INDEX(TABLAS!$C$52:$C$58,MATCH(MAX(CROQUIS!$C$33,3),TABLAS!$B$52:$B$58,0)))/(CROQUIS!$C$32-1))</f>
        <v>-3.755</v>
      </c>
      <c r="BS8">
        <f>IF(CROQUIS!$C$32=0,-100,DATOS!$C$18+INDEX(TABLAS!$C$52:$C$58,MATCH(DATOS!$C$95,TABLAS!$B$52:$B$58,0))+INDEX(TABLAS!$C$52:$C$58,MATCH(MAX(CROQUIS!$C$33,3),TABLAS!$B$52:$B$58,0))/2)</f>
        <v>3.745</v>
      </c>
      <c r="BT8">
        <f>IF(CROQUIS!$C$34&lt;=1,0,-(CROQUIS!$C$30-2*DATOS!$C$18-2*INDEX(TABLAS!$C$52:$C$58,MATCH(DATOS!$C$95,TABLAS!$B$52:$B$58,0))-INDEX(TABLAS!$C$52:$C$58,MATCH(MAX(CROQUIS!$C$35,3),TABLAS!$B$52:$B$58,0)))/2+(MIN($A8,CROQUIS!$C$34)-1)*(CROQUIS!$C$30-2*DATOS!$C$18-2*INDEX(TABLAS!$C$52:$C$58,MATCH(DATOS!$C$95,TABLAS!$B$52:$B$58,0))-INDEX(TABLAS!$C$52:$C$58,MATCH(MAX(CROQUIS!$C$35,3),TABLAS!$B$52:$B$58,0)))/(CROQUIS!$C$34-1))</f>
        <v>-4.075</v>
      </c>
      <c r="BU8">
        <f>IF(CROQUIS!$C$34=0,-100,CROQUIS!$C$31-DATOS!$C$18-INDEX(TABLAS!$C$52:$C$58,MATCH(DATOS!$C$95,TABLAS!$B$52:$B$58,0))-INDEX(TABLAS!$C$52:$C$58,MATCH(MAX(CROQUIS!$C$35,3),TABLAS!$B$52:$B$58,0))/2)</f>
        <v>21.575</v>
      </c>
      <c r="BV8">
        <f>CHOOSE(MIN(MAX($A8,1),7),-CROQUIS!$C$30/2,-CROQUIS!$C$30/2,-CROQUIS!$C$30/2,(-CROQUIS!$C$30/2+CROQUIS!$C$30/2)/2,CROQUIS!$C$30/2,CROQUIS!$C$30/2,CROQUIS!$C$30/2)</f>
        <v>-7.5</v>
      </c>
      <c r="BW8">
        <f>CHOOSE(MIN(MAX($A8,1),7),-5-1.5,-5+1.5,-5,-5,-5,-5+1.5,-5-1.5)</f>
        <v>-6.5</v>
      </c>
      <c r="BX8">
        <f>CHOOSE(MIN(MAX($A8,1),7),38-1.5,38+1.5,38,38,38,38+1.5,38-1.5)</f>
        <v>36.5</v>
      </c>
      <c r="BY8">
        <f>CHOOSE(MIN(MAX($A8,1),7),0,0,0,(0+CROQUIS!$C$31)/2,CROQUIS!$C$31,CROQUIS!$C$31,CROQUIS!$C$31)</f>
        <v>0</v>
      </c>
      <c r="CA8" t="n">
        <v>4.327</v>
      </c>
      <c r="CB8" t="n">
        <v>1.919</v>
      </c>
      <c r="CC8" t="n">
        <v>0</v>
      </c>
      <c r="CD8" t="n">
        <v>5.346</v>
      </c>
      <c r="CE8" t="n">
        <v>0</v>
      </c>
      <c r="CF8" t="n">
        <v>1.919</v>
      </c>
      <c r="CG8" t="n">
        <v>4.247</v>
      </c>
      <c r="CH8" t="n">
        <v>7.946</v>
      </c>
      <c r="CI8" t="n">
        <v>-1.6</v>
      </c>
      <c r="CJ8" t="n">
        <v>21.446</v>
      </c>
      <c r="CK8" t="n">
        <v>4.327</v>
      </c>
      <c r="CL8" t="n">
        <v>1.919</v>
      </c>
      <c r="CM8" t="n">
        <v>0</v>
      </c>
      <c r="CN8" t="n">
        <v>1.919</v>
      </c>
      <c r="CO8" t="n">
        <v>5.822</v>
      </c>
      <c r="CP8" t="n">
        <v>16.697</v>
      </c>
      <c r="CQ8" t="n">
        <v>4.427</v>
      </c>
      <c r="CR8" t="n">
        <v>7.946</v>
      </c>
      <c r="CS8" t="n">
        <v>0</v>
      </c>
      <c r="CT8" t="n">
        <v>1.919</v>
      </c>
      <c r="CU8" t="inlineStr">
        <is>
          <t>F80001 N+3.00</t>
        </is>
      </c>
      <c r="CV8" t="inlineStr">
        <is>
          <t>N+3.00</t>
        </is>
      </c>
      <c r="CW8" t="n">
        <v>4.327</v>
      </c>
      <c r="CX8" t="n">
        <v>1.919</v>
      </c>
      <c r="CY8" t="n">
        <v>4.327</v>
      </c>
      <c r="CZ8" t="n">
        <v>2.921</v>
      </c>
      <c r="DA8" t="n">
        <v>0</v>
      </c>
      <c r="DB8" t="n">
        <v>2.921</v>
      </c>
      <c r="DC8" t="n">
        <v>0</v>
      </c>
      <c r="DD8" t="n">
        <v>1.919</v>
      </c>
      <c r="DE8" t="n">
        <v>4.327</v>
      </c>
      <c r="DF8" t="n">
        <v>1.919</v>
      </c>
      <c r="DG8" t="n">
        <v>4.327</v>
      </c>
      <c r="DH8" t="n">
        <v>1.919</v>
      </c>
      <c r="DI8" t="n">
        <v>4.327</v>
      </c>
      <c r="DJ8" t="n">
        <v>1.919</v>
      </c>
      <c r="DK8" t="n">
        <v>4.327</v>
      </c>
      <c r="DL8" t="n">
        <v>1.919</v>
      </c>
      <c r="DM8" t="n">
        <v>4.327</v>
      </c>
      <c r="DN8" t="n">
        <v>1.919</v>
      </c>
      <c r="DO8" t="n">
        <v>4.327</v>
      </c>
      <c r="DP8" t="n">
        <v>1.919</v>
      </c>
      <c r="DQ8" t="n">
        <v>4.327</v>
      </c>
      <c r="DR8" t="n">
        <v>1.919</v>
      </c>
      <c r="DS8" t="n">
        <v>4.327</v>
      </c>
      <c r="DT8" t="n">
        <v>1.919</v>
      </c>
      <c r="DU8" t="n">
        <v>4.327</v>
      </c>
      <c r="DV8" t="n">
        <v>1.919</v>
      </c>
      <c r="DW8" t="n">
        <v>4.327</v>
      </c>
      <c r="DX8" t="n">
        <v>1.919</v>
      </c>
      <c r="DY8" t="n">
        <v>4.327</v>
      </c>
      <c r="DZ8" t="n">
        <v>1.919</v>
      </c>
      <c r="EA8" t="n">
        <v>4.327</v>
      </c>
      <c r="EB8" t="n">
        <v>1.919</v>
      </c>
      <c r="EC8" t="n">
        <v>4.327</v>
      </c>
      <c r="ED8" t="n">
        <v>1.919</v>
      </c>
      <c r="EE8" t="n">
        <v>4.327</v>
      </c>
      <c r="EF8" t="n">
        <v>1.919</v>
      </c>
      <c r="EH8" t="inlineStr">
        <is>
          <t>NP-01</t>
        </is>
      </c>
      <c r="EI8" t="inlineStr">
        <is>
          <t>N+3.00</t>
        </is>
      </c>
      <c r="EJ8" t="n">
        <v>0</v>
      </c>
      <c r="EK8" t="n">
        <v>1.919</v>
      </c>
      <c r="EL8" t="n">
        <v>4.327</v>
      </c>
      <c r="EM8" t="n">
        <v>1.919</v>
      </c>
      <c r="EO8">
        <f>IF(INDEX($CV$8:$CV$39,MATCH(CROQUIS!$C$7,$CU$8:$CU$39,0))="N+3.00",INDEX($CW$8:$CW$39,MATCH(CROQUIS!$C$7,$CU$8:$CU$39,0)),-100)</f>
        <v>0</v>
      </c>
      <c r="EP8">
        <f>IF(INDEX($CV$8:$CV$39,MATCH(CROQUIS!$C$7,$CU$8:$CU$39,0))="N+3.00",INDEX($CX$8:$CX$39,MATCH(CROQUIS!$C$7,$CU$8:$CU$39,0)),-100)</f>
        <v>17.446</v>
      </c>
      <c r="EQ8">
        <f>IF(INDEX($EI$8:$EI$41,MATCH(CROQUIS!$C$24,$EH$8:$EH$41,0))="N+3.00",INDEX($EJ$8:$EJ$41,MATCH(CROQUIS!$C$24,$EH$8:$EH$41,0)),-100)</f>
        <v>4.327</v>
      </c>
      <c r="ER8">
        <f>IF(INDEX($EI$8:$EI$41,MATCH(CROQUIS!$C$24,$EH$8:$EH$41,0))="N+3.00",INDEX($EK$8:$EK$41,MATCH(CROQUIS!$C$24,$EH$8:$EH$41,0)),-100)</f>
        <v>7.871</v>
      </c>
      <c r="ES8">
        <f>IF(INDEX($CV$8:$CV$39,MATCH(CROQUIS!$C$7,$CU$8:$CU$39,0))="N+6.00",INDEX($CW$8:$CW$39,MATCH(CROQUIS!$C$7,$CU$8:$CU$39,0)),-100)</f>
        <v>-100</v>
      </c>
      <c r="ET8">
        <f>IF(INDEX($CV$8:$CV$39,MATCH(CROQUIS!$C$7,$CU$8:$CU$39,0))="N+6.00",INDEX($CX$8:$CX$39,MATCH(CROQUIS!$C$7,$CU$8:$CU$39,0)),-100)</f>
        <v>-100</v>
      </c>
      <c r="EU8">
        <f>IF(INDEX($EI$8:$EI$41,MATCH(CROQUIS!$C$24,$EH$8:$EH$41,0))="N+6.00",INDEX($EJ$8:$EJ$41,MATCH(CROQUIS!$C$24,$EH$8:$EH$41,0)),-100)</f>
        <v>-100</v>
      </c>
      <c r="EV8">
        <f>IF(INDEX($EI$8:$EI$41,MATCH(CROQUIS!$C$24,$EH$8:$EH$41,0))="N+6.00",INDEX($EK$8:$EK$41,MATCH(CROQUIS!$C$24,$EH$8:$EH$41,0)),-100)</f>
        <v>-100</v>
      </c>
      <c r="EX8" t="inlineStr">
        <is>
          <t>F80001</t>
        </is>
      </c>
      <c r="EY8" t="n">
        <v>2.163</v>
      </c>
      <c r="EZ8" t="n">
        <v>2.42</v>
      </c>
      <c r="FA8" t="inlineStr">
        <is>
          <t>N+3.00</t>
        </is>
      </c>
    </row>
    <row r="9">
      <c r="A9" t="n">
        <v>2</v>
      </c>
      <c r="B9">
        <f>CHOOSE(MIN(MAX($A9,1),5),CROQUIS!$C$15,CROQUIS!$C$15+CROQUIS!$C$10*CROQUIS!$C$14,CROQUIS!$C$15+CROQUIS!$C$10*CROQUIS!$C$14,CROQUIS!$C$15,CROQUIS!$C$15)</f>
        <v>94</v>
      </c>
      <c r="C9">
        <f>CHOOSE(MIN(MAX($A9,1),5),CROQUIS!$C$16,CROQUIS!$C$16,CROQUIS!$C$16+CROQUIS!$C$11*CROQUIS!$C$14,CROQUIS!$C$16+CROQUIS!$C$11*CROQUIS!$C$14,CROQUIS!$C$16)</f>
        <v>15.9462268413918</v>
      </c>
      <c r="D9">
        <f>CHOOSE(MIN(MAX($A9,1),5),CROQUIS!$C$15+DATOS!$C$17/2*CROQUIS!$C$14,CROQUIS!$C$15+CROQUIS!$C$10*CROQUIS!$C$14-DATOS!$C$17/2*CROQUIS!$C$14,CROQUIS!$C$15+CROQUIS!$C$10*CROQUIS!$C$14-DATOS!$C$17/2*CROQUIS!$C$14,CROQUIS!$C$15+DATOS!$C$17/2*CROQUIS!$C$14,CROQUIS!$C$15+DATOS!$C$17/2*CROQUIS!$C$14)</f>
        <v>92.6104835065522</v>
      </c>
      <c r="E9">
        <f>CHOOSE(MIN(MAX($A9,1),5),CROQUIS!$C$16+DATOS!$C$17/2*CROQUIS!$C$14,CROQUIS!$C$16+DATOS!$C$17/2*CROQUIS!$C$14,CROQUIS!$C$16+CROQUIS!$C$11*CROQUIS!$C$14-DATOS!$C$17/2*CROQUIS!$C$14,CROQUIS!$C$16+CROQUIS!$C$11*CROQUIS!$C$14-DATOS!$C$17/2*CROQUIS!$C$14,CROQUIS!$C$16+DATOS!$C$17/2*CROQUIS!$C$14)</f>
        <v>17.3357433348396</v>
      </c>
      <c r="F9">
        <f>IF(NERVADURA!$C$118=0,CROQUIS!$C$15+CROQUIS!$C$10*CROQUIS!$C$14/2,CROQUIS!$C$15+(DATOS!$C$17/2+NERVADURA!$C$119+INT(MIN(INT(($A9-1)/2),MAX(2*NERVADURA!$C$118-1,0))/2)*DATOS!$C$16+MOD(MIN(INT(($A9-1)/2),MAX(2*NERVADURA!$C$118-1,0)),2)*DATOS!$C$11)*CROQUIS!$C$14)</f>
        <v>15.0198825124266</v>
      </c>
      <c r="G9">
        <f>IF(NERVADURA!$C$118=0,CROQUIS!$C$16+CROQUIS!$C$11*CROQUIS!$C$14/2,CROQUIS!$C$16+IF(MOD(MIN(INT(($A9-1)/2),MAX(2*NERVADURA!$C$118-1,0)),2)=0,IF(IF(INT(($A9-1)/2)&gt;MAX(2*NERVADURA!$C$118-1,0),1,MOD($A9-1,2))=0,(DATOS!$C$17/2+NERVADURA!$C$121),(CROQUIS!$C$11-DATOS!$C$17/2-NERVADURA!$C$121)),IF(IF(INT(($A9-1)/2)&gt;MAX(2*NERVADURA!$C$118-1,0),1,MOD($A9-1,2))=0,(CROQUIS!$C$11-DATOS!$C$17/2-NERVADURA!$C$121),(DATOS!$C$17/2+NERVADURA!$C$121)))*CROQUIS!$C$14)</f>
        <v>84.495707184817</v>
      </c>
      <c r="H9">
        <f>IF(NERVADURA!$C$120=0,CROQUIS!$C$15+CROQUIS!$C$10*CROQUIS!$C$14/2,CROQUIS!$C$15+IF(MOD(MIN(INT(($A9-1)/2),MAX(2*NERVADURA!$C$120-1,0)),2)=0,IF(IF(INT(($A9-1)/2)&gt;MAX(2*NERVADURA!$C$120-1,0),1,MOD($A9-1,2))=0,(DATOS!$C$17/2+NERVADURA!$C$119),(CROQUIS!$C$10-DATOS!$C$17/2-NERVADURA!$C$119)),IF(IF(INT(($A9-1)/2)&gt;MAX(2*NERVADURA!$C$120-1,0),1,MOD($A9-1,2))=0,(CROQUIS!$C$10-DATOS!$C$17/2-NERVADURA!$C$119),(DATOS!$C$17/2+NERVADURA!$C$119)))*CROQUIS!$C$14)</f>
        <v>90.9801174875734</v>
      </c>
      <c r="I9">
        <f>IF(NERVADURA!$C$120=0,CROQUIS!$C$16+CROQUIS!$C$11*CROQUIS!$C$14/2,CROQUIS!$C$16+(DATOS!$C$17/2+NERVADURA!$C$121+INT(MIN(INT(($A9-1)/2),MAX(2*NERVADURA!$C$120-1,0))/2)*DATOS!$C$16+MOD(MIN(INT(($A9-1)/2),MAX(2*NERVADURA!$C$120-1,0)),2)*DATOS!$C$11)*CROQUIS!$C$14)</f>
        <v>21.504292815183</v>
      </c>
      <c r="J9">
        <f>IF(CROQUIS!$C$12="X",IF($A9&lt;=1,CROQUIS!$C$15+(0.02)*CROQUIS!$C$10*CROQUIS!$C$14,CROQUIS!$C$15+(0.98)*CROQUIS!$C$10*CROQUIS!$C$14),CROQUIS!$C$15+CROQUIS!$C$10*CROQUIS!$C$14/2+-1.2)</f>
        <v>51.8</v>
      </c>
      <c r="K9">
        <f>IF(CROQUIS!$C$12="X",CROQUIS!$C$16+CROQUIS!$C$11*CROQUIS!$C$14/2+-1.2,IF($A9&lt;=1,CROQUIS!$C$16+(0.02)*CROQUIS!$C$11*CROQUIS!$C$14,CROQUIS!$C$16+(0.98)*CROQUIS!$C$11*CROQUIS!$C$14))</f>
        <v>88.5716222322639</v>
      </c>
      <c r="L9">
        <f>IF(CROQUIS!$C$12="X",IF($A9&lt;=1,CROQUIS!$C$15+(0)*CROQUIS!$C$10*CROQUIS!$C$14,CROQUIS!$C$15+(IF(CROQUIS!$C$9="VOLADO",1,DATOS!$C$51*NERVADURA!$C$15/(NERVADURA!$C$15)))*CROQUIS!$C$10*CROQUIS!$C$14),CROQUIS!$C$15+CROQUIS!$C$10*CROQUIS!$C$14/2+1.2)</f>
        <v>54.2</v>
      </c>
      <c r="M9">
        <f>IF(CROQUIS!$C$12="X",CROQUIS!$C$16+CROQUIS!$C$11*CROQUIS!$C$14/2+1.2,IF($A9&lt;=1,CROQUIS!$C$16+(0)*CROQUIS!$C$11*CROQUIS!$C$14,CROQUIS!$C$16+(IF(CROQUIS!$C$9="VOLADO",1,DATOS!$C$51*NERVADURA!$C$15/(NERVADURA!$C$15)))*CROQUIS!$C$11*CROQUIS!$C$14))</f>
        <v>38.1784907365567</v>
      </c>
      <c r="N9">
        <f>IF(CROQUIS!$C$12="X",IF($A9&lt;=1,CROQUIS!$C$15+(IF(CROQUIS!$C$9="VOLADO",1,1-DATOS!$C$51))*CROQUIS!$C$10*CROQUIS!$C$14,CROQUIS!$C$15+(1)*CROQUIS!$C$10*CROQUIS!$C$14),CROQUIS!$C$15+CROQUIS!$C$10*CROQUIS!$C$14/2+1.2)</f>
        <v>54.2</v>
      </c>
      <c r="O9">
        <f>IF(CROQUIS!$C$12="X",CROQUIS!$C$16+CROQUIS!$C$11*CROQUIS!$C$14/2+1.2,IF($A9&lt;=1,CROQUIS!$C$16+(IF(CROQUIS!$C$9="VOLADO",1,1-DATOS!$C$51))*CROQUIS!$C$11*CROQUIS!$C$14,CROQUIS!$C$16+(1)*CROQUIS!$C$11*CROQUIS!$C$14))</f>
        <v>90.0537731586082</v>
      </c>
      <c r="P9">
        <f>IF(CROQUIS!$C$12="Y",IF($A9&lt;=1,CROQUIS!$C$15+(0.02)*CROQUIS!$C$10*CROQUIS!$C$14,CROQUIS!$C$15+(0.98)*CROQUIS!$C$10*CROQUIS!$C$14),CROQUIS!$C$15+CROQUIS!$C$10*CROQUIS!$C$14/2+-1.2)</f>
        <v>92.36</v>
      </c>
      <c r="Q9">
        <f>IF(CROQUIS!$C$12="Y",CROQUIS!$C$16+CROQUIS!$C$11*CROQUIS!$C$14/2+(-1.2)+0.0,IF($A9&lt;=1,CROQUIS!$C$16+(0.02)*CROQUIS!$C$11*CROQUIS!$C$14,CROQUIS!$C$16+(0.98)*CROQUIS!$C$11*CROQUIS!$C$14))</f>
        <v>51.8</v>
      </c>
      <c r="R9">
        <f>IF(CROQUIS!$C$12="Y",IF($A9&lt;=1,CROQUIS!$C$15+(0)*CROQUIS!$C$10*CROQUIS!$C$14,CROQUIS!$C$15+(IF(CROQUIS!$C$9="VOLADO",1,DATOS!$C$51*NERVADURA!$C$16/(NERVADURA!$C$16)))*CROQUIS!$C$10*CROQUIS!$C$14),CROQUIS!$C$15+CROQUIS!$C$10*CROQUIS!$C$14/2+1.2)</f>
        <v>36.6</v>
      </c>
      <c r="S9">
        <f>IF(CROQUIS!$C$12="Y",CROQUIS!$C$16+CROQUIS!$C$11*CROQUIS!$C$14/2+(1.2)+0.0,IF($A9&lt;=1,CROQUIS!$C$16+(0)*CROQUIS!$C$11*CROQUIS!$C$14,CROQUIS!$C$16+(IF(CROQUIS!$C$9="VOLADO",1,DATOS!$C$51*NERVADURA!$C$16/(NERVADURA!$C$16)))*CROQUIS!$C$11*CROQUIS!$C$14))</f>
        <v>54.2</v>
      </c>
      <c r="T9">
        <f>IF(CROQUIS!$C$12="Y",IF($A9&lt;=1,CROQUIS!$C$15+(IF(CROQUIS!$C$9="VOLADO",1,1-DATOS!$C$51))*CROQUIS!$C$10*CROQUIS!$C$14,CROQUIS!$C$15+(1)*CROQUIS!$C$10*CROQUIS!$C$14),CROQUIS!$C$15+CROQUIS!$C$10*CROQUIS!$C$14/2+1.2)</f>
        <v>94</v>
      </c>
      <c r="U9">
        <f>IF(CROQUIS!$C$12="Y",CROQUIS!$C$16+CROQUIS!$C$11*CROQUIS!$C$14/2+(1.2)+0.0,IF($A9&lt;=1,CROQUIS!$C$16+(IF(CROQUIS!$C$9="VOLADO",1,1-DATOS!$C$51))*CROQUIS!$C$11*CROQUIS!$C$14,CROQUIS!$C$16+(1)*CROQUIS!$C$11*CROQUIS!$C$14))</f>
        <v>54.2</v>
      </c>
      <c r="V9">
        <f>CHOOSE(MIN(MAX($A9,1),7),CROQUIS!$C$15,CROQUIS!$C$15,CROQUIS!$C$15,(CROQUIS!$C$15+CROQUIS!$C$15+CROQUIS!$C$10*CROQUIS!$C$14)/2,CROQUIS!$C$15+CROQUIS!$C$10*CROQUIS!$C$14,CROQUIS!$C$15+CROQUIS!$C$10*CROQUIS!$C$14,CROQUIS!$C$15+CROQUIS!$C$10*CROQUIS!$C$14)</f>
        <v>12</v>
      </c>
      <c r="W9">
        <f>CHOOSE(MIN(MAX($A9,1),7),CROQUIS!$C$16-5-1.5,CROQUIS!$C$16-5+1.5,CROQUIS!$C$16-5,CROQUIS!$C$16-5,CROQUIS!$C$16-5,CROQUIS!$C$16-5+1.5,CROQUIS!$C$16-5-1.5)</f>
        <v>12.4462268413918</v>
      </c>
      <c r="X9">
        <f>CHOOSE(MIN(MAX($A9,1),7),CROQUIS!$C$15-5-1.5,CROQUIS!$C$15-5+1.5,CROQUIS!$C$15-5,CROQUIS!$C$15-5,CROQUIS!$C$15-5,CROQUIS!$C$15-5+1.5,CROQUIS!$C$15-5-1.5)</f>
        <v>8.5</v>
      </c>
      <c r="Y9">
        <f>CHOOSE(MIN(MAX($A9,1),7),CROQUIS!$C$16,CROQUIS!$C$16,CROQUIS!$C$16,(CROQUIS!$C$16+CROQUIS!$C$16+CROQUIS!$C$11*CROQUIS!$C$14)/2,CROQUIS!$C$16+CROQUIS!$C$11*CROQUIS!$C$14,CROQUIS!$C$16+CROQUIS!$C$11*CROQUIS!$C$14,CROQUIS!$C$16+CROQUIS!$C$11*CROQUIS!$C$14)</f>
        <v>15.9462268413918</v>
      </c>
      <c r="Z9">
        <f>CHOOSE(MIN(MAX($A9,1),7),CROQUIS!$C$15+(DATOS!$C$17/2+NERVADURA!$C$119)*CROQUIS!$C$14,CROQUIS!$C$15+(DATOS!$C$17/2+NERVADURA!$C$119)*CROQUIS!$C$14,CROQUIS!$C$15+(DATOS!$C$17/2+NERVADURA!$C$119)*CROQUIS!$C$14,(CROQUIS!$C$15+(DATOS!$C$17/2+NERVADURA!$C$119)*CROQUIS!$C$14+CROQUIS!$C$15+(DATOS!$C$17/2+NERVADURA!$C$119+DATOS!$C$16)*CROQUIS!$C$14)/2,CROQUIS!$C$15+(DATOS!$C$17/2+NERVADURA!$C$119+DATOS!$C$16)*CROQUIS!$C$14,CROQUIS!$C$15+(DATOS!$C$17/2+NERVADURA!$C$119+DATOS!$C$16)*CROQUIS!$C$14,CROQUIS!$C$15+(DATOS!$C$17/2+NERVADURA!$C$119+DATOS!$C$16)*CROQUIS!$C$14)</f>
        <v>15.0198825124266</v>
      </c>
      <c r="AA9">
        <f>CHOOSE(MIN(MAX($A9,1),7),CROQUIS!$C$16+CROQUIS!$C$11*CROQUIS!$C$14+4-1.5,CROQUIS!$C$16+CROQUIS!$C$11*CROQUIS!$C$14+4+1.5,CROQUIS!$C$16+CROQUIS!$C$11*CROQUIS!$C$14+4,CROQUIS!$C$16+CROQUIS!$C$11*CROQUIS!$C$14+4,CROQUIS!$C$16+CROQUIS!$C$11*CROQUIS!$C$14+4,CROQUIS!$C$16+CROQUIS!$C$11*CROQUIS!$C$14+4+1.5,CROQUIS!$C$16+CROQUIS!$C$11*CROQUIS!$C$14+4-1.5)</f>
        <v>95.5537731586082</v>
      </c>
      <c r="AB9">
        <f>CHOOSE(MIN(MAX($A9,1),9),-DATOS!$C$16/2,DATOS!$C$16/2,DATOS!$C$16/2,DATOS!$C$13/2,DATOS!$C$13/2,-DATOS!$C$13/2,-DATOS!$C$13/2,-DATOS!$C$16/2,-DATOS!$C$16/2)</f>
        <v>35</v>
      </c>
      <c r="AC9">
        <f>CHOOSE(MIN(MAX($A9,1),9),DATOS!$C$15,DATOS!$C$15,DATOS!$C$12,DATOS!$C$12,0,0,DATOS!$C$12,DATOS!$C$12,DATOS!$C$15)</f>
        <v>25</v>
      </c>
      <c r="AD9">
        <f>CHOOSE(MIN(MAX($A9,1),5),-DATOS!$C$16/2,-DATOS!$C$13/2,-DATOS!$C$13/2,-DATOS!$C$16/2,-DATOS!$C$16/2)</f>
        <v>-5</v>
      </c>
      <c r="AE9">
        <f>CHOOSE(MIN(MAX($A9,1),5),0,0,DATOS!$C$12,DATOS!$C$12,0)</f>
        <v>0</v>
      </c>
      <c r="AF9">
        <f>CHOOSE(MIN(MAX($A9,1),5),DATOS!$C$13/2,DATOS!$C$16/2,DATOS!$C$16/2,DATOS!$C$13/2,DATOS!$C$13/2)</f>
        <v>35</v>
      </c>
      <c r="AG9">
        <f>CHOOSE(MIN(MAX($A9,1),5),0,0,DATOS!$C$12,DATOS!$C$12,0)</f>
        <v>0</v>
      </c>
      <c r="AH9">
        <f>IF($A9&lt;=1,-DATOS!$C$16/2+1,DATOS!$C$16/2-1)</f>
        <v>34</v>
      </c>
      <c r="AI9">
        <f>DATOS!$C$15-DATOS!$C$18</f>
        <v>23</v>
      </c>
      <c r="AJ9">
        <f>IF($A9&lt;=1,0,-1)*0+IF(NERVADURA!$C$52=1,0,IF(MIN($A9,NERVADURA!$C$52)=1,-1,1)*(DATOS!$C$24/2+INDEX(TABLAS!$C$52:$C$58,MATCH(NERVADURA!$C$51,TABLAS!$B$52:$B$58,0))/2))</f>
        <v>0</v>
      </c>
      <c r="AK9">
        <f>IF(NERVADURA!$C$52=0,-100,DATOS!$C$18+INDEX(TABLAS!$C$52:$C$58,MATCH(DATOS!$C$19,TABLAS!$B$52:$B$58,0))+INDEX(TABLAS!$C$52:$C$58,MATCH(NERVADURA!$C$51,TABLAS!$B$52:$B$58,0))/2)</f>
        <v>3.115</v>
      </c>
      <c r="AL9">
        <f>IF($A9&lt;=1,0,-1)*0+IF(NERVADURA!$C$66=1,0,IF(MIN($A9,NERVADURA!$C$66)=1,-1,1)*(DATOS!$C$24/2+INDEX(TABLAS!$C$52:$C$58,MATCH(NERVADURA!$C$65,TABLAS!$B$52:$B$58,0))/2))</f>
        <v>0</v>
      </c>
      <c r="AM9">
        <f>IF(NERVADURA!$C$66=0,-100,DATOS!$C$15-DATOS!$C$18-INDEX(TABLAS!$C$52:$C$58,MATCH(DATOS!$C$19,TABLAS!$B$52:$B$58,0))-INDEX(TABLAS!$C$52:$C$58,MATCH(NERVADURA!$C$65,TABLAS!$B$52:$B$58,0))/2)</f>
        <v>21.885</v>
      </c>
      <c r="AN9">
        <f>CHOOSE(MIN(MAX($A9,1),5),-(DATOS!$C$13/2-DATOS!$C$18),(DATOS!$C$13/2-DATOS!$C$18),(DATOS!$C$13/2-DATOS!$C$18),-(DATOS!$C$13/2-DATOS!$C$18),-(DATOS!$C$13/2-DATOS!$C$18))</f>
        <v>3</v>
      </c>
      <c r="AO9">
        <f>CHOOSE(MIN(MAX($A9,1),5),DATOS!$C$18,DATOS!$C$18,DATOS!$C$15-DATOS!$C$18,DATOS!$C$15-DATOS!$C$18,DATOS!$C$18)</f>
        <v>2</v>
      </c>
      <c r="AP9">
        <f>CHOOSE(MIN(MAX($A9,1),7),-DATOS!$C$13/2,-DATOS!$C$13/2,-DATOS!$C$13/2,(-DATOS!$C$13/2+DATOS!$C$13/2)/2,DATOS!$C$13/2,DATOS!$C$13/2,DATOS!$C$13/2)</f>
        <v>-5</v>
      </c>
      <c r="AQ9">
        <f>CHOOSE(MIN(MAX($A9,1),7),-4-1.5,-4+1.5,-4,-4,-4,-4+1.5,-4-1.5)</f>
        <v>-2.5</v>
      </c>
      <c r="AR9">
        <f>CHOOSE(MIN(MAX($A9,1),7),-DATOS!$C$16/2,-DATOS!$C$16/2,-DATOS!$C$16/2,(-DATOS!$C$16/2+DATOS!$C$16/2)/2,DATOS!$C$16/2,DATOS!$C$16/2,DATOS!$C$16/2)</f>
        <v>-35</v>
      </c>
      <c r="AS9">
        <f>CHOOSE(MIN(MAX($A9,1),7),DATOS!$C$15+4-1.5,DATOS!$C$15+4+1.5,DATOS!$C$15+4,DATOS!$C$15+4,DATOS!$C$15+4,DATOS!$C$15+4+1.5,DATOS!$C$15+4-1.5)</f>
        <v>30.5</v>
      </c>
      <c r="AT9">
        <f>CHOOSE(MIN(MAX($A9,1),7),DATOS!$C$16/2+4-1.5,DATOS!$C$16/2+4+1.5,DATOS!$C$16/2+4,DATOS!$C$16/2+4,DATOS!$C$16/2+4,DATOS!$C$16/2+4+1.5,DATOS!$C$16/2+4-1.5)</f>
        <v>40.5</v>
      </c>
      <c r="AU9">
        <f>CHOOSE(MIN(MAX($A9,1),7),0,0,0,(0+DATOS!$C$15)/2,DATOS!$C$15,DATOS!$C$15,DATOS!$C$15)</f>
        <v>0</v>
      </c>
      <c r="AV9">
        <f>CHOOSE(MIN(MAX($A9,1),5),0,100,100,0,0)</f>
        <v>100</v>
      </c>
      <c r="AW9">
        <f>CHOOSE(MIN(MAX($A9,1),5),0,0,12,12,0)</f>
        <v>0</v>
      </c>
      <c r="AX9">
        <f>CHOOSE(MIN(MAX($A9,1),5),-3,0,0,-3,-3)</f>
        <v>0</v>
      </c>
      <c r="AY9">
        <f>CHOOSE(MIN(MAX($A9,1),5),-10,-10,12,12,-10)</f>
        <v>-10</v>
      </c>
      <c r="AZ9">
        <f>CHOOSE(MIN(MAX($A9,1),5),IF(CROQUIS!$C$9="VOLADO",-3,100),IF(CROQUIS!$C$9="VOLADO",0,103),IF(CROQUIS!$C$9="VOLADO",0,103),IF(CROQUIS!$C$9="VOLADO",-3,100),IF(CROQUIS!$C$9="VOLADO",-3,100))</f>
        <v>103</v>
      </c>
      <c r="BA9">
        <f>CHOOSE(MIN(MAX($A9,1),5),-10,-10,12,12,-10)</f>
        <v>-10</v>
      </c>
      <c r="BB9">
        <f>CHOOSE(MIN(MAX($A9,1),4),1.5,1.5,98.5,98.5)</f>
        <v>1.5</v>
      </c>
      <c r="BC9">
        <f>CHOOSE(MIN(MAX($A9,1),4),4,1.5,1.5,4)</f>
        <v>1.5</v>
      </c>
      <c r="BD9">
        <f>CHOOSE(MIN(MAX($A9,1),3),-1.5,-1.5,IF(CROQUIS!$C$9="VOLADO",98.5,DATOS!$C$51*100))</f>
        <v>-1.5</v>
      </c>
      <c r="BE9">
        <f>CHOOSE(MIN(MAX($A9,1),3),6,10.5,10.5)</f>
        <v>10.5</v>
      </c>
      <c r="BF9">
        <f>IF(CROQUIS!$C$9="VOLADO",-1.5,CHOOSE(MIN(MAX($A9,1),3),101.5,101.5,100-DATOS!$C$51*100))</f>
        <v>101.5</v>
      </c>
      <c r="BG9">
        <f>IF(CROQUIS!$C$9="VOLADO",10.5,CHOOSE(MIN(MAX($A9,1),3),6,10.5,10.5))</f>
        <v>10.5</v>
      </c>
      <c r="BH9">
        <f>CHOOSE(MIN(MAX($A9,1),7),0,0,0,(0+100)/2,100,100,100)</f>
        <v>0</v>
      </c>
      <c r="BI9">
        <f>CHOOSE(MIN(MAX($A9,1),7),-14-1.5,-14+1.5,-14,-14,-14,-14+1.5,-14-1.5)</f>
        <v>-12.5</v>
      </c>
      <c r="BJ9">
        <f>CHOOSE(MIN(MAX($A9,1),9),-35,35,35,CROQUIS!$C$30/2,CROQUIS!$C$30/2,-CROQUIS!$C$30/2,-CROQUIS!$C$30/2,-35,-35)</f>
        <v>35</v>
      </c>
      <c r="BK9">
        <f>CHOOSE(MIN(MAX($A9,1),9),CROQUIS!$C$31,CROQUIS!$C$31,CROQUIS!$C$31-DATOS!$C$14,CROQUIS!$C$31-DATOS!$C$14,0,0,CROQUIS!$C$31-DATOS!$C$14,CROQUIS!$C$31-DATOS!$C$14,CROQUIS!$C$31)</f>
        <v>25</v>
      </c>
      <c r="BL9">
        <f>CHOOSE(MIN(MAX($A9,1),5),-35,-CROQUIS!$C$30/2,-CROQUIS!$C$30/2,-35,-35)</f>
        <v>-7.5</v>
      </c>
      <c r="BM9">
        <f>CHOOSE(MIN(MAX($A9,1),5),CROQUIS!$C$31-DATOS!$C$14-DATOS!$C$12,CROQUIS!$C$31-DATOS!$C$14-DATOS!$C$12,CROQUIS!$C$31-DATOS!$C$14,CROQUIS!$C$31-DATOS!$C$14,CROQUIS!$C$31-DATOS!$C$14-DATOS!$C$12)</f>
        <v>0</v>
      </c>
      <c r="BN9">
        <f>CHOOSE(MIN(MAX($A9,1),5),CROQUIS!$C$30/2,35,35,CROQUIS!$C$30/2,CROQUIS!$C$30/2)</f>
        <v>35</v>
      </c>
      <c r="BO9">
        <f>CHOOSE(MIN(MAX($A9,1),5),CROQUIS!$C$31-DATOS!$C$14-DATOS!$C$12,CROQUIS!$C$31-DATOS!$C$14-DATOS!$C$12,CROQUIS!$C$31-DATOS!$C$14,CROQUIS!$C$31-DATOS!$C$14,CROQUIS!$C$31-DATOS!$C$14-DATOS!$C$12)</f>
        <v>0</v>
      </c>
      <c r="BP9">
        <f>CHOOSE(MIN(MAX($A9,1),5),-(CROQUIS!$C$30/2-DATOS!$C$18-INDEX(TABLAS!$C$52:$C$58,MATCH(DATOS!$C$95,TABLAS!$B$52:$B$58,0))/2),(CROQUIS!$C$30/2-DATOS!$C$18-INDEX(TABLAS!$C$52:$C$58,MATCH(DATOS!$C$95,TABLAS!$B$52:$B$58,0))/2),(CROQUIS!$C$30/2-DATOS!$C$18-INDEX(TABLAS!$C$52:$C$58,MATCH(DATOS!$C$95,TABLAS!$B$52:$B$58,0))/2),-(CROQUIS!$C$30/2-DATOS!$C$18-INDEX(TABLAS!$C$52:$C$58,MATCH(DATOS!$C$95,TABLAS!$B$52:$B$58,0))/2),-(CROQUIS!$C$30/2-DATOS!$C$18-INDEX(TABLAS!$C$52:$C$58,MATCH(DATOS!$C$95,TABLAS!$B$52:$B$58,0))/2))</f>
        <v>5.105</v>
      </c>
      <c r="BQ9">
        <f>CHOOSE(MIN(MAX($A9,1),5),DATOS!$C$18+INDEX(TABLAS!$C$52:$C$58,MATCH(DATOS!$C$95,TABLAS!$B$52:$B$58,0))/2,DATOS!$C$18+INDEX(TABLAS!$C$52:$C$58,MATCH(DATOS!$C$95,TABLAS!$B$52:$B$58,0))/2,CROQUIS!$C$31-DATOS!$C$18-INDEX(TABLAS!$C$52:$C$58,MATCH(DATOS!$C$95,TABLAS!$B$52:$B$58,0))/2,CROQUIS!$C$31-DATOS!$C$18-INDEX(TABLAS!$C$52:$C$58,MATCH(DATOS!$C$95,TABLAS!$B$52:$B$58,0))/2,DATOS!$C$18+INDEX(TABLAS!$C$52:$C$58,MATCH(DATOS!$C$95,TABLAS!$B$52:$B$58,0))/2)</f>
        <v>2.395</v>
      </c>
      <c r="BR9">
        <f>IF(CROQUIS!$C$32&lt;=1,0,-(CROQUIS!$C$30-2*DATOS!$C$18-2*INDEX(TABLAS!$C$52:$C$58,MATCH(DATOS!$C$95,TABLAS!$B$52:$B$58,0))-INDEX(TABLAS!$C$52:$C$58,MATCH(MAX(CROQUIS!$C$33,3),TABLAS!$B$52:$B$58,0)))/2+(MIN($A9,CROQUIS!$C$32)-1)*(CROQUIS!$C$30-2*DATOS!$C$18-2*INDEX(TABLAS!$C$52:$C$58,MATCH(DATOS!$C$95,TABLAS!$B$52:$B$58,0))-INDEX(TABLAS!$C$52:$C$58,MATCH(MAX(CROQUIS!$C$33,3),TABLAS!$B$52:$B$58,0)))/(CROQUIS!$C$32-1))</f>
        <v>3.755</v>
      </c>
      <c r="BS9">
        <f>IF(CROQUIS!$C$32=0,-100,DATOS!$C$18+INDEX(TABLAS!$C$52:$C$58,MATCH(DATOS!$C$95,TABLAS!$B$52:$B$58,0))+INDEX(TABLAS!$C$52:$C$58,MATCH(MAX(CROQUIS!$C$33,3),TABLAS!$B$52:$B$58,0))/2)</f>
        <v>3.745</v>
      </c>
      <c r="BT9">
        <f>IF(CROQUIS!$C$34&lt;=1,0,-(CROQUIS!$C$30-2*DATOS!$C$18-2*INDEX(TABLAS!$C$52:$C$58,MATCH(DATOS!$C$95,TABLAS!$B$52:$B$58,0))-INDEX(TABLAS!$C$52:$C$58,MATCH(MAX(CROQUIS!$C$35,3),TABLAS!$B$52:$B$58,0)))/2+(MIN($A9,CROQUIS!$C$34)-1)*(CROQUIS!$C$30-2*DATOS!$C$18-2*INDEX(TABLAS!$C$52:$C$58,MATCH(DATOS!$C$95,TABLAS!$B$52:$B$58,0))-INDEX(TABLAS!$C$52:$C$58,MATCH(MAX(CROQUIS!$C$35,3),TABLAS!$B$52:$B$58,0)))/(CROQUIS!$C$34-1))</f>
        <v>0</v>
      </c>
      <c r="BU9">
        <f>IF(CROQUIS!$C$34=0,-100,CROQUIS!$C$31-DATOS!$C$18-INDEX(TABLAS!$C$52:$C$58,MATCH(DATOS!$C$95,TABLAS!$B$52:$B$58,0))-INDEX(TABLAS!$C$52:$C$58,MATCH(MAX(CROQUIS!$C$35,3),TABLAS!$B$52:$B$58,0))/2)</f>
        <v>21.575</v>
      </c>
      <c r="BV9">
        <f>CHOOSE(MIN(MAX($A9,1),7),-CROQUIS!$C$30/2,-CROQUIS!$C$30/2,-CROQUIS!$C$30/2,(-CROQUIS!$C$30/2+CROQUIS!$C$30/2)/2,CROQUIS!$C$30/2,CROQUIS!$C$30/2,CROQUIS!$C$30/2)</f>
        <v>-7.5</v>
      </c>
      <c r="BW9">
        <f>CHOOSE(MIN(MAX($A9,1),7),-5-1.5,-5+1.5,-5,-5,-5,-5+1.5,-5-1.5)</f>
        <v>-3.5</v>
      </c>
      <c r="BX9">
        <f>CHOOSE(MIN(MAX($A9,1),7),38-1.5,38+1.5,38,38,38,38+1.5,38-1.5)</f>
        <v>39.5</v>
      </c>
      <c r="BY9">
        <f>CHOOSE(MIN(MAX($A9,1),7),0,0,0,(0+CROQUIS!$C$31)/2,CROQUIS!$C$31,CROQUIS!$C$31,CROQUIS!$C$31)</f>
        <v>0</v>
      </c>
      <c r="CA9" t="n">
        <v>4.327</v>
      </c>
      <c r="CB9" t="n">
        <v>2.921</v>
      </c>
      <c r="CC9" t="n">
        <v>2.925</v>
      </c>
      <c r="CD9" t="n">
        <v>5.346</v>
      </c>
      <c r="CE9" t="n">
        <v>4.327</v>
      </c>
      <c r="CF9" t="n">
        <v>1.919</v>
      </c>
      <c r="CG9" t="n">
        <v>4.247</v>
      </c>
      <c r="CH9" t="n">
        <v>13.946</v>
      </c>
      <c r="CI9" t="n">
        <v>-1.6</v>
      </c>
      <c r="CJ9" t="n">
        <v>22.671</v>
      </c>
      <c r="CK9" t="n">
        <v>4.327</v>
      </c>
      <c r="CL9" t="n">
        <v>2.921</v>
      </c>
      <c r="CM9" t="n">
        <v>4.327</v>
      </c>
      <c r="CN9" t="n">
        <v>1.919</v>
      </c>
      <c r="CO9" t="n">
        <v>8.85</v>
      </c>
      <c r="CP9" t="n">
        <v>16.697</v>
      </c>
      <c r="CQ9" t="n">
        <v>4.427</v>
      </c>
      <c r="CR9" t="n">
        <v>13.946</v>
      </c>
      <c r="CS9" t="n">
        <v>0</v>
      </c>
      <c r="CT9" t="n">
        <v>2.921</v>
      </c>
      <c r="CU9" t="inlineStr">
        <is>
          <t>F80003 N+3.00</t>
        </is>
      </c>
      <c r="CV9" t="inlineStr">
        <is>
          <t>N+3.00</t>
        </is>
      </c>
      <c r="CW9" t="n">
        <v>0</v>
      </c>
      <c r="CX9" t="n">
        <v>2.921</v>
      </c>
      <c r="CY9" t="n">
        <v>4.327</v>
      </c>
      <c r="CZ9" t="n">
        <v>2.921</v>
      </c>
      <c r="DA9" t="n">
        <v>4.327</v>
      </c>
      <c r="DB9" t="n">
        <v>5.946</v>
      </c>
      <c r="DC9" t="n">
        <v>2.925</v>
      </c>
      <c r="DD9" t="n">
        <v>5.946</v>
      </c>
      <c r="DE9" t="n">
        <v>2.925</v>
      </c>
      <c r="DF9" t="n">
        <v>5.346</v>
      </c>
      <c r="DG9" t="n">
        <v>0</v>
      </c>
      <c r="DH9" t="n">
        <v>5.346</v>
      </c>
      <c r="DI9" t="n">
        <v>0</v>
      </c>
      <c r="DJ9" t="n">
        <v>2.921</v>
      </c>
      <c r="DK9" t="n">
        <v>0</v>
      </c>
      <c r="DL9" t="n">
        <v>2.921</v>
      </c>
      <c r="DM9" t="n">
        <v>0</v>
      </c>
      <c r="DN9" t="n">
        <v>2.921</v>
      </c>
      <c r="DO9" t="n">
        <v>0</v>
      </c>
      <c r="DP9" t="n">
        <v>2.921</v>
      </c>
      <c r="DQ9" t="n">
        <v>0</v>
      </c>
      <c r="DR9" t="n">
        <v>2.921</v>
      </c>
      <c r="DS9" t="n">
        <v>0</v>
      </c>
      <c r="DT9" t="n">
        <v>2.921</v>
      </c>
      <c r="DU9" t="n">
        <v>0</v>
      </c>
      <c r="DV9" t="n">
        <v>2.921</v>
      </c>
      <c r="DW9" t="n">
        <v>0</v>
      </c>
      <c r="DX9" t="n">
        <v>2.921</v>
      </c>
      <c r="DY9" t="n">
        <v>0</v>
      </c>
      <c r="DZ9" t="n">
        <v>2.921</v>
      </c>
      <c r="EA9" t="n">
        <v>0</v>
      </c>
      <c r="EB9" t="n">
        <v>2.921</v>
      </c>
      <c r="EC9" t="n">
        <v>0</v>
      </c>
      <c r="ED9" t="n">
        <v>2.921</v>
      </c>
      <c r="EE9" t="n">
        <v>0</v>
      </c>
      <c r="EF9" t="n">
        <v>2.921</v>
      </c>
      <c r="EH9" t="inlineStr">
        <is>
          <t>NP-02</t>
        </is>
      </c>
      <c r="EI9" t="inlineStr">
        <is>
          <t>N+3.00</t>
        </is>
      </c>
      <c r="EJ9" t="n">
        <v>0</v>
      </c>
      <c r="EK9" t="n">
        <v>2.921</v>
      </c>
      <c r="EL9" t="n">
        <v>4.327</v>
      </c>
      <c r="EM9" t="n">
        <v>2.921</v>
      </c>
      <c r="EO9">
        <f>IF(INDEX($CV$8:$CV$39,MATCH(CROQUIS!$C$7,$CU$8:$CU$39,0))="N+3.00",INDEX($CY$8:$CY$39,MATCH(CROQUIS!$C$7,$CU$8:$CU$39,0)),-100)</f>
        <v>4.426</v>
      </c>
      <c r="EP9">
        <f>IF(INDEX($CV$8:$CV$39,MATCH(CROQUIS!$C$7,$CU$8:$CU$39,0))="N+3.00",INDEX($CZ$8:$CZ$39,MATCH(CROQUIS!$C$7,$CU$8:$CU$39,0)),-100)</f>
        <v>17.446</v>
      </c>
      <c r="EQ9">
        <f>IF(INDEX($EI$8:$EI$41,MATCH(CROQUIS!$C$24,$EH$8:$EH$41,0))="N+3.00",INDEX($EL$8:$EL$41,MATCH(CROQUIS!$C$24,$EH$8:$EH$41,0)),-100)</f>
        <v>4.327</v>
      </c>
      <c r="ER9">
        <f>IF(INDEX($EI$8:$EI$41,MATCH(CROQUIS!$C$24,$EH$8:$EH$41,0))="N+3.00",INDEX($EM$8:$EM$41,MATCH(CROQUIS!$C$24,$EH$8:$EH$41,0)),-100)</f>
        <v>14.021</v>
      </c>
      <c r="ES9">
        <f>IF(INDEX($CV$8:$CV$39,MATCH(CROQUIS!$C$7,$CU$8:$CU$39,0))="N+6.00",INDEX($CY$8:$CY$39,MATCH(CROQUIS!$C$7,$CU$8:$CU$39,0)),-100)</f>
        <v>-100</v>
      </c>
      <c r="ET9">
        <f>IF(INDEX($CV$8:$CV$39,MATCH(CROQUIS!$C$7,$CU$8:$CU$39,0))="N+6.00",INDEX($CZ$8:$CZ$39,MATCH(CROQUIS!$C$7,$CU$8:$CU$39,0)),-100)</f>
        <v>-100</v>
      </c>
      <c r="EU9">
        <f>IF(INDEX($EI$8:$EI$41,MATCH(CROQUIS!$C$24,$EH$8:$EH$41,0))="N+6.00",INDEX($EL$8:$EL$41,MATCH(CROQUIS!$C$24,$EH$8:$EH$41,0)),-100)</f>
        <v>-100</v>
      </c>
      <c r="EV9">
        <f>IF(INDEX($EI$8:$EI$41,MATCH(CROQUIS!$C$24,$EH$8:$EH$41,0))="N+6.00",INDEX($EM$8:$EM$41,MATCH(CROQUIS!$C$24,$EH$8:$EH$41,0)),-100)</f>
        <v>-100</v>
      </c>
      <c r="EX9" t="inlineStr">
        <is>
          <t>F80003</t>
        </is>
      </c>
      <c r="EY9" t="n">
        <v>2.163</v>
      </c>
      <c r="EZ9" t="n">
        <v>4.133</v>
      </c>
      <c r="FA9" t="inlineStr">
        <is>
          <t>N+3.00</t>
        </is>
      </c>
    </row>
    <row r="10">
      <c r="A10" t="n">
        <v>3</v>
      </c>
      <c r="B10">
        <f>CHOOSE(MIN(MAX($A10,1),5),CROQUIS!$C$15,CROQUIS!$C$15+CROQUIS!$C$10*CROQUIS!$C$14,CROQUIS!$C$15+CROQUIS!$C$10*CROQUIS!$C$14,CROQUIS!$C$15,CROQUIS!$C$15)</f>
        <v>94</v>
      </c>
      <c r="C10">
        <f>CHOOSE(MIN(MAX($A10,1),5),CROQUIS!$C$16,CROQUIS!$C$16,CROQUIS!$C$16+CROQUIS!$C$11*CROQUIS!$C$14,CROQUIS!$C$16+CROQUIS!$C$11*CROQUIS!$C$14,CROQUIS!$C$16)</f>
        <v>90.0537731586082</v>
      </c>
      <c r="D10">
        <f>CHOOSE(MIN(MAX($A10,1),5),CROQUIS!$C$15+DATOS!$C$17/2*CROQUIS!$C$14,CROQUIS!$C$15+CROQUIS!$C$10*CROQUIS!$C$14-DATOS!$C$17/2*CROQUIS!$C$14,CROQUIS!$C$15+CROQUIS!$C$10*CROQUIS!$C$14-DATOS!$C$17/2*CROQUIS!$C$14,CROQUIS!$C$15+DATOS!$C$17/2*CROQUIS!$C$14,CROQUIS!$C$15+DATOS!$C$17/2*CROQUIS!$C$14)</f>
        <v>92.6104835065522</v>
      </c>
      <c r="E10">
        <f>CHOOSE(MIN(MAX($A10,1),5),CROQUIS!$C$16+DATOS!$C$17/2*CROQUIS!$C$14,CROQUIS!$C$16+DATOS!$C$17/2*CROQUIS!$C$14,CROQUIS!$C$16+CROQUIS!$C$11*CROQUIS!$C$14-DATOS!$C$17/2*CROQUIS!$C$14,CROQUIS!$C$16+CROQUIS!$C$11*CROQUIS!$C$14-DATOS!$C$17/2*CROQUIS!$C$14,CROQUIS!$C$16+DATOS!$C$17/2*CROQUIS!$C$14)</f>
        <v>88.6642566651604</v>
      </c>
      <c r="F10">
        <f>IF(NERVADURA!$C$118=0,CROQUIS!$C$15+CROQUIS!$C$10*CROQUIS!$C$14/2,CROQUIS!$C$15+(DATOS!$C$17/2+NERVADURA!$C$119+INT(MIN(INT(($A10-1)/2),MAX(2*NERVADURA!$C$118-1,0))/2)*DATOS!$C$16+MOD(MIN(INT(($A10-1)/2),MAX(2*NERVADURA!$C$118-1,0)),2)*DATOS!$C$11)*CROQUIS!$C$14)</f>
        <v>26.136014460009</v>
      </c>
      <c r="G10">
        <f>IF(NERVADURA!$C$118=0,CROQUIS!$C$16+CROQUIS!$C$11*CROQUIS!$C$14/2,CROQUIS!$C$16+IF(MOD(MIN(INT(($A10-1)/2),MAX(2*NERVADURA!$C$118-1,0)),2)=0,IF(IF(INT(($A10-1)/2)&gt;MAX(2*NERVADURA!$C$118-1,0),1,MOD($A10-1,2))=0,(DATOS!$C$17/2+NERVADURA!$C$121),(CROQUIS!$C$11-DATOS!$C$17/2-NERVADURA!$C$121)),IF(IF(INT(($A10-1)/2)&gt;MAX(2*NERVADURA!$C$118-1,0),1,MOD($A10-1,2))=0,(CROQUIS!$C$11-DATOS!$C$17/2-NERVADURA!$C$121),(DATOS!$C$17/2+NERVADURA!$C$121)))*CROQUIS!$C$14)</f>
        <v>84.495707184817</v>
      </c>
      <c r="H10">
        <f>IF(NERVADURA!$C$120=0,CROQUIS!$C$15+CROQUIS!$C$10*CROQUIS!$C$14/2,CROQUIS!$C$15+IF(MOD(MIN(INT(($A10-1)/2),MAX(2*NERVADURA!$C$120-1,0)),2)=0,IF(IF(INT(($A10-1)/2)&gt;MAX(2*NERVADURA!$C$120-1,0),1,MOD($A10-1,2))=0,(DATOS!$C$17/2+NERVADURA!$C$119),(CROQUIS!$C$10-DATOS!$C$17/2-NERVADURA!$C$119)),IF(IF(INT(($A10-1)/2)&gt;MAX(2*NERVADURA!$C$120-1,0),1,MOD($A10-1,2))=0,(CROQUIS!$C$10-DATOS!$C$17/2-NERVADURA!$C$119),(DATOS!$C$17/2+NERVADURA!$C$119)))*CROQUIS!$C$14)</f>
        <v>90.9801174875734</v>
      </c>
      <c r="I10">
        <f>IF(NERVADURA!$C$120=0,CROQUIS!$C$16+CROQUIS!$C$11*CROQUIS!$C$14/2,CROQUIS!$C$16+(DATOS!$C$17/2+NERVADURA!$C$121+INT(MIN(INT(($A10-1)/2),MAX(2*NERVADURA!$C$120-1,0))/2)*DATOS!$C$16+MOD(MIN(INT(($A10-1)/2),MAX(2*NERVADURA!$C$120-1,0)),2)*DATOS!$C$11)*CROQUIS!$C$14)</f>
        <v>32.6204247627655</v>
      </c>
      <c r="J10">
        <f>IF(CROQUIS!$C$12="X",IF($A10&lt;=1,CROQUIS!$C$15+(0.02)*CROQUIS!$C$10*CROQUIS!$C$14,CROQUIS!$C$15+(0.98)*CROQUIS!$C$10*CROQUIS!$C$14),CROQUIS!$C$15+CROQUIS!$C$10*CROQUIS!$C$14/2+-1.2)</f>
        <v>51.8</v>
      </c>
      <c r="K10">
        <f>IF(CROQUIS!$C$12="X",CROQUIS!$C$16+CROQUIS!$C$11*CROQUIS!$C$14/2+-1.2,IF($A10&lt;=1,CROQUIS!$C$16+(0.02)*CROQUIS!$C$11*CROQUIS!$C$14,CROQUIS!$C$16+(0.98)*CROQUIS!$C$11*CROQUIS!$C$14))</f>
        <v>88.5716222322639</v>
      </c>
      <c r="L10">
        <f>IF(CROQUIS!$C$12="X",IF($A10&lt;=1,CROQUIS!$C$15+(0)*CROQUIS!$C$10*CROQUIS!$C$14,CROQUIS!$C$15+(IF(CROQUIS!$C$9="VOLADO",1,DATOS!$C$51*NERVADURA!$C$15/(NERVADURA!$C$15)))*CROQUIS!$C$10*CROQUIS!$C$14),CROQUIS!$C$15+CROQUIS!$C$10*CROQUIS!$C$14/2+1.2)</f>
        <v>54.2</v>
      </c>
      <c r="M10">
        <f>IF(CROQUIS!$C$12="X",CROQUIS!$C$16+CROQUIS!$C$11*CROQUIS!$C$14/2+1.2,IF($A10&lt;=1,CROQUIS!$C$16+(0)*CROQUIS!$C$11*CROQUIS!$C$14,CROQUIS!$C$16+(IF(CROQUIS!$C$9="VOLADO",1,DATOS!$C$51*NERVADURA!$C$15/(NERVADURA!$C$15)))*CROQUIS!$C$11*CROQUIS!$C$14))</f>
        <v>38.1784907365567</v>
      </c>
      <c r="N10">
        <f>IF(CROQUIS!$C$12="X",IF($A10&lt;=1,CROQUIS!$C$15+(IF(CROQUIS!$C$9="VOLADO",1,1-DATOS!$C$51))*CROQUIS!$C$10*CROQUIS!$C$14,CROQUIS!$C$15+(1)*CROQUIS!$C$10*CROQUIS!$C$14),CROQUIS!$C$15+CROQUIS!$C$10*CROQUIS!$C$14/2+1.2)</f>
        <v>54.2</v>
      </c>
      <c r="O10">
        <f>IF(CROQUIS!$C$12="X",CROQUIS!$C$16+CROQUIS!$C$11*CROQUIS!$C$14/2+1.2,IF($A10&lt;=1,CROQUIS!$C$16+(IF(CROQUIS!$C$9="VOLADO",1,1-DATOS!$C$51))*CROQUIS!$C$11*CROQUIS!$C$14,CROQUIS!$C$16+(1)*CROQUIS!$C$11*CROQUIS!$C$14))</f>
        <v>90.0537731586082</v>
      </c>
      <c r="P10">
        <f>IF(CROQUIS!$C$12="Y",IF($A10&lt;=1,CROQUIS!$C$15+(0.02)*CROQUIS!$C$10*CROQUIS!$C$14,CROQUIS!$C$15+(0.98)*CROQUIS!$C$10*CROQUIS!$C$14),CROQUIS!$C$15+CROQUIS!$C$10*CROQUIS!$C$14/2+-1.2)</f>
        <v>92.36</v>
      </c>
      <c r="Q10">
        <f>IF(CROQUIS!$C$12="Y",CROQUIS!$C$16+CROQUIS!$C$11*CROQUIS!$C$14/2+(-1.2)+0.0,IF($A10&lt;=1,CROQUIS!$C$16+(0.02)*CROQUIS!$C$11*CROQUIS!$C$14,CROQUIS!$C$16+(0.98)*CROQUIS!$C$11*CROQUIS!$C$14))</f>
        <v>51.8</v>
      </c>
      <c r="R10">
        <f>IF(CROQUIS!$C$12="Y",IF($A10&lt;=1,CROQUIS!$C$15+(0)*CROQUIS!$C$10*CROQUIS!$C$14,CROQUIS!$C$15+(IF(CROQUIS!$C$9="VOLADO",1,DATOS!$C$51*NERVADURA!$C$16/(NERVADURA!$C$16)))*CROQUIS!$C$10*CROQUIS!$C$14),CROQUIS!$C$15+CROQUIS!$C$10*CROQUIS!$C$14/2+1.2)</f>
        <v>36.6</v>
      </c>
      <c r="S10">
        <f>IF(CROQUIS!$C$12="Y",CROQUIS!$C$16+CROQUIS!$C$11*CROQUIS!$C$14/2+(1.2)+0.0,IF($A10&lt;=1,CROQUIS!$C$16+(0)*CROQUIS!$C$11*CROQUIS!$C$14,CROQUIS!$C$16+(IF(CROQUIS!$C$9="VOLADO",1,DATOS!$C$51*NERVADURA!$C$16/(NERVADURA!$C$16)))*CROQUIS!$C$11*CROQUIS!$C$14))</f>
        <v>54.2</v>
      </c>
      <c r="T10">
        <f>IF(CROQUIS!$C$12="Y",IF($A10&lt;=1,CROQUIS!$C$15+(IF(CROQUIS!$C$9="VOLADO",1,1-DATOS!$C$51))*CROQUIS!$C$10*CROQUIS!$C$14,CROQUIS!$C$15+(1)*CROQUIS!$C$10*CROQUIS!$C$14),CROQUIS!$C$15+CROQUIS!$C$10*CROQUIS!$C$14/2+1.2)</f>
        <v>94</v>
      </c>
      <c r="U10">
        <f>IF(CROQUIS!$C$12="Y",CROQUIS!$C$16+CROQUIS!$C$11*CROQUIS!$C$14/2+(1.2)+0.0,IF($A10&lt;=1,CROQUIS!$C$16+(IF(CROQUIS!$C$9="VOLADO",1,1-DATOS!$C$51))*CROQUIS!$C$11*CROQUIS!$C$14,CROQUIS!$C$16+(1)*CROQUIS!$C$11*CROQUIS!$C$14))</f>
        <v>54.2</v>
      </c>
      <c r="V10">
        <f>CHOOSE(MIN(MAX($A10,1),7),CROQUIS!$C$15,CROQUIS!$C$15,CROQUIS!$C$15,(CROQUIS!$C$15+CROQUIS!$C$15+CROQUIS!$C$10*CROQUIS!$C$14)/2,CROQUIS!$C$15+CROQUIS!$C$10*CROQUIS!$C$14,CROQUIS!$C$15+CROQUIS!$C$10*CROQUIS!$C$14,CROQUIS!$C$15+CROQUIS!$C$10*CROQUIS!$C$14)</f>
        <v>12</v>
      </c>
      <c r="W10">
        <f>CHOOSE(MIN(MAX($A10,1),7),CROQUIS!$C$16-5-1.5,CROQUIS!$C$16-5+1.5,CROQUIS!$C$16-5,CROQUIS!$C$16-5,CROQUIS!$C$16-5,CROQUIS!$C$16-5+1.5,CROQUIS!$C$16-5-1.5)</f>
        <v>10.9462268413918</v>
      </c>
      <c r="X10">
        <f>CHOOSE(MIN(MAX($A10,1),7),CROQUIS!$C$15-5-1.5,CROQUIS!$C$15-5+1.5,CROQUIS!$C$15-5,CROQUIS!$C$15-5,CROQUIS!$C$15-5,CROQUIS!$C$15-5+1.5,CROQUIS!$C$15-5-1.5)</f>
        <v>7</v>
      </c>
      <c r="Y10">
        <f>CHOOSE(MIN(MAX($A10,1),7),CROQUIS!$C$16,CROQUIS!$C$16,CROQUIS!$C$16,(CROQUIS!$C$16+CROQUIS!$C$16+CROQUIS!$C$11*CROQUIS!$C$14)/2,CROQUIS!$C$16+CROQUIS!$C$11*CROQUIS!$C$14,CROQUIS!$C$16+CROQUIS!$C$11*CROQUIS!$C$14,CROQUIS!$C$16+CROQUIS!$C$11*CROQUIS!$C$14)</f>
        <v>15.9462268413918</v>
      </c>
      <c r="Z10">
        <f>CHOOSE(MIN(MAX($A10,1),7),CROQUIS!$C$15+(DATOS!$C$17/2+NERVADURA!$C$119)*CROQUIS!$C$14,CROQUIS!$C$15+(DATOS!$C$17/2+NERVADURA!$C$119)*CROQUIS!$C$14,CROQUIS!$C$15+(DATOS!$C$17/2+NERVADURA!$C$119)*CROQUIS!$C$14,(CROQUIS!$C$15+(DATOS!$C$17/2+NERVADURA!$C$119)*CROQUIS!$C$14+CROQUIS!$C$15+(DATOS!$C$17/2+NERVADURA!$C$119+DATOS!$C$16)*CROQUIS!$C$14)/2,CROQUIS!$C$15+(DATOS!$C$17/2+NERVADURA!$C$119+DATOS!$C$16)*CROQUIS!$C$14,CROQUIS!$C$15+(DATOS!$C$17/2+NERVADURA!$C$119+DATOS!$C$16)*CROQUIS!$C$14,CROQUIS!$C$15+(DATOS!$C$17/2+NERVADURA!$C$119+DATOS!$C$16)*CROQUIS!$C$14)</f>
        <v>15.0198825124266</v>
      </c>
      <c r="AA10">
        <f>CHOOSE(MIN(MAX($A10,1),7),CROQUIS!$C$16+CROQUIS!$C$11*CROQUIS!$C$14+4-1.5,CROQUIS!$C$16+CROQUIS!$C$11*CROQUIS!$C$14+4+1.5,CROQUIS!$C$16+CROQUIS!$C$11*CROQUIS!$C$14+4,CROQUIS!$C$16+CROQUIS!$C$11*CROQUIS!$C$14+4,CROQUIS!$C$16+CROQUIS!$C$11*CROQUIS!$C$14+4,CROQUIS!$C$16+CROQUIS!$C$11*CROQUIS!$C$14+4+1.5,CROQUIS!$C$16+CROQUIS!$C$11*CROQUIS!$C$14+4-1.5)</f>
        <v>94.0537731586082</v>
      </c>
      <c r="AB10">
        <f>CHOOSE(MIN(MAX($A10,1),9),-DATOS!$C$16/2,DATOS!$C$16/2,DATOS!$C$16/2,DATOS!$C$13/2,DATOS!$C$13/2,-DATOS!$C$13/2,-DATOS!$C$13/2,-DATOS!$C$16/2,-DATOS!$C$16/2)</f>
        <v>35</v>
      </c>
      <c r="AC10">
        <f>CHOOSE(MIN(MAX($A10,1),9),DATOS!$C$15,DATOS!$C$15,DATOS!$C$12,DATOS!$C$12,0,0,DATOS!$C$12,DATOS!$C$12,DATOS!$C$15)</f>
        <v>20</v>
      </c>
      <c r="AD10">
        <f>CHOOSE(MIN(MAX($A10,1),5),-DATOS!$C$16/2,-DATOS!$C$13/2,-DATOS!$C$13/2,-DATOS!$C$16/2,-DATOS!$C$16/2)</f>
        <v>-5</v>
      </c>
      <c r="AE10">
        <f>CHOOSE(MIN(MAX($A10,1),5),0,0,DATOS!$C$12,DATOS!$C$12,0)</f>
        <v>20</v>
      </c>
      <c r="AF10">
        <f>CHOOSE(MIN(MAX($A10,1),5),DATOS!$C$13/2,DATOS!$C$16/2,DATOS!$C$16/2,DATOS!$C$13/2,DATOS!$C$13/2)</f>
        <v>35</v>
      </c>
      <c r="AG10">
        <f>CHOOSE(MIN(MAX($A10,1),5),0,0,DATOS!$C$12,DATOS!$C$12,0)</f>
        <v>20</v>
      </c>
      <c r="AN10">
        <f>CHOOSE(MIN(MAX($A10,1),5),-(DATOS!$C$13/2-DATOS!$C$18),(DATOS!$C$13/2-DATOS!$C$18),(DATOS!$C$13/2-DATOS!$C$18),-(DATOS!$C$13/2-DATOS!$C$18),-(DATOS!$C$13/2-DATOS!$C$18))</f>
        <v>3</v>
      </c>
      <c r="AO10">
        <f>CHOOSE(MIN(MAX($A10,1),5),DATOS!$C$18,DATOS!$C$18,DATOS!$C$15-DATOS!$C$18,DATOS!$C$15-DATOS!$C$18,DATOS!$C$18)</f>
        <v>23</v>
      </c>
      <c r="AP10">
        <f>CHOOSE(MIN(MAX($A10,1),7),-DATOS!$C$13/2,-DATOS!$C$13/2,-DATOS!$C$13/2,(-DATOS!$C$13/2+DATOS!$C$13/2)/2,DATOS!$C$13/2,DATOS!$C$13/2,DATOS!$C$13/2)</f>
        <v>-5</v>
      </c>
      <c r="AQ10">
        <f>CHOOSE(MIN(MAX($A10,1),7),-4-1.5,-4+1.5,-4,-4,-4,-4+1.5,-4-1.5)</f>
        <v>-4</v>
      </c>
      <c r="AR10">
        <f>CHOOSE(MIN(MAX($A10,1),7),-DATOS!$C$16/2,-DATOS!$C$16/2,-DATOS!$C$16/2,(-DATOS!$C$16/2+DATOS!$C$16/2)/2,DATOS!$C$16/2,DATOS!$C$16/2,DATOS!$C$16/2)</f>
        <v>-35</v>
      </c>
      <c r="AS10">
        <f>CHOOSE(MIN(MAX($A10,1),7),DATOS!$C$15+4-1.5,DATOS!$C$15+4+1.5,DATOS!$C$15+4,DATOS!$C$15+4,DATOS!$C$15+4,DATOS!$C$15+4+1.5,DATOS!$C$15+4-1.5)</f>
        <v>29</v>
      </c>
      <c r="AT10">
        <f>CHOOSE(MIN(MAX($A10,1),7),DATOS!$C$16/2+4-1.5,DATOS!$C$16/2+4+1.5,DATOS!$C$16/2+4,DATOS!$C$16/2+4,DATOS!$C$16/2+4,DATOS!$C$16/2+4+1.5,DATOS!$C$16/2+4-1.5)</f>
        <v>39</v>
      </c>
      <c r="AU10">
        <f>CHOOSE(MIN(MAX($A10,1),7),0,0,0,(0+DATOS!$C$15)/2,DATOS!$C$15,DATOS!$C$15,DATOS!$C$15)</f>
        <v>0</v>
      </c>
      <c r="AV10">
        <f>CHOOSE(MIN(MAX($A10,1),5),0,100,100,0,0)</f>
        <v>100</v>
      </c>
      <c r="AW10">
        <f>CHOOSE(MIN(MAX($A10,1),5),0,0,12,12,0)</f>
        <v>12</v>
      </c>
      <c r="AX10">
        <f>CHOOSE(MIN(MAX($A10,1),5),-3,0,0,-3,-3)</f>
        <v>0</v>
      </c>
      <c r="AY10">
        <f>CHOOSE(MIN(MAX($A10,1),5),-10,-10,12,12,-10)</f>
        <v>12</v>
      </c>
      <c r="AZ10">
        <f>CHOOSE(MIN(MAX($A10,1),5),IF(CROQUIS!$C$9="VOLADO",-3,100),IF(CROQUIS!$C$9="VOLADO",0,103),IF(CROQUIS!$C$9="VOLADO",0,103),IF(CROQUIS!$C$9="VOLADO",-3,100),IF(CROQUIS!$C$9="VOLADO",-3,100))</f>
        <v>103</v>
      </c>
      <c r="BA10">
        <f>CHOOSE(MIN(MAX($A10,1),5),-10,-10,12,12,-10)</f>
        <v>12</v>
      </c>
      <c r="BB10">
        <f>CHOOSE(MIN(MAX($A10,1),4),1.5,1.5,98.5,98.5)</f>
        <v>98.5</v>
      </c>
      <c r="BC10">
        <f>CHOOSE(MIN(MAX($A10,1),4),4,1.5,1.5,4)</f>
        <v>1.5</v>
      </c>
      <c r="BD10">
        <f>CHOOSE(MIN(MAX($A10,1),3),-1.5,-1.5,IF(CROQUIS!$C$9="VOLADO",98.5,DATOS!$C$51*100))</f>
        <v>30</v>
      </c>
      <c r="BE10">
        <f>CHOOSE(MIN(MAX($A10,1),3),6,10.5,10.5)</f>
        <v>10.5</v>
      </c>
      <c r="BF10">
        <f>IF(CROQUIS!$C$9="VOLADO",-1.5,CHOOSE(MIN(MAX($A10,1),3),101.5,101.5,100-DATOS!$C$51*100))</f>
        <v>70</v>
      </c>
      <c r="BG10">
        <f>IF(CROQUIS!$C$9="VOLADO",10.5,CHOOSE(MIN(MAX($A10,1),3),6,10.5,10.5))</f>
        <v>10.5</v>
      </c>
      <c r="BH10">
        <f>CHOOSE(MIN(MAX($A10,1),7),0,0,0,(0+100)/2,100,100,100)</f>
        <v>0</v>
      </c>
      <c r="BI10">
        <f>CHOOSE(MIN(MAX($A10,1),7),-14-1.5,-14+1.5,-14,-14,-14,-14+1.5,-14-1.5)</f>
        <v>-14</v>
      </c>
      <c r="BJ10">
        <f>CHOOSE(MIN(MAX($A10,1),9),-35,35,35,CROQUIS!$C$30/2,CROQUIS!$C$30/2,-CROQUIS!$C$30/2,-CROQUIS!$C$30/2,-35,-35)</f>
        <v>35</v>
      </c>
      <c r="BK10">
        <f>CHOOSE(MIN(MAX($A10,1),9),CROQUIS!$C$31,CROQUIS!$C$31,CROQUIS!$C$31-DATOS!$C$14,CROQUIS!$C$31-DATOS!$C$14,0,0,CROQUIS!$C$31-DATOS!$C$14,CROQUIS!$C$31-DATOS!$C$14,CROQUIS!$C$31)</f>
        <v>20</v>
      </c>
      <c r="BL10">
        <f>CHOOSE(MIN(MAX($A10,1),5),-35,-CROQUIS!$C$30/2,-CROQUIS!$C$30/2,-35,-35)</f>
        <v>-7.5</v>
      </c>
      <c r="BM10">
        <f>CHOOSE(MIN(MAX($A10,1),5),CROQUIS!$C$31-DATOS!$C$14-DATOS!$C$12,CROQUIS!$C$31-DATOS!$C$14-DATOS!$C$12,CROQUIS!$C$31-DATOS!$C$14,CROQUIS!$C$31-DATOS!$C$14,CROQUIS!$C$31-DATOS!$C$14-DATOS!$C$12)</f>
        <v>20</v>
      </c>
      <c r="BN10">
        <f>CHOOSE(MIN(MAX($A10,1),5),CROQUIS!$C$30/2,35,35,CROQUIS!$C$30/2,CROQUIS!$C$30/2)</f>
        <v>35</v>
      </c>
      <c r="BO10">
        <f>CHOOSE(MIN(MAX($A10,1),5),CROQUIS!$C$31-DATOS!$C$14-DATOS!$C$12,CROQUIS!$C$31-DATOS!$C$14-DATOS!$C$12,CROQUIS!$C$31-DATOS!$C$14,CROQUIS!$C$31-DATOS!$C$14,CROQUIS!$C$31-DATOS!$C$14-DATOS!$C$12)</f>
        <v>20</v>
      </c>
      <c r="BP10">
        <f>CHOOSE(MIN(MAX($A10,1),5),-(CROQUIS!$C$30/2-DATOS!$C$18-INDEX(TABLAS!$C$52:$C$58,MATCH(DATOS!$C$95,TABLAS!$B$52:$B$58,0))/2),(CROQUIS!$C$30/2-DATOS!$C$18-INDEX(TABLAS!$C$52:$C$58,MATCH(DATOS!$C$95,TABLAS!$B$52:$B$58,0))/2),(CROQUIS!$C$30/2-DATOS!$C$18-INDEX(TABLAS!$C$52:$C$58,MATCH(DATOS!$C$95,TABLAS!$B$52:$B$58,0))/2),-(CROQUIS!$C$30/2-DATOS!$C$18-INDEX(TABLAS!$C$52:$C$58,MATCH(DATOS!$C$95,TABLAS!$B$52:$B$58,0))/2),-(CROQUIS!$C$30/2-DATOS!$C$18-INDEX(TABLAS!$C$52:$C$58,MATCH(DATOS!$C$95,TABLAS!$B$52:$B$58,0))/2))</f>
        <v>5.105</v>
      </c>
      <c r="BQ10">
        <f>CHOOSE(MIN(MAX($A10,1),5),DATOS!$C$18+INDEX(TABLAS!$C$52:$C$58,MATCH(DATOS!$C$95,TABLAS!$B$52:$B$58,0))/2,DATOS!$C$18+INDEX(TABLAS!$C$52:$C$58,MATCH(DATOS!$C$95,TABLAS!$B$52:$B$58,0))/2,CROQUIS!$C$31-DATOS!$C$18-INDEX(TABLAS!$C$52:$C$58,MATCH(DATOS!$C$95,TABLAS!$B$52:$B$58,0))/2,CROQUIS!$C$31-DATOS!$C$18-INDEX(TABLAS!$C$52:$C$58,MATCH(DATOS!$C$95,TABLAS!$B$52:$B$58,0))/2,DATOS!$C$18+INDEX(TABLAS!$C$52:$C$58,MATCH(DATOS!$C$95,TABLAS!$B$52:$B$58,0))/2)</f>
        <v>22.605</v>
      </c>
      <c r="BR10">
        <f>IF(CROQUIS!$C$32&lt;=1,0,-(CROQUIS!$C$30-2*DATOS!$C$18-2*INDEX(TABLAS!$C$52:$C$58,MATCH(DATOS!$C$95,TABLAS!$B$52:$B$58,0))-INDEX(TABLAS!$C$52:$C$58,MATCH(MAX(CROQUIS!$C$33,3),TABLAS!$B$52:$B$58,0)))/2+(MIN($A10,CROQUIS!$C$32)-1)*(CROQUIS!$C$30-2*DATOS!$C$18-2*INDEX(TABLAS!$C$52:$C$58,MATCH(DATOS!$C$95,TABLAS!$B$52:$B$58,0))-INDEX(TABLAS!$C$52:$C$58,MATCH(MAX(CROQUIS!$C$33,3),TABLAS!$B$52:$B$58,0)))/(CROQUIS!$C$32-1))</f>
        <v>3.755</v>
      </c>
      <c r="BS10">
        <f>IF(CROQUIS!$C$32=0,-100,DATOS!$C$18+INDEX(TABLAS!$C$52:$C$58,MATCH(DATOS!$C$95,TABLAS!$B$52:$B$58,0))+INDEX(TABLAS!$C$52:$C$58,MATCH(MAX(CROQUIS!$C$33,3),TABLAS!$B$52:$B$58,0))/2)</f>
        <v>3.745</v>
      </c>
      <c r="BT10">
        <f>IF(CROQUIS!$C$34&lt;=1,0,-(CROQUIS!$C$30-2*DATOS!$C$18-2*INDEX(TABLAS!$C$52:$C$58,MATCH(DATOS!$C$95,TABLAS!$B$52:$B$58,0))-INDEX(TABLAS!$C$52:$C$58,MATCH(MAX(CROQUIS!$C$35,3),TABLAS!$B$52:$B$58,0)))/2+(MIN($A10,CROQUIS!$C$34)-1)*(CROQUIS!$C$30-2*DATOS!$C$18-2*INDEX(TABLAS!$C$52:$C$58,MATCH(DATOS!$C$95,TABLAS!$B$52:$B$58,0))-INDEX(TABLAS!$C$52:$C$58,MATCH(MAX(CROQUIS!$C$35,3),TABLAS!$B$52:$B$58,0)))/(CROQUIS!$C$34-1))</f>
        <v>4.075</v>
      </c>
      <c r="BU10">
        <f>IF(CROQUIS!$C$34=0,-100,CROQUIS!$C$31-DATOS!$C$18-INDEX(TABLAS!$C$52:$C$58,MATCH(DATOS!$C$95,TABLAS!$B$52:$B$58,0))-INDEX(TABLAS!$C$52:$C$58,MATCH(MAX(CROQUIS!$C$35,3),TABLAS!$B$52:$B$58,0))/2)</f>
        <v>21.575</v>
      </c>
      <c r="BV10">
        <f>CHOOSE(MIN(MAX($A10,1),7),-CROQUIS!$C$30/2,-CROQUIS!$C$30/2,-CROQUIS!$C$30/2,(-CROQUIS!$C$30/2+CROQUIS!$C$30/2)/2,CROQUIS!$C$30/2,CROQUIS!$C$30/2,CROQUIS!$C$30/2)</f>
        <v>-7.5</v>
      </c>
      <c r="BW10">
        <f>CHOOSE(MIN(MAX($A10,1),7),-5-1.5,-5+1.5,-5,-5,-5,-5+1.5,-5-1.5)</f>
        <v>-5</v>
      </c>
      <c r="BX10">
        <f>CHOOSE(MIN(MAX($A10,1),7),38-1.5,38+1.5,38,38,38,38+1.5,38-1.5)</f>
        <v>38</v>
      </c>
      <c r="BY10">
        <f>CHOOSE(MIN(MAX($A10,1),7),0,0,0,(0+CROQUIS!$C$31)/2,CROQUIS!$C$31,CROQUIS!$C$31,CROQUIS!$C$31)</f>
        <v>0</v>
      </c>
      <c r="CA10" t="n">
        <v>0</v>
      </c>
      <c r="CB10" t="n">
        <v>2.921</v>
      </c>
      <c r="CG10" t="n">
        <v>0.075</v>
      </c>
      <c r="CH10" t="n">
        <v>13.946</v>
      </c>
      <c r="CI10" t="n">
        <v>-1.6</v>
      </c>
      <c r="CJ10" t="n">
        <v>23.671</v>
      </c>
      <c r="CK10" t="n">
        <v>0</v>
      </c>
      <c r="CL10" t="n">
        <v>2.921</v>
      </c>
      <c r="CQ10" t="n">
        <v>0.075</v>
      </c>
      <c r="CR10" t="n">
        <v>13.946</v>
      </c>
      <c r="CS10" t="n">
        <v>0</v>
      </c>
      <c r="CT10" t="n">
        <v>5.346</v>
      </c>
      <c r="CU10" t="inlineStr">
        <is>
          <t>F80004 N+3.00</t>
        </is>
      </c>
      <c r="CV10" t="inlineStr">
        <is>
          <t>N+3.00</t>
        </is>
      </c>
      <c r="CW10" t="n">
        <v>5.923</v>
      </c>
      <c r="CX10" t="n">
        <v>5.946</v>
      </c>
      <c r="CY10" t="n">
        <v>4.327</v>
      </c>
      <c r="CZ10" t="n">
        <v>5.946</v>
      </c>
      <c r="DA10" t="n">
        <v>4.327</v>
      </c>
      <c r="DB10" t="n">
        <v>2.921</v>
      </c>
      <c r="DC10" t="n">
        <v>5.923</v>
      </c>
      <c r="DD10" t="n">
        <v>2.921</v>
      </c>
      <c r="DE10" t="n">
        <v>5.923</v>
      </c>
      <c r="DF10" t="n">
        <v>5.946</v>
      </c>
      <c r="DG10" t="n">
        <v>5.923</v>
      </c>
      <c r="DH10" t="n">
        <v>5.946</v>
      </c>
      <c r="DI10" t="n">
        <v>5.923</v>
      </c>
      <c r="DJ10" t="n">
        <v>5.946</v>
      </c>
      <c r="DK10" t="n">
        <v>5.923</v>
      </c>
      <c r="DL10" t="n">
        <v>5.946</v>
      </c>
      <c r="DM10" t="n">
        <v>5.923</v>
      </c>
      <c r="DN10" t="n">
        <v>5.946</v>
      </c>
      <c r="DO10" t="n">
        <v>5.923</v>
      </c>
      <c r="DP10" t="n">
        <v>5.946</v>
      </c>
      <c r="DQ10" t="n">
        <v>5.923</v>
      </c>
      <c r="DR10" t="n">
        <v>5.946</v>
      </c>
      <c r="DS10" t="n">
        <v>5.923</v>
      </c>
      <c r="DT10" t="n">
        <v>5.946</v>
      </c>
      <c r="DU10" t="n">
        <v>5.923</v>
      </c>
      <c r="DV10" t="n">
        <v>5.946</v>
      </c>
      <c r="DW10" t="n">
        <v>5.923</v>
      </c>
      <c r="DX10" t="n">
        <v>5.946</v>
      </c>
      <c r="DY10" t="n">
        <v>5.923</v>
      </c>
      <c r="DZ10" t="n">
        <v>5.946</v>
      </c>
      <c r="EA10" t="n">
        <v>5.923</v>
      </c>
      <c r="EB10" t="n">
        <v>5.946</v>
      </c>
      <c r="EC10" t="n">
        <v>5.923</v>
      </c>
      <c r="ED10" t="n">
        <v>5.946</v>
      </c>
      <c r="EE10" t="n">
        <v>5.923</v>
      </c>
      <c r="EF10" t="n">
        <v>5.946</v>
      </c>
      <c r="EH10" t="inlineStr">
        <is>
          <t>NP-03</t>
        </is>
      </c>
      <c r="EI10" t="inlineStr">
        <is>
          <t>N+3.00</t>
        </is>
      </c>
      <c r="EJ10" t="n">
        <v>4.327</v>
      </c>
      <c r="EK10" t="n">
        <v>2.921</v>
      </c>
      <c r="EL10" t="n">
        <v>5.923</v>
      </c>
      <c r="EM10" t="n">
        <v>2.921</v>
      </c>
      <c r="EO10">
        <f>IF(INDEX($CV$8:$CV$39,MATCH(CROQUIS!$C$7,$CU$8:$CU$39,0))="N+3.00",INDEX($DA$8:$DA$39,MATCH(CROQUIS!$C$7,$CU$8:$CU$39,0)),-100)</f>
        <v>4.426</v>
      </c>
      <c r="EP10">
        <f>IF(INDEX($CV$8:$CV$39,MATCH(CROQUIS!$C$7,$CU$8:$CU$39,0))="N+3.00",INDEX($DB$8:$DB$39,MATCH(CROQUIS!$C$7,$CU$8:$CU$39,0)),-100)</f>
        <v>21.446</v>
      </c>
      <c r="ES10">
        <f>IF(INDEX($CV$8:$CV$39,MATCH(CROQUIS!$C$7,$CU$8:$CU$39,0))="N+6.00",INDEX($DA$8:$DA$39,MATCH(CROQUIS!$C$7,$CU$8:$CU$39,0)),-100)</f>
        <v>-100</v>
      </c>
      <c r="ET10">
        <f>IF(INDEX($CV$8:$CV$39,MATCH(CROQUIS!$C$7,$CU$8:$CU$39,0))="N+6.00",INDEX($DB$8:$DB$39,MATCH(CROQUIS!$C$7,$CU$8:$CU$39,0)),-100)</f>
        <v>-100</v>
      </c>
      <c r="EX10" t="inlineStr">
        <is>
          <t>F80004</t>
        </is>
      </c>
      <c r="EY10" t="n">
        <v>5.125</v>
      </c>
      <c r="EZ10" t="n">
        <v>4.433</v>
      </c>
      <c r="FA10" t="inlineStr">
        <is>
          <t>N+3.00</t>
        </is>
      </c>
    </row>
    <row r="11">
      <c r="A11" t="n">
        <v>4</v>
      </c>
      <c r="B11">
        <f>CHOOSE(MIN(MAX($A11,1),5),CROQUIS!$C$15,CROQUIS!$C$15+CROQUIS!$C$10*CROQUIS!$C$14,CROQUIS!$C$15+CROQUIS!$C$10*CROQUIS!$C$14,CROQUIS!$C$15,CROQUIS!$C$15)</f>
        <v>12</v>
      </c>
      <c r="C11">
        <f>CHOOSE(MIN(MAX($A11,1),5),CROQUIS!$C$16,CROQUIS!$C$16,CROQUIS!$C$16+CROQUIS!$C$11*CROQUIS!$C$14,CROQUIS!$C$16+CROQUIS!$C$11*CROQUIS!$C$14,CROQUIS!$C$16)</f>
        <v>90.0537731586082</v>
      </c>
      <c r="D11">
        <f>CHOOSE(MIN(MAX($A11,1),5),CROQUIS!$C$15+DATOS!$C$17/2*CROQUIS!$C$14,CROQUIS!$C$15+CROQUIS!$C$10*CROQUIS!$C$14-DATOS!$C$17/2*CROQUIS!$C$14,CROQUIS!$C$15+CROQUIS!$C$10*CROQUIS!$C$14-DATOS!$C$17/2*CROQUIS!$C$14,CROQUIS!$C$15+DATOS!$C$17/2*CROQUIS!$C$14,CROQUIS!$C$15+DATOS!$C$17/2*CROQUIS!$C$14)</f>
        <v>13.3895164934478</v>
      </c>
      <c r="E11">
        <f>CHOOSE(MIN(MAX($A11,1),5),CROQUIS!$C$16+DATOS!$C$17/2*CROQUIS!$C$14,CROQUIS!$C$16+DATOS!$C$17/2*CROQUIS!$C$14,CROQUIS!$C$16+CROQUIS!$C$11*CROQUIS!$C$14-DATOS!$C$17/2*CROQUIS!$C$14,CROQUIS!$C$16+CROQUIS!$C$11*CROQUIS!$C$14-DATOS!$C$17/2*CROQUIS!$C$14,CROQUIS!$C$16+DATOS!$C$17/2*CROQUIS!$C$14)</f>
        <v>88.6642566651604</v>
      </c>
      <c r="F11">
        <f>IF(NERVADURA!$C$118=0,CROQUIS!$C$15+CROQUIS!$C$10*CROQUIS!$C$14/2,CROQUIS!$C$15+(DATOS!$C$17/2+NERVADURA!$C$119+INT(MIN(INT(($A11-1)/2),MAX(2*NERVADURA!$C$118-1,0))/2)*DATOS!$C$16+MOD(MIN(INT(($A11-1)/2),MAX(2*NERVADURA!$C$118-1,0)),2)*DATOS!$C$11)*CROQUIS!$C$14)</f>
        <v>26.136014460009</v>
      </c>
      <c r="G11">
        <f>IF(NERVADURA!$C$118=0,CROQUIS!$C$16+CROQUIS!$C$11*CROQUIS!$C$14/2,CROQUIS!$C$16+IF(MOD(MIN(INT(($A11-1)/2),MAX(2*NERVADURA!$C$118-1,0)),2)=0,IF(IF(INT(($A11-1)/2)&gt;MAX(2*NERVADURA!$C$118-1,0),1,MOD($A11-1,2))=0,(DATOS!$C$17/2+NERVADURA!$C$121),(CROQUIS!$C$11-DATOS!$C$17/2-NERVADURA!$C$121)),IF(IF(INT(($A11-1)/2)&gt;MAX(2*NERVADURA!$C$118-1,0),1,MOD($A11-1,2))=0,(CROQUIS!$C$11-DATOS!$C$17/2-NERVADURA!$C$121),(DATOS!$C$17/2+NERVADURA!$C$121)))*CROQUIS!$C$14)</f>
        <v>21.504292815183</v>
      </c>
      <c r="H11">
        <f>IF(NERVADURA!$C$120=0,CROQUIS!$C$15+CROQUIS!$C$10*CROQUIS!$C$14/2,CROQUIS!$C$15+IF(MOD(MIN(INT(($A11-1)/2),MAX(2*NERVADURA!$C$120-1,0)),2)=0,IF(IF(INT(($A11-1)/2)&gt;MAX(2*NERVADURA!$C$120-1,0),1,MOD($A11-1,2))=0,(DATOS!$C$17/2+NERVADURA!$C$119),(CROQUIS!$C$10-DATOS!$C$17/2-NERVADURA!$C$119)),IF(IF(INT(($A11-1)/2)&gt;MAX(2*NERVADURA!$C$120-1,0),1,MOD($A11-1,2))=0,(CROQUIS!$C$10-DATOS!$C$17/2-NERVADURA!$C$119),(DATOS!$C$17/2+NERVADURA!$C$119)))*CROQUIS!$C$14)</f>
        <v>15.0198825124266</v>
      </c>
      <c r="I11">
        <f>IF(NERVADURA!$C$120=0,CROQUIS!$C$16+CROQUIS!$C$11*CROQUIS!$C$14/2,CROQUIS!$C$16+(DATOS!$C$17/2+NERVADURA!$C$121+INT(MIN(INT(($A11-1)/2),MAX(2*NERVADURA!$C$120-1,0))/2)*DATOS!$C$16+MOD(MIN(INT(($A11-1)/2),MAX(2*NERVADURA!$C$120-1,0)),2)*DATOS!$C$11)*CROQUIS!$C$14)</f>
        <v>32.6204247627655</v>
      </c>
      <c r="J11">
        <f>IF(CROQUIS!$C$12="X",IF($A11&lt;=1,CROQUIS!$C$15+(0.02)*CROQUIS!$C$10*CROQUIS!$C$14,CROQUIS!$C$15+(0.98)*CROQUIS!$C$10*CROQUIS!$C$14),CROQUIS!$C$15+CROQUIS!$C$10*CROQUIS!$C$14/2+-1.2)</f>
        <v>51.8</v>
      </c>
      <c r="K11">
        <f>IF(CROQUIS!$C$12="X",CROQUIS!$C$16+CROQUIS!$C$11*CROQUIS!$C$14/2+-1.2,IF($A11&lt;=1,CROQUIS!$C$16+(0.02)*CROQUIS!$C$11*CROQUIS!$C$14,CROQUIS!$C$16+(0.98)*CROQUIS!$C$11*CROQUIS!$C$14))</f>
        <v>88.5716222322639</v>
      </c>
      <c r="L11">
        <f>IF(CROQUIS!$C$12="X",IF($A11&lt;=1,CROQUIS!$C$15+(0)*CROQUIS!$C$10*CROQUIS!$C$14,CROQUIS!$C$15+(IF(CROQUIS!$C$9="VOLADO",1,DATOS!$C$51*NERVADURA!$C$15/(NERVADURA!$C$15)))*CROQUIS!$C$10*CROQUIS!$C$14),CROQUIS!$C$15+CROQUIS!$C$10*CROQUIS!$C$14/2+1.2)</f>
        <v>54.2</v>
      </c>
      <c r="M11">
        <f>IF(CROQUIS!$C$12="X",CROQUIS!$C$16+CROQUIS!$C$11*CROQUIS!$C$14/2+1.2,IF($A11&lt;=1,CROQUIS!$C$16+(0)*CROQUIS!$C$11*CROQUIS!$C$14,CROQUIS!$C$16+(IF(CROQUIS!$C$9="VOLADO",1,DATOS!$C$51*NERVADURA!$C$15/(NERVADURA!$C$15)))*CROQUIS!$C$11*CROQUIS!$C$14))</f>
        <v>38.1784907365567</v>
      </c>
      <c r="N11">
        <f>IF(CROQUIS!$C$12="X",IF($A11&lt;=1,CROQUIS!$C$15+(IF(CROQUIS!$C$9="VOLADO",1,1-DATOS!$C$51))*CROQUIS!$C$10*CROQUIS!$C$14,CROQUIS!$C$15+(1)*CROQUIS!$C$10*CROQUIS!$C$14),CROQUIS!$C$15+CROQUIS!$C$10*CROQUIS!$C$14/2+1.2)</f>
        <v>54.2</v>
      </c>
      <c r="O11">
        <f>IF(CROQUIS!$C$12="X",CROQUIS!$C$16+CROQUIS!$C$11*CROQUIS!$C$14/2+1.2,IF($A11&lt;=1,CROQUIS!$C$16+(IF(CROQUIS!$C$9="VOLADO",1,1-DATOS!$C$51))*CROQUIS!$C$11*CROQUIS!$C$14,CROQUIS!$C$16+(1)*CROQUIS!$C$11*CROQUIS!$C$14))</f>
        <v>90.0537731586082</v>
      </c>
      <c r="P11">
        <f>IF(CROQUIS!$C$12="Y",IF($A11&lt;=1,CROQUIS!$C$15+(0.02)*CROQUIS!$C$10*CROQUIS!$C$14,CROQUIS!$C$15+(0.98)*CROQUIS!$C$10*CROQUIS!$C$14),CROQUIS!$C$15+CROQUIS!$C$10*CROQUIS!$C$14/2+-1.2)</f>
        <v>92.36</v>
      </c>
      <c r="Q11">
        <f>IF(CROQUIS!$C$12="Y",CROQUIS!$C$16+CROQUIS!$C$11*CROQUIS!$C$14/2+(-1.2)+0.0,IF($A11&lt;=1,CROQUIS!$C$16+(0.02)*CROQUIS!$C$11*CROQUIS!$C$14,CROQUIS!$C$16+(0.98)*CROQUIS!$C$11*CROQUIS!$C$14))</f>
        <v>51.8</v>
      </c>
      <c r="R11">
        <f>IF(CROQUIS!$C$12="Y",IF($A11&lt;=1,CROQUIS!$C$15+(0)*CROQUIS!$C$10*CROQUIS!$C$14,CROQUIS!$C$15+(IF(CROQUIS!$C$9="VOLADO",1,DATOS!$C$51*NERVADURA!$C$16/(NERVADURA!$C$16)))*CROQUIS!$C$10*CROQUIS!$C$14),CROQUIS!$C$15+CROQUIS!$C$10*CROQUIS!$C$14/2+1.2)</f>
        <v>36.6</v>
      </c>
      <c r="S11">
        <f>IF(CROQUIS!$C$12="Y",CROQUIS!$C$16+CROQUIS!$C$11*CROQUIS!$C$14/2+(1.2)+0.0,IF($A11&lt;=1,CROQUIS!$C$16+(0)*CROQUIS!$C$11*CROQUIS!$C$14,CROQUIS!$C$16+(IF(CROQUIS!$C$9="VOLADO",1,DATOS!$C$51*NERVADURA!$C$16/(NERVADURA!$C$16)))*CROQUIS!$C$11*CROQUIS!$C$14))</f>
        <v>54.2</v>
      </c>
      <c r="T11">
        <f>IF(CROQUIS!$C$12="Y",IF($A11&lt;=1,CROQUIS!$C$15+(IF(CROQUIS!$C$9="VOLADO",1,1-DATOS!$C$51))*CROQUIS!$C$10*CROQUIS!$C$14,CROQUIS!$C$15+(1)*CROQUIS!$C$10*CROQUIS!$C$14),CROQUIS!$C$15+CROQUIS!$C$10*CROQUIS!$C$14/2+1.2)</f>
        <v>94</v>
      </c>
      <c r="U11">
        <f>IF(CROQUIS!$C$12="Y",CROQUIS!$C$16+CROQUIS!$C$11*CROQUIS!$C$14/2+(1.2)+0.0,IF($A11&lt;=1,CROQUIS!$C$16+(IF(CROQUIS!$C$9="VOLADO",1,1-DATOS!$C$51))*CROQUIS!$C$11*CROQUIS!$C$14,CROQUIS!$C$16+(1)*CROQUIS!$C$11*CROQUIS!$C$14))</f>
        <v>54.2</v>
      </c>
      <c r="V11">
        <f>CHOOSE(MIN(MAX($A11,1),7),CROQUIS!$C$15,CROQUIS!$C$15,CROQUIS!$C$15,(CROQUIS!$C$15+CROQUIS!$C$15+CROQUIS!$C$10*CROQUIS!$C$14)/2,CROQUIS!$C$15+CROQUIS!$C$10*CROQUIS!$C$14,CROQUIS!$C$15+CROQUIS!$C$10*CROQUIS!$C$14,CROQUIS!$C$15+CROQUIS!$C$10*CROQUIS!$C$14)</f>
        <v>53</v>
      </c>
      <c r="W11">
        <f>CHOOSE(MIN(MAX($A11,1),7),CROQUIS!$C$16-5-1.5,CROQUIS!$C$16-5+1.5,CROQUIS!$C$16-5,CROQUIS!$C$16-5,CROQUIS!$C$16-5,CROQUIS!$C$16-5+1.5,CROQUIS!$C$16-5-1.5)</f>
        <v>10.9462268413918</v>
      </c>
      <c r="X11">
        <f>CHOOSE(MIN(MAX($A11,1),7),CROQUIS!$C$15-5-1.5,CROQUIS!$C$15-5+1.5,CROQUIS!$C$15-5,CROQUIS!$C$15-5,CROQUIS!$C$15-5,CROQUIS!$C$15-5+1.5,CROQUIS!$C$15-5-1.5)</f>
        <v>7</v>
      </c>
      <c r="Y11">
        <f>CHOOSE(MIN(MAX($A11,1),7),CROQUIS!$C$16,CROQUIS!$C$16,CROQUIS!$C$16,(CROQUIS!$C$16+CROQUIS!$C$16+CROQUIS!$C$11*CROQUIS!$C$14)/2,CROQUIS!$C$16+CROQUIS!$C$11*CROQUIS!$C$14,CROQUIS!$C$16+CROQUIS!$C$11*CROQUIS!$C$14,CROQUIS!$C$16+CROQUIS!$C$11*CROQUIS!$C$14)</f>
        <v>53</v>
      </c>
      <c r="Z11">
        <f>CHOOSE(MIN(MAX($A11,1),7),CROQUIS!$C$15+(DATOS!$C$17/2+NERVADURA!$C$119)*CROQUIS!$C$14,CROQUIS!$C$15+(DATOS!$C$17/2+NERVADURA!$C$119)*CROQUIS!$C$14,CROQUIS!$C$15+(DATOS!$C$17/2+NERVADURA!$C$119)*CROQUIS!$C$14,(CROQUIS!$C$15+(DATOS!$C$17/2+NERVADURA!$C$119)*CROQUIS!$C$14+CROQUIS!$C$15+(DATOS!$C$17/2+NERVADURA!$C$119+DATOS!$C$16)*CROQUIS!$C$14)/2,CROQUIS!$C$15+(DATOS!$C$17/2+NERVADURA!$C$119+DATOS!$C$16)*CROQUIS!$C$14,CROQUIS!$C$15+(DATOS!$C$17/2+NERVADURA!$C$119+DATOS!$C$16)*CROQUIS!$C$14,CROQUIS!$C$15+(DATOS!$C$17/2+NERVADURA!$C$119+DATOS!$C$16)*CROQUIS!$C$14)</f>
        <v>21.504292815183</v>
      </c>
      <c r="AA11">
        <f>CHOOSE(MIN(MAX($A11,1),7),CROQUIS!$C$16+CROQUIS!$C$11*CROQUIS!$C$14+4-1.5,CROQUIS!$C$16+CROQUIS!$C$11*CROQUIS!$C$14+4+1.5,CROQUIS!$C$16+CROQUIS!$C$11*CROQUIS!$C$14+4,CROQUIS!$C$16+CROQUIS!$C$11*CROQUIS!$C$14+4,CROQUIS!$C$16+CROQUIS!$C$11*CROQUIS!$C$14+4,CROQUIS!$C$16+CROQUIS!$C$11*CROQUIS!$C$14+4+1.5,CROQUIS!$C$16+CROQUIS!$C$11*CROQUIS!$C$14+4-1.5)</f>
        <v>94.0537731586082</v>
      </c>
      <c r="AB11">
        <f>CHOOSE(MIN(MAX($A11,1),9),-DATOS!$C$16/2,DATOS!$C$16/2,DATOS!$C$16/2,DATOS!$C$13/2,DATOS!$C$13/2,-DATOS!$C$13/2,-DATOS!$C$13/2,-DATOS!$C$16/2,-DATOS!$C$16/2)</f>
        <v>5</v>
      </c>
      <c r="AC11">
        <f>CHOOSE(MIN(MAX($A11,1),9),DATOS!$C$15,DATOS!$C$15,DATOS!$C$12,DATOS!$C$12,0,0,DATOS!$C$12,DATOS!$C$12,DATOS!$C$15)</f>
        <v>20</v>
      </c>
      <c r="AD11">
        <f>CHOOSE(MIN(MAX($A11,1),5),-DATOS!$C$16/2,-DATOS!$C$13/2,-DATOS!$C$13/2,-DATOS!$C$16/2,-DATOS!$C$16/2)</f>
        <v>-35</v>
      </c>
      <c r="AE11">
        <f>CHOOSE(MIN(MAX($A11,1),5),0,0,DATOS!$C$12,DATOS!$C$12,0)</f>
        <v>20</v>
      </c>
      <c r="AF11">
        <f>CHOOSE(MIN(MAX($A11,1),5),DATOS!$C$13/2,DATOS!$C$16/2,DATOS!$C$16/2,DATOS!$C$13/2,DATOS!$C$13/2)</f>
        <v>5</v>
      </c>
      <c r="AG11">
        <f>CHOOSE(MIN(MAX($A11,1),5),0,0,DATOS!$C$12,DATOS!$C$12,0)</f>
        <v>20</v>
      </c>
      <c r="AN11">
        <f>CHOOSE(MIN(MAX($A11,1),5),-(DATOS!$C$13/2-DATOS!$C$18),(DATOS!$C$13/2-DATOS!$C$18),(DATOS!$C$13/2-DATOS!$C$18),-(DATOS!$C$13/2-DATOS!$C$18),-(DATOS!$C$13/2-DATOS!$C$18))</f>
        <v>-3</v>
      </c>
      <c r="AO11">
        <f>CHOOSE(MIN(MAX($A11,1),5),DATOS!$C$18,DATOS!$C$18,DATOS!$C$15-DATOS!$C$18,DATOS!$C$15-DATOS!$C$18,DATOS!$C$18)</f>
        <v>23</v>
      </c>
      <c r="AP11">
        <f>CHOOSE(MIN(MAX($A11,1),7),-DATOS!$C$13/2,-DATOS!$C$13/2,-DATOS!$C$13/2,(-DATOS!$C$13/2+DATOS!$C$13/2)/2,DATOS!$C$13/2,DATOS!$C$13/2,DATOS!$C$13/2)</f>
        <v>0</v>
      </c>
      <c r="AQ11">
        <f>CHOOSE(MIN(MAX($A11,1),7),-4-1.5,-4+1.5,-4,-4,-4,-4+1.5,-4-1.5)</f>
        <v>-4</v>
      </c>
      <c r="AR11">
        <f>CHOOSE(MIN(MAX($A11,1),7),-DATOS!$C$16/2,-DATOS!$C$16/2,-DATOS!$C$16/2,(-DATOS!$C$16/2+DATOS!$C$16/2)/2,DATOS!$C$16/2,DATOS!$C$16/2,DATOS!$C$16/2)</f>
        <v>0</v>
      </c>
      <c r="AS11">
        <f>CHOOSE(MIN(MAX($A11,1),7),DATOS!$C$15+4-1.5,DATOS!$C$15+4+1.5,DATOS!$C$15+4,DATOS!$C$15+4,DATOS!$C$15+4,DATOS!$C$15+4+1.5,DATOS!$C$15+4-1.5)</f>
        <v>29</v>
      </c>
      <c r="AT11">
        <f>CHOOSE(MIN(MAX($A11,1),7),DATOS!$C$16/2+4-1.5,DATOS!$C$16/2+4+1.5,DATOS!$C$16/2+4,DATOS!$C$16/2+4,DATOS!$C$16/2+4,DATOS!$C$16/2+4+1.5,DATOS!$C$16/2+4-1.5)</f>
        <v>39</v>
      </c>
      <c r="AU11">
        <f>CHOOSE(MIN(MAX($A11,1),7),0,0,0,(0+DATOS!$C$15)/2,DATOS!$C$15,DATOS!$C$15,DATOS!$C$15)</f>
        <v>12.5</v>
      </c>
      <c r="AV11">
        <f>CHOOSE(MIN(MAX($A11,1),5),0,100,100,0,0)</f>
        <v>0</v>
      </c>
      <c r="AW11">
        <f>CHOOSE(MIN(MAX($A11,1),5),0,0,12,12,0)</f>
        <v>12</v>
      </c>
      <c r="AX11">
        <f>CHOOSE(MIN(MAX($A11,1),5),-3,0,0,-3,-3)</f>
        <v>-3</v>
      </c>
      <c r="AY11">
        <f>CHOOSE(MIN(MAX($A11,1),5),-10,-10,12,12,-10)</f>
        <v>12</v>
      </c>
      <c r="AZ11">
        <f>CHOOSE(MIN(MAX($A11,1),5),IF(CROQUIS!$C$9="VOLADO",-3,100),IF(CROQUIS!$C$9="VOLADO",0,103),IF(CROQUIS!$C$9="VOLADO",0,103),IF(CROQUIS!$C$9="VOLADO",-3,100),IF(CROQUIS!$C$9="VOLADO",-3,100))</f>
        <v>100</v>
      </c>
      <c r="BA11">
        <f>CHOOSE(MIN(MAX($A11,1),5),-10,-10,12,12,-10)</f>
        <v>12</v>
      </c>
      <c r="BB11">
        <f>CHOOSE(MIN(MAX($A11,1),4),1.5,1.5,98.5,98.5)</f>
        <v>98.5</v>
      </c>
      <c r="BC11">
        <f>CHOOSE(MIN(MAX($A11,1),4),4,1.5,1.5,4)</f>
        <v>4</v>
      </c>
      <c r="BH11">
        <f>CHOOSE(MIN(MAX($A11,1),7),0,0,0,(0+100)/2,100,100,100)</f>
        <v>50</v>
      </c>
      <c r="BI11">
        <f>CHOOSE(MIN(MAX($A11,1),7),-14-1.5,-14+1.5,-14,-14,-14,-14+1.5,-14-1.5)</f>
        <v>-14</v>
      </c>
      <c r="BJ11">
        <f>CHOOSE(MIN(MAX($A11,1),9),-35,35,35,CROQUIS!$C$30/2,CROQUIS!$C$30/2,-CROQUIS!$C$30/2,-CROQUIS!$C$30/2,-35,-35)</f>
        <v>7.5</v>
      </c>
      <c r="BK11">
        <f>CHOOSE(MIN(MAX($A11,1),9),CROQUIS!$C$31,CROQUIS!$C$31,CROQUIS!$C$31-DATOS!$C$14,CROQUIS!$C$31-DATOS!$C$14,0,0,CROQUIS!$C$31-DATOS!$C$14,CROQUIS!$C$31-DATOS!$C$14,CROQUIS!$C$31)</f>
        <v>20</v>
      </c>
      <c r="BL11">
        <f>CHOOSE(MIN(MAX($A11,1),5),-35,-CROQUIS!$C$30/2,-CROQUIS!$C$30/2,-35,-35)</f>
        <v>-35</v>
      </c>
      <c r="BM11">
        <f>CHOOSE(MIN(MAX($A11,1),5),CROQUIS!$C$31-DATOS!$C$14-DATOS!$C$12,CROQUIS!$C$31-DATOS!$C$14-DATOS!$C$12,CROQUIS!$C$31-DATOS!$C$14,CROQUIS!$C$31-DATOS!$C$14,CROQUIS!$C$31-DATOS!$C$14-DATOS!$C$12)</f>
        <v>20</v>
      </c>
      <c r="BN11">
        <f>CHOOSE(MIN(MAX($A11,1),5),CROQUIS!$C$30/2,35,35,CROQUIS!$C$30/2,CROQUIS!$C$30/2)</f>
        <v>7.5</v>
      </c>
      <c r="BO11">
        <f>CHOOSE(MIN(MAX($A11,1),5),CROQUIS!$C$31-DATOS!$C$14-DATOS!$C$12,CROQUIS!$C$31-DATOS!$C$14-DATOS!$C$12,CROQUIS!$C$31-DATOS!$C$14,CROQUIS!$C$31-DATOS!$C$14,CROQUIS!$C$31-DATOS!$C$14-DATOS!$C$12)</f>
        <v>20</v>
      </c>
      <c r="BP11">
        <f>CHOOSE(MIN(MAX($A11,1),5),-(CROQUIS!$C$30/2-DATOS!$C$18-INDEX(TABLAS!$C$52:$C$58,MATCH(DATOS!$C$95,TABLAS!$B$52:$B$58,0))/2),(CROQUIS!$C$30/2-DATOS!$C$18-INDEX(TABLAS!$C$52:$C$58,MATCH(DATOS!$C$95,TABLAS!$B$52:$B$58,0))/2),(CROQUIS!$C$30/2-DATOS!$C$18-INDEX(TABLAS!$C$52:$C$58,MATCH(DATOS!$C$95,TABLAS!$B$52:$B$58,0))/2),-(CROQUIS!$C$30/2-DATOS!$C$18-INDEX(TABLAS!$C$52:$C$58,MATCH(DATOS!$C$95,TABLAS!$B$52:$B$58,0))/2),-(CROQUIS!$C$30/2-DATOS!$C$18-INDEX(TABLAS!$C$52:$C$58,MATCH(DATOS!$C$95,TABLAS!$B$52:$B$58,0))/2))</f>
        <v>-5.105</v>
      </c>
      <c r="BQ11">
        <f>CHOOSE(MIN(MAX($A11,1),5),DATOS!$C$18+INDEX(TABLAS!$C$52:$C$58,MATCH(DATOS!$C$95,TABLAS!$B$52:$B$58,0))/2,DATOS!$C$18+INDEX(TABLAS!$C$52:$C$58,MATCH(DATOS!$C$95,TABLAS!$B$52:$B$58,0))/2,CROQUIS!$C$31-DATOS!$C$18-INDEX(TABLAS!$C$52:$C$58,MATCH(DATOS!$C$95,TABLAS!$B$52:$B$58,0))/2,CROQUIS!$C$31-DATOS!$C$18-INDEX(TABLAS!$C$52:$C$58,MATCH(DATOS!$C$95,TABLAS!$B$52:$B$58,0))/2,DATOS!$C$18+INDEX(TABLAS!$C$52:$C$58,MATCH(DATOS!$C$95,TABLAS!$B$52:$B$58,0))/2)</f>
        <v>22.605</v>
      </c>
      <c r="BR11">
        <f>IF(CROQUIS!$C$32&lt;=1,0,-(CROQUIS!$C$30-2*DATOS!$C$18-2*INDEX(TABLAS!$C$52:$C$58,MATCH(DATOS!$C$95,TABLAS!$B$52:$B$58,0))-INDEX(TABLAS!$C$52:$C$58,MATCH(MAX(CROQUIS!$C$33,3),TABLAS!$B$52:$B$58,0)))/2+(MIN($A11,CROQUIS!$C$32)-1)*(CROQUIS!$C$30-2*DATOS!$C$18-2*INDEX(TABLAS!$C$52:$C$58,MATCH(DATOS!$C$95,TABLAS!$B$52:$B$58,0))-INDEX(TABLAS!$C$52:$C$58,MATCH(MAX(CROQUIS!$C$33,3),TABLAS!$B$52:$B$58,0)))/(CROQUIS!$C$32-1))</f>
        <v>3.755</v>
      </c>
      <c r="BS11">
        <f>IF(CROQUIS!$C$32=0,-100,DATOS!$C$18+INDEX(TABLAS!$C$52:$C$58,MATCH(DATOS!$C$95,TABLAS!$B$52:$B$58,0))+INDEX(TABLAS!$C$52:$C$58,MATCH(MAX(CROQUIS!$C$33,3),TABLAS!$B$52:$B$58,0))/2)</f>
        <v>3.745</v>
      </c>
      <c r="BT11">
        <f>IF(CROQUIS!$C$34&lt;=1,0,-(CROQUIS!$C$30-2*DATOS!$C$18-2*INDEX(TABLAS!$C$52:$C$58,MATCH(DATOS!$C$95,TABLAS!$B$52:$B$58,0))-INDEX(TABLAS!$C$52:$C$58,MATCH(MAX(CROQUIS!$C$35,3),TABLAS!$B$52:$B$58,0)))/2+(MIN($A11,CROQUIS!$C$34)-1)*(CROQUIS!$C$30-2*DATOS!$C$18-2*INDEX(TABLAS!$C$52:$C$58,MATCH(DATOS!$C$95,TABLAS!$B$52:$B$58,0))-INDEX(TABLAS!$C$52:$C$58,MATCH(MAX(CROQUIS!$C$35,3),TABLAS!$B$52:$B$58,0)))/(CROQUIS!$C$34-1))</f>
        <v>4.075</v>
      </c>
      <c r="BU11">
        <f>IF(CROQUIS!$C$34=0,-100,CROQUIS!$C$31-DATOS!$C$18-INDEX(TABLAS!$C$52:$C$58,MATCH(DATOS!$C$95,TABLAS!$B$52:$B$58,0))-INDEX(TABLAS!$C$52:$C$58,MATCH(MAX(CROQUIS!$C$35,3),TABLAS!$B$52:$B$58,0))/2)</f>
        <v>21.575</v>
      </c>
      <c r="BV11">
        <f>CHOOSE(MIN(MAX($A11,1),7),-CROQUIS!$C$30/2,-CROQUIS!$C$30/2,-CROQUIS!$C$30/2,(-CROQUIS!$C$30/2+CROQUIS!$C$30/2)/2,CROQUIS!$C$30/2,CROQUIS!$C$30/2,CROQUIS!$C$30/2)</f>
        <v>0</v>
      </c>
      <c r="BW11">
        <f>CHOOSE(MIN(MAX($A11,1),7),-5-1.5,-5+1.5,-5,-5,-5,-5+1.5,-5-1.5)</f>
        <v>-5</v>
      </c>
      <c r="BX11">
        <f>CHOOSE(MIN(MAX($A11,1),7),38-1.5,38+1.5,38,38,38,38+1.5,38-1.5)</f>
        <v>38</v>
      </c>
      <c r="BY11">
        <f>CHOOSE(MIN(MAX($A11,1),7),0,0,0,(0+CROQUIS!$C$31)/2,CROQUIS!$C$31,CROQUIS!$C$31,CROQUIS!$C$31)</f>
        <v>12.5</v>
      </c>
      <c r="CA11" t="n">
        <v>0</v>
      </c>
      <c r="CB11" t="n">
        <v>1.919</v>
      </c>
      <c r="CC11" t="n">
        <v>2.925</v>
      </c>
      <c r="CD11" t="n">
        <v>5.946</v>
      </c>
      <c r="CE11" t="n">
        <v>0</v>
      </c>
      <c r="CF11" t="n">
        <v>2.921</v>
      </c>
      <c r="CG11" t="n">
        <v>0.075</v>
      </c>
      <c r="CH11" t="n">
        <v>7.946</v>
      </c>
      <c r="CI11" t="n">
        <v>-1.6</v>
      </c>
      <c r="CJ11" t="n">
        <v>24.371</v>
      </c>
      <c r="CK11" t="n">
        <v>0</v>
      </c>
      <c r="CL11" t="n">
        <v>1.919</v>
      </c>
      <c r="CM11" t="n">
        <v>0</v>
      </c>
      <c r="CN11" t="n">
        <v>2.921</v>
      </c>
      <c r="CO11" t="n">
        <v>0</v>
      </c>
      <c r="CP11" t="n">
        <v>16.997</v>
      </c>
      <c r="CQ11" t="n">
        <v>0.075</v>
      </c>
      <c r="CR11" t="n">
        <v>7.946</v>
      </c>
      <c r="CS11" t="n">
        <v>0</v>
      </c>
      <c r="CT11" t="n">
        <v>6.948</v>
      </c>
      <c r="CU11" t="inlineStr">
        <is>
          <t>F80005 N+3.00</t>
        </is>
      </c>
      <c r="CV11" t="inlineStr">
        <is>
          <t>N+3.00</t>
        </is>
      </c>
      <c r="CW11" t="n">
        <v>0</v>
      </c>
      <c r="CX11" t="n">
        <v>5.346</v>
      </c>
      <c r="CY11" t="n">
        <v>2.925</v>
      </c>
      <c r="CZ11" t="n">
        <v>5.346</v>
      </c>
      <c r="DA11" t="n">
        <v>2.925</v>
      </c>
      <c r="DB11" t="n">
        <v>6.948</v>
      </c>
      <c r="DC11" t="n">
        <v>0</v>
      </c>
      <c r="DD11" t="n">
        <v>6.948</v>
      </c>
      <c r="DE11" t="n">
        <v>0</v>
      </c>
      <c r="DF11" t="n">
        <v>5.346</v>
      </c>
      <c r="DG11" t="n">
        <v>0</v>
      </c>
      <c r="DH11" t="n">
        <v>5.346</v>
      </c>
      <c r="DI11" t="n">
        <v>0</v>
      </c>
      <c r="DJ11" t="n">
        <v>5.346</v>
      </c>
      <c r="DK11" t="n">
        <v>0</v>
      </c>
      <c r="DL11" t="n">
        <v>5.346</v>
      </c>
      <c r="DM11" t="n">
        <v>0</v>
      </c>
      <c r="DN11" t="n">
        <v>5.346</v>
      </c>
      <c r="DO11" t="n">
        <v>0</v>
      </c>
      <c r="DP11" t="n">
        <v>5.346</v>
      </c>
      <c r="DQ11" t="n">
        <v>0</v>
      </c>
      <c r="DR11" t="n">
        <v>5.346</v>
      </c>
      <c r="DS11" t="n">
        <v>0</v>
      </c>
      <c r="DT11" t="n">
        <v>5.346</v>
      </c>
      <c r="DU11" t="n">
        <v>0</v>
      </c>
      <c r="DV11" t="n">
        <v>5.346</v>
      </c>
      <c r="DW11" t="n">
        <v>0</v>
      </c>
      <c r="DX11" t="n">
        <v>5.346</v>
      </c>
      <c r="DY11" t="n">
        <v>0</v>
      </c>
      <c r="DZ11" t="n">
        <v>5.346</v>
      </c>
      <c r="EA11" t="n">
        <v>0</v>
      </c>
      <c r="EB11" t="n">
        <v>5.346</v>
      </c>
      <c r="EC11" t="n">
        <v>0</v>
      </c>
      <c r="ED11" t="n">
        <v>5.346</v>
      </c>
      <c r="EE11" t="n">
        <v>0</v>
      </c>
      <c r="EF11" t="n">
        <v>5.346</v>
      </c>
      <c r="EH11" t="inlineStr">
        <is>
          <t>NP-04</t>
        </is>
      </c>
      <c r="EI11" t="inlineStr">
        <is>
          <t>N+3.00</t>
        </is>
      </c>
      <c r="EJ11" t="n">
        <v>2.925</v>
      </c>
      <c r="EK11" t="n">
        <v>6.948</v>
      </c>
      <c r="EL11" t="n">
        <v>4.327</v>
      </c>
      <c r="EM11" t="n">
        <v>6.948</v>
      </c>
      <c r="EO11">
        <f>IF(INDEX($CV$8:$CV$39,MATCH(CROQUIS!$C$7,$CU$8:$CU$39,0))="N+3.00",INDEX($DC$8:$DC$39,MATCH(CROQUIS!$C$7,$CU$8:$CU$39,0)),-100)</f>
        <v>0</v>
      </c>
      <c r="EP11">
        <f>IF(INDEX($CV$8:$CV$39,MATCH(CROQUIS!$C$7,$CU$8:$CU$39,0))="N+3.00",INDEX($DD$8:$DD$39,MATCH(CROQUIS!$C$7,$CU$8:$CU$39,0)),-100)</f>
        <v>21.446</v>
      </c>
      <c r="ES11">
        <f>IF(INDEX($CV$8:$CV$39,MATCH(CROQUIS!$C$7,$CU$8:$CU$39,0))="N+6.00",INDEX($DC$8:$DC$39,MATCH(CROQUIS!$C$7,$CU$8:$CU$39,0)),-100)</f>
        <v>-100</v>
      </c>
      <c r="ET11">
        <f>IF(INDEX($CV$8:$CV$39,MATCH(CROQUIS!$C$7,$CU$8:$CU$39,0))="N+6.00",INDEX($DD$8:$DD$39,MATCH(CROQUIS!$C$7,$CU$8:$CU$39,0)),-100)</f>
        <v>-100</v>
      </c>
      <c r="EX11" t="inlineStr">
        <is>
          <t>F80005</t>
        </is>
      </c>
      <c r="EY11" t="n">
        <v>1.462</v>
      </c>
      <c r="EZ11" t="n">
        <v>6.147</v>
      </c>
      <c r="FA11" t="inlineStr">
        <is>
          <t>N+3.00</t>
        </is>
      </c>
    </row>
    <row r="12">
      <c r="A12" t="n">
        <v>5</v>
      </c>
      <c r="B12">
        <f>CHOOSE(MIN(MAX($A12,1),5),CROQUIS!$C$15,CROQUIS!$C$15+CROQUIS!$C$10*CROQUIS!$C$14,CROQUIS!$C$15+CROQUIS!$C$10*CROQUIS!$C$14,CROQUIS!$C$15,CROQUIS!$C$15)</f>
        <v>12</v>
      </c>
      <c r="C12">
        <f>CHOOSE(MIN(MAX($A12,1),5),CROQUIS!$C$16,CROQUIS!$C$16,CROQUIS!$C$16+CROQUIS!$C$11*CROQUIS!$C$14,CROQUIS!$C$16+CROQUIS!$C$11*CROQUIS!$C$14,CROQUIS!$C$16)</f>
        <v>15.9462268413918</v>
      </c>
      <c r="D12">
        <f>CHOOSE(MIN(MAX($A12,1),5),CROQUIS!$C$15+DATOS!$C$17/2*CROQUIS!$C$14,CROQUIS!$C$15+CROQUIS!$C$10*CROQUIS!$C$14-DATOS!$C$17/2*CROQUIS!$C$14,CROQUIS!$C$15+CROQUIS!$C$10*CROQUIS!$C$14-DATOS!$C$17/2*CROQUIS!$C$14,CROQUIS!$C$15+DATOS!$C$17/2*CROQUIS!$C$14,CROQUIS!$C$15+DATOS!$C$17/2*CROQUIS!$C$14)</f>
        <v>13.3895164934478</v>
      </c>
      <c r="E12">
        <f>CHOOSE(MIN(MAX($A12,1),5),CROQUIS!$C$16+DATOS!$C$17/2*CROQUIS!$C$14,CROQUIS!$C$16+DATOS!$C$17/2*CROQUIS!$C$14,CROQUIS!$C$16+CROQUIS!$C$11*CROQUIS!$C$14-DATOS!$C$17/2*CROQUIS!$C$14,CROQUIS!$C$16+CROQUIS!$C$11*CROQUIS!$C$14-DATOS!$C$17/2*CROQUIS!$C$14,CROQUIS!$C$16+DATOS!$C$17/2*CROQUIS!$C$14)</f>
        <v>17.3357433348396</v>
      </c>
      <c r="F12">
        <f>IF(NERVADURA!$C$118=0,CROQUIS!$C$15+CROQUIS!$C$10*CROQUIS!$C$14/2,CROQUIS!$C$15+(DATOS!$C$17/2+NERVADURA!$C$119+INT(MIN(INT(($A12-1)/2),MAX(2*NERVADURA!$C$118-1,0))/2)*DATOS!$C$16+MOD(MIN(INT(($A12-1)/2),MAX(2*NERVADURA!$C$118-1,0)),2)*DATOS!$C$11)*CROQUIS!$C$14)</f>
        <v>27.9887031179395</v>
      </c>
      <c r="G12">
        <f>IF(NERVADURA!$C$118=0,CROQUIS!$C$16+CROQUIS!$C$11*CROQUIS!$C$14/2,CROQUIS!$C$16+IF(MOD(MIN(INT(($A12-1)/2),MAX(2*NERVADURA!$C$118-1,0)),2)=0,IF(IF(INT(($A12-1)/2)&gt;MAX(2*NERVADURA!$C$118-1,0),1,MOD($A12-1,2))=0,(DATOS!$C$17/2+NERVADURA!$C$121),(CROQUIS!$C$11-DATOS!$C$17/2-NERVADURA!$C$121)),IF(IF(INT(($A12-1)/2)&gt;MAX(2*NERVADURA!$C$118-1,0),1,MOD($A12-1,2))=0,(CROQUIS!$C$11-DATOS!$C$17/2-NERVADURA!$C$121),(DATOS!$C$17/2+NERVADURA!$C$121)))*CROQUIS!$C$14)</f>
        <v>21.504292815183</v>
      </c>
      <c r="H12">
        <f>IF(NERVADURA!$C$120=0,CROQUIS!$C$15+CROQUIS!$C$10*CROQUIS!$C$14/2,CROQUIS!$C$15+IF(MOD(MIN(INT(($A12-1)/2),MAX(2*NERVADURA!$C$120-1,0)),2)=0,IF(IF(INT(($A12-1)/2)&gt;MAX(2*NERVADURA!$C$120-1,0),1,MOD($A12-1,2))=0,(DATOS!$C$17/2+NERVADURA!$C$119),(CROQUIS!$C$10-DATOS!$C$17/2-NERVADURA!$C$119)),IF(IF(INT(($A12-1)/2)&gt;MAX(2*NERVADURA!$C$120-1,0),1,MOD($A12-1,2))=0,(CROQUIS!$C$10-DATOS!$C$17/2-NERVADURA!$C$119),(DATOS!$C$17/2+NERVADURA!$C$119)))*CROQUIS!$C$14)</f>
        <v>15.0198825124266</v>
      </c>
      <c r="I12">
        <f>IF(NERVADURA!$C$120=0,CROQUIS!$C$16+CROQUIS!$C$11*CROQUIS!$C$14/2,CROQUIS!$C$16+(DATOS!$C$17/2+NERVADURA!$C$121+INT(MIN(INT(($A12-1)/2),MAX(2*NERVADURA!$C$120-1,0))/2)*DATOS!$C$16+MOD(MIN(INT(($A12-1)/2),MAX(2*NERVADURA!$C$120-1,0)),2)*DATOS!$C$11)*CROQUIS!$C$14)</f>
        <v>34.4731134206959</v>
      </c>
      <c r="J12">
        <f>IF(CROQUIS!$C$12="X",IF($A12&lt;=1,CROQUIS!$C$15+(0.02)*CROQUIS!$C$10*CROQUIS!$C$14,CROQUIS!$C$15+(0.98)*CROQUIS!$C$10*CROQUIS!$C$14),CROQUIS!$C$15+CROQUIS!$C$10*CROQUIS!$C$14/2+-1.2)</f>
        <v>51.8</v>
      </c>
      <c r="K12">
        <f>IF(CROQUIS!$C$12="X",CROQUIS!$C$16+CROQUIS!$C$11*CROQUIS!$C$14/2+-1.2,IF($A12&lt;=1,CROQUIS!$C$16+(0.02)*CROQUIS!$C$11*CROQUIS!$C$14,CROQUIS!$C$16+(0.98)*CROQUIS!$C$11*CROQUIS!$C$14))</f>
        <v>88.5716222322639</v>
      </c>
      <c r="L12">
        <f>IF(CROQUIS!$C$12="X",IF($A12&lt;=1,CROQUIS!$C$15+(0)*CROQUIS!$C$10*CROQUIS!$C$14,CROQUIS!$C$15+(IF(CROQUIS!$C$9="VOLADO",1,DATOS!$C$51*NERVADURA!$C$15/(NERVADURA!$C$15)))*CROQUIS!$C$10*CROQUIS!$C$14),CROQUIS!$C$15+CROQUIS!$C$10*CROQUIS!$C$14/2+1.2)</f>
        <v>54.2</v>
      </c>
      <c r="M12">
        <f>IF(CROQUIS!$C$12="X",CROQUIS!$C$16+CROQUIS!$C$11*CROQUIS!$C$14/2+1.2,IF($A12&lt;=1,CROQUIS!$C$16+(0)*CROQUIS!$C$11*CROQUIS!$C$14,CROQUIS!$C$16+(IF(CROQUIS!$C$9="VOLADO",1,DATOS!$C$51*NERVADURA!$C$15/(NERVADURA!$C$15)))*CROQUIS!$C$11*CROQUIS!$C$14))</f>
        <v>38.1784907365567</v>
      </c>
      <c r="N12">
        <f>IF(CROQUIS!$C$12="X",IF($A12&lt;=1,CROQUIS!$C$15+(IF(CROQUIS!$C$9="VOLADO",1,1-DATOS!$C$51))*CROQUIS!$C$10*CROQUIS!$C$14,CROQUIS!$C$15+(1)*CROQUIS!$C$10*CROQUIS!$C$14),CROQUIS!$C$15+CROQUIS!$C$10*CROQUIS!$C$14/2+1.2)</f>
        <v>54.2</v>
      </c>
      <c r="O12">
        <f>IF(CROQUIS!$C$12="X",CROQUIS!$C$16+CROQUIS!$C$11*CROQUIS!$C$14/2+1.2,IF($A12&lt;=1,CROQUIS!$C$16+(IF(CROQUIS!$C$9="VOLADO",1,1-DATOS!$C$51))*CROQUIS!$C$11*CROQUIS!$C$14,CROQUIS!$C$16+(1)*CROQUIS!$C$11*CROQUIS!$C$14))</f>
        <v>90.0537731586082</v>
      </c>
      <c r="P12">
        <f>IF(CROQUIS!$C$12="Y",IF($A12&lt;=1,CROQUIS!$C$15+(0.02)*CROQUIS!$C$10*CROQUIS!$C$14,CROQUIS!$C$15+(0.98)*CROQUIS!$C$10*CROQUIS!$C$14),CROQUIS!$C$15+CROQUIS!$C$10*CROQUIS!$C$14/2+-1.2)</f>
        <v>92.36</v>
      </c>
      <c r="Q12">
        <f>IF(CROQUIS!$C$12="Y",CROQUIS!$C$16+CROQUIS!$C$11*CROQUIS!$C$14/2+(-1.2)+0.0,IF($A12&lt;=1,CROQUIS!$C$16+(0.02)*CROQUIS!$C$11*CROQUIS!$C$14,CROQUIS!$C$16+(0.98)*CROQUIS!$C$11*CROQUIS!$C$14))</f>
        <v>51.8</v>
      </c>
      <c r="R12">
        <f>IF(CROQUIS!$C$12="Y",IF($A12&lt;=1,CROQUIS!$C$15+(0)*CROQUIS!$C$10*CROQUIS!$C$14,CROQUIS!$C$15+(IF(CROQUIS!$C$9="VOLADO",1,DATOS!$C$51*NERVADURA!$C$16/(NERVADURA!$C$16)))*CROQUIS!$C$10*CROQUIS!$C$14),CROQUIS!$C$15+CROQUIS!$C$10*CROQUIS!$C$14/2+1.2)</f>
        <v>36.6</v>
      </c>
      <c r="S12">
        <f>IF(CROQUIS!$C$12="Y",CROQUIS!$C$16+CROQUIS!$C$11*CROQUIS!$C$14/2+(1.2)+0.0,IF($A12&lt;=1,CROQUIS!$C$16+(0)*CROQUIS!$C$11*CROQUIS!$C$14,CROQUIS!$C$16+(IF(CROQUIS!$C$9="VOLADO",1,DATOS!$C$51*NERVADURA!$C$16/(NERVADURA!$C$16)))*CROQUIS!$C$11*CROQUIS!$C$14))</f>
        <v>54.2</v>
      </c>
      <c r="T12">
        <f>IF(CROQUIS!$C$12="Y",IF($A12&lt;=1,CROQUIS!$C$15+(IF(CROQUIS!$C$9="VOLADO",1,1-DATOS!$C$51))*CROQUIS!$C$10*CROQUIS!$C$14,CROQUIS!$C$15+(1)*CROQUIS!$C$10*CROQUIS!$C$14),CROQUIS!$C$15+CROQUIS!$C$10*CROQUIS!$C$14/2+1.2)</f>
        <v>94</v>
      </c>
      <c r="U12">
        <f>IF(CROQUIS!$C$12="Y",CROQUIS!$C$16+CROQUIS!$C$11*CROQUIS!$C$14/2+(1.2)+0.0,IF($A12&lt;=1,CROQUIS!$C$16+(IF(CROQUIS!$C$9="VOLADO",1,1-DATOS!$C$51))*CROQUIS!$C$11*CROQUIS!$C$14,CROQUIS!$C$16+(1)*CROQUIS!$C$11*CROQUIS!$C$14))</f>
        <v>54.2</v>
      </c>
      <c r="V12">
        <f>CHOOSE(MIN(MAX($A12,1),7),CROQUIS!$C$15,CROQUIS!$C$15,CROQUIS!$C$15,(CROQUIS!$C$15+CROQUIS!$C$15+CROQUIS!$C$10*CROQUIS!$C$14)/2,CROQUIS!$C$15+CROQUIS!$C$10*CROQUIS!$C$14,CROQUIS!$C$15+CROQUIS!$C$10*CROQUIS!$C$14,CROQUIS!$C$15+CROQUIS!$C$10*CROQUIS!$C$14)</f>
        <v>94</v>
      </c>
      <c r="W12">
        <f>CHOOSE(MIN(MAX($A12,1),7),CROQUIS!$C$16-5-1.5,CROQUIS!$C$16-5+1.5,CROQUIS!$C$16-5,CROQUIS!$C$16-5,CROQUIS!$C$16-5,CROQUIS!$C$16-5+1.5,CROQUIS!$C$16-5-1.5)</f>
        <v>10.9462268413918</v>
      </c>
      <c r="X12">
        <f>CHOOSE(MIN(MAX($A12,1),7),CROQUIS!$C$15-5-1.5,CROQUIS!$C$15-5+1.5,CROQUIS!$C$15-5,CROQUIS!$C$15-5,CROQUIS!$C$15-5,CROQUIS!$C$15-5+1.5,CROQUIS!$C$15-5-1.5)</f>
        <v>7</v>
      </c>
      <c r="Y12">
        <f>CHOOSE(MIN(MAX($A12,1),7),CROQUIS!$C$16,CROQUIS!$C$16,CROQUIS!$C$16,(CROQUIS!$C$16+CROQUIS!$C$16+CROQUIS!$C$11*CROQUIS!$C$14)/2,CROQUIS!$C$16+CROQUIS!$C$11*CROQUIS!$C$14,CROQUIS!$C$16+CROQUIS!$C$11*CROQUIS!$C$14,CROQUIS!$C$16+CROQUIS!$C$11*CROQUIS!$C$14)</f>
        <v>90.0537731586082</v>
      </c>
      <c r="Z12">
        <f>CHOOSE(MIN(MAX($A12,1),7),CROQUIS!$C$15+(DATOS!$C$17/2+NERVADURA!$C$119)*CROQUIS!$C$14,CROQUIS!$C$15+(DATOS!$C$17/2+NERVADURA!$C$119)*CROQUIS!$C$14,CROQUIS!$C$15+(DATOS!$C$17/2+NERVADURA!$C$119)*CROQUIS!$C$14,(CROQUIS!$C$15+(DATOS!$C$17/2+NERVADURA!$C$119)*CROQUIS!$C$14+CROQUIS!$C$15+(DATOS!$C$17/2+NERVADURA!$C$119+DATOS!$C$16)*CROQUIS!$C$14)/2,CROQUIS!$C$15+(DATOS!$C$17/2+NERVADURA!$C$119+DATOS!$C$16)*CROQUIS!$C$14,CROQUIS!$C$15+(DATOS!$C$17/2+NERVADURA!$C$119+DATOS!$C$16)*CROQUIS!$C$14,CROQUIS!$C$15+(DATOS!$C$17/2+NERVADURA!$C$119+DATOS!$C$16)*CROQUIS!$C$14)</f>
        <v>27.9887031179395</v>
      </c>
      <c r="AA12">
        <f>CHOOSE(MIN(MAX($A12,1),7),CROQUIS!$C$16+CROQUIS!$C$11*CROQUIS!$C$14+4-1.5,CROQUIS!$C$16+CROQUIS!$C$11*CROQUIS!$C$14+4+1.5,CROQUIS!$C$16+CROQUIS!$C$11*CROQUIS!$C$14+4,CROQUIS!$C$16+CROQUIS!$C$11*CROQUIS!$C$14+4,CROQUIS!$C$16+CROQUIS!$C$11*CROQUIS!$C$14+4,CROQUIS!$C$16+CROQUIS!$C$11*CROQUIS!$C$14+4+1.5,CROQUIS!$C$16+CROQUIS!$C$11*CROQUIS!$C$14+4-1.5)</f>
        <v>94.0537731586082</v>
      </c>
      <c r="AB12">
        <f>CHOOSE(MIN(MAX($A12,1),9),-DATOS!$C$16/2,DATOS!$C$16/2,DATOS!$C$16/2,DATOS!$C$13/2,DATOS!$C$13/2,-DATOS!$C$13/2,-DATOS!$C$13/2,-DATOS!$C$16/2,-DATOS!$C$16/2)</f>
        <v>5</v>
      </c>
      <c r="AC12">
        <f>CHOOSE(MIN(MAX($A12,1),9),DATOS!$C$15,DATOS!$C$15,DATOS!$C$12,DATOS!$C$12,0,0,DATOS!$C$12,DATOS!$C$12,DATOS!$C$15)</f>
        <v>0</v>
      </c>
      <c r="AD12">
        <f>CHOOSE(MIN(MAX($A12,1),5),-DATOS!$C$16/2,-DATOS!$C$13/2,-DATOS!$C$13/2,-DATOS!$C$16/2,-DATOS!$C$16/2)</f>
        <v>-35</v>
      </c>
      <c r="AE12">
        <f>CHOOSE(MIN(MAX($A12,1),5),0,0,DATOS!$C$12,DATOS!$C$12,0)</f>
        <v>0</v>
      </c>
      <c r="AF12">
        <f>CHOOSE(MIN(MAX($A12,1),5),DATOS!$C$13/2,DATOS!$C$16/2,DATOS!$C$16/2,DATOS!$C$13/2,DATOS!$C$13/2)</f>
        <v>5</v>
      </c>
      <c r="AG12">
        <f>CHOOSE(MIN(MAX($A12,1),5),0,0,DATOS!$C$12,DATOS!$C$12,0)</f>
        <v>0</v>
      </c>
      <c r="AN12">
        <f>CHOOSE(MIN(MAX($A12,1),5),-(DATOS!$C$13/2-DATOS!$C$18),(DATOS!$C$13/2-DATOS!$C$18),(DATOS!$C$13/2-DATOS!$C$18),-(DATOS!$C$13/2-DATOS!$C$18),-(DATOS!$C$13/2-DATOS!$C$18))</f>
        <v>-3</v>
      </c>
      <c r="AO12">
        <f>CHOOSE(MIN(MAX($A12,1),5),DATOS!$C$18,DATOS!$C$18,DATOS!$C$15-DATOS!$C$18,DATOS!$C$15-DATOS!$C$18,DATOS!$C$18)</f>
        <v>2</v>
      </c>
      <c r="AP12">
        <f>CHOOSE(MIN(MAX($A12,1),7),-DATOS!$C$13/2,-DATOS!$C$13/2,-DATOS!$C$13/2,(-DATOS!$C$13/2+DATOS!$C$13/2)/2,DATOS!$C$13/2,DATOS!$C$13/2,DATOS!$C$13/2)</f>
        <v>5</v>
      </c>
      <c r="AQ12">
        <f>CHOOSE(MIN(MAX($A12,1),7),-4-1.5,-4+1.5,-4,-4,-4,-4+1.5,-4-1.5)</f>
        <v>-4</v>
      </c>
      <c r="AR12">
        <f>CHOOSE(MIN(MAX($A12,1),7),-DATOS!$C$16/2,-DATOS!$C$16/2,-DATOS!$C$16/2,(-DATOS!$C$16/2+DATOS!$C$16/2)/2,DATOS!$C$16/2,DATOS!$C$16/2,DATOS!$C$16/2)</f>
        <v>35</v>
      </c>
      <c r="AS12">
        <f>CHOOSE(MIN(MAX($A12,1),7),DATOS!$C$15+4-1.5,DATOS!$C$15+4+1.5,DATOS!$C$15+4,DATOS!$C$15+4,DATOS!$C$15+4,DATOS!$C$15+4+1.5,DATOS!$C$15+4-1.5)</f>
        <v>29</v>
      </c>
      <c r="AT12">
        <f>CHOOSE(MIN(MAX($A12,1),7),DATOS!$C$16/2+4-1.5,DATOS!$C$16/2+4+1.5,DATOS!$C$16/2+4,DATOS!$C$16/2+4,DATOS!$C$16/2+4,DATOS!$C$16/2+4+1.5,DATOS!$C$16/2+4-1.5)</f>
        <v>39</v>
      </c>
      <c r="AU12">
        <f>CHOOSE(MIN(MAX($A12,1),7),0,0,0,(0+DATOS!$C$15)/2,DATOS!$C$15,DATOS!$C$15,DATOS!$C$15)</f>
        <v>25</v>
      </c>
      <c r="AV12">
        <f>CHOOSE(MIN(MAX($A12,1),5),0,100,100,0,0)</f>
        <v>0</v>
      </c>
      <c r="AW12">
        <f>CHOOSE(MIN(MAX($A12,1),5),0,0,12,12,0)</f>
        <v>0</v>
      </c>
      <c r="AX12">
        <f>CHOOSE(MIN(MAX($A12,1),5),-3,0,0,-3,-3)</f>
        <v>-3</v>
      </c>
      <c r="AY12">
        <f>CHOOSE(MIN(MAX($A12,1),5),-10,-10,12,12,-10)</f>
        <v>-10</v>
      </c>
      <c r="AZ12">
        <f>CHOOSE(MIN(MAX($A12,1),5),IF(CROQUIS!$C$9="VOLADO",-3,100),IF(CROQUIS!$C$9="VOLADO",0,103),IF(CROQUIS!$C$9="VOLADO",0,103),IF(CROQUIS!$C$9="VOLADO",-3,100),IF(CROQUIS!$C$9="VOLADO",-3,100))</f>
        <v>100</v>
      </c>
      <c r="BA12">
        <f>CHOOSE(MIN(MAX($A12,1),5),-10,-10,12,12,-10)</f>
        <v>-10</v>
      </c>
      <c r="BH12">
        <f>CHOOSE(MIN(MAX($A12,1),7),0,0,0,(0+100)/2,100,100,100)</f>
        <v>100</v>
      </c>
      <c r="BI12">
        <f>CHOOSE(MIN(MAX($A12,1),7),-14-1.5,-14+1.5,-14,-14,-14,-14+1.5,-14-1.5)</f>
        <v>-14</v>
      </c>
      <c r="BJ12">
        <f>CHOOSE(MIN(MAX($A12,1),9),-35,35,35,CROQUIS!$C$30/2,CROQUIS!$C$30/2,-CROQUIS!$C$30/2,-CROQUIS!$C$30/2,-35,-35)</f>
        <v>7.5</v>
      </c>
      <c r="BK12">
        <f>CHOOSE(MIN(MAX($A12,1),9),CROQUIS!$C$31,CROQUIS!$C$31,CROQUIS!$C$31-DATOS!$C$14,CROQUIS!$C$31-DATOS!$C$14,0,0,CROQUIS!$C$31-DATOS!$C$14,CROQUIS!$C$31-DATOS!$C$14,CROQUIS!$C$31)</f>
        <v>0</v>
      </c>
      <c r="BL12">
        <f>CHOOSE(MIN(MAX($A12,1),5),-35,-CROQUIS!$C$30/2,-CROQUIS!$C$30/2,-35,-35)</f>
        <v>-35</v>
      </c>
      <c r="BM12">
        <f>CHOOSE(MIN(MAX($A12,1),5),CROQUIS!$C$31-DATOS!$C$14-DATOS!$C$12,CROQUIS!$C$31-DATOS!$C$14-DATOS!$C$12,CROQUIS!$C$31-DATOS!$C$14,CROQUIS!$C$31-DATOS!$C$14,CROQUIS!$C$31-DATOS!$C$14-DATOS!$C$12)</f>
        <v>0</v>
      </c>
      <c r="BN12">
        <f>CHOOSE(MIN(MAX($A12,1),5),CROQUIS!$C$30/2,35,35,CROQUIS!$C$30/2,CROQUIS!$C$30/2)</f>
        <v>7.5</v>
      </c>
      <c r="BO12">
        <f>CHOOSE(MIN(MAX($A12,1),5),CROQUIS!$C$31-DATOS!$C$14-DATOS!$C$12,CROQUIS!$C$31-DATOS!$C$14-DATOS!$C$12,CROQUIS!$C$31-DATOS!$C$14,CROQUIS!$C$31-DATOS!$C$14,CROQUIS!$C$31-DATOS!$C$14-DATOS!$C$12)</f>
        <v>0</v>
      </c>
      <c r="BP12">
        <f>CHOOSE(MIN(MAX($A12,1),5),-(CROQUIS!$C$30/2-DATOS!$C$18-INDEX(TABLAS!$C$52:$C$58,MATCH(DATOS!$C$95,TABLAS!$B$52:$B$58,0))/2),(CROQUIS!$C$30/2-DATOS!$C$18-INDEX(TABLAS!$C$52:$C$58,MATCH(DATOS!$C$95,TABLAS!$B$52:$B$58,0))/2),(CROQUIS!$C$30/2-DATOS!$C$18-INDEX(TABLAS!$C$52:$C$58,MATCH(DATOS!$C$95,TABLAS!$B$52:$B$58,0))/2),-(CROQUIS!$C$30/2-DATOS!$C$18-INDEX(TABLAS!$C$52:$C$58,MATCH(DATOS!$C$95,TABLAS!$B$52:$B$58,0))/2),-(CROQUIS!$C$30/2-DATOS!$C$18-INDEX(TABLAS!$C$52:$C$58,MATCH(DATOS!$C$95,TABLAS!$B$52:$B$58,0))/2))</f>
        <v>-5.105</v>
      </c>
      <c r="BQ12">
        <f>CHOOSE(MIN(MAX($A12,1),5),DATOS!$C$18+INDEX(TABLAS!$C$52:$C$58,MATCH(DATOS!$C$95,TABLAS!$B$52:$B$58,0))/2,DATOS!$C$18+INDEX(TABLAS!$C$52:$C$58,MATCH(DATOS!$C$95,TABLAS!$B$52:$B$58,0))/2,CROQUIS!$C$31-DATOS!$C$18-INDEX(TABLAS!$C$52:$C$58,MATCH(DATOS!$C$95,TABLAS!$B$52:$B$58,0))/2,CROQUIS!$C$31-DATOS!$C$18-INDEX(TABLAS!$C$52:$C$58,MATCH(DATOS!$C$95,TABLAS!$B$52:$B$58,0))/2,DATOS!$C$18+INDEX(TABLAS!$C$52:$C$58,MATCH(DATOS!$C$95,TABLAS!$B$52:$B$58,0))/2)</f>
        <v>2.395</v>
      </c>
      <c r="BR12">
        <f>IF(CROQUIS!$C$32&lt;=1,0,-(CROQUIS!$C$30-2*DATOS!$C$18-2*INDEX(TABLAS!$C$52:$C$58,MATCH(DATOS!$C$95,TABLAS!$B$52:$B$58,0))-INDEX(TABLAS!$C$52:$C$58,MATCH(MAX(CROQUIS!$C$33,3),TABLAS!$B$52:$B$58,0)))/2+(MIN($A12,CROQUIS!$C$32)-1)*(CROQUIS!$C$30-2*DATOS!$C$18-2*INDEX(TABLAS!$C$52:$C$58,MATCH(DATOS!$C$95,TABLAS!$B$52:$B$58,0))-INDEX(TABLAS!$C$52:$C$58,MATCH(MAX(CROQUIS!$C$33,3),TABLAS!$B$52:$B$58,0)))/(CROQUIS!$C$32-1))</f>
        <v>3.755</v>
      </c>
      <c r="BS12">
        <f>IF(CROQUIS!$C$32=0,-100,DATOS!$C$18+INDEX(TABLAS!$C$52:$C$58,MATCH(DATOS!$C$95,TABLAS!$B$52:$B$58,0))+INDEX(TABLAS!$C$52:$C$58,MATCH(MAX(CROQUIS!$C$33,3),TABLAS!$B$52:$B$58,0))/2)</f>
        <v>3.745</v>
      </c>
      <c r="BT12">
        <f>IF(CROQUIS!$C$34&lt;=1,0,-(CROQUIS!$C$30-2*DATOS!$C$18-2*INDEX(TABLAS!$C$52:$C$58,MATCH(DATOS!$C$95,TABLAS!$B$52:$B$58,0))-INDEX(TABLAS!$C$52:$C$58,MATCH(MAX(CROQUIS!$C$35,3),TABLAS!$B$52:$B$58,0)))/2+(MIN($A12,CROQUIS!$C$34)-1)*(CROQUIS!$C$30-2*DATOS!$C$18-2*INDEX(TABLAS!$C$52:$C$58,MATCH(DATOS!$C$95,TABLAS!$B$52:$B$58,0))-INDEX(TABLAS!$C$52:$C$58,MATCH(MAX(CROQUIS!$C$35,3),TABLAS!$B$52:$B$58,0)))/(CROQUIS!$C$34-1))</f>
        <v>4.075</v>
      </c>
      <c r="BU12">
        <f>IF(CROQUIS!$C$34=0,-100,CROQUIS!$C$31-DATOS!$C$18-INDEX(TABLAS!$C$52:$C$58,MATCH(DATOS!$C$95,TABLAS!$B$52:$B$58,0))-INDEX(TABLAS!$C$52:$C$58,MATCH(MAX(CROQUIS!$C$35,3),TABLAS!$B$52:$B$58,0))/2)</f>
        <v>21.575</v>
      </c>
      <c r="BV12">
        <f>CHOOSE(MIN(MAX($A12,1),7),-CROQUIS!$C$30/2,-CROQUIS!$C$30/2,-CROQUIS!$C$30/2,(-CROQUIS!$C$30/2+CROQUIS!$C$30/2)/2,CROQUIS!$C$30/2,CROQUIS!$C$30/2,CROQUIS!$C$30/2)</f>
        <v>7.5</v>
      </c>
      <c r="BW12">
        <f>CHOOSE(MIN(MAX($A12,1),7),-5-1.5,-5+1.5,-5,-5,-5,-5+1.5,-5-1.5)</f>
        <v>-5</v>
      </c>
      <c r="BX12">
        <f>CHOOSE(MIN(MAX($A12,1),7),38-1.5,38+1.5,38,38,38,38+1.5,38-1.5)</f>
        <v>38</v>
      </c>
      <c r="BY12">
        <f>CHOOSE(MIN(MAX($A12,1),7),0,0,0,(0+CROQUIS!$C$31)/2,CROQUIS!$C$31,CROQUIS!$C$31,CROQUIS!$C$31)</f>
        <v>25</v>
      </c>
      <c r="CA12" t="n">
        <v>4.327</v>
      </c>
      <c r="CB12" t="n">
        <v>1.919</v>
      </c>
      <c r="CC12" t="n">
        <v>5.923</v>
      </c>
      <c r="CD12" t="n">
        <v>5.946</v>
      </c>
      <c r="CE12" t="n">
        <v>4.327</v>
      </c>
      <c r="CF12" t="n">
        <v>2.921</v>
      </c>
      <c r="CG12" t="n">
        <v>4.247</v>
      </c>
      <c r="CH12" t="n">
        <v>7.946</v>
      </c>
      <c r="CI12" t="n">
        <v>-0.702</v>
      </c>
      <c r="CJ12" t="n">
        <v>24.371</v>
      </c>
      <c r="CK12" t="n">
        <v>4.327</v>
      </c>
      <c r="CL12" t="n">
        <v>1.919</v>
      </c>
      <c r="CM12" t="n">
        <v>5.923</v>
      </c>
      <c r="CN12" t="n">
        <v>2.921</v>
      </c>
      <c r="CO12" t="n">
        <v>3.029</v>
      </c>
      <c r="CP12" t="n">
        <v>16.997</v>
      </c>
      <c r="CQ12" t="n">
        <v>4.427</v>
      </c>
      <c r="CR12" t="n">
        <v>7.946</v>
      </c>
      <c r="CS12" t="n">
        <v>0</v>
      </c>
      <c r="CT12" t="n">
        <v>7.871</v>
      </c>
      <c r="CU12" t="inlineStr">
        <is>
          <t>F80006 N+3.00</t>
        </is>
      </c>
      <c r="CV12" t="inlineStr">
        <is>
          <t>N+3.00</t>
        </is>
      </c>
      <c r="CW12" t="n">
        <v>2.925</v>
      </c>
      <c r="CX12" t="n">
        <v>6.948</v>
      </c>
      <c r="CY12" t="n">
        <v>2.925</v>
      </c>
      <c r="CZ12" t="n">
        <v>5.946</v>
      </c>
      <c r="DA12" t="n">
        <v>4.327</v>
      </c>
      <c r="DB12" t="n">
        <v>5.946</v>
      </c>
      <c r="DC12" t="n">
        <v>4.327</v>
      </c>
      <c r="DD12" t="n">
        <v>6.948</v>
      </c>
      <c r="DE12" t="n">
        <v>2.925</v>
      </c>
      <c r="DF12" t="n">
        <v>6.948</v>
      </c>
      <c r="DG12" t="n">
        <v>2.925</v>
      </c>
      <c r="DH12" t="n">
        <v>6.948</v>
      </c>
      <c r="DI12" t="n">
        <v>2.925</v>
      </c>
      <c r="DJ12" t="n">
        <v>6.948</v>
      </c>
      <c r="DK12" t="n">
        <v>2.925</v>
      </c>
      <c r="DL12" t="n">
        <v>6.948</v>
      </c>
      <c r="DM12" t="n">
        <v>2.925</v>
      </c>
      <c r="DN12" t="n">
        <v>6.948</v>
      </c>
      <c r="DO12" t="n">
        <v>2.925</v>
      </c>
      <c r="DP12" t="n">
        <v>6.948</v>
      </c>
      <c r="DQ12" t="n">
        <v>2.925</v>
      </c>
      <c r="DR12" t="n">
        <v>6.948</v>
      </c>
      <c r="DS12" t="n">
        <v>2.925</v>
      </c>
      <c r="DT12" t="n">
        <v>6.948</v>
      </c>
      <c r="DU12" t="n">
        <v>2.925</v>
      </c>
      <c r="DV12" t="n">
        <v>6.948</v>
      </c>
      <c r="DW12" t="n">
        <v>2.925</v>
      </c>
      <c r="DX12" t="n">
        <v>6.948</v>
      </c>
      <c r="DY12" t="n">
        <v>2.925</v>
      </c>
      <c r="DZ12" t="n">
        <v>6.948</v>
      </c>
      <c r="EA12" t="n">
        <v>2.925</v>
      </c>
      <c r="EB12" t="n">
        <v>6.948</v>
      </c>
      <c r="EC12" t="n">
        <v>2.925</v>
      </c>
      <c r="ED12" t="n">
        <v>6.948</v>
      </c>
      <c r="EE12" t="n">
        <v>2.925</v>
      </c>
      <c r="EF12" t="n">
        <v>6.948</v>
      </c>
      <c r="EH12" t="inlineStr">
        <is>
          <t>NP-05</t>
        </is>
      </c>
      <c r="EI12" t="inlineStr">
        <is>
          <t>N+3.00</t>
        </is>
      </c>
      <c r="EJ12" t="n">
        <v>5.46</v>
      </c>
      <c r="EK12" t="n">
        <v>6.948</v>
      </c>
      <c r="EL12" t="n">
        <v>5.923</v>
      </c>
      <c r="EM12" t="n">
        <v>6.948</v>
      </c>
      <c r="EO12">
        <f>IF(INDEX($CV$8:$CV$39,MATCH(CROQUIS!$C$7,$CU$8:$CU$39,0))="N+3.00",INDEX($DE$8:$DE$39,MATCH(CROQUIS!$C$7,$CU$8:$CU$39,0)),-100)</f>
        <v>0</v>
      </c>
      <c r="EP12">
        <f>IF(INDEX($CV$8:$CV$39,MATCH(CROQUIS!$C$7,$CU$8:$CU$39,0))="N+3.00",INDEX($DF$8:$DF$39,MATCH(CROQUIS!$C$7,$CU$8:$CU$39,0)),-100)</f>
        <v>17.446</v>
      </c>
      <c r="ES12">
        <f>IF(INDEX($CV$8:$CV$39,MATCH(CROQUIS!$C$7,$CU$8:$CU$39,0))="N+6.00",INDEX($DE$8:$DE$39,MATCH(CROQUIS!$C$7,$CU$8:$CU$39,0)),-100)</f>
        <v>-100</v>
      </c>
      <c r="ET12">
        <f>IF(INDEX($CV$8:$CV$39,MATCH(CROQUIS!$C$7,$CU$8:$CU$39,0))="N+6.00",INDEX($DF$8:$DF$39,MATCH(CROQUIS!$C$7,$CU$8:$CU$39,0)),-100)</f>
        <v>-100</v>
      </c>
      <c r="EX12" t="inlineStr">
        <is>
          <t>F80006</t>
        </is>
      </c>
      <c r="EY12" t="n">
        <v>3.626</v>
      </c>
      <c r="EZ12" t="n">
        <v>6.447</v>
      </c>
      <c r="FA12" t="inlineStr">
        <is>
          <t>N+3.00</t>
        </is>
      </c>
    </row>
    <row r="13">
      <c r="A13" t="n">
        <v>6</v>
      </c>
      <c r="B13">
        <f>CHOOSE(MIN(MAX($A13,1),5),CROQUIS!$C$15,CROQUIS!$C$15+CROQUIS!$C$10*CROQUIS!$C$14,CROQUIS!$C$15+CROQUIS!$C$10*CROQUIS!$C$14,CROQUIS!$C$15,CROQUIS!$C$15)</f>
        <v>12</v>
      </c>
      <c r="C13">
        <f>CHOOSE(MIN(MAX($A13,1),5),CROQUIS!$C$16,CROQUIS!$C$16,CROQUIS!$C$16+CROQUIS!$C$11*CROQUIS!$C$14,CROQUIS!$C$16+CROQUIS!$C$11*CROQUIS!$C$14,CROQUIS!$C$16)</f>
        <v>15.9462268413918</v>
      </c>
      <c r="D13">
        <f>CHOOSE(MIN(MAX($A13,1),5),CROQUIS!$C$15+DATOS!$C$17/2*CROQUIS!$C$14,CROQUIS!$C$15+CROQUIS!$C$10*CROQUIS!$C$14-DATOS!$C$17/2*CROQUIS!$C$14,CROQUIS!$C$15+CROQUIS!$C$10*CROQUIS!$C$14-DATOS!$C$17/2*CROQUIS!$C$14,CROQUIS!$C$15+DATOS!$C$17/2*CROQUIS!$C$14,CROQUIS!$C$15+DATOS!$C$17/2*CROQUIS!$C$14)</f>
        <v>13.3895164934478</v>
      </c>
      <c r="E13">
        <f>CHOOSE(MIN(MAX($A13,1),5),CROQUIS!$C$16+DATOS!$C$17/2*CROQUIS!$C$14,CROQUIS!$C$16+DATOS!$C$17/2*CROQUIS!$C$14,CROQUIS!$C$16+CROQUIS!$C$11*CROQUIS!$C$14-DATOS!$C$17/2*CROQUIS!$C$14,CROQUIS!$C$16+CROQUIS!$C$11*CROQUIS!$C$14-DATOS!$C$17/2*CROQUIS!$C$14,CROQUIS!$C$16+DATOS!$C$17/2*CROQUIS!$C$14)</f>
        <v>17.3357433348396</v>
      </c>
      <c r="F13">
        <f>IF(NERVADURA!$C$118=0,CROQUIS!$C$15+CROQUIS!$C$10*CROQUIS!$C$14/2,CROQUIS!$C$15+(DATOS!$C$17/2+NERVADURA!$C$119+INT(MIN(INT(($A13-1)/2),MAX(2*NERVADURA!$C$118-1,0))/2)*DATOS!$C$16+MOD(MIN(INT(($A13-1)/2),MAX(2*NERVADURA!$C$118-1,0)),2)*DATOS!$C$11)*CROQUIS!$C$14)</f>
        <v>27.9887031179395</v>
      </c>
      <c r="G13">
        <f>IF(NERVADURA!$C$118=0,CROQUIS!$C$16+CROQUIS!$C$11*CROQUIS!$C$14/2,CROQUIS!$C$16+IF(MOD(MIN(INT(($A13-1)/2),MAX(2*NERVADURA!$C$118-1,0)),2)=0,IF(IF(INT(($A13-1)/2)&gt;MAX(2*NERVADURA!$C$118-1,0),1,MOD($A13-1,2))=0,(DATOS!$C$17/2+NERVADURA!$C$121),(CROQUIS!$C$11-DATOS!$C$17/2-NERVADURA!$C$121)),IF(IF(INT(($A13-1)/2)&gt;MAX(2*NERVADURA!$C$118-1,0),1,MOD($A13-1,2))=0,(CROQUIS!$C$11-DATOS!$C$17/2-NERVADURA!$C$121),(DATOS!$C$17/2+NERVADURA!$C$121)))*CROQUIS!$C$14)</f>
        <v>84.495707184817</v>
      </c>
      <c r="H13">
        <f>IF(NERVADURA!$C$120=0,CROQUIS!$C$15+CROQUIS!$C$10*CROQUIS!$C$14/2,CROQUIS!$C$15+IF(MOD(MIN(INT(($A13-1)/2),MAX(2*NERVADURA!$C$120-1,0)),2)=0,IF(IF(INT(($A13-1)/2)&gt;MAX(2*NERVADURA!$C$120-1,0),1,MOD($A13-1,2))=0,(DATOS!$C$17/2+NERVADURA!$C$119),(CROQUIS!$C$10-DATOS!$C$17/2-NERVADURA!$C$119)),IF(IF(INT(($A13-1)/2)&gt;MAX(2*NERVADURA!$C$120-1,0),1,MOD($A13-1,2))=0,(CROQUIS!$C$10-DATOS!$C$17/2-NERVADURA!$C$119),(DATOS!$C$17/2+NERVADURA!$C$119)))*CROQUIS!$C$14)</f>
        <v>90.9801174875734</v>
      </c>
      <c r="I13">
        <f>IF(NERVADURA!$C$120=0,CROQUIS!$C$16+CROQUIS!$C$11*CROQUIS!$C$14/2,CROQUIS!$C$16+(DATOS!$C$17/2+NERVADURA!$C$121+INT(MIN(INT(($A13-1)/2),MAX(2*NERVADURA!$C$120-1,0))/2)*DATOS!$C$16+MOD(MIN(INT(($A13-1)/2),MAX(2*NERVADURA!$C$120-1,0)),2)*DATOS!$C$11)*CROQUIS!$C$14)</f>
        <v>34.4731134206959</v>
      </c>
      <c r="J13">
        <f>IF(CROQUIS!$C$12="X",IF($A13&lt;=1,CROQUIS!$C$15+(0.02)*CROQUIS!$C$10*CROQUIS!$C$14,CROQUIS!$C$15+(0.98)*CROQUIS!$C$10*CROQUIS!$C$14),CROQUIS!$C$15+CROQUIS!$C$10*CROQUIS!$C$14/2+-1.2)</f>
        <v>51.8</v>
      </c>
      <c r="K13">
        <f>IF(CROQUIS!$C$12="X",CROQUIS!$C$16+CROQUIS!$C$11*CROQUIS!$C$14/2+-1.2,IF($A13&lt;=1,CROQUIS!$C$16+(0.02)*CROQUIS!$C$11*CROQUIS!$C$14,CROQUIS!$C$16+(0.98)*CROQUIS!$C$11*CROQUIS!$C$14))</f>
        <v>88.5716222322639</v>
      </c>
      <c r="L13">
        <f>IF(CROQUIS!$C$12="X",IF($A13&lt;=1,CROQUIS!$C$15+(0)*CROQUIS!$C$10*CROQUIS!$C$14,CROQUIS!$C$15+(IF(CROQUIS!$C$9="VOLADO",1,DATOS!$C$51*NERVADURA!$C$15/(NERVADURA!$C$15)))*CROQUIS!$C$10*CROQUIS!$C$14),CROQUIS!$C$15+CROQUIS!$C$10*CROQUIS!$C$14/2+1.2)</f>
        <v>54.2</v>
      </c>
      <c r="M13">
        <f>IF(CROQUIS!$C$12="X",CROQUIS!$C$16+CROQUIS!$C$11*CROQUIS!$C$14/2+1.2,IF($A13&lt;=1,CROQUIS!$C$16+(0)*CROQUIS!$C$11*CROQUIS!$C$14,CROQUIS!$C$16+(IF(CROQUIS!$C$9="VOLADO",1,DATOS!$C$51*NERVADURA!$C$15/(NERVADURA!$C$15)))*CROQUIS!$C$11*CROQUIS!$C$14))</f>
        <v>38.1784907365567</v>
      </c>
      <c r="N13">
        <f>IF(CROQUIS!$C$12="X",IF($A13&lt;=1,CROQUIS!$C$15+(IF(CROQUIS!$C$9="VOLADO",1,1-DATOS!$C$51))*CROQUIS!$C$10*CROQUIS!$C$14,CROQUIS!$C$15+(1)*CROQUIS!$C$10*CROQUIS!$C$14),CROQUIS!$C$15+CROQUIS!$C$10*CROQUIS!$C$14/2+1.2)</f>
        <v>54.2</v>
      </c>
      <c r="O13">
        <f>IF(CROQUIS!$C$12="X",CROQUIS!$C$16+CROQUIS!$C$11*CROQUIS!$C$14/2+1.2,IF($A13&lt;=1,CROQUIS!$C$16+(IF(CROQUIS!$C$9="VOLADO",1,1-DATOS!$C$51))*CROQUIS!$C$11*CROQUIS!$C$14,CROQUIS!$C$16+(1)*CROQUIS!$C$11*CROQUIS!$C$14))</f>
        <v>90.0537731586082</v>
      </c>
      <c r="P13">
        <f>IF(CROQUIS!$C$12="Y",IF($A13&lt;=1,CROQUIS!$C$15+(0.02)*CROQUIS!$C$10*CROQUIS!$C$14,CROQUIS!$C$15+(0.98)*CROQUIS!$C$10*CROQUIS!$C$14),CROQUIS!$C$15+CROQUIS!$C$10*CROQUIS!$C$14/2+-1.2)</f>
        <v>92.36</v>
      </c>
      <c r="Q13">
        <f>IF(CROQUIS!$C$12="Y",CROQUIS!$C$16+CROQUIS!$C$11*CROQUIS!$C$14/2+(-1.2)+0.0,IF($A13&lt;=1,CROQUIS!$C$16+(0.02)*CROQUIS!$C$11*CROQUIS!$C$14,CROQUIS!$C$16+(0.98)*CROQUIS!$C$11*CROQUIS!$C$14))</f>
        <v>51.8</v>
      </c>
      <c r="R13">
        <f>IF(CROQUIS!$C$12="Y",IF($A13&lt;=1,CROQUIS!$C$15+(0)*CROQUIS!$C$10*CROQUIS!$C$14,CROQUIS!$C$15+(IF(CROQUIS!$C$9="VOLADO",1,DATOS!$C$51*NERVADURA!$C$16/(NERVADURA!$C$16)))*CROQUIS!$C$10*CROQUIS!$C$14),CROQUIS!$C$15+CROQUIS!$C$10*CROQUIS!$C$14/2+1.2)</f>
        <v>36.6</v>
      </c>
      <c r="S13">
        <f>IF(CROQUIS!$C$12="Y",CROQUIS!$C$16+CROQUIS!$C$11*CROQUIS!$C$14/2+(1.2)+0.0,IF($A13&lt;=1,CROQUIS!$C$16+(0)*CROQUIS!$C$11*CROQUIS!$C$14,CROQUIS!$C$16+(IF(CROQUIS!$C$9="VOLADO",1,DATOS!$C$51*NERVADURA!$C$16/(NERVADURA!$C$16)))*CROQUIS!$C$11*CROQUIS!$C$14))</f>
        <v>54.2</v>
      </c>
      <c r="T13">
        <f>IF(CROQUIS!$C$12="Y",IF($A13&lt;=1,CROQUIS!$C$15+(IF(CROQUIS!$C$9="VOLADO",1,1-DATOS!$C$51))*CROQUIS!$C$10*CROQUIS!$C$14,CROQUIS!$C$15+(1)*CROQUIS!$C$10*CROQUIS!$C$14),CROQUIS!$C$15+CROQUIS!$C$10*CROQUIS!$C$14/2+1.2)</f>
        <v>94</v>
      </c>
      <c r="U13">
        <f>IF(CROQUIS!$C$12="Y",CROQUIS!$C$16+CROQUIS!$C$11*CROQUIS!$C$14/2+(1.2)+0.0,IF($A13&lt;=1,CROQUIS!$C$16+(IF(CROQUIS!$C$9="VOLADO",1,1-DATOS!$C$51))*CROQUIS!$C$11*CROQUIS!$C$14,CROQUIS!$C$16+(1)*CROQUIS!$C$11*CROQUIS!$C$14))</f>
        <v>54.2</v>
      </c>
      <c r="V13">
        <f>CHOOSE(MIN(MAX($A13,1),7),CROQUIS!$C$15,CROQUIS!$C$15,CROQUIS!$C$15,(CROQUIS!$C$15+CROQUIS!$C$15+CROQUIS!$C$10*CROQUIS!$C$14)/2,CROQUIS!$C$15+CROQUIS!$C$10*CROQUIS!$C$14,CROQUIS!$C$15+CROQUIS!$C$10*CROQUIS!$C$14,CROQUIS!$C$15+CROQUIS!$C$10*CROQUIS!$C$14)</f>
        <v>94</v>
      </c>
      <c r="W13">
        <f>CHOOSE(MIN(MAX($A13,1),7),CROQUIS!$C$16-5-1.5,CROQUIS!$C$16-5+1.5,CROQUIS!$C$16-5,CROQUIS!$C$16-5,CROQUIS!$C$16-5,CROQUIS!$C$16-5+1.5,CROQUIS!$C$16-5-1.5)</f>
        <v>12.4462268413918</v>
      </c>
      <c r="X13">
        <f>CHOOSE(MIN(MAX($A13,1),7),CROQUIS!$C$15-5-1.5,CROQUIS!$C$15-5+1.5,CROQUIS!$C$15-5,CROQUIS!$C$15-5,CROQUIS!$C$15-5,CROQUIS!$C$15-5+1.5,CROQUIS!$C$15-5-1.5)</f>
        <v>8.5</v>
      </c>
      <c r="Y13">
        <f>CHOOSE(MIN(MAX($A13,1),7),CROQUIS!$C$16,CROQUIS!$C$16,CROQUIS!$C$16,(CROQUIS!$C$16+CROQUIS!$C$16+CROQUIS!$C$11*CROQUIS!$C$14)/2,CROQUIS!$C$16+CROQUIS!$C$11*CROQUIS!$C$14,CROQUIS!$C$16+CROQUIS!$C$11*CROQUIS!$C$14,CROQUIS!$C$16+CROQUIS!$C$11*CROQUIS!$C$14)</f>
        <v>90.0537731586082</v>
      </c>
      <c r="Z13">
        <f>CHOOSE(MIN(MAX($A13,1),7),CROQUIS!$C$15+(DATOS!$C$17/2+NERVADURA!$C$119)*CROQUIS!$C$14,CROQUIS!$C$15+(DATOS!$C$17/2+NERVADURA!$C$119)*CROQUIS!$C$14,CROQUIS!$C$15+(DATOS!$C$17/2+NERVADURA!$C$119)*CROQUIS!$C$14,(CROQUIS!$C$15+(DATOS!$C$17/2+NERVADURA!$C$119)*CROQUIS!$C$14+CROQUIS!$C$15+(DATOS!$C$17/2+NERVADURA!$C$119+DATOS!$C$16)*CROQUIS!$C$14)/2,CROQUIS!$C$15+(DATOS!$C$17/2+NERVADURA!$C$119+DATOS!$C$16)*CROQUIS!$C$14,CROQUIS!$C$15+(DATOS!$C$17/2+NERVADURA!$C$119+DATOS!$C$16)*CROQUIS!$C$14,CROQUIS!$C$15+(DATOS!$C$17/2+NERVADURA!$C$119+DATOS!$C$16)*CROQUIS!$C$14)</f>
        <v>27.9887031179395</v>
      </c>
      <c r="AA13">
        <f>CHOOSE(MIN(MAX($A13,1),7),CROQUIS!$C$16+CROQUIS!$C$11*CROQUIS!$C$14+4-1.5,CROQUIS!$C$16+CROQUIS!$C$11*CROQUIS!$C$14+4+1.5,CROQUIS!$C$16+CROQUIS!$C$11*CROQUIS!$C$14+4,CROQUIS!$C$16+CROQUIS!$C$11*CROQUIS!$C$14+4,CROQUIS!$C$16+CROQUIS!$C$11*CROQUIS!$C$14+4,CROQUIS!$C$16+CROQUIS!$C$11*CROQUIS!$C$14+4+1.5,CROQUIS!$C$16+CROQUIS!$C$11*CROQUIS!$C$14+4-1.5)</f>
        <v>95.5537731586082</v>
      </c>
      <c r="AB13">
        <f>CHOOSE(MIN(MAX($A13,1),9),-DATOS!$C$16/2,DATOS!$C$16/2,DATOS!$C$16/2,DATOS!$C$13/2,DATOS!$C$13/2,-DATOS!$C$13/2,-DATOS!$C$13/2,-DATOS!$C$16/2,-DATOS!$C$16/2)</f>
        <v>-5</v>
      </c>
      <c r="AC13">
        <f>CHOOSE(MIN(MAX($A13,1),9),DATOS!$C$15,DATOS!$C$15,DATOS!$C$12,DATOS!$C$12,0,0,DATOS!$C$12,DATOS!$C$12,DATOS!$C$15)</f>
        <v>0</v>
      </c>
      <c r="AP13">
        <f>CHOOSE(MIN(MAX($A13,1),7),-DATOS!$C$13/2,-DATOS!$C$13/2,-DATOS!$C$13/2,(-DATOS!$C$13/2+DATOS!$C$13/2)/2,DATOS!$C$13/2,DATOS!$C$13/2,DATOS!$C$13/2)</f>
        <v>5</v>
      </c>
      <c r="AQ13">
        <f>CHOOSE(MIN(MAX($A13,1),7),-4-1.5,-4+1.5,-4,-4,-4,-4+1.5,-4-1.5)</f>
        <v>-2.5</v>
      </c>
      <c r="AR13">
        <f>CHOOSE(MIN(MAX($A13,1),7),-DATOS!$C$16/2,-DATOS!$C$16/2,-DATOS!$C$16/2,(-DATOS!$C$16/2+DATOS!$C$16/2)/2,DATOS!$C$16/2,DATOS!$C$16/2,DATOS!$C$16/2)</f>
        <v>35</v>
      </c>
      <c r="AS13">
        <f>CHOOSE(MIN(MAX($A13,1),7),DATOS!$C$15+4-1.5,DATOS!$C$15+4+1.5,DATOS!$C$15+4,DATOS!$C$15+4,DATOS!$C$15+4,DATOS!$C$15+4+1.5,DATOS!$C$15+4-1.5)</f>
        <v>30.5</v>
      </c>
      <c r="AT13">
        <f>CHOOSE(MIN(MAX($A13,1),7),DATOS!$C$16/2+4-1.5,DATOS!$C$16/2+4+1.5,DATOS!$C$16/2+4,DATOS!$C$16/2+4,DATOS!$C$16/2+4,DATOS!$C$16/2+4+1.5,DATOS!$C$16/2+4-1.5)</f>
        <v>40.5</v>
      </c>
      <c r="AU13">
        <f>CHOOSE(MIN(MAX($A13,1),7),0,0,0,(0+DATOS!$C$15)/2,DATOS!$C$15,DATOS!$C$15,DATOS!$C$15)</f>
        <v>25</v>
      </c>
      <c r="BH13">
        <f>CHOOSE(MIN(MAX($A13,1),7),0,0,0,(0+100)/2,100,100,100)</f>
        <v>100</v>
      </c>
      <c r="BI13">
        <f>CHOOSE(MIN(MAX($A13,1),7),-14-1.5,-14+1.5,-14,-14,-14,-14+1.5,-14-1.5)</f>
        <v>-12.5</v>
      </c>
      <c r="BJ13">
        <f>CHOOSE(MIN(MAX($A13,1),9),-35,35,35,CROQUIS!$C$30/2,CROQUIS!$C$30/2,-CROQUIS!$C$30/2,-CROQUIS!$C$30/2,-35,-35)</f>
        <v>-7.5</v>
      </c>
      <c r="BK13">
        <f>CHOOSE(MIN(MAX($A13,1),9),CROQUIS!$C$31,CROQUIS!$C$31,CROQUIS!$C$31-DATOS!$C$14,CROQUIS!$C$31-DATOS!$C$14,0,0,CROQUIS!$C$31-DATOS!$C$14,CROQUIS!$C$31-DATOS!$C$14,CROQUIS!$C$31)</f>
        <v>0</v>
      </c>
      <c r="BR13">
        <f>IF(CROQUIS!$C$32&lt;=1,0,-(CROQUIS!$C$30-2*DATOS!$C$18-2*INDEX(TABLAS!$C$52:$C$58,MATCH(DATOS!$C$95,TABLAS!$B$52:$B$58,0))-INDEX(TABLAS!$C$52:$C$58,MATCH(MAX(CROQUIS!$C$33,3),TABLAS!$B$52:$B$58,0)))/2+(MIN($A13,CROQUIS!$C$32)-1)*(CROQUIS!$C$30-2*DATOS!$C$18-2*INDEX(TABLAS!$C$52:$C$58,MATCH(DATOS!$C$95,TABLAS!$B$52:$B$58,0))-INDEX(TABLAS!$C$52:$C$58,MATCH(MAX(CROQUIS!$C$33,3),TABLAS!$B$52:$B$58,0)))/(CROQUIS!$C$32-1))</f>
        <v>3.755</v>
      </c>
      <c r="BS13">
        <f>IF(CROQUIS!$C$32=0,-100,DATOS!$C$18+INDEX(TABLAS!$C$52:$C$58,MATCH(DATOS!$C$95,TABLAS!$B$52:$B$58,0))+INDEX(TABLAS!$C$52:$C$58,MATCH(MAX(CROQUIS!$C$33,3),TABLAS!$B$52:$B$58,0))/2)</f>
        <v>3.745</v>
      </c>
      <c r="BT13">
        <f>IF(CROQUIS!$C$34&lt;=1,0,-(CROQUIS!$C$30-2*DATOS!$C$18-2*INDEX(TABLAS!$C$52:$C$58,MATCH(DATOS!$C$95,TABLAS!$B$52:$B$58,0))-INDEX(TABLAS!$C$52:$C$58,MATCH(MAX(CROQUIS!$C$35,3),TABLAS!$B$52:$B$58,0)))/2+(MIN($A13,CROQUIS!$C$34)-1)*(CROQUIS!$C$30-2*DATOS!$C$18-2*INDEX(TABLAS!$C$52:$C$58,MATCH(DATOS!$C$95,TABLAS!$B$52:$B$58,0))-INDEX(TABLAS!$C$52:$C$58,MATCH(MAX(CROQUIS!$C$35,3),TABLAS!$B$52:$B$58,0)))/(CROQUIS!$C$34-1))</f>
        <v>4.075</v>
      </c>
      <c r="BU13">
        <f>IF(CROQUIS!$C$34=0,-100,CROQUIS!$C$31-DATOS!$C$18-INDEX(TABLAS!$C$52:$C$58,MATCH(DATOS!$C$95,TABLAS!$B$52:$B$58,0))-INDEX(TABLAS!$C$52:$C$58,MATCH(MAX(CROQUIS!$C$35,3),TABLAS!$B$52:$B$58,0))/2)</f>
        <v>21.575</v>
      </c>
      <c r="BV13">
        <f>CHOOSE(MIN(MAX($A13,1),7),-CROQUIS!$C$30/2,-CROQUIS!$C$30/2,-CROQUIS!$C$30/2,(-CROQUIS!$C$30/2+CROQUIS!$C$30/2)/2,CROQUIS!$C$30/2,CROQUIS!$C$30/2,CROQUIS!$C$30/2)</f>
        <v>7.5</v>
      </c>
      <c r="BW13">
        <f>CHOOSE(MIN(MAX($A13,1),7),-5-1.5,-5+1.5,-5,-5,-5,-5+1.5,-5-1.5)</f>
        <v>-3.5</v>
      </c>
      <c r="BX13">
        <f>CHOOSE(MIN(MAX($A13,1),7),38-1.5,38+1.5,38,38,38,38+1.5,38-1.5)</f>
        <v>39.5</v>
      </c>
      <c r="BY13">
        <f>CHOOSE(MIN(MAX($A13,1),7),0,0,0,(0+CROQUIS!$C$31)/2,CROQUIS!$C$31,CROQUIS!$C$31,CROQUIS!$C$31)</f>
        <v>25</v>
      </c>
      <c r="CI13" t="n">
        <v>0</v>
      </c>
      <c r="CJ13" t="n">
        <v>0</v>
      </c>
      <c r="CS13" t="n">
        <v>0</v>
      </c>
      <c r="CT13" t="n">
        <v>9.949999999999999</v>
      </c>
      <c r="CU13" t="inlineStr">
        <is>
          <t>F80007 N+3.00</t>
        </is>
      </c>
      <c r="CV13" t="inlineStr">
        <is>
          <t>N+3.00</t>
        </is>
      </c>
      <c r="CW13" t="n">
        <v>0</v>
      </c>
      <c r="CX13" t="n">
        <v>6.948</v>
      </c>
      <c r="CY13" t="n">
        <v>4.327</v>
      </c>
      <c r="CZ13" t="n">
        <v>6.948</v>
      </c>
      <c r="DA13" t="n">
        <v>4.327</v>
      </c>
      <c r="DB13" t="n">
        <v>7.871</v>
      </c>
      <c r="DC13" t="n">
        <v>0</v>
      </c>
      <c r="DD13" t="n">
        <v>7.871</v>
      </c>
      <c r="DE13" t="n">
        <v>0</v>
      </c>
      <c r="DF13" t="n">
        <v>6.948</v>
      </c>
      <c r="DG13" t="n">
        <v>0</v>
      </c>
      <c r="DH13" t="n">
        <v>6.948</v>
      </c>
      <c r="DI13" t="n">
        <v>0</v>
      </c>
      <c r="DJ13" t="n">
        <v>6.948</v>
      </c>
      <c r="DK13" t="n">
        <v>0</v>
      </c>
      <c r="DL13" t="n">
        <v>6.948</v>
      </c>
      <c r="DM13" t="n">
        <v>0</v>
      </c>
      <c r="DN13" t="n">
        <v>6.948</v>
      </c>
      <c r="DO13" t="n">
        <v>0</v>
      </c>
      <c r="DP13" t="n">
        <v>6.948</v>
      </c>
      <c r="DQ13" t="n">
        <v>0</v>
      </c>
      <c r="DR13" t="n">
        <v>6.948</v>
      </c>
      <c r="DS13" t="n">
        <v>0</v>
      </c>
      <c r="DT13" t="n">
        <v>6.948</v>
      </c>
      <c r="DU13" t="n">
        <v>0</v>
      </c>
      <c r="DV13" t="n">
        <v>6.948</v>
      </c>
      <c r="DW13" t="n">
        <v>0</v>
      </c>
      <c r="DX13" t="n">
        <v>6.948</v>
      </c>
      <c r="DY13" t="n">
        <v>0</v>
      </c>
      <c r="DZ13" t="n">
        <v>6.948</v>
      </c>
      <c r="EA13" t="n">
        <v>0</v>
      </c>
      <c r="EB13" t="n">
        <v>6.948</v>
      </c>
      <c r="EC13" t="n">
        <v>0</v>
      </c>
      <c r="ED13" t="n">
        <v>6.948</v>
      </c>
      <c r="EE13" t="n">
        <v>0</v>
      </c>
      <c r="EF13" t="n">
        <v>6.948</v>
      </c>
      <c r="EH13" t="inlineStr">
        <is>
          <t>NP-06</t>
        </is>
      </c>
      <c r="EI13" t="inlineStr">
        <is>
          <t>N+3.00</t>
        </is>
      </c>
      <c r="EJ13" t="n">
        <v>0</v>
      </c>
      <c r="EK13" t="n">
        <v>7.871</v>
      </c>
      <c r="EL13" t="n">
        <v>4.327</v>
      </c>
      <c r="EM13" t="n">
        <v>7.871</v>
      </c>
      <c r="EO13">
        <f>IF(INDEX($CV$8:$CV$39,MATCH(CROQUIS!$C$7,$CU$8:$CU$39,0))="N+3.00",INDEX($DG$8:$DG$39,MATCH(CROQUIS!$C$7,$CU$8:$CU$39,0)),-100)</f>
        <v>0</v>
      </c>
      <c r="EP13">
        <f>IF(INDEX($CV$8:$CV$39,MATCH(CROQUIS!$C$7,$CU$8:$CU$39,0))="N+3.00",INDEX($DH$8:$DH$39,MATCH(CROQUIS!$C$7,$CU$8:$CU$39,0)),-100)</f>
        <v>17.446</v>
      </c>
      <c r="ES13">
        <f>IF(INDEX($CV$8:$CV$39,MATCH(CROQUIS!$C$7,$CU$8:$CU$39,0))="N+6.00",INDEX($DG$8:$DG$39,MATCH(CROQUIS!$C$7,$CU$8:$CU$39,0)),-100)</f>
        <v>-100</v>
      </c>
      <c r="ET13">
        <f>IF(INDEX($CV$8:$CV$39,MATCH(CROQUIS!$C$7,$CU$8:$CU$39,0))="N+6.00",INDEX($DH$8:$DH$39,MATCH(CROQUIS!$C$7,$CU$8:$CU$39,0)),-100)</f>
        <v>-100</v>
      </c>
      <c r="EX13" t="inlineStr">
        <is>
          <t>F80007</t>
        </is>
      </c>
      <c r="EY13" t="n">
        <v>2.163</v>
      </c>
      <c r="EZ13" t="n">
        <v>7.41</v>
      </c>
      <c r="FA13" t="inlineStr">
        <is>
          <t>N+3.00</t>
        </is>
      </c>
    </row>
    <row r="14">
      <c r="A14" t="n">
        <v>7</v>
      </c>
      <c r="B14">
        <f>CHOOSE(MIN(MAX($A14,1),5),CROQUIS!$C$15,CROQUIS!$C$15+CROQUIS!$C$10*CROQUIS!$C$14,CROQUIS!$C$15+CROQUIS!$C$10*CROQUIS!$C$14,CROQUIS!$C$15,CROQUIS!$C$15)</f>
        <v>12</v>
      </c>
      <c r="C14">
        <f>CHOOSE(MIN(MAX($A14,1),5),CROQUIS!$C$16,CROQUIS!$C$16,CROQUIS!$C$16+CROQUIS!$C$11*CROQUIS!$C$14,CROQUIS!$C$16+CROQUIS!$C$11*CROQUIS!$C$14,CROQUIS!$C$16)</f>
        <v>15.9462268413918</v>
      </c>
      <c r="D14">
        <f>CHOOSE(MIN(MAX($A14,1),5),CROQUIS!$C$15+DATOS!$C$17/2*CROQUIS!$C$14,CROQUIS!$C$15+CROQUIS!$C$10*CROQUIS!$C$14-DATOS!$C$17/2*CROQUIS!$C$14,CROQUIS!$C$15+CROQUIS!$C$10*CROQUIS!$C$14-DATOS!$C$17/2*CROQUIS!$C$14,CROQUIS!$C$15+DATOS!$C$17/2*CROQUIS!$C$14,CROQUIS!$C$15+DATOS!$C$17/2*CROQUIS!$C$14)</f>
        <v>13.3895164934478</v>
      </c>
      <c r="E14">
        <f>CHOOSE(MIN(MAX($A14,1),5),CROQUIS!$C$16+DATOS!$C$17/2*CROQUIS!$C$14,CROQUIS!$C$16+DATOS!$C$17/2*CROQUIS!$C$14,CROQUIS!$C$16+CROQUIS!$C$11*CROQUIS!$C$14-DATOS!$C$17/2*CROQUIS!$C$14,CROQUIS!$C$16+CROQUIS!$C$11*CROQUIS!$C$14-DATOS!$C$17/2*CROQUIS!$C$14,CROQUIS!$C$16+DATOS!$C$17/2*CROQUIS!$C$14)</f>
        <v>17.3357433348396</v>
      </c>
      <c r="F14">
        <f>IF(NERVADURA!$C$118=0,CROQUIS!$C$15+CROQUIS!$C$10*CROQUIS!$C$14/2,CROQUIS!$C$15+(DATOS!$C$17/2+NERVADURA!$C$119+INT(MIN(INT(($A14-1)/2),MAX(2*NERVADURA!$C$118-1,0))/2)*DATOS!$C$16+MOD(MIN(INT(($A14-1)/2),MAX(2*NERVADURA!$C$118-1,0)),2)*DATOS!$C$11)*CROQUIS!$C$14)</f>
        <v>39.1048350655219</v>
      </c>
      <c r="G14">
        <f>IF(NERVADURA!$C$118=0,CROQUIS!$C$16+CROQUIS!$C$11*CROQUIS!$C$14/2,CROQUIS!$C$16+IF(MOD(MIN(INT(($A14-1)/2),MAX(2*NERVADURA!$C$118-1,0)),2)=0,IF(IF(INT(($A14-1)/2)&gt;MAX(2*NERVADURA!$C$118-1,0),1,MOD($A14-1,2))=0,(DATOS!$C$17/2+NERVADURA!$C$121),(CROQUIS!$C$11-DATOS!$C$17/2-NERVADURA!$C$121)),IF(IF(INT(($A14-1)/2)&gt;MAX(2*NERVADURA!$C$118-1,0),1,MOD($A14-1,2))=0,(CROQUIS!$C$11-DATOS!$C$17/2-NERVADURA!$C$121),(DATOS!$C$17/2+NERVADURA!$C$121)))*CROQUIS!$C$14)</f>
        <v>84.495707184817</v>
      </c>
      <c r="H14">
        <f>IF(NERVADURA!$C$120=0,CROQUIS!$C$15+CROQUIS!$C$10*CROQUIS!$C$14/2,CROQUIS!$C$15+IF(MOD(MIN(INT(($A14-1)/2),MAX(2*NERVADURA!$C$120-1,0)),2)=0,IF(IF(INT(($A14-1)/2)&gt;MAX(2*NERVADURA!$C$120-1,0),1,MOD($A14-1,2))=0,(DATOS!$C$17/2+NERVADURA!$C$119),(CROQUIS!$C$10-DATOS!$C$17/2-NERVADURA!$C$119)),IF(IF(INT(($A14-1)/2)&gt;MAX(2*NERVADURA!$C$120-1,0),1,MOD($A14-1,2))=0,(CROQUIS!$C$10-DATOS!$C$17/2-NERVADURA!$C$119),(DATOS!$C$17/2+NERVADURA!$C$119)))*CROQUIS!$C$14)</f>
        <v>90.9801174875734</v>
      </c>
      <c r="I14">
        <f>IF(NERVADURA!$C$120=0,CROQUIS!$C$16+CROQUIS!$C$11*CROQUIS!$C$14/2,CROQUIS!$C$16+(DATOS!$C$17/2+NERVADURA!$C$121+INT(MIN(INT(($A14-1)/2),MAX(2*NERVADURA!$C$120-1,0))/2)*DATOS!$C$16+MOD(MIN(INT(($A14-1)/2),MAX(2*NERVADURA!$C$120-1,0)),2)*DATOS!$C$11)*CROQUIS!$C$14)</f>
        <v>45.5892453682784</v>
      </c>
      <c r="V14">
        <f>CHOOSE(MIN(MAX($A14,1),7),CROQUIS!$C$15,CROQUIS!$C$15,CROQUIS!$C$15,(CROQUIS!$C$15+CROQUIS!$C$15+CROQUIS!$C$10*CROQUIS!$C$14)/2,CROQUIS!$C$15+CROQUIS!$C$10*CROQUIS!$C$14,CROQUIS!$C$15+CROQUIS!$C$10*CROQUIS!$C$14,CROQUIS!$C$15+CROQUIS!$C$10*CROQUIS!$C$14)</f>
        <v>94</v>
      </c>
      <c r="W14">
        <f>CHOOSE(MIN(MAX($A14,1),7),CROQUIS!$C$16-5-1.5,CROQUIS!$C$16-5+1.5,CROQUIS!$C$16-5,CROQUIS!$C$16-5,CROQUIS!$C$16-5,CROQUIS!$C$16-5+1.5,CROQUIS!$C$16-5-1.5)</f>
        <v>9.44622684139178</v>
      </c>
      <c r="X14">
        <f>CHOOSE(MIN(MAX($A14,1),7),CROQUIS!$C$15-5-1.5,CROQUIS!$C$15-5+1.5,CROQUIS!$C$15-5,CROQUIS!$C$15-5,CROQUIS!$C$15-5,CROQUIS!$C$15-5+1.5,CROQUIS!$C$15-5-1.5)</f>
        <v>5.5</v>
      </c>
      <c r="Y14">
        <f>CHOOSE(MIN(MAX($A14,1),7),CROQUIS!$C$16,CROQUIS!$C$16,CROQUIS!$C$16,(CROQUIS!$C$16+CROQUIS!$C$16+CROQUIS!$C$11*CROQUIS!$C$14)/2,CROQUIS!$C$16+CROQUIS!$C$11*CROQUIS!$C$14,CROQUIS!$C$16+CROQUIS!$C$11*CROQUIS!$C$14,CROQUIS!$C$16+CROQUIS!$C$11*CROQUIS!$C$14)</f>
        <v>90.0537731586082</v>
      </c>
      <c r="Z14">
        <f>CHOOSE(MIN(MAX($A14,1),7),CROQUIS!$C$15+(DATOS!$C$17/2+NERVADURA!$C$119)*CROQUIS!$C$14,CROQUIS!$C$15+(DATOS!$C$17/2+NERVADURA!$C$119)*CROQUIS!$C$14,CROQUIS!$C$15+(DATOS!$C$17/2+NERVADURA!$C$119)*CROQUIS!$C$14,(CROQUIS!$C$15+(DATOS!$C$17/2+NERVADURA!$C$119)*CROQUIS!$C$14+CROQUIS!$C$15+(DATOS!$C$17/2+NERVADURA!$C$119+DATOS!$C$16)*CROQUIS!$C$14)/2,CROQUIS!$C$15+(DATOS!$C$17/2+NERVADURA!$C$119+DATOS!$C$16)*CROQUIS!$C$14,CROQUIS!$C$15+(DATOS!$C$17/2+NERVADURA!$C$119+DATOS!$C$16)*CROQUIS!$C$14,CROQUIS!$C$15+(DATOS!$C$17/2+NERVADURA!$C$119+DATOS!$C$16)*CROQUIS!$C$14)</f>
        <v>27.9887031179395</v>
      </c>
      <c r="AA14">
        <f>CHOOSE(MIN(MAX($A14,1),7),CROQUIS!$C$16+CROQUIS!$C$11*CROQUIS!$C$14+4-1.5,CROQUIS!$C$16+CROQUIS!$C$11*CROQUIS!$C$14+4+1.5,CROQUIS!$C$16+CROQUIS!$C$11*CROQUIS!$C$14+4,CROQUIS!$C$16+CROQUIS!$C$11*CROQUIS!$C$14+4,CROQUIS!$C$16+CROQUIS!$C$11*CROQUIS!$C$14+4,CROQUIS!$C$16+CROQUIS!$C$11*CROQUIS!$C$14+4+1.5,CROQUIS!$C$16+CROQUIS!$C$11*CROQUIS!$C$14+4-1.5)</f>
        <v>92.5537731586082</v>
      </c>
      <c r="AB14">
        <f>CHOOSE(MIN(MAX($A14,1),9),-DATOS!$C$16/2,DATOS!$C$16/2,DATOS!$C$16/2,DATOS!$C$13/2,DATOS!$C$13/2,-DATOS!$C$13/2,-DATOS!$C$13/2,-DATOS!$C$16/2,-DATOS!$C$16/2)</f>
        <v>-5</v>
      </c>
      <c r="AC14">
        <f>CHOOSE(MIN(MAX($A14,1),9),DATOS!$C$15,DATOS!$C$15,DATOS!$C$12,DATOS!$C$12,0,0,DATOS!$C$12,DATOS!$C$12,DATOS!$C$15)</f>
        <v>20</v>
      </c>
      <c r="AP14">
        <f>CHOOSE(MIN(MAX($A14,1),7),-DATOS!$C$13/2,-DATOS!$C$13/2,-DATOS!$C$13/2,(-DATOS!$C$13/2+DATOS!$C$13/2)/2,DATOS!$C$13/2,DATOS!$C$13/2,DATOS!$C$13/2)</f>
        <v>5</v>
      </c>
      <c r="AQ14">
        <f>CHOOSE(MIN(MAX($A14,1),7),-4-1.5,-4+1.5,-4,-4,-4,-4+1.5,-4-1.5)</f>
        <v>-5.5</v>
      </c>
      <c r="AR14">
        <f>CHOOSE(MIN(MAX($A14,1),7),-DATOS!$C$16/2,-DATOS!$C$16/2,-DATOS!$C$16/2,(-DATOS!$C$16/2+DATOS!$C$16/2)/2,DATOS!$C$16/2,DATOS!$C$16/2,DATOS!$C$16/2)</f>
        <v>35</v>
      </c>
      <c r="AS14">
        <f>CHOOSE(MIN(MAX($A14,1),7),DATOS!$C$15+4-1.5,DATOS!$C$15+4+1.5,DATOS!$C$15+4,DATOS!$C$15+4,DATOS!$C$15+4,DATOS!$C$15+4+1.5,DATOS!$C$15+4-1.5)</f>
        <v>27.5</v>
      </c>
      <c r="AT14">
        <f>CHOOSE(MIN(MAX($A14,1),7),DATOS!$C$16/2+4-1.5,DATOS!$C$16/2+4+1.5,DATOS!$C$16/2+4,DATOS!$C$16/2+4,DATOS!$C$16/2+4,DATOS!$C$16/2+4+1.5,DATOS!$C$16/2+4-1.5)</f>
        <v>37.5</v>
      </c>
      <c r="AU14">
        <f>CHOOSE(MIN(MAX($A14,1),7),0,0,0,(0+DATOS!$C$15)/2,DATOS!$C$15,DATOS!$C$15,DATOS!$C$15)</f>
        <v>25</v>
      </c>
      <c r="BH14">
        <f>CHOOSE(MIN(MAX($A14,1),7),0,0,0,(0+100)/2,100,100,100)</f>
        <v>100</v>
      </c>
      <c r="BI14">
        <f>CHOOSE(MIN(MAX($A14,1),7),-14-1.5,-14+1.5,-14,-14,-14,-14+1.5,-14-1.5)</f>
        <v>-15.5</v>
      </c>
      <c r="BJ14">
        <f>CHOOSE(MIN(MAX($A14,1),9),-35,35,35,CROQUIS!$C$30/2,CROQUIS!$C$30/2,-CROQUIS!$C$30/2,-CROQUIS!$C$30/2,-35,-35)</f>
        <v>-7.5</v>
      </c>
      <c r="BK14">
        <f>CHOOSE(MIN(MAX($A14,1),9),CROQUIS!$C$31,CROQUIS!$C$31,CROQUIS!$C$31-DATOS!$C$14,CROQUIS!$C$31-DATOS!$C$14,0,0,CROQUIS!$C$31-DATOS!$C$14,CROQUIS!$C$31-DATOS!$C$14,CROQUIS!$C$31)</f>
        <v>20</v>
      </c>
      <c r="BR14">
        <f>IF(CROQUIS!$C$32&lt;=1,0,-(CROQUIS!$C$30-2*DATOS!$C$18-2*INDEX(TABLAS!$C$52:$C$58,MATCH(DATOS!$C$95,TABLAS!$B$52:$B$58,0))-INDEX(TABLAS!$C$52:$C$58,MATCH(MAX(CROQUIS!$C$33,3),TABLAS!$B$52:$B$58,0)))/2+(MIN($A14,CROQUIS!$C$32)-1)*(CROQUIS!$C$30-2*DATOS!$C$18-2*INDEX(TABLAS!$C$52:$C$58,MATCH(DATOS!$C$95,TABLAS!$B$52:$B$58,0))-INDEX(TABLAS!$C$52:$C$58,MATCH(MAX(CROQUIS!$C$33,3),TABLAS!$B$52:$B$58,0)))/(CROQUIS!$C$32-1))</f>
        <v>3.755</v>
      </c>
      <c r="BS14">
        <f>IF(CROQUIS!$C$32=0,-100,DATOS!$C$18+INDEX(TABLAS!$C$52:$C$58,MATCH(DATOS!$C$95,TABLAS!$B$52:$B$58,0))+INDEX(TABLAS!$C$52:$C$58,MATCH(MAX(CROQUIS!$C$33,3),TABLAS!$B$52:$B$58,0))/2)</f>
        <v>3.745</v>
      </c>
      <c r="BT14">
        <f>IF(CROQUIS!$C$34&lt;=1,0,-(CROQUIS!$C$30-2*DATOS!$C$18-2*INDEX(TABLAS!$C$52:$C$58,MATCH(DATOS!$C$95,TABLAS!$B$52:$B$58,0))-INDEX(TABLAS!$C$52:$C$58,MATCH(MAX(CROQUIS!$C$35,3),TABLAS!$B$52:$B$58,0)))/2+(MIN($A14,CROQUIS!$C$34)-1)*(CROQUIS!$C$30-2*DATOS!$C$18-2*INDEX(TABLAS!$C$52:$C$58,MATCH(DATOS!$C$95,TABLAS!$B$52:$B$58,0))-INDEX(TABLAS!$C$52:$C$58,MATCH(MAX(CROQUIS!$C$35,3),TABLAS!$B$52:$B$58,0)))/(CROQUIS!$C$34-1))</f>
        <v>4.075</v>
      </c>
      <c r="BU14">
        <f>IF(CROQUIS!$C$34=0,-100,CROQUIS!$C$31-DATOS!$C$18-INDEX(TABLAS!$C$52:$C$58,MATCH(DATOS!$C$95,TABLAS!$B$52:$B$58,0))-INDEX(TABLAS!$C$52:$C$58,MATCH(MAX(CROQUIS!$C$35,3),TABLAS!$B$52:$B$58,0))/2)</f>
        <v>21.575</v>
      </c>
      <c r="BV14">
        <f>CHOOSE(MIN(MAX($A14,1),7),-CROQUIS!$C$30/2,-CROQUIS!$C$30/2,-CROQUIS!$C$30/2,(-CROQUIS!$C$30/2+CROQUIS!$C$30/2)/2,CROQUIS!$C$30/2,CROQUIS!$C$30/2,CROQUIS!$C$30/2)</f>
        <v>7.5</v>
      </c>
      <c r="BW14">
        <f>CHOOSE(MIN(MAX($A14,1),7),-5-1.5,-5+1.5,-5,-5,-5,-5+1.5,-5-1.5)</f>
        <v>-6.5</v>
      </c>
      <c r="BX14">
        <f>CHOOSE(MIN(MAX($A14,1),7),38-1.5,38+1.5,38,38,38,38+1.5,38-1.5)</f>
        <v>36.5</v>
      </c>
      <c r="BY14">
        <f>CHOOSE(MIN(MAX($A14,1),7),0,0,0,(0+CROQUIS!$C$31)/2,CROQUIS!$C$31,CROQUIS!$C$31,CROQUIS!$C$31)</f>
        <v>25</v>
      </c>
      <c r="CA14" t="n">
        <v>0</v>
      </c>
      <c r="CB14" t="n">
        <v>2.921</v>
      </c>
      <c r="CC14" t="n">
        <v>0</v>
      </c>
      <c r="CD14" t="n">
        <v>6.948</v>
      </c>
      <c r="CE14" t="n">
        <v>4.327</v>
      </c>
      <c r="CF14" t="n">
        <v>2.921</v>
      </c>
      <c r="CG14" t="n">
        <v>0.075</v>
      </c>
      <c r="CH14" t="n">
        <v>7.946</v>
      </c>
      <c r="CI14" t="n">
        <v>0</v>
      </c>
      <c r="CJ14" t="n">
        <v>1.919</v>
      </c>
      <c r="CK14" t="n">
        <v>3.427</v>
      </c>
      <c r="CL14" t="n">
        <v>14.021</v>
      </c>
      <c r="CM14" t="n">
        <v>4.327</v>
      </c>
      <c r="CN14" t="n">
        <v>5.946</v>
      </c>
      <c r="CO14" t="n">
        <v>0</v>
      </c>
      <c r="CP14" t="n">
        <v>14.021</v>
      </c>
      <c r="CQ14" t="n">
        <v>0.075</v>
      </c>
      <c r="CR14" t="n">
        <v>7.946</v>
      </c>
      <c r="CS14" t="n">
        <v>0</v>
      </c>
      <c r="CT14" t="n">
        <v>11.986</v>
      </c>
      <c r="CU14" t="inlineStr">
        <is>
          <t>F80008 N+3.00</t>
        </is>
      </c>
      <c r="CV14" t="inlineStr">
        <is>
          <t>N+3.00</t>
        </is>
      </c>
      <c r="CW14" t="n">
        <v>4.327</v>
      </c>
      <c r="CX14" t="n">
        <v>14.021</v>
      </c>
      <c r="CY14" t="n">
        <v>4.327</v>
      </c>
      <c r="CZ14" t="n">
        <v>5.946</v>
      </c>
      <c r="DA14" t="n">
        <v>5.923</v>
      </c>
      <c r="DB14" t="n">
        <v>5.946</v>
      </c>
      <c r="DC14" t="n">
        <v>5.923</v>
      </c>
      <c r="DD14" t="n">
        <v>6.948</v>
      </c>
      <c r="DE14" t="n">
        <v>5.46</v>
      </c>
      <c r="DF14" t="n">
        <v>6.948</v>
      </c>
      <c r="DG14" t="n">
        <v>5.46</v>
      </c>
      <c r="DH14" t="n">
        <v>8.91</v>
      </c>
      <c r="DI14" t="n">
        <v>7.35</v>
      </c>
      <c r="DJ14" t="n">
        <v>8.91</v>
      </c>
      <c r="DK14" t="n">
        <v>7.35</v>
      </c>
      <c r="DL14" t="n">
        <v>9.949999999999999</v>
      </c>
      <c r="DM14" t="n">
        <v>5.422</v>
      </c>
      <c r="DN14" t="n">
        <v>9.949999999999999</v>
      </c>
      <c r="DO14" t="n">
        <v>5.422</v>
      </c>
      <c r="DP14" t="n">
        <v>15.447</v>
      </c>
      <c r="DQ14" t="n">
        <v>4.925</v>
      </c>
      <c r="DR14" t="n">
        <v>15.447</v>
      </c>
      <c r="DS14" t="n">
        <v>4.925</v>
      </c>
      <c r="DT14" t="n">
        <v>17.446</v>
      </c>
      <c r="DU14" t="n">
        <v>3.029</v>
      </c>
      <c r="DV14" t="n">
        <v>17.446</v>
      </c>
      <c r="DW14" t="n">
        <v>3.029</v>
      </c>
      <c r="DX14" t="n">
        <v>15.846</v>
      </c>
      <c r="DY14" t="n">
        <v>3.427</v>
      </c>
      <c r="DZ14" t="n">
        <v>15.846</v>
      </c>
      <c r="EA14" t="n">
        <v>3.427</v>
      </c>
      <c r="EB14" t="n">
        <v>14.021</v>
      </c>
      <c r="EC14" t="n">
        <v>4.327</v>
      </c>
      <c r="ED14" t="n">
        <v>14.021</v>
      </c>
      <c r="EE14" t="n">
        <v>4.327</v>
      </c>
      <c r="EF14" t="n">
        <v>14.021</v>
      </c>
      <c r="EH14" t="inlineStr">
        <is>
          <t>NP-07</t>
        </is>
      </c>
      <c r="EI14" t="inlineStr">
        <is>
          <t>N+3.00</t>
        </is>
      </c>
      <c r="EJ14" t="n">
        <v>5.441</v>
      </c>
      <c r="EK14" t="n">
        <v>8.91</v>
      </c>
      <c r="EL14" t="n">
        <v>7.35</v>
      </c>
      <c r="EM14" t="n">
        <v>8.91</v>
      </c>
      <c r="EO14">
        <f>IF(INDEX($CV$8:$CV$39,MATCH(CROQUIS!$C$7,$CU$8:$CU$39,0))="N+3.00",INDEX($DI$8:$DI$39,MATCH(CROQUIS!$C$7,$CU$8:$CU$39,0)),-100)</f>
        <v>0</v>
      </c>
      <c r="EP14">
        <f>IF(INDEX($CV$8:$CV$39,MATCH(CROQUIS!$C$7,$CU$8:$CU$39,0))="N+3.00",INDEX($DJ$8:$DJ$39,MATCH(CROQUIS!$C$7,$CU$8:$CU$39,0)),-100)</f>
        <v>17.446</v>
      </c>
      <c r="ES14">
        <f>IF(INDEX($CV$8:$CV$39,MATCH(CROQUIS!$C$7,$CU$8:$CU$39,0))="N+6.00",INDEX($DI$8:$DI$39,MATCH(CROQUIS!$C$7,$CU$8:$CU$39,0)),-100)</f>
        <v>-100</v>
      </c>
      <c r="ET14">
        <f>IF(INDEX($CV$8:$CV$39,MATCH(CROQUIS!$C$7,$CU$8:$CU$39,0))="N+6.00",INDEX($DJ$8:$DJ$39,MATCH(CROQUIS!$C$7,$CU$8:$CU$39,0)),-100)</f>
        <v>-100</v>
      </c>
      <c r="EX14" t="inlineStr">
        <is>
          <t>F80008</t>
        </is>
      </c>
      <c r="EY14" t="n">
        <v>4.874</v>
      </c>
      <c r="EZ14" t="n">
        <v>11.986</v>
      </c>
      <c r="FA14" t="inlineStr">
        <is>
          <t>N+3.00</t>
        </is>
      </c>
    </row>
    <row r="15">
      <c r="A15" t="n">
        <v>8</v>
      </c>
      <c r="B15">
        <f>CHOOSE(MIN(MAX($A15,1),5),CROQUIS!$C$15,CROQUIS!$C$15+CROQUIS!$C$10*CROQUIS!$C$14,CROQUIS!$C$15+CROQUIS!$C$10*CROQUIS!$C$14,CROQUIS!$C$15,CROQUIS!$C$15)</f>
        <v>12</v>
      </c>
      <c r="C15">
        <f>CHOOSE(MIN(MAX($A15,1),5),CROQUIS!$C$16,CROQUIS!$C$16,CROQUIS!$C$16+CROQUIS!$C$11*CROQUIS!$C$14,CROQUIS!$C$16+CROQUIS!$C$11*CROQUIS!$C$14,CROQUIS!$C$16)</f>
        <v>15.9462268413918</v>
      </c>
      <c r="D15">
        <f>CHOOSE(MIN(MAX($A15,1),5),CROQUIS!$C$15+DATOS!$C$17/2*CROQUIS!$C$14,CROQUIS!$C$15+CROQUIS!$C$10*CROQUIS!$C$14-DATOS!$C$17/2*CROQUIS!$C$14,CROQUIS!$C$15+CROQUIS!$C$10*CROQUIS!$C$14-DATOS!$C$17/2*CROQUIS!$C$14,CROQUIS!$C$15+DATOS!$C$17/2*CROQUIS!$C$14,CROQUIS!$C$15+DATOS!$C$17/2*CROQUIS!$C$14)</f>
        <v>13.3895164934478</v>
      </c>
      <c r="E15">
        <f>CHOOSE(MIN(MAX($A15,1),5),CROQUIS!$C$16+DATOS!$C$17/2*CROQUIS!$C$14,CROQUIS!$C$16+DATOS!$C$17/2*CROQUIS!$C$14,CROQUIS!$C$16+CROQUIS!$C$11*CROQUIS!$C$14-DATOS!$C$17/2*CROQUIS!$C$14,CROQUIS!$C$16+CROQUIS!$C$11*CROQUIS!$C$14-DATOS!$C$17/2*CROQUIS!$C$14,CROQUIS!$C$16+DATOS!$C$17/2*CROQUIS!$C$14)</f>
        <v>17.3357433348396</v>
      </c>
      <c r="F15">
        <f>IF(NERVADURA!$C$118=0,CROQUIS!$C$15+CROQUIS!$C$10*CROQUIS!$C$14/2,CROQUIS!$C$15+(DATOS!$C$17/2+NERVADURA!$C$119+INT(MIN(INT(($A15-1)/2),MAX(2*NERVADURA!$C$118-1,0))/2)*DATOS!$C$16+MOD(MIN(INT(($A15-1)/2),MAX(2*NERVADURA!$C$118-1,0)),2)*DATOS!$C$11)*CROQUIS!$C$14)</f>
        <v>39.1048350655219</v>
      </c>
      <c r="G15">
        <f>IF(NERVADURA!$C$118=0,CROQUIS!$C$16+CROQUIS!$C$11*CROQUIS!$C$14/2,CROQUIS!$C$16+IF(MOD(MIN(INT(($A15-1)/2),MAX(2*NERVADURA!$C$118-1,0)),2)=0,IF(IF(INT(($A15-1)/2)&gt;MAX(2*NERVADURA!$C$118-1,0),1,MOD($A15-1,2))=0,(DATOS!$C$17/2+NERVADURA!$C$121),(CROQUIS!$C$11-DATOS!$C$17/2-NERVADURA!$C$121)),IF(IF(INT(($A15-1)/2)&gt;MAX(2*NERVADURA!$C$118-1,0),1,MOD($A15-1,2))=0,(CROQUIS!$C$11-DATOS!$C$17/2-NERVADURA!$C$121),(DATOS!$C$17/2+NERVADURA!$C$121)))*CROQUIS!$C$14)</f>
        <v>21.504292815183</v>
      </c>
      <c r="H15">
        <f>IF(NERVADURA!$C$120=0,CROQUIS!$C$15+CROQUIS!$C$10*CROQUIS!$C$14/2,CROQUIS!$C$15+IF(MOD(MIN(INT(($A15-1)/2),MAX(2*NERVADURA!$C$120-1,0)),2)=0,IF(IF(INT(($A15-1)/2)&gt;MAX(2*NERVADURA!$C$120-1,0),1,MOD($A15-1,2))=0,(DATOS!$C$17/2+NERVADURA!$C$119),(CROQUIS!$C$10-DATOS!$C$17/2-NERVADURA!$C$119)),IF(IF(INT(($A15-1)/2)&gt;MAX(2*NERVADURA!$C$120-1,0),1,MOD($A15-1,2))=0,(CROQUIS!$C$10-DATOS!$C$17/2-NERVADURA!$C$119),(DATOS!$C$17/2+NERVADURA!$C$119)))*CROQUIS!$C$14)</f>
        <v>15.0198825124266</v>
      </c>
      <c r="I15">
        <f>IF(NERVADURA!$C$120=0,CROQUIS!$C$16+CROQUIS!$C$11*CROQUIS!$C$14/2,CROQUIS!$C$16+(DATOS!$C$17/2+NERVADURA!$C$121+INT(MIN(INT(($A15-1)/2),MAX(2*NERVADURA!$C$120-1,0))/2)*DATOS!$C$16+MOD(MIN(INT(($A15-1)/2),MAX(2*NERVADURA!$C$120-1,0)),2)*DATOS!$C$11)*CROQUIS!$C$14)</f>
        <v>45.5892453682784</v>
      </c>
      <c r="AB15">
        <f>CHOOSE(MIN(MAX($A15,1),9),-DATOS!$C$16/2,DATOS!$C$16/2,DATOS!$C$16/2,DATOS!$C$13/2,DATOS!$C$13/2,-DATOS!$C$13/2,-DATOS!$C$13/2,-DATOS!$C$16/2,-DATOS!$C$16/2)</f>
        <v>-35</v>
      </c>
      <c r="AC15">
        <f>CHOOSE(MIN(MAX($A15,1),9),DATOS!$C$15,DATOS!$C$15,DATOS!$C$12,DATOS!$C$12,0,0,DATOS!$C$12,DATOS!$C$12,DATOS!$C$15)</f>
        <v>20</v>
      </c>
      <c r="BJ15">
        <f>CHOOSE(MIN(MAX($A15,1),9),-35,35,35,CROQUIS!$C$30/2,CROQUIS!$C$30/2,-CROQUIS!$C$30/2,-CROQUIS!$C$30/2,-35,-35)</f>
        <v>-35</v>
      </c>
      <c r="BK15">
        <f>CHOOSE(MIN(MAX($A15,1),9),CROQUIS!$C$31,CROQUIS!$C$31,CROQUIS!$C$31-DATOS!$C$14,CROQUIS!$C$31-DATOS!$C$14,0,0,CROQUIS!$C$31-DATOS!$C$14,CROQUIS!$C$31-DATOS!$C$14,CROQUIS!$C$31)</f>
        <v>20</v>
      </c>
      <c r="BR15">
        <f>IF(CROQUIS!$C$32&lt;=1,0,-(CROQUIS!$C$30-2*DATOS!$C$18-2*INDEX(TABLAS!$C$52:$C$58,MATCH(DATOS!$C$95,TABLAS!$B$52:$B$58,0))-INDEX(TABLAS!$C$52:$C$58,MATCH(MAX(CROQUIS!$C$33,3),TABLAS!$B$52:$B$58,0)))/2+(MIN($A15,CROQUIS!$C$32)-1)*(CROQUIS!$C$30-2*DATOS!$C$18-2*INDEX(TABLAS!$C$52:$C$58,MATCH(DATOS!$C$95,TABLAS!$B$52:$B$58,0))-INDEX(TABLAS!$C$52:$C$58,MATCH(MAX(CROQUIS!$C$33,3),TABLAS!$B$52:$B$58,0)))/(CROQUIS!$C$32-1))</f>
        <v>3.755</v>
      </c>
      <c r="BS15">
        <f>IF(CROQUIS!$C$32=0,-100,DATOS!$C$18+INDEX(TABLAS!$C$52:$C$58,MATCH(DATOS!$C$95,TABLAS!$B$52:$B$58,0))+INDEX(TABLAS!$C$52:$C$58,MATCH(MAX(CROQUIS!$C$33,3),TABLAS!$B$52:$B$58,0))/2)</f>
        <v>3.745</v>
      </c>
      <c r="BT15">
        <f>IF(CROQUIS!$C$34&lt;=1,0,-(CROQUIS!$C$30-2*DATOS!$C$18-2*INDEX(TABLAS!$C$52:$C$58,MATCH(DATOS!$C$95,TABLAS!$B$52:$B$58,0))-INDEX(TABLAS!$C$52:$C$58,MATCH(MAX(CROQUIS!$C$35,3),TABLAS!$B$52:$B$58,0)))/2+(MIN($A15,CROQUIS!$C$34)-1)*(CROQUIS!$C$30-2*DATOS!$C$18-2*INDEX(TABLAS!$C$52:$C$58,MATCH(DATOS!$C$95,TABLAS!$B$52:$B$58,0))-INDEX(TABLAS!$C$52:$C$58,MATCH(MAX(CROQUIS!$C$35,3),TABLAS!$B$52:$B$58,0)))/(CROQUIS!$C$34-1))</f>
        <v>4.075</v>
      </c>
      <c r="BU15">
        <f>IF(CROQUIS!$C$34=0,-100,CROQUIS!$C$31-DATOS!$C$18-INDEX(TABLAS!$C$52:$C$58,MATCH(DATOS!$C$95,TABLAS!$B$52:$B$58,0))-INDEX(TABLAS!$C$52:$C$58,MATCH(MAX(CROQUIS!$C$35,3),TABLAS!$B$52:$B$58,0))/2)</f>
        <v>21.575</v>
      </c>
      <c r="CA15" t="n">
        <v>4.327</v>
      </c>
      <c r="CB15" t="n">
        <v>2.921</v>
      </c>
      <c r="CC15" t="n">
        <v>2.925</v>
      </c>
      <c r="CD15" t="n">
        <v>6.948</v>
      </c>
      <c r="CE15" t="n">
        <v>5.923</v>
      </c>
      <c r="CF15" t="n">
        <v>2.921</v>
      </c>
      <c r="CG15" t="n">
        <v>4.247</v>
      </c>
      <c r="CH15" t="n">
        <v>13.946</v>
      </c>
      <c r="CI15" t="n">
        <v>0</v>
      </c>
      <c r="CJ15" t="n">
        <v>2.921</v>
      </c>
      <c r="CK15" t="n">
        <v>3.427</v>
      </c>
      <c r="CL15" t="n">
        <v>15.846</v>
      </c>
      <c r="CM15" t="n">
        <v>5.923</v>
      </c>
      <c r="CN15" t="n">
        <v>5.946</v>
      </c>
      <c r="CO15" t="n">
        <v>0</v>
      </c>
      <c r="CP15" t="n">
        <v>15.846</v>
      </c>
      <c r="CQ15" t="n">
        <v>4.427</v>
      </c>
      <c r="CR15" t="n">
        <v>13.946</v>
      </c>
      <c r="CS15" t="n">
        <v>0</v>
      </c>
      <c r="CT15" t="n">
        <v>14.021</v>
      </c>
      <c r="CU15" t="inlineStr">
        <is>
          <t>F80009 N+3.00</t>
        </is>
      </c>
      <c r="CV15" t="inlineStr">
        <is>
          <t>N+3.00</t>
        </is>
      </c>
      <c r="CW15" t="n">
        <v>8.85</v>
      </c>
      <c r="CX15" t="n">
        <v>15.447</v>
      </c>
      <c r="CY15" t="n">
        <v>5.422</v>
      </c>
      <c r="CZ15" t="n">
        <v>15.447</v>
      </c>
      <c r="DA15" t="n">
        <v>5.422</v>
      </c>
      <c r="DB15" t="n">
        <v>9.949999999999999</v>
      </c>
      <c r="DC15" t="n">
        <v>8.85</v>
      </c>
      <c r="DD15" t="n">
        <v>9.949999999999999</v>
      </c>
      <c r="DE15" t="n">
        <v>8.85</v>
      </c>
      <c r="DF15" t="n">
        <v>15.447</v>
      </c>
      <c r="DG15" t="n">
        <v>8.85</v>
      </c>
      <c r="DH15" t="n">
        <v>15.447</v>
      </c>
      <c r="DI15" t="n">
        <v>8.85</v>
      </c>
      <c r="DJ15" t="n">
        <v>15.447</v>
      </c>
      <c r="DK15" t="n">
        <v>8.85</v>
      </c>
      <c r="DL15" t="n">
        <v>15.447</v>
      </c>
      <c r="DM15" t="n">
        <v>8.85</v>
      </c>
      <c r="DN15" t="n">
        <v>15.447</v>
      </c>
      <c r="DO15" t="n">
        <v>8.85</v>
      </c>
      <c r="DP15" t="n">
        <v>15.447</v>
      </c>
      <c r="DQ15" t="n">
        <v>8.85</v>
      </c>
      <c r="DR15" t="n">
        <v>15.447</v>
      </c>
      <c r="DS15" t="n">
        <v>8.85</v>
      </c>
      <c r="DT15" t="n">
        <v>15.447</v>
      </c>
      <c r="DU15" t="n">
        <v>8.85</v>
      </c>
      <c r="DV15" t="n">
        <v>15.447</v>
      </c>
      <c r="DW15" t="n">
        <v>8.85</v>
      </c>
      <c r="DX15" t="n">
        <v>15.447</v>
      </c>
      <c r="DY15" t="n">
        <v>8.85</v>
      </c>
      <c r="DZ15" t="n">
        <v>15.447</v>
      </c>
      <c r="EA15" t="n">
        <v>8.85</v>
      </c>
      <c r="EB15" t="n">
        <v>15.447</v>
      </c>
      <c r="EC15" t="n">
        <v>8.85</v>
      </c>
      <c r="ED15" t="n">
        <v>15.447</v>
      </c>
      <c r="EE15" t="n">
        <v>8.85</v>
      </c>
      <c r="EF15" t="n">
        <v>15.447</v>
      </c>
      <c r="EH15" t="inlineStr">
        <is>
          <t>NP-08</t>
        </is>
      </c>
      <c r="EI15" t="inlineStr">
        <is>
          <t>N+3.00</t>
        </is>
      </c>
      <c r="EJ15" t="n">
        <v>5.422</v>
      </c>
      <c r="EK15" t="n">
        <v>9.949999999999999</v>
      </c>
      <c r="EL15" t="n">
        <v>8.144</v>
      </c>
      <c r="EM15" t="n">
        <v>9.949999999999999</v>
      </c>
      <c r="EO15">
        <f>IF(INDEX($CV$8:$CV$39,MATCH(CROQUIS!$C$7,$CU$8:$CU$39,0))="N+3.00",INDEX($DK$8:$DK$39,MATCH(CROQUIS!$C$7,$CU$8:$CU$39,0)),-100)</f>
        <v>0</v>
      </c>
      <c r="EP15">
        <f>IF(INDEX($CV$8:$CV$39,MATCH(CROQUIS!$C$7,$CU$8:$CU$39,0))="N+3.00",INDEX($DL$8:$DL$39,MATCH(CROQUIS!$C$7,$CU$8:$CU$39,0)),-100)</f>
        <v>17.446</v>
      </c>
      <c r="ES15">
        <f>IF(INDEX($CV$8:$CV$39,MATCH(CROQUIS!$C$7,$CU$8:$CU$39,0))="N+6.00",INDEX($DK$8:$DK$39,MATCH(CROQUIS!$C$7,$CU$8:$CU$39,0)),-100)</f>
        <v>-100</v>
      </c>
      <c r="ET15">
        <f>IF(INDEX($CV$8:$CV$39,MATCH(CROQUIS!$C$7,$CU$8:$CU$39,0))="N+6.00",INDEX($DL$8:$DL$39,MATCH(CROQUIS!$C$7,$CU$8:$CU$39,0)),-100)</f>
        <v>-100</v>
      </c>
      <c r="EX15" t="inlineStr">
        <is>
          <t>F80009</t>
        </is>
      </c>
      <c r="EY15" t="n">
        <v>7.136</v>
      </c>
      <c r="EZ15" t="n">
        <v>12.698</v>
      </c>
      <c r="FA15" t="inlineStr">
        <is>
          <t>N+3.00</t>
        </is>
      </c>
    </row>
    <row r="16">
      <c r="A16" t="n">
        <v>9</v>
      </c>
      <c r="B16">
        <f>CHOOSE(MIN(MAX($A16,1),5),CROQUIS!$C$15,CROQUIS!$C$15+CROQUIS!$C$10*CROQUIS!$C$14,CROQUIS!$C$15+CROQUIS!$C$10*CROQUIS!$C$14,CROQUIS!$C$15,CROQUIS!$C$15)</f>
        <v>12</v>
      </c>
      <c r="C16">
        <f>CHOOSE(MIN(MAX($A16,1),5),CROQUIS!$C$16,CROQUIS!$C$16,CROQUIS!$C$16+CROQUIS!$C$11*CROQUIS!$C$14,CROQUIS!$C$16+CROQUIS!$C$11*CROQUIS!$C$14,CROQUIS!$C$16)</f>
        <v>15.9462268413918</v>
      </c>
      <c r="D16">
        <f>CHOOSE(MIN(MAX($A16,1),5),CROQUIS!$C$15+DATOS!$C$17/2*CROQUIS!$C$14,CROQUIS!$C$15+CROQUIS!$C$10*CROQUIS!$C$14-DATOS!$C$17/2*CROQUIS!$C$14,CROQUIS!$C$15+CROQUIS!$C$10*CROQUIS!$C$14-DATOS!$C$17/2*CROQUIS!$C$14,CROQUIS!$C$15+DATOS!$C$17/2*CROQUIS!$C$14,CROQUIS!$C$15+DATOS!$C$17/2*CROQUIS!$C$14)</f>
        <v>13.3895164934478</v>
      </c>
      <c r="E16">
        <f>CHOOSE(MIN(MAX($A16,1),5),CROQUIS!$C$16+DATOS!$C$17/2*CROQUIS!$C$14,CROQUIS!$C$16+DATOS!$C$17/2*CROQUIS!$C$14,CROQUIS!$C$16+CROQUIS!$C$11*CROQUIS!$C$14-DATOS!$C$17/2*CROQUIS!$C$14,CROQUIS!$C$16+CROQUIS!$C$11*CROQUIS!$C$14-DATOS!$C$17/2*CROQUIS!$C$14,CROQUIS!$C$16+DATOS!$C$17/2*CROQUIS!$C$14)</f>
        <v>17.3357433348396</v>
      </c>
      <c r="F16">
        <f>IF(NERVADURA!$C$118=0,CROQUIS!$C$15+CROQUIS!$C$10*CROQUIS!$C$14/2,CROQUIS!$C$15+(DATOS!$C$17/2+NERVADURA!$C$119+INT(MIN(INT(($A16-1)/2),MAX(2*NERVADURA!$C$118-1,0))/2)*DATOS!$C$16+MOD(MIN(INT(($A16-1)/2),MAX(2*NERVADURA!$C$118-1,0)),2)*DATOS!$C$11)*CROQUIS!$C$14)</f>
        <v>40.9575237234523</v>
      </c>
      <c r="G16">
        <f>IF(NERVADURA!$C$118=0,CROQUIS!$C$16+CROQUIS!$C$11*CROQUIS!$C$14/2,CROQUIS!$C$16+IF(MOD(MIN(INT(($A16-1)/2),MAX(2*NERVADURA!$C$118-1,0)),2)=0,IF(IF(INT(($A16-1)/2)&gt;MAX(2*NERVADURA!$C$118-1,0),1,MOD($A16-1,2))=0,(DATOS!$C$17/2+NERVADURA!$C$121),(CROQUIS!$C$11-DATOS!$C$17/2-NERVADURA!$C$121)),IF(IF(INT(($A16-1)/2)&gt;MAX(2*NERVADURA!$C$118-1,0),1,MOD($A16-1,2))=0,(CROQUIS!$C$11-DATOS!$C$17/2-NERVADURA!$C$121),(DATOS!$C$17/2+NERVADURA!$C$121)))*CROQUIS!$C$14)</f>
        <v>21.504292815183</v>
      </c>
      <c r="H16">
        <f>IF(NERVADURA!$C$120=0,CROQUIS!$C$15+CROQUIS!$C$10*CROQUIS!$C$14/2,CROQUIS!$C$15+IF(MOD(MIN(INT(($A16-1)/2),MAX(2*NERVADURA!$C$120-1,0)),2)=0,IF(IF(INT(($A16-1)/2)&gt;MAX(2*NERVADURA!$C$120-1,0),1,MOD($A16-1,2))=0,(DATOS!$C$17/2+NERVADURA!$C$119),(CROQUIS!$C$10-DATOS!$C$17/2-NERVADURA!$C$119)),IF(IF(INT(($A16-1)/2)&gt;MAX(2*NERVADURA!$C$120-1,0),1,MOD($A16-1,2))=0,(CROQUIS!$C$10-DATOS!$C$17/2-NERVADURA!$C$119),(DATOS!$C$17/2+NERVADURA!$C$119)))*CROQUIS!$C$14)</f>
        <v>15.0198825124266</v>
      </c>
      <c r="I16">
        <f>IF(NERVADURA!$C$120=0,CROQUIS!$C$16+CROQUIS!$C$11*CROQUIS!$C$14/2,CROQUIS!$C$16+(DATOS!$C$17/2+NERVADURA!$C$121+INT(MIN(INT(($A16-1)/2),MAX(2*NERVADURA!$C$120-1,0))/2)*DATOS!$C$16+MOD(MIN(INT(($A16-1)/2),MAX(2*NERVADURA!$C$120-1,0)),2)*DATOS!$C$11)*CROQUIS!$C$14)</f>
        <v>47.4419340262088</v>
      </c>
      <c r="AB16">
        <f>CHOOSE(MIN(MAX($A16,1),9),-DATOS!$C$16/2,DATOS!$C$16/2,DATOS!$C$16/2,DATOS!$C$13/2,DATOS!$C$13/2,-DATOS!$C$13/2,-DATOS!$C$13/2,-DATOS!$C$16/2,-DATOS!$C$16/2)</f>
        <v>-35</v>
      </c>
      <c r="AC16">
        <f>CHOOSE(MIN(MAX($A16,1),9),DATOS!$C$15,DATOS!$C$15,DATOS!$C$12,DATOS!$C$12,0,0,DATOS!$C$12,DATOS!$C$12,DATOS!$C$15)</f>
        <v>25</v>
      </c>
      <c r="BJ16">
        <f>CHOOSE(MIN(MAX($A16,1),9),-35,35,35,CROQUIS!$C$30/2,CROQUIS!$C$30/2,-CROQUIS!$C$30/2,-CROQUIS!$C$30/2,-35,-35)</f>
        <v>-35</v>
      </c>
      <c r="BK16">
        <f>CHOOSE(MIN(MAX($A16,1),9),CROQUIS!$C$31,CROQUIS!$C$31,CROQUIS!$C$31-DATOS!$C$14,CROQUIS!$C$31-DATOS!$C$14,0,0,CROQUIS!$C$31-DATOS!$C$14,CROQUIS!$C$31-DATOS!$C$14,CROQUIS!$C$31)</f>
        <v>25</v>
      </c>
      <c r="CA16" t="n">
        <v>4.327</v>
      </c>
      <c r="CB16" t="n">
        <v>5.946</v>
      </c>
      <c r="CI16" t="n">
        <v>0</v>
      </c>
      <c r="CJ16" t="n">
        <v>5.346</v>
      </c>
      <c r="CK16" t="n">
        <v>0</v>
      </c>
      <c r="CL16" t="n">
        <v>15.846</v>
      </c>
      <c r="CS16" t="n">
        <v>0</v>
      </c>
      <c r="CT16" t="n">
        <v>15.846</v>
      </c>
      <c r="CU16" t="inlineStr">
        <is>
          <t>F80010 N+3.00</t>
        </is>
      </c>
      <c r="CV16" t="inlineStr">
        <is>
          <t>N+3.00</t>
        </is>
      </c>
      <c r="CW16" t="n">
        <v>3.427</v>
      </c>
      <c r="CX16" t="n">
        <v>14.021</v>
      </c>
      <c r="CY16" t="n">
        <v>3.427</v>
      </c>
      <c r="CZ16" t="n">
        <v>15.846</v>
      </c>
      <c r="DA16" t="n">
        <v>0</v>
      </c>
      <c r="DB16" t="n">
        <v>15.846</v>
      </c>
      <c r="DC16" t="n">
        <v>0</v>
      </c>
      <c r="DD16" t="n">
        <v>14.021</v>
      </c>
      <c r="DE16" t="n">
        <v>3.427</v>
      </c>
      <c r="DF16" t="n">
        <v>14.021</v>
      </c>
      <c r="DG16" t="n">
        <v>3.427</v>
      </c>
      <c r="DH16" t="n">
        <v>14.021</v>
      </c>
      <c r="DI16" t="n">
        <v>3.427</v>
      </c>
      <c r="DJ16" t="n">
        <v>14.021</v>
      </c>
      <c r="DK16" t="n">
        <v>3.427</v>
      </c>
      <c r="DL16" t="n">
        <v>14.021</v>
      </c>
      <c r="DM16" t="n">
        <v>3.427</v>
      </c>
      <c r="DN16" t="n">
        <v>14.021</v>
      </c>
      <c r="DO16" t="n">
        <v>3.427</v>
      </c>
      <c r="DP16" t="n">
        <v>14.021</v>
      </c>
      <c r="DQ16" t="n">
        <v>3.427</v>
      </c>
      <c r="DR16" t="n">
        <v>14.021</v>
      </c>
      <c r="DS16" t="n">
        <v>3.427</v>
      </c>
      <c r="DT16" t="n">
        <v>14.021</v>
      </c>
      <c r="DU16" t="n">
        <v>3.427</v>
      </c>
      <c r="DV16" t="n">
        <v>14.021</v>
      </c>
      <c r="DW16" t="n">
        <v>3.427</v>
      </c>
      <c r="DX16" t="n">
        <v>14.021</v>
      </c>
      <c r="DY16" t="n">
        <v>3.427</v>
      </c>
      <c r="DZ16" t="n">
        <v>14.021</v>
      </c>
      <c r="EA16" t="n">
        <v>3.427</v>
      </c>
      <c r="EB16" t="n">
        <v>14.021</v>
      </c>
      <c r="EC16" t="n">
        <v>3.427</v>
      </c>
      <c r="ED16" t="n">
        <v>14.021</v>
      </c>
      <c r="EE16" t="n">
        <v>3.427</v>
      </c>
      <c r="EF16" t="n">
        <v>14.021</v>
      </c>
      <c r="EH16" t="inlineStr">
        <is>
          <t>NP-09</t>
        </is>
      </c>
      <c r="EI16" t="inlineStr">
        <is>
          <t>N+3.00</t>
        </is>
      </c>
      <c r="EJ16" t="n">
        <v>-2</v>
      </c>
      <c r="EK16" t="n">
        <v>14.021</v>
      </c>
      <c r="EL16" t="n">
        <v>0</v>
      </c>
      <c r="EM16" t="n">
        <v>14.021</v>
      </c>
      <c r="EO16">
        <f>IF(INDEX($CV$8:$CV$39,MATCH(CROQUIS!$C$7,$CU$8:$CU$39,0))="N+3.00",INDEX($DM$8:$DM$39,MATCH(CROQUIS!$C$7,$CU$8:$CU$39,0)),-100)</f>
        <v>0</v>
      </c>
      <c r="EP16">
        <f>IF(INDEX($CV$8:$CV$39,MATCH(CROQUIS!$C$7,$CU$8:$CU$39,0))="N+3.00",INDEX($DN$8:$DN$39,MATCH(CROQUIS!$C$7,$CU$8:$CU$39,0)),-100)</f>
        <v>17.446</v>
      </c>
      <c r="ES16">
        <f>IF(INDEX($CV$8:$CV$39,MATCH(CROQUIS!$C$7,$CU$8:$CU$39,0))="N+6.00",INDEX($DM$8:$DM$39,MATCH(CROQUIS!$C$7,$CU$8:$CU$39,0)),-100)</f>
        <v>-100</v>
      </c>
      <c r="ET16">
        <f>IF(INDEX($CV$8:$CV$39,MATCH(CROQUIS!$C$7,$CU$8:$CU$39,0))="N+6.00",INDEX($DN$8:$DN$39,MATCH(CROQUIS!$C$7,$CU$8:$CU$39,0)),-100)</f>
        <v>-100</v>
      </c>
      <c r="EX16" t="inlineStr">
        <is>
          <t>F80010</t>
        </is>
      </c>
      <c r="EY16" t="n">
        <v>1.714</v>
      </c>
      <c r="EZ16" t="n">
        <v>14.934</v>
      </c>
      <c r="FA16" t="inlineStr">
        <is>
          <t>N+3.00</t>
        </is>
      </c>
    </row>
    <row r="17">
      <c r="A17" t="n">
        <v>10</v>
      </c>
      <c r="B17">
        <f>CHOOSE(MIN(MAX($A17,1),5),CROQUIS!$C$15,CROQUIS!$C$15+CROQUIS!$C$10*CROQUIS!$C$14,CROQUIS!$C$15+CROQUIS!$C$10*CROQUIS!$C$14,CROQUIS!$C$15,CROQUIS!$C$15)</f>
        <v>12</v>
      </c>
      <c r="C17">
        <f>CHOOSE(MIN(MAX($A17,1),5),CROQUIS!$C$16,CROQUIS!$C$16,CROQUIS!$C$16+CROQUIS!$C$11*CROQUIS!$C$14,CROQUIS!$C$16+CROQUIS!$C$11*CROQUIS!$C$14,CROQUIS!$C$16)</f>
        <v>15.9462268413918</v>
      </c>
      <c r="D17">
        <f>CHOOSE(MIN(MAX($A17,1),5),CROQUIS!$C$15+DATOS!$C$17/2*CROQUIS!$C$14,CROQUIS!$C$15+CROQUIS!$C$10*CROQUIS!$C$14-DATOS!$C$17/2*CROQUIS!$C$14,CROQUIS!$C$15+CROQUIS!$C$10*CROQUIS!$C$14-DATOS!$C$17/2*CROQUIS!$C$14,CROQUIS!$C$15+DATOS!$C$17/2*CROQUIS!$C$14,CROQUIS!$C$15+DATOS!$C$17/2*CROQUIS!$C$14)</f>
        <v>13.3895164934478</v>
      </c>
      <c r="E17">
        <f>CHOOSE(MIN(MAX($A17,1),5),CROQUIS!$C$16+DATOS!$C$17/2*CROQUIS!$C$14,CROQUIS!$C$16+DATOS!$C$17/2*CROQUIS!$C$14,CROQUIS!$C$16+CROQUIS!$C$11*CROQUIS!$C$14-DATOS!$C$17/2*CROQUIS!$C$14,CROQUIS!$C$16+CROQUIS!$C$11*CROQUIS!$C$14-DATOS!$C$17/2*CROQUIS!$C$14,CROQUIS!$C$16+DATOS!$C$17/2*CROQUIS!$C$14)</f>
        <v>17.3357433348396</v>
      </c>
      <c r="F17">
        <f>IF(NERVADURA!$C$118=0,CROQUIS!$C$15+CROQUIS!$C$10*CROQUIS!$C$14/2,CROQUIS!$C$15+(DATOS!$C$17/2+NERVADURA!$C$119+INT(MIN(INT(($A17-1)/2),MAX(2*NERVADURA!$C$118-1,0))/2)*DATOS!$C$16+MOD(MIN(INT(($A17-1)/2),MAX(2*NERVADURA!$C$118-1,0)),2)*DATOS!$C$11)*CROQUIS!$C$14)</f>
        <v>40.9575237234523</v>
      </c>
      <c r="G17">
        <f>IF(NERVADURA!$C$118=0,CROQUIS!$C$16+CROQUIS!$C$11*CROQUIS!$C$14/2,CROQUIS!$C$16+IF(MOD(MIN(INT(($A17-1)/2),MAX(2*NERVADURA!$C$118-1,0)),2)=0,IF(IF(INT(($A17-1)/2)&gt;MAX(2*NERVADURA!$C$118-1,0),1,MOD($A17-1,2))=0,(DATOS!$C$17/2+NERVADURA!$C$121),(CROQUIS!$C$11-DATOS!$C$17/2-NERVADURA!$C$121)),IF(IF(INT(($A17-1)/2)&gt;MAX(2*NERVADURA!$C$118-1,0),1,MOD($A17-1,2))=0,(CROQUIS!$C$11-DATOS!$C$17/2-NERVADURA!$C$121),(DATOS!$C$17/2+NERVADURA!$C$121)))*CROQUIS!$C$14)</f>
        <v>84.495707184817</v>
      </c>
      <c r="H17">
        <f>IF(NERVADURA!$C$120=0,CROQUIS!$C$15+CROQUIS!$C$10*CROQUIS!$C$14/2,CROQUIS!$C$15+IF(MOD(MIN(INT(($A17-1)/2),MAX(2*NERVADURA!$C$120-1,0)),2)=0,IF(IF(INT(($A17-1)/2)&gt;MAX(2*NERVADURA!$C$120-1,0),1,MOD($A17-1,2))=0,(DATOS!$C$17/2+NERVADURA!$C$119),(CROQUIS!$C$10-DATOS!$C$17/2-NERVADURA!$C$119)),IF(IF(INT(($A17-1)/2)&gt;MAX(2*NERVADURA!$C$120-1,0),1,MOD($A17-1,2))=0,(CROQUIS!$C$10-DATOS!$C$17/2-NERVADURA!$C$119),(DATOS!$C$17/2+NERVADURA!$C$119)))*CROQUIS!$C$14)</f>
        <v>90.9801174875734</v>
      </c>
      <c r="I17">
        <f>IF(NERVADURA!$C$120=0,CROQUIS!$C$16+CROQUIS!$C$11*CROQUIS!$C$14/2,CROQUIS!$C$16+(DATOS!$C$17/2+NERVADURA!$C$121+INT(MIN(INT(($A17-1)/2),MAX(2*NERVADURA!$C$120-1,0))/2)*DATOS!$C$16+MOD(MIN(INT(($A17-1)/2),MAX(2*NERVADURA!$C$120-1,0)),2)*DATOS!$C$11)*CROQUIS!$C$14)</f>
        <v>47.4419340262088</v>
      </c>
      <c r="CA17" t="n">
        <v>2.925</v>
      </c>
      <c r="CB17" t="n">
        <v>5.946</v>
      </c>
      <c r="CC17" t="n">
        <v>5.923</v>
      </c>
      <c r="CD17" t="n">
        <v>6.948</v>
      </c>
      <c r="CE17" t="n">
        <v>2.925</v>
      </c>
      <c r="CF17" t="n">
        <v>6.948</v>
      </c>
      <c r="CG17" t="n">
        <v>0.075</v>
      </c>
      <c r="CH17" t="n">
        <v>13.946</v>
      </c>
      <c r="CI17" t="n">
        <v>0</v>
      </c>
      <c r="CJ17" t="n">
        <v>6.948</v>
      </c>
      <c r="CK17" t="n">
        <v>0</v>
      </c>
      <c r="CL17" t="n">
        <v>14.021</v>
      </c>
      <c r="CM17" t="n">
        <v>5.923</v>
      </c>
      <c r="CN17" t="n">
        <v>6.948</v>
      </c>
      <c r="CO17" t="n">
        <v>5.923</v>
      </c>
      <c r="CP17" t="n">
        <v>6.948</v>
      </c>
      <c r="CQ17" t="n">
        <v>0.075</v>
      </c>
      <c r="CR17" t="n">
        <v>13.946</v>
      </c>
      <c r="CS17" t="n">
        <v>0</v>
      </c>
      <c r="CT17" t="n">
        <v>17.446</v>
      </c>
      <c r="CU17" t="inlineStr">
        <is>
          <t>F80011 N+3.00</t>
        </is>
      </c>
      <c r="CV17" t="inlineStr">
        <is>
          <t>N+3.00</t>
        </is>
      </c>
      <c r="CW17" t="n">
        <v>8.85</v>
      </c>
      <c r="CX17" t="n">
        <v>15.846</v>
      </c>
      <c r="CY17" t="n">
        <v>5.422</v>
      </c>
      <c r="CZ17" t="n">
        <v>15.846</v>
      </c>
      <c r="DA17" t="n">
        <v>5.422</v>
      </c>
      <c r="DB17" t="n">
        <v>15.447</v>
      </c>
      <c r="DC17" t="n">
        <v>8.85</v>
      </c>
      <c r="DD17" t="n">
        <v>15.447</v>
      </c>
      <c r="DE17" t="n">
        <v>8.85</v>
      </c>
      <c r="DF17" t="n">
        <v>15.846</v>
      </c>
      <c r="DG17" t="n">
        <v>8.85</v>
      </c>
      <c r="DH17" t="n">
        <v>15.846</v>
      </c>
      <c r="DI17" t="n">
        <v>8.85</v>
      </c>
      <c r="DJ17" t="n">
        <v>15.846</v>
      </c>
      <c r="DK17" t="n">
        <v>8.85</v>
      </c>
      <c r="DL17" t="n">
        <v>15.846</v>
      </c>
      <c r="DM17" t="n">
        <v>8.85</v>
      </c>
      <c r="DN17" t="n">
        <v>15.846</v>
      </c>
      <c r="DO17" t="n">
        <v>8.85</v>
      </c>
      <c r="DP17" t="n">
        <v>15.846</v>
      </c>
      <c r="DQ17" t="n">
        <v>8.85</v>
      </c>
      <c r="DR17" t="n">
        <v>15.846</v>
      </c>
      <c r="DS17" t="n">
        <v>8.85</v>
      </c>
      <c r="DT17" t="n">
        <v>15.846</v>
      </c>
      <c r="DU17" t="n">
        <v>8.85</v>
      </c>
      <c r="DV17" t="n">
        <v>15.846</v>
      </c>
      <c r="DW17" t="n">
        <v>8.85</v>
      </c>
      <c r="DX17" t="n">
        <v>15.846</v>
      </c>
      <c r="DY17" t="n">
        <v>8.85</v>
      </c>
      <c r="DZ17" t="n">
        <v>15.846</v>
      </c>
      <c r="EA17" t="n">
        <v>8.85</v>
      </c>
      <c r="EB17" t="n">
        <v>15.846</v>
      </c>
      <c r="EC17" t="n">
        <v>8.85</v>
      </c>
      <c r="ED17" t="n">
        <v>15.846</v>
      </c>
      <c r="EE17" t="n">
        <v>8.85</v>
      </c>
      <c r="EF17" t="n">
        <v>15.846</v>
      </c>
      <c r="EH17" t="inlineStr">
        <is>
          <t>NP-10</t>
        </is>
      </c>
      <c r="EI17" t="inlineStr">
        <is>
          <t>N+3.00</t>
        </is>
      </c>
      <c r="EJ17" t="n">
        <v>0</v>
      </c>
      <c r="EK17" t="n">
        <v>14.021</v>
      </c>
      <c r="EL17" t="n">
        <v>4.327</v>
      </c>
      <c r="EM17" t="n">
        <v>14.021</v>
      </c>
      <c r="EO17">
        <f>IF(INDEX($CV$8:$CV$39,MATCH(CROQUIS!$C$7,$CU$8:$CU$39,0))="N+3.00",INDEX($DO$8:$DO$39,MATCH(CROQUIS!$C$7,$CU$8:$CU$39,0)),-100)</f>
        <v>0</v>
      </c>
      <c r="EP17">
        <f>IF(INDEX($CV$8:$CV$39,MATCH(CROQUIS!$C$7,$CU$8:$CU$39,0))="N+3.00",INDEX($DP$8:$DP$39,MATCH(CROQUIS!$C$7,$CU$8:$CU$39,0)),-100)</f>
        <v>17.446</v>
      </c>
      <c r="ES17">
        <f>IF(INDEX($CV$8:$CV$39,MATCH(CROQUIS!$C$7,$CU$8:$CU$39,0))="N+6.00",INDEX($DO$8:$DO$39,MATCH(CROQUIS!$C$7,$CU$8:$CU$39,0)),-100)</f>
        <v>-100</v>
      </c>
      <c r="ET17">
        <f>IF(INDEX($CV$8:$CV$39,MATCH(CROQUIS!$C$7,$CU$8:$CU$39,0))="N+6.00",INDEX($DP$8:$DP$39,MATCH(CROQUIS!$C$7,$CU$8:$CU$39,0)),-100)</f>
        <v>-100</v>
      </c>
      <c r="EX17" t="inlineStr">
        <is>
          <t>F80011</t>
        </is>
      </c>
      <c r="EY17" t="n">
        <v>7.136</v>
      </c>
      <c r="EZ17" t="n">
        <v>15.646</v>
      </c>
      <c r="FA17" t="inlineStr">
        <is>
          <t>N+3.00</t>
        </is>
      </c>
    </row>
    <row r="18">
      <c r="A18" t="n">
        <v>11</v>
      </c>
      <c r="B18">
        <f>CHOOSE(MIN(MAX($A18,1),5),CROQUIS!$C$15,CROQUIS!$C$15+CROQUIS!$C$10*CROQUIS!$C$14,CROQUIS!$C$15+CROQUIS!$C$10*CROQUIS!$C$14,CROQUIS!$C$15,CROQUIS!$C$15)</f>
        <v>12</v>
      </c>
      <c r="C18">
        <f>CHOOSE(MIN(MAX($A18,1),5),CROQUIS!$C$16,CROQUIS!$C$16,CROQUIS!$C$16+CROQUIS!$C$11*CROQUIS!$C$14,CROQUIS!$C$16+CROQUIS!$C$11*CROQUIS!$C$14,CROQUIS!$C$16)</f>
        <v>15.9462268413918</v>
      </c>
      <c r="D18">
        <f>CHOOSE(MIN(MAX($A18,1),5),CROQUIS!$C$15+DATOS!$C$17/2*CROQUIS!$C$14,CROQUIS!$C$15+CROQUIS!$C$10*CROQUIS!$C$14-DATOS!$C$17/2*CROQUIS!$C$14,CROQUIS!$C$15+CROQUIS!$C$10*CROQUIS!$C$14-DATOS!$C$17/2*CROQUIS!$C$14,CROQUIS!$C$15+DATOS!$C$17/2*CROQUIS!$C$14,CROQUIS!$C$15+DATOS!$C$17/2*CROQUIS!$C$14)</f>
        <v>13.3895164934478</v>
      </c>
      <c r="E18">
        <f>CHOOSE(MIN(MAX($A18,1),5),CROQUIS!$C$16+DATOS!$C$17/2*CROQUIS!$C$14,CROQUIS!$C$16+DATOS!$C$17/2*CROQUIS!$C$14,CROQUIS!$C$16+CROQUIS!$C$11*CROQUIS!$C$14-DATOS!$C$17/2*CROQUIS!$C$14,CROQUIS!$C$16+CROQUIS!$C$11*CROQUIS!$C$14-DATOS!$C$17/2*CROQUIS!$C$14,CROQUIS!$C$16+DATOS!$C$17/2*CROQUIS!$C$14)</f>
        <v>17.3357433348396</v>
      </c>
      <c r="F18">
        <f>IF(NERVADURA!$C$118=0,CROQUIS!$C$15+CROQUIS!$C$10*CROQUIS!$C$14/2,CROQUIS!$C$15+(DATOS!$C$17/2+NERVADURA!$C$119+INT(MIN(INT(($A18-1)/2),MAX(2*NERVADURA!$C$118-1,0))/2)*DATOS!$C$16+MOD(MIN(INT(($A18-1)/2),MAX(2*NERVADURA!$C$118-1,0)),2)*DATOS!$C$11)*CROQUIS!$C$14)</f>
        <v>52.0736556710348</v>
      </c>
      <c r="G18">
        <f>IF(NERVADURA!$C$118=0,CROQUIS!$C$16+CROQUIS!$C$11*CROQUIS!$C$14/2,CROQUIS!$C$16+IF(MOD(MIN(INT(($A18-1)/2),MAX(2*NERVADURA!$C$118-1,0)),2)=0,IF(IF(INT(($A18-1)/2)&gt;MAX(2*NERVADURA!$C$118-1,0),1,MOD($A18-1,2))=0,(DATOS!$C$17/2+NERVADURA!$C$121),(CROQUIS!$C$11-DATOS!$C$17/2-NERVADURA!$C$121)),IF(IF(INT(($A18-1)/2)&gt;MAX(2*NERVADURA!$C$118-1,0),1,MOD($A18-1,2))=0,(CROQUIS!$C$11-DATOS!$C$17/2-NERVADURA!$C$121),(DATOS!$C$17/2+NERVADURA!$C$121)))*CROQUIS!$C$14)</f>
        <v>84.495707184817</v>
      </c>
      <c r="H18">
        <f>IF(NERVADURA!$C$120=0,CROQUIS!$C$15+CROQUIS!$C$10*CROQUIS!$C$14/2,CROQUIS!$C$15+IF(MOD(MIN(INT(($A18-1)/2),MAX(2*NERVADURA!$C$120-1,0)),2)=0,IF(IF(INT(($A18-1)/2)&gt;MAX(2*NERVADURA!$C$120-1,0),1,MOD($A18-1,2))=0,(DATOS!$C$17/2+NERVADURA!$C$119),(CROQUIS!$C$10-DATOS!$C$17/2-NERVADURA!$C$119)),IF(IF(INT(($A18-1)/2)&gt;MAX(2*NERVADURA!$C$120-1,0),1,MOD($A18-1,2))=0,(CROQUIS!$C$10-DATOS!$C$17/2-NERVADURA!$C$119),(DATOS!$C$17/2+NERVADURA!$C$119)))*CROQUIS!$C$14)</f>
        <v>90.9801174875734</v>
      </c>
      <c r="I18">
        <f>IF(NERVADURA!$C$120=0,CROQUIS!$C$16+CROQUIS!$C$11*CROQUIS!$C$14/2,CROQUIS!$C$16+(DATOS!$C$17/2+NERVADURA!$C$121+INT(MIN(INT(($A18-1)/2),MAX(2*NERVADURA!$C$120-1,0))/2)*DATOS!$C$16+MOD(MIN(INT(($A18-1)/2),MAX(2*NERVADURA!$C$120-1,0)),2)*DATOS!$C$11)*CROQUIS!$C$14)</f>
        <v>58.5580659737912</v>
      </c>
      <c r="CA18" t="n">
        <v>2.925</v>
      </c>
      <c r="CB18" t="n">
        <v>5.346</v>
      </c>
      <c r="CC18" t="n">
        <v>8.85</v>
      </c>
      <c r="CD18" t="n">
        <v>6.948</v>
      </c>
      <c r="CE18" t="n">
        <v>4.327</v>
      </c>
      <c r="CF18" t="n">
        <v>6.948</v>
      </c>
      <c r="CG18" t="n">
        <v>4.247</v>
      </c>
      <c r="CH18" t="n">
        <v>7.946</v>
      </c>
      <c r="CI18" t="n">
        <v>0</v>
      </c>
      <c r="CJ18" t="n">
        <v>7.871</v>
      </c>
      <c r="CK18" t="n">
        <v>3.427</v>
      </c>
      <c r="CL18" t="n">
        <v>14.021</v>
      </c>
      <c r="CM18" t="n">
        <v>8.85</v>
      </c>
      <c r="CN18" t="n">
        <v>6.948</v>
      </c>
      <c r="CO18" t="n">
        <v>5.923</v>
      </c>
      <c r="CP18" t="n">
        <v>9.949999999999999</v>
      </c>
      <c r="CQ18" t="n">
        <v>4.427</v>
      </c>
      <c r="CR18" t="n">
        <v>7.946</v>
      </c>
      <c r="CS18" t="n">
        <v>0</v>
      </c>
      <c r="CT18" t="n">
        <v>19.447</v>
      </c>
      <c r="CU18" t="inlineStr">
        <is>
          <t>F80012 N+3.00</t>
        </is>
      </c>
      <c r="CV18" t="inlineStr">
        <is>
          <t>N+3.00</t>
        </is>
      </c>
      <c r="CW18" t="n">
        <v>0</v>
      </c>
      <c r="CX18" t="n">
        <v>14.021</v>
      </c>
      <c r="CY18" t="n">
        <v>0</v>
      </c>
      <c r="CZ18" t="n">
        <v>17.446</v>
      </c>
      <c r="DA18" t="n">
        <v>-2</v>
      </c>
      <c r="DB18" t="n">
        <v>17.446</v>
      </c>
      <c r="DC18" t="n">
        <v>-2</v>
      </c>
      <c r="DD18" t="n">
        <v>14.021</v>
      </c>
      <c r="DE18" t="n">
        <v>0</v>
      </c>
      <c r="DF18" t="n">
        <v>14.021</v>
      </c>
      <c r="DG18" t="n">
        <v>0</v>
      </c>
      <c r="DH18" t="n">
        <v>14.021</v>
      </c>
      <c r="DI18" t="n">
        <v>0</v>
      </c>
      <c r="DJ18" t="n">
        <v>14.021</v>
      </c>
      <c r="DK18" t="n">
        <v>0</v>
      </c>
      <c r="DL18" t="n">
        <v>14.021</v>
      </c>
      <c r="DM18" t="n">
        <v>0</v>
      </c>
      <c r="DN18" t="n">
        <v>14.021</v>
      </c>
      <c r="DO18" t="n">
        <v>0</v>
      </c>
      <c r="DP18" t="n">
        <v>14.021</v>
      </c>
      <c r="DQ18" t="n">
        <v>0</v>
      </c>
      <c r="DR18" t="n">
        <v>14.021</v>
      </c>
      <c r="DS18" t="n">
        <v>0</v>
      </c>
      <c r="DT18" t="n">
        <v>14.021</v>
      </c>
      <c r="DU18" t="n">
        <v>0</v>
      </c>
      <c r="DV18" t="n">
        <v>14.021</v>
      </c>
      <c r="DW18" t="n">
        <v>0</v>
      </c>
      <c r="DX18" t="n">
        <v>14.021</v>
      </c>
      <c r="DY18" t="n">
        <v>0</v>
      </c>
      <c r="DZ18" t="n">
        <v>14.021</v>
      </c>
      <c r="EA18" t="n">
        <v>0</v>
      </c>
      <c r="EB18" t="n">
        <v>14.021</v>
      </c>
      <c r="EC18" t="n">
        <v>0</v>
      </c>
      <c r="ED18" t="n">
        <v>14.021</v>
      </c>
      <c r="EE18" t="n">
        <v>0</v>
      </c>
      <c r="EF18" t="n">
        <v>14.021</v>
      </c>
      <c r="EH18" t="inlineStr">
        <is>
          <t>NP-11</t>
        </is>
      </c>
      <c r="EI18" t="inlineStr">
        <is>
          <t>N+3.00</t>
        </is>
      </c>
      <c r="EJ18" t="n">
        <v>5.441</v>
      </c>
      <c r="EK18" t="n">
        <v>14.247</v>
      </c>
      <c r="EL18" t="n">
        <v>8.85</v>
      </c>
      <c r="EM18" t="n">
        <v>14.247</v>
      </c>
      <c r="EO18">
        <f>IF(INDEX($CV$8:$CV$39,MATCH(CROQUIS!$C$7,$CU$8:$CU$39,0))="N+3.00",INDEX($DQ$8:$DQ$39,MATCH(CROQUIS!$C$7,$CU$8:$CU$39,0)),-100)</f>
        <v>0</v>
      </c>
      <c r="EP18">
        <f>IF(INDEX($CV$8:$CV$39,MATCH(CROQUIS!$C$7,$CU$8:$CU$39,0))="N+3.00",INDEX($DR$8:$DR$39,MATCH(CROQUIS!$C$7,$CU$8:$CU$39,0)),-100)</f>
        <v>17.446</v>
      </c>
      <c r="ES18">
        <f>IF(INDEX($CV$8:$CV$39,MATCH(CROQUIS!$C$7,$CU$8:$CU$39,0))="N+6.00",INDEX($DQ$8:$DQ$39,MATCH(CROQUIS!$C$7,$CU$8:$CU$39,0)),-100)</f>
        <v>-100</v>
      </c>
      <c r="ET18">
        <f>IF(INDEX($CV$8:$CV$39,MATCH(CROQUIS!$C$7,$CU$8:$CU$39,0))="N+6.00",INDEX($DR$8:$DR$39,MATCH(CROQUIS!$C$7,$CU$8:$CU$39,0)),-100)</f>
        <v>-100</v>
      </c>
      <c r="EX18" t="inlineStr">
        <is>
          <t>F80012</t>
        </is>
      </c>
      <c r="EY18" t="n">
        <v>-1</v>
      </c>
      <c r="EZ18" t="n">
        <v>15.734</v>
      </c>
      <c r="FA18" t="inlineStr">
        <is>
          <t>N+3.00</t>
        </is>
      </c>
    </row>
    <row r="19">
      <c r="A19" t="n">
        <v>12</v>
      </c>
      <c r="B19">
        <f>CHOOSE(MIN(MAX($A19,1),5),CROQUIS!$C$15,CROQUIS!$C$15+CROQUIS!$C$10*CROQUIS!$C$14,CROQUIS!$C$15+CROQUIS!$C$10*CROQUIS!$C$14,CROQUIS!$C$15,CROQUIS!$C$15)</f>
        <v>12</v>
      </c>
      <c r="C19">
        <f>CHOOSE(MIN(MAX($A19,1),5),CROQUIS!$C$16,CROQUIS!$C$16,CROQUIS!$C$16+CROQUIS!$C$11*CROQUIS!$C$14,CROQUIS!$C$16+CROQUIS!$C$11*CROQUIS!$C$14,CROQUIS!$C$16)</f>
        <v>15.9462268413918</v>
      </c>
      <c r="D19">
        <f>CHOOSE(MIN(MAX($A19,1),5),CROQUIS!$C$15+DATOS!$C$17/2*CROQUIS!$C$14,CROQUIS!$C$15+CROQUIS!$C$10*CROQUIS!$C$14-DATOS!$C$17/2*CROQUIS!$C$14,CROQUIS!$C$15+CROQUIS!$C$10*CROQUIS!$C$14-DATOS!$C$17/2*CROQUIS!$C$14,CROQUIS!$C$15+DATOS!$C$17/2*CROQUIS!$C$14,CROQUIS!$C$15+DATOS!$C$17/2*CROQUIS!$C$14)</f>
        <v>13.3895164934478</v>
      </c>
      <c r="E19">
        <f>CHOOSE(MIN(MAX($A19,1),5),CROQUIS!$C$16+DATOS!$C$17/2*CROQUIS!$C$14,CROQUIS!$C$16+DATOS!$C$17/2*CROQUIS!$C$14,CROQUIS!$C$16+CROQUIS!$C$11*CROQUIS!$C$14-DATOS!$C$17/2*CROQUIS!$C$14,CROQUIS!$C$16+CROQUIS!$C$11*CROQUIS!$C$14-DATOS!$C$17/2*CROQUIS!$C$14,CROQUIS!$C$16+DATOS!$C$17/2*CROQUIS!$C$14)</f>
        <v>17.3357433348396</v>
      </c>
      <c r="F19">
        <f>IF(NERVADURA!$C$118=0,CROQUIS!$C$15+CROQUIS!$C$10*CROQUIS!$C$14/2,CROQUIS!$C$15+(DATOS!$C$17/2+NERVADURA!$C$119+INT(MIN(INT(($A19-1)/2),MAX(2*NERVADURA!$C$118-1,0))/2)*DATOS!$C$16+MOD(MIN(INT(($A19-1)/2),MAX(2*NERVADURA!$C$118-1,0)),2)*DATOS!$C$11)*CROQUIS!$C$14)</f>
        <v>52.0736556710348</v>
      </c>
      <c r="G19">
        <f>IF(NERVADURA!$C$118=0,CROQUIS!$C$16+CROQUIS!$C$11*CROQUIS!$C$14/2,CROQUIS!$C$16+IF(MOD(MIN(INT(($A19-1)/2),MAX(2*NERVADURA!$C$118-1,0)),2)=0,IF(IF(INT(($A19-1)/2)&gt;MAX(2*NERVADURA!$C$118-1,0),1,MOD($A19-1,2))=0,(DATOS!$C$17/2+NERVADURA!$C$121),(CROQUIS!$C$11-DATOS!$C$17/2-NERVADURA!$C$121)),IF(IF(INT(($A19-1)/2)&gt;MAX(2*NERVADURA!$C$118-1,0),1,MOD($A19-1,2))=0,(CROQUIS!$C$11-DATOS!$C$17/2-NERVADURA!$C$121),(DATOS!$C$17/2+NERVADURA!$C$121)))*CROQUIS!$C$14)</f>
        <v>21.504292815183</v>
      </c>
      <c r="H19">
        <f>IF(NERVADURA!$C$120=0,CROQUIS!$C$15+CROQUIS!$C$10*CROQUIS!$C$14/2,CROQUIS!$C$15+IF(MOD(MIN(INT(($A19-1)/2),MAX(2*NERVADURA!$C$120-1,0)),2)=0,IF(IF(INT(($A19-1)/2)&gt;MAX(2*NERVADURA!$C$120-1,0),1,MOD($A19-1,2))=0,(DATOS!$C$17/2+NERVADURA!$C$119),(CROQUIS!$C$10-DATOS!$C$17/2-NERVADURA!$C$119)),IF(IF(INT(($A19-1)/2)&gt;MAX(2*NERVADURA!$C$120-1,0),1,MOD($A19-1,2))=0,(CROQUIS!$C$10-DATOS!$C$17/2-NERVADURA!$C$119),(DATOS!$C$17/2+NERVADURA!$C$119)))*CROQUIS!$C$14)</f>
        <v>15.0198825124266</v>
      </c>
      <c r="I19">
        <f>IF(NERVADURA!$C$120=0,CROQUIS!$C$16+CROQUIS!$C$11*CROQUIS!$C$14/2,CROQUIS!$C$16+(DATOS!$C$17/2+NERVADURA!$C$121+INT(MIN(INT(($A19-1)/2),MAX(2*NERVADURA!$C$120-1,0))/2)*DATOS!$C$16+MOD(MIN(INT(($A19-1)/2),MAX(2*NERVADURA!$C$120-1,0)),2)*DATOS!$C$11)*CROQUIS!$C$14)</f>
        <v>58.5580659737912</v>
      </c>
      <c r="CA19" t="n">
        <v>0</v>
      </c>
      <c r="CB19" t="n">
        <v>5.346</v>
      </c>
      <c r="CI19" t="n">
        <v>0</v>
      </c>
      <c r="CJ19" t="n">
        <v>9.949999999999999</v>
      </c>
      <c r="CS19" t="n">
        <v>0</v>
      </c>
      <c r="CT19" t="n">
        <v>21.446</v>
      </c>
      <c r="CU19" t="inlineStr">
        <is>
          <t>F80013 N+3.00</t>
        </is>
      </c>
      <c r="CV19" t="inlineStr">
        <is>
          <t>N+3.00</t>
        </is>
      </c>
      <c r="CW19" t="n">
        <v>5.422</v>
      </c>
      <c r="CX19" t="n">
        <v>15.447</v>
      </c>
      <c r="CY19" t="n">
        <v>5.422</v>
      </c>
      <c r="CZ19" t="n">
        <v>15.846</v>
      </c>
      <c r="DA19" t="n">
        <v>5.822</v>
      </c>
      <c r="DB19" t="n">
        <v>15.846</v>
      </c>
      <c r="DC19" t="n">
        <v>5.822</v>
      </c>
      <c r="DD19" t="n">
        <v>17.446</v>
      </c>
      <c r="DE19" t="n">
        <v>4.925</v>
      </c>
      <c r="DF19" t="n">
        <v>17.446</v>
      </c>
      <c r="DG19" t="n">
        <v>4.925</v>
      </c>
      <c r="DH19" t="n">
        <v>15.447</v>
      </c>
      <c r="DI19" t="n">
        <v>5.422</v>
      </c>
      <c r="DJ19" t="n">
        <v>15.447</v>
      </c>
      <c r="DK19" t="n">
        <v>5.422</v>
      </c>
      <c r="DL19" t="n">
        <v>15.447</v>
      </c>
      <c r="DM19" t="n">
        <v>5.422</v>
      </c>
      <c r="DN19" t="n">
        <v>15.447</v>
      </c>
      <c r="DO19" t="n">
        <v>5.422</v>
      </c>
      <c r="DP19" t="n">
        <v>15.447</v>
      </c>
      <c r="DQ19" t="n">
        <v>5.422</v>
      </c>
      <c r="DR19" t="n">
        <v>15.447</v>
      </c>
      <c r="DS19" t="n">
        <v>5.422</v>
      </c>
      <c r="DT19" t="n">
        <v>15.447</v>
      </c>
      <c r="DU19" t="n">
        <v>5.422</v>
      </c>
      <c r="DV19" t="n">
        <v>15.447</v>
      </c>
      <c r="DW19" t="n">
        <v>5.422</v>
      </c>
      <c r="DX19" t="n">
        <v>15.447</v>
      </c>
      <c r="DY19" t="n">
        <v>5.422</v>
      </c>
      <c r="DZ19" t="n">
        <v>15.447</v>
      </c>
      <c r="EA19" t="n">
        <v>5.422</v>
      </c>
      <c r="EB19" t="n">
        <v>15.447</v>
      </c>
      <c r="EC19" t="n">
        <v>5.422</v>
      </c>
      <c r="ED19" t="n">
        <v>15.447</v>
      </c>
      <c r="EE19" t="n">
        <v>5.422</v>
      </c>
      <c r="EF19" t="n">
        <v>15.447</v>
      </c>
      <c r="EH19" t="inlineStr">
        <is>
          <t>NP-12</t>
        </is>
      </c>
      <c r="EI19" t="inlineStr">
        <is>
          <t>N+3.00</t>
        </is>
      </c>
      <c r="EJ19" t="n">
        <v>0</v>
      </c>
      <c r="EK19" t="n">
        <v>15.846</v>
      </c>
      <c r="EL19" t="n">
        <v>3.427</v>
      </c>
      <c r="EM19" t="n">
        <v>15.846</v>
      </c>
      <c r="EO19">
        <f>IF(INDEX($CV$8:$CV$39,MATCH(CROQUIS!$C$7,$CU$8:$CU$39,0))="N+3.00",INDEX($DS$8:$DS$39,MATCH(CROQUIS!$C$7,$CU$8:$CU$39,0)),-100)</f>
        <v>0</v>
      </c>
      <c r="EP19">
        <f>IF(INDEX($CV$8:$CV$39,MATCH(CROQUIS!$C$7,$CU$8:$CU$39,0))="N+3.00",INDEX($DT$8:$DT$39,MATCH(CROQUIS!$C$7,$CU$8:$CU$39,0)),-100)</f>
        <v>17.446</v>
      </c>
      <c r="ES19">
        <f>IF(INDEX($CV$8:$CV$39,MATCH(CROQUIS!$C$7,$CU$8:$CU$39,0))="N+6.00",INDEX($DS$8:$DS$39,MATCH(CROQUIS!$C$7,$CU$8:$CU$39,0)),-100)</f>
        <v>-100</v>
      </c>
      <c r="ET19">
        <f>IF(INDEX($CV$8:$CV$39,MATCH(CROQUIS!$C$7,$CU$8:$CU$39,0))="N+6.00",INDEX($DT$8:$DT$39,MATCH(CROQUIS!$C$7,$CU$8:$CU$39,0)),-100)</f>
        <v>-100</v>
      </c>
      <c r="EX19" t="inlineStr">
        <is>
          <t>F80013</t>
        </is>
      </c>
      <c r="EY19" t="n">
        <v>5.373</v>
      </c>
      <c r="EZ19" t="n">
        <v>16.646</v>
      </c>
      <c r="FA19" t="inlineStr">
        <is>
          <t>N+3.00</t>
        </is>
      </c>
    </row>
    <row r="20">
      <c r="A20" t="n">
        <v>13</v>
      </c>
      <c r="B20">
        <f>CHOOSE(MIN(MAX($A20,1),5),CROQUIS!$C$15,CROQUIS!$C$15+CROQUIS!$C$10*CROQUIS!$C$14,CROQUIS!$C$15+CROQUIS!$C$10*CROQUIS!$C$14,CROQUIS!$C$15,CROQUIS!$C$15)</f>
        <v>12</v>
      </c>
      <c r="C20">
        <f>CHOOSE(MIN(MAX($A20,1),5),CROQUIS!$C$16,CROQUIS!$C$16,CROQUIS!$C$16+CROQUIS!$C$11*CROQUIS!$C$14,CROQUIS!$C$16+CROQUIS!$C$11*CROQUIS!$C$14,CROQUIS!$C$16)</f>
        <v>15.9462268413918</v>
      </c>
      <c r="D20">
        <f>CHOOSE(MIN(MAX($A20,1),5),CROQUIS!$C$15+DATOS!$C$17/2*CROQUIS!$C$14,CROQUIS!$C$15+CROQUIS!$C$10*CROQUIS!$C$14-DATOS!$C$17/2*CROQUIS!$C$14,CROQUIS!$C$15+CROQUIS!$C$10*CROQUIS!$C$14-DATOS!$C$17/2*CROQUIS!$C$14,CROQUIS!$C$15+DATOS!$C$17/2*CROQUIS!$C$14,CROQUIS!$C$15+DATOS!$C$17/2*CROQUIS!$C$14)</f>
        <v>13.3895164934478</v>
      </c>
      <c r="E20">
        <f>CHOOSE(MIN(MAX($A20,1),5),CROQUIS!$C$16+DATOS!$C$17/2*CROQUIS!$C$14,CROQUIS!$C$16+DATOS!$C$17/2*CROQUIS!$C$14,CROQUIS!$C$16+CROQUIS!$C$11*CROQUIS!$C$14-DATOS!$C$17/2*CROQUIS!$C$14,CROQUIS!$C$16+CROQUIS!$C$11*CROQUIS!$C$14-DATOS!$C$17/2*CROQUIS!$C$14,CROQUIS!$C$16+DATOS!$C$17/2*CROQUIS!$C$14)</f>
        <v>17.3357433348396</v>
      </c>
      <c r="F20">
        <f>IF(NERVADURA!$C$118=0,CROQUIS!$C$15+CROQUIS!$C$10*CROQUIS!$C$14/2,CROQUIS!$C$15+(DATOS!$C$17/2+NERVADURA!$C$119+INT(MIN(INT(($A20-1)/2),MAX(2*NERVADURA!$C$118-1,0))/2)*DATOS!$C$16+MOD(MIN(INT(($A20-1)/2),MAX(2*NERVADURA!$C$118-1,0)),2)*DATOS!$C$11)*CROQUIS!$C$14)</f>
        <v>53.9263443289652</v>
      </c>
      <c r="G20">
        <f>IF(NERVADURA!$C$118=0,CROQUIS!$C$16+CROQUIS!$C$11*CROQUIS!$C$14/2,CROQUIS!$C$16+IF(MOD(MIN(INT(($A20-1)/2),MAX(2*NERVADURA!$C$118-1,0)),2)=0,IF(IF(INT(($A20-1)/2)&gt;MAX(2*NERVADURA!$C$118-1,0),1,MOD($A20-1,2))=0,(DATOS!$C$17/2+NERVADURA!$C$121),(CROQUIS!$C$11-DATOS!$C$17/2-NERVADURA!$C$121)),IF(IF(INT(($A20-1)/2)&gt;MAX(2*NERVADURA!$C$118-1,0),1,MOD($A20-1,2))=0,(CROQUIS!$C$11-DATOS!$C$17/2-NERVADURA!$C$121),(DATOS!$C$17/2+NERVADURA!$C$121)))*CROQUIS!$C$14)</f>
        <v>21.504292815183</v>
      </c>
      <c r="H20">
        <f>IF(NERVADURA!$C$120=0,CROQUIS!$C$15+CROQUIS!$C$10*CROQUIS!$C$14/2,CROQUIS!$C$15+IF(MOD(MIN(INT(($A20-1)/2),MAX(2*NERVADURA!$C$120-1,0)),2)=0,IF(IF(INT(($A20-1)/2)&gt;MAX(2*NERVADURA!$C$120-1,0),1,MOD($A20-1,2))=0,(DATOS!$C$17/2+NERVADURA!$C$119),(CROQUIS!$C$10-DATOS!$C$17/2-NERVADURA!$C$119)),IF(IF(INT(($A20-1)/2)&gt;MAX(2*NERVADURA!$C$120-1,0),1,MOD($A20-1,2))=0,(CROQUIS!$C$10-DATOS!$C$17/2-NERVADURA!$C$119),(DATOS!$C$17/2+NERVADURA!$C$119)))*CROQUIS!$C$14)</f>
        <v>15.0198825124266</v>
      </c>
      <c r="I20">
        <f>IF(NERVADURA!$C$120=0,CROQUIS!$C$16+CROQUIS!$C$11*CROQUIS!$C$14/2,CROQUIS!$C$16+(DATOS!$C$17/2+NERVADURA!$C$121+INT(MIN(INT(($A20-1)/2),MAX(2*NERVADURA!$C$120-1,0))/2)*DATOS!$C$16+MOD(MIN(INT(($A20-1)/2),MAX(2*NERVADURA!$C$120-1,0)),2)*DATOS!$C$11)*CROQUIS!$C$14)</f>
        <v>60.4107546317216</v>
      </c>
      <c r="CA20" t="n">
        <v>0</v>
      </c>
      <c r="CB20" t="n">
        <v>2.921</v>
      </c>
      <c r="CC20" t="n">
        <v>8.145</v>
      </c>
      <c r="CD20" t="n">
        <v>9.949999999999999</v>
      </c>
      <c r="CE20" t="n">
        <v>5.46</v>
      </c>
      <c r="CF20" t="n">
        <v>6.948</v>
      </c>
      <c r="CG20" t="n">
        <v>8.85</v>
      </c>
      <c r="CH20" t="n">
        <v>9.949999999999999</v>
      </c>
      <c r="CI20" t="n">
        <v>0</v>
      </c>
      <c r="CJ20" t="n">
        <v>11.986</v>
      </c>
      <c r="CK20" t="n">
        <v>4.327</v>
      </c>
      <c r="CL20" t="n">
        <v>5.946</v>
      </c>
      <c r="CM20" t="n">
        <v>0</v>
      </c>
      <c r="CN20" t="n">
        <v>7.871</v>
      </c>
      <c r="CQ20" t="n">
        <v>8.775</v>
      </c>
      <c r="CR20" t="n">
        <v>7.023</v>
      </c>
      <c r="CS20" t="n">
        <v>0.925</v>
      </c>
      <c r="CT20" t="n">
        <v>2.921</v>
      </c>
      <c r="CU20" t="inlineStr">
        <is>
          <t>F80014 N+3.00</t>
        </is>
      </c>
      <c r="CV20" t="inlineStr">
        <is>
          <t>N+3.00</t>
        </is>
      </c>
      <c r="CW20" t="n">
        <v>3.029</v>
      </c>
      <c r="CX20" t="n">
        <v>15.846</v>
      </c>
      <c r="CY20" t="n">
        <v>3.029</v>
      </c>
      <c r="CZ20" t="n">
        <v>17.446</v>
      </c>
      <c r="DA20" t="n">
        <v>0</v>
      </c>
      <c r="DB20" t="n">
        <v>17.446</v>
      </c>
      <c r="DC20" t="n">
        <v>0</v>
      </c>
      <c r="DD20" t="n">
        <v>15.846</v>
      </c>
      <c r="DE20" t="n">
        <v>3.029</v>
      </c>
      <c r="DF20" t="n">
        <v>15.846</v>
      </c>
      <c r="DG20" t="n">
        <v>3.029</v>
      </c>
      <c r="DH20" t="n">
        <v>15.846</v>
      </c>
      <c r="DI20" t="n">
        <v>3.029</v>
      </c>
      <c r="DJ20" t="n">
        <v>15.846</v>
      </c>
      <c r="DK20" t="n">
        <v>3.029</v>
      </c>
      <c r="DL20" t="n">
        <v>15.846</v>
      </c>
      <c r="DM20" t="n">
        <v>3.029</v>
      </c>
      <c r="DN20" t="n">
        <v>15.846</v>
      </c>
      <c r="DO20" t="n">
        <v>3.029</v>
      </c>
      <c r="DP20" t="n">
        <v>15.846</v>
      </c>
      <c r="DQ20" t="n">
        <v>3.029</v>
      </c>
      <c r="DR20" t="n">
        <v>15.846</v>
      </c>
      <c r="DS20" t="n">
        <v>3.029</v>
      </c>
      <c r="DT20" t="n">
        <v>15.846</v>
      </c>
      <c r="DU20" t="n">
        <v>3.029</v>
      </c>
      <c r="DV20" t="n">
        <v>15.846</v>
      </c>
      <c r="DW20" t="n">
        <v>3.029</v>
      </c>
      <c r="DX20" t="n">
        <v>15.846</v>
      </c>
      <c r="DY20" t="n">
        <v>3.029</v>
      </c>
      <c r="DZ20" t="n">
        <v>15.846</v>
      </c>
      <c r="EA20" t="n">
        <v>3.029</v>
      </c>
      <c r="EB20" t="n">
        <v>15.846</v>
      </c>
      <c r="EC20" t="n">
        <v>3.029</v>
      </c>
      <c r="ED20" t="n">
        <v>15.846</v>
      </c>
      <c r="EE20" t="n">
        <v>3.029</v>
      </c>
      <c r="EF20" t="n">
        <v>15.846</v>
      </c>
      <c r="EH20" t="inlineStr">
        <is>
          <t>NP-13</t>
        </is>
      </c>
      <c r="EI20" t="inlineStr">
        <is>
          <t>N+3.00</t>
        </is>
      </c>
      <c r="EJ20" t="n">
        <v>5.422</v>
      </c>
      <c r="EK20" t="n">
        <v>15.846</v>
      </c>
      <c r="EL20" t="n">
        <v>8.85</v>
      </c>
      <c r="EM20" t="n">
        <v>15.846</v>
      </c>
      <c r="EO20">
        <f>IF(INDEX($CV$8:$CV$39,MATCH(CROQUIS!$C$7,$CU$8:$CU$39,0))="N+3.00",INDEX($DU$8:$DU$39,MATCH(CROQUIS!$C$7,$CU$8:$CU$39,0)),-100)</f>
        <v>0</v>
      </c>
      <c r="EP20">
        <f>IF(INDEX($CV$8:$CV$39,MATCH(CROQUIS!$C$7,$CU$8:$CU$39,0))="N+3.00",INDEX($DV$8:$DV$39,MATCH(CROQUIS!$C$7,$CU$8:$CU$39,0)),-100)</f>
        <v>17.446</v>
      </c>
      <c r="ES20">
        <f>IF(INDEX($CV$8:$CV$39,MATCH(CROQUIS!$C$7,$CU$8:$CU$39,0))="N+6.00",INDEX($DU$8:$DU$39,MATCH(CROQUIS!$C$7,$CU$8:$CU$39,0)),-100)</f>
        <v>-100</v>
      </c>
      <c r="ET20">
        <f>IF(INDEX($CV$8:$CV$39,MATCH(CROQUIS!$C$7,$CU$8:$CU$39,0))="N+6.00",INDEX($DV$8:$DV$39,MATCH(CROQUIS!$C$7,$CU$8:$CU$39,0)),-100)</f>
        <v>-100</v>
      </c>
      <c r="EX20" t="inlineStr">
        <is>
          <t>F80014</t>
        </is>
      </c>
      <c r="EY20" t="n">
        <v>1.514</v>
      </c>
      <c r="EZ20" t="n">
        <v>16.646</v>
      </c>
      <c r="FA20" t="inlineStr">
        <is>
          <t>N+3.00</t>
        </is>
      </c>
    </row>
    <row r="21">
      <c r="A21" t="n">
        <v>14</v>
      </c>
      <c r="B21">
        <f>CHOOSE(MIN(MAX($A21,1),5),CROQUIS!$C$15,CROQUIS!$C$15+CROQUIS!$C$10*CROQUIS!$C$14,CROQUIS!$C$15+CROQUIS!$C$10*CROQUIS!$C$14,CROQUIS!$C$15,CROQUIS!$C$15)</f>
        <v>12</v>
      </c>
      <c r="C21">
        <f>CHOOSE(MIN(MAX($A21,1),5),CROQUIS!$C$16,CROQUIS!$C$16,CROQUIS!$C$16+CROQUIS!$C$11*CROQUIS!$C$14,CROQUIS!$C$16+CROQUIS!$C$11*CROQUIS!$C$14,CROQUIS!$C$16)</f>
        <v>15.9462268413918</v>
      </c>
      <c r="D21">
        <f>CHOOSE(MIN(MAX($A21,1),5),CROQUIS!$C$15+DATOS!$C$17/2*CROQUIS!$C$14,CROQUIS!$C$15+CROQUIS!$C$10*CROQUIS!$C$14-DATOS!$C$17/2*CROQUIS!$C$14,CROQUIS!$C$15+CROQUIS!$C$10*CROQUIS!$C$14-DATOS!$C$17/2*CROQUIS!$C$14,CROQUIS!$C$15+DATOS!$C$17/2*CROQUIS!$C$14,CROQUIS!$C$15+DATOS!$C$17/2*CROQUIS!$C$14)</f>
        <v>13.3895164934478</v>
      </c>
      <c r="E21">
        <f>CHOOSE(MIN(MAX($A21,1),5),CROQUIS!$C$16+DATOS!$C$17/2*CROQUIS!$C$14,CROQUIS!$C$16+DATOS!$C$17/2*CROQUIS!$C$14,CROQUIS!$C$16+CROQUIS!$C$11*CROQUIS!$C$14-DATOS!$C$17/2*CROQUIS!$C$14,CROQUIS!$C$16+CROQUIS!$C$11*CROQUIS!$C$14-DATOS!$C$17/2*CROQUIS!$C$14,CROQUIS!$C$16+DATOS!$C$17/2*CROQUIS!$C$14)</f>
        <v>17.3357433348396</v>
      </c>
      <c r="F21">
        <f>IF(NERVADURA!$C$118=0,CROQUIS!$C$15+CROQUIS!$C$10*CROQUIS!$C$14/2,CROQUIS!$C$15+(DATOS!$C$17/2+NERVADURA!$C$119+INT(MIN(INT(($A21-1)/2),MAX(2*NERVADURA!$C$118-1,0))/2)*DATOS!$C$16+MOD(MIN(INT(($A21-1)/2),MAX(2*NERVADURA!$C$118-1,0)),2)*DATOS!$C$11)*CROQUIS!$C$14)</f>
        <v>53.9263443289652</v>
      </c>
      <c r="G21">
        <f>IF(NERVADURA!$C$118=0,CROQUIS!$C$16+CROQUIS!$C$11*CROQUIS!$C$14/2,CROQUIS!$C$16+IF(MOD(MIN(INT(($A21-1)/2),MAX(2*NERVADURA!$C$118-1,0)),2)=0,IF(IF(INT(($A21-1)/2)&gt;MAX(2*NERVADURA!$C$118-1,0),1,MOD($A21-1,2))=0,(DATOS!$C$17/2+NERVADURA!$C$121),(CROQUIS!$C$11-DATOS!$C$17/2-NERVADURA!$C$121)),IF(IF(INT(($A21-1)/2)&gt;MAX(2*NERVADURA!$C$118-1,0),1,MOD($A21-1,2))=0,(CROQUIS!$C$11-DATOS!$C$17/2-NERVADURA!$C$121),(DATOS!$C$17/2+NERVADURA!$C$121)))*CROQUIS!$C$14)</f>
        <v>84.495707184817</v>
      </c>
      <c r="H21">
        <f>IF(NERVADURA!$C$120=0,CROQUIS!$C$15+CROQUIS!$C$10*CROQUIS!$C$14/2,CROQUIS!$C$15+IF(MOD(MIN(INT(($A21-1)/2),MAX(2*NERVADURA!$C$120-1,0)),2)=0,IF(IF(INT(($A21-1)/2)&gt;MAX(2*NERVADURA!$C$120-1,0),1,MOD($A21-1,2))=0,(DATOS!$C$17/2+NERVADURA!$C$119),(CROQUIS!$C$10-DATOS!$C$17/2-NERVADURA!$C$119)),IF(IF(INT(($A21-1)/2)&gt;MAX(2*NERVADURA!$C$120-1,0),1,MOD($A21-1,2))=0,(CROQUIS!$C$10-DATOS!$C$17/2-NERVADURA!$C$119),(DATOS!$C$17/2+NERVADURA!$C$119)))*CROQUIS!$C$14)</f>
        <v>90.9801174875734</v>
      </c>
      <c r="I21">
        <f>IF(NERVADURA!$C$120=0,CROQUIS!$C$16+CROQUIS!$C$11*CROQUIS!$C$14/2,CROQUIS!$C$16+(DATOS!$C$17/2+NERVADURA!$C$121+INT(MIN(INT(($A21-1)/2),MAX(2*NERVADURA!$C$120-1,0))/2)*DATOS!$C$16+MOD(MIN(INT(($A21-1)/2),MAX(2*NERVADURA!$C$120-1,0)),2)*DATOS!$C$11)*CROQUIS!$C$14)</f>
        <v>60.4107546317216</v>
      </c>
      <c r="CC21" t="n">
        <v>8.85</v>
      </c>
      <c r="CD21" t="n">
        <v>9.949999999999999</v>
      </c>
      <c r="CE21" t="n">
        <v>5.923</v>
      </c>
      <c r="CF21" t="n">
        <v>6.948</v>
      </c>
      <c r="CG21" t="n">
        <v>8.85</v>
      </c>
      <c r="CH21" t="n">
        <v>6.948</v>
      </c>
      <c r="CI21" t="n">
        <v>0</v>
      </c>
      <c r="CJ21" t="n">
        <v>14.021</v>
      </c>
      <c r="CK21" t="n">
        <v>4.327</v>
      </c>
      <c r="CL21" t="n">
        <v>2.921</v>
      </c>
      <c r="CM21" t="n">
        <v>4.327</v>
      </c>
      <c r="CN21" t="n">
        <v>7.871</v>
      </c>
      <c r="CQ21" t="n">
        <v>8.775</v>
      </c>
      <c r="CR21" t="n">
        <v>9.875</v>
      </c>
      <c r="CS21" t="n">
        <v>0.925</v>
      </c>
      <c r="CT21" t="n">
        <v>21.446</v>
      </c>
      <c r="CU21" t="inlineStr">
        <is>
          <t>F80015 N+3.00</t>
        </is>
      </c>
      <c r="CV21" t="inlineStr">
        <is>
          <t>N+3.00</t>
        </is>
      </c>
      <c r="CW21" t="n">
        <v>8.85</v>
      </c>
      <c r="CX21" t="n">
        <v>17.446</v>
      </c>
      <c r="CY21" t="n">
        <v>5.822</v>
      </c>
      <c r="CZ21" t="n">
        <v>17.446</v>
      </c>
      <c r="DA21" t="n">
        <v>5.822</v>
      </c>
      <c r="DB21" t="n">
        <v>15.846</v>
      </c>
      <c r="DC21" t="n">
        <v>8.85</v>
      </c>
      <c r="DD21" t="n">
        <v>15.846</v>
      </c>
      <c r="DE21" t="n">
        <v>8.85</v>
      </c>
      <c r="DF21" t="n">
        <v>17.446</v>
      </c>
      <c r="DG21" t="n">
        <v>8.85</v>
      </c>
      <c r="DH21" t="n">
        <v>17.446</v>
      </c>
      <c r="DI21" t="n">
        <v>8.85</v>
      </c>
      <c r="DJ21" t="n">
        <v>17.446</v>
      </c>
      <c r="DK21" t="n">
        <v>8.85</v>
      </c>
      <c r="DL21" t="n">
        <v>17.446</v>
      </c>
      <c r="DM21" t="n">
        <v>8.85</v>
      </c>
      <c r="DN21" t="n">
        <v>17.446</v>
      </c>
      <c r="DO21" t="n">
        <v>8.85</v>
      </c>
      <c r="DP21" t="n">
        <v>17.446</v>
      </c>
      <c r="DQ21" t="n">
        <v>8.85</v>
      </c>
      <c r="DR21" t="n">
        <v>17.446</v>
      </c>
      <c r="DS21" t="n">
        <v>8.85</v>
      </c>
      <c r="DT21" t="n">
        <v>17.446</v>
      </c>
      <c r="DU21" t="n">
        <v>8.85</v>
      </c>
      <c r="DV21" t="n">
        <v>17.446</v>
      </c>
      <c r="DW21" t="n">
        <v>8.85</v>
      </c>
      <c r="DX21" t="n">
        <v>17.446</v>
      </c>
      <c r="DY21" t="n">
        <v>8.85</v>
      </c>
      <c r="DZ21" t="n">
        <v>17.446</v>
      </c>
      <c r="EA21" t="n">
        <v>8.85</v>
      </c>
      <c r="EB21" t="n">
        <v>17.446</v>
      </c>
      <c r="EC21" t="n">
        <v>8.85</v>
      </c>
      <c r="ED21" t="n">
        <v>17.446</v>
      </c>
      <c r="EE21" t="n">
        <v>8.85</v>
      </c>
      <c r="EF21" t="n">
        <v>17.446</v>
      </c>
      <c r="EH21" t="inlineStr">
        <is>
          <t>NP-14</t>
        </is>
      </c>
      <c r="EI21" t="inlineStr">
        <is>
          <t>N+3.00</t>
        </is>
      </c>
      <c r="EJ21" t="n">
        <v>-2</v>
      </c>
      <c r="EK21" t="n">
        <v>17.446</v>
      </c>
      <c r="EL21" t="n">
        <v>0</v>
      </c>
      <c r="EM21" t="n">
        <v>17.446</v>
      </c>
      <c r="EO21">
        <f>IF(INDEX($CV$8:$CV$39,MATCH(CROQUIS!$C$7,$CU$8:$CU$39,0))="N+3.00",INDEX($DW$8:$DW$39,MATCH(CROQUIS!$C$7,$CU$8:$CU$39,0)),-100)</f>
        <v>0</v>
      </c>
      <c r="EP21">
        <f>IF(INDEX($CV$8:$CV$39,MATCH(CROQUIS!$C$7,$CU$8:$CU$39,0))="N+3.00",INDEX($DX$8:$DX$39,MATCH(CROQUIS!$C$7,$CU$8:$CU$39,0)),-100)</f>
        <v>17.446</v>
      </c>
      <c r="ES21">
        <f>IF(INDEX($CV$8:$CV$39,MATCH(CROQUIS!$C$7,$CU$8:$CU$39,0))="N+6.00",INDEX($DW$8:$DW$39,MATCH(CROQUIS!$C$7,$CU$8:$CU$39,0)),-100)</f>
        <v>-100</v>
      </c>
      <c r="ET21">
        <f>IF(INDEX($CV$8:$CV$39,MATCH(CROQUIS!$C$7,$CU$8:$CU$39,0))="N+6.00",INDEX($DX$8:$DX$39,MATCH(CROQUIS!$C$7,$CU$8:$CU$39,0)),-100)</f>
        <v>-100</v>
      </c>
      <c r="EX21" t="inlineStr">
        <is>
          <t>F80015</t>
        </is>
      </c>
      <c r="EY21" t="n">
        <v>7.336</v>
      </c>
      <c r="EZ21" t="n">
        <v>16.646</v>
      </c>
      <c r="FA21" t="inlineStr">
        <is>
          <t>N+3.00</t>
        </is>
      </c>
    </row>
    <row r="22">
      <c r="A22" t="n">
        <v>15</v>
      </c>
      <c r="B22">
        <f>CHOOSE(MIN(MAX($A22,1),5),CROQUIS!$C$15,CROQUIS!$C$15+CROQUIS!$C$10*CROQUIS!$C$14,CROQUIS!$C$15+CROQUIS!$C$10*CROQUIS!$C$14,CROQUIS!$C$15,CROQUIS!$C$15)</f>
        <v>12</v>
      </c>
      <c r="C22">
        <f>CHOOSE(MIN(MAX($A22,1),5),CROQUIS!$C$16,CROQUIS!$C$16,CROQUIS!$C$16+CROQUIS!$C$11*CROQUIS!$C$14,CROQUIS!$C$16+CROQUIS!$C$11*CROQUIS!$C$14,CROQUIS!$C$16)</f>
        <v>15.9462268413918</v>
      </c>
      <c r="D22">
        <f>CHOOSE(MIN(MAX($A22,1),5),CROQUIS!$C$15+DATOS!$C$17/2*CROQUIS!$C$14,CROQUIS!$C$15+CROQUIS!$C$10*CROQUIS!$C$14-DATOS!$C$17/2*CROQUIS!$C$14,CROQUIS!$C$15+CROQUIS!$C$10*CROQUIS!$C$14-DATOS!$C$17/2*CROQUIS!$C$14,CROQUIS!$C$15+DATOS!$C$17/2*CROQUIS!$C$14,CROQUIS!$C$15+DATOS!$C$17/2*CROQUIS!$C$14)</f>
        <v>13.3895164934478</v>
      </c>
      <c r="E22">
        <f>CHOOSE(MIN(MAX($A22,1),5),CROQUIS!$C$16+DATOS!$C$17/2*CROQUIS!$C$14,CROQUIS!$C$16+DATOS!$C$17/2*CROQUIS!$C$14,CROQUIS!$C$16+CROQUIS!$C$11*CROQUIS!$C$14-DATOS!$C$17/2*CROQUIS!$C$14,CROQUIS!$C$16+CROQUIS!$C$11*CROQUIS!$C$14-DATOS!$C$17/2*CROQUIS!$C$14,CROQUIS!$C$16+DATOS!$C$17/2*CROQUIS!$C$14)</f>
        <v>17.3357433348396</v>
      </c>
      <c r="F22">
        <f>IF(NERVADURA!$C$118=0,CROQUIS!$C$15+CROQUIS!$C$10*CROQUIS!$C$14/2,CROQUIS!$C$15+(DATOS!$C$17/2+NERVADURA!$C$119+INT(MIN(INT(($A22-1)/2),MAX(2*NERVADURA!$C$118-1,0))/2)*DATOS!$C$16+MOD(MIN(INT(($A22-1)/2),MAX(2*NERVADURA!$C$118-1,0)),2)*DATOS!$C$11)*CROQUIS!$C$14)</f>
        <v>65.0424762765477</v>
      </c>
      <c r="G22">
        <f>IF(NERVADURA!$C$118=0,CROQUIS!$C$16+CROQUIS!$C$11*CROQUIS!$C$14/2,CROQUIS!$C$16+IF(MOD(MIN(INT(($A22-1)/2),MAX(2*NERVADURA!$C$118-1,0)),2)=0,IF(IF(INT(($A22-1)/2)&gt;MAX(2*NERVADURA!$C$118-1,0),1,MOD($A22-1,2))=0,(DATOS!$C$17/2+NERVADURA!$C$121),(CROQUIS!$C$11-DATOS!$C$17/2-NERVADURA!$C$121)),IF(IF(INT(($A22-1)/2)&gt;MAX(2*NERVADURA!$C$118-1,0),1,MOD($A22-1,2))=0,(CROQUIS!$C$11-DATOS!$C$17/2-NERVADURA!$C$121),(DATOS!$C$17/2+NERVADURA!$C$121)))*CROQUIS!$C$14)</f>
        <v>84.495707184817</v>
      </c>
      <c r="H22">
        <f>IF(NERVADURA!$C$120=0,CROQUIS!$C$15+CROQUIS!$C$10*CROQUIS!$C$14/2,CROQUIS!$C$15+IF(MOD(MIN(INT(($A22-1)/2),MAX(2*NERVADURA!$C$120-1,0)),2)=0,IF(IF(INT(($A22-1)/2)&gt;MAX(2*NERVADURA!$C$120-1,0),1,MOD($A22-1,2))=0,(DATOS!$C$17/2+NERVADURA!$C$119),(CROQUIS!$C$10-DATOS!$C$17/2-NERVADURA!$C$119)),IF(IF(INT(($A22-1)/2)&gt;MAX(2*NERVADURA!$C$120-1,0),1,MOD($A22-1,2))=0,(CROQUIS!$C$10-DATOS!$C$17/2-NERVADURA!$C$119),(DATOS!$C$17/2+NERVADURA!$C$119)))*CROQUIS!$C$14)</f>
        <v>90.9801174875734</v>
      </c>
      <c r="I22">
        <f>IF(NERVADURA!$C$120=0,CROQUIS!$C$16+CROQUIS!$C$11*CROQUIS!$C$14/2,CROQUIS!$C$16+(DATOS!$C$17/2+NERVADURA!$C$121+INT(MIN(INT(($A22-1)/2),MAX(2*NERVADURA!$C$120-1,0))/2)*DATOS!$C$16+MOD(MIN(INT(($A22-1)/2),MAX(2*NERVADURA!$C$120-1,0)),2)*DATOS!$C$11)*CROQUIS!$C$14)</f>
        <v>71.5268865793041</v>
      </c>
      <c r="CA22" t="n">
        <v>5.923</v>
      </c>
      <c r="CB22" t="n">
        <v>5.946</v>
      </c>
      <c r="CG22" t="n">
        <v>5.46</v>
      </c>
      <c r="CH22" t="n">
        <v>6.948</v>
      </c>
      <c r="CI22" t="n">
        <v>0</v>
      </c>
      <c r="CJ22" t="n">
        <v>15.846</v>
      </c>
      <c r="CK22" t="n">
        <v>5.923</v>
      </c>
      <c r="CL22" t="n">
        <v>2.921</v>
      </c>
      <c r="CQ22" t="n">
        <v>5.998</v>
      </c>
      <c r="CR22" t="n">
        <v>9.875</v>
      </c>
      <c r="CS22" t="n">
        <v>1.514</v>
      </c>
      <c r="CT22" t="n">
        <v>15.846</v>
      </c>
      <c r="CU22" t="inlineStr">
        <is>
          <t>F80016 N+3.00</t>
        </is>
      </c>
      <c r="CV22" t="inlineStr">
        <is>
          <t>N+3.00</t>
        </is>
      </c>
      <c r="CW22" t="n">
        <v>0</v>
      </c>
      <c r="CX22" t="n">
        <v>17.446</v>
      </c>
      <c r="CY22" t="n">
        <v>4.426</v>
      </c>
      <c r="CZ22" t="n">
        <v>17.446</v>
      </c>
      <c r="DA22" t="n">
        <v>4.426</v>
      </c>
      <c r="DB22" t="n">
        <v>21.446</v>
      </c>
      <c r="DC22" t="n">
        <v>0</v>
      </c>
      <c r="DD22" t="n">
        <v>21.446</v>
      </c>
      <c r="DE22" t="n">
        <v>0</v>
      </c>
      <c r="DF22" t="n">
        <v>17.446</v>
      </c>
      <c r="DG22" t="n">
        <v>0</v>
      </c>
      <c r="DH22" t="n">
        <v>17.446</v>
      </c>
      <c r="DI22" t="n">
        <v>0</v>
      </c>
      <c r="DJ22" t="n">
        <v>17.446</v>
      </c>
      <c r="DK22" t="n">
        <v>0</v>
      </c>
      <c r="DL22" t="n">
        <v>17.446</v>
      </c>
      <c r="DM22" t="n">
        <v>0</v>
      </c>
      <c r="DN22" t="n">
        <v>17.446</v>
      </c>
      <c r="DO22" t="n">
        <v>0</v>
      </c>
      <c r="DP22" t="n">
        <v>17.446</v>
      </c>
      <c r="DQ22" t="n">
        <v>0</v>
      </c>
      <c r="DR22" t="n">
        <v>17.446</v>
      </c>
      <c r="DS22" t="n">
        <v>0</v>
      </c>
      <c r="DT22" t="n">
        <v>17.446</v>
      </c>
      <c r="DU22" t="n">
        <v>0</v>
      </c>
      <c r="DV22" t="n">
        <v>17.446</v>
      </c>
      <c r="DW22" t="n">
        <v>0</v>
      </c>
      <c r="DX22" t="n">
        <v>17.446</v>
      </c>
      <c r="DY22" t="n">
        <v>0</v>
      </c>
      <c r="DZ22" t="n">
        <v>17.446</v>
      </c>
      <c r="EA22" t="n">
        <v>0</v>
      </c>
      <c r="EB22" t="n">
        <v>17.446</v>
      </c>
      <c r="EC22" t="n">
        <v>0</v>
      </c>
      <c r="ED22" t="n">
        <v>17.446</v>
      </c>
      <c r="EE22" t="n">
        <v>0</v>
      </c>
      <c r="EF22" t="n">
        <v>17.446</v>
      </c>
      <c r="EH22" t="inlineStr">
        <is>
          <t>NP-15</t>
        </is>
      </c>
      <c r="EI22" t="inlineStr">
        <is>
          <t>N+3.00</t>
        </is>
      </c>
      <c r="EJ22" t="n">
        <v>0</v>
      </c>
      <c r="EK22" t="n">
        <v>17.446</v>
      </c>
      <c r="EL22" t="n">
        <v>4.925</v>
      </c>
      <c r="EM22" t="n">
        <v>17.446</v>
      </c>
      <c r="EO22">
        <f>IF(INDEX($CV$8:$CV$39,MATCH(CROQUIS!$C$7,$CU$8:$CU$39,0))="N+3.00",INDEX($DY$8:$DY$39,MATCH(CROQUIS!$C$7,$CU$8:$CU$39,0)),-100)</f>
        <v>0</v>
      </c>
      <c r="EP22">
        <f>IF(INDEX($CV$8:$CV$39,MATCH(CROQUIS!$C$7,$CU$8:$CU$39,0))="N+3.00",INDEX($DZ$8:$DZ$39,MATCH(CROQUIS!$C$7,$CU$8:$CU$39,0)),-100)</f>
        <v>17.446</v>
      </c>
      <c r="ES22">
        <f>IF(INDEX($CV$8:$CV$39,MATCH(CROQUIS!$C$7,$CU$8:$CU$39,0))="N+6.00",INDEX($DY$8:$DY$39,MATCH(CROQUIS!$C$7,$CU$8:$CU$39,0)),-100)</f>
        <v>-100</v>
      </c>
      <c r="ET22">
        <f>IF(INDEX($CV$8:$CV$39,MATCH(CROQUIS!$C$7,$CU$8:$CU$39,0))="N+6.00",INDEX($DZ$8:$DZ$39,MATCH(CROQUIS!$C$7,$CU$8:$CU$39,0)),-100)</f>
        <v>-100</v>
      </c>
      <c r="EX22" t="inlineStr">
        <is>
          <t>F80016</t>
        </is>
      </c>
      <c r="EY22" t="n">
        <v>2.213</v>
      </c>
      <c r="EZ22" t="n">
        <v>19.446</v>
      </c>
      <c r="FA22" t="inlineStr">
        <is>
          <t>N+3.00</t>
        </is>
      </c>
    </row>
    <row r="23">
      <c r="A23" t="n">
        <v>16</v>
      </c>
      <c r="B23">
        <f>CHOOSE(MIN(MAX($A23,1),5),CROQUIS!$C$15,CROQUIS!$C$15+CROQUIS!$C$10*CROQUIS!$C$14,CROQUIS!$C$15+CROQUIS!$C$10*CROQUIS!$C$14,CROQUIS!$C$15,CROQUIS!$C$15)</f>
        <v>12</v>
      </c>
      <c r="C23">
        <f>CHOOSE(MIN(MAX($A23,1),5),CROQUIS!$C$16,CROQUIS!$C$16,CROQUIS!$C$16+CROQUIS!$C$11*CROQUIS!$C$14,CROQUIS!$C$16+CROQUIS!$C$11*CROQUIS!$C$14,CROQUIS!$C$16)</f>
        <v>15.9462268413918</v>
      </c>
      <c r="D23">
        <f>CHOOSE(MIN(MAX($A23,1),5),CROQUIS!$C$15+DATOS!$C$17/2*CROQUIS!$C$14,CROQUIS!$C$15+CROQUIS!$C$10*CROQUIS!$C$14-DATOS!$C$17/2*CROQUIS!$C$14,CROQUIS!$C$15+CROQUIS!$C$10*CROQUIS!$C$14-DATOS!$C$17/2*CROQUIS!$C$14,CROQUIS!$C$15+DATOS!$C$17/2*CROQUIS!$C$14,CROQUIS!$C$15+DATOS!$C$17/2*CROQUIS!$C$14)</f>
        <v>13.3895164934478</v>
      </c>
      <c r="E23">
        <f>CHOOSE(MIN(MAX($A23,1),5),CROQUIS!$C$16+DATOS!$C$17/2*CROQUIS!$C$14,CROQUIS!$C$16+DATOS!$C$17/2*CROQUIS!$C$14,CROQUIS!$C$16+CROQUIS!$C$11*CROQUIS!$C$14-DATOS!$C$17/2*CROQUIS!$C$14,CROQUIS!$C$16+CROQUIS!$C$11*CROQUIS!$C$14-DATOS!$C$17/2*CROQUIS!$C$14,CROQUIS!$C$16+DATOS!$C$17/2*CROQUIS!$C$14)</f>
        <v>17.3357433348396</v>
      </c>
      <c r="F23">
        <f>IF(NERVADURA!$C$118=0,CROQUIS!$C$15+CROQUIS!$C$10*CROQUIS!$C$14/2,CROQUIS!$C$15+(DATOS!$C$17/2+NERVADURA!$C$119+INT(MIN(INT(($A23-1)/2),MAX(2*NERVADURA!$C$118-1,0))/2)*DATOS!$C$16+MOD(MIN(INT(($A23-1)/2),MAX(2*NERVADURA!$C$118-1,0)),2)*DATOS!$C$11)*CROQUIS!$C$14)</f>
        <v>65.0424762765477</v>
      </c>
      <c r="G23">
        <f>IF(NERVADURA!$C$118=0,CROQUIS!$C$16+CROQUIS!$C$11*CROQUIS!$C$14/2,CROQUIS!$C$16+IF(MOD(MIN(INT(($A23-1)/2),MAX(2*NERVADURA!$C$118-1,0)),2)=0,IF(IF(INT(($A23-1)/2)&gt;MAX(2*NERVADURA!$C$118-1,0),1,MOD($A23-1,2))=0,(DATOS!$C$17/2+NERVADURA!$C$121),(CROQUIS!$C$11-DATOS!$C$17/2-NERVADURA!$C$121)),IF(IF(INT(($A23-1)/2)&gt;MAX(2*NERVADURA!$C$118-1,0),1,MOD($A23-1,2))=0,(CROQUIS!$C$11-DATOS!$C$17/2-NERVADURA!$C$121),(DATOS!$C$17/2+NERVADURA!$C$121)))*CROQUIS!$C$14)</f>
        <v>21.504292815183</v>
      </c>
      <c r="H23">
        <f>IF(NERVADURA!$C$120=0,CROQUIS!$C$15+CROQUIS!$C$10*CROQUIS!$C$14/2,CROQUIS!$C$15+IF(MOD(MIN(INT(($A23-1)/2),MAX(2*NERVADURA!$C$120-1,0)),2)=0,IF(IF(INT(($A23-1)/2)&gt;MAX(2*NERVADURA!$C$120-1,0),1,MOD($A23-1,2))=0,(DATOS!$C$17/2+NERVADURA!$C$119),(CROQUIS!$C$10-DATOS!$C$17/2-NERVADURA!$C$119)),IF(IF(INT(($A23-1)/2)&gt;MAX(2*NERVADURA!$C$120-1,0),1,MOD($A23-1,2))=0,(CROQUIS!$C$10-DATOS!$C$17/2-NERVADURA!$C$119),(DATOS!$C$17/2+NERVADURA!$C$119)))*CROQUIS!$C$14)</f>
        <v>15.0198825124266</v>
      </c>
      <c r="I23">
        <f>IF(NERVADURA!$C$120=0,CROQUIS!$C$16+CROQUIS!$C$11*CROQUIS!$C$14/2,CROQUIS!$C$16+(DATOS!$C$17/2+NERVADURA!$C$121+INT(MIN(INT(($A23-1)/2),MAX(2*NERVADURA!$C$120-1,0))/2)*DATOS!$C$16+MOD(MIN(INT(($A23-1)/2),MAX(2*NERVADURA!$C$120-1,0)),2)*DATOS!$C$11)*CROQUIS!$C$14)</f>
        <v>71.5268865793041</v>
      </c>
      <c r="CA23" t="n">
        <v>4.327</v>
      </c>
      <c r="CB23" t="n">
        <v>5.946</v>
      </c>
      <c r="CC23" t="n">
        <v>4.925</v>
      </c>
      <c r="CD23" t="n">
        <v>15.447</v>
      </c>
      <c r="CE23" t="n">
        <v>0</v>
      </c>
      <c r="CF23" t="n">
        <v>7.871</v>
      </c>
      <c r="CG23" t="n">
        <v>5.422</v>
      </c>
      <c r="CH23" t="n">
        <v>9.949999999999999</v>
      </c>
      <c r="CI23" t="n">
        <v>0</v>
      </c>
      <c r="CJ23" t="n">
        <v>17.446</v>
      </c>
      <c r="CK23" t="n">
        <v>5.923</v>
      </c>
      <c r="CL23" t="n">
        <v>5.946</v>
      </c>
      <c r="CM23" t="n">
        <v>5.422</v>
      </c>
      <c r="CN23" t="n">
        <v>9.949999999999999</v>
      </c>
      <c r="CQ23" t="n">
        <v>5.998</v>
      </c>
      <c r="CR23" t="n">
        <v>7.023</v>
      </c>
      <c r="CS23" t="n">
        <v>1.714</v>
      </c>
      <c r="CT23" t="n">
        <v>14.021</v>
      </c>
      <c r="CU23" t="inlineStr">
        <is>
          <t>F80017 N+3.00</t>
        </is>
      </c>
      <c r="CV23" t="inlineStr">
        <is>
          <t>N+3.00</t>
        </is>
      </c>
      <c r="CW23" t="n">
        <v>4.925</v>
      </c>
      <c r="CX23" t="n">
        <v>17.446</v>
      </c>
      <c r="CY23" t="n">
        <v>4.925</v>
      </c>
      <c r="CZ23" t="n">
        <v>21.446</v>
      </c>
      <c r="DA23" t="n">
        <v>4.426</v>
      </c>
      <c r="DB23" t="n">
        <v>21.446</v>
      </c>
      <c r="DC23" t="n">
        <v>4.426</v>
      </c>
      <c r="DD23" t="n">
        <v>17.446</v>
      </c>
      <c r="DE23" t="n">
        <v>4.925</v>
      </c>
      <c r="DF23" t="n">
        <v>17.446</v>
      </c>
      <c r="DG23" t="n">
        <v>4.925</v>
      </c>
      <c r="DH23" t="n">
        <v>17.446</v>
      </c>
      <c r="DI23" t="n">
        <v>4.925</v>
      </c>
      <c r="DJ23" t="n">
        <v>17.446</v>
      </c>
      <c r="DK23" t="n">
        <v>4.925</v>
      </c>
      <c r="DL23" t="n">
        <v>17.446</v>
      </c>
      <c r="DM23" t="n">
        <v>4.925</v>
      </c>
      <c r="DN23" t="n">
        <v>17.446</v>
      </c>
      <c r="DO23" t="n">
        <v>4.925</v>
      </c>
      <c r="DP23" t="n">
        <v>17.446</v>
      </c>
      <c r="DQ23" t="n">
        <v>4.925</v>
      </c>
      <c r="DR23" t="n">
        <v>17.446</v>
      </c>
      <c r="DS23" t="n">
        <v>4.925</v>
      </c>
      <c r="DT23" t="n">
        <v>17.446</v>
      </c>
      <c r="DU23" t="n">
        <v>4.925</v>
      </c>
      <c r="DV23" t="n">
        <v>17.446</v>
      </c>
      <c r="DW23" t="n">
        <v>4.925</v>
      </c>
      <c r="DX23" t="n">
        <v>17.446</v>
      </c>
      <c r="DY23" t="n">
        <v>4.925</v>
      </c>
      <c r="DZ23" t="n">
        <v>17.446</v>
      </c>
      <c r="EA23" t="n">
        <v>4.925</v>
      </c>
      <c r="EB23" t="n">
        <v>17.446</v>
      </c>
      <c r="EC23" t="n">
        <v>4.925</v>
      </c>
      <c r="ED23" t="n">
        <v>17.446</v>
      </c>
      <c r="EE23" t="n">
        <v>4.925</v>
      </c>
      <c r="EF23" t="n">
        <v>17.446</v>
      </c>
      <c r="EH23" t="inlineStr">
        <is>
          <t>NP-16</t>
        </is>
      </c>
      <c r="EI23" t="inlineStr">
        <is>
          <t>N+3.00</t>
        </is>
      </c>
      <c r="EJ23" t="n">
        <v>0</v>
      </c>
      <c r="EK23" t="n">
        <v>23.446</v>
      </c>
      <c r="EL23" t="n">
        <v>7.25</v>
      </c>
      <c r="EM23" t="n">
        <v>23.446</v>
      </c>
      <c r="EO23">
        <f>IF(INDEX($CV$8:$CV$39,MATCH(CROQUIS!$C$7,$CU$8:$CU$39,0))="N+3.00",INDEX($EA$8:$EA$39,MATCH(CROQUIS!$C$7,$CU$8:$CU$39,0)),-100)</f>
        <v>0</v>
      </c>
      <c r="EP23">
        <f>IF(INDEX($CV$8:$CV$39,MATCH(CROQUIS!$C$7,$CU$8:$CU$39,0))="N+3.00",INDEX($EB$8:$EB$39,MATCH(CROQUIS!$C$7,$CU$8:$CU$39,0)),-100)</f>
        <v>17.446</v>
      </c>
      <c r="ES23">
        <f>IF(INDEX($CV$8:$CV$39,MATCH(CROQUIS!$C$7,$CU$8:$CU$39,0))="N+6.00",INDEX($EA$8:$EA$39,MATCH(CROQUIS!$C$7,$CU$8:$CU$39,0)),-100)</f>
        <v>-100</v>
      </c>
      <c r="ET23">
        <f>IF(INDEX($CV$8:$CV$39,MATCH(CROQUIS!$C$7,$CU$8:$CU$39,0))="N+6.00",INDEX($EB$8:$EB$39,MATCH(CROQUIS!$C$7,$CU$8:$CU$39,0)),-100)</f>
        <v>-100</v>
      </c>
      <c r="EX23" t="inlineStr">
        <is>
          <t>F80017</t>
        </is>
      </c>
      <c r="EY23" t="n">
        <v>4.675</v>
      </c>
      <c r="EZ23" t="n">
        <v>19.446</v>
      </c>
      <c r="FA23" t="inlineStr">
        <is>
          <t>N+3.00</t>
        </is>
      </c>
    </row>
    <row r="24">
      <c r="A24" t="n">
        <v>17</v>
      </c>
      <c r="B24">
        <f>CHOOSE(MIN(MAX($A24,1),5),CROQUIS!$C$15,CROQUIS!$C$15+CROQUIS!$C$10*CROQUIS!$C$14,CROQUIS!$C$15+CROQUIS!$C$10*CROQUIS!$C$14,CROQUIS!$C$15,CROQUIS!$C$15)</f>
        <v>12</v>
      </c>
      <c r="C24">
        <f>CHOOSE(MIN(MAX($A24,1),5),CROQUIS!$C$16,CROQUIS!$C$16,CROQUIS!$C$16+CROQUIS!$C$11*CROQUIS!$C$14,CROQUIS!$C$16+CROQUIS!$C$11*CROQUIS!$C$14,CROQUIS!$C$16)</f>
        <v>15.9462268413918</v>
      </c>
      <c r="D24">
        <f>CHOOSE(MIN(MAX($A24,1),5),CROQUIS!$C$15+DATOS!$C$17/2*CROQUIS!$C$14,CROQUIS!$C$15+CROQUIS!$C$10*CROQUIS!$C$14-DATOS!$C$17/2*CROQUIS!$C$14,CROQUIS!$C$15+CROQUIS!$C$10*CROQUIS!$C$14-DATOS!$C$17/2*CROQUIS!$C$14,CROQUIS!$C$15+DATOS!$C$17/2*CROQUIS!$C$14,CROQUIS!$C$15+DATOS!$C$17/2*CROQUIS!$C$14)</f>
        <v>13.3895164934478</v>
      </c>
      <c r="E24">
        <f>CHOOSE(MIN(MAX($A24,1),5),CROQUIS!$C$16+DATOS!$C$17/2*CROQUIS!$C$14,CROQUIS!$C$16+DATOS!$C$17/2*CROQUIS!$C$14,CROQUIS!$C$16+CROQUIS!$C$11*CROQUIS!$C$14-DATOS!$C$17/2*CROQUIS!$C$14,CROQUIS!$C$16+CROQUIS!$C$11*CROQUIS!$C$14-DATOS!$C$17/2*CROQUIS!$C$14,CROQUIS!$C$16+DATOS!$C$17/2*CROQUIS!$C$14)</f>
        <v>17.3357433348396</v>
      </c>
      <c r="F24">
        <f>IF(NERVADURA!$C$118=0,CROQUIS!$C$15+CROQUIS!$C$10*CROQUIS!$C$14/2,CROQUIS!$C$15+(DATOS!$C$17/2+NERVADURA!$C$119+INT(MIN(INT(($A24-1)/2),MAX(2*NERVADURA!$C$118-1,0))/2)*DATOS!$C$16+MOD(MIN(INT(($A24-1)/2),MAX(2*NERVADURA!$C$118-1,0)),2)*DATOS!$C$11)*CROQUIS!$C$14)</f>
        <v>66.8951649344781</v>
      </c>
      <c r="G24">
        <f>IF(NERVADURA!$C$118=0,CROQUIS!$C$16+CROQUIS!$C$11*CROQUIS!$C$14/2,CROQUIS!$C$16+IF(MOD(MIN(INT(($A24-1)/2),MAX(2*NERVADURA!$C$118-1,0)),2)=0,IF(IF(INT(($A24-1)/2)&gt;MAX(2*NERVADURA!$C$118-1,0),1,MOD($A24-1,2))=0,(DATOS!$C$17/2+NERVADURA!$C$121),(CROQUIS!$C$11-DATOS!$C$17/2-NERVADURA!$C$121)),IF(IF(INT(($A24-1)/2)&gt;MAX(2*NERVADURA!$C$118-1,0),1,MOD($A24-1,2))=0,(CROQUIS!$C$11-DATOS!$C$17/2-NERVADURA!$C$121),(DATOS!$C$17/2+NERVADURA!$C$121)))*CROQUIS!$C$14)</f>
        <v>21.504292815183</v>
      </c>
      <c r="H24">
        <f>IF(NERVADURA!$C$120=0,CROQUIS!$C$15+CROQUIS!$C$10*CROQUIS!$C$14/2,CROQUIS!$C$15+IF(MOD(MIN(INT(($A24-1)/2),MAX(2*NERVADURA!$C$120-1,0)),2)=0,IF(IF(INT(($A24-1)/2)&gt;MAX(2*NERVADURA!$C$120-1,0),1,MOD($A24-1,2))=0,(DATOS!$C$17/2+NERVADURA!$C$119),(CROQUIS!$C$10-DATOS!$C$17/2-NERVADURA!$C$119)),IF(IF(INT(($A24-1)/2)&gt;MAX(2*NERVADURA!$C$120-1,0),1,MOD($A24-1,2))=0,(CROQUIS!$C$10-DATOS!$C$17/2-NERVADURA!$C$119),(DATOS!$C$17/2+NERVADURA!$C$119)))*CROQUIS!$C$14)</f>
        <v>15.0198825124266</v>
      </c>
      <c r="I24">
        <f>IF(NERVADURA!$C$120=0,CROQUIS!$C$16+CROQUIS!$C$11*CROQUIS!$C$14/2,CROQUIS!$C$16+(DATOS!$C$17/2+NERVADURA!$C$121+INT(MIN(INT(($A24-1)/2),MAX(2*NERVADURA!$C$120-1,0))/2)*DATOS!$C$16+MOD(MIN(INT(($A24-1)/2),MAX(2*NERVADURA!$C$120-1,0)),2)*DATOS!$C$11)*CROQUIS!$C$14)</f>
        <v>73.3795752372345</v>
      </c>
      <c r="CA24" t="n">
        <v>4.327</v>
      </c>
      <c r="CB24" t="n">
        <v>2.921</v>
      </c>
      <c r="CC24" t="n">
        <v>8.85</v>
      </c>
      <c r="CD24" t="n">
        <v>15.447</v>
      </c>
      <c r="CE24" t="n">
        <v>4.327</v>
      </c>
      <c r="CF24" t="n">
        <v>7.871</v>
      </c>
      <c r="CG24" t="n">
        <v>5.46</v>
      </c>
      <c r="CH24" t="n">
        <v>9.949999999999999</v>
      </c>
      <c r="CI24" t="n">
        <v>0</v>
      </c>
      <c r="CJ24" t="n">
        <v>19.447</v>
      </c>
      <c r="CK24" t="n">
        <v>4.327</v>
      </c>
      <c r="CL24" t="n">
        <v>5.946</v>
      </c>
      <c r="CM24" t="n">
        <v>8.85</v>
      </c>
      <c r="CN24" t="n">
        <v>9.949999999999999</v>
      </c>
      <c r="CQ24" t="n">
        <v>8.775</v>
      </c>
      <c r="CR24" t="n">
        <v>7.023</v>
      </c>
      <c r="CS24" t="n">
        <v>2.129</v>
      </c>
      <c r="CT24" t="n">
        <v>17.446</v>
      </c>
      <c r="CU24" t="inlineStr">
        <is>
          <t>F80018 N+3.00</t>
        </is>
      </c>
      <c r="CV24" t="inlineStr">
        <is>
          <t>N+3.00</t>
        </is>
      </c>
      <c r="CW24" t="n">
        <v>8.85</v>
      </c>
      <c r="CX24" t="n">
        <v>21.446</v>
      </c>
      <c r="CY24" t="n">
        <v>4.925</v>
      </c>
      <c r="CZ24" t="n">
        <v>21.446</v>
      </c>
      <c r="DA24" t="n">
        <v>4.925</v>
      </c>
      <c r="DB24" t="n">
        <v>17.446</v>
      </c>
      <c r="DC24" t="n">
        <v>8.85</v>
      </c>
      <c r="DD24" t="n">
        <v>17.446</v>
      </c>
      <c r="DE24" t="n">
        <v>8.85</v>
      </c>
      <c r="DF24" t="n">
        <v>21.446</v>
      </c>
      <c r="DG24" t="n">
        <v>8.85</v>
      </c>
      <c r="DH24" t="n">
        <v>21.446</v>
      </c>
      <c r="DI24" t="n">
        <v>8.85</v>
      </c>
      <c r="DJ24" t="n">
        <v>21.446</v>
      </c>
      <c r="DK24" t="n">
        <v>8.85</v>
      </c>
      <c r="DL24" t="n">
        <v>21.446</v>
      </c>
      <c r="DM24" t="n">
        <v>8.85</v>
      </c>
      <c r="DN24" t="n">
        <v>21.446</v>
      </c>
      <c r="DO24" t="n">
        <v>8.85</v>
      </c>
      <c r="DP24" t="n">
        <v>21.446</v>
      </c>
      <c r="DQ24" t="n">
        <v>8.85</v>
      </c>
      <c r="DR24" t="n">
        <v>21.446</v>
      </c>
      <c r="DS24" t="n">
        <v>8.85</v>
      </c>
      <c r="DT24" t="n">
        <v>21.446</v>
      </c>
      <c r="DU24" t="n">
        <v>8.85</v>
      </c>
      <c r="DV24" t="n">
        <v>21.446</v>
      </c>
      <c r="DW24" t="n">
        <v>8.85</v>
      </c>
      <c r="DX24" t="n">
        <v>21.446</v>
      </c>
      <c r="DY24" t="n">
        <v>8.85</v>
      </c>
      <c r="DZ24" t="n">
        <v>21.446</v>
      </c>
      <c r="EA24" t="n">
        <v>8.85</v>
      </c>
      <c r="EB24" t="n">
        <v>21.446</v>
      </c>
      <c r="EC24" t="n">
        <v>8.85</v>
      </c>
      <c r="ED24" t="n">
        <v>21.446</v>
      </c>
      <c r="EE24" t="n">
        <v>8.85</v>
      </c>
      <c r="EF24" t="n">
        <v>21.446</v>
      </c>
      <c r="EH24" t="inlineStr">
        <is>
          <t>NP-17</t>
        </is>
      </c>
      <c r="EI24" t="inlineStr">
        <is>
          <t>N+3.00</t>
        </is>
      </c>
      <c r="EJ24" t="n">
        <v>-2</v>
      </c>
      <c r="EK24" t="n">
        <v>14.021</v>
      </c>
      <c r="EL24" t="n">
        <v>-2</v>
      </c>
      <c r="EM24" t="n">
        <v>17.446</v>
      </c>
      <c r="EO24">
        <f>IF(INDEX($CV$8:$CV$39,MATCH(CROQUIS!$C$7,$CU$8:$CU$39,0))="N+3.00",INDEX($EC$8:$EC$39,MATCH(CROQUIS!$C$7,$CU$8:$CU$39,0)),-100)</f>
        <v>0</v>
      </c>
      <c r="EP24">
        <f>IF(INDEX($CV$8:$CV$39,MATCH(CROQUIS!$C$7,$CU$8:$CU$39,0))="N+3.00",INDEX($ED$8:$ED$39,MATCH(CROQUIS!$C$7,$CU$8:$CU$39,0)),-100)</f>
        <v>17.446</v>
      </c>
      <c r="ES24">
        <f>IF(INDEX($CV$8:$CV$39,MATCH(CROQUIS!$C$7,$CU$8:$CU$39,0))="N+6.00",INDEX($EC$8:$EC$39,MATCH(CROQUIS!$C$7,$CU$8:$CU$39,0)),-100)</f>
        <v>-100</v>
      </c>
      <c r="ET24">
        <f>IF(INDEX($CV$8:$CV$39,MATCH(CROQUIS!$C$7,$CU$8:$CU$39,0))="N+6.00",INDEX($ED$8:$ED$39,MATCH(CROQUIS!$C$7,$CU$8:$CU$39,0)),-100)</f>
        <v>-100</v>
      </c>
      <c r="EX24" t="inlineStr">
        <is>
          <t>F80018</t>
        </is>
      </c>
      <c r="EY24" t="n">
        <v>6.887</v>
      </c>
      <c r="EZ24" t="n">
        <v>19.446</v>
      </c>
      <c r="FA24" t="inlineStr">
        <is>
          <t>N+3.00</t>
        </is>
      </c>
    </row>
    <row r="25">
      <c r="A25" t="n">
        <v>18</v>
      </c>
      <c r="B25">
        <f>CHOOSE(MIN(MAX($A25,1),5),CROQUIS!$C$15,CROQUIS!$C$15+CROQUIS!$C$10*CROQUIS!$C$14,CROQUIS!$C$15+CROQUIS!$C$10*CROQUIS!$C$14,CROQUIS!$C$15,CROQUIS!$C$15)</f>
        <v>12</v>
      </c>
      <c r="C25">
        <f>CHOOSE(MIN(MAX($A25,1),5),CROQUIS!$C$16,CROQUIS!$C$16,CROQUIS!$C$16+CROQUIS!$C$11*CROQUIS!$C$14,CROQUIS!$C$16+CROQUIS!$C$11*CROQUIS!$C$14,CROQUIS!$C$16)</f>
        <v>15.9462268413918</v>
      </c>
      <c r="D25">
        <f>CHOOSE(MIN(MAX($A25,1),5),CROQUIS!$C$15+DATOS!$C$17/2*CROQUIS!$C$14,CROQUIS!$C$15+CROQUIS!$C$10*CROQUIS!$C$14-DATOS!$C$17/2*CROQUIS!$C$14,CROQUIS!$C$15+CROQUIS!$C$10*CROQUIS!$C$14-DATOS!$C$17/2*CROQUIS!$C$14,CROQUIS!$C$15+DATOS!$C$17/2*CROQUIS!$C$14,CROQUIS!$C$15+DATOS!$C$17/2*CROQUIS!$C$14)</f>
        <v>13.3895164934478</v>
      </c>
      <c r="E25">
        <f>CHOOSE(MIN(MAX($A25,1),5),CROQUIS!$C$16+DATOS!$C$17/2*CROQUIS!$C$14,CROQUIS!$C$16+DATOS!$C$17/2*CROQUIS!$C$14,CROQUIS!$C$16+CROQUIS!$C$11*CROQUIS!$C$14-DATOS!$C$17/2*CROQUIS!$C$14,CROQUIS!$C$16+CROQUIS!$C$11*CROQUIS!$C$14-DATOS!$C$17/2*CROQUIS!$C$14,CROQUIS!$C$16+DATOS!$C$17/2*CROQUIS!$C$14)</f>
        <v>17.3357433348396</v>
      </c>
      <c r="F25">
        <f>IF(NERVADURA!$C$118=0,CROQUIS!$C$15+CROQUIS!$C$10*CROQUIS!$C$14/2,CROQUIS!$C$15+(DATOS!$C$17/2+NERVADURA!$C$119+INT(MIN(INT(($A25-1)/2),MAX(2*NERVADURA!$C$118-1,0))/2)*DATOS!$C$16+MOD(MIN(INT(($A25-1)/2),MAX(2*NERVADURA!$C$118-1,0)),2)*DATOS!$C$11)*CROQUIS!$C$14)</f>
        <v>66.8951649344781</v>
      </c>
      <c r="G25">
        <f>IF(NERVADURA!$C$118=0,CROQUIS!$C$16+CROQUIS!$C$11*CROQUIS!$C$14/2,CROQUIS!$C$16+IF(MOD(MIN(INT(($A25-1)/2),MAX(2*NERVADURA!$C$118-1,0)),2)=0,IF(IF(INT(($A25-1)/2)&gt;MAX(2*NERVADURA!$C$118-1,0),1,MOD($A25-1,2))=0,(DATOS!$C$17/2+NERVADURA!$C$121),(CROQUIS!$C$11-DATOS!$C$17/2-NERVADURA!$C$121)),IF(IF(INT(($A25-1)/2)&gt;MAX(2*NERVADURA!$C$118-1,0),1,MOD($A25-1,2))=0,(CROQUIS!$C$11-DATOS!$C$17/2-NERVADURA!$C$121),(DATOS!$C$17/2+NERVADURA!$C$121)))*CROQUIS!$C$14)</f>
        <v>84.495707184817</v>
      </c>
      <c r="H25">
        <f>IF(NERVADURA!$C$120=0,CROQUIS!$C$15+CROQUIS!$C$10*CROQUIS!$C$14/2,CROQUIS!$C$15+IF(MOD(MIN(INT(($A25-1)/2),MAX(2*NERVADURA!$C$120-1,0)),2)=0,IF(IF(INT(($A25-1)/2)&gt;MAX(2*NERVADURA!$C$120-1,0),1,MOD($A25-1,2))=0,(DATOS!$C$17/2+NERVADURA!$C$119),(CROQUIS!$C$10-DATOS!$C$17/2-NERVADURA!$C$119)),IF(IF(INT(($A25-1)/2)&gt;MAX(2*NERVADURA!$C$120-1,0),1,MOD($A25-1,2))=0,(CROQUIS!$C$10-DATOS!$C$17/2-NERVADURA!$C$119),(DATOS!$C$17/2+NERVADURA!$C$119)))*CROQUIS!$C$14)</f>
        <v>90.9801174875734</v>
      </c>
      <c r="I25">
        <f>IF(NERVADURA!$C$120=0,CROQUIS!$C$16+CROQUIS!$C$11*CROQUIS!$C$14/2,CROQUIS!$C$16+(DATOS!$C$17/2+NERVADURA!$C$121+INT(MIN(INT(($A25-1)/2),MAX(2*NERVADURA!$C$120-1,0))/2)*DATOS!$C$16+MOD(MIN(INT(($A25-1)/2),MAX(2*NERVADURA!$C$120-1,0)),2)*DATOS!$C$11)*CROQUIS!$C$14)</f>
        <v>73.3795752372345</v>
      </c>
      <c r="CA25" t="n">
        <v>5.923</v>
      </c>
      <c r="CB25" t="n">
        <v>2.921</v>
      </c>
      <c r="CG25" t="n">
        <v>5.46</v>
      </c>
      <c r="CH25" t="n">
        <v>8.91</v>
      </c>
      <c r="CI25" t="n">
        <v>0</v>
      </c>
      <c r="CJ25" t="n">
        <v>21.446</v>
      </c>
      <c r="CS25" t="n">
        <v>2.163</v>
      </c>
      <c r="CT25" t="n">
        <v>7.871</v>
      </c>
      <c r="CU25" t="inlineStr">
        <is>
          <t>F80019 N+3.00</t>
        </is>
      </c>
      <c r="CV25" t="inlineStr">
        <is>
          <t>N+3.00</t>
        </is>
      </c>
      <c r="CW25" t="n">
        <v>0</v>
      </c>
      <c r="CX25" t="n">
        <v>23.446</v>
      </c>
      <c r="CY25" t="n">
        <v>0</v>
      </c>
      <c r="CZ25" t="n">
        <v>21.446</v>
      </c>
      <c r="DA25" t="n">
        <v>7.25</v>
      </c>
      <c r="DB25" t="n">
        <v>21.446</v>
      </c>
      <c r="DC25" t="n">
        <v>7.25</v>
      </c>
      <c r="DD25" t="n">
        <v>23.446</v>
      </c>
      <c r="DE25" t="n">
        <v>0</v>
      </c>
      <c r="DF25" t="n">
        <v>23.446</v>
      </c>
      <c r="DG25" t="n">
        <v>0</v>
      </c>
      <c r="DH25" t="n">
        <v>23.446</v>
      </c>
      <c r="DI25" t="n">
        <v>0</v>
      </c>
      <c r="DJ25" t="n">
        <v>23.446</v>
      </c>
      <c r="DK25" t="n">
        <v>0</v>
      </c>
      <c r="DL25" t="n">
        <v>23.446</v>
      </c>
      <c r="DM25" t="n">
        <v>0</v>
      </c>
      <c r="DN25" t="n">
        <v>23.446</v>
      </c>
      <c r="DO25" t="n">
        <v>0</v>
      </c>
      <c r="DP25" t="n">
        <v>23.446</v>
      </c>
      <c r="DQ25" t="n">
        <v>0</v>
      </c>
      <c r="DR25" t="n">
        <v>23.446</v>
      </c>
      <c r="DS25" t="n">
        <v>0</v>
      </c>
      <c r="DT25" t="n">
        <v>23.446</v>
      </c>
      <c r="DU25" t="n">
        <v>0</v>
      </c>
      <c r="DV25" t="n">
        <v>23.446</v>
      </c>
      <c r="DW25" t="n">
        <v>0</v>
      </c>
      <c r="DX25" t="n">
        <v>23.446</v>
      </c>
      <c r="DY25" t="n">
        <v>0</v>
      </c>
      <c r="DZ25" t="n">
        <v>23.446</v>
      </c>
      <c r="EA25" t="n">
        <v>0</v>
      </c>
      <c r="EB25" t="n">
        <v>23.446</v>
      </c>
      <c r="EC25" t="n">
        <v>0</v>
      </c>
      <c r="ED25" t="n">
        <v>23.446</v>
      </c>
      <c r="EE25" t="n">
        <v>0</v>
      </c>
      <c r="EF25" t="n">
        <v>23.446</v>
      </c>
      <c r="EH25" t="inlineStr">
        <is>
          <t>NP-18</t>
        </is>
      </c>
      <c r="EI25" t="inlineStr">
        <is>
          <t>N+3.00</t>
        </is>
      </c>
      <c r="EJ25" t="n">
        <v>3.029</v>
      </c>
      <c r="EK25" t="n">
        <v>15.846</v>
      </c>
      <c r="EL25" t="n">
        <v>3.029</v>
      </c>
      <c r="EM25" t="n">
        <v>17.446</v>
      </c>
      <c r="EO25">
        <f>IF(INDEX($CV$8:$CV$39,MATCH(CROQUIS!$C$7,$CU$8:$CU$39,0))="N+3.00",INDEX($EE$8:$EE$39,MATCH(CROQUIS!$C$7,$CU$8:$CU$39,0)),-100)</f>
        <v>0</v>
      </c>
      <c r="EP25">
        <f>IF(INDEX($CV$8:$CV$39,MATCH(CROQUIS!$C$7,$CU$8:$CU$39,0))="N+3.00",INDEX($EF$8:$EF$39,MATCH(CROQUIS!$C$7,$CU$8:$CU$39,0)),-100)</f>
        <v>17.446</v>
      </c>
      <c r="ES25">
        <f>IF(INDEX($CV$8:$CV$39,MATCH(CROQUIS!$C$7,$CU$8:$CU$39,0))="N+6.00",INDEX($EE$8:$EE$39,MATCH(CROQUIS!$C$7,$CU$8:$CU$39,0)),-100)</f>
        <v>-100</v>
      </c>
      <c r="ET25">
        <f>IF(INDEX($CV$8:$CV$39,MATCH(CROQUIS!$C$7,$CU$8:$CU$39,0))="N+6.00",INDEX($EF$8:$EF$39,MATCH(CROQUIS!$C$7,$CU$8:$CU$39,0)),-100)</f>
        <v>-100</v>
      </c>
      <c r="EX25" t="inlineStr">
        <is>
          <t>F80019</t>
        </is>
      </c>
      <c r="EY25" t="n">
        <v>3.625</v>
      </c>
      <c r="EZ25" t="n">
        <v>22.446</v>
      </c>
      <c r="FA25" t="inlineStr">
        <is>
          <t>N+3.00</t>
        </is>
      </c>
    </row>
    <row r="26">
      <c r="A26" t="n">
        <v>19</v>
      </c>
      <c r="B26">
        <f>CHOOSE(MIN(MAX($A26,1),5),CROQUIS!$C$15,CROQUIS!$C$15+CROQUIS!$C$10*CROQUIS!$C$14,CROQUIS!$C$15+CROQUIS!$C$10*CROQUIS!$C$14,CROQUIS!$C$15,CROQUIS!$C$15)</f>
        <v>12</v>
      </c>
      <c r="C26">
        <f>CHOOSE(MIN(MAX($A26,1),5),CROQUIS!$C$16,CROQUIS!$C$16,CROQUIS!$C$16+CROQUIS!$C$11*CROQUIS!$C$14,CROQUIS!$C$16+CROQUIS!$C$11*CROQUIS!$C$14,CROQUIS!$C$16)</f>
        <v>15.9462268413918</v>
      </c>
      <c r="D26">
        <f>CHOOSE(MIN(MAX($A26,1),5),CROQUIS!$C$15+DATOS!$C$17/2*CROQUIS!$C$14,CROQUIS!$C$15+CROQUIS!$C$10*CROQUIS!$C$14-DATOS!$C$17/2*CROQUIS!$C$14,CROQUIS!$C$15+CROQUIS!$C$10*CROQUIS!$C$14-DATOS!$C$17/2*CROQUIS!$C$14,CROQUIS!$C$15+DATOS!$C$17/2*CROQUIS!$C$14,CROQUIS!$C$15+DATOS!$C$17/2*CROQUIS!$C$14)</f>
        <v>13.3895164934478</v>
      </c>
      <c r="E26">
        <f>CHOOSE(MIN(MAX($A26,1),5),CROQUIS!$C$16+DATOS!$C$17/2*CROQUIS!$C$14,CROQUIS!$C$16+DATOS!$C$17/2*CROQUIS!$C$14,CROQUIS!$C$16+CROQUIS!$C$11*CROQUIS!$C$14-DATOS!$C$17/2*CROQUIS!$C$14,CROQUIS!$C$16+CROQUIS!$C$11*CROQUIS!$C$14-DATOS!$C$17/2*CROQUIS!$C$14,CROQUIS!$C$16+DATOS!$C$17/2*CROQUIS!$C$14)</f>
        <v>17.3357433348396</v>
      </c>
      <c r="F26">
        <f>IF(NERVADURA!$C$118=0,CROQUIS!$C$15+CROQUIS!$C$10*CROQUIS!$C$14/2,CROQUIS!$C$15+(DATOS!$C$17/2+NERVADURA!$C$119+INT(MIN(INT(($A26-1)/2),MAX(2*NERVADURA!$C$118-1,0))/2)*DATOS!$C$16+MOD(MIN(INT(($A26-1)/2),MAX(2*NERVADURA!$C$118-1,0)),2)*DATOS!$C$11)*CROQUIS!$C$14)</f>
        <v>78.0112968820606</v>
      </c>
      <c r="G26">
        <f>IF(NERVADURA!$C$118=0,CROQUIS!$C$16+CROQUIS!$C$11*CROQUIS!$C$14/2,CROQUIS!$C$16+IF(MOD(MIN(INT(($A26-1)/2),MAX(2*NERVADURA!$C$118-1,0)),2)=0,IF(IF(INT(($A26-1)/2)&gt;MAX(2*NERVADURA!$C$118-1,0),1,MOD($A26-1,2))=0,(DATOS!$C$17/2+NERVADURA!$C$121),(CROQUIS!$C$11-DATOS!$C$17/2-NERVADURA!$C$121)),IF(IF(INT(($A26-1)/2)&gt;MAX(2*NERVADURA!$C$118-1,0),1,MOD($A26-1,2))=0,(CROQUIS!$C$11-DATOS!$C$17/2-NERVADURA!$C$121),(DATOS!$C$17/2+NERVADURA!$C$121)))*CROQUIS!$C$14)</f>
        <v>84.495707184817</v>
      </c>
      <c r="H26">
        <f>IF(NERVADURA!$C$120=0,CROQUIS!$C$15+CROQUIS!$C$10*CROQUIS!$C$14/2,CROQUIS!$C$15+IF(MOD(MIN(INT(($A26-1)/2),MAX(2*NERVADURA!$C$120-1,0)),2)=0,IF(IF(INT(($A26-1)/2)&gt;MAX(2*NERVADURA!$C$120-1,0),1,MOD($A26-1,2))=0,(DATOS!$C$17/2+NERVADURA!$C$119),(CROQUIS!$C$10-DATOS!$C$17/2-NERVADURA!$C$119)),IF(IF(INT(($A26-1)/2)&gt;MAX(2*NERVADURA!$C$120-1,0),1,MOD($A26-1,2))=0,(CROQUIS!$C$10-DATOS!$C$17/2-NERVADURA!$C$119),(DATOS!$C$17/2+NERVADURA!$C$119)))*CROQUIS!$C$14)</f>
        <v>90.9801174875734</v>
      </c>
      <c r="I26">
        <f>IF(NERVADURA!$C$120=0,CROQUIS!$C$16+CROQUIS!$C$11*CROQUIS!$C$14/2,CROQUIS!$C$16+(DATOS!$C$17/2+NERVADURA!$C$121+INT(MIN(INT(($A26-1)/2),MAX(2*NERVADURA!$C$120-1,0))/2)*DATOS!$C$16+MOD(MIN(INT(($A26-1)/2),MAX(2*NERVADURA!$C$120-1,0)),2)*DATOS!$C$11)*CROQUIS!$C$14)</f>
        <v>84.495707184817</v>
      </c>
      <c r="CA26" t="n">
        <v>5.923</v>
      </c>
      <c r="CB26" t="n">
        <v>5.946</v>
      </c>
      <c r="CC26" t="n">
        <v>4.925</v>
      </c>
      <c r="CD26" t="n">
        <v>17.446</v>
      </c>
      <c r="CE26" t="n">
        <v>5.441</v>
      </c>
      <c r="CF26" t="n">
        <v>8.91</v>
      </c>
      <c r="CG26" t="n">
        <v>7.35</v>
      </c>
      <c r="CH26" t="n">
        <v>8.91</v>
      </c>
      <c r="CI26" t="n">
        <v>0</v>
      </c>
      <c r="CJ26" t="n">
        <v>24.371</v>
      </c>
      <c r="CK26" t="n">
        <v>0</v>
      </c>
      <c r="CL26" t="n">
        <v>2.921</v>
      </c>
      <c r="CM26" t="n">
        <v>0</v>
      </c>
      <c r="CN26" t="n">
        <v>14.021</v>
      </c>
      <c r="CQ26" t="n">
        <v>5.998</v>
      </c>
      <c r="CR26" t="n">
        <v>7.023</v>
      </c>
      <c r="CS26" t="n">
        <v>2.927</v>
      </c>
      <c r="CT26" t="n">
        <v>21.446</v>
      </c>
      <c r="CU26" t="inlineStr">
        <is>
          <t>F80020 N+3.00</t>
        </is>
      </c>
      <c r="CV26" t="inlineStr">
        <is>
          <t>N+3.00</t>
        </is>
      </c>
      <c r="CW26" t="n">
        <v>7.25</v>
      </c>
      <c r="CX26" t="n">
        <v>24.371</v>
      </c>
      <c r="CY26" t="n">
        <v>7.25</v>
      </c>
      <c r="CZ26" t="n">
        <v>21.446</v>
      </c>
      <c r="DA26" t="n">
        <v>8.85</v>
      </c>
      <c r="DB26" t="n">
        <v>21.446</v>
      </c>
      <c r="DC26" t="n">
        <v>8.85</v>
      </c>
      <c r="DD26" t="n">
        <v>24.371</v>
      </c>
      <c r="DE26" t="n">
        <v>7.25</v>
      </c>
      <c r="DF26" t="n">
        <v>24.371</v>
      </c>
      <c r="DG26" t="n">
        <v>7.25</v>
      </c>
      <c r="DH26" t="n">
        <v>24.371</v>
      </c>
      <c r="DI26" t="n">
        <v>7.25</v>
      </c>
      <c r="DJ26" t="n">
        <v>24.371</v>
      </c>
      <c r="DK26" t="n">
        <v>7.25</v>
      </c>
      <c r="DL26" t="n">
        <v>24.371</v>
      </c>
      <c r="DM26" t="n">
        <v>7.25</v>
      </c>
      <c r="DN26" t="n">
        <v>24.371</v>
      </c>
      <c r="DO26" t="n">
        <v>7.25</v>
      </c>
      <c r="DP26" t="n">
        <v>24.371</v>
      </c>
      <c r="DQ26" t="n">
        <v>7.25</v>
      </c>
      <c r="DR26" t="n">
        <v>24.371</v>
      </c>
      <c r="DS26" t="n">
        <v>7.25</v>
      </c>
      <c r="DT26" t="n">
        <v>24.371</v>
      </c>
      <c r="DU26" t="n">
        <v>7.25</v>
      </c>
      <c r="DV26" t="n">
        <v>24.371</v>
      </c>
      <c r="DW26" t="n">
        <v>7.25</v>
      </c>
      <c r="DX26" t="n">
        <v>24.371</v>
      </c>
      <c r="DY26" t="n">
        <v>7.25</v>
      </c>
      <c r="DZ26" t="n">
        <v>24.371</v>
      </c>
      <c r="EA26" t="n">
        <v>7.25</v>
      </c>
      <c r="EB26" t="n">
        <v>24.371</v>
      </c>
      <c r="EC26" t="n">
        <v>7.25</v>
      </c>
      <c r="ED26" t="n">
        <v>24.371</v>
      </c>
      <c r="EE26" t="n">
        <v>7.25</v>
      </c>
      <c r="EF26" t="n">
        <v>24.371</v>
      </c>
      <c r="EH26" t="inlineStr">
        <is>
          <t>NP-19</t>
        </is>
      </c>
      <c r="EI26" t="inlineStr">
        <is>
          <t>N+3.00</t>
        </is>
      </c>
      <c r="EJ26" t="n">
        <v>3.427</v>
      </c>
      <c r="EK26" t="n">
        <v>14.021</v>
      </c>
      <c r="EL26" t="n">
        <v>3.427</v>
      </c>
      <c r="EM26" t="n">
        <v>15.846</v>
      </c>
      <c r="EX26" t="inlineStr">
        <is>
          <t>F80020</t>
        </is>
      </c>
      <c r="EY26" t="n">
        <v>8.050000000000001</v>
      </c>
      <c r="EZ26" t="n">
        <v>22.909</v>
      </c>
      <c r="FA26" t="inlineStr">
        <is>
          <t>N+3.00</t>
        </is>
      </c>
    </row>
    <row r="27">
      <c r="A27" t="n">
        <v>20</v>
      </c>
      <c r="B27">
        <f>CHOOSE(MIN(MAX($A27,1),5),CROQUIS!$C$15,CROQUIS!$C$15+CROQUIS!$C$10*CROQUIS!$C$14,CROQUIS!$C$15+CROQUIS!$C$10*CROQUIS!$C$14,CROQUIS!$C$15,CROQUIS!$C$15)</f>
        <v>12</v>
      </c>
      <c r="C27">
        <f>CHOOSE(MIN(MAX($A27,1),5),CROQUIS!$C$16,CROQUIS!$C$16,CROQUIS!$C$16+CROQUIS!$C$11*CROQUIS!$C$14,CROQUIS!$C$16+CROQUIS!$C$11*CROQUIS!$C$14,CROQUIS!$C$16)</f>
        <v>15.9462268413918</v>
      </c>
      <c r="D27">
        <f>CHOOSE(MIN(MAX($A27,1),5),CROQUIS!$C$15+DATOS!$C$17/2*CROQUIS!$C$14,CROQUIS!$C$15+CROQUIS!$C$10*CROQUIS!$C$14-DATOS!$C$17/2*CROQUIS!$C$14,CROQUIS!$C$15+CROQUIS!$C$10*CROQUIS!$C$14-DATOS!$C$17/2*CROQUIS!$C$14,CROQUIS!$C$15+DATOS!$C$17/2*CROQUIS!$C$14,CROQUIS!$C$15+DATOS!$C$17/2*CROQUIS!$C$14)</f>
        <v>13.3895164934478</v>
      </c>
      <c r="E27">
        <f>CHOOSE(MIN(MAX($A27,1),5),CROQUIS!$C$16+DATOS!$C$17/2*CROQUIS!$C$14,CROQUIS!$C$16+DATOS!$C$17/2*CROQUIS!$C$14,CROQUIS!$C$16+CROQUIS!$C$11*CROQUIS!$C$14-DATOS!$C$17/2*CROQUIS!$C$14,CROQUIS!$C$16+CROQUIS!$C$11*CROQUIS!$C$14-DATOS!$C$17/2*CROQUIS!$C$14,CROQUIS!$C$16+DATOS!$C$17/2*CROQUIS!$C$14)</f>
        <v>17.3357433348396</v>
      </c>
      <c r="F27">
        <f>IF(NERVADURA!$C$118=0,CROQUIS!$C$15+CROQUIS!$C$10*CROQUIS!$C$14/2,CROQUIS!$C$15+(DATOS!$C$17/2+NERVADURA!$C$119+INT(MIN(INT(($A27-1)/2),MAX(2*NERVADURA!$C$118-1,0))/2)*DATOS!$C$16+MOD(MIN(INT(($A27-1)/2),MAX(2*NERVADURA!$C$118-1,0)),2)*DATOS!$C$11)*CROQUIS!$C$14)</f>
        <v>78.0112968820606</v>
      </c>
      <c r="G27">
        <f>IF(NERVADURA!$C$118=0,CROQUIS!$C$16+CROQUIS!$C$11*CROQUIS!$C$14/2,CROQUIS!$C$16+IF(MOD(MIN(INT(($A27-1)/2),MAX(2*NERVADURA!$C$118-1,0)),2)=0,IF(IF(INT(($A27-1)/2)&gt;MAX(2*NERVADURA!$C$118-1,0),1,MOD($A27-1,2))=0,(DATOS!$C$17/2+NERVADURA!$C$121),(CROQUIS!$C$11-DATOS!$C$17/2-NERVADURA!$C$121)),IF(IF(INT(($A27-1)/2)&gt;MAX(2*NERVADURA!$C$118-1,0),1,MOD($A27-1,2))=0,(CROQUIS!$C$11-DATOS!$C$17/2-NERVADURA!$C$121),(DATOS!$C$17/2+NERVADURA!$C$121)))*CROQUIS!$C$14)</f>
        <v>21.504292815183</v>
      </c>
      <c r="H27">
        <f>IF(NERVADURA!$C$120=0,CROQUIS!$C$15+CROQUIS!$C$10*CROQUIS!$C$14/2,CROQUIS!$C$15+IF(MOD(MIN(INT(($A27-1)/2),MAX(2*NERVADURA!$C$120-1,0)),2)=0,IF(IF(INT(($A27-1)/2)&gt;MAX(2*NERVADURA!$C$120-1,0),1,MOD($A27-1,2))=0,(DATOS!$C$17/2+NERVADURA!$C$119),(CROQUIS!$C$10-DATOS!$C$17/2-NERVADURA!$C$119)),IF(IF(INT(($A27-1)/2)&gt;MAX(2*NERVADURA!$C$120-1,0),1,MOD($A27-1,2))=0,(CROQUIS!$C$10-DATOS!$C$17/2-NERVADURA!$C$119),(DATOS!$C$17/2+NERVADURA!$C$119)))*CROQUIS!$C$14)</f>
        <v>15.0198825124266</v>
      </c>
      <c r="I27">
        <f>IF(NERVADURA!$C$120=0,CROQUIS!$C$16+CROQUIS!$C$11*CROQUIS!$C$14/2,CROQUIS!$C$16+(DATOS!$C$17/2+NERVADURA!$C$121+INT(MIN(INT(($A27-1)/2),MAX(2*NERVADURA!$C$120-1,0))/2)*DATOS!$C$16+MOD(MIN(INT(($A27-1)/2),MAX(2*NERVADURA!$C$120-1,0)),2)*DATOS!$C$11)*CROQUIS!$C$14)</f>
        <v>84.495707184817</v>
      </c>
      <c r="CC27" t="n">
        <v>8.85</v>
      </c>
      <c r="CD27" t="n">
        <v>17.446</v>
      </c>
      <c r="CE27" t="n">
        <v>7.35</v>
      </c>
      <c r="CF27" t="n">
        <v>8.91</v>
      </c>
      <c r="CG27" t="n">
        <v>7.35</v>
      </c>
      <c r="CH27" t="n">
        <v>9.949999999999999</v>
      </c>
      <c r="CI27" t="n">
        <v>0.35</v>
      </c>
      <c r="CJ27" t="n">
        <v>21.446</v>
      </c>
      <c r="CK27" t="n">
        <v>4.327</v>
      </c>
      <c r="CL27" t="n">
        <v>2.921</v>
      </c>
      <c r="CM27" t="n">
        <v>4.247</v>
      </c>
      <c r="CN27" t="n">
        <v>14.021</v>
      </c>
      <c r="CQ27" t="n">
        <v>8.775</v>
      </c>
      <c r="CR27" t="n">
        <v>9.875</v>
      </c>
      <c r="CS27" t="n">
        <v>3.029</v>
      </c>
      <c r="CT27" t="n">
        <v>15.846</v>
      </c>
      <c r="CU27" t="inlineStr">
        <is>
          <t>F80021 N+3.00</t>
        </is>
      </c>
      <c r="CV27" t="inlineStr">
        <is>
          <t>N+3.00</t>
        </is>
      </c>
      <c r="CW27" t="n">
        <v>0</v>
      </c>
      <c r="CX27" t="n">
        <v>21.446</v>
      </c>
      <c r="CY27" t="n">
        <v>0</v>
      </c>
      <c r="CZ27" t="n">
        <v>24.371</v>
      </c>
      <c r="DA27" t="n">
        <v>-1.6</v>
      </c>
      <c r="DB27" t="n">
        <v>24.371</v>
      </c>
      <c r="DC27" t="n">
        <v>-1.6</v>
      </c>
      <c r="DD27" t="n">
        <v>21.446</v>
      </c>
      <c r="DE27" t="n">
        <v>0</v>
      </c>
      <c r="DF27" t="n">
        <v>21.446</v>
      </c>
      <c r="DG27" t="n">
        <v>0</v>
      </c>
      <c r="DH27" t="n">
        <v>21.446</v>
      </c>
      <c r="DI27" t="n">
        <v>0</v>
      </c>
      <c r="DJ27" t="n">
        <v>21.446</v>
      </c>
      <c r="DK27" t="n">
        <v>0</v>
      </c>
      <c r="DL27" t="n">
        <v>21.446</v>
      </c>
      <c r="DM27" t="n">
        <v>0</v>
      </c>
      <c r="DN27" t="n">
        <v>21.446</v>
      </c>
      <c r="DO27" t="n">
        <v>0</v>
      </c>
      <c r="DP27" t="n">
        <v>21.446</v>
      </c>
      <c r="DQ27" t="n">
        <v>0</v>
      </c>
      <c r="DR27" t="n">
        <v>21.446</v>
      </c>
      <c r="DS27" t="n">
        <v>0</v>
      </c>
      <c r="DT27" t="n">
        <v>21.446</v>
      </c>
      <c r="DU27" t="n">
        <v>0</v>
      </c>
      <c r="DV27" t="n">
        <v>21.446</v>
      </c>
      <c r="DW27" t="n">
        <v>0</v>
      </c>
      <c r="DX27" t="n">
        <v>21.446</v>
      </c>
      <c r="DY27" t="n">
        <v>0</v>
      </c>
      <c r="DZ27" t="n">
        <v>21.446</v>
      </c>
      <c r="EA27" t="n">
        <v>0</v>
      </c>
      <c r="EB27" t="n">
        <v>21.446</v>
      </c>
      <c r="EC27" t="n">
        <v>0</v>
      </c>
      <c r="ED27" t="n">
        <v>21.446</v>
      </c>
      <c r="EE27" t="n">
        <v>0</v>
      </c>
      <c r="EF27" t="n">
        <v>21.446</v>
      </c>
      <c r="EH27" t="inlineStr">
        <is>
          <t>NP-20</t>
        </is>
      </c>
      <c r="EI27" t="inlineStr">
        <is>
          <t>N+3.00</t>
        </is>
      </c>
      <c r="EJ27" t="n">
        <v>4.327</v>
      </c>
      <c r="EK27" t="n">
        <v>1.919</v>
      </c>
      <c r="EL27" t="n">
        <v>4.327</v>
      </c>
      <c r="EM27" t="n">
        <v>2.921</v>
      </c>
      <c r="EX27" t="inlineStr">
        <is>
          <t>F80021</t>
        </is>
      </c>
      <c r="EY27" t="n">
        <v>-0.8</v>
      </c>
      <c r="EZ27" t="n">
        <v>22.909</v>
      </c>
      <c r="FA27" t="inlineStr">
        <is>
          <t>N+3.00</t>
        </is>
      </c>
    </row>
    <row r="28">
      <c r="A28" t="n">
        <v>21</v>
      </c>
      <c r="B28">
        <f>CHOOSE(MIN(MAX($A28,1),5),CROQUIS!$C$15,CROQUIS!$C$15+CROQUIS!$C$10*CROQUIS!$C$14,CROQUIS!$C$15+CROQUIS!$C$10*CROQUIS!$C$14,CROQUIS!$C$15,CROQUIS!$C$15)</f>
        <v>12</v>
      </c>
      <c r="C28">
        <f>CHOOSE(MIN(MAX($A28,1),5),CROQUIS!$C$16,CROQUIS!$C$16,CROQUIS!$C$16+CROQUIS!$C$11*CROQUIS!$C$14,CROQUIS!$C$16+CROQUIS!$C$11*CROQUIS!$C$14,CROQUIS!$C$16)</f>
        <v>15.9462268413918</v>
      </c>
      <c r="D28">
        <f>CHOOSE(MIN(MAX($A28,1),5),CROQUIS!$C$15+DATOS!$C$17/2*CROQUIS!$C$14,CROQUIS!$C$15+CROQUIS!$C$10*CROQUIS!$C$14-DATOS!$C$17/2*CROQUIS!$C$14,CROQUIS!$C$15+CROQUIS!$C$10*CROQUIS!$C$14-DATOS!$C$17/2*CROQUIS!$C$14,CROQUIS!$C$15+DATOS!$C$17/2*CROQUIS!$C$14,CROQUIS!$C$15+DATOS!$C$17/2*CROQUIS!$C$14)</f>
        <v>13.3895164934478</v>
      </c>
      <c r="E28">
        <f>CHOOSE(MIN(MAX($A28,1),5),CROQUIS!$C$16+DATOS!$C$17/2*CROQUIS!$C$14,CROQUIS!$C$16+DATOS!$C$17/2*CROQUIS!$C$14,CROQUIS!$C$16+CROQUIS!$C$11*CROQUIS!$C$14-DATOS!$C$17/2*CROQUIS!$C$14,CROQUIS!$C$16+CROQUIS!$C$11*CROQUIS!$C$14-DATOS!$C$17/2*CROQUIS!$C$14,CROQUIS!$C$16+DATOS!$C$17/2*CROQUIS!$C$14)</f>
        <v>17.3357433348396</v>
      </c>
      <c r="F28">
        <f>IF(NERVADURA!$C$118=0,CROQUIS!$C$15+CROQUIS!$C$10*CROQUIS!$C$14/2,CROQUIS!$C$15+(DATOS!$C$17/2+NERVADURA!$C$119+INT(MIN(INT(($A28-1)/2),MAX(2*NERVADURA!$C$118-1,0))/2)*DATOS!$C$16+MOD(MIN(INT(($A28-1)/2),MAX(2*NERVADURA!$C$118-1,0)),2)*DATOS!$C$11)*CROQUIS!$C$14)</f>
        <v>79.863985539991</v>
      </c>
      <c r="G28">
        <f>IF(NERVADURA!$C$118=0,CROQUIS!$C$16+CROQUIS!$C$11*CROQUIS!$C$14/2,CROQUIS!$C$16+IF(MOD(MIN(INT(($A28-1)/2),MAX(2*NERVADURA!$C$118-1,0)),2)=0,IF(IF(INT(($A28-1)/2)&gt;MAX(2*NERVADURA!$C$118-1,0),1,MOD($A28-1,2))=0,(DATOS!$C$17/2+NERVADURA!$C$121),(CROQUIS!$C$11-DATOS!$C$17/2-NERVADURA!$C$121)),IF(IF(INT(($A28-1)/2)&gt;MAX(2*NERVADURA!$C$118-1,0),1,MOD($A28-1,2))=0,(CROQUIS!$C$11-DATOS!$C$17/2-NERVADURA!$C$121),(DATOS!$C$17/2+NERVADURA!$C$121)))*CROQUIS!$C$14)</f>
        <v>21.504292815183</v>
      </c>
      <c r="H28">
        <f>IF(NERVADURA!$C$120=0,CROQUIS!$C$15+CROQUIS!$C$10*CROQUIS!$C$14/2,CROQUIS!$C$15+IF(MOD(MIN(INT(($A28-1)/2),MAX(2*NERVADURA!$C$120-1,0)),2)=0,IF(IF(INT(($A28-1)/2)&gt;MAX(2*NERVADURA!$C$120-1,0),1,MOD($A28-1,2))=0,(DATOS!$C$17/2+NERVADURA!$C$119),(CROQUIS!$C$10-DATOS!$C$17/2-NERVADURA!$C$119)),IF(IF(INT(($A28-1)/2)&gt;MAX(2*NERVADURA!$C$120-1,0),1,MOD($A28-1,2))=0,(CROQUIS!$C$10-DATOS!$C$17/2-NERVADURA!$C$119),(DATOS!$C$17/2+NERVADURA!$C$119)))*CROQUIS!$C$14)</f>
        <v>15.0198825124266</v>
      </c>
      <c r="I28">
        <f>IF(NERVADURA!$C$120=0,CROQUIS!$C$16+CROQUIS!$C$11*CROQUIS!$C$14/2,CROQUIS!$C$16+(DATOS!$C$17/2+NERVADURA!$C$121+INT(MIN(INT(($A28-1)/2),MAX(2*NERVADURA!$C$120-1,0))/2)*DATOS!$C$16+MOD(MIN(INT(($A28-1)/2),MAX(2*NERVADURA!$C$120-1,0)),2)*DATOS!$C$11)*CROQUIS!$C$14)</f>
        <v>84.495707184817</v>
      </c>
      <c r="CA28" t="n">
        <v>0</v>
      </c>
      <c r="CB28" t="n">
        <v>5.346</v>
      </c>
      <c r="CG28" t="n">
        <v>8.85</v>
      </c>
      <c r="CH28" t="n">
        <v>9.949999999999999</v>
      </c>
      <c r="CI28" t="n">
        <v>1.075</v>
      </c>
      <c r="CJ28" t="n">
        <v>5.346</v>
      </c>
      <c r="CK28" t="n">
        <v>4.327</v>
      </c>
      <c r="CL28" t="n">
        <v>7.871</v>
      </c>
      <c r="CS28" t="n">
        <v>3.029</v>
      </c>
      <c r="CT28" t="n">
        <v>17.446</v>
      </c>
      <c r="CU28" t="inlineStr">
        <is>
          <t>F2 N+6.00</t>
        </is>
      </c>
      <c r="CV28" t="inlineStr">
        <is>
          <t>N+6.00</t>
        </is>
      </c>
      <c r="CW28" t="n">
        <v>4.327</v>
      </c>
      <c r="CX28" t="n">
        <v>1.919</v>
      </c>
      <c r="CY28" t="n">
        <v>4.327</v>
      </c>
      <c r="CZ28" t="n">
        <v>2.921</v>
      </c>
      <c r="DA28" t="n">
        <v>0</v>
      </c>
      <c r="DB28" t="n">
        <v>2.921</v>
      </c>
      <c r="DC28" t="n">
        <v>0</v>
      </c>
      <c r="DD28" t="n">
        <v>1.919</v>
      </c>
      <c r="DE28" t="n">
        <v>4.327</v>
      </c>
      <c r="DF28" t="n">
        <v>1.919</v>
      </c>
      <c r="DG28" t="n">
        <v>4.327</v>
      </c>
      <c r="DH28" t="n">
        <v>1.919</v>
      </c>
      <c r="DI28" t="n">
        <v>4.327</v>
      </c>
      <c r="DJ28" t="n">
        <v>1.919</v>
      </c>
      <c r="DK28" t="n">
        <v>4.327</v>
      </c>
      <c r="DL28" t="n">
        <v>1.919</v>
      </c>
      <c r="DM28" t="n">
        <v>4.327</v>
      </c>
      <c r="DN28" t="n">
        <v>1.919</v>
      </c>
      <c r="DO28" t="n">
        <v>4.327</v>
      </c>
      <c r="DP28" t="n">
        <v>1.919</v>
      </c>
      <c r="DQ28" t="n">
        <v>4.327</v>
      </c>
      <c r="DR28" t="n">
        <v>1.919</v>
      </c>
      <c r="DS28" t="n">
        <v>4.327</v>
      </c>
      <c r="DT28" t="n">
        <v>1.919</v>
      </c>
      <c r="DU28" t="n">
        <v>4.327</v>
      </c>
      <c r="DV28" t="n">
        <v>1.919</v>
      </c>
      <c r="DW28" t="n">
        <v>4.327</v>
      </c>
      <c r="DX28" t="n">
        <v>1.919</v>
      </c>
      <c r="DY28" t="n">
        <v>4.327</v>
      </c>
      <c r="DZ28" t="n">
        <v>1.919</v>
      </c>
      <c r="EA28" t="n">
        <v>4.327</v>
      </c>
      <c r="EB28" t="n">
        <v>1.919</v>
      </c>
      <c r="EC28" t="n">
        <v>4.327</v>
      </c>
      <c r="ED28" t="n">
        <v>1.919</v>
      </c>
      <c r="EE28" t="n">
        <v>4.327</v>
      </c>
      <c r="EF28" t="n">
        <v>1.919</v>
      </c>
      <c r="EH28" t="inlineStr">
        <is>
          <t>NP-21</t>
        </is>
      </c>
      <c r="EI28" t="inlineStr">
        <is>
          <t>N+3.00</t>
        </is>
      </c>
      <c r="EJ28" t="n">
        <v>4.327</v>
      </c>
      <c r="EK28" t="n">
        <v>2.921</v>
      </c>
      <c r="EL28" t="n">
        <v>4.327</v>
      </c>
      <c r="EM28" t="n">
        <v>5.946</v>
      </c>
      <c r="EX28" t="inlineStr">
        <is>
          <t>F2</t>
        </is>
      </c>
      <c r="EY28" t="n">
        <v>2.163</v>
      </c>
      <c r="EZ28" t="n">
        <v>2.42</v>
      </c>
      <c r="FA28" t="inlineStr">
        <is>
          <t>N+6.00</t>
        </is>
      </c>
    </row>
    <row r="29">
      <c r="A29" t="n">
        <v>22</v>
      </c>
      <c r="B29">
        <f>CHOOSE(MIN(MAX($A29,1),5),CROQUIS!$C$15,CROQUIS!$C$15+CROQUIS!$C$10*CROQUIS!$C$14,CROQUIS!$C$15+CROQUIS!$C$10*CROQUIS!$C$14,CROQUIS!$C$15,CROQUIS!$C$15)</f>
        <v>12</v>
      </c>
      <c r="C29">
        <f>CHOOSE(MIN(MAX($A29,1),5),CROQUIS!$C$16,CROQUIS!$C$16,CROQUIS!$C$16+CROQUIS!$C$11*CROQUIS!$C$14,CROQUIS!$C$16+CROQUIS!$C$11*CROQUIS!$C$14,CROQUIS!$C$16)</f>
        <v>15.9462268413918</v>
      </c>
      <c r="D29">
        <f>CHOOSE(MIN(MAX($A29,1),5),CROQUIS!$C$15+DATOS!$C$17/2*CROQUIS!$C$14,CROQUIS!$C$15+CROQUIS!$C$10*CROQUIS!$C$14-DATOS!$C$17/2*CROQUIS!$C$14,CROQUIS!$C$15+CROQUIS!$C$10*CROQUIS!$C$14-DATOS!$C$17/2*CROQUIS!$C$14,CROQUIS!$C$15+DATOS!$C$17/2*CROQUIS!$C$14,CROQUIS!$C$15+DATOS!$C$17/2*CROQUIS!$C$14)</f>
        <v>13.3895164934478</v>
      </c>
      <c r="E29">
        <f>CHOOSE(MIN(MAX($A29,1),5),CROQUIS!$C$16+DATOS!$C$17/2*CROQUIS!$C$14,CROQUIS!$C$16+DATOS!$C$17/2*CROQUIS!$C$14,CROQUIS!$C$16+CROQUIS!$C$11*CROQUIS!$C$14-DATOS!$C$17/2*CROQUIS!$C$14,CROQUIS!$C$16+CROQUIS!$C$11*CROQUIS!$C$14-DATOS!$C$17/2*CROQUIS!$C$14,CROQUIS!$C$16+DATOS!$C$17/2*CROQUIS!$C$14)</f>
        <v>17.3357433348396</v>
      </c>
      <c r="F29">
        <f>IF(NERVADURA!$C$118=0,CROQUIS!$C$15+CROQUIS!$C$10*CROQUIS!$C$14/2,CROQUIS!$C$15+(DATOS!$C$17/2+NERVADURA!$C$119+INT(MIN(INT(($A29-1)/2),MAX(2*NERVADURA!$C$118-1,0))/2)*DATOS!$C$16+MOD(MIN(INT(($A29-1)/2),MAX(2*NERVADURA!$C$118-1,0)),2)*DATOS!$C$11)*CROQUIS!$C$14)</f>
        <v>79.863985539991</v>
      </c>
      <c r="G29">
        <f>IF(NERVADURA!$C$118=0,CROQUIS!$C$16+CROQUIS!$C$11*CROQUIS!$C$14/2,CROQUIS!$C$16+IF(MOD(MIN(INT(($A29-1)/2),MAX(2*NERVADURA!$C$118-1,0)),2)=0,IF(IF(INT(($A29-1)/2)&gt;MAX(2*NERVADURA!$C$118-1,0),1,MOD($A29-1,2))=0,(DATOS!$C$17/2+NERVADURA!$C$121),(CROQUIS!$C$11-DATOS!$C$17/2-NERVADURA!$C$121)),IF(IF(INT(($A29-1)/2)&gt;MAX(2*NERVADURA!$C$118-1,0),1,MOD($A29-1,2))=0,(CROQUIS!$C$11-DATOS!$C$17/2-NERVADURA!$C$121),(DATOS!$C$17/2+NERVADURA!$C$121)))*CROQUIS!$C$14)</f>
        <v>84.495707184817</v>
      </c>
      <c r="H29">
        <f>IF(NERVADURA!$C$120=0,CROQUIS!$C$15+CROQUIS!$C$10*CROQUIS!$C$14/2,CROQUIS!$C$15+IF(MOD(MIN(INT(($A29-1)/2),MAX(2*NERVADURA!$C$120-1,0)),2)=0,IF(IF(INT(($A29-1)/2)&gt;MAX(2*NERVADURA!$C$120-1,0),1,MOD($A29-1,2))=0,(DATOS!$C$17/2+NERVADURA!$C$119),(CROQUIS!$C$10-DATOS!$C$17/2-NERVADURA!$C$119)),IF(IF(INT(($A29-1)/2)&gt;MAX(2*NERVADURA!$C$120-1,0),1,MOD($A29-1,2))=0,(CROQUIS!$C$10-DATOS!$C$17/2-NERVADURA!$C$119),(DATOS!$C$17/2+NERVADURA!$C$119)))*CROQUIS!$C$14)</f>
        <v>15.0198825124266</v>
      </c>
      <c r="I29">
        <f>IF(NERVADURA!$C$120=0,CROQUIS!$C$16+CROQUIS!$C$11*CROQUIS!$C$14/2,CROQUIS!$C$16+(DATOS!$C$17/2+NERVADURA!$C$121+INT(MIN(INT(($A29-1)/2),MAX(2*NERVADURA!$C$120-1,0))/2)*DATOS!$C$16+MOD(MIN(INT(($A29-1)/2),MAX(2*NERVADURA!$C$120-1,0)),2)*DATOS!$C$11)*CROQUIS!$C$14)</f>
        <v>84.495707184817</v>
      </c>
      <c r="CA29" t="n">
        <v>2.925</v>
      </c>
      <c r="CB29" t="n">
        <v>5.346</v>
      </c>
      <c r="CC29" t="n">
        <v>-1.6</v>
      </c>
      <c r="CD29" t="n">
        <v>21.446</v>
      </c>
      <c r="CE29" t="n">
        <v>5.422</v>
      </c>
      <c r="CF29" t="n">
        <v>9.949999999999999</v>
      </c>
      <c r="CI29" t="n">
        <v>2.925</v>
      </c>
      <c r="CJ29" t="n">
        <v>5.346</v>
      </c>
      <c r="CK29" t="n">
        <v>0</v>
      </c>
      <c r="CL29" t="n">
        <v>7.871</v>
      </c>
      <c r="CM29" t="n">
        <v>6.247</v>
      </c>
      <c r="CN29" t="n">
        <v>14.247</v>
      </c>
      <c r="CQ29" t="n">
        <v>5.998</v>
      </c>
      <c r="CR29" t="n">
        <v>9.875</v>
      </c>
      <c r="CS29" t="n">
        <v>3.427</v>
      </c>
      <c r="CT29" t="n">
        <v>14.021</v>
      </c>
      <c r="CU29" t="inlineStr">
        <is>
          <t>F80010 N+6.00</t>
        </is>
      </c>
      <c r="CV29" t="inlineStr">
        <is>
          <t>N+6.00</t>
        </is>
      </c>
      <c r="CW29" t="n">
        <v>3.427</v>
      </c>
      <c r="CX29" t="n">
        <v>14.021</v>
      </c>
      <c r="CY29" t="n">
        <v>3.427</v>
      </c>
      <c r="CZ29" t="n">
        <v>15.846</v>
      </c>
      <c r="DA29" t="n">
        <v>0</v>
      </c>
      <c r="DB29" t="n">
        <v>15.846</v>
      </c>
      <c r="DC29" t="n">
        <v>0</v>
      </c>
      <c r="DD29" t="n">
        <v>14.021</v>
      </c>
      <c r="DE29" t="n">
        <v>3.427</v>
      </c>
      <c r="DF29" t="n">
        <v>14.021</v>
      </c>
      <c r="DG29" t="n">
        <v>3.427</v>
      </c>
      <c r="DH29" t="n">
        <v>14.021</v>
      </c>
      <c r="DI29" t="n">
        <v>3.427</v>
      </c>
      <c r="DJ29" t="n">
        <v>14.021</v>
      </c>
      <c r="DK29" t="n">
        <v>3.427</v>
      </c>
      <c r="DL29" t="n">
        <v>14.021</v>
      </c>
      <c r="DM29" t="n">
        <v>3.427</v>
      </c>
      <c r="DN29" t="n">
        <v>14.021</v>
      </c>
      <c r="DO29" t="n">
        <v>3.427</v>
      </c>
      <c r="DP29" t="n">
        <v>14.021</v>
      </c>
      <c r="DQ29" t="n">
        <v>3.427</v>
      </c>
      <c r="DR29" t="n">
        <v>14.021</v>
      </c>
      <c r="DS29" t="n">
        <v>3.427</v>
      </c>
      <c r="DT29" t="n">
        <v>14.021</v>
      </c>
      <c r="DU29" t="n">
        <v>3.427</v>
      </c>
      <c r="DV29" t="n">
        <v>14.021</v>
      </c>
      <c r="DW29" t="n">
        <v>3.427</v>
      </c>
      <c r="DX29" t="n">
        <v>14.021</v>
      </c>
      <c r="DY29" t="n">
        <v>3.427</v>
      </c>
      <c r="DZ29" t="n">
        <v>14.021</v>
      </c>
      <c r="EA29" t="n">
        <v>3.427</v>
      </c>
      <c r="EB29" t="n">
        <v>14.021</v>
      </c>
      <c r="EC29" t="n">
        <v>3.427</v>
      </c>
      <c r="ED29" t="n">
        <v>14.021</v>
      </c>
      <c r="EE29" t="n">
        <v>3.427</v>
      </c>
      <c r="EF29" t="n">
        <v>14.021</v>
      </c>
      <c r="EH29" t="inlineStr">
        <is>
          <t>NP-22</t>
        </is>
      </c>
      <c r="EI29" t="inlineStr">
        <is>
          <t>N+3.00</t>
        </is>
      </c>
      <c r="EJ29" t="n">
        <v>4.327</v>
      </c>
      <c r="EK29" t="n">
        <v>5.946</v>
      </c>
      <c r="EL29" t="n">
        <v>4.327</v>
      </c>
      <c r="EM29" t="n">
        <v>7.871</v>
      </c>
      <c r="EX29" t="inlineStr">
        <is>
          <t>F80010</t>
        </is>
      </c>
      <c r="EY29" t="n">
        <v>1.714</v>
      </c>
      <c r="EZ29" t="n">
        <v>14.934</v>
      </c>
      <c r="FA29" t="inlineStr">
        <is>
          <t>N+6.00</t>
        </is>
      </c>
    </row>
    <row r="30">
      <c r="A30" t="n">
        <v>23</v>
      </c>
      <c r="B30">
        <f>CHOOSE(MIN(MAX($A30,1),5),CROQUIS!$C$15,CROQUIS!$C$15+CROQUIS!$C$10*CROQUIS!$C$14,CROQUIS!$C$15+CROQUIS!$C$10*CROQUIS!$C$14,CROQUIS!$C$15,CROQUIS!$C$15)</f>
        <v>12</v>
      </c>
      <c r="C30">
        <f>CHOOSE(MIN(MAX($A30,1),5),CROQUIS!$C$16,CROQUIS!$C$16,CROQUIS!$C$16+CROQUIS!$C$11*CROQUIS!$C$14,CROQUIS!$C$16+CROQUIS!$C$11*CROQUIS!$C$14,CROQUIS!$C$16)</f>
        <v>15.9462268413918</v>
      </c>
      <c r="D30">
        <f>CHOOSE(MIN(MAX($A30,1),5),CROQUIS!$C$15+DATOS!$C$17/2*CROQUIS!$C$14,CROQUIS!$C$15+CROQUIS!$C$10*CROQUIS!$C$14-DATOS!$C$17/2*CROQUIS!$C$14,CROQUIS!$C$15+CROQUIS!$C$10*CROQUIS!$C$14-DATOS!$C$17/2*CROQUIS!$C$14,CROQUIS!$C$15+DATOS!$C$17/2*CROQUIS!$C$14,CROQUIS!$C$15+DATOS!$C$17/2*CROQUIS!$C$14)</f>
        <v>13.3895164934478</v>
      </c>
      <c r="E30">
        <f>CHOOSE(MIN(MAX($A30,1),5),CROQUIS!$C$16+DATOS!$C$17/2*CROQUIS!$C$14,CROQUIS!$C$16+DATOS!$C$17/2*CROQUIS!$C$14,CROQUIS!$C$16+CROQUIS!$C$11*CROQUIS!$C$14-DATOS!$C$17/2*CROQUIS!$C$14,CROQUIS!$C$16+CROQUIS!$C$11*CROQUIS!$C$14-DATOS!$C$17/2*CROQUIS!$C$14,CROQUIS!$C$16+DATOS!$C$17/2*CROQUIS!$C$14)</f>
        <v>17.3357433348396</v>
      </c>
      <c r="F30">
        <f>IF(NERVADURA!$C$118=0,CROQUIS!$C$15+CROQUIS!$C$10*CROQUIS!$C$14/2,CROQUIS!$C$15+(DATOS!$C$17/2+NERVADURA!$C$119+INT(MIN(INT(($A30-1)/2),MAX(2*NERVADURA!$C$118-1,0))/2)*DATOS!$C$16+MOD(MIN(INT(($A30-1)/2),MAX(2*NERVADURA!$C$118-1,0)),2)*DATOS!$C$11)*CROQUIS!$C$14)</f>
        <v>90.9801174875734</v>
      </c>
      <c r="G30">
        <f>IF(NERVADURA!$C$118=0,CROQUIS!$C$16+CROQUIS!$C$11*CROQUIS!$C$14/2,CROQUIS!$C$16+IF(MOD(MIN(INT(($A30-1)/2),MAX(2*NERVADURA!$C$118-1,0)),2)=0,IF(IF(INT(($A30-1)/2)&gt;MAX(2*NERVADURA!$C$118-1,0),1,MOD($A30-1,2))=0,(DATOS!$C$17/2+NERVADURA!$C$121),(CROQUIS!$C$11-DATOS!$C$17/2-NERVADURA!$C$121)),IF(IF(INT(($A30-1)/2)&gt;MAX(2*NERVADURA!$C$118-1,0),1,MOD($A30-1,2))=0,(CROQUIS!$C$11-DATOS!$C$17/2-NERVADURA!$C$121),(DATOS!$C$17/2+NERVADURA!$C$121)))*CROQUIS!$C$14)</f>
        <v>84.495707184817</v>
      </c>
      <c r="H30">
        <f>IF(NERVADURA!$C$120=0,CROQUIS!$C$15+CROQUIS!$C$10*CROQUIS!$C$14/2,CROQUIS!$C$15+IF(MOD(MIN(INT(($A30-1)/2),MAX(2*NERVADURA!$C$120-1,0)),2)=0,IF(IF(INT(($A30-1)/2)&gt;MAX(2*NERVADURA!$C$120-1,0),1,MOD($A30-1,2))=0,(DATOS!$C$17/2+NERVADURA!$C$119),(CROQUIS!$C$10-DATOS!$C$17/2-NERVADURA!$C$119)),IF(IF(INT(($A30-1)/2)&gt;MAX(2*NERVADURA!$C$120-1,0),1,MOD($A30-1,2))=0,(CROQUIS!$C$10-DATOS!$C$17/2-NERVADURA!$C$119),(DATOS!$C$17/2+NERVADURA!$C$119)))*CROQUIS!$C$14)</f>
        <v>15.0198825124266</v>
      </c>
      <c r="I30">
        <f>IF(NERVADURA!$C$120=0,CROQUIS!$C$16+CROQUIS!$C$11*CROQUIS!$C$14/2,CROQUIS!$C$16+(DATOS!$C$17/2+NERVADURA!$C$121+INT(MIN(INT(($A30-1)/2),MAX(2*NERVADURA!$C$120-1,0))/2)*DATOS!$C$16+MOD(MIN(INT(($A30-1)/2),MAX(2*NERVADURA!$C$120-1,0)),2)*DATOS!$C$11)*CROQUIS!$C$14)</f>
        <v>84.495707184817</v>
      </c>
      <c r="CA30" t="n">
        <v>2.925</v>
      </c>
      <c r="CB30" t="n">
        <v>6.948</v>
      </c>
      <c r="CC30" t="n">
        <v>8.85</v>
      </c>
      <c r="CD30" t="n">
        <v>21.446</v>
      </c>
      <c r="CE30" t="n">
        <v>8.144</v>
      </c>
      <c r="CF30" t="n">
        <v>9.949999999999999</v>
      </c>
      <c r="CG30" t="n">
        <v>5.422</v>
      </c>
      <c r="CH30" t="n">
        <v>6.948</v>
      </c>
      <c r="CI30" t="n">
        <v>2.925</v>
      </c>
      <c r="CJ30" t="n">
        <v>6.046</v>
      </c>
      <c r="CK30" t="n">
        <v>0</v>
      </c>
      <c r="CL30" t="n">
        <v>2.921</v>
      </c>
      <c r="CM30" t="n">
        <v>8.85</v>
      </c>
      <c r="CN30" t="n">
        <v>14.247</v>
      </c>
      <c r="CQ30" t="n">
        <v>8.775</v>
      </c>
      <c r="CR30" t="n">
        <v>7.023</v>
      </c>
      <c r="CS30" t="n">
        <v>3.427</v>
      </c>
      <c r="CT30" t="n">
        <v>14.796</v>
      </c>
      <c r="CU30" t="inlineStr">
        <is>
          <t>F80023 N+6.00</t>
        </is>
      </c>
      <c r="CV30" t="inlineStr">
        <is>
          <t>N+6.00</t>
        </is>
      </c>
      <c r="CW30" t="n">
        <v>4.327</v>
      </c>
      <c r="CX30" t="n">
        <v>5.946</v>
      </c>
      <c r="CY30" t="n">
        <v>4.327</v>
      </c>
      <c r="CZ30" t="n">
        <v>2.921</v>
      </c>
      <c r="DA30" t="n">
        <v>5.923</v>
      </c>
      <c r="DB30" t="n">
        <v>2.921</v>
      </c>
      <c r="DC30" t="n">
        <v>5.923</v>
      </c>
      <c r="DD30" t="n">
        <v>5.946</v>
      </c>
      <c r="DE30" t="n">
        <v>4.327</v>
      </c>
      <c r="DF30" t="n">
        <v>5.946</v>
      </c>
      <c r="DG30" t="n">
        <v>4.327</v>
      </c>
      <c r="DH30" t="n">
        <v>5.946</v>
      </c>
      <c r="DI30" t="n">
        <v>4.327</v>
      </c>
      <c r="DJ30" t="n">
        <v>5.946</v>
      </c>
      <c r="DK30" t="n">
        <v>4.327</v>
      </c>
      <c r="DL30" t="n">
        <v>5.946</v>
      </c>
      <c r="DM30" t="n">
        <v>4.327</v>
      </c>
      <c r="DN30" t="n">
        <v>5.946</v>
      </c>
      <c r="DO30" t="n">
        <v>4.327</v>
      </c>
      <c r="DP30" t="n">
        <v>5.946</v>
      </c>
      <c r="DQ30" t="n">
        <v>4.327</v>
      </c>
      <c r="DR30" t="n">
        <v>5.946</v>
      </c>
      <c r="DS30" t="n">
        <v>4.327</v>
      </c>
      <c r="DT30" t="n">
        <v>5.946</v>
      </c>
      <c r="DU30" t="n">
        <v>4.327</v>
      </c>
      <c r="DV30" t="n">
        <v>5.946</v>
      </c>
      <c r="DW30" t="n">
        <v>4.327</v>
      </c>
      <c r="DX30" t="n">
        <v>5.946</v>
      </c>
      <c r="DY30" t="n">
        <v>4.327</v>
      </c>
      <c r="DZ30" t="n">
        <v>5.946</v>
      </c>
      <c r="EA30" t="n">
        <v>4.327</v>
      </c>
      <c r="EB30" t="n">
        <v>5.946</v>
      </c>
      <c r="EC30" t="n">
        <v>4.327</v>
      </c>
      <c r="ED30" t="n">
        <v>5.946</v>
      </c>
      <c r="EE30" t="n">
        <v>4.327</v>
      </c>
      <c r="EF30" t="n">
        <v>5.946</v>
      </c>
      <c r="EH30" t="inlineStr">
        <is>
          <t>NP-23</t>
        </is>
      </c>
      <c r="EI30" t="inlineStr">
        <is>
          <t>N+3.00</t>
        </is>
      </c>
      <c r="EJ30" t="n">
        <v>4.327</v>
      </c>
      <c r="EK30" t="n">
        <v>7.871</v>
      </c>
      <c r="EL30" t="n">
        <v>4.327</v>
      </c>
      <c r="EM30" t="n">
        <v>14.021</v>
      </c>
      <c r="EX30" t="inlineStr">
        <is>
          <t>F80023</t>
        </is>
      </c>
      <c r="EY30" t="n">
        <v>5.125</v>
      </c>
      <c r="EZ30" t="n">
        <v>4.433</v>
      </c>
      <c r="FA30" t="inlineStr">
        <is>
          <t>N+6.00</t>
        </is>
      </c>
    </row>
    <row r="31">
      <c r="A31" t="n">
        <v>24</v>
      </c>
      <c r="B31">
        <f>CHOOSE(MIN(MAX($A31,1),5),CROQUIS!$C$15,CROQUIS!$C$15+CROQUIS!$C$10*CROQUIS!$C$14,CROQUIS!$C$15+CROQUIS!$C$10*CROQUIS!$C$14,CROQUIS!$C$15,CROQUIS!$C$15)</f>
        <v>12</v>
      </c>
      <c r="C31">
        <f>CHOOSE(MIN(MAX($A31,1),5),CROQUIS!$C$16,CROQUIS!$C$16,CROQUIS!$C$16+CROQUIS!$C$11*CROQUIS!$C$14,CROQUIS!$C$16+CROQUIS!$C$11*CROQUIS!$C$14,CROQUIS!$C$16)</f>
        <v>15.9462268413918</v>
      </c>
      <c r="D31">
        <f>CHOOSE(MIN(MAX($A31,1),5),CROQUIS!$C$15+DATOS!$C$17/2*CROQUIS!$C$14,CROQUIS!$C$15+CROQUIS!$C$10*CROQUIS!$C$14-DATOS!$C$17/2*CROQUIS!$C$14,CROQUIS!$C$15+CROQUIS!$C$10*CROQUIS!$C$14-DATOS!$C$17/2*CROQUIS!$C$14,CROQUIS!$C$15+DATOS!$C$17/2*CROQUIS!$C$14,CROQUIS!$C$15+DATOS!$C$17/2*CROQUIS!$C$14)</f>
        <v>13.3895164934478</v>
      </c>
      <c r="E31">
        <f>CHOOSE(MIN(MAX($A31,1),5),CROQUIS!$C$16+DATOS!$C$17/2*CROQUIS!$C$14,CROQUIS!$C$16+DATOS!$C$17/2*CROQUIS!$C$14,CROQUIS!$C$16+CROQUIS!$C$11*CROQUIS!$C$14-DATOS!$C$17/2*CROQUIS!$C$14,CROQUIS!$C$16+CROQUIS!$C$11*CROQUIS!$C$14-DATOS!$C$17/2*CROQUIS!$C$14,CROQUIS!$C$16+DATOS!$C$17/2*CROQUIS!$C$14)</f>
        <v>17.3357433348396</v>
      </c>
      <c r="F31">
        <f>IF(NERVADURA!$C$118=0,CROQUIS!$C$15+CROQUIS!$C$10*CROQUIS!$C$14/2,CROQUIS!$C$15+(DATOS!$C$17/2+NERVADURA!$C$119+INT(MIN(INT(($A31-1)/2),MAX(2*NERVADURA!$C$118-1,0))/2)*DATOS!$C$16+MOD(MIN(INT(($A31-1)/2),MAX(2*NERVADURA!$C$118-1,0)),2)*DATOS!$C$11)*CROQUIS!$C$14)</f>
        <v>90.9801174875734</v>
      </c>
      <c r="G31">
        <f>IF(NERVADURA!$C$118=0,CROQUIS!$C$16+CROQUIS!$C$11*CROQUIS!$C$14/2,CROQUIS!$C$16+IF(MOD(MIN(INT(($A31-1)/2),MAX(2*NERVADURA!$C$118-1,0)),2)=0,IF(IF(INT(($A31-1)/2)&gt;MAX(2*NERVADURA!$C$118-1,0),1,MOD($A31-1,2))=0,(DATOS!$C$17/2+NERVADURA!$C$121),(CROQUIS!$C$11-DATOS!$C$17/2-NERVADURA!$C$121)),IF(IF(INT(($A31-1)/2)&gt;MAX(2*NERVADURA!$C$118-1,0),1,MOD($A31-1,2))=0,(CROQUIS!$C$11-DATOS!$C$17/2-NERVADURA!$C$121),(DATOS!$C$17/2+NERVADURA!$C$121)))*CROQUIS!$C$14)</f>
        <v>21.504292815183</v>
      </c>
      <c r="H31">
        <f>IF(NERVADURA!$C$120=0,CROQUIS!$C$15+CROQUIS!$C$10*CROQUIS!$C$14/2,CROQUIS!$C$15+IF(MOD(MIN(INT(($A31-1)/2),MAX(2*NERVADURA!$C$120-1,0)),2)=0,IF(IF(INT(($A31-1)/2)&gt;MAX(2*NERVADURA!$C$120-1,0),1,MOD($A31-1,2))=0,(DATOS!$C$17/2+NERVADURA!$C$119),(CROQUIS!$C$10-DATOS!$C$17/2-NERVADURA!$C$119)),IF(IF(INT(($A31-1)/2)&gt;MAX(2*NERVADURA!$C$120-1,0),1,MOD($A31-1,2))=0,(CROQUIS!$C$10-DATOS!$C$17/2-NERVADURA!$C$119),(DATOS!$C$17/2+NERVADURA!$C$119)))*CROQUIS!$C$14)</f>
        <v>15.0198825124266</v>
      </c>
      <c r="I31">
        <f>IF(NERVADURA!$C$120=0,CROQUIS!$C$16+CROQUIS!$C$11*CROQUIS!$C$14/2,CROQUIS!$C$16+(DATOS!$C$17/2+NERVADURA!$C$121+INT(MIN(INT(($A31-1)/2),MAX(2*NERVADURA!$C$120-1,0))/2)*DATOS!$C$16+MOD(MIN(INT(($A31-1)/2),MAX(2*NERVADURA!$C$120-1,0)),2)*DATOS!$C$11)*CROQUIS!$C$14)</f>
        <v>84.495707184817</v>
      </c>
      <c r="CA31" t="n">
        <v>0</v>
      </c>
      <c r="CB31" t="n">
        <v>6.948</v>
      </c>
      <c r="CG31" t="n">
        <v>8.85</v>
      </c>
      <c r="CH31" t="n">
        <v>9.949999999999999</v>
      </c>
      <c r="CI31" t="n">
        <v>2.925</v>
      </c>
      <c r="CJ31" t="n">
        <v>6.948</v>
      </c>
      <c r="CS31" t="n">
        <v>3.427</v>
      </c>
      <c r="CT31" t="n">
        <v>15.846</v>
      </c>
      <c r="CU31" t="inlineStr">
        <is>
          <t>F80024 N+6.00</t>
        </is>
      </c>
      <c r="CV31" t="inlineStr">
        <is>
          <t>N+6.00</t>
        </is>
      </c>
      <c r="CW31" t="n">
        <v>0</v>
      </c>
      <c r="CX31" t="n">
        <v>2.921</v>
      </c>
      <c r="CY31" t="n">
        <v>4.327</v>
      </c>
      <c r="CZ31" t="n">
        <v>2.921</v>
      </c>
      <c r="DA31" t="n">
        <v>4.327</v>
      </c>
      <c r="DB31" t="n">
        <v>7.871</v>
      </c>
      <c r="DC31" t="n">
        <v>0</v>
      </c>
      <c r="DD31" t="n">
        <v>7.871</v>
      </c>
      <c r="DE31" t="n">
        <v>0</v>
      </c>
      <c r="DF31" t="n">
        <v>2.921</v>
      </c>
      <c r="DG31" t="n">
        <v>0</v>
      </c>
      <c r="DH31" t="n">
        <v>2.921</v>
      </c>
      <c r="DI31" t="n">
        <v>0</v>
      </c>
      <c r="DJ31" t="n">
        <v>2.921</v>
      </c>
      <c r="DK31" t="n">
        <v>0</v>
      </c>
      <c r="DL31" t="n">
        <v>2.921</v>
      </c>
      <c r="DM31" t="n">
        <v>0</v>
      </c>
      <c r="DN31" t="n">
        <v>2.921</v>
      </c>
      <c r="DO31" t="n">
        <v>0</v>
      </c>
      <c r="DP31" t="n">
        <v>2.921</v>
      </c>
      <c r="DQ31" t="n">
        <v>0</v>
      </c>
      <c r="DR31" t="n">
        <v>2.921</v>
      </c>
      <c r="DS31" t="n">
        <v>0</v>
      </c>
      <c r="DT31" t="n">
        <v>2.921</v>
      </c>
      <c r="DU31" t="n">
        <v>0</v>
      </c>
      <c r="DV31" t="n">
        <v>2.921</v>
      </c>
      <c r="DW31" t="n">
        <v>0</v>
      </c>
      <c r="DX31" t="n">
        <v>2.921</v>
      </c>
      <c r="DY31" t="n">
        <v>0</v>
      </c>
      <c r="DZ31" t="n">
        <v>2.921</v>
      </c>
      <c r="EA31" t="n">
        <v>0</v>
      </c>
      <c r="EB31" t="n">
        <v>2.921</v>
      </c>
      <c r="EC31" t="n">
        <v>0</v>
      </c>
      <c r="ED31" t="n">
        <v>2.921</v>
      </c>
      <c r="EE31" t="n">
        <v>0</v>
      </c>
      <c r="EF31" t="n">
        <v>2.921</v>
      </c>
      <c r="EH31" t="inlineStr">
        <is>
          <t>NP-24</t>
        </is>
      </c>
      <c r="EI31" t="inlineStr">
        <is>
          <t>N+3.00</t>
        </is>
      </c>
      <c r="EJ31" t="n">
        <v>4.426</v>
      </c>
      <c r="EK31" t="n">
        <v>17.446</v>
      </c>
      <c r="EL31" t="n">
        <v>4.426</v>
      </c>
      <c r="EM31" t="n">
        <v>21.446</v>
      </c>
      <c r="EX31" t="inlineStr">
        <is>
          <t>F80024</t>
        </is>
      </c>
      <c r="EY31" t="n">
        <v>2.163</v>
      </c>
      <c r="EZ31" t="n">
        <v>5.396</v>
      </c>
      <c r="FA31" t="inlineStr">
        <is>
          <t>N+6.00</t>
        </is>
      </c>
    </row>
    <row r="32">
      <c r="A32" t="n">
        <v>25</v>
      </c>
      <c r="B32">
        <f>CHOOSE(MIN(MAX($A32,1),5),CROQUIS!$C$15,CROQUIS!$C$15+CROQUIS!$C$10*CROQUIS!$C$14,CROQUIS!$C$15+CROQUIS!$C$10*CROQUIS!$C$14,CROQUIS!$C$15,CROQUIS!$C$15)</f>
        <v>12</v>
      </c>
      <c r="C32">
        <f>CHOOSE(MIN(MAX($A32,1),5),CROQUIS!$C$16,CROQUIS!$C$16,CROQUIS!$C$16+CROQUIS!$C$11*CROQUIS!$C$14,CROQUIS!$C$16+CROQUIS!$C$11*CROQUIS!$C$14,CROQUIS!$C$16)</f>
        <v>15.9462268413918</v>
      </c>
      <c r="D32">
        <f>CHOOSE(MIN(MAX($A32,1),5),CROQUIS!$C$15+DATOS!$C$17/2*CROQUIS!$C$14,CROQUIS!$C$15+CROQUIS!$C$10*CROQUIS!$C$14-DATOS!$C$17/2*CROQUIS!$C$14,CROQUIS!$C$15+CROQUIS!$C$10*CROQUIS!$C$14-DATOS!$C$17/2*CROQUIS!$C$14,CROQUIS!$C$15+DATOS!$C$17/2*CROQUIS!$C$14,CROQUIS!$C$15+DATOS!$C$17/2*CROQUIS!$C$14)</f>
        <v>13.3895164934478</v>
      </c>
      <c r="E32">
        <f>CHOOSE(MIN(MAX($A32,1),5),CROQUIS!$C$16+DATOS!$C$17/2*CROQUIS!$C$14,CROQUIS!$C$16+DATOS!$C$17/2*CROQUIS!$C$14,CROQUIS!$C$16+CROQUIS!$C$11*CROQUIS!$C$14-DATOS!$C$17/2*CROQUIS!$C$14,CROQUIS!$C$16+CROQUIS!$C$11*CROQUIS!$C$14-DATOS!$C$17/2*CROQUIS!$C$14,CROQUIS!$C$16+DATOS!$C$17/2*CROQUIS!$C$14)</f>
        <v>17.3357433348396</v>
      </c>
      <c r="F32">
        <f>IF(NERVADURA!$C$118=0,CROQUIS!$C$15+CROQUIS!$C$10*CROQUIS!$C$14/2,CROQUIS!$C$15+(DATOS!$C$17/2+NERVADURA!$C$119+INT(MIN(INT(($A32-1)/2),MAX(2*NERVADURA!$C$118-1,0))/2)*DATOS!$C$16+MOD(MIN(INT(($A32-1)/2),MAX(2*NERVADURA!$C$118-1,0)),2)*DATOS!$C$11)*CROQUIS!$C$14)</f>
        <v>90.9801174875734</v>
      </c>
      <c r="G32">
        <f>IF(NERVADURA!$C$118=0,CROQUIS!$C$16+CROQUIS!$C$11*CROQUIS!$C$14/2,CROQUIS!$C$16+IF(MOD(MIN(INT(($A32-1)/2),MAX(2*NERVADURA!$C$118-1,0)),2)=0,IF(IF(INT(($A32-1)/2)&gt;MAX(2*NERVADURA!$C$118-1,0),1,MOD($A32-1,2))=0,(DATOS!$C$17/2+NERVADURA!$C$121),(CROQUIS!$C$11-DATOS!$C$17/2-NERVADURA!$C$121)),IF(IF(INT(($A32-1)/2)&gt;MAX(2*NERVADURA!$C$118-1,0),1,MOD($A32-1,2))=0,(CROQUIS!$C$11-DATOS!$C$17/2-NERVADURA!$C$121),(DATOS!$C$17/2+NERVADURA!$C$121)))*CROQUIS!$C$14)</f>
        <v>21.504292815183</v>
      </c>
      <c r="H32">
        <f>IF(NERVADURA!$C$120=0,CROQUIS!$C$15+CROQUIS!$C$10*CROQUIS!$C$14/2,CROQUIS!$C$15+IF(MOD(MIN(INT(($A32-1)/2),MAX(2*NERVADURA!$C$120-1,0)),2)=0,IF(IF(INT(($A32-1)/2)&gt;MAX(2*NERVADURA!$C$120-1,0),1,MOD($A32-1,2))=0,(DATOS!$C$17/2+NERVADURA!$C$119),(CROQUIS!$C$10-DATOS!$C$17/2-NERVADURA!$C$119)),IF(IF(INT(($A32-1)/2)&gt;MAX(2*NERVADURA!$C$120-1,0),1,MOD($A32-1,2))=0,(CROQUIS!$C$10-DATOS!$C$17/2-NERVADURA!$C$119),(DATOS!$C$17/2+NERVADURA!$C$119)))*CROQUIS!$C$14)</f>
        <v>15.0198825124266</v>
      </c>
      <c r="I32">
        <f>IF(NERVADURA!$C$120=0,CROQUIS!$C$16+CROQUIS!$C$11*CROQUIS!$C$14/2,CROQUIS!$C$16+(DATOS!$C$17/2+NERVADURA!$C$121+INT(MIN(INT(($A32-1)/2),MAX(2*NERVADURA!$C$120-1,0))/2)*DATOS!$C$16+MOD(MIN(INT(($A32-1)/2),MAX(2*NERVADURA!$C$120-1,0)),2)*DATOS!$C$11)*CROQUIS!$C$14)</f>
        <v>84.495707184817</v>
      </c>
      <c r="CA32" t="n">
        <v>0</v>
      </c>
      <c r="CB32" t="n">
        <v>5.346</v>
      </c>
      <c r="CC32" t="n">
        <v>-1.6</v>
      </c>
      <c r="CD32" t="n">
        <v>24.371</v>
      </c>
      <c r="CE32" t="n">
        <v>-2</v>
      </c>
      <c r="CF32" t="n">
        <v>14.021</v>
      </c>
      <c r="CI32" t="n">
        <v>3.648</v>
      </c>
      <c r="CJ32" t="n">
        <v>5.946</v>
      </c>
      <c r="CK32" t="n">
        <v>8.85</v>
      </c>
      <c r="CL32" t="n">
        <v>15.846</v>
      </c>
      <c r="CM32" t="n">
        <v>0</v>
      </c>
      <c r="CN32" t="n">
        <v>15.846</v>
      </c>
      <c r="CQ32" t="n">
        <v>5.998</v>
      </c>
      <c r="CR32" t="n">
        <v>17.072</v>
      </c>
      <c r="CS32" t="n">
        <v>3.429</v>
      </c>
      <c r="CT32" t="n">
        <v>17.446</v>
      </c>
      <c r="CU32" t="inlineStr">
        <is>
          <t>F80025 N+6.00</t>
        </is>
      </c>
      <c r="CV32" t="inlineStr">
        <is>
          <t>N+6.00</t>
        </is>
      </c>
      <c r="CW32" t="n">
        <v>8.85</v>
      </c>
      <c r="CX32" t="n">
        <v>15.846</v>
      </c>
      <c r="CY32" t="n">
        <v>5.422</v>
      </c>
      <c r="CZ32" t="n">
        <v>15.846</v>
      </c>
      <c r="DA32" t="n">
        <v>5.422</v>
      </c>
      <c r="DB32" t="n">
        <v>9.949999999999999</v>
      </c>
      <c r="DC32" t="n">
        <v>8.85</v>
      </c>
      <c r="DD32" t="n">
        <v>9.949999999999999</v>
      </c>
      <c r="DE32" t="n">
        <v>8.85</v>
      </c>
      <c r="DF32" t="n">
        <v>15.846</v>
      </c>
      <c r="DG32" t="n">
        <v>8.85</v>
      </c>
      <c r="DH32" t="n">
        <v>15.846</v>
      </c>
      <c r="DI32" t="n">
        <v>8.85</v>
      </c>
      <c r="DJ32" t="n">
        <v>15.846</v>
      </c>
      <c r="DK32" t="n">
        <v>8.85</v>
      </c>
      <c r="DL32" t="n">
        <v>15.846</v>
      </c>
      <c r="DM32" t="n">
        <v>8.85</v>
      </c>
      <c r="DN32" t="n">
        <v>15.846</v>
      </c>
      <c r="DO32" t="n">
        <v>8.85</v>
      </c>
      <c r="DP32" t="n">
        <v>15.846</v>
      </c>
      <c r="DQ32" t="n">
        <v>8.85</v>
      </c>
      <c r="DR32" t="n">
        <v>15.846</v>
      </c>
      <c r="DS32" t="n">
        <v>8.85</v>
      </c>
      <c r="DT32" t="n">
        <v>15.846</v>
      </c>
      <c r="DU32" t="n">
        <v>8.85</v>
      </c>
      <c r="DV32" t="n">
        <v>15.846</v>
      </c>
      <c r="DW32" t="n">
        <v>8.85</v>
      </c>
      <c r="DX32" t="n">
        <v>15.846</v>
      </c>
      <c r="DY32" t="n">
        <v>8.85</v>
      </c>
      <c r="DZ32" t="n">
        <v>15.846</v>
      </c>
      <c r="EA32" t="n">
        <v>8.85</v>
      </c>
      <c r="EB32" t="n">
        <v>15.846</v>
      </c>
      <c r="EC32" t="n">
        <v>8.85</v>
      </c>
      <c r="ED32" t="n">
        <v>15.846</v>
      </c>
      <c r="EE32" t="n">
        <v>8.85</v>
      </c>
      <c r="EF32" t="n">
        <v>15.846</v>
      </c>
      <c r="EH32" t="inlineStr">
        <is>
          <t>NP-25</t>
        </is>
      </c>
      <c r="EI32" t="inlineStr">
        <is>
          <t>N+3.00</t>
        </is>
      </c>
      <c r="EJ32" t="n">
        <v>5.441</v>
      </c>
      <c r="EK32" t="n">
        <v>6.948</v>
      </c>
      <c r="EL32" t="n">
        <v>5.441</v>
      </c>
      <c r="EM32" t="n">
        <v>8.91</v>
      </c>
      <c r="EX32" t="inlineStr">
        <is>
          <t>F80025</t>
        </is>
      </c>
      <c r="EY32" t="n">
        <v>7.136</v>
      </c>
      <c r="EZ32" t="n">
        <v>12.898</v>
      </c>
      <c r="FA32" t="inlineStr">
        <is>
          <t>N+6.00</t>
        </is>
      </c>
    </row>
    <row r="33">
      <c r="A33" t="n">
        <v>26</v>
      </c>
      <c r="B33">
        <f>CHOOSE(MIN(MAX($A33,1),5),CROQUIS!$C$15,CROQUIS!$C$15+CROQUIS!$C$10*CROQUIS!$C$14,CROQUIS!$C$15+CROQUIS!$C$10*CROQUIS!$C$14,CROQUIS!$C$15,CROQUIS!$C$15)</f>
        <v>12</v>
      </c>
      <c r="C33">
        <f>CHOOSE(MIN(MAX($A33,1),5),CROQUIS!$C$16,CROQUIS!$C$16,CROQUIS!$C$16+CROQUIS!$C$11*CROQUIS!$C$14,CROQUIS!$C$16+CROQUIS!$C$11*CROQUIS!$C$14,CROQUIS!$C$16)</f>
        <v>15.9462268413918</v>
      </c>
      <c r="D33">
        <f>CHOOSE(MIN(MAX($A33,1),5),CROQUIS!$C$15+DATOS!$C$17/2*CROQUIS!$C$14,CROQUIS!$C$15+CROQUIS!$C$10*CROQUIS!$C$14-DATOS!$C$17/2*CROQUIS!$C$14,CROQUIS!$C$15+CROQUIS!$C$10*CROQUIS!$C$14-DATOS!$C$17/2*CROQUIS!$C$14,CROQUIS!$C$15+DATOS!$C$17/2*CROQUIS!$C$14,CROQUIS!$C$15+DATOS!$C$17/2*CROQUIS!$C$14)</f>
        <v>13.3895164934478</v>
      </c>
      <c r="E33">
        <f>CHOOSE(MIN(MAX($A33,1),5),CROQUIS!$C$16+DATOS!$C$17/2*CROQUIS!$C$14,CROQUIS!$C$16+DATOS!$C$17/2*CROQUIS!$C$14,CROQUIS!$C$16+CROQUIS!$C$11*CROQUIS!$C$14-DATOS!$C$17/2*CROQUIS!$C$14,CROQUIS!$C$16+CROQUIS!$C$11*CROQUIS!$C$14-DATOS!$C$17/2*CROQUIS!$C$14,CROQUIS!$C$16+DATOS!$C$17/2*CROQUIS!$C$14)</f>
        <v>17.3357433348396</v>
      </c>
      <c r="F33">
        <f>IF(NERVADURA!$C$118=0,CROQUIS!$C$15+CROQUIS!$C$10*CROQUIS!$C$14/2,CROQUIS!$C$15+(DATOS!$C$17/2+NERVADURA!$C$119+INT(MIN(INT(($A33-1)/2),MAX(2*NERVADURA!$C$118-1,0))/2)*DATOS!$C$16+MOD(MIN(INT(($A33-1)/2),MAX(2*NERVADURA!$C$118-1,0)),2)*DATOS!$C$11)*CROQUIS!$C$14)</f>
        <v>90.9801174875734</v>
      </c>
      <c r="G33">
        <f>IF(NERVADURA!$C$118=0,CROQUIS!$C$16+CROQUIS!$C$11*CROQUIS!$C$14/2,CROQUIS!$C$16+IF(MOD(MIN(INT(($A33-1)/2),MAX(2*NERVADURA!$C$118-1,0)),2)=0,IF(IF(INT(($A33-1)/2)&gt;MAX(2*NERVADURA!$C$118-1,0),1,MOD($A33-1,2))=0,(DATOS!$C$17/2+NERVADURA!$C$121),(CROQUIS!$C$11-DATOS!$C$17/2-NERVADURA!$C$121)),IF(IF(INT(($A33-1)/2)&gt;MAX(2*NERVADURA!$C$118-1,0),1,MOD($A33-1,2))=0,(CROQUIS!$C$11-DATOS!$C$17/2-NERVADURA!$C$121),(DATOS!$C$17/2+NERVADURA!$C$121)))*CROQUIS!$C$14)</f>
        <v>21.504292815183</v>
      </c>
      <c r="H33">
        <f>IF(NERVADURA!$C$120=0,CROQUIS!$C$15+CROQUIS!$C$10*CROQUIS!$C$14/2,CROQUIS!$C$15+IF(MOD(MIN(INT(($A33-1)/2),MAX(2*NERVADURA!$C$120-1,0)),2)=0,IF(IF(INT(($A33-1)/2)&gt;MAX(2*NERVADURA!$C$120-1,0),1,MOD($A33-1,2))=0,(DATOS!$C$17/2+NERVADURA!$C$119),(CROQUIS!$C$10-DATOS!$C$17/2-NERVADURA!$C$119)),IF(IF(INT(($A33-1)/2)&gt;MAX(2*NERVADURA!$C$120-1,0),1,MOD($A33-1,2))=0,(CROQUIS!$C$10-DATOS!$C$17/2-NERVADURA!$C$119),(DATOS!$C$17/2+NERVADURA!$C$119)))*CROQUIS!$C$14)</f>
        <v>15.0198825124266</v>
      </c>
      <c r="I33">
        <f>IF(NERVADURA!$C$120=0,CROQUIS!$C$16+CROQUIS!$C$11*CROQUIS!$C$14/2,CROQUIS!$C$16+(DATOS!$C$17/2+NERVADURA!$C$121+INT(MIN(INT(($A33-1)/2),MAX(2*NERVADURA!$C$120-1,0))/2)*DATOS!$C$16+MOD(MIN(INT(($A33-1)/2),MAX(2*NERVADURA!$C$120-1,0)),2)*DATOS!$C$11)*CROQUIS!$C$14)</f>
        <v>84.495707184817</v>
      </c>
      <c r="CC33" t="n">
        <v>0</v>
      </c>
      <c r="CD33" t="n">
        <v>24.371</v>
      </c>
      <c r="CE33" t="n">
        <v>0</v>
      </c>
      <c r="CF33" t="n">
        <v>14.021</v>
      </c>
      <c r="CG33" t="n">
        <v>5.422</v>
      </c>
      <c r="CH33" t="n">
        <v>9.949999999999999</v>
      </c>
      <c r="CI33" t="n">
        <v>4.575</v>
      </c>
      <c r="CJ33" t="n">
        <v>21.446</v>
      </c>
      <c r="CK33" t="n">
        <v>5.422</v>
      </c>
      <c r="CL33" t="n">
        <v>15.846</v>
      </c>
      <c r="CM33" t="n">
        <v>3.427</v>
      </c>
      <c r="CN33" t="n">
        <v>15.846</v>
      </c>
      <c r="CQ33" t="n">
        <v>8.775</v>
      </c>
      <c r="CR33" t="n">
        <v>17.072</v>
      </c>
      <c r="CS33" t="n">
        <v>3.575</v>
      </c>
      <c r="CT33" t="n">
        <v>2.921</v>
      </c>
      <c r="CU33" t="inlineStr">
        <is>
          <t>F80026 N+6.00</t>
        </is>
      </c>
      <c r="CV33" t="inlineStr">
        <is>
          <t>N+6.00</t>
        </is>
      </c>
      <c r="CW33" t="n">
        <v>5.822</v>
      </c>
      <c r="CX33" t="n">
        <v>15.846</v>
      </c>
      <c r="CY33" t="n">
        <v>8.85</v>
      </c>
      <c r="CZ33" t="n">
        <v>15.846</v>
      </c>
      <c r="DA33" t="n">
        <v>8.85</v>
      </c>
      <c r="DB33" t="n">
        <v>16.697</v>
      </c>
      <c r="DC33" t="n">
        <v>5.822</v>
      </c>
      <c r="DD33" t="n">
        <v>16.697</v>
      </c>
      <c r="DE33" t="n">
        <v>5.822</v>
      </c>
      <c r="DF33" t="n">
        <v>15.846</v>
      </c>
      <c r="DG33" t="n">
        <v>5.822</v>
      </c>
      <c r="DH33" t="n">
        <v>15.846</v>
      </c>
      <c r="DI33" t="n">
        <v>5.822</v>
      </c>
      <c r="DJ33" t="n">
        <v>15.846</v>
      </c>
      <c r="DK33" t="n">
        <v>5.822</v>
      </c>
      <c r="DL33" t="n">
        <v>15.846</v>
      </c>
      <c r="DM33" t="n">
        <v>5.822</v>
      </c>
      <c r="DN33" t="n">
        <v>15.846</v>
      </c>
      <c r="DO33" t="n">
        <v>5.822</v>
      </c>
      <c r="DP33" t="n">
        <v>15.846</v>
      </c>
      <c r="DQ33" t="n">
        <v>5.822</v>
      </c>
      <c r="DR33" t="n">
        <v>15.846</v>
      </c>
      <c r="DS33" t="n">
        <v>5.822</v>
      </c>
      <c r="DT33" t="n">
        <v>15.846</v>
      </c>
      <c r="DU33" t="n">
        <v>5.822</v>
      </c>
      <c r="DV33" t="n">
        <v>15.846</v>
      </c>
      <c r="DW33" t="n">
        <v>5.822</v>
      </c>
      <c r="DX33" t="n">
        <v>15.846</v>
      </c>
      <c r="DY33" t="n">
        <v>5.822</v>
      </c>
      <c r="DZ33" t="n">
        <v>15.846</v>
      </c>
      <c r="EA33" t="n">
        <v>5.822</v>
      </c>
      <c r="EB33" t="n">
        <v>15.846</v>
      </c>
      <c r="EC33" t="n">
        <v>5.822</v>
      </c>
      <c r="ED33" t="n">
        <v>15.846</v>
      </c>
      <c r="EE33" t="n">
        <v>5.822</v>
      </c>
      <c r="EF33" t="n">
        <v>15.846</v>
      </c>
      <c r="EH33" t="inlineStr">
        <is>
          <t>NP-26</t>
        </is>
      </c>
      <c r="EI33" t="inlineStr">
        <is>
          <t>N+3.00</t>
        </is>
      </c>
      <c r="EJ33" t="n">
        <v>5.441</v>
      </c>
      <c r="EK33" t="n">
        <v>9.949999999999999</v>
      </c>
      <c r="EL33" t="n">
        <v>5.441</v>
      </c>
      <c r="EM33" t="n">
        <v>15.447</v>
      </c>
      <c r="EX33" t="inlineStr">
        <is>
          <t>F80026</t>
        </is>
      </c>
      <c r="EY33" t="n">
        <v>7.336</v>
      </c>
      <c r="EZ33" t="n">
        <v>16.271</v>
      </c>
      <c r="FA33" t="inlineStr">
        <is>
          <t>N+6.00</t>
        </is>
      </c>
    </row>
    <row r="34">
      <c r="A34" t="n">
        <v>27</v>
      </c>
      <c r="B34">
        <f>CHOOSE(MIN(MAX($A34,1),5),CROQUIS!$C$15,CROQUIS!$C$15+CROQUIS!$C$10*CROQUIS!$C$14,CROQUIS!$C$15+CROQUIS!$C$10*CROQUIS!$C$14,CROQUIS!$C$15,CROQUIS!$C$15)</f>
        <v>12</v>
      </c>
      <c r="C34">
        <f>CHOOSE(MIN(MAX($A34,1),5),CROQUIS!$C$16,CROQUIS!$C$16,CROQUIS!$C$16+CROQUIS!$C$11*CROQUIS!$C$14,CROQUIS!$C$16+CROQUIS!$C$11*CROQUIS!$C$14,CROQUIS!$C$16)</f>
        <v>15.9462268413918</v>
      </c>
      <c r="D34">
        <f>CHOOSE(MIN(MAX($A34,1),5),CROQUIS!$C$15+DATOS!$C$17/2*CROQUIS!$C$14,CROQUIS!$C$15+CROQUIS!$C$10*CROQUIS!$C$14-DATOS!$C$17/2*CROQUIS!$C$14,CROQUIS!$C$15+CROQUIS!$C$10*CROQUIS!$C$14-DATOS!$C$17/2*CROQUIS!$C$14,CROQUIS!$C$15+DATOS!$C$17/2*CROQUIS!$C$14,CROQUIS!$C$15+DATOS!$C$17/2*CROQUIS!$C$14)</f>
        <v>13.3895164934478</v>
      </c>
      <c r="E34">
        <f>CHOOSE(MIN(MAX($A34,1),5),CROQUIS!$C$16+DATOS!$C$17/2*CROQUIS!$C$14,CROQUIS!$C$16+DATOS!$C$17/2*CROQUIS!$C$14,CROQUIS!$C$16+CROQUIS!$C$11*CROQUIS!$C$14-DATOS!$C$17/2*CROQUIS!$C$14,CROQUIS!$C$16+CROQUIS!$C$11*CROQUIS!$C$14-DATOS!$C$17/2*CROQUIS!$C$14,CROQUIS!$C$16+DATOS!$C$17/2*CROQUIS!$C$14)</f>
        <v>17.3357433348396</v>
      </c>
      <c r="F34">
        <f>IF(NERVADURA!$C$118=0,CROQUIS!$C$15+CROQUIS!$C$10*CROQUIS!$C$14/2,CROQUIS!$C$15+(DATOS!$C$17/2+NERVADURA!$C$119+INT(MIN(INT(($A34-1)/2),MAX(2*NERVADURA!$C$118-1,0))/2)*DATOS!$C$16+MOD(MIN(INT(($A34-1)/2),MAX(2*NERVADURA!$C$118-1,0)),2)*DATOS!$C$11)*CROQUIS!$C$14)</f>
        <v>90.9801174875734</v>
      </c>
      <c r="G34">
        <f>IF(NERVADURA!$C$118=0,CROQUIS!$C$16+CROQUIS!$C$11*CROQUIS!$C$14/2,CROQUIS!$C$16+IF(MOD(MIN(INT(($A34-1)/2),MAX(2*NERVADURA!$C$118-1,0)),2)=0,IF(IF(INT(($A34-1)/2)&gt;MAX(2*NERVADURA!$C$118-1,0),1,MOD($A34-1,2))=0,(DATOS!$C$17/2+NERVADURA!$C$121),(CROQUIS!$C$11-DATOS!$C$17/2-NERVADURA!$C$121)),IF(IF(INT(($A34-1)/2)&gt;MAX(2*NERVADURA!$C$118-1,0),1,MOD($A34-1,2))=0,(CROQUIS!$C$11-DATOS!$C$17/2-NERVADURA!$C$121),(DATOS!$C$17/2+NERVADURA!$C$121)))*CROQUIS!$C$14)</f>
        <v>21.504292815183</v>
      </c>
      <c r="H34">
        <f>IF(NERVADURA!$C$120=0,CROQUIS!$C$15+CROQUIS!$C$10*CROQUIS!$C$14/2,CROQUIS!$C$15+IF(MOD(MIN(INT(($A34-1)/2),MAX(2*NERVADURA!$C$120-1,0)),2)=0,IF(IF(INT(($A34-1)/2)&gt;MAX(2*NERVADURA!$C$120-1,0),1,MOD($A34-1,2))=0,(DATOS!$C$17/2+NERVADURA!$C$119),(CROQUIS!$C$10-DATOS!$C$17/2-NERVADURA!$C$119)),IF(IF(INT(($A34-1)/2)&gt;MAX(2*NERVADURA!$C$120-1,0),1,MOD($A34-1,2))=0,(CROQUIS!$C$10-DATOS!$C$17/2-NERVADURA!$C$119),(DATOS!$C$17/2+NERVADURA!$C$119)))*CROQUIS!$C$14)</f>
        <v>15.0198825124266</v>
      </c>
      <c r="I34">
        <f>IF(NERVADURA!$C$120=0,CROQUIS!$C$16+CROQUIS!$C$11*CROQUIS!$C$14/2,CROQUIS!$C$16+(DATOS!$C$17/2+NERVADURA!$C$121+INT(MIN(INT(($A34-1)/2),MAX(2*NERVADURA!$C$120-1,0))/2)*DATOS!$C$16+MOD(MIN(INT(($A34-1)/2),MAX(2*NERVADURA!$C$120-1,0)),2)*DATOS!$C$11)*CROQUIS!$C$14)</f>
        <v>84.495707184817</v>
      </c>
      <c r="CA34" t="n">
        <v>2.925</v>
      </c>
      <c r="CB34" t="n">
        <v>6.948</v>
      </c>
      <c r="CG34" t="n">
        <v>8.85</v>
      </c>
      <c r="CH34" t="n">
        <v>6.948</v>
      </c>
      <c r="CI34" t="n">
        <v>4.925</v>
      </c>
      <c r="CJ34" t="n">
        <v>15.447</v>
      </c>
      <c r="CK34" t="n">
        <v>5.422</v>
      </c>
      <c r="CL34" t="n">
        <v>9.949999999999999</v>
      </c>
      <c r="CQ34" t="n">
        <v>8.775</v>
      </c>
      <c r="CR34" t="n">
        <v>17.372</v>
      </c>
      <c r="CS34" t="n">
        <v>4.327</v>
      </c>
      <c r="CT34" t="n">
        <v>1.919</v>
      </c>
      <c r="CU34" t="inlineStr">
        <is>
          <t>F80027 N+6.00</t>
        </is>
      </c>
      <c r="CV34" t="inlineStr">
        <is>
          <t>N+6.00</t>
        </is>
      </c>
      <c r="CW34" t="n">
        <v>3.029</v>
      </c>
      <c r="CX34" t="n">
        <v>16.997</v>
      </c>
      <c r="CY34" t="n">
        <v>0</v>
      </c>
      <c r="CZ34" t="n">
        <v>16.997</v>
      </c>
      <c r="DA34" t="n">
        <v>0</v>
      </c>
      <c r="DB34" t="n">
        <v>15.846</v>
      </c>
      <c r="DC34" t="n">
        <v>3.029</v>
      </c>
      <c r="DD34" t="n">
        <v>15.846</v>
      </c>
      <c r="DE34" t="n">
        <v>3.029</v>
      </c>
      <c r="DF34" t="n">
        <v>16.997</v>
      </c>
      <c r="DG34" t="n">
        <v>3.029</v>
      </c>
      <c r="DH34" t="n">
        <v>16.997</v>
      </c>
      <c r="DI34" t="n">
        <v>3.029</v>
      </c>
      <c r="DJ34" t="n">
        <v>16.997</v>
      </c>
      <c r="DK34" t="n">
        <v>3.029</v>
      </c>
      <c r="DL34" t="n">
        <v>16.997</v>
      </c>
      <c r="DM34" t="n">
        <v>3.029</v>
      </c>
      <c r="DN34" t="n">
        <v>16.997</v>
      </c>
      <c r="DO34" t="n">
        <v>3.029</v>
      </c>
      <c r="DP34" t="n">
        <v>16.997</v>
      </c>
      <c r="DQ34" t="n">
        <v>3.029</v>
      </c>
      <c r="DR34" t="n">
        <v>16.997</v>
      </c>
      <c r="DS34" t="n">
        <v>3.029</v>
      </c>
      <c r="DT34" t="n">
        <v>16.997</v>
      </c>
      <c r="DU34" t="n">
        <v>3.029</v>
      </c>
      <c r="DV34" t="n">
        <v>16.997</v>
      </c>
      <c r="DW34" t="n">
        <v>3.029</v>
      </c>
      <c r="DX34" t="n">
        <v>16.997</v>
      </c>
      <c r="DY34" t="n">
        <v>3.029</v>
      </c>
      <c r="DZ34" t="n">
        <v>16.997</v>
      </c>
      <c r="EA34" t="n">
        <v>3.029</v>
      </c>
      <c r="EB34" t="n">
        <v>16.997</v>
      </c>
      <c r="EC34" t="n">
        <v>3.029</v>
      </c>
      <c r="ED34" t="n">
        <v>16.997</v>
      </c>
      <c r="EE34" t="n">
        <v>3.029</v>
      </c>
      <c r="EF34" t="n">
        <v>16.997</v>
      </c>
      <c r="EH34" t="inlineStr">
        <is>
          <t>NP-27</t>
        </is>
      </c>
      <c r="EI34" t="inlineStr">
        <is>
          <t>N+3.00</t>
        </is>
      </c>
      <c r="EJ34" t="n">
        <v>5.441</v>
      </c>
      <c r="EK34" t="n">
        <v>15.447</v>
      </c>
      <c r="EL34" t="n">
        <v>5.441</v>
      </c>
      <c r="EM34" t="n">
        <v>15.846</v>
      </c>
      <c r="EX34" t="inlineStr">
        <is>
          <t>F80027</t>
        </is>
      </c>
      <c r="EY34" t="n">
        <v>1.514</v>
      </c>
      <c r="EZ34" t="n">
        <v>16.422</v>
      </c>
      <c r="FA34" t="inlineStr">
        <is>
          <t>N+6.00</t>
        </is>
      </c>
    </row>
    <row r="35">
      <c r="A35" t="n">
        <v>28</v>
      </c>
      <c r="B35">
        <f>CHOOSE(MIN(MAX($A35,1),5),CROQUIS!$C$15,CROQUIS!$C$15+CROQUIS!$C$10*CROQUIS!$C$14,CROQUIS!$C$15+CROQUIS!$C$10*CROQUIS!$C$14,CROQUIS!$C$15,CROQUIS!$C$15)</f>
        <v>12</v>
      </c>
      <c r="C35">
        <f>CHOOSE(MIN(MAX($A35,1),5),CROQUIS!$C$16,CROQUIS!$C$16,CROQUIS!$C$16+CROQUIS!$C$11*CROQUIS!$C$14,CROQUIS!$C$16+CROQUIS!$C$11*CROQUIS!$C$14,CROQUIS!$C$16)</f>
        <v>15.9462268413918</v>
      </c>
      <c r="D35">
        <f>CHOOSE(MIN(MAX($A35,1),5),CROQUIS!$C$15+DATOS!$C$17/2*CROQUIS!$C$14,CROQUIS!$C$15+CROQUIS!$C$10*CROQUIS!$C$14-DATOS!$C$17/2*CROQUIS!$C$14,CROQUIS!$C$15+CROQUIS!$C$10*CROQUIS!$C$14-DATOS!$C$17/2*CROQUIS!$C$14,CROQUIS!$C$15+DATOS!$C$17/2*CROQUIS!$C$14,CROQUIS!$C$15+DATOS!$C$17/2*CROQUIS!$C$14)</f>
        <v>13.3895164934478</v>
      </c>
      <c r="E35">
        <f>CHOOSE(MIN(MAX($A35,1),5),CROQUIS!$C$16+DATOS!$C$17/2*CROQUIS!$C$14,CROQUIS!$C$16+DATOS!$C$17/2*CROQUIS!$C$14,CROQUIS!$C$16+CROQUIS!$C$11*CROQUIS!$C$14-DATOS!$C$17/2*CROQUIS!$C$14,CROQUIS!$C$16+CROQUIS!$C$11*CROQUIS!$C$14-DATOS!$C$17/2*CROQUIS!$C$14,CROQUIS!$C$16+DATOS!$C$17/2*CROQUIS!$C$14)</f>
        <v>17.3357433348396</v>
      </c>
      <c r="F35">
        <f>IF(NERVADURA!$C$118=0,CROQUIS!$C$15+CROQUIS!$C$10*CROQUIS!$C$14/2,CROQUIS!$C$15+(DATOS!$C$17/2+NERVADURA!$C$119+INT(MIN(INT(($A35-1)/2),MAX(2*NERVADURA!$C$118-1,0))/2)*DATOS!$C$16+MOD(MIN(INT(($A35-1)/2),MAX(2*NERVADURA!$C$118-1,0)),2)*DATOS!$C$11)*CROQUIS!$C$14)</f>
        <v>90.9801174875734</v>
      </c>
      <c r="G35">
        <f>IF(NERVADURA!$C$118=0,CROQUIS!$C$16+CROQUIS!$C$11*CROQUIS!$C$14/2,CROQUIS!$C$16+IF(MOD(MIN(INT(($A35-1)/2),MAX(2*NERVADURA!$C$118-1,0)),2)=0,IF(IF(INT(($A35-1)/2)&gt;MAX(2*NERVADURA!$C$118-1,0),1,MOD($A35-1,2))=0,(DATOS!$C$17/2+NERVADURA!$C$121),(CROQUIS!$C$11-DATOS!$C$17/2-NERVADURA!$C$121)),IF(IF(INT(($A35-1)/2)&gt;MAX(2*NERVADURA!$C$118-1,0),1,MOD($A35-1,2))=0,(CROQUIS!$C$11-DATOS!$C$17/2-NERVADURA!$C$121),(DATOS!$C$17/2+NERVADURA!$C$121)))*CROQUIS!$C$14)</f>
        <v>21.504292815183</v>
      </c>
      <c r="H35">
        <f>IF(NERVADURA!$C$120=0,CROQUIS!$C$15+CROQUIS!$C$10*CROQUIS!$C$14/2,CROQUIS!$C$15+IF(MOD(MIN(INT(($A35-1)/2),MAX(2*NERVADURA!$C$120-1,0)),2)=0,IF(IF(INT(($A35-1)/2)&gt;MAX(2*NERVADURA!$C$120-1,0),1,MOD($A35-1,2))=0,(DATOS!$C$17/2+NERVADURA!$C$119),(CROQUIS!$C$10-DATOS!$C$17/2-NERVADURA!$C$119)),IF(IF(INT(($A35-1)/2)&gt;MAX(2*NERVADURA!$C$120-1,0),1,MOD($A35-1,2))=0,(CROQUIS!$C$10-DATOS!$C$17/2-NERVADURA!$C$119),(DATOS!$C$17/2+NERVADURA!$C$119)))*CROQUIS!$C$14)</f>
        <v>15.0198825124266</v>
      </c>
      <c r="I35">
        <f>IF(NERVADURA!$C$120=0,CROQUIS!$C$16+CROQUIS!$C$11*CROQUIS!$C$14/2,CROQUIS!$C$16+(DATOS!$C$17/2+NERVADURA!$C$121+INT(MIN(INT(($A35-1)/2),MAX(2*NERVADURA!$C$120-1,0))/2)*DATOS!$C$16+MOD(MIN(INT(($A35-1)/2),MAX(2*NERVADURA!$C$120-1,0)),2)*DATOS!$C$11)*CROQUIS!$C$14)</f>
        <v>84.495707184817</v>
      </c>
      <c r="CA35" t="n">
        <v>2.925</v>
      </c>
      <c r="CB35" t="n">
        <v>5.946</v>
      </c>
      <c r="CC35" t="n">
        <v>7.25</v>
      </c>
      <c r="CD35" t="n">
        <v>24.371</v>
      </c>
      <c r="CE35" t="n">
        <v>0</v>
      </c>
      <c r="CF35" t="n">
        <v>14.021</v>
      </c>
      <c r="CI35" t="n">
        <v>4.925</v>
      </c>
      <c r="CJ35" t="n">
        <v>16.396</v>
      </c>
      <c r="CK35" t="n">
        <v>8.85</v>
      </c>
      <c r="CL35" t="n">
        <v>9.949999999999999</v>
      </c>
      <c r="CM35" t="n">
        <v>5.422</v>
      </c>
      <c r="CN35" t="n">
        <v>15.846</v>
      </c>
      <c r="CQ35" t="n">
        <v>5.998</v>
      </c>
      <c r="CR35" t="n">
        <v>17.372</v>
      </c>
      <c r="CS35" t="n">
        <v>4.327</v>
      </c>
      <c r="CT35" t="n">
        <v>2.921</v>
      </c>
      <c r="CU35" t="inlineStr">
        <is>
          <t>F80028 N+6.00</t>
        </is>
      </c>
      <c r="CV35" t="inlineStr">
        <is>
          <t>N+6.00</t>
        </is>
      </c>
      <c r="CW35" t="n">
        <v>5.822</v>
      </c>
      <c r="CX35" t="n">
        <v>16.697</v>
      </c>
      <c r="CY35" t="n">
        <v>8.85</v>
      </c>
      <c r="CZ35" t="n">
        <v>16.697</v>
      </c>
      <c r="DA35" t="n">
        <v>8.85</v>
      </c>
      <c r="DB35" t="n">
        <v>17.446</v>
      </c>
      <c r="DC35" t="n">
        <v>5.822</v>
      </c>
      <c r="DD35" t="n">
        <v>17.446</v>
      </c>
      <c r="DE35" t="n">
        <v>5.822</v>
      </c>
      <c r="DF35" t="n">
        <v>16.697</v>
      </c>
      <c r="DG35" t="n">
        <v>5.822</v>
      </c>
      <c r="DH35" t="n">
        <v>16.697</v>
      </c>
      <c r="DI35" t="n">
        <v>5.822</v>
      </c>
      <c r="DJ35" t="n">
        <v>16.697</v>
      </c>
      <c r="DK35" t="n">
        <v>5.822</v>
      </c>
      <c r="DL35" t="n">
        <v>16.697</v>
      </c>
      <c r="DM35" t="n">
        <v>5.822</v>
      </c>
      <c r="DN35" t="n">
        <v>16.697</v>
      </c>
      <c r="DO35" t="n">
        <v>5.822</v>
      </c>
      <c r="DP35" t="n">
        <v>16.697</v>
      </c>
      <c r="DQ35" t="n">
        <v>5.822</v>
      </c>
      <c r="DR35" t="n">
        <v>16.697</v>
      </c>
      <c r="DS35" t="n">
        <v>5.822</v>
      </c>
      <c r="DT35" t="n">
        <v>16.697</v>
      </c>
      <c r="DU35" t="n">
        <v>5.822</v>
      </c>
      <c r="DV35" t="n">
        <v>16.697</v>
      </c>
      <c r="DW35" t="n">
        <v>5.822</v>
      </c>
      <c r="DX35" t="n">
        <v>16.697</v>
      </c>
      <c r="DY35" t="n">
        <v>5.822</v>
      </c>
      <c r="DZ35" t="n">
        <v>16.697</v>
      </c>
      <c r="EA35" t="n">
        <v>5.822</v>
      </c>
      <c r="EB35" t="n">
        <v>16.697</v>
      </c>
      <c r="EC35" t="n">
        <v>5.822</v>
      </c>
      <c r="ED35" t="n">
        <v>16.697</v>
      </c>
      <c r="EE35" t="n">
        <v>5.822</v>
      </c>
      <c r="EF35" t="n">
        <v>16.697</v>
      </c>
      <c r="EH35" t="inlineStr">
        <is>
          <t>NP-28</t>
        </is>
      </c>
      <c r="EI35" t="inlineStr">
        <is>
          <t>N+3.00</t>
        </is>
      </c>
      <c r="EJ35" t="n">
        <v>5.822</v>
      </c>
      <c r="EK35" t="n">
        <v>15.846</v>
      </c>
      <c r="EL35" t="n">
        <v>5.822</v>
      </c>
      <c r="EM35" t="n">
        <v>17.446</v>
      </c>
      <c r="EX35" t="inlineStr">
        <is>
          <t>F80028</t>
        </is>
      </c>
      <c r="EY35" t="n">
        <v>7.336</v>
      </c>
      <c r="EZ35" t="n">
        <v>17.072</v>
      </c>
      <c r="FA35" t="inlineStr">
        <is>
          <t>N+6.00</t>
        </is>
      </c>
    </row>
    <row r="36">
      <c r="A36" t="n">
        <v>29</v>
      </c>
      <c r="B36">
        <f>CHOOSE(MIN(MAX($A36,1),5),CROQUIS!$C$15,CROQUIS!$C$15+CROQUIS!$C$10*CROQUIS!$C$14,CROQUIS!$C$15+CROQUIS!$C$10*CROQUIS!$C$14,CROQUIS!$C$15,CROQUIS!$C$15)</f>
        <v>12</v>
      </c>
      <c r="C36">
        <f>CHOOSE(MIN(MAX($A36,1),5),CROQUIS!$C$16,CROQUIS!$C$16,CROQUIS!$C$16+CROQUIS!$C$11*CROQUIS!$C$14,CROQUIS!$C$16+CROQUIS!$C$11*CROQUIS!$C$14,CROQUIS!$C$16)</f>
        <v>15.9462268413918</v>
      </c>
      <c r="D36">
        <f>CHOOSE(MIN(MAX($A36,1),5),CROQUIS!$C$15+DATOS!$C$17/2*CROQUIS!$C$14,CROQUIS!$C$15+CROQUIS!$C$10*CROQUIS!$C$14-DATOS!$C$17/2*CROQUIS!$C$14,CROQUIS!$C$15+CROQUIS!$C$10*CROQUIS!$C$14-DATOS!$C$17/2*CROQUIS!$C$14,CROQUIS!$C$15+DATOS!$C$17/2*CROQUIS!$C$14,CROQUIS!$C$15+DATOS!$C$17/2*CROQUIS!$C$14)</f>
        <v>13.3895164934478</v>
      </c>
      <c r="E36">
        <f>CHOOSE(MIN(MAX($A36,1),5),CROQUIS!$C$16+DATOS!$C$17/2*CROQUIS!$C$14,CROQUIS!$C$16+DATOS!$C$17/2*CROQUIS!$C$14,CROQUIS!$C$16+CROQUIS!$C$11*CROQUIS!$C$14-DATOS!$C$17/2*CROQUIS!$C$14,CROQUIS!$C$16+CROQUIS!$C$11*CROQUIS!$C$14-DATOS!$C$17/2*CROQUIS!$C$14,CROQUIS!$C$16+DATOS!$C$17/2*CROQUIS!$C$14)</f>
        <v>17.3357433348396</v>
      </c>
      <c r="F36">
        <f>IF(NERVADURA!$C$118=0,CROQUIS!$C$15+CROQUIS!$C$10*CROQUIS!$C$14/2,CROQUIS!$C$15+(DATOS!$C$17/2+NERVADURA!$C$119+INT(MIN(INT(($A36-1)/2),MAX(2*NERVADURA!$C$118-1,0))/2)*DATOS!$C$16+MOD(MIN(INT(($A36-1)/2),MAX(2*NERVADURA!$C$118-1,0)),2)*DATOS!$C$11)*CROQUIS!$C$14)</f>
        <v>90.9801174875734</v>
      </c>
      <c r="G36">
        <f>IF(NERVADURA!$C$118=0,CROQUIS!$C$16+CROQUIS!$C$11*CROQUIS!$C$14/2,CROQUIS!$C$16+IF(MOD(MIN(INT(($A36-1)/2),MAX(2*NERVADURA!$C$118-1,0)),2)=0,IF(IF(INT(($A36-1)/2)&gt;MAX(2*NERVADURA!$C$118-1,0),1,MOD($A36-1,2))=0,(DATOS!$C$17/2+NERVADURA!$C$121),(CROQUIS!$C$11-DATOS!$C$17/2-NERVADURA!$C$121)),IF(IF(INT(($A36-1)/2)&gt;MAX(2*NERVADURA!$C$118-1,0),1,MOD($A36-1,2))=0,(CROQUIS!$C$11-DATOS!$C$17/2-NERVADURA!$C$121),(DATOS!$C$17/2+NERVADURA!$C$121)))*CROQUIS!$C$14)</f>
        <v>21.504292815183</v>
      </c>
      <c r="H36">
        <f>IF(NERVADURA!$C$120=0,CROQUIS!$C$15+CROQUIS!$C$10*CROQUIS!$C$14/2,CROQUIS!$C$15+IF(MOD(MIN(INT(($A36-1)/2),MAX(2*NERVADURA!$C$120-1,0)),2)=0,IF(IF(INT(($A36-1)/2)&gt;MAX(2*NERVADURA!$C$120-1,0),1,MOD($A36-1,2))=0,(DATOS!$C$17/2+NERVADURA!$C$119),(CROQUIS!$C$10-DATOS!$C$17/2-NERVADURA!$C$119)),IF(IF(INT(($A36-1)/2)&gt;MAX(2*NERVADURA!$C$120-1,0),1,MOD($A36-1,2))=0,(CROQUIS!$C$10-DATOS!$C$17/2-NERVADURA!$C$119),(DATOS!$C$17/2+NERVADURA!$C$119)))*CROQUIS!$C$14)</f>
        <v>15.0198825124266</v>
      </c>
      <c r="I36">
        <f>IF(NERVADURA!$C$120=0,CROQUIS!$C$16+CROQUIS!$C$11*CROQUIS!$C$14/2,CROQUIS!$C$16+(DATOS!$C$17/2+NERVADURA!$C$121+INT(MIN(INT(($A36-1)/2),MAX(2*NERVADURA!$C$120-1,0))/2)*DATOS!$C$16+MOD(MIN(INT(($A36-1)/2),MAX(2*NERVADURA!$C$120-1,0)),2)*DATOS!$C$11)*CROQUIS!$C$14)</f>
        <v>84.495707184817</v>
      </c>
      <c r="CA36" t="n">
        <v>4.327</v>
      </c>
      <c r="CB36" t="n">
        <v>5.946</v>
      </c>
      <c r="CC36" t="n">
        <v>8.85</v>
      </c>
      <c r="CD36" t="n">
        <v>24.371</v>
      </c>
      <c r="CE36" t="n">
        <v>4.327</v>
      </c>
      <c r="CF36" t="n">
        <v>14.021</v>
      </c>
      <c r="CI36" t="n">
        <v>4.925</v>
      </c>
      <c r="CJ36" t="n">
        <v>17.446</v>
      </c>
      <c r="CK36" t="n">
        <v>8.85</v>
      </c>
      <c r="CL36" t="n">
        <v>15.846</v>
      </c>
      <c r="CM36" t="n">
        <v>8.85</v>
      </c>
      <c r="CN36" t="n">
        <v>15.846</v>
      </c>
      <c r="CQ36" t="n">
        <v>5.998</v>
      </c>
      <c r="CR36" t="n">
        <v>17.072</v>
      </c>
      <c r="CS36" t="n">
        <v>4.327</v>
      </c>
      <c r="CT36" t="n">
        <v>5.046</v>
      </c>
      <c r="CU36" t="inlineStr">
        <is>
          <t>F80029 N+6.00</t>
        </is>
      </c>
      <c r="CV36" t="inlineStr">
        <is>
          <t>N+6.00</t>
        </is>
      </c>
      <c r="CW36" t="n">
        <v>3.029</v>
      </c>
      <c r="CX36" t="n">
        <v>17.446</v>
      </c>
      <c r="CY36" t="n">
        <v>0</v>
      </c>
      <c r="CZ36" t="n">
        <v>17.446</v>
      </c>
      <c r="DA36" t="n">
        <v>0</v>
      </c>
      <c r="DB36" t="n">
        <v>16.997</v>
      </c>
      <c r="DC36" t="n">
        <v>3.029</v>
      </c>
      <c r="DD36" t="n">
        <v>16.997</v>
      </c>
      <c r="DE36" t="n">
        <v>3.029</v>
      </c>
      <c r="DF36" t="n">
        <v>17.446</v>
      </c>
      <c r="DG36" t="n">
        <v>3.029</v>
      </c>
      <c r="DH36" t="n">
        <v>17.446</v>
      </c>
      <c r="DI36" t="n">
        <v>3.029</v>
      </c>
      <c r="DJ36" t="n">
        <v>17.446</v>
      </c>
      <c r="DK36" t="n">
        <v>3.029</v>
      </c>
      <c r="DL36" t="n">
        <v>17.446</v>
      </c>
      <c r="DM36" t="n">
        <v>3.029</v>
      </c>
      <c r="DN36" t="n">
        <v>17.446</v>
      </c>
      <c r="DO36" t="n">
        <v>3.029</v>
      </c>
      <c r="DP36" t="n">
        <v>17.446</v>
      </c>
      <c r="DQ36" t="n">
        <v>3.029</v>
      </c>
      <c r="DR36" t="n">
        <v>17.446</v>
      </c>
      <c r="DS36" t="n">
        <v>3.029</v>
      </c>
      <c r="DT36" t="n">
        <v>17.446</v>
      </c>
      <c r="DU36" t="n">
        <v>3.029</v>
      </c>
      <c r="DV36" t="n">
        <v>17.446</v>
      </c>
      <c r="DW36" t="n">
        <v>3.029</v>
      </c>
      <c r="DX36" t="n">
        <v>17.446</v>
      </c>
      <c r="DY36" t="n">
        <v>3.029</v>
      </c>
      <c r="DZ36" t="n">
        <v>17.446</v>
      </c>
      <c r="EA36" t="n">
        <v>3.029</v>
      </c>
      <c r="EB36" t="n">
        <v>17.446</v>
      </c>
      <c r="EC36" t="n">
        <v>3.029</v>
      </c>
      <c r="ED36" t="n">
        <v>17.446</v>
      </c>
      <c r="EE36" t="n">
        <v>3.029</v>
      </c>
      <c r="EF36" t="n">
        <v>17.446</v>
      </c>
      <c r="EH36" t="inlineStr">
        <is>
          <t>NP-29</t>
        </is>
      </c>
      <c r="EI36" t="inlineStr">
        <is>
          <t>N+3.00</t>
        </is>
      </c>
      <c r="EJ36" t="n">
        <v>5.923</v>
      </c>
      <c r="EK36" t="n">
        <v>2.921</v>
      </c>
      <c r="EL36" t="n">
        <v>5.923</v>
      </c>
      <c r="EM36" t="n">
        <v>5.946</v>
      </c>
      <c r="EX36" t="inlineStr">
        <is>
          <t>F80029</t>
        </is>
      </c>
      <c r="EY36" t="n">
        <v>1.514</v>
      </c>
      <c r="EZ36" t="n">
        <v>17.221</v>
      </c>
      <c r="FA36" t="inlineStr">
        <is>
          <t>N+6.00</t>
        </is>
      </c>
    </row>
    <row r="37">
      <c r="A37" t="n">
        <v>30</v>
      </c>
      <c r="B37">
        <f>CHOOSE(MIN(MAX($A37,1),5),CROQUIS!$C$15,CROQUIS!$C$15+CROQUIS!$C$10*CROQUIS!$C$14,CROQUIS!$C$15+CROQUIS!$C$10*CROQUIS!$C$14,CROQUIS!$C$15,CROQUIS!$C$15)</f>
        <v>12</v>
      </c>
      <c r="C37">
        <f>CHOOSE(MIN(MAX($A37,1),5),CROQUIS!$C$16,CROQUIS!$C$16,CROQUIS!$C$16+CROQUIS!$C$11*CROQUIS!$C$14,CROQUIS!$C$16+CROQUIS!$C$11*CROQUIS!$C$14,CROQUIS!$C$16)</f>
        <v>15.9462268413918</v>
      </c>
      <c r="D37">
        <f>CHOOSE(MIN(MAX($A37,1),5),CROQUIS!$C$15+DATOS!$C$17/2*CROQUIS!$C$14,CROQUIS!$C$15+CROQUIS!$C$10*CROQUIS!$C$14-DATOS!$C$17/2*CROQUIS!$C$14,CROQUIS!$C$15+CROQUIS!$C$10*CROQUIS!$C$14-DATOS!$C$17/2*CROQUIS!$C$14,CROQUIS!$C$15+DATOS!$C$17/2*CROQUIS!$C$14,CROQUIS!$C$15+DATOS!$C$17/2*CROQUIS!$C$14)</f>
        <v>13.3895164934478</v>
      </c>
      <c r="E37">
        <f>CHOOSE(MIN(MAX($A37,1),5),CROQUIS!$C$16+DATOS!$C$17/2*CROQUIS!$C$14,CROQUIS!$C$16+DATOS!$C$17/2*CROQUIS!$C$14,CROQUIS!$C$16+CROQUIS!$C$11*CROQUIS!$C$14-DATOS!$C$17/2*CROQUIS!$C$14,CROQUIS!$C$16+CROQUIS!$C$11*CROQUIS!$C$14-DATOS!$C$17/2*CROQUIS!$C$14,CROQUIS!$C$16+DATOS!$C$17/2*CROQUIS!$C$14)</f>
        <v>17.3357433348396</v>
      </c>
      <c r="F37">
        <f>IF(NERVADURA!$C$118=0,CROQUIS!$C$15+CROQUIS!$C$10*CROQUIS!$C$14/2,CROQUIS!$C$15+(DATOS!$C$17/2+NERVADURA!$C$119+INT(MIN(INT(($A37-1)/2),MAX(2*NERVADURA!$C$118-1,0))/2)*DATOS!$C$16+MOD(MIN(INT(($A37-1)/2),MAX(2*NERVADURA!$C$118-1,0)),2)*DATOS!$C$11)*CROQUIS!$C$14)</f>
        <v>90.9801174875734</v>
      </c>
      <c r="G37">
        <f>IF(NERVADURA!$C$118=0,CROQUIS!$C$16+CROQUIS!$C$11*CROQUIS!$C$14/2,CROQUIS!$C$16+IF(MOD(MIN(INT(($A37-1)/2),MAX(2*NERVADURA!$C$118-1,0)),2)=0,IF(IF(INT(($A37-1)/2)&gt;MAX(2*NERVADURA!$C$118-1,0),1,MOD($A37-1,2))=0,(DATOS!$C$17/2+NERVADURA!$C$121),(CROQUIS!$C$11-DATOS!$C$17/2-NERVADURA!$C$121)),IF(IF(INT(($A37-1)/2)&gt;MAX(2*NERVADURA!$C$118-1,0),1,MOD($A37-1,2))=0,(CROQUIS!$C$11-DATOS!$C$17/2-NERVADURA!$C$121),(DATOS!$C$17/2+NERVADURA!$C$121)))*CROQUIS!$C$14)</f>
        <v>21.504292815183</v>
      </c>
      <c r="H37">
        <f>IF(NERVADURA!$C$120=0,CROQUIS!$C$15+CROQUIS!$C$10*CROQUIS!$C$14/2,CROQUIS!$C$15+IF(MOD(MIN(INT(($A37-1)/2),MAX(2*NERVADURA!$C$120-1,0)),2)=0,IF(IF(INT(($A37-1)/2)&gt;MAX(2*NERVADURA!$C$120-1,0),1,MOD($A37-1,2))=0,(DATOS!$C$17/2+NERVADURA!$C$119),(CROQUIS!$C$10-DATOS!$C$17/2-NERVADURA!$C$119)),IF(IF(INT(($A37-1)/2)&gt;MAX(2*NERVADURA!$C$120-1,0),1,MOD($A37-1,2))=0,(CROQUIS!$C$10-DATOS!$C$17/2-NERVADURA!$C$119),(DATOS!$C$17/2+NERVADURA!$C$119)))*CROQUIS!$C$14)</f>
        <v>15.0198825124266</v>
      </c>
      <c r="I37">
        <f>IF(NERVADURA!$C$120=0,CROQUIS!$C$16+CROQUIS!$C$11*CROQUIS!$C$14/2,CROQUIS!$C$16+(DATOS!$C$17/2+NERVADURA!$C$121+INT(MIN(INT(($A37-1)/2),MAX(2*NERVADURA!$C$120-1,0))/2)*DATOS!$C$16+MOD(MIN(INT(($A37-1)/2),MAX(2*NERVADURA!$C$120-1,0)),2)*DATOS!$C$11)*CROQUIS!$C$14)</f>
        <v>84.495707184817</v>
      </c>
      <c r="CA37" t="n">
        <v>4.327</v>
      </c>
      <c r="CB37" t="n">
        <v>6.948</v>
      </c>
      <c r="CI37" t="n">
        <v>4.925</v>
      </c>
      <c r="CJ37" t="n">
        <v>18.146</v>
      </c>
      <c r="CS37" t="n">
        <v>4.327</v>
      </c>
      <c r="CT37" t="n">
        <v>5.946</v>
      </c>
      <c r="CU37" t="inlineStr">
        <is>
          <t>F80030 N+6.00</t>
        </is>
      </c>
      <c r="CV37" t="inlineStr">
        <is>
          <t>N+6.00</t>
        </is>
      </c>
      <c r="CW37" t="n">
        <v>4.426</v>
      </c>
      <c r="CX37" t="n">
        <v>17.446</v>
      </c>
      <c r="CY37" t="n">
        <v>4.426</v>
      </c>
      <c r="CZ37" t="n">
        <v>21.446</v>
      </c>
      <c r="DA37" t="n">
        <v>0</v>
      </c>
      <c r="DB37" t="n">
        <v>21.446</v>
      </c>
      <c r="DC37" t="n">
        <v>0</v>
      </c>
      <c r="DD37" t="n">
        <v>17.446</v>
      </c>
      <c r="DE37" t="n">
        <v>4.426</v>
      </c>
      <c r="DF37" t="n">
        <v>17.446</v>
      </c>
      <c r="DG37" t="n">
        <v>4.426</v>
      </c>
      <c r="DH37" t="n">
        <v>17.446</v>
      </c>
      <c r="DI37" t="n">
        <v>4.426</v>
      </c>
      <c r="DJ37" t="n">
        <v>17.446</v>
      </c>
      <c r="DK37" t="n">
        <v>4.426</v>
      </c>
      <c r="DL37" t="n">
        <v>17.446</v>
      </c>
      <c r="DM37" t="n">
        <v>4.426</v>
      </c>
      <c r="DN37" t="n">
        <v>17.446</v>
      </c>
      <c r="DO37" t="n">
        <v>4.426</v>
      </c>
      <c r="DP37" t="n">
        <v>17.446</v>
      </c>
      <c r="DQ37" t="n">
        <v>4.426</v>
      </c>
      <c r="DR37" t="n">
        <v>17.446</v>
      </c>
      <c r="DS37" t="n">
        <v>4.426</v>
      </c>
      <c r="DT37" t="n">
        <v>17.446</v>
      </c>
      <c r="DU37" t="n">
        <v>4.426</v>
      </c>
      <c r="DV37" t="n">
        <v>17.446</v>
      </c>
      <c r="DW37" t="n">
        <v>4.426</v>
      </c>
      <c r="DX37" t="n">
        <v>17.446</v>
      </c>
      <c r="DY37" t="n">
        <v>4.426</v>
      </c>
      <c r="DZ37" t="n">
        <v>17.446</v>
      </c>
      <c r="EA37" t="n">
        <v>4.426</v>
      </c>
      <c r="EB37" t="n">
        <v>17.446</v>
      </c>
      <c r="EC37" t="n">
        <v>4.426</v>
      </c>
      <c r="ED37" t="n">
        <v>17.446</v>
      </c>
      <c r="EE37" t="n">
        <v>4.426</v>
      </c>
      <c r="EF37" t="n">
        <v>17.446</v>
      </c>
      <c r="EH37" t="inlineStr">
        <is>
          <t>NP-30</t>
        </is>
      </c>
      <c r="EI37" t="inlineStr">
        <is>
          <t>N+3.00</t>
        </is>
      </c>
      <c r="EJ37" t="n">
        <v>7.35</v>
      </c>
      <c r="EK37" t="n">
        <v>8.91</v>
      </c>
      <c r="EL37" t="n">
        <v>7.35</v>
      </c>
      <c r="EM37" t="n">
        <v>9.949999999999999</v>
      </c>
      <c r="EX37" t="inlineStr">
        <is>
          <t>F80030</t>
        </is>
      </c>
      <c r="EY37" t="n">
        <v>2.213</v>
      </c>
      <c r="EZ37" t="n">
        <v>19.446</v>
      </c>
      <c r="FA37" t="inlineStr">
        <is>
          <t>N+6.00</t>
        </is>
      </c>
    </row>
    <row r="38">
      <c r="A38" t="n">
        <v>31</v>
      </c>
      <c r="B38">
        <f>CHOOSE(MIN(MAX($A38,1),5),CROQUIS!$C$15,CROQUIS!$C$15+CROQUIS!$C$10*CROQUIS!$C$14,CROQUIS!$C$15+CROQUIS!$C$10*CROQUIS!$C$14,CROQUIS!$C$15,CROQUIS!$C$15)</f>
        <v>12</v>
      </c>
      <c r="C38">
        <f>CHOOSE(MIN(MAX($A38,1),5),CROQUIS!$C$16,CROQUIS!$C$16,CROQUIS!$C$16+CROQUIS!$C$11*CROQUIS!$C$14,CROQUIS!$C$16+CROQUIS!$C$11*CROQUIS!$C$14,CROQUIS!$C$16)</f>
        <v>15.9462268413918</v>
      </c>
      <c r="D38">
        <f>CHOOSE(MIN(MAX($A38,1),5),CROQUIS!$C$15+DATOS!$C$17/2*CROQUIS!$C$14,CROQUIS!$C$15+CROQUIS!$C$10*CROQUIS!$C$14-DATOS!$C$17/2*CROQUIS!$C$14,CROQUIS!$C$15+CROQUIS!$C$10*CROQUIS!$C$14-DATOS!$C$17/2*CROQUIS!$C$14,CROQUIS!$C$15+DATOS!$C$17/2*CROQUIS!$C$14,CROQUIS!$C$15+DATOS!$C$17/2*CROQUIS!$C$14)</f>
        <v>13.3895164934478</v>
      </c>
      <c r="E38">
        <f>CHOOSE(MIN(MAX($A38,1),5),CROQUIS!$C$16+DATOS!$C$17/2*CROQUIS!$C$14,CROQUIS!$C$16+DATOS!$C$17/2*CROQUIS!$C$14,CROQUIS!$C$16+CROQUIS!$C$11*CROQUIS!$C$14-DATOS!$C$17/2*CROQUIS!$C$14,CROQUIS!$C$16+CROQUIS!$C$11*CROQUIS!$C$14-DATOS!$C$17/2*CROQUIS!$C$14,CROQUIS!$C$16+DATOS!$C$17/2*CROQUIS!$C$14)</f>
        <v>17.3357433348396</v>
      </c>
      <c r="F38">
        <f>IF(NERVADURA!$C$118=0,CROQUIS!$C$15+CROQUIS!$C$10*CROQUIS!$C$14/2,CROQUIS!$C$15+(DATOS!$C$17/2+NERVADURA!$C$119+INT(MIN(INT(($A38-1)/2),MAX(2*NERVADURA!$C$118-1,0))/2)*DATOS!$C$16+MOD(MIN(INT(($A38-1)/2),MAX(2*NERVADURA!$C$118-1,0)),2)*DATOS!$C$11)*CROQUIS!$C$14)</f>
        <v>90.9801174875734</v>
      </c>
      <c r="G38">
        <f>IF(NERVADURA!$C$118=0,CROQUIS!$C$16+CROQUIS!$C$11*CROQUIS!$C$14/2,CROQUIS!$C$16+IF(MOD(MIN(INT(($A38-1)/2),MAX(2*NERVADURA!$C$118-1,0)),2)=0,IF(IF(INT(($A38-1)/2)&gt;MAX(2*NERVADURA!$C$118-1,0),1,MOD($A38-1,2))=0,(DATOS!$C$17/2+NERVADURA!$C$121),(CROQUIS!$C$11-DATOS!$C$17/2-NERVADURA!$C$121)),IF(IF(INT(($A38-1)/2)&gt;MAX(2*NERVADURA!$C$118-1,0),1,MOD($A38-1,2))=0,(CROQUIS!$C$11-DATOS!$C$17/2-NERVADURA!$C$121),(DATOS!$C$17/2+NERVADURA!$C$121)))*CROQUIS!$C$14)</f>
        <v>21.504292815183</v>
      </c>
      <c r="H38">
        <f>IF(NERVADURA!$C$120=0,CROQUIS!$C$15+CROQUIS!$C$10*CROQUIS!$C$14/2,CROQUIS!$C$15+IF(MOD(MIN(INT(($A38-1)/2),MAX(2*NERVADURA!$C$120-1,0)),2)=0,IF(IF(INT(($A38-1)/2)&gt;MAX(2*NERVADURA!$C$120-1,0),1,MOD($A38-1,2))=0,(DATOS!$C$17/2+NERVADURA!$C$119),(CROQUIS!$C$10-DATOS!$C$17/2-NERVADURA!$C$119)),IF(IF(INT(($A38-1)/2)&gt;MAX(2*NERVADURA!$C$120-1,0),1,MOD($A38-1,2))=0,(CROQUIS!$C$10-DATOS!$C$17/2-NERVADURA!$C$119),(DATOS!$C$17/2+NERVADURA!$C$119)))*CROQUIS!$C$14)</f>
        <v>15.0198825124266</v>
      </c>
      <c r="I38">
        <f>IF(NERVADURA!$C$120=0,CROQUIS!$C$16+CROQUIS!$C$11*CROQUIS!$C$14/2,CROQUIS!$C$16+(DATOS!$C$17/2+NERVADURA!$C$121+INT(MIN(INT(($A38-1)/2),MAX(2*NERVADURA!$C$120-1,0))/2)*DATOS!$C$16+MOD(MIN(INT(($A38-1)/2),MAX(2*NERVADURA!$C$120-1,0)),2)*DATOS!$C$11)*CROQUIS!$C$14)</f>
        <v>84.495707184817</v>
      </c>
      <c r="CA38" t="n">
        <v>2.925</v>
      </c>
      <c r="CB38" t="n">
        <v>6.948</v>
      </c>
      <c r="CC38" t="n">
        <v>-1.6</v>
      </c>
      <c r="CD38" t="n">
        <v>21.446</v>
      </c>
      <c r="CE38" t="n">
        <v>5.441</v>
      </c>
      <c r="CF38" t="n">
        <v>14.247</v>
      </c>
      <c r="CI38" t="n">
        <v>4.925</v>
      </c>
      <c r="CJ38" t="n">
        <v>19.2</v>
      </c>
      <c r="CK38" t="n">
        <v>5.822</v>
      </c>
      <c r="CL38" t="n">
        <v>15.846</v>
      </c>
      <c r="CM38" t="n">
        <v>0</v>
      </c>
      <c r="CN38" t="n">
        <v>17.446</v>
      </c>
      <c r="CQ38" t="n">
        <v>5.998</v>
      </c>
      <c r="CR38" t="n">
        <v>17.072</v>
      </c>
      <c r="CS38" t="n">
        <v>4.327</v>
      </c>
      <c r="CT38" t="n">
        <v>6.996</v>
      </c>
      <c r="CU38" t="inlineStr">
        <is>
          <t>F80031 N+6.00</t>
        </is>
      </c>
      <c r="CV38" t="inlineStr">
        <is>
          <t>N+6.00</t>
        </is>
      </c>
      <c r="CW38" t="n">
        <v>4.426</v>
      </c>
      <c r="CX38" t="n">
        <v>17.446</v>
      </c>
      <c r="CY38" t="n">
        <v>8.85</v>
      </c>
      <c r="CZ38" t="n">
        <v>17.446</v>
      </c>
      <c r="DA38" t="n">
        <v>8.85</v>
      </c>
      <c r="DB38" t="n">
        <v>21.446</v>
      </c>
      <c r="DC38" t="n">
        <v>4.426</v>
      </c>
      <c r="DD38" t="n">
        <v>21.446</v>
      </c>
      <c r="DE38" t="n">
        <v>4.426</v>
      </c>
      <c r="DF38" t="n">
        <v>17.446</v>
      </c>
      <c r="DG38" t="n">
        <v>4.426</v>
      </c>
      <c r="DH38" t="n">
        <v>17.446</v>
      </c>
      <c r="DI38" t="n">
        <v>4.426</v>
      </c>
      <c r="DJ38" t="n">
        <v>17.446</v>
      </c>
      <c r="DK38" t="n">
        <v>4.426</v>
      </c>
      <c r="DL38" t="n">
        <v>17.446</v>
      </c>
      <c r="DM38" t="n">
        <v>4.426</v>
      </c>
      <c r="DN38" t="n">
        <v>17.446</v>
      </c>
      <c r="DO38" t="n">
        <v>4.426</v>
      </c>
      <c r="DP38" t="n">
        <v>17.446</v>
      </c>
      <c r="DQ38" t="n">
        <v>4.426</v>
      </c>
      <c r="DR38" t="n">
        <v>17.446</v>
      </c>
      <c r="DS38" t="n">
        <v>4.426</v>
      </c>
      <c r="DT38" t="n">
        <v>17.446</v>
      </c>
      <c r="DU38" t="n">
        <v>4.426</v>
      </c>
      <c r="DV38" t="n">
        <v>17.446</v>
      </c>
      <c r="DW38" t="n">
        <v>4.426</v>
      </c>
      <c r="DX38" t="n">
        <v>17.446</v>
      </c>
      <c r="DY38" t="n">
        <v>4.426</v>
      </c>
      <c r="DZ38" t="n">
        <v>17.446</v>
      </c>
      <c r="EA38" t="n">
        <v>4.426</v>
      </c>
      <c r="EB38" t="n">
        <v>17.446</v>
      </c>
      <c r="EC38" t="n">
        <v>4.426</v>
      </c>
      <c r="ED38" t="n">
        <v>17.446</v>
      </c>
      <c r="EE38" t="n">
        <v>4.426</v>
      </c>
      <c r="EF38" t="n">
        <v>17.446</v>
      </c>
      <c r="EH38" t="inlineStr">
        <is>
          <t>NP-31</t>
        </is>
      </c>
      <c r="EI38" t="inlineStr">
        <is>
          <t>N+6.00</t>
        </is>
      </c>
      <c r="EJ38" t="n">
        <v>5.822</v>
      </c>
      <c r="EK38" t="n">
        <v>16.697</v>
      </c>
      <c r="EL38" t="n">
        <v>8.85</v>
      </c>
      <c r="EM38" t="n">
        <v>16.697</v>
      </c>
      <c r="EX38" t="inlineStr">
        <is>
          <t>F80031</t>
        </is>
      </c>
      <c r="EY38" t="n">
        <v>6.638</v>
      </c>
      <c r="EZ38" t="n">
        <v>19.446</v>
      </c>
      <c r="FA38" t="inlineStr">
        <is>
          <t>N+6.00</t>
        </is>
      </c>
    </row>
    <row r="39">
      <c r="A39" t="n">
        <v>32</v>
      </c>
      <c r="B39">
        <f>CHOOSE(MIN(MAX($A39,1),5),CROQUIS!$C$15,CROQUIS!$C$15+CROQUIS!$C$10*CROQUIS!$C$14,CROQUIS!$C$15+CROQUIS!$C$10*CROQUIS!$C$14,CROQUIS!$C$15,CROQUIS!$C$15)</f>
        <v>12</v>
      </c>
      <c r="C39">
        <f>CHOOSE(MIN(MAX($A39,1),5),CROQUIS!$C$16,CROQUIS!$C$16,CROQUIS!$C$16+CROQUIS!$C$11*CROQUIS!$C$14,CROQUIS!$C$16+CROQUIS!$C$11*CROQUIS!$C$14,CROQUIS!$C$16)</f>
        <v>15.9462268413918</v>
      </c>
      <c r="D39">
        <f>CHOOSE(MIN(MAX($A39,1),5),CROQUIS!$C$15+DATOS!$C$17/2*CROQUIS!$C$14,CROQUIS!$C$15+CROQUIS!$C$10*CROQUIS!$C$14-DATOS!$C$17/2*CROQUIS!$C$14,CROQUIS!$C$15+CROQUIS!$C$10*CROQUIS!$C$14-DATOS!$C$17/2*CROQUIS!$C$14,CROQUIS!$C$15+DATOS!$C$17/2*CROQUIS!$C$14,CROQUIS!$C$15+DATOS!$C$17/2*CROQUIS!$C$14)</f>
        <v>13.3895164934478</v>
      </c>
      <c r="E39">
        <f>CHOOSE(MIN(MAX($A39,1),5),CROQUIS!$C$16+DATOS!$C$17/2*CROQUIS!$C$14,CROQUIS!$C$16+DATOS!$C$17/2*CROQUIS!$C$14,CROQUIS!$C$16+CROQUIS!$C$11*CROQUIS!$C$14-DATOS!$C$17/2*CROQUIS!$C$14,CROQUIS!$C$16+CROQUIS!$C$11*CROQUIS!$C$14-DATOS!$C$17/2*CROQUIS!$C$14,CROQUIS!$C$16+DATOS!$C$17/2*CROQUIS!$C$14)</f>
        <v>17.3357433348396</v>
      </c>
      <c r="F39">
        <f>IF(NERVADURA!$C$118=0,CROQUIS!$C$15+CROQUIS!$C$10*CROQUIS!$C$14/2,CROQUIS!$C$15+(DATOS!$C$17/2+NERVADURA!$C$119+INT(MIN(INT(($A39-1)/2),MAX(2*NERVADURA!$C$118-1,0))/2)*DATOS!$C$16+MOD(MIN(INT(($A39-1)/2),MAX(2*NERVADURA!$C$118-1,0)),2)*DATOS!$C$11)*CROQUIS!$C$14)</f>
        <v>90.9801174875734</v>
      </c>
      <c r="G39">
        <f>IF(NERVADURA!$C$118=0,CROQUIS!$C$16+CROQUIS!$C$11*CROQUIS!$C$14/2,CROQUIS!$C$16+IF(MOD(MIN(INT(($A39-1)/2),MAX(2*NERVADURA!$C$118-1,0)),2)=0,IF(IF(INT(($A39-1)/2)&gt;MAX(2*NERVADURA!$C$118-1,0),1,MOD($A39-1,2))=0,(DATOS!$C$17/2+NERVADURA!$C$121),(CROQUIS!$C$11-DATOS!$C$17/2-NERVADURA!$C$121)),IF(IF(INT(($A39-1)/2)&gt;MAX(2*NERVADURA!$C$118-1,0),1,MOD($A39-1,2))=0,(CROQUIS!$C$11-DATOS!$C$17/2-NERVADURA!$C$121),(DATOS!$C$17/2+NERVADURA!$C$121)))*CROQUIS!$C$14)</f>
        <v>21.504292815183</v>
      </c>
      <c r="H39">
        <f>IF(NERVADURA!$C$120=0,CROQUIS!$C$15+CROQUIS!$C$10*CROQUIS!$C$14/2,CROQUIS!$C$15+IF(MOD(MIN(INT(($A39-1)/2),MAX(2*NERVADURA!$C$120-1,0)),2)=0,IF(IF(INT(($A39-1)/2)&gt;MAX(2*NERVADURA!$C$120-1,0),1,MOD($A39-1,2))=0,(DATOS!$C$17/2+NERVADURA!$C$119),(CROQUIS!$C$10-DATOS!$C$17/2-NERVADURA!$C$119)),IF(IF(INT(($A39-1)/2)&gt;MAX(2*NERVADURA!$C$120-1,0),1,MOD($A39-1,2))=0,(CROQUIS!$C$10-DATOS!$C$17/2-NERVADURA!$C$119),(DATOS!$C$17/2+NERVADURA!$C$119)))*CROQUIS!$C$14)</f>
        <v>15.0198825124266</v>
      </c>
      <c r="I39">
        <f>IF(NERVADURA!$C$120=0,CROQUIS!$C$16+CROQUIS!$C$11*CROQUIS!$C$14/2,CROQUIS!$C$16+(DATOS!$C$17/2+NERVADURA!$C$121+INT(MIN(INT(($A39-1)/2),MAX(2*NERVADURA!$C$120-1,0))/2)*DATOS!$C$16+MOD(MIN(INT(($A39-1)/2),MAX(2*NERVADURA!$C$120-1,0)),2)*DATOS!$C$11)*CROQUIS!$C$14)</f>
        <v>84.495707184817</v>
      </c>
      <c r="CC39" t="n">
        <v>-1.6</v>
      </c>
      <c r="CD39" t="n">
        <v>24.371</v>
      </c>
      <c r="CE39" t="n">
        <v>8.85</v>
      </c>
      <c r="CF39" t="n">
        <v>14.247</v>
      </c>
      <c r="CI39" t="n">
        <v>4.925</v>
      </c>
      <c r="CJ39" t="n">
        <v>21.446</v>
      </c>
      <c r="CK39" t="n">
        <v>8.85</v>
      </c>
      <c r="CL39" t="n">
        <v>15.846</v>
      </c>
      <c r="CM39" t="n">
        <v>8.85</v>
      </c>
      <c r="CN39" t="n">
        <v>17.446</v>
      </c>
      <c r="CQ39" t="n">
        <v>8.775</v>
      </c>
      <c r="CR39" t="n">
        <v>17.372</v>
      </c>
      <c r="CS39" t="n">
        <v>4.327</v>
      </c>
      <c r="CT39" t="n">
        <v>7.871</v>
      </c>
      <c r="CU39" t="inlineStr">
        <is>
          <t>F80032 N+6.00</t>
        </is>
      </c>
      <c r="CV39" t="inlineStr">
        <is>
          <t>N+6.00</t>
        </is>
      </c>
      <c r="CW39" t="n">
        <v>4.327</v>
      </c>
      <c r="CX39" t="n">
        <v>14.021</v>
      </c>
      <c r="CY39" t="n">
        <v>4.327</v>
      </c>
      <c r="CZ39" t="n">
        <v>5.946</v>
      </c>
      <c r="DA39" t="n">
        <v>5.923</v>
      </c>
      <c r="DB39" t="n">
        <v>5.946</v>
      </c>
      <c r="DC39" t="n">
        <v>5.923</v>
      </c>
      <c r="DD39" t="n">
        <v>9.949999999999999</v>
      </c>
      <c r="DE39" t="n">
        <v>5.422</v>
      </c>
      <c r="DF39" t="n">
        <v>9.949999999999999</v>
      </c>
      <c r="DG39" t="n">
        <v>5.422</v>
      </c>
      <c r="DH39" t="n">
        <v>15.846</v>
      </c>
      <c r="DI39" t="n">
        <v>5.822</v>
      </c>
      <c r="DJ39" t="n">
        <v>15.846</v>
      </c>
      <c r="DK39" t="n">
        <v>5.822</v>
      </c>
      <c r="DL39" t="n">
        <v>17.446</v>
      </c>
      <c r="DM39" t="n">
        <v>3.029</v>
      </c>
      <c r="DN39" t="n">
        <v>17.446</v>
      </c>
      <c r="DO39" t="n">
        <v>3.029</v>
      </c>
      <c r="DP39" t="n">
        <v>15.846</v>
      </c>
      <c r="DQ39" t="n">
        <v>3.427</v>
      </c>
      <c r="DR39" t="n">
        <v>15.846</v>
      </c>
      <c r="DS39" t="n">
        <v>3.427</v>
      </c>
      <c r="DT39" t="n">
        <v>14.021</v>
      </c>
      <c r="DU39" t="n">
        <v>4.327</v>
      </c>
      <c r="DV39" t="n">
        <v>14.021</v>
      </c>
      <c r="DW39" t="n">
        <v>4.327</v>
      </c>
      <c r="DX39" t="n">
        <v>14.021</v>
      </c>
      <c r="DY39" t="n">
        <v>4.327</v>
      </c>
      <c r="DZ39" t="n">
        <v>14.021</v>
      </c>
      <c r="EA39" t="n">
        <v>4.327</v>
      </c>
      <c r="EB39" t="n">
        <v>14.021</v>
      </c>
      <c r="EC39" t="n">
        <v>4.327</v>
      </c>
      <c r="ED39" t="n">
        <v>14.021</v>
      </c>
      <c r="EE39" t="n">
        <v>4.327</v>
      </c>
      <c r="EF39" t="n">
        <v>14.021</v>
      </c>
      <c r="EH39" t="inlineStr">
        <is>
          <t>NP-32</t>
        </is>
      </c>
      <c r="EI39" t="inlineStr">
        <is>
          <t>N+6.00</t>
        </is>
      </c>
      <c r="EJ39" t="n">
        <v>0</v>
      </c>
      <c r="EK39" t="n">
        <v>16.997</v>
      </c>
      <c r="EL39" t="n">
        <v>3.029</v>
      </c>
      <c r="EM39" t="n">
        <v>16.997</v>
      </c>
      <c r="EX39" t="inlineStr">
        <is>
          <t>F80032</t>
        </is>
      </c>
      <c r="EY39" t="n">
        <v>4.874</v>
      </c>
      <c r="EZ39" t="n">
        <v>11.986</v>
      </c>
      <c r="FA39" t="inlineStr">
        <is>
          <t>N+6.00</t>
        </is>
      </c>
    </row>
    <row r="40">
      <c r="A40" t="n">
        <v>33</v>
      </c>
      <c r="B40">
        <f>CHOOSE(MIN(MAX($A40,1),5),CROQUIS!$C$15,CROQUIS!$C$15+CROQUIS!$C$10*CROQUIS!$C$14,CROQUIS!$C$15+CROQUIS!$C$10*CROQUIS!$C$14,CROQUIS!$C$15,CROQUIS!$C$15)</f>
        <v>12</v>
      </c>
      <c r="C40">
        <f>CHOOSE(MIN(MAX($A40,1),5),CROQUIS!$C$16,CROQUIS!$C$16,CROQUIS!$C$16+CROQUIS!$C$11*CROQUIS!$C$14,CROQUIS!$C$16+CROQUIS!$C$11*CROQUIS!$C$14,CROQUIS!$C$16)</f>
        <v>15.9462268413918</v>
      </c>
      <c r="D40">
        <f>CHOOSE(MIN(MAX($A40,1),5),CROQUIS!$C$15+DATOS!$C$17/2*CROQUIS!$C$14,CROQUIS!$C$15+CROQUIS!$C$10*CROQUIS!$C$14-DATOS!$C$17/2*CROQUIS!$C$14,CROQUIS!$C$15+CROQUIS!$C$10*CROQUIS!$C$14-DATOS!$C$17/2*CROQUIS!$C$14,CROQUIS!$C$15+DATOS!$C$17/2*CROQUIS!$C$14,CROQUIS!$C$15+DATOS!$C$17/2*CROQUIS!$C$14)</f>
        <v>13.3895164934478</v>
      </c>
      <c r="E40">
        <f>CHOOSE(MIN(MAX($A40,1),5),CROQUIS!$C$16+DATOS!$C$17/2*CROQUIS!$C$14,CROQUIS!$C$16+DATOS!$C$17/2*CROQUIS!$C$14,CROQUIS!$C$16+CROQUIS!$C$11*CROQUIS!$C$14-DATOS!$C$17/2*CROQUIS!$C$14,CROQUIS!$C$16+CROQUIS!$C$11*CROQUIS!$C$14-DATOS!$C$17/2*CROQUIS!$C$14,CROQUIS!$C$16+DATOS!$C$17/2*CROQUIS!$C$14)</f>
        <v>17.3357433348396</v>
      </c>
      <c r="F40">
        <f>IF(NERVADURA!$C$118=0,CROQUIS!$C$15+CROQUIS!$C$10*CROQUIS!$C$14/2,CROQUIS!$C$15+(DATOS!$C$17/2+NERVADURA!$C$119+INT(MIN(INT(($A40-1)/2),MAX(2*NERVADURA!$C$118-1,0))/2)*DATOS!$C$16+MOD(MIN(INT(($A40-1)/2),MAX(2*NERVADURA!$C$118-1,0)),2)*DATOS!$C$11)*CROQUIS!$C$14)</f>
        <v>90.9801174875734</v>
      </c>
      <c r="G40">
        <f>IF(NERVADURA!$C$118=0,CROQUIS!$C$16+CROQUIS!$C$11*CROQUIS!$C$14/2,CROQUIS!$C$16+IF(MOD(MIN(INT(($A40-1)/2),MAX(2*NERVADURA!$C$118-1,0)),2)=0,IF(IF(INT(($A40-1)/2)&gt;MAX(2*NERVADURA!$C$118-1,0),1,MOD($A40-1,2))=0,(DATOS!$C$17/2+NERVADURA!$C$121),(CROQUIS!$C$11-DATOS!$C$17/2-NERVADURA!$C$121)),IF(IF(INT(($A40-1)/2)&gt;MAX(2*NERVADURA!$C$118-1,0),1,MOD($A40-1,2))=0,(CROQUIS!$C$11-DATOS!$C$17/2-NERVADURA!$C$121),(DATOS!$C$17/2+NERVADURA!$C$121)))*CROQUIS!$C$14)</f>
        <v>21.504292815183</v>
      </c>
      <c r="H40">
        <f>IF(NERVADURA!$C$120=0,CROQUIS!$C$15+CROQUIS!$C$10*CROQUIS!$C$14/2,CROQUIS!$C$15+IF(MOD(MIN(INT(($A40-1)/2),MAX(2*NERVADURA!$C$120-1,0)),2)=0,IF(IF(INT(($A40-1)/2)&gt;MAX(2*NERVADURA!$C$120-1,0),1,MOD($A40-1,2))=0,(DATOS!$C$17/2+NERVADURA!$C$119),(CROQUIS!$C$10-DATOS!$C$17/2-NERVADURA!$C$119)),IF(IF(INT(($A40-1)/2)&gt;MAX(2*NERVADURA!$C$120-1,0),1,MOD($A40-1,2))=0,(CROQUIS!$C$10-DATOS!$C$17/2-NERVADURA!$C$119),(DATOS!$C$17/2+NERVADURA!$C$119)))*CROQUIS!$C$14)</f>
        <v>15.0198825124266</v>
      </c>
      <c r="I40">
        <f>IF(NERVADURA!$C$120=0,CROQUIS!$C$16+CROQUIS!$C$11*CROQUIS!$C$14/2,CROQUIS!$C$16+(DATOS!$C$17/2+NERVADURA!$C$121+INT(MIN(INT(($A40-1)/2),MAX(2*NERVADURA!$C$120-1,0))/2)*DATOS!$C$16+MOD(MIN(INT(($A40-1)/2),MAX(2*NERVADURA!$C$120-1,0)),2)*DATOS!$C$11)*CROQUIS!$C$14)</f>
        <v>84.495707184817</v>
      </c>
      <c r="CA40" t="n">
        <v>0</v>
      </c>
      <c r="CB40" t="n">
        <v>6.948</v>
      </c>
      <c r="CI40" t="n">
        <v>5.275</v>
      </c>
      <c r="CJ40" t="n">
        <v>21.446</v>
      </c>
      <c r="CK40" t="n">
        <v>8.85</v>
      </c>
      <c r="CL40" t="n">
        <v>16.697</v>
      </c>
      <c r="CS40" t="n">
        <v>4.327</v>
      </c>
      <c r="CT40" t="n">
        <v>14.021</v>
      </c>
      <c r="EH40" t="inlineStr">
        <is>
          <t>NP-33</t>
        </is>
      </c>
      <c r="EI40" t="inlineStr">
        <is>
          <t>N+6.00</t>
        </is>
      </c>
      <c r="EJ40" t="n">
        <v>0</v>
      </c>
      <c r="EK40" t="n">
        <v>14.021</v>
      </c>
      <c r="EL40" t="n">
        <v>0</v>
      </c>
      <c r="EM40" t="n">
        <v>15.846</v>
      </c>
    </row>
    <row r="41">
      <c r="A41" t="n">
        <v>34</v>
      </c>
      <c r="B41">
        <f>CHOOSE(MIN(MAX($A41,1),5),CROQUIS!$C$15,CROQUIS!$C$15+CROQUIS!$C$10*CROQUIS!$C$14,CROQUIS!$C$15+CROQUIS!$C$10*CROQUIS!$C$14,CROQUIS!$C$15,CROQUIS!$C$15)</f>
        <v>12</v>
      </c>
      <c r="C41">
        <f>CHOOSE(MIN(MAX($A41,1),5),CROQUIS!$C$16,CROQUIS!$C$16,CROQUIS!$C$16+CROQUIS!$C$11*CROQUIS!$C$14,CROQUIS!$C$16+CROQUIS!$C$11*CROQUIS!$C$14,CROQUIS!$C$16)</f>
        <v>15.9462268413918</v>
      </c>
      <c r="D41">
        <f>CHOOSE(MIN(MAX($A41,1),5),CROQUIS!$C$15+DATOS!$C$17/2*CROQUIS!$C$14,CROQUIS!$C$15+CROQUIS!$C$10*CROQUIS!$C$14-DATOS!$C$17/2*CROQUIS!$C$14,CROQUIS!$C$15+CROQUIS!$C$10*CROQUIS!$C$14-DATOS!$C$17/2*CROQUIS!$C$14,CROQUIS!$C$15+DATOS!$C$17/2*CROQUIS!$C$14,CROQUIS!$C$15+DATOS!$C$17/2*CROQUIS!$C$14)</f>
        <v>13.3895164934478</v>
      </c>
      <c r="E41">
        <f>CHOOSE(MIN(MAX($A41,1),5),CROQUIS!$C$16+DATOS!$C$17/2*CROQUIS!$C$14,CROQUIS!$C$16+DATOS!$C$17/2*CROQUIS!$C$14,CROQUIS!$C$16+CROQUIS!$C$11*CROQUIS!$C$14-DATOS!$C$17/2*CROQUIS!$C$14,CROQUIS!$C$16+CROQUIS!$C$11*CROQUIS!$C$14-DATOS!$C$17/2*CROQUIS!$C$14,CROQUIS!$C$16+DATOS!$C$17/2*CROQUIS!$C$14)</f>
        <v>17.3357433348396</v>
      </c>
      <c r="F41">
        <f>IF(NERVADURA!$C$118=0,CROQUIS!$C$15+CROQUIS!$C$10*CROQUIS!$C$14/2,CROQUIS!$C$15+(DATOS!$C$17/2+NERVADURA!$C$119+INT(MIN(INT(($A41-1)/2),MAX(2*NERVADURA!$C$118-1,0))/2)*DATOS!$C$16+MOD(MIN(INT(($A41-1)/2),MAX(2*NERVADURA!$C$118-1,0)),2)*DATOS!$C$11)*CROQUIS!$C$14)</f>
        <v>90.9801174875734</v>
      </c>
      <c r="G41">
        <f>IF(NERVADURA!$C$118=0,CROQUIS!$C$16+CROQUIS!$C$11*CROQUIS!$C$14/2,CROQUIS!$C$16+IF(MOD(MIN(INT(($A41-1)/2),MAX(2*NERVADURA!$C$118-1,0)),2)=0,IF(IF(INT(($A41-1)/2)&gt;MAX(2*NERVADURA!$C$118-1,0),1,MOD($A41-1,2))=0,(DATOS!$C$17/2+NERVADURA!$C$121),(CROQUIS!$C$11-DATOS!$C$17/2-NERVADURA!$C$121)),IF(IF(INT(($A41-1)/2)&gt;MAX(2*NERVADURA!$C$118-1,0),1,MOD($A41-1,2))=0,(CROQUIS!$C$11-DATOS!$C$17/2-NERVADURA!$C$121),(DATOS!$C$17/2+NERVADURA!$C$121)))*CROQUIS!$C$14)</f>
        <v>21.504292815183</v>
      </c>
      <c r="H41">
        <f>IF(NERVADURA!$C$120=0,CROQUIS!$C$15+CROQUIS!$C$10*CROQUIS!$C$14/2,CROQUIS!$C$15+IF(MOD(MIN(INT(($A41-1)/2),MAX(2*NERVADURA!$C$120-1,0)),2)=0,IF(IF(INT(($A41-1)/2)&gt;MAX(2*NERVADURA!$C$120-1,0),1,MOD($A41-1,2))=0,(DATOS!$C$17/2+NERVADURA!$C$119),(CROQUIS!$C$10-DATOS!$C$17/2-NERVADURA!$C$119)),IF(IF(INT(($A41-1)/2)&gt;MAX(2*NERVADURA!$C$120-1,0),1,MOD($A41-1,2))=0,(CROQUIS!$C$10-DATOS!$C$17/2-NERVADURA!$C$119),(DATOS!$C$17/2+NERVADURA!$C$119)))*CROQUIS!$C$14)</f>
        <v>15.0198825124266</v>
      </c>
      <c r="I41">
        <f>IF(NERVADURA!$C$120=0,CROQUIS!$C$16+CROQUIS!$C$11*CROQUIS!$C$14/2,CROQUIS!$C$16+(DATOS!$C$17/2+NERVADURA!$C$121+INT(MIN(INT(($A41-1)/2),MAX(2*NERVADURA!$C$120-1,0))/2)*DATOS!$C$16+MOD(MIN(INT(($A41-1)/2),MAX(2*NERVADURA!$C$120-1,0)),2)*DATOS!$C$11)*CROQUIS!$C$14)</f>
        <v>84.495707184817</v>
      </c>
      <c r="CA41" t="n">
        <v>4.327</v>
      </c>
      <c r="CB41" t="n">
        <v>6.948</v>
      </c>
      <c r="CC41" t="n">
        <v>0</v>
      </c>
      <c r="CD41" t="n">
        <v>0</v>
      </c>
      <c r="CE41" t="n">
        <v>0</v>
      </c>
      <c r="CF41" t="n">
        <v>15.846</v>
      </c>
      <c r="CI41" t="n">
        <v>5.298</v>
      </c>
      <c r="CJ41" t="n">
        <v>5.946</v>
      </c>
      <c r="CK41" t="n">
        <v>5.822</v>
      </c>
      <c r="CL41" t="n">
        <v>16.697</v>
      </c>
      <c r="CM41" t="n">
        <v>0</v>
      </c>
      <c r="CN41" t="n">
        <v>21.446</v>
      </c>
      <c r="CQ41" t="n">
        <v>5.998</v>
      </c>
      <c r="CR41" t="n">
        <v>17.372</v>
      </c>
      <c r="CS41" t="n">
        <v>4.426</v>
      </c>
      <c r="CT41" t="n">
        <v>17.446</v>
      </c>
      <c r="EH41" t="inlineStr">
        <is>
          <t>NP-34</t>
        </is>
      </c>
      <c r="EI41" t="inlineStr">
        <is>
          <t>N+6.00</t>
        </is>
      </c>
      <c r="EJ41" t="n">
        <v>5.923</v>
      </c>
      <c r="EK41" t="n">
        <v>6.948</v>
      </c>
      <c r="EL41" t="n">
        <v>5.923</v>
      </c>
      <c r="EM41" t="n">
        <v>9.949999999999999</v>
      </c>
    </row>
    <row r="42">
      <c r="A42" t="n">
        <v>35</v>
      </c>
      <c r="B42">
        <f>CHOOSE(MIN(MAX($A42,1),5),CROQUIS!$C$15,CROQUIS!$C$15+CROQUIS!$C$10*CROQUIS!$C$14,CROQUIS!$C$15+CROQUIS!$C$10*CROQUIS!$C$14,CROQUIS!$C$15,CROQUIS!$C$15)</f>
        <v>12</v>
      </c>
      <c r="C42">
        <f>CHOOSE(MIN(MAX($A42,1),5),CROQUIS!$C$16,CROQUIS!$C$16,CROQUIS!$C$16+CROQUIS!$C$11*CROQUIS!$C$14,CROQUIS!$C$16+CROQUIS!$C$11*CROQUIS!$C$14,CROQUIS!$C$16)</f>
        <v>15.9462268413918</v>
      </c>
      <c r="D42">
        <f>CHOOSE(MIN(MAX($A42,1),5),CROQUIS!$C$15+DATOS!$C$17/2*CROQUIS!$C$14,CROQUIS!$C$15+CROQUIS!$C$10*CROQUIS!$C$14-DATOS!$C$17/2*CROQUIS!$C$14,CROQUIS!$C$15+CROQUIS!$C$10*CROQUIS!$C$14-DATOS!$C$17/2*CROQUIS!$C$14,CROQUIS!$C$15+DATOS!$C$17/2*CROQUIS!$C$14,CROQUIS!$C$15+DATOS!$C$17/2*CROQUIS!$C$14)</f>
        <v>13.3895164934478</v>
      </c>
      <c r="E42">
        <f>CHOOSE(MIN(MAX($A42,1),5),CROQUIS!$C$16+DATOS!$C$17/2*CROQUIS!$C$14,CROQUIS!$C$16+DATOS!$C$17/2*CROQUIS!$C$14,CROQUIS!$C$16+CROQUIS!$C$11*CROQUIS!$C$14-DATOS!$C$17/2*CROQUIS!$C$14,CROQUIS!$C$16+CROQUIS!$C$11*CROQUIS!$C$14-DATOS!$C$17/2*CROQUIS!$C$14,CROQUIS!$C$16+DATOS!$C$17/2*CROQUIS!$C$14)</f>
        <v>17.3357433348396</v>
      </c>
      <c r="F42">
        <f>IF(NERVADURA!$C$118=0,CROQUIS!$C$15+CROQUIS!$C$10*CROQUIS!$C$14/2,CROQUIS!$C$15+(DATOS!$C$17/2+NERVADURA!$C$119+INT(MIN(INT(($A42-1)/2),MAX(2*NERVADURA!$C$118-1,0))/2)*DATOS!$C$16+MOD(MIN(INT(($A42-1)/2),MAX(2*NERVADURA!$C$118-1,0)),2)*DATOS!$C$11)*CROQUIS!$C$14)</f>
        <v>90.9801174875734</v>
      </c>
      <c r="G42">
        <f>IF(NERVADURA!$C$118=0,CROQUIS!$C$16+CROQUIS!$C$11*CROQUIS!$C$14/2,CROQUIS!$C$16+IF(MOD(MIN(INT(($A42-1)/2),MAX(2*NERVADURA!$C$118-1,0)),2)=0,IF(IF(INT(($A42-1)/2)&gt;MAX(2*NERVADURA!$C$118-1,0),1,MOD($A42-1,2))=0,(DATOS!$C$17/2+NERVADURA!$C$121),(CROQUIS!$C$11-DATOS!$C$17/2-NERVADURA!$C$121)),IF(IF(INT(($A42-1)/2)&gt;MAX(2*NERVADURA!$C$118-1,0),1,MOD($A42-1,2))=0,(CROQUIS!$C$11-DATOS!$C$17/2-NERVADURA!$C$121),(DATOS!$C$17/2+NERVADURA!$C$121)))*CROQUIS!$C$14)</f>
        <v>21.504292815183</v>
      </c>
      <c r="H42">
        <f>IF(NERVADURA!$C$120=0,CROQUIS!$C$15+CROQUIS!$C$10*CROQUIS!$C$14/2,CROQUIS!$C$15+IF(MOD(MIN(INT(($A42-1)/2),MAX(2*NERVADURA!$C$120-1,0)),2)=0,IF(IF(INT(($A42-1)/2)&gt;MAX(2*NERVADURA!$C$120-1,0),1,MOD($A42-1,2))=0,(DATOS!$C$17/2+NERVADURA!$C$119),(CROQUIS!$C$10-DATOS!$C$17/2-NERVADURA!$C$119)),IF(IF(INT(($A42-1)/2)&gt;MAX(2*NERVADURA!$C$120-1,0),1,MOD($A42-1,2))=0,(CROQUIS!$C$10-DATOS!$C$17/2-NERVADURA!$C$119),(DATOS!$C$17/2+NERVADURA!$C$119)))*CROQUIS!$C$14)</f>
        <v>15.0198825124266</v>
      </c>
      <c r="I42">
        <f>IF(NERVADURA!$C$120=0,CROQUIS!$C$16+CROQUIS!$C$11*CROQUIS!$C$14/2,CROQUIS!$C$16+(DATOS!$C$17/2+NERVADURA!$C$121+INT(MIN(INT(($A42-1)/2),MAX(2*NERVADURA!$C$120-1,0))/2)*DATOS!$C$16+MOD(MIN(INT(($A42-1)/2),MAX(2*NERVADURA!$C$120-1,0)),2)*DATOS!$C$11)*CROQUIS!$C$14)</f>
        <v>84.495707184817</v>
      </c>
      <c r="CA42" t="n">
        <v>4.327</v>
      </c>
      <c r="CB42" t="n">
        <v>7.871</v>
      </c>
      <c r="CC42" t="n">
        <v>0</v>
      </c>
      <c r="CD42" t="n">
        <v>24.371</v>
      </c>
      <c r="CE42" t="n">
        <v>3.427</v>
      </c>
      <c r="CF42" t="n">
        <v>15.846</v>
      </c>
      <c r="CI42" t="n">
        <v>5.923</v>
      </c>
      <c r="CJ42" t="n">
        <v>5.946</v>
      </c>
      <c r="CK42" t="n">
        <v>5.822</v>
      </c>
      <c r="CL42" t="n">
        <v>15.846</v>
      </c>
      <c r="CM42" t="n">
        <v>8.85</v>
      </c>
      <c r="CN42" t="n">
        <v>21.446</v>
      </c>
      <c r="CQ42" t="n">
        <v>8.775</v>
      </c>
      <c r="CR42" t="n">
        <v>17.072</v>
      </c>
      <c r="CS42" t="n">
        <v>4.426</v>
      </c>
      <c r="CT42" t="n">
        <v>19.447</v>
      </c>
    </row>
    <row r="43">
      <c r="A43" t="n">
        <v>36</v>
      </c>
      <c r="B43">
        <f>CHOOSE(MIN(MAX($A43,1),5),CROQUIS!$C$15,CROQUIS!$C$15+CROQUIS!$C$10*CROQUIS!$C$14,CROQUIS!$C$15+CROQUIS!$C$10*CROQUIS!$C$14,CROQUIS!$C$15,CROQUIS!$C$15)</f>
        <v>12</v>
      </c>
      <c r="C43">
        <f>CHOOSE(MIN(MAX($A43,1),5),CROQUIS!$C$16,CROQUIS!$C$16,CROQUIS!$C$16+CROQUIS!$C$11*CROQUIS!$C$14,CROQUIS!$C$16+CROQUIS!$C$11*CROQUIS!$C$14,CROQUIS!$C$16)</f>
        <v>15.9462268413918</v>
      </c>
      <c r="D43">
        <f>CHOOSE(MIN(MAX($A43,1),5),CROQUIS!$C$15+DATOS!$C$17/2*CROQUIS!$C$14,CROQUIS!$C$15+CROQUIS!$C$10*CROQUIS!$C$14-DATOS!$C$17/2*CROQUIS!$C$14,CROQUIS!$C$15+CROQUIS!$C$10*CROQUIS!$C$14-DATOS!$C$17/2*CROQUIS!$C$14,CROQUIS!$C$15+DATOS!$C$17/2*CROQUIS!$C$14,CROQUIS!$C$15+DATOS!$C$17/2*CROQUIS!$C$14)</f>
        <v>13.3895164934478</v>
      </c>
      <c r="E43">
        <f>CHOOSE(MIN(MAX($A43,1),5),CROQUIS!$C$16+DATOS!$C$17/2*CROQUIS!$C$14,CROQUIS!$C$16+DATOS!$C$17/2*CROQUIS!$C$14,CROQUIS!$C$16+CROQUIS!$C$11*CROQUIS!$C$14-DATOS!$C$17/2*CROQUIS!$C$14,CROQUIS!$C$16+CROQUIS!$C$11*CROQUIS!$C$14-DATOS!$C$17/2*CROQUIS!$C$14,CROQUIS!$C$16+DATOS!$C$17/2*CROQUIS!$C$14)</f>
        <v>17.3357433348396</v>
      </c>
      <c r="F43">
        <f>IF(NERVADURA!$C$118=0,CROQUIS!$C$15+CROQUIS!$C$10*CROQUIS!$C$14/2,CROQUIS!$C$15+(DATOS!$C$17/2+NERVADURA!$C$119+INT(MIN(INT(($A43-1)/2),MAX(2*NERVADURA!$C$118-1,0))/2)*DATOS!$C$16+MOD(MIN(INT(($A43-1)/2),MAX(2*NERVADURA!$C$118-1,0)),2)*DATOS!$C$11)*CROQUIS!$C$14)</f>
        <v>90.9801174875734</v>
      </c>
      <c r="G43">
        <f>IF(NERVADURA!$C$118=0,CROQUIS!$C$16+CROQUIS!$C$11*CROQUIS!$C$14/2,CROQUIS!$C$16+IF(MOD(MIN(INT(($A43-1)/2),MAX(2*NERVADURA!$C$118-1,0)),2)=0,IF(IF(INT(($A43-1)/2)&gt;MAX(2*NERVADURA!$C$118-1,0),1,MOD($A43-1,2))=0,(DATOS!$C$17/2+NERVADURA!$C$121),(CROQUIS!$C$11-DATOS!$C$17/2-NERVADURA!$C$121)),IF(IF(INT(($A43-1)/2)&gt;MAX(2*NERVADURA!$C$118-1,0),1,MOD($A43-1,2))=0,(CROQUIS!$C$11-DATOS!$C$17/2-NERVADURA!$C$121),(DATOS!$C$17/2+NERVADURA!$C$121)))*CROQUIS!$C$14)</f>
        <v>21.504292815183</v>
      </c>
      <c r="H43">
        <f>IF(NERVADURA!$C$120=0,CROQUIS!$C$15+CROQUIS!$C$10*CROQUIS!$C$14/2,CROQUIS!$C$15+IF(MOD(MIN(INT(($A43-1)/2),MAX(2*NERVADURA!$C$120-1,0)),2)=0,IF(IF(INT(($A43-1)/2)&gt;MAX(2*NERVADURA!$C$120-1,0),1,MOD($A43-1,2))=0,(DATOS!$C$17/2+NERVADURA!$C$119),(CROQUIS!$C$10-DATOS!$C$17/2-NERVADURA!$C$119)),IF(IF(INT(($A43-1)/2)&gt;MAX(2*NERVADURA!$C$120-1,0),1,MOD($A43-1,2))=0,(CROQUIS!$C$10-DATOS!$C$17/2-NERVADURA!$C$119),(DATOS!$C$17/2+NERVADURA!$C$119)))*CROQUIS!$C$14)</f>
        <v>15.0198825124266</v>
      </c>
      <c r="I43">
        <f>IF(NERVADURA!$C$120=0,CROQUIS!$C$16+CROQUIS!$C$11*CROQUIS!$C$14/2,CROQUIS!$C$16+(DATOS!$C$17/2+NERVADURA!$C$121+INT(MIN(INT(($A43-1)/2),MAX(2*NERVADURA!$C$120-1,0))/2)*DATOS!$C$16+MOD(MIN(INT(($A43-1)/2),MAX(2*NERVADURA!$C$120-1,0)),2)*DATOS!$C$11)*CROQUIS!$C$14)</f>
        <v>84.495707184817</v>
      </c>
      <c r="CA43" t="n">
        <v>0</v>
      </c>
      <c r="CB43" t="n">
        <v>7.871</v>
      </c>
      <c r="CI43" t="n">
        <v>5.923</v>
      </c>
      <c r="CJ43" t="n">
        <v>6.948</v>
      </c>
      <c r="CS43" t="n">
        <v>4.426</v>
      </c>
      <c r="CT43" t="n">
        <v>21.446</v>
      </c>
    </row>
    <row r="44">
      <c r="A44" t="n">
        <v>37</v>
      </c>
      <c r="B44">
        <f>CHOOSE(MIN(MAX($A44,1),5),CROQUIS!$C$15,CROQUIS!$C$15+CROQUIS!$C$10*CROQUIS!$C$14,CROQUIS!$C$15+CROQUIS!$C$10*CROQUIS!$C$14,CROQUIS!$C$15,CROQUIS!$C$15)</f>
        <v>12</v>
      </c>
      <c r="C44">
        <f>CHOOSE(MIN(MAX($A44,1),5),CROQUIS!$C$16,CROQUIS!$C$16,CROQUIS!$C$16+CROQUIS!$C$11*CROQUIS!$C$14,CROQUIS!$C$16+CROQUIS!$C$11*CROQUIS!$C$14,CROQUIS!$C$16)</f>
        <v>15.9462268413918</v>
      </c>
      <c r="D44">
        <f>CHOOSE(MIN(MAX($A44,1),5),CROQUIS!$C$15+DATOS!$C$17/2*CROQUIS!$C$14,CROQUIS!$C$15+CROQUIS!$C$10*CROQUIS!$C$14-DATOS!$C$17/2*CROQUIS!$C$14,CROQUIS!$C$15+CROQUIS!$C$10*CROQUIS!$C$14-DATOS!$C$17/2*CROQUIS!$C$14,CROQUIS!$C$15+DATOS!$C$17/2*CROQUIS!$C$14,CROQUIS!$C$15+DATOS!$C$17/2*CROQUIS!$C$14)</f>
        <v>13.3895164934478</v>
      </c>
      <c r="E44">
        <f>CHOOSE(MIN(MAX($A44,1),5),CROQUIS!$C$16+DATOS!$C$17/2*CROQUIS!$C$14,CROQUIS!$C$16+DATOS!$C$17/2*CROQUIS!$C$14,CROQUIS!$C$16+CROQUIS!$C$11*CROQUIS!$C$14-DATOS!$C$17/2*CROQUIS!$C$14,CROQUIS!$C$16+CROQUIS!$C$11*CROQUIS!$C$14-DATOS!$C$17/2*CROQUIS!$C$14,CROQUIS!$C$16+DATOS!$C$17/2*CROQUIS!$C$14)</f>
        <v>17.3357433348396</v>
      </c>
      <c r="F44">
        <f>IF(NERVADURA!$C$118=0,CROQUIS!$C$15+CROQUIS!$C$10*CROQUIS!$C$14/2,CROQUIS!$C$15+(DATOS!$C$17/2+NERVADURA!$C$119+INT(MIN(INT(($A44-1)/2),MAX(2*NERVADURA!$C$118-1,0))/2)*DATOS!$C$16+MOD(MIN(INT(($A44-1)/2),MAX(2*NERVADURA!$C$118-1,0)),2)*DATOS!$C$11)*CROQUIS!$C$14)</f>
        <v>90.9801174875734</v>
      </c>
      <c r="G44">
        <f>IF(NERVADURA!$C$118=0,CROQUIS!$C$16+CROQUIS!$C$11*CROQUIS!$C$14/2,CROQUIS!$C$16+IF(MOD(MIN(INT(($A44-1)/2),MAX(2*NERVADURA!$C$118-1,0)),2)=0,IF(IF(INT(($A44-1)/2)&gt;MAX(2*NERVADURA!$C$118-1,0),1,MOD($A44-1,2))=0,(DATOS!$C$17/2+NERVADURA!$C$121),(CROQUIS!$C$11-DATOS!$C$17/2-NERVADURA!$C$121)),IF(IF(INT(($A44-1)/2)&gt;MAX(2*NERVADURA!$C$118-1,0),1,MOD($A44-1,2))=0,(CROQUIS!$C$11-DATOS!$C$17/2-NERVADURA!$C$121),(DATOS!$C$17/2+NERVADURA!$C$121)))*CROQUIS!$C$14)</f>
        <v>21.504292815183</v>
      </c>
      <c r="H44">
        <f>IF(NERVADURA!$C$120=0,CROQUIS!$C$15+CROQUIS!$C$10*CROQUIS!$C$14/2,CROQUIS!$C$15+IF(MOD(MIN(INT(($A44-1)/2),MAX(2*NERVADURA!$C$120-1,0)),2)=0,IF(IF(INT(($A44-1)/2)&gt;MAX(2*NERVADURA!$C$120-1,0),1,MOD($A44-1,2))=0,(DATOS!$C$17/2+NERVADURA!$C$119),(CROQUIS!$C$10-DATOS!$C$17/2-NERVADURA!$C$119)),IF(IF(INT(($A44-1)/2)&gt;MAX(2*NERVADURA!$C$120-1,0),1,MOD($A44-1,2))=0,(CROQUIS!$C$10-DATOS!$C$17/2-NERVADURA!$C$119),(DATOS!$C$17/2+NERVADURA!$C$119)))*CROQUIS!$C$14)</f>
        <v>15.0198825124266</v>
      </c>
      <c r="I44">
        <f>IF(NERVADURA!$C$120=0,CROQUIS!$C$16+CROQUIS!$C$11*CROQUIS!$C$14/2,CROQUIS!$C$16+(DATOS!$C$17/2+NERVADURA!$C$121+INT(MIN(INT(($A44-1)/2),MAX(2*NERVADURA!$C$120-1,0))/2)*DATOS!$C$16+MOD(MIN(INT(($A44-1)/2),MAX(2*NERVADURA!$C$120-1,0)),2)*DATOS!$C$11)*CROQUIS!$C$14)</f>
        <v>84.495707184817</v>
      </c>
      <c r="CA44" t="n">
        <v>0</v>
      </c>
      <c r="CB44" t="n">
        <v>6.948</v>
      </c>
      <c r="CC44" t="n">
        <v>2.925</v>
      </c>
      <c r="CD44" t="n">
        <v>5.346</v>
      </c>
      <c r="CE44" t="n">
        <v>5.422</v>
      </c>
      <c r="CF44" t="n">
        <v>15.846</v>
      </c>
      <c r="CI44" t="n">
        <v>6.272</v>
      </c>
      <c r="CJ44" t="n">
        <v>6.948</v>
      </c>
      <c r="CK44" t="n">
        <v>3.029</v>
      </c>
      <c r="CL44" t="n">
        <v>16.997</v>
      </c>
      <c r="CM44" t="n">
        <v>0</v>
      </c>
      <c r="CN44" t="n">
        <v>1.919</v>
      </c>
      <c r="CQ44" t="n">
        <v>5.998</v>
      </c>
      <c r="CR44" t="n">
        <v>16.772</v>
      </c>
      <c r="CS44" t="n">
        <v>5.298</v>
      </c>
      <c r="CT44" t="n">
        <v>5.946</v>
      </c>
    </row>
    <row r="45">
      <c r="A45" t="n">
        <v>38</v>
      </c>
      <c r="B45">
        <f>CHOOSE(MIN(MAX($A45,1),5),CROQUIS!$C$15,CROQUIS!$C$15+CROQUIS!$C$10*CROQUIS!$C$14,CROQUIS!$C$15+CROQUIS!$C$10*CROQUIS!$C$14,CROQUIS!$C$15,CROQUIS!$C$15)</f>
        <v>12</v>
      </c>
      <c r="C45">
        <f>CHOOSE(MIN(MAX($A45,1),5),CROQUIS!$C$16,CROQUIS!$C$16,CROQUIS!$C$16+CROQUIS!$C$11*CROQUIS!$C$14,CROQUIS!$C$16+CROQUIS!$C$11*CROQUIS!$C$14,CROQUIS!$C$16)</f>
        <v>15.9462268413918</v>
      </c>
      <c r="D45">
        <f>CHOOSE(MIN(MAX($A45,1),5),CROQUIS!$C$15+DATOS!$C$17/2*CROQUIS!$C$14,CROQUIS!$C$15+CROQUIS!$C$10*CROQUIS!$C$14-DATOS!$C$17/2*CROQUIS!$C$14,CROQUIS!$C$15+CROQUIS!$C$10*CROQUIS!$C$14-DATOS!$C$17/2*CROQUIS!$C$14,CROQUIS!$C$15+DATOS!$C$17/2*CROQUIS!$C$14,CROQUIS!$C$15+DATOS!$C$17/2*CROQUIS!$C$14)</f>
        <v>13.3895164934478</v>
      </c>
      <c r="E45">
        <f>CHOOSE(MIN(MAX($A45,1),5),CROQUIS!$C$16+DATOS!$C$17/2*CROQUIS!$C$14,CROQUIS!$C$16+DATOS!$C$17/2*CROQUIS!$C$14,CROQUIS!$C$16+CROQUIS!$C$11*CROQUIS!$C$14-DATOS!$C$17/2*CROQUIS!$C$14,CROQUIS!$C$16+CROQUIS!$C$11*CROQUIS!$C$14-DATOS!$C$17/2*CROQUIS!$C$14,CROQUIS!$C$16+DATOS!$C$17/2*CROQUIS!$C$14)</f>
        <v>17.3357433348396</v>
      </c>
      <c r="F45">
        <f>IF(NERVADURA!$C$118=0,CROQUIS!$C$15+CROQUIS!$C$10*CROQUIS!$C$14/2,CROQUIS!$C$15+(DATOS!$C$17/2+NERVADURA!$C$119+INT(MIN(INT(($A45-1)/2),MAX(2*NERVADURA!$C$118-1,0))/2)*DATOS!$C$16+MOD(MIN(INT(($A45-1)/2),MAX(2*NERVADURA!$C$118-1,0)),2)*DATOS!$C$11)*CROQUIS!$C$14)</f>
        <v>90.9801174875734</v>
      </c>
      <c r="G45">
        <f>IF(NERVADURA!$C$118=0,CROQUIS!$C$16+CROQUIS!$C$11*CROQUIS!$C$14/2,CROQUIS!$C$16+IF(MOD(MIN(INT(($A45-1)/2),MAX(2*NERVADURA!$C$118-1,0)),2)=0,IF(IF(INT(($A45-1)/2)&gt;MAX(2*NERVADURA!$C$118-1,0),1,MOD($A45-1,2))=0,(DATOS!$C$17/2+NERVADURA!$C$121),(CROQUIS!$C$11-DATOS!$C$17/2-NERVADURA!$C$121)),IF(IF(INT(($A45-1)/2)&gt;MAX(2*NERVADURA!$C$118-1,0),1,MOD($A45-1,2))=0,(CROQUIS!$C$11-DATOS!$C$17/2-NERVADURA!$C$121),(DATOS!$C$17/2+NERVADURA!$C$121)))*CROQUIS!$C$14)</f>
        <v>21.504292815183</v>
      </c>
      <c r="H45">
        <f>IF(NERVADURA!$C$120=0,CROQUIS!$C$15+CROQUIS!$C$10*CROQUIS!$C$14/2,CROQUIS!$C$15+IF(MOD(MIN(INT(($A45-1)/2),MAX(2*NERVADURA!$C$120-1,0)),2)=0,IF(IF(INT(($A45-1)/2)&gt;MAX(2*NERVADURA!$C$120-1,0),1,MOD($A45-1,2))=0,(DATOS!$C$17/2+NERVADURA!$C$119),(CROQUIS!$C$10-DATOS!$C$17/2-NERVADURA!$C$119)),IF(IF(INT(($A45-1)/2)&gt;MAX(2*NERVADURA!$C$120-1,0),1,MOD($A45-1,2))=0,(CROQUIS!$C$10-DATOS!$C$17/2-NERVADURA!$C$119),(DATOS!$C$17/2+NERVADURA!$C$119)))*CROQUIS!$C$14)</f>
        <v>15.0198825124266</v>
      </c>
      <c r="I45">
        <f>IF(NERVADURA!$C$120=0,CROQUIS!$C$16+CROQUIS!$C$11*CROQUIS!$C$14/2,CROQUIS!$C$16+(DATOS!$C$17/2+NERVADURA!$C$121+INT(MIN(INT(($A45-1)/2),MAX(2*NERVADURA!$C$120-1,0))/2)*DATOS!$C$16+MOD(MIN(INT(($A45-1)/2),MAX(2*NERVADURA!$C$120-1,0)),2)*DATOS!$C$11)*CROQUIS!$C$14)</f>
        <v>84.495707184817</v>
      </c>
      <c r="CC45" t="n">
        <v>2.925</v>
      </c>
      <c r="CD45" t="n">
        <v>6.948</v>
      </c>
      <c r="CE45" t="n">
        <v>8.85</v>
      </c>
      <c r="CF45" t="n">
        <v>15.846</v>
      </c>
      <c r="CI45" t="n">
        <v>6.887</v>
      </c>
      <c r="CJ45" t="n">
        <v>15.447</v>
      </c>
      <c r="CK45" t="n">
        <v>0</v>
      </c>
      <c r="CL45" t="n">
        <v>16.997</v>
      </c>
      <c r="CM45" t="n">
        <v>0</v>
      </c>
      <c r="CN45" t="n">
        <v>14.021</v>
      </c>
      <c r="CQ45" t="n">
        <v>8.775</v>
      </c>
      <c r="CR45" t="n">
        <v>16.772</v>
      </c>
      <c r="CS45" t="n">
        <v>5.422</v>
      </c>
      <c r="CT45" t="n">
        <v>9.949999999999999</v>
      </c>
    </row>
    <row r="46">
      <c r="A46" t="n">
        <v>39</v>
      </c>
      <c r="B46">
        <f>CHOOSE(MIN(MAX($A46,1),5),CROQUIS!$C$15,CROQUIS!$C$15+CROQUIS!$C$10*CROQUIS!$C$14,CROQUIS!$C$15+CROQUIS!$C$10*CROQUIS!$C$14,CROQUIS!$C$15,CROQUIS!$C$15)</f>
        <v>12</v>
      </c>
      <c r="C46">
        <f>CHOOSE(MIN(MAX($A46,1),5),CROQUIS!$C$16,CROQUIS!$C$16,CROQUIS!$C$16+CROQUIS!$C$11*CROQUIS!$C$14,CROQUIS!$C$16+CROQUIS!$C$11*CROQUIS!$C$14,CROQUIS!$C$16)</f>
        <v>15.9462268413918</v>
      </c>
      <c r="D46">
        <f>CHOOSE(MIN(MAX($A46,1),5),CROQUIS!$C$15+DATOS!$C$17/2*CROQUIS!$C$14,CROQUIS!$C$15+CROQUIS!$C$10*CROQUIS!$C$14-DATOS!$C$17/2*CROQUIS!$C$14,CROQUIS!$C$15+CROQUIS!$C$10*CROQUIS!$C$14-DATOS!$C$17/2*CROQUIS!$C$14,CROQUIS!$C$15+DATOS!$C$17/2*CROQUIS!$C$14,CROQUIS!$C$15+DATOS!$C$17/2*CROQUIS!$C$14)</f>
        <v>13.3895164934478</v>
      </c>
      <c r="E46">
        <f>CHOOSE(MIN(MAX($A46,1),5),CROQUIS!$C$16+DATOS!$C$17/2*CROQUIS!$C$14,CROQUIS!$C$16+DATOS!$C$17/2*CROQUIS!$C$14,CROQUIS!$C$16+CROQUIS!$C$11*CROQUIS!$C$14-DATOS!$C$17/2*CROQUIS!$C$14,CROQUIS!$C$16+CROQUIS!$C$11*CROQUIS!$C$14-DATOS!$C$17/2*CROQUIS!$C$14,CROQUIS!$C$16+DATOS!$C$17/2*CROQUIS!$C$14)</f>
        <v>17.3357433348396</v>
      </c>
      <c r="F46">
        <f>IF(NERVADURA!$C$118=0,CROQUIS!$C$15+CROQUIS!$C$10*CROQUIS!$C$14/2,CROQUIS!$C$15+(DATOS!$C$17/2+NERVADURA!$C$119+INT(MIN(INT(($A46-1)/2),MAX(2*NERVADURA!$C$118-1,0))/2)*DATOS!$C$16+MOD(MIN(INT(($A46-1)/2),MAX(2*NERVADURA!$C$118-1,0)),2)*DATOS!$C$11)*CROQUIS!$C$14)</f>
        <v>90.9801174875734</v>
      </c>
      <c r="G46">
        <f>IF(NERVADURA!$C$118=0,CROQUIS!$C$16+CROQUIS!$C$11*CROQUIS!$C$14/2,CROQUIS!$C$16+IF(MOD(MIN(INT(($A46-1)/2),MAX(2*NERVADURA!$C$118-1,0)),2)=0,IF(IF(INT(($A46-1)/2)&gt;MAX(2*NERVADURA!$C$118-1,0),1,MOD($A46-1,2))=0,(DATOS!$C$17/2+NERVADURA!$C$121),(CROQUIS!$C$11-DATOS!$C$17/2-NERVADURA!$C$121)),IF(IF(INT(($A46-1)/2)&gt;MAX(2*NERVADURA!$C$118-1,0),1,MOD($A46-1,2))=0,(CROQUIS!$C$11-DATOS!$C$17/2-NERVADURA!$C$121),(DATOS!$C$17/2+NERVADURA!$C$121)))*CROQUIS!$C$14)</f>
        <v>21.504292815183</v>
      </c>
      <c r="H46">
        <f>IF(NERVADURA!$C$120=0,CROQUIS!$C$15+CROQUIS!$C$10*CROQUIS!$C$14/2,CROQUIS!$C$15+IF(MOD(MIN(INT(($A46-1)/2),MAX(2*NERVADURA!$C$120-1,0)),2)=0,IF(IF(INT(($A46-1)/2)&gt;MAX(2*NERVADURA!$C$120-1,0),1,MOD($A46-1,2))=0,(DATOS!$C$17/2+NERVADURA!$C$119),(CROQUIS!$C$10-DATOS!$C$17/2-NERVADURA!$C$119)),IF(IF(INT(($A46-1)/2)&gt;MAX(2*NERVADURA!$C$120-1,0),1,MOD($A46-1,2))=0,(CROQUIS!$C$10-DATOS!$C$17/2-NERVADURA!$C$119),(DATOS!$C$17/2+NERVADURA!$C$119)))*CROQUIS!$C$14)</f>
        <v>15.0198825124266</v>
      </c>
      <c r="I46">
        <f>IF(NERVADURA!$C$120=0,CROQUIS!$C$16+CROQUIS!$C$11*CROQUIS!$C$14/2,CROQUIS!$C$16+(DATOS!$C$17/2+NERVADURA!$C$121+INT(MIN(INT(($A46-1)/2),MAX(2*NERVADURA!$C$120-1,0))/2)*DATOS!$C$16+MOD(MIN(INT(($A46-1)/2),MAX(2*NERVADURA!$C$120-1,0)),2)*DATOS!$C$11)*CROQUIS!$C$14)</f>
        <v>84.495707184817</v>
      </c>
      <c r="CA46" t="n">
        <v>4.327</v>
      </c>
      <c r="CB46" t="n">
        <v>14.021</v>
      </c>
      <c r="CI46" t="n">
        <v>6.887</v>
      </c>
      <c r="CJ46" t="n">
        <v>17.446</v>
      </c>
      <c r="CK46" t="n">
        <v>0</v>
      </c>
      <c r="CL46" t="n">
        <v>15.846</v>
      </c>
      <c r="CQ46" t="n">
        <v>8.775</v>
      </c>
      <c r="CR46" t="n">
        <v>17.072</v>
      </c>
      <c r="CS46" t="n">
        <v>5.422</v>
      </c>
      <c r="CT46" t="n">
        <v>11</v>
      </c>
    </row>
    <row r="47">
      <c r="A47" t="n">
        <v>40</v>
      </c>
      <c r="B47">
        <f>CHOOSE(MIN(MAX($A47,1),5),CROQUIS!$C$15,CROQUIS!$C$15+CROQUIS!$C$10*CROQUIS!$C$14,CROQUIS!$C$15+CROQUIS!$C$10*CROQUIS!$C$14,CROQUIS!$C$15,CROQUIS!$C$15)</f>
        <v>12</v>
      </c>
      <c r="C47">
        <f>CHOOSE(MIN(MAX($A47,1),5),CROQUIS!$C$16,CROQUIS!$C$16,CROQUIS!$C$16+CROQUIS!$C$11*CROQUIS!$C$14,CROQUIS!$C$16+CROQUIS!$C$11*CROQUIS!$C$14,CROQUIS!$C$16)</f>
        <v>15.9462268413918</v>
      </c>
      <c r="D47">
        <f>CHOOSE(MIN(MAX($A47,1),5),CROQUIS!$C$15+DATOS!$C$17/2*CROQUIS!$C$14,CROQUIS!$C$15+CROQUIS!$C$10*CROQUIS!$C$14-DATOS!$C$17/2*CROQUIS!$C$14,CROQUIS!$C$15+CROQUIS!$C$10*CROQUIS!$C$14-DATOS!$C$17/2*CROQUIS!$C$14,CROQUIS!$C$15+DATOS!$C$17/2*CROQUIS!$C$14,CROQUIS!$C$15+DATOS!$C$17/2*CROQUIS!$C$14)</f>
        <v>13.3895164934478</v>
      </c>
      <c r="E47">
        <f>CHOOSE(MIN(MAX($A47,1),5),CROQUIS!$C$16+DATOS!$C$17/2*CROQUIS!$C$14,CROQUIS!$C$16+DATOS!$C$17/2*CROQUIS!$C$14,CROQUIS!$C$16+CROQUIS!$C$11*CROQUIS!$C$14-DATOS!$C$17/2*CROQUIS!$C$14,CROQUIS!$C$16+CROQUIS!$C$11*CROQUIS!$C$14-DATOS!$C$17/2*CROQUIS!$C$14,CROQUIS!$C$16+DATOS!$C$17/2*CROQUIS!$C$14)</f>
        <v>17.3357433348396</v>
      </c>
      <c r="F47">
        <f>IF(NERVADURA!$C$118=0,CROQUIS!$C$15+CROQUIS!$C$10*CROQUIS!$C$14/2,CROQUIS!$C$15+(DATOS!$C$17/2+NERVADURA!$C$119+INT(MIN(INT(($A47-1)/2),MAX(2*NERVADURA!$C$118-1,0))/2)*DATOS!$C$16+MOD(MIN(INT(($A47-1)/2),MAX(2*NERVADURA!$C$118-1,0)),2)*DATOS!$C$11)*CROQUIS!$C$14)</f>
        <v>90.9801174875734</v>
      </c>
      <c r="G47">
        <f>IF(NERVADURA!$C$118=0,CROQUIS!$C$16+CROQUIS!$C$11*CROQUIS!$C$14/2,CROQUIS!$C$16+IF(MOD(MIN(INT(($A47-1)/2),MAX(2*NERVADURA!$C$118-1,0)),2)=0,IF(IF(INT(($A47-1)/2)&gt;MAX(2*NERVADURA!$C$118-1,0),1,MOD($A47-1,2))=0,(DATOS!$C$17/2+NERVADURA!$C$121),(CROQUIS!$C$11-DATOS!$C$17/2-NERVADURA!$C$121)),IF(IF(INT(($A47-1)/2)&gt;MAX(2*NERVADURA!$C$118-1,0),1,MOD($A47-1,2))=0,(CROQUIS!$C$11-DATOS!$C$17/2-NERVADURA!$C$121),(DATOS!$C$17/2+NERVADURA!$C$121)))*CROQUIS!$C$14)</f>
        <v>21.504292815183</v>
      </c>
      <c r="H47">
        <f>IF(NERVADURA!$C$120=0,CROQUIS!$C$15+CROQUIS!$C$10*CROQUIS!$C$14/2,CROQUIS!$C$15+IF(MOD(MIN(INT(($A47-1)/2),MAX(2*NERVADURA!$C$120-1,0)),2)=0,IF(IF(INT(($A47-1)/2)&gt;MAX(2*NERVADURA!$C$120-1,0),1,MOD($A47-1,2))=0,(DATOS!$C$17/2+NERVADURA!$C$119),(CROQUIS!$C$10-DATOS!$C$17/2-NERVADURA!$C$119)),IF(IF(INT(($A47-1)/2)&gt;MAX(2*NERVADURA!$C$120-1,0),1,MOD($A47-1,2))=0,(CROQUIS!$C$10-DATOS!$C$17/2-NERVADURA!$C$119),(DATOS!$C$17/2+NERVADURA!$C$119)))*CROQUIS!$C$14)</f>
        <v>15.0198825124266</v>
      </c>
      <c r="I47">
        <f>IF(NERVADURA!$C$120=0,CROQUIS!$C$16+CROQUIS!$C$11*CROQUIS!$C$14/2,CROQUIS!$C$16+(DATOS!$C$17/2+NERVADURA!$C$121+INT(MIN(INT(($A47-1)/2),MAX(2*NERVADURA!$C$120-1,0))/2)*DATOS!$C$16+MOD(MIN(INT(($A47-1)/2),MAX(2*NERVADURA!$C$120-1,0)),2)*DATOS!$C$11)*CROQUIS!$C$14)</f>
        <v>84.495707184817</v>
      </c>
      <c r="CA47" t="n">
        <v>4.327</v>
      </c>
      <c r="CB47" t="n">
        <v>5.946</v>
      </c>
      <c r="CC47" t="n">
        <v>4.925</v>
      </c>
      <c r="CD47" t="n">
        <v>15.447</v>
      </c>
      <c r="CE47" t="n">
        <v>-2</v>
      </c>
      <c r="CF47" t="n">
        <v>17.446</v>
      </c>
      <c r="CI47" t="n">
        <v>7.25</v>
      </c>
      <c r="CJ47" t="n">
        <v>21.446</v>
      </c>
      <c r="CK47" t="n">
        <v>3.029</v>
      </c>
      <c r="CL47" t="n">
        <v>15.846</v>
      </c>
      <c r="CM47" t="n">
        <v>0</v>
      </c>
      <c r="CN47" t="n">
        <v>15.846</v>
      </c>
      <c r="CQ47" t="n">
        <v>5.998</v>
      </c>
      <c r="CR47" t="n">
        <v>17.072</v>
      </c>
      <c r="CS47" t="n">
        <v>5.422</v>
      </c>
      <c r="CT47" t="n">
        <v>14.872</v>
      </c>
    </row>
    <row r="48">
      <c r="A48" t="n">
        <v>41</v>
      </c>
      <c r="B48">
        <f>CHOOSE(MIN(MAX($A48,1),5),CROQUIS!$C$15,CROQUIS!$C$15+CROQUIS!$C$10*CROQUIS!$C$14,CROQUIS!$C$15+CROQUIS!$C$10*CROQUIS!$C$14,CROQUIS!$C$15,CROQUIS!$C$15)</f>
        <v>12</v>
      </c>
      <c r="C48">
        <f>CHOOSE(MIN(MAX($A48,1),5),CROQUIS!$C$16,CROQUIS!$C$16,CROQUIS!$C$16+CROQUIS!$C$11*CROQUIS!$C$14,CROQUIS!$C$16+CROQUIS!$C$11*CROQUIS!$C$14,CROQUIS!$C$16)</f>
        <v>15.9462268413918</v>
      </c>
      <c r="D48">
        <f>CHOOSE(MIN(MAX($A48,1),5),CROQUIS!$C$15+DATOS!$C$17/2*CROQUIS!$C$14,CROQUIS!$C$15+CROQUIS!$C$10*CROQUIS!$C$14-DATOS!$C$17/2*CROQUIS!$C$14,CROQUIS!$C$15+CROQUIS!$C$10*CROQUIS!$C$14-DATOS!$C$17/2*CROQUIS!$C$14,CROQUIS!$C$15+DATOS!$C$17/2*CROQUIS!$C$14,CROQUIS!$C$15+DATOS!$C$17/2*CROQUIS!$C$14)</f>
        <v>13.3895164934478</v>
      </c>
      <c r="E48">
        <f>CHOOSE(MIN(MAX($A48,1),5),CROQUIS!$C$16+DATOS!$C$17/2*CROQUIS!$C$14,CROQUIS!$C$16+DATOS!$C$17/2*CROQUIS!$C$14,CROQUIS!$C$16+CROQUIS!$C$11*CROQUIS!$C$14-DATOS!$C$17/2*CROQUIS!$C$14,CROQUIS!$C$16+CROQUIS!$C$11*CROQUIS!$C$14-DATOS!$C$17/2*CROQUIS!$C$14,CROQUIS!$C$16+DATOS!$C$17/2*CROQUIS!$C$14)</f>
        <v>17.3357433348396</v>
      </c>
      <c r="F48">
        <f>IF(NERVADURA!$C$118=0,CROQUIS!$C$15+CROQUIS!$C$10*CROQUIS!$C$14/2,CROQUIS!$C$15+(DATOS!$C$17/2+NERVADURA!$C$119+INT(MIN(INT(($A48-1)/2),MAX(2*NERVADURA!$C$118-1,0))/2)*DATOS!$C$16+MOD(MIN(INT(($A48-1)/2),MAX(2*NERVADURA!$C$118-1,0)),2)*DATOS!$C$11)*CROQUIS!$C$14)</f>
        <v>90.9801174875734</v>
      </c>
      <c r="G48">
        <f>IF(NERVADURA!$C$118=0,CROQUIS!$C$16+CROQUIS!$C$11*CROQUIS!$C$14/2,CROQUIS!$C$16+IF(MOD(MIN(INT(($A48-1)/2),MAX(2*NERVADURA!$C$118-1,0)),2)=0,IF(IF(INT(($A48-1)/2)&gt;MAX(2*NERVADURA!$C$118-1,0),1,MOD($A48-1,2))=0,(DATOS!$C$17/2+NERVADURA!$C$121),(CROQUIS!$C$11-DATOS!$C$17/2-NERVADURA!$C$121)),IF(IF(INT(($A48-1)/2)&gt;MAX(2*NERVADURA!$C$118-1,0),1,MOD($A48-1,2))=0,(CROQUIS!$C$11-DATOS!$C$17/2-NERVADURA!$C$121),(DATOS!$C$17/2+NERVADURA!$C$121)))*CROQUIS!$C$14)</f>
        <v>21.504292815183</v>
      </c>
      <c r="H48">
        <f>IF(NERVADURA!$C$120=0,CROQUIS!$C$15+CROQUIS!$C$10*CROQUIS!$C$14/2,CROQUIS!$C$15+IF(MOD(MIN(INT(($A48-1)/2),MAX(2*NERVADURA!$C$120-1,0)),2)=0,IF(IF(INT(($A48-1)/2)&gt;MAX(2*NERVADURA!$C$120-1,0),1,MOD($A48-1,2))=0,(DATOS!$C$17/2+NERVADURA!$C$119),(CROQUIS!$C$10-DATOS!$C$17/2-NERVADURA!$C$119)),IF(IF(INT(($A48-1)/2)&gt;MAX(2*NERVADURA!$C$120-1,0),1,MOD($A48-1,2))=0,(CROQUIS!$C$10-DATOS!$C$17/2-NERVADURA!$C$119),(DATOS!$C$17/2+NERVADURA!$C$119)))*CROQUIS!$C$14)</f>
        <v>15.0198825124266</v>
      </c>
      <c r="I48">
        <f>IF(NERVADURA!$C$120=0,CROQUIS!$C$16+CROQUIS!$C$11*CROQUIS!$C$14/2,CROQUIS!$C$16+(DATOS!$C$17/2+NERVADURA!$C$121+INT(MIN(INT(($A48-1)/2),MAX(2*NERVADURA!$C$120-1,0))/2)*DATOS!$C$16+MOD(MIN(INT(($A48-1)/2),MAX(2*NERVADURA!$C$120-1,0)),2)*DATOS!$C$11)*CROQUIS!$C$14)</f>
        <v>84.495707184817</v>
      </c>
      <c r="CA48" t="n">
        <v>5.923</v>
      </c>
      <c r="CB48" t="n">
        <v>5.946</v>
      </c>
      <c r="CC48" t="n">
        <v>4.925</v>
      </c>
      <c r="CD48" t="n">
        <v>21.446</v>
      </c>
      <c r="CE48" t="n">
        <v>0</v>
      </c>
      <c r="CF48" t="n">
        <v>17.446</v>
      </c>
      <c r="CI48" t="n">
        <v>7.25</v>
      </c>
      <c r="CJ48" t="n">
        <v>24.371</v>
      </c>
      <c r="CK48" t="n">
        <v>3.029</v>
      </c>
      <c r="CL48" t="n">
        <v>16.997</v>
      </c>
      <c r="CM48" t="n">
        <v>0</v>
      </c>
      <c r="CN48" t="n">
        <v>21.446</v>
      </c>
      <c r="CQ48" t="n">
        <v>5.998</v>
      </c>
      <c r="CR48" t="n">
        <v>16.772</v>
      </c>
      <c r="CS48" t="n">
        <v>5.422</v>
      </c>
      <c r="CT48" t="n">
        <v>15.846</v>
      </c>
      <c r="EX48" t="inlineStr">
        <is>
          <t>C1</t>
        </is>
      </c>
      <c r="EY48" t="n">
        <v>4.327</v>
      </c>
      <c r="EZ48" t="n">
        <v>1.919</v>
      </c>
      <c r="FA48" t="inlineStr">
        <is>
          <t>N+3.00</t>
        </is>
      </c>
      <c r="FB48" t="str">
        <f>IF(APOYOS!$C$17="SÍ","C1"&amp;" (propuesto)","C1"&amp;" RECHAZADO")</f>
        <v>C1 (propuesto)</v>
      </c>
    </row>
    <row r="49">
      <c r="A49" t="n">
        <v>42</v>
      </c>
      <c r="B49">
        <f>CHOOSE(MIN(MAX($A49,1),5),CROQUIS!$C$15,CROQUIS!$C$15+CROQUIS!$C$10*CROQUIS!$C$14,CROQUIS!$C$15+CROQUIS!$C$10*CROQUIS!$C$14,CROQUIS!$C$15,CROQUIS!$C$15)</f>
        <v>12</v>
      </c>
      <c r="C49">
        <f>CHOOSE(MIN(MAX($A49,1),5),CROQUIS!$C$16,CROQUIS!$C$16,CROQUIS!$C$16+CROQUIS!$C$11*CROQUIS!$C$14,CROQUIS!$C$16+CROQUIS!$C$11*CROQUIS!$C$14,CROQUIS!$C$16)</f>
        <v>15.9462268413918</v>
      </c>
      <c r="D49">
        <f>CHOOSE(MIN(MAX($A49,1),5),CROQUIS!$C$15+DATOS!$C$17/2*CROQUIS!$C$14,CROQUIS!$C$15+CROQUIS!$C$10*CROQUIS!$C$14-DATOS!$C$17/2*CROQUIS!$C$14,CROQUIS!$C$15+CROQUIS!$C$10*CROQUIS!$C$14-DATOS!$C$17/2*CROQUIS!$C$14,CROQUIS!$C$15+DATOS!$C$17/2*CROQUIS!$C$14,CROQUIS!$C$15+DATOS!$C$17/2*CROQUIS!$C$14)</f>
        <v>13.3895164934478</v>
      </c>
      <c r="E49">
        <f>CHOOSE(MIN(MAX($A49,1),5),CROQUIS!$C$16+DATOS!$C$17/2*CROQUIS!$C$14,CROQUIS!$C$16+DATOS!$C$17/2*CROQUIS!$C$14,CROQUIS!$C$16+CROQUIS!$C$11*CROQUIS!$C$14-DATOS!$C$17/2*CROQUIS!$C$14,CROQUIS!$C$16+CROQUIS!$C$11*CROQUIS!$C$14-DATOS!$C$17/2*CROQUIS!$C$14,CROQUIS!$C$16+DATOS!$C$17/2*CROQUIS!$C$14)</f>
        <v>17.3357433348396</v>
      </c>
      <c r="F49">
        <f>IF(NERVADURA!$C$118=0,CROQUIS!$C$15+CROQUIS!$C$10*CROQUIS!$C$14/2,CROQUIS!$C$15+(DATOS!$C$17/2+NERVADURA!$C$119+INT(MIN(INT(($A49-1)/2),MAX(2*NERVADURA!$C$118-1,0))/2)*DATOS!$C$16+MOD(MIN(INT(($A49-1)/2),MAX(2*NERVADURA!$C$118-1,0)),2)*DATOS!$C$11)*CROQUIS!$C$14)</f>
        <v>90.9801174875734</v>
      </c>
      <c r="G49">
        <f>IF(NERVADURA!$C$118=0,CROQUIS!$C$16+CROQUIS!$C$11*CROQUIS!$C$14/2,CROQUIS!$C$16+IF(MOD(MIN(INT(($A49-1)/2),MAX(2*NERVADURA!$C$118-1,0)),2)=0,IF(IF(INT(($A49-1)/2)&gt;MAX(2*NERVADURA!$C$118-1,0),1,MOD($A49-1,2))=0,(DATOS!$C$17/2+NERVADURA!$C$121),(CROQUIS!$C$11-DATOS!$C$17/2-NERVADURA!$C$121)),IF(IF(INT(($A49-1)/2)&gt;MAX(2*NERVADURA!$C$118-1,0),1,MOD($A49-1,2))=0,(CROQUIS!$C$11-DATOS!$C$17/2-NERVADURA!$C$121),(DATOS!$C$17/2+NERVADURA!$C$121)))*CROQUIS!$C$14)</f>
        <v>21.504292815183</v>
      </c>
      <c r="H49">
        <f>IF(NERVADURA!$C$120=0,CROQUIS!$C$15+CROQUIS!$C$10*CROQUIS!$C$14/2,CROQUIS!$C$15+IF(MOD(MIN(INT(($A49-1)/2),MAX(2*NERVADURA!$C$120-1,0)),2)=0,IF(IF(INT(($A49-1)/2)&gt;MAX(2*NERVADURA!$C$120-1,0),1,MOD($A49-1,2))=0,(DATOS!$C$17/2+NERVADURA!$C$119),(CROQUIS!$C$10-DATOS!$C$17/2-NERVADURA!$C$119)),IF(IF(INT(($A49-1)/2)&gt;MAX(2*NERVADURA!$C$120-1,0),1,MOD($A49-1,2))=0,(CROQUIS!$C$10-DATOS!$C$17/2-NERVADURA!$C$119),(DATOS!$C$17/2+NERVADURA!$C$119)))*CROQUIS!$C$14)</f>
        <v>15.0198825124266</v>
      </c>
      <c r="I49">
        <f>IF(NERVADURA!$C$120=0,CROQUIS!$C$16+CROQUIS!$C$11*CROQUIS!$C$14/2,CROQUIS!$C$16+(DATOS!$C$17/2+NERVADURA!$C$121+INT(MIN(INT(($A49-1)/2),MAX(2*NERVADURA!$C$120-1,0))/2)*DATOS!$C$16+MOD(MIN(INT(($A49-1)/2),MAX(2*NERVADURA!$C$120-1,0)),2)*DATOS!$C$11)*CROQUIS!$C$14)</f>
        <v>84.495707184817</v>
      </c>
      <c r="CA49" t="n">
        <v>5.923</v>
      </c>
      <c r="CB49" t="n">
        <v>6.948</v>
      </c>
      <c r="CI49" t="n">
        <v>7.479</v>
      </c>
      <c r="CJ49" t="n">
        <v>24.371</v>
      </c>
      <c r="CS49" t="n">
        <v>5.422</v>
      </c>
      <c r="CT49" t="n">
        <v>17.446</v>
      </c>
      <c r="EX49" t="inlineStr">
        <is>
          <t>C2</t>
        </is>
      </c>
      <c r="EY49" t="n">
        <v>4.327</v>
      </c>
      <c r="EZ49" t="n">
        <v>2.921</v>
      </c>
      <c r="FA49" t="inlineStr">
        <is>
          <t>N+3.00</t>
        </is>
      </c>
      <c r="FB49" t="str">
        <f>IF(APOYOS!$C$18="SÍ","C2"&amp;" (propuesto)","C2"&amp;" RECHAZADO")</f>
        <v>C2 (propuesto)</v>
      </c>
    </row>
    <row r="50">
      <c r="A50" t="n">
        <v>43</v>
      </c>
      <c r="B50">
        <f>CHOOSE(MIN(MAX($A50,1),5),CROQUIS!$C$15,CROQUIS!$C$15+CROQUIS!$C$10*CROQUIS!$C$14,CROQUIS!$C$15+CROQUIS!$C$10*CROQUIS!$C$14,CROQUIS!$C$15,CROQUIS!$C$15)</f>
        <v>12</v>
      </c>
      <c r="C50">
        <f>CHOOSE(MIN(MAX($A50,1),5),CROQUIS!$C$16,CROQUIS!$C$16,CROQUIS!$C$16+CROQUIS!$C$11*CROQUIS!$C$14,CROQUIS!$C$16+CROQUIS!$C$11*CROQUIS!$C$14,CROQUIS!$C$16)</f>
        <v>15.9462268413918</v>
      </c>
      <c r="D50">
        <f>CHOOSE(MIN(MAX($A50,1),5),CROQUIS!$C$15+DATOS!$C$17/2*CROQUIS!$C$14,CROQUIS!$C$15+CROQUIS!$C$10*CROQUIS!$C$14-DATOS!$C$17/2*CROQUIS!$C$14,CROQUIS!$C$15+CROQUIS!$C$10*CROQUIS!$C$14-DATOS!$C$17/2*CROQUIS!$C$14,CROQUIS!$C$15+DATOS!$C$17/2*CROQUIS!$C$14,CROQUIS!$C$15+DATOS!$C$17/2*CROQUIS!$C$14)</f>
        <v>13.3895164934478</v>
      </c>
      <c r="E50">
        <f>CHOOSE(MIN(MAX($A50,1),5),CROQUIS!$C$16+DATOS!$C$17/2*CROQUIS!$C$14,CROQUIS!$C$16+DATOS!$C$17/2*CROQUIS!$C$14,CROQUIS!$C$16+CROQUIS!$C$11*CROQUIS!$C$14-DATOS!$C$17/2*CROQUIS!$C$14,CROQUIS!$C$16+CROQUIS!$C$11*CROQUIS!$C$14-DATOS!$C$17/2*CROQUIS!$C$14,CROQUIS!$C$16+DATOS!$C$17/2*CROQUIS!$C$14)</f>
        <v>17.3357433348396</v>
      </c>
      <c r="F50">
        <f>IF(NERVADURA!$C$118=0,CROQUIS!$C$15+CROQUIS!$C$10*CROQUIS!$C$14/2,CROQUIS!$C$15+(DATOS!$C$17/2+NERVADURA!$C$119+INT(MIN(INT(($A50-1)/2),MAX(2*NERVADURA!$C$118-1,0))/2)*DATOS!$C$16+MOD(MIN(INT(($A50-1)/2),MAX(2*NERVADURA!$C$118-1,0)),2)*DATOS!$C$11)*CROQUIS!$C$14)</f>
        <v>90.9801174875734</v>
      </c>
      <c r="G50">
        <f>IF(NERVADURA!$C$118=0,CROQUIS!$C$16+CROQUIS!$C$11*CROQUIS!$C$14/2,CROQUIS!$C$16+IF(MOD(MIN(INT(($A50-1)/2),MAX(2*NERVADURA!$C$118-1,0)),2)=0,IF(IF(INT(($A50-1)/2)&gt;MAX(2*NERVADURA!$C$118-1,0),1,MOD($A50-1,2))=0,(DATOS!$C$17/2+NERVADURA!$C$121),(CROQUIS!$C$11-DATOS!$C$17/2-NERVADURA!$C$121)),IF(IF(INT(($A50-1)/2)&gt;MAX(2*NERVADURA!$C$118-1,0),1,MOD($A50-1,2))=0,(CROQUIS!$C$11-DATOS!$C$17/2-NERVADURA!$C$121),(DATOS!$C$17/2+NERVADURA!$C$121)))*CROQUIS!$C$14)</f>
        <v>21.504292815183</v>
      </c>
      <c r="H50">
        <f>IF(NERVADURA!$C$120=0,CROQUIS!$C$15+CROQUIS!$C$10*CROQUIS!$C$14/2,CROQUIS!$C$15+IF(MOD(MIN(INT(($A50-1)/2),MAX(2*NERVADURA!$C$120-1,0)),2)=0,IF(IF(INT(($A50-1)/2)&gt;MAX(2*NERVADURA!$C$120-1,0),1,MOD($A50-1,2))=0,(DATOS!$C$17/2+NERVADURA!$C$119),(CROQUIS!$C$10-DATOS!$C$17/2-NERVADURA!$C$119)),IF(IF(INT(($A50-1)/2)&gt;MAX(2*NERVADURA!$C$120-1,0),1,MOD($A50-1,2))=0,(CROQUIS!$C$10-DATOS!$C$17/2-NERVADURA!$C$119),(DATOS!$C$17/2+NERVADURA!$C$119)))*CROQUIS!$C$14)</f>
        <v>15.0198825124266</v>
      </c>
      <c r="I50">
        <f>IF(NERVADURA!$C$120=0,CROQUIS!$C$16+CROQUIS!$C$11*CROQUIS!$C$14/2,CROQUIS!$C$16+(DATOS!$C$17/2+NERVADURA!$C$121+INT(MIN(INT(($A50-1)/2),MAX(2*NERVADURA!$C$120-1,0))/2)*DATOS!$C$16+MOD(MIN(INT(($A50-1)/2),MAX(2*NERVADURA!$C$120-1,0)),2)*DATOS!$C$11)*CROQUIS!$C$14)</f>
        <v>84.495707184817</v>
      </c>
      <c r="CA50" t="n">
        <v>5.46</v>
      </c>
      <c r="CB50" t="n">
        <v>6.948</v>
      </c>
      <c r="CC50" t="n">
        <v>5.923</v>
      </c>
      <c r="CD50" t="n">
        <v>5.946</v>
      </c>
      <c r="CE50" t="n">
        <v>0</v>
      </c>
      <c r="CF50" t="n">
        <v>17.446</v>
      </c>
      <c r="CI50" t="n">
        <v>8.144</v>
      </c>
      <c r="CJ50" t="n">
        <v>9.949999999999999</v>
      </c>
      <c r="CK50" t="n">
        <v>5.822</v>
      </c>
      <c r="CL50" t="n">
        <v>16.697</v>
      </c>
      <c r="CM50" t="n">
        <v>3.029</v>
      </c>
      <c r="CN50" t="n">
        <v>15.846</v>
      </c>
      <c r="CQ50" t="n">
        <v>5.998</v>
      </c>
      <c r="CR50" t="n">
        <v>16.772</v>
      </c>
      <c r="CS50" t="n">
        <v>5.822</v>
      </c>
      <c r="CT50" t="n">
        <v>15.846</v>
      </c>
      <c r="EX50" t="inlineStr">
        <is>
          <t>C3</t>
        </is>
      </c>
      <c r="EY50" t="n">
        <v>5.923</v>
      </c>
      <c r="EZ50" t="n">
        <v>2.921</v>
      </c>
      <c r="FA50" t="inlineStr">
        <is>
          <t>N+3.00</t>
        </is>
      </c>
      <c r="FB50" t="str">
        <f>IF(APOYOS!$C$19="SÍ","C3"&amp;" (propuesto)","C3"&amp;" RECHAZADO")</f>
        <v>C3 (propuesto)</v>
      </c>
    </row>
    <row r="51">
      <c r="A51" t="n">
        <v>44</v>
      </c>
      <c r="B51">
        <f>CHOOSE(MIN(MAX($A51,1),5),CROQUIS!$C$15,CROQUIS!$C$15+CROQUIS!$C$10*CROQUIS!$C$14,CROQUIS!$C$15+CROQUIS!$C$10*CROQUIS!$C$14,CROQUIS!$C$15,CROQUIS!$C$15)</f>
        <v>12</v>
      </c>
      <c r="C51">
        <f>CHOOSE(MIN(MAX($A51,1),5),CROQUIS!$C$16,CROQUIS!$C$16,CROQUIS!$C$16+CROQUIS!$C$11*CROQUIS!$C$14,CROQUIS!$C$16+CROQUIS!$C$11*CROQUIS!$C$14,CROQUIS!$C$16)</f>
        <v>15.9462268413918</v>
      </c>
      <c r="D51">
        <f>CHOOSE(MIN(MAX($A51,1),5),CROQUIS!$C$15+DATOS!$C$17/2*CROQUIS!$C$14,CROQUIS!$C$15+CROQUIS!$C$10*CROQUIS!$C$14-DATOS!$C$17/2*CROQUIS!$C$14,CROQUIS!$C$15+CROQUIS!$C$10*CROQUIS!$C$14-DATOS!$C$17/2*CROQUIS!$C$14,CROQUIS!$C$15+DATOS!$C$17/2*CROQUIS!$C$14,CROQUIS!$C$15+DATOS!$C$17/2*CROQUIS!$C$14)</f>
        <v>13.3895164934478</v>
      </c>
      <c r="E51">
        <f>CHOOSE(MIN(MAX($A51,1),5),CROQUIS!$C$16+DATOS!$C$17/2*CROQUIS!$C$14,CROQUIS!$C$16+DATOS!$C$17/2*CROQUIS!$C$14,CROQUIS!$C$16+CROQUIS!$C$11*CROQUIS!$C$14-DATOS!$C$17/2*CROQUIS!$C$14,CROQUIS!$C$16+CROQUIS!$C$11*CROQUIS!$C$14-DATOS!$C$17/2*CROQUIS!$C$14,CROQUIS!$C$16+DATOS!$C$17/2*CROQUIS!$C$14)</f>
        <v>17.3357433348396</v>
      </c>
      <c r="F51">
        <f>IF(NERVADURA!$C$118=0,CROQUIS!$C$15+CROQUIS!$C$10*CROQUIS!$C$14/2,CROQUIS!$C$15+(DATOS!$C$17/2+NERVADURA!$C$119+INT(MIN(INT(($A51-1)/2),MAX(2*NERVADURA!$C$118-1,0))/2)*DATOS!$C$16+MOD(MIN(INT(($A51-1)/2),MAX(2*NERVADURA!$C$118-1,0)),2)*DATOS!$C$11)*CROQUIS!$C$14)</f>
        <v>90.9801174875734</v>
      </c>
      <c r="G51">
        <f>IF(NERVADURA!$C$118=0,CROQUIS!$C$16+CROQUIS!$C$11*CROQUIS!$C$14/2,CROQUIS!$C$16+IF(MOD(MIN(INT(($A51-1)/2),MAX(2*NERVADURA!$C$118-1,0)),2)=0,IF(IF(INT(($A51-1)/2)&gt;MAX(2*NERVADURA!$C$118-1,0),1,MOD($A51-1,2))=0,(DATOS!$C$17/2+NERVADURA!$C$121),(CROQUIS!$C$11-DATOS!$C$17/2-NERVADURA!$C$121)),IF(IF(INT(($A51-1)/2)&gt;MAX(2*NERVADURA!$C$118-1,0),1,MOD($A51-1,2))=0,(CROQUIS!$C$11-DATOS!$C$17/2-NERVADURA!$C$121),(DATOS!$C$17/2+NERVADURA!$C$121)))*CROQUIS!$C$14)</f>
        <v>21.504292815183</v>
      </c>
      <c r="H51">
        <f>IF(NERVADURA!$C$120=0,CROQUIS!$C$15+CROQUIS!$C$10*CROQUIS!$C$14/2,CROQUIS!$C$15+IF(MOD(MIN(INT(($A51-1)/2),MAX(2*NERVADURA!$C$120-1,0)),2)=0,IF(IF(INT(($A51-1)/2)&gt;MAX(2*NERVADURA!$C$120-1,0),1,MOD($A51-1,2))=0,(DATOS!$C$17/2+NERVADURA!$C$119),(CROQUIS!$C$10-DATOS!$C$17/2-NERVADURA!$C$119)),IF(IF(INT(($A51-1)/2)&gt;MAX(2*NERVADURA!$C$120-1,0),1,MOD($A51-1,2))=0,(CROQUIS!$C$10-DATOS!$C$17/2-NERVADURA!$C$119),(DATOS!$C$17/2+NERVADURA!$C$119)))*CROQUIS!$C$14)</f>
        <v>15.0198825124266</v>
      </c>
      <c r="I51">
        <f>IF(NERVADURA!$C$120=0,CROQUIS!$C$16+CROQUIS!$C$11*CROQUIS!$C$14/2,CROQUIS!$C$16+(DATOS!$C$17/2+NERVADURA!$C$121+INT(MIN(INT(($A51-1)/2),MAX(2*NERVADURA!$C$120-1,0))/2)*DATOS!$C$16+MOD(MIN(INT(($A51-1)/2),MAX(2*NERVADURA!$C$120-1,0)),2)*DATOS!$C$11)*CROQUIS!$C$14)</f>
        <v>84.495707184817</v>
      </c>
      <c r="CA51" t="n">
        <v>5.46</v>
      </c>
      <c r="CB51" t="n">
        <v>8.91</v>
      </c>
      <c r="CC51" t="n">
        <v>5.923</v>
      </c>
      <c r="CD51" t="n">
        <v>6.948</v>
      </c>
      <c r="CE51" t="n">
        <v>4.925</v>
      </c>
      <c r="CF51" t="n">
        <v>17.446</v>
      </c>
      <c r="CI51" t="n">
        <v>8.146000000000001</v>
      </c>
      <c r="CJ51" t="n">
        <v>21.446</v>
      </c>
      <c r="CK51" t="n">
        <v>8.85</v>
      </c>
      <c r="CL51" t="n">
        <v>16.697</v>
      </c>
      <c r="CM51" t="n">
        <v>3.029</v>
      </c>
      <c r="CN51" t="n">
        <v>17.446</v>
      </c>
      <c r="CQ51" t="n">
        <v>8.775</v>
      </c>
      <c r="CR51" t="n">
        <v>17.072</v>
      </c>
      <c r="CS51" t="n">
        <v>5.822</v>
      </c>
      <c r="CT51" t="n">
        <v>17.446</v>
      </c>
      <c r="EX51" t="inlineStr">
        <is>
          <t>C4</t>
        </is>
      </c>
      <c r="EY51" t="n">
        <v>4.327</v>
      </c>
      <c r="EZ51" t="n">
        <v>7.871</v>
      </c>
      <c r="FA51" t="inlineStr">
        <is>
          <t>N+3.00</t>
        </is>
      </c>
      <c r="FB51" t="str">
        <f>IF(APOYOS!$C$20="SÍ","C4"&amp;" (propuesto)","C4"&amp;" RECHAZADO")</f>
        <v>C4 (propuesto)</v>
      </c>
    </row>
    <row r="52">
      <c r="A52" t="n">
        <v>45</v>
      </c>
      <c r="B52">
        <f>CHOOSE(MIN(MAX($A52,1),5),CROQUIS!$C$15,CROQUIS!$C$15+CROQUIS!$C$10*CROQUIS!$C$14,CROQUIS!$C$15+CROQUIS!$C$10*CROQUIS!$C$14,CROQUIS!$C$15,CROQUIS!$C$15)</f>
        <v>12</v>
      </c>
      <c r="C52">
        <f>CHOOSE(MIN(MAX($A52,1),5),CROQUIS!$C$16,CROQUIS!$C$16,CROQUIS!$C$16+CROQUIS!$C$11*CROQUIS!$C$14,CROQUIS!$C$16+CROQUIS!$C$11*CROQUIS!$C$14,CROQUIS!$C$16)</f>
        <v>15.9462268413918</v>
      </c>
      <c r="D52">
        <f>CHOOSE(MIN(MAX($A52,1),5),CROQUIS!$C$15+DATOS!$C$17/2*CROQUIS!$C$14,CROQUIS!$C$15+CROQUIS!$C$10*CROQUIS!$C$14-DATOS!$C$17/2*CROQUIS!$C$14,CROQUIS!$C$15+CROQUIS!$C$10*CROQUIS!$C$14-DATOS!$C$17/2*CROQUIS!$C$14,CROQUIS!$C$15+DATOS!$C$17/2*CROQUIS!$C$14,CROQUIS!$C$15+DATOS!$C$17/2*CROQUIS!$C$14)</f>
        <v>13.3895164934478</v>
      </c>
      <c r="E52">
        <f>CHOOSE(MIN(MAX($A52,1),5),CROQUIS!$C$16+DATOS!$C$17/2*CROQUIS!$C$14,CROQUIS!$C$16+DATOS!$C$17/2*CROQUIS!$C$14,CROQUIS!$C$16+CROQUIS!$C$11*CROQUIS!$C$14-DATOS!$C$17/2*CROQUIS!$C$14,CROQUIS!$C$16+CROQUIS!$C$11*CROQUIS!$C$14-DATOS!$C$17/2*CROQUIS!$C$14,CROQUIS!$C$16+DATOS!$C$17/2*CROQUIS!$C$14)</f>
        <v>17.3357433348396</v>
      </c>
      <c r="F52">
        <f>IF(NERVADURA!$C$118=0,CROQUIS!$C$15+CROQUIS!$C$10*CROQUIS!$C$14/2,CROQUIS!$C$15+(DATOS!$C$17/2+NERVADURA!$C$119+INT(MIN(INT(($A52-1)/2),MAX(2*NERVADURA!$C$118-1,0))/2)*DATOS!$C$16+MOD(MIN(INT(($A52-1)/2),MAX(2*NERVADURA!$C$118-1,0)),2)*DATOS!$C$11)*CROQUIS!$C$14)</f>
        <v>90.9801174875734</v>
      </c>
      <c r="G52">
        <f>IF(NERVADURA!$C$118=0,CROQUIS!$C$16+CROQUIS!$C$11*CROQUIS!$C$14/2,CROQUIS!$C$16+IF(MOD(MIN(INT(($A52-1)/2),MAX(2*NERVADURA!$C$118-1,0)),2)=0,IF(IF(INT(($A52-1)/2)&gt;MAX(2*NERVADURA!$C$118-1,0),1,MOD($A52-1,2))=0,(DATOS!$C$17/2+NERVADURA!$C$121),(CROQUIS!$C$11-DATOS!$C$17/2-NERVADURA!$C$121)),IF(IF(INT(($A52-1)/2)&gt;MAX(2*NERVADURA!$C$118-1,0),1,MOD($A52-1,2))=0,(CROQUIS!$C$11-DATOS!$C$17/2-NERVADURA!$C$121),(DATOS!$C$17/2+NERVADURA!$C$121)))*CROQUIS!$C$14)</f>
        <v>21.504292815183</v>
      </c>
      <c r="H52">
        <f>IF(NERVADURA!$C$120=0,CROQUIS!$C$15+CROQUIS!$C$10*CROQUIS!$C$14/2,CROQUIS!$C$15+IF(MOD(MIN(INT(($A52-1)/2),MAX(2*NERVADURA!$C$120-1,0)),2)=0,IF(IF(INT(($A52-1)/2)&gt;MAX(2*NERVADURA!$C$120-1,0),1,MOD($A52-1,2))=0,(DATOS!$C$17/2+NERVADURA!$C$119),(CROQUIS!$C$10-DATOS!$C$17/2-NERVADURA!$C$119)),IF(IF(INT(($A52-1)/2)&gt;MAX(2*NERVADURA!$C$120-1,0),1,MOD($A52-1,2))=0,(CROQUIS!$C$10-DATOS!$C$17/2-NERVADURA!$C$119),(DATOS!$C$17/2+NERVADURA!$C$119)))*CROQUIS!$C$14)</f>
        <v>15.0198825124266</v>
      </c>
      <c r="I52">
        <f>IF(NERVADURA!$C$120=0,CROQUIS!$C$16+CROQUIS!$C$11*CROQUIS!$C$14/2,CROQUIS!$C$16+(DATOS!$C$17/2+NERVADURA!$C$121+INT(MIN(INT(($A52-1)/2),MAX(2*NERVADURA!$C$120-1,0))/2)*DATOS!$C$16+MOD(MIN(INT(($A52-1)/2),MAX(2*NERVADURA!$C$120-1,0)),2)*DATOS!$C$11)*CROQUIS!$C$14)</f>
        <v>84.495707184817</v>
      </c>
      <c r="CA52" t="n">
        <v>7.35</v>
      </c>
      <c r="CB52" t="n">
        <v>8.91</v>
      </c>
      <c r="CI52" t="n">
        <v>8.5</v>
      </c>
      <c r="CJ52" t="n">
        <v>6.948</v>
      </c>
      <c r="CK52" t="n">
        <v>8.85</v>
      </c>
      <c r="CL52" t="n">
        <v>17.446</v>
      </c>
      <c r="CS52" t="n">
        <v>5.923</v>
      </c>
      <c r="CT52" t="n">
        <v>2.921</v>
      </c>
      <c r="EX52" t="inlineStr">
        <is>
          <t>C5</t>
        </is>
      </c>
      <c r="EY52" t="n">
        <v>4.327</v>
      </c>
      <c r="EZ52" t="n">
        <v>14.021</v>
      </c>
      <c r="FA52" t="inlineStr">
        <is>
          <t>N+3.00</t>
        </is>
      </c>
      <c r="FB52" t="str">
        <f>IF(APOYOS!$C$21="SÍ","C5"&amp;" (propuesto)","C5"&amp;" RECHAZADO")</f>
        <v>C5 (propuesto)</v>
      </c>
    </row>
    <row r="53">
      <c r="A53" t="n">
        <v>46</v>
      </c>
      <c r="B53">
        <f>CHOOSE(MIN(MAX($A53,1),5),CROQUIS!$C$15,CROQUIS!$C$15+CROQUIS!$C$10*CROQUIS!$C$14,CROQUIS!$C$15+CROQUIS!$C$10*CROQUIS!$C$14,CROQUIS!$C$15,CROQUIS!$C$15)</f>
        <v>12</v>
      </c>
      <c r="C53">
        <f>CHOOSE(MIN(MAX($A53,1),5),CROQUIS!$C$16,CROQUIS!$C$16,CROQUIS!$C$16+CROQUIS!$C$11*CROQUIS!$C$14,CROQUIS!$C$16+CROQUIS!$C$11*CROQUIS!$C$14,CROQUIS!$C$16)</f>
        <v>15.9462268413918</v>
      </c>
      <c r="D53">
        <f>CHOOSE(MIN(MAX($A53,1),5),CROQUIS!$C$15+DATOS!$C$17/2*CROQUIS!$C$14,CROQUIS!$C$15+CROQUIS!$C$10*CROQUIS!$C$14-DATOS!$C$17/2*CROQUIS!$C$14,CROQUIS!$C$15+CROQUIS!$C$10*CROQUIS!$C$14-DATOS!$C$17/2*CROQUIS!$C$14,CROQUIS!$C$15+DATOS!$C$17/2*CROQUIS!$C$14,CROQUIS!$C$15+DATOS!$C$17/2*CROQUIS!$C$14)</f>
        <v>13.3895164934478</v>
      </c>
      <c r="E53">
        <f>CHOOSE(MIN(MAX($A53,1),5),CROQUIS!$C$16+DATOS!$C$17/2*CROQUIS!$C$14,CROQUIS!$C$16+DATOS!$C$17/2*CROQUIS!$C$14,CROQUIS!$C$16+CROQUIS!$C$11*CROQUIS!$C$14-DATOS!$C$17/2*CROQUIS!$C$14,CROQUIS!$C$16+CROQUIS!$C$11*CROQUIS!$C$14-DATOS!$C$17/2*CROQUIS!$C$14,CROQUIS!$C$16+DATOS!$C$17/2*CROQUIS!$C$14)</f>
        <v>17.3357433348396</v>
      </c>
      <c r="F53">
        <f>IF(NERVADURA!$C$118=0,CROQUIS!$C$15+CROQUIS!$C$10*CROQUIS!$C$14/2,CROQUIS!$C$15+(DATOS!$C$17/2+NERVADURA!$C$119+INT(MIN(INT(($A53-1)/2),MAX(2*NERVADURA!$C$118-1,0))/2)*DATOS!$C$16+MOD(MIN(INT(($A53-1)/2),MAX(2*NERVADURA!$C$118-1,0)),2)*DATOS!$C$11)*CROQUIS!$C$14)</f>
        <v>90.9801174875734</v>
      </c>
      <c r="G53">
        <f>IF(NERVADURA!$C$118=0,CROQUIS!$C$16+CROQUIS!$C$11*CROQUIS!$C$14/2,CROQUIS!$C$16+IF(MOD(MIN(INT(($A53-1)/2),MAX(2*NERVADURA!$C$118-1,0)),2)=0,IF(IF(INT(($A53-1)/2)&gt;MAX(2*NERVADURA!$C$118-1,0),1,MOD($A53-1,2))=0,(DATOS!$C$17/2+NERVADURA!$C$121),(CROQUIS!$C$11-DATOS!$C$17/2-NERVADURA!$C$121)),IF(IF(INT(($A53-1)/2)&gt;MAX(2*NERVADURA!$C$118-1,0),1,MOD($A53-1,2))=0,(CROQUIS!$C$11-DATOS!$C$17/2-NERVADURA!$C$121),(DATOS!$C$17/2+NERVADURA!$C$121)))*CROQUIS!$C$14)</f>
        <v>21.504292815183</v>
      </c>
      <c r="H53">
        <f>IF(NERVADURA!$C$120=0,CROQUIS!$C$15+CROQUIS!$C$10*CROQUIS!$C$14/2,CROQUIS!$C$15+IF(MOD(MIN(INT(($A53-1)/2),MAX(2*NERVADURA!$C$120-1,0)),2)=0,IF(IF(INT(($A53-1)/2)&gt;MAX(2*NERVADURA!$C$120-1,0),1,MOD($A53-1,2))=0,(DATOS!$C$17/2+NERVADURA!$C$119),(CROQUIS!$C$10-DATOS!$C$17/2-NERVADURA!$C$119)),IF(IF(INT(($A53-1)/2)&gt;MAX(2*NERVADURA!$C$120-1,0),1,MOD($A53-1,2))=0,(CROQUIS!$C$10-DATOS!$C$17/2-NERVADURA!$C$119),(DATOS!$C$17/2+NERVADURA!$C$119)))*CROQUIS!$C$14)</f>
        <v>15.0198825124266</v>
      </c>
      <c r="I53">
        <f>IF(NERVADURA!$C$120=0,CROQUIS!$C$16+CROQUIS!$C$11*CROQUIS!$C$14/2,CROQUIS!$C$16+(DATOS!$C$17/2+NERVADURA!$C$121+INT(MIN(INT(($A53-1)/2),MAX(2*NERVADURA!$C$120-1,0))/2)*DATOS!$C$16+MOD(MIN(INT(($A53-1)/2),MAX(2*NERVADURA!$C$120-1,0)),2)*DATOS!$C$11)*CROQUIS!$C$14)</f>
        <v>84.495707184817</v>
      </c>
      <c r="CA53" t="n">
        <v>7.35</v>
      </c>
      <c r="CB53" t="n">
        <v>9.949999999999999</v>
      </c>
      <c r="CC53" t="n">
        <v>7.25</v>
      </c>
      <c r="CD53" t="n">
        <v>21.446</v>
      </c>
      <c r="CE53" t="n">
        <v>0</v>
      </c>
      <c r="CF53" t="n">
        <v>23.446</v>
      </c>
      <c r="CI53" t="n">
        <v>8.701000000000001</v>
      </c>
      <c r="CJ53" t="n">
        <v>24.371</v>
      </c>
      <c r="CK53" t="n">
        <v>5.822</v>
      </c>
      <c r="CL53" t="n">
        <v>17.446</v>
      </c>
      <c r="CM53" t="n">
        <v>3.427</v>
      </c>
      <c r="CN53" t="n">
        <v>14.021</v>
      </c>
      <c r="CQ53" t="n">
        <v>5.998</v>
      </c>
      <c r="CR53" t="n">
        <v>17.072</v>
      </c>
      <c r="CS53" t="n">
        <v>5.923</v>
      </c>
      <c r="CT53" t="n">
        <v>4.433</v>
      </c>
      <c r="EX53" t="inlineStr">
        <is>
          <t>C6</t>
        </is>
      </c>
      <c r="EY53" t="n">
        <v>5.422</v>
      </c>
      <c r="EZ53" t="n">
        <v>9.949999999999999</v>
      </c>
      <c r="FA53" t="inlineStr">
        <is>
          <t>N+3.00</t>
        </is>
      </c>
      <c r="FB53" t="str">
        <f>IF(APOYOS!$C$22="SÍ","C6"&amp;" (propuesto)","C6"&amp;" RECHAZADO")</f>
        <v>C6 (propuesto)</v>
      </c>
    </row>
    <row r="54">
      <c r="A54" t="n">
        <v>47</v>
      </c>
      <c r="B54">
        <f>CHOOSE(MIN(MAX($A54,1),5),CROQUIS!$C$15,CROQUIS!$C$15+CROQUIS!$C$10*CROQUIS!$C$14,CROQUIS!$C$15+CROQUIS!$C$10*CROQUIS!$C$14,CROQUIS!$C$15,CROQUIS!$C$15)</f>
        <v>12</v>
      </c>
      <c r="C54">
        <f>CHOOSE(MIN(MAX($A54,1),5),CROQUIS!$C$16,CROQUIS!$C$16,CROQUIS!$C$16+CROQUIS!$C$11*CROQUIS!$C$14,CROQUIS!$C$16+CROQUIS!$C$11*CROQUIS!$C$14,CROQUIS!$C$16)</f>
        <v>15.9462268413918</v>
      </c>
      <c r="D54">
        <f>CHOOSE(MIN(MAX($A54,1),5),CROQUIS!$C$15+DATOS!$C$17/2*CROQUIS!$C$14,CROQUIS!$C$15+CROQUIS!$C$10*CROQUIS!$C$14-DATOS!$C$17/2*CROQUIS!$C$14,CROQUIS!$C$15+CROQUIS!$C$10*CROQUIS!$C$14-DATOS!$C$17/2*CROQUIS!$C$14,CROQUIS!$C$15+DATOS!$C$17/2*CROQUIS!$C$14,CROQUIS!$C$15+DATOS!$C$17/2*CROQUIS!$C$14)</f>
        <v>13.3895164934478</v>
      </c>
      <c r="E54">
        <f>CHOOSE(MIN(MAX($A54,1),5),CROQUIS!$C$16+DATOS!$C$17/2*CROQUIS!$C$14,CROQUIS!$C$16+DATOS!$C$17/2*CROQUIS!$C$14,CROQUIS!$C$16+CROQUIS!$C$11*CROQUIS!$C$14-DATOS!$C$17/2*CROQUIS!$C$14,CROQUIS!$C$16+CROQUIS!$C$11*CROQUIS!$C$14-DATOS!$C$17/2*CROQUIS!$C$14,CROQUIS!$C$16+DATOS!$C$17/2*CROQUIS!$C$14)</f>
        <v>17.3357433348396</v>
      </c>
      <c r="F54">
        <f>IF(NERVADURA!$C$118=0,CROQUIS!$C$15+CROQUIS!$C$10*CROQUIS!$C$14/2,CROQUIS!$C$15+(DATOS!$C$17/2+NERVADURA!$C$119+INT(MIN(INT(($A54-1)/2),MAX(2*NERVADURA!$C$118-1,0))/2)*DATOS!$C$16+MOD(MIN(INT(($A54-1)/2),MAX(2*NERVADURA!$C$118-1,0)),2)*DATOS!$C$11)*CROQUIS!$C$14)</f>
        <v>90.9801174875734</v>
      </c>
      <c r="G54">
        <f>IF(NERVADURA!$C$118=0,CROQUIS!$C$16+CROQUIS!$C$11*CROQUIS!$C$14/2,CROQUIS!$C$16+IF(MOD(MIN(INT(($A54-1)/2),MAX(2*NERVADURA!$C$118-1,0)),2)=0,IF(IF(INT(($A54-1)/2)&gt;MAX(2*NERVADURA!$C$118-1,0),1,MOD($A54-1,2))=0,(DATOS!$C$17/2+NERVADURA!$C$121),(CROQUIS!$C$11-DATOS!$C$17/2-NERVADURA!$C$121)),IF(IF(INT(($A54-1)/2)&gt;MAX(2*NERVADURA!$C$118-1,0),1,MOD($A54-1,2))=0,(CROQUIS!$C$11-DATOS!$C$17/2-NERVADURA!$C$121),(DATOS!$C$17/2+NERVADURA!$C$121)))*CROQUIS!$C$14)</f>
        <v>21.504292815183</v>
      </c>
      <c r="H54">
        <f>IF(NERVADURA!$C$120=0,CROQUIS!$C$15+CROQUIS!$C$10*CROQUIS!$C$14/2,CROQUIS!$C$15+IF(MOD(MIN(INT(($A54-1)/2),MAX(2*NERVADURA!$C$120-1,0)),2)=0,IF(IF(INT(($A54-1)/2)&gt;MAX(2*NERVADURA!$C$120-1,0),1,MOD($A54-1,2))=0,(DATOS!$C$17/2+NERVADURA!$C$119),(CROQUIS!$C$10-DATOS!$C$17/2-NERVADURA!$C$119)),IF(IF(INT(($A54-1)/2)&gt;MAX(2*NERVADURA!$C$120-1,0),1,MOD($A54-1,2))=0,(CROQUIS!$C$10-DATOS!$C$17/2-NERVADURA!$C$119),(DATOS!$C$17/2+NERVADURA!$C$119)))*CROQUIS!$C$14)</f>
        <v>15.0198825124266</v>
      </c>
      <c r="I54">
        <f>IF(NERVADURA!$C$120=0,CROQUIS!$C$16+CROQUIS!$C$11*CROQUIS!$C$14/2,CROQUIS!$C$16+(DATOS!$C$17/2+NERVADURA!$C$121+INT(MIN(INT(($A54-1)/2),MAX(2*NERVADURA!$C$120-1,0))/2)*DATOS!$C$16+MOD(MIN(INT(($A54-1)/2),MAX(2*NERVADURA!$C$120-1,0)),2)*DATOS!$C$11)*CROQUIS!$C$14)</f>
        <v>84.495707184817</v>
      </c>
      <c r="CA54" t="n">
        <v>5.422</v>
      </c>
      <c r="CB54" t="n">
        <v>9.949999999999999</v>
      </c>
      <c r="CC54" t="n">
        <v>7.25</v>
      </c>
      <c r="CD54" t="n">
        <v>24.371</v>
      </c>
      <c r="CE54" t="n">
        <v>7.25</v>
      </c>
      <c r="CF54" t="n">
        <v>23.446</v>
      </c>
      <c r="CI54" t="n">
        <v>8.85</v>
      </c>
      <c r="CJ54" t="n">
        <v>0</v>
      </c>
      <c r="CK54" t="n">
        <v>5.822</v>
      </c>
      <c r="CL54" t="n">
        <v>16.697</v>
      </c>
      <c r="CM54" t="n">
        <v>3.427</v>
      </c>
      <c r="CN54" t="n">
        <v>15.846</v>
      </c>
      <c r="CQ54" t="n">
        <v>8.775</v>
      </c>
      <c r="CR54" t="n">
        <v>16.772</v>
      </c>
      <c r="CS54" t="n">
        <v>5.923</v>
      </c>
      <c r="CT54" t="n">
        <v>5.946</v>
      </c>
      <c r="EX54" t="inlineStr">
        <is>
          <t>C7</t>
        </is>
      </c>
      <c r="EY54" t="n">
        <v>5.441</v>
      </c>
      <c r="EZ54" t="n">
        <v>8.91</v>
      </c>
      <c r="FA54" t="inlineStr">
        <is>
          <t>N+3.00</t>
        </is>
      </c>
      <c r="FB54" t="str">
        <f>IF(APOYOS!$C$23="SÍ","C7"&amp;" (propuesto)","C7"&amp;" RECHAZADO")</f>
        <v>C7 (propuesto)</v>
      </c>
    </row>
    <row r="55">
      <c r="A55" t="n">
        <v>48</v>
      </c>
      <c r="B55">
        <f>CHOOSE(MIN(MAX($A55,1),5),CROQUIS!$C$15,CROQUIS!$C$15+CROQUIS!$C$10*CROQUIS!$C$14,CROQUIS!$C$15+CROQUIS!$C$10*CROQUIS!$C$14,CROQUIS!$C$15,CROQUIS!$C$15)</f>
        <v>12</v>
      </c>
      <c r="C55">
        <f>CHOOSE(MIN(MAX($A55,1),5),CROQUIS!$C$16,CROQUIS!$C$16,CROQUIS!$C$16+CROQUIS!$C$11*CROQUIS!$C$14,CROQUIS!$C$16+CROQUIS!$C$11*CROQUIS!$C$14,CROQUIS!$C$16)</f>
        <v>15.9462268413918</v>
      </c>
      <c r="D55">
        <f>CHOOSE(MIN(MAX($A55,1),5),CROQUIS!$C$15+DATOS!$C$17/2*CROQUIS!$C$14,CROQUIS!$C$15+CROQUIS!$C$10*CROQUIS!$C$14-DATOS!$C$17/2*CROQUIS!$C$14,CROQUIS!$C$15+CROQUIS!$C$10*CROQUIS!$C$14-DATOS!$C$17/2*CROQUIS!$C$14,CROQUIS!$C$15+DATOS!$C$17/2*CROQUIS!$C$14,CROQUIS!$C$15+DATOS!$C$17/2*CROQUIS!$C$14)</f>
        <v>13.3895164934478</v>
      </c>
      <c r="E55">
        <f>CHOOSE(MIN(MAX($A55,1),5),CROQUIS!$C$16+DATOS!$C$17/2*CROQUIS!$C$14,CROQUIS!$C$16+DATOS!$C$17/2*CROQUIS!$C$14,CROQUIS!$C$16+CROQUIS!$C$11*CROQUIS!$C$14-DATOS!$C$17/2*CROQUIS!$C$14,CROQUIS!$C$16+CROQUIS!$C$11*CROQUIS!$C$14-DATOS!$C$17/2*CROQUIS!$C$14,CROQUIS!$C$16+DATOS!$C$17/2*CROQUIS!$C$14)</f>
        <v>17.3357433348396</v>
      </c>
      <c r="F55">
        <f>IF(NERVADURA!$C$118=0,CROQUIS!$C$15+CROQUIS!$C$10*CROQUIS!$C$14/2,CROQUIS!$C$15+(DATOS!$C$17/2+NERVADURA!$C$119+INT(MIN(INT(($A55-1)/2),MAX(2*NERVADURA!$C$118-1,0))/2)*DATOS!$C$16+MOD(MIN(INT(($A55-1)/2),MAX(2*NERVADURA!$C$118-1,0)),2)*DATOS!$C$11)*CROQUIS!$C$14)</f>
        <v>90.9801174875734</v>
      </c>
      <c r="G55">
        <f>IF(NERVADURA!$C$118=0,CROQUIS!$C$16+CROQUIS!$C$11*CROQUIS!$C$14/2,CROQUIS!$C$16+IF(MOD(MIN(INT(($A55-1)/2),MAX(2*NERVADURA!$C$118-1,0)),2)=0,IF(IF(INT(($A55-1)/2)&gt;MAX(2*NERVADURA!$C$118-1,0),1,MOD($A55-1,2))=0,(DATOS!$C$17/2+NERVADURA!$C$121),(CROQUIS!$C$11-DATOS!$C$17/2-NERVADURA!$C$121)),IF(IF(INT(($A55-1)/2)&gt;MAX(2*NERVADURA!$C$118-1,0),1,MOD($A55-1,2))=0,(CROQUIS!$C$11-DATOS!$C$17/2-NERVADURA!$C$121),(DATOS!$C$17/2+NERVADURA!$C$121)))*CROQUIS!$C$14)</f>
        <v>21.504292815183</v>
      </c>
      <c r="H55">
        <f>IF(NERVADURA!$C$120=0,CROQUIS!$C$15+CROQUIS!$C$10*CROQUIS!$C$14/2,CROQUIS!$C$15+IF(MOD(MIN(INT(($A55-1)/2),MAX(2*NERVADURA!$C$120-1,0)),2)=0,IF(IF(INT(($A55-1)/2)&gt;MAX(2*NERVADURA!$C$120-1,0),1,MOD($A55-1,2))=0,(DATOS!$C$17/2+NERVADURA!$C$119),(CROQUIS!$C$10-DATOS!$C$17/2-NERVADURA!$C$119)),IF(IF(INT(($A55-1)/2)&gt;MAX(2*NERVADURA!$C$120-1,0),1,MOD($A55-1,2))=0,(CROQUIS!$C$10-DATOS!$C$17/2-NERVADURA!$C$119),(DATOS!$C$17/2+NERVADURA!$C$119)))*CROQUIS!$C$14)</f>
        <v>15.0198825124266</v>
      </c>
      <c r="I55">
        <f>IF(NERVADURA!$C$120=0,CROQUIS!$C$16+CROQUIS!$C$11*CROQUIS!$C$14/2,CROQUIS!$C$16+(DATOS!$C$17/2+NERVADURA!$C$121+INT(MIN(INT(($A55-1)/2),MAX(2*NERVADURA!$C$120-1,0))/2)*DATOS!$C$16+MOD(MIN(INT(($A55-1)/2),MAX(2*NERVADURA!$C$120-1,0)),2)*DATOS!$C$11)*CROQUIS!$C$14)</f>
        <v>84.495707184817</v>
      </c>
      <c r="CA55" t="n">
        <v>5.422</v>
      </c>
      <c r="CB55" t="n">
        <v>15.447</v>
      </c>
      <c r="CI55" t="n">
        <v>8.85</v>
      </c>
      <c r="CJ55" t="n">
        <v>2.316</v>
      </c>
      <c r="CS55" t="n">
        <v>5.923</v>
      </c>
      <c r="CT55" t="n">
        <v>6.948</v>
      </c>
      <c r="EX55" t="inlineStr">
        <is>
          <t>C8</t>
        </is>
      </c>
      <c r="EY55" t="n">
        <v>3.427</v>
      </c>
      <c r="EZ55" t="n">
        <v>15.846</v>
      </c>
      <c r="FA55" t="inlineStr">
        <is>
          <t>N+3.00</t>
        </is>
      </c>
      <c r="FB55" t="str">
        <f>IF(APOYOS!$C$24="SÍ","C8"&amp;" (propuesto)","C8"&amp;" RECHAZADO")</f>
        <v>C8 (propuesto)</v>
      </c>
    </row>
    <row r="56">
      <c r="A56" t="n">
        <v>49</v>
      </c>
      <c r="B56">
        <f>CHOOSE(MIN(MAX($A56,1),5),CROQUIS!$C$15,CROQUIS!$C$15+CROQUIS!$C$10*CROQUIS!$C$14,CROQUIS!$C$15+CROQUIS!$C$10*CROQUIS!$C$14,CROQUIS!$C$15,CROQUIS!$C$15)</f>
        <v>12</v>
      </c>
      <c r="C56">
        <f>CHOOSE(MIN(MAX($A56,1),5),CROQUIS!$C$16,CROQUIS!$C$16,CROQUIS!$C$16+CROQUIS!$C$11*CROQUIS!$C$14,CROQUIS!$C$16+CROQUIS!$C$11*CROQUIS!$C$14,CROQUIS!$C$16)</f>
        <v>15.9462268413918</v>
      </c>
      <c r="D56">
        <f>CHOOSE(MIN(MAX($A56,1),5),CROQUIS!$C$15+DATOS!$C$17/2*CROQUIS!$C$14,CROQUIS!$C$15+CROQUIS!$C$10*CROQUIS!$C$14-DATOS!$C$17/2*CROQUIS!$C$14,CROQUIS!$C$15+CROQUIS!$C$10*CROQUIS!$C$14-DATOS!$C$17/2*CROQUIS!$C$14,CROQUIS!$C$15+DATOS!$C$17/2*CROQUIS!$C$14,CROQUIS!$C$15+DATOS!$C$17/2*CROQUIS!$C$14)</f>
        <v>13.3895164934478</v>
      </c>
      <c r="E56">
        <f>CHOOSE(MIN(MAX($A56,1),5),CROQUIS!$C$16+DATOS!$C$17/2*CROQUIS!$C$14,CROQUIS!$C$16+DATOS!$C$17/2*CROQUIS!$C$14,CROQUIS!$C$16+CROQUIS!$C$11*CROQUIS!$C$14-DATOS!$C$17/2*CROQUIS!$C$14,CROQUIS!$C$16+CROQUIS!$C$11*CROQUIS!$C$14-DATOS!$C$17/2*CROQUIS!$C$14,CROQUIS!$C$16+DATOS!$C$17/2*CROQUIS!$C$14)</f>
        <v>17.3357433348396</v>
      </c>
      <c r="F56">
        <f>IF(NERVADURA!$C$118=0,CROQUIS!$C$15+CROQUIS!$C$10*CROQUIS!$C$14/2,CROQUIS!$C$15+(DATOS!$C$17/2+NERVADURA!$C$119+INT(MIN(INT(($A56-1)/2),MAX(2*NERVADURA!$C$118-1,0))/2)*DATOS!$C$16+MOD(MIN(INT(($A56-1)/2),MAX(2*NERVADURA!$C$118-1,0)),2)*DATOS!$C$11)*CROQUIS!$C$14)</f>
        <v>90.9801174875734</v>
      </c>
      <c r="G56">
        <f>IF(NERVADURA!$C$118=0,CROQUIS!$C$16+CROQUIS!$C$11*CROQUIS!$C$14/2,CROQUIS!$C$16+IF(MOD(MIN(INT(($A56-1)/2),MAX(2*NERVADURA!$C$118-1,0)),2)=0,IF(IF(INT(($A56-1)/2)&gt;MAX(2*NERVADURA!$C$118-1,0),1,MOD($A56-1,2))=0,(DATOS!$C$17/2+NERVADURA!$C$121),(CROQUIS!$C$11-DATOS!$C$17/2-NERVADURA!$C$121)),IF(IF(INT(($A56-1)/2)&gt;MAX(2*NERVADURA!$C$118-1,0),1,MOD($A56-1,2))=0,(CROQUIS!$C$11-DATOS!$C$17/2-NERVADURA!$C$121),(DATOS!$C$17/2+NERVADURA!$C$121)))*CROQUIS!$C$14)</f>
        <v>21.504292815183</v>
      </c>
      <c r="H56">
        <f>IF(NERVADURA!$C$120=0,CROQUIS!$C$15+CROQUIS!$C$10*CROQUIS!$C$14/2,CROQUIS!$C$15+IF(MOD(MIN(INT(($A56-1)/2),MAX(2*NERVADURA!$C$120-1,0)),2)=0,IF(IF(INT(($A56-1)/2)&gt;MAX(2*NERVADURA!$C$120-1,0),1,MOD($A56-1,2))=0,(DATOS!$C$17/2+NERVADURA!$C$119),(CROQUIS!$C$10-DATOS!$C$17/2-NERVADURA!$C$119)),IF(IF(INT(($A56-1)/2)&gt;MAX(2*NERVADURA!$C$120-1,0),1,MOD($A56-1,2))=0,(CROQUIS!$C$10-DATOS!$C$17/2-NERVADURA!$C$119),(DATOS!$C$17/2+NERVADURA!$C$119)))*CROQUIS!$C$14)</f>
        <v>15.0198825124266</v>
      </c>
      <c r="I56">
        <f>IF(NERVADURA!$C$120=0,CROQUIS!$C$16+CROQUIS!$C$11*CROQUIS!$C$14/2,CROQUIS!$C$16+(DATOS!$C$17/2+NERVADURA!$C$121+INT(MIN(INT(($A56-1)/2),MAX(2*NERVADURA!$C$120-1,0))/2)*DATOS!$C$16+MOD(MIN(INT(($A56-1)/2),MAX(2*NERVADURA!$C$120-1,0)),2)*DATOS!$C$11)*CROQUIS!$C$14)</f>
        <v>84.495707184817</v>
      </c>
      <c r="CA56" t="n">
        <v>4.925</v>
      </c>
      <c r="CB56" t="n">
        <v>15.447</v>
      </c>
      <c r="CC56" t="n">
        <v>8.85</v>
      </c>
      <c r="CD56" t="n">
        <v>0</v>
      </c>
      <c r="CE56" t="n">
        <v>-2</v>
      </c>
      <c r="CF56" t="n">
        <v>14.021</v>
      </c>
      <c r="CI56" t="n">
        <v>8.85</v>
      </c>
      <c r="CJ56" t="n">
        <v>4.632</v>
      </c>
      <c r="CK56" t="n">
        <v>3.029</v>
      </c>
      <c r="CL56" t="n">
        <v>17.446</v>
      </c>
      <c r="CM56" t="n">
        <v>4.327</v>
      </c>
      <c r="CN56" t="n">
        <v>1.919</v>
      </c>
      <c r="CQ56" t="n">
        <v>0.075</v>
      </c>
      <c r="CR56" t="n">
        <v>17.072</v>
      </c>
      <c r="CS56" t="n">
        <v>5.925</v>
      </c>
      <c r="CT56" t="n">
        <v>21.446</v>
      </c>
    </row>
    <row r="57">
      <c r="A57" t="n">
        <v>50</v>
      </c>
      <c r="B57">
        <f>CHOOSE(MIN(MAX($A57,1),5),CROQUIS!$C$15,CROQUIS!$C$15+CROQUIS!$C$10*CROQUIS!$C$14,CROQUIS!$C$15+CROQUIS!$C$10*CROQUIS!$C$14,CROQUIS!$C$15,CROQUIS!$C$15)</f>
        <v>12</v>
      </c>
      <c r="C57">
        <f>CHOOSE(MIN(MAX($A57,1),5),CROQUIS!$C$16,CROQUIS!$C$16,CROQUIS!$C$16+CROQUIS!$C$11*CROQUIS!$C$14,CROQUIS!$C$16+CROQUIS!$C$11*CROQUIS!$C$14,CROQUIS!$C$16)</f>
        <v>15.9462268413918</v>
      </c>
      <c r="D57">
        <f>CHOOSE(MIN(MAX($A57,1),5),CROQUIS!$C$15+DATOS!$C$17/2*CROQUIS!$C$14,CROQUIS!$C$15+CROQUIS!$C$10*CROQUIS!$C$14-DATOS!$C$17/2*CROQUIS!$C$14,CROQUIS!$C$15+CROQUIS!$C$10*CROQUIS!$C$14-DATOS!$C$17/2*CROQUIS!$C$14,CROQUIS!$C$15+DATOS!$C$17/2*CROQUIS!$C$14,CROQUIS!$C$15+DATOS!$C$17/2*CROQUIS!$C$14)</f>
        <v>13.3895164934478</v>
      </c>
      <c r="E57">
        <f>CHOOSE(MIN(MAX($A57,1),5),CROQUIS!$C$16+DATOS!$C$17/2*CROQUIS!$C$14,CROQUIS!$C$16+DATOS!$C$17/2*CROQUIS!$C$14,CROQUIS!$C$16+CROQUIS!$C$11*CROQUIS!$C$14-DATOS!$C$17/2*CROQUIS!$C$14,CROQUIS!$C$16+CROQUIS!$C$11*CROQUIS!$C$14-DATOS!$C$17/2*CROQUIS!$C$14,CROQUIS!$C$16+DATOS!$C$17/2*CROQUIS!$C$14)</f>
        <v>17.3357433348396</v>
      </c>
      <c r="F57">
        <f>IF(NERVADURA!$C$118=0,CROQUIS!$C$15+CROQUIS!$C$10*CROQUIS!$C$14/2,CROQUIS!$C$15+(DATOS!$C$17/2+NERVADURA!$C$119+INT(MIN(INT(($A57-1)/2),MAX(2*NERVADURA!$C$118-1,0))/2)*DATOS!$C$16+MOD(MIN(INT(($A57-1)/2),MAX(2*NERVADURA!$C$118-1,0)),2)*DATOS!$C$11)*CROQUIS!$C$14)</f>
        <v>90.9801174875734</v>
      </c>
      <c r="G57">
        <f>IF(NERVADURA!$C$118=0,CROQUIS!$C$16+CROQUIS!$C$11*CROQUIS!$C$14/2,CROQUIS!$C$16+IF(MOD(MIN(INT(($A57-1)/2),MAX(2*NERVADURA!$C$118-1,0)),2)=0,IF(IF(INT(($A57-1)/2)&gt;MAX(2*NERVADURA!$C$118-1,0),1,MOD($A57-1,2))=0,(DATOS!$C$17/2+NERVADURA!$C$121),(CROQUIS!$C$11-DATOS!$C$17/2-NERVADURA!$C$121)),IF(IF(INT(($A57-1)/2)&gt;MAX(2*NERVADURA!$C$118-1,0),1,MOD($A57-1,2))=0,(CROQUIS!$C$11-DATOS!$C$17/2-NERVADURA!$C$121),(DATOS!$C$17/2+NERVADURA!$C$121)))*CROQUIS!$C$14)</f>
        <v>21.504292815183</v>
      </c>
      <c r="H57">
        <f>IF(NERVADURA!$C$120=0,CROQUIS!$C$15+CROQUIS!$C$10*CROQUIS!$C$14/2,CROQUIS!$C$15+IF(MOD(MIN(INT(($A57-1)/2),MAX(2*NERVADURA!$C$120-1,0)),2)=0,IF(IF(INT(($A57-1)/2)&gt;MAX(2*NERVADURA!$C$120-1,0),1,MOD($A57-1,2))=0,(DATOS!$C$17/2+NERVADURA!$C$119),(CROQUIS!$C$10-DATOS!$C$17/2-NERVADURA!$C$119)),IF(IF(INT(($A57-1)/2)&gt;MAX(2*NERVADURA!$C$120-1,0),1,MOD($A57-1,2))=0,(CROQUIS!$C$10-DATOS!$C$17/2-NERVADURA!$C$119),(DATOS!$C$17/2+NERVADURA!$C$119)))*CROQUIS!$C$14)</f>
        <v>15.0198825124266</v>
      </c>
      <c r="I57">
        <f>IF(NERVADURA!$C$120=0,CROQUIS!$C$16+CROQUIS!$C$11*CROQUIS!$C$14/2,CROQUIS!$C$16+(DATOS!$C$17/2+NERVADURA!$C$121+INT(MIN(INT(($A57-1)/2),MAX(2*NERVADURA!$C$120-1,0))/2)*DATOS!$C$16+MOD(MIN(INT(($A57-1)/2),MAX(2*NERVADURA!$C$120-1,0)),2)*DATOS!$C$11)*CROQUIS!$C$14)</f>
        <v>84.495707184817</v>
      </c>
      <c r="CA57" t="n">
        <v>4.925</v>
      </c>
      <c r="CB57" t="n">
        <v>17.446</v>
      </c>
      <c r="CC57" t="n">
        <v>8.85</v>
      </c>
      <c r="CD57" t="n">
        <v>24.371</v>
      </c>
      <c r="CE57" t="n">
        <v>-2</v>
      </c>
      <c r="CF57" t="n">
        <v>17.446</v>
      </c>
      <c r="CI57" t="n">
        <v>8.85</v>
      </c>
      <c r="CJ57" t="n">
        <v>6.948</v>
      </c>
      <c r="CK57" t="n">
        <v>0</v>
      </c>
      <c r="CL57" t="n">
        <v>17.446</v>
      </c>
      <c r="CM57" t="n">
        <v>4.327</v>
      </c>
      <c r="CN57" t="n">
        <v>7.871</v>
      </c>
      <c r="CQ57" t="n">
        <v>2.85</v>
      </c>
      <c r="CR57" t="n">
        <v>17.072</v>
      </c>
      <c r="CS57" t="n">
        <v>6.247</v>
      </c>
      <c r="CT57" t="n">
        <v>14.247</v>
      </c>
    </row>
    <row r="58">
      <c r="A58" t="n">
        <v>51</v>
      </c>
      <c r="B58">
        <f>CHOOSE(MIN(MAX($A58,1),5),CROQUIS!$C$15,CROQUIS!$C$15+CROQUIS!$C$10*CROQUIS!$C$14,CROQUIS!$C$15+CROQUIS!$C$10*CROQUIS!$C$14,CROQUIS!$C$15,CROQUIS!$C$15)</f>
        <v>12</v>
      </c>
      <c r="C58">
        <f>CHOOSE(MIN(MAX($A58,1),5),CROQUIS!$C$16,CROQUIS!$C$16,CROQUIS!$C$16+CROQUIS!$C$11*CROQUIS!$C$14,CROQUIS!$C$16+CROQUIS!$C$11*CROQUIS!$C$14,CROQUIS!$C$16)</f>
        <v>15.9462268413918</v>
      </c>
      <c r="D58">
        <f>CHOOSE(MIN(MAX($A58,1),5),CROQUIS!$C$15+DATOS!$C$17/2*CROQUIS!$C$14,CROQUIS!$C$15+CROQUIS!$C$10*CROQUIS!$C$14-DATOS!$C$17/2*CROQUIS!$C$14,CROQUIS!$C$15+CROQUIS!$C$10*CROQUIS!$C$14-DATOS!$C$17/2*CROQUIS!$C$14,CROQUIS!$C$15+DATOS!$C$17/2*CROQUIS!$C$14,CROQUIS!$C$15+DATOS!$C$17/2*CROQUIS!$C$14)</f>
        <v>13.3895164934478</v>
      </c>
      <c r="E58">
        <f>CHOOSE(MIN(MAX($A58,1),5),CROQUIS!$C$16+DATOS!$C$17/2*CROQUIS!$C$14,CROQUIS!$C$16+DATOS!$C$17/2*CROQUIS!$C$14,CROQUIS!$C$16+CROQUIS!$C$11*CROQUIS!$C$14-DATOS!$C$17/2*CROQUIS!$C$14,CROQUIS!$C$16+CROQUIS!$C$11*CROQUIS!$C$14-DATOS!$C$17/2*CROQUIS!$C$14,CROQUIS!$C$16+DATOS!$C$17/2*CROQUIS!$C$14)</f>
        <v>17.3357433348396</v>
      </c>
      <c r="F58">
        <f>IF(NERVADURA!$C$118=0,CROQUIS!$C$15+CROQUIS!$C$10*CROQUIS!$C$14/2,CROQUIS!$C$15+(DATOS!$C$17/2+NERVADURA!$C$119+INT(MIN(INT(($A58-1)/2),MAX(2*NERVADURA!$C$118-1,0))/2)*DATOS!$C$16+MOD(MIN(INT(($A58-1)/2),MAX(2*NERVADURA!$C$118-1,0)),2)*DATOS!$C$11)*CROQUIS!$C$14)</f>
        <v>90.9801174875734</v>
      </c>
      <c r="G58">
        <f>IF(NERVADURA!$C$118=0,CROQUIS!$C$16+CROQUIS!$C$11*CROQUIS!$C$14/2,CROQUIS!$C$16+IF(MOD(MIN(INT(($A58-1)/2),MAX(2*NERVADURA!$C$118-1,0)),2)=0,IF(IF(INT(($A58-1)/2)&gt;MAX(2*NERVADURA!$C$118-1,0),1,MOD($A58-1,2))=0,(DATOS!$C$17/2+NERVADURA!$C$121),(CROQUIS!$C$11-DATOS!$C$17/2-NERVADURA!$C$121)),IF(IF(INT(($A58-1)/2)&gt;MAX(2*NERVADURA!$C$118-1,0),1,MOD($A58-1,2))=0,(CROQUIS!$C$11-DATOS!$C$17/2-NERVADURA!$C$121),(DATOS!$C$17/2+NERVADURA!$C$121)))*CROQUIS!$C$14)</f>
        <v>21.504292815183</v>
      </c>
      <c r="H58">
        <f>IF(NERVADURA!$C$120=0,CROQUIS!$C$15+CROQUIS!$C$10*CROQUIS!$C$14/2,CROQUIS!$C$15+IF(MOD(MIN(INT(($A58-1)/2),MAX(2*NERVADURA!$C$120-1,0)),2)=0,IF(IF(INT(($A58-1)/2)&gt;MAX(2*NERVADURA!$C$120-1,0),1,MOD($A58-1,2))=0,(DATOS!$C$17/2+NERVADURA!$C$119),(CROQUIS!$C$10-DATOS!$C$17/2-NERVADURA!$C$119)),IF(IF(INT(($A58-1)/2)&gt;MAX(2*NERVADURA!$C$120-1,0),1,MOD($A58-1,2))=0,(CROQUIS!$C$10-DATOS!$C$17/2-NERVADURA!$C$119),(DATOS!$C$17/2+NERVADURA!$C$119)))*CROQUIS!$C$14)</f>
        <v>15.0198825124266</v>
      </c>
      <c r="I58">
        <f>IF(NERVADURA!$C$120=0,CROQUIS!$C$16+CROQUIS!$C$11*CROQUIS!$C$14/2,CROQUIS!$C$16+(DATOS!$C$17/2+NERVADURA!$C$121+INT(MIN(INT(($A58-1)/2),MAX(2*NERVADURA!$C$120-1,0))/2)*DATOS!$C$16+MOD(MIN(INT(($A58-1)/2),MAX(2*NERVADURA!$C$120-1,0)),2)*DATOS!$C$11)*CROQUIS!$C$14)</f>
        <v>84.495707184817</v>
      </c>
      <c r="CA58" t="n">
        <v>3.029</v>
      </c>
      <c r="CB58" t="n">
        <v>17.446</v>
      </c>
      <c r="CI58" t="n">
        <v>8.85</v>
      </c>
      <c r="CJ58" t="n">
        <v>8.449</v>
      </c>
      <c r="CK58" t="n">
        <v>0</v>
      </c>
      <c r="CL58" t="n">
        <v>16.997</v>
      </c>
      <c r="CQ58" t="n">
        <v>2.85</v>
      </c>
      <c r="CR58" t="n">
        <v>17.372</v>
      </c>
      <c r="CS58" t="n">
        <v>6.272</v>
      </c>
      <c r="CT58" t="n">
        <v>6.948</v>
      </c>
    </row>
    <row r="59">
      <c r="A59" t="n">
        <v>52</v>
      </c>
      <c r="B59">
        <f>CHOOSE(MIN(MAX($A59,1),5),CROQUIS!$C$15,CROQUIS!$C$15+CROQUIS!$C$10*CROQUIS!$C$14,CROQUIS!$C$15+CROQUIS!$C$10*CROQUIS!$C$14,CROQUIS!$C$15,CROQUIS!$C$15)</f>
        <v>12</v>
      </c>
      <c r="C59">
        <f>CHOOSE(MIN(MAX($A59,1),5),CROQUIS!$C$16,CROQUIS!$C$16,CROQUIS!$C$16+CROQUIS!$C$11*CROQUIS!$C$14,CROQUIS!$C$16+CROQUIS!$C$11*CROQUIS!$C$14,CROQUIS!$C$16)</f>
        <v>15.9462268413918</v>
      </c>
      <c r="D59">
        <f>CHOOSE(MIN(MAX($A59,1),5),CROQUIS!$C$15+DATOS!$C$17/2*CROQUIS!$C$14,CROQUIS!$C$15+CROQUIS!$C$10*CROQUIS!$C$14-DATOS!$C$17/2*CROQUIS!$C$14,CROQUIS!$C$15+CROQUIS!$C$10*CROQUIS!$C$14-DATOS!$C$17/2*CROQUIS!$C$14,CROQUIS!$C$15+DATOS!$C$17/2*CROQUIS!$C$14,CROQUIS!$C$15+DATOS!$C$17/2*CROQUIS!$C$14)</f>
        <v>13.3895164934478</v>
      </c>
      <c r="E59">
        <f>CHOOSE(MIN(MAX($A59,1),5),CROQUIS!$C$16+DATOS!$C$17/2*CROQUIS!$C$14,CROQUIS!$C$16+DATOS!$C$17/2*CROQUIS!$C$14,CROQUIS!$C$16+CROQUIS!$C$11*CROQUIS!$C$14-DATOS!$C$17/2*CROQUIS!$C$14,CROQUIS!$C$16+CROQUIS!$C$11*CROQUIS!$C$14-DATOS!$C$17/2*CROQUIS!$C$14,CROQUIS!$C$16+DATOS!$C$17/2*CROQUIS!$C$14)</f>
        <v>17.3357433348396</v>
      </c>
      <c r="F59">
        <f>IF(NERVADURA!$C$118=0,CROQUIS!$C$15+CROQUIS!$C$10*CROQUIS!$C$14/2,CROQUIS!$C$15+(DATOS!$C$17/2+NERVADURA!$C$119+INT(MIN(INT(($A59-1)/2),MAX(2*NERVADURA!$C$118-1,0))/2)*DATOS!$C$16+MOD(MIN(INT(($A59-1)/2),MAX(2*NERVADURA!$C$118-1,0)),2)*DATOS!$C$11)*CROQUIS!$C$14)</f>
        <v>90.9801174875734</v>
      </c>
      <c r="G59">
        <f>IF(NERVADURA!$C$118=0,CROQUIS!$C$16+CROQUIS!$C$11*CROQUIS!$C$14/2,CROQUIS!$C$16+IF(MOD(MIN(INT(($A59-1)/2),MAX(2*NERVADURA!$C$118-1,0)),2)=0,IF(IF(INT(($A59-1)/2)&gt;MAX(2*NERVADURA!$C$118-1,0),1,MOD($A59-1,2))=0,(DATOS!$C$17/2+NERVADURA!$C$121),(CROQUIS!$C$11-DATOS!$C$17/2-NERVADURA!$C$121)),IF(IF(INT(($A59-1)/2)&gt;MAX(2*NERVADURA!$C$118-1,0),1,MOD($A59-1,2))=0,(CROQUIS!$C$11-DATOS!$C$17/2-NERVADURA!$C$121),(DATOS!$C$17/2+NERVADURA!$C$121)))*CROQUIS!$C$14)</f>
        <v>21.504292815183</v>
      </c>
      <c r="H59">
        <f>IF(NERVADURA!$C$120=0,CROQUIS!$C$15+CROQUIS!$C$10*CROQUIS!$C$14/2,CROQUIS!$C$15+IF(MOD(MIN(INT(($A59-1)/2),MAX(2*NERVADURA!$C$120-1,0)),2)=0,IF(IF(INT(($A59-1)/2)&gt;MAX(2*NERVADURA!$C$120-1,0),1,MOD($A59-1,2))=0,(DATOS!$C$17/2+NERVADURA!$C$119),(CROQUIS!$C$10-DATOS!$C$17/2-NERVADURA!$C$119)),IF(IF(INT(($A59-1)/2)&gt;MAX(2*NERVADURA!$C$120-1,0),1,MOD($A59-1,2))=0,(CROQUIS!$C$10-DATOS!$C$17/2-NERVADURA!$C$119),(DATOS!$C$17/2+NERVADURA!$C$119)))*CROQUIS!$C$14)</f>
        <v>15.0198825124266</v>
      </c>
      <c r="I59">
        <f>IF(NERVADURA!$C$120=0,CROQUIS!$C$16+CROQUIS!$C$11*CROQUIS!$C$14/2,CROQUIS!$C$16+(DATOS!$C$17/2+NERVADURA!$C$121+INT(MIN(INT(($A59-1)/2),MAX(2*NERVADURA!$C$120-1,0))/2)*DATOS!$C$16+MOD(MIN(INT(($A59-1)/2),MAX(2*NERVADURA!$C$120-1,0)),2)*DATOS!$C$11)*CROQUIS!$C$14)</f>
        <v>84.495707184817</v>
      </c>
      <c r="CA59" t="n">
        <v>3.029</v>
      </c>
      <c r="CB59" t="n">
        <v>15.846</v>
      </c>
      <c r="CE59" t="n">
        <v>3.029</v>
      </c>
      <c r="CF59" t="n">
        <v>15.846</v>
      </c>
      <c r="CI59" t="n">
        <v>8.85</v>
      </c>
      <c r="CJ59" t="n">
        <v>9.949999999999999</v>
      </c>
      <c r="CK59" t="n">
        <v>3.029</v>
      </c>
      <c r="CL59" t="n">
        <v>16.997</v>
      </c>
      <c r="CM59" t="n">
        <v>4.426</v>
      </c>
      <c r="CN59" t="n">
        <v>17.446</v>
      </c>
      <c r="CQ59" t="n">
        <v>0.075</v>
      </c>
      <c r="CR59" t="n">
        <v>17.372</v>
      </c>
      <c r="CS59" t="n">
        <v>6.28</v>
      </c>
      <c r="CT59" t="n">
        <v>9.949999999999999</v>
      </c>
    </row>
    <row r="60">
      <c r="A60" t="n">
        <v>53</v>
      </c>
      <c r="B60">
        <f>CHOOSE(MIN(MAX($A60,1),5),CROQUIS!$C$15,CROQUIS!$C$15+CROQUIS!$C$10*CROQUIS!$C$14,CROQUIS!$C$15+CROQUIS!$C$10*CROQUIS!$C$14,CROQUIS!$C$15,CROQUIS!$C$15)</f>
        <v>12</v>
      </c>
      <c r="C60">
        <f>CHOOSE(MIN(MAX($A60,1),5),CROQUIS!$C$16,CROQUIS!$C$16,CROQUIS!$C$16+CROQUIS!$C$11*CROQUIS!$C$14,CROQUIS!$C$16+CROQUIS!$C$11*CROQUIS!$C$14,CROQUIS!$C$16)</f>
        <v>15.9462268413918</v>
      </c>
      <c r="D60">
        <f>CHOOSE(MIN(MAX($A60,1),5),CROQUIS!$C$15+DATOS!$C$17/2*CROQUIS!$C$14,CROQUIS!$C$15+CROQUIS!$C$10*CROQUIS!$C$14-DATOS!$C$17/2*CROQUIS!$C$14,CROQUIS!$C$15+CROQUIS!$C$10*CROQUIS!$C$14-DATOS!$C$17/2*CROQUIS!$C$14,CROQUIS!$C$15+DATOS!$C$17/2*CROQUIS!$C$14,CROQUIS!$C$15+DATOS!$C$17/2*CROQUIS!$C$14)</f>
        <v>13.3895164934478</v>
      </c>
      <c r="E60">
        <f>CHOOSE(MIN(MAX($A60,1),5),CROQUIS!$C$16+DATOS!$C$17/2*CROQUIS!$C$14,CROQUIS!$C$16+DATOS!$C$17/2*CROQUIS!$C$14,CROQUIS!$C$16+CROQUIS!$C$11*CROQUIS!$C$14-DATOS!$C$17/2*CROQUIS!$C$14,CROQUIS!$C$16+CROQUIS!$C$11*CROQUIS!$C$14-DATOS!$C$17/2*CROQUIS!$C$14,CROQUIS!$C$16+DATOS!$C$17/2*CROQUIS!$C$14)</f>
        <v>17.3357433348396</v>
      </c>
      <c r="F60">
        <f>IF(NERVADURA!$C$118=0,CROQUIS!$C$15+CROQUIS!$C$10*CROQUIS!$C$14/2,CROQUIS!$C$15+(DATOS!$C$17/2+NERVADURA!$C$119+INT(MIN(INT(($A60-1)/2),MAX(2*NERVADURA!$C$118-1,0))/2)*DATOS!$C$16+MOD(MIN(INT(($A60-1)/2),MAX(2*NERVADURA!$C$118-1,0)),2)*DATOS!$C$11)*CROQUIS!$C$14)</f>
        <v>90.9801174875734</v>
      </c>
      <c r="G60">
        <f>IF(NERVADURA!$C$118=0,CROQUIS!$C$16+CROQUIS!$C$11*CROQUIS!$C$14/2,CROQUIS!$C$16+IF(MOD(MIN(INT(($A60-1)/2),MAX(2*NERVADURA!$C$118-1,0)),2)=0,IF(IF(INT(($A60-1)/2)&gt;MAX(2*NERVADURA!$C$118-1,0),1,MOD($A60-1,2))=0,(DATOS!$C$17/2+NERVADURA!$C$121),(CROQUIS!$C$11-DATOS!$C$17/2-NERVADURA!$C$121)),IF(IF(INT(($A60-1)/2)&gt;MAX(2*NERVADURA!$C$118-1,0),1,MOD($A60-1,2))=0,(CROQUIS!$C$11-DATOS!$C$17/2-NERVADURA!$C$121),(DATOS!$C$17/2+NERVADURA!$C$121)))*CROQUIS!$C$14)</f>
        <v>21.504292815183</v>
      </c>
      <c r="H60">
        <f>IF(NERVADURA!$C$120=0,CROQUIS!$C$15+CROQUIS!$C$10*CROQUIS!$C$14/2,CROQUIS!$C$15+IF(MOD(MIN(INT(($A60-1)/2),MAX(2*NERVADURA!$C$120-1,0)),2)=0,IF(IF(INT(($A60-1)/2)&gt;MAX(2*NERVADURA!$C$120-1,0),1,MOD($A60-1,2))=0,(DATOS!$C$17/2+NERVADURA!$C$119),(CROQUIS!$C$10-DATOS!$C$17/2-NERVADURA!$C$119)),IF(IF(INT(($A60-1)/2)&gt;MAX(2*NERVADURA!$C$120-1,0),1,MOD($A60-1,2))=0,(CROQUIS!$C$10-DATOS!$C$17/2-NERVADURA!$C$119),(DATOS!$C$17/2+NERVADURA!$C$119)))*CROQUIS!$C$14)</f>
        <v>15.0198825124266</v>
      </c>
      <c r="I60">
        <f>IF(NERVADURA!$C$120=0,CROQUIS!$C$16+CROQUIS!$C$11*CROQUIS!$C$14/2,CROQUIS!$C$16+(DATOS!$C$17/2+NERVADURA!$C$121+INT(MIN(INT(($A60-1)/2),MAX(2*NERVADURA!$C$120-1,0))/2)*DATOS!$C$16+MOD(MIN(INT(($A60-1)/2),MAX(2*NERVADURA!$C$120-1,0)),2)*DATOS!$C$11)*CROQUIS!$C$14)</f>
        <v>84.495707184817</v>
      </c>
      <c r="CA60" t="n">
        <v>3.427</v>
      </c>
      <c r="CB60" t="n">
        <v>15.846</v>
      </c>
      <c r="CE60" t="n">
        <v>3.029</v>
      </c>
      <c r="CF60" t="n">
        <v>17.446</v>
      </c>
      <c r="CI60" t="n">
        <v>8.85</v>
      </c>
      <c r="CJ60" t="n">
        <v>12.1</v>
      </c>
      <c r="CK60" t="n">
        <v>3.029</v>
      </c>
      <c r="CL60" t="n">
        <v>17.446</v>
      </c>
      <c r="CM60" t="n">
        <v>4.426</v>
      </c>
      <c r="CN60" t="n">
        <v>21.446</v>
      </c>
      <c r="CQ60" t="n">
        <v>0.075</v>
      </c>
      <c r="CR60" t="n">
        <v>17.072</v>
      </c>
      <c r="CS60" t="n">
        <v>6.722</v>
      </c>
      <c r="CT60" t="n">
        <v>17.446</v>
      </c>
    </row>
    <row r="61">
      <c r="A61" t="n">
        <v>54</v>
      </c>
      <c r="B61">
        <f>CHOOSE(MIN(MAX($A61,1),5),CROQUIS!$C$15,CROQUIS!$C$15+CROQUIS!$C$10*CROQUIS!$C$14,CROQUIS!$C$15+CROQUIS!$C$10*CROQUIS!$C$14,CROQUIS!$C$15,CROQUIS!$C$15)</f>
        <v>12</v>
      </c>
      <c r="C61">
        <f>CHOOSE(MIN(MAX($A61,1),5),CROQUIS!$C$16,CROQUIS!$C$16,CROQUIS!$C$16+CROQUIS!$C$11*CROQUIS!$C$14,CROQUIS!$C$16+CROQUIS!$C$11*CROQUIS!$C$14,CROQUIS!$C$16)</f>
        <v>15.9462268413918</v>
      </c>
      <c r="D61">
        <f>CHOOSE(MIN(MAX($A61,1),5),CROQUIS!$C$15+DATOS!$C$17/2*CROQUIS!$C$14,CROQUIS!$C$15+CROQUIS!$C$10*CROQUIS!$C$14-DATOS!$C$17/2*CROQUIS!$C$14,CROQUIS!$C$15+CROQUIS!$C$10*CROQUIS!$C$14-DATOS!$C$17/2*CROQUIS!$C$14,CROQUIS!$C$15+DATOS!$C$17/2*CROQUIS!$C$14,CROQUIS!$C$15+DATOS!$C$17/2*CROQUIS!$C$14)</f>
        <v>13.3895164934478</v>
      </c>
      <c r="E61">
        <f>CHOOSE(MIN(MAX($A61,1),5),CROQUIS!$C$16+DATOS!$C$17/2*CROQUIS!$C$14,CROQUIS!$C$16+DATOS!$C$17/2*CROQUIS!$C$14,CROQUIS!$C$16+CROQUIS!$C$11*CROQUIS!$C$14-DATOS!$C$17/2*CROQUIS!$C$14,CROQUIS!$C$16+CROQUIS!$C$11*CROQUIS!$C$14-DATOS!$C$17/2*CROQUIS!$C$14,CROQUIS!$C$16+DATOS!$C$17/2*CROQUIS!$C$14)</f>
        <v>17.3357433348396</v>
      </c>
      <c r="F61">
        <f>IF(NERVADURA!$C$118=0,CROQUIS!$C$15+CROQUIS!$C$10*CROQUIS!$C$14/2,CROQUIS!$C$15+(DATOS!$C$17/2+NERVADURA!$C$119+INT(MIN(INT(($A61-1)/2),MAX(2*NERVADURA!$C$118-1,0))/2)*DATOS!$C$16+MOD(MIN(INT(($A61-1)/2),MAX(2*NERVADURA!$C$118-1,0)),2)*DATOS!$C$11)*CROQUIS!$C$14)</f>
        <v>90.9801174875734</v>
      </c>
      <c r="G61">
        <f>IF(NERVADURA!$C$118=0,CROQUIS!$C$16+CROQUIS!$C$11*CROQUIS!$C$14/2,CROQUIS!$C$16+IF(MOD(MIN(INT(($A61-1)/2),MAX(2*NERVADURA!$C$118-1,0)),2)=0,IF(IF(INT(($A61-1)/2)&gt;MAX(2*NERVADURA!$C$118-1,0),1,MOD($A61-1,2))=0,(DATOS!$C$17/2+NERVADURA!$C$121),(CROQUIS!$C$11-DATOS!$C$17/2-NERVADURA!$C$121)),IF(IF(INT(($A61-1)/2)&gt;MAX(2*NERVADURA!$C$118-1,0),1,MOD($A61-1,2))=0,(CROQUIS!$C$11-DATOS!$C$17/2-NERVADURA!$C$121),(DATOS!$C$17/2+NERVADURA!$C$121)))*CROQUIS!$C$14)</f>
        <v>21.504292815183</v>
      </c>
      <c r="H61">
        <f>IF(NERVADURA!$C$120=0,CROQUIS!$C$15+CROQUIS!$C$10*CROQUIS!$C$14/2,CROQUIS!$C$15+IF(MOD(MIN(INT(($A61-1)/2),MAX(2*NERVADURA!$C$120-1,0)),2)=0,IF(IF(INT(($A61-1)/2)&gt;MAX(2*NERVADURA!$C$120-1,0),1,MOD($A61-1,2))=0,(DATOS!$C$17/2+NERVADURA!$C$119),(CROQUIS!$C$10-DATOS!$C$17/2-NERVADURA!$C$119)),IF(IF(INT(($A61-1)/2)&gt;MAX(2*NERVADURA!$C$120-1,0),1,MOD($A61-1,2))=0,(CROQUIS!$C$10-DATOS!$C$17/2-NERVADURA!$C$119),(DATOS!$C$17/2+NERVADURA!$C$119)))*CROQUIS!$C$14)</f>
        <v>15.0198825124266</v>
      </c>
      <c r="I61">
        <f>IF(NERVADURA!$C$120=0,CROQUIS!$C$16+CROQUIS!$C$11*CROQUIS!$C$14/2,CROQUIS!$C$16+(DATOS!$C$17/2+NERVADURA!$C$121+INT(MIN(INT(($A61-1)/2),MAX(2*NERVADURA!$C$120-1,0))/2)*DATOS!$C$16+MOD(MIN(INT(($A61-1)/2),MAX(2*NERVADURA!$C$120-1,0)),2)*DATOS!$C$11)*CROQUIS!$C$14)</f>
        <v>84.495707184817</v>
      </c>
      <c r="CA61" t="n">
        <v>3.427</v>
      </c>
      <c r="CB61" t="n">
        <v>14.021</v>
      </c>
      <c r="CI61" t="n">
        <v>8.85</v>
      </c>
      <c r="CJ61" t="n">
        <v>14.247</v>
      </c>
      <c r="CS61" t="n">
        <v>6.887</v>
      </c>
      <c r="CT61" t="n">
        <v>17.446</v>
      </c>
    </row>
    <row r="62">
      <c r="A62" t="n">
        <v>55</v>
      </c>
      <c r="B62">
        <f>CHOOSE(MIN(MAX($A62,1),5),CROQUIS!$C$15,CROQUIS!$C$15+CROQUIS!$C$10*CROQUIS!$C$14,CROQUIS!$C$15+CROQUIS!$C$10*CROQUIS!$C$14,CROQUIS!$C$15,CROQUIS!$C$15)</f>
        <v>12</v>
      </c>
      <c r="C62">
        <f>CHOOSE(MIN(MAX($A62,1),5),CROQUIS!$C$16,CROQUIS!$C$16,CROQUIS!$C$16+CROQUIS!$C$11*CROQUIS!$C$14,CROQUIS!$C$16+CROQUIS!$C$11*CROQUIS!$C$14,CROQUIS!$C$16)</f>
        <v>15.9462268413918</v>
      </c>
      <c r="D62">
        <f>CHOOSE(MIN(MAX($A62,1),5),CROQUIS!$C$15+DATOS!$C$17/2*CROQUIS!$C$14,CROQUIS!$C$15+CROQUIS!$C$10*CROQUIS!$C$14-DATOS!$C$17/2*CROQUIS!$C$14,CROQUIS!$C$15+CROQUIS!$C$10*CROQUIS!$C$14-DATOS!$C$17/2*CROQUIS!$C$14,CROQUIS!$C$15+DATOS!$C$17/2*CROQUIS!$C$14,CROQUIS!$C$15+DATOS!$C$17/2*CROQUIS!$C$14)</f>
        <v>13.3895164934478</v>
      </c>
      <c r="E62">
        <f>CHOOSE(MIN(MAX($A62,1),5),CROQUIS!$C$16+DATOS!$C$17/2*CROQUIS!$C$14,CROQUIS!$C$16+DATOS!$C$17/2*CROQUIS!$C$14,CROQUIS!$C$16+CROQUIS!$C$11*CROQUIS!$C$14-DATOS!$C$17/2*CROQUIS!$C$14,CROQUIS!$C$16+CROQUIS!$C$11*CROQUIS!$C$14-DATOS!$C$17/2*CROQUIS!$C$14,CROQUIS!$C$16+DATOS!$C$17/2*CROQUIS!$C$14)</f>
        <v>17.3357433348396</v>
      </c>
      <c r="F62">
        <f>IF(NERVADURA!$C$118=0,CROQUIS!$C$15+CROQUIS!$C$10*CROQUIS!$C$14/2,CROQUIS!$C$15+(DATOS!$C$17/2+NERVADURA!$C$119+INT(MIN(INT(($A62-1)/2),MAX(2*NERVADURA!$C$118-1,0))/2)*DATOS!$C$16+MOD(MIN(INT(($A62-1)/2),MAX(2*NERVADURA!$C$118-1,0)),2)*DATOS!$C$11)*CROQUIS!$C$14)</f>
        <v>90.9801174875734</v>
      </c>
      <c r="G62">
        <f>IF(NERVADURA!$C$118=0,CROQUIS!$C$16+CROQUIS!$C$11*CROQUIS!$C$14/2,CROQUIS!$C$16+IF(MOD(MIN(INT(($A62-1)/2),MAX(2*NERVADURA!$C$118-1,0)),2)=0,IF(IF(INT(($A62-1)/2)&gt;MAX(2*NERVADURA!$C$118-1,0),1,MOD($A62-1,2))=0,(DATOS!$C$17/2+NERVADURA!$C$121),(CROQUIS!$C$11-DATOS!$C$17/2-NERVADURA!$C$121)),IF(IF(INT(($A62-1)/2)&gt;MAX(2*NERVADURA!$C$118-1,0),1,MOD($A62-1,2))=0,(CROQUIS!$C$11-DATOS!$C$17/2-NERVADURA!$C$121),(DATOS!$C$17/2+NERVADURA!$C$121)))*CROQUIS!$C$14)</f>
        <v>21.504292815183</v>
      </c>
      <c r="H62">
        <f>IF(NERVADURA!$C$120=0,CROQUIS!$C$15+CROQUIS!$C$10*CROQUIS!$C$14/2,CROQUIS!$C$15+IF(MOD(MIN(INT(($A62-1)/2),MAX(2*NERVADURA!$C$120-1,0)),2)=0,IF(IF(INT(($A62-1)/2)&gt;MAX(2*NERVADURA!$C$120-1,0),1,MOD($A62-1,2))=0,(DATOS!$C$17/2+NERVADURA!$C$119),(CROQUIS!$C$10-DATOS!$C$17/2-NERVADURA!$C$119)),IF(IF(INT(($A62-1)/2)&gt;MAX(2*NERVADURA!$C$120-1,0),1,MOD($A62-1,2))=0,(CROQUIS!$C$10-DATOS!$C$17/2-NERVADURA!$C$119),(DATOS!$C$17/2+NERVADURA!$C$119)))*CROQUIS!$C$14)</f>
        <v>15.0198825124266</v>
      </c>
      <c r="I62">
        <f>IF(NERVADURA!$C$120=0,CROQUIS!$C$16+CROQUIS!$C$11*CROQUIS!$C$14/2,CROQUIS!$C$16+(DATOS!$C$17/2+NERVADURA!$C$121+INT(MIN(INT(($A62-1)/2),MAX(2*NERVADURA!$C$120-1,0))/2)*DATOS!$C$16+MOD(MIN(INT(($A62-1)/2),MAX(2*NERVADURA!$C$120-1,0)),2)*DATOS!$C$11)*CROQUIS!$C$14)</f>
        <v>84.495707184817</v>
      </c>
      <c r="CA62" t="n">
        <v>4.327</v>
      </c>
      <c r="CB62" t="n">
        <v>14.021</v>
      </c>
      <c r="CE62" t="n">
        <v>3.427</v>
      </c>
      <c r="CF62" t="n">
        <v>14.021</v>
      </c>
      <c r="CI62" t="n">
        <v>8.85</v>
      </c>
      <c r="CJ62" t="n">
        <v>15.447</v>
      </c>
      <c r="CK62" t="n">
        <v>4.426</v>
      </c>
      <c r="CL62" t="n">
        <v>17.446</v>
      </c>
      <c r="CM62" t="n">
        <v>5.422</v>
      </c>
      <c r="CN62" t="n">
        <v>9.949999999999999</v>
      </c>
      <c r="CQ62" t="n">
        <v>0.075</v>
      </c>
      <c r="CR62" t="n">
        <v>17.072</v>
      </c>
      <c r="CS62" t="n">
        <v>7.336</v>
      </c>
      <c r="CT62" t="n">
        <v>15.846</v>
      </c>
    </row>
    <row r="63">
      <c r="A63" t="n">
        <v>56</v>
      </c>
      <c r="B63">
        <f>CHOOSE(MIN(MAX($A63,1),5),CROQUIS!$C$15,CROQUIS!$C$15+CROQUIS!$C$10*CROQUIS!$C$14,CROQUIS!$C$15+CROQUIS!$C$10*CROQUIS!$C$14,CROQUIS!$C$15,CROQUIS!$C$15)</f>
        <v>12</v>
      </c>
      <c r="C63">
        <f>CHOOSE(MIN(MAX($A63,1),5),CROQUIS!$C$16,CROQUIS!$C$16,CROQUIS!$C$16+CROQUIS!$C$11*CROQUIS!$C$14,CROQUIS!$C$16+CROQUIS!$C$11*CROQUIS!$C$14,CROQUIS!$C$16)</f>
        <v>15.9462268413918</v>
      </c>
      <c r="D63">
        <f>CHOOSE(MIN(MAX($A63,1),5),CROQUIS!$C$15+DATOS!$C$17/2*CROQUIS!$C$14,CROQUIS!$C$15+CROQUIS!$C$10*CROQUIS!$C$14-DATOS!$C$17/2*CROQUIS!$C$14,CROQUIS!$C$15+CROQUIS!$C$10*CROQUIS!$C$14-DATOS!$C$17/2*CROQUIS!$C$14,CROQUIS!$C$15+DATOS!$C$17/2*CROQUIS!$C$14,CROQUIS!$C$15+DATOS!$C$17/2*CROQUIS!$C$14)</f>
        <v>13.3895164934478</v>
      </c>
      <c r="E63">
        <f>CHOOSE(MIN(MAX($A63,1),5),CROQUIS!$C$16+DATOS!$C$17/2*CROQUIS!$C$14,CROQUIS!$C$16+DATOS!$C$17/2*CROQUIS!$C$14,CROQUIS!$C$16+CROQUIS!$C$11*CROQUIS!$C$14-DATOS!$C$17/2*CROQUIS!$C$14,CROQUIS!$C$16+CROQUIS!$C$11*CROQUIS!$C$14-DATOS!$C$17/2*CROQUIS!$C$14,CROQUIS!$C$16+DATOS!$C$17/2*CROQUIS!$C$14)</f>
        <v>17.3357433348396</v>
      </c>
      <c r="F63">
        <f>IF(NERVADURA!$C$118=0,CROQUIS!$C$15+CROQUIS!$C$10*CROQUIS!$C$14/2,CROQUIS!$C$15+(DATOS!$C$17/2+NERVADURA!$C$119+INT(MIN(INT(($A63-1)/2),MAX(2*NERVADURA!$C$118-1,0))/2)*DATOS!$C$16+MOD(MIN(INT(($A63-1)/2),MAX(2*NERVADURA!$C$118-1,0)),2)*DATOS!$C$11)*CROQUIS!$C$14)</f>
        <v>90.9801174875734</v>
      </c>
      <c r="G63">
        <f>IF(NERVADURA!$C$118=0,CROQUIS!$C$16+CROQUIS!$C$11*CROQUIS!$C$14/2,CROQUIS!$C$16+IF(MOD(MIN(INT(($A63-1)/2),MAX(2*NERVADURA!$C$118-1,0)),2)=0,IF(IF(INT(($A63-1)/2)&gt;MAX(2*NERVADURA!$C$118-1,0),1,MOD($A63-1,2))=0,(DATOS!$C$17/2+NERVADURA!$C$121),(CROQUIS!$C$11-DATOS!$C$17/2-NERVADURA!$C$121)),IF(IF(INT(($A63-1)/2)&gt;MAX(2*NERVADURA!$C$118-1,0),1,MOD($A63-1,2))=0,(CROQUIS!$C$11-DATOS!$C$17/2-NERVADURA!$C$121),(DATOS!$C$17/2+NERVADURA!$C$121)))*CROQUIS!$C$14)</f>
        <v>21.504292815183</v>
      </c>
      <c r="H63">
        <f>IF(NERVADURA!$C$120=0,CROQUIS!$C$15+CROQUIS!$C$10*CROQUIS!$C$14/2,CROQUIS!$C$15+IF(MOD(MIN(INT(($A63-1)/2),MAX(2*NERVADURA!$C$120-1,0)),2)=0,IF(IF(INT(($A63-1)/2)&gt;MAX(2*NERVADURA!$C$120-1,0),1,MOD($A63-1,2))=0,(DATOS!$C$17/2+NERVADURA!$C$119),(CROQUIS!$C$10-DATOS!$C$17/2-NERVADURA!$C$119)),IF(IF(INT(($A63-1)/2)&gt;MAX(2*NERVADURA!$C$120-1,0),1,MOD($A63-1,2))=0,(CROQUIS!$C$10-DATOS!$C$17/2-NERVADURA!$C$119),(DATOS!$C$17/2+NERVADURA!$C$119)))*CROQUIS!$C$14)</f>
        <v>15.0198825124266</v>
      </c>
      <c r="I63">
        <f>IF(NERVADURA!$C$120=0,CROQUIS!$C$16+CROQUIS!$C$11*CROQUIS!$C$14/2,CROQUIS!$C$16+(DATOS!$C$17/2+NERVADURA!$C$121+INT(MIN(INT(($A63-1)/2),MAX(2*NERVADURA!$C$120-1,0))/2)*DATOS!$C$16+MOD(MIN(INT(($A63-1)/2),MAX(2*NERVADURA!$C$120-1,0)),2)*DATOS!$C$11)*CROQUIS!$C$14)</f>
        <v>84.495707184817</v>
      </c>
      <c r="CE63" t="n">
        <v>3.427</v>
      </c>
      <c r="CF63" t="n">
        <v>15.846</v>
      </c>
      <c r="CI63" t="n">
        <v>8.85</v>
      </c>
      <c r="CJ63" t="n">
        <v>17.446</v>
      </c>
      <c r="CK63" t="n">
        <v>4.426</v>
      </c>
      <c r="CL63" t="n">
        <v>21.446</v>
      </c>
      <c r="CM63" t="n">
        <v>5.422</v>
      </c>
      <c r="CN63" t="n">
        <v>15.846</v>
      </c>
      <c r="CQ63" t="n">
        <v>2.85</v>
      </c>
      <c r="CR63" t="n">
        <v>17.372</v>
      </c>
      <c r="CS63" t="n">
        <v>7.85</v>
      </c>
      <c r="CT63" t="n">
        <v>9.949999999999999</v>
      </c>
    </row>
    <row r="64">
      <c r="A64" t="n">
        <v>57</v>
      </c>
      <c r="B64">
        <f>CHOOSE(MIN(MAX($A64,1),5),CROQUIS!$C$15,CROQUIS!$C$15+CROQUIS!$C$10*CROQUIS!$C$14,CROQUIS!$C$15+CROQUIS!$C$10*CROQUIS!$C$14,CROQUIS!$C$15,CROQUIS!$C$15)</f>
        <v>12</v>
      </c>
      <c r="C64">
        <f>CHOOSE(MIN(MAX($A64,1),5),CROQUIS!$C$16,CROQUIS!$C$16,CROQUIS!$C$16+CROQUIS!$C$11*CROQUIS!$C$14,CROQUIS!$C$16+CROQUIS!$C$11*CROQUIS!$C$14,CROQUIS!$C$16)</f>
        <v>15.9462268413918</v>
      </c>
      <c r="D64">
        <f>CHOOSE(MIN(MAX($A64,1),5),CROQUIS!$C$15+DATOS!$C$17/2*CROQUIS!$C$14,CROQUIS!$C$15+CROQUIS!$C$10*CROQUIS!$C$14-DATOS!$C$17/2*CROQUIS!$C$14,CROQUIS!$C$15+CROQUIS!$C$10*CROQUIS!$C$14-DATOS!$C$17/2*CROQUIS!$C$14,CROQUIS!$C$15+DATOS!$C$17/2*CROQUIS!$C$14,CROQUIS!$C$15+DATOS!$C$17/2*CROQUIS!$C$14)</f>
        <v>13.3895164934478</v>
      </c>
      <c r="E64">
        <f>CHOOSE(MIN(MAX($A64,1),5),CROQUIS!$C$16+DATOS!$C$17/2*CROQUIS!$C$14,CROQUIS!$C$16+DATOS!$C$17/2*CROQUIS!$C$14,CROQUIS!$C$16+CROQUIS!$C$11*CROQUIS!$C$14-DATOS!$C$17/2*CROQUIS!$C$14,CROQUIS!$C$16+CROQUIS!$C$11*CROQUIS!$C$14-DATOS!$C$17/2*CROQUIS!$C$14,CROQUIS!$C$16+DATOS!$C$17/2*CROQUIS!$C$14)</f>
        <v>17.3357433348396</v>
      </c>
      <c r="F64">
        <f>IF(NERVADURA!$C$118=0,CROQUIS!$C$15+CROQUIS!$C$10*CROQUIS!$C$14/2,CROQUIS!$C$15+(DATOS!$C$17/2+NERVADURA!$C$119+INT(MIN(INT(($A64-1)/2),MAX(2*NERVADURA!$C$118-1,0))/2)*DATOS!$C$16+MOD(MIN(INT(($A64-1)/2),MAX(2*NERVADURA!$C$118-1,0)),2)*DATOS!$C$11)*CROQUIS!$C$14)</f>
        <v>90.9801174875734</v>
      </c>
      <c r="G64">
        <f>IF(NERVADURA!$C$118=0,CROQUIS!$C$16+CROQUIS!$C$11*CROQUIS!$C$14/2,CROQUIS!$C$16+IF(MOD(MIN(INT(($A64-1)/2),MAX(2*NERVADURA!$C$118-1,0)),2)=0,IF(IF(INT(($A64-1)/2)&gt;MAX(2*NERVADURA!$C$118-1,0),1,MOD($A64-1,2))=0,(DATOS!$C$17/2+NERVADURA!$C$121),(CROQUIS!$C$11-DATOS!$C$17/2-NERVADURA!$C$121)),IF(IF(INT(($A64-1)/2)&gt;MAX(2*NERVADURA!$C$118-1,0),1,MOD($A64-1,2))=0,(CROQUIS!$C$11-DATOS!$C$17/2-NERVADURA!$C$121),(DATOS!$C$17/2+NERVADURA!$C$121)))*CROQUIS!$C$14)</f>
        <v>21.504292815183</v>
      </c>
      <c r="H64">
        <f>IF(NERVADURA!$C$120=0,CROQUIS!$C$15+CROQUIS!$C$10*CROQUIS!$C$14/2,CROQUIS!$C$15+IF(MOD(MIN(INT(($A64-1)/2),MAX(2*NERVADURA!$C$120-1,0)),2)=0,IF(IF(INT(($A64-1)/2)&gt;MAX(2*NERVADURA!$C$120-1,0),1,MOD($A64-1,2))=0,(DATOS!$C$17/2+NERVADURA!$C$119),(CROQUIS!$C$10-DATOS!$C$17/2-NERVADURA!$C$119)),IF(IF(INT(($A64-1)/2)&gt;MAX(2*NERVADURA!$C$120-1,0),1,MOD($A64-1,2))=0,(CROQUIS!$C$10-DATOS!$C$17/2-NERVADURA!$C$119),(DATOS!$C$17/2+NERVADURA!$C$119)))*CROQUIS!$C$14)</f>
        <v>15.0198825124266</v>
      </c>
      <c r="I64">
        <f>IF(NERVADURA!$C$120=0,CROQUIS!$C$16+CROQUIS!$C$11*CROQUIS!$C$14/2,CROQUIS!$C$16+(DATOS!$C$17/2+NERVADURA!$C$121+INT(MIN(INT(($A64-1)/2),MAX(2*NERVADURA!$C$120-1,0))/2)*DATOS!$C$16+MOD(MIN(INT(($A64-1)/2),MAX(2*NERVADURA!$C$120-1,0)),2)*DATOS!$C$11)*CROQUIS!$C$14)</f>
        <v>84.495707184817</v>
      </c>
      <c r="CA64" t="n">
        <v>8.85</v>
      </c>
      <c r="CB64" t="n">
        <v>15.447</v>
      </c>
      <c r="CI64" t="n">
        <v>8.85</v>
      </c>
      <c r="CJ64" t="n">
        <v>19.446</v>
      </c>
      <c r="CK64" t="n">
        <v>0</v>
      </c>
      <c r="CL64" t="n">
        <v>21.446</v>
      </c>
      <c r="CS64" t="n">
        <v>7.925</v>
      </c>
      <c r="CT64" t="n">
        <v>21.446</v>
      </c>
    </row>
    <row r="65">
      <c r="A65" t="n">
        <v>58</v>
      </c>
      <c r="B65">
        <f>CHOOSE(MIN(MAX($A65,1),5),CROQUIS!$C$15,CROQUIS!$C$15+CROQUIS!$C$10*CROQUIS!$C$14,CROQUIS!$C$15+CROQUIS!$C$10*CROQUIS!$C$14,CROQUIS!$C$15,CROQUIS!$C$15)</f>
        <v>12</v>
      </c>
      <c r="C65">
        <f>CHOOSE(MIN(MAX($A65,1),5),CROQUIS!$C$16,CROQUIS!$C$16,CROQUIS!$C$16+CROQUIS!$C$11*CROQUIS!$C$14,CROQUIS!$C$16+CROQUIS!$C$11*CROQUIS!$C$14,CROQUIS!$C$16)</f>
        <v>15.9462268413918</v>
      </c>
      <c r="D65">
        <f>CHOOSE(MIN(MAX($A65,1),5),CROQUIS!$C$15+DATOS!$C$17/2*CROQUIS!$C$14,CROQUIS!$C$15+CROQUIS!$C$10*CROQUIS!$C$14-DATOS!$C$17/2*CROQUIS!$C$14,CROQUIS!$C$15+CROQUIS!$C$10*CROQUIS!$C$14-DATOS!$C$17/2*CROQUIS!$C$14,CROQUIS!$C$15+DATOS!$C$17/2*CROQUIS!$C$14,CROQUIS!$C$15+DATOS!$C$17/2*CROQUIS!$C$14)</f>
        <v>13.3895164934478</v>
      </c>
      <c r="E65">
        <f>CHOOSE(MIN(MAX($A65,1),5),CROQUIS!$C$16+DATOS!$C$17/2*CROQUIS!$C$14,CROQUIS!$C$16+DATOS!$C$17/2*CROQUIS!$C$14,CROQUIS!$C$16+CROQUIS!$C$11*CROQUIS!$C$14-DATOS!$C$17/2*CROQUIS!$C$14,CROQUIS!$C$16+CROQUIS!$C$11*CROQUIS!$C$14-DATOS!$C$17/2*CROQUIS!$C$14,CROQUIS!$C$16+DATOS!$C$17/2*CROQUIS!$C$14)</f>
        <v>17.3357433348396</v>
      </c>
      <c r="F65">
        <f>IF(NERVADURA!$C$118=0,CROQUIS!$C$15+CROQUIS!$C$10*CROQUIS!$C$14/2,CROQUIS!$C$15+(DATOS!$C$17/2+NERVADURA!$C$119+INT(MIN(INT(($A65-1)/2),MAX(2*NERVADURA!$C$118-1,0))/2)*DATOS!$C$16+MOD(MIN(INT(($A65-1)/2),MAX(2*NERVADURA!$C$118-1,0)),2)*DATOS!$C$11)*CROQUIS!$C$14)</f>
        <v>90.9801174875734</v>
      </c>
      <c r="G65">
        <f>IF(NERVADURA!$C$118=0,CROQUIS!$C$16+CROQUIS!$C$11*CROQUIS!$C$14/2,CROQUIS!$C$16+IF(MOD(MIN(INT(($A65-1)/2),MAX(2*NERVADURA!$C$118-1,0)),2)=0,IF(IF(INT(($A65-1)/2)&gt;MAX(2*NERVADURA!$C$118-1,0),1,MOD($A65-1,2))=0,(DATOS!$C$17/2+NERVADURA!$C$121),(CROQUIS!$C$11-DATOS!$C$17/2-NERVADURA!$C$121)),IF(IF(INT(($A65-1)/2)&gt;MAX(2*NERVADURA!$C$118-1,0),1,MOD($A65-1,2))=0,(CROQUIS!$C$11-DATOS!$C$17/2-NERVADURA!$C$121),(DATOS!$C$17/2+NERVADURA!$C$121)))*CROQUIS!$C$14)</f>
        <v>21.504292815183</v>
      </c>
      <c r="H65">
        <f>IF(NERVADURA!$C$120=0,CROQUIS!$C$15+CROQUIS!$C$10*CROQUIS!$C$14/2,CROQUIS!$C$15+IF(MOD(MIN(INT(($A65-1)/2),MAX(2*NERVADURA!$C$120-1,0)),2)=0,IF(IF(INT(($A65-1)/2)&gt;MAX(2*NERVADURA!$C$120-1,0),1,MOD($A65-1,2))=0,(DATOS!$C$17/2+NERVADURA!$C$119),(CROQUIS!$C$10-DATOS!$C$17/2-NERVADURA!$C$119)),IF(IF(INT(($A65-1)/2)&gt;MAX(2*NERVADURA!$C$120-1,0),1,MOD($A65-1,2))=0,(CROQUIS!$C$10-DATOS!$C$17/2-NERVADURA!$C$119),(DATOS!$C$17/2+NERVADURA!$C$119)))*CROQUIS!$C$14)</f>
        <v>15.0198825124266</v>
      </c>
      <c r="I65">
        <f>IF(NERVADURA!$C$120=0,CROQUIS!$C$16+CROQUIS!$C$11*CROQUIS!$C$14/2,CROQUIS!$C$16+(DATOS!$C$17/2+NERVADURA!$C$121+INT(MIN(INT(($A65-1)/2),MAX(2*NERVADURA!$C$120-1,0))/2)*DATOS!$C$16+MOD(MIN(INT(($A65-1)/2),MAX(2*NERVADURA!$C$120-1,0)),2)*DATOS!$C$11)*CROQUIS!$C$14)</f>
        <v>84.495707184817</v>
      </c>
      <c r="CA65" t="n">
        <v>5.422</v>
      </c>
      <c r="CB65" t="n">
        <v>15.447</v>
      </c>
      <c r="CE65" t="n">
        <v>4.327</v>
      </c>
      <c r="CF65" t="n">
        <v>1.919</v>
      </c>
      <c r="CI65" t="n">
        <v>8.85</v>
      </c>
      <c r="CJ65" t="n">
        <v>21.446</v>
      </c>
      <c r="CK65" t="n">
        <v>0</v>
      </c>
      <c r="CL65" t="n">
        <v>17.446</v>
      </c>
      <c r="CM65" t="n">
        <v>5.822</v>
      </c>
      <c r="CN65" t="n">
        <v>15.846</v>
      </c>
      <c r="CQ65" t="n">
        <v>0.075</v>
      </c>
      <c r="CR65" t="n">
        <v>17.372</v>
      </c>
      <c r="CS65" t="n">
        <v>8.144</v>
      </c>
      <c r="CT65" t="n">
        <v>9.949999999999999</v>
      </c>
    </row>
    <row r="66">
      <c r="A66" t="n">
        <v>59</v>
      </c>
      <c r="B66">
        <f>CHOOSE(MIN(MAX($A66,1),5),CROQUIS!$C$15,CROQUIS!$C$15+CROQUIS!$C$10*CROQUIS!$C$14,CROQUIS!$C$15+CROQUIS!$C$10*CROQUIS!$C$14,CROQUIS!$C$15,CROQUIS!$C$15)</f>
        <v>12</v>
      </c>
      <c r="C66">
        <f>CHOOSE(MIN(MAX($A66,1),5),CROQUIS!$C$16,CROQUIS!$C$16,CROQUIS!$C$16+CROQUIS!$C$11*CROQUIS!$C$14,CROQUIS!$C$16+CROQUIS!$C$11*CROQUIS!$C$14,CROQUIS!$C$16)</f>
        <v>15.9462268413918</v>
      </c>
      <c r="D66">
        <f>CHOOSE(MIN(MAX($A66,1),5),CROQUIS!$C$15+DATOS!$C$17/2*CROQUIS!$C$14,CROQUIS!$C$15+CROQUIS!$C$10*CROQUIS!$C$14-DATOS!$C$17/2*CROQUIS!$C$14,CROQUIS!$C$15+CROQUIS!$C$10*CROQUIS!$C$14-DATOS!$C$17/2*CROQUIS!$C$14,CROQUIS!$C$15+DATOS!$C$17/2*CROQUIS!$C$14,CROQUIS!$C$15+DATOS!$C$17/2*CROQUIS!$C$14)</f>
        <v>13.3895164934478</v>
      </c>
      <c r="E66">
        <f>CHOOSE(MIN(MAX($A66,1),5),CROQUIS!$C$16+DATOS!$C$17/2*CROQUIS!$C$14,CROQUIS!$C$16+DATOS!$C$17/2*CROQUIS!$C$14,CROQUIS!$C$16+CROQUIS!$C$11*CROQUIS!$C$14-DATOS!$C$17/2*CROQUIS!$C$14,CROQUIS!$C$16+CROQUIS!$C$11*CROQUIS!$C$14-DATOS!$C$17/2*CROQUIS!$C$14,CROQUIS!$C$16+DATOS!$C$17/2*CROQUIS!$C$14)</f>
        <v>17.3357433348396</v>
      </c>
      <c r="F66">
        <f>IF(NERVADURA!$C$118=0,CROQUIS!$C$15+CROQUIS!$C$10*CROQUIS!$C$14/2,CROQUIS!$C$15+(DATOS!$C$17/2+NERVADURA!$C$119+INT(MIN(INT(($A66-1)/2),MAX(2*NERVADURA!$C$118-1,0))/2)*DATOS!$C$16+MOD(MIN(INT(($A66-1)/2),MAX(2*NERVADURA!$C$118-1,0)),2)*DATOS!$C$11)*CROQUIS!$C$14)</f>
        <v>90.9801174875734</v>
      </c>
      <c r="G66">
        <f>IF(NERVADURA!$C$118=0,CROQUIS!$C$16+CROQUIS!$C$11*CROQUIS!$C$14/2,CROQUIS!$C$16+IF(MOD(MIN(INT(($A66-1)/2),MAX(2*NERVADURA!$C$118-1,0)),2)=0,IF(IF(INT(($A66-1)/2)&gt;MAX(2*NERVADURA!$C$118-1,0),1,MOD($A66-1,2))=0,(DATOS!$C$17/2+NERVADURA!$C$121),(CROQUIS!$C$11-DATOS!$C$17/2-NERVADURA!$C$121)),IF(IF(INT(($A66-1)/2)&gt;MAX(2*NERVADURA!$C$118-1,0),1,MOD($A66-1,2))=0,(CROQUIS!$C$11-DATOS!$C$17/2-NERVADURA!$C$121),(DATOS!$C$17/2+NERVADURA!$C$121)))*CROQUIS!$C$14)</f>
        <v>21.504292815183</v>
      </c>
      <c r="H66">
        <f>IF(NERVADURA!$C$120=0,CROQUIS!$C$15+CROQUIS!$C$10*CROQUIS!$C$14/2,CROQUIS!$C$15+IF(MOD(MIN(INT(($A66-1)/2),MAX(2*NERVADURA!$C$120-1,0)),2)=0,IF(IF(INT(($A66-1)/2)&gt;MAX(2*NERVADURA!$C$120-1,0),1,MOD($A66-1,2))=0,(DATOS!$C$17/2+NERVADURA!$C$119),(CROQUIS!$C$10-DATOS!$C$17/2-NERVADURA!$C$119)),IF(IF(INT(($A66-1)/2)&gt;MAX(2*NERVADURA!$C$120-1,0),1,MOD($A66-1,2))=0,(CROQUIS!$C$10-DATOS!$C$17/2-NERVADURA!$C$119),(DATOS!$C$17/2+NERVADURA!$C$119)))*CROQUIS!$C$14)</f>
        <v>15.0198825124266</v>
      </c>
      <c r="I66">
        <f>IF(NERVADURA!$C$120=0,CROQUIS!$C$16+CROQUIS!$C$11*CROQUIS!$C$14/2,CROQUIS!$C$16+(DATOS!$C$17/2+NERVADURA!$C$121+INT(MIN(INT(($A66-1)/2),MAX(2*NERVADURA!$C$120-1,0))/2)*DATOS!$C$16+MOD(MIN(INT(($A66-1)/2),MAX(2*NERVADURA!$C$120-1,0)),2)*DATOS!$C$11)*CROQUIS!$C$14)</f>
        <v>84.495707184817</v>
      </c>
      <c r="CA66" t="n">
        <v>5.422</v>
      </c>
      <c r="CB66" t="n">
        <v>9.949999999999999</v>
      </c>
      <c r="CE66" t="n">
        <v>4.327</v>
      </c>
      <c r="CF66" t="n">
        <v>2.921</v>
      </c>
      <c r="CI66" t="n">
        <v>8.85</v>
      </c>
      <c r="CJ66" t="n">
        <v>24.371</v>
      </c>
      <c r="CK66" t="n">
        <v>4.426</v>
      </c>
      <c r="CL66" t="n">
        <v>17.446</v>
      </c>
      <c r="CM66" t="n">
        <v>5.822</v>
      </c>
      <c r="CN66" t="n">
        <v>17.446</v>
      </c>
      <c r="CQ66" t="n">
        <v>2.85</v>
      </c>
      <c r="CR66" t="n">
        <v>17.072</v>
      </c>
      <c r="CS66" t="n">
        <v>8.5</v>
      </c>
      <c r="CT66" t="n">
        <v>6.948</v>
      </c>
    </row>
    <row r="67">
      <c r="A67" t="n">
        <v>60</v>
      </c>
      <c r="B67">
        <f>CHOOSE(MIN(MAX($A67,1),5),CROQUIS!$C$15,CROQUIS!$C$15+CROQUIS!$C$10*CROQUIS!$C$14,CROQUIS!$C$15+CROQUIS!$C$10*CROQUIS!$C$14,CROQUIS!$C$15,CROQUIS!$C$15)</f>
        <v>12</v>
      </c>
      <c r="C67">
        <f>CHOOSE(MIN(MAX($A67,1),5),CROQUIS!$C$16,CROQUIS!$C$16,CROQUIS!$C$16+CROQUIS!$C$11*CROQUIS!$C$14,CROQUIS!$C$16+CROQUIS!$C$11*CROQUIS!$C$14,CROQUIS!$C$16)</f>
        <v>15.9462268413918</v>
      </c>
      <c r="D67">
        <f>CHOOSE(MIN(MAX($A67,1),5),CROQUIS!$C$15+DATOS!$C$17/2*CROQUIS!$C$14,CROQUIS!$C$15+CROQUIS!$C$10*CROQUIS!$C$14-DATOS!$C$17/2*CROQUIS!$C$14,CROQUIS!$C$15+CROQUIS!$C$10*CROQUIS!$C$14-DATOS!$C$17/2*CROQUIS!$C$14,CROQUIS!$C$15+DATOS!$C$17/2*CROQUIS!$C$14,CROQUIS!$C$15+DATOS!$C$17/2*CROQUIS!$C$14)</f>
        <v>13.3895164934478</v>
      </c>
      <c r="E67">
        <f>CHOOSE(MIN(MAX($A67,1),5),CROQUIS!$C$16+DATOS!$C$17/2*CROQUIS!$C$14,CROQUIS!$C$16+DATOS!$C$17/2*CROQUIS!$C$14,CROQUIS!$C$16+CROQUIS!$C$11*CROQUIS!$C$14-DATOS!$C$17/2*CROQUIS!$C$14,CROQUIS!$C$16+CROQUIS!$C$11*CROQUIS!$C$14-DATOS!$C$17/2*CROQUIS!$C$14,CROQUIS!$C$16+DATOS!$C$17/2*CROQUIS!$C$14)</f>
        <v>17.3357433348396</v>
      </c>
      <c r="F67">
        <f>IF(NERVADURA!$C$118=0,CROQUIS!$C$15+CROQUIS!$C$10*CROQUIS!$C$14/2,CROQUIS!$C$15+(DATOS!$C$17/2+NERVADURA!$C$119+INT(MIN(INT(($A67-1)/2),MAX(2*NERVADURA!$C$118-1,0))/2)*DATOS!$C$16+MOD(MIN(INT(($A67-1)/2),MAX(2*NERVADURA!$C$118-1,0)),2)*DATOS!$C$11)*CROQUIS!$C$14)</f>
        <v>90.9801174875734</v>
      </c>
      <c r="G67">
        <f>IF(NERVADURA!$C$118=0,CROQUIS!$C$16+CROQUIS!$C$11*CROQUIS!$C$14/2,CROQUIS!$C$16+IF(MOD(MIN(INT(($A67-1)/2),MAX(2*NERVADURA!$C$118-1,0)),2)=0,IF(IF(INT(($A67-1)/2)&gt;MAX(2*NERVADURA!$C$118-1,0),1,MOD($A67-1,2))=0,(DATOS!$C$17/2+NERVADURA!$C$121),(CROQUIS!$C$11-DATOS!$C$17/2-NERVADURA!$C$121)),IF(IF(INT(($A67-1)/2)&gt;MAX(2*NERVADURA!$C$118-1,0),1,MOD($A67-1,2))=0,(CROQUIS!$C$11-DATOS!$C$17/2-NERVADURA!$C$121),(DATOS!$C$17/2+NERVADURA!$C$121)))*CROQUIS!$C$14)</f>
        <v>21.504292815183</v>
      </c>
      <c r="H67">
        <f>IF(NERVADURA!$C$120=0,CROQUIS!$C$15+CROQUIS!$C$10*CROQUIS!$C$14/2,CROQUIS!$C$15+IF(MOD(MIN(INT(($A67-1)/2),MAX(2*NERVADURA!$C$120-1,0)),2)=0,IF(IF(INT(($A67-1)/2)&gt;MAX(2*NERVADURA!$C$120-1,0),1,MOD($A67-1,2))=0,(DATOS!$C$17/2+NERVADURA!$C$119),(CROQUIS!$C$10-DATOS!$C$17/2-NERVADURA!$C$119)),IF(IF(INT(($A67-1)/2)&gt;MAX(2*NERVADURA!$C$120-1,0),1,MOD($A67-1,2))=0,(CROQUIS!$C$10-DATOS!$C$17/2-NERVADURA!$C$119),(DATOS!$C$17/2+NERVADURA!$C$119)))*CROQUIS!$C$14)</f>
        <v>15.0198825124266</v>
      </c>
      <c r="I67">
        <f>IF(NERVADURA!$C$120=0,CROQUIS!$C$16+CROQUIS!$C$11*CROQUIS!$C$14/2,CROQUIS!$C$16+(DATOS!$C$17/2+NERVADURA!$C$121+INT(MIN(INT(($A67-1)/2),MAX(2*NERVADURA!$C$120-1,0))/2)*DATOS!$C$16+MOD(MIN(INT(($A67-1)/2),MAX(2*NERVADURA!$C$120-1,0)),2)*DATOS!$C$11)*CROQUIS!$C$14)</f>
        <v>84.495707184817</v>
      </c>
      <c r="CA67" t="n">
        <v>8.85</v>
      </c>
      <c r="CB67" t="n">
        <v>9.949999999999999</v>
      </c>
      <c r="CS67" t="n">
        <v>8.85</v>
      </c>
      <c r="CT67" t="n">
        <v>6.948</v>
      </c>
    </row>
    <row r="68">
      <c r="A68" t="n">
        <v>61</v>
      </c>
      <c r="CA68" t="n">
        <v>8.85</v>
      </c>
      <c r="CB68" t="n">
        <v>15.447</v>
      </c>
      <c r="CE68" t="n">
        <v>4.327</v>
      </c>
      <c r="CF68" t="n">
        <v>2.921</v>
      </c>
      <c r="CK68" t="n">
        <v>4.426</v>
      </c>
      <c r="CL68" t="n">
        <v>17.446</v>
      </c>
      <c r="CM68" t="n">
        <v>5.923</v>
      </c>
      <c r="CN68" t="n">
        <v>2.921</v>
      </c>
      <c r="CS68" t="n">
        <v>8.85</v>
      </c>
      <c r="CT68" t="n">
        <v>8.449</v>
      </c>
    </row>
    <row r="69">
      <c r="A69" t="n">
        <v>62</v>
      </c>
      <c r="CE69" t="n">
        <v>4.327</v>
      </c>
      <c r="CF69" t="n">
        <v>5.946</v>
      </c>
      <c r="CK69" t="n">
        <v>8.85</v>
      </c>
      <c r="CL69" t="n">
        <v>17.446</v>
      </c>
      <c r="CM69" t="n">
        <v>5.923</v>
      </c>
      <c r="CN69" t="n">
        <v>6.948</v>
      </c>
      <c r="CS69" t="n">
        <v>8.85</v>
      </c>
      <c r="CT69" t="n">
        <v>9.949999999999999</v>
      </c>
    </row>
    <row r="70">
      <c r="A70" t="n">
        <v>63</v>
      </c>
      <c r="CA70" t="n">
        <v>3.427</v>
      </c>
      <c r="CB70" t="n">
        <v>14.021</v>
      </c>
      <c r="CK70" t="n">
        <v>8.85</v>
      </c>
      <c r="CL70" t="n">
        <v>21.446</v>
      </c>
      <c r="CS70" t="n">
        <v>8.85</v>
      </c>
      <c r="CT70" t="n">
        <v>12.1</v>
      </c>
    </row>
    <row r="71">
      <c r="A71" t="n">
        <v>64</v>
      </c>
      <c r="CA71" t="n">
        <v>3.427</v>
      </c>
      <c r="CB71" t="n">
        <v>15.846</v>
      </c>
      <c r="CE71" t="n">
        <v>4.327</v>
      </c>
      <c r="CF71" t="n">
        <v>5.946</v>
      </c>
      <c r="CK71" t="n">
        <v>4.426</v>
      </c>
      <c r="CL71" t="n">
        <v>21.446</v>
      </c>
      <c r="CM71" t="n">
        <v>8.85</v>
      </c>
      <c r="CN71" t="n">
        <v>6.948</v>
      </c>
      <c r="CS71" t="n">
        <v>8.85</v>
      </c>
      <c r="CT71" t="n">
        <v>13.779</v>
      </c>
    </row>
    <row r="72">
      <c r="A72" t="n">
        <v>65</v>
      </c>
      <c r="CA72" t="n">
        <v>0</v>
      </c>
      <c r="CB72" t="n">
        <v>15.846</v>
      </c>
      <c r="CE72" t="n">
        <v>4.327</v>
      </c>
      <c r="CF72" t="n">
        <v>7.871</v>
      </c>
      <c r="CK72" t="n">
        <v>4.426</v>
      </c>
      <c r="CL72" t="n">
        <v>17.446</v>
      </c>
      <c r="CM72" t="n">
        <v>8.85</v>
      </c>
      <c r="CN72" t="n">
        <v>21.446</v>
      </c>
      <c r="CS72" t="n">
        <v>8.85</v>
      </c>
      <c r="CT72" t="n">
        <v>14.247</v>
      </c>
    </row>
    <row r="73">
      <c r="A73" t="n">
        <v>66</v>
      </c>
      <c r="CA73" t="n">
        <v>0</v>
      </c>
      <c r="CB73" t="n">
        <v>14.021</v>
      </c>
      <c r="CS73" t="n">
        <v>8.85</v>
      </c>
      <c r="CT73" t="n">
        <v>15.447</v>
      </c>
    </row>
    <row r="74">
      <c r="A74" t="n">
        <v>67</v>
      </c>
      <c r="CA74" t="n">
        <v>3.427</v>
      </c>
      <c r="CB74" t="n">
        <v>14.021</v>
      </c>
      <c r="CE74" t="n">
        <v>4.327</v>
      </c>
      <c r="CF74" t="n">
        <v>7.871</v>
      </c>
      <c r="CK74" t="n">
        <v>4.327</v>
      </c>
      <c r="CL74" t="n">
        <v>14.021</v>
      </c>
      <c r="CS74" t="n">
        <v>8.85</v>
      </c>
      <c r="CT74" t="n">
        <v>17.446</v>
      </c>
    </row>
    <row r="75">
      <c r="A75" t="n">
        <v>68</v>
      </c>
      <c r="CE75" t="n">
        <v>4.327</v>
      </c>
      <c r="CF75" t="n">
        <v>14.021</v>
      </c>
      <c r="CK75" t="n">
        <v>4.327</v>
      </c>
      <c r="CL75" t="n">
        <v>5.946</v>
      </c>
      <c r="CS75" t="n">
        <v>8.85</v>
      </c>
      <c r="CT75" t="n">
        <v>19.446</v>
      </c>
    </row>
    <row r="76">
      <c r="A76" t="n">
        <v>69</v>
      </c>
      <c r="CA76" t="n">
        <v>8.85</v>
      </c>
      <c r="CB76" t="n">
        <v>15.846</v>
      </c>
      <c r="CK76" t="n">
        <v>5.923</v>
      </c>
      <c r="CL76" t="n">
        <v>5.946</v>
      </c>
      <c r="CS76" t="n">
        <v>8.85</v>
      </c>
      <c r="CT76" t="n">
        <v>21.446</v>
      </c>
    </row>
    <row r="77">
      <c r="A77" t="n">
        <v>70</v>
      </c>
      <c r="CA77" t="n">
        <v>5.422</v>
      </c>
      <c r="CB77" t="n">
        <v>15.846</v>
      </c>
      <c r="CE77" t="n">
        <v>4.426</v>
      </c>
      <c r="CF77" t="n">
        <v>17.446</v>
      </c>
      <c r="CK77" t="n">
        <v>5.923</v>
      </c>
      <c r="CL77" t="n">
        <v>9.949999999999999</v>
      </c>
    </row>
    <row r="78">
      <c r="A78" t="n">
        <v>71</v>
      </c>
      <c r="CA78" t="n">
        <v>5.422</v>
      </c>
      <c r="CB78" t="n">
        <v>15.447</v>
      </c>
      <c r="CE78" t="n">
        <v>4.426</v>
      </c>
      <c r="CF78" t="n">
        <v>21.446</v>
      </c>
      <c r="CK78" t="n">
        <v>5.422</v>
      </c>
      <c r="CL78" t="n">
        <v>9.949999999999999</v>
      </c>
    </row>
    <row r="79">
      <c r="A79" t="n">
        <v>72</v>
      </c>
      <c r="CA79" t="n">
        <v>8.85</v>
      </c>
      <c r="CB79" t="n">
        <v>15.447</v>
      </c>
      <c r="CK79" t="n">
        <v>5.422</v>
      </c>
      <c r="CL79" t="n">
        <v>15.846</v>
      </c>
    </row>
    <row r="80">
      <c r="A80" t="n">
        <v>73</v>
      </c>
      <c r="CA80" t="n">
        <v>8.85</v>
      </c>
      <c r="CB80" t="n">
        <v>15.846</v>
      </c>
      <c r="CE80" t="n">
        <v>5.441</v>
      </c>
      <c r="CF80" t="n">
        <v>6.948</v>
      </c>
      <c r="CK80" t="n">
        <v>5.822</v>
      </c>
      <c r="CL80" t="n">
        <v>15.846</v>
      </c>
    </row>
    <row r="81">
      <c r="A81" t="n">
        <v>74</v>
      </c>
      <c r="CE81" t="n">
        <v>5.441</v>
      </c>
      <c r="CF81" t="n">
        <v>8.91</v>
      </c>
      <c r="CK81" t="n">
        <v>5.822</v>
      </c>
      <c r="CL81" t="n">
        <v>17.446</v>
      </c>
    </row>
    <row r="82">
      <c r="A82" t="n">
        <v>75</v>
      </c>
      <c r="CA82" t="n">
        <v>0</v>
      </c>
      <c r="CB82" t="n">
        <v>14.021</v>
      </c>
      <c r="CK82" t="n">
        <v>3.029</v>
      </c>
      <c r="CL82" t="n">
        <v>17.446</v>
      </c>
    </row>
    <row r="83">
      <c r="A83" t="n">
        <v>76</v>
      </c>
      <c r="CA83" t="n">
        <v>0</v>
      </c>
      <c r="CB83" t="n">
        <v>17.446</v>
      </c>
      <c r="CE83" t="n">
        <v>5.441</v>
      </c>
      <c r="CF83" t="n">
        <v>9.949999999999999</v>
      </c>
      <c r="CK83" t="n">
        <v>3.029</v>
      </c>
      <c r="CL83" t="n">
        <v>15.846</v>
      </c>
    </row>
    <row r="84">
      <c r="A84" t="n">
        <v>77</v>
      </c>
      <c r="CA84" t="n">
        <v>-2</v>
      </c>
      <c r="CB84" t="n">
        <v>17.446</v>
      </c>
      <c r="CE84" t="n">
        <v>5.441</v>
      </c>
      <c r="CF84" t="n">
        <v>15.447</v>
      </c>
      <c r="CK84" t="n">
        <v>3.427</v>
      </c>
      <c r="CL84" t="n">
        <v>15.846</v>
      </c>
    </row>
    <row r="85">
      <c r="A85" t="n">
        <v>78</v>
      </c>
      <c r="CA85" t="n">
        <v>-2</v>
      </c>
      <c r="CB85" t="n">
        <v>14.021</v>
      </c>
      <c r="CK85" t="n">
        <v>3.427</v>
      </c>
      <c r="CL85" t="n">
        <v>14.021</v>
      </c>
    </row>
    <row r="86">
      <c r="A86" t="n">
        <v>79</v>
      </c>
      <c r="CA86" t="n">
        <v>0</v>
      </c>
      <c r="CB86" t="n">
        <v>14.021</v>
      </c>
      <c r="CE86" t="n">
        <v>5.441</v>
      </c>
      <c r="CF86" t="n">
        <v>15.447</v>
      </c>
      <c r="CK86" t="n">
        <v>4.327</v>
      </c>
      <c r="CL86" t="n">
        <v>14.021</v>
      </c>
    </row>
    <row r="87">
      <c r="A87" t="n">
        <v>80</v>
      </c>
      <c r="CE87" t="n">
        <v>5.441</v>
      </c>
      <c r="CF87" t="n">
        <v>15.846</v>
      </c>
    </row>
    <row r="88">
      <c r="A88" t="n">
        <v>81</v>
      </c>
      <c r="CA88" t="n">
        <v>5.422</v>
      </c>
      <c r="CB88" t="n">
        <v>15.447</v>
      </c>
    </row>
    <row r="89">
      <c r="A89" t="n">
        <v>82</v>
      </c>
      <c r="CA89" t="n">
        <v>5.422</v>
      </c>
      <c r="CB89" t="n">
        <v>15.846</v>
      </c>
      <c r="CE89" t="n">
        <v>5.822</v>
      </c>
      <c r="CF89" t="n">
        <v>15.846</v>
      </c>
    </row>
    <row r="90">
      <c r="A90" t="n">
        <v>83</v>
      </c>
      <c r="CA90" t="n">
        <v>5.822</v>
      </c>
      <c r="CB90" t="n">
        <v>15.846</v>
      </c>
      <c r="CE90" t="n">
        <v>5.822</v>
      </c>
      <c r="CF90" t="n">
        <v>17.446</v>
      </c>
    </row>
    <row r="91">
      <c r="A91" t="n">
        <v>84</v>
      </c>
      <c r="CA91" t="n">
        <v>5.822</v>
      </c>
      <c r="CB91" t="n">
        <v>17.446</v>
      </c>
    </row>
    <row r="92">
      <c r="A92" t="n">
        <v>85</v>
      </c>
      <c r="CA92" t="n">
        <v>4.925</v>
      </c>
      <c r="CB92" t="n">
        <v>17.446</v>
      </c>
      <c r="CE92" t="n">
        <v>5.923</v>
      </c>
      <c r="CF92" t="n">
        <v>2.921</v>
      </c>
    </row>
    <row r="93">
      <c r="A93" t="n">
        <v>86</v>
      </c>
      <c r="CA93" t="n">
        <v>4.925</v>
      </c>
      <c r="CB93" t="n">
        <v>15.447</v>
      </c>
      <c r="CE93" t="n">
        <v>5.923</v>
      </c>
      <c r="CF93" t="n">
        <v>5.946</v>
      </c>
    </row>
    <row r="94">
      <c r="A94" t="n">
        <v>87</v>
      </c>
      <c r="CA94" t="n">
        <v>5.422</v>
      </c>
      <c r="CB94" t="n">
        <v>15.447</v>
      </c>
    </row>
    <row r="95">
      <c r="A95" t="n">
        <v>88</v>
      </c>
      <c r="CE95" t="n">
        <v>7.35</v>
      </c>
      <c r="CF95" t="n">
        <v>8.91</v>
      </c>
    </row>
    <row r="96">
      <c r="A96" t="n">
        <v>89</v>
      </c>
      <c r="CA96" t="n">
        <v>3.029</v>
      </c>
      <c r="CB96" t="n">
        <v>15.846</v>
      </c>
      <c r="CE96" t="n">
        <v>7.35</v>
      </c>
      <c r="CF96" t="n">
        <v>9.949999999999999</v>
      </c>
    </row>
    <row r="97">
      <c r="A97" t="n">
        <v>90</v>
      </c>
      <c r="CA97" t="n">
        <v>3.029</v>
      </c>
      <c r="CB97" t="n">
        <v>17.446</v>
      </c>
    </row>
    <row r="98">
      <c r="A98" t="n">
        <v>91</v>
      </c>
      <c r="CA98" t="n">
        <v>0</v>
      </c>
      <c r="CB98" t="n">
        <v>17.446</v>
      </c>
    </row>
    <row r="99">
      <c r="A99" t="n">
        <v>92</v>
      </c>
      <c r="CA99" t="n">
        <v>0</v>
      </c>
      <c r="CB99" t="n">
        <v>15.846</v>
      </c>
    </row>
    <row r="100">
      <c r="A100" t="n">
        <v>93</v>
      </c>
      <c r="CA100" t="n">
        <v>3.029</v>
      </c>
      <c r="CB100" t="n">
        <v>15.846</v>
      </c>
    </row>
    <row r="101">
      <c r="A101" t="n">
        <v>94</v>
      </c>
    </row>
    <row r="102">
      <c r="A102" t="n">
        <v>95</v>
      </c>
      <c r="CA102" t="n">
        <v>8.85</v>
      </c>
      <c r="CB102" t="n">
        <v>17.446</v>
      </c>
    </row>
    <row r="103">
      <c r="A103" t="n">
        <v>96</v>
      </c>
      <c r="CA103" t="n">
        <v>5.822</v>
      </c>
      <c r="CB103" t="n">
        <v>17.446</v>
      </c>
    </row>
    <row r="104">
      <c r="A104" t="n">
        <v>97</v>
      </c>
      <c r="CA104" t="n">
        <v>5.822</v>
      </c>
      <c r="CB104" t="n">
        <v>15.846</v>
      </c>
    </row>
    <row r="105">
      <c r="A105" t="n">
        <v>98</v>
      </c>
      <c r="CA105" t="n">
        <v>8.85</v>
      </c>
      <c r="CB105" t="n">
        <v>15.846</v>
      </c>
    </row>
    <row r="106">
      <c r="A106" t="n">
        <v>99</v>
      </c>
      <c r="CA106" t="n">
        <v>8.85</v>
      </c>
      <c r="CB106" t="n">
        <v>17.446</v>
      </c>
    </row>
    <row r="107">
      <c r="A107" t="n">
        <v>100</v>
      </c>
    </row>
    <row r="108">
      <c r="A108" t="n">
        <v>101</v>
      </c>
      <c r="CA108" t="n">
        <v>0</v>
      </c>
      <c r="CB108" t="n">
        <v>17.446</v>
      </c>
    </row>
    <row r="109">
      <c r="A109" t="n">
        <v>102</v>
      </c>
      <c r="CA109" t="n">
        <v>4.426</v>
      </c>
      <c r="CB109" t="n">
        <v>17.446</v>
      </c>
    </row>
    <row r="110">
      <c r="A110" t="n">
        <v>103</v>
      </c>
      <c r="CA110" t="n">
        <v>4.426</v>
      </c>
      <c r="CB110" t="n">
        <v>21.446</v>
      </c>
    </row>
    <row r="111">
      <c r="A111" t="n">
        <v>104</v>
      </c>
      <c r="CA111" t="n">
        <v>0</v>
      </c>
      <c r="CB111" t="n">
        <v>21.446</v>
      </c>
    </row>
    <row r="112">
      <c r="A112" t="n">
        <v>105</v>
      </c>
      <c r="CA112" t="n">
        <v>0</v>
      </c>
      <c r="CB112" t="n">
        <v>17.446</v>
      </c>
    </row>
    <row r="113">
      <c r="A113" t="n">
        <v>106</v>
      </c>
    </row>
    <row r="114">
      <c r="A114" t="n">
        <v>107</v>
      </c>
      <c r="CA114" t="n">
        <v>4.925</v>
      </c>
      <c r="CB114" t="n">
        <v>17.446</v>
      </c>
    </row>
    <row r="115">
      <c r="A115" t="n">
        <v>108</v>
      </c>
      <c r="CA115" t="n">
        <v>4.925</v>
      </c>
      <c r="CB115" t="n">
        <v>21.446</v>
      </c>
    </row>
    <row r="116">
      <c r="A116" t="n">
        <v>109</v>
      </c>
      <c r="CA116" t="n">
        <v>4.426</v>
      </c>
      <c r="CB116" t="n">
        <v>21.446</v>
      </c>
    </row>
    <row r="117">
      <c r="A117" t="n">
        <v>110</v>
      </c>
      <c r="CA117" t="n">
        <v>4.426</v>
      </c>
      <c r="CB117" t="n">
        <v>17.446</v>
      </c>
    </row>
    <row r="118">
      <c r="A118" t="n">
        <v>111</v>
      </c>
      <c r="CA118" t="n">
        <v>4.925</v>
      </c>
      <c r="CB118" t="n">
        <v>17.446</v>
      </c>
    </row>
    <row r="119">
      <c r="A119" t="n">
        <v>112</v>
      </c>
    </row>
    <row r="120">
      <c r="A120" t="n">
        <v>113</v>
      </c>
      <c r="CA120" t="n">
        <v>8.85</v>
      </c>
      <c r="CB120" t="n">
        <v>21.446</v>
      </c>
    </row>
    <row r="121">
      <c r="A121" t="n">
        <v>114</v>
      </c>
      <c r="CA121" t="n">
        <v>4.925</v>
      </c>
      <c r="CB121" t="n">
        <v>21.446</v>
      </c>
    </row>
    <row r="122">
      <c r="A122" t="n">
        <v>115</v>
      </c>
      <c r="CA122" t="n">
        <v>4.925</v>
      </c>
      <c r="CB122" t="n">
        <v>17.446</v>
      </c>
    </row>
    <row r="123">
      <c r="A123" t="n">
        <v>116</v>
      </c>
      <c r="CA123" t="n">
        <v>8.85</v>
      </c>
      <c r="CB123" t="n">
        <v>17.446</v>
      </c>
    </row>
    <row r="124">
      <c r="A124" t="n">
        <v>117</v>
      </c>
      <c r="CA124" t="n">
        <v>8.85</v>
      </c>
      <c r="CB124" t="n">
        <v>21.446</v>
      </c>
    </row>
    <row r="125">
      <c r="A125" t="n">
        <v>118</v>
      </c>
    </row>
    <row r="126">
      <c r="A126" t="n">
        <v>119</v>
      </c>
      <c r="CA126" t="n">
        <v>0</v>
      </c>
      <c r="CB126" t="n">
        <v>23.446</v>
      </c>
    </row>
    <row r="127">
      <c r="A127" t="n">
        <v>120</v>
      </c>
      <c r="CA127" t="n">
        <v>0</v>
      </c>
      <c r="CB127" t="n">
        <v>21.446</v>
      </c>
    </row>
    <row r="128">
      <c r="A128" t="n">
        <v>121</v>
      </c>
      <c r="CA128" t="n">
        <v>7.25</v>
      </c>
      <c r="CB128" t="n">
        <v>21.446</v>
      </c>
    </row>
    <row r="129">
      <c r="A129" t="n">
        <v>122</v>
      </c>
      <c r="CA129" t="n">
        <v>7.25</v>
      </c>
      <c r="CB129" t="n">
        <v>23.446</v>
      </c>
    </row>
    <row r="130">
      <c r="A130" t="n">
        <v>123</v>
      </c>
      <c r="CA130" t="n">
        <v>0</v>
      </c>
      <c r="CB130" t="n">
        <v>23.446</v>
      </c>
    </row>
    <row r="131">
      <c r="A131" t="n">
        <v>124</v>
      </c>
    </row>
    <row r="132">
      <c r="A132" t="n">
        <v>125</v>
      </c>
      <c r="CA132" t="n">
        <v>7.25</v>
      </c>
      <c r="CB132" t="n">
        <v>24.371</v>
      </c>
    </row>
    <row r="133">
      <c r="A133" t="n">
        <v>126</v>
      </c>
      <c r="CA133" t="n">
        <v>7.25</v>
      </c>
      <c r="CB133" t="n">
        <v>21.446</v>
      </c>
    </row>
    <row r="134">
      <c r="A134" t="n">
        <v>127</v>
      </c>
      <c r="CA134" t="n">
        <v>8.85</v>
      </c>
      <c r="CB134" t="n">
        <v>21.446</v>
      </c>
    </row>
    <row r="135">
      <c r="A135" t="n">
        <v>128</v>
      </c>
      <c r="CA135" t="n">
        <v>8.85</v>
      </c>
      <c r="CB135" t="n">
        <v>24.371</v>
      </c>
    </row>
    <row r="136">
      <c r="A136" t="n">
        <v>129</v>
      </c>
      <c r="CA136" t="n">
        <v>7.25</v>
      </c>
      <c r="CB136" t="n">
        <v>24.371</v>
      </c>
    </row>
    <row r="137">
      <c r="A137" t="n">
        <v>130</v>
      </c>
    </row>
    <row r="138">
      <c r="A138" t="n">
        <v>131</v>
      </c>
      <c r="CA138" t="n">
        <v>0</v>
      </c>
      <c r="CB138" t="n">
        <v>21.446</v>
      </c>
    </row>
    <row r="139">
      <c r="A139" t="n">
        <v>132</v>
      </c>
      <c r="CA139" t="n">
        <v>0</v>
      </c>
      <c r="CB139" t="n">
        <v>24.371</v>
      </c>
    </row>
    <row r="140">
      <c r="A140" t="n">
        <v>133</v>
      </c>
      <c r="CA140" t="n">
        <v>-1.6</v>
      </c>
      <c r="CB140" t="n">
        <v>24.371</v>
      </c>
    </row>
    <row r="141">
      <c r="A141" t="n">
        <v>134</v>
      </c>
      <c r="CA141" t="n">
        <v>-1.6</v>
      </c>
      <c r="CB141" t="n">
        <v>21.446</v>
      </c>
    </row>
    <row r="142">
      <c r="A142" t="n">
        <v>135</v>
      </c>
      <c r="CA142" t="n">
        <v>0</v>
      </c>
      <c r="CB142" t="n">
        <v>21.446</v>
      </c>
    </row>
    <row r="143">
      <c r="A143" t="n">
        <v>136</v>
      </c>
    </row>
    <row r="144">
      <c r="A144" t="n">
        <v>137</v>
      </c>
    </row>
    <row r="145">
      <c r="A145" t="n">
        <v>138</v>
      </c>
    </row>
    <row r="146">
      <c r="A146" t="n">
        <v>139</v>
      </c>
    </row>
    <row r="147">
      <c r="A147" t="n">
        <v>140</v>
      </c>
    </row>
    <row r="148">
      <c r="A148" t="n">
        <v>141</v>
      </c>
    </row>
    <row r="149">
      <c r="A149" t="n">
        <v>142</v>
      </c>
    </row>
    <row r="150">
      <c r="A150" t="n">
        <v>143</v>
      </c>
    </row>
    <row r="151">
      <c r="A151" t="n">
        <v>144</v>
      </c>
    </row>
    <row r="152">
      <c r="A152" t="n">
        <v>145</v>
      </c>
    </row>
    <row r="153">
      <c r="A153" t="n">
        <v>146</v>
      </c>
    </row>
    <row r="154">
      <c r="A154" t="n">
        <v>147</v>
      </c>
    </row>
    <row r="155">
      <c r="A155" t="n">
        <v>148</v>
      </c>
    </row>
    <row r="156">
      <c r="A156" t="n">
        <v>149</v>
      </c>
    </row>
    <row r="157">
      <c r="A157" t="n">
        <v>150</v>
      </c>
    </row>
    <row r="158">
      <c r="A158" t="n">
        <v>151</v>
      </c>
    </row>
    <row r="159">
      <c r="A159" t="n">
        <v>152</v>
      </c>
    </row>
    <row r="160">
      <c r="A160" t="n">
        <v>153</v>
      </c>
    </row>
    <row r="161">
      <c r="A161" t="n">
        <v>154</v>
      </c>
    </row>
    <row r="162">
      <c r="A162" t="n">
        <v>155</v>
      </c>
    </row>
    <row r="163">
      <c r="A163" t="n">
        <v>156</v>
      </c>
    </row>
    <row r="164">
      <c r="A164" t="n">
        <v>157</v>
      </c>
    </row>
    <row r="165">
      <c r="A165" t="n">
        <v>158</v>
      </c>
    </row>
    <row r="166">
      <c r="A166" t="n">
        <v>159</v>
      </c>
    </row>
    <row r="167">
      <c r="A167" t="n">
        <v>160</v>
      </c>
    </row>
    <row r="168">
      <c r="A168" t="n">
        <v>161</v>
      </c>
    </row>
    <row r="169">
      <c r="A169" t="n">
        <v>162</v>
      </c>
    </row>
    <row r="170">
      <c r="A170" t="n">
        <v>163</v>
      </c>
    </row>
    <row r="171">
      <c r="A171" t="n">
        <v>164</v>
      </c>
    </row>
    <row r="172">
      <c r="A172" t="n">
        <v>165</v>
      </c>
    </row>
    <row r="173">
      <c r="A173" t="n">
        <v>166</v>
      </c>
    </row>
    <row r="174">
      <c r="A174" t="n">
        <v>167</v>
      </c>
    </row>
    <row r="175">
      <c r="A175" t="n">
        <v>168</v>
      </c>
    </row>
    <row r="176">
      <c r="A176" t="n">
        <v>169</v>
      </c>
    </row>
    <row r="177">
      <c r="A177" t="n">
        <v>170</v>
      </c>
    </row>
    <row r="178">
      <c r="A178" t="n">
        <v>171</v>
      </c>
    </row>
    <row r="179">
      <c r="A179" t="n">
        <v>172</v>
      </c>
    </row>
    <row r="180">
      <c r="A180" t="n">
        <v>173</v>
      </c>
    </row>
    <row r="181">
      <c r="A181" t="n">
        <v>174</v>
      </c>
    </row>
    <row r="182">
      <c r="A182" t="n">
        <v>175</v>
      </c>
    </row>
    <row r="183">
      <c r="A183" t="n">
        <v>176</v>
      </c>
    </row>
    <row r="184">
      <c r="A184" t="n">
        <v>177</v>
      </c>
    </row>
    <row r="185">
      <c r="A185" t="n">
        <v>178</v>
      </c>
    </row>
    <row r="186">
      <c r="A186" t="n">
        <v>179</v>
      </c>
    </row>
    <row r="187">
      <c r="A187" t="n">
        <v>180</v>
      </c>
    </row>
    <row r="188">
      <c r="A188" t="n">
        <v>181</v>
      </c>
    </row>
    <row r="189">
      <c r="A189" t="n">
        <v>182</v>
      </c>
    </row>
    <row r="190">
      <c r="A190" t="n">
        <v>183</v>
      </c>
    </row>
    <row r="191">
      <c r="A191" t="n">
        <v>184</v>
      </c>
    </row>
    <row r="192">
      <c r="A192" t="n">
        <v>185</v>
      </c>
    </row>
    <row r="193">
      <c r="A193" t="n">
        <v>186</v>
      </c>
    </row>
    <row r="194">
      <c r="A194" t="n">
        <v>187</v>
      </c>
    </row>
    <row r="195">
      <c r="A195" t="n">
        <v>188</v>
      </c>
    </row>
    <row r="196">
      <c r="A196" t="n">
        <v>189</v>
      </c>
    </row>
    <row r="197">
      <c r="A197" t="n">
        <v>190</v>
      </c>
    </row>
    <row r="198">
      <c r="A198" t="n">
        <v>191</v>
      </c>
    </row>
    <row r="199">
      <c r="A199" t="n">
        <v>192</v>
      </c>
    </row>
    <row r="200">
      <c r="A200" t="n">
        <v>193</v>
      </c>
    </row>
    <row r="201">
      <c r="A201" t="n">
        <v>194</v>
      </c>
    </row>
    <row r="202">
      <c r="A202" t="n">
        <v>195</v>
      </c>
    </row>
    <row r="203">
      <c r="A203" t="n">
        <v>196</v>
      </c>
    </row>
    <row r="204">
      <c r="A204" t="n">
        <v>197</v>
      </c>
    </row>
    <row r="205">
      <c r="A205" t="n">
        <v>198</v>
      </c>
    </row>
    <row r="206">
      <c r="A206" t="n">
        <v>199</v>
      </c>
    </row>
    <row r="207">
      <c r="A207" t="n">
        <v>200</v>
      </c>
    </row>
    <row r="208">
      <c r="A208" t="n">
        <v>201</v>
      </c>
    </row>
    <row r="209">
      <c r="A209" t="n">
        <v>202</v>
      </c>
    </row>
    <row r="210">
      <c r="A210" t="n">
        <v>203</v>
      </c>
    </row>
    <row r="211">
      <c r="A211" t="n">
        <v>204</v>
      </c>
    </row>
    <row r="212">
      <c r="A212" t="n">
        <v>205</v>
      </c>
    </row>
    <row r="213">
      <c r="A213" t="n">
        <v>206</v>
      </c>
    </row>
    <row r="214">
      <c r="A214" t="n">
        <v>207</v>
      </c>
    </row>
    <row r="215">
      <c r="A215" t="n">
        <v>208</v>
      </c>
    </row>
    <row r="216">
      <c r="A216" t="n">
        <v>209</v>
      </c>
    </row>
    <row r="217">
      <c r="A217" t="n">
        <v>210</v>
      </c>
    </row>
    <row r="218">
      <c r="A218" t="n">
        <v>211</v>
      </c>
    </row>
    <row r="219">
      <c r="A219" t="n">
        <v>212</v>
      </c>
    </row>
    <row r="220">
      <c r="A220" t="n">
        <v>213</v>
      </c>
    </row>
    <row r="221">
      <c r="A221" t="n">
        <v>214</v>
      </c>
    </row>
    <row r="222">
      <c r="A222" t="n">
        <v>215</v>
      </c>
    </row>
    <row r="223">
      <c r="A223" t="n">
        <v>216</v>
      </c>
    </row>
    <row r="224">
      <c r="A224" t="n">
        <v>217</v>
      </c>
    </row>
    <row r="225">
      <c r="A225" t="n">
        <v>218</v>
      </c>
    </row>
    <row r="226">
      <c r="A226" t="n">
        <v>219</v>
      </c>
    </row>
    <row r="227">
      <c r="A227" t="n">
        <v>220</v>
      </c>
    </row>
    <row r="228">
      <c r="A228" t="n">
        <v>221</v>
      </c>
    </row>
    <row r="229">
      <c r="A229" t="n">
        <v>222</v>
      </c>
    </row>
    <row r="230">
      <c r="A230" t="n">
        <v>223</v>
      </c>
    </row>
    <row r="231">
      <c r="A231" t="n">
        <v>224</v>
      </c>
    </row>
    <row r="232">
      <c r="A232" t="n">
        <v>225</v>
      </c>
    </row>
    <row r="233">
      <c r="A233" t="n">
        <v>226</v>
      </c>
    </row>
    <row r="234">
      <c r="A234" t="n">
        <v>227</v>
      </c>
    </row>
    <row r="235">
      <c r="A235" t="n">
        <v>228</v>
      </c>
    </row>
    <row r="236">
      <c r="A236" t="n">
        <v>229</v>
      </c>
    </row>
    <row r="237">
      <c r="A237" t="n">
        <v>230</v>
      </c>
    </row>
    <row r="238">
      <c r="A238" t="n">
        <v>231</v>
      </c>
    </row>
    <row r="239">
      <c r="A239" t="n">
        <v>232</v>
      </c>
    </row>
    <row r="240">
      <c r="A240" t="n">
        <v>233</v>
      </c>
    </row>
    <row r="241">
      <c r="A241" t="n">
        <v>234</v>
      </c>
    </row>
    <row r="242">
      <c r="A242" t="n">
        <v>235</v>
      </c>
    </row>
    <row r="243">
      <c r="A243" t="n">
        <v>236</v>
      </c>
    </row>
    <row r="244">
      <c r="A244" t="n">
        <v>237</v>
      </c>
    </row>
    <row r="245">
      <c r="A245" t="n">
        <v>238</v>
      </c>
    </row>
    <row r="246">
      <c r="A246" t="n">
        <v>239</v>
      </c>
    </row>
    <row r="247">
      <c r="A247" t="n">
        <v>240</v>
      </c>
    </row>
    <row r="248">
      <c r="A248" t="n">
        <v>241</v>
      </c>
    </row>
    <row r="249">
      <c r="A249" t="n">
        <v>242</v>
      </c>
    </row>
    <row r="250">
      <c r="A250" t="n">
        <v>243</v>
      </c>
    </row>
    <row r="251">
      <c r="A251" t="n">
        <v>244</v>
      </c>
    </row>
    <row r="252">
      <c r="A252" t="n">
        <v>245</v>
      </c>
    </row>
    <row r="253">
      <c r="A253" t="n">
        <v>246</v>
      </c>
    </row>
    <row r="254">
      <c r="A254" t="n">
        <v>247</v>
      </c>
    </row>
    <row r="255">
      <c r="A255" t="n">
        <v>248</v>
      </c>
    </row>
    <row r="256">
      <c r="A256" t="n">
        <v>249</v>
      </c>
    </row>
    <row r="257">
      <c r="A257" t="n">
        <v>250</v>
      </c>
    </row>
    <row r="258">
      <c r="A258" t="n">
        <v>251</v>
      </c>
    </row>
    <row r="259">
      <c r="A259" t="n">
        <v>252</v>
      </c>
    </row>
    <row r="260">
      <c r="A260" t="n">
        <v>253</v>
      </c>
    </row>
    <row r="261">
      <c r="A261" t="n">
        <v>254</v>
      </c>
    </row>
    <row r="262">
      <c r="A262" t="n">
        <v>255</v>
      </c>
    </row>
    <row r="263">
      <c r="A263" t="n">
        <v>256</v>
      </c>
    </row>
    <row r="264">
      <c r="A264" t="n">
        <v>257</v>
      </c>
    </row>
    <row r="265">
      <c r="A265" t="n">
        <v>258</v>
      </c>
    </row>
    <row r="266">
      <c r="A266" t="n">
        <v>259</v>
      </c>
    </row>
    <row r="267">
      <c r="A267" t="n">
        <v>260</v>
      </c>
    </row>
    <row r="268">
      <c r="A268" t="n">
        <v>261</v>
      </c>
    </row>
    <row r="269">
      <c r="A269" t="n">
        <v>262</v>
      </c>
    </row>
    <row r="270">
      <c r="A270" t="n">
        <v>263</v>
      </c>
    </row>
    <row r="271">
      <c r="A271" t="n">
        <v>264</v>
      </c>
    </row>
    <row r="272">
      <c r="A272" t="n">
        <v>265</v>
      </c>
    </row>
    <row r="273">
      <c r="A273" t="n">
        <v>266</v>
      </c>
    </row>
    <row r="274">
      <c r="A274" t="n">
        <v>267</v>
      </c>
    </row>
    <row r="275">
      <c r="A275" t="n">
        <v>268</v>
      </c>
    </row>
    <row r="276">
      <c r="A276" t="n">
        <v>269</v>
      </c>
    </row>
    <row r="277">
      <c r="A277" t="n">
        <v>270</v>
      </c>
    </row>
    <row r="278">
      <c r="A278" t="n">
        <v>271</v>
      </c>
    </row>
    <row r="279">
      <c r="A279" t="n">
        <v>272</v>
      </c>
    </row>
    <row r="280">
      <c r="A280" t="n">
        <v>273</v>
      </c>
    </row>
    <row r="281">
      <c r="A281" t="n">
        <v>274</v>
      </c>
    </row>
    <row r="282">
      <c r="A282" t="n">
        <v>275</v>
      </c>
    </row>
    <row r="283">
      <c r="A283" t="n">
        <v>276</v>
      </c>
    </row>
    <row r="284">
      <c r="A284" t="n">
        <v>277</v>
      </c>
    </row>
    <row r="285">
      <c r="A285" t="n">
        <v>278</v>
      </c>
    </row>
    <row r="286">
      <c r="A286" t="n">
        <v>279</v>
      </c>
    </row>
    <row r="287">
      <c r="A287" t="n">
        <v>280</v>
      </c>
    </row>
    <row r="288">
      <c r="A288" t="n">
        <v>281</v>
      </c>
    </row>
    <row r="289">
      <c r="A289" t="n">
        <v>282</v>
      </c>
    </row>
    <row r="290">
      <c r="A290" t="n">
        <v>283</v>
      </c>
    </row>
    <row r="291">
      <c r="A291" t="n">
        <v>284</v>
      </c>
    </row>
    <row r="292">
      <c r="A292" t="n">
        <v>285</v>
      </c>
    </row>
    <row r="293">
      <c r="A293" t="n">
        <v>286</v>
      </c>
    </row>
    <row r="294">
      <c r="A294" t="n">
        <v>287</v>
      </c>
    </row>
    <row r="295">
      <c r="A295" t="n">
        <v>288</v>
      </c>
    </row>
    <row r="296">
      <c r="A296" t="n">
        <v>289</v>
      </c>
    </row>
    <row r="297">
      <c r="A297" t="n">
        <v>290</v>
      </c>
    </row>
    <row r="298">
      <c r="A298" t="n">
        <v>291</v>
      </c>
    </row>
    <row r="299">
      <c r="A299" t="n">
        <v>292</v>
      </c>
    </row>
    <row r="300">
      <c r="A300" t="n">
        <v>293</v>
      </c>
    </row>
    <row r="301">
      <c r="A301" t="n">
        <v>294</v>
      </c>
    </row>
    <row r="302">
      <c r="A302" t="n">
        <v>295</v>
      </c>
    </row>
    <row r="303">
      <c r="A303" t="n">
        <v>296</v>
      </c>
    </row>
    <row r="304">
      <c r="A304" t="n">
        <v>297</v>
      </c>
    </row>
    <row r="305">
      <c r="A305" t="n">
        <v>298</v>
      </c>
    </row>
    <row r="306">
      <c r="A306" t="n">
        <v>299</v>
      </c>
    </row>
    <row r="307">
      <c r="A307" t="n">
        <v>300</v>
      </c>
    </row>
    <row r="399">
      <c r="A399" s="84" t="inlineStr">
        <is>
          <t>TEXTOS DE LAS LEYENDAS</t>
        </is>
      </c>
    </row>
    <row r="400">
      <c r="A400" s="85" t="str">
        <f>"Tablero "&amp;CROQUIS!$C$7&amp;" — "&amp;TEXT(CROQUIS!$C$10/100,"0.00")&amp;" × "&amp;TEXT(CROQUIS!$C$11/100,"0.00")&amp;" m"</f>
        <v>Tablero F80016 N+3.00 — 4.43 × 4.00 m</v>
      </c>
    </row>
    <row r="401">
      <c r="A401" s="85" t="str">
        <f>"Paño de nervaduras principales / dalas (b = "&amp;DATOS!$C$17&amp;" cm)"</f>
        <v>Paño de nervaduras principales / dalas (b = 15 cm)</v>
      </c>
    </row>
    <row r="402">
      <c r="A402" s="85" t="str">
        <f>"Casetones "&amp;DATOS!$C$11&amp;"×"&amp;DATOS!$C$11&amp;"×"&amp;DATOS!$C$12&amp;": "&amp;NERVADURA!$C$118&amp;" × "&amp;NERVADURA!$C$120&amp;" pzas"</f>
        <v>Casetones 60×60×20: 6 × 5 pzas</v>
      </c>
    </row>
    <row r="403">
      <c r="A403" s="85" t="str">
        <f>"Macizo en orillas: "&amp;TEXT(NERVADURA!$C$119,"0")&amp;" cm en X, "&amp;TEXT(NERVADURA!$C$121,"0")&amp;" cm en Y"</f>
        <v>Macizo en orillas: 9 cm en X, 23 cm en Y</v>
      </c>
    </row>
    <row r="404">
      <c r="A404" s="85" t="str">
        <f>"Claro corto · inferior: "&amp;CROQUIS!$C$17</f>
        <v>Claro corto · inferior: 1 var. No. 3</v>
      </c>
    </row>
    <row r="405">
      <c r="A405" s="85" t="str">
        <f>"Claro corto · bastones: "&amp;CROQUIS!$C$18</f>
        <v>Claro corto · bastones: 1 var. No. 3, L = 1.20 m desde el eje del apoyo</v>
      </c>
    </row>
    <row r="406">
      <c r="A406" s="85" t="str">
        <f>"(bastón del otro apoyo)"</f>
        <v>(bastón del otro apoyo)</v>
      </c>
    </row>
    <row r="407">
      <c r="A407" s="85" t="str">
        <f>"Claro largo · inferior: "&amp;CROQUIS!$C$19</f>
        <v>Claro largo · inferior: 1 var. No. 3</v>
      </c>
    </row>
    <row r="408">
      <c r="A408" s="85" t="str">
        <f>"Claro largo · bastones: "&amp;CROQUIS!$C$20</f>
        <v>Claro largo · bastones: 1 var. No. 3, L = 1.33 m</v>
      </c>
    </row>
    <row r="409">
      <c r="A409" s="85" t="str">
        <f>"(bastón del otro apoyo)"</f>
        <v>(bastón del otro apoyo)</v>
      </c>
    </row>
    <row r="410">
      <c r="A410" s="85" t="str">
        <f>"a_x = "&amp;TEXT(CROQUIS!$C$10/100,"0.00")&amp;" m"</f>
        <v>a_x = 4.43 m</v>
      </c>
    </row>
    <row r="411">
      <c r="A411" s="85" t="str">
        <f>"a_y = "&amp;TEXT(CROQUIS!$C$11/100,"0.00")&amp;" m"</f>
        <v>a_y = 4.00 m</v>
      </c>
    </row>
    <row r="412">
      <c r="A412" s="85" t="str">
        <f>"s = "&amp;DATOS!$C$16&amp;" cm"</f>
        <v>s = 70 cm</v>
      </c>
    </row>
    <row r="413">
      <c r="A413" s="85" t="str">
        <f>"Nervadura "&amp;DATOS!$C$13&amp;" cm + capa "&amp;DATOS!$C$14&amp;" cm (h = "&amp;DATOS!$C$15&amp;" cm)"</f>
        <v>Nervadura 10 cm + capa 5 cm (h = 25 cm)</v>
      </c>
    </row>
    <row r="414">
      <c r="A414" s="85" t="str">
        <f>"Casetón de poliestireno "&amp;DATOS!$C$11&amp;"×"&amp;DATOS!$C$12</f>
        <v>Casetón de poliestireno 60×20</v>
      </c>
    </row>
    <row r="415">
      <c r="A415" s="85" t="str">
        <f>"(casetón)"</f>
        <v>(casetón)</v>
      </c>
    </row>
    <row r="416">
      <c r="A416" s="85" t="str">
        <f>"Malla "&amp;DATOS!$C$26</f>
        <v>Malla 6x6-10/10</v>
      </c>
    </row>
    <row r="417">
      <c r="A417" s="85" t="str">
        <f>"Inferior claro corto: "&amp;CROQUIS!$C$17</f>
        <v>Inferior claro corto: 1 var. No. 3</v>
      </c>
    </row>
    <row r="418">
      <c r="A418" s="85" t="str">
        <f>"Bastones claro corto: "&amp;NERVADURA!$C$66&amp;" var. No. "&amp;TEXT(NERVADURA!$C$65,"0.#")</f>
        <v>Bastones claro corto: 1 var. No. 3</v>
      </c>
    </row>
    <row r="419">
      <c r="A419" s="85" t="str">
        <f>"Grapa / estribo No. "&amp;TEXT(DATOS!$C$19,"0.#")&amp;" (si el cortante lo pide)"</f>
        <v>Grapa / estribo No. 2 (si el cortante lo pide)</v>
      </c>
    </row>
    <row r="420">
      <c r="A420" s="85" t="str">
        <f>"b_w = "&amp;DATOS!$C$13&amp;" cm"</f>
        <v>b_w = 10 cm</v>
      </c>
    </row>
    <row r="421">
      <c r="A421" s="85" t="str">
        <f>"s = "&amp;DATOS!$C$16&amp;" cm"</f>
        <v>s = 70 cm</v>
      </c>
    </row>
    <row r="422">
      <c r="A422" s="85" t="str">
        <f>"h = "&amp;DATOS!$C$15&amp;" cm"</f>
        <v>h = 25 cm</v>
      </c>
    </row>
    <row r="423">
      <c r="A423" s="85" t="str">
        <f>"Nervadura del claro corto ("&amp;IF(CROQUIS!$C$9="VOLADO","VOLADO","apoyada en sus dos extremos")&amp;") — alto exagerado"</f>
        <v>Nervadura del claro corto (apoyada en sus dos extremos) — alto exagerado</v>
      </c>
    </row>
    <row r="424">
      <c r="A424" s="85" t="str">
        <f>"Apoyo: nervadura principal o muro"</f>
        <v>Apoyo: nervadura principal o muro</v>
      </c>
    </row>
    <row r="425">
      <c r="A425" s="85" t="str">
        <f>IF(CROQUIS!$C$9="VOLADO","(volado: sin apoyo en la punta)","(apoyo)")</f>
        <v>(apoyo)</v>
      </c>
    </row>
    <row r="426">
      <c r="A426" s="85" t="str">
        <f>"Inferior corrido: "&amp;CROQUIS!$C$17</f>
        <v>Inferior corrido: 1 var. No. 3</v>
      </c>
    </row>
    <row r="427">
      <c r="A427" s="85" t="str">
        <f>"Bastón: "&amp;CROQUIS!$C$18</f>
        <v>Bastón: 1 var. No. 3, L = 1.20 m desde el eje del apoyo</v>
      </c>
    </row>
    <row r="428">
      <c r="A428" s="85" t="str">
        <f>"(bastón del otro apoyo)"</f>
        <v>(bastón del otro apoyo)</v>
      </c>
    </row>
    <row r="429">
      <c r="A429" s="85" t="str">
        <f>"a1 = "&amp;TEXT(NERVADURA!$C$15,"0.00")&amp;" m"</f>
        <v>a1 = 4.00 m</v>
      </c>
    </row>
    <row r="430">
      <c r="A430" s="85" t="str">
        <f>"Nervadura principal "&amp;CROQUIS!$C$24&amp;" ("&amp;CROQUIS!$C$27&amp;", L = "&amp;TEXT(CROQUIS!$C$29,"0.00")&amp;" m, "&amp;CROQUIS!$C$28&amp;")"</f>
        <v>Nervadura principal NP-23 (x = 4.327, L = 6.15 m, APOYADA)</v>
      </c>
    </row>
    <row r="431">
      <c r="A431" s="85" t="str">
        <f>"Casetones de los tableros vecinos"</f>
        <v>Casetones de los tableros vecinos</v>
      </c>
    </row>
    <row r="432">
      <c r="A432" s="85" t="str">
        <f>"(casetón)"</f>
        <v>(casetón)</v>
      </c>
    </row>
    <row r="433">
      <c r="A433" s="85" t="str">
        <f>"Estribos No. "&amp;TEXT(DATOS!$C$95,"0.#")&amp;" @ "&amp;TEXT(CROQUIS!$C$36,"0.0")&amp;" cm"</f>
        <v>Estribos No. 2.5 @ 10.0 cm</v>
      </c>
    </row>
    <row r="434">
      <c r="A434" s="85" t="str">
        <f>IF(CROQUIS!$C$32=0,"Inferior: la sección no alcanza — sube h","Inferior: "&amp;CROQUIS!$C$32&amp;" var. No. "&amp;TEXT(CROQUIS!$C$33,"0.#"))</f>
        <v>Inferior: 2 var. No. 6</v>
      </c>
    </row>
    <row r="435">
      <c r="A435" s="85" t="str">
        <f>IF(CROQUIS!$C$34=0,"Superior: la sección no alcanza — sube h","Superior: "&amp;CROQUIS!$C$34&amp;" var. No. "&amp;TEXT(CROQUIS!$C$35,"0.#"))</f>
        <v>Superior: 3 var. No. 4</v>
      </c>
    </row>
    <row r="436">
      <c r="A436" s="85" t="str">
        <f>"b = "&amp;CROQUIS!$C$30&amp;" cm"</f>
        <v>b = 15 cm</v>
      </c>
    </row>
    <row r="437">
      <c r="A437" s="85" t="str">
        <f>"h = "&amp;CROQUIS!$C$31&amp;" cm"</f>
        <v>h = 25 cm</v>
      </c>
    </row>
  </sheetData>
  <pageMargins left="0.75" right="0.75" top="1" bottom="1" header="0.5" footer="0.5"/>
  <pageSetup orientation="landscape"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2026-10-15T04:31:54Z</dcterms:created>
  <dcterms:modified xmlns:dcterms="http://purl.org/dc/terms/" xmlns:xsi="http://www.w3.org/2001/XMLSchema-instance" xsi:type="dcterms:W3CDTF">2026-10-15T04:31:55Z</dcterms:modified>
</cp:coreProperties>
</file>